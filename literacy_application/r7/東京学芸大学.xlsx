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157.105.96.222\gk-gakumu$\教務第三係\61_ICT科目授業運営部会・情報アシスタント関係\04_数理・データサイエンス・AI教育プログラム\★0710修正対応\★修正後書類一式（7.10現在）\東京学芸大学_再提出_0718\"/>
    </mc:Choice>
  </mc:AlternateContent>
  <xr:revisionPtr revIDLastSave="0" documentId="13_ncr:1_{666298B0-923E-4871-A148-DF0CB4005835}" xr6:coauthVersionLast="47" xr6:coauthVersionMax="47" xr10:uidLastSave="{00000000-0000-0000-0000-000000000000}"/>
  <bookViews>
    <workbookView xWindow="0" yWindow="0" windowWidth="28800" windowHeight="1548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tc={4792681F-6EAB-4C82-967D-6A9D63ED08F0}</author>
  </authors>
  <commentList>
    <comment ref="E20" authorId="0" shapeId="0" xr:uid="{4792681F-6EAB-4C82-967D-6A9D63ED08F0}">
      <text>
        <r>
          <rPr>
            <sz val="11"/>
            <color theme="1"/>
            <rFont val="ＭＳ Ｐ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記述があるので大丈夫かと思いますが、教育のためのＤＳのほうは、さいたま市教育委員会と連携し、教育ダッシュボード活用の取り組みから、教育データの疑似化・教材化を行い、反映させていくことを予定しています。</t>
        </r>
      </text>
    </comment>
  </commentList>
</comments>
</file>

<file path=xl/sharedStrings.xml><?xml version="1.0" encoding="utf-8"?>
<sst xmlns="http://schemas.openxmlformats.org/spreadsheetml/2006/main" count="302" uniqueCount="196">
  <si>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</si>
  <si>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</si>
  <si>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</si>
  <si>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東京学芸大学</t>
    <rPh sb="0" eb="6">
      <t>トウキョウガクゲイダイガク</t>
    </rPh>
    <phoneticPr fontId="1"/>
  </si>
  <si>
    <t>プログラム名</t>
    <rPh sb="5" eb="6">
      <t>メイ</t>
    </rPh>
    <phoneticPr fontId="1"/>
  </si>
  <si>
    <t>リテラシーレベルのプログラムを構成する授業科目について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</si>
  <si>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</si>
  <si>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</si>
  <si>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</si>
  <si>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</si>
  <si>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プログラムを構成する以下授業科目は東京学芸大学教育学部共通の必修科目であり、当該科目の単位を修得することが卒業要件の一部となっている。
「ＡＩ時代の情報」は１年次必修科目であり、2単位の講義科目、計14回（各回100分）として開設している。
「教育のためのデータサイエンス」は２年次必修科目であり、1単位の講義科目、計7回（各回100分）として開設している。</t>
    <rPh sb="10" eb="12">
      <t>イカ</t>
    </rPh>
    <rPh sb="30" eb="34">
      <t>ヒッシュウカモク</t>
    </rPh>
    <rPh sb="38" eb="40">
      <t>トウガイ</t>
    </rPh>
    <rPh sb="40" eb="42">
      <t>カモク</t>
    </rPh>
    <rPh sb="43" eb="45">
      <t>タンイ</t>
    </rPh>
    <rPh sb="46" eb="48">
      <t>シュウトク</t>
    </rPh>
    <rPh sb="53" eb="57">
      <t>ソツギョウヨウケン</t>
    </rPh>
    <rPh sb="58" eb="60">
      <t>イチブ</t>
    </rPh>
    <rPh sb="71" eb="73">
      <t>ジダイ</t>
    </rPh>
    <rPh sb="74" eb="76">
      <t>ジョウホウ</t>
    </rPh>
    <rPh sb="79" eb="81">
      <t>ネンジ</t>
    </rPh>
    <rPh sb="81" eb="85">
      <t>ヒッシュウカモク</t>
    </rPh>
    <rPh sb="139" eb="141">
      <t>ネンジ</t>
    </rPh>
    <phoneticPr fontId="1"/>
  </si>
  <si>
    <t>【プルダウンリスト】</t>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</si>
  <si>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</si>
  <si>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</si>
  <si>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</si>
  <si>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</si>
  <si>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</si>
  <si>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</si>
  <si>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</si>
  <si>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</si>
  <si>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</si>
  <si>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</si>
  <si>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</si>
  <si>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</si>
  <si>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</si>
  <si>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ＡＩ時代の情報</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</si>
  <si>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</si>
  <si>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</si>
  <si>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</si>
  <si>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</si>
  <si>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教育のためのデータサイエンス</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</si>
  <si>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</si>
  <si>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</si>
  <si>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</si>
  <si>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</si>
  <si>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</si>
  <si>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</si>
  <si>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教育のためのデータサイエンス</t>
  </si>
  <si>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</si>
  <si>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</si>
  <si>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</si>
  <si>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</si>
  <si>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</si>
  <si>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</si>
  <si>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4-1統計および数理基礎</t>
    <phoneticPr fontId="1"/>
  </si>
  <si>
    <t>AI時代の情報</t>
    <rPh sb="2" eb="4">
      <t>ジダイ</t>
    </rPh>
    <rPh sb="5" eb="7">
      <t>ジョウホウ</t>
    </rPh>
    <phoneticPr fontId="1"/>
  </si>
  <si>
    <t>4‐3データ構造とプログラミング基礎</t>
  </si>
  <si>
    <t>4‐2アルゴリズム基礎</t>
    <phoneticPr fontId="1"/>
  </si>
  <si>
    <t>教育のためのデータサイエンス</t>
    <rPh sb="0" eb="2">
      <t>キョウイｋウ</t>
    </rPh>
    <phoneticPr fontId="1"/>
  </si>
  <si>
    <t>4‐8データ活用実践（教師あり学習）</t>
  </si>
  <si>
    <t>4‐3データ構造とプログラミング基礎</t>
    <phoneticPr fontId="1"/>
  </si>
  <si>
    <t>4‐4時系列データ解析</t>
    <phoneticPr fontId="1"/>
  </si>
  <si>
    <t>4‐5自然言語処理</t>
    <rPh sb="3" eb="5">
      <t>シゼン</t>
    </rPh>
    <rPh sb="5" eb="7">
      <t>ゲンゴ</t>
    </rPh>
    <rPh sb="7" eb="9">
      <t>ショリ</t>
    </rPh>
    <phoneticPr fontId="1"/>
  </si>
  <si>
    <t>4‐6画像認識</t>
    <rPh sb="5" eb="7">
      <t>ニンシキ</t>
    </rPh>
    <phoneticPr fontId="1"/>
  </si>
  <si>
    <t>4‐7データハンドリング</t>
    <phoneticPr fontId="1"/>
  </si>
  <si>
    <t>4‐8データ活用実践（教師あり学習）</t>
    <phoneticPr fontId="1"/>
  </si>
  <si>
    <t>4‐9データ活用実践（教師なし学習）</t>
    <phoneticPr fontId="1"/>
  </si>
  <si>
    <t>⑩ プログラムを構成する授業の内容</t>
    <phoneticPr fontId="1"/>
  </si>
  <si>
    <t>その他</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</si>
  <si>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</si>
  <si>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</si>
  <si>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</si>
  <si>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</si>
  <si>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</si>
  <si>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</si>
  <si>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・データサイエンスのサイクル　「教育のためのデータサイエンス」（1,3,4,5回目）
・教育におけるデータ・AI利活用事例紹介　「教育のためのデータサイエンス」（7回目）</t>
    <rPh sb="16" eb="18">
      <t>キョウ_x0000__x0010__x0002_</t>
    </rPh>
    <rPh sb="65" eb="67">
      <t>_x0006_A_x0002__x000C_R_x0002_</t>
    </rPh>
    <rPh sb="82" eb="84">
      <t/>
    </rPh>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</si>
  <si>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</si>
  <si>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</si>
  <si>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</si>
  <si>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</si>
  <si>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〇教員及び教育支援者として、情報及び情報通信技術を適切かつ効果的に活用しながら、問題を発見・解決したり自分の考えを形成したりしていくために必要な知識と技術を身に付ける。
〇現代社会におけるデータサイエンス・AIの役割を理解し、情報通信技術を利用して初歩的なデータ分析ができるようになる。
〇データを用いた資料等を使いこなし，学校教育および教育支援の場で，根拠に基づく指導の改善や子どもたちとの関わりの工夫を実践するための基礎的素養を身に付ける。</t>
    <rPh sb="169" eb="173">
      <t>キョウイクシエン</t>
    </rPh>
    <rPh sb="218" eb="219">
      <t>ツ</t>
    </rPh>
    <phoneticPr fontId="1"/>
  </si>
  <si>
    <t>様式２</t>
    <phoneticPr fontId="1"/>
  </si>
  <si>
    <t>リテラシーレベルのプログラムの履修者数等の実績について</t>
    <phoneticPr fontId="1"/>
  </si>
  <si>
    <t>①プログラム開設年度</t>
    <rPh sb="6" eb="8">
      <t>カイセツ</t>
    </rPh>
    <rPh sb="8" eb="10">
      <t>ネンド</t>
    </rPh>
    <phoneticPr fontId="1"/>
  </si>
  <si>
    <t>令和５</t>
    <rPh sb="0" eb="2">
      <t>レイワ</t>
    </rPh>
    <phoneticPr fontId="1"/>
  </si>
  <si>
    <t>年度（和暦）</t>
    <rPh sb="0" eb="2">
      <t>ネンド</t>
    </rPh>
    <rPh sb="3" eb="5">
      <t>ワレキ</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</si>
  <si>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</si>
  <si>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</si>
  <si>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</si>
  <si>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</si>
  <si>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</si>
  <si>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</si>
  <si>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</si>
  <si>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</si>
  <si>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（令和６年５月１日時点）</t>
    <rPh sb="1" eb="3">
      <t>レイワ</t>
    </rPh>
    <rPh sb="4" eb="5">
      <t>ネン</t>
    </rPh>
    <rPh sb="6" eb="7">
      <t>ガツ</t>
    </rPh>
    <rPh sb="8" eb="9">
      <t>ニチ</t>
    </rPh>
    <rPh sb="9" eb="11">
      <t>ジテン</t>
    </rPh>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</si>
  <si>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</si>
  <si>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</si>
  <si>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</si>
  <si>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</si>
  <si>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</si>
  <si>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令和6年度</t>
    <rPh sb="0" eb="2">
      <t>レイワ</t>
    </rPh>
    <rPh sb="3" eb="5">
      <t>ネンド</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</si>
  <si>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</si>
  <si>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</si>
  <si>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</si>
  <si>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</si>
  <si>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4">
      <t>ガンネン</t>
    </rPh>
    <rPh sb="4" eb="5">
      <t>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</si>
  <si>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</si>
  <si>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</si>
  <si>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</si>
  <si>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</si>
  <si>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教育学部学校教育教員養成課程（R5～）</t>
  </si>
  <si>
    <t>教育学部教育支援課程（R5～）</t>
  </si>
  <si>
    <t>教育学部学校教育系（～R4）</t>
  </si>
  <si>
    <t>教育学部教育支援系（～R4）</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</si>
  <si>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</si>
  <si>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</si>
  <si>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</si>
  <si>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</si>
  <si>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</si>
  <si>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</si>
  <si>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</si>
  <si>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</si>
  <si>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</si>
  <si>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</si>
  <si>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</si>
  <si>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</si>
  <si>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</si>
  <si>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加藤　直樹</t>
  </si>
  <si>
    <t>（役職名）</t>
    <rPh sb="1" eb="4">
      <t>ヤクショクメイ</t>
    </rPh>
    <phoneticPr fontId="1"/>
  </si>
  <si>
    <t>教授</t>
    <rPh sb="0" eb="2">
      <t>キョウジュ</t>
    </rPh>
    <phoneticPr fontId="1"/>
  </si>
  <si>
    <t>④</t>
    <phoneticPr fontId="1"/>
  </si>
  <si>
    <t>プログラムを改善・進化させるための体制（委員会・組織等）</t>
    <phoneticPr fontId="1"/>
  </si>
  <si>
    <t>カリキュラム改革推進本部ＩＣＴ関連科目授業運営部会</t>
    <rPh sb="6" eb="8">
      <t>カイカク</t>
    </rPh>
    <rPh sb="8" eb="10">
      <t>スイシン</t>
    </rPh>
    <rPh sb="10" eb="12">
      <t>ホンブ</t>
    </rPh>
    <rPh sb="15" eb="17">
      <t>カンレン</t>
    </rPh>
    <rPh sb="17" eb="19">
      <t>カモク</t>
    </rPh>
    <rPh sb="19" eb="25">
      <t>ジュギョウウンエイブカイ</t>
    </rPh>
    <phoneticPr fontId="1"/>
  </si>
  <si>
    <t>小嶋　茂稔</t>
    <rPh sb="0" eb="2">
      <t>コジマ</t>
    </rPh>
    <rPh sb="3" eb="5">
      <t>シゲトシ</t>
    </rPh>
    <phoneticPr fontId="1"/>
  </si>
  <si>
    <t>副学長</t>
    <rPh sb="0" eb="3">
      <t>フクガクチョウ</t>
    </rPh>
    <phoneticPr fontId="1"/>
  </si>
  <si>
    <t>⑤</t>
    <phoneticPr fontId="1"/>
  </si>
  <si>
    <t>プログラムを改善・進化させるための体制を定める規則名称</t>
    <phoneticPr fontId="1"/>
  </si>
  <si>
    <t>国立大学法人東京学芸大学カリキュラム改革推進本部ＩＣＴ関連科目授業運営部会要項</t>
    <rPh sb="0" eb="6">
      <t>コクリツダイガクホウジン</t>
    </rPh>
    <rPh sb="6" eb="12">
      <t>トウキョウガクゲイダイガク</t>
    </rPh>
    <rPh sb="37" eb="39">
      <t>ヨウコウ</t>
    </rPh>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</si>
  <si>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</si>
  <si>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</si>
  <si>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</si>
  <si>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</si>
  <si>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小嶋　茂稔（副学長（学部教育・連合大学院担当））
佐々木　幸寿（理事・副学長（教育・研究担当））
竹内　伸子（ICT／情報基盤センター長、自然科学系　教授）
櫨山　淳雄（自然科学系　教授）
南葉　宗弘（自然科学系　准教授）
登本　洋子（教職大学院　准教授）
加藤　直樹（ICT／情報基盤センター　教授）
木村　守（人文社会科学系長　教授、カリキュラム改革推進本部員）
堀田　龍也（学長特別補佐、教職大学院　教授）
西村　圭一（学長補佐、教職大学院　教授）
山下　雅代（先端教育人材育成推進機構　准教授）
後藤　智和（学務課長）</t>
    <rPh sb="69" eb="74">
      <t>シゼンカガクケイ</t>
    </rPh>
    <rPh sb="75" eb="77">
      <t>キョウジュ</t>
    </rPh>
    <rPh sb="101" eb="105">
      <t>シゼンカガク</t>
    </rPh>
    <rPh sb="105" eb="106">
      <t>ケイ</t>
    </rPh>
    <rPh sb="107" eb="110">
      <t>ジュンキョウジュ</t>
    </rPh>
    <rPh sb="118" eb="123">
      <t>キョウショクダイガクイン</t>
    </rPh>
    <rPh sb="124" eb="127">
      <t>ジュンキョウジュ</t>
    </rPh>
    <rPh sb="148" eb="150">
      <t>キョウジュ</t>
    </rPh>
    <rPh sb="166" eb="168">
      <t>キョウジュ</t>
    </rPh>
    <rPh sb="203" eb="205">
      <t>キョウジュ</t>
    </rPh>
    <rPh sb="224" eb="226">
      <t>キョウジュ</t>
    </rPh>
    <rPh sb="247" eb="250">
      <t>ジュンキョウジュ</t>
    </rPh>
    <rPh sb="258" eb="262">
      <t>ガクムカチョウ</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</si>
  <si>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</si>
  <si>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</si>
  <si>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令和６年度実績</t>
    <rPh sb="0" eb="2">
      <t>レイワ</t>
    </rPh>
    <rPh sb="3" eb="5">
      <t>ネンド</t>
    </rPh>
    <rPh sb="5" eb="7">
      <t>ジッセキ</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</si>
  <si>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</si>
  <si>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</si>
  <si>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</si>
  <si>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令和１０年度予定</t>
    <rPh sb="0" eb="2">
      <t>レイワ</t>
    </rPh>
    <rPh sb="4" eb="6">
      <t>ネンド</t>
    </rPh>
    <rPh sb="6" eb="8">
      <t>ヨテイ</t>
    </rPh>
    <phoneticPr fontId="1"/>
  </si>
  <si>
    <t>収容定員（名）</t>
    <rPh sb="0" eb="4">
      <t>シュウヨウテイイン</t>
    </rPh>
    <rPh sb="5" eb="6">
      <t>メイ</t>
    </rPh>
    <phoneticPr fontId="1"/>
  </si>
  <si>
    <t>具体的な計画</t>
    <rPh sb="0" eb="3">
      <t>グタイテキ</t>
    </rPh>
    <rPh sb="4" eb="6">
      <t>ケイカク</t>
    </rPh>
    <phoneticPr fontId="1"/>
  </si>
  <si>
    <t>令和５年度のカリキュラムより学部学生全員の必修科目としているため、学年進行の完成
年度（令和８年度）には履修率は100%となる予定である。</t>
  </si>
  <si>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</si>
  <si>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</si>
  <si>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「ＡＩ時代の情報」は、教育職員免許法施行規則第66条の6に定める科目「数理、データ活用及び人工知能に関する科目　又は　情報機器の操作」に該当する科目として、従来、科目区分「教養科目」の必修科目として設定していた「情報」の授業を、今回の教育プログラムに合わせて教授内容を改善したものであり、令和５年度以降も引き続き全学の必修科目として卒業要件に含めているものである。
「教育のためのデータサイエンス」は、令和５年度に本学が「教員養成フラッグシップ大学」の指定を受けたことで新設した科目区分「教育創成科目」の必修科目として設定しており、全学の必修科目として卒業要件に含めているものである。</t>
    <rPh sb="3" eb="5">
      <t>ジダイ</t>
    </rPh>
    <rPh sb="6" eb="8">
      <t>ジョウホウ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</si>
  <si>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</si>
  <si>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</si>
  <si>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「ＡＩ時代の情報」及び「教育のためのデータサイエンス」は必修科目であるため、必ず標準開設学期に履修するよう履修指導を行っている。</t>
  </si>
  <si>
    <t>⑪</t>
    <phoneticPr fontId="1"/>
  </si>
  <si>
    <t>できる限り多くの学生が履修・修得できるようなサポート体制</t>
    <rPh sb="26" eb="28">
      <t>タイセイ</t>
    </rPh>
    <phoneticPr fontId="1"/>
  </si>
  <si>
    <t>ＩＣＴ関連科目授業運営部会では「情報アシスタント制度」を運用しており、本学学部生・大学院生を面接を経て情報アシスタントとして任命し、「ＡＩ時代の情報」等のICT関連科目の授業補助を実施している。
⑫に記載の授業補助を行い、授業についていけない学生をできる限り少なくするようサポート体制を整えている。
また、「教育のためのデータサイエンス」では、授業にTAを配置し、授業についていけない学生を少なくするサポートを行うとともに、試験的にＡＩフィードバックの仕組みを取り入れており、受講生がＡＩとの対話をとおして主体的に授業の振り返り、学習状況への客観的な自己評価および復習を行えるような体制を整えている。</t>
  </si>
  <si>
    <t>⑫</t>
    <phoneticPr fontId="1"/>
  </si>
  <si>
    <t>授業時間内外で学習指導、質問を受け付ける具体的な仕組み</t>
    <rPh sb="20" eb="23">
      <t>グタイテキ</t>
    </rPh>
    <phoneticPr fontId="1"/>
  </si>
  <si>
    <t>情報アシスタント制度の授業補助の内容として、授業中の質問対応や演習補助を含んでいるため、受講者をリアルタイムでサポートできる仕組みとなっている。
また、授業期間中は附属図書館に相談窓口を設置し、情報アシスタントが相談業務に当たっており、さらに年間をとおしてオンライン相談窓口も設けているため、授業時間外であっても受講生をサポートできる仕組みとなっている。</t>
  </si>
  <si>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</si>
  <si>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</si>
  <si>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</si>
  <si>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</si>
  <si>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カリキュラム改革推進本部ＩＣＴ関連科目授業運営部会</t>
    <phoneticPr fontId="1"/>
  </si>
  <si>
    <t>小嶋　茂稔</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</si>
  <si>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</si>
  <si>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</si>
  <si>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</si>
  <si>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</si>
  <si>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</si>
  <si>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ＡＩ時代の情報」は令和５年度より１年生の必修科目として開設した。令和５年度の１年生の履修率はほぼ100%（1,054人中1,053人が履修）であり、単位修得率は96.1%（1,053人中1,012人が合格）であった。また、令和６年度の１年生の履修率もほぼ100%（1,061人中1,059人が履修）であり、単位修得率は96.6%（1,059人中1,023人が合格）であった。
「教育のためのデータサイエンス」は令和６年度より２年生の必修科目として開設した。令和６年度の２年生の履修率は97.9%（1,054人中1,032人が履修）であり、単位修得率は93.7%（1,032人中967人が合格）であった。
プログラム（リテラシーレベル）の履修・修得状況として、「ＡＩ時代の情報」および「教育のためのデータサイエンス」の両方を履修した人数（令和５年度入学生）の割合は97.9%（1,054人中1,032人）であった。そのうち両科目を修得した人数の割合は93.2%（1,032人中962人）であった。
プログラムが発足し、２年目で初めて修了者が出たところであるが、令和５年度入学生1,054人のうち、プログラム修了者数は962人で、現在のところ修了率は91.2%となっている。両科目とも卒業に必要な単位として設定しているため、令和５年度入学生が卒業する際には、プログラム（リテラシーレベル）修了率は100%となる。</t>
    <phoneticPr fontId="1"/>
  </si>
  <si>
    <t>学修成果</t>
    <rPh sb="0" eb="2">
      <t>ガクシュウ</t>
    </rPh>
    <rPh sb="2" eb="4">
      <t>セイカ</t>
    </rPh>
    <phoneticPr fontId="1"/>
  </si>
  <si>
    <t>「ＡＩ時代の情報」「教育のためのデータサイエンス」のいずれについても、受講者全員による授業評価アンケートを実施しており、回答項目のうち「授業の目標に応じた知識や能力が身についた。」という問いに対して、いずれの科目においても70%以上が「とてもそう思う」・「そう思う」と回答したことから、大半の学生は授業で身につけるべき能力を修得したと評価できる。</t>
  </si>
  <si>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</si>
  <si>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修成果」欄で記載した内容に加え、「授業の進む速さや内容の量は適切だった。」という問いに対して、いずれの科目も65%以上が「とてもそう思う」・「そう思う」と回答した。比較的高い数値だと評価できるが、授業の進行速度や授業で扱う資料などを見直し、70%以上の学生が理解できたと感じられるよう工夫していきたい。</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</si>
  <si>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</si>
  <si>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「ＡＩ時代の情報」「教育のためのデータサイエンス」は必修科目であるため、受講者から他の学生への推奨を必要としない。</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</si>
  <si>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</si>
  <si>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</si>
  <si>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</si>
  <si>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</si>
  <si>
    <t>数理・データサイエンス・ＡＩを「学ぶ楽しさ」「学ぶことの意義」を理解させること</t>
  </si>
  <si>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</si>
  <si>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５年度カリキュラム以降、「ＡＩ時代の情報」は１年次生の必修科目であり、「教育のためのデータサイエンス」は２年次生の必修科目であるため、カリキュラムの完成年度である令和８年度以降においては、全学生にとっての必修科目となる。</t>
    <phoneticPr fontId="1"/>
  </si>
  <si>
    <r>
      <rPr>
        <sz val="12"/>
        <color rgb="FF000000"/>
        <rFont val="ＭＳ Ｐゴシック"/>
        <family val="2"/>
        <scheme val="minor"/>
      </rPr>
      <t>本学では近接する小金井市・国分寺市・小平市で「東京学芸大学・３市連携ＩＴ活用コンソーシアム」を形成しており、教育現場におけるニーズを確認した上で</t>
    </r>
    <r>
      <rPr>
        <sz val="12"/>
        <rFont val="ＭＳ Ｐゴシック"/>
        <family val="3"/>
        <charset val="128"/>
        <scheme val="minor"/>
      </rPr>
      <t>、</t>
    </r>
    <r>
      <rPr>
        <sz val="12"/>
        <rFont val="ＭＳ Ｐゴシック"/>
        <family val="3"/>
        <charset val="128"/>
      </rPr>
      <t>教育人材</t>
    </r>
    <r>
      <rPr>
        <sz val="12"/>
        <rFont val="ＭＳ Ｐゴシック"/>
        <family val="3"/>
        <charset val="128"/>
        <scheme val="minor"/>
      </rPr>
      <t>養</t>
    </r>
    <r>
      <rPr>
        <sz val="12"/>
        <color rgb="FF000000"/>
        <rFont val="ＭＳ Ｐゴシック"/>
        <family val="2"/>
        <scheme val="minor"/>
      </rPr>
      <t>成により適したプログラムとなるよう反映させていくことを予定している。
また、データサイエンス分野に関して、さいたま市教育委員会と連携し、先導的教育プログラム研究開発に参画するとともに、一部の教材を教員研修へ提供している。教育現場でのデータサイエンスの活用状況や課題を確認しながら、教育人材育成に必要なプログラムになっているかどうかを確認し、問題があればブラッシュアップをかけていくことを予定している。</t>
    </r>
    <rPh sb="125" eb="127">
      <t>ブンヤ</t>
    </rPh>
    <phoneticPr fontId="1"/>
  </si>
  <si>
    <r>
      <t xml:space="preserve">令和７年度入学試験より大学入学共通テストにて「情報Ⅰ」が実施され、本学の一般入試では教育学部全課程において必須としているため、高等学校での「情報Ⅰ」の習得状況を加味した上で、アンケート調査などを活用し、教授内容や難易度設定を都度見直していくことを検討している。
</t>
    </r>
    <r>
      <rPr>
        <sz val="12"/>
        <rFont val="ＭＳ Ｐゴシック"/>
        <family val="3"/>
        <charset val="128"/>
      </rPr>
      <t>また、「AI時代の情報」「教育のためのデータサイエンス」の教授内容は、先端教育人材育成推進機構データ駆動型教育創成ユニットにおいて研究も実施しており、その成果をもとに技術の発展に合わせるなど専門性も担保していく。</t>
    </r>
    <phoneticPr fontId="1"/>
  </si>
  <si>
    <t>・ビッグデータ、IoT、AI、生成AI、計算機の処理性能の向上、第4 次産業革命、Society 5.0、データ駆動型社会　「AI時代の情報」（4回目）</t>
    <rPh sb="65" eb="67">
      <t>ジダイ</t>
    </rPh>
    <rPh sb="68" eb="70">
      <t>ジョウホウ</t>
    </rPh>
    <rPh sb="73" eb="74">
      <t>カイ</t>
    </rPh>
    <rPh sb="74" eb="75">
      <t xml:space="preserve">メ </t>
    </rPh>
    <phoneticPr fontId="1"/>
  </si>
  <si>
    <t>・AI最新技術の活用例　「AI時代の情報」（12回目）</t>
    <rPh sb="15" eb="17">
      <t>ジダイ</t>
    </rPh>
    <rPh sb="18" eb="20">
      <t>ジョウホウ</t>
    </rPh>
    <rPh sb="24" eb="26">
      <t>カイ</t>
    </rPh>
    <phoneticPr fontId="1"/>
  </si>
  <si>
    <t>・情報セキュリティの3要素　「AI時代の情報」（4回目）
・アクセス制御　「AI時代の情報」（3回目）
・暗号化と復号、悪意ある情報搾取　「AI時代の情報」（2回目）
・ユーザ認証、パスワード　「AI時代の情報」（1回目）</t>
    <rPh sb="43" eb="45">
      <t>ジョウホウ</t>
    </rPh>
    <rPh sb="49" eb="50">
      <t xml:space="preserve">メ </t>
    </rPh>
    <phoneticPr fontId="1"/>
  </si>
  <si>
    <t>・調査データ、実験データ、人の行動ログデータ、機械の稼働ログデータ、1次データ、2次データ　「ＡＩ時代の情報」（10回目）
・データのオープン化　「教育のためのデータサイエンス」（2回目）</t>
    <rPh sb="59" eb="60">
      <t>👁️</t>
    </rPh>
    <rPh sb="74" eb="76">
      <t>キョウイｋウ</t>
    </rPh>
    <rPh sb="91" eb="93">
      <t>カイ</t>
    </rPh>
    <phoneticPr fontId="1"/>
  </si>
  <si>
    <t>・データ・AI活用領域の広がり、生成AIの応用　「AI時代の情報」（4回目）
・マルチモーダル、生成AIの活用　「AI時代の情報」（12回目）
・仮説検証、知識発見、原因究明　「教育のためのデータサイエンス」（1,3,5回目）</t>
    <rPh sb="53" eb="55">
      <t>ジダイ</t>
    </rPh>
    <rPh sb="56" eb="58">
      <t>ジョウホウ</t>
    </rPh>
    <rPh sb="89" eb="91">
      <t>キョウイｋウ</t>
    </rPh>
    <rPh sb="110" eb="112">
      <t>カイ</t>
    </rPh>
    <phoneticPr fontId="1"/>
  </si>
  <si>
    <t>・倫理的・法的・社会的課題、個人情報保護、忘れられる権利、オプトアウト、データ倫理　「AI時代の情報」（4回目）
・AI社会原則、生成AIの留意事項　「AI時代の情報」（12回目）　「教育のためのデータサイエンス」（7回目）</t>
    <rPh sb="45" eb="47">
      <t>ジダイ</t>
    </rPh>
    <rPh sb="48" eb="50">
      <t>ジョウホウ</t>
    </rPh>
    <rPh sb="53" eb="55">
      <t>カイ</t>
    </rPh>
    <rPh sb="60" eb="64">
      <t>シャカイ</t>
    </rPh>
    <rPh sb="69" eb="71">
      <t>ジダイ</t>
    </rPh>
    <rPh sb="72" eb="74">
      <t>ジョウホウ</t>
    </rPh>
    <rPh sb="78" eb="79">
      <t>カ_x0000_</t>
    </rPh>
    <rPh sb="109" eb="110">
      <t>A_x0002_
Z</t>
    </rPh>
    <phoneticPr fontId="1"/>
  </si>
  <si>
    <t>・データの種類、データの分布(ヒストグラム)と代表値、代表値の性質の違い　「AI時代の情報」（10回目）　「教育のためのデータサイエンス」（1,2回目）
・データのばらつき、外れ値　「AI時代の情報」（10回目）　「教育のためのデータサイエンス」（1,2,4,5回目）
・相関と因果　「AI時代の情報」（10回目）　「教育のためのデータサイエンス」（1,2,4回目）
・観測データに含まれる誤差の扱い、打ち切りや欠測脱落を含むデータ、層別の必要なデータ　「AI時代の情報」（10回目）「教育のためのデータサイエンス」（5回目）
・母集団と標本抽出　「ＡＩ時代の情報」（11回目）
・統計情報の正しい理解　「AI時代の情報」（10回目）　「教育のためのデータサイエンス」（2回目）
・優れた可視化事例の紹介　「教育のためのデータサイエンス」（2,4回目）</t>
    <rPh sb="54" eb="56">
      <t>キョウイクノテ</t>
    </rPh>
    <rPh sb="73" eb="75">
      <t>カイ</t>
    </rPh>
    <rPh sb="113" eb="115">
      <t>キョウイｋウ</t>
    </rPh>
    <rPh sb="137" eb="139">
      <t>カイ</t>
    </rPh>
    <rPh sb="228" eb="230">
      <t>キョウイｋウ</t>
    </rPh>
    <phoneticPr fontId="1"/>
  </si>
  <si>
    <t>・データ表現　「AI時代の情報」（10回目）　「教育のためのデータサイエンス」（2,4,5回目）
・データの比較　「ＡＩ時代の情報」（11回目）　「教育のためのデータサイエンス」（3回目）
・不適切なグラフ表現　「AI時代の情報」（10回目）　「教育のためのデータサイエンス」（2回目）
・相手に的確かつ正確に情報を伝える技術や考え方　「AI時代の情報」（9回目）</t>
    <rPh sb="34" eb="37">
      <t>カシカ</t>
    </rPh>
    <rPh sb="67" eb="69">
      <t>ジダイ</t>
    </rPh>
    <rPh sb="76" eb="110">
      <t>ブンセキ</t>
    </rPh>
    <phoneticPr fontId="1"/>
  </si>
  <si>
    <t>・データの取得　「AI時代の情報」（10回目）　「教育のためのデータサイエンス」（3,5回目）
・データの集計　「AI時代の情報」（10回目）　「教育のためのデータサイエンス」（2,4回目）
・データの並び替え、ランキング　「AI時代の情報」（10回目）
・データ解析ツール　「AI時代の情報」（10回目）　「教育のためのデータサイエンス」（4回目）
・表形式のデータ　「AI時代の情報」（10回目）　「教育のためのデータサイエンス」（5回目）</t>
    <phoneticPr fontId="1"/>
  </si>
  <si>
    <t>・データ可視化　「AI時代の情報」（10回目）
・特化型AIと汎用AI、今のAIで出来ることと出来ないこと、AIとビッグデータ　「AI時代の情報」（4回目）
・データ解析、パターン発見、最適化、モデル化とシミュレーション　「教育のためのデータサイエンス」（5回目）</t>
    <rPh sb="112" eb="114">
      <t>キョウイｋウ</t>
    </rPh>
    <rPh sb="129" eb="131">
      <t>カイ</t>
    </rPh>
    <phoneticPr fontId="1"/>
  </si>
  <si>
    <t>本プログラムは令和５年度入学生から開始したため、プログラムを修了した卒業生はまだおらず、令和９年３月卒業生が初めてプログラム修了者＝卒業生となる。
一方、本学では卒業後の追跡調査を定期的に実施しており、過去の卒業生からは大学生活の中で身につけておきたかった能力として「ＩＣＴを活用する力」という意見も一定数あったため、プログラム修了者が調査対象となった際は「身につけることができた」と評価されることを期待するとともに、卒業生の意見を踏まえ授業改善を検討したい。</t>
    <phoneticPr fontId="1"/>
  </si>
  <si>
    <t>本学では、学生が自身の学習履歴を振り返る仕組みとして「TGUポートフォリオ」というシステムを導入しており、その中で必修２科目を修得した学生に対してはプログラムを修了した旨を表示し、プログラムの履修をとおして得られたスキル等を可視化できるよう計画している（令和７年度内実装予定）。今回の申請が認められた場合は、「MDASHリテラシーレベル」を修得した旨、マークを含めて可視化できるようにしたい。
また、「教育のためのデータサイエンス」においては、シミュレータ等を開発し、大規模ハイブリッド講義においても自分でデータを取り分析する学習活動を取り入れ、主体的な学びとなるよう工夫しているものの、グループ活動の方法については課題もあり、今後検討をしていく。
加えて、ＡＩを用いたフィードバックを学生一人一人に返し、個別最適な学びを促しているものの、一部の学生から「長すぎる」などの不満の声も上がっている。そうした不満の解消に向け、個々人の好みに応じたフィードバックを返せるよう、プロンプトの選択ができるようにシステムを改修する予定である。</t>
    <rPh sb="0" eb="2">
      <t>ホンガク</t>
    </rPh>
    <rPh sb="202" eb="204">
      <t>キョウイク</t>
    </rPh>
    <phoneticPr fontId="1"/>
  </si>
  <si>
    <t>数理・データサイエンス・ＡＩ教育プログラム（リテラシーレベル）</t>
    <rPh sb="0" eb="2">
      <t>スウリ</t>
    </rPh>
    <rPh sb="14" eb="16">
      <t>キョウイク</t>
    </rPh>
    <phoneticPr fontId="1"/>
  </si>
  <si>
    <t>本学カリキュラムにおけるICT関連科目の授業運営の円滑化に資するため、専門的事項について検討を行い、もって本学カリキュラムの充実に寄与することを目的とする。
上記目的を達成するため、「数理・データサイエンス・ＡＩ教育プログラム（リテラシーレベル）」においては、以下に掲げる業務を行う。
①当該プログラムを構成する授業科目の運営、改善等に関する事項を検討する。
②当該プログラムの点検及び評価を行い、その結果を公表する。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</si>
</sst>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2"/>
      <name val="ＭＳ Ｐゴシック"/>
      <family val="3"/>
      <charset val="128"/>
    </font>
    <font>
      <sz val="12"/>
      <color theme="1"/>
      <name val="ＭＳ Ｐゴシック"/>
      <family val="2"/>
      <scheme val="minor"/>
    </font>
    <font>
      <sz val="12"/>
      <color rgb="FF000000"/>
      <name val="ＭＳ Ｐゴシック"/>
      <family val="3"/>
      <charset val="128"/>
    </font>
    <font>
      <sz val="12"/>
      <color theme="9"/>
      <name val="ＭＳ Ｐゴシック"/>
      <family val="2"/>
      <charset val="128"/>
      <scheme val="minor"/>
    </font>
    <font>
      <sz val="12"/>
      <color rgb="FF000000"/>
      <name val="ＭＳ Ｐゴシック"/>
      <family val="2"/>
      <scheme val="minor"/>
    </font>
    <font>
      <sz val="12"/>
      <name val="ＭＳ Ｐゴシック"/>
      <family val="2"/>
      <charset val="128"/>
      <scheme val="minor"/>
    </font>
    <font>
      <sz val="9"/>
      <name val="ＭＳ Ｐゴシック"/>
      <family val="3"/>
      <charset val="128"/>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right style="thin">
        <color rgb="FF000000"/>
      </right>
      <top style="hair">
        <color indexed="64"/>
      </top>
      <bottom style="hair">
        <color indexed="64"/>
      </bottom>
      <diagonal/>
    </border>
    <border>
      <left/>
      <right style="thin">
        <color rgb="FF000000"/>
      </right>
      <top style="thin">
        <color indexed="64"/>
      </top>
      <bottom/>
      <diagonal/>
    </border>
    <border>
      <left/>
      <right style="thin">
        <color rgb="FF000000"/>
      </right>
      <top/>
      <bottom/>
      <diagonal/>
    </border>
    <border>
      <left style="thin">
        <color indexed="64"/>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3" fillId="0" borderId="1" xfId="0" applyFont="1" applyBorder="1">
      <alignment vertical="center"/>
    </xf>
    <xf numFmtId="0" fontId="16" fillId="0" borderId="20" xfId="0" applyFont="1" applyBorder="1" applyAlignment="1">
      <alignment horizontal="center" vertical="center" shrinkToFit="1"/>
    </xf>
    <xf numFmtId="0" fontId="11" fillId="0" borderId="20" xfId="0" applyFont="1" applyBorder="1" applyAlignment="1">
      <alignment horizontal="center"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19" fillId="0" borderId="29" xfId="0" applyNumberFormat="1" applyFont="1" applyBorder="1" applyAlignment="1">
      <alignment horizontal="left" vertical="center" wrapText="1"/>
    </xf>
    <xf numFmtId="49" fontId="20" fillId="0" borderId="31" xfId="0" applyNumberFormat="1" applyFont="1" applyBorder="1" applyAlignment="1">
      <alignment horizontal="left" vertical="center" wrapText="1"/>
    </xf>
    <xf numFmtId="49" fontId="20" fillId="0" borderId="30" xfId="0" applyNumberFormat="1" applyFont="1" applyBorder="1" applyAlignment="1">
      <alignment horizontal="left" vertical="center" wrapText="1"/>
    </xf>
    <xf numFmtId="49" fontId="19" fillId="0" borderId="32" xfId="0" applyNumberFormat="1" applyFont="1" applyBorder="1" applyAlignment="1">
      <alignment horizontal="left" vertical="center" wrapText="1"/>
    </xf>
    <xf numFmtId="49" fontId="20" fillId="0" borderId="33" xfId="0" applyNumberFormat="1" applyFont="1" applyBorder="1" applyAlignment="1">
      <alignment horizontal="left" vertical="center"/>
    </xf>
    <xf numFmtId="49" fontId="20" fillId="0" borderId="34" xfId="0" applyNumberFormat="1" applyFont="1" applyBorder="1" applyAlignment="1">
      <alignment horizontal="left" vertical="center"/>
    </xf>
    <xf numFmtId="49" fontId="20" fillId="0" borderId="31" xfId="0" applyNumberFormat="1" applyFont="1" applyBorder="1" applyAlignment="1">
      <alignment horizontal="left" vertical="center"/>
    </xf>
    <xf numFmtId="49" fontId="20" fillId="0" borderId="30"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2" fillId="0" borderId="0" xfId="0" applyFont="1" applyAlignment="1">
      <alignment vertical="center" wrapTex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18" fillId="0" borderId="18" xfId="0" applyFont="1" applyBorder="1" applyAlignment="1">
      <alignment vertical="center" shrinkToFit="1"/>
    </xf>
    <xf numFmtId="0" fontId="2" fillId="0" borderId="0" xfId="0" applyFont="1" applyAlignment="1">
      <alignment horizontal="right"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15" fillId="0" borderId="7" xfId="0" applyFont="1" applyBorder="1" applyAlignment="1">
      <alignment vertical="top" wrapText="1"/>
    </xf>
    <xf numFmtId="0" fontId="15" fillId="0" borderId="8" xfId="0" applyFont="1" applyBorder="1" applyAlignment="1">
      <alignment vertical="top" wrapText="1"/>
    </xf>
    <xf numFmtId="0" fontId="15" fillId="0" borderId="50" xfId="0" applyFont="1" applyBorder="1" applyAlignment="1">
      <alignment vertical="top" wrapText="1"/>
    </xf>
    <xf numFmtId="0" fontId="15" fillId="0" borderId="5" xfId="0" applyFont="1" applyBorder="1" applyAlignment="1">
      <alignment vertical="top" wrapText="1"/>
    </xf>
    <xf numFmtId="0" fontId="15" fillId="0" borderId="0" xfId="0" applyFont="1" applyAlignment="1">
      <alignment vertical="top" wrapText="1"/>
    </xf>
    <xf numFmtId="0" fontId="15" fillId="0" borderId="51" xfId="0" applyFont="1" applyBorder="1" applyAlignment="1">
      <alignment vertical="top" wrapText="1"/>
    </xf>
    <xf numFmtId="0" fontId="15" fillId="0" borderId="52" xfId="0" applyFont="1" applyBorder="1" applyAlignment="1">
      <alignment vertical="top" wrapText="1"/>
    </xf>
    <xf numFmtId="0" fontId="15" fillId="0" borderId="53" xfId="0" applyFont="1" applyBorder="1" applyAlignment="1">
      <alignment vertical="top" wrapText="1"/>
    </xf>
    <xf numFmtId="0" fontId="15" fillId="0" borderId="54" xfId="0" applyFont="1" applyBorder="1" applyAlignment="1">
      <alignmen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4"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7" xfId="0" applyFont="1" applyBorder="1" applyAlignment="1">
      <alignment vertical="top" wrapText="1"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14" fillId="0" borderId="33"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17"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5" fillId="0" borderId="18" xfId="0" applyFont="1" applyBorder="1" applyAlignment="1">
      <alignment vertical="top" wrapText="1"/>
    </xf>
    <xf numFmtId="0" fontId="15" fillId="0" borderId="19" xfId="0" applyFont="1" applyBorder="1" applyAlignment="1">
      <alignment vertical="top" wrapText="1"/>
    </xf>
    <xf numFmtId="0" fontId="15" fillId="0" borderId="49" xfId="0" applyFont="1" applyBorder="1" applyAlignment="1">
      <alignment vertical="top" wrapText="1"/>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Yamashita Masayo" id="{AF459B49-42A5-4C1F-990A-52AA88675458}" userId="S::yama11@u-gakugei.ac.jp::a433aed4-cc25-4c2d-bd06-d965372d833d"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0" dT="2025-04-09T00:52:37.00" personId="{AF459B49-42A5-4C1F-990A-52AA88675458}" id="{4792681F-6EAB-4C82-967D-6A9D63ED08F0}">
    <text>記述があるので大丈夫かと思いますが、教育のためのＤＳのほうは、さいたま市教育委員会と連携し、教育ダッシュボード活用の取り組みから、教育データの疑似化・教材化を行い、反映させていくことを予定しています。</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C3" sqref="C3:J3"/>
    </sheetView>
  </sheetViews>
  <sheetFormatPr defaultColWidth="9" defaultRowHeight="18.75" customHeight="1" x14ac:dyDescent="0.15"/>
  <cols>
    <col min="1" max="1" width="2.375" style="1" customWidth="1"/>
    <col min="2" max="2" width="16.375" style="1" customWidth="1"/>
    <col min="3" max="21" width="5.375" style="1" customWidth="1"/>
    <col min="22" max="22" width="9" style="1"/>
    <col min="23" max="23" width="3.375" style="1" customWidth="1"/>
    <col min="24" max="24" width="48.375" style="1" hidden="1" customWidth="1"/>
    <col min="25" max="26" width="9" style="1"/>
    <col min="27" max="27" width="9" style="1" hidden="1" customWidth="1"/>
    <col min="28" max="16384" width="9" style="1"/>
  </cols>
  <sheetData>
    <row r="1" spans="1:24" ht="18.600000000000001" customHeight="1" x14ac:dyDescent="0.15">
      <c r="T1" s="126" t="s">
        <v>0</v>
      </c>
      <c r="U1" s="126"/>
      <c r="V1" s="2" t="s">
        <v>1</v>
      </c>
    </row>
    <row r="2" spans="1:24" ht="18.75" customHeight="1" x14ac:dyDescent="0.15">
      <c r="B2" s="17" t="s">
        <v>2</v>
      </c>
      <c r="C2" s="92" t="s">
        <v>3</v>
      </c>
      <c r="D2" s="93"/>
      <c r="E2" s="93"/>
      <c r="F2" s="93"/>
      <c r="G2" s="93"/>
      <c r="H2" s="93"/>
      <c r="I2" s="93"/>
      <c r="J2" s="94"/>
      <c r="K2" s="18"/>
      <c r="L2" s="6"/>
      <c r="M2" s="6"/>
      <c r="N2" s="6"/>
      <c r="O2" s="6"/>
      <c r="P2" s="6"/>
      <c r="Q2" s="6"/>
      <c r="R2" s="6"/>
      <c r="S2" s="6"/>
      <c r="T2" s="6"/>
      <c r="U2" s="6"/>
    </row>
    <row r="3" spans="1:24" ht="18.75" customHeight="1" x14ac:dyDescent="0.15">
      <c r="B3" s="17" t="s">
        <v>4</v>
      </c>
      <c r="C3" s="127" t="s">
        <v>194</v>
      </c>
      <c r="D3" s="128"/>
      <c r="E3" s="128"/>
      <c r="F3" s="128"/>
      <c r="G3" s="128"/>
      <c r="H3" s="128"/>
      <c r="I3" s="128"/>
      <c r="J3" s="129"/>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30" t="s">
        <v>5</v>
      </c>
      <c r="B5" s="130"/>
      <c r="C5" s="130"/>
      <c r="D5" s="130"/>
      <c r="E5" s="130"/>
      <c r="F5" s="130"/>
      <c r="G5" s="130"/>
      <c r="H5" s="130"/>
      <c r="I5" s="130"/>
      <c r="J5" s="130"/>
      <c r="K5" s="130"/>
      <c r="L5" s="130"/>
      <c r="M5" s="130"/>
      <c r="N5" s="130"/>
      <c r="O5" s="130"/>
      <c r="P5" s="130"/>
      <c r="Q5" s="130"/>
      <c r="R5" s="130"/>
      <c r="S5" s="130"/>
      <c r="T5" s="130"/>
      <c r="U5" s="130"/>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6</v>
      </c>
      <c r="B7" s="3"/>
      <c r="C7" s="3"/>
      <c r="D7" s="3"/>
      <c r="E7" s="3"/>
      <c r="F7" s="2"/>
      <c r="G7" s="2"/>
      <c r="H7" s="2"/>
      <c r="I7" s="2"/>
      <c r="J7" s="2"/>
      <c r="K7" s="2"/>
      <c r="L7" s="89" t="s">
        <v>7</v>
      </c>
      <c r="M7" s="90"/>
      <c r="N7" s="90"/>
      <c r="O7" s="90"/>
      <c r="P7" s="90"/>
      <c r="Q7" s="90"/>
      <c r="R7" s="90"/>
      <c r="S7" s="90"/>
      <c r="T7" s="90"/>
      <c r="U7" s="91"/>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3"/>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31" t="s">
        <v>10</v>
      </c>
      <c r="C15" s="132"/>
      <c r="D15" s="132"/>
      <c r="E15" s="132"/>
      <c r="F15" s="132"/>
      <c r="G15" s="132"/>
      <c r="H15" s="132"/>
      <c r="I15" s="132"/>
      <c r="J15" s="132"/>
      <c r="K15" s="132"/>
      <c r="L15" s="132"/>
      <c r="M15" s="132"/>
      <c r="N15" s="132"/>
      <c r="O15" s="132"/>
      <c r="P15" s="132"/>
      <c r="Q15" s="132"/>
      <c r="R15" s="132"/>
      <c r="S15" s="132"/>
      <c r="T15" s="132"/>
      <c r="U15" s="133"/>
      <c r="X15" s="1" t="s">
        <v>11</v>
      </c>
    </row>
    <row r="16" spans="1:24" ht="18" customHeight="1" x14ac:dyDescent="0.15">
      <c r="B16" s="134"/>
      <c r="C16" s="135"/>
      <c r="D16" s="135"/>
      <c r="E16" s="135"/>
      <c r="F16" s="135"/>
      <c r="G16" s="135"/>
      <c r="H16" s="135"/>
      <c r="I16" s="135"/>
      <c r="J16" s="135"/>
      <c r="K16" s="135"/>
      <c r="L16" s="135"/>
      <c r="M16" s="135"/>
      <c r="N16" s="135"/>
      <c r="O16" s="135"/>
      <c r="P16" s="135"/>
      <c r="Q16" s="135"/>
      <c r="R16" s="135"/>
      <c r="S16" s="135"/>
      <c r="T16" s="135"/>
      <c r="U16" s="136"/>
      <c r="X16" s="1" t="s">
        <v>12</v>
      </c>
    </row>
    <row r="17" spans="1:24" ht="18" customHeight="1" x14ac:dyDescent="0.15">
      <c r="B17" s="134"/>
      <c r="C17" s="135"/>
      <c r="D17" s="135"/>
      <c r="E17" s="135"/>
      <c r="F17" s="135"/>
      <c r="G17" s="135"/>
      <c r="H17" s="135"/>
      <c r="I17" s="135"/>
      <c r="J17" s="135"/>
      <c r="K17" s="135"/>
      <c r="L17" s="135"/>
      <c r="M17" s="135"/>
      <c r="N17" s="135"/>
      <c r="O17" s="135"/>
      <c r="P17" s="135"/>
      <c r="Q17" s="135"/>
      <c r="R17" s="135"/>
      <c r="S17" s="135"/>
      <c r="T17" s="135"/>
      <c r="U17" s="136"/>
      <c r="X17" s="1" t="s">
        <v>13</v>
      </c>
    </row>
    <row r="18" spans="1:24" ht="18" customHeight="1" x14ac:dyDescent="0.15">
      <c r="B18" s="134"/>
      <c r="C18" s="135"/>
      <c r="D18" s="135"/>
      <c r="E18" s="135"/>
      <c r="F18" s="135"/>
      <c r="G18" s="135"/>
      <c r="H18" s="135"/>
      <c r="I18" s="135"/>
      <c r="J18" s="135"/>
      <c r="K18" s="135"/>
      <c r="L18" s="135"/>
      <c r="M18" s="135"/>
      <c r="N18" s="135"/>
      <c r="O18" s="135"/>
      <c r="P18" s="135"/>
      <c r="Q18" s="135"/>
      <c r="R18" s="135"/>
      <c r="S18" s="135"/>
      <c r="T18" s="135"/>
      <c r="U18" s="136"/>
      <c r="X18" s="1" t="s">
        <v>14</v>
      </c>
    </row>
    <row r="19" spans="1:24" ht="18" customHeight="1" x14ac:dyDescent="0.15">
      <c r="B19" s="134"/>
      <c r="C19" s="135"/>
      <c r="D19" s="135"/>
      <c r="E19" s="135"/>
      <c r="F19" s="135"/>
      <c r="G19" s="135"/>
      <c r="H19" s="135"/>
      <c r="I19" s="135"/>
      <c r="J19" s="135"/>
      <c r="K19" s="135"/>
      <c r="L19" s="135"/>
      <c r="M19" s="135"/>
      <c r="N19" s="135"/>
      <c r="O19" s="135"/>
      <c r="P19" s="135"/>
      <c r="Q19" s="135"/>
      <c r="R19" s="135"/>
      <c r="S19" s="135"/>
      <c r="T19" s="135"/>
      <c r="U19" s="136"/>
    </row>
    <row r="20" spans="1:24" ht="18" customHeight="1" x14ac:dyDescent="0.15">
      <c r="B20" s="137"/>
      <c r="C20" s="138"/>
      <c r="D20" s="138"/>
      <c r="E20" s="138"/>
      <c r="F20" s="138"/>
      <c r="G20" s="138"/>
      <c r="H20" s="138"/>
      <c r="I20" s="138"/>
      <c r="J20" s="138"/>
      <c r="K20" s="138"/>
      <c r="L20" s="138"/>
      <c r="M20" s="138"/>
      <c r="N20" s="138"/>
      <c r="O20" s="138"/>
      <c r="P20" s="138"/>
      <c r="Q20" s="138"/>
      <c r="R20" s="138"/>
      <c r="S20" s="138"/>
      <c r="T20" s="138"/>
      <c r="U20" s="139"/>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15</v>
      </c>
      <c r="E22" s="76">
        <v>2</v>
      </c>
      <c r="F22" s="1" t="s">
        <v>16</v>
      </c>
      <c r="H22" s="19">
        <v>3</v>
      </c>
      <c r="I22" s="3" t="s">
        <v>17</v>
      </c>
      <c r="J22" s="3"/>
      <c r="K22" s="18"/>
      <c r="M22" s="18" t="s">
        <v>18</v>
      </c>
      <c r="N22" s="86" t="s">
        <v>12</v>
      </c>
      <c r="O22" s="87"/>
      <c r="P22" s="87"/>
      <c r="Q22" s="87"/>
      <c r="R22" s="87"/>
      <c r="S22" s="87"/>
      <c r="T22" s="87"/>
      <c r="U22" s="88"/>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21" t="s">
        <v>19</v>
      </c>
      <c r="B24" s="121"/>
      <c r="C24" s="121"/>
      <c r="D24" s="121"/>
      <c r="E24" s="121"/>
      <c r="F24" s="121"/>
      <c r="G24" s="121"/>
      <c r="H24" s="121"/>
      <c r="I24" s="121"/>
      <c r="J24" s="121"/>
      <c r="K24" s="121"/>
      <c r="L24" s="121"/>
      <c r="M24" s="121"/>
      <c r="N24" s="121"/>
      <c r="O24" s="121"/>
      <c r="P24" s="121"/>
      <c r="Q24" s="121"/>
      <c r="R24" s="121"/>
      <c r="S24" s="121"/>
      <c r="T24" s="121"/>
      <c r="U24" s="121"/>
    </row>
    <row r="25" spans="1:24" ht="18" customHeight="1" x14ac:dyDescent="0.15">
      <c r="A25" s="121"/>
      <c r="B25" s="121"/>
      <c r="C25" s="121"/>
      <c r="D25" s="121"/>
      <c r="E25" s="121"/>
      <c r="F25" s="121"/>
      <c r="G25" s="121"/>
      <c r="H25" s="121"/>
      <c r="I25" s="121"/>
      <c r="J25" s="121"/>
      <c r="K25" s="121"/>
      <c r="L25" s="121"/>
      <c r="M25" s="121"/>
      <c r="N25" s="121"/>
      <c r="O25" s="121"/>
      <c r="P25" s="121"/>
      <c r="Q25" s="121"/>
      <c r="R25" s="121"/>
      <c r="S25" s="121"/>
      <c r="T25" s="121"/>
      <c r="U25" s="121"/>
    </row>
    <row r="26" spans="1:24" ht="18" customHeight="1" x14ac:dyDescent="0.15">
      <c r="B26" s="92" t="s">
        <v>20</v>
      </c>
      <c r="C26" s="93"/>
      <c r="D26" s="93"/>
      <c r="E26" s="93"/>
      <c r="F26" s="94"/>
      <c r="G26" s="60" t="s">
        <v>21</v>
      </c>
      <c r="H26" s="61" t="s">
        <v>22</v>
      </c>
      <c r="I26" s="62" t="s">
        <v>23</v>
      </c>
      <c r="J26" s="62" t="s">
        <v>24</v>
      </c>
      <c r="K26" s="92" t="s">
        <v>20</v>
      </c>
      <c r="L26" s="93"/>
      <c r="M26" s="93"/>
      <c r="N26" s="93"/>
      <c r="O26" s="93"/>
      <c r="P26" s="93"/>
      <c r="Q26" s="94"/>
      <c r="R26" s="60" t="s">
        <v>21</v>
      </c>
      <c r="S26" s="61" t="s">
        <v>22</v>
      </c>
      <c r="T26" s="62" t="s">
        <v>23</v>
      </c>
      <c r="U26" s="62" t="s">
        <v>24</v>
      </c>
    </row>
    <row r="27" spans="1:24" ht="18" customHeight="1" x14ac:dyDescent="0.15">
      <c r="B27" s="115" t="s">
        <v>25</v>
      </c>
      <c r="C27" s="116"/>
      <c r="D27" s="116"/>
      <c r="E27" s="116"/>
      <c r="F27" s="117"/>
      <c r="G27" s="63">
        <v>2</v>
      </c>
      <c r="H27" s="63" t="s">
        <v>26</v>
      </c>
      <c r="I27" s="63" t="s">
        <v>26</v>
      </c>
      <c r="J27" s="63" t="s">
        <v>26</v>
      </c>
      <c r="K27" s="115"/>
      <c r="L27" s="116"/>
      <c r="M27" s="116"/>
      <c r="N27" s="116"/>
      <c r="O27" s="116"/>
      <c r="P27" s="116"/>
      <c r="Q27" s="117"/>
      <c r="R27" s="63"/>
      <c r="S27" s="63"/>
      <c r="T27" s="63"/>
      <c r="U27" s="63"/>
    </row>
    <row r="28" spans="1:24" ht="18" customHeight="1" x14ac:dyDescent="0.15">
      <c r="B28" s="109"/>
      <c r="C28" s="110"/>
      <c r="D28" s="110"/>
      <c r="E28" s="110"/>
      <c r="F28" s="111"/>
      <c r="G28" s="64"/>
      <c r="H28" s="64"/>
      <c r="I28" s="64"/>
      <c r="J28" s="64"/>
      <c r="K28" s="109"/>
      <c r="L28" s="110"/>
      <c r="M28" s="110"/>
      <c r="N28" s="110"/>
      <c r="O28" s="110"/>
      <c r="P28" s="110"/>
      <c r="Q28" s="111"/>
      <c r="R28" s="64"/>
      <c r="S28" s="64"/>
      <c r="T28" s="64"/>
      <c r="U28" s="64"/>
    </row>
    <row r="29" spans="1:24" ht="18" customHeight="1" x14ac:dyDescent="0.15">
      <c r="B29" s="109"/>
      <c r="C29" s="110"/>
      <c r="D29" s="110"/>
      <c r="E29" s="110"/>
      <c r="F29" s="111"/>
      <c r="G29" s="64"/>
      <c r="H29" s="64"/>
      <c r="I29" s="64"/>
      <c r="J29" s="64"/>
      <c r="K29" s="109"/>
      <c r="L29" s="110"/>
      <c r="M29" s="110"/>
      <c r="N29" s="110"/>
      <c r="O29" s="110"/>
      <c r="P29" s="110"/>
      <c r="Q29" s="111"/>
      <c r="R29" s="64"/>
      <c r="S29" s="64"/>
      <c r="T29" s="64"/>
      <c r="U29" s="64"/>
    </row>
    <row r="30" spans="1:24" ht="18" customHeight="1" x14ac:dyDescent="0.15">
      <c r="B30" s="109"/>
      <c r="C30" s="110"/>
      <c r="D30" s="110"/>
      <c r="E30" s="110"/>
      <c r="F30" s="111"/>
      <c r="G30" s="64"/>
      <c r="H30" s="64"/>
      <c r="I30" s="64"/>
      <c r="J30" s="64"/>
      <c r="K30" s="109"/>
      <c r="L30" s="110"/>
      <c r="M30" s="110"/>
      <c r="N30" s="110"/>
      <c r="O30" s="110"/>
      <c r="P30" s="110"/>
      <c r="Q30" s="111"/>
      <c r="R30" s="64"/>
      <c r="S30" s="64"/>
      <c r="T30" s="64"/>
      <c r="U30" s="64"/>
    </row>
    <row r="31" spans="1:24" ht="18" customHeight="1" x14ac:dyDescent="0.15">
      <c r="B31" s="109"/>
      <c r="C31" s="110"/>
      <c r="D31" s="110"/>
      <c r="E31" s="110"/>
      <c r="F31" s="111"/>
      <c r="G31" s="64"/>
      <c r="H31" s="64"/>
      <c r="I31" s="64"/>
      <c r="J31" s="64"/>
      <c r="K31" s="109"/>
      <c r="L31" s="110"/>
      <c r="M31" s="110"/>
      <c r="N31" s="110"/>
      <c r="O31" s="110"/>
      <c r="P31" s="110"/>
      <c r="Q31" s="111"/>
      <c r="R31" s="64"/>
      <c r="S31" s="64"/>
      <c r="T31" s="64"/>
      <c r="U31" s="64"/>
    </row>
    <row r="32" spans="1:24" ht="18" customHeight="1" x14ac:dyDescent="0.15">
      <c r="A32" s="3"/>
      <c r="B32" s="109"/>
      <c r="C32" s="110"/>
      <c r="D32" s="110"/>
      <c r="E32" s="110"/>
      <c r="F32" s="111"/>
      <c r="G32" s="64"/>
      <c r="H32" s="64"/>
      <c r="I32" s="64"/>
      <c r="J32" s="64"/>
      <c r="K32" s="109"/>
      <c r="L32" s="110"/>
      <c r="M32" s="110"/>
      <c r="N32" s="110"/>
      <c r="O32" s="110"/>
      <c r="P32" s="110"/>
      <c r="Q32" s="111"/>
      <c r="R32" s="64"/>
      <c r="S32" s="64"/>
      <c r="T32" s="64"/>
      <c r="U32" s="64"/>
    </row>
    <row r="33" spans="1:21" ht="18" customHeight="1" x14ac:dyDescent="0.15">
      <c r="A33" s="3"/>
      <c r="B33" s="112"/>
      <c r="C33" s="113"/>
      <c r="D33" s="113"/>
      <c r="E33" s="113"/>
      <c r="F33" s="114"/>
      <c r="G33" s="65"/>
      <c r="H33" s="65"/>
      <c r="I33" s="66"/>
      <c r="J33" s="66"/>
      <c r="K33" s="112"/>
      <c r="L33" s="113"/>
      <c r="M33" s="113"/>
      <c r="N33" s="113"/>
      <c r="O33" s="113"/>
      <c r="P33" s="113"/>
      <c r="Q33" s="114"/>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21" t="s">
        <v>27</v>
      </c>
      <c r="B35" s="121"/>
      <c r="C35" s="121"/>
      <c r="D35" s="121"/>
      <c r="E35" s="121"/>
      <c r="F35" s="121"/>
      <c r="G35" s="121"/>
      <c r="H35" s="121"/>
      <c r="I35" s="121"/>
      <c r="J35" s="121"/>
      <c r="K35" s="121"/>
      <c r="L35" s="121"/>
      <c r="M35" s="121"/>
      <c r="N35" s="121"/>
      <c r="O35" s="121"/>
      <c r="P35" s="121"/>
      <c r="Q35" s="121"/>
      <c r="R35" s="121"/>
      <c r="S35" s="121"/>
      <c r="T35" s="121"/>
      <c r="U35" s="121"/>
    </row>
    <row r="36" spans="1:21" ht="18" customHeight="1" x14ac:dyDescent="0.15">
      <c r="A36" s="121"/>
      <c r="B36" s="121"/>
      <c r="C36" s="121"/>
      <c r="D36" s="121"/>
      <c r="E36" s="121"/>
      <c r="F36" s="121"/>
      <c r="G36" s="121"/>
      <c r="H36" s="121"/>
      <c r="I36" s="121"/>
      <c r="J36" s="121"/>
      <c r="K36" s="121"/>
      <c r="L36" s="121"/>
      <c r="M36" s="121"/>
      <c r="N36" s="121"/>
      <c r="O36" s="121"/>
      <c r="P36" s="121"/>
      <c r="Q36" s="121"/>
      <c r="R36" s="121"/>
      <c r="S36" s="121"/>
      <c r="T36" s="121"/>
      <c r="U36" s="121"/>
    </row>
    <row r="37" spans="1:21" ht="18" customHeight="1" x14ac:dyDescent="0.15">
      <c r="B37" s="92" t="s">
        <v>20</v>
      </c>
      <c r="C37" s="93"/>
      <c r="D37" s="93"/>
      <c r="E37" s="93"/>
      <c r="F37" s="94"/>
      <c r="G37" s="60" t="s">
        <v>21</v>
      </c>
      <c r="H37" s="61" t="s">
        <v>22</v>
      </c>
      <c r="I37" s="62" t="s">
        <v>28</v>
      </c>
      <c r="J37" s="62" t="s">
        <v>29</v>
      </c>
      <c r="K37" s="92" t="s">
        <v>20</v>
      </c>
      <c r="L37" s="93"/>
      <c r="M37" s="93"/>
      <c r="N37" s="93"/>
      <c r="O37" s="93"/>
      <c r="P37" s="93"/>
      <c r="Q37" s="94"/>
      <c r="R37" s="60" t="s">
        <v>21</v>
      </c>
      <c r="S37" s="61" t="s">
        <v>22</v>
      </c>
      <c r="T37" s="62" t="s">
        <v>28</v>
      </c>
      <c r="U37" s="62" t="s">
        <v>29</v>
      </c>
    </row>
    <row r="38" spans="1:21" ht="18" customHeight="1" x14ac:dyDescent="0.15">
      <c r="B38" s="115" t="s">
        <v>25</v>
      </c>
      <c r="C38" s="116"/>
      <c r="D38" s="116"/>
      <c r="E38" s="116"/>
      <c r="F38" s="117"/>
      <c r="G38" s="63">
        <v>2</v>
      </c>
      <c r="H38" s="63" t="s">
        <v>26</v>
      </c>
      <c r="I38" s="63" t="s">
        <v>26</v>
      </c>
      <c r="J38" s="63" t="s">
        <v>26</v>
      </c>
      <c r="K38" s="115"/>
      <c r="L38" s="116"/>
      <c r="M38" s="116"/>
      <c r="N38" s="116"/>
      <c r="O38" s="116"/>
      <c r="P38" s="116"/>
      <c r="Q38" s="117"/>
      <c r="R38" s="63"/>
      <c r="S38" s="63"/>
      <c r="T38" s="63"/>
      <c r="U38" s="63"/>
    </row>
    <row r="39" spans="1:21" ht="18" customHeight="1" x14ac:dyDescent="0.15">
      <c r="B39" s="125" t="s">
        <v>30</v>
      </c>
      <c r="C39" s="119"/>
      <c r="D39" s="119"/>
      <c r="E39" s="119"/>
      <c r="F39" s="120"/>
      <c r="G39" s="85">
        <v>1</v>
      </c>
      <c r="H39" s="85" t="s">
        <v>26</v>
      </c>
      <c r="I39" s="85" t="s">
        <v>26</v>
      </c>
      <c r="J39" s="85" t="s">
        <v>26</v>
      </c>
      <c r="K39" s="109"/>
      <c r="L39" s="110"/>
      <c r="M39" s="110"/>
      <c r="N39" s="110"/>
      <c r="O39" s="110"/>
      <c r="P39" s="110"/>
      <c r="Q39" s="111"/>
      <c r="R39" s="64"/>
      <c r="S39" s="64"/>
      <c r="T39" s="64"/>
      <c r="U39" s="64"/>
    </row>
    <row r="40" spans="1:21" ht="18" customHeight="1" x14ac:dyDescent="0.15">
      <c r="B40" s="109"/>
      <c r="C40" s="110"/>
      <c r="D40" s="110"/>
      <c r="E40" s="110"/>
      <c r="F40" s="111"/>
      <c r="G40" s="64"/>
      <c r="H40" s="64"/>
      <c r="I40" s="64"/>
      <c r="J40" s="64"/>
      <c r="K40" s="109"/>
      <c r="L40" s="110"/>
      <c r="M40" s="110"/>
      <c r="N40" s="110"/>
      <c r="O40" s="110"/>
      <c r="P40" s="110"/>
      <c r="Q40" s="111"/>
      <c r="R40" s="64"/>
      <c r="S40" s="64"/>
      <c r="T40" s="64"/>
      <c r="U40" s="64"/>
    </row>
    <row r="41" spans="1:21" ht="18" customHeight="1" x14ac:dyDescent="0.15">
      <c r="B41" s="109"/>
      <c r="C41" s="110"/>
      <c r="D41" s="110"/>
      <c r="E41" s="110"/>
      <c r="F41" s="111"/>
      <c r="G41" s="64"/>
      <c r="H41" s="64"/>
      <c r="I41" s="64"/>
      <c r="J41" s="64"/>
      <c r="K41" s="109"/>
      <c r="L41" s="110"/>
      <c r="M41" s="110"/>
      <c r="N41" s="110"/>
      <c r="O41" s="110"/>
      <c r="P41" s="110"/>
      <c r="Q41" s="111"/>
      <c r="R41" s="64"/>
      <c r="S41" s="64"/>
      <c r="T41" s="64"/>
      <c r="U41" s="64"/>
    </row>
    <row r="42" spans="1:21" ht="18" customHeight="1" x14ac:dyDescent="0.15">
      <c r="B42" s="109"/>
      <c r="C42" s="110"/>
      <c r="D42" s="110"/>
      <c r="E42" s="110"/>
      <c r="F42" s="111"/>
      <c r="G42" s="64"/>
      <c r="H42" s="64"/>
      <c r="I42" s="64"/>
      <c r="J42" s="64"/>
      <c r="K42" s="109"/>
      <c r="L42" s="110"/>
      <c r="M42" s="110"/>
      <c r="N42" s="110"/>
      <c r="O42" s="110"/>
      <c r="P42" s="110"/>
      <c r="Q42" s="111"/>
      <c r="R42" s="64"/>
      <c r="S42" s="64"/>
      <c r="T42" s="64"/>
      <c r="U42" s="64"/>
    </row>
    <row r="43" spans="1:21" ht="18" customHeight="1" x14ac:dyDescent="0.15">
      <c r="B43" s="109"/>
      <c r="C43" s="110"/>
      <c r="D43" s="110"/>
      <c r="E43" s="110"/>
      <c r="F43" s="111"/>
      <c r="G43" s="64"/>
      <c r="H43" s="64"/>
      <c r="I43" s="64"/>
      <c r="J43" s="64"/>
      <c r="K43" s="109"/>
      <c r="L43" s="110"/>
      <c r="M43" s="110"/>
      <c r="N43" s="110"/>
      <c r="O43" s="110"/>
      <c r="P43" s="110"/>
      <c r="Q43" s="111"/>
      <c r="R43" s="64"/>
      <c r="S43" s="64"/>
      <c r="T43" s="64"/>
      <c r="U43" s="64"/>
    </row>
    <row r="44" spans="1:21" ht="18" customHeight="1" x14ac:dyDescent="0.15">
      <c r="B44" s="112"/>
      <c r="C44" s="113"/>
      <c r="D44" s="113"/>
      <c r="E44" s="113"/>
      <c r="F44" s="114"/>
      <c r="G44" s="65"/>
      <c r="H44" s="65"/>
      <c r="I44" s="66"/>
      <c r="J44" s="66"/>
      <c r="K44" s="112"/>
      <c r="L44" s="113"/>
      <c r="M44" s="113"/>
      <c r="N44" s="113"/>
      <c r="O44" s="113"/>
      <c r="P44" s="113"/>
      <c r="Q44" s="114"/>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21" t="s">
        <v>31</v>
      </c>
      <c r="B46" s="121"/>
      <c r="C46" s="121"/>
      <c r="D46" s="121"/>
      <c r="E46" s="121"/>
      <c r="F46" s="121"/>
      <c r="G46" s="121"/>
      <c r="H46" s="121"/>
      <c r="I46" s="121"/>
      <c r="J46" s="121"/>
      <c r="K46" s="121"/>
      <c r="L46" s="121"/>
      <c r="M46" s="121"/>
      <c r="N46" s="121"/>
      <c r="O46" s="121"/>
      <c r="P46" s="121"/>
      <c r="Q46" s="121"/>
      <c r="R46" s="121"/>
      <c r="S46" s="121"/>
      <c r="T46" s="121"/>
      <c r="U46" s="121"/>
    </row>
    <row r="47" spans="1:21" ht="18" customHeight="1" x14ac:dyDescent="0.15">
      <c r="A47" s="121"/>
      <c r="B47" s="121"/>
      <c r="C47" s="121"/>
      <c r="D47" s="121"/>
      <c r="E47" s="121"/>
      <c r="F47" s="121"/>
      <c r="G47" s="121"/>
      <c r="H47" s="121"/>
      <c r="I47" s="121"/>
      <c r="J47" s="121"/>
      <c r="K47" s="121"/>
      <c r="L47" s="121"/>
      <c r="M47" s="121"/>
      <c r="N47" s="121"/>
      <c r="O47" s="121"/>
      <c r="P47" s="121"/>
      <c r="Q47" s="121"/>
      <c r="R47" s="121"/>
      <c r="S47" s="121"/>
      <c r="T47" s="121"/>
      <c r="U47" s="121"/>
    </row>
    <row r="48" spans="1:21" ht="18" customHeight="1" x14ac:dyDescent="0.15">
      <c r="B48" s="92" t="s">
        <v>20</v>
      </c>
      <c r="C48" s="93"/>
      <c r="D48" s="93"/>
      <c r="E48" s="93"/>
      <c r="F48" s="94"/>
      <c r="G48" s="60" t="s">
        <v>21</v>
      </c>
      <c r="H48" s="61" t="s">
        <v>22</v>
      </c>
      <c r="I48" s="62" t="s">
        <v>32</v>
      </c>
      <c r="J48" s="62" t="s">
        <v>33</v>
      </c>
      <c r="K48" s="92" t="s">
        <v>20</v>
      </c>
      <c r="L48" s="93"/>
      <c r="M48" s="93"/>
      <c r="N48" s="93"/>
      <c r="O48" s="93"/>
      <c r="P48" s="93"/>
      <c r="Q48" s="94"/>
      <c r="R48" s="60" t="s">
        <v>21</v>
      </c>
      <c r="S48" s="61" t="s">
        <v>22</v>
      </c>
      <c r="T48" s="62" t="s">
        <v>32</v>
      </c>
      <c r="U48" s="62" t="s">
        <v>33</v>
      </c>
    </row>
    <row r="49" spans="1:21" ht="18" customHeight="1" x14ac:dyDescent="0.15">
      <c r="A49" s="3"/>
      <c r="B49" s="115" t="s">
        <v>25</v>
      </c>
      <c r="C49" s="116"/>
      <c r="D49" s="116"/>
      <c r="E49" s="116"/>
      <c r="F49" s="117"/>
      <c r="G49" s="63">
        <v>2</v>
      </c>
      <c r="H49" s="63" t="s">
        <v>26</v>
      </c>
      <c r="I49" s="63" t="s">
        <v>26</v>
      </c>
      <c r="J49" s="63"/>
      <c r="K49" s="115"/>
      <c r="L49" s="116"/>
      <c r="M49" s="116"/>
      <c r="N49" s="116"/>
      <c r="O49" s="116"/>
      <c r="P49" s="116"/>
      <c r="Q49" s="117"/>
      <c r="R49" s="63"/>
      <c r="S49" s="63"/>
      <c r="T49" s="63"/>
      <c r="U49" s="63"/>
    </row>
    <row r="50" spans="1:21" ht="18" customHeight="1" x14ac:dyDescent="0.15">
      <c r="A50" s="3"/>
      <c r="B50" s="109" t="s">
        <v>30</v>
      </c>
      <c r="C50" s="110"/>
      <c r="D50" s="110"/>
      <c r="E50" s="110"/>
      <c r="F50" s="111"/>
      <c r="G50" s="64">
        <v>1</v>
      </c>
      <c r="H50" s="64" t="s">
        <v>26</v>
      </c>
      <c r="I50" s="64" t="s">
        <v>26</v>
      </c>
      <c r="J50" s="64" t="s">
        <v>26</v>
      </c>
      <c r="K50" s="109"/>
      <c r="L50" s="110"/>
      <c r="M50" s="110"/>
      <c r="N50" s="110"/>
      <c r="O50" s="110"/>
      <c r="P50" s="110"/>
      <c r="Q50" s="111"/>
      <c r="R50" s="64"/>
      <c r="S50" s="64"/>
      <c r="T50" s="64"/>
      <c r="U50" s="64"/>
    </row>
    <row r="51" spans="1:21" ht="18" customHeight="1" x14ac:dyDescent="0.15">
      <c r="A51" s="3"/>
      <c r="B51" s="109"/>
      <c r="C51" s="110"/>
      <c r="D51" s="110"/>
      <c r="E51" s="110"/>
      <c r="F51" s="111"/>
      <c r="G51" s="64"/>
      <c r="H51" s="64"/>
      <c r="I51" s="64"/>
      <c r="J51" s="64"/>
      <c r="K51" s="109"/>
      <c r="L51" s="110"/>
      <c r="M51" s="110"/>
      <c r="N51" s="110"/>
      <c r="O51" s="110"/>
      <c r="P51" s="110"/>
      <c r="Q51" s="111"/>
      <c r="R51" s="64"/>
      <c r="S51" s="64"/>
      <c r="T51" s="64"/>
      <c r="U51" s="64"/>
    </row>
    <row r="52" spans="1:21" ht="18" customHeight="1" x14ac:dyDescent="0.15">
      <c r="A52" s="3"/>
      <c r="B52" s="109"/>
      <c r="C52" s="110"/>
      <c r="D52" s="110"/>
      <c r="E52" s="110"/>
      <c r="F52" s="111"/>
      <c r="G52" s="64"/>
      <c r="H52" s="64"/>
      <c r="I52" s="64"/>
      <c r="J52" s="64"/>
      <c r="K52" s="109"/>
      <c r="L52" s="110"/>
      <c r="M52" s="110"/>
      <c r="N52" s="110"/>
      <c r="O52" s="110"/>
      <c r="P52" s="110"/>
      <c r="Q52" s="111"/>
      <c r="R52" s="64"/>
      <c r="S52" s="64"/>
      <c r="T52" s="64"/>
      <c r="U52" s="64"/>
    </row>
    <row r="53" spans="1:21" ht="18" customHeight="1" x14ac:dyDescent="0.15">
      <c r="A53" s="3"/>
      <c r="B53" s="109"/>
      <c r="C53" s="110"/>
      <c r="D53" s="110"/>
      <c r="E53" s="110"/>
      <c r="F53" s="111"/>
      <c r="G53" s="64"/>
      <c r="H53" s="64"/>
      <c r="I53" s="64"/>
      <c r="J53" s="64"/>
      <c r="K53" s="109"/>
      <c r="L53" s="110"/>
      <c r="M53" s="110"/>
      <c r="N53" s="110"/>
      <c r="O53" s="110"/>
      <c r="P53" s="110"/>
      <c r="Q53" s="111"/>
      <c r="R53" s="64"/>
      <c r="S53" s="64"/>
      <c r="T53" s="64"/>
      <c r="U53" s="64"/>
    </row>
    <row r="54" spans="1:21" ht="18" customHeight="1" x14ac:dyDescent="0.15">
      <c r="A54" s="3"/>
      <c r="B54" s="109"/>
      <c r="C54" s="110"/>
      <c r="D54" s="110"/>
      <c r="E54" s="110"/>
      <c r="F54" s="111"/>
      <c r="G54" s="64"/>
      <c r="H54" s="64"/>
      <c r="I54" s="64"/>
      <c r="J54" s="64"/>
      <c r="K54" s="109"/>
      <c r="L54" s="110"/>
      <c r="M54" s="110"/>
      <c r="N54" s="110"/>
      <c r="O54" s="110"/>
      <c r="P54" s="110"/>
      <c r="Q54" s="111"/>
      <c r="R54" s="64"/>
      <c r="S54" s="64"/>
      <c r="T54" s="64"/>
      <c r="U54" s="64"/>
    </row>
    <row r="55" spans="1:21" ht="18" customHeight="1" x14ac:dyDescent="0.15">
      <c r="A55" s="3"/>
      <c r="B55" s="112"/>
      <c r="C55" s="113"/>
      <c r="D55" s="113"/>
      <c r="E55" s="113"/>
      <c r="F55" s="114"/>
      <c r="G55" s="65"/>
      <c r="H55" s="65"/>
      <c r="I55" s="66"/>
      <c r="J55" s="66"/>
      <c r="K55" s="112"/>
      <c r="L55" s="113"/>
      <c r="M55" s="113"/>
      <c r="N55" s="113"/>
      <c r="O55" s="113"/>
      <c r="P55" s="113"/>
      <c r="Q55" s="114"/>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21" t="s">
        <v>34</v>
      </c>
      <c r="B57" s="121"/>
      <c r="C57" s="121"/>
      <c r="D57" s="121"/>
      <c r="E57" s="121"/>
      <c r="F57" s="121"/>
      <c r="G57" s="121"/>
      <c r="H57" s="121"/>
      <c r="I57" s="121"/>
      <c r="J57" s="121"/>
      <c r="K57" s="121"/>
      <c r="L57" s="121"/>
      <c r="M57" s="121"/>
      <c r="N57" s="121"/>
      <c r="O57" s="121"/>
      <c r="P57" s="121"/>
      <c r="Q57" s="121"/>
      <c r="R57" s="121"/>
      <c r="S57" s="121"/>
      <c r="T57" s="121"/>
      <c r="U57" s="121"/>
    </row>
    <row r="58" spans="1:21" ht="18" customHeight="1" x14ac:dyDescent="0.15">
      <c r="A58" s="121"/>
      <c r="B58" s="121"/>
      <c r="C58" s="121"/>
      <c r="D58" s="121"/>
      <c r="E58" s="121"/>
      <c r="F58" s="121"/>
      <c r="G58" s="121"/>
      <c r="H58" s="121"/>
      <c r="I58" s="121"/>
      <c r="J58" s="121"/>
      <c r="K58" s="121"/>
      <c r="L58" s="121"/>
      <c r="M58" s="121"/>
      <c r="N58" s="121"/>
      <c r="O58" s="121"/>
      <c r="P58" s="121"/>
      <c r="Q58" s="121"/>
      <c r="R58" s="121"/>
      <c r="S58" s="121"/>
      <c r="T58" s="121"/>
      <c r="U58" s="121"/>
    </row>
    <row r="59" spans="1:21" ht="18" customHeight="1" x14ac:dyDescent="0.15">
      <c r="B59" s="92" t="s">
        <v>20</v>
      </c>
      <c r="C59" s="93"/>
      <c r="D59" s="93"/>
      <c r="E59" s="93"/>
      <c r="F59" s="94"/>
      <c r="G59" s="60" t="s">
        <v>21</v>
      </c>
      <c r="H59" s="61" t="s">
        <v>22</v>
      </c>
      <c r="I59" s="62" t="s">
        <v>35</v>
      </c>
      <c r="J59" s="62" t="s">
        <v>36</v>
      </c>
      <c r="K59" s="92" t="s">
        <v>20</v>
      </c>
      <c r="L59" s="93"/>
      <c r="M59" s="93"/>
      <c r="N59" s="93"/>
      <c r="O59" s="93"/>
      <c r="P59" s="93"/>
      <c r="Q59" s="94"/>
      <c r="R59" s="60" t="s">
        <v>21</v>
      </c>
      <c r="S59" s="61" t="s">
        <v>22</v>
      </c>
      <c r="T59" s="62" t="s">
        <v>35</v>
      </c>
      <c r="U59" s="62" t="s">
        <v>36</v>
      </c>
    </row>
    <row r="60" spans="1:21" ht="18" customHeight="1" x14ac:dyDescent="0.15">
      <c r="A60" s="3"/>
      <c r="B60" s="115" t="s">
        <v>25</v>
      </c>
      <c r="C60" s="116"/>
      <c r="D60" s="116"/>
      <c r="E60" s="116"/>
      <c r="F60" s="117"/>
      <c r="G60" s="63">
        <v>2</v>
      </c>
      <c r="H60" s="63" t="s">
        <v>26</v>
      </c>
      <c r="I60" s="64" t="s">
        <v>26</v>
      </c>
      <c r="J60" s="64" t="s">
        <v>26</v>
      </c>
      <c r="K60" s="115"/>
      <c r="L60" s="116"/>
      <c r="M60" s="116"/>
      <c r="N60" s="116"/>
      <c r="O60" s="116"/>
      <c r="P60" s="116"/>
      <c r="Q60" s="117"/>
      <c r="R60" s="63"/>
      <c r="S60" s="63"/>
      <c r="T60" s="63"/>
      <c r="U60" s="63"/>
    </row>
    <row r="61" spans="1:21" ht="18" customHeight="1" x14ac:dyDescent="0.15">
      <c r="A61" s="3"/>
      <c r="B61" s="118" t="s">
        <v>37</v>
      </c>
      <c r="C61" s="119"/>
      <c r="D61" s="119"/>
      <c r="E61" s="119"/>
      <c r="F61" s="120"/>
      <c r="G61" s="85">
        <v>1</v>
      </c>
      <c r="H61" s="85" t="s">
        <v>26</v>
      </c>
      <c r="I61" s="85" t="s">
        <v>26</v>
      </c>
      <c r="J61" s="84"/>
      <c r="K61" s="109"/>
      <c r="L61" s="110"/>
      <c r="M61" s="110"/>
      <c r="N61" s="110"/>
      <c r="O61" s="110"/>
      <c r="P61" s="110"/>
      <c r="Q61" s="111"/>
      <c r="R61" s="64"/>
      <c r="S61" s="64"/>
      <c r="T61" s="64"/>
      <c r="U61" s="64"/>
    </row>
    <row r="62" spans="1:21" ht="18" customHeight="1" x14ac:dyDescent="0.15">
      <c r="A62" s="3"/>
      <c r="B62" s="109"/>
      <c r="C62" s="110"/>
      <c r="D62" s="110"/>
      <c r="E62" s="110"/>
      <c r="F62" s="111"/>
      <c r="G62" s="64"/>
      <c r="H62" s="64"/>
      <c r="I62" s="64"/>
      <c r="J62" s="64"/>
      <c r="K62" s="109"/>
      <c r="L62" s="110"/>
      <c r="M62" s="110"/>
      <c r="N62" s="110"/>
      <c r="O62" s="110"/>
      <c r="P62" s="110"/>
      <c r="Q62" s="111"/>
      <c r="R62" s="64"/>
      <c r="S62" s="64"/>
      <c r="T62" s="64"/>
      <c r="U62" s="64"/>
    </row>
    <row r="63" spans="1:21" ht="18" customHeight="1" x14ac:dyDescent="0.15">
      <c r="A63" s="3"/>
      <c r="B63" s="109"/>
      <c r="C63" s="110"/>
      <c r="D63" s="110"/>
      <c r="E63" s="110"/>
      <c r="F63" s="111"/>
      <c r="G63" s="64"/>
      <c r="H63" s="64"/>
      <c r="I63" s="64"/>
      <c r="J63" s="64"/>
      <c r="K63" s="109"/>
      <c r="L63" s="110"/>
      <c r="M63" s="110"/>
      <c r="N63" s="110"/>
      <c r="O63" s="110"/>
      <c r="P63" s="110"/>
      <c r="Q63" s="111"/>
      <c r="R63" s="64"/>
      <c r="S63" s="64"/>
      <c r="T63" s="64"/>
      <c r="U63" s="64"/>
    </row>
    <row r="64" spans="1:21" ht="18" customHeight="1" x14ac:dyDescent="0.15">
      <c r="A64" s="3"/>
      <c r="B64" s="109"/>
      <c r="C64" s="110"/>
      <c r="D64" s="110"/>
      <c r="E64" s="110"/>
      <c r="F64" s="111"/>
      <c r="G64" s="64"/>
      <c r="H64" s="64"/>
      <c r="I64" s="64"/>
      <c r="J64" s="64"/>
      <c r="K64" s="109"/>
      <c r="L64" s="110"/>
      <c r="M64" s="110"/>
      <c r="N64" s="110"/>
      <c r="O64" s="110"/>
      <c r="P64" s="110"/>
      <c r="Q64" s="111"/>
      <c r="R64" s="64"/>
      <c r="S64" s="64"/>
      <c r="T64" s="64"/>
      <c r="U64" s="64"/>
    </row>
    <row r="65" spans="1:27" ht="18" customHeight="1" x14ac:dyDescent="0.15">
      <c r="A65" s="3"/>
      <c r="B65" s="109"/>
      <c r="C65" s="110"/>
      <c r="D65" s="110"/>
      <c r="E65" s="110"/>
      <c r="F65" s="111"/>
      <c r="G65" s="64"/>
      <c r="H65" s="64"/>
      <c r="I65" s="64"/>
      <c r="J65" s="64"/>
      <c r="K65" s="109"/>
      <c r="L65" s="110"/>
      <c r="M65" s="110"/>
      <c r="N65" s="110"/>
      <c r="O65" s="110"/>
      <c r="P65" s="110"/>
      <c r="Q65" s="111"/>
      <c r="R65" s="64"/>
      <c r="S65" s="64"/>
      <c r="T65" s="64"/>
      <c r="U65" s="64"/>
    </row>
    <row r="66" spans="1:27" ht="18" customHeight="1" x14ac:dyDescent="0.15">
      <c r="A66" s="3"/>
      <c r="B66" s="112"/>
      <c r="C66" s="113"/>
      <c r="D66" s="113"/>
      <c r="E66" s="113"/>
      <c r="F66" s="114"/>
      <c r="G66" s="65"/>
      <c r="H66" s="65"/>
      <c r="I66" s="66"/>
      <c r="J66" s="66"/>
      <c r="K66" s="112"/>
      <c r="L66" s="113"/>
      <c r="M66" s="113"/>
      <c r="N66" s="113"/>
      <c r="O66" s="113"/>
      <c r="P66" s="113"/>
      <c r="Q66" s="114"/>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21" t="s">
        <v>38</v>
      </c>
      <c r="B68" s="121"/>
      <c r="C68" s="121"/>
      <c r="D68" s="121"/>
      <c r="E68" s="121"/>
      <c r="F68" s="121"/>
      <c r="G68" s="121"/>
      <c r="H68" s="121"/>
      <c r="I68" s="121"/>
      <c r="J68" s="121"/>
      <c r="K68" s="121"/>
      <c r="L68" s="121"/>
      <c r="M68" s="121"/>
      <c r="N68" s="121"/>
      <c r="O68" s="121"/>
      <c r="P68" s="121"/>
      <c r="Q68" s="121"/>
      <c r="R68" s="121"/>
      <c r="S68" s="121"/>
      <c r="T68" s="121"/>
      <c r="U68" s="121"/>
    </row>
    <row r="69" spans="1:27" ht="18" customHeight="1" x14ac:dyDescent="0.15">
      <c r="A69" s="121"/>
      <c r="B69" s="121"/>
      <c r="C69" s="121"/>
      <c r="D69" s="121"/>
      <c r="E69" s="121"/>
      <c r="F69" s="121"/>
      <c r="G69" s="121"/>
      <c r="H69" s="121"/>
      <c r="I69" s="121"/>
      <c r="J69" s="121"/>
      <c r="K69" s="121"/>
      <c r="L69" s="121"/>
      <c r="M69" s="121"/>
      <c r="N69" s="121"/>
      <c r="O69" s="121"/>
      <c r="P69" s="121"/>
      <c r="Q69" s="121"/>
      <c r="R69" s="121"/>
      <c r="S69" s="121"/>
      <c r="T69" s="121"/>
      <c r="U69" s="121"/>
    </row>
    <row r="70" spans="1:27" ht="18" customHeight="1" x14ac:dyDescent="0.15">
      <c r="B70" s="92" t="s">
        <v>20</v>
      </c>
      <c r="C70" s="93"/>
      <c r="D70" s="93"/>
      <c r="E70" s="93"/>
      <c r="F70" s="60" t="s">
        <v>21</v>
      </c>
      <c r="G70" s="61" t="s">
        <v>22</v>
      </c>
      <c r="H70" s="62" t="s">
        <v>39</v>
      </c>
      <c r="I70" s="62" t="s">
        <v>40</v>
      </c>
      <c r="J70" s="62" t="s">
        <v>41</v>
      </c>
      <c r="K70" s="92" t="s">
        <v>20</v>
      </c>
      <c r="L70" s="93"/>
      <c r="M70" s="93"/>
      <c r="N70" s="93"/>
      <c r="O70" s="93"/>
      <c r="P70" s="94"/>
      <c r="Q70" s="60" t="s">
        <v>21</v>
      </c>
      <c r="R70" s="61" t="s">
        <v>22</v>
      </c>
      <c r="S70" s="62" t="s">
        <v>39</v>
      </c>
      <c r="T70" s="62" t="s">
        <v>40</v>
      </c>
      <c r="U70" s="62" t="s">
        <v>41</v>
      </c>
    </row>
    <row r="71" spans="1:27" ht="18" customHeight="1" x14ac:dyDescent="0.15">
      <c r="A71" s="3"/>
      <c r="B71" s="115" t="s">
        <v>25</v>
      </c>
      <c r="C71" s="116"/>
      <c r="D71" s="116"/>
      <c r="E71" s="117"/>
      <c r="F71" s="63">
        <v>2</v>
      </c>
      <c r="G71" s="63" t="s">
        <v>26</v>
      </c>
      <c r="H71" s="63" t="s">
        <v>26</v>
      </c>
      <c r="I71" s="63" t="s">
        <v>26</v>
      </c>
      <c r="J71" s="63" t="s">
        <v>26</v>
      </c>
      <c r="K71" s="115"/>
      <c r="L71" s="116"/>
      <c r="M71" s="116"/>
      <c r="N71" s="116"/>
      <c r="O71" s="116"/>
      <c r="P71" s="117"/>
      <c r="Q71" s="63"/>
      <c r="R71" s="63"/>
      <c r="S71" s="63"/>
      <c r="T71" s="63"/>
      <c r="U71" s="63"/>
    </row>
    <row r="72" spans="1:27" ht="18" customHeight="1" x14ac:dyDescent="0.15">
      <c r="A72" s="3"/>
      <c r="B72" s="118" t="s">
        <v>37</v>
      </c>
      <c r="C72" s="119"/>
      <c r="D72" s="119"/>
      <c r="E72" s="119"/>
      <c r="F72" s="85">
        <v>1</v>
      </c>
      <c r="G72" s="85" t="s">
        <v>26</v>
      </c>
      <c r="H72" s="85" t="s">
        <v>26</v>
      </c>
      <c r="I72" s="85" t="s">
        <v>26</v>
      </c>
      <c r="J72" s="85" t="s">
        <v>26</v>
      </c>
      <c r="K72" s="109"/>
      <c r="L72" s="110"/>
      <c r="M72" s="110"/>
      <c r="N72" s="110"/>
      <c r="O72" s="110"/>
      <c r="P72" s="111"/>
      <c r="Q72" s="64"/>
      <c r="R72" s="64"/>
      <c r="S72" s="64"/>
      <c r="T72" s="64"/>
      <c r="U72" s="64"/>
    </row>
    <row r="73" spans="1:27" ht="18" customHeight="1" x14ac:dyDescent="0.15">
      <c r="A73" s="3"/>
      <c r="B73" s="109"/>
      <c r="C73" s="110"/>
      <c r="D73" s="110"/>
      <c r="E73" s="110"/>
      <c r="F73" s="64"/>
      <c r="G73" s="64"/>
      <c r="H73" s="64"/>
      <c r="I73" s="64"/>
      <c r="J73" s="64"/>
      <c r="K73" s="109"/>
      <c r="L73" s="110"/>
      <c r="M73" s="110"/>
      <c r="N73" s="110"/>
      <c r="O73" s="110"/>
      <c r="P73" s="111"/>
      <c r="Q73" s="64"/>
      <c r="R73" s="64"/>
      <c r="S73" s="64"/>
      <c r="T73" s="64"/>
      <c r="U73" s="64"/>
    </row>
    <row r="74" spans="1:27" ht="18" customHeight="1" x14ac:dyDescent="0.15">
      <c r="A74" s="3"/>
      <c r="B74" s="109"/>
      <c r="C74" s="110"/>
      <c r="D74" s="110"/>
      <c r="E74" s="110"/>
      <c r="F74" s="64"/>
      <c r="G74" s="64"/>
      <c r="H74" s="64"/>
      <c r="I74" s="64"/>
      <c r="J74" s="64"/>
      <c r="K74" s="109"/>
      <c r="L74" s="110"/>
      <c r="M74" s="110"/>
      <c r="N74" s="110"/>
      <c r="O74" s="110"/>
      <c r="P74" s="111"/>
      <c r="Q74" s="64"/>
      <c r="R74" s="64"/>
      <c r="S74" s="64"/>
      <c r="T74" s="64"/>
      <c r="U74" s="64"/>
    </row>
    <row r="75" spans="1:27" ht="18" customHeight="1" x14ac:dyDescent="0.15">
      <c r="A75" s="3"/>
      <c r="B75" s="109"/>
      <c r="C75" s="110"/>
      <c r="D75" s="110"/>
      <c r="E75" s="110"/>
      <c r="F75" s="64"/>
      <c r="G75" s="64"/>
      <c r="H75" s="64"/>
      <c r="I75" s="64"/>
      <c r="J75" s="64"/>
      <c r="K75" s="109"/>
      <c r="L75" s="110"/>
      <c r="M75" s="110"/>
      <c r="N75" s="110"/>
      <c r="O75" s="110"/>
      <c r="P75" s="111"/>
      <c r="Q75" s="64"/>
      <c r="R75" s="64"/>
      <c r="S75" s="64"/>
      <c r="T75" s="64"/>
      <c r="U75" s="64"/>
    </row>
    <row r="76" spans="1:27" ht="18" customHeight="1" x14ac:dyDescent="0.15">
      <c r="A76" s="3"/>
      <c r="B76" s="109"/>
      <c r="C76" s="110"/>
      <c r="D76" s="110"/>
      <c r="E76" s="110"/>
      <c r="F76" s="64"/>
      <c r="G76" s="64"/>
      <c r="H76" s="64"/>
      <c r="I76" s="64"/>
      <c r="J76" s="64"/>
      <c r="K76" s="109"/>
      <c r="L76" s="110"/>
      <c r="M76" s="110"/>
      <c r="N76" s="110"/>
      <c r="O76" s="110"/>
      <c r="P76" s="111"/>
      <c r="Q76" s="64"/>
      <c r="R76" s="64"/>
      <c r="S76" s="64"/>
      <c r="T76" s="64"/>
      <c r="U76" s="64"/>
    </row>
    <row r="77" spans="1:27" ht="18" customHeight="1" x14ac:dyDescent="0.15">
      <c r="A77" s="3"/>
      <c r="B77" s="112"/>
      <c r="C77" s="113"/>
      <c r="D77" s="113"/>
      <c r="E77" s="113"/>
      <c r="F77" s="65"/>
      <c r="G77" s="65"/>
      <c r="H77" s="66"/>
      <c r="I77" s="66"/>
      <c r="J77" s="66"/>
      <c r="K77" s="112"/>
      <c r="L77" s="113"/>
      <c r="M77" s="113"/>
      <c r="N77" s="113"/>
      <c r="O77" s="113"/>
      <c r="P77" s="114"/>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42</v>
      </c>
      <c r="I79" s="3"/>
      <c r="J79" s="3"/>
      <c r="K79" s="3"/>
      <c r="L79" s="3"/>
      <c r="M79" s="3"/>
      <c r="N79" s="3"/>
      <c r="O79" s="3"/>
      <c r="P79" s="3"/>
      <c r="Q79" s="3"/>
      <c r="R79" s="3"/>
      <c r="S79" s="3"/>
      <c r="T79" s="3"/>
      <c r="U79" s="3"/>
    </row>
    <row r="80" spans="1:27" ht="18" customHeight="1" x14ac:dyDescent="0.15">
      <c r="B80" s="92" t="s">
        <v>20</v>
      </c>
      <c r="C80" s="93"/>
      <c r="D80" s="93"/>
      <c r="E80" s="93"/>
      <c r="F80" s="94"/>
      <c r="G80" s="92" t="s">
        <v>43</v>
      </c>
      <c r="H80" s="93"/>
      <c r="I80" s="93"/>
      <c r="J80" s="94"/>
      <c r="K80" s="154" t="s">
        <v>20</v>
      </c>
      <c r="L80" s="155"/>
      <c r="M80" s="155"/>
      <c r="N80" s="155"/>
      <c r="O80" s="155"/>
      <c r="P80" s="155"/>
      <c r="Q80" s="156"/>
      <c r="R80" s="92" t="s">
        <v>43</v>
      </c>
      <c r="S80" s="93"/>
      <c r="T80" s="93"/>
      <c r="U80" s="94"/>
      <c r="AA80" s="1" t="s">
        <v>44</v>
      </c>
    </row>
    <row r="81" spans="1:27" ht="18" customHeight="1" x14ac:dyDescent="0.15">
      <c r="A81" s="3"/>
      <c r="B81" s="160" t="s">
        <v>45</v>
      </c>
      <c r="C81" s="161"/>
      <c r="D81" s="161"/>
      <c r="E81" s="161"/>
      <c r="F81" s="162"/>
      <c r="G81" s="163" t="s">
        <v>46</v>
      </c>
      <c r="H81" s="164"/>
      <c r="I81" s="164"/>
      <c r="J81" s="165"/>
      <c r="K81" s="115"/>
      <c r="L81" s="116"/>
      <c r="M81" s="116"/>
      <c r="N81" s="116"/>
      <c r="O81" s="116"/>
      <c r="P81" s="116"/>
      <c r="Q81" s="117"/>
      <c r="R81" s="157"/>
      <c r="S81" s="158"/>
      <c r="T81" s="158"/>
      <c r="U81" s="159"/>
      <c r="AA81" s="1" t="s">
        <v>47</v>
      </c>
    </row>
    <row r="82" spans="1:27" ht="18" customHeight="1" x14ac:dyDescent="0.15">
      <c r="A82" s="3"/>
      <c r="B82" s="118" t="s">
        <v>48</v>
      </c>
      <c r="C82" s="119"/>
      <c r="D82" s="119"/>
      <c r="E82" s="119"/>
      <c r="F82" s="120"/>
      <c r="G82" s="146" t="s">
        <v>49</v>
      </c>
      <c r="H82" s="147"/>
      <c r="I82" s="147"/>
      <c r="J82" s="148"/>
      <c r="K82" s="109"/>
      <c r="L82" s="110"/>
      <c r="M82" s="110"/>
      <c r="N82" s="110"/>
      <c r="O82" s="110"/>
      <c r="P82" s="110"/>
      <c r="Q82" s="111"/>
      <c r="R82" s="149"/>
      <c r="S82" s="150"/>
      <c r="T82" s="150"/>
      <c r="U82" s="151"/>
      <c r="AA82" s="1" t="s">
        <v>50</v>
      </c>
    </row>
    <row r="83" spans="1:27" ht="18" customHeight="1" x14ac:dyDescent="0.15">
      <c r="A83" s="3"/>
      <c r="B83" s="109"/>
      <c r="C83" s="110"/>
      <c r="D83" s="110"/>
      <c r="E83" s="110"/>
      <c r="F83" s="111"/>
      <c r="G83" s="149"/>
      <c r="H83" s="150"/>
      <c r="I83" s="150"/>
      <c r="J83" s="151"/>
      <c r="K83" s="109"/>
      <c r="L83" s="110"/>
      <c r="M83" s="110"/>
      <c r="N83" s="110"/>
      <c r="O83" s="110"/>
      <c r="P83" s="110"/>
      <c r="Q83" s="111"/>
      <c r="R83" s="149"/>
      <c r="S83" s="150"/>
      <c r="T83" s="150"/>
      <c r="U83" s="151"/>
      <c r="AA83" s="1" t="s">
        <v>51</v>
      </c>
    </row>
    <row r="84" spans="1:27" ht="18" customHeight="1" x14ac:dyDescent="0.15">
      <c r="A84" s="3"/>
      <c r="B84" s="109"/>
      <c r="C84" s="110"/>
      <c r="D84" s="110"/>
      <c r="E84" s="110"/>
      <c r="F84" s="111"/>
      <c r="G84" s="149"/>
      <c r="H84" s="150"/>
      <c r="I84" s="150"/>
      <c r="J84" s="151"/>
      <c r="K84" s="109"/>
      <c r="L84" s="110"/>
      <c r="M84" s="110"/>
      <c r="N84" s="110"/>
      <c r="O84" s="110"/>
      <c r="P84" s="110"/>
      <c r="Q84" s="111"/>
      <c r="R84" s="149"/>
      <c r="S84" s="150"/>
      <c r="T84" s="150"/>
      <c r="U84" s="151"/>
      <c r="AA84" s="1" t="s">
        <v>52</v>
      </c>
    </row>
    <row r="85" spans="1:27" ht="18" customHeight="1" x14ac:dyDescent="0.15">
      <c r="A85" s="3"/>
      <c r="B85" s="109"/>
      <c r="C85" s="110"/>
      <c r="D85" s="110"/>
      <c r="E85" s="110"/>
      <c r="F85" s="111"/>
      <c r="G85" s="149"/>
      <c r="H85" s="150"/>
      <c r="I85" s="150"/>
      <c r="J85" s="151"/>
      <c r="K85" s="109"/>
      <c r="L85" s="110"/>
      <c r="M85" s="110"/>
      <c r="N85" s="110"/>
      <c r="O85" s="110"/>
      <c r="P85" s="110"/>
      <c r="Q85" s="111"/>
      <c r="R85" s="149"/>
      <c r="S85" s="150"/>
      <c r="T85" s="150"/>
      <c r="U85" s="151"/>
      <c r="AA85" s="1" t="s">
        <v>53</v>
      </c>
    </row>
    <row r="86" spans="1:27" ht="18" customHeight="1" x14ac:dyDescent="0.15">
      <c r="A86" s="3"/>
      <c r="B86" s="109"/>
      <c r="C86" s="110"/>
      <c r="D86" s="110"/>
      <c r="E86" s="110"/>
      <c r="F86" s="111"/>
      <c r="G86" s="149"/>
      <c r="H86" s="150"/>
      <c r="I86" s="150"/>
      <c r="J86" s="151"/>
      <c r="K86" s="109"/>
      <c r="L86" s="110"/>
      <c r="M86" s="110"/>
      <c r="N86" s="110"/>
      <c r="O86" s="110"/>
      <c r="P86" s="110"/>
      <c r="Q86" s="111"/>
      <c r="R86" s="149"/>
      <c r="S86" s="150"/>
      <c r="T86" s="150"/>
      <c r="U86" s="151"/>
      <c r="AA86" s="1" t="s">
        <v>54</v>
      </c>
    </row>
    <row r="87" spans="1:27" ht="18" customHeight="1" x14ac:dyDescent="0.15">
      <c r="A87" s="3"/>
      <c r="B87" s="112"/>
      <c r="C87" s="113"/>
      <c r="D87" s="113"/>
      <c r="E87" s="113"/>
      <c r="F87" s="114"/>
      <c r="G87" s="143"/>
      <c r="H87" s="144"/>
      <c r="I87" s="144"/>
      <c r="J87" s="145"/>
      <c r="K87" s="112"/>
      <c r="L87" s="113"/>
      <c r="M87" s="113"/>
      <c r="N87" s="113"/>
      <c r="O87" s="113"/>
      <c r="P87" s="113"/>
      <c r="Q87" s="114"/>
      <c r="R87" s="143"/>
      <c r="S87" s="144"/>
      <c r="T87" s="144"/>
      <c r="U87" s="145"/>
      <c r="AA87" s="1" t="s">
        <v>55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56</v>
      </c>
    </row>
    <row r="89" spans="1:27" ht="18.75" customHeight="1" x14ac:dyDescent="0.15">
      <c r="A89" s="1" t="s">
        <v>57</v>
      </c>
      <c r="AA89" s="1" t="s">
        <v>58</v>
      </c>
    </row>
    <row r="90" spans="1:27" ht="18.75" customHeight="1" x14ac:dyDescent="0.15">
      <c r="B90" s="152" t="s">
        <v>59</v>
      </c>
      <c r="C90" s="153"/>
      <c r="D90" s="92" t="s">
        <v>60</v>
      </c>
      <c r="E90" s="93"/>
      <c r="F90" s="93"/>
      <c r="G90" s="93"/>
      <c r="H90" s="93"/>
      <c r="I90" s="93"/>
      <c r="J90" s="93"/>
      <c r="K90" s="93"/>
      <c r="L90" s="93"/>
      <c r="M90" s="93"/>
      <c r="N90" s="93"/>
      <c r="O90" s="93"/>
      <c r="P90" s="93"/>
      <c r="Q90" s="93"/>
      <c r="R90" s="93"/>
      <c r="S90" s="93"/>
      <c r="T90" s="93"/>
      <c r="U90" s="94"/>
    </row>
    <row r="91" spans="1:27" ht="71.099999999999994" customHeight="1" x14ac:dyDescent="0.15">
      <c r="B91" s="122" t="s">
        <v>61</v>
      </c>
      <c r="C91" s="68" t="s">
        <v>23</v>
      </c>
      <c r="D91" s="95" t="s">
        <v>182</v>
      </c>
      <c r="E91" s="96"/>
      <c r="F91" s="96"/>
      <c r="G91" s="96"/>
      <c r="H91" s="96"/>
      <c r="I91" s="96"/>
      <c r="J91" s="96"/>
      <c r="K91" s="96"/>
      <c r="L91" s="96"/>
      <c r="M91" s="96"/>
      <c r="N91" s="96"/>
      <c r="O91" s="96"/>
      <c r="P91" s="96"/>
      <c r="Q91" s="96"/>
      <c r="R91" s="96"/>
      <c r="S91" s="96"/>
      <c r="T91" s="96"/>
      <c r="U91" s="97"/>
    </row>
    <row r="92" spans="1:27" ht="71.099999999999994" customHeight="1" x14ac:dyDescent="0.15">
      <c r="B92" s="124"/>
      <c r="C92" s="69" t="s">
        <v>62</v>
      </c>
      <c r="D92" s="98" t="s">
        <v>183</v>
      </c>
      <c r="E92" s="99"/>
      <c r="F92" s="99"/>
      <c r="G92" s="99"/>
      <c r="H92" s="99"/>
      <c r="I92" s="99"/>
      <c r="J92" s="99"/>
      <c r="K92" s="99"/>
      <c r="L92" s="99"/>
      <c r="M92" s="99"/>
      <c r="N92" s="99"/>
      <c r="O92" s="99"/>
      <c r="P92" s="99"/>
      <c r="Q92" s="99"/>
      <c r="R92" s="99"/>
      <c r="S92" s="99"/>
      <c r="T92" s="99"/>
      <c r="U92" s="100"/>
    </row>
    <row r="93" spans="1:27" ht="71.099999999999994" customHeight="1" x14ac:dyDescent="0.15">
      <c r="B93" s="122" t="s">
        <v>63</v>
      </c>
      <c r="C93" s="70" t="s">
        <v>28</v>
      </c>
      <c r="D93" s="95" t="s">
        <v>185</v>
      </c>
      <c r="E93" s="96"/>
      <c r="F93" s="96"/>
      <c r="G93" s="96"/>
      <c r="H93" s="96"/>
      <c r="I93" s="96"/>
      <c r="J93" s="96"/>
      <c r="K93" s="96"/>
      <c r="L93" s="96"/>
      <c r="M93" s="96"/>
      <c r="N93" s="96"/>
      <c r="O93" s="96"/>
      <c r="P93" s="96"/>
      <c r="Q93" s="96"/>
      <c r="R93" s="96"/>
      <c r="S93" s="96"/>
      <c r="T93" s="96"/>
      <c r="U93" s="97"/>
    </row>
    <row r="94" spans="1:27" ht="71.099999999999994" customHeight="1" x14ac:dyDescent="0.15">
      <c r="B94" s="123"/>
      <c r="C94" s="71" t="s">
        <v>29</v>
      </c>
      <c r="D94" s="98" t="s">
        <v>186</v>
      </c>
      <c r="E94" s="99"/>
      <c r="F94" s="99"/>
      <c r="G94" s="99"/>
      <c r="H94" s="99"/>
      <c r="I94" s="99"/>
      <c r="J94" s="99"/>
      <c r="K94" s="99"/>
      <c r="L94" s="99"/>
      <c r="M94" s="99"/>
      <c r="N94" s="99"/>
      <c r="O94" s="99"/>
      <c r="P94" s="99"/>
      <c r="Q94" s="99"/>
      <c r="R94" s="99"/>
      <c r="S94" s="99"/>
      <c r="T94" s="99"/>
      <c r="U94" s="100"/>
    </row>
    <row r="95" spans="1:27" ht="71.099999999999994" customHeight="1" x14ac:dyDescent="0.15">
      <c r="B95" s="122" t="s">
        <v>64</v>
      </c>
      <c r="C95" s="70" t="s">
        <v>32</v>
      </c>
      <c r="D95" s="95" t="s">
        <v>191</v>
      </c>
      <c r="E95" s="101"/>
      <c r="F95" s="101"/>
      <c r="G95" s="101"/>
      <c r="H95" s="101"/>
      <c r="I95" s="101"/>
      <c r="J95" s="101"/>
      <c r="K95" s="101"/>
      <c r="L95" s="101"/>
      <c r="M95" s="101"/>
      <c r="N95" s="101"/>
      <c r="O95" s="101"/>
      <c r="P95" s="101"/>
      <c r="Q95" s="101"/>
      <c r="R95" s="101"/>
      <c r="S95" s="101"/>
      <c r="T95" s="101"/>
      <c r="U95" s="102"/>
    </row>
    <row r="96" spans="1:27" ht="71.099999999999994" customHeight="1" x14ac:dyDescent="0.15">
      <c r="B96" s="123"/>
      <c r="C96" s="72" t="s">
        <v>33</v>
      </c>
      <c r="D96" s="98" t="s">
        <v>65</v>
      </c>
      <c r="E96" s="99"/>
      <c r="F96" s="99"/>
      <c r="G96" s="99"/>
      <c r="H96" s="99"/>
      <c r="I96" s="99"/>
      <c r="J96" s="99"/>
      <c r="K96" s="99"/>
      <c r="L96" s="99"/>
      <c r="M96" s="99"/>
      <c r="N96" s="99"/>
      <c r="O96" s="99"/>
      <c r="P96" s="99"/>
      <c r="Q96" s="99"/>
      <c r="R96" s="99"/>
      <c r="S96" s="99"/>
      <c r="T96" s="99"/>
      <c r="U96" s="100"/>
    </row>
    <row r="97" spans="1:21" ht="71.099999999999994" customHeight="1" x14ac:dyDescent="0.15">
      <c r="B97" s="122" t="s">
        <v>66</v>
      </c>
      <c r="C97" s="68" t="s">
        <v>35</v>
      </c>
      <c r="D97" s="95" t="s">
        <v>187</v>
      </c>
      <c r="E97" s="101"/>
      <c r="F97" s="101"/>
      <c r="G97" s="101"/>
      <c r="H97" s="101"/>
      <c r="I97" s="101"/>
      <c r="J97" s="101"/>
      <c r="K97" s="101"/>
      <c r="L97" s="101"/>
      <c r="M97" s="101"/>
      <c r="N97" s="101"/>
      <c r="O97" s="101"/>
      <c r="P97" s="101"/>
      <c r="Q97" s="101"/>
      <c r="R97" s="101"/>
      <c r="S97" s="101"/>
      <c r="T97" s="101"/>
      <c r="U97" s="102"/>
    </row>
    <row r="98" spans="1:21" ht="71.099999999999994" customHeight="1" x14ac:dyDescent="0.15">
      <c r="B98" s="123"/>
      <c r="C98" s="71" t="s">
        <v>36</v>
      </c>
      <c r="D98" s="98" t="s">
        <v>184</v>
      </c>
      <c r="E98" s="99"/>
      <c r="F98" s="99"/>
      <c r="G98" s="99"/>
      <c r="H98" s="99"/>
      <c r="I98" s="99"/>
      <c r="J98" s="99"/>
      <c r="K98" s="99"/>
      <c r="L98" s="99"/>
      <c r="M98" s="99"/>
      <c r="N98" s="99"/>
      <c r="O98" s="99"/>
      <c r="P98" s="99"/>
      <c r="Q98" s="99"/>
      <c r="R98" s="99"/>
      <c r="S98" s="99"/>
      <c r="T98" s="99"/>
      <c r="U98" s="100"/>
    </row>
    <row r="99" spans="1:21" ht="129.94999999999999" customHeight="1" x14ac:dyDescent="0.15">
      <c r="B99" s="122" t="s">
        <v>67</v>
      </c>
      <c r="C99" s="70" t="s">
        <v>68</v>
      </c>
      <c r="D99" s="95" t="s">
        <v>188</v>
      </c>
      <c r="E99" s="101"/>
      <c r="F99" s="101"/>
      <c r="G99" s="101"/>
      <c r="H99" s="101"/>
      <c r="I99" s="101"/>
      <c r="J99" s="101"/>
      <c r="K99" s="101"/>
      <c r="L99" s="101"/>
      <c r="M99" s="101"/>
      <c r="N99" s="101"/>
      <c r="O99" s="101"/>
      <c r="P99" s="101"/>
      <c r="Q99" s="101"/>
      <c r="R99" s="101"/>
      <c r="S99" s="101"/>
      <c r="T99" s="101"/>
      <c r="U99" s="102"/>
    </row>
    <row r="100" spans="1:21" ht="71.099999999999994" customHeight="1" x14ac:dyDescent="0.15">
      <c r="B100" s="124"/>
      <c r="C100" s="73" t="s">
        <v>40</v>
      </c>
      <c r="D100" s="95" t="s">
        <v>189</v>
      </c>
      <c r="E100" s="101"/>
      <c r="F100" s="101"/>
      <c r="G100" s="101"/>
      <c r="H100" s="101"/>
      <c r="I100" s="101"/>
      <c r="J100" s="101"/>
      <c r="K100" s="101"/>
      <c r="L100" s="101"/>
      <c r="M100" s="101"/>
      <c r="N100" s="101"/>
      <c r="O100" s="101"/>
      <c r="P100" s="101"/>
      <c r="Q100" s="101"/>
      <c r="R100" s="101"/>
      <c r="S100" s="101"/>
      <c r="T100" s="101"/>
      <c r="U100" s="102"/>
    </row>
    <row r="101" spans="1:21" ht="71.099999999999994" customHeight="1" x14ac:dyDescent="0.15">
      <c r="B101" s="123"/>
      <c r="C101" s="72" t="s">
        <v>41</v>
      </c>
      <c r="D101" s="98" t="s">
        <v>190</v>
      </c>
      <c r="E101" s="99"/>
      <c r="F101" s="99"/>
      <c r="G101" s="99"/>
      <c r="H101" s="99"/>
      <c r="I101" s="99"/>
      <c r="J101" s="99"/>
      <c r="K101" s="99"/>
      <c r="L101" s="99"/>
      <c r="M101" s="99"/>
      <c r="N101" s="99"/>
      <c r="O101" s="99"/>
      <c r="P101" s="99"/>
      <c r="Q101" s="99"/>
      <c r="R101" s="99"/>
      <c r="S101" s="99"/>
      <c r="T101" s="99"/>
      <c r="U101" s="100"/>
    </row>
    <row r="102" spans="1:21" ht="6" customHeight="1" x14ac:dyDescent="0.15"/>
    <row r="103" spans="1:21" ht="18.75" customHeight="1" x14ac:dyDescent="0.15">
      <c r="A103" s="1" t="s">
        <v>69</v>
      </c>
    </row>
    <row r="104" spans="1:21" ht="81.75" customHeight="1" x14ac:dyDescent="0.15">
      <c r="B104" s="140" t="s">
        <v>70</v>
      </c>
      <c r="C104" s="141"/>
      <c r="D104" s="141"/>
      <c r="E104" s="141"/>
      <c r="F104" s="141"/>
      <c r="G104" s="141"/>
      <c r="H104" s="141"/>
      <c r="I104" s="141"/>
      <c r="J104" s="141"/>
      <c r="K104" s="141"/>
      <c r="L104" s="141"/>
      <c r="M104" s="141"/>
      <c r="N104" s="141"/>
      <c r="O104" s="141"/>
      <c r="P104" s="141"/>
      <c r="Q104" s="141"/>
      <c r="R104" s="141"/>
      <c r="S104" s="141"/>
      <c r="T104" s="141"/>
      <c r="U104" s="142"/>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disablePrompts="1" count="6">
    <dataValidation type="list" allowBlank="1" showInputMessage="1" showErrorMessage="1" sqref="H27:J33 S27:U33 R71:U77 S38:U44 H60:J66 S49:U55 H38:J44 S60:U66 H49:J55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72" fitToHeight="0" orientation="portrait" r:id="rId1"/>
  <headerFooter>
    <oddHeader>&amp;C数理・データサイエンス・AI教育プログラム認定制度【リテラシーレベル】令和７年度申請用</oddHeader>
  </headerFooter>
  <rowBreaks count="2" manualBreakCount="2">
    <brk id="67" max="20" man="1"/>
    <brk id="98"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Layout" zoomScaleNormal="100" zoomScaleSheetLayoutView="100" workbookViewId="0">
      <selection activeCell="I17" sqref="I17"/>
    </sheetView>
  </sheetViews>
  <sheetFormatPr defaultColWidth="9" defaultRowHeight="18.75" customHeight="1" x14ac:dyDescent="0.15"/>
  <cols>
    <col min="1" max="1" width="2.75" style="1" customWidth="1"/>
    <col min="2" max="2" width="27.875" style="1" customWidth="1"/>
    <col min="3" max="18" width="6.125" style="1" customWidth="1"/>
    <col min="19" max="19" width="6.37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71</v>
      </c>
    </row>
    <row r="2" spans="1:21" ht="18" customHeight="1" x14ac:dyDescent="0.15">
      <c r="A2" s="54"/>
      <c r="B2" s="54"/>
      <c r="C2" s="54"/>
      <c r="D2" s="54"/>
      <c r="E2" s="54"/>
      <c r="F2" s="54"/>
      <c r="G2" s="54"/>
      <c r="H2" s="54"/>
      <c r="I2" s="54"/>
      <c r="J2" s="54"/>
      <c r="K2" s="54"/>
      <c r="L2" s="54"/>
      <c r="M2" s="54"/>
      <c r="N2" s="54"/>
      <c r="O2" s="54"/>
      <c r="P2" s="54"/>
      <c r="Q2" s="167" t="str">
        <f>'様式１　プログラムを構成する授業科目'!C2</f>
        <v>東京学芸大学</v>
      </c>
      <c r="R2" s="167"/>
      <c r="S2" s="167"/>
    </row>
    <row r="3" spans="1:21" ht="18" customHeight="1" x14ac:dyDescent="0.15">
      <c r="A3" s="130" t="s">
        <v>72</v>
      </c>
      <c r="B3" s="130"/>
      <c r="C3" s="130"/>
      <c r="D3" s="130"/>
      <c r="E3" s="130"/>
      <c r="F3" s="130"/>
      <c r="G3" s="130"/>
      <c r="H3" s="130"/>
      <c r="I3" s="130"/>
      <c r="J3" s="130"/>
      <c r="K3" s="130"/>
      <c r="L3" s="130"/>
      <c r="M3" s="130"/>
      <c r="N3" s="130"/>
      <c r="O3" s="130"/>
      <c r="P3" s="130"/>
      <c r="Q3" s="130"/>
      <c r="R3" s="130"/>
      <c r="S3" s="130"/>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73</v>
      </c>
      <c r="B5" s="54"/>
      <c r="C5" s="168" t="s">
        <v>74</v>
      </c>
      <c r="D5" s="169"/>
      <c r="E5" s="58" t="s">
        <v>75</v>
      </c>
      <c r="F5" s="56"/>
      <c r="G5" s="56"/>
      <c r="H5" s="56"/>
      <c r="I5" s="56"/>
      <c r="J5" s="56"/>
      <c r="K5" s="56"/>
      <c r="L5" s="56"/>
      <c r="M5" s="56"/>
      <c r="N5" s="56"/>
      <c r="O5" s="56"/>
      <c r="P5" s="56"/>
      <c r="Q5" s="56"/>
      <c r="R5" s="55"/>
      <c r="S5" s="55"/>
    </row>
    <row r="6" spans="1:21" ht="7.3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76</v>
      </c>
      <c r="B7" s="54"/>
      <c r="C7" s="77"/>
      <c r="D7" s="77"/>
      <c r="E7" s="56" t="s">
        <v>77</v>
      </c>
      <c r="F7" s="83">
        <v>1835</v>
      </c>
      <c r="G7" s="58" t="s">
        <v>78</v>
      </c>
      <c r="H7" s="56" t="s">
        <v>79</v>
      </c>
      <c r="I7" s="83">
        <v>2564</v>
      </c>
      <c r="J7" s="58" t="s">
        <v>78</v>
      </c>
      <c r="K7" s="57" t="s">
        <v>80</v>
      </c>
      <c r="L7" s="56" t="s">
        <v>81</v>
      </c>
      <c r="M7" s="59">
        <f>F7+I7</f>
        <v>4399</v>
      </c>
      <c r="N7" s="56" t="s">
        <v>82</v>
      </c>
      <c r="O7" s="58" t="s">
        <v>83</v>
      </c>
      <c r="P7" s="56"/>
      <c r="Q7" s="56"/>
      <c r="R7" s="55"/>
      <c r="S7" s="55"/>
    </row>
    <row r="8" spans="1:21" ht="17.45" customHeight="1" x14ac:dyDescent="0.15">
      <c r="A8" s="56"/>
      <c r="B8" s="78" t="s">
        <v>84</v>
      </c>
      <c r="C8" s="56"/>
      <c r="D8" s="56"/>
      <c r="E8" s="56"/>
      <c r="F8" s="56"/>
      <c r="G8" s="56"/>
      <c r="H8" s="56"/>
      <c r="I8" s="56"/>
      <c r="J8" s="56"/>
      <c r="K8" s="56"/>
      <c r="L8" s="56"/>
      <c r="M8" s="56"/>
      <c r="N8" s="56"/>
      <c r="O8" s="56"/>
      <c r="P8" s="56"/>
      <c r="Q8" s="56"/>
      <c r="R8" s="56"/>
      <c r="S8" s="56"/>
    </row>
    <row r="9" spans="1:21" ht="18" customHeight="1" x14ac:dyDescent="0.15">
      <c r="A9" s="54" t="s">
        <v>85</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0" t="s">
        <v>86</v>
      </c>
      <c r="C11" s="180" t="s">
        <v>87</v>
      </c>
      <c r="D11" s="172" t="s">
        <v>88</v>
      </c>
      <c r="E11" s="174" t="s">
        <v>89</v>
      </c>
      <c r="F11" s="166" t="s">
        <v>90</v>
      </c>
      <c r="G11" s="166"/>
      <c r="H11" s="166" t="s">
        <v>91</v>
      </c>
      <c r="I11" s="166"/>
      <c r="J11" s="166" t="s">
        <v>92</v>
      </c>
      <c r="K11" s="166"/>
      <c r="L11" s="166" t="s">
        <v>93</v>
      </c>
      <c r="M11" s="166"/>
      <c r="N11" s="166" t="s">
        <v>94</v>
      </c>
      <c r="O11" s="166"/>
      <c r="P11" s="166" t="s">
        <v>95</v>
      </c>
      <c r="Q11" s="166"/>
      <c r="R11" s="176" t="s">
        <v>96</v>
      </c>
      <c r="S11" s="178" t="s">
        <v>97</v>
      </c>
      <c r="U11" s="2"/>
    </row>
    <row r="12" spans="1:21" ht="17.100000000000001" customHeight="1" x14ac:dyDescent="0.15">
      <c r="B12" s="171"/>
      <c r="C12" s="181"/>
      <c r="D12" s="173"/>
      <c r="E12" s="175"/>
      <c r="F12" s="79" t="s">
        <v>98</v>
      </c>
      <c r="G12" s="79" t="s">
        <v>99</v>
      </c>
      <c r="H12" s="79" t="s">
        <v>98</v>
      </c>
      <c r="I12" s="79" t="s">
        <v>99</v>
      </c>
      <c r="J12" s="79" t="s">
        <v>98</v>
      </c>
      <c r="K12" s="79" t="s">
        <v>99</v>
      </c>
      <c r="L12" s="79" t="s">
        <v>98</v>
      </c>
      <c r="M12" s="79" t="s">
        <v>99</v>
      </c>
      <c r="N12" s="79" t="s">
        <v>98</v>
      </c>
      <c r="O12" s="79" t="s">
        <v>99</v>
      </c>
      <c r="P12" s="79" t="s">
        <v>98</v>
      </c>
      <c r="Q12" s="80" t="s">
        <v>99</v>
      </c>
      <c r="R12" s="177"/>
      <c r="S12" s="179"/>
      <c r="U12" s="2"/>
    </row>
    <row r="13" spans="1:21" ht="18" customHeight="1" x14ac:dyDescent="0.15">
      <c r="A13" s="6"/>
      <c r="B13" s="48" t="s">
        <v>100</v>
      </c>
      <c r="C13" s="36">
        <v>1726</v>
      </c>
      <c r="D13" s="37">
        <v>825</v>
      </c>
      <c r="E13" s="38">
        <v>1650</v>
      </c>
      <c r="F13" s="38">
        <v>866</v>
      </c>
      <c r="G13" s="38">
        <v>794</v>
      </c>
      <c r="H13" s="38">
        <v>852</v>
      </c>
      <c r="I13" s="38">
        <v>0</v>
      </c>
      <c r="J13" s="38"/>
      <c r="K13" s="38"/>
      <c r="L13" s="38"/>
      <c r="M13" s="38"/>
      <c r="N13" s="38"/>
      <c r="O13" s="38"/>
      <c r="P13" s="38"/>
      <c r="Q13" s="49"/>
      <c r="R13" s="37">
        <f t="shared" ref="R13:R32" si="0">F13+H13+J13+L13+N13+P13</f>
        <v>1718</v>
      </c>
      <c r="S13" s="50">
        <f t="shared" ref="S13:S33" si="1">R13/E13</f>
        <v>1.0412121212121213</v>
      </c>
    </row>
    <row r="14" spans="1:21" ht="18" customHeight="1" x14ac:dyDescent="0.15">
      <c r="A14" s="6"/>
      <c r="B14" s="11" t="s">
        <v>101</v>
      </c>
      <c r="C14" s="39">
        <v>387</v>
      </c>
      <c r="D14" s="40">
        <v>185</v>
      </c>
      <c r="E14" s="41">
        <v>370</v>
      </c>
      <c r="F14" s="42">
        <v>193</v>
      </c>
      <c r="G14" s="42">
        <v>168</v>
      </c>
      <c r="H14" s="42">
        <v>180</v>
      </c>
      <c r="I14" s="42">
        <v>0</v>
      </c>
      <c r="J14" s="42"/>
      <c r="K14" s="42"/>
      <c r="L14" s="42"/>
      <c r="M14" s="42"/>
      <c r="N14" s="42"/>
      <c r="O14" s="42"/>
      <c r="P14" s="42"/>
      <c r="Q14" s="39"/>
      <c r="R14" s="40">
        <f t="shared" si="0"/>
        <v>373</v>
      </c>
      <c r="S14" s="16">
        <f t="shared" si="1"/>
        <v>1.008108108108108</v>
      </c>
    </row>
    <row r="15" spans="1:21" ht="18" customHeight="1" x14ac:dyDescent="0.15">
      <c r="A15" s="6"/>
      <c r="B15" s="11" t="s">
        <v>102</v>
      </c>
      <c r="C15" s="39">
        <v>1868</v>
      </c>
      <c r="D15" s="40">
        <v>825</v>
      </c>
      <c r="E15" s="41">
        <v>1650</v>
      </c>
      <c r="F15" s="42">
        <v>0</v>
      </c>
      <c r="G15" s="42">
        <v>0</v>
      </c>
      <c r="H15" s="42">
        <v>0</v>
      </c>
      <c r="I15" s="42">
        <v>0</v>
      </c>
      <c r="J15" s="42"/>
      <c r="K15" s="42"/>
      <c r="L15" s="42"/>
      <c r="M15" s="42"/>
      <c r="N15" s="42"/>
      <c r="O15" s="42"/>
      <c r="P15" s="42"/>
      <c r="Q15" s="39"/>
      <c r="R15" s="40">
        <f t="shared" si="0"/>
        <v>0</v>
      </c>
      <c r="S15" s="8">
        <f t="shared" si="1"/>
        <v>0</v>
      </c>
    </row>
    <row r="16" spans="1:21" ht="18" customHeight="1" x14ac:dyDescent="0.15">
      <c r="A16" s="6"/>
      <c r="B16" s="11" t="s">
        <v>103</v>
      </c>
      <c r="C16" s="39">
        <v>418</v>
      </c>
      <c r="D16" s="40">
        <v>185</v>
      </c>
      <c r="E16" s="41">
        <v>370</v>
      </c>
      <c r="F16" s="42">
        <v>0</v>
      </c>
      <c r="G16" s="42">
        <v>0</v>
      </c>
      <c r="H16" s="42">
        <v>0</v>
      </c>
      <c r="I16" s="42">
        <v>0</v>
      </c>
      <c r="J16" s="42"/>
      <c r="K16" s="42"/>
      <c r="L16" s="42"/>
      <c r="M16" s="42"/>
      <c r="N16" s="42"/>
      <c r="O16" s="42"/>
      <c r="P16" s="42"/>
      <c r="Q16" s="39"/>
      <c r="R16" s="40">
        <f t="shared" si="0"/>
        <v>0</v>
      </c>
      <c r="S16" s="8">
        <f t="shared" si="1"/>
        <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104</v>
      </c>
      <c r="C33" s="45">
        <f t="shared" ref="C33" si="2">SUM(C13:C32)</f>
        <v>4399</v>
      </c>
      <c r="D33" s="46">
        <f t="shared" ref="D33:R33" si="3">SUM(D13:D32)</f>
        <v>2020</v>
      </c>
      <c r="E33" s="47">
        <f t="shared" si="3"/>
        <v>4040</v>
      </c>
      <c r="F33" s="47">
        <f t="shared" si="3"/>
        <v>1059</v>
      </c>
      <c r="G33" s="47">
        <f t="shared" ref="G33:H33" si="4">SUM(G13:G32)</f>
        <v>962</v>
      </c>
      <c r="H33" s="47">
        <f t="shared" si="4"/>
        <v>1032</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2091</v>
      </c>
      <c r="S33" s="9">
        <f t="shared" si="1"/>
        <v>0.51757425742574259</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 sqref="B2"/>
    </sheetView>
  </sheetViews>
  <sheetFormatPr defaultColWidth="11.375" defaultRowHeight="18.75" customHeight="1" x14ac:dyDescent="0.15"/>
  <cols>
    <col min="1" max="1" width="2.75" style="20" customWidth="1"/>
    <col min="2" max="2" width="16.375" style="1" customWidth="1"/>
    <col min="3" max="3" width="8.875" style="1" customWidth="1"/>
    <col min="4" max="4" width="2.25" style="1" customWidth="1"/>
    <col min="5" max="5" width="16.375" style="1" customWidth="1"/>
    <col min="6" max="6" width="4.375" style="1" customWidth="1"/>
    <col min="7" max="7" width="9" style="1" customWidth="1"/>
    <col min="8" max="8" width="16.375" style="1" customWidth="1"/>
    <col min="9" max="9" width="12.125" style="1" customWidth="1"/>
    <col min="10" max="16384" width="11.375" style="1"/>
  </cols>
  <sheetData>
    <row r="1" spans="1:9" ht="18.75" customHeight="1" x14ac:dyDescent="0.15">
      <c r="A1" s="20" t="s">
        <v>105</v>
      </c>
      <c r="I1" s="18" t="s">
        <v>106</v>
      </c>
    </row>
    <row r="2" spans="1:9" ht="18.75" customHeight="1" x14ac:dyDescent="0.15">
      <c r="G2" s="18" t="s">
        <v>2</v>
      </c>
      <c r="H2" s="92" t="str">
        <f>'様式１　プログラムを構成する授業科目'!C2</f>
        <v>東京学芸大学</v>
      </c>
      <c r="I2" s="94"/>
    </row>
    <row r="3" spans="1:9" ht="18.75" customHeight="1" x14ac:dyDescent="0.15">
      <c r="G3" s="18"/>
      <c r="H3" s="10"/>
      <c r="I3" s="10"/>
    </row>
    <row r="4" spans="1:9" ht="18.600000000000001" customHeight="1" x14ac:dyDescent="0.15">
      <c r="A4" s="130" t="s">
        <v>107</v>
      </c>
      <c r="B4" s="130"/>
      <c r="C4" s="130"/>
      <c r="D4" s="130"/>
      <c r="E4" s="130"/>
      <c r="F4" s="130"/>
      <c r="G4" s="130"/>
      <c r="H4" s="130"/>
      <c r="I4" s="130"/>
    </row>
    <row r="5" spans="1:9" ht="13.35" customHeight="1" x14ac:dyDescent="0.15">
      <c r="B5" s="3"/>
      <c r="C5" s="3"/>
      <c r="D5" s="3"/>
      <c r="E5" s="3"/>
      <c r="F5" s="3"/>
      <c r="G5" s="3"/>
      <c r="H5" s="3"/>
      <c r="I5" s="3"/>
    </row>
    <row r="6" spans="1:9" ht="18" customHeight="1" x14ac:dyDescent="0.15">
      <c r="A6" s="1" t="s">
        <v>108</v>
      </c>
      <c r="B6" s="10" t="s">
        <v>109</v>
      </c>
      <c r="C6" s="230" t="s">
        <v>110</v>
      </c>
      <c r="D6" s="230"/>
      <c r="E6" s="17">
        <v>841</v>
      </c>
      <c r="F6" s="3" t="s">
        <v>82</v>
      </c>
      <c r="G6" s="3" t="s">
        <v>111</v>
      </c>
      <c r="H6" s="17">
        <v>479</v>
      </c>
      <c r="I6" s="10" t="s">
        <v>82</v>
      </c>
    </row>
    <row r="7" spans="1:9" ht="12" customHeight="1" x14ac:dyDescent="0.15">
      <c r="C7" s="2"/>
      <c r="D7" s="2"/>
      <c r="E7" s="2"/>
      <c r="F7" s="2"/>
      <c r="G7" s="2"/>
      <c r="H7" s="2"/>
      <c r="I7" s="21"/>
    </row>
    <row r="8" spans="1:9" ht="18" customHeight="1" x14ac:dyDescent="0.15">
      <c r="A8" s="1" t="s">
        <v>112</v>
      </c>
      <c r="B8" s="10" t="s">
        <v>113</v>
      </c>
      <c r="E8" s="3"/>
      <c r="F8" s="3"/>
      <c r="G8" s="3"/>
      <c r="H8" s="17">
        <v>16</v>
      </c>
      <c r="I8" s="10" t="s">
        <v>82</v>
      </c>
    </row>
    <row r="9" spans="1:9" ht="9" customHeight="1" x14ac:dyDescent="0.15">
      <c r="B9" s="3"/>
      <c r="C9" s="3"/>
      <c r="D9" s="3"/>
      <c r="E9" s="3"/>
      <c r="F9" s="3"/>
      <c r="G9" s="3"/>
      <c r="H9" s="3"/>
      <c r="I9" s="3"/>
    </row>
    <row r="10" spans="1:9" ht="18" customHeight="1" x14ac:dyDescent="0.15">
      <c r="A10" s="1" t="s">
        <v>114</v>
      </c>
      <c r="B10" s="10" t="s">
        <v>115</v>
      </c>
      <c r="C10" s="3"/>
      <c r="D10" s="3"/>
      <c r="E10" s="3"/>
      <c r="F10" s="3"/>
      <c r="G10" s="3"/>
      <c r="H10" s="3"/>
      <c r="I10" s="3"/>
    </row>
    <row r="11" spans="1:9" ht="18" customHeight="1" x14ac:dyDescent="0.15">
      <c r="B11" s="18" t="s">
        <v>116</v>
      </c>
      <c r="C11" s="225" t="s">
        <v>117</v>
      </c>
      <c r="D11" s="228"/>
      <c r="E11" s="229"/>
      <c r="F11" s="21"/>
      <c r="G11" s="18" t="s">
        <v>118</v>
      </c>
      <c r="H11" s="225" t="s">
        <v>119</v>
      </c>
      <c r="I11" s="229"/>
    </row>
    <row r="12" spans="1:9" ht="10.35" customHeight="1" x14ac:dyDescent="0.15">
      <c r="B12" s="18"/>
      <c r="C12" s="10"/>
      <c r="D12" s="21"/>
      <c r="E12" s="21"/>
      <c r="F12" s="21"/>
      <c r="G12" s="18"/>
      <c r="H12" s="10"/>
      <c r="I12" s="21"/>
    </row>
    <row r="13" spans="1:9" ht="18" customHeight="1" x14ac:dyDescent="0.15">
      <c r="A13" s="1" t="s">
        <v>120</v>
      </c>
      <c r="B13" s="10" t="s">
        <v>121</v>
      </c>
      <c r="C13" s="3"/>
      <c r="D13" s="3"/>
      <c r="E13" s="3"/>
      <c r="F13" s="3"/>
      <c r="G13" s="3"/>
      <c r="H13" s="3"/>
      <c r="I13" s="3"/>
    </row>
    <row r="14" spans="1:9" ht="18" customHeight="1" x14ac:dyDescent="0.15">
      <c r="B14" s="225" t="s">
        <v>122</v>
      </c>
      <c r="C14" s="226"/>
      <c r="D14" s="226"/>
      <c r="E14" s="226"/>
      <c r="F14" s="226"/>
      <c r="G14" s="226"/>
      <c r="H14" s="226"/>
      <c r="I14" s="227"/>
    </row>
    <row r="15" spans="1:9" ht="9" customHeight="1" x14ac:dyDescent="0.15">
      <c r="B15" s="3"/>
      <c r="C15" s="3"/>
      <c r="D15" s="3"/>
      <c r="E15" s="3"/>
      <c r="F15" s="3"/>
      <c r="G15" s="3"/>
      <c r="H15" s="3"/>
      <c r="I15" s="3"/>
    </row>
    <row r="16" spans="1:9" ht="18" customHeight="1" x14ac:dyDescent="0.15">
      <c r="B16" s="18" t="s">
        <v>116</v>
      </c>
      <c r="C16" s="225" t="s">
        <v>123</v>
      </c>
      <c r="D16" s="228"/>
      <c r="E16" s="229"/>
      <c r="F16" s="21"/>
      <c r="G16" s="18" t="s">
        <v>118</v>
      </c>
      <c r="H16" s="225" t="s">
        <v>124</v>
      </c>
      <c r="I16" s="229"/>
    </row>
    <row r="17" spans="1:9" ht="18" customHeight="1" x14ac:dyDescent="0.15">
      <c r="B17" s="3"/>
      <c r="C17" s="3"/>
      <c r="D17" s="3"/>
      <c r="E17" s="3"/>
      <c r="F17" s="3"/>
      <c r="G17" s="3"/>
      <c r="H17" s="3"/>
      <c r="I17" s="3"/>
    </row>
    <row r="18" spans="1:9" ht="18.75" customHeight="1" x14ac:dyDescent="0.15">
      <c r="A18" s="1" t="s">
        <v>125</v>
      </c>
      <c r="B18" s="1" t="s">
        <v>126</v>
      </c>
      <c r="I18" s="3"/>
    </row>
    <row r="19" spans="1:9" ht="18.75" customHeight="1" x14ac:dyDescent="0.15">
      <c r="A19" s="1"/>
      <c r="B19" s="210" t="s">
        <v>127</v>
      </c>
      <c r="C19" s="211"/>
      <c r="D19" s="211"/>
      <c r="E19" s="211"/>
      <c r="F19" s="211"/>
      <c r="G19" s="211"/>
      <c r="H19" s="211"/>
      <c r="I19" s="212"/>
    </row>
    <row r="20" spans="1:9" ht="7.5" customHeight="1" x14ac:dyDescent="0.15">
      <c r="B20" s="3"/>
      <c r="C20" s="3"/>
      <c r="D20" s="3"/>
      <c r="E20" s="3"/>
      <c r="F20" s="3"/>
      <c r="G20" s="3"/>
      <c r="H20" s="3"/>
      <c r="I20" s="3"/>
    </row>
    <row r="21" spans="1:9" ht="18.75" customHeight="1" x14ac:dyDescent="0.15">
      <c r="A21" s="1" t="s">
        <v>128</v>
      </c>
      <c r="B21" s="1" t="s">
        <v>129</v>
      </c>
    </row>
    <row r="22" spans="1:9" ht="18.75" customHeight="1" x14ac:dyDescent="0.15">
      <c r="A22" s="14"/>
      <c r="B22" s="213" t="s">
        <v>195</v>
      </c>
      <c r="C22" s="214"/>
      <c r="D22" s="214"/>
      <c r="E22" s="214"/>
      <c r="F22" s="214"/>
      <c r="G22" s="214"/>
      <c r="H22" s="214"/>
      <c r="I22" s="215"/>
    </row>
    <row r="23" spans="1:9" ht="18.75" customHeight="1" x14ac:dyDescent="0.15">
      <c r="A23" s="14"/>
      <c r="B23" s="216"/>
      <c r="C23" s="217"/>
      <c r="D23" s="217"/>
      <c r="E23" s="217"/>
      <c r="F23" s="217"/>
      <c r="G23" s="217"/>
      <c r="H23" s="217"/>
      <c r="I23" s="218"/>
    </row>
    <row r="24" spans="1:9" ht="18.75" customHeight="1" x14ac:dyDescent="0.15">
      <c r="A24" s="14"/>
      <c r="B24" s="216"/>
      <c r="C24" s="217"/>
      <c r="D24" s="217"/>
      <c r="E24" s="217"/>
      <c r="F24" s="217"/>
      <c r="G24" s="217"/>
      <c r="H24" s="217"/>
      <c r="I24" s="218"/>
    </row>
    <row r="25" spans="1:9" ht="18.75" customHeight="1" x14ac:dyDescent="0.15">
      <c r="A25" s="14"/>
      <c r="B25" s="216"/>
      <c r="C25" s="217"/>
      <c r="D25" s="217"/>
      <c r="E25" s="217"/>
      <c r="F25" s="217"/>
      <c r="G25" s="217"/>
      <c r="H25" s="217"/>
      <c r="I25" s="218"/>
    </row>
    <row r="26" spans="1:9" ht="18.75" customHeight="1" x14ac:dyDescent="0.15">
      <c r="A26" s="14"/>
      <c r="B26" s="216"/>
      <c r="C26" s="217"/>
      <c r="D26" s="217"/>
      <c r="E26" s="217"/>
      <c r="F26" s="217"/>
      <c r="G26" s="217"/>
      <c r="H26" s="217"/>
      <c r="I26" s="218"/>
    </row>
    <row r="27" spans="1:9" ht="18.75" customHeight="1" x14ac:dyDescent="0.15">
      <c r="A27" s="14"/>
      <c r="B27" s="216"/>
      <c r="C27" s="217"/>
      <c r="D27" s="217"/>
      <c r="E27" s="217"/>
      <c r="F27" s="217"/>
      <c r="G27" s="217"/>
      <c r="H27" s="217"/>
      <c r="I27" s="218"/>
    </row>
    <row r="28" spans="1:9" ht="18.75" customHeight="1" x14ac:dyDescent="0.15">
      <c r="A28" s="14"/>
      <c r="B28" s="216"/>
      <c r="C28" s="217"/>
      <c r="D28" s="217"/>
      <c r="E28" s="217"/>
      <c r="F28" s="217"/>
      <c r="G28" s="217"/>
      <c r="H28" s="217"/>
      <c r="I28" s="218"/>
    </row>
    <row r="29" spans="1:9" ht="18.75" customHeight="1" x14ac:dyDescent="0.15">
      <c r="A29" s="14"/>
      <c r="B29" s="216"/>
      <c r="C29" s="217"/>
      <c r="D29" s="217"/>
      <c r="E29" s="217"/>
      <c r="F29" s="217"/>
      <c r="G29" s="217"/>
      <c r="H29" s="217"/>
      <c r="I29" s="218"/>
    </row>
    <row r="30" spans="1:9" ht="18.75" customHeight="1" x14ac:dyDescent="0.15">
      <c r="A30" s="14"/>
      <c r="B30" s="219"/>
      <c r="C30" s="220"/>
      <c r="D30" s="220"/>
      <c r="E30" s="220"/>
      <c r="F30" s="220"/>
      <c r="G30" s="220"/>
      <c r="H30" s="220"/>
      <c r="I30" s="218"/>
    </row>
    <row r="31" spans="1:9" ht="18.75" customHeight="1" x14ac:dyDescent="0.15">
      <c r="A31" s="14"/>
      <c r="B31" s="219"/>
      <c r="C31" s="220"/>
      <c r="D31" s="220"/>
      <c r="E31" s="220"/>
      <c r="F31" s="220"/>
      <c r="G31" s="220"/>
      <c r="H31" s="220"/>
      <c r="I31" s="218"/>
    </row>
    <row r="32" spans="1:9" ht="18.75" customHeight="1" x14ac:dyDescent="0.15">
      <c r="A32" s="14"/>
      <c r="B32" s="221"/>
      <c r="C32" s="222"/>
      <c r="D32" s="222"/>
      <c r="E32" s="222"/>
      <c r="F32" s="222"/>
      <c r="G32" s="222"/>
      <c r="H32" s="222"/>
      <c r="I32" s="223"/>
    </row>
    <row r="33" spans="1:9" ht="7.5" customHeight="1" x14ac:dyDescent="0.15">
      <c r="A33" s="14"/>
      <c r="B33" s="14"/>
      <c r="C33" s="14"/>
      <c r="D33" s="14"/>
      <c r="E33" s="14"/>
      <c r="F33" s="14"/>
      <c r="G33" s="14"/>
      <c r="H33" s="14"/>
      <c r="I33" s="14"/>
    </row>
    <row r="34" spans="1:9" ht="18.75" customHeight="1" x14ac:dyDescent="0.15">
      <c r="A34" s="15" t="s">
        <v>130</v>
      </c>
      <c r="B34" s="15" t="s">
        <v>131</v>
      </c>
      <c r="C34" s="10"/>
      <c r="D34" s="15"/>
      <c r="E34" s="15"/>
      <c r="F34" s="15"/>
      <c r="G34" s="15"/>
      <c r="H34" s="15"/>
      <c r="I34" s="15"/>
    </row>
    <row r="35" spans="1:9" ht="18.75" customHeight="1" x14ac:dyDescent="0.15">
      <c r="A35" s="14"/>
      <c r="B35" s="224" t="s">
        <v>132</v>
      </c>
      <c r="C35" s="214"/>
      <c r="D35" s="214"/>
      <c r="E35" s="214"/>
      <c r="F35" s="214"/>
      <c r="G35" s="214"/>
      <c r="H35" s="214"/>
      <c r="I35" s="215"/>
    </row>
    <row r="36" spans="1:9" ht="18.75" customHeight="1" x14ac:dyDescent="0.15">
      <c r="A36" s="14"/>
      <c r="B36" s="219"/>
      <c r="C36" s="220"/>
      <c r="D36" s="220"/>
      <c r="E36" s="220"/>
      <c r="F36" s="220"/>
      <c r="G36" s="220"/>
      <c r="H36" s="220"/>
      <c r="I36" s="218"/>
    </row>
    <row r="37" spans="1:9" ht="18.75" customHeight="1" x14ac:dyDescent="0.15">
      <c r="A37" s="14"/>
      <c r="B37" s="219"/>
      <c r="C37" s="220"/>
      <c r="D37" s="220"/>
      <c r="E37" s="220"/>
      <c r="F37" s="220"/>
      <c r="G37" s="220"/>
      <c r="H37" s="220"/>
      <c r="I37" s="218"/>
    </row>
    <row r="38" spans="1:9" ht="18.75" customHeight="1" x14ac:dyDescent="0.15">
      <c r="A38" s="14"/>
      <c r="B38" s="219"/>
      <c r="C38" s="220"/>
      <c r="D38" s="220"/>
      <c r="E38" s="220"/>
      <c r="F38" s="220"/>
      <c r="G38" s="220"/>
      <c r="H38" s="220"/>
      <c r="I38" s="218"/>
    </row>
    <row r="39" spans="1:9" ht="18.75" customHeight="1" x14ac:dyDescent="0.15">
      <c r="A39" s="14"/>
      <c r="B39" s="219"/>
      <c r="C39" s="220"/>
      <c r="D39" s="220"/>
      <c r="E39" s="220"/>
      <c r="F39" s="220"/>
      <c r="G39" s="220"/>
      <c r="H39" s="220"/>
      <c r="I39" s="218"/>
    </row>
    <row r="40" spans="1:9" ht="18.75" customHeight="1" x14ac:dyDescent="0.15">
      <c r="A40" s="14"/>
      <c r="B40" s="219"/>
      <c r="C40" s="220"/>
      <c r="D40" s="220"/>
      <c r="E40" s="220"/>
      <c r="F40" s="220"/>
      <c r="G40" s="220"/>
      <c r="H40" s="220"/>
      <c r="I40" s="218"/>
    </row>
    <row r="41" spans="1:9" ht="18.75" customHeight="1" x14ac:dyDescent="0.15">
      <c r="A41" s="14"/>
      <c r="B41" s="219"/>
      <c r="C41" s="220"/>
      <c r="D41" s="220"/>
      <c r="E41" s="220"/>
      <c r="F41" s="220"/>
      <c r="G41" s="220"/>
      <c r="H41" s="220"/>
      <c r="I41" s="218"/>
    </row>
    <row r="42" spans="1:9" ht="18.75" customHeight="1" x14ac:dyDescent="0.15">
      <c r="A42" s="14"/>
      <c r="B42" s="219"/>
      <c r="C42" s="220"/>
      <c r="D42" s="220"/>
      <c r="E42" s="220"/>
      <c r="F42" s="220"/>
      <c r="G42" s="220"/>
      <c r="H42" s="220"/>
      <c r="I42" s="218"/>
    </row>
    <row r="43" spans="1:9" ht="18.75" customHeight="1" x14ac:dyDescent="0.15">
      <c r="A43" s="14"/>
      <c r="B43" s="219"/>
      <c r="C43" s="220"/>
      <c r="D43" s="220"/>
      <c r="E43" s="220"/>
      <c r="F43" s="220"/>
      <c r="G43" s="220"/>
      <c r="H43" s="220"/>
      <c r="I43" s="218"/>
    </row>
    <row r="44" spans="1:9" ht="18.75" customHeight="1" x14ac:dyDescent="0.15">
      <c r="A44" s="14"/>
      <c r="B44" s="219"/>
      <c r="C44" s="220"/>
      <c r="D44" s="220"/>
      <c r="E44" s="220"/>
      <c r="F44" s="220"/>
      <c r="G44" s="220"/>
      <c r="H44" s="220"/>
      <c r="I44" s="218"/>
    </row>
    <row r="45" spans="1:9" ht="18.75" customHeight="1" x14ac:dyDescent="0.15">
      <c r="A45" s="14"/>
      <c r="B45" s="219"/>
      <c r="C45" s="220"/>
      <c r="D45" s="220"/>
      <c r="E45" s="220"/>
      <c r="F45" s="220"/>
      <c r="G45" s="220"/>
      <c r="H45" s="220"/>
      <c r="I45" s="218"/>
    </row>
    <row r="46" spans="1:9" ht="18.75" customHeight="1" x14ac:dyDescent="0.15">
      <c r="A46" s="14"/>
      <c r="B46" s="221"/>
      <c r="C46" s="222"/>
      <c r="D46" s="222"/>
      <c r="E46" s="222"/>
      <c r="F46" s="222"/>
      <c r="G46" s="222"/>
      <c r="H46" s="222"/>
      <c r="I46" s="223"/>
    </row>
    <row r="47" spans="1:9" ht="7.5" customHeight="1" x14ac:dyDescent="0.15">
      <c r="A47" s="4"/>
      <c r="B47" s="4"/>
      <c r="C47" s="4"/>
      <c r="D47" s="4"/>
      <c r="E47" s="4"/>
      <c r="F47" s="4"/>
      <c r="G47" s="4"/>
      <c r="H47" s="4"/>
      <c r="I47" s="4"/>
    </row>
    <row r="48" spans="1:9" ht="18.75" customHeight="1" x14ac:dyDescent="0.15">
      <c r="A48" s="1" t="s">
        <v>133</v>
      </c>
      <c r="B48" s="1" t="s">
        <v>134</v>
      </c>
    </row>
    <row r="49" spans="1:15" s="3" customFormat="1" ht="18.75" customHeight="1" x14ac:dyDescent="0.15">
      <c r="B49" s="81" t="s">
        <v>135</v>
      </c>
      <c r="C49" s="199">
        <f>'様式２ 履修者等数の実績'!S33</f>
        <v>0.51757425742574259</v>
      </c>
      <c r="D49" s="199"/>
      <c r="E49" s="81" t="s">
        <v>136</v>
      </c>
      <c r="F49" s="199">
        <v>0.75</v>
      </c>
      <c r="G49" s="199"/>
      <c r="H49" s="81" t="s">
        <v>137</v>
      </c>
      <c r="I49" s="22">
        <v>1</v>
      </c>
      <c r="J49" s="1"/>
      <c r="M49" s="1"/>
      <c r="N49" s="23"/>
    </row>
    <row r="50" spans="1:15" s="3" customFormat="1" ht="18.75" customHeight="1" x14ac:dyDescent="0.15">
      <c r="B50" s="82" t="s">
        <v>138</v>
      </c>
      <c r="C50" s="182">
        <v>1</v>
      </c>
      <c r="D50" s="182"/>
      <c r="E50" s="82" t="s">
        <v>139</v>
      </c>
      <c r="F50" s="182">
        <v>1</v>
      </c>
      <c r="G50" s="182"/>
      <c r="H50" s="82" t="s">
        <v>140</v>
      </c>
      <c r="I50" s="24">
        <f>'様式２ 履修者等数の実績'!E33</f>
        <v>4040</v>
      </c>
      <c r="J50" s="1"/>
      <c r="M50" s="1"/>
      <c r="N50" s="23"/>
    </row>
    <row r="51" spans="1:15" ht="18.75" customHeight="1" x14ac:dyDescent="0.15">
      <c r="A51" s="1"/>
      <c r="B51" s="232" t="s">
        <v>141</v>
      </c>
      <c r="C51" s="233"/>
      <c r="D51" s="233"/>
      <c r="E51" s="233"/>
      <c r="F51" s="233"/>
      <c r="G51" s="233"/>
      <c r="H51" s="233"/>
      <c r="I51" s="234"/>
      <c r="N51" s="23"/>
      <c r="O51" s="3"/>
    </row>
    <row r="52" spans="1:15" ht="18.75" customHeight="1" x14ac:dyDescent="0.15">
      <c r="A52" s="1"/>
      <c r="B52" s="200" t="s">
        <v>142</v>
      </c>
      <c r="C52" s="201"/>
      <c r="D52" s="201"/>
      <c r="E52" s="201"/>
      <c r="F52" s="201"/>
      <c r="G52" s="201"/>
      <c r="H52" s="201"/>
      <c r="I52" s="202"/>
      <c r="N52" s="23"/>
      <c r="O52" s="3"/>
    </row>
    <row r="53" spans="1:15" ht="18.75" customHeight="1" x14ac:dyDescent="0.15">
      <c r="A53" s="1"/>
      <c r="B53" s="203"/>
      <c r="C53" s="204"/>
      <c r="D53" s="204"/>
      <c r="E53" s="204"/>
      <c r="F53" s="204"/>
      <c r="G53" s="204"/>
      <c r="H53" s="204"/>
      <c r="I53" s="205"/>
      <c r="N53" s="23"/>
      <c r="O53" s="3"/>
    </row>
    <row r="54" spans="1:15" ht="18.75" customHeight="1" x14ac:dyDescent="0.15">
      <c r="A54" s="1"/>
      <c r="B54" s="203"/>
      <c r="C54" s="204"/>
      <c r="D54" s="204"/>
      <c r="E54" s="204"/>
      <c r="F54" s="204"/>
      <c r="G54" s="204"/>
      <c r="H54" s="204"/>
      <c r="I54" s="205"/>
    </row>
    <row r="55" spans="1:15" ht="18.75" customHeight="1" x14ac:dyDescent="0.15">
      <c r="A55" s="1"/>
      <c r="B55" s="203"/>
      <c r="C55" s="204"/>
      <c r="D55" s="204"/>
      <c r="E55" s="204"/>
      <c r="F55" s="204"/>
      <c r="G55" s="204"/>
      <c r="H55" s="204"/>
      <c r="I55" s="205"/>
    </row>
    <row r="56" spans="1:15" ht="18.75" customHeight="1" x14ac:dyDescent="0.15">
      <c r="A56" s="1"/>
      <c r="B56" s="203"/>
      <c r="C56" s="204"/>
      <c r="D56" s="204"/>
      <c r="E56" s="204"/>
      <c r="F56" s="204"/>
      <c r="G56" s="204"/>
      <c r="H56" s="204"/>
      <c r="I56" s="205"/>
    </row>
    <row r="57" spans="1:15" ht="18.75" customHeight="1" x14ac:dyDescent="0.15">
      <c r="A57" s="1"/>
      <c r="B57" s="203"/>
      <c r="C57" s="204"/>
      <c r="D57" s="204"/>
      <c r="E57" s="204"/>
      <c r="F57" s="204"/>
      <c r="G57" s="204"/>
      <c r="H57" s="204"/>
      <c r="I57" s="205"/>
    </row>
    <row r="58" spans="1:15" ht="18.75" customHeight="1" x14ac:dyDescent="0.15">
      <c r="A58" s="1"/>
      <c r="B58" s="203"/>
      <c r="C58" s="204"/>
      <c r="D58" s="204"/>
      <c r="E58" s="204"/>
      <c r="F58" s="204"/>
      <c r="G58" s="204"/>
      <c r="H58" s="204"/>
      <c r="I58" s="205"/>
    </row>
    <row r="59" spans="1:15" ht="18.75" customHeight="1" x14ac:dyDescent="0.15">
      <c r="A59" s="1"/>
      <c r="B59" s="203"/>
      <c r="C59" s="204"/>
      <c r="D59" s="204"/>
      <c r="E59" s="204"/>
      <c r="F59" s="204"/>
      <c r="G59" s="204"/>
      <c r="H59" s="204"/>
      <c r="I59" s="205"/>
    </row>
    <row r="60" spans="1:15" ht="18.75" customHeight="1" x14ac:dyDescent="0.15">
      <c r="A60" s="1"/>
      <c r="B60" s="203"/>
      <c r="C60" s="204"/>
      <c r="D60" s="204"/>
      <c r="E60" s="204"/>
      <c r="F60" s="204"/>
      <c r="G60" s="204"/>
      <c r="H60" s="204"/>
      <c r="I60" s="205"/>
    </row>
    <row r="61" spans="1:15" ht="18.75" customHeight="1" x14ac:dyDescent="0.15">
      <c r="A61" s="1"/>
      <c r="B61" s="203"/>
      <c r="C61" s="204"/>
      <c r="D61" s="204"/>
      <c r="E61" s="204"/>
      <c r="F61" s="204"/>
      <c r="G61" s="204"/>
      <c r="H61" s="204"/>
      <c r="I61" s="205"/>
    </row>
    <row r="62" spans="1:15" ht="18.75" customHeight="1" x14ac:dyDescent="0.15">
      <c r="A62" s="1"/>
      <c r="B62" s="203"/>
      <c r="C62" s="204"/>
      <c r="D62" s="204"/>
      <c r="E62" s="204"/>
      <c r="F62" s="204"/>
      <c r="G62" s="204"/>
      <c r="H62" s="204"/>
      <c r="I62" s="205"/>
    </row>
    <row r="63" spans="1:15" ht="18.75" customHeight="1" x14ac:dyDescent="0.15">
      <c r="A63" s="1"/>
      <c r="B63" s="206"/>
      <c r="C63" s="207"/>
      <c r="D63" s="207"/>
      <c r="E63" s="207"/>
      <c r="F63" s="207"/>
      <c r="G63" s="207"/>
      <c r="H63" s="207"/>
      <c r="I63" s="208"/>
    </row>
    <row r="64" spans="1:15" ht="7.5" customHeight="1" x14ac:dyDescent="0.15">
      <c r="A64" s="14"/>
      <c r="B64" s="14"/>
      <c r="C64" s="14"/>
      <c r="D64" s="14"/>
      <c r="E64" s="14"/>
      <c r="F64" s="14"/>
      <c r="G64" s="14"/>
      <c r="H64" s="14"/>
      <c r="I64" s="14"/>
    </row>
    <row r="65" spans="1:9" ht="18.75" customHeight="1" x14ac:dyDescent="0.15">
      <c r="A65" s="15" t="s">
        <v>143</v>
      </c>
      <c r="B65" s="1" t="s">
        <v>144</v>
      </c>
      <c r="I65" s="15"/>
    </row>
    <row r="66" spans="1:9" ht="18.75" customHeight="1" x14ac:dyDescent="0.15">
      <c r="A66" s="4"/>
      <c r="B66" s="183" t="s">
        <v>145</v>
      </c>
      <c r="C66" s="184"/>
      <c r="D66" s="184"/>
      <c r="E66" s="184"/>
      <c r="F66" s="184"/>
      <c r="G66" s="184"/>
      <c r="H66" s="184"/>
      <c r="I66" s="185"/>
    </row>
    <row r="67" spans="1:9" ht="18.75" customHeight="1" x14ac:dyDescent="0.15">
      <c r="A67" s="4"/>
      <c r="B67" s="186"/>
      <c r="C67" s="187"/>
      <c r="D67" s="187"/>
      <c r="E67" s="187"/>
      <c r="F67" s="187"/>
      <c r="G67" s="187"/>
      <c r="H67" s="187"/>
      <c r="I67" s="188"/>
    </row>
    <row r="68" spans="1:9" ht="18.75" customHeight="1" x14ac:dyDescent="0.15">
      <c r="A68" s="4"/>
      <c r="B68" s="186"/>
      <c r="C68" s="187"/>
      <c r="D68" s="187"/>
      <c r="E68" s="187"/>
      <c r="F68" s="187"/>
      <c r="G68" s="187"/>
      <c r="H68" s="187"/>
      <c r="I68" s="188"/>
    </row>
    <row r="69" spans="1:9" ht="18.75" customHeight="1" x14ac:dyDescent="0.15">
      <c r="A69" s="4"/>
      <c r="B69" s="186"/>
      <c r="C69" s="187"/>
      <c r="D69" s="187"/>
      <c r="E69" s="187"/>
      <c r="F69" s="187"/>
      <c r="G69" s="187"/>
      <c r="H69" s="187"/>
      <c r="I69" s="188"/>
    </row>
    <row r="70" spans="1:9" ht="18.75" customHeight="1" x14ac:dyDescent="0.15">
      <c r="A70" s="4"/>
      <c r="B70" s="186"/>
      <c r="C70" s="187"/>
      <c r="D70" s="187"/>
      <c r="E70" s="187"/>
      <c r="F70" s="187"/>
      <c r="G70" s="187"/>
      <c r="H70" s="187"/>
      <c r="I70" s="188"/>
    </row>
    <row r="71" spans="1:9" ht="18.75" customHeight="1" x14ac:dyDescent="0.15">
      <c r="A71" s="4"/>
      <c r="B71" s="186"/>
      <c r="C71" s="187"/>
      <c r="D71" s="187"/>
      <c r="E71" s="187"/>
      <c r="F71" s="187"/>
      <c r="G71" s="187"/>
      <c r="H71" s="187"/>
      <c r="I71" s="188"/>
    </row>
    <row r="72" spans="1:9" ht="18.75" customHeight="1" x14ac:dyDescent="0.15">
      <c r="A72" s="4"/>
      <c r="B72" s="186"/>
      <c r="C72" s="187"/>
      <c r="D72" s="187"/>
      <c r="E72" s="187"/>
      <c r="F72" s="187"/>
      <c r="G72" s="187"/>
      <c r="H72" s="187"/>
      <c r="I72" s="188"/>
    </row>
    <row r="73" spans="1:9" ht="18.75" customHeight="1" x14ac:dyDescent="0.15">
      <c r="A73" s="4"/>
      <c r="B73" s="186"/>
      <c r="C73" s="187"/>
      <c r="D73" s="187"/>
      <c r="E73" s="187"/>
      <c r="F73" s="187"/>
      <c r="G73" s="187"/>
      <c r="H73" s="187"/>
      <c r="I73" s="188"/>
    </row>
    <row r="74" spans="1:9" ht="18.75" customHeight="1" x14ac:dyDescent="0.15">
      <c r="A74" s="4"/>
      <c r="B74" s="186"/>
      <c r="C74" s="187"/>
      <c r="D74" s="187"/>
      <c r="E74" s="187"/>
      <c r="F74" s="187"/>
      <c r="G74" s="187"/>
      <c r="H74" s="187"/>
      <c r="I74" s="188"/>
    </row>
    <row r="75" spans="1:9" ht="18.75" customHeight="1" x14ac:dyDescent="0.15">
      <c r="A75" s="4"/>
      <c r="B75" s="186"/>
      <c r="C75" s="187"/>
      <c r="D75" s="187"/>
      <c r="E75" s="187"/>
      <c r="F75" s="187"/>
      <c r="G75" s="187"/>
      <c r="H75" s="187"/>
      <c r="I75" s="188"/>
    </row>
    <row r="76" spans="1:9" ht="18.75" customHeight="1" x14ac:dyDescent="0.15">
      <c r="A76" s="4"/>
      <c r="B76" s="186"/>
      <c r="C76" s="187"/>
      <c r="D76" s="187"/>
      <c r="E76" s="187"/>
      <c r="F76" s="187"/>
      <c r="G76" s="187"/>
      <c r="H76" s="187"/>
      <c r="I76" s="188"/>
    </row>
    <row r="77" spans="1:9" ht="18.75" customHeight="1" x14ac:dyDescent="0.15">
      <c r="A77" s="4"/>
      <c r="B77" s="189"/>
      <c r="C77" s="190"/>
      <c r="D77" s="190"/>
      <c r="E77" s="190"/>
      <c r="F77" s="190"/>
      <c r="G77" s="190"/>
      <c r="H77" s="190"/>
      <c r="I77" s="191"/>
    </row>
    <row r="78" spans="1:9" ht="7.5" customHeight="1" x14ac:dyDescent="0.15">
      <c r="A78" s="4"/>
      <c r="B78" s="4"/>
      <c r="C78" s="4"/>
      <c r="D78" s="4"/>
      <c r="E78" s="4"/>
      <c r="F78" s="4"/>
      <c r="G78" s="4"/>
      <c r="H78" s="4"/>
      <c r="I78" s="4"/>
    </row>
    <row r="79" spans="1:9" ht="18.75" customHeight="1" x14ac:dyDescent="0.15">
      <c r="A79" s="1" t="s">
        <v>146</v>
      </c>
      <c r="B79" s="1" t="s">
        <v>147</v>
      </c>
    </row>
    <row r="80" spans="1:9" ht="18.75" customHeight="1" x14ac:dyDescent="0.15">
      <c r="A80" s="1"/>
      <c r="B80" s="183" t="s">
        <v>148</v>
      </c>
      <c r="C80" s="184"/>
      <c r="D80" s="184"/>
      <c r="E80" s="184"/>
      <c r="F80" s="184"/>
      <c r="G80" s="184"/>
      <c r="H80" s="184"/>
      <c r="I80" s="192"/>
    </row>
    <row r="81" spans="1:9" ht="18.75" customHeight="1" x14ac:dyDescent="0.15">
      <c r="A81" s="1"/>
      <c r="B81" s="193"/>
      <c r="C81" s="194"/>
      <c r="D81" s="194"/>
      <c r="E81" s="194"/>
      <c r="F81" s="194"/>
      <c r="G81" s="194"/>
      <c r="H81" s="194"/>
      <c r="I81" s="195"/>
    </row>
    <row r="82" spans="1:9" ht="18.75" customHeight="1" x14ac:dyDescent="0.15">
      <c r="A82" s="1"/>
      <c r="B82" s="193"/>
      <c r="C82" s="194"/>
      <c r="D82" s="194"/>
      <c r="E82" s="194"/>
      <c r="F82" s="194"/>
      <c r="G82" s="194"/>
      <c r="H82" s="194"/>
      <c r="I82" s="195"/>
    </row>
    <row r="83" spans="1:9" ht="18.75" customHeight="1" x14ac:dyDescent="0.15">
      <c r="A83" s="1"/>
      <c r="B83" s="193"/>
      <c r="C83" s="194"/>
      <c r="D83" s="194"/>
      <c r="E83" s="194"/>
      <c r="F83" s="194"/>
      <c r="G83" s="194"/>
      <c r="H83" s="194"/>
      <c r="I83" s="195"/>
    </row>
    <row r="84" spans="1:9" ht="18.75" customHeight="1" x14ac:dyDescent="0.15">
      <c r="A84" s="1"/>
      <c r="B84" s="193"/>
      <c r="C84" s="194"/>
      <c r="D84" s="194"/>
      <c r="E84" s="194"/>
      <c r="F84" s="194"/>
      <c r="G84" s="194"/>
      <c r="H84" s="194"/>
      <c r="I84" s="195"/>
    </row>
    <row r="85" spans="1:9" ht="18.75" customHeight="1" x14ac:dyDescent="0.15">
      <c r="A85" s="1"/>
      <c r="B85" s="193"/>
      <c r="C85" s="194"/>
      <c r="D85" s="194"/>
      <c r="E85" s="194"/>
      <c r="F85" s="194"/>
      <c r="G85" s="194"/>
      <c r="H85" s="194"/>
      <c r="I85" s="195"/>
    </row>
    <row r="86" spans="1:9" ht="18.75" customHeight="1" x14ac:dyDescent="0.15">
      <c r="A86" s="1"/>
      <c r="B86" s="193"/>
      <c r="C86" s="194"/>
      <c r="D86" s="194"/>
      <c r="E86" s="194"/>
      <c r="F86" s="194"/>
      <c r="G86" s="194"/>
      <c r="H86" s="194"/>
      <c r="I86" s="195"/>
    </row>
    <row r="87" spans="1:9" ht="18.75" customHeight="1" x14ac:dyDescent="0.15">
      <c r="A87" s="1"/>
      <c r="B87" s="193"/>
      <c r="C87" s="194"/>
      <c r="D87" s="194"/>
      <c r="E87" s="194"/>
      <c r="F87" s="194"/>
      <c r="G87" s="194"/>
      <c r="H87" s="194"/>
      <c r="I87" s="195"/>
    </row>
    <row r="88" spans="1:9" ht="18.75" customHeight="1" x14ac:dyDescent="0.15">
      <c r="A88" s="1"/>
      <c r="B88" s="193"/>
      <c r="C88" s="194"/>
      <c r="D88" s="194"/>
      <c r="E88" s="194"/>
      <c r="F88" s="194"/>
      <c r="G88" s="194"/>
      <c r="H88" s="194"/>
      <c r="I88" s="195"/>
    </row>
    <row r="89" spans="1:9" ht="18.75" customHeight="1" x14ac:dyDescent="0.15">
      <c r="A89" s="1"/>
      <c r="B89" s="193"/>
      <c r="C89" s="194"/>
      <c r="D89" s="194"/>
      <c r="E89" s="194"/>
      <c r="F89" s="194"/>
      <c r="G89" s="194"/>
      <c r="H89" s="194"/>
      <c r="I89" s="195"/>
    </row>
    <row r="90" spans="1:9" ht="18.75" customHeight="1" x14ac:dyDescent="0.15">
      <c r="A90" s="4"/>
      <c r="B90" s="193"/>
      <c r="C90" s="194"/>
      <c r="D90" s="194"/>
      <c r="E90" s="194"/>
      <c r="F90" s="194"/>
      <c r="G90" s="194"/>
      <c r="H90" s="194"/>
      <c r="I90" s="195"/>
    </row>
    <row r="91" spans="1:9" ht="18.75" customHeight="1" x14ac:dyDescent="0.15">
      <c r="A91" s="4"/>
      <c r="B91" s="196"/>
      <c r="C91" s="197"/>
      <c r="D91" s="197"/>
      <c r="E91" s="197"/>
      <c r="F91" s="197"/>
      <c r="G91" s="197"/>
      <c r="H91" s="197"/>
      <c r="I91" s="198"/>
    </row>
    <row r="92" spans="1:9" ht="7.5" customHeight="1" x14ac:dyDescent="0.15">
      <c r="A92" s="4"/>
      <c r="B92" s="4"/>
      <c r="C92" s="4"/>
      <c r="D92" s="4"/>
      <c r="E92" s="4"/>
      <c r="F92" s="4"/>
      <c r="G92" s="4"/>
      <c r="H92" s="4"/>
      <c r="I92" s="4"/>
    </row>
    <row r="93" spans="1:9" ht="18.75" customHeight="1" x14ac:dyDescent="0.15">
      <c r="A93" s="1" t="s">
        <v>149</v>
      </c>
      <c r="B93" s="1" t="s">
        <v>150</v>
      </c>
    </row>
    <row r="94" spans="1:9" ht="18.75" customHeight="1" x14ac:dyDescent="0.15">
      <c r="A94" s="1"/>
      <c r="B94" s="224" t="s">
        <v>151</v>
      </c>
      <c r="C94" s="214"/>
      <c r="D94" s="214"/>
      <c r="E94" s="214"/>
      <c r="F94" s="214"/>
      <c r="G94" s="214"/>
      <c r="H94" s="214"/>
      <c r="I94" s="215"/>
    </row>
    <row r="95" spans="1:9" ht="18.75" customHeight="1" x14ac:dyDescent="0.15">
      <c r="A95" s="1"/>
      <c r="B95" s="219"/>
      <c r="C95" s="220"/>
      <c r="D95" s="220"/>
      <c r="E95" s="220"/>
      <c r="F95" s="220"/>
      <c r="G95" s="220"/>
      <c r="H95" s="220"/>
      <c r="I95" s="218"/>
    </row>
    <row r="96" spans="1:9" ht="18.75" customHeight="1" x14ac:dyDescent="0.15">
      <c r="A96" s="1"/>
      <c r="B96" s="219"/>
      <c r="C96" s="220"/>
      <c r="D96" s="220"/>
      <c r="E96" s="220"/>
      <c r="F96" s="220"/>
      <c r="G96" s="220"/>
      <c r="H96" s="220"/>
      <c r="I96" s="218"/>
    </row>
    <row r="97" spans="1:9" ht="18.75" customHeight="1" x14ac:dyDescent="0.15">
      <c r="A97" s="1"/>
      <c r="B97" s="219"/>
      <c r="C97" s="220"/>
      <c r="D97" s="220"/>
      <c r="E97" s="220"/>
      <c r="F97" s="220"/>
      <c r="G97" s="220"/>
      <c r="H97" s="220"/>
      <c r="I97" s="218"/>
    </row>
    <row r="98" spans="1:9" ht="18.75" customHeight="1" x14ac:dyDescent="0.15">
      <c r="A98" s="1"/>
      <c r="B98" s="219"/>
      <c r="C98" s="220"/>
      <c r="D98" s="220"/>
      <c r="E98" s="220"/>
      <c r="F98" s="220"/>
      <c r="G98" s="220"/>
      <c r="H98" s="220"/>
      <c r="I98" s="218"/>
    </row>
    <row r="99" spans="1:9" ht="18.75" customHeight="1" x14ac:dyDescent="0.15">
      <c r="A99" s="1"/>
      <c r="B99" s="219"/>
      <c r="C99" s="220"/>
      <c r="D99" s="220"/>
      <c r="E99" s="220"/>
      <c r="F99" s="220"/>
      <c r="G99" s="220"/>
      <c r="H99" s="220"/>
      <c r="I99" s="218"/>
    </row>
    <row r="100" spans="1:9" ht="18.75" customHeight="1" x14ac:dyDescent="0.15">
      <c r="A100" s="1"/>
      <c r="B100" s="219"/>
      <c r="C100" s="220"/>
      <c r="D100" s="220"/>
      <c r="E100" s="220"/>
      <c r="F100" s="220"/>
      <c r="G100" s="220"/>
      <c r="H100" s="220"/>
      <c r="I100" s="218"/>
    </row>
    <row r="101" spans="1:9" ht="18.75" customHeight="1" x14ac:dyDescent="0.15">
      <c r="A101" s="1"/>
      <c r="B101" s="219"/>
      <c r="C101" s="220"/>
      <c r="D101" s="220"/>
      <c r="E101" s="220"/>
      <c r="F101" s="220"/>
      <c r="G101" s="220"/>
      <c r="H101" s="220"/>
      <c r="I101" s="218"/>
    </row>
    <row r="102" spans="1:9" ht="18.75" customHeight="1" x14ac:dyDescent="0.15">
      <c r="A102" s="1"/>
      <c r="B102" s="219"/>
      <c r="C102" s="220"/>
      <c r="D102" s="220"/>
      <c r="E102" s="220"/>
      <c r="F102" s="220"/>
      <c r="G102" s="220"/>
      <c r="H102" s="220"/>
      <c r="I102" s="218"/>
    </row>
    <row r="103" spans="1:9" ht="18.75" customHeight="1" x14ac:dyDescent="0.15">
      <c r="A103" s="1"/>
      <c r="B103" s="219"/>
      <c r="C103" s="220"/>
      <c r="D103" s="220"/>
      <c r="E103" s="220"/>
      <c r="F103" s="220"/>
      <c r="G103" s="220"/>
      <c r="H103" s="220"/>
      <c r="I103" s="218"/>
    </row>
    <row r="104" spans="1:9" ht="18.75" customHeight="1" x14ac:dyDescent="0.15">
      <c r="A104" s="1"/>
      <c r="B104" s="219"/>
      <c r="C104" s="220"/>
      <c r="D104" s="220"/>
      <c r="E104" s="220"/>
      <c r="F104" s="220"/>
      <c r="G104" s="220"/>
      <c r="H104" s="220"/>
      <c r="I104" s="218"/>
    </row>
    <row r="105" spans="1:9" ht="18.75" customHeight="1" x14ac:dyDescent="0.15">
      <c r="A105" s="4"/>
      <c r="B105" s="221"/>
      <c r="C105" s="222"/>
      <c r="D105" s="222"/>
      <c r="E105" s="222"/>
      <c r="F105" s="222"/>
      <c r="G105" s="222"/>
      <c r="H105" s="222"/>
      <c r="I105" s="223"/>
    </row>
    <row r="106" spans="1:9" ht="7.5" customHeight="1" x14ac:dyDescent="0.15">
      <c r="A106" s="4"/>
      <c r="B106" s="4"/>
      <c r="C106" s="4"/>
      <c r="D106" s="4"/>
      <c r="E106" s="4"/>
      <c r="F106" s="4"/>
      <c r="G106" s="4"/>
      <c r="H106" s="4"/>
      <c r="I106" s="4"/>
    </row>
    <row r="107" spans="1:9" ht="18.75" customHeight="1" x14ac:dyDescent="0.15">
      <c r="A107" s="1" t="s">
        <v>152</v>
      </c>
      <c r="B107" s="231" t="s">
        <v>153</v>
      </c>
      <c r="C107" s="231"/>
      <c r="D107" s="231"/>
      <c r="E107" s="231"/>
      <c r="F107" s="231"/>
      <c r="G107" s="231"/>
      <c r="H107" s="231"/>
      <c r="I107" s="231"/>
    </row>
    <row r="108" spans="1:9" ht="18.75" customHeight="1" x14ac:dyDescent="0.15">
      <c r="A108" s="4"/>
      <c r="B108" s="224" t="s">
        <v>154</v>
      </c>
      <c r="C108" s="214"/>
      <c r="D108" s="214"/>
      <c r="E108" s="214"/>
      <c r="F108" s="214"/>
      <c r="G108" s="214"/>
      <c r="H108" s="214"/>
      <c r="I108" s="215"/>
    </row>
    <row r="109" spans="1:9" ht="18.75" customHeight="1" x14ac:dyDescent="0.15">
      <c r="A109" s="4"/>
      <c r="B109" s="219"/>
      <c r="C109" s="220"/>
      <c r="D109" s="220"/>
      <c r="E109" s="220"/>
      <c r="F109" s="220"/>
      <c r="G109" s="220"/>
      <c r="H109" s="220"/>
      <c r="I109" s="218"/>
    </row>
    <row r="110" spans="1:9" ht="18.75" customHeight="1" x14ac:dyDescent="0.15">
      <c r="A110" s="4"/>
      <c r="B110" s="219"/>
      <c r="C110" s="220"/>
      <c r="D110" s="220"/>
      <c r="E110" s="220"/>
      <c r="F110" s="220"/>
      <c r="G110" s="220"/>
      <c r="H110" s="220"/>
      <c r="I110" s="218"/>
    </row>
    <row r="111" spans="1:9" ht="18.75" customHeight="1" x14ac:dyDescent="0.15">
      <c r="A111" s="4"/>
      <c r="B111" s="219"/>
      <c r="C111" s="220"/>
      <c r="D111" s="220"/>
      <c r="E111" s="220"/>
      <c r="F111" s="220"/>
      <c r="G111" s="220"/>
      <c r="H111" s="220"/>
      <c r="I111" s="218"/>
    </row>
    <row r="112" spans="1:9" ht="18.75" customHeight="1" x14ac:dyDescent="0.15">
      <c r="A112" s="4"/>
      <c r="B112" s="219"/>
      <c r="C112" s="220"/>
      <c r="D112" s="220"/>
      <c r="E112" s="220"/>
      <c r="F112" s="220"/>
      <c r="G112" s="220"/>
      <c r="H112" s="220"/>
      <c r="I112" s="218"/>
    </row>
    <row r="113" spans="1:9" ht="18.75" customHeight="1" x14ac:dyDescent="0.15">
      <c r="A113" s="4"/>
      <c r="B113" s="219"/>
      <c r="C113" s="220"/>
      <c r="D113" s="220"/>
      <c r="E113" s="220"/>
      <c r="F113" s="220"/>
      <c r="G113" s="220"/>
      <c r="H113" s="220"/>
      <c r="I113" s="218"/>
    </row>
    <row r="114" spans="1:9" ht="18.75" customHeight="1" x14ac:dyDescent="0.15">
      <c r="A114" s="4"/>
      <c r="B114" s="219"/>
      <c r="C114" s="220"/>
      <c r="D114" s="220"/>
      <c r="E114" s="220"/>
      <c r="F114" s="220"/>
      <c r="G114" s="220"/>
      <c r="H114" s="220"/>
      <c r="I114" s="218"/>
    </row>
    <row r="115" spans="1:9" ht="18.75" customHeight="1" x14ac:dyDescent="0.15">
      <c r="A115" s="4"/>
      <c r="B115" s="219"/>
      <c r="C115" s="220"/>
      <c r="D115" s="220"/>
      <c r="E115" s="220"/>
      <c r="F115" s="220"/>
      <c r="G115" s="220"/>
      <c r="H115" s="220"/>
      <c r="I115" s="218"/>
    </row>
    <row r="116" spans="1:9" ht="18.75" customHeight="1" x14ac:dyDescent="0.15">
      <c r="A116" s="4"/>
      <c r="B116" s="219"/>
      <c r="C116" s="220"/>
      <c r="D116" s="220"/>
      <c r="E116" s="220"/>
      <c r="F116" s="220"/>
      <c r="G116" s="220"/>
      <c r="H116" s="220"/>
      <c r="I116" s="218"/>
    </row>
    <row r="117" spans="1:9" ht="18.75" customHeight="1" x14ac:dyDescent="0.15">
      <c r="A117" s="4"/>
      <c r="B117" s="219"/>
      <c r="C117" s="220"/>
      <c r="D117" s="220"/>
      <c r="E117" s="220"/>
      <c r="F117" s="220"/>
      <c r="G117" s="220"/>
      <c r="H117" s="220"/>
      <c r="I117" s="218"/>
    </row>
    <row r="118" spans="1:9" ht="18.75" customHeight="1" x14ac:dyDescent="0.15">
      <c r="A118" s="4"/>
      <c r="B118" s="219"/>
      <c r="C118" s="220"/>
      <c r="D118" s="220"/>
      <c r="E118" s="220"/>
      <c r="F118" s="220"/>
      <c r="G118" s="220"/>
      <c r="H118" s="220"/>
      <c r="I118" s="218"/>
    </row>
    <row r="119" spans="1:9" ht="18.75" customHeight="1" x14ac:dyDescent="0.15">
      <c r="A119" s="4"/>
      <c r="B119" s="221"/>
      <c r="C119" s="222"/>
      <c r="D119" s="222"/>
      <c r="E119" s="222"/>
      <c r="F119" s="222"/>
      <c r="G119" s="222"/>
      <c r="H119" s="222"/>
      <c r="I119" s="223"/>
    </row>
    <row r="120" spans="1:9" ht="7.5" customHeight="1" x14ac:dyDescent="0.15">
      <c r="A120" s="4"/>
      <c r="B120" s="25"/>
      <c r="C120" s="25"/>
      <c r="D120" s="25"/>
      <c r="E120" s="25"/>
      <c r="F120" s="25"/>
      <c r="G120" s="25"/>
      <c r="H120" s="25"/>
      <c r="I120" s="25"/>
    </row>
    <row r="121" spans="1:9" ht="18.75" customHeight="1" x14ac:dyDescent="0.15">
      <c r="A121" s="51"/>
      <c r="B121" s="209"/>
      <c r="C121" s="209"/>
      <c r="D121" s="209"/>
      <c r="E121" s="209"/>
      <c r="F121" s="209"/>
      <c r="G121" s="209"/>
      <c r="H121" s="209"/>
      <c r="I121" s="209"/>
    </row>
    <row r="122" spans="1:9" ht="18.75" customHeight="1" x14ac:dyDescent="0.15">
      <c r="A122" s="51"/>
      <c r="B122" s="209"/>
      <c r="C122" s="209"/>
      <c r="D122" s="209"/>
      <c r="E122" s="209"/>
      <c r="F122" s="209"/>
      <c r="G122" s="209"/>
      <c r="H122" s="209"/>
      <c r="I122" s="209"/>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85" zoomScaleNormal="100" zoomScaleSheetLayoutView="85" workbookViewId="0">
      <selection activeCell="L10" sqref="L1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155</v>
      </c>
      <c r="I1" s="18" t="s">
        <v>156</v>
      </c>
    </row>
    <row r="2" spans="1:9" ht="18.75" customHeight="1" x14ac:dyDescent="0.15">
      <c r="H2" s="18" t="s">
        <v>2</v>
      </c>
      <c r="I2" s="17" t="str">
        <f>'様式１　プログラムを構成する授業科目'!C2</f>
        <v>東京学芸大学</v>
      </c>
    </row>
    <row r="3" spans="1:9" ht="18.75" customHeight="1" x14ac:dyDescent="0.15">
      <c r="A3" s="130" t="s">
        <v>157</v>
      </c>
      <c r="B3" s="130"/>
      <c r="C3" s="130"/>
      <c r="D3" s="130"/>
      <c r="E3" s="130"/>
      <c r="F3" s="130"/>
      <c r="G3" s="130"/>
      <c r="H3" s="130"/>
      <c r="I3" s="130"/>
    </row>
    <row r="4" spans="1:9" ht="18.75" customHeight="1" x14ac:dyDescent="0.15">
      <c r="A4" s="5"/>
      <c r="B4" s="5"/>
      <c r="C4" s="5"/>
      <c r="D4" s="5"/>
      <c r="E4" s="5"/>
      <c r="F4" s="5"/>
      <c r="G4" s="5"/>
      <c r="H4" s="5"/>
      <c r="I4" s="5"/>
    </row>
    <row r="5" spans="1:9" ht="18.75" customHeight="1" x14ac:dyDescent="0.15">
      <c r="A5" s="1" t="s">
        <v>108</v>
      </c>
      <c r="B5" s="10" t="s">
        <v>158</v>
      </c>
      <c r="C5" s="5"/>
      <c r="D5" s="5"/>
      <c r="E5" s="5"/>
      <c r="F5" s="5"/>
      <c r="G5" s="5"/>
      <c r="H5" s="5"/>
      <c r="I5" s="5"/>
    </row>
    <row r="6" spans="1:9" ht="26.25" customHeight="1" x14ac:dyDescent="0.15">
      <c r="A6" s="5"/>
      <c r="B6" s="225" t="s">
        <v>159</v>
      </c>
      <c r="C6" s="261"/>
      <c r="D6" s="261"/>
      <c r="E6" s="261"/>
      <c r="F6" s="261"/>
      <c r="G6" s="261"/>
      <c r="H6" s="262"/>
      <c r="I6" s="3"/>
    </row>
    <row r="7" spans="1:9" ht="9" customHeight="1" x14ac:dyDescent="0.15">
      <c r="A7" s="5"/>
      <c r="B7" s="10"/>
      <c r="C7" s="10"/>
      <c r="D7" s="10"/>
      <c r="E7" s="10"/>
      <c r="F7" s="10"/>
      <c r="G7" s="10"/>
      <c r="H7" s="10"/>
      <c r="I7" s="3"/>
    </row>
    <row r="8" spans="1:9" ht="18.75" customHeight="1" x14ac:dyDescent="0.15">
      <c r="A8" s="5"/>
      <c r="B8" s="3"/>
      <c r="C8" s="3"/>
      <c r="D8" s="18" t="s">
        <v>116</v>
      </c>
      <c r="E8" s="19" t="s">
        <v>160</v>
      </c>
      <c r="F8" s="3"/>
      <c r="G8" s="18" t="s">
        <v>118</v>
      </c>
      <c r="H8" s="19" t="s">
        <v>124</v>
      </c>
      <c r="I8" s="3"/>
    </row>
    <row r="9" spans="1:9" ht="7.5" customHeight="1" x14ac:dyDescent="0.15">
      <c r="A9" s="5"/>
      <c r="B9" s="5"/>
      <c r="C9" s="5"/>
      <c r="D9" s="5"/>
      <c r="E9" s="5"/>
      <c r="F9" s="5"/>
      <c r="G9" s="5"/>
      <c r="H9" s="5"/>
      <c r="I9" s="5"/>
    </row>
    <row r="10" spans="1:9" ht="18.75" customHeight="1" x14ac:dyDescent="0.15">
      <c r="A10" s="1" t="s">
        <v>112</v>
      </c>
      <c r="B10" s="1" t="s">
        <v>161</v>
      </c>
      <c r="C10" s="4"/>
      <c r="D10" s="4"/>
      <c r="E10" s="4"/>
      <c r="F10" s="4"/>
      <c r="G10" s="4"/>
      <c r="H10" s="4"/>
      <c r="I10" s="4"/>
    </row>
    <row r="11" spans="1:9" ht="18.75" customHeight="1" x14ac:dyDescent="0.15">
      <c r="B11" s="92" t="s">
        <v>162</v>
      </c>
      <c r="C11" s="93"/>
      <c r="D11" s="94"/>
      <c r="E11" s="93" t="s">
        <v>163</v>
      </c>
      <c r="F11" s="93"/>
      <c r="G11" s="93"/>
      <c r="H11" s="93"/>
      <c r="I11" s="94"/>
    </row>
    <row r="12" spans="1:9" ht="26.25" customHeight="1" x14ac:dyDescent="0.15">
      <c r="B12" s="26" t="s">
        <v>164</v>
      </c>
      <c r="C12" s="33"/>
      <c r="D12" s="27"/>
      <c r="E12" s="34"/>
      <c r="F12" s="34"/>
      <c r="G12" s="34"/>
      <c r="H12" s="34"/>
      <c r="I12" s="27"/>
    </row>
    <row r="13" spans="1:9" ht="210.75" customHeight="1" x14ac:dyDescent="0.15">
      <c r="B13" s="28"/>
      <c r="C13" s="240" t="s">
        <v>165</v>
      </c>
      <c r="D13" s="241"/>
      <c r="E13" s="258" t="s">
        <v>166</v>
      </c>
      <c r="F13" s="259"/>
      <c r="G13" s="259"/>
      <c r="H13" s="259"/>
      <c r="I13" s="260"/>
    </row>
    <row r="14" spans="1:9" ht="210.75" customHeight="1" x14ac:dyDescent="0.15">
      <c r="B14" s="28"/>
      <c r="C14" s="256" t="s">
        <v>167</v>
      </c>
      <c r="D14" s="257"/>
      <c r="E14" s="254" t="s">
        <v>168</v>
      </c>
      <c r="F14" s="242"/>
      <c r="G14" s="242"/>
      <c r="H14" s="242"/>
      <c r="I14" s="243"/>
    </row>
    <row r="15" spans="1:9" ht="210.75" customHeight="1" x14ac:dyDescent="0.15">
      <c r="B15" s="28"/>
      <c r="C15" s="240" t="s">
        <v>169</v>
      </c>
      <c r="D15" s="241"/>
      <c r="E15" s="254" t="s">
        <v>170</v>
      </c>
      <c r="F15" s="242"/>
      <c r="G15" s="242"/>
      <c r="H15" s="242"/>
      <c r="I15" s="243"/>
    </row>
    <row r="16" spans="1:9" ht="210.75" customHeight="1" x14ac:dyDescent="0.15">
      <c r="B16" s="28"/>
      <c r="C16" s="240" t="s">
        <v>171</v>
      </c>
      <c r="D16" s="241"/>
      <c r="E16" s="254" t="s">
        <v>172</v>
      </c>
      <c r="F16" s="242"/>
      <c r="G16" s="242"/>
      <c r="H16" s="242"/>
      <c r="I16" s="243"/>
    </row>
    <row r="17" spans="2:9" ht="210.75" customHeight="1" x14ac:dyDescent="0.15">
      <c r="B17" s="29"/>
      <c r="C17" s="244" t="s">
        <v>173</v>
      </c>
      <c r="D17" s="245"/>
      <c r="E17" s="255" t="s">
        <v>179</v>
      </c>
      <c r="F17" s="247"/>
      <c r="G17" s="247"/>
      <c r="H17" s="247"/>
      <c r="I17" s="248"/>
    </row>
    <row r="18" spans="2:9" ht="24" customHeight="1" x14ac:dyDescent="0.15">
      <c r="B18" s="26" t="s">
        <v>174</v>
      </c>
      <c r="C18" s="30"/>
      <c r="D18" s="31"/>
      <c r="E18" s="32"/>
      <c r="F18" s="32"/>
      <c r="G18" s="32"/>
      <c r="H18" s="32"/>
      <c r="I18" s="35"/>
    </row>
    <row r="19" spans="2:9" ht="218.25" customHeight="1" x14ac:dyDescent="0.15">
      <c r="B19" s="28"/>
      <c r="C19" s="240" t="s">
        <v>175</v>
      </c>
      <c r="D19" s="241"/>
      <c r="E19" s="242" t="s">
        <v>192</v>
      </c>
      <c r="F19" s="242"/>
      <c r="G19" s="242"/>
      <c r="H19" s="242"/>
      <c r="I19" s="243"/>
    </row>
    <row r="20" spans="2:9" ht="218.25" customHeight="1" x14ac:dyDescent="0.15">
      <c r="B20" s="29"/>
      <c r="C20" s="244" t="s">
        <v>176</v>
      </c>
      <c r="D20" s="245"/>
      <c r="E20" s="246" t="s">
        <v>180</v>
      </c>
      <c r="F20" s="247"/>
      <c r="G20" s="247"/>
      <c r="H20" s="247"/>
      <c r="I20" s="248"/>
    </row>
    <row r="21" spans="2:9" ht="218.25" customHeight="1" x14ac:dyDescent="0.15">
      <c r="B21" s="249" t="s">
        <v>177</v>
      </c>
      <c r="C21" s="250"/>
      <c r="D21" s="251"/>
      <c r="E21" s="252" t="s">
        <v>193</v>
      </c>
      <c r="F21" s="252"/>
      <c r="G21" s="252"/>
      <c r="H21" s="252"/>
      <c r="I21" s="253"/>
    </row>
    <row r="22" spans="2:9" ht="218.25" customHeight="1" x14ac:dyDescent="0.15">
      <c r="B22" s="235" t="s">
        <v>178</v>
      </c>
      <c r="C22" s="236"/>
      <c r="D22" s="237"/>
      <c r="E22" s="238" t="s">
        <v>181</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4A523E26963BC478E6BF7FD78C754E3" ma:contentTypeVersion="4" ma:contentTypeDescription="新しいドキュメントを作成します。" ma:contentTypeScope="" ma:versionID="62f48e9795d763b76cec2c1f53b72699">
  <xsd:schema xmlns:xsd="http://www.w3.org/2001/XMLSchema" xmlns:xs="http://www.w3.org/2001/XMLSchema" xmlns:p="http://schemas.microsoft.com/office/2006/metadata/properties" xmlns:ns2="9229123c-9d29-4874-93dd-62cb1cb0925f" targetNamespace="http://schemas.microsoft.com/office/2006/metadata/properties" ma:root="true" ma:fieldsID="7ab99dee9dabc95db28fd11ee976addd" ns2:_="">
    <xsd:import namespace="9229123c-9d29-4874-93dd-62cb1cb092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29123c-9d29-4874-93dd-62cb1cb092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7223EE8-506B-4CD6-8F8C-D775C2CB4DA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95654C6-90DE-41FC-A7AF-BD09B2392A56}">
  <ds:schemaRefs>
    <ds:schemaRef ds:uri="http://schemas.microsoft.com/sharepoint/v3/contenttype/forms"/>
  </ds:schemaRefs>
</ds:datastoreItem>
</file>

<file path=customXml/itemProps3.xml><?xml version="1.0" encoding="utf-8"?>
<ds:datastoreItem xmlns:ds="http://schemas.openxmlformats.org/officeDocument/2006/customXml" ds:itemID="{C1058434-F24F-4C96-AE7D-C6DAB1587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229123c-9d29-4874-93dd-62cb1cb09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大原 啓輔</cp:lastModifiedBy>
  <cp:revision/>
  <cp:lastPrinted>2025-07-18T01:33:08Z</cp:lastPrinted>
  <dcterms:created xsi:type="dcterms:W3CDTF">2011-06-14T05:32:50Z</dcterms:created>
  <dcterms:modified xsi:type="dcterms:W3CDTF">2025-07-18T05:05:16Z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0x010100E4A523E26963BC478E6BF7FD78C754E3</vt:lpwstr>
  </property>
</Properties>
</file>