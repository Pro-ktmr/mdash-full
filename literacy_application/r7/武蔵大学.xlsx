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C:\Users\atsuk\Downloads\☆リテラシー__開封確認済み\010_250424武蔵大学\"/>
    </mc:Choice>
  </mc:AlternateContent>
  <xr:revisionPtr revIDLastSave="0" documentId="13_ncr:1_{6D639992-5E76-47B4-B9DD-CA61FB50420F}" xr6:coauthVersionLast="47" xr6:coauthVersionMax="47" xr10:uidLastSave="{00000000-0000-0000-0000-000000000000}"/>
  <bookViews>
    <workbookView xWindow="-108" yWindow="-108" windowWidth="18648" windowHeight="11784"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Q33" i="40"/>
  <c r="P33" i="40"/>
  <c r="O33" i="40"/>
  <c r="N33" i="40"/>
  <c r="M33" i="40"/>
  <c r="L33" i="40"/>
  <c r="K33" i="40"/>
  <c r="J33" i="40"/>
  <c r="I33" i="40"/>
  <c r="H33" i="40"/>
  <c r="G33" i="40"/>
  <c r="F33" i="40"/>
  <c r="E33" i="40"/>
  <c r="I50" i="41" s="1"/>
  <c r="D33" i="40"/>
  <c r="C33" i="40"/>
  <c r="R32" i="40"/>
  <c r="S32" i="40" s="1"/>
  <c r="R31" i="40"/>
  <c r="S31" i="40" s="1"/>
  <c r="R30" i="40"/>
  <c r="S30" i="40" s="1"/>
  <c r="S29" i="40"/>
  <c r="R29" i="40"/>
  <c r="R28" i="40"/>
  <c r="S28" i="40" s="1"/>
  <c r="R27" i="40"/>
  <c r="S27" i="40" s="1"/>
  <c r="R26" i="40"/>
  <c r="S26" i="40" s="1"/>
  <c r="R25" i="40"/>
  <c r="S25" i="40" s="1"/>
  <c r="R24" i="40"/>
  <c r="S24" i="40" s="1"/>
  <c r="R23" i="40"/>
  <c r="S23" i="40" s="1"/>
  <c r="R22" i="40"/>
  <c r="S22" i="40" s="1"/>
  <c r="S21" i="40"/>
  <c r="R21" i="40"/>
  <c r="R20" i="40"/>
  <c r="S20" i="40" s="1"/>
  <c r="R19" i="40"/>
  <c r="S19" i="40" s="1"/>
  <c r="R18" i="40"/>
  <c r="S18" i="40" s="1"/>
  <c r="R17" i="40"/>
  <c r="S17" i="40" s="1"/>
  <c r="R16" i="40"/>
  <c r="S16" i="40" s="1"/>
  <c r="R15" i="40"/>
  <c r="S15" i="40" s="1"/>
  <c r="R14" i="40"/>
  <c r="S14" i="40" s="1"/>
  <c r="S13" i="40"/>
  <c r="R13" i="40"/>
  <c r="Q2" i="40"/>
  <c r="R33" i="40" l="1"/>
  <c r="S33" i="40" s="1"/>
  <c r="C49" i="41" s="1"/>
</calcChain>
</file>

<file path=xl/sharedStrings.xml><?xml version="1.0" encoding="utf-8"?>
<sst xmlns="http://schemas.openxmlformats.org/spreadsheetml/2006/main" count="286" uniqueCount="189">
  <si>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</si>
  <si>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</si>
  <si>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</si>
  <si>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</si>
  <si>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</si>
  <si>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</si>
  <si>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</si>
  <si>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</si>
  <si>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</si>
  <si>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</si>
  <si>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</si>
  <si>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</si>
  <si>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</si>
  <si>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</si>
  <si>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</si>
  <si>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</si>
  <si>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</si>
  <si>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</si>
  <si>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</si>
  <si>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</si>
  <si>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</si>
  <si>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</si>
  <si>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</si>
  <si>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</si>
  <si>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</si>
  <si>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</si>
  <si>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</si>
  <si>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</si>
  <si>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</si>
  <si>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</si>
  <si>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</si>
  <si>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</si>
  <si>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</si>
  <si>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</si>
  <si>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</si>
  <si>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</si>
  <si>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</si>
  <si>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</si>
  <si>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</si>
  <si>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</si>
  <si>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</si>
  <si>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</si>
  <si>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</si>
  <si>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</si>
  <si>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</si>
  <si>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</si>
  <si>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</si>
  <si>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</si>
  <si>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</si>
  <si>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</si>
  <si>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</si>
  <si>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</si>
  <si>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</si>
  <si>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</si>
  <si>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</si>
  <si>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</si>
  <si>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</si>
  <si>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</si>
  <si>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</si>
  <si>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</si>
  <si>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</si>
  <si>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</si>
  <si>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</si>
  <si>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</si>
  <si>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</si>
  <si>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</si>
  <si>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</si>
  <si>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</si>
  <si>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</si>
  <si>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</si>
  <si>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</si>
  <si>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</si>
  <si>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</si>
  <si>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</si>
  <si>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</si>
  <si>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</si>
  <si>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</si>
  <si>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</si>
  <si>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</si>
  <si>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</si>
  <si>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</si>
  <si>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</si>
  <si>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</si>
  <si>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</si>
  <si>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</si>
  <si>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</si>
  <si>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</si>
  <si>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</si>
  <si>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</si>
  <si>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</si>
  <si>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</si>
  <si>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</si>
  <si>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</si>
  <si>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</si>
  <si>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</si>
  <si>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</si>
  <si>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</si>
  <si>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</si>
  <si>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</si>
  <si>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</si>
  <si>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</si>
  <si>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</si>
  <si>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</si>
  <si>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</si>
  <si>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</si>
  <si>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</si>
  <si>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</si>
  <si>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</si>
  <si>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</si>
  <si>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</si>
  <si>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</si>
  <si>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</si>
  <si>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</si>
  <si>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</si>
  <si>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</si>
  <si>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</si>
  <si>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</si>
  <si>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</si>
  <si>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</si>
  <si>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</si>
  <si>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</si>
  <si>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</si>
  <si>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</si>
  <si>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</si>
  <si>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</si>
  <si>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</si>
  <si>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</si>
  <si>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</si>
  <si>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</si>
  <si>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</si>
  <si>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</si>
  <si>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</si>
  <si>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</si>
  <si>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</si>
  <si>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</si>
  <si>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</si>
  <si>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</si>
  <si>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</si>
  <si>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</si>
  <si>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</si>
  <si>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</si>
  <si>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</si>
  <si>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</si>
  <si>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学部・学科によって、修了要件は相違しない</t>
  </si>
  <si>
    <t>武蔵大学</t>
    <rPh sb="0" eb="2">
      <t>ムサシ</t>
    </rPh>
    <rPh sb="2" eb="4">
      <t>ダイガク</t>
    </rPh>
    <phoneticPr fontId="1"/>
  </si>
  <si>
    <t>武蔵データサイエンスベーシックス</t>
    <rPh sb="0" eb="2">
      <t>ムサシ</t>
    </rPh>
    <phoneticPr fontId="1"/>
  </si>
  <si>
    <t>情報技術と人間社会</t>
    <rPh sb="0" eb="2">
      <t>ジョウホウ</t>
    </rPh>
    <rPh sb="2" eb="4">
      <t>ギジュツ</t>
    </rPh>
    <rPh sb="5" eb="7">
      <t>ニンゲン</t>
    </rPh>
    <rPh sb="7" eb="9">
      <t>シャカイ</t>
    </rPh>
    <phoneticPr fontId="1"/>
  </si>
  <si>
    <t>「情報技術と人間社会」（総合科目 A群 情報とコミュニケーション）の２単位を修得すること。</t>
    <phoneticPr fontId="1"/>
  </si>
  <si>
    <t>○</t>
  </si>
  <si>
    <t>・データサイエンス、AI に関する基本的な仕組みを理解できる
・実社会で活用されているデータサイエンス、AI に関する活用事例や最新の動向について説明できる
・実際にデータを活用できる思考力、判断力を身につけることができる
・基礎的なデータを活用した統計処理をすることができる
・情報リテラシーやデータを扱う際の留意事項について理解できる</t>
    <phoneticPr fontId="1"/>
  </si>
  <si>
    <t>令和６</t>
    <rPh sb="0" eb="2">
      <t>レイワ</t>
    </rPh>
    <phoneticPr fontId="1"/>
  </si>
  <si>
    <t>経済学部</t>
    <rPh sb="0" eb="2">
      <t>ケイザイ</t>
    </rPh>
    <rPh sb="2" eb="4">
      <t>ガクブ</t>
    </rPh>
    <phoneticPr fontId="1"/>
  </si>
  <si>
    <t>人文学部</t>
    <rPh sb="0" eb="4">
      <t>ジンブンガクブ</t>
    </rPh>
    <phoneticPr fontId="1"/>
  </si>
  <si>
    <t>社会学部</t>
    <rPh sb="0" eb="4">
      <t>シャカイガクブ</t>
    </rPh>
    <phoneticPr fontId="1"/>
  </si>
  <si>
    <t>国際教養学部</t>
    <rPh sb="0" eb="6">
      <t>コクサイキョウヨウガクブ</t>
    </rPh>
    <phoneticPr fontId="1"/>
  </si>
  <si>
    <t>踊　共二</t>
    <rPh sb="0" eb="1">
      <t>オドリ</t>
    </rPh>
    <rPh sb="2" eb="4">
      <t>トモジ</t>
    </rPh>
    <phoneticPr fontId="1"/>
  </si>
  <si>
    <t>リベラルアーツアンドサイエンス教育センター長</t>
    <rPh sb="15" eb="17">
      <t>キョウイク</t>
    </rPh>
    <rPh sb="21" eb="22">
      <t>チョウ</t>
    </rPh>
    <phoneticPr fontId="1"/>
  </si>
  <si>
    <t>数理・データサイエンス・AI教育プログラム認定制度部会（MDASH部会）</t>
    <phoneticPr fontId="1"/>
  </si>
  <si>
    <t>武蔵大学リベラルアーツアンドサイエンス教育センター規程</t>
    <phoneticPr fontId="1"/>
  </si>
  <si>
    <t>　</t>
    <phoneticPr fontId="1"/>
  </si>
  <si>
    <t xml:space="preserve">本プログラムの対象科目である「情報技術と人間社会」の2024（令和６）年度春学期の履修者数は278名（経済学部121名、人文学部114名、社会学部39名、国際教養学部３名、科目等履修生１名）であり、そのうち206名（経済学部87名、人文学部86名、社会学部31名、国際教養学部１名、科目等履修生１名）が単位を取得した。合格者の成績分布は、S：０名（０％）、A：12名（4.3％）、B：13名（4.7％）、C：181名（65.1％）、不合格者は72名（25.9％）であった。履修者の所属学部に関しては、国際教養学部の履修者数が極端に少ない。同学部は入学定員が100名と他学部と比較して少ないうえ、完成年度を迎えておらず学生数が少ないこと、加えて経済経営学専攻については、学期分割型の学年暦となっているため時間割上、履修登録がしづらい状況にあったと推測される。
なお、本授業は履修希望者が1,740名と多く、履修抽選が行われたため、次年度に関しては複数授業の開講とする。
</t>
    <phoneticPr fontId="1"/>
  </si>
  <si>
    <t>「授業アンケート」の設問のうち「授業内容を理解できたか」「深い教養・幅広い知識が身についたか」「専門的知識が身についたか」の結果を確認したところ「強くそう思う・まあそう思う」の割合はそれぞれ85％、77％、77％であった。このことから、一定の学修成果が認められたといえる。一方で、成績評価に関しては「S」に該当する学生が０名、半数以上の学生が「C」評価であったため理解を深められるような授業運営が今後の課題である。具体的には、数理、実践的なデータ処理に関する内容は学生の反応があまりよくなかった。加えて、48％の学生が質問や問い合わせをしなかったと回答していることから、授業後に理解が難しかった内容を気軽に質問できる仕組みやリアル配信授業への出席を促す等の改善が必要と考えられる。 ２</t>
    <phoneticPr fontId="1"/>
  </si>
  <si>
    <t>学期ごとに実施する「授業評価アンケート」にて「授業内容を理解できたか」という設問に対し「強くそう思う」が26％、「まあそう思う」が59％、「どちらともいえない」が11％、「全くそう思わない」が４％となり、履修生の多くが授業内容を理解できたと感じていることが確認できた。</t>
    <phoneticPr fontId="1"/>
  </si>
  <si>
    <t>「授業評価アンケート」にて「この授業を特に優れた授業として他の学生に勧めたいか」という設問に対し「強くそう思う」が26％、「まあそう思う」が56％と８割以上の履修生が他の学生に進めたい授業であることが確認できた。加えて、同アンケートの「総合的にみて、この授業は満足できたか」という設問についても「強くそう思う」、「まあそう思う」の合計が78%と高い評価を得ることができており、他の学生への推奨度は高いと推察される。</t>
    <phoneticPr fontId="1"/>
  </si>
  <si>
    <t>本プログラムの対象科目である「情報技術と人間社会」は、2024（令和６）年度から文部科学省の数理・データサイエンス・AI教育プログラム認定制度（リテラシーレベル）のモデルカリキュラムに準拠した内容で開講した科目である。履修者数の向上に関しては、履修要項での記載だけでなく、大学ホームページにも詳細を掲載している。本科目は、毎年度、履修希望者が多く、履修抽選を実施している科目であるため、本プログラムの次年度計画の立案、進捗状況の確認を行っている数理・データサイエンス・AI教育プログラム認定制度部会にて、履修希望者が少しでも多く履修できるよう開講授業数の見直しを行う。</t>
    <phoneticPr fontId="1"/>
  </si>
  <si>
    <t xml:space="preserve">昔は「読み書きそろばん」と言われたリテラシーが現代では「読み書き情報技術」となっており、理系文系を問わず社会人として生活していく上でAIやメディアを含む情報リテラシーは必須となっている。そのような状況で「情報技術と人間社会」という授業が実施されることになったのは喜ばしいことである。学生へのアンケートでも理解度や他の学生への推奨などが高い数値になっており、学生の満足度が高いことがわかる。一方で、授業の成績が期待したほどよくないことから、学生は理解したつもりになっていても実際はそれほど理解していなかったことがうかがわれる。初年度なので様子がわからずやむを得ないところはあるものの、次年度以降は今回の結果を踏まえて工夫することが期待される。また、とても重要な授業なので、できれば抽選ではなく希望する学生全員が履修できる体制を取ることが望ましいと思われる。
さまざまな情報系の企業で役員や顧問を務めている立場からすると、働いている人たちがスマートフォンなどの情報機器と適度な距離を取って付き合うことがとても重要だと考える。スマートフォンを一時でも手放せないようになるのは過度な依存で好ましくなく、一方でまったく情報機器に触れないようになるのは情報が遮断されてこちらも望ましくない。むずかしいことではあるが、適度な関係を築くことが必要で、大学でのプログラムにはその関係構築に向けた対応を期待するものである。
</t>
    <phoneticPr fontId="1"/>
  </si>
  <si>
    <t>本授業科目は、「学ぶ楽しさ」「学ぶことの意義」を概念だけでなく、メディアリテラシーなど情報技術に関する基礎的な内容や身近な事例やデータを用いたAIによるテキスト解析、複数のデータからメッセージ性のあるグラフの作成等、履修者の関心あるテーマを取り上げている。加えて、アンケートは難しいことは問わず、次回以降の授業につながる話題を設問とした。例えば、SNSのアカウントはいくつ持っているか、初めてインターネットを体験した端末は、といった学生の身近な話題をテーマとして取り上げ、かつ、毎年蓄積したデータを学生に提示して学生の興味・関心を引きつけるような授業展開とした。学生の興味関心を引き付けるためには、学生の日常に結びついたデータを用いることが必要と考えられる。また、学生に対しては質問への回答、フィードバックを実施した。フィードバックに関しては、アンケートの回答にあった面白いコメントの紹介や、講師側のエピソードを交えるなどラジオ感覚で授業を展開した。</t>
    <phoneticPr fontId="1"/>
  </si>
  <si>
    <t xml:space="preserve">授業内容の理解度、授業の進行速度の適切性等に関しては、既出のとおり授業評価アンケートを通じて確認している。学生の理解度および総合満足度については、それぞれ85％、78％の学生が「強くそう思う・まあそう思う」と回答している。授業自体は、学生の理解度に応じて繰り返し学ぶことができるようにオンデマンド配信としているが、あわせてオンラインでリアル配信も行っている。引き続き、オンデマンド配信でも分かりやすい授業構成となるよう継続的な見直しを実施する。特に数理・データサイエンス・AIの内容をオンラインで実施する場合、グラフや数字、手を動かすところはオンラインでは不向きであるため、工夫が必要と考えられる。
学生は動画を早送りで視聴する可能性が高いため、動画の途中で毎回異なる場所でQRコードを表示させて、Googleフォームのアンケート機能を活用した出欠確認を行い、学生の理解度などを確認するようにしている。
</t>
    <phoneticPr fontId="1"/>
  </si>
  <si>
    <t>本プログラムは2024（令和６）年度からの開講となるため、現時点では卒業生を輩出しておらず進路状況及び企業等からの評価を得るには至っていない。今後は、本学のキャリア支援センターや卒業生アンケートなど各種学生調査を実施している大学企画課と連携して本プログラムの有効性について検証する予定である。</t>
    <rPh sb="12" eb="14">
      <t>レイワ</t>
    </rPh>
    <phoneticPr fontId="1"/>
  </si>
  <si>
    <t>・人の行動ログデータ「情報技術と人間社会」（１回目）</t>
    <phoneticPr fontId="1"/>
  </si>
  <si>
    <t>・データ・AI活用領域の広がり(生産、消費、文化活動など)「情報技術と人間社会」（２回目）
・データ・AI活用領域の広がり(生産、消費、文化活動など)、研究開発、調達、製造、物流、販売、マーケティング、サービスなど「情報技術と人間社会」（６回目）
・対話、コンテンツ生成、翻訳・要約・執筆支援、コーディング支援など生成AIの応用「情報技術と人間社会」（８回目）</t>
    <phoneticPr fontId="1"/>
  </si>
  <si>
    <t>・匿名加工情報、暗号化と復号、ユーザ認証と、パスワード、アクセス制御、悪意ある情報搾取「情報技術と人間社会」（11回目）</t>
    <phoneticPr fontId="1"/>
  </si>
  <si>
    <t>・データ表現（棒グラフ、折線グラフ、散布図、ヒートマップ、箱ひげ図）「情報技術と人間社会」（３回目）
・データ表現（棒グラフ、折線グラフ、散布図、ヒートマップ、箱ひげ図）、データの比較（条件をそろえた比較、処理の前後での比較、A/Bテスト)、不適切なグラフ表現（チャートジャンク、不必要な視覚的要素）、優れた可視化事例の紹介（可視化することによって新たな気づきがあった事例など）、相手に的確かつ正確に情報を伝える技術や考え方（スライド作成、プレゼンテーションなど）「情報技術と人間社会」（10回目）</t>
    <phoneticPr fontId="1"/>
  </si>
  <si>
    <t>・データの取得（機械判読可能なデータの作成・表記方法）、データの集計（和、平均）、データの並び替え、ランキング「情報技術と人間社会」（３回目）
・データの取得（機械判読可能なデータの作成・表記方法）、データの集計（和、平均）、データの並び替え、ランキング、データ解析ツール（スプレッドシート、BIツール）、表形式のデータ（csv）「情報技術と人間社会」（10回目）</t>
    <phoneticPr fontId="1"/>
  </si>
  <si>
    <t>4‐7データハンドリング</t>
  </si>
  <si>
    <t>・AI、生成AI、複数技術を組み合わせたAIサービス、人間の知的活動を起点としたものの見方「情報技術と人間社会」（１回目）
・データを起点としたものの見方、人間の知的活動を起点としたものの見方「情報技術と人間社会」（４回目）
・データ量の増加、計算機の処理性能の向上、AIの非連続的進化、データ駆動型社会、複数技術を組み合わせたAIサービス、人間の知的活動とAIの関係性「情報技術と人間社会」（６回目）
・第4次産業革命、Society 5.0、データ駆動型社会、複数技術を組み合わせたAIサービス、人間の知的活動とAIの関係性「情報技術と人間社会」（７回目）
・AI、生成AI「情報技術と人間社会」（８回目）</t>
    <rPh sb="46" eb="48">
      <t>ジョウホウ</t>
    </rPh>
    <rPh sb="48" eb="50">
      <t>ギジュツ</t>
    </rPh>
    <rPh sb="51" eb="53">
      <t>ニンゲン</t>
    </rPh>
    <rPh sb="53" eb="55">
      <t>シャカイ</t>
    </rPh>
    <rPh sb="58" eb="60">
      <t>カイメ</t>
    </rPh>
    <phoneticPr fontId="1"/>
  </si>
  <si>
    <t>・データ解析：予測、グルーピング、パターン発見、最適化、モデル化とシミュレーション「情報技術と人間社会」（２回目）
・非構造化データ処理：言語処理、画像/動画処理、音声/音楽処理など、マルチモーダル（言語、画像、音声など）、生成AIの活用（プロンプトエンジニアリング）「情報技術と人間社会」（７回目）</t>
    <phoneticPr fontId="1"/>
  </si>
  <si>
    <t>・AI最新技術の活用例（深層生成モデル、強化学習、転移学習、生成AIなど）「情報技術と人間社会」（２回目）
・AI等を活用した新しいビジネスモデル(シェアリングエコノミー、商品のレコメンデーションなど)「情報技術と人間社会」（７回目）</t>
    <phoneticPr fontId="1"/>
  </si>
  <si>
    <t>・データサイエンスのサイクル（課題抽出と定式化、データの取得・管理・加工、探索的データ解析、データ解析と推論、結果の共有・伝達、課題解決に向けた提案）「情報技術と人間社会」（２回目）
・教育、芸術、流通、製造、金融、サービス、インフラ、公共、ヘルスケア等におけるデータ・AI利活用事例紹介「情報技術と人間社会」（７回目）</t>
    <phoneticPr fontId="1"/>
  </si>
  <si>
    <t>・データバイアス、アルゴリズムバイアス「情報技術と人間社会」（１回目）
・生成AIの留意事項（ハルシネーションによる誤情報の生成、偽情報や有害コンテンツの生成・氾濫など）「情報技術と人間社会」（９回目）
・倫理的・法的・社会的課題（ELSI：Ethical, Legal and Social Issues）、個人情報保護、データ倫理：データのねつ造、改ざん、盗用、プライバシー保護、AI社会原則（公平性、説明責任、透明性、人間中心の判断）「情報技術と人間社会」（11回目）
・データ倫理：データのねつ造、改ざん、盗用、プライバシー保護「情報技術と人間社会」（12回目）</t>
    <phoneticPr fontId="1"/>
  </si>
  <si>
    <t>・データの種類（量的変数、質的変数）、データの分布(ヒストグラム)と代表値（平均値、中央値、最頻値）「情報技術と人間社会」（３回目）
・母集団と標本抽出（国勢調査、アンケート調査、全数調査、単純無作為抽出、層別抽出、多段抽出）、統計情報の正しい理解（誇張表現に惑わされない）「情報技術と人間社会」（４回目）
・統計情報の正しい理解（誇張表現に惑わされない）「情報技術と人間社会」（８回目）
・統計情報の正しい理解（誇張表現に惑わされない）「情報技術と人間社会」（９回目）
・データの種類（量的変数、質的変数）、データの分布(ヒストグラム)と代表値（平均値、中央値、最頻値）、代表値の性質の違い（実社会では平均値＝最頻値でないことが多い）、データのばらつき（分散、標準偏差、偏差値）、外れ値「情報技術と人間社会」（10回目）</t>
    <phoneticPr fontId="1"/>
  </si>
  <si>
    <t>総合科目ダイレクター</t>
    <rPh sb="0" eb="2">
      <t>ソウゴウ</t>
    </rPh>
    <rPh sb="2" eb="4">
      <t>カモク</t>
    </rPh>
    <phoneticPr fontId="1"/>
  </si>
  <si>
    <t xml:space="preserve">リベラルアーツアンドサイエンス教育センター センター長　教授　踊　共二
リベラルアーツアンドサイエンス教育センター 副センター長　教授　　森　健一
総合科目ダイレクター　教授　踊　共二（兼任）
数理・データサイエンス・AI教育プログラム認定制度部会（MDASH部会）専門員　
　社会学部 教授 粉川　一郎
数理・データサイエンス・AI教育プログラム認定制度部会（MDASH部会）オブザーバー
　社会学部 教授 庄司 昌彦 </t>
    <rPh sb="28" eb="30">
      <t>キョウジュ</t>
    </rPh>
    <rPh sb="65" eb="67">
      <t>キョウジュ</t>
    </rPh>
    <rPh sb="85" eb="87">
      <t>キョウジュ</t>
    </rPh>
    <rPh sb="139" eb="141">
      <t>シャカイ</t>
    </rPh>
    <rPh sb="141" eb="143">
      <t>ガクブ</t>
    </rPh>
    <rPh sb="144" eb="146">
      <t>キョウジュ</t>
    </rPh>
    <rPh sb="205" eb="207">
      <t>ショウジ</t>
    </rPh>
    <rPh sb="208" eb="210">
      <t>マサヒコ</t>
    </rPh>
    <phoneticPr fontId="1"/>
  </si>
  <si>
    <t>本プログラムの授業科目は、オンデマンド形式で提供しており、授業資料等は期間内であれば繰り返し視聴できる環境を整備している。単位の修得に向けては、学生が取り組みやすい身近なテーマを取り上げている。各授業回においては、進捗確認のための授業内テストを実施し、学生の理解度に応じたフォローアップを行い、学生の理解度を高める工夫をしてる。</t>
    <rPh sb="0" eb="1">
      <t>ホン</t>
    </rPh>
    <rPh sb="7" eb="9">
      <t>ジュギョウ</t>
    </rPh>
    <rPh sb="9" eb="11">
      <t>カモク</t>
    </rPh>
    <rPh sb="19" eb="21">
      <t>ケイシキ</t>
    </rPh>
    <rPh sb="22" eb="24">
      <t>テイキョウ</t>
    </rPh>
    <rPh sb="29" eb="31">
      <t>ジュギョウ</t>
    </rPh>
    <rPh sb="31" eb="33">
      <t>シリョウ</t>
    </rPh>
    <rPh sb="33" eb="34">
      <t>トウ</t>
    </rPh>
    <rPh sb="35" eb="38">
      <t>キカンナイ</t>
    </rPh>
    <rPh sb="42" eb="43">
      <t>ク</t>
    </rPh>
    <rPh sb="44" eb="45">
      <t>カエ</t>
    </rPh>
    <rPh sb="46" eb="48">
      <t>シチョウ</t>
    </rPh>
    <rPh sb="51" eb="53">
      <t>カンキョウ</t>
    </rPh>
    <rPh sb="54" eb="56">
      <t>セイビ</t>
    </rPh>
    <rPh sb="61" eb="63">
      <t>タンイ</t>
    </rPh>
    <rPh sb="64" eb="66">
      <t>シュウトク</t>
    </rPh>
    <rPh sb="67" eb="68">
      <t>ム</t>
    </rPh>
    <rPh sb="72" eb="74">
      <t>ガクセイ</t>
    </rPh>
    <rPh sb="75" eb="76">
      <t>ト</t>
    </rPh>
    <rPh sb="77" eb="78">
      <t>ク</t>
    </rPh>
    <rPh sb="82" eb="84">
      <t>ミヂカ</t>
    </rPh>
    <rPh sb="89" eb="90">
      <t>ト</t>
    </rPh>
    <rPh sb="91" eb="92">
      <t>ア</t>
    </rPh>
    <rPh sb="97" eb="100">
      <t>カクジュギョウ</t>
    </rPh>
    <rPh sb="100" eb="101">
      <t>カイ</t>
    </rPh>
    <rPh sb="107" eb="109">
      <t>シンチョク</t>
    </rPh>
    <rPh sb="109" eb="111">
      <t>カクニン</t>
    </rPh>
    <rPh sb="115" eb="117">
      <t>ジュギョウ</t>
    </rPh>
    <rPh sb="117" eb="118">
      <t>ナイ</t>
    </rPh>
    <rPh sb="122" eb="124">
      <t>ジッシ</t>
    </rPh>
    <rPh sb="126" eb="128">
      <t>ガクセイ</t>
    </rPh>
    <rPh sb="129" eb="132">
      <t>リカイド</t>
    </rPh>
    <rPh sb="133" eb="134">
      <t>オウ</t>
    </rPh>
    <rPh sb="144" eb="145">
      <t>オコナ</t>
    </rPh>
    <rPh sb="147" eb="149">
      <t>ガクセイ</t>
    </rPh>
    <rPh sb="150" eb="153">
      <t>リカイド</t>
    </rPh>
    <rPh sb="154" eb="155">
      <t>タカ</t>
    </rPh>
    <rPh sb="157" eb="159">
      <t>クフウ</t>
    </rPh>
    <phoneticPr fontId="1"/>
  </si>
  <si>
    <t>武蔵大学リベラルアーツアンドサイエンス教育センターの業務の１つとして、全学に開講されている総合科目の授業計画や運営について協議し、適切な運営を図ることが掲げられている。総合科目の運営にあたっては、ダイレクター、副センター長に加え、特定領域を担当する専門員を含む部会を設ける体制としている。
本プログラムを構成する授業科目が総合科目に該当することから、武蔵大学リベラルアーツアンドサイエンス教育センターの部会として「数理・データサイエンス・AI教育プログラム認定制度部会」を設置した。
本部会は、「数理・データサイエンス・AI教育プログラム」の全学的普及と質の向上を目的とし、授業運営に関する協議や調整を行う。また、自己点検・評価活動を通じて課題を明らかにし、改善策を立案・実施を通じて、本プログラムの継続的な発展を推進する。</t>
    <rPh sb="0" eb="2">
      <t>ムサシ</t>
    </rPh>
    <rPh sb="2" eb="4">
      <t>ダイガク</t>
    </rPh>
    <rPh sb="26" eb="28">
      <t>ギョウム</t>
    </rPh>
    <rPh sb="35" eb="37">
      <t>ゼンガク</t>
    </rPh>
    <rPh sb="38" eb="40">
      <t>カイコウ</t>
    </rPh>
    <rPh sb="45" eb="47">
      <t>ソウゴウ</t>
    </rPh>
    <rPh sb="47" eb="49">
      <t>カモク</t>
    </rPh>
    <rPh sb="50" eb="52">
      <t>ジュギョウ</t>
    </rPh>
    <rPh sb="52" eb="54">
      <t>ケイカク</t>
    </rPh>
    <rPh sb="55" eb="57">
      <t>ウンエイ</t>
    </rPh>
    <rPh sb="61" eb="63">
      <t>キョウギ</t>
    </rPh>
    <rPh sb="65" eb="67">
      <t>テキセツ</t>
    </rPh>
    <rPh sb="68" eb="70">
      <t>ウンエイ</t>
    </rPh>
    <rPh sb="71" eb="72">
      <t>ハカ</t>
    </rPh>
    <rPh sb="76" eb="77">
      <t>カカ</t>
    </rPh>
    <rPh sb="84" eb="86">
      <t>ソウゴウ</t>
    </rPh>
    <rPh sb="86" eb="88">
      <t>カモク</t>
    </rPh>
    <rPh sb="89" eb="91">
      <t>ウンエイ</t>
    </rPh>
    <rPh sb="105" eb="106">
      <t>フク</t>
    </rPh>
    <rPh sb="110" eb="111">
      <t>チョウ</t>
    </rPh>
    <rPh sb="112" eb="113">
      <t>クワ</t>
    </rPh>
    <rPh sb="115" eb="117">
      <t>トクテイ</t>
    </rPh>
    <rPh sb="117" eb="119">
      <t>リョウイキ</t>
    </rPh>
    <rPh sb="120" eb="122">
      <t>タントウ</t>
    </rPh>
    <rPh sb="124" eb="127">
      <t>センモンイン</t>
    </rPh>
    <rPh sb="128" eb="129">
      <t>フク</t>
    </rPh>
    <rPh sb="130" eb="132">
      <t>ブカイ</t>
    </rPh>
    <rPh sb="133" eb="134">
      <t>モウ</t>
    </rPh>
    <rPh sb="136" eb="138">
      <t>タイセイ</t>
    </rPh>
    <rPh sb="145" eb="146">
      <t>ホン</t>
    </rPh>
    <rPh sb="152" eb="154">
      <t>コウセイ</t>
    </rPh>
    <rPh sb="156" eb="158">
      <t>ジュギョウ</t>
    </rPh>
    <rPh sb="158" eb="160">
      <t>カモク</t>
    </rPh>
    <rPh sb="161" eb="163">
      <t>ソウゴウ</t>
    </rPh>
    <rPh sb="163" eb="165">
      <t>カモク</t>
    </rPh>
    <rPh sb="166" eb="168">
      <t>ガイトウ</t>
    </rPh>
    <rPh sb="201" eb="203">
      <t>ブカイ</t>
    </rPh>
    <rPh sb="236" eb="238">
      <t>セッチ</t>
    </rPh>
    <rPh sb="242" eb="243">
      <t>ホン</t>
    </rPh>
    <rPh sb="243" eb="245">
      <t>ブカイ</t>
    </rPh>
    <rPh sb="248" eb="250">
      <t>スウリ</t>
    </rPh>
    <rPh sb="262" eb="264">
      <t>キョウイク</t>
    </rPh>
    <rPh sb="271" eb="274">
      <t>ゼンガクテキ</t>
    </rPh>
    <rPh sb="274" eb="276">
      <t>フキュウ</t>
    </rPh>
    <rPh sb="277" eb="278">
      <t>シツ</t>
    </rPh>
    <rPh sb="279" eb="281">
      <t>コウジョウ</t>
    </rPh>
    <rPh sb="282" eb="284">
      <t>モクテキ</t>
    </rPh>
    <rPh sb="287" eb="289">
      <t>ジュギョウ</t>
    </rPh>
    <rPh sb="289" eb="291">
      <t>ウンエイ</t>
    </rPh>
    <rPh sb="292" eb="293">
      <t>カン</t>
    </rPh>
    <rPh sb="295" eb="297">
      <t>キョウギ</t>
    </rPh>
    <rPh sb="298" eb="300">
      <t>チョウセイ</t>
    </rPh>
    <rPh sb="301" eb="302">
      <t>オコナ</t>
    </rPh>
    <rPh sb="307" eb="309">
      <t>ジコ</t>
    </rPh>
    <rPh sb="309" eb="311">
      <t>テンケン</t>
    </rPh>
    <rPh sb="312" eb="314">
      <t>ヒョウカ</t>
    </rPh>
    <rPh sb="314" eb="316">
      <t>カツドウ</t>
    </rPh>
    <rPh sb="317" eb="318">
      <t>ツウ</t>
    </rPh>
    <rPh sb="320" eb="322">
      <t>カダイ</t>
    </rPh>
    <rPh sb="323" eb="324">
      <t>アキ</t>
    </rPh>
    <rPh sb="329" eb="331">
      <t>カイゼン</t>
    </rPh>
    <rPh sb="331" eb="332">
      <t>サク</t>
    </rPh>
    <rPh sb="333" eb="335">
      <t>リツアン</t>
    </rPh>
    <rPh sb="336" eb="338">
      <t>ジッシ</t>
    </rPh>
    <rPh sb="339" eb="340">
      <t>ツウ</t>
    </rPh>
    <rPh sb="343" eb="344">
      <t>ホン</t>
    </rPh>
    <rPh sb="350" eb="353">
      <t>ケイゾクテキ</t>
    </rPh>
    <rPh sb="354" eb="356">
      <t>ハッテン</t>
    </rPh>
    <rPh sb="357" eb="359">
      <t>スイシン</t>
    </rPh>
    <phoneticPr fontId="1"/>
  </si>
  <si>
    <t>開講初年度は300名（講義科目の１授業あたりの履修上限者数）を目標としたところ、その5.8倍の1,740名の履修希望者があったため、抽選により300名の履修を認めた。本科目は、全学対象の総合科目であり、履修希望者が多数いることが判明したため、令和7年度には３クラスの開講とし、約３倍の履修希望者を受け入れることが可能な体制とする。令和８年度以降は履修希望者数の推移を見て、段階的にクラス数を増やすことにより多くの学生が履修可能となる体制を整備する予定である。さらに学生のニーズにあわせて履修ができるよう、オンデマンド形式の授業だけでなく対面授業も組み合わせた授業展開を検討している。</t>
    <rPh sb="17" eb="19">
      <t>ジュギョウ</t>
    </rPh>
    <rPh sb="27" eb="28">
      <t>シャ</t>
    </rPh>
    <rPh sb="28" eb="29">
      <t>スウ</t>
    </rPh>
    <rPh sb="54" eb="56">
      <t>リシュウ</t>
    </rPh>
    <rPh sb="56" eb="58">
      <t>キボウ</t>
    </rPh>
    <rPh sb="58" eb="59">
      <t>シャ</t>
    </rPh>
    <rPh sb="66" eb="68">
      <t>チュウセン</t>
    </rPh>
    <rPh sb="74" eb="75">
      <t>メイ</t>
    </rPh>
    <rPh sb="76" eb="78">
      <t>リシュウ</t>
    </rPh>
    <rPh sb="79" eb="80">
      <t>ミト</t>
    </rPh>
    <rPh sb="88" eb="90">
      <t>ゼンガク</t>
    </rPh>
    <rPh sb="90" eb="92">
      <t>タイショウ</t>
    </rPh>
    <rPh sb="93" eb="95">
      <t>ソウゴウ</t>
    </rPh>
    <rPh sb="95" eb="97">
      <t>カモク</t>
    </rPh>
    <rPh sb="107" eb="109">
      <t>タスウ</t>
    </rPh>
    <rPh sb="114" eb="116">
      <t>ハンメイ</t>
    </rPh>
    <rPh sb="138" eb="139">
      <t>ヤク</t>
    </rPh>
    <rPh sb="140" eb="141">
      <t>バイ</t>
    </rPh>
    <rPh sb="142" eb="144">
      <t>リシュウ</t>
    </rPh>
    <rPh sb="144" eb="146">
      <t>キボウ</t>
    </rPh>
    <rPh sb="146" eb="147">
      <t>シャ</t>
    </rPh>
    <rPh sb="148" eb="149">
      <t>ウ</t>
    </rPh>
    <rPh sb="150" eb="151">
      <t>イ</t>
    </rPh>
    <rPh sb="156" eb="158">
      <t>カノウ</t>
    </rPh>
    <rPh sb="165" eb="167">
      <t>レイワ</t>
    </rPh>
    <rPh sb="168" eb="170">
      <t>ネンド</t>
    </rPh>
    <rPh sb="170" eb="172">
      <t>イコウ</t>
    </rPh>
    <rPh sb="173" eb="175">
      <t>リシュウ</t>
    </rPh>
    <rPh sb="175" eb="178">
      <t>キボウシャ</t>
    </rPh>
    <rPh sb="178" eb="179">
      <t>スウ</t>
    </rPh>
    <rPh sb="180" eb="182">
      <t>スイイ</t>
    </rPh>
    <rPh sb="183" eb="184">
      <t>ミ</t>
    </rPh>
    <rPh sb="203" eb="204">
      <t>オオ</t>
    </rPh>
    <rPh sb="211" eb="213">
      <t>カノウ</t>
    </rPh>
    <rPh sb="216" eb="218">
      <t>タイセイ</t>
    </rPh>
    <rPh sb="219" eb="221">
      <t>セイビ</t>
    </rPh>
    <rPh sb="223" eb="225">
      <t>ヨテイ</t>
    </rPh>
    <rPh sb="232" eb="234">
      <t>ガクセイ</t>
    </rPh>
    <rPh sb="243" eb="245">
      <t>リシュウ</t>
    </rPh>
    <rPh sb="258" eb="260">
      <t>ケイシキ</t>
    </rPh>
    <rPh sb="261" eb="263">
      <t>ジュギョウ</t>
    </rPh>
    <rPh sb="268" eb="270">
      <t>タイメン</t>
    </rPh>
    <rPh sb="270" eb="272">
      <t>ジュギョウ</t>
    </rPh>
    <rPh sb="273" eb="274">
      <t>ク</t>
    </rPh>
    <rPh sb="275" eb="276">
      <t>ア</t>
    </rPh>
    <rPh sb="279" eb="281">
      <t>ジュギョウ</t>
    </rPh>
    <rPh sb="281" eb="283">
      <t>テンカイ</t>
    </rPh>
    <rPh sb="284" eb="286">
      <t>ケントウ</t>
    </rPh>
    <phoneticPr fontId="1"/>
  </si>
  <si>
    <t>本プログラム科目は、全学生を対象とした総合科目に配置し、１年次より履修できるよう配当年次を設定している。また、オンデマンド形式での授業形態にしているため、学生はいつでも各自のペースに合わせて履修できる体制を整備している。</t>
    <rPh sb="10" eb="12">
      <t>ゼンガク</t>
    </rPh>
    <rPh sb="12" eb="13">
      <t>セイ</t>
    </rPh>
    <rPh sb="14" eb="16">
      <t>タイショウ</t>
    </rPh>
    <rPh sb="19" eb="21">
      <t>ソウゴウ</t>
    </rPh>
    <rPh sb="21" eb="23">
      <t>カモク</t>
    </rPh>
    <rPh sb="24" eb="26">
      <t>ハイチ</t>
    </rPh>
    <rPh sb="33" eb="35">
      <t>リシュウ</t>
    </rPh>
    <rPh sb="67" eb="69">
      <t>ケイタイ</t>
    </rPh>
    <rPh sb="77" eb="79">
      <t>ガクセイ</t>
    </rPh>
    <rPh sb="84" eb="86">
      <t>カクジ</t>
    </rPh>
    <rPh sb="91" eb="92">
      <t>ア</t>
    </rPh>
    <rPh sb="95" eb="97">
      <t>リシュウ</t>
    </rPh>
    <rPh sb="103" eb="105">
      <t>セイビ</t>
    </rPh>
    <phoneticPr fontId="1"/>
  </si>
  <si>
    <t>⑧に記載のとおり、履修希望者数に合わせて段階的にクラス数を増やし、より多くの学生が履修できる体制を整備する予定である。
加えて、本プログラムの紹介をホームページ（https://www.musashi.ac.jp/education/lasec/mdsb.html）に掲載するとともに、履修要項に本プログラムの説明を記載し周知している。</t>
    <rPh sb="9" eb="11">
      <t>リシュウ</t>
    </rPh>
    <rPh sb="11" eb="14">
      <t>キボウシャ</t>
    </rPh>
    <rPh sb="14" eb="15">
      <t>スウ</t>
    </rPh>
    <rPh sb="49" eb="51">
      <t>セイビ</t>
    </rPh>
    <rPh sb="53" eb="55">
      <t>ヨテイ</t>
    </rPh>
    <rPh sb="60" eb="61">
      <t>クワ</t>
    </rPh>
    <rPh sb="71" eb="73">
      <t>ショウカイ</t>
    </rPh>
    <rPh sb="134" eb="136">
      <t>ケイサイ</t>
    </rPh>
    <phoneticPr fontId="1"/>
  </si>
  <si>
    <t>授業内外の取り組みとして、各授業回で実施する進捗確認のための授業内テストや本学の学修支援ポータルサイトで随時、質問に対応している。質問の回答は、できる限り授業内にフィードバックしている。</t>
    <rPh sb="0" eb="2">
      <t>ジュギョウ</t>
    </rPh>
    <rPh sb="2" eb="3">
      <t>ナイ</t>
    </rPh>
    <rPh sb="3" eb="4">
      <t>ガイ</t>
    </rPh>
    <rPh sb="5" eb="6">
      <t>ト</t>
    </rPh>
    <rPh sb="7" eb="8">
      <t>ク</t>
    </rPh>
    <rPh sb="13" eb="16">
      <t>カクジュギョウ</t>
    </rPh>
    <rPh sb="16" eb="17">
      <t>カイ</t>
    </rPh>
    <rPh sb="18" eb="20">
      <t>ジッシ</t>
    </rPh>
    <rPh sb="22" eb="24">
      <t>シンチョク</t>
    </rPh>
    <rPh sb="24" eb="26">
      <t>カクニン</t>
    </rPh>
    <rPh sb="30" eb="32">
      <t>ジュギョウ</t>
    </rPh>
    <rPh sb="32" eb="33">
      <t>ナイ</t>
    </rPh>
    <rPh sb="37" eb="39">
      <t>ホンガク</t>
    </rPh>
    <rPh sb="40" eb="42">
      <t>ガクシュウ</t>
    </rPh>
    <rPh sb="42" eb="44">
      <t>シエン</t>
    </rPh>
    <rPh sb="52" eb="54">
      <t>ズイジ</t>
    </rPh>
    <rPh sb="55" eb="57">
      <t>シツモン</t>
    </rPh>
    <rPh sb="58" eb="60">
      <t>タイオウ</t>
    </rPh>
    <rPh sb="65" eb="67">
      <t>シツモン</t>
    </rPh>
    <rPh sb="68" eb="70">
      <t>カイトウ</t>
    </rPh>
    <rPh sb="75" eb="76">
      <t>カギ</t>
    </rPh>
    <rPh sb="77" eb="79">
      <t>ジュギョウ</t>
    </rPh>
    <rPh sb="79" eb="80">
      <t>ナイ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</si>
</sst>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 fontId="11" fillId="0" borderId="1" xfId="0" applyNumberFormat="1" applyFont="1" applyBorder="1">
      <alignment vertical="center"/>
    </xf>
    <xf numFmtId="9" fontId="2" fillId="0" borderId="15" xfId="0" applyNumberFormat="1" applyFont="1" applyBorder="1" applyAlignment="1">
      <alignment vertical="center" shrinkToFit="1"/>
    </xf>
    <xf numFmtId="0" fontId="2" fillId="0" borderId="1" xfId="0" applyFont="1" applyBorder="1" applyAlignment="1">
      <alignment horizontal="left" vertical="center" shrinkToFit="1"/>
    </xf>
    <xf numFmtId="0" fontId="2" fillId="0" borderId="1" xfId="0" applyFont="1" applyBorder="1" applyAlignment="1">
      <alignment horizontal="righ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29"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32"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7"/>
  <sheetViews>
    <sheetView showZeros="0" tabSelected="1" view="pageBreakPreview" zoomScaleNormal="100" zoomScaleSheetLayoutView="100" workbookViewId="0">
      <selection activeCell="Y9" sqref="Y9"/>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23" t="s">
        <v>12</v>
      </c>
      <c r="U1" s="123"/>
      <c r="V1" s="2" t="s">
        <v>94</v>
      </c>
    </row>
    <row r="2" spans="1:24" ht="18.75" customHeight="1" x14ac:dyDescent="0.2">
      <c r="B2" s="16" t="s">
        <v>93</v>
      </c>
      <c r="C2" s="93" t="s">
        <v>144</v>
      </c>
      <c r="D2" s="94"/>
      <c r="E2" s="94"/>
      <c r="F2" s="94"/>
      <c r="G2" s="94"/>
      <c r="H2" s="94"/>
      <c r="I2" s="94"/>
      <c r="J2" s="95"/>
      <c r="K2" s="17"/>
      <c r="L2" s="6"/>
      <c r="M2" s="6"/>
      <c r="N2" s="6"/>
      <c r="O2" s="6"/>
      <c r="P2" s="6"/>
      <c r="Q2" s="6"/>
      <c r="R2" s="6"/>
      <c r="S2" s="6"/>
      <c r="T2" s="6"/>
      <c r="U2" s="6"/>
    </row>
    <row r="3" spans="1:24" ht="18.75" customHeight="1" x14ac:dyDescent="0.2">
      <c r="B3" s="16" t="s">
        <v>88</v>
      </c>
      <c r="C3" s="93" t="s">
        <v>145</v>
      </c>
      <c r="D3" s="94"/>
      <c r="E3" s="94"/>
      <c r="F3" s="94"/>
      <c r="G3" s="94"/>
      <c r="H3" s="94"/>
      <c r="I3" s="94"/>
      <c r="J3" s="95"/>
      <c r="K3" s="17"/>
      <c r="L3" s="6"/>
      <c r="M3" s="6"/>
      <c r="N3" s="6"/>
      <c r="O3" s="6"/>
      <c r="P3" s="6"/>
      <c r="Q3" s="6"/>
      <c r="R3" s="6"/>
      <c r="S3" s="6"/>
      <c r="T3" s="6"/>
      <c r="U3" s="6"/>
    </row>
    <row r="4" spans="1:24" ht="15" customHeight="1" x14ac:dyDescent="0.2">
      <c r="L4" s="17"/>
      <c r="M4" s="71"/>
      <c r="N4" s="71"/>
      <c r="O4" s="71"/>
      <c r="P4" s="71"/>
      <c r="Q4" s="71"/>
      <c r="R4" s="71"/>
      <c r="S4" s="71"/>
      <c r="T4" s="71"/>
      <c r="U4" s="71"/>
    </row>
    <row r="5" spans="1:24" ht="18" customHeight="1" x14ac:dyDescent="0.2">
      <c r="A5" s="124" t="s">
        <v>141</v>
      </c>
      <c r="B5" s="124"/>
      <c r="C5" s="124"/>
      <c r="D5" s="124"/>
      <c r="E5" s="124"/>
      <c r="F5" s="124"/>
      <c r="G5" s="124"/>
      <c r="H5" s="124"/>
      <c r="I5" s="124"/>
      <c r="J5" s="124"/>
      <c r="K5" s="124"/>
      <c r="L5" s="124"/>
      <c r="M5" s="124"/>
      <c r="N5" s="124"/>
      <c r="O5" s="124"/>
      <c r="P5" s="124"/>
      <c r="Q5" s="124"/>
      <c r="R5" s="124"/>
      <c r="S5" s="124"/>
      <c r="T5" s="124"/>
      <c r="U5" s="124"/>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90" t="s">
        <v>143</v>
      </c>
      <c r="M7" s="91"/>
      <c r="N7" s="91"/>
      <c r="O7" s="91"/>
      <c r="P7" s="91"/>
      <c r="Q7" s="91"/>
      <c r="R7" s="91"/>
      <c r="S7" s="91"/>
      <c r="T7" s="91"/>
      <c r="U7" s="92"/>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7"/>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00"/>
      <c r="C11" s="101"/>
      <c r="D11" s="101"/>
      <c r="E11" s="101"/>
      <c r="F11" s="101"/>
      <c r="G11" s="101"/>
      <c r="H11" s="101"/>
      <c r="I11" s="101"/>
      <c r="J11" s="101"/>
      <c r="K11" s="101"/>
      <c r="L11" s="101"/>
      <c r="M11" s="101"/>
      <c r="N11" s="101"/>
      <c r="O11" s="101"/>
      <c r="P11" s="101"/>
      <c r="Q11" s="101"/>
      <c r="R11" s="101"/>
      <c r="S11" s="101"/>
      <c r="T11" s="101"/>
      <c r="U11" s="102"/>
    </row>
    <row r="12" spans="1:24" ht="18" customHeight="1" x14ac:dyDescent="0.2">
      <c r="B12" s="103"/>
      <c r="C12" s="104"/>
      <c r="D12" s="104"/>
      <c r="E12" s="104"/>
      <c r="F12" s="104"/>
      <c r="G12" s="104"/>
      <c r="H12" s="104"/>
      <c r="I12" s="104"/>
      <c r="J12" s="104"/>
      <c r="K12" s="104"/>
      <c r="L12" s="104"/>
      <c r="M12" s="104"/>
      <c r="N12" s="104"/>
      <c r="O12" s="104"/>
      <c r="P12" s="104"/>
      <c r="Q12" s="104"/>
      <c r="R12" s="104"/>
      <c r="S12" s="104"/>
      <c r="T12" s="104"/>
      <c r="U12" s="105"/>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95</v>
      </c>
      <c r="B14" s="3"/>
      <c r="C14" s="3"/>
      <c r="D14" s="3"/>
      <c r="E14" s="17"/>
      <c r="F14" s="17"/>
      <c r="G14" s="17"/>
      <c r="H14" s="17"/>
      <c r="I14" s="17"/>
      <c r="J14" s="17"/>
      <c r="K14" s="17"/>
      <c r="L14" s="72"/>
      <c r="M14" s="72"/>
      <c r="N14" s="72"/>
      <c r="O14" s="72"/>
      <c r="P14" s="72"/>
      <c r="Q14" s="72"/>
      <c r="R14" s="72"/>
      <c r="S14" s="72"/>
      <c r="T14" s="72"/>
      <c r="U14" s="72"/>
    </row>
    <row r="15" spans="1:24" ht="18" customHeight="1" x14ac:dyDescent="0.2">
      <c r="B15" s="125" t="s">
        <v>147</v>
      </c>
      <c r="C15" s="126"/>
      <c r="D15" s="126"/>
      <c r="E15" s="126"/>
      <c r="F15" s="126"/>
      <c r="G15" s="126"/>
      <c r="H15" s="126"/>
      <c r="I15" s="126"/>
      <c r="J15" s="126"/>
      <c r="K15" s="126"/>
      <c r="L15" s="126"/>
      <c r="M15" s="126"/>
      <c r="N15" s="126"/>
      <c r="O15" s="126"/>
      <c r="P15" s="126"/>
      <c r="Q15" s="126"/>
      <c r="R15" s="126"/>
      <c r="S15" s="126"/>
      <c r="T15" s="126"/>
      <c r="U15" s="127"/>
      <c r="X15" s="1" t="s">
        <v>89</v>
      </c>
    </row>
    <row r="16" spans="1:24" ht="18" customHeight="1" x14ac:dyDescent="0.2">
      <c r="B16" s="128"/>
      <c r="C16" s="129"/>
      <c r="D16" s="129"/>
      <c r="E16" s="129"/>
      <c r="F16" s="129"/>
      <c r="G16" s="129"/>
      <c r="H16" s="129"/>
      <c r="I16" s="129"/>
      <c r="J16" s="129"/>
      <c r="K16" s="129"/>
      <c r="L16" s="129"/>
      <c r="M16" s="129"/>
      <c r="N16" s="129"/>
      <c r="O16" s="129"/>
      <c r="P16" s="129"/>
      <c r="Q16" s="129"/>
      <c r="R16" s="129"/>
      <c r="S16" s="129"/>
      <c r="T16" s="129"/>
      <c r="U16" s="130"/>
      <c r="X16" s="1" t="s">
        <v>122</v>
      </c>
    </row>
    <row r="17" spans="1:24" ht="18" customHeight="1" x14ac:dyDescent="0.2">
      <c r="B17" s="128"/>
      <c r="C17" s="129"/>
      <c r="D17" s="129"/>
      <c r="E17" s="129"/>
      <c r="F17" s="129"/>
      <c r="G17" s="129"/>
      <c r="H17" s="129"/>
      <c r="I17" s="129"/>
      <c r="J17" s="129"/>
      <c r="K17" s="129"/>
      <c r="L17" s="129"/>
      <c r="M17" s="129"/>
      <c r="N17" s="129"/>
      <c r="O17" s="129"/>
      <c r="P17" s="129"/>
      <c r="Q17" s="129"/>
      <c r="R17" s="129"/>
      <c r="S17" s="129"/>
      <c r="T17" s="129"/>
      <c r="U17" s="130"/>
      <c r="X17" s="1" t="s">
        <v>123</v>
      </c>
    </row>
    <row r="18" spans="1:24" ht="18" customHeight="1" x14ac:dyDescent="0.2">
      <c r="B18" s="128"/>
      <c r="C18" s="129"/>
      <c r="D18" s="129"/>
      <c r="E18" s="129"/>
      <c r="F18" s="129"/>
      <c r="G18" s="129"/>
      <c r="H18" s="129"/>
      <c r="I18" s="129"/>
      <c r="J18" s="129"/>
      <c r="K18" s="129"/>
      <c r="L18" s="129"/>
      <c r="M18" s="129"/>
      <c r="N18" s="129"/>
      <c r="O18" s="129"/>
      <c r="P18" s="129"/>
      <c r="Q18" s="129"/>
      <c r="R18" s="129"/>
      <c r="S18" s="129"/>
      <c r="T18" s="129"/>
      <c r="U18" s="130"/>
      <c r="X18" s="1" t="s">
        <v>124</v>
      </c>
    </row>
    <row r="19" spans="1:24" ht="18" customHeight="1" x14ac:dyDescent="0.2">
      <c r="B19" s="128"/>
      <c r="C19" s="129"/>
      <c r="D19" s="129"/>
      <c r="E19" s="129"/>
      <c r="F19" s="129"/>
      <c r="G19" s="129"/>
      <c r="H19" s="129"/>
      <c r="I19" s="129"/>
      <c r="J19" s="129"/>
      <c r="K19" s="129"/>
      <c r="L19" s="129"/>
      <c r="M19" s="129"/>
      <c r="N19" s="129"/>
      <c r="O19" s="129"/>
      <c r="P19" s="129"/>
      <c r="Q19" s="129"/>
      <c r="R19" s="129"/>
      <c r="S19" s="129"/>
      <c r="T19" s="129"/>
      <c r="U19" s="130"/>
    </row>
    <row r="20" spans="1:24" ht="18" customHeight="1" x14ac:dyDescent="0.2">
      <c r="B20" s="131"/>
      <c r="C20" s="132"/>
      <c r="D20" s="132"/>
      <c r="E20" s="132"/>
      <c r="F20" s="132"/>
      <c r="G20" s="132"/>
      <c r="H20" s="132"/>
      <c r="I20" s="132"/>
      <c r="J20" s="132"/>
      <c r="K20" s="132"/>
      <c r="L20" s="132"/>
      <c r="M20" s="132"/>
      <c r="N20" s="132"/>
      <c r="O20" s="132"/>
      <c r="P20" s="132"/>
      <c r="Q20" s="132"/>
      <c r="R20" s="132"/>
      <c r="S20" s="132"/>
      <c r="T20" s="132"/>
      <c r="U20" s="133"/>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119</v>
      </c>
      <c r="E22" s="73">
        <v>1</v>
      </c>
      <c r="F22" s="1" t="s">
        <v>107</v>
      </c>
      <c r="H22" s="83">
        <v>2</v>
      </c>
      <c r="I22" s="3" t="s">
        <v>108</v>
      </c>
      <c r="J22" s="3"/>
      <c r="K22" s="17"/>
      <c r="M22" s="17" t="s">
        <v>104</v>
      </c>
      <c r="N22" s="87" t="s">
        <v>124</v>
      </c>
      <c r="O22" s="88"/>
      <c r="P22" s="88"/>
      <c r="Q22" s="88"/>
      <c r="R22" s="88"/>
      <c r="S22" s="88"/>
      <c r="T22" s="88"/>
      <c r="U22" s="89"/>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115" t="s">
        <v>96</v>
      </c>
      <c r="B24" s="115"/>
      <c r="C24" s="115"/>
      <c r="D24" s="115"/>
      <c r="E24" s="115"/>
      <c r="F24" s="115"/>
      <c r="G24" s="115"/>
      <c r="H24" s="115"/>
      <c r="I24" s="115"/>
      <c r="J24" s="115"/>
      <c r="K24" s="115"/>
      <c r="L24" s="115"/>
      <c r="M24" s="115"/>
      <c r="N24" s="115"/>
      <c r="O24" s="115"/>
      <c r="P24" s="115"/>
      <c r="Q24" s="115"/>
      <c r="R24" s="115"/>
      <c r="S24" s="115"/>
      <c r="T24" s="115"/>
      <c r="U24" s="115"/>
    </row>
    <row r="25" spans="1:24" ht="18" customHeight="1" x14ac:dyDescent="0.2">
      <c r="A25" s="115"/>
      <c r="B25" s="115"/>
      <c r="C25" s="115"/>
      <c r="D25" s="115"/>
      <c r="E25" s="115"/>
      <c r="F25" s="115"/>
      <c r="G25" s="115"/>
      <c r="H25" s="115"/>
      <c r="I25" s="115"/>
      <c r="J25" s="115"/>
      <c r="K25" s="115"/>
      <c r="L25" s="115"/>
      <c r="M25" s="115"/>
      <c r="N25" s="115"/>
      <c r="O25" s="115"/>
      <c r="P25" s="115"/>
      <c r="Q25" s="115"/>
      <c r="R25" s="115"/>
      <c r="S25" s="115"/>
      <c r="T25" s="115"/>
      <c r="U25" s="115"/>
    </row>
    <row r="26" spans="1:24" ht="18" customHeight="1" x14ac:dyDescent="0.2">
      <c r="B26" s="93" t="s">
        <v>48</v>
      </c>
      <c r="C26" s="94"/>
      <c r="D26" s="94"/>
      <c r="E26" s="94"/>
      <c r="F26" s="95"/>
      <c r="G26" s="57" t="s">
        <v>73</v>
      </c>
      <c r="H26" s="58" t="s">
        <v>76</v>
      </c>
      <c r="I26" s="59" t="s">
        <v>51</v>
      </c>
      <c r="J26" s="59" t="s">
        <v>54</v>
      </c>
      <c r="K26" s="93" t="s">
        <v>48</v>
      </c>
      <c r="L26" s="94"/>
      <c r="M26" s="94"/>
      <c r="N26" s="94"/>
      <c r="O26" s="94"/>
      <c r="P26" s="94"/>
      <c r="Q26" s="95"/>
      <c r="R26" s="57" t="s">
        <v>73</v>
      </c>
      <c r="S26" s="58" t="s">
        <v>76</v>
      </c>
      <c r="T26" s="59" t="s">
        <v>51</v>
      </c>
      <c r="U26" s="59" t="s">
        <v>54</v>
      </c>
    </row>
    <row r="27" spans="1:24" ht="18" customHeight="1" x14ac:dyDescent="0.2">
      <c r="B27" s="112" t="s">
        <v>146</v>
      </c>
      <c r="C27" s="113"/>
      <c r="D27" s="113"/>
      <c r="E27" s="113"/>
      <c r="F27" s="114"/>
      <c r="G27" s="60">
        <v>2</v>
      </c>
      <c r="H27" s="60" t="s">
        <v>148</v>
      </c>
      <c r="I27" s="60" t="s">
        <v>148</v>
      </c>
      <c r="J27" s="60" t="s">
        <v>148</v>
      </c>
      <c r="K27" s="112"/>
      <c r="L27" s="113"/>
      <c r="M27" s="113"/>
      <c r="N27" s="113"/>
      <c r="O27" s="113"/>
      <c r="P27" s="113"/>
      <c r="Q27" s="114"/>
      <c r="R27" s="60"/>
      <c r="S27" s="60"/>
      <c r="T27" s="60"/>
      <c r="U27" s="60"/>
    </row>
    <row r="28" spans="1:24" ht="18" customHeight="1" x14ac:dyDescent="0.2">
      <c r="B28" s="106"/>
      <c r="C28" s="107"/>
      <c r="D28" s="107"/>
      <c r="E28" s="107"/>
      <c r="F28" s="108"/>
      <c r="G28" s="61"/>
      <c r="H28" s="61"/>
      <c r="I28" s="61"/>
      <c r="J28" s="61"/>
      <c r="K28" s="106"/>
      <c r="L28" s="107"/>
      <c r="M28" s="107"/>
      <c r="N28" s="107"/>
      <c r="O28" s="107"/>
      <c r="P28" s="107"/>
      <c r="Q28" s="108"/>
      <c r="R28" s="61"/>
      <c r="S28" s="61"/>
      <c r="T28" s="61"/>
      <c r="U28" s="61"/>
    </row>
    <row r="29" spans="1:24" ht="18" customHeight="1" x14ac:dyDescent="0.2">
      <c r="B29" s="106"/>
      <c r="C29" s="107"/>
      <c r="D29" s="107"/>
      <c r="E29" s="107"/>
      <c r="F29" s="108"/>
      <c r="G29" s="61"/>
      <c r="H29" s="61"/>
      <c r="I29" s="61"/>
      <c r="J29" s="61"/>
      <c r="K29" s="106"/>
      <c r="L29" s="107"/>
      <c r="M29" s="107"/>
      <c r="N29" s="107"/>
      <c r="O29" s="107"/>
      <c r="P29" s="107"/>
      <c r="Q29" s="108"/>
      <c r="R29" s="61"/>
      <c r="S29" s="61"/>
      <c r="T29" s="61"/>
      <c r="U29" s="61"/>
    </row>
    <row r="30" spans="1:24" ht="18" customHeight="1" x14ac:dyDescent="0.2">
      <c r="B30" s="106"/>
      <c r="C30" s="107"/>
      <c r="D30" s="107"/>
      <c r="E30" s="107"/>
      <c r="F30" s="108"/>
      <c r="G30" s="61"/>
      <c r="H30" s="61"/>
      <c r="I30" s="61"/>
      <c r="J30" s="61"/>
      <c r="K30" s="106"/>
      <c r="L30" s="107"/>
      <c r="M30" s="107"/>
      <c r="N30" s="107"/>
      <c r="O30" s="107"/>
      <c r="P30" s="107"/>
      <c r="Q30" s="108"/>
      <c r="R30" s="61"/>
      <c r="S30" s="61"/>
      <c r="T30" s="61"/>
      <c r="U30" s="61"/>
    </row>
    <row r="31" spans="1:24" ht="18" customHeight="1" x14ac:dyDescent="0.2">
      <c r="B31" s="106"/>
      <c r="C31" s="107"/>
      <c r="D31" s="107"/>
      <c r="E31" s="107"/>
      <c r="F31" s="108"/>
      <c r="G31" s="61"/>
      <c r="H31" s="61"/>
      <c r="I31" s="61"/>
      <c r="J31" s="61"/>
      <c r="K31" s="106"/>
      <c r="L31" s="107"/>
      <c r="M31" s="107"/>
      <c r="N31" s="107"/>
      <c r="O31" s="107"/>
      <c r="P31" s="107"/>
      <c r="Q31" s="108"/>
      <c r="R31" s="61"/>
      <c r="S31" s="61"/>
      <c r="T31" s="61"/>
      <c r="U31" s="61"/>
    </row>
    <row r="32" spans="1:24" ht="18" customHeight="1" x14ac:dyDescent="0.2">
      <c r="A32" s="3"/>
      <c r="B32" s="106"/>
      <c r="C32" s="107"/>
      <c r="D32" s="107"/>
      <c r="E32" s="107"/>
      <c r="F32" s="108"/>
      <c r="G32" s="61"/>
      <c r="H32" s="61"/>
      <c r="I32" s="61"/>
      <c r="J32" s="61"/>
      <c r="K32" s="106"/>
      <c r="L32" s="107"/>
      <c r="M32" s="107"/>
      <c r="N32" s="107"/>
      <c r="O32" s="107"/>
      <c r="P32" s="107"/>
      <c r="Q32" s="108"/>
      <c r="R32" s="61"/>
      <c r="S32" s="61"/>
      <c r="T32" s="61"/>
      <c r="U32" s="61"/>
    </row>
    <row r="33" spans="1:21" ht="18" customHeight="1" x14ac:dyDescent="0.2">
      <c r="A33" s="3"/>
      <c r="B33" s="109"/>
      <c r="C33" s="110"/>
      <c r="D33" s="110"/>
      <c r="E33" s="110"/>
      <c r="F33" s="111"/>
      <c r="G33" s="62"/>
      <c r="H33" s="62"/>
      <c r="I33" s="63"/>
      <c r="J33" s="63"/>
      <c r="K33" s="109"/>
      <c r="L33" s="110"/>
      <c r="M33" s="110"/>
      <c r="N33" s="110"/>
      <c r="O33" s="110"/>
      <c r="P33" s="110"/>
      <c r="Q33" s="111"/>
      <c r="R33" s="62"/>
      <c r="S33" s="62"/>
      <c r="T33" s="63"/>
      <c r="U33" s="63"/>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15" t="s">
        <v>97</v>
      </c>
      <c r="B35" s="115"/>
      <c r="C35" s="115"/>
      <c r="D35" s="115"/>
      <c r="E35" s="115"/>
      <c r="F35" s="115"/>
      <c r="G35" s="115"/>
      <c r="H35" s="115"/>
      <c r="I35" s="115"/>
      <c r="J35" s="115"/>
      <c r="K35" s="115"/>
      <c r="L35" s="115"/>
      <c r="M35" s="115"/>
      <c r="N35" s="115"/>
      <c r="O35" s="115"/>
      <c r="P35" s="115"/>
      <c r="Q35" s="115"/>
      <c r="R35" s="115"/>
      <c r="S35" s="115"/>
      <c r="T35" s="115"/>
      <c r="U35" s="115"/>
    </row>
    <row r="36" spans="1:21" ht="18" customHeight="1" x14ac:dyDescent="0.2">
      <c r="A36" s="115"/>
      <c r="B36" s="115"/>
      <c r="C36" s="115"/>
      <c r="D36" s="115"/>
      <c r="E36" s="115"/>
      <c r="F36" s="115"/>
      <c r="G36" s="115"/>
      <c r="H36" s="115"/>
      <c r="I36" s="115"/>
      <c r="J36" s="115"/>
      <c r="K36" s="115"/>
      <c r="L36" s="115"/>
      <c r="M36" s="115"/>
      <c r="N36" s="115"/>
      <c r="O36" s="115"/>
      <c r="P36" s="115"/>
      <c r="Q36" s="115"/>
      <c r="R36" s="115"/>
      <c r="S36" s="115"/>
      <c r="T36" s="115"/>
      <c r="U36" s="115"/>
    </row>
    <row r="37" spans="1:21" ht="18" customHeight="1" x14ac:dyDescent="0.2">
      <c r="B37" s="93" t="s">
        <v>48</v>
      </c>
      <c r="C37" s="94"/>
      <c r="D37" s="94"/>
      <c r="E37" s="94"/>
      <c r="F37" s="95"/>
      <c r="G37" s="57" t="s">
        <v>73</v>
      </c>
      <c r="H37" s="58" t="s">
        <v>76</v>
      </c>
      <c r="I37" s="59" t="s">
        <v>64</v>
      </c>
      <c r="J37" s="59" t="s">
        <v>65</v>
      </c>
      <c r="K37" s="93" t="s">
        <v>48</v>
      </c>
      <c r="L37" s="94"/>
      <c r="M37" s="94"/>
      <c r="N37" s="94"/>
      <c r="O37" s="94"/>
      <c r="P37" s="94"/>
      <c r="Q37" s="95"/>
      <c r="R37" s="57" t="s">
        <v>73</v>
      </c>
      <c r="S37" s="58" t="s">
        <v>76</v>
      </c>
      <c r="T37" s="59" t="s">
        <v>64</v>
      </c>
      <c r="U37" s="59" t="s">
        <v>65</v>
      </c>
    </row>
    <row r="38" spans="1:21" ht="18" customHeight="1" x14ac:dyDescent="0.2">
      <c r="B38" s="112" t="s">
        <v>146</v>
      </c>
      <c r="C38" s="113"/>
      <c r="D38" s="113"/>
      <c r="E38" s="113"/>
      <c r="F38" s="114"/>
      <c r="G38" s="60">
        <v>2</v>
      </c>
      <c r="H38" s="60" t="s">
        <v>148</v>
      </c>
      <c r="I38" s="60" t="s">
        <v>148</v>
      </c>
      <c r="J38" s="60" t="s">
        <v>148</v>
      </c>
      <c r="K38" s="112"/>
      <c r="L38" s="113"/>
      <c r="M38" s="113"/>
      <c r="N38" s="113"/>
      <c r="O38" s="113"/>
      <c r="P38" s="113"/>
      <c r="Q38" s="114"/>
      <c r="R38" s="60"/>
      <c r="S38" s="60"/>
      <c r="T38" s="60"/>
      <c r="U38" s="60"/>
    </row>
    <row r="39" spans="1:21" ht="18" customHeight="1" x14ac:dyDescent="0.2">
      <c r="B39" s="106"/>
      <c r="C39" s="107"/>
      <c r="D39" s="107"/>
      <c r="E39" s="107"/>
      <c r="F39" s="108"/>
      <c r="G39" s="61"/>
      <c r="H39" s="61"/>
      <c r="I39" s="61"/>
      <c r="J39" s="61"/>
      <c r="K39" s="106"/>
      <c r="L39" s="107"/>
      <c r="M39" s="107"/>
      <c r="N39" s="107"/>
      <c r="O39" s="107"/>
      <c r="P39" s="107"/>
      <c r="Q39" s="108"/>
      <c r="R39" s="61"/>
      <c r="S39" s="61"/>
      <c r="T39" s="61"/>
      <c r="U39" s="61"/>
    </row>
    <row r="40" spans="1:21" ht="18" customHeight="1" x14ac:dyDescent="0.2">
      <c r="B40" s="106"/>
      <c r="C40" s="107"/>
      <c r="D40" s="107"/>
      <c r="E40" s="107"/>
      <c r="F40" s="108"/>
      <c r="G40" s="61"/>
      <c r="H40" s="61"/>
      <c r="I40" s="61"/>
      <c r="J40" s="61"/>
      <c r="K40" s="106"/>
      <c r="L40" s="107"/>
      <c r="M40" s="107"/>
      <c r="N40" s="107"/>
      <c r="O40" s="107"/>
      <c r="P40" s="107"/>
      <c r="Q40" s="108"/>
      <c r="R40" s="61"/>
      <c r="S40" s="61"/>
      <c r="T40" s="61"/>
      <c r="U40" s="61"/>
    </row>
    <row r="41" spans="1:21" ht="18" customHeight="1" x14ac:dyDescent="0.2">
      <c r="B41" s="106"/>
      <c r="C41" s="107"/>
      <c r="D41" s="107"/>
      <c r="E41" s="107"/>
      <c r="F41" s="108"/>
      <c r="G41" s="61"/>
      <c r="H41" s="61"/>
      <c r="I41" s="61"/>
      <c r="J41" s="61"/>
      <c r="K41" s="106"/>
      <c r="L41" s="107"/>
      <c r="M41" s="107"/>
      <c r="N41" s="107"/>
      <c r="O41" s="107"/>
      <c r="P41" s="107"/>
      <c r="Q41" s="108"/>
      <c r="R41" s="61"/>
      <c r="S41" s="61"/>
      <c r="T41" s="61"/>
      <c r="U41" s="61"/>
    </row>
    <row r="42" spans="1:21" ht="18" customHeight="1" x14ac:dyDescent="0.2">
      <c r="B42" s="106"/>
      <c r="C42" s="107"/>
      <c r="D42" s="107"/>
      <c r="E42" s="107"/>
      <c r="F42" s="108"/>
      <c r="G42" s="61"/>
      <c r="H42" s="61"/>
      <c r="I42" s="61"/>
      <c r="J42" s="61"/>
      <c r="K42" s="106"/>
      <c r="L42" s="107"/>
      <c r="M42" s="107"/>
      <c r="N42" s="107"/>
      <c r="O42" s="107"/>
      <c r="P42" s="107"/>
      <c r="Q42" s="108"/>
      <c r="R42" s="61"/>
      <c r="S42" s="61"/>
      <c r="T42" s="61"/>
      <c r="U42" s="61"/>
    </row>
    <row r="43" spans="1:21" ht="18" customHeight="1" x14ac:dyDescent="0.2">
      <c r="B43" s="106"/>
      <c r="C43" s="107"/>
      <c r="D43" s="107"/>
      <c r="E43" s="107"/>
      <c r="F43" s="108"/>
      <c r="G43" s="61"/>
      <c r="H43" s="61"/>
      <c r="I43" s="61"/>
      <c r="J43" s="61"/>
      <c r="K43" s="106"/>
      <c r="L43" s="107"/>
      <c r="M43" s="107"/>
      <c r="N43" s="107"/>
      <c r="O43" s="107"/>
      <c r="P43" s="107"/>
      <c r="Q43" s="108"/>
      <c r="R43" s="61"/>
      <c r="S43" s="61"/>
      <c r="T43" s="61"/>
      <c r="U43" s="61"/>
    </row>
    <row r="44" spans="1:21" ht="18" customHeight="1" x14ac:dyDescent="0.2">
      <c r="B44" s="109"/>
      <c r="C44" s="110"/>
      <c r="D44" s="110"/>
      <c r="E44" s="110"/>
      <c r="F44" s="111"/>
      <c r="G44" s="62"/>
      <c r="H44" s="62"/>
      <c r="I44" s="63"/>
      <c r="J44" s="63"/>
      <c r="K44" s="109"/>
      <c r="L44" s="110"/>
      <c r="M44" s="110"/>
      <c r="N44" s="110"/>
      <c r="O44" s="110"/>
      <c r="P44" s="110"/>
      <c r="Q44" s="111"/>
      <c r="R44" s="62"/>
      <c r="S44" s="62"/>
      <c r="T44" s="63"/>
      <c r="U44" s="63"/>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15" t="s">
        <v>98</v>
      </c>
      <c r="B46" s="115"/>
      <c r="C46" s="115"/>
      <c r="D46" s="115"/>
      <c r="E46" s="115"/>
      <c r="F46" s="115"/>
      <c r="G46" s="115"/>
      <c r="H46" s="115"/>
      <c r="I46" s="115"/>
      <c r="J46" s="115"/>
      <c r="K46" s="115"/>
      <c r="L46" s="115"/>
      <c r="M46" s="115"/>
      <c r="N46" s="115"/>
      <c r="O46" s="115"/>
      <c r="P46" s="115"/>
      <c r="Q46" s="115"/>
      <c r="R46" s="115"/>
      <c r="S46" s="115"/>
      <c r="T46" s="115"/>
      <c r="U46" s="115"/>
    </row>
    <row r="47" spans="1:21" ht="18" customHeight="1" x14ac:dyDescent="0.2">
      <c r="A47" s="115"/>
      <c r="B47" s="115"/>
      <c r="C47" s="115"/>
      <c r="D47" s="115"/>
      <c r="E47" s="115"/>
      <c r="F47" s="115"/>
      <c r="G47" s="115"/>
      <c r="H47" s="115"/>
      <c r="I47" s="115"/>
      <c r="J47" s="115"/>
      <c r="K47" s="115"/>
      <c r="L47" s="115"/>
      <c r="M47" s="115"/>
      <c r="N47" s="115"/>
      <c r="O47" s="115"/>
      <c r="P47" s="115"/>
      <c r="Q47" s="115"/>
      <c r="R47" s="115"/>
      <c r="S47" s="115"/>
      <c r="T47" s="115"/>
      <c r="U47" s="115"/>
    </row>
    <row r="48" spans="1:21" ht="18" customHeight="1" x14ac:dyDescent="0.2">
      <c r="B48" s="93" t="s">
        <v>48</v>
      </c>
      <c r="C48" s="94"/>
      <c r="D48" s="94"/>
      <c r="E48" s="94"/>
      <c r="F48" s="95"/>
      <c r="G48" s="57" t="s">
        <v>73</v>
      </c>
      <c r="H48" s="58" t="s">
        <v>76</v>
      </c>
      <c r="I48" s="59" t="s">
        <v>66</v>
      </c>
      <c r="J48" s="59" t="s">
        <v>67</v>
      </c>
      <c r="K48" s="93" t="s">
        <v>48</v>
      </c>
      <c r="L48" s="94"/>
      <c r="M48" s="94"/>
      <c r="N48" s="94"/>
      <c r="O48" s="94"/>
      <c r="P48" s="94"/>
      <c r="Q48" s="95"/>
      <c r="R48" s="57" t="s">
        <v>73</v>
      </c>
      <c r="S48" s="58" t="s">
        <v>76</v>
      </c>
      <c r="T48" s="59" t="s">
        <v>66</v>
      </c>
      <c r="U48" s="59" t="s">
        <v>67</v>
      </c>
    </row>
    <row r="49" spans="1:21" ht="18" customHeight="1" x14ac:dyDescent="0.2">
      <c r="A49" s="3"/>
      <c r="B49" s="112" t="s">
        <v>146</v>
      </c>
      <c r="C49" s="113"/>
      <c r="D49" s="113"/>
      <c r="E49" s="113"/>
      <c r="F49" s="114"/>
      <c r="G49" s="60">
        <v>2</v>
      </c>
      <c r="H49" s="60" t="s">
        <v>148</v>
      </c>
      <c r="I49" s="60" t="s">
        <v>148</v>
      </c>
      <c r="J49" s="60" t="s">
        <v>148</v>
      </c>
      <c r="K49" s="112"/>
      <c r="L49" s="113"/>
      <c r="M49" s="113"/>
      <c r="N49" s="113"/>
      <c r="O49" s="113"/>
      <c r="P49" s="113"/>
      <c r="Q49" s="114"/>
      <c r="R49" s="60"/>
      <c r="S49" s="60"/>
      <c r="T49" s="60"/>
      <c r="U49" s="60"/>
    </row>
    <row r="50" spans="1:21" ht="18" customHeight="1" x14ac:dyDescent="0.2">
      <c r="A50" s="3"/>
      <c r="B50" s="106"/>
      <c r="C50" s="107"/>
      <c r="D50" s="107"/>
      <c r="E50" s="107"/>
      <c r="F50" s="108"/>
      <c r="G50" s="61"/>
      <c r="H50" s="61"/>
      <c r="I50" s="61"/>
      <c r="J50" s="61"/>
      <c r="K50" s="106"/>
      <c r="L50" s="107"/>
      <c r="M50" s="107"/>
      <c r="N50" s="107"/>
      <c r="O50" s="107"/>
      <c r="P50" s="107"/>
      <c r="Q50" s="108"/>
      <c r="R50" s="61"/>
      <c r="S50" s="61"/>
      <c r="T50" s="61"/>
      <c r="U50" s="61"/>
    </row>
    <row r="51" spans="1:21" ht="18" customHeight="1" x14ac:dyDescent="0.2">
      <c r="A51" s="3"/>
      <c r="B51" s="106"/>
      <c r="C51" s="107"/>
      <c r="D51" s="107"/>
      <c r="E51" s="107"/>
      <c r="F51" s="108"/>
      <c r="G51" s="61"/>
      <c r="H51" s="61"/>
      <c r="I51" s="61"/>
      <c r="J51" s="61"/>
      <c r="K51" s="106"/>
      <c r="L51" s="107"/>
      <c r="M51" s="107"/>
      <c r="N51" s="107"/>
      <c r="O51" s="107"/>
      <c r="P51" s="107"/>
      <c r="Q51" s="108"/>
      <c r="R51" s="61"/>
      <c r="S51" s="61"/>
      <c r="T51" s="61"/>
      <c r="U51" s="61"/>
    </row>
    <row r="52" spans="1:21" ht="18" customHeight="1" x14ac:dyDescent="0.2">
      <c r="A52" s="3"/>
      <c r="B52" s="106"/>
      <c r="C52" s="107"/>
      <c r="D52" s="107"/>
      <c r="E52" s="107"/>
      <c r="F52" s="108"/>
      <c r="G52" s="61"/>
      <c r="H52" s="61"/>
      <c r="I52" s="61"/>
      <c r="J52" s="61"/>
      <c r="K52" s="106"/>
      <c r="L52" s="107"/>
      <c r="M52" s="107"/>
      <c r="N52" s="107"/>
      <c r="O52" s="107"/>
      <c r="P52" s="107"/>
      <c r="Q52" s="108"/>
      <c r="R52" s="61"/>
      <c r="S52" s="61"/>
      <c r="T52" s="61"/>
      <c r="U52" s="61"/>
    </row>
    <row r="53" spans="1:21" ht="18" customHeight="1" x14ac:dyDescent="0.2">
      <c r="A53" s="3"/>
      <c r="B53" s="106"/>
      <c r="C53" s="107"/>
      <c r="D53" s="107"/>
      <c r="E53" s="107"/>
      <c r="F53" s="108"/>
      <c r="G53" s="61"/>
      <c r="H53" s="61"/>
      <c r="I53" s="61"/>
      <c r="J53" s="61"/>
      <c r="K53" s="106"/>
      <c r="L53" s="107"/>
      <c r="M53" s="107"/>
      <c r="N53" s="107"/>
      <c r="O53" s="107"/>
      <c r="P53" s="107"/>
      <c r="Q53" s="108"/>
      <c r="R53" s="61"/>
      <c r="S53" s="61"/>
      <c r="T53" s="61"/>
      <c r="U53" s="61"/>
    </row>
    <row r="54" spans="1:21" ht="18" customHeight="1" x14ac:dyDescent="0.2">
      <c r="A54" s="3"/>
      <c r="B54" s="106"/>
      <c r="C54" s="107"/>
      <c r="D54" s="107"/>
      <c r="E54" s="107"/>
      <c r="F54" s="108"/>
      <c r="G54" s="61"/>
      <c r="H54" s="61"/>
      <c r="I54" s="61"/>
      <c r="J54" s="61"/>
      <c r="K54" s="106"/>
      <c r="L54" s="107"/>
      <c r="M54" s="107"/>
      <c r="N54" s="107"/>
      <c r="O54" s="107"/>
      <c r="P54" s="107"/>
      <c r="Q54" s="108"/>
      <c r="R54" s="61"/>
      <c r="S54" s="61"/>
      <c r="T54" s="61"/>
      <c r="U54" s="61"/>
    </row>
    <row r="55" spans="1:21" ht="18" customHeight="1" x14ac:dyDescent="0.2">
      <c r="A55" s="3"/>
      <c r="B55" s="109"/>
      <c r="C55" s="110"/>
      <c r="D55" s="110"/>
      <c r="E55" s="110"/>
      <c r="F55" s="111"/>
      <c r="G55" s="62"/>
      <c r="H55" s="62"/>
      <c r="I55" s="63"/>
      <c r="J55" s="63"/>
      <c r="K55" s="109"/>
      <c r="L55" s="110"/>
      <c r="M55" s="110"/>
      <c r="N55" s="110"/>
      <c r="O55" s="110"/>
      <c r="P55" s="110"/>
      <c r="Q55" s="111"/>
      <c r="R55" s="62"/>
      <c r="S55" s="62"/>
      <c r="T55" s="63"/>
      <c r="U55" s="63"/>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15" t="s">
        <v>99</v>
      </c>
      <c r="B57" s="115"/>
      <c r="C57" s="115"/>
      <c r="D57" s="115"/>
      <c r="E57" s="115"/>
      <c r="F57" s="115"/>
      <c r="G57" s="115"/>
      <c r="H57" s="115"/>
      <c r="I57" s="115"/>
      <c r="J57" s="115"/>
      <c r="K57" s="115"/>
      <c r="L57" s="115"/>
      <c r="M57" s="115"/>
      <c r="N57" s="115"/>
      <c r="O57" s="115"/>
      <c r="P57" s="115"/>
      <c r="Q57" s="115"/>
      <c r="R57" s="115"/>
      <c r="S57" s="115"/>
      <c r="T57" s="115"/>
      <c r="U57" s="115"/>
    </row>
    <row r="58" spans="1:21" ht="18" customHeight="1" x14ac:dyDescent="0.2">
      <c r="A58" s="115"/>
      <c r="B58" s="115"/>
      <c r="C58" s="115"/>
      <c r="D58" s="115"/>
      <c r="E58" s="115"/>
      <c r="F58" s="115"/>
      <c r="G58" s="115"/>
      <c r="H58" s="115"/>
      <c r="I58" s="115"/>
      <c r="J58" s="115"/>
      <c r="K58" s="115"/>
      <c r="L58" s="115"/>
      <c r="M58" s="115"/>
      <c r="N58" s="115"/>
      <c r="O58" s="115"/>
      <c r="P58" s="115"/>
      <c r="Q58" s="115"/>
      <c r="R58" s="115"/>
      <c r="S58" s="115"/>
      <c r="T58" s="115"/>
      <c r="U58" s="115"/>
    </row>
    <row r="59" spans="1:21" ht="18" customHeight="1" x14ac:dyDescent="0.2">
      <c r="B59" s="93" t="s">
        <v>48</v>
      </c>
      <c r="C59" s="94"/>
      <c r="D59" s="94"/>
      <c r="E59" s="94"/>
      <c r="F59" s="95"/>
      <c r="G59" s="57" t="s">
        <v>73</v>
      </c>
      <c r="H59" s="58" t="s">
        <v>76</v>
      </c>
      <c r="I59" s="59" t="s">
        <v>53</v>
      </c>
      <c r="J59" s="59" t="s">
        <v>55</v>
      </c>
      <c r="K59" s="93" t="s">
        <v>48</v>
      </c>
      <c r="L59" s="94"/>
      <c r="M59" s="94"/>
      <c r="N59" s="94"/>
      <c r="O59" s="94"/>
      <c r="P59" s="94"/>
      <c r="Q59" s="95"/>
      <c r="R59" s="57" t="s">
        <v>73</v>
      </c>
      <c r="S59" s="58" t="s">
        <v>76</v>
      </c>
      <c r="T59" s="59" t="s">
        <v>53</v>
      </c>
      <c r="U59" s="59" t="s">
        <v>55</v>
      </c>
    </row>
    <row r="60" spans="1:21" ht="18" customHeight="1" x14ac:dyDescent="0.2">
      <c r="A60" s="3"/>
      <c r="B60" s="112" t="s">
        <v>146</v>
      </c>
      <c r="C60" s="113"/>
      <c r="D60" s="113"/>
      <c r="E60" s="113"/>
      <c r="F60" s="114"/>
      <c r="G60" s="60">
        <v>2</v>
      </c>
      <c r="H60" s="60" t="s">
        <v>148</v>
      </c>
      <c r="I60" s="60" t="s">
        <v>148</v>
      </c>
      <c r="J60" s="60" t="s">
        <v>148</v>
      </c>
      <c r="K60" s="112"/>
      <c r="L60" s="113"/>
      <c r="M60" s="113"/>
      <c r="N60" s="113"/>
      <c r="O60" s="113"/>
      <c r="P60" s="113"/>
      <c r="Q60" s="114"/>
      <c r="R60" s="60"/>
      <c r="S60" s="60"/>
      <c r="T60" s="60"/>
      <c r="U60" s="60"/>
    </row>
    <row r="61" spans="1:21" ht="18" customHeight="1" x14ac:dyDescent="0.2">
      <c r="A61" s="3"/>
      <c r="B61" s="106"/>
      <c r="C61" s="107"/>
      <c r="D61" s="107"/>
      <c r="E61" s="107"/>
      <c r="F61" s="108"/>
      <c r="G61" s="61"/>
      <c r="H61" s="61"/>
      <c r="I61" s="61"/>
      <c r="J61" s="61"/>
      <c r="K61" s="106"/>
      <c r="L61" s="107"/>
      <c r="M61" s="107"/>
      <c r="N61" s="107"/>
      <c r="O61" s="107"/>
      <c r="P61" s="107"/>
      <c r="Q61" s="108"/>
      <c r="R61" s="61"/>
      <c r="S61" s="61"/>
      <c r="T61" s="61"/>
      <c r="U61" s="61"/>
    </row>
    <row r="62" spans="1:21" ht="18" customHeight="1" x14ac:dyDescent="0.2">
      <c r="A62" s="3"/>
      <c r="B62" s="106"/>
      <c r="C62" s="107"/>
      <c r="D62" s="107"/>
      <c r="E62" s="107"/>
      <c r="F62" s="108"/>
      <c r="G62" s="61"/>
      <c r="H62" s="61"/>
      <c r="I62" s="61"/>
      <c r="J62" s="61"/>
      <c r="K62" s="106"/>
      <c r="L62" s="107"/>
      <c r="M62" s="107"/>
      <c r="N62" s="107"/>
      <c r="O62" s="107"/>
      <c r="P62" s="107"/>
      <c r="Q62" s="108"/>
      <c r="R62" s="61"/>
      <c r="S62" s="61"/>
      <c r="T62" s="61"/>
      <c r="U62" s="61"/>
    </row>
    <row r="63" spans="1:21" ht="18" customHeight="1" x14ac:dyDescent="0.2">
      <c r="A63" s="3"/>
      <c r="B63" s="106"/>
      <c r="C63" s="107"/>
      <c r="D63" s="107"/>
      <c r="E63" s="107"/>
      <c r="F63" s="108"/>
      <c r="G63" s="61"/>
      <c r="H63" s="61"/>
      <c r="I63" s="61"/>
      <c r="J63" s="61"/>
      <c r="K63" s="106"/>
      <c r="L63" s="107"/>
      <c r="M63" s="107"/>
      <c r="N63" s="107"/>
      <c r="O63" s="107"/>
      <c r="P63" s="107"/>
      <c r="Q63" s="108"/>
      <c r="R63" s="61"/>
      <c r="S63" s="61"/>
      <c r="T63" s="61"/>
      <c r="U63" s="61"/>
    </row>
    <row r="64" spans="1:21" ht="18" customHeight="1" x14ac:dyDescent="0.2">
      <c r="A64" s="3"/>
      <c r="B64" s="106"/>
      <c r="C64" s="107"/>
      <c r="D64" s="107"/>
      <c r="E64" s="107"/>
      <c r="F64" s="108"/>
      <c r="G64" s="61"/>
      <c r="H64" s="61"/>
      <c r="I64" s="61"/>
      <c r="J64" s="61"/>
      <c r="K64" s="106"/>
      <c r="L64" s="107"/>
      <c r="M64" s="107"/>
      <c r="N64" s="107"/>
      <c r="O64" s="107"/>
      <c r="P64" s="107"/>
      <c r="Q64" s="108"/>
      <c r="R64" s="61"/>
      <c r="S64" s="61"/>
      <c r="T64" s="61"/>
      <c r="U64" s="61"/>
    </row>
    <row r="65" spans="1:27" ht="18" customHeight="1" x14ac:dyDescent="0.2">
      <c r="A65" s="3"/>
      <c r="B65" s="106"/>
      <c r="C65" s="107"/>
      <c r="D65" s="107"/>
      <c r="E65" s="107"/>
      <c r="F65" s="108"/>
      <c r="G65" s="61"/>
      <c r="H65" s="61"/>
      <c r="I65" s="61"/>
      <c r="J65" s="61"/>
      <c r="K65" s="106"/>
      <c r="L65" s="107"/>
      <c r="M65" s="107"/>
      <c r="N65" s="107"/>
      <c r="O65" s="107"/>
      <c r="P65" s="107"/>
      <c r="Q65" s="108"/>
      <c r="R65" s="61"/>
      <c r="S65" s="61"/>
      <c r="T65" s="61"/>
      <c r="U65" s="61"/>
    </row>
    <row r="66" spans="1:27" ht="18" customHeight="1" x14ac:dyDescent="0.2">
      <c r="A66" s="3"/>
      <c r="B66" s="109"/>
      <c r="C66" s="110"/>
      <c r="D66" s="110"/>
      <c r="E66" s="110"/>
      <c r="F66" s="111"/>
      <c r="G66" s="62"/>
      <c r="H66" s="62"/>
      <c r="I66" s="63"/>
      <c r="J66" s="63"/>
      <c r="K66" s="109"/>
      <c r="L66" s="110"/>
      <c r="M66" s="110"/>
      <c r="N66" s="110"/>
      <c r="O66" s="110"/>
      <c r="P66" s="110"/>
      <c r="Q66" s="111"/>
      <c r="R66" s="62"/>
      <c r="S66" s="62"/>
      <c r="T66" s="63"/>
      <c r="U66" s="63"/>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115" t="s">
        <v>100</v>
      </c>
      <c r="B68" s="115"/>
      <c r="C68" s="115"/>
      <c r="D68" s="115"/>
      <c r="E68" s="115"/>
      <c r="F68" s="115"/>
      <c r="G68" s="115"/>
      <c r="H68" s="115"/>
      <c r="I68" s="115"/>
      <c r="J68" s="115"/>
      <c r="K68" s="115"/>
      <c r="L68" s="115"/>
      <c r="M68" s="115"/>
      <c r="N68" s="115"/>
      <c r="O68" s="115"/>
      <c r="P68" s="115"/>
      <c r="Q68" s="115"/>
      <c r="R68" s="115"/>
      <c r="S68" s="115"/>
      <c r="T68" s="115"/>
      <c r="U68" s="115"/>
    </row>
    <row r="69" spans="1:27" ht="18" customHeight="1" x14ac:dyDescent="0.2">
      <c r="A69" s="115"/>
      <c r="B69" s="115"/>
      <c r="C69" s="115"/>
      <c r="D69" s="115"/>
      <c r="E69" s="115"/>
      <c r="F69" s="115"/>
      <c r="G69" s="115"/>
      <c r="H69" s="115"/>
      <c r="I69" s="115"/>
      <c r="J69" s="115"/>
      <c r="K69" s="115"/>
      <c r="L69" s="115"/>
      <c r="M69" s="115"/>
      <c r="N69" s="115"/>
      <c r="O69" s="115"/>
      <c r="P69" s="115"/>
      <c r="Q69" s="115"/>
      <c r="R69" s="115"/>
      <c r="S69" s="115"/>
      <c r="T69" s="115"/>
      <c r="U69" s="115"/>
    </row>
    <row r="70" spans="1:27" ht="18" customHeight="1" x14ac:dyDescent="0.2">
      <c r="B70" s="93" t="s">
        <v>48</v>
      </c>
      <c r="C70" s="94"/>
      <c r="D70" s="94"/>
      <c r="E70" s="94"/>
      <c r="F70" s="57" t="s">
        <v>73</v>
      </c>
      <c r="G70" s="58" t="s">
        <v>76</v>
      </c>
      <c r="H70" s="59" t="s">
        <v>87</v>
      </c>
      <c r="I70" s="59" t="s">
        <v>68</v>
      </c>
      <c r="J70" s="59" t="s">
        <v>69</v>
      </c>
      <c r="K70" s="93" t="s">
        <v>48</v>
      </c>
      <c r="L70" s="94"/>
      <c r="M70" s="94"/>
      <c r="N70" s="94"/>
      <c r="O70" s="94"/>
      <c r="P70" s="95"/>
      <c r="Q70" s="57" t="s">
        <v>73</v>
      </c>
      <c r="R70" s="58" t="s">
        <v>76</v>
      </c>
      <c r="S70" s="59" t="s">
        <v>87</v>
      </c>
      <c r="T70" s="59" t="s">
        <v>68</v>
      </c>
      <c r="U70" s="59" t="s">
        <v>69</v>
      </c>
    </row>
    <row r="71" spans="1:27" ht="18" customHeight="1" x14ac:dyDescent="0.2">
      <c r="A71" s="3"/>
      <c r="B71" s="112" t="s">
        <v>146</v>
      </c>
      <c r="C71" s="113"/>
      <c r="D71" s="113"/>
      <c r="E71" s="113"/>
      <c r="F71" s="60">
        <v>2</v>
      </c>
      <c r="G71" s="60" t="s">
        <v>148</v>
      </c>
      <c r="H71" s="60" t="s">
        <v>148</v>
      </c>
      <c r="I71" s="60" t="s">
        <v>148</v>
      </c>
      <c r="J71" s="60" t="s">
        <v>148</v>
      </c>
      <c r="K71" s="112"/>
      <c r="L71" s="113"/>
      <c r="M71" s="113"/>
      <c r="N71" s="113"/>
      <c r="O71" s="113"/>
      <c r="P71" s="114"/>
      <c r="Q71" s="60"/>
      <c r="R71" s="60"/>
      <c r="S71" s="60"/>
      <c r="T71" s="60"/>
      <c r="U71" s="60"/>
    </row>
    <row r="72" spans="1:27" ht="18" customHeight="1" x14ac:dyDescent="0.2">
      <c r="A72" s="3"/>
      <c r="B72" s="106"/>
      <c r="C72" s="107"/>
      <c r="D72" s="107"/>
      <c r="E72" s="107"/>
      <c r="F72" s="61"/>
      <c r="G72" s="61"/>
      <c r="H72" s="61"/>
      <c r="I72" s="61"/>
      <c r="J72" s="61"/>
      <c r="K72" s="106"/>
      <c r="L72" s="107"/>
      <c r="M72" s="107"/>
      <c r="N72" s="107"/>
      <c r="O72" s="107"/>
      <c r="P72" s="108"/>
      <c r="Q72" s="61"/>
      <c r="R72" s="61"/>
      <c r="S72" s="61"/>
      <c r="T72" s="61"/>
      <c r="U72" s="61"/>
    </row>
    <row r="73" spans="1:27" ht="18" customHeight="1" x14ac:dyDescent="0.2">
      <c r="A73" s="3"/>
      <c r="B73" s="106"/>
      <c r="C73" s="107"/>
      <c r="D73" s="107"/>
      <c r="E73" s="107"/>
      <c r="F73" s="61"/>
      <c r="G73" s="61"/>
      <c r="H73" s="61"/>
      <c r="I73" s="61"/>
      <c r="J73" s="61"/>
      <c r="K73" s="106"/>
      <c r="L73" s="107"/>
      <c r="M73" s="107"/>
      <c r="N73" s="107"/>
      <c r="O73" s="107"/>
      <c r="P73" s="108"/>
      <c r="Q73" s="61"/>
      <c r="R73" s="61"/>
      <c r="S73" s="61"/>
      <c r="T73" s="61"/>
      <c r="U73" s="61"/>
    </row>
    <row r="74" spans="1:27" ht="18" customHeight="1" x14ac:dyDescent="0.2">
      <c r="A74" s="3"/>
      <c r="B74" s="106"/>
      <c r="C74" s="107"/>
      <c r="D74" s="107"/>
      <c r="E74" s="107"/>
      <c r="F74" s="61"/>
      <c r="G74" s="61"/>
      <c r="H74" s="61"/>
      <c r="I74" s="61"/>
      <c r="J74" s="61"/>
      <c r="K74" s="106"/>
      <c r="L74" s="107"/>
      <c r="M74" s="107"/>
      <c r="N74" s="107"/>
      <c r="O74" s="107"/>
      <c r="P74" s="108"/>
      <c r="Q74" s="61"/>
      <c r="R74" s="61"/>
      <c r="S74" s="61"/>
      <c r="T74" s="61"/>
      <c r="U74" s="61"/>
    </row>
    <row r="75" spans="1:27" ht="18" customHeight="1" x14ac:dyDescent="0.2">
      <c r="A75" s="3"/>
      <c r="B75" s="106"/>
      <c r="C75" s="107"/>
      <c r="D75" s="107"/>
      <c r="E75" s="107"/>
      <c r="F75" s="61"/>
      <c r="G75" s="61"/>
      <c r="H75" s="61"/>
      <c r="I75" s="61"/>
      <c r="J75" s="61"/>
      <c r="K75" s="106"/>
      <c r="L75" s="107"/>
      <c r="M75" s="107"/>
      <c r="N75" s="107"/>
      <c r="O75" s="107"/>
      <c r="P75" s="108"/>
      <c r="Q75" s="61"/>
      <c r="R75" s="61"/>
      <c r="S75" s="61"/>
      <c r="T75" s="61"/>
      <c r="U75" s="61"/>
    </row>
    <row r="76" spans="1:27" ht="18" customHeight="1" x14ac:dyDescent="0.2">
      <c r="A76" s="3"/>
      <c r="B76" s="106"/>
      <c r="C76" s="107"/>
      <c r="D76" s="107"/>
      <c r="E76" s="107"/>
      <c r="F76" s="61"/>
      <c r="G76" s="61"/>
      <c r="H76" s="61"/>
      <c r="I76" s="61"/>
      <c r="J76" s="61"/>
      <c r="K76" s="106"/>
      <c r="L76" s="107"/>
      <c r="M76" s="107"/>
      <c r="N76" s="107"/>
      <c r="O76" s="107"/>
      <c r="P76" s="108"/>
      <c r="Q76" s="61"/>
      <c r="R76" s="61"/>
      <c r="S76" s="61"/>
      <c r="T76" s="61"/>
      <c r="U76" s="61"/>
    </row>
    <row r="77" spans="1:27" ht="18" customHeight="1" x14ac:dyDescent="0.2">
      <c r="A77" s="3"/>
      <c r="B77" s="109"/>
      <c r="C77" s="110"/>
      <c r="D77" s="110"/>
      <c r="E77" s="110"/>
      <c r="F77" s="62"/>
      <c r="G77" s="62"/>
      <c r="H77" s="63"/>
      <c r="I77" s="63"/>
      <c r="J77" s="63"/>
      <c r="K77" s="109"/>
      <c r="L77" s="110"/>
      <c r="M77" s="110"/>
      <c r="N77" s="110"/>
      <c r="O77" s="110"/>
      <c r="P77" s="111"/>
      <c r="Q77" s="62"/>
      <c r="R77" s="62"/>
      <c r="S77" s="63"/>
      <c r="T77" s="63"/>
      <c r="U77" s="63"/>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101</v>
      </c>
      <c r="I79" s="3"/>
      <c r="J79" s="3"/>
      <c r="K79" s="3"/>
      <c r="L79" s="3"/>
      <c r="M79" s="3"/>
      <c r="N79" s="3"/>
      <c r="O79" s="3"/>
      <c r="P79" s="3"/>
      <c r="Q79" s="3"/>
      <c r="R79" s="3"/>
      <c r="S79" s="3"/>
      <c r="T79" s="3"/>
      <c r="U79" s="3"/>
    </row>
    <row r="80" spans="1:27" ht="18" customHeight="1" x14ac:dyDescent="0.2">
      <c r="B80" s="93" t="s">
        <v>48</v>
      </c>
      <c r="C80" s="94"/>
      <c r="D80" s="94"/>
      <c r="E80" s="94"/>
      <c r="F80" s="95"/>
      <c r="G80" s="93" t="s">
        <v>74</v>
      </c>
      <c r="H80" s="94"/>
      <c r="I80" s="94"/>
      <c r="J80" s="95"/>
      <c r="K80" s="145" t="s">
        <v>48</v>
      </c>
      <c r="L80" s="146"/>
      <c r="M80" s="146"/>
      <c r="N80" s="146"/>
      <c r="O80" s="146"/>
      <c r="P80" s="146"/>
      <c r="Q80" s="147"/>
      <c r="R80" s="93" t="s">
        <v>74</v>
      </c>
      <c r="S80" s="94"/>
      <c r="T80" s="94"/>
      <c r="U80" s="95"/>
      <c r="AA80" s="1" t="s">
        <v>138</v>
      </c>
    </row>
    <row r="81" spans="1:27" ht="18" customHeight="1" x14ac:dyDescent="0.2">
      <c r="A81" s="3"/>
      <c r="B81" s="112" t="s">
        <v>146</v>
      </c>
      <c r="C81" s="113"/>
      <c r="D81" s="113"/>
      <c r="E81" s="113"/>
      <c r="F81" s="114"/>
      <c r="G81" s="148" t="s">
        <v>174</v>
      </c>
      <c r="H81" s="149"/>
      <c r="I81" s="149"/>
      <c r="J81" s="150"/>
      <c r="K81" s="112"/>
      <c r="L81" s="113"/>
      <c r="M81" s="113"/>
      <c r="N81" s="113"/>
      <c r="O81" s="113"/>
      <c r="P81" s="113"/>
      <c r="Q81" s="114"/>
      <c r="R81" s="148"/>
      <c r="S81" s="149"/>
      <c r="T81" s="149"/>
      <c r="U81" s="150"/>
      <c r="AA81" s="1" t="s">
        <v>131</v>
      </c>
    </row>
    <row r="82" spans="1:27" ht="18" customHeight="1" x14ac:dyDescent="0.2">
      <c r="A82" s="3"/>
      <c r="B82" s="106"/>
      <c r="C82" s="107"/>
      <c r="D82" s="107"/>
      <c r="E82" s="107"/>
      <c r="F82" s="108"/>
      <c r="G82" s="140"/>
      <c r="H82" s="141"/>
      <c r="I82" s="141"/>
      <c r="J82" s="142"/>
      <c r="K82" s="106"/>
      <c r="L82" s="107"/>
      <c r="M82" s="107"/>
      <c r="N82" s="107"/>
      <c r="O82" s="107"/>
      <c r="P82" s="107"/>
      <c r="Q82" s="108"/>
      <c r="R82" s="140"/>
      <c r="S82" s="141"/>
      <c r="T82" s="141"/>
      <c r="U82" s="142"/>
      <c r="AA82" s="1" t="s">
        <v>132</v>
      </c>
    </row>
    <row r="83" spans="1:27" ht="18" customHeight="1" x14ac:dyDescent="0.2">
      <c r="A83" s="3"/>
      <c r="B83" s="106"/>
      <c r="C83" s="107"/>
      <c r="D83" s="107"/>
      <c r="E83" s="107"/>
      <c r="F83" s="108"/>
      <c r="G83" s="140"/>
      <c r="H83" s="141"/>
      <c r="I83" s="141"/>
      <c r="J83" s="142"/>
      <c r="K83" s="106"/>
      <c r="L83" s="107"/>
      <c r="M83" s="107"/>
      <c r="N83" s="107"/>
      <c r="O83" s="107"/>
      <c r="P83" s="107"/>
      <c r="Q83" s="108"/>
      <c r="R83" s="140"/>
      <c r="S83" s="141"/>
      <c r="T83" s="141"/>
      <c r="U83" s="142"/>
      <c r="AA83" s="1" t="s">
        <v>133</v>
      </c>
    </row>
    <row r="84" spans="1:27" ht="18" customHeight="1" x14ac:dyDescent="0.2">
      <c r="A84" s="3"/>
      <c r="B84" s="106"/>
      <c r="C84" s="107"/>
      <c r="D84" s="107"/>
      <c r="E84" s="107"/>
      <c r="F84" s="108"/>
      <c r="G84" s="140"/>
      <c r="H84" s="141"/>
      <c r="I84" s="141"/>
      <c r="J84" s="142"/>
      <c r="K84" s="106"/>
      <c r="L84" s="107"/>
      <c r="M84" s="107"/>
      <c r="N84" s="107"/>
      <c r="O84" s="107"/>
      <c r="P84" s="107"/>
      <c r="Q84" s="108"/>
      <c r="R84" s="140"/>
      <c r="S84" s="141"/>
      <c r="T84" s="141"/>
      <c r="U84" s="142"/>
      <c r="AA84" s="1" t="s">
        <v>139</v>
      </c>
    </row>
    <row r="85" spans="1:27" ht="18" customHeight="1" x14ac:dyDescent="0.2">
      <c r="A85" s="3"/>
      <c r="B85" s="106"/>
      <c r="C85" s="107"/>
      <c r="D85" s="107"/>
      <c r="E85" s="107"/>
      <c r="F85" s="108"/>
      <c r="G85" s="140"/>
      <c r="H85" s="141"/>
      <c r="I85" s="141"/>
      <c r="J85" s="142"/>
      <c r="K85" s="106"/>
      <c r="L85" s="107"/>
      <c r="M85" s="107"/>
      <c r="N85" s="107"/>
      <c r="O85" s="107"/>
      <c r="P85" s="107"/>
      <c r="Q85" s="108"/>
      <c r="R85" s="140"/>
      <c r="S85" s="141"/>
      <c r="T85" s="141"/>
      <c r="U85" s="142"/>
      <c r="AA85" s="1" t="s">
        <v>140</v>
      </c>
    </row>
    <row r="86" spans="1:27" ht="18" customHeight="1" x14ac:dyDescent="0.2">
      <c r="A86" s="3"/>
      <c r="B86" s="106"/>
      <c r="C86" s="107"/>
      <c r="D86" s="107"/>
      <c r="E86" s="107"/>
      <c r="F86" s="108"/>
      <c r="G86" s="140"/>
      <c r="H86" s="141"/>
      <c r="I86" s="141"/>
      <c r="J86" s="142"/>
      <c r="K86" s="106"/>
      <c r="L86" s="107"/>
      <c r="M86" s="107"/>
      <c r="N86" s="107"/>
      <c r="O86" s="107"/>
      <c r="P86" s="107"/>
      <c r="Q86" s="108"/>
      <c r="R86" s="140"/>
      <c r="S86" s="141"/>
      <c r="T86" s="141"/>
      <c r="U86" s="142"/>
      <c r="AA86" s="1" t="s">
        <v>134</v>
      </c>
    </row>
    <row r="87" spans="1:27" ht="18" customHeight="1" x14ac:dyDescent="0.2">
      <c r="A87" s="3"/>
      <c r="B87" s="109"/>
      <c r="C87" s="110"/>
      <c r="D87" s="110"/>
      <c r="E87" s="110"/>
      <c r="F87" s="111"/>
      <c r="G87" s="137"/>
      <c r="H87" s="138"/>
      <c r="I87" s="138"/>
      <c r="J87" s="139"/>
      <c r="K87" s="109"/>
      <c r="L87" s="110"/>
      <c r="M87" s="110"/>
      <c r="N87" s="110"/>
      <c r="O87" s="110"/>
      <c r="P87" s="110"/>
      <c r="Q87" s="111"/>
      <c r="R87" s="137"/>
      <c r="S87" s="138"/>
      <c r="T87" s="138"/>
      <c r="U87" s="139"/>
      <c r="AA87" s="1" t="s">
        <v>135</v>
      </c>
    </row>
    <row r="88" spans="1:27" ht="18" customHeight="1" x14ac:dyDescent="0.2">
      <c r="A88" s="3"/>
      <c r="B88" s="6"/>
      <c r="C88" s="6"/>
      <c r="D88" s="6"/>
      <c r="E88" s="6"/>
      <c r="F88" s="6"/>
      <c r="G88" s="64"/>
      <c r="H88" s="64"/>
      <c r="I88" s="64"/>
      <c r="J88" s="64"/>
      <c r="K88" s="6"/>
      <c r="L88" s="6"/>
      <c r="M88" s="6"/>
      <c r="N88" s="6"/>
      <c r="O88" s="6"/>
      <c r="P88" s="6"/>
      <c r="Q88" s="6"/>
      <c r="R88" s="64"/>
      <c r="S88" s="64"/>
      <c r="T88" s="64"/>
      <c r="U88" s="64"/>
      <c r="AA88" s="1" t="s">
        <v>136</v>
      </c>
    </row>
    <row r="89" spans="1:27" ht="18.75" customHeight="1" x14ac:dyDescent="0.2">
      <c r="A89" s="1" t="s">
        <v>102</v>
      </c>
      <c r="AA89" s="1" t="s">
        <v>137</v>
      </c>
    </row>
    <row r="90" spans="1:27" ht="18.75" customHeight="1" x14ac:dyDescent="0.2">
      <c r="B90" s="143" t="s">
        <v>49</v>
      </c>
      <c r="C90" s="144"/>
      <c r="D90" s="93" t="s">
        <v>50</v>
      </c>
      <c r="E90" s="94"/>
      <c r="F90" s="94"/>
      <c r="G90" s="94"/>
      <c r="H90" s="94"/>
      <c r="I90" s="94"/>
      <c r="J90" s="94"/>
      <c r="K90" s="94"/>
      <c r="L90" s="94"/>
      <c r="M90" s="94"/>
      <c r="N90" s="94"/>
      <c r="O90" s="94"/>
      <c r="P90" s="94"/>
      <c r="Q90" s="94"/>
      <c r="R90" s="94"/>
      <c r="S90" s="94"/>
      <c r="T90" s="94"/>
      <c r="U90" s="95"/>
    </row>
    <row r="91" spans="1:27" ht="97.5" customHeight="1" x14ac:dyDescent="0.2">
      <c r="B91" s="120" t="s">
        <v>56</v>
      </c>
      <c r="C91" s="65" t="s">
        <v>51</v>
      </c>
      <c r="D91" s="96" t="s">
        <v>175</v>
      </c>
      <c r="E91" s="97"/>
      <c r="F91" s="97"/>
      <c r="G91" s="97"/>
      <c r="H91" s="97"/>
      <c r="I91" s="97"/>
      <c r="J91" s="97"/>
      <c r="K91" s="97"/>
      <c r="L91" s="97"/>
      <c r="M91" s="97"/>
      <c r="N91" s="97"/>
      <c r="O91" s="97"/>
      <c r="P91" s="97"/>
      <c r="Q91" s="97"/>
      <c r="R91" s="97"/>
      <c r="S91" s="97"/>
      <c r="T91" s="97"/>
      <c r="U91" s="98"/>
    </row>
    <row r="92" spans="1:27" ht="97.5" customHeight="1" x14ac:dyDescent="0.2">
      <c r="B92" s="122"/>
      <c r="C92" s="66" t="s">
        <v>70</v>
      </c>
      <c r="D92" s="84" t="s">
        <v>177</v>
      </c>
      <c r="E92" s="85"/>
      <c r="F92" s="85"/>
      <c r="G92" s="85"/>
      <c r="H92" s="85"/>
      <c r="I92" s="85"/>
      <c r="J92" s="85"/>
      <c r="K92" s="85"/>
      <c r="L92" s="85"/>
      <c r="M92" s="85"/>
      <c r="N92" s="85"/>
      <c r="O92" s="85"/>
      <c r="P92" s="85"/>
      <c r="Q92" s="85"/>
      <c r="R92" s="85"/>
      <c r="S92" s="85"/>
      <c r="T92" s="85"/>
      <c r="U92" s="86"/>
    </row>
    <row r="93" spans="1:27" ht="97.5" customHeight="1" x14ac:dyDescent="0.2">
      <c r="B93" s="120" t="s">
        <v>57</v>
      </c>
      <c r="C93" s="67" t="s">
        <v>64</v>
      </c>
      <c r="D93" s="99" t="s">
        <v>169</v>
      </c>
      <c r="E93" s="97"/>
      <c r="F93" s="97"/>
      <c r="G93" s="97"/>
      <c r="H93" s="97"/>
      <c r="I93" s="97"/>
      <c r="J93" s="97"/>
      <c r="K93" s="97"/>
      <c r="L93" s="97"/>
      <c r="M93" s="97"/>
      <c r="N93" s="97"/>
      <c r="O93" s="97"/>
      <c r="P93" s="97"/>
      <c r="Q93" s="97"/>
      <c r="R93" s="97"/>
      <c r="S93" s="97"/>
      <c r="T93" s="97"/>
      <c r="U93" s="98"/>
    </row>
    <row r="94" spans="1:27" ht="97.5" customHeight="1" x14ac:dyDescent="0.2">
      <c r="B94" s="121"/>
      <c r="C94" s="68" t="s">
        <v>65</v>
      </c>
      <c r="D94" s="84" t="s">
        <v>170</v>
      </c>
      <c r="E94" s="85"/>
      <c r="F94" s="85"/>
      <c r="G94" s="85"/>
      <c r="H94" s="85"/>
      <c r="I94" s="85"/>
      <c r="J94" s="85"/>
      <c r="K94" s="85"/>
      <c r="L94" s="85"/>
      <c r="M94" s="85"/>
      <c r="N94" s="85"/>
      <c r="O94" s="85"/>
      <c r="P94" s="85"/>
      <c r="Q94" s="85"/>
      <c r="R94" s="85"/>
      <c r="S94" s="85"/>
      <c r="T94" s="85"/>
      <c r="U94" s="86"/>
    </row>
    <row r="95" spans="1:27" ht="97.5" customHeight="1" x14ac:dyDescent="0.2">
      <c r="B95" s="120" t="s">
        <v>58</v>
      </c>
      <c r="C95" s="67" t="s">
        <v>66</v>
      </c>
      <c r="D95" s="96" t="s">
        <v>176</v>
      </c>
      <c r="E95" s="97"/>
      <c r="F95" s="97"/>
      <c r="G95" s="97"/>
      <c r="H95" s="97"/>
      <c r="I95" s="97"/>
      <c r="J95" s="97"/>
      <c r="K95" s="97"/>
      <c r="L95" s="97"/>
      <c r="M95" s="97"/>
      <c r="N95" s="97"/>
      <c r="O95" s="97"/>
      <c r="P95" s="97"/>
      <c r="Q95" s="97"/>
      <c r="R95" s="97"/>
      <c r="S95" s="97"/>
      <c r="T95" s="97"/>
      <c r="U95" s="98"/>
    </row>
    <row r="96" spans="1:27" ht="97.5" customHeight="1" x14ac:dyDescent="0.2">
      <c r="B96" s="121"/>
      <c r="C96" s="69" t="s">
        <v>67</v>
      </c>
      <c r="D96" s="84" t="s">
        <v>178</v>
      </c>
      <c r="E96" s="85"/>
      <c r="F96" s="85"/>
      <c r="G96" s="85"/>
      <c r="H96" s="85"/>
      <c r="I96" s="85"/>
      <c r="J96" s="85"/>
      <c r="K96" s="85"/>
      <c r="L96" s="85"/>
      <c r="M96" s="85"/>
      <c r="N96" s="85"/>
      <c r="O96" s="85"/>
      <c r="P96" s="85"/>
      <c r="Q96" s="85"/>
      <c r="R96" s="85"/>
      <c r="S96" s="85"/>
      <c r="T96" s="85"/>
      <c r="U96" s="86"/>
    </row>
    <row r="97" spans="1:21" ht="97.5" customHeight="1" x14ac:dyDescent="0.2">
      <c r="B97" s="120" t="s">
        <v>71</v>
      </c>
      <c r="C97" s="65" t="s">
        <v>53</v>
      </c>
      <c r="D97" s="96" t="s">
        <v>179</v>
      </c>
      <c r="E97" s="97"/>
      <c r="F97" s="97"/>
      <c r="G97" s="97"/>
      <c r="H97" s="97"/>
      <c r="I97" s="97"/>
      <c r="J97" s="97"/>
      <c r="K97" s="97"/>
      <c r="L97" s="97"/>
      <c r="M97" s="97"/>
      <c r="N97" s="97"/>
      <c r="O97" s="97"/>
      <c r="P97" s="97"/>
      <c r="Q97" s="97"/>
      <c r="R97" s="97"/>
      <c r="S97" s="97"/>
      <c r="T97" s="97"/>
      <c r="U97" s="98"/>
    </row>
    <row r="98" spans="1:21" ht="97.5" customHeight="1" x14ac:dyDescent="0.2">
      <c r="B98" s="121"/>
      <c r="C98" s="68" t="s">
        <v>55</v>
      </c>
      <c r="D98" s="116" t="s">
        <v>171</v>
      </c>
      <c r="E98" s="85"/>
      <c r="F98" s="85"/>
      <c r="G98" s="85"/>
      <c r="H98" s="85"/>
      <c r="I98" s="85"/>
      <c r="J98" s="85"/>
      <c r="K98" s="85"/>
      <c r="L98" s="85"/>
      <c r="M98" s="85"/>
      <c r="N98" s="85"/>
      <c r="O98" s="85"/>
      <c r="P98" s="85"/>
      <c r="Q98" s="85"/>
      <c r="R98" s="85"/>
      <c r="S98" s="85"/>
      <c r="T98" s="85"/>
      <c r="U98" s="86"/>
    </row>
    <row r="99" spans="1:21" ht="97.5" customHeight="1" x14ac:dyDescent="0.2">
      <c r="B99" s="120" t="s">
        <v>72</v>
      </c>
      <c r="C99" s="67" t="s">
        <v>52</v>
      </c>
      <c r="D99" s="96" t="s">
        <v>180</v>
      </c>
      <c r="E99" s="97"/>
      <c r="F99" s="97"/>
      <c r="G99" s="97"/>
      <c r="H99" s="97"/>
      <c r="I99" s="97"/>
      <c r="J99" s="97"/>
      <c r="K99" s="97"/>
      <c r="L99" s="97"/>
      <c r="M99" s="97"/>
      <c r="N99" s="97"/>
      <c r="O99" s="97"/>
      <c r="P99" s="97"/>
      <c r="Q99" s="97"/>
      <c r="R99" s="97"/>
      <c r="S99" s="97"/>
      <c r="T99" s="97"/>
      <c r="U99" s="98"/>
    </row>
    <row r="100" spans="1:21" ht="97.5" customHeight="1" x14ac:dyDescent="0.2">
      <c r="B100" s="122"/>
      <c r="C100" s="70" t="s">
        <v>68</v>
      </c>
      <c r="D100" s="117" t="s">
        <v>172</v>
      </c>
      <c r="E100" s="118"/>
      <c r="F100" s="118"/>
      <c r="G100" s="118"/>
      <c r="H100" s="118"/>
      <c r="I100" s="118"/>
      <c r="J100" s="118"/>
      <c r="K100" s="118"/>
      <c r="L100" s="118"/>
      <c r="M100" s="118"/>
      <c r="N100" s="118"/>
      <c r="O100" s="118"/>
      <c r="P100" s="118"/>
      <c r="Q100" s="118"/>
      <c r="R100" s="118"/>
      <c r="S100" s="118"/>
      <c r="T100" s="118"/>
      <c r="U100" s="119"/>
    </row>
    <row r="101" spans="1:21" ht="97.5" customHeight="1" x14ac:dyDescent="0.2">
      <c r="B101" s="121"/>
      <c r="C101" s="69" t="s">
        <v>69</v>
      </c>
      <c r="D101" s="84" t="s">
        <v>173</v>
      </c>
      <c r="E101" s="85"/>
      <c r="F101" s="85"/>
      <c r="G101" s="85"/>
      <c r="H101" s="85"/>
      <c r="I101" s="85"/>
      <c r="J101" s="85"/>
      <c r="K101" s="85"/>
      <c r="L101" s="85"/>
      <c r="M101" s="85"/>
      <c r="N101" s="85"/>
      <c r="O101" s="85"/>
      <c r="P101" s="85"/>
      <c r="Q101" s="85"/>
      <c r="R101" s="85"/>
      <c r="S101" s="85"/>
      <c r="T101" s="85"/>
      <c r="U101" s="86"/>
    </row>
    <row r="102" spans="1:21" ht="6" customHeight="1" x14ac:dyDescent="0.2"/>
    <row r="103" spans="1:21" ht="18.75" customHeight="1" x14ac:dyDescent="0.2">
      <c r="A103" s="1" t="s">
        <v>103</v>
      </c>
    </row>
    <row r="104" spans="1:21" ht="81.75" customHeight="1" x14ac:dyDescent="0.2">
      <c r="B104" s="134" t="s">
        <v>149</v>
      </c>
      <c r="C104" s="135"/>
      <c r="D104" s="135"/>
      <c r="E104" s="135"/>
      <c r="F104" s="135"/>
      <c r="G104" s="135"/>
      <c r="H104" s="135"/>
      <c r="I104" s="135"/>
      <c r="J104" s="135"/>
      <c r="K104" s="135"/>
      <c r="L104" s="135"/>
      <c r="M104" s="135"/>
      <c r="N104" s="135"/>
      <c r="O104" s="135"/>
      <c r="P104" s="135"/>
      <c r="Q104" s="135"/>
      <c r="R104" s="135"/>
      <c r="S104" s="135"/>
      <c r="T104" s="135"/>
      <c r="U104" s="136"/>
    </row>
    <row r="107" spans="1:21" ht="18" customHeight="1" x14ac:dyDescent="0.2"/>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60:Q60"/>
    <mergeCell ref="D98:U98"/>
    <mergeCell ref="D99:U99"/>
    <mergeCell ref="D100:U100"/>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D101:U101"/>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8:J88 R88:U88"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 type="list" allowBlank="1" showInputMessage="1" showErrorMessage="1" sqref="G81:J87 R81:U87" xr:uid="{00000000-0002-0000-0000-000005000000}">
      <formula1>$AA$80:$AA$89</formula1>
    </dataValidation>
  </dataValidations>
  <printOptions horizontalCentered="1"/>
  <pageMargins left="0.78740157480314965" right="0.78740157480314965" top="0.78740157480314965" bottom="0.19685039370078741" header="0.31496062992125984" footer="0.19685039370078741"/>
  <pageSetup paperSize="9" scale="67"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topLeftCell="A17" zoomScaleNormal="100" zoomScaleSheetLayoutView="100" workbookViewId="0">
      <selection activeCell="W30" sqref="W30"/>
    </sheetView>
  </sheetViews>
  <sheetFormatPr defaultColWidth="9" defaultRowHeight="18.75" customHeight="1" x14ac:dyDescent="0.2"/>
  <cols>
    <col min="1" max="1" width="2.77734375" style="1" customWidth="1"/>
    <col min="2" max="2" width="27.88671875" style="1" customWidth="1"/>
    <col min="3" max="18" width="6.109375" style="1" customWidth="1"/>
    <col min="19" max="19" width="6.6640625" style="1" customWidth="1"/>
    <col min="20" max="16384" width="9" style="1"/>
  </cols>
  <sheetData>
    <row r="1" spans="1:21" ht="18" customHeight="1" x14ac:dyDescent="0.2">
      <c r="A1" s="52"/>
      <c r="B1" s="52"/>
      <c r="C1" s="52"/>
      <c r="D1" s="52"/>
      <c r="E1" s="52"/>
      <c r="F1" s="52"/>
      <c r="G1" s="52"/>
      <c r="H1" s="52"/>
      <c r="I1" s="52"/>
      <c r="J1" s="52"/>
      <c r="K1" s="52"/>
      <c r="L1" s="52"/>
      <c r="M1" s="52"/>
      <c r="N1" s="52"/>
      <c r="O1" s="52"/>
      <c r="P1" s="52"/>
      <c r="Q1" s="52"/>
      <c r="R1" s="52"/>
      <c r="S1" s="52" t="s">
        <v>92</v>
      </c>
    </row>
    <row r="2" spans="1:21" ht="18" customHeight="1" x14ac:dyDescent="0.2">
      <c r="A2" s="52"/>
      <c r="B2" s="52"/>
      <c r="C2" s="52"/>
      <c r="D2" s="52"/>
      <c r="E2" s="52"/>
      <c r="F2" s="52"/>
      <c r="G2" s="52"/>
      <c r="H2" s="52"/>
      <c r="I2" s="52"/>
      <c r="J2" s="52"/>
      <c r="K2" s="52"/>
      <c r="L2" s="52"/>
      <c r="M2" s="52"/>
      <c r="N2" s="52"/>
      <c r="O2" s="52"/>
      <c r="P2" s="52"/>
      <c r="Q2" s="152" t="str">
        <f>'様式１　プログラムを構成する授業科目'!C2</f>
        <v>武蔵大学</v>
      </c>
      <c r="R2" s="152"/>
      <c r="S2" s="152"/>
    </row>
    <row r="3" spans="1:21" ht="18" customHeight="1" x14ac:dyDescent="0.2">
      <c r="A3" s="124" t="s">
        <v>142</v>
      </c>
      <c r="B3" s="124"/>
      <c r="C3" s="124"/>
      <c r="D3" s="124"/>
      <c r="E3" s="124"/>
      <c r="F3" s="124"/>
      <c r="G3" s="124"/>
      <c r="H3" s="124"/>
      <c r="I3" s="124"/>
      <c r="J3" s="124"/>
      <c r="K3" s="124"/>
      <c r="L3" s="124"/>
      <c r="M3" s="124"/>
      <c r="N3" s="124"/>
      <c r="O3" s="124"/>
      <c r="P3" s="124"/>
      <c r="Q3" s="124"/>
      <c r="R3" s="124"/>
      <c r="S3" s="124"/>
    </row>
    <row r="4" spans="1:21" ht="7.5" customHeight="1" x14ac:dyDescent="0.2">
      <c r="A4" s="54"/>
      <c r="B4" s="54"/>
      <c r="C4" s="54"/>
      <c r="D4" s="54"/>
      <c r="E4" s="54"/>
      <c r="F4" s="54"/>
      <c r="G4" s="54"/>
      <c r="H4" s="54"/>
      <c r="I4" s="54"/>
      <c r="J4" s="54"/>
      <c r="K4" s="54"/>
      <c r="L4" s="54"/>
      <c r="M4" s="54"/>
      <c r="N4" s="54"/>
      <c r="O4" s="54"/>
      <c r="P4" s="54"/>
      <c r="Q4" s="54"/>
      <c r="R4" s="54"/>
      <c r="S4" s="54"/>
    </row>
    <row r="5" spans="1:21" ht="18" customHeight="1" x14ac:dyDescent="0.2">
      <c r="A5" s="52" t="s">
        <v>75</v>
      </c>
      <c r="B5" s="52"/>
      <c r="C5" s="153" t="s">
        <v>150</v>
      </c>
      <c r="D5" s="154"/>
      <c r="E5" s="56" t="s">
        <v>125</v>
      </c>
      <c r="F5" s="54"/>
      <c r="G5" s="54"/>
      <c r="H5" s="54"/>
      <c r="I5" s="54"/>
      <c r="J5" s="54"/>
      <c r="K5" s="54"/>
      <c r="L5" s="54"/>
      <c r="M5" s="54"/>
      <c r="N5" s="54"/>
      <c r="O5" s="54"/>
      <c r="P5" s="54"/>
      <c r="Q5" s="54"/>
      <c r="R5" s="53"/>
      <c r="S5" s="53"/>
    </row>
    <row r="6" spans="1:21" ht="7.2" customHeight="1" x14ac:dyDescent="0.2">
      <c r="A6" s="52"/>
      <c r="B6" s="52"/>
      <c r="C6" s="74"/>
      <c r="D6" s="74"/>
      <c r="E6" s="54"/>
      <c r="F6" s="54"/>
      <c r="G6" s="54"/>
      <c r="H6" s="54"/>
      <c r="I6" s="54"/>
      <c r="J6" s="54"/>
      <c r="K6" s="54"/>
      <c r="L6" s="54"/>
      <c r="M6" s="54"/>
      <c r="N6" s="54"/>
      <c r="O6" s="54"/>
      <c r="P6" s="54"/>
      <c r="Q6" s="54"/>
      <c r="R6" s="53"/>
      <c r="S6" s="53"/>
    </row>
    <row r="7" spans="1:21" ht="18" customHeight="1" x14ac:dyDescent="0.2">
      <c r="A7" s="52" t="s">
        <v>109</v>
      </c>
      <c r="B7" s="52"/>
      <c r="C7" s="74"/>
      <c r="D7" s="74"/>
      <c r="E7" s="54" t="s">
        <v>110</v>
      </c>
      <c r="F7" s="80">
        <v>2801</v>
      </c>
      <c r="G7" s="56" t="s">
        <v>111</v>
      </c>
      <c r="H7" s="54" t="s">
        <v>112</v>
      </c>
      <c r="I7" s="80">
        <v>2195</v>
      </c>
      <c r="J7" s="56" t="s">
        <v>111</v>
      </c>
      <c r="K7" s="55" t="s">
        <v>113</v>
      </c>
      <c r="L7" s="54" t="s">
        <v>114</v>
      </c>
      <c r="M7" s="80">
        <v>4996</v>
      </c>
      <c r="N7" s="54" t="s">
        <v>1</v>
      </c>
      <c r="O7" s="56" t="s">
        <v>115</v>
      </c>
      <c r="P7" s="54"/>
      <c r="Q7" s="54"/>
      <c r="R7" s="53"/>
      <c r="S7" s="53"/>
    </row>
    <row r="8" spans="1:21" ht="17.399999999999999" customHeight="1" x14ac:dyDescent="0.2">
      <c r="A8" s="54"/>
      <c r="B8" s="75" t="s">
        <v>128</v>
      </c>
      <c r="C8" s="54"/>
      <c r="D8" s="54"/>
      <c r="E8" s="54"/>
      <c r="F8" s="54"/>
      <c r="G8" s="54"/>
      <c r="H8" s="54"/>
      <c r="I8" s="54"/>
      <c r="J8" s="54"/>
      <c r="K8" s="54"/>
      <c r="L8" s="54"/>
      <c r="M8" s="54"/>
      <c r="N8" s="54"/>
      <c r="O8" s="54"/>
      <c r="P8" s="54"/>
      <c r="Q8" s="54"/>
      <c r="R8" s="54"/>
      <c r="S8" s="54"/>
    </row>
    <row r="9" spans="1:21" ht="18" customHeight="1" x14ac:dyDescent="0.2">
      <c r="A9" s="52" t="s">
        <v>120</v>
      </c>
      <c r="B9" s="54"/>
      <c r="C9" s="54"/>
      <c r="D9" s="54"/>
      <c r="E9" s="54"/>
      <c r="F9" s="54"/>
      <c r="G9" s="54"/>
      <c r="H9" s="54"/>
      <c r="I9" s="54"/>
      <c r="J9" s="54"/>
      <c r="K9" s="54"/>
      <c r="L9" s="54"/>
      <c r="M9" s="54"/>
      <c r="N9" s="54"/>
      <c r="O9" s="54"/>
      <c r="P9" s="54"/>
      <c r="Q9" s="54"/>
      <c r="R9" s="54"/>
      <c r="S9" s="54"/>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5" t="s">
        <v>43</v>
      </c>
      <c r="C11" s="165" t="s">
        <v>78</v>
      </c>
      <c r="D11" s="157" t="s">
        <v>45</v>
      </c>
      <c r="E11" s="159" t="s">
        <v>38</v>
      </c>
      <c r="F11" s="151" t="s">
        <v>126</v>
      </c>
      <c r="G11" s="151"/>
      <c r="H11" s="151" t="s">
        <v>106</v>
      </c>
      <c r="I11" s="151"/>
      <c r="J11" s="151" t="s">
        <v>77</v>
      </c>
      <c r="K11" s="151"/>
      <c r="L11" s="151" t="s">
        <v>46</v>
      </c>
      <c r="M11" s="151"/>
      <c r="N11" s="151" t="s">
        <v>47</v>
      </c>
      <c r="O11" s="151"/>
      <c r="P11" s="151" t="s">
        <v>127</v>
      </c>
      <c r="Q11" s="151"/>
      <c r="R11" s="161" t="s">
        <v>35</v>
      </c>
      <c r="S11" s="163" t="s">
        <v>32</v>
      </c>
      <c r="U11" s="2"/>
    </row>
    <row r="12" spans="1:21" ht="16.95" customHeight="1" x14ac:dyDescent="0.2">
      <c r="B12" s="156"/>
      <c r="C12" s="166"/>
      <c r="D12" s="158"/>
      <c r="E12" s="160"/>
      <c r="F12" s="76" t="s">
        <v>86</v>
      </c>
      <c r="G12" s="76" t="s">
        <v>29</v>
      </c>
      <c r="H12" s="76" t="s">
        <v>86</v>
      </c>
      <c r="I12" s="76" t="s">
        <v>29</v>
      </c>
      <c r="J12" s="76" t="s">
        <v>86</v>
      </c>
      <c r="K12" s="76" t="s">
        <v>29</v>
      </c>
      <c r="L12" s="76" t="s">
        <v>86</v>
      </c>
      <c r="M12" s="76" t="s">
        <v>29</v>
      </c>
      <c r="N12" s="76" t="s">
        <v>86</v>
      </c>
      <c r="O12" s="76" t="s">
        <v>29</v>
      </c>
      <c r="P12" s="76" t="s">
        <v>86</v>
      </c>
      <c r="Q12" s="77" t="s">
        <v>29</v>
      </c>
      <c r="R12" s="162"/>
      <c r="S12" s="164"/>
      <c r="U12" s="2"/>
    </row>
    <row r="13" spans="1:21" ht="18" customHeight="1" x14ac:dyDescent="0.2">
      <c r="A13" s="6"/>
      <c r="B13" s="47" t="s">
        <v>151</v>
      </c>
      <c r="C13" s="35">
        <v>1988</v>
      </c>
      <c r="D13" s="36">
        <v>380</v>
      </c>
      <c r="E13" s="37">
        <v>1560</v>
      </c>
      <c r="F13" s="37">
        <v>121</v>
      </c>
      <c r="G13" s="37">
        <v>87</v>
      </c>
      <c r="H13" s="37"/>
      <c r="I13" s="37"/>
      <c r="J13" s="37"/>
      <c r="K13" s="37"/>
      <c r="L13" s="37"/>
      <c r="M13" s="37"/>
      <c r="N13" s="37"/>
      <c r="O13" s="37"/>
      <c r="P13" s="37"/>
      <c r="Q13" s="48"/>
      <c r="R13" s="36">
        <f t="shared" ref="R13:R32" si="0">F13+H13+J13+L13+N13+P13</f>
        <v>121</v>
      </c>
      <c r="S13" s="81">
        <f t="shared" ref="S13:S33" si="1">R13/E13</f>
        <v>7.7564102564102566E-2</v>
      </c>
    </row>
    <row r="14" spans="1:21" ht="18" customHeight="1" x14ac:dyDescent="0.2">
      <c r="A14" s="6"/>
      <c r="B14" s="11" t="s">
        <v>152</v>
      </c>
      <c r="C14" s="38">
        <v>1548</v>
      </c>
      <c r="D14" s="39">
        <v>290</v>
      </c>
      <c r="E14" s="40">
        <v>1195</v>
      </c>
      <c r="F14" s="41">
        <v>114</v>
      </c>
      <c r="G14" s="41">
        <v>86</v>
      </c>
      <c r="H14" s="41"/>
      <c r="I14" s="41"/>
      <c r="J14" s="41"/>
      <c r="K14" s="41"/>
      <c r="L14" s="41"/>
      <c r="M14" s="41"/>
      <c r="N14" s="41"/>
      <c r="O14" s="41"/>
      <c r="P14" s="41"/>
      <c r="Q14" s="38"/>
      <c r="R14" s="39">
        <f t="shared" si="0"/>
        <v>114</v>
      </c>
      <c r="S14" s="8">
        <f t="shared" si="1"/>
        <v>9.5397489539748956E-2</v>
      </c>
    </row>
    <row r="15" spans="1:21" ht="18" customHeight="1" x14ac:dyDescent="0.2">
      <c r="A15" s="6"/>
      <c r="B15" s="11" t="s">
        <v>153</v>
      </c>
      <c r="C15" s="38">
        <v>1145</v>
      </c>
      <c r="D15" s="39">
        <v>229</v>
      </c>
      <c r="E15" s="40">
        <v>941</v>
      </c>
      <c r="F15" s="41">
        <v>39</v>
      </c>
      <c r="G15" s="41">
        <v>31</v>
      </c>
      <c r="H15" s="41"/>
      <c r="I15" s="41"/>
      <c r="J15" s="41"/>
      <c r="K15" s="41"/>
      <c r="L15" s="41"/>
      <c r="M15" s="41"/>
      <c r="N15" s="41"/>
      <c r="O15" s="41"/>
      <c r="P15" s="41"/>
      <c r="Q15" s="38"/>
      <c r="R15" s="39">
        <f t="shared" si="0"/>
        <v>39</v>
      </c>
      <c r="S15" s="8">
        <f t="shared" si="1"/>
        <v>4.1445270988310308E-2</v>
      </c>
    </row>
    <row r="16" spans="1:21" ht="18" customHeight="1" x14ac:dyDescent="0.2">
      <c r="A16" s="6"/>
      <c r="B16" s="11" t="s">
        <v>154</v>
      </c>
      <c r="C16" s="38">
        <v>315</v>
      </c>
      <c r="D16" s="39">
        <v>100</v>
      </c>
      <c r="E16" s="40">
        <v>300</v>
      </c>
      <c r="F16" s="41">
        <v>3</v>
      </c>
      <c r="G16" s="41">
        <v>1</v>
      </c>
      <c r="H16" s="41"/>
      <c r="I16" s="41"/>
      <c r="J16" s="41"/>
      <c r="K16" s="41"/>
      <c r="L16" s="41"/>
      <c r="M16" s="41"/>
      <c r="N16" s="41"/>
      <c r="O16" s="41"/>
      <c r="P16" s="41"/>
      <c r="Q16" s="38"/>
      <c r="R16" s="39">
        <f t="shared" si="0"/>
        <v>3</v>
      </c>
      <c r="S16" s="8">
        <f t="shared" si="1"/>
        <v>0.01</v>
      </c>
    </row>
    <row r="17" spans="1:19" ht="18" customHeight="1" x14ac:dyDescent="0.2">
      <c r="A17" s="6"/>
      <c r="B17" s="11"/>
      <c r="C17" s="38"/>
      <c r="D17" s="39"/>
      <c r="E17" s="40"/>
      <c r="F17" s="41"/>
      <c r="G17" s="41"/>
      <c r="H17" s="41"/>
      <c r="I17" s="41"/>
      <c r="J17" s="41"/>
      <c r="K17" s="41"/>
      <c r="L17" s="41"/>
      <c r="M17" s="41"/>
      <c r="N17" s="41"/>
      <c r="O17" s="41"/>
      <c r="P17" s="41"/>
      <c r="Q17" s="38"/>
      <c r="R17" s="39">
        <f t="shared" si="0"/>
        <v>0</v>
      </c>
      <c r="S17" s="8" t="e">
        <f t="shared" si="1"/>
        <v>#DIV/0!</v>
      </c>
    </row>
    <row r="18" spans="1:19" ht="18" customHeight="1" x14ac:dyDescent="0.2">
      <c r="A18" s="6"/>
      <c r="B18" s="11"/>
      <c r="C18" s="38"/>
      <c r="D18" s="39"/>
      <c r="E18" s="40"/>
      <c r="F18" s="41"/>
      <c r="G18" s="41"/>
      <c r="H18" s="41"/>
      <c r="I18" s="41"/>
      <c r="J18" s="41"/>
      <c r="K18" s="41"/>
      <c r="L18" s="41"/>
      <c r="M18" s="41"/>
      <c r="N18" s="41"/>
      <c r="O18" s="41"/>
      <c r="P18" s="41"/>
      <c r="Q18" s="38"/>
      <c r="R18" s="39">
        <f t="shared" si="0"/>
        <v>0</v>
      </c>
      <c r="S18" s="8" t="e">
        <f t="shared" si="1"/>
        <v>#DIV/0!</v>
      </c>
    </row>
    <row r="19" spans="1:19" ht="18" customHeight="1" x14ac:dyDescent="0.2">
      <c r="A19" s="6"/>
      <c r="B19" s="11"/>
      <c r="C19" s="38"/>
      <c r="D19" s="39"/>
      <c r="E19" s="40"/>
      <c r="F19" s="41"/>
      <c r="G19" s="41"/>
      <c r="H19" s="41"/>
      <c r="I19" s="41"/>
      <c r="J19" s="41"/>
      <c r="K19" s="41"/>
      <c r="L19" s="41"/>
      <c r="M19" s="41"/>
      <c r="N19" s="41"/>
      <c r="O19" s="41"/>
      <c r="P19" s="41"/>
      <c r="Q19" s="38"/>
      <c r="R19" s="39">
        <f t="shared" si="0"/>
        <v>0</v>
      </c>
      <c r="S19" s="8" t="e">
        <f t="shared" si="1"/>
        <v>#DIV/0!</v>
      </c>
    </row>
    <row r="20" spans="1:19" ht="18" customHeight="1" x14ac:dyDescent="0.2">
      <c r="A20" s="6"/>
      <c r="B20" s="11"/>
      <c r="C20" s="38"/>
      <c r="D20" s="39"/>
      <c r="E20" s="40"/>
      <c r="F20" s="41"/>
      <c r="G20" s="41"/>
      <c r="H20" s="41"/>
      <c r="I20" s="41"/>
      <c r="J20" s="41"/>
      <c r="K20" s="41"/>
      <c r="L20" s="41"/>
      <c r="M20" s="41"/>
      <c r="N20" s="41"/>
      <c r="O20" s="41"/>
      <c r="P20" s="41"/>
      <c r="Q20" s="38"/>
      <c r="R20" s="39">
        <f t="shared" si="0"/>
        <v>0</v>
      </c>
      <c r="S20" s="8" t="e">
        <f t="shared" si="1"/>
        <v>#DIV/0!</v>
      </c>
    </row>
    <row r="21" spans="1:19" ht="18" customHeight="1" x14ac:dyDescent="0.2">
      <c r="A21" s="6"/>
      <c r="B21" s="11"/>
      <c r="C21" s="38"/>
      <c r="D21" s="39"/>
      <c r="E21" s="40"/>
      <c r="F21" s="41"/>
      <c r="G21" s="41"/>
      <c r="H21" s="41"/>
      <c r="I21" s="41"/>
      <c r="J21" s="41"/>
      <c r="K21" s="41"/>
      <c r="L21" s="41"/>
      <c r="M21" s="41"/>
      <c r="N21" s="41"/>
      <c r="O21" s="41"/>
      <c r="P21" s="41"/>
      <c r="Q21" s="38"/>
      <c r="R21" s="39">
        <f t="shared" si="0"/>
        <v>0</v>
      </c>
      <c r="S21" s="8" t="e">
        <f t="shared" si="1"/>
        <v>#DIV/0!</v>
      </c>
    </row>
    <row r="22" spans="1:19" ht="18" customHeight="1" x14ac:dyDescent="0.2">
      <c r="A22" s="6"/>
      <c r="B22" s="11"/>
      <c r="C22" s="38"/>
      <c r="D22" s="39"/>
      <c r="E22" s="40"/>
      <c r="F22" s="41"/>
      <c r="G22" s="41"/>
      <c r="H22" s="41"/>
      <c r="I22" s="41"/>
      <c r="J22" s="41"/>
      <c r="K22" s="41"/>
      <c r="L22" s="41"/>
      <c r="M22" s="41"/>
      <c r="N22" s="41"/>
      <c r="O22" s="41"/>
      <c r="P22" s="41"/>
      <c r="Q22" s="38"/>
      <c r="R22" s="39">
        <f t="shared" si="0"/>
        <v>0</v>
      </c>
      <c r="S22" s="8" t="e">
        <f t="shared" si="1"/>
        <v>#DIV/0!</v>
      </c>
    </row>
    <row r="23" spans="1:19" ht="18" customHeight="1" x14ac:dyDescent="0.2">
      <c r="A23" s="6"/>
      <c r="B23" s="11"/>
      <c r="C23" s="38"/>
      <c r="D23" s="39"/>
      <c r="E23" s="40"/>
      <c r="F23" s="41"/>
      <c r="G23" s="41"/>
      <c r="H23" s="41"/>
      <c r="I23" s="41"/>
      <c r="J23" s="41"/>
      <c r="K23" s="41"/>
      <c r="L23" s="41"/>
      <c r="M23" s="41"/>
      <c r="N23" s="41"/>
      <c r="O23" s="41"/>
      <c r="P23" s="41"/>
      <c r="Q23" s="38"/>
      <c r="R23" s="39">
        <f t="shared" si="0"/>
        <v>0</v>
      </c>
      <c r="S23" s="8" t="e">
        <f t="shared" si="1"/>
        <v>#DIV/0!</v>
      </c>
    </row>
    <row r="24" spans="1:19" ht="18" customHeight="1" x14ac:dyDescent="0.2">
      <c r="A24" s="6"/>
      <c r="B24" s="11"/>
      <c r="C24" s="38"/>
      <c r="D24" s="39"/>
      <c r="E24" s="40"/>
      <c r="F24" s="41"/>
      <c r="G24" s="41"/>
      <c r="H24" s="41"/>
      <c r="I24" s="41"/>
      <c r="J24" s="41"/>
      <c r="K24" s="41"/>
      <c r="L24" s="41"/>
      <c r="M24" s="41"/>
      <c r="N24" s="41"/>
      <c r="O24" s="41"/>
      <c r="P24" s="41"/>
      <c r="Q24" s="38"/>
      <c r="R24" s="39">
        <f t="shared" si="0"/>
        <v>0</v>
      </c>
      <c r="S24" s="8" t="e">
        <f t="shared" si="1"/>
        <v>#DIV/0!</v>
      </c>
    </row>
    <row r="25" spans="1:19" ht="18" customHeight="1" x14ac:dyDescent="0.2">
      <c r="A25" s="6"/>
      <c r="B25" s="11"/>
      <c r="C25" s="38"/>
      <c r="D25" s="39"/>
      <c r="E25" s="40"/>
      <c r="F25" s="41"/>
      <c r="G25" s="41"/>
      <c r="H25" s="41"/>
      <c r="I25" s="41"/>
      <c r="J25" s="41"/>
      <c r="K25" s="41"/>
      <c r="L25" s="41"/>
      <c r="M25" s="41"/>
      <c r="N25" s="41"/>
      <c r="O25" s="41"/>
      <c r="P25" s="41"/>
      <c r="Q25" s="38"/>
      <c r="R25" s="39">
        <f t="shared" si="0"/>
        <v>0</v>
      </c>
      <c r="S25" s="8" t="e">
        <f t="shared" si="1"/>
        <v>#DIV/0!</v>
      </c>
    </row>
    <row r="26" spans="1:19" ht="18" customHeight="1" x14ac:dyDescent="0.2">
      <c r="A26" s="6"/>
      <c r="B26" s="11"/>
      <c r="C26" s="38"/>
      <c r="D26" s="39"/>
      <c r="E26" s="40"/>
      <c r="F26" s="41"/>
      <c r="G26" s="41"/>
      <c r="H26" s="41"/>
      <c r="I26" s="41"/>
      <c r="J26" s="41"/>
      <c r="K26" s="41"/>
      <c r="L26" s="41"/>
      <c r="M26" s="41"/>
      <c r="N26" s="41"/>
      <c r="O26" s="41"/>
      <c r="P26" s="41"/>
      <c r="Q26" s="38"/>
      <c r="R26" s="39">
        <f t="shared" si="0"/>
        <v>0</v>
      </c>
      <c r="S26" s="8" t="e">
        <f t="shared" si="1"/>
        <v>#DIV/0!</v>
      </c>
    </row>
    <row r="27" spans="1:19" ht="18" customHeight="1" x14ac:dyDescent="0.2">
      <c r="A27" s="6"/>
      <c r="B27" s="11"/>
      <c r="C27" s="38"/>
      <c r="D27" s="39"/>
      <c r="E27" s="40"/>
      <c r="F27" s="41"/>
      <c r="G27" s="41"/>
      <c r="H27" s="41"/>
      <c r="I27" s="41"/>
      <c r="J27" s="41"/>
      <c r="K27" s="41"/>
      <c r="L27" s="41"/>
      <c r="M27" s="41"/>
      <c r="N27" s="41"/>
      <c r="O27" s="41"/>
      <c r="P27" s="41"/>
      <c r="Q27" s="38"/>
      <c r="R27" s="39">
        <f t="shared" si="0"/>
        <v>0</v>
      </c>
      <c r="S27" s="8" t="e">
        <f t="shared" si="1"/>
        <v>#DIV/0!</v>
      </c>
    </row>
    <row r="28" spans="1:19" ht="18" customHeight="1" x14ac:dyDescent="0.2">
      <c r="A28" s="6"/>
      <c r="B28" s="11"/>
      <c r="C28" s="38"/>
      <c r="D28" s="39"/>
      <c r="E28" s="40"/>
      <c r="F28" s="41"/>
      <c r="G28" s="41"/>
      <c r="H28" s="41"/>
      <c r="I28" s="41"/>
      <c r="J28" s="41"/>
      <c r="K28" s="41"/>
      <c r="L28" s="41"/>
      <c r="M28" s="41"/>
      <c r="N28" s="41"/>
      <c r="O28" s="41"/>
      <c r="P28" s="41"/>
      <c r="Q28" s="38"/>
      <c r="R28" s="39">
        <f t="shared" si="0"/>
        <v>0</v>
      </c>
      <c r="S28" s="8" t="e">
        <f t="shared" si="1"/>
        <v>#DIV/0!</v>
      </c>
    </row>
    <row r="29" spans="1:19" ht="18" customHeight="1" x14ac:dyDescent="0.2">
      <c r="A29" s="6"/>
      <c r="B29" s="11"/>
      <c r="C29" s="38"/>
      <c r="D29" s="39"/>
      <c r="E29" s="40"/>
      <c r="F29" s="41"/>
      <c r="G29" s="41"/>
      <c r="H29" s="41"/>
      <c r="I29" s="41"/>
      <c r="J29" s="41"/>
      <c r="K29" s="41"/>
      <c r="L29" s="41"/>
      <c r="M29" s="41"/>
      <c r="N29" s="41"/>
      <c r="O29" s="41"/>
      <c r="P29" s="41"/>
      <c r="Q29" s="38"/>
      <c r="R29" s="39">
        <f t="shared" si="0"/>
        <v>0</v>
      </c>
      <c r="S29" s="8" t="e">
        <f t="shared" si="1"/>
        <v>#DIV/0!</v>
      </c>
    </row>
    <row r="30" spans="1:19" ht="18" customHeight="1" x14ac:dyDescent="0.2">
      <c r="A30" s="6"/>
      <c r="B30" s="11"/>
      <c r="C30" s="38"/>
      <c r="D30" s="42"/>
      <c r="E30" s="40"/>
      <c r="F30" s="41"/>
      <c r="G30" s="41"/>
      <c r="H30" s="41"/>
      <c r="I30" s="41"/>
      <c r="J30" s="41"/>
      <c r="K30" s="41"/>
      <c r="L30" s="41"/>
      <c r="M30" s="41"/>
      <c r="N30" s="41"/>
      <c r="O30" s="41"/>
      <c r="P30" s="41"/>
      <c r="Q30" s="38"/>
      <c r="R30" s="42">
        <f t="shared" si="0"/>
        <v>0</v>
      </c>
      <c r="S30" s="8" t="e">
        <f t="shared" si="1"/>
        <v>#DIV/0!</v>
      </c>
    </row>
    <row r="31" spans="1:19" ht="18" customHeight="1" x14ac:dyDescent="0.2">
      <c r="A31" s="6"/>
      <c r="B31" s="11"/>
      <c r="C31" s="38"/>
      <c r="D31" s="42"/>
      <c r="E31" s="40"/>
      <c r="F31" s="41"/>
      <c r="G31" s="41"/>
      <c r="H31" s="41"/>
      <c r="I31" s="41"/>
      <c r="J31" s="41"/>
      <c r="K31" s="41"/>
      <c r="L31" s="41"/>
      <c r="M31" s="41"/>
      <c r="N31" s="41"/>
      <c r="O31" s="41"/>
      <c r="P31" s="41"/>
      <c r="Q31" s="38"/>
      <c r="R31" s="42">
        <f t="shared" si="0"/>
        <v>0</v>
      </c>
      <c r="S31" s="8" t="e">
        <f t="shared" si="1"/>
        <v>#DIV/0!</v>
      </c>
    </row>
    <row r="32" spans="1:19" ht="18" customHeight="1" thickBot="1" x14ac:dyDescent="0.25">
      <c r="A32" s="6"/>
      <c r="B32" s="12"/>
      <c r="C32" s="35"/>
      <c r="D32" s="43"/>
      <c r="E32" s="37"/>
      <c r="F32" s="37"/>
      <c r="G32" s="37"/>
      <c r="H32" s="37"/>
      <c r="I32" s="37"/>
      <c r="J32" s="37"/>
      <c r="K32" s="37"/>
      <c r="L32" s="37"/>
      <c r="M32" s="37"/>
      <c r="N32" s="37"/>
      <c r="O32" s="37"/>
      <c r="P32" s="37"/>
      <c r="Q32" s="38"/>
      <c r="R32" s="43">
        <f t="shared" si="0"/>
        <v>0</v>
      </c>
      <c r="S32" s="7" t="e">
        <f t="shared" si="1"/>
        <v>#DIV/0!</v>
      </c>
    </row>
    <row r="33" spans="2:19" ht="18" customHeight="1" thickTop="1" x14ac:dyDescent="0.2">
      <c r="B33" s="13" t="s">
        <v>33</v>
      </c>
      <c r="C33" s="44">
        <f t="shared" ref="C33:R33" si="2">SUM(C13:C32)</f>
        <v>4996</v>
      </c>
      <c r="D33" s="45">
        <f t="shared" si="2"/>
        <v>999</v>
      </c>
      <c r="E33" s="46">
        <f t="shared" si="2"/>
        <v>3996</v>
      </c>
      <c r="F33" s="46">
        <f t="shared" si="2"/>
        <v>277</v>
      </c>
      <c r="G33" s="46">
        <f t="shared" si="2"/>
        <v>205</v>
      </c>
      <c r="H33" s="46">
        <f t="shared" si="2"/>
        <v>0</v>
      </c>
      <c r="I33" s="46">
        <f t="shared" si="2"/>
        <v>0</v>
      </c>
      <c r="J33" s="46">
        <f t="shared" si="2"/>
        <v>0</v>
      </c>
      <c r="K33" s="46">
        <f t="shared" si="2"/>
        <v>0</v>
      </c>
      <c r="L33" s="46">
        <f t="shared" si="2"/>
        <v>0</v>
      </c>
      <c r="M33" s="46">
        <f t="shared" si="2"/>
        <v>0</v>
      </c>
      <c r="N33" s="46">
        <f t="shared" si="2"/>
        <v>0</v>
      </c>
      <c r="O33" s="46">
        <f t="shared" si="2"/>
        <v>0</v>
      </c>
      <c r="P33" s="46">
        <f t="shared" si="2"/>
        <v>0</v>
      </c>
      <c r="Q33" s="44">
        <f t="shared" si="2"/>
        <v>0</v>
      </c>
      <c r="R33" s="45">
        <f t="shared" si="2"/>
        <v>277</v>
      </c>
      <c r="S33" s="9">
        <f t="shared" si="1"/>
        <v>6.9319319319319325E-2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4"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topLeftCell="A50" zoomScaleNormal="100" zoomScaleSheetLayoutView="100" workbookViewId="0">
      <selection activeCell="B94" sqref="B94:I105"/>
    </sheetView>
  </sheetViews>
  <sheetFormatPr defaultColWidth="11.33203125" defaultRowHeight="18.75" customHeight="1" x14ac:dyDescent="0.2"/>
  <cols>
    <col min="1" max="1" width="2.77734375" style="19"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19" t="s">
        <v>59</v>
      </c>
      <c r="I1" s="17" t="s">
        <v>91</v>
      </c>
    </row>
    <row r="2" spans="1:9" ht="18.75" customHeight="1" x14ac:dyDescent="0.2">
      <c r="G2" s="17" t="s">
        <v>93</v>
      </c>
      <c r="H2" s="93" t="str">
        <f>'様式１　プログラムを構成する授業科目'!C2</f>
        <v>武蔵大学</v>
      </c>
      <c r="I2" s="95"/>
    </row>
    <row r="3" spans="1:9" ht="18.75" customHeight="1" x14ac:dyDescent="0.2">
      <c r="G3" s="17"/>
      <c r="H3" s="10"/>
      <c r="I3" s="10"/>
    </row>
    <row r="4" spans="1:9" ht="18.600000000000001" customHeight="1" x14ac:dyDescent="0.2">
      <c r="A4" s="124" t="s">
        <v>36</v>
      </c>
      <c r="B4" s="124"/>
      <c r="C4" s="124"/>
      <c r="D4" s="124"/>
      <c r="E4" s="124"/>
      <c r="F4" s="124"/>
      <c r="G4" s="124"/>
      <c r="H4" s="124"/>
      <c r="I4" s="124"/>
    </row>
    <row r="5" spans="1:9" ht="13.2" customHeight="1" x14ac:dyDescent="0.2">
      <c r="B5" s="3"/>
      <c r="C5" s="3"/>
      <c r="D5" s="3"/>
      <c r="E5" s="3"/>
      <c r="F5" s="3"/>
      <c r="G5" s="3"/>
      <c r="H5" s="3"/>
      <c r="I5" s="3"/>
    </row>
    <row r="6" spans="1:9" ht="18" customHeight="1" x14ac:dyDescent="0.2">
      <c r="A6" s="1" t="s">
        <v>0</v>
      </c>
      <c r="B6" s="10" t="s">
        <v>81</v>
      </c>
      <c r="C6" s="216" t="s">
        <v>82</v>
      </c>
      <c r="D6" s="216"/>
      <c r="E6" s="16">
        <v>134</v>
      </c>
      <c r="F6" s="3" t="s">
        <v>1</v>
      </c>
      <c r="G6" s="3" t="s">
        <v>2</v>
      </c>
      <c r="H6" s="16">
        <v>376</v>
      </c>
      <c r="I6" s="10" t="s">
        <v>1</v>
      </c>
    </row>
    <row r="7" spans="1:9" ht="12" customHeight="1" x14ac:dyDescent="0.2">
      <c r="C7" s="2"/>
      <c r="D7" s="2"/>
      <c r="E7" s="2"/>
      <c r="F7" s="2"/>
      <c r="G7" s="2"/>
      <c r="H7" s="2"/>
      <c r="I7" s="20"/>
    </row>
    <row r="8" spans="1:9" ht="18" customHeight="1" x14ac:dyDescent="0.2">
      <c r="A8" s="1" t="s">
        <v>3</v>
      </c>
      <c r="B8" s="10" t="s">
        <v>83</v>
      </c>
      <c r="E8" s="3"/>
      <c r="F8" s="3"/>
      <c r="G8" s="3"/>
      <c r="H8" s="16">
        <v>1</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7" t="s">
        <v>41</v>
      </c>
      <c r="C11" s="209" t="s">
        <v>155</v>
      </c>
      <c r="D11" s="212"/>
      <c r="E11" s="213"/>
      <c r="F11" s="20"/>
      <c r="G11" s="17" t="s">
        <v>10</v>
      </c>
      <c r="H11" s="214" t="s">
        <v>156</v>
      </c>
      <c r="I11" s="215"/>
    </row>
    <row r="12" spans="1:9" ht="10.199999999999999" customHeight="1" x14ac:dyDescent="0.2">
      <c r="B12" s="17"/>
      <c r="C12" s="10"/>
      <c r="D12" s="20"/>
      <c r="E12" s="20"/>
      <c r="F12" s="20"/>
      <c r="G12" s="17"/>
      <c r="H12" s="10"/>
      <c r="I12" s="20"/>
    </row>
    <row r="13" spans="1:9" ht="18" customHeight="1" x14ac:dyDescent="0.2">
      <c r="A13" s="1" t="s">
        <v>7</v>
      </c>
      <c r="B13" s="10" t="s">
        <v>79</v>
      </c>
      <c r="C13" s="3"/>
      <c r="D13" s="3"/>
      <c r="E13" s="3"/>
      <c r="F13" s="3"/>
      <c r="G13" s="3"/>
      <c r="H13" s="3"/>
      <c r="I13" s="3"/>
    </row>
    <row r="14" spans="1:9" ht="18" customHeight="1" x14ac:dyDescent="0.2">
      <c r="B14" s="209" t="s">
        <v>157</v>
      </c>
      <c r="C14" s="210"/>
      <c r="D14" s="210"/>
      <c r="E14" s="210"/>
      <c r="F14" s="210"/>
      <c r="G14" s="210"/>
      <c r="H14" s="210"/>
      <c r="I14" s="211"/>
    </row>
    <row r="15" spans="1:9" ht="9" customHeight="1" x14ac:dyDescent="0.2">
      <c r="B15" s="3"/>
      <c r="C15" s="3"/>
      <c r="D15" s="3"/>
      <c r="E15" s="3"/>
      <c r="F15" s="3"/>
      <c r="G15" s="3"/>
      <c r="H15" s="3"/>
      <c r="I15" s="3"/>
    </row>
    <row r="16" spans="1:9" ht="18" customHeight="1" x14ac:dyDescent="0.2">
      <c r="B16" s="17" t="s">
        <v>41</v>
      </c>
      <c r="C16" s="209" t="s">
        <v>155</v>
      </c>
      <c r="D16" s="212"/>
      <c r="E16" s="213"/>
      <c r="F16" s="20"/>
      <c r="G16" s="17" t="s">
        <v>10</v>
      </c>
      <c r="H16" s="214" t="s">
        <v>181</v>
      </c>
      <c r="I16" s="215"/>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95" t="s">
        <v>158</v>
      </c>
      <c r="C19" s="196"/>
      <c r="D19" s="196"/>
      <c r="E19" s="196"/>
      <c r="F19" s="196"/>
      <c r="G19" s="196"/>
      <c r="H19" s="196"/>
      <c r="I19" s="197"/>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98" t="s">
        <v>184</v>
      </c>
      <c r="C22" s="199"/>
      <c r="D22" s="199"/>
      <c r="E22" s="199"/>
      <c r="F22" s="199"/>
      <c r="G22" s="199"/>
      <c r="H22" s="199"/>
      <c r="I22" s="200"/>
    </row>
    <row r="23" spans="1:9" ht="18.75" customHeight="1" x14ac:dyDescent="0.2">
      <c r="A23" s="14"/>
      <c r="B23" s="201"/>
      <c r="C23" s="202"/>
      <c r="D23" s="202"/>
      <c r="E23" s="202"/>
      <c r="F23" s="202"/>
      <c r="G23" s="202"/>
      <c r="H23" s="202"/>
      <c r="I23" s="203"/>
    </row>
    <row r="24" spans="1:9" ht="18.75" customHeight="1" x14ac:dyDescent="0.2">
      <c r="A24" s="14"/>
      <c r="B24" s="201"/>
      <c r="C24" s="202"/>
      <c r="D24" s="202"/>
      <c r="E24" s="202"/>
      <c r="F24" s="202"/>
      <c r="G24" s="202"/>
      <c r="H24" s="202"/>
      <c r="I24" s="203"/>
    </row>
    <row r="25" spans="1:9" ht="18.75" customHeight="1" x14ac:dyDescent="0.2">
      <c r="A25" s="14"/>
      <c r="B25" s="201"/>
      <c r="C25" s="202"/>
      <c r="D25" s="202"/>
      <c r="E25" s="202"/>
      <c r="F25" s="202"/>
      <c r="G25" s="202"/>
      <c r="H25" s="202"/>
      <c r="I25" s="203"/>
    </row>
    <row r="26" spans="1:9" ht="18.75" customHeight="1" x14ac:dyDescent="0.2">
      <c r="A26" s="14"/>
      <c r="B26" s="201"/>
      <c r="C26" s="202"/>
      <c r="D26" s="202"/>
      <c r="E26" s="202"/>
      <c r="F26" s="202"/>
      <c r="G26" s="202"/>
      <c r="H26" s="202"/>
      <c r="I26" s="203"/>
    </row>
    <row r="27" spans="1:9" ht="18.75" customHeight="1" x14ac:dyDescent="0.2">
      <c r="A27" s="14"/>
      <c r="B27" s="201"/>
      <c r="C27" s="202"/>
      <c r="D27" s="202"/>
      <c r="E27" s="202"/>
      <c r="F27" s="202"/>
      <c r="G27" s="202"/>
      <c r="H27" s="202"/>
      <c r="I27" s="203"/>
    </row>
    <row r="28" spans="1:9" ht="18.75" customHeight="1" x14ac:dyDescent="0.2">
      <c r="A28" s="14"/>
      <c r="B28" s="201"/>
      <c r="C28" s="202"/>
      <c r="D28" s="202"/>
      <c r="E28" s="202"/>
      <c r="F28" s="202"/>
      <c r="G28" s="202"/>
      <c r="H28" s="202"/>
      <c r="I28" s="203"/>
    </row>
    <row r="29" spans="1:9" ht="18.75" customHeight="1" x14ac:dyDescent="0.2">
      <c r="A29" s="14"/>
      <c r="B29" s="201"/>
      <c r="C29" s="202"/>
      <c r="D29" s="202"/>
      <c r="E29" s="202"/>
      <c r="F29" s="202"/>
      <c r="G29" s="202"/>
      <c r="H29" s="202"/>
      <c r="I29" s="203"/>
    </row>
    <row r="30" spans="1:9" ht="18.75" customHeight="1" x14ac:dyDescent="0.2">
      <c r="A30" s="14"/>
      <c r="B30" s="204"/>
      <c r="C30" s="205"/>
      <c r="D30" s="205"/>
      <c r="E30" s="205"/>
      <c r="F30" s="205"/>
      <c r="G30" s="205"/>
      <c r="H30" s="205"/>
      <c r="I30" s="203"/>
    </row>
    <row r="31" spans="1:9" ht="18.75" customHeight="1" x14ac:dyDescent="0.2">
      <c r="A31" s="14"/>
      <c r="B31" s="204"/>
      <c r="C31" s="205"/>
      <c r="D31" s="205"/>
      <c r="E31" s="205"/>
      <c r="F31" s="205"/>
      <c r="G31" s="205"/>
      <c r="H31" s="205"/>
      <c r="I31" s="203"/>
    </row>
    <row r="32" spans="1:9" ht="18.75" customHeight="1" x14ac:dyDescent="0.2">
      <c r="A32" s="14"/>
      <c r="B32" s="206"/>
      <c r="C32" s="207"/>
      <c r="D32" s="207"/>
      <c r="E32" s="207"/>
      <c r="F32" s="207"/>
      <c r="G32" s="207"/>
      <c r="H32" s="207"/>
      <c r="I32" s="208"/>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98" t="s">
        <v>182</v>
      </c>
      <c r="C35" s="199"/>
      <c r="D35" s="199"/>
      <c r="E35" s="199"/>
      <c r="F35" s="199"/>
      <c r="G35" s="199"/>
      <c r="H35" s="199"/>
      <c r="I35" s="200"/>
    </row>
    <row r="36" spans="1:9" ht="18.75" customHeight="1" x14ac:dyDescent="0.2">
      <c r="A36" s="14"/>
      <c r="B36" s="204"/>
      <c r="C36" s="205"/>
      <c r="D36" s="205"/>
      <c r="E36" s="205"/>
      <c r="F36" s="205"/>
      <c r="G36" s="205"/>
      <c r="H36" s="205"/>
      <c r="I36" s="203"/>
    </row>
    <row r="37" spans="1:9" ht="18.75" customHeight="1" x14ac:dyDescent="0.2">
      <c r="A37" s="14"/>
      <c r="B37" s="204"/>
      <c r="C37" s="205"/>
      <c r="D37" s="205"/>
      <c r="E37" s="205"/>
      <c r="F37" s="205"/>
      <c r="G37" s="205"/>
      <c r="H37" s="205"/>
      <c r="I37" s="203"/>
    </row>
    <row r="38" spans="1:9" ht="18.75" customHeight="1" x14ac:dyDescent="0.2">
      <c r="A38" s="14"/>
      <c r="B38" s="204"/>
      <c r="C38" s="205"/>
      <c r="D38" s="205"/>
      <c r="E38" s="205"/>
      <c r="F38" s="205"/>
      <c r="G38" s="205"/>
      <c r="H38" s="205"/>
      <c r="I38" s="203"/>
    </row>
    <row r="39" spans="1:9" ht="18.75" customHeight="1" x14ac:dyDescent="0.2">
      <c r="A39" s="14"/>
      <c r="B39" s="204"/>
      <c r="C39" s="205"/>
      <c r="D39" s="205"/>
      <c r="E39" s="205"/>
      <c r="F39" s="205"/>
      <c r="G39" s="205"/>
      <c r="H39" s="205"/>
      <c r="I39" s="203"/>
    </row>
    <row r="40" spans="1:9" ht="18.75" customHeight="1" x14ac:dyDescent="0.2">
      <c r="A40" s="14"/>
      <c r="B40" s="204"/>
      <c r="C40" s="205"/>
      <c r="D40" s="205"/>
      <c r="E40" s="205"/>
      <c r="F40" s="205"/>
      <c r="G40" s="205"/>
      <c r="H40" s="205"/>
      <c r="I40" s="203"/>
    </row>
    <row r="41" spans="1:9" ht="18.75" customHeight="1" x14ac:dyDescent="0.2">
      <c r="A41" s="14"/>
      <c r="B41" s="204"/>
      <c r="C41" s="205"/>
      <c r="D41" s="205"/>
      <c r="E41" s="205"/>
      <c r="F41" s="205"/>
      <c r="G41" s="205"/>
      <c r="H41" s="205"/>
      <c r="I41" s="203"/>
    </row>
    <row r="42" spans="1:9" ht="18.75" customHeight="1" x14ac:dyDescent="0.2">
      <c r="A42" s="14"/>
      <c r="B42" s="204"/>
      <c r="C42" s="205"/>
      <c r="D42" s="205"/>
      <c r="E42" s="205"/>
      <c r="F42" s="205"/>
      <c r="G42" s="205"/>
      <c r="H42" s="205"/>
      <c r="I42" s="203"/>
    </row>
    <row r="43" spans="1:9" ht="18.75" customHeight="1" x14ac:dyDescent="0.2">
      <c r="A43" s="14"/>
      <c r="B43" s="204"/>
      <c r="C43" s="205"/>
      <c r="D43" s="205"/>
      <c r="E43" s="205"/>
      <c r="F43" s="205"/>
      <c r="G43" s="205"/>
      <c r="H43" s="205"/>
      <c r="I43" s="203"/>
    </row>
    <row r="44" spans="1:9" ht="18.75" customHeight="1" x14ac:dyDescent="0.2">
      <c r="A44" s="14"/>
      <c r="B44" s="204"/>
      <c r="C44" s="205"/>
      <c r="D44" s="205"/>
      <c r="E44" s="205"/>
      <c r="F44" s="205"/>
      <c r="G44" s="205"/>
      <c r="H44" s="205"/>
      <c r="I44" s="203"/>
    </row>
    <row r="45" spans="1:9" ht="18.75" customHeight="1" x14ac:dyDescent="0.2">
      <c r="A45" s="14"/>
      <c r="B45" s="204"/>
      <c r="C45" s="205"/>
      <c r="D45" s="205"/>
      <c r="E45" s="205"/>
      <c r="F45" s="205"/>
      <c r="G45" s="205"/>
      <c r="H45" s="205"/>
      <c r="I45" s="203"/>
    </row>
    <row r="46" spans="1:9" ht="18.75" customHeight="1" x14ac:dyDescent="0.2">
      <c r="A46" s="14"/>
      <c r="B46" s="206"/>
      <c r="C46" s="207"/>
      <c r="D46" s="207"/>
      <c r="E46" s="207"/>
      <c r="F46" s="207"/>
      <c r="G46" s="207"/>
      <c r="H46" s="207"/>
      <c r="I46" s="208"/>
    </row>
    <row r="47" spans="1:9" ht="7.5" customHeight="1" x14ac:dyDescent="0.2">
      <c r="A47" s="4"/>
      <c r="B47" s="4" t="s">
        <v>159</v>
      </c>
      <c r="C47" s="4"/>
      <c r="D47" s="4"/>
      <c r="E47" s="4"/>
      <c r="F47" s="4"/>
      <c r="G47" s="4"/>
      <c r="H47" s="4"/>
      <c r="I47" s="4"/>
    </row>
    <row r="48" spans="1:9" ht="18.75" customHeight="1" x14ac:dyDescent="0.2">
      <c r="A48" s="1" t="s">
        <v>31</v>
      </c>
      <c r="B48" s="1" t="s">
        <v>105</v>
      </c>
    </row>
    <row r="49" spans="1:15" s="3" customFormat="1" ht="18.75" customHeight="1" x14ac:dyDescent="0.2">
      <c r="B49" s="78" t="s">
        <v>129</v>
      </c>
      <c r="C49" s="184">
        <f>'様式２ 履修者等数の実績'!S33</f>
        <v>6.9319319319319325E-2</v>
      </c>
      <c r="D49" s="184"/>
      <c r="E49" s="78" t="s">
        <v>60</v>
      </c>
      <c r="F49" s="184">
        <v>0.1</v>
      </c>
      <c r="G49" s="184"/>
      <c r="H49" s="78" t="s">
        <v>80</v>
      </c>
      <c r="I49" s="21">
        <v>0.12</v>
      </c>
      <c r="J49" s="1"/>
      <c r="M49" s="1"/>
      <c r="N49" s="22"/>
    </row>
    <row r="50" spans="1:15" s="3" customFormat="1" ht="18.75" customHeight="1" x14ac:dyDescent="0.2">
      <c r="B50" s="79" t="s">
        <v>116</v>
      </c>
      <c r="C50" s="167">
        <v>0.14000000000000001</v>
      </c>
      <c r="D50" s="167"/>
      <c r="E50" s="79" t="s">
        <v>130</v>
      </c>
      <c r="F50" s="167">
        <v>0.15</v>
      </c>
      <c r="G50" s="167"/>
      <c r="H50" s="79" t="s">
        <v>61</v>
      </c>
      <c r="I50" s="23">
        <f>'様式２ 履修者等数の実績'!E33</f>
        <v>3996</v>
      </c>
      <c r="J50" s="1"/>
      <c r="M50" s="1"/>
      <c r="N50" s="22"/>
    </row>
    <row r="51" spans="1:15" ht="18.75" customHeight="1" x14ac:dyDescent="0.2">
      <c r="A51" s="1"/>
      <c r="B51" s="218" t="s">
        <v>62</v>
      </c>
      <c r="C51" s="219"/>
      <c r="D51" s="219"/>
      <c r="E51" s="219"/>
      <c r="F51" s="219"/>
      <c r="G51" s="219"/>
      <c r="H51" s="219"/>
      <c r="I51" s="220"/>
      <c r="N51" s="22"/>
      <c r="O51" s="3"/>
    </row>
    <row r="52" spans="1:15" ht="18.75" customHeight="1" x14ac:dyDescent="0.2">
      <c r="A52" s="1"/>
      <c r="B52" s="185" t="s">
        <v>185</v>
      </c>
      <c r="C52" s="186"/>
      <c r="D52" s="186"/>
      <c r="E52" s="186"/>
      <c r="F52" s="186"/>
      <c r="G52" s="186"/>
      <c r="H52" s="186"/>
      <c r="I52" s="187"/>
      <c r="N52" s="22"/>
      <c r="O52" s="3"/>
    </row>
    <row r="53" spans="1:15" ht="18.75" customHeight="1" x14ac:dyDescent="0.2">
      <c r="A53" s="1"/>
      <c r="B53" s="188"/>
      <c r="C53" s="189"/>
      <c r="D53" s="189"/>
      <c r="E53" s="189"/>
      <c r="F53" s="189"/>
      <c r="G53" s="189"/>
      <c r="H53" s="189"/>
      <c r="I53" s="190"/>
      <c r="N53" s="22"/>
      <c r="O53" s="3"/>
    </row>
    <row r="54" spans="1:15" ht="18.75" customHeight="1" x14ac:dyDescent="0.2">
      <c r="A54" s="1"/>
      <c r="B54" s="188"/>
      <c r="C54" s="189"/>
      <c r="D54" s="189"/>
      <c r="E54" s="189"/>
      <c r="F54" s="189"/>
      <c r="G54" s="189"/>
      <c r="H54" s="189"/>
      <c r="I54" s="190"/>
    </row>
    <row r="55" spans="1:15" ht="18.75" customHeight="1" x14ac:dyDescent="0.2">
      <c r="A55" s="1"/>
      <c r="B55" s="188"/>
      <c r="C55" s="189"/>
      <c r="D55" s="189"/>
      <c r="E55" s="189"/>
      <c r="F55" s="189"/>
      <c r="G55" s="189"/>
      <c r="H55" s="189"/>
      <c r="I55" s="190"/>
    </row>
    <row r="56" spans="1:15" ht="18.75" customHeight="1" x14ac:dyDescent="0.2">
      <c r="A56" s="1"/>
      <c r="B56" s="188"/>
      <c r="C56" s="189"/>
      <c r="D56" s="189"/>
      <c r="E56" s="189"/>
      <c r="F56" s="189"/>
      <c r="G56" s="189"/>
      <c r="H56" s="189"/>
      <c r="I56" s="190"/>
    </row>
    <row r="57" spans="1:15" ht="18.75" customHeight="1" x14ac:dyDescent="0.2">
      <c r="A57" s="1"/>
      <c r="B57" s="188"/>
      <c r="C57" s="189"/>
      <c r="D57" s="189"/>
      <c r="E57" s="189"/>
      <c r="F57" s="189"/>
      <c r="G57" s="189"/>
      <c r="H57" s="189"/>
      <c r="I57" s="190"/>
    </row>
    <row r="58" spans="1:15" ht="18.75" customHeight="1" x14ac:dyDescent="0.2">
      <c r="A58" s="1"/>
      <c r="B58" s="188"/>
      <c r="C58" s="189"/>
      <c r="D58" s="189"/>
      <c r="E58" s="189"/>
      <c r="F58" s="189"/>
      <c r="G58" s="189"/>
      <c r="H58" s="189"/>
      <c r="I58" s="190"/>
    </row>
    <row r="59" spans="1:15" ht="18.75" customHeight="1" x14ac:dyDescent="0.2">
      <c r="A59" s="1"/>
      <c r="B59" s="188"/>
      <c r="C59" s="189"/>
      <c r="D59" s="189"/>
      <c r="E59" s="189"/>
      <c r="F59" s="189"/>
      <c r="G59" s="189"/>
      <c r="H59" s="189"/>
      <c r="I59" s="190"/>
    </row>
    <row r="60" spans="1:15" ht="18.75" customHeight="1" x14ac:dyDescent="0.2">
      <c r="A60" s="1"/>
      <c r="B60" s="188"/>
      <c r="C60" s="189"/>
      <c r="D60" s="189"/>
      <c r="E60" s="189"/>
      <c r="F60" s="189"/>
      <c r="G60" s="189"/>
      <c r="H60" s="189"/>
      <c r="I60" s="190"/>
    </row>
    <row r="61" spans="1:15" ht="18.75" customHeight="1" x14ac:dyDescent="0.2">
      <c r="A61" s="1"/>
      <c r="B61" s="188"/>
      <c r="C61" s="189"/>
      <c r="D61" s="189"/>
      <c r="E61" s="189"/>
      <c r="F61" s="189"/>
      <c r="G61" s="189"/>
      <c r="H61" s="189"/>
      <c r="I61" s="190"/>
    </row>
    <row r="62" spans="1:15" ht="18.75" customHeight="1" x14ac:dyDescent="0.2">
      <c r="A62" s="1"/>
      <c r="B62" s="188"/>
      <c r="C62" s="189"/>
      <c r="D62" s="189"/>
      <c r="E62" s="189"/>
      <c r="F62" s="189"/>
      <c r="G62" s="189"/>
      <c r="H62" s="189"/>
      <c r="I62" s="190"/>
    </row>
    <row r="63" spans="1:15" ht="18.75" customHeight="1" x14ac:dyDescent="0.2">
      <c r="A63" s="1"/>
      <c r="B63" s="191"/>
      <c r="C63" s="192"/>
      <c r="D63" s="192"/>
      <c r="E63" s="192"/>
      <c r="F63" s="192"/>
      <c r="G63" s="192"/>
      <c r="H63" s="192"/>
      <c r="I63" s="193"/>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68" t="s">
        <v>186</v>
      </c>
      <c r="C66" s="169"/>
      <c r="D66" s="169"/>
      <c r="E66" s="169"/>
      <c r="F66" s="169"/>
      <c r="G66" s="169"/>
      <c r="H66" s="169"/>
      <c r="I66" s="170"/>
    </row>
    <row r="67" spans="1:9" ht="18.75" customHeight="1" x14ac:dyDescent="0.2">
      <c r="A67" s="4"/>
      <c r="B67" s="171"/>
      <c r="C67" s="172"/>
      <c r="D67" s="172"/>
      <c r="E67" s="172"/>
      <c r="F67" s="172"/>
      <c r="G67" s="172"/>
      <c r="H67" s="172"/>
      <c r="I67" s="173"/>
    </row>
    <row r="68" spans="1:9" ht="18.75" customHeight="1" x14ac:dyDescent="0.2">
      <c r="A68" s="4"/>
      <c r="B68" s="171"/>
      <c r="C68" s="172"/>
      <c r="D68" s="172"/>
      <c r="E68" s="172"/>
      <c r="F68" s="172"/>
      <c r="G68" s="172"/>
      <c r="H68" s="172"/>
      <c r="I68" s="173"/>
    </row>
    <row r="69" spans="1:9" ht="18.75" customHeight="1" x14ac:dyDescent="0.2">
      <c r="A69" s="4"/>
      <c r="B69" s="171"/>
      <c r="C69" s="172"/>
      <c r="D69" s="172"/>
      <c r="E69" s="172"/>
      <c r="F69" s="172"/>
      <c r="G69" s="172"/>
      <c r="H69" s="172"/>
      <c r="I69" s="173"/>
    </row>
    <row r="70" spans="1:9" ht="18.75" customHeight="1" x14ac:dyDescent="0.2">
      <c r="A70" s="4"/>
      <c r="B70" s="171"/>
      <c r="C70" s="172"/>
      <c r="D70" s="172"/>
      <c r="E70" s="172"/>
      <c r="F70" s="172"/>
      <c r="G70" s="172"/>
      <c r="H70" s="172"/>
      <c r="I70" s="173"/>
    </row>
    <row r="71" spans="1:9" ht="18.75" customHeight="1" x14ac:dyDescent="0.2">
      <c r="A71" s="4"/>
      <c r="B71" s="171"/>
      <c r="C71" s="172"/>
      <c r="D71" s="172"/>
      <c r="E71" s="172"/>
      <c r="F71" s="172"/>
      <c r="G71" s="172"/>
      <c r="H71" s="172"/>
      <c r="I71" s="173"/>
    </row>
    <row r="72" spans="1:9" ht="18.75" customHeight="1" x14ac:dyDescent="0.2">
      <c r="A72" s="4"/>
      <c r="B72" s="171"/>
      <c r="C72" s="172"/>
      <c r="D72" s="172"/>
      <c r="E72" s="172"/>
      <c r="F72" s="172"/>
      <c r="G72" s="172"/>
      <c r="H72" s="172"/>
      <c r="I72" s="173"/>
    </row>
    <row r="73" spans="1:9" ht="18.75" customHeight="1" x14ac:dyDescent="0.2">
      <c r="A73" s="4"/>
      <c r="B73" s="171"/>
      <c r="C73" s="172"/>
      <c r="D73" s="172"/>
      <c r="E73" s="172"/>
      <c r="F73" s="172"/>
      <c r="G73" s="172"/>
      <c r="H73" s="172"/>
      <c r="I73" s="173"/>
    </row>
    <row r="74" spans="1:9" ht="18.75" customHeight="1" x14ac:dyDescent="0.2">
      <c r="A74" s="4"/>
      <c r="B74" s="171"/>
      <c r="C74" s="172"/>
      <c r="D74" s="172"/>
      <c r="E74" s="172"/>
      <c r="F74" s="172"/>
      <c r="G74" s="172"/>
      <c r="H74" s="172"/>
      <c r="I74" s="173"/>
    </row>
    <row r="75" spans="1:9" ht="18.75" customHeight="1" x14ac:dyDescent="0.2">
      <c r="A75" s="4"/>
      <c r="B75" s="171"/>
      <c r="C75" s="172"/>
      <c r="D75" s="172"/>
      <c r="E75" s="172"/>
      <c r="F75" s="172"/>
      <c r="G75" s="172"/>
      <c r="H75" s="172"/>
      <c r="I75" s="173"/>
    </row>
    <row r="76" spans="1:9" ht="18.75" customHeight="1" x14ac:dyDescent="0.2">
      <c r="A76" s="4"/>
      <c r="B76" s="171"/>
      <c r="C76" s="172"/>
      <c r="D76" s="172"/>
      <c r="E76" s="172"/>
      <c r="F76" s="172"/>
      <c r="G76" s="172"/>
      <c r="H76" s="172"/>
      <c r="I76" s="173"/>
    </row>
    <row r="77" spans="1:9" ht="18.75" customHeight="1" x14ac:dyDescent="0.2">
      <c r="A77" s="4"/>
      <c r="B77" s="174"/>
      <c r="C77" s="175"/>
      <c r="D77" s="175"/>
      <c r="E77" s="175"/>
      <c r="F77" s="175"/>
      <c r="G77" s="175"/>
      <c r="H77" s="175"/>
      <c r="I77" s="176"/>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168" t="s">
        <v>187</v>
      </c>
      <c r="C80" s="169"/>
      <c r="D80" s="169"/>
      <c r="E80" s="169"/>
      <c r="F80" s="169"/>
      <c r="G80" s="169"/>
      <c r="H80" s="169"/>
      <c r="I80" s="177"/>
    </row>
    <row r="81" spans="1:9" ht="18.75" customHeight="1" x14ac:dyDescent="0.2">
      <c r="A81" s="1"/>
      <c r="B81" s="178"/>
      <c r="C81" s="179"/>
      <c r="D81" s="179"/>
      <c r="E81" s="179"/>
      <c r="F81" s="179"/>
      <c r="G81" s="179"/>
      <c r="H81" s="179"/>
      <c r="I81" s="180"/>
    </row>
    <row r="82" spans="1:9" ht="18.75" customHeight="1" x14ac:dyDescent="0.2">
      <c r="A82" s="1"/>
      <c r="B82" s="178"/>
      <c r="C82" s="179"/>
      <c r="D82" s="179"/>
      <c r="E82" s="179"/>
      <c r="F82" s="179"/>
      <c r="G82" s="179"/>
      <c r="H82" s="179"/>
      <c r="I82" s="180"/>
    </row>
    <row r="83" spans="1:9" ht="18.75" customHeight="1" x14ac:dyDescent="0.2">
      <c r="A83" s="1"/>
      <c r="B83" s="178"/>
      <c r="C83" s="179"/>
      <c r="D83" s="179"/>
      <c r="E83" s="179"/>
      <c r="F83" s="179"/>
      <c r="G83" s="179"/>
      <c r="H83" s="179"/>
      <c r="I83" s="180"/>
    </row>
    <row r="84" spans="1:9" ht="18.75" customHeight="1" x14ac:dyDescent="0.2">
      <c r="A84" s="1"/>
      <c r="B84" s="178"/>
      <c r="C84" s="179"/>
      <c r="D84" s="179"/>
      <c r="E84" s="179"/>
      <c r="F84" s="179"/>
      <c r="G84" s="179"/>
      <c r="H84" s="179"/>
      <c r="I84" s="180"/>
    </row>
    <row r="85" spans="1:9" ht="18.75" customHeight="1" x14ac:dyDescent="0.2">
      <c r="A85" s="1"/>
      <c r="B85" s="178"/>
      <c r="C85" s="179"/>
      <c r="D85" s="179"/>
      <c r="E85" s="179"/>
      <c r="F85" s="179"/>
      <c r="G85" s="179"/>
      <c r="H85" s="179"/>
      <c r="I85" s="180"/>
    </row>
    <row r="86" spans="1:9" ht="18.75" customHeight="1" x14ac:dyDescent="0.2">
      <c r="A86" s="1"/>
      <c r="B86" s="178"/>
      <c r="C86" s="179"/>
      <c r="D86" s="179"/>
      <c r="E86" s="179"/>
      <c r="F86" s="179"/>
      <c r="G86" s="179"/>
      <c r="H86" s="179"/>
      <c r="I86" s="180"/>
    </row>
    <row r="87" spans="1:9" ht="18.75" customHeight="1" x14ac:dyDescent="0.2">
      <c r="A87" s="1"/>
      <c r="B87" s="178"/>
      <c r="C87" s="179"/>
      <c r="D87" s="179"/>
      <c r="E87" s="179"/>
      <c r="F87" s="179"/>
      <c r="G87" s="179"/>
      <c r="H87" s="179"/>
      <c r="I87" s="180"/>
    </row>
    <row r="88" spans="1:9" ht="18.75" customHeight="1" x14ac:dyDescent="0.2">
      <c r="A88" s="1"/>
      <c r="B88" s="178"/>
      <c r="C88" s="179"/>
      <c r="D88" s="179"/>
      <c r="E88" s="179"/>
      <c r="F88" s="179"/>
      <c r="G88" s="179"/>
      <c r="H88" s="179"/>
      <c r="I88" s="180"/>
    </row>
    <row r="89" spans="1:9" ht="18.75" customHeight="1" x14ac:dyDescent="0.2">
      <c r="A89" s="1"/>
      <c r="B89" s="178"/>
      <c r="C89" s="179"/>
      <c r="D89" s="179"/>
      <c r="E89" s="179"/>
      <c r="F89" s="179"/>
      <c r="G89" s="179"/>
      <c r="H89" s="179"/>
      <c r="I89" s="180"/>
    </row>
    <row r="90" spans="1:9" ht="18.75" customHeight="1" x14ac:dyDescent="0.2">
      <c r="A90" s="4"/>
      <c r="B90" s="178"/>
      <c r="C90" s="179"/>
      <c r="D90" s="179"/>
      <c r="E90" s="179"/>
      <c r="F90" s="179"/>
      <c r="G90" s="179"/>
      <c r="H90" s="179"/>
      <c r="I90" s="180"/>
    </row>
    <row r="91" spans="1:9" ht="18.75" customHeight="1" x14ac:dyDescent="0.2">
      <c r="A91" s="4"/>
      <c r="B91" s="181"/>
      <c r="C91" s="182"/>
      <c r="D91" s="182"/>
      <c r="E91" s="182"/>
      <c r="F91" s="182"/>
      <c r="G91" s="182"/>
      <c r="H91" s="182"/>
      <c r="I91" s="183"/>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98" t="s">
        <v>183</v>
      </c>
      <c r="C94" s="199"/>
      <c r="D94" s="199"/>
      <c r="E94" s="199"/>
      <c r="F94" s="199"/>
      <c r="G94" s="199"/>
      <c r="H94" s="199"/>
      <c r="I94" s="200"/>
    </row>
    <row r="95" spans="1:9" ht="18.75" customHeight="1" x14ac:dyDescent="0.2">
      <c r="A95" s="1"/>
      <c r="B95" s="204"/>
      <c r="C95" s="205"/>
      <c r="D95" s="205"/>
      <c r="E95" s="205"/>
      <c r="F95" s="205"/>
      <c r="G95" s="205"/>
      <c r="H95" s="205"/>
      <c r="I95" s="203"/>
    </row>
    <row r="96" spans="1:9" ht="18.75" customHeight="1" x14ac:dyDescent="0.2">
      <c r="A96" s="1"/>
      <c r="B96" s="204"/>
      <c r="C96" s="205"/>
      <c r="D96" s="205"/>
      <c r="E96" s="205"/>
      <c r="F96" s="205"/>
      <c r="G96" s="205"/>
      <c r="H96" s="205"/>
      <c r="I96" s="203"/>
    </row>
    <row r="97" spans="1:9" ht="18.75" customHeight="1" x14ac:dyDescent="0.2">
      <c r="A97" s="1"/>
      <c r="B97" s="204"/>
      <c r="C97" s="205"/>
      <c r="D97" s="205"/>
      <c r="E97" s="205"/>
      <c r="F97" s="205"/>
      <c r="G97" s="205"/>
      <c r="H97" s="205"/>
      <c r="I97" s="203"/>
    </row>
    <row r="98" spans="1:9" ht="18.75" customHeight="1" x14ac:dyDescent="0.2">
      <c r="A98" s="1"/>
      <c r="B98" s="204"/>
      <c r="C98" s="205"/>
      <c r="D98" s="205"/>
      <c r="E98" s="205"/>
      <c r="F98" s="205"/>
      <c r="G98" s="205"/>
      <c r="H98" s="205"/>
      <c r="I98" s="203"/>
    </row>
    <row r="99" spans="1:9" ht="18.75" customHeight="1" x14ac:dyDescent="0.2">
      <c r="A99" s="1"/>
      <c r="B99" s="204"/>
      <c r="C99" s="205"/>
      <c r="D99" s="205"/>
      <c r="E99" s="205"/>
      <c r="F99" s="205"/>
      <c r="G99" s="205"/>
      <c r="H99" s="205"/>
      <c r="I99" s="203"/>
    </row>
    <row r="100" spans="1:9" ht="18.75" customHeight="1" x14ac:dyDescent="0.2">
      <c r="A100" s="1"/>
      <c r="B100" s="204"/>
      <c r="C100" s="205"/>
      <c r="D100" s="205"/>
      <c r="E100" s="205"/>
      <c r="F100" s="205"/>
      <c r="G100" s="205"/>
      <c r="H100" s="205"/>
      <c r="I100" s="203"/>
    </row>
    <row r="101" spans="1:9" ht="18.75" customHeight="1" x14ac:dyDescent="0.2">
      <c r="A101" s="1"/>
      <c r="B101" s="204"/>
      <c r="C101" s="205"/>
      <c r="D101" s="205"/>
      <c r="E101" s="205"/>
      <c r="F101" s="205"/>
      <c r="G101" s="205"/>
      <c r="H101" s="205"/>
      <c r="I101" s="203"/>
    </row>
    <row r="102" spans="1:9" ht="18.75" customHeight="1" x14ac:dyDescent="0.2">
      <c r="A102" s="1"/>
      <c r="B102" s="204"/>
      <c r="C102" s="205"/>
      <c r="D102" s="205"/>
      <c r="E102" s="205"/>
      <c r="F102" s="205"/>
      <c r="G102" s="205"/>
      <c r="H102" s="205"/>
      <c r="I102" s="203"/>
    </row>
    <row r="103" spans="1:9" ht="18.75" customHeight="1" x14ac:dyDescent="0.2">
      <c r="A103" s="1"/>
      <c r="B103" s="204"/>
      <c r="C103" s="205"/>
      <c r="D103" s="205"/>
      <c r="E103" s="205"/>
      <c r="F103" s="205"/>
      <c r="G103" s="205"/>
      <c r="H103" s="205"/>
      <c r="I103" s="203"/>
    </row>
    <row r="104" spans="1:9" ht="18.75" customHeight="1" x14ac:dyDescent="0.2">
      <c r="A104" s="1"/>
      <c r="B104" s="204"/>
      <c r="C104" s="205"/>
      <c r="D104" s="205"/>
      <c r="E104" s="205"/>
      <c r="F104" s="205"/>
      <c r="G104" s="205"/>
      <c r="H104" s="205"/>
      <c r="I104" s="203"/>
    </row>
    <row r="105" spans="1:9" ht="18.75" customHeight="1" x14ac:dyDescent="0.2">
      <c r="A105" s="4"/>
      <c r="B105" s="206"/>
      <c r="C105" s="207"/>
      <c r="D105" s="207"/>
      <c r="E105" s="207"/>
      <c r="F105" s="207"/>
      <c r="G105" s="207"/>
      <c r="H105" s="207"/>
      <c r="I105" s="208"/>
    </row>
    <row r="106" spans="1:9" ht="7.5" customHeight="1" x14ac:dyDescent="0.2">
      <c r="A106" s="4"/>
      <c r="B106" s="4"/>
      <c r="C106" s="4"/>
      <c r="D106" s="4"/>
      <c r="E106" s="4"/>
      <c r="F106" s="4"/>
      <c r="G106" s="4"/>
      <c r="H106" s="4"/>
      <c r="I106" s="4"/>
    </row>
    <row r="107" spans="1:9" ht="18.75" customHeight="1" x14ac:dyDescent="0.2">
      <c r="A107" s="1" t="s">
        <v>30</v>
      </c>
      <c r="B107" s="217" t="s">
        <v>44</v>
      </c>
      <c r="C107" s="217"/>
      <c r="D107" s="217"/>
      <c r="E107" s="217"/>
      <c r="F107" s="217"/>
      <c r="G107" s="217"/>
      <c r="H107" s="217"/>
      <c r="I107" s="217"/>
    </row>
    <row r="108" spans="1:9" ht="18.75" customHeight="1" x14ac:dyDescent="0.2">
      <c r="A108" s="4"/>
      <c r="B108" s="198" t="s">
        <v>188</v>
      </c>
      <c r="C108" s="199"/>
      <c r="D108" s="199"/>
      <c r="E108" s="199"/>
      <c r="F108" s="199"/>
      <c r="G108" s="199"/>
      <c r="H108" s="199"/>
      <c r="I108" s="200"/>
    </row>
    <row r="109" spans="1:9" ht="18.75" customHeight="1" x14ac:dyDescent="0.2">
      <c r="A109" s="4"/>
      <c r="B109" s="204"/>
      <c r="C109" s="205"/>
      <c r="D109" s="205"/>
      <c r="E109" s="205"/>
      <c r="F109" s="205"/>
      <c r="G109" s="205"/>
      <c r="H109" s="205"/>
      <c r="I109" s="203"/>
    </row>
    <row r="110" spans="1:9" ht="18.75" customHeight="1" x14ac:dyDescent="0.2">
      <c r="A110" s="4"/>
      <c r="B110" s="204"/>
      <c r="C110" s="205"/>
      <c r="D110" s="205"/>
      <c r="E110" s="205"/>
      <c r="F110" s="205"/>
      <c r="G110" s="205"/>
      <c r="H110" s="205"/>
      <c r="I110" s="203"/>
    </row>
    <row r="111" spans="1:9" ht="18.75" customHeight="1" x14ac:dyDescent="0.2">
      <c r="A111" s="4"/>
      <c r="B111" s="204"/>
      <c r="C111" s="205"/>
      <c r="D111" s="205"/>
      <c r="E111" s="205"/>
      <c r="F111" s="205"/>
      <c r="G111" s="205"/>
      <c r="H111" s="205"/>
      <c r="I111" s="203"/>
    </row>
    <row r="112" spans="1:9" ht="18.75" customHeight="1" x14ac:dyDescent="0.2">
      <c r="A112" s="4"/>
      <c r="B112" s="204"/>
      <c r="C112" s="205"/>
      <c r="D112" s="205"/>
      <c r="E112" s="205"/>
      <c r="F112" s="205"/>
      <c r="G112" s="205"/>
      <c r="H112" s="205"/>
      <c r="I112" s="203"/>
    </row>
    <row r="113" spans="1:9" ht="18.75" customHeight="1" x14ac:dyDescent="0.2">
      <c r="A113" s="4"/>
      <c r="B113" s="204"/>
      <c r="C113" s="205"/>
      <c r="D113" s="205"/>
      <c r="E113" s="205"/>
      <c r="F113" s="205"/>
      <c r="G113" s="205"/>
      <c r="H113" s="205"/>
      <c r="I113" s="203"/>
    </row>
    <row r="114" spans="1:9" ht="18.75" customHeight="1" x14ac:dyDescent="0.2">
      <c r="A114" s="4"/>
      <c r="B114" s="204"/>
      <c r="C114" s="205"/>
      <c r="D114" s="205"/>
      <c r="E114" s="205"/>
      <c r="F114" s="205"/>
      <c r="G114" s="205"/>
      <c r="H114" s="205"/>
      <c r="I114" s="203"/>
    </row>
    <row r="115" spans="1:9" ht="18.75" customHeight="1" x14ac:dyDescent="0.2">
      <c r="A115" s="4"/>
      <c r="B115" s="204"/>
      <c r="C115" s="205"/>
      <c r="D115" s="205"/>
      <c r="E115" s="205"/>
      <c r="F115" s="205"/>
      <c r="G115" s="205"/>
      <c r="H115" s="205"/>
      <c r="I115" s="203"/>
    </row>
    <row r="116" spans="1:9" ht="18.75" customHeight="1" x14ac:dyDescent="0.2">
      <c r="A116" s="4"/>
      <c r="B116" s="204"/>
      <c r="C116" s="205"/>
      <c r="D116" s="205"/>
      <c r="E116" s="205"/>
      <c r="F116" s="205"/>
      <c r="G116" s="205"/>
      <c r="H116" s="205"/>
      <c r="I116" s="203"/>
    </row>
    <row r="117" spans="1:9" ht="18.75" customHeight="1" x14ac:dyDescent="0.2">
      <c r="A117" s="4"/>
      <c r="B117" s="204"/>
      <c r="C117" s="205"/>
      <c r="D117" s="205"/>
      <c r="E117" s="205"/>
      <c r="F117" s="205"/>
      <c r="G117" s="205"/>
      <c r="H117" s="205"/>
      <c r="I117" s="203"/>
    </row>
    <row r="118" spans="1:9" ht="18.75" customHeight="1" x14ac:dyDescent="0.2">
      <c r="A118" s="4"/>
      <c r="B118" s="204"/>
      <c r="C118" s="205"/>
      <c r="D118" s="205"/>
      <c r="E118" s="205"/>
      <c r="F118" s="205"/>
      <c r="G118" s="205"/>
      <c r="H118" s="205"/>
      <c r="I118" s="203"/>
    </row>
    <row r="119" spans="1:9" ht="18.75" customHeight="1" x14ac:dyDescent="0.2">
      <c r="A119" s="4"/>
      <c r="B119" s="206"/>
      <c r="C119" s="207"/>
      <c r="D119" s="207"/>
      <c r="E119" s="207"/>
      <c r="F119" s="207"/>
      <c r="G119" s="207"/>
      <c r="H119" s="207"/>
      <c r="I119" s="208"/>
    </row>
    <row r="120" spans="1:9" ht="7.5" customHeight="1" x14ac:dyDescent="0.2">
      <c r="A120" s="4"/>
      <c r="B120" s="24"/>
      <c r="C120" s="24"/>
      <c r="D120" s="24"/>
      <c r="E120" s="24"/>
      <c r="F120" s="24"/>
      <c r="G120" s="24"/>
      <c r="H120" s="24"/>
      <c r="I120" s="24"/>
    </row>
    <row r="121" spans="1:9" ht="18.75" customHeight="1" x14ac:dyDescent="0.2">
      <c r="A121" s="49"/>
      <c r="B121" s="194"/>
      <c r="C121" s="194"/>
      <c r="D121" s="194"/>
      <c r="E121" s="194"/>
      <c r="F121" s="194"/>
      <c r="G121" s="194"/>
      <c r="H121" s="194"/>
      <c r="I121" s="194"/>
    </row>
    <row r="122" spans="1:9" ht="18.75" customHeight="1" x14ac:dyDescent="0.2">
      <c r="A122" s="49"/>
      <c r="B122" s="194"/>
      <c r="C122" s="194"/>
      <c r="D122" s="194"/>
      <c r="E122" s="194"/>
      <c r="F122" s="194"/>
      <c r="G122" s="194"/>
      <c r="H122" s="194"/>
      <c r="I122" s="194"/>
    </row>
    <row r="123" spans="1:9" ht="18.75" customHeight="1" x14ac:dyDescent="0.2">
      <c r="A123" s="4"/>
      <c r="B123" s="50"/>
      <c r="C123" s="50"/>
      <c r="D123" s="50"/>
      <c r="E123" s="50"/>
      <c r="F123" s="50"/>
      <c r="G123" s="50"/>
      <c r="H123" s="50"/>
      <c r="I123" s="51"/>
    </row>
    <row r="124" spans="1:9" ht="18.75" customHeight="1" x14ac:dyDescent="0.2">
      <c r="A124" s="4"/>
      <c r="B124" s="51"/>
      <c r="C124" s="51"/>
      <c r="D124" s="51"/>
      <c r="E124" s="51"/>
      <c r="F124" s="51"/>
      <c r="G124" s="51"/>
      <c r="H124" s="51"/>
      <c r="I124" s="51"/>
    </row>
    <row r="125" spans="1:9" ht="18.75" customHeight="1" x14ac:dyDescent="0.2">
      <c r="A125" s="4"/>
      <c r="B125" s="51"/>
      <c r="C125" s="51"/>
      <c r="D125" s="51"/>
      <c r="E125" s="51"/>
      <c r="F125" s="51"/>
      <c r="G125" s="51"/>
      <c r="H125" s="51"/>
      <c r="I125" s="51"/>
    </row>
    <row r="126" spans="1:9" ht="18.75" customHeight="1" x14ac:dyDescent="0.2">
      <c r="A126" s="4"/>
      <c r="B126" s="51"/>
      <c r="C126" s="51"/>
      <c r="D126" s="51"/>
      <c r="E126" s="51"/>
      <c r="F126" s="51"/>
      <c r="G126" s="51"/>
      <c r="H126" s="51"/>
      <c r="I126" s="51"/>
    </row>
    <row r="127" spans="1:9" ht="18.75" customHeight="1" x14ac:dyDescent="0.2">
      <c r="A127" s="4"/>
      <c r="B127" s="51"/>
      <c r="C127" s="51"/>
      <c r="D127" s="51"/>
      <c r="E127" s="51"/>
      <c r="F127" s="51"/>
      <c r="G127" s="51"/>
      <c r="H127" s="51"/>
      <c r="I127" s="51"/>
    </row>
    <row r="128" spans="1:9" ht="18.75" customHeight="1" x14ac:dyDescent="0.2">
      <c r="A128" s="4"/>
      <c r="B128" s="51"/>
      <c r="C128" s="51"/>
      <c r="D128" s="51"/>
      <c r="E128" s="51"/>
      <c r="F128" s="51"/>
      <c r="G128" s="51"/>
      <c r="H128" s="51"/>
      <c r="I128" s="51"/>
    </row>
    <row r="129" spans="1:9" ht="18.75" customHeight="1" x14ac:dyDescent="0.2">
      <c r="A129" s="4"/>
      <c r="B129" s="51"/>
      <c r="C129" s="51"/>
      <c r="D129" s="51"/>
      <c r="E129" s="51"/>
      <c r="F129" s="51"/>
      <c r="G129" s="51"/>
      <c r="H129" s="51"/>
      <c r="I129" s="51"/>
    </row>
    <row r="130" spans="1:9" ht="18.75" customHeight="1" x14ac:dyDescent="0.2">
      <c r="A130" s="4"/>
      <c r="B130" s="51"/>
      <c r="C130" s="51"/>
      <c r="D130" s="51"/>
      <c r="E130" s="51"/>
      <c r="F130" s="51"/>
      <c r="G130" s="51"/>
      <c r="H130" s="51"/>
      <c r="I130" s="51"/>
    </row>
    <row r="131" spans="1:9" ht="18.75" customHeight="1" x14ac:dyDescent="0.2">
      <c r="A131" s="4"/>
      <c r="B131" s="51"/>
      <c r="C131" s="51"/>
      <c r="D131" s="51"/>
      <c r="E131" s="51"/>
      <c r="F131" s="51"/>
      <c r="G131" s="51"/>
      <c r="H131" s="51"/>
      <c r="I131" s="51"/>
    </row>
    <row r="132" spans="1:9" ht="18.75" customHeight="1" x14ac:dyDescent="0.2">
      <c r="A132" s="4"/>
      <c r="B132" s="51"/>
      <c r="C132" s="51"/>
      <c r="D132" s="51"/>
      <c r="E132" s="51"/>
      <c r="F132" s="51"/>
      <c r="G132" s="51"/>
      <c r="H132" s="51"/>
      <c r="I132" s="51"/>
    </row>
    <row r="133" spans="1:9" ht="14.4" x14ac:dyDescent="0.2">
      <c r="A133" s="4"/>
      <c r="B133" s="51"/>
      <c r="C133" s="51"/>
      <c r="D133" s="51"/>
      <c r="E133" s="51"/>
      <c r="F133" s="51"/>
      <c r="G133" s="51"/>
      <c r="H133" s="51"/>
      <c r="I133" s="51"/>
    </row>
    <row r="134" spans="1:9" ht="7.5" customHeight="1" x14ac:dyDescent="0.2">
      <c r="A134" s="4"/>
      <c r="B134" s="51"/>
      <c r="C134" s="51"/>
      <c r="D134" s="51"/>
      <c r="E134" s="51"/>
      <c r="F134" s="51"/>
      <c r="G134" s="51"/>
      <c r="H134" s="51"/>
      <c r="I134" s="51"/>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90" zoomScaleNormal="100" zoomScaleSheetLayoutView="90" workbookViewId="0">
      <selection activeCell="I2" sqref="I2"/>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63</v>
      </c>
      <c r="I1" s="17" t="s">
        <v>90</v>
      </c>
    </row>
    <row r="2" spans="1:9" ht="18.75" customHeight="1" x14ac:dyDescent="0.2">
      <c r="H2" s="17" t="s">
        <v>93</v>
      </c>
      <c r="I2" s="16" t="str">
        <f>'様式１　プログラムを構成する授業科目'!C2</f>
        <v>武蔵大学</v>
      </c>
    </row>
    <row r="3" spans="1:9" ht="18.75" customHeight="1" x14ac:dyDescent="0.2">
      <c r="A3" s="124" t="s">
        <v>28</v>
      </c>
      <c r="B3" s="124"/>
      <c r="C3" s="124"/>
      <c r="D3" s="124"/>
      <c r="E3" s="124"/>
      <c r="F3" s="124"/>
      <c r="G3" s="124"/>
      <c r="H3" s="124"/>
      <c r="I3" s="124"/>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209" t="s">
        <v>157</v>
      </c>
      <c r="C6" s="243"/>
      <c r="D6" s="243"/>
      <c r="E6" s="243"/>
      <c r="F6" s="243"/>
      <c r="G6" s="243"/>
      <c r="H6" s="244"/>
      <c r="I6" s="3"/>
    </row>
    <row r="7" spans="1:9" ht="9" customHeight="1" x14ac:dyDescent="0.2">
      <c r="A7" s="5"/>
      <c r="B7" s="10"/>
      <c r="C7" s="10"/>
      <c r="D7" s="10"/>
      <c r="E7" s="10"/>
      <c r="F7" s="10"/>
      <c r="G7" s="10"/>
      <c r="H7" s="10"/>
      <c r="I7" s="3"/>
    </row>
    <row r="8" spans="1:9" ht="18.75" customHeight="1" x14ac:dyDescent="0.2">
      <c r="A8" s="5"/>
      <c r="B8" s="3"/>
      <c r="C8" s="3"/>
      <c r="D8" s="17" t="s">
        <v>41</v>
      </c>
      <c r="E8" s="18" t="s">
        <v>155</v>
      </c>
      <c r="F8" s="3"/>
      <c r="G8" s="17" t="s">
        <v>10</v>
      </c>
      <c r="H8" s="82" t="s">
        <v>156</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3" t="s">
        <v>24</v>
      </c>
      <c r="C11" s="94"/>
      <c r="D11" s="95"/>
      <c r="E11" s="94" t="s">
        <v>26</v>
      </c>
      <c r="F11" s="94"/>
      <c r="G11" s="94"/>
      <c r="H11" s="94"/>
      <c r="I11" s="95"/>
    </row>
    <row r="12" spans="1:9" ht="26.25" customHeight="1" x14ac:dyDescent="0.2">
      <c r="B12" s="25" t="s">
        <v>14</v>
      </c>
      <c r="C12" s="32"/>
      <c r="D12" s="26"/>
      <c r="E12" s="33"/>
      <c r="F12" s="33"/>
      <c r="G12" s="33"/>
      <c r="H12" s="33"/>
      <c r="I12" s="26"/>
    </row>
    <row r="13" spans="1:9" ht="210.75" customHeight="1" x14ac:dyDescent="0.2">
      <c r="B13" s="27"/>
      <c r="C13" s="226" t="s">
        <v>15</v>
      </c>
      <c r="D13" s="227"/>
      <c r="E13" s="239" t="s">
        <v>160</v>
      </c>
      <c r="F13" s="228"/>
      <c r="G13" s="228"/>
      <c r="H13" s="228"/>
      <c r="I13" s="229"/>
    </row>
    <row r="14" spans="1:9" ht="210.75" customHeight="1" x14ac:dyDescent="0.2">
      <c r="B14" s="27"/>
      <c r="C14" s="241" t="s">
        <v>16</v>
      </c>
      <c r="D14" s="242"/>
      <c r="E14" s="239" t="s">
        <v>161</v>
      </c>
      <c r="F14" s="228"/>
      <c r="G14" s="228"/>
      <c r="H14" s="228"/>
      <c r="I14" s="229"/>
    </row>
    <row r="15" spans="1:9" ht="210.75" customHeight="1" x14ac:dyDescent="0.2">
      <c r="B15" s="27"/>
      <c r="C15" s="226" t="s">
        <v>17</v>
      </c>
      <c r="D15" s="227"/>
      <c r="E15" s="239" t="s">
        <v>162</v>
      </c>
      <c r="F15" s="228"/>
      <c r="G15" s="228"/>
      <c r="H15" s="228"/>
      <c r="I15" s="229"/>
    </row>
    <row r="16" spans="1:9" ht="210.75" customHeight="1" x14ac:dyDescent="0.2">
      <c r="B16" s="27"/>
      <c r="C16" s="226" t="s">
        <v>18</v>
      </c>
      <c r="D16" s="227"/>
      <c r="E16" s="239" t="s">
        <v>163</v>
      </c>
      <c r="F16" s="228"/>
      <c r="G16" s="228"/>
      <c r="H16" s="228"/>
      <c r="I16" s="229"/>
    </row>
    <row r="17" spans="2:9" ht="210.75" customHeight="1" x14ac:dyDescent="0.2">
      <c r="B17" s="28"/>
      <c r="C17" s="230" t="s">
        <v>19</v>
      </c>
      <c r="D17" s="231"/>
      <c r="E17" s="240" t="s">
        <v>164</v>
      </c>
      <c r="F17" s="232"/>
      <c r="G17" s="232"/>
      <c r="H17" s="232"/>
      <c r="I17" s="233"/>
    </row>
    <row r="18" spans="2:9" ht="24" customHeight="1" x14ac:dyDescent="0.2">
      <c r="B18" s="25" t="s">
        <v>20</v>
      </c>
      <c r="C18" s="29"/>
      <c r="D18" s="30"/>
      <c r="E18" s="31"/>
      <c r="F18" s="31"/>
      <c r="G18" s="31"/>
      <c r="H18" s="31"/>
      <c r="I18" s="34"/>
    </row>
    <row r="19" spans="2:9" ht="218.25" customHeight="1" x14ac:dyDescent="0.2">
      <c r="B19" s="27"/>
      <c r="C19" s="226" t="s">
        <v>21</v>
      </c>
      <c r="D19" s="227"/>
      <c r="E19" s="228" t="s">
        <v>168</v>
      </c>
      <c r="F19" s="228"/>
      <c r="G19" s="228"/>
      <c r="H19" s="228"/>
      <c r="I19" s="229"/>
    </row>
    <row r="20" spans="2:9" ht="218.25" customHeight="1" x14ac:dyDescent="0.2">
      <c r="B20" s="28"/>
      <c r="C20" s="230" t="s">
        <v>22</v>
      </c>
      <c r="D20" s="231"/>
      <c r="E20" s="232" t="s">
        <v>165</v>
      </c>
      <c r="F20" s="232"/>
      <c r="G20" s="232"/>
      <c r="H20" s="232"/>
      <c r="I20" s="233"/>
    </row>
    <row r="21" spans="2:9" ht="218.25" customHeight="1" x14ac:dyDescent="0.2">
      <c r="B21" s="234" t="s">
        <v>23</v>
      </c>
      <c r="C21" s="235"/>
      <c r="D21" s="236"/>
      <c r="E21" s="237" t="s">
        <v>166</v>
      </c>
      <c r="F21" s="237"/>
      <c r="G21" s="237"/>
      <c r="H21" s="237"/>
      <c r="I21" s="238"/>
    </row>
    <row r="22" spans="2:9" ht="218.25" customHeight="1" x14ac:dyDescent="0.2">
      <c r="B22" s="221" t="s">
        <v>121</v>
      </c>
      <c r="C22" s="222"/>
      <c r="D22" s="223"/>
      <c r="E22" s="224" t="s">
        <v>167</v>
      </c>
      <c r="F22" s="224"/>
      <c r="G22" s="224"/>
      <c r="H22" s="224"/>
      <c r="I22" s="225"/>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中塩屋久美</dc:creator>
  <cp:lastModifiedBy>Atsuko Saito</cp:lastModifiedBy>
  <cp:lastPrinted>2025-06-26T05:29:32Z</cp:lastPrinted>
  <dcterms:created xsi:type="dcterms:W3CDTF">2011-06-14T05:32:50Z</dcterms:created>
  <dcterms:modified xsi:type="dcterms:W3CDTF">2025-06-26T05:29:38Z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