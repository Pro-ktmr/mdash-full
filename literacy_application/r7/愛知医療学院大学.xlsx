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192.168.1.230\tokatsukanri-old\教務担当\数理・データサイエンス・AI教育プログラム認定制度\2025\提出データ\20250714修正\"/>
    </mc:Choice>
  </mc:AlternateContent>
  <xr:revisionPtr revIDLastSave="0" documentId="13_ncr:1_{465BA9D3-F377-4A90-9784-CF6AC83482FD}" xr6:coauthVersionLast="47" xr6:coauthVersionMax="47" xr10:uidLastSave="{00000000-0000-0000-0000-000000000000}"/>
  <bookViews>
    <workbookView xWindow="-120" yWindow="-120" windowWidth="29040" windowHeight="1572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<sst xmlns="http://schemas.openxmlformats.org/spreadsheetml/2006/main" count="285" uniqueCount="191">
  <si>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</si>
  <si>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</si>
  <si>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</si>
  <si>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</si>
  <si>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</si>
  <si>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</si>
  <si>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</si>
  <si>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</si>
  <si>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</si>
  <si>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</si>
  <si>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</si>
  <si>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</si>
  <si>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</si>
  <si>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</si>
  <si>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</si>
  <si>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</si>
  <si>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</si>
  <si>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</si>
  <si>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</si>
  <si>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</si>
  <si>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</si>
  <si>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</si>
  <si>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</si>
  <si>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</si>
  <si>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</si>
  <si>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</si>
  <si>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</si>
  <si>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</si>
  <si>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</si>
  <si>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</si>
  <si>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</si>
  <si>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</si>
  <si>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</si>
  <si>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</si>
  <si>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</si>
  <si>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</si>
  <si>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</si>
  <si>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</si>
  <si>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</si>
  <si>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</si>
  <si>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</si>
  <si>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</si>
  <si>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</si>
  <si>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</si>
  <si>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</si>
  <si>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</si>
  <si>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</si>
  <si>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</si>
  <si>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</si>
  <si>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</si>
  <si>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</si>
  <si>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</si>
  <si>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</si>
  <si>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</si>
  <si>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</si>
  <si>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</si>
  <si>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</si>
  <si>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</si>
  <si>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</si>
  <si>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</si>
  <si>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</si>
  <si>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</si>
  <si>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</si>
  <si>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</si>
  <si>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</si>
  <si>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</si>
  <si>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</si>
  <si>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</si>
  <si>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</si>
  <si>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</si>
  <si>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</si>
  <si>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</si>
  <si>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</si>
  <si>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</si>
  <si>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</si>
  <si>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</si>
  <si>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</si>
  <si>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</si>
  <si>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</si>
  <si>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</si>
  <si>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</si>
  <si>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</si>
  <si>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</si>
  <si>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</si>
  <si>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</si>
  <si>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</si>
  <si>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</si>
  <si>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</si>
  <si>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</si>
  <si>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</si>
  <si>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</si>
  <si>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</si>
  <si>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</si>
  <si>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</si>
  <si>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</si>
  <si>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</si>
  <si>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</si>
  <si>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</si>
  <si>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</si>
  <si>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</si>
  <si>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</si>
  <si>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</si>
  <si>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</si>
  <si>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</si>
  <si>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</si>
  <si>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</si>
  <si>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</si>
  <si>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</si>
  <si>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</si>
  <si>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</si>
  <si>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</si>
  <si>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</si>
  <si>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</si>
  <si>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</si>
  <si>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</si>
  <si>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</si>
  <si>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</si>
  <si>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</si>
  <si>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</si>
  <si>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</si>
  <si>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</si>
  <si>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</si>
  <si>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</si>
  <si>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</si>
  <si>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</si>
  <si>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</si>
  <si>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</si>
  <si>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</si>
  <si>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</si>
  <si>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</si>
  <si>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</si>
  <si>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</si>
  <si>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</si>
  <si>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</si>
  <si>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</si>
  <si>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</si>
  <si>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</si>
  <si>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</si>
  <si>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</si>
  <si>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</si>
  <si>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</si>
  <si>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</si>
  <si>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</si>
  <si>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愛知医療学院大学</t>
    <rPh sb="0" eb="8">
      <t>アイチイリョウガクインダイガク</t>
    </rPh>
    <phoneticPr fontId="1"/>
  </si>
  <si>
    <t>リハビリテーション学部リハビリテーション学科</t>
    <rPh sb="9" eb="11">
      <t>ガクブ</t>
    </rPh>
    <rPh sb="20" eb="22">
      <t>ガッカ</t>
    </rPh>
    <phoneticPr fontId="1"/>
  </si>
  <si>
    <t>令和６</t>
    <rPh sb="0" eb="2">
      <t>レイワ</t>
    </rPh>
    <phoneticPr fontId="1"/>
  </si>
  <si>
    <t>教育運営委員会</t>
    <rPh sb="0" eb="2">
      <t>キョウイク</t>
    </rPh>
    <rPh sb="2" eb="4">
      <t>ウンエイ</t>
    </rPh>
    <rPh sb="4" eb="7">
      <t>イインカイ</t>
    </rPh>
    <phoneticPr fontId="1"/>
  </si>
  <si>
    <t>田中　雅章</t>
    <rPh sb="0" eb="2">
      <t>タナカ</t>
    </rPh>
    <rPh sb="3" eb="5">
      <t>マサアキ</t>
    </rPh>
    <phoneticPr fontId="1"/>
  </si>
  <si>
    <t>教授</t>
    <rPh sb="0" eb="2">
      <t>キョウジュ</t>
    </rPh>
    <phoneticPr fontId="1"/>
  </si>
  <si>
    <t>自己点検・評価委員会</t>
    <rPh sb="0" eb="4">
      <t>ジコテンケン</t>
    </rPh>
    <rPh sb="5" eb="7">
      <t>ヒョウカ</t>
    </rPh>
    <rPh sb="7" eb="10">
      <t>イインカイ</t>
    </rPh>
    <phoneticPr fontId="1"/>
  </si>
  <si>
    <t>学部・学科によって、修了要件は相違しない</t>
  </si>
  <si>
    <t>○</t>
  </si>
  <si>
    <t>愛知医療学院大学・愛知医療学院短期大学教育運営委員会規程</t>
    <rPh sb="0" eb="8">
      <t>アイチイリョウガクインダイガク</t>
    </rPh>
    <rPh sb="9" eb="11">
      <t>アイチ</t>
    </rPh>
    <rPh sb="11" eb="13">
      <t>イリョウ</t>
    </rPh>
    <rPh sb="13" eb="15">
      <t>ガクイン</t>
    </rPh>
    <rPh sb="15" eb="17">
      <t>タンキ</t>
    </rPh>
    <rPh sb="17" eb="19">
      <t>ダイガク</t>
    </rPh>
    <rPh sb="19" eb="21">
      <t>キョウイク</t>
    </rPh>
    <rPh sb="21" eb="23">
      <t>ウンエイ</t>
    </rPh>
    <rPh sb="23" eb="26">
      <t>イインカイ</t>
    </rPh>
    <rPh sb="26" eb="28">
      <t>キテイ</t>
    </rPh>
    <phoneticPr fontId="1"/>
  </si>
  <si>
    <t xml:space="preserve"> 全学的に実施している授業評価アンケートによると、以下の項目において高い評価（加重平均での値が3.50以上）を得ていることが確認できた。
・授業の内容は、あなたにとって、興味深いものでしたか
・この授業を受けて、知識修得(実習科目は技術習得も含む)に満足していますか
・この授業を４段階で総合的に評価してください。
アンケート結果から受講学生の理解度および授業満足度が推察される。この結果や授業内で提示した課題、レポートの提出内容等を分析し、次年度の授業内容や課題内容、教授方法の適切なあり方について検討する。
</t>
    <phoneticPr fontId="1"/>
  </si>
  <si>
    <t>数理・データサイエンス・AI教育プログラム</t>
    <phoneticPr fontId="1"/>
  </si>
  <si>
    <t>基礎統計学</t>
    <phoneticPr fontId="1"/>
  </si>
  <si>
    <t>情報科学</t>
    <phoneticPr fontId="1"/>
  </si>
  <si>
    <t xml:space="preserve">基礎統計学   </t>
    <phoneticPr fontId="1"/>
  </si>
  <si>
    <t>本学では、本教育プログラムの申請科目はすべて必修科目として定めているため、全学生が履修することとなる。
対象科目の授業内やガイダンスに合わせ、数理・データサイエンス・AI教育の重要性を伝えるとともに、本学では、パソコン必携化としているため、他の授業でもデータ解析等の内容を充実させていく受講への意識を高めていく。</t>
    <phoneticPr fontId="1"/>
  </si>
  <si>
    <t>今後、大学の数理・データサイエンス・AI教育への期待、協業の希望等について、関係する医療分野の関係者からヒアリングを実施し、得られた意見は、今後の地域連携体制の構築や、カリキュラムや教材の改善の参考とする。</t>
    <phoneticPr fontId="1"/>
  </si>
  <si>
    <t>学生の科目の修了状況や、データサイエンスの理解を深める課題の解答状況、受講者の授業評価アンケートの結果や本教育プログラムに対するアンケート結果をもとに分析を行い、データサイエンスの理解を深める「分かりやすさ」の観点から教材や授業実施方法の改善策を検討していく。また、教員相互の授業参観の実施や教育手法に関する研修会の開催、教育効果の検証など、FD研修の一貫として実施し、授業の水準の維持・向上を図る。</t>
    <rPh sb="52" eb="53">
      <t>ホン</t>
    </rPh>
    <rPh sb="53" eb="55">
      <t>キョウイク</t>
    </rPh>
    <rPh sb="61" eb="62">
      <t>タイ</t>
    </rPh>
    <rPh sb="69" eb="71">
      <t>ケッカ</t>
    </rPh>
    <rPh sb="146" eb="148">
      <t>キョウイク</t>
    </rPh>
    <rPh sb="148" eb="150">
      <t>シュホウ</t>
    </rPh>
    <rPh sb="151" eb="152">
      <t>カン</t>
    </rPh>
    <rPh sb="154" eb="157">
      <t>ケンシュウカイ</t>
    </rPh>
    <rPh sb="158" eb="160">
      <t>カイサイ</t>
    </rPh>
    <rPh sb="161" eb="163">
      <t>キョウイク</t>
    </rPh>
    <rPh sb="163" eb="165">
      <t>コウカ</t>
    </rPh>
    <rPh sb="166" eb="168">
      <t>ケンショウ</t>
    </rPh>
    <rPh sb="181" eb="183">
      <t>ジッシ</t>
    </rPh>
    <phoneticPr fontId="1"/>
  </si>
  <si>
    <t>ｔ</t>
    <phoneticPr fontId="1"/>
  </si>
  <si>
    <t>自己点検・評価委員会　委員長</t>
    <rPh sb="0" eb="4">
      <t>ジコテンケン</t>
    </rPh>
    <rPh sb="5" eb="7">
      <t>ヒョウカ</t>
    </rPh>
    <rPh sb="7" eb="10">
      <t>イインカイ</t>
    </rPh>
    <rPh sb="11" eb="14">
      <t>イインチョウ</t>
    </rPh>
    <phoneticPr fontId="1"/>
  </si>
  <si>
    <t>横尾　和久</t>
    <rPh sb="0" eb="2">
      <t>ヨコオ</t>
    </rPh>
    <rPh sb="3" eb="5">
      <t>カズヒサ</t>
    </rPh>
    <phoneticPr fontId="1"/>
  </si>
  <si>
    <t>教育運営委員会　委員長</t>
    <rPh sb="0" eb="2">
      <t>キョウイク</t>
    </rPh>
    <rPh sb="2" eb="7">
      <t>ウンエイイインカイ</t>
    </rPh>
    <rPh sb="8" eb="11">
      <t>イインチョウ</t>
    </rPh>
    <phoneticPr fontId="1"/>
  </si>
  <si>
    <t>加藤　真弓</t>
    <rPh sb="0" eb="2">
      <t>カトウ</t>
    </rPh>
    <rPh sb="3" eb="5">
      <t>マユミ</t>
    </rPh>
    <phoneticPr fontId="1"/>
  </si>
  <si>
    <t>委員長　リハビリテーション学部　准教授　加藤　真弓
リハビリテーション学部　教授　山森　孝彦
リハビリテーション学部　教授　岩井　和子
リハビリテーション学部　准教授　林　尊弘
リハビリテーション学部（兼任）　加藤　真夕美
リハビリテーション学部（兼任）　清水　一輝
リハビリテーション学部（兼任）　齊藤　誠
リハビリテーション学部（兼任）　濵田　光佑
リハビリテーション学部（兼任）　小山　隆幸
キャリア支援課　課長　飯田　満希子
教育研究推進課　課長　松浦　智美
キャリア支援課　久志本　隼輝
教育研究推進課　前田 幸彦</t>
    <rPh sb="0" eb="3">
      <t>イインチョウ</t>
    </rPh>
    <rPh sb="16" eb="19">
      <t>ジュンキョウジュ</t>
    </rPh>
    <rPh sb="20" eb="22">
      <t>カトウ</t>
    </rPh>
    <rPh sb="23" eb="25">
      <t>マユミ</t>
    </rPh>
    <rPh sb="38" eb="40">
      <t>キョウジュ</t>
    </rPh>
    <rPh sb="41" eb="43">
      <t>ヤマモリ</t>
    </rPh>
    <rPh sb="44" eb="46">
      <t>タカヒコ</t>
    </rPh>
    <rPh sb="56" eb="58">
      <t>ガクブ</t>
    </rPh>
    <rPh sb="59" eb="61">
      <t>キョウジュ</t>
    </rPh>
    <rPh sb="62" eb="64">
      <t>イワイ</t>
    </rPh>
    <rPh sb="65" eb="67">
      <t>カズコ</t>
    </rPh>
    <rPh sb="77" eb="79">
      <t>ガクブ</t>
    </rPh>
    <rPh sb="80" eb="83">
      <t>ジュンキョウジュ</t>
    </rPh>
    <rPh sb="84" eb="85">
      <t>ハヤシ</t>
    </rPh>
    <rPh sb="86" eb="88">
      <t>タカヒロ</t>
    </rPh>
    <rPh sb="98" eb="100">
      <t>ガクブ</t>
    </rPh>
    <rPh sb="101" eb="103">
      <t>ケンニン</t>
    </rPh>
    <rPh sb="105" eb="107">
      <t>カトウ</t>
    </rPh>
    <rPh sb="121" eb="123">
      <t>ガクブ</t>
    </rPh>
    <rPh sb="124" eb="126">
      <t>ケンニン</t>
    </rPh>
    <rPh sb="128" eb="130">
      <t>シミズ</t>
    </rPh>
    <rPh sb="131" eb="133">
      <t>カズキ</t>
    </rPh>
    <rPh sb="143" eb="145">
      <t>ガクブ</t>
    </rPh>
    <rPh sb="146" eb="148">
      <t>ケンニン</t>
    </rPh>
    <rPh sb="150" eb="152">
      <t>サイトウ</t>
    </rPh>
    <rPh sb="153" eb="154">
      <t>マコト</t>
    </rPh>
    <rPh sb="164" eb="166">
      <t>ガクブ</t>
    </rPh>
    <rPh sb="167" eb="169">
      <t>ケンニン</t>
    </rPh>
    <rPh sb="171" eb="173">
      <t>ハマダ</t>
    </rPh>
    <rPh sb="174" eb="176">
      <t>コウスケ</t>
    </rPh>
    <rPh sb="186" eb="188">
      <t>ガクブ</t>
    </rPh>
    <rPh sb="189" eb="191">
      <t>ケンニン</t>
    </rPh>
    <rPh sb="193" eb="195">
      <t>コヤマ</t>
    </rPh>
    <rPh sb="196" eb="198">
      <t>タカユキ</t>
    </rPh>
    <rPh sb="203" eb="205">
      <t>シエン</t>
    </rPh>
    <rPh sb="205" eb="206">
      <t>カ</t>
    </rPh>
    <rPh sb="207" eb="209">
      <t>カチョウ</t>
    </rPh>
    <rPh sb="210" eb="212">
      <t>イイダ</t>
    </rPh>
    <rPh sb="225" eb="227">
      <t>カチョウ</t>
    </rPh>
    <rPh sb="238" eb="240">
      <t>シエン</t>
    </rPh>
    <rPh sb="240" eb="241">
      <t>カ</t>
    </rPh>
    <rPh sb="242" eb="245">
      <t>クシモト</t>
    </rPh>
    <rPh sb="249" eb="256">
      <t>キョウイクケンキュウスイシンカ</t>
    </rPh>
    <phoneticPr fontId="1"/>
  </si>
  <si>
    <t>本学の教育運営委員会では、全学的な教育編成方針、教育の質保証・質的な向上などに関する事項について審議し、教務に係る全学的な取り組みの企画立案や取り組みを実施している。
愛知医療学院大学数理・データサイエンス・AI教育プログラム（以下、本教育プログラム）は、学生の専門分野に関わらず、データを理解・活用し、情報の解釈と意見を見出すことを可能にするデータリテラシーを身に付けることを目的として、全学部で実施する教育プログラムである。
本教育プログラムの円滑な実施および運営を行うため、教育運営委員会にて実施計画の策定や修了証の発行等の実施に関する事項を行う。</t>
    <rPh sb="0" eb="2">
      <t>ホンガク</t>
    </rPh>
    <rPh sb="3" eb="5">
      <t>キョウイク</t>
    </rPh>
    <rPh sb="5" eb="7">
      <t>ウンエイ</t>
    </rPh>
    <rPh sb="7" eb="10">
      <t>イインカイ</t>
    </rPh>
    <rPh sb="13" eb="16">
      <t>ゼンガクテキ</t>
    </rPh>
    <rPh sb="17" eb="19">
      <t>キョウイク</t>
    </rPh>
    <rPh sb="19" eb="21">
      <t>ヘンセイ</t>
    </rPh>
    <rPh sb="21" eb="23">
      <t>ホウシン</t>
    </rPh>
    <rPh sb="24" eb="26">
      <t>キョウイク</t>
    </rPh>
    <rPh sb="27" eb="30">
      <t>シツホショウ</t>
    </rPh>
    <rPh sb="31" eb="33">
      <t>シツテキ</t>
    </rPh>
    <rPh sb="34" eb="36">
      <t>コウジョウ</t>
    </rPh>
    <rPh sb="39" eb="40">
      <t>カン</t>
    </rPh>
    <rPh sb="42" eb="44">
      <t>ジコウ</t>
    </rPh>
    <rPh sb="48" eb="50">
      <t>シンギ</t>
    </rPh>
    <rPh sb="52" eb="54">
      <t>キョウム</t>
    </rPh>
    <rPh sb="55" eb="56">
      <t>カカ</t>
    </rPh>
    <rPh sb="57" eb="60">
      <t>ゼンガクテキ</t>
    </rPh>
    <rPh sb="61" eb="62">
      <t>ト</t>
    </rPh>
    <rPh sb="63" eb="64">
      <t>ク</t>
    </rPh>
    <rPh sb="66" eb="68">
      <t>キカク</t>
    </rPh>
    <rPh sb="68" eb="70">
      <t>リツアン</t>
    </rPh>
    <rPh sb="71" eb="72">
      <t>ト</t>
    </rPh>
    <rPh sb="73" eb="74">
      <t>ク</t>
    </rPh>
    <rPh sb="76" eb="78">
      <t>ジッシ</t>
    </rPh>
    <rPh sb="84" eb="92">
      <t>アイチイリョウガクインダイガク</t>
    </rPh>
    <rPh sb="92" eb="94">
      <t>スウリ</t>
    </rPh>
    <rPh sb="106" eb="108">
      <t>キョウイク</t>
    </rPh>
    <rPh sb="114" eb="116">
      <t>イカ</t>
    </rPh>
    <rPh sb="117" eb="120">
      <t>ホンキョウイク</t>
    </rPh>
    <rPh sb="128" eb="130">
      <t>ガクセイ</t>
    </rPh>
    <rPh sb="131" eb="135">
      <t>センモンブンヤ</t>
    </rPh>
    <rPh sb="136" eb="137">
      <t>カカ</t>
    </rPh>
    <rPh sb="145" eb="147">
      <t>リカイ</t>
    </rPh>
    <rPh sb="148" eb="150">
      <t>カツヨウ</t>
    </rPh>
    <rPh sb="152" eb="154">
      <t>ジョウホウ</t>
    </rPh>
    <rPh sb="155" eb="157">
      <t>カイシャク</t>
    </rPh>
    <rPh sb="158" eb="160">
      <t>イケン</t>
    </rPh>
    <rPh sb="161" eb="163">
      <t>ミイダ</t>
    </rPh>
    <rPh sb="167" eb="169">
      <t>カノウ</t>
    </rPh>
    <rPh sb="181" eb="182">
      <t>ミ</t>
    </rPh>
    <rPh sb="183" eb="184">
      <t>ツ</t>
    </rPh>
    <rPh sb="189" eb="191">
      <t>モクテキ</t>
    </rPh>
    <rPh sb="195" eb="198">
      <t>ゼンガクブ</t>
    </rPh>
    <rPh sb="199" eb="201">
      <t>ジッシ</t>
    </rPh>
    <rPh sb="203" eb="205">
      <t>キョウイク</t>
    </rPh>
    <rPh sb="215" eb="218">
      <t>ホンキョウイク</t>
    </rPh>
    <rPh sb="224" eb="226">
      <t>エンカツ</t>
    </rPh>
    <rPh sb="227" eb="229">
      <t>ジッシ</t>
    </rPh>
    <rPh sb="232" eb="234">
      <t>ウンエイ</t>
    </rPh>
    <rPh sb="235" eb="236">
      <t>オコナ</t>
    </rPh>
    <rPh sb="240" eb="242">
      <t>キョウイク</t>
    </rPh>
    <rPh sb="242" eb="244">
      <t>ウンエイ</t>
    </rPh>
    <rPh sb="244" eb="247">
      <t>イインカイ</t>
    </rPh>
    <rPh sb="249" eb="251">
      <t>ジッシ</t>
    </rPh>
    <rPh sb="251" eb="253">
      <t>ケイカク</t>
    </rPh>
    <rPh sb="254" eb="256">
      <t>サクテイ</t>
    </rPh>
    <rPh sb="257" eb="260">
      <t>シュウリョウショウ</t>
    </rPh>
    <rPh sb="261" eb="263">
      <t>ハッコウ</t>
    </rPh>
    <rPh sb="263" eb="264">
      <t>トウ</t>
    </rPh>
    <rPh sb="265" eb="267">
      <t>ジッシ</t>
    </rPh>
    <rPh sb="268" eb="269">
      <t>カン</t>
    </rPh>
    <rPh sb="271" eb="273">
      <t>ジコウ</t>
    </rPh>
    <rPh sb="274" eb="275">
      <t>オコナ</t>
    </rPh>
    <phoneticPr fontId="1"/>
  </si>
  <si>
    <t>「情報科学」では、Webで公開されている興味のある身近なデータを入手し、Excelを用いて処理や加工を行い、データの分析を行い、可視化した分析結果を検討するといった実践を通して、データサイエンスを学ぶことの楽しさや意義を学生がより理解できるようにしている。</t>
    <phoneticPr fontId="1"/>
  </si>
  <si>
    <t>1-1. 社会で起きている変化［導入］
・ビッグデータ、IoT、AI、ロボット「基礎統計学」（1回目）
・第4次産業革命、Society 5.0、データ駆動型社会「基礎統計学」（1回目）
・人間の知的活動とAIの関係「基礎統計学」（1回目）</t>
    <phoneticPr fontId="1"/>
  </si>
  <si>
    <t>1-2. 社会で活用されているデータ［導入］
・調査データ、実験データ「基礎統計学」（1回目）
・1次データ、2次データ「基礎統計学」（1回目）
・構造化データ、非構造化データ（文章、画像/動画、音声/音楽など）「基礎統計学」（1回目）
・データのオープン化（オープンデータ）「基礎統計学」（1回目）</t>
    <phoneticPr fontId="1"/>
  </si>
  <si>
    <t>1-3. データ・AIの活用領域［導入］
・データ・AI活用領域の広がり（生産、消費、文化活動など）「基礎統計学」（1回目）
・研究開発、調達、製造、物流、販売、マーケティング、サービスなど「基礎統計学」（1回目）</t>
    <phoneticPr fontId="1"/>
  </si>
  <si>
    <t>1-4. データ・AI利活用のための技術［導入］
・データ可視化：複合グラフ、2軸グラフ、関係性の可視化など「基礎統計学」（14回）
・非構造化データ処理：言語処理、画像/動画処理、音声/音楽処理など「基礎統計学」（14回）
・特化型AIと汎用AI、今のAIで出来ることと出来ないこと、AIとビッグデータ「基礎統計学」（14回）</t>
    <phoneticPr fontId="1"/>
  </si>
  <si>
    <t>1-5. データ・AI利活用の現場［導入］
・データサイエンスのサイクル（課題抽出と定式化、データの取得・管理・加工など）「基礎統計学」（14回）</t>
    <phoneticPr fontId="1"/>
  </si>
  <si>
    <t xml:space="preserve">3-1. データ・AIを扱う上での留意事項［心得］
・ELSI（Ethical, Legal, Social Issues）「情報科学」（1回）
・個人情報保護、EU一般データ保護規則（GDPR）、忘れられる権利、オプトアウト「情報科学」（1回）
・データ倫理：データの捏造、改ざん、盗用、プライバシー保護報科学「情報科学」（1回）
</t>
    <phoneticPr fontId="1"/>
  </si>
  <si>
    <t>3-2. データを守る上での留意事項［心得］
・情報セキュリティ：機密性、完全生、可用性「情報科学」（1回）
・匿名加工情報、暗号化、パスワード「情報科学」（1回）</t>
    <phoneticPr fontId="1"/>
  </si>
  <si>
    <t>2-1. データを読む［基礎］
・データの種類（量的変数、質的変数）「基礎統計学」（2回）
・データの分布(ヒストグラム)と代表値（平均値、中央値、最頻値）「基礎統計学」（2回）
・代表値の性質の違い（実社会では平均値＝最頻値でないことが多い）「基礎統計学」（2回）
・データのばらつき（分散、標準偏差、偏差値）「基礎統計学」（2回）
・相関と因果（相関係数、擬似相関）「基礎統計学」（2回）
・母集団と標本抽出（国勢調査、アンケート調査、全数調査、単純無作為抽出、層別抽出、多段抽出）「基礎統計学」（2回）
・統計情報の正しい理解（誇張表現に惑わされない）「基礎統計学」（2回）</t>
    <phoneticPr fontId="1"/>
  </si>
  <si>
    <t>2-2. データを説明する［基礎］
・データ表現（棒グラフ、折線グラフ、散布図）「情報科学」（8回）
・データの図表表現（チャート化）「情報科学」（8回）
・不適切なグラフ表現（チャートジャンク、不必要な視覚的要素）「情報科学」（8回）</t>
    <phoneticPr fontId="1"/>
  </si>
  <si>
    <t>2-3. データを扱う［基礎］
・データの集計（和、平均）「情報科学」（7,8,9回 ）
・データの並び替え、ランキング「情報科学」（7,8,9回 ）
・データ解析ツール（スプレッドシート）「情報科学」（7,8,9回 ）
・表形式のデータ（csv）「情報科学」（7,8,9回 ）</t>
    <phoneticPr fontId="1"/>
  </si>
  <si>
    <t>1-6. データ・AI利活用の最新動向［導入］
・リハビリテーション分野におけるAI等の活用（治療効果の客観的な評価、予測、治療計画の策定など）「基礎統計学」（1回目）
・AI最新技術の活用例（深層生成モデル、敵対的生成ネットワーク、強化学習、転移学習など）「基礎統計学」（1回目）</t>
    <rPh sb="62" eb="64">
      <t>チリョウ</t>
    </rPh>
    <phoneticPr fontId="1"/>
  </si>
  <si>
    <t>数理・データサイエンス・AI教育プログラムを構成する、以下の教養基礎科目の修得を通じ、2年間で本プログラムを修了する。
・「情報科学」（1年次　必修科目　2単位）
・「基礎統計学」（2年次　必修科目　2単位）</t>
    <rPh sb="22" eb="24">
      <t>コウセイ</t>
    </rPh>
    <rPh sb="69" eb="71">
      <t>ネンジ</t>
    </rPh>
    <rPh sb="72" eb="74">
      <t>ヒッシュウ</t>
    </rPh>
    <rPh sb="74" eb="76">
      <t>カモク</t>
    </rPh>
    <rPh sb="92" eb="94">
      <t>ネンジ</t>
    </rPh>
    <rPh sb="95" eb="99">
      <t>ヒッシュウカモク</t>
    </rPh>
    <rPh sb="101" eb="103">
      <t>タンイ</t>
    </rPh>
    <phoneticPr fontId="1"/>
  </si>
  <si>
    <t>本学では全教員がオフィスアワーを設定している。対象科目を担当する教員に直接疑問点を相談することができ、理解できるまでのサポートを行うことができる。また、授業に関する情報はシラバスやGoogleClassroom等を通じて授業ごとに掲載しているほか、学内教員についてはメールアドレスを開示している。受講生はオンラインやメールでいつでも担当教員に質問することができる。
パソコン本体の操作方法やパソコン本体のトラブル等は、事務職員が対応できる体制を整えている。</t>
    <rPh sb="23" eb="25">
      <t>タイショウ</t>
    </rPh>
    <rPh sb="25" eb="27">
      <t>カモク</t>
    </rPh>
    <rPh sb="28" eb="30">
      <t>タントウ</t>
    </rPh>
    <rPh sb="64" eb="65">
      <t>オコナ</t>
    </rPh>
    <rPh sb="105" eb="106">
      <t>トウ</t>
    </rPh>
    <rPh sb="107" eb="108">
      <t>ツウ</t>
    </rPh>
    <rPh sb="124" eb="126">
      <t>ガクナイ</t>
    </rPh>
    <rPh sb="126" eb="128">
      <t>キョウイン</t>
    </rPh>
    <rPh sb="141" eb="143">
      <t>カイジ</t>
    </rPh>
    <rPh sb="187" eb="189">
      <t>ホンタイ</t>
    </rPh>
    <rPh sb="190" eb="192">
      <t>ソウサ</t>
    </rPh>
    <rPh sb="192" eb="194">
      <t>ホウホウ</t>
    </rPh>
    <rPh sb="199" eb="201">
      <t>ホンタイ</t>
    </rPh>
    <rPh sb="206" eb="207">
      <t>トウ</t>
    </rPh>
    <rPh sb="209" eb="211">
      <t>ジム</t>
    </rPh>
    <rPh sb="211" eb="213">
      <t>ショクイン</t>
    </rPh>
    <rPh sb="214" eb="216">
      <t>タイオウ</t>
    </rPh>
    <rPh sb="219" eb="221">
      <t>タイセイ</t>
    </rPh>
    <phoneticPr fontId="1"/>
  </si>
  <si>
    <t>本教育プログラムは令和6年度に開始したばかりであり、本教育プログラムを受講した学生の卒業は令和9年度以降となる。令和10年度以降、キャリア支援課にて実施する卒後アンケートの調査等において、教育プログラム修了者に対する企業等における評価や活躍の状況を聴取していく等、評価方法を検討する。</t>
    <phoneticPr fontId="1"/>
  </si>
  <si>
    <t>・情報科学に関する基礎知識を体系的に修得し、主体的な学習を継続できる能力を養う。
・多様なデータを適切に分析し、その結果を根拠に基づき論理的に説明できる。
・データ分析・活用の知識・スキルを学習課題の解決や、臨床・研究に応用できる。
・現在のＡＩについて理解し、多角的な視点に基づき適切に利用できる。</t>
    <phoneticPr fontId="1"/>
  </si>
  <si>
    <t>教員は、学生一人ひとりの履修状況・修得状況や出席状況を把握・確認できる環境を整備しており、課題の提出・共有にはGoogle Classroomを導入している。
「情報科学」では、Google Classroomを活用して、科目担当教員が常に学生の課題提出状況を把握し、必要に応じて個別にサポートを行っている。
本学において、2024年度入学生を対象に「数理・データサイエンス・ＡＩ教育プログラム」は、2024年度より開設した。
2024年度在学生の内、いずれの学生も受講した科目は1年次対象の「情報科学」（修得率97.5％）のみであり、すべての対象科目を受講した学生はいない。</t>
    <rPh sb="272" eb="274">
      <t>タイショウ</t>
    </rPh>
    <rPh sb="274" eb="276">
      <t>カモク</t>
    </rPh>
    <phoneticPr fontId="1"/>
  </si>
  <si>
    <t>本学は1学部1学科の構成となっており、本教育プログラムにおいて履修要件となる科目は必修科目であることから、学部・学科に関係なく全員が受講する体制である。</t>
    <phoneticPr fontId="1"/>
  </si>
  <si>
    <r>
      <t>本教育プログラムを所管する教育運営委員会は、本学の教授会の下に配置している。授業運営に関する事項は本委員会で審議しており、本教育プログラムの申請にかかわる授業科目についての検討も本委員会を通じて行うことで、履修・修得できるような体制が担保できる。
また、理解度向上を図るため</t>
    </r>
    <r>
      <rPr>
        <sz val="12"/>
        <rFont val="ＭＳ Ｐゴシック"/>
        <family val="3"/>
        <charset val="128"/>
        <scheme val="minor"/>
      </rPr>
      <t>、「情報科学」においては</t>
    </r>
    <r>
      <rPr>
        <sz val="12"/>
        <color theme="1"/>
        <rFont val="ＭＳ Ｐゴシック"/>
        <family val="3"/>
        <charset val="128"/>
        <scheme val="minor"/>
      </rPr>
      <t>Google Classroomを活用し、学習の要点ごとに課題を課している。受講生の提出物をもとに理解度を把握し、個別にサポートを行うほか、授業時間外にはオフィスアワーを設け、学習を支援する体制を整えている。</t>
    </r>
    <rPh sb="0" eb="1">
      <t>ホン</t>
    </rPh>
    <rPh sb="1" eb="3">
      <t>キョウイク</t>
    </rPh>
    <rPh sb="13" eb="15">
      <t>キョウイク</t>
    </rPh>
    <rPh sb="15" eb="17">
      <t>ウンエイ</t>
    </rPh>
    <rPh sb="17" eb="20">
      <t>イインカイ</t>
    </rPh>
    <rPh sb="25" eb="28">
      <t>キョウジュカイ</t>
    </rPh>
    <rPh sb="29" eb="30">
      <t>モト</t>
    </rPh>
    <rPh sb="31" eb="33">
      <t>ハイチ</t>
    </rPh>
    <rPh sb="38" eb="40">
      <t>ジュギョウ</t>
    </rPh>
    <rPh sb="40" eb="42">
      <t>ウンエイ</t>
    </rPh>
    <rPh sb="43" eb="44">
      <t>カン</t>
    </rPh>
    <rPh sb="49" eb="53">
      <t>ホンイインカイ</t>
    </rPh>
    <rPh sb="54" eb="56">
      <t>シンギ</t>
    </rPh>
    <rPh sb="70" eb="72">
      <t>シンセイ</t>
    </rPh>
    <rPh sb="77" eb="79">
      <t>ジュギョウ</t>
    </rPh>
    <rPh sb="79" eb="81">
      <t>カモク</t>
    </rPh>
    <rPh sb="86" eb="88">
      <t>ケントウ</t>
    </rPh>
    <rPh sb="89" eb="93">
      <t>ホンイインカイ</t>
    </rPh>
    <rPh sb="94" eb="95">
      <t>ツウ</t>
    </rPh>
    <rPh sb="97" eb="98">
      <t>オコナ</t>
    </rPh>
    <rPh sb="139" eb="143">
      <t>ジョウホウカガク</t>
    </rPh>
    <phoneticPr fontId="1"/>
  </si>
  <si>
    <t>本教育プログラムの実施に関する申し合わせ、自己点検・評価に関する方針を定め、導入するための体制を整えた。
本教育プログラム・リテラシーレベルの申請科目（情報科学、基礎統計学）は必修科目であり、全学生が2年次までに履修する仕組みを講じている。
そのため、学生は2年次終了時点で本教育プログラムを修了する見込みである。
令和7年度に文部科学省に同プログラムの認定を受けるための申請を行い、認定後はプログラム要件を満たした学生には就職活動等で活用できるよう「数理・データサイエンス・AI教育プログラム(リテラシーレベル)」の修了証を交付することとしている。</t>
    <rPh sb="0" eb="3">
      <t>ホンキョウイク</t>
    </rPh>
    <rPh sb="81" eb="86">
      <t>キソトウケイガク</t>
    </rPh>
    <rPh sb="88" eb="90">
      <t>ヒッシュウ</t>
    </rPh>
    <rPh sb="90" eb="92">
      <t>カモク</t>
    </rPh>
    <rPh sb="96" eb="97">
      <t>ゼン</t>
    </rPh>
    <rPh sb="97" eb="99">
      <t>ガクセイ</t>
    </rPh>
    <rPh sb="101" eb="103">
      <t>ネンジ</t>
    </rPh>
    <rPh sb="106" eb="108">
      <t>リシュウ</t>
    </rPh>
    <rPh sb="110" eb="112">
      <t>シク</t>
    </rPh>
    <rPh sb="114" eb="115">
      <t>コウ</t>
    </rPh>
    <rPh sb="138" eb="140">
      <t>キョウイク</t>
    </rPh>
    <rPh sb="150" eb="152">
      <t>ミコミ</t>
    </rPh>
    <rPh sb="216" eb="217">
      <t>トウ</t>
    </rPh>
    <rPh sb="218" eb="220">
      <t>カツヨウ</t>
    </rPh>
    <phoneticPr fontId="1"/>
  </si>
  <si>
    <t>本教育プログラム申請科目の全てが必修科目であり、学部・学科・専攻に関係なく、全員が履修する体制となっている。入学後のガイダンスにて本教育プログラムの内容と意義を周知し、本学のWebサイトにプログラム専用ページを掲載して、学生だけでなく学外関係者にも本教育プログラムの重要性を周知する環境を整備していく。</t>
    <rPh sb="66" eb="68">
      <t>キョウイク</t>
    </rPh>
    <phoneticPr fontId="1"/>
  </si>
  <si>
    <t>本教育プログラムの意味・学修の意義については、オリエンテーションや専用Webサイトにて周知している。全学的に実施している授業評価アンケートでは、後輩等他の学生への推奨度を問う項目は設定されていない。今後、本教育プログラムの科目を対象とした独自のアンケートで学生の内容の理解度の把握、後輩学生への推奨度等の調査を実施していくことを検討する。</t>
    <rPh sb="1" eb="3">
      <t>キョウイク</t>
    </rPh>
    <phoneticPr fontId="1"/>
  </si>
  <si>
    <t>2024年度に本教育プログラムを開講したが、初年度でカリキュラムを修了した学生はいなかった。
2024年度に開講した「情報科学」の学修成果については、科目試験を受験した学生は、基本的な学習到達目標を到達することができた。課題、レポートにおける理解度、授業評価アンケート結果による満足度および成績の分布状況を確認し、評価・改善につなげていく。2025年度は２つめの対象科目である「基礎統計学」が開講される予定である。当該科目の習熟度や授業評価アンケート結果も確認し、本教育プログラムに対して検証し、評価・改善へつなげる。</t>
    <rPh sb="7" eb="8">
      <t>ホン</t>
    </rPh>
    <rPh sb="8" eb="10">
      <t>キョウイク</t>
    </rPh>
    <rPh sb="51" eb="53">
      <t>ネンド</t>
    </rPh>
    <rPh sb="54" eb="56">
      <t>カイコウ</t>
    </rPh>
    <rPh sb="59" eb="61">
      <t>ジョウホウ</t>
    </rPh>
    <rPh sb="61" eb="63">
      <t>カガク</t>
    </rPh>
    <rPh sb="75" eb="79">
      <t>カモクシケン</t>
    </rPh>
    <rPh sb="80" eb="82">
      <t>ジュケン</t>
    </rPh>
    <rPh sb="84" eb="86">
      <t>ガクセイ</t>
    </rPh>
    <rPh sb="88" eb="91">
      <t>キホンテキ</t>
    </rPh>
    <rPh sb="92" eb="94">
      <t>ガクシュウ</t>
    </rPh>
    <rPh sb="94" eb="96">
      <t>トウタツ</t>
    </rPh>
    <rPh sb="96" eb="98">
      <t>モクヒョウ</t>
    </rPh>
    <rPh sb="99" eb="101">
      <t>トウタツ</t>
    </rPh>
    <rPh sb="121" eb="124">
      <t>リカイド</t>
    </rPh>
    <rPh sb="127" eb="129">
      <t>ヒョウカ</t>
    </rPh>
    <rPh sb="139" eb="142">
      <t>マンゾクド</t>
    </rPh>
    <rPh sb="174" eb="176">
      <t>ネンド</t>
    </rPh>
    <rPh sb="212" eb="215">
      <t>シュウジュクド</t>
    </rPh>
    <rPh sb="232" eb="233">
      <t>ホン</t>
    </rPh>
    <rPh sb="233" eb="235">
      <t>キョウイク</t>
    </rPh>
    <rPh sb="241" eb="242">
      <t>タイ</t>
    </rPh>
    <rPh sb="244" eb="246">
      <t>ケンショウ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</si>
</sst>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
      <sz val="12"/>
      <color rgb="FF00000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 xfId="0" applyFont="1" applyBorder="1">
      <alignment vertical="center"/>
    </xf>
    <xf numFmtId="0" fontId="10" fillId="0" borderId="20" xfId="0" applyFont="1" applyBorder="1" applyAlignment="1">
      <alignment horizontal="center" vertical="center" shrinkToFit="1"/>
    </xf>
    <xf numFmtId="0" fontId="11" fillId="0" borderId="14" xfId="0" applyFont="1" applyBorder="1" applyAlignment="1">
      <alignment horizontal="center" vertical="center" shrinkToFit="1"/>
    </xf>
    <xf numFmtId="0" fontId="2" fillId="0" borderId="14" xfId="0" applyFont="1" applyBorder="1" applyAlignment="1">
      <alignment horizontal="center" vertical="center" shrinkToFit="1"/>
    </xf>
    <xf numFmtId="0" fontId="14" fillId="0" borderId="14" xfId="0" applyFont="1" applyBorder="1" applyAlignment="1">
      <alignment horizontal="center" vertical="center" shrinkToFit="1"/>
    </xf>
    <xf numFmtId="0" fontId="14" fillId="0" borderId="30" xfId="0" applyFont="1" applyBorder="1" applyAlignment="1">
      <alignment horizontal="center" vertical="center" shrinkToFit="1"/>
    </xf>
    <xf numFmtId="0" fontId="15" fillId="0" borderId="0" xfId="0" applyFont="1" applyAlignment="1">
      <alignment vertical="top" wrapText="1"/>
    </xf>
    <xf numFmtId="0" fontId="11" fillId="2" borderId="5" xfId="0" applyFont="1" applyFill="1" applyBorder="1">
      <alignment vertical="center"/>
    </xf>
    <xf numFmtId="0" fontId="15" fillId="2" borderId="0" xfId="0" applyFont="1" applyFill="1" applyAlignment="1">
      <alignment vertical="top" wrapText="1"/>
    </xf>
    <xf numFmtId="0" fontId="15" fillId="2" borderId="10" xfId="0" applyFont="1" applyFill="1" applyBorder="1" applyAlignment="1">
      <alignment vertical="top" wrapText="1"/>
    </xf>
    <xf numFmtId="0" fontId="11" fillId="2" borderId="0" xfId="0" applyFont="1" applyFill="1">
      <alignment vertical="center"/>
    </xf>
    <xf numFmtId="0" fontId="15" fillId="2" borderId="5" xfId="0" applyFont="1" applyFill="1" applyBorder="1" applyAlignment="1">
      <alignment vertical="top" wrapText="1"/>
    </xf>
    <xf numFmtId="0" fontId="15" fillId="2" borderId="11" xfId="0" applyFont="1" applyFill="1" applyBorder="1" applyAlignment="1">
      <alignment vertical="top" wrapText="1"/>
    </xf>
    <xf numFmtId="0" fontId="15" fillId="2" borderId="37" xfId="0" applyFont="1" applyFill="1" applyBorder="1" applyAlignment="1">
      <alignment vertical="top" wrapText="1"/>
    </xf>
    <xf numFmtId="0" fontId="15" fillId="2" borderId="38" xfId="0" applyFont="1" applyFill="1" applyBorder="1" applyAlignment="1">
      <alignment vertical="top" wrapText="1"/>
    </xf>
    <xf numFmtId="0" fontId="15" fillId="2" borderId="37" xfId="0" applyFont="1" applyFill="1" applyBorder="1" applyAlignment="1">
      <alignment vertical="top" shrinkToFit="1"/>
    </xf>
    <xf numFmtId="0" fontId="15" fillId="2" borderId="38" xfId="0" applyFont="1" applyFill="1" applyBorder="1" applyAlignment="1">
      <alignment vertical="top"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7" xfId="0" applyFont="1" applyBorder="1" applyAlignment="1">
      <alignment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1" fillId="0" borderId="2" xfId="0" applyFont="1" applyBorder="1" applyAlignment="1">
      <alignment horizontal="left" vertical="center"/>
    </xf>
    <xf numFmtId="0" fontId="13" fillId="0" borderId="3" xfId="0" applyFont="1" applyBorder="1">
      <alignment vertical="center"/>
    </xf>
    <xf numFmtId="0" fontId="13"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16" xfId="0" applyFont="1" applyBorder="1" applyAlignment="1">
      <alignment vertical="center" wrapText="1"/>
    </xf>
    <xf numFmtId="0" fontId="11" fillId="0" borderId="17" xfId="0" applyFont="1" applyBorder="1" applyAlignment="1">
      <alignment vertical="center" wrapTex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11" fillId="0" borderId="47" xfId="0" applyFont="1" applyBorder="1" applyAlignment="1">
      <alignment vertical="center" wrapText="1"/>
    </xf>
    <xf numFmtId="0" fontId="11" fillId="0" borderId="34" xfId="0" applyFont="1" applyBorder="1" applyAlignment="1">
      <alignment vertical="center" wrapTex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11" fillId="0" borderId="36" xfId="0" applyFont="1" applyBorder="1" applyAlignment="1">
      <alignment vertical="center" wrapText="1"/>
    </xf>
    <xf numFmtId="0" fontId="11" fillId="0" borderId="37" xfId="0" applyFont="1" applyBorder="1" applyAlignment="1">
      <alignment vertical="center" wrapText="1"/>
    </xf>
    <xf numFmtId="0" fontId="11"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18" xfId="0" applyFont="1" applyBorder="1" applyAlignment="1">
      <alignment vertical="top" wrapText="1" shrinkToFit="1"/>
    </xf>
    <xf numFmtId="0" fontId="11" fillId="0" borderId="32" xfId="0" applyFont="1" applyBorder="1" applyAlignment="1">
      <alignment vertical="top" wrapText="1" shrinkToFit="1"/>
    </xf>
    <xf numFmtId="0" fontId="11" fillId="0" borderId="16" xfId="0" applyFont="1" applyBorder="1">
      <alignment vertical="center"/>
    </xf>
    <xf numFmtId="0" fontId="13" fillId="0" borderId="17" xfId="0" applyFont="1" applyBorder="1">
      <alignmen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3" xfId="0" applyFont="1" applyBorder="1" applyAlignment="1">
      <alignment horizontal="left" vertical="center"/>
    </xf>
    <xf numFmtId="0" fontId="11"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view="pageBreakPreview" topLeftCell="A43" zoomScaleNormal="100" zoomScaleSheetLayoutView="100" workbookViewId="0">
      <selection activeCell="D107" sqref="D107"/>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9" t="s">
        <v>12</v>
      </c>
      <c r="U1" s="129"/>
      <c r="V1" s="2" t="s">
        <v>94</v>
      </c>
    </row>
    <row r="2" spans="1:24" ht="18.75" customHeight="1" x14ac:dyDescent="0.15">
      <c r="B2" s="17" t="s">
        <v>93</v>
      </c>
      <c r="C2" s="94" t="s">
        <v>143</v>
      </c>
      <c r="D2" s="95"/>
      <c r="E2" s="95"/>
      <c r="F2" s="95"/>
      <c r="G2" s="95"/>
      <c r="H2" s="95"/>
      <c r="I2" s="95"/>
      <c r="J2" s="96"/>
      <c r="K2" s="18"/>
      <c r="L2" s="6"/>
      <c r="M2" s="6"/>
      <c r="N2" s="6"/>
      <c r="O2" s="6"/>
      <c r="P2" s="6"/>
      <c r="Q2" s="6"/>
      <c r="R2" s="6"/>
      <c r="S2" s="6"/>
      <c r="T2" s="6"/>
      <c r="U2" s="6"/>
    </row>
    <row r="3" spans="1:24" ht="18.75" customHeight="1" x14ac:dyDescent="0.15">
      <c r="B3" s="17" t="s">
        <v>88</v>
      </c>
      <c r="C3" s="94" t="s">
        <v>154</v>
      </c>
      <c r="D3" s="95"/>
      <c r="E3" s="95"/>
      <c r="F3" s="95"/>
      <c r="G3" s="95"/>
      <c r="H3" s="95"/>
      <c r="I3" s="95"/>
      <c r="J3" s="96"/>
      <c r="K3" s="18"/>
      <c r="L3" s="6"/>
      <c r="M3" s="6"/>
      <c r="N3" s="6"/>
      <c r="O3" s="6"/>
      <c r="P3" s="6"/>
      <c r="Q3" s="6"/>
      <c r="R3" s="6"/>
      <c r="S3" s="6"/>
      <c r="T3" s="6"/>
      <c r="U3" s="6"/>
    </row>
    <row r="4" spans="1:24" ht="15" customHeight="1" x14ac:dyDescent="0.15">
      <c r="L4" s="18"/>
      <c r="M4" s="63"/>
      <c r="N4" s="63"/>
      <c r="O4" s="63"/>
      <c r="P4" s="63"/>
      <c r="Q4" s="63"/>
      <c r="R4" s="63"/>
      <c r="S4" s="63"/>
      <c r="T4" s="63"/>
      <c r="U4" s="63"/>
    </row>
    <row r="5" spans="1:24" ht="18" customHeight="1" x14ac:dyDescent="0.15">
      <c r="A5" s="133" t="s">
        <v>141</v>
      </c>
      <c r="B5" s="133"/>
      <c r="C5" s="133"/>
      <c r="D5" s="133"/>
      <c r="E5" s="133"/>
      <c r="F5" s="133"/>
      <c r="G5" s="133"/>
      <c r="H5" s="133"/>
      <c r="I5" s="133"/>
      <c r="J5" s="133"/>
      <c r="K5" s="133"/>
      <c r="L5" s="133"/>
      <c r="M5" s="133"/>
      <c r="N5" s="133"/>
      <c r="O5" s="133"/>
      <c r="P5" s="133"/>
      <c r="Q5" s="133"/>
      <c r="R5" s="133"/>
      <c r="S5" s="133"/>
      <c r="T5" s="133"/>
      <c r="U5" s="133"/>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91" t="s">
        <v>150</v>
      </c>
      <c r="M7" s="92"/>
      <c r="N7" s="92"/>
      <c r="O7" s="92"/>
      <c r="P7" s="92"/>
      <c r="Q7" s="92"/>
      <c r="R7" s="92"/>
      <c r="S7" s="92"/>
      <c r="T7" s="92"/>
      <c r="U7" s="93"/>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07"/>
      <c r="C11" s="108"/>
      <c r="D11" s="108"/>
      <c r="E11" s="108"/>
      <c r="F11" s="108"/>
      <c r="G11" s="108"/>
      <c r="H11" s="108"/>
      <c r="I11" s="108"/>
      <c r="J11" s="108"/>
      <c r="K11" s="108"/>
      <c r="L11" s="108"/>
      <c r="M11" s="108"/>
      <c r="N11" s="108"/>
      <c r="O11" s="108"/>
      <c r="P11" s="108"/>
      <c r="Q11" s="108"/>
      <c r="R11" s="108"/>
      <c r="S11" s="108"/>
      <c r="T11" s="108"/>
      <c r="U11" s="109"/>
    </row>
    <row r="12" spans="1:24" ht="18" customHeight="1" x14ac:dyDescent="0.15">
      <c r="B12" s="110"/>
      <c r="C12" s="111"/>
      <c r="D12" s="111"/>
      <c r="E12" s="111"/>
      <c r="F12" s="111"/>
      <c r="G12" s="111"/>
      <c r="H12" s="111"/>
      <c r="I12" s="111"/>
      <c r="J12" s="111"/>
      <c r="K12" s="111"/>
      <c r="L12" s="111"/>
      <c r="M12" s="111"/>
      <c r="N12" s="111"/>
      <c r="O12" s="111"/>
      <c r="P12" s="111"/>
      <c r="Q12" s="111"/>
      <c r="R12" s="111"/>
      <c r="S12" s="111"/>
      <c r="T12" s="111"/>
      <c r="U12" s="112"/>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64"/>
      <c r="M14" s="64"/>
      <c r="N14" s="64"/>
      <c r="O14" s="64"/>
      <c r="P14" s="64"/>
      <c r="Q14" s="64"/>
      <c r="R14" s="64"/>
      <c r="S14" s="64"/>
      <c r="T14" s="64"/>
      <c r="U14" s="64"/>
    </row>
    <row r="15" spans="1:24" ht="18" customHeight="1" x14ac:dyDescent="0.15">
      <c r="B15" s="134" t="s">
        <v>180</v>
      </c>
      <c r="C15" s="135"/>
      <c r="D15" s="135"/>
      <c r="E15" s="135"/>
      <c r="F15" s="135"/>
      <c r="G15" s="135"/>
      <c r="H15" s="135"/>
      <c r="I15" s="135"/>
      <c r="J15" s="135"/>
      <c r="K15" s="135"/>
      <c r="L15" s="135"/>
      <c r="M15" s="135"/>
      <c r="N15" s="135"/>
      <c r="O15" s="135"/>
      <c r="P15" s="135"/>
      <c r="Q15" s="135"/>
      <c r="R15" s="135"/>
      <c r="S15" s="135"/>
      <c r="T15" s="135"/>
      <c r="U15" s="136"/>
      <c r="X15" s="1" t="s">
        <v>89</v>
      </c>
    </row>
    <row r="16" spans="1:24" ht="18" customHeight="1" x14ac:dyDescent="0.15">
      <c r="B16" s="137"/>
      <c r="C16" s="138"/>
      <c r="D16" s="138"/>
      <c r="E16" s="138"/>
      <c r="F16" s="138"/>
      <c r="G16" s="138"/>
      <c r="H16" s="138"/>
      <c r="I16" s="138"/>
      <c r="J16" s="138"/>
      <c r="K16" s="138"/>
      <c r="L16" s="138"/>
      <c r="M16" s="138"/>
      <c r="N16" s="138"/>
      <c r="O16" s="138"/>
      <c r="P16" s="138"/>
      <c r="Q16" s="138"/>
      <c r="R16" s="138"/>
      <c r="S16" s="138"/>
      <c r="T16" s="138"/>
      <c r="U16" s="139"/>
      <c r="X16" s="1" t="s">
        <v>122</v>
      </c>
    </row>
    <row r="17" spans="1:24" ht="18" customHeight="1" x14ac:dyDescent="0.15">
      <c r="B17" s="137"/>
      <c r="C17" s="138"/>
      <c r="D17" s="138"/>
      <c r="E17" s="138"/>
      <c r="F17" s="138"/>
      <c r="G17" s="138"/>
      <c r="H17" s="138"/>
      <c r="I17" s="138"/>
      <c r="J17" s="138"/>
      <c r="K17" s="138"/>
      <c r="L17" s="138"/>
      <c r="M17" s="138"/>
      <c r="N17" s="138"/>
      <c r="O17" s="138"/>
      <c r="P17" s="138"/>
      <c r="Q17" s="138"/>
      <c r="R17" s="138"/>
      <c r="S17" s="138"/>
      <c r="T17" s="138"/>
      <c r="U17" s="139"/>
      <c r="X17" s="1" t="s">
        <v>123</v>
      </c>
    </row>
    <row r="18" spans="1:24" ht="18" customHeight="1" x14ac:dyDescent="0.15">
      <c r="B18" s="137"/>
      <c r="C18" s="138"/>
      <c r="D18" s="138"/>
      <c r="E18" s="138"/>
      <c r="F18" s="138"/>
      <c r="G18" s="138"/>
      <c r="H18" s="138"/>
      <c r="I18" s="138"/>
      <c r="J18" s="138"/>
      <c r="K18" s="138"/>
      <c r="L18" s="138"/>
      <c r="M18" s="138"/>
      <c r="N18" s="138"/>
      <c r="O18" s="138"/>
      <c r="P18" s="138"/>
      <c r="Q18" s="138"/>
      <c r="R18" s="138"/>
      <c r="S18" s="138"/>
      <c r="T18" s="138"/>
      <c r="U18" s="139"/>
      <c r="X18" s="1" t="s">
        <v>124</v>
      </c>
    </row>
    <row r="19" spans="1:24" ht="18" customHeight="1" x14ac:dyDescent="0.15">
      <c r="B19" s="137"/>
      <c r="C19" s="138"/>
      <c r="D19" s="138"/>
      <c r="E19" s="138"/>
      <c r="F19" s="138"/>
      <c r="G19" s="138"/>
      <c r="H19" s="138"/>
      <c r="I19" s="138"/>
      <c r="J19" s="138"/>
      <c r="K19" s="138"/>
      <c r="L19" s="138"/>
      <c r="M19" s="138"/>
      <c r="N19" s="138"/>
      <c r="O19" s="138"/>
      <c r="P19" s="138"/>
      <c r="Q19" s="138"/>
      <c r="R19" s="138"/>
      <c r="S19" s="138"/>
      <c r="T19" s="138"/>
      <c r="U19" s="139"/>
    </row>
    <row r="20" spans="1:24" ht="18" customHeight="1" x14ac:dyDescent="0.1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1">
        <v>2</v>
      </c>
      <c r="F22" s="1" t="s">
        <v>107</v>
      </c>
      <c r="H22" s="19">
        <v>4</v>
      </c>
      <c r="I22" s="3" t="s">
        <v>108</v>
      </c>
      <c r="J22" s="3"/>
      <c r="K22" s="18"/>
      <c r="M22" s="18" t="s">
        <v>104</v>
      </c>
      <c r="N22" s="88" t="s">
        <v>122</v>
      </c>
      <c r="O22" s="89"/>
      <c r="P22" s="89"/>
      <c r="Q22" s="89"/>
      <c r="R22" s="89"/>
      <c r="S22" s="89"/>
      <c r="T22" s="89"/>
      <c r="U22" s="90"/>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2" t="s">
        <v>96</v>
      </c>
      <c r="B24" s="122"/>
      <c r="C24" s="122"/>
      <c r="D24" s="122"/>
      <c r="E24" s="122"/>
      <c r="F24" s="122"/>
      <c r="G24" s="122"/>
      <c r="H24" s="122"/>
      <c r="I24" s="122"/>
      <c r="J24" s="122"/>
      <c r="K24" s="122"/>
      <c r="L24" s="122"/>
      <c r="M24" s="122"/>
      <c r="N24" s="122"/>
      <c r="O24" s="122"/>
      <c r="P24" s="122"/>
      <c r="Q24" s="122"/>
      <c r="R24" s="122"/>
      <c r="S24" s="122"/>
      <c r="T24" s="122"/>
      <c r="U24" s="122"/>
    </row>
    <row r="25" spans="1:24" ht="18" customHeight="1" x14ac:dyDescent="0.15">
      <c r="A25" s="122"/>
      <c r="B25" s="122"/>
      <c r="C25" s="122"/>
      <c r="D25" s="122"/>
      <c r="E25" s="122"/>
      <c r="F25" s="122"/>
      <c r="G25" s="122"/>
      <c r="H25" s="122"/>
      <c r="I25" s="122"/>
      <c r="J25" s="122"/>
      <c r="K25" s="122"/>
      <c r="L25" s="122"/>
      <c r="M25" s="122"/>
      <c r="N25" s="122"/>
      <c r="O25" s="122"/>
      <c r="P25" s="122"/>
      <c r="Q25" s="122"/>
      <c r="R25" s="122"/>
      <c r="S25" s="122"/>
      <c r="T25" s="122"/>
      <c r="U25" s="122"/>
    </row>
    <row r="26" spans="1:24" ht="18" customHeight="1" x14ac:dyDescent="0.15">
      <c r="B26" s="94" t="s">
        <v>48</v>
      </c>
      <c r="C26" s="95"/>
      <c r="D26" s="95"/>
      <c r="E26" s="95"/>
      <c r="F26" s="96"/>
      <c r="G26" s="50" t="s">
        <v>73</v>
      </c>
      <c r="H26" s="51" t="s">
        <v>76</v>
      </c>
      <c r="I26" s="52" t="s">
        <v>51</v>
      </c>
      <c r="J26" s="52" t="s">
        <v>54</v>
      </c>
      <c r="K26" s="94" t="s">
        <v>48</v>
      </c>
      <c r="L26" s="95"/>
      <c r="M26" s="95"/>
      <c r="N26" s="95"/>
      <c r="O26" s="95"/>
      <c r="P26" s="95"/>
      <c r="Q26" s="96"/>
      <c r="R26" s="50" t="s">
        <v>73</v>
      </c>
      <c r="S26" s="51" t="s">
        <v>76</v>
      </c>
      <c r="T26" s="52" t="s">
        <v>51</v>
      </c>
      <c r="U26" s="52" t="s">
        <v>54</v>
      </c>
    </row>
    <row r="27" spans="1:24" ht="18" customHeight="1" x14ac:dyDescent="0.15">
      <c r="B27" s="119" t="s">
        <v>155</v>
      </c>
      <c r="C27" s="120"/>
      <c r="D27" s="120"/>
      <c r="E27" s="120"/>
      <c r="F27" s="121"/>
      <c r="G27" s="73">
        <v>2</v>
      </c>
      <c r="H27" s="73" t="s">
        <v>151</v>
      </c>
      <c r="I27" s="74" t="s">
        <v>151</v>
      </c>
      <c r="J27" s="74" t="s">
        <v>151</v>
      </c>
      <c r="K27" s="119"/>
      <c r="L27" s="120"/>
      <c r="M27" s="120"/>
      <c r="N27" s="120"/>
      <c r="O27" s="120"/>
      <c r="P27" s="120"/>
      <c r="Q27" s="121"/>
      <c r="R27" s="74"/>
      <c r="S27" s="74"/>
      <c r="T27" s="74"/>
      <c r="U27" s="74"/>
    </row>
    <row r="28" spans="1:24" ht="18" customHeight="1" x14ac:dyDescent="0.15">
      <c r="B28" s="130"/>
      <c r="C28" s="131"/>
      <c r="D28" s="131"/>
      <c r="E28" s="131"/>
      <c r="F28" s="132"/>
      <c r="G28" s="72"/>
      <c r="H28" s="72"/>
      <c r="I28" s="53"/>
      <c r="J28" s="53"/>
      <c r="K28" s="113"/>
      <c r="L28" s="114"/>
      <c r="M28" s="114"/>
      <c r="N28" s="114"/>
      <c r="O28" s="114"/>
      <c r="P28" s="114"/>
      <c r="Q28" s="115"/>
      <c r="R28" s="53"/>
      <c r="S28" s="53"/>
      <c r="T28" s="53"/>
      <c r="U28" s="53"/>
    </row>
    <row r="29" spans="1:24" ht="18" customHeight="1" x14ac:dyDescent="0.15">
      <c r="B29" s="113"/>
      <c r="C29" s="114"/>
      <c r="D29" s="114"/>
      <c r="E29" s="114"/>
      <c r="F29" s="115"/>
      <c r="G29" s="53"/>
      <c r="H29" s="53"/>
      <c r="I29" s="53"/>
      <c r="J29" s="53"/>
      <c r="K29" s="113"/>
      <c r="L29" s="114"/>
      <c r="M29" s="114"/>
      <c r="N29" s="114"/>
      <c r="O29" s="114"/>
      <c r="P29" s="114"/>
      <c r="Q29" s="115"/>
      <c r="R29" s="53"/>
      <c r="S29" s="53"/>
      <c r="T29" s="53"/>
      <c r="U29" s="53"/>
    </row>
    <row r="30" spans="1:24" ht="18" customHeight="1" x14ac:dyDescent="0.15">
      <c r="B30" s="113"/>
      <c r="C30" s="114"/>
      <c r="D30" s="114"/>
      <c r="E30" s="114"/>
      <c r="F30" s="115"/>
      <c r="G30" s="53"/>
      <c r="H30" s="53"/>
      <c r="I30" s="53"/>
      <c r="J30" s="53"/>
      <c r="K30" s="113"/>
      <c r="L30" s="114"/>
      <c r="M30" s="114"/>
      <c r="N30" s="114"/>
      <c r="O30" s="114"/>
      <c r="P30" s="114"/>
      <c r="Q30" s="115"/>
      <c r="R30" s="53"/>
      <c r="S30" s="53"/>
      <c r="T30" s="53"/>
      <c r="U30" s="53"/>
    </row>
    <row r="31" spans="1:24" ht="18" customHeight="1" x14ac:dyDescent="0.15">
      <c r="B31" s="113"/>
      <c r="C31" s="114"/>
      <c r="D31" s="114"/>
      <c r="E31" s="114"/>
      <c r="F31" s="115"/>
      <c r="G31" s="53"/>
      <c r="H31" s="53"/>
      <c r="I31" s="53"/>
      <c r="J31" s="53"/>
      <c r="K31" s="113"/>
      <c r="L31" s="114"/>
      <c r="M31" s="114"/>
      <c r="N31" s="114"/>
      <c r="O31" s="114"/>
      <c r="P31" s="114"/>
      <c r="Q31" s="115"/>
      <c r="R31" s="53"/>
      <c r="S31" s="53"/>
      <c r="T31" s="53"/>
      <c r="U31" s="53"/>
    </row>
    <row r="32" spans="1:24" ht="18" customHeight="1" x14ac:dyDescent="0.15">
      <c r="A32" s="3"/>
      <c r="B32" s="113"/>
      <c r="C32" s="114"/>
      <c r="D32" s="114"/>
      <c r="E32" s="114"/>
      <c r="F32" s="115"/>
      <c r="G32" s="53"/>
      <c r="H32" s="53"/>
      <c r="I32" s="53"/>
      <c r="J32" s="53"/>
      <c r="K32" s="113"/>
      <c r="L32" s="114"/>
      <c r="M32" s="114"/>
      <c r="N32" s="114"/>
      <c r="O32" s="114"/>
      <c r="P32" s="114"/>
      <c r="Q32" s="115"/>
      <c r="R32" s="53"/>
      <c r="S32" s="53"/>
      <c r="T32" s="53"/>
      <c r="U32" s="53"/>
    </row>
    <row r="33" spans="1:21" ht="18" customHeight="1" x14ac:dyDescent="0.15">
      <c r="A33" s="3"/>
      <c r="B33" s="116"/>
      <c r="C33" s="117"/>
      <c r="D33" s="117"/>
      <c r="E33" s="117"/>
      <c r="F33" s="118"/>
      <c r="G33" s="54"/>
      <c r="H33" s="54"/>
      <c r="I33" s="55"/>
      <c r="J33" s="55"/>
      <c r="K33" s="116"/>
      <c r="L33" s="117"/>
      <c r="M33" s="117"/>
      <c r="N33" s="117"/>
      <c r="O33" s="117"/>
      <c r="P33" s="117"/>
      <c r="Q33" s="118"/>
      <c r="R33" s="54"/>
      <c r="S33" s="54"/>
      <c r="T33" s="55"/>
      <c r="U33" s="55"/>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2" t="s">
        <v>97</v>
      </c>
      <c r="B35" s="122"/>
      <c r="C35" s="122"/>
      <c r="D35" s="122"/>
      <c r="E35" s="122"/>
      <c r="F35" s="122"/>
      <c r="G35" s="122"/>
      <c r="H35" s="122"/>
      <c r="I35" s="122"/>
      <c r="J35" s="122"/>
      <c r="K35" s="122"/>
      <c r="L35" s="122"/>
      <c r="M35" s="122"/>
      <c r="N35" s="122"/>
      <c r="O35" s="122"/>
      <c r="P35" s="122"/>
      <c r="Q35" s="122"/>
      <c r="R35" s="122"/>
      <c r="S35" s="122"/>
      <c r="T35" s="122"/>
      <c r="U35" s="122"/>
    </row>
    <row r="36" spans="1:21" ht="18" customHeight="1" x14ac:dyDescent="0.15">
      <c r="A36" s="122"/>
      <c r="B36" s="122"/>
      <c r="C36" s="122"/>
      <c r="D36" s="122"/>
      <c r="E36" s="122"/>
      <c r="F36" s="122"/>
      <c r="G36" s="122"/>
      <c r="H36" s="122"/>
      <c r="I36" s="122"/>
      <c r="J36" s="122"/>
      <c r="K36" s="122"/>
      <c r="L36" s="122"/>
      <c r="M36" s="122"/>
      <c r="N36" s="122"/>
      <c r="O36" s="122"/>
      <c r="P36" s="122"/>
      <c r="Q36" s="122"/>
      <c r="R36" s="122"/>
      <c r="S36" s="122"/>
      <c r="T36" s="122"/>
      <c r="U36" s="122"/>
    </row>
    <row r="37" spans="1:21" ht="18" customHeight="1" x14ac:dyDescent="0.15">
      <c r="B37" s="94" t="s">
        <v>48</v>
      </c>
      <c r="C37" s="95"/>
      <c r="D37" s="95"/>
      <c r="E37" s="95"/>
      <c r="F37" s="96"/>
      <c r="G37" s="50" t="s">
        <v>73</v>
      </c>
      <c r="H37" s="51" t="s">
        <v>76</v>
      </c>
      <c r="I37" s="52" t="s">
        <v>64</v>
      </c>
      <c r="J37" s="52" t="s">
        <v>65</v>
      </c>
      <c r="K37" s="94" t="s">
        <v>48</v>
      </c>
      <c r="L37" s="95"/>
      <c r="M37" s="95"/>
      <c r="N37" s="95"/>
      <c r="O37" s="95"/>
      <c r="P37" s="95"/>
      <c r="Q37" s="96"/>
      <c r="R37" s="50" t="s">
        <v>73</v>
      </c>
      <c r="S37" s="51" t="s">
        <v>76</v>
      </c>
      <c r="T37" s="52" t="s">
        <v>64</v>
      </c>
      <c r="U37" s="52" t="s">
        <v>65</v>
      </c>
    </row>
    <row r="38" spans="1:21" ht="18" customHeight="1" x14ac:dyDescent="0.15">
      <c r="B38" s="119" t="s">
        <v>155</v>
      </c>
      <c r="C38" s="120"/>
      <c r="D38" s="120"/>
      <c r="E38" s="120"/>
      <c r="F38" s="121"/>
      <c r="G38" s="74">
        <v>2</v>
      </c>
      <c r="H38" s="74" t="s">
        <v>151</v>
      </c>
      <c r="I38" s="74" t="s">
        <v>151</v>
      </c>
      <c r="J38" s="74" t="s">
        <v>151</v>
      </c>
      <c r="K38" s="119"/>
      <c r="L38" s="120"/>
      <c r="M38" s="120"/>
      <c r="N38" s="120"/>
      <c r="O38" s="120"/>
      <c r="P38" s="120"/>
      <c r="Q38" s="121"/>
      <c r="R38" s="74"/>
      <c r="S38" s="74"/>
      <c r="T38" s="74"/>
      <c r="U38" s="74"/>
    </row>
    <row r="39" spans="1:21" ht="18" customHeight="1" x14ac:dyDescent="0.15">
      <c r="B39" s="113"/>
      <c r="C39" s="114"/>
      <c r="D39" s="114"/>
      <c r="E39" s="114"/>
      <c r="F39" s="115"/>
      <c r="G39" s="53"/>
      <c r="H39" s="53"/>
      <c r="I39" s="53"/>
      <c r="J39" s="53"/>
      <c r="K39" s="113"/>
      <c r="L39" s="114"/>
      <c r="M39" s="114"/>
      <c r="N39" s="114"/>
      <c r="O39" s="114"/>
      <c r="P39" s="114"/>
      <c r="Q39" s="115"/>
      <c r="R39" s="53"/>
      <c r="S39" s="53"/>
      <c r="T39" s="53"/>
      <c r="U39" s="53"/>
    </row>
    <row r="40" spans="1:21" ht="18" customHeight="1" x14ac:dyDescent="0.15">
      <c r="B40" s="113"/>
      <c r="C40" s="114"/>
      <c r="D40" s="114"/>
      <c r="E40" s="114"/>
      <c r="F40" s="115"/>
      <c r="G40" s="53"/>
      <c r="H40" s="53"/>
      <c r="I40" s="53"/>
      <c r="J40" s="53"/>
      <c r="K40" s="113"/>
      <c r="L40" s="114"/>
      <c r="M40" s="114"/>
      <c r="N40" s="114"/>
      <c r="O40" s="114"/>
      <c r="P40" s="114"/>
      <c r="Q40" s="115"/>
      <c r="R40" s="53"/>
      <c r="S40" s="53"/>
      <c r="T40" s="53"/>
      <c r="U40" s="53"/>
    </row>
    <row r="41" spans="1:21" ht="18" customHeight="1" x14ac:dyDescent="0.15">
      <c r="B41" s="113"/>
      <c r="C41" s="114"/>
      <c r="D41" s="114"/>
      <c r="E41" s="114"/>
      <c r="F41" s="115"/>
      <c r="G41" s="53"/>
      <c r="H41" s="53"/>
      <c r="I41" s="53"/>
      <c r="J41" s="53"/>
      <c r="K41" s="113"/>
      <c r="L41" s="114"/>
      <c r="M41" s="114"/>
      <c r="N41" s="114"/>
      <c r="O41" s="114"/>
      <c r="P41" s="114"/>
      <c r="Q41" s="115"/>
      <c r="R41" s="53"/>
      <c r="S41" s="53"/>
      <c r="T41" s="53"/>
      <c r="U41" s="53"/>
    </row>
    <row r="42" spans="1:21" ht="18" customHeight="1" x14ac:dyDescent="0.15">
      <c r="B42" s="113"/>
      <c r="C42" s="114"/>
      <c r="D42" s="114"/>
      <c r="E42" s="114"/>
      <c r="F42" s="115"/>
      <c r="G42" s="53"/>
      <c r="H42" s="53"/>
      <c r="I42" s="53"/>
      <c r="J42" s="53"/>
      <c r="K42" s="113"/>
      <c r="L42" s="114"/>
      <c r="M42" s="114"/>
      <c r="N42" s="114"/>
      <c r="O42" s="114"/>
      <c r="P42" s="114"/>
      <c r="Q42" s="115"/>
      <c r="R42" s="53"/>
      <c r="S42" s="53"/>
      <c r="T42" s="53"/>
      <c r="U42" s="53"/>
    </row>
    <row r="43" spans="1:21" ht="18" customHeight="1" x14ac:dyDescent="0.15">
      <c r="B43" s="113"/>
      <c r="C43" s="114"/>
      <c r="D43" s="114"/>
      <c r="E43" s="114"/>
      <c r="F43" s="115"/>
      <c r="G43" s="53"/>
      <c r="H43" s="53"/>
      <c r="I43" s="53"/>
      <c r="J43" s="53"/>
      <c r="K43" s="113"/>
      <c r="L43" s="114"/>
      <c r="M43" s="114"/>
      <c r="N43" s="114"/>
      <c r="O43" s="114"/>
      <c r="P43" s="114"/>
      <c r="Q43" s="115"/>
      <c r="R43" s="53"/>
      <c r="S43" s="53"/>
      <c r="T43" s="53"/>
      <c r="U43" s="53"/>
    </row>
    <row r="44" spans="1:21" ht="18" customHeight="1" x14ac:dyDescent="0.15">
      <c r="B44" s="116"/>
      <c r="C44" s="117"/>
      <c r="D44" s="117"/>
      <c r="E44" s="117"/>
      <c r="F44" s="118"/>
      <c r="G44" s="54"/>
      <c r="H44" s="54"/>
      <c r="I44" s="55"/>
      <c r="J44" s="55"/>
      <c r="K44" s="116"/>
      <c r="L44" s="117"/>
      <c r="M44" s="117"/>
      <c r="N44" s="117"/>
      <c r="O44" s="117"/>
      <c r="P44" s="117"/>
      <c r="Q44" s="118"/>
      <c r="R44" s="54"/>
      <c r="S44" s="54"/>
      <c r="T44" s="55"/>
      <c r="U44" s="55"/>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2" t="s">
        <v>98</v>
      </c>
      <c r="B46" s="122"/>
      <c r="C46" s="122"/>
      <c r="D46" s="122"/>
      <c r="E46" s="122"/>
      <c r="F46" s="122"/>
      <c r="G46" s="122"/>
      <c r="H46" s="122"/>
      <c r="I46" s="122"/>
      <c r="J46" s="122"/>
      <c r="K46" s="122"/>
      <c r="L46" s="122"/>
      <c r="M46" s="122"/>
      <c r="N46" s="122"/>
      <c r="O46" s="122"/>
      <c r="P46" s="122"/>
      <c r="Q46" s="122"/>
      <c r="R46" s="122"/>
      <c r="S46" s="122"/>
      <c r="T46" s="122"/>
      <c r="U46" s="122"/>
    </row>
    <row r="47" spans="1:21" ht="18" customHeight="1" x14ac:dyDescent="0.15">
      <c r="A47" s="122"/>
      <c r="B47" s="122"/>
      <c r="C47" s="122"/>
      <c r="D47" s="122"/>
      <c r="E47" s="122"/>
      <c r="F47" s="122"/>
      <c r="G47" s="122"/>
      <c r="H47" s="122"/>
      <c r="I47" s="122"/>
      <c r="J47" s="122"/>
      <c r="K47" s="122"/>
      <c r="L47" s="122"/>
      <c r="M47" s="122"/>
      <c r="N47" s="122"/>
      <c r="O47" s="122"/>
      <c r="P47" s="122"/>
      <c r="Q47" s="122"/>
      <c r="R47" s="122"/>
      <c r="S47" s="122"/>
      <c r="T47" s="122"/>
      <c r="U47" s="122"/>
    </row>
    <row r="48" spans="1:21" ht="18" customHeight="1" x14ac:dyDescent="0.15">
      <c r="B48" s="94" t="s">
        <v>48</v>
      </c>
      <c r="C48" s="95"/>
      <c r="D48" s="95"/>
      <c r="E48" s="95"/>
      <c r="F48" s="96"/>
      <c r="G48" s="50" t="s">
        <v>73</v>
      </c>
      <c r="H48" s="51" t="s">
        <v>76</v>
      </c>
      <c r="I48" s="52" t="s">
        <v>66</v>
      </c>
      <c r="J48" s="52" t="s">
        <v>67</v>
      </c>
      <c r="K48" s="94" t="s">
        <v>48</v>
      </c>
      <c r="L48" s="95"/>
      <c r="M48" s="95"/>
      <c r="N48" s="95"/>
      <c r="O48" s="95"/>
      <c r="P48" s="95"/>
      <c r="Q48" s="96"/>
      <c r="R48" s="50" t="s">
        <v>73</v>
      </c>
      <c r="S48" s="51" t="s">
        <v>76</v>
      </c>
      <c r="T48" s="52" t="s">
        <v>66</v>
      </c>
      <c r="U48" s="52" t="s">
        <v>67</v>
      </c>
    </row>
    <row r="49" spans="1:21" ht="18" customHeight="1" x14ac:dyDescent="0.15">
      <c r="A49" s="3"/>
      <c r="B49" s="119" t="s">
        <v>155</v>
      </c>
      <c r="C49" s="120"/>
      <c r="D49" s="120"/>
      <c r="E49" s="120"/>
      <c r="F49" s="121"/>
      <c r="G49" s="75">
        <v>2</v>
      </c>
      <c r="H49" s="76" t="s">
        <v>151</v>
      </c>
      <c r="I49" s="76" t="s">
        <v>151</v>
      </c>
      <c r="J49" s="76" t="s">
        <v>151</v>
      </c>
      <c r="K49" s="119"/>
      <c r="L49" s="120"/>
      <c r="M49" s="120"/>
      <c r="N49" s="120"/>
      <c r="O49" s="120"/>
      <c r="P49" s="120"/>
      <c r="Q49" s="121"/>
      <c r="R49" s="74"/>
      <c r="S49" s="74"/>
      <c r="T49" s="74"/>
      <c r="U49" s="74"/>
    </row>
    <row r="50" spans="1:21" ht="18" customHeight="1" x14ac:dyDescent="0.15">
      <c r="A50" s="3"/>
      <c r="B50" s="113"/>
      <c r="C50" s="114"/>
      <c r="D50" s="114"/>
      <c r="E50" s="114"/>
      <c r="F50" s="115"/>
      <c r="G50" s="53"/>
      <c r="H50" s="53"/>
      <c r="I50" s="53"/>
      <c r="J50" s="53"/>
      <c r="K50" s="113"/>
      <c r="L50" s="114"/>
      <c r="M50" s="114"/>
      <c r="N50" s="114"/>
      <c r="O50" s="114"/>
      <c r="P50" s="114"/>
      <c r="Q50" s="115"/>
      <c r="R50" s="53"/>
      <c r="S50" s="53"/>
      <c r="T50" s="53"/>
      <c r="U50" s="53"/>
    </row>
    <row r="51" spans="1:21" ht="18" customHeight="1" x14ac:dyDescent="0.15">
      <c r="A51" s="3"/>
      <c r="B51" s="113"/>
      <c r="C51" s="114"/>
      <c r="D51" s="114"/>
      <c r="E51" s="114"/>
      <c r="F51" s="115"/>
      <c r="G51" s="53"/>
      <c r="H51" s="53"/>
      <c r="I51" s="53"/>
      <c r="J51" s="53"/>
      <c r="K51" s="113"/>
      <c r="L51" s="114"/>
      <c r="M51" s="114"/>
      <c r="N51" s="114"/>
      <c r="O51" s="114"/>
      <c r="P51" s="114"/>
      <c r="Q51" s="115"/>
      <c r="R51" s="53"/>
      <c r="S51" s="53"/>
      <c r="T51" s="53"/>
      <c r="U51" s="53"/>
    </row>
    <row r="52" spans="1:21" ht="18" customHeight="1" x14ac:dyDescent="0.15">
      <c r="A52" s="3"/>
      <c r="B52" s="113"/>
      <c r="C52" s="114"/>
      <c r="D52" s="114"/>
      <c r="E52" s="114"/>
      <c r="F52" s="115"/>
      <c r="G52" s="53"/>
      <c r="H52" s="53"/>
      <c r="I52" s="53"/>
      <c r="J52" s="53"/>
      <c r="K52" s="113"/>
      <c r="L52" s="114"/>
      <c r="M52" s="114"/>
      <c r="N52" s="114"/>
      <c r="O52" s="114"/>
      <c r="P52" s="114"/>
      <c r="Q52" s="115"/>
      <c r="R52" s="53"/>
      <c r="S52" s="53"/>
      <c r="T52" s="53"/>
      <c r="U52" s="53"/>
    </row>
    <row r="53" spans="1:21" ht="18" customHeight="1" x14ac:dyDescent="0.15">
      <c r="A53" s="3"/>
      <c r="B53" s="113"/>
      <c r="C53" s="114"/>
      <c r="D53" s="114"/>
      <c r="E53" s="114"/>
      <c r="F53" s="115"/>
      <c r="G53" s="53"/>
      <c r="H53" s="53"/>
      <c r="I53" s="53"/>
      <c r="J53" s="53"/>
      <c r="K53" s="113"/>
      <c r="L53" s="114"/>
      <c r="M53" s="114"/>
      <c r="N53" s="114"/>
      <c r="O53" s="114"/>
      <c r="P53" s="114"/>
      <c r="Q53" s="115"/>
      <c r="R53" s="53"/>
      <c r="S53" s="53"/>
      <c r="T53" s="53"/>
      <c r="U53" s="53"/>
    </row>
    <row r="54" spans="1:21" ht="18" customHeight="1" x14ac:dyDescent="0.15">
      <c r="A54" s="3"/>
      <c r="B54" s="113"/>
      <c r="C54" s="114"/>
      <c r="D54" s="114"/>
      <c r="E54" s="114"/>
      <c r="F54" s="115"/>
      <c r="G54" s="53"/>
      <c r="H54" s="53"/>
      <c r="I54" s="53"/>
      <c r="J54" s="53"/>
      <c r="K54" s="113"/>
      <c r="L54" s="114"/>
      <c r="M54" s="114"/>
      <c r="N54" s="114"/>
      <c r="O54" s="114"/>
      <c r="P54" s="114"/>
      <c r="Q54" s="115"/>
      <c r="R54" s="53"/>
      <c r="S54" s="53"/>
      <c r="T54" s="53"/>
      <c r="U54" s="53"/>
    </row>
    <row r="55" spans="1:21" ht="18" customHeight="1" x14ac:dyDescent="0.15">
      <c r="A55" s="3"/>
      <c r="B55" s="116"/>
      <c r="C55" s="117"/>
      <c r="D55" s="117"/>
      <c r="E55" s="117"/>
      <c r="F55" s="118"/>
      <c r="G55" s="54"/>
      <c r="H55" s="54"/>
      <c r="I55" s="55"/>
      <c r="J55" s="55"/>
      <c r="K55" s="116"/>
      <c r="L55" s="117"/>
      <c r="M55" s="117"/>
      <c r="N55" s="117"/>
      <c r="O55" s="117"/>
      <c r="P55" s="117"/>
      <c r="Q55" s="118"/>
      <c r="R55" s="54"/>
      <c r="S55" s="54"/>
      <c r="T55" s="55"/>
      <c r="U55" s="55"/>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2" t="s">
        <v>99</v>
      </c>
      <c r="B57" s="122"/>
      <c r="C57" s="122"/>
      <c r="D57" s="122"/>
      <c r="E57" s="122"/>
      <c r="F57" s="122"/>
      <c r="G57" s="122"/>
      <c r="H57" s="122"/>
      <c r="I57" s="122"/>
      <c r="J57" s="122"/>
      <c r="K57" s="122"/>
      <c r="L57" s="122"/>
      <c r="M57" s="122"/>
      <c r="N57" s="122"/>
      <c r="O57" s="122"/>
      <c r="P57" s="122"/>
      <c r="Q57" s="122"/>
      <c r="R57" s="122"/>
      <c r="S57" s="122"/>
      <c r="T57" s="122"/>
      <c r="U57" s="122"/>
    </row>
    <row r="58" spans="1:21" ht="18" customHeight="1" x14ac:dyDescent="0.15">
      <c r="A58" s="122"/>
      <c r="B58" s="122"/>
      <c r="C58" s="122"/>
      <c r="D58" s="122"/>
      <c r="E58" s="122"/>
      <c r="F58" s="122"/>
      <c r="G58" s="122"/>
      <c r="H58" s="122"/>
      <c r="I58" s="122"/>
      <c r="J58" s="122"/>
      <c r="K58" s="122"/>
      <c r="L58" s="122"/>
      <c r="M58" s="122"/>
      <c r="N58" s="122"/>
      <c r="O58" s="122"/>
      <c r="P58" s="122"/>
      <c r="Q58" s="122"/>
      <c r="R58" s="122"/>
      <c r="S58" s="122"/>
      <c r="T58" s="122"/>
      <c r="U58" s="122"/>
    </row>
    <row r="59" spans="1:21" ht="18" customHeight="1" x14ac:dyDescent="0.15">
      <c r="B59" s="94" t="s">
        <v>48</v>
      </c>
      <c r="C59" s="95"/>
      <c r="D59" s="95"/>
      <c r="E59" s="95"/>
      <c r="F59" s="96"/>
      <c r="G59" s="50" t="s">
        <v>73</v>
      </c>
      <c r="H59" s="51" t="s">
        <v>76</v>
      </c>
      <c r="I59" s="52" t="s">
        <v>53</v>
      </c>
      <c r="J59" s="52" t="s">
        <v>55</v>
      </c>
      <c r="K59" s="94" t="s">
        <v>48</v>
      </c>
      <c r="L59" s="95"/>
      <c r="M59" s="95"/>
      <c r="N59" s="95"/>
      <c r="O59" s="95"/>
      <c r="P59" s="95"/>
      <c r="Q59" s="96"/>
      <c r="R59" s="50" t="s">
        <v>73</v>
      </c>
      <c r="S59" s="51" t="s">
        <v>76</v>
      </c>
      <c r="T59" s="52" t="s">
        <v>53</v>
      </c>
      <c r="U59" s="52" t="s">
        <v>55</v>
      </c>
    </row>
    <row r="60" spans="1:21" ht="18" customHeight="1" x14ac:dyDescent="0.15">
      <c r="A60" s="3"/>
      <c r="B60" s="119" t="s">
        <v>156</v>
      </c>
      <c r="C60" s="120"/>
      <c r="D60" s="120"/>
      <c r="E60" s="120"/>
      <c r="F60" s="121"/>
      <c r="G60" s="74">
        <v>2</v>
      </c>
      <c r="H60" s="74" t="s">
        <v>151</v>
      </c>
      <c r="I60" s="74"/>
      <c r="J60" s="74" t="s">
        <v>151</v>
      </c>
      <c r="K60" s="119"/>
      <c r="L60" s="120"/>
      <c r="M60" s="120"/>
      <c r="N60" s="120"/>
      <c r="O60" s="120"/>
      <c r="P60" s="120"/>
      <c r="Q60" s="121"/>
      <c r="R60" s="74"/>
      <c r="S60" s="74"/>
      <c r="T60" s="74"/>
      <c r="U60" s="74"/>
    </row>
    <row r="61" spans="1:21" ht="18" customHeight="1" x14ac:dyDescent="0.15">
      <c r="A61" s="3"/>
      <c r="B61" s="113" t="s">
        <v>157</v>
      </c>
      <c r="C61" s="114"/>
      <c r="D61" s="114"/>
      <c r="E61" s="114"/>
      <c r="F61" s="115"/>
      <c r="G61" s="53">
        <v>2</v>
      </c>
      <c r="H61" s="53" t="s">
        <v>151</v>
      </c>
      <c r="I61" s="53" t="s">
        <v>151</v>
      </c>
      <c r="J61" s="53"/>
      <c r="K61" s="113"/>
      <c r="L61" s="114"/>
      <c r="M61" s="114"/>
      <c r="N61" s="114"/>
      <c r="O61" s="114"/>
      <c r="P61" s="114"/>
      <c r="Q61" s="115"/>
      <c r="R61" s="53"/>
      <c r="S61" s="53"/>
      <c r="T61" s="53"/>
      <c r="U61" s="53"/>
    </row>
    <row r="62" spans="1:21" ht="18" customHeight="1" x14ac:dyDescent="0.15">
      <c r="A62" s="3"/>
      <c r="B62" s="113"/>
      <c r="C62" s="114"/>
      <c r="D62" s="114"/>
      <c r="E62" s="114"/>
      <c r="F62" s="115"/>
      <c r="G62" s="53"/>
      <c r="H62" s="53"/>
      <c r="I62" s="53"/>
      <c r="J62" s="53"/>
      <c r="K62" s="113"/>
      <c r="L62" s="114"/>
      <c r="M62" s="114"/>
      <c r="N62" s="114"/>
      <c r="O62" s="114"/>
      <c r="P62" s="114"/>
      <c r="Q62" s="115"/>
      <c r="R62" s="53"/>
      <c r="S62" s="53"/>
      <c r="T62" s="53"/>
      <c r="U62" s="53"/>
    </row>
    <row r="63" spans="1:21" ht="18" customHeight="1" x14ac:dyDescent="0.15">
      <c r="A63" s="3"/>
      <c r="B63" s="113"/>
      <c r="C63" s="114"/>
      <c r="D63" s="114"/>
      <c r="E63" s="114"/>
      <c r="F63" s="115"/>
      <c r="G63" s="53"/>
      <c r="H63" s="53"/>
      <c r="I63" s="53"/>
      <c r="J63" s="53"/>
      <c r="K63" s="113"/>
      <c r="L63" s="114"/>
      <c r="M63" s="114"/>
      <c r="N63" s="114"/>
      <c r="O63" s="114"/>
      <c r="P63" s="114"/>
      <c r="Q63" s="115"/>
      <c r="R63" s="53"/>
      <c r="S63" s="53"/>
      <c r="T63" s="53"/>
      <c r="U63" s="53"/>
    </row>
    <row r="64" spans="1:21" ht="18" customHeight="1" x14ac:dyDescent="0.15">
      <c r="A64" s="3"/>
      <c r="B64" s="113"/>
      <c r="C64" s="114"/>
      <c r="D64" s="114"/>
      <c r="E64" s="114"/>
      <c r="F64" s="115"/>
      <c r="G64" s="53"/>
      <c r="H64" s="53"/>
      <c r="I64" s="53"/>
      <c r="J64" s="53"/>
      <c r="K64" s="113"/>
      <c r="L64" s="114"/>
      <c r="M64" s="114"/>
      <c r="N64" s="114"/>
      <c r="O64" s="114"/>
      <c r="P64" s="114"/>
      <c r="Q64" s="115"/>
      <c r="R64" s="53"/>
      <c r="S64" s="53"/>
      <c r="T64" s="53"/>
      <c r="U64" s="53"/>
    </row>
    <row r="65" spans="1:27" ht="18" customHeight="1" x14ac:dyDescent="0.15">
      <c r="A65" s="3"/>
      <c r="B65" s="113"/>
      <c r="C65" s="114"/>
      <c r="D65" s="114"/>
      <c r="E65" s="114"/>
      <c r="F65" s="115"/>
      <c r="G65" s="53"/>
      <c r="H65" s="53"/>
      <c r="I65" s="53"/>
      <c r="J65" s="53"/>
      <c r="K65" s="113"/>
      <c r="L65" s="114"/>
      <c r="M65" s="114"/>
      <c r="N65" s="114"/>
      <c r="O65" s="114"/>
      <c r="P65" s="114"/>
      <c r="Q65" s="115"/>
      <c r="R65" s="53"/>
      <c r="S65" s="53"/>
      <c r="T65" s="53"/>
      <c r="U65" s="53"/>
    </row>
    <row r="66" spans="1:27" ht="18" customHeight="1" x14ac:dyDescent="0.15">
      <c r="A66" s="3"/>
      <c r="B66" s="116"/>
      <c r="C66" s="117"/>
      <c r="D66" s="117"/>
      <c r="E66" s="117"/>
      <c r="F66" s="118"/>
      <c r="G66" s="54"/>
      <c r="H66" s="54"/>
      <c r="I66" s="55"/>
      <c r="J66" s="55"/>
      <c r="K66" s="116"/>
      <c r="L66" s="117"/>
      <c r="M66" s="117"/>
      <c r="N66" s="117"/>
      <c r="O66" s="117"/>
      <c r="P66" s="117"/>
      <c r="Q66" s="118"/>
      <c r="R66" s="54"/>
      <c r="S66" s="54"/>
      <c r="T66" s="55"/>
      <c r="U66" s="55"/>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22" t="s">
        <v>100</v>
      </c>
      <c r="B68" s="122"/>
      <c r="C68" s="122"/>
      <c r="D68" s="122"/>
      <c r="E68" s="122"/>
      <c r="F68" s="122"/>
      <c r="G68" s="122"/>
      <c r="H68" s="122"/>
      <c r="I68" s="122"/>
      <c r="J68" s="122"/>
      <c r="K68" s="122"/>
      <c r="L68" s="122"/>
      <c r="M68" s="122"/>
      <c r="N68" s="122"/>
      <c r="O68" s="122"/>
      <c r="P68" s="122"/>
      <c r="Q68" s="122"/>
      <c r="R68" s="122"/>
      <c r="S68" s="122"/>
      <c r="T68" s="122"/>
      <c r="U68" s="122"/>
    </row>
    <row r="69" spans="1:27" ht="18" customHeight="1" x14ac:dyDescent="0.15">
      <c r="A69" s="122"/>
      <c r="B69" s="122"/>
      <c r="C69" s="122"/>
      <c r="D69" s="122"/>
      <c r="E69" s="122"/>
      <c r="F69" s="122"/>
      <c r="G69" s="122"/>
      <c r="H69" s="122"/>
      <c r="I69" s="122"/>
      <c r="J69" s="122"/>
      <c r="K69" s="122"/>
      <c r="L69" s="122"/>
      <c r="M69" s="122"/>
      <c r="N69" s="122"/>
      <c r="O69" s="122"/>
      <c r="P69" s="122"/>
      <c r="Q69" s="122"/>
      <c r="R69" s="122"/>
      <c r="S69" s="122"/>
      <c r="T69" s="122"/>
      <c r="U69" s="122"/>
    </row>
    <row r="70" spans="1:27" ht="18" customHeight="1" x14ac:dyDescent="0.15">
      <c r="B70" s="94" t="s">
        <v>48</v>
      </c>
      <c r="C70" s="95"/>
      <c r="D70" s="95"/>
      <c r="E70" s="95"/>
      <c r="F70" s="50" t="s">
        <v>73</v>
      </c>
      <c r="G70" s="51" t="s">
        <v>76</v>
      </c>
      <c r="H70" s="52" t="s">
        <v>87</v>
      </c>
      <c r="I70" s="52" t="s">
        <v>68</v>
      </c>
      <c r="J70" s="52" t="s">
        <v>69</v>
      </c>
      <c r="K70" s="94" t="s">
        <v>48</v>
      </c>
      <c r="L70" s="95"/>
      <c r="M70" s="95"/>
      <c r="N70" s="95"/>
      <c r="O70" s="95"/>
      <c r="P70" s="96"/>
      <c r="Q70" s="50" t="s">
        <v>73</v>
      </c>
      <c r="R70" s="51" t="s">
        <v>76</v>
      </c>
      <c r="S70" s="52" t="s">
        <v>87</v>
      </c>
      <c r="T70" s="52" t="s">
        <v>68</v>
      </c>
      <c r="U70" s="52" t="s">
        <v>69</v>
      </c>
    </row>
    <row r="71" spans="1:27" ht="18" customHeight="1" x14ac:dyDescent="0.15">
      <c r="A71" s="3"/>
      <c r="B71" s="119" t="s">
        <v>156</v>
      </c>
      <c r="C71" s="120"/>
      <c r="D71" s="120"/>
      <c r="E71" s="120"/>
      <c r="F71" s="74">
        <v>2</v>
      </c>
      <c r="G71" s="74" t="s">
        <v>151</v>
      </c>
      <c r="H71" s="74"/>
      <c r="I71" s="74" t="s">
        <v>151</v>
      </c>
      <c r="J71" s="74" t="s">
        <v>151</v>
      </c>
      <c r="K71" s="119"/>
      <c r="L71" s="120"/>
      <c r="M71" s="120"/>
      <c r="N71" s="120"/>
      <c r="O71" s="120"/>
      <c r="P71" s="121"/>
      <c r="Q71" s="74"/>
      <c r="R71" s="74"/>
      <c r="S71" s="74"/>
      <c r="T71" s="74"/>
      <c r="U71" s="74"/>
    </row>
    <row r="72" spans="1:27" ht="18" customHeight="1" x14ac:dyDescent="0.15">
      <c r="A72" s="3"/>
      <c r="B72" s="113" t="s">
        <v>157</v>
      </c>
      <c r="C72" s="114"/>
      <c r="D72" s="114"/>
      <c r="E72" s="114"/>
      <c r="F72" s="53">
        <v>2</v>
      </c>
      <c r="G72" s="53" t="s">
        <v>151</v>
      </c>
      <c r="H72" s="53" t="s">
        <v>151</v>
      </c>
      <c r="I72" s="53"/>
      <c r="J72" s="53"/>
      <c r="K72" s="113"/>
      <c r="L72" s="114"/>
      <c r="M72" s="114"/>
      <c r="N72" s="114"/>
      <c r="O72" s="114"/>
      <c r="P72" s="115"/>
      <c r="Q72" s="53"/>
      <c r="R72" s="53"/>
      <c r="S72" s="53"/>
      <c r="T72" s="53"/>
      <c r="U72" s="53"/>
    </row>
    <row r="73" spans="1:27" ht="18" customHeight="1" x14ac:dyDescent="0.15">
      <c r="A73" s="3"/>
      <c r="B73" s="113"/>
      <c r="C73" s="114"/>
      <c r="D73" s="114"/>
      <c r="E73" s="114"/>
      <c r="F73" s="53"/>
      <c r="G73" s="53"/>
      <c r="H73" s="53"/>
      <c r="I73" s="53"/>
      <c r="J73" s="53"/>
      <c r="K73" s="113"/>
      <c r="L73" s="114"/>
      <c r="M73" s="114"/>
      <c r="N73" s="114"/>
      <c r="O73" s="114"/>
      <c r="P73" s="115"/>
      <c r="Q73" s="53"/>
      <c r="R73" s="53"/>
      <c r="S73" s="53"/>
      <c r="T73" s="53"/>
      <c r="U73" s="53"/>
    </row>
    <row r="74" spans="1:27" ht="18" customHeight="1" x14ac:dyDescent="0.15">
      <c r="A74" s="3"/>
      <c r="B74" s="113"/>
      <c r="C74" s="114"/>
      <c r="D74" s="114"/>
      <c r="E74" s="114"/>
      <c r="F74" s="53"/>
      <c r="G74" s="53"/>
      <c r="H74" s="53"/>
      <c r="I74" s="53"/>
      <c r="J74" s="53"/>
      <c r="K74" s="113"/>
      <c r="L74" s="114"/>
      <c r="M74" s="114"/>
      <c r="N74" s="114"/>
      <c r="O74" s="114"/>
      <c r="P74" s="115"/>
      <c r="Q74" s="53"/>
      <c r="R74" s="53"/>
      <c r="S74" s="53"/>
      <c r="T74" s="53"/>
      <c r="U74" s="53"/>
    </row>
    <row r="75" spans="1:27" ht="18" customHeight="1" x14ac:dyDescent="0.15">
      <c r="A75" s="3"/>
      <c r="B75" s="113"/>
      <c r="C75" s="114"/>
      <c r="D75" s="114"/>
      <c r="E75" s="114"/>
      <c r="F75" s="53"/>
      <c r="G75" s="53"/>
      <c r="H75" s="53"/>
      <c r="I75" s="53"/>
      <c r="J75" s="53"/>
      <c r="K75" s="113"/>
      <c r="L75" s="114"/>
      <c r="M75" s="114"/>
      <c r="N75" s="114"/>
      <c r="O75" s="114"/>
      <c r="P75" s="115"/>
      <c r="Q75" s="53"/>
      <c r="R75" s="53"/>
      <c r="S75" s="53"/>
      <c r="T75" s="53"/>
      <c r="U75" s="53"/>
    </row>
    <row r="76" spans="1:27" ht="18" customHeight="1" x14ac:dyDescent="0.15">
      <c r="A76" s="3"/>
      <c r="B76" s="113"/>
      <c r="C76" s="114"/>
      <c r="D76" s="114"/>
      <c r="E76" s="114"/>
      <c r="F76" s="53"/>
      <c r="G76" s="53"/>
      <c r="H76" s="53"/>
      <c r="I76" s="53"/>
      <c r="J76" s="53"/>
      <c r="K76" s="113"/>
      <c r="L76" s="114"/>
      <c r="M76" s="114"/>
      <c r="N76" s="114"/>
      <c r="O76" s="114"/>
      <c r="P76" s="115"/>
      <c r="Q76" s="53"/>
      <c r="R76" s="53"/>
      <c r="S76" s="53"/>
      <c r="T76" s="53"/>
      <c r="U76" s="53"/>
    </row>
    <row r="77" spans="1:27" ht="18" customHeight="1" x14ac:dyDescent="0.15">
      <c r="A77" s="3"/>
      <c r="B77" s="116"/>
      <c r="C77" s="117"/>
      <c r="D77" s="117"/>
      <c r="E77" s="117"/>
      <c r="F77" s="54"/>
      <c r="G77" s="54"/>
      <c r="H77" s="55"/>
      <c r="I77" s="55"/>
      <c r="J77" s="55"/>
      <c r="K77" s="116"/>
      <c r="L77" s="117"/>
      <c r="M77" s="117"/>
      <c r="N77" s="117"/>
      <c r="O77" s="117"/>
      <c r="P77" s="118"/>
      <c r="Q77" s="54"/>
      <c r="R77" s="54"/>
      <c r="S77" s="55"/>
      <c r="T77" s="55"/>
      <c r="U77" s="55"/>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4" t="s">
        <v>48</v>
      </c>
      <c r="C80" s="95"/>
      <c r="D80" s="95"/>
      <c r="E80" s="95"/>
      <c r="F80" s="96"/>
      <c r="G80" s="94" t="s">
        <v>74</v>
      </c>
      <c r="H80" s="95"/>
      <c r="I80" s="95"/>
      <c r="J80" s="96"/>
      <c r="K80" s="154" t="s">
        <v>48</v>
      </c>
      <c r="L80" s="155"/>
      <c r="M80" s="155"/>
      <c r="N80" s="155"/>
      <c r="O80" s="155"/>
      <c r="P80" s="155"/>
      <c r="Q80" s="156"/>
      <c r="R80" s="94" t="s">
        <v>74</v>
      </c>
      <c r="S80" s="95"/>
      <c r="T80" s="95"/>
      <c r="U80" s="96"/>
      <c r="AA80" s="1" t="s">
        <v>138</v>
      </c>
    </row>
    <row r="81" spans="1:27" ht="18" customHeight="1" x14ac:dyDescent="0.15">
      <c r="A81" s="3"/>
      <c r="B81" s="119"/>
      <c r="C81" s="120"/>
      <c r="D81" s="120"/>
      <c r="E81" s="120"/>
      <c r="F81" s="121"/>
      <c r="G81" s="157"/>
      <c r="H81" s="158"/>
      <c r="I81" s="158"/>
      <c r="J81" s="159"/>
      <c r="K81" s="119"/>
      <c r="L81" s="120"/>
      <c r="M81" s="120"/>
      <c r="N81" s="120"/>
      <c r="O81" s="120"/>
      <c r="P81" s="120"/>
      <c r="Q81" s="121"/>
      <c r="R81" s="157"/>
      <c r="S81" s="158"/>
      <c r="T81" s="158"/>
      <c r="U81" s="159"/>
      <c r="AA81" s="1" t="s">
        <v>131</v>
      </c>
    </row>
    <row r="82" spans="1:27" ht="18" customHeight="1" x14ac:dyDescent="0.15">
      <c r="A82" s="3"/>
      <c r="B82" s="113"/>
      <c r="C82" s="114"/>
      <c r="D82" s="114"/>
      <c r="E82" s="114"/>
      <c r="F82" s="115"/>
      <c r="G82" s="149"/>
      <c r="H82" s="150"/>
      <c r="I82" s="150"/>
      <c r="J82" s="151"/>
      <c r="K82" s="113"/>
      <c r="L82" s="114"/>
      <c r="M82" s="114"/>
      <c r="N82" s="114"/>
      <c r="O82" s="114"/>
      <c r="P82" s="114"/>
      <c r="Q82" s="115"/>
      <c r="R82" s="149"/>
      <c r="S82" s="150"/>
      <c r="T82" s="150"/>
      <c r="U82" s="151"/>
      <c r="AA82" s="1" t="s">
        <v>132</v>
      </c>
    </row>
    <row r="83" spans="1:27" ht="18" customHeight="1" x14ac:dyDescent="0.15">
      <c r="A83" s="3"/>
      <c r="B83" s="113"/>
      <c r="C83" s="114"/>
      <c r="D83" s="114"/>
      <c r="E83" s="114"/>
      <c r="F83" s="115"/>
      <c r="G83" s="149"/>
      <c r="H83" s="150"/>
      <c r="I83" s="150"/>
      <c r="J83" s="151"/>
      <c r="K83" s="113"/>
      <c r="L83" s="114"/>
      <c r="M83" s="114"/>
      <c r="N83" s="114"/>
      <c r="O83" s="114"/>
      <c r="P83" s="114"/>
      <c r="Q83" s="115"/>
      <c r="R83" s="149"/>
      <c r="S83" s="150"/>
      <c r="T83" s="150"/>
      <c r="U83" s="151"/>
      <c r="AA83" s="1" t="s">
        <v>133</v>
      </c>
    </row>
    <row r="84" spans="1:27" ht="18" customHeight="1" x14ac:dyDescent="0.15">
      <c r="A84" s="3"/>
      <c r="B84" s="113"/>
      <c r="C84" s="114"/>
      <c r="D84" s="114"/>
      <c r="E84" s="114"/>
      <c r="F84" s="115"/>
      <c r="G84" s="149"/>
      <c r="H84" s="150"/>
      <c r="I84" s="150"/>
      <c r="J84" s="151"/>
      <c r="K84" s="113"/>
      <c r="L84" s="114"/>
      <c r="M84" s="114"/>
      <c r="N84" s="114"/>
      <c r="O84" s="114"/>
      <c r="P84" s="114"/>
      <c r="Q84" s="115"/>
      <c r="R84" s="149"/>
      <c r="S84" s="150"/>
      <c r="T84" s="150"/>
      <c r="U84" s="151"/>
      <c r="AA84" s="1" t="s">
        <v>139</v>
      </c>
    </row>
    <row r="85" spans="1:27" ht="18" customHeight="1" x14ac:dyDescent="0.15">
      <c r="A85" s="3"/>
      <c r="B85" s="113"/>
      <c r="C85" s="114"/>
      <c r="D85" s="114"/>
      <c r="E85" s="114"/>
      <c r="F85" s="115"/>
      <c r="G85" s="149"/>
      <c r="H85" s="150"/>
      <c r="I85" s="150"/>
      <c r="J85" s="151"/>
      <c r="K85" s="113"/>
      <c r="L85" s="114"/>
      <c r="M85" s="114"/>
      <c r="N85" s="114"/>
      <c r="O85" s="114"/>
      <c r="P85" s="114"/>
      <c r="Q85" s="115"/>
      <c r="R85" s="149"/>
      <c r="S85" s="150"/>
      <c r="T85" s="150"/>
      <c r="U85" s="151"/>
      <c r="AA85" s="1" t="s">
        <v>140</v>
      </c>
    </row>
    <row r="86" spans="1:27" ht="18" customHeight="1" x14ac:dyDescent="0.15">
      <c r="A86" s="3"/>
      <c r="B86" s="113"/>
      <c r="C86" s="114"/>
      <c r="D86" s="114"/>
      <c r="E86" s="114"/>
      <c r="F86" s="115"/>
      <c r="G86" s="149"/>
      <c r="H86" s="150"/>
      <c r="I86" s="150"/>
      <c r="J86" s="151"/>
      <c r="K86" s="113"/>
      <c r="L86" s="114"/>
      <c r="M86" s="114"/>
      <c r="N86" s="114"/>
      <c r="O86" s="114"/>
      <c r="P86" s="114"/>
      <c r="Q86" s="115"/>
      <c r="R86" s="149"/>
      <c r="S86" s="150"/>
      <c r="T86" s="150"/>
      <c r="U86" s="151"/>
      <c r="AA86" s="1" t="s">
        <v>134</v>
      </c>
    </row>
    <row r="87" spans="1:27" ht="18" customHeight="1" x14ac:dyDescent="0.15">
      <c r="A87" s="3"/>
      <c r="B87" s="116"/>
      <c r="C87" s="117"/>
      <c r="D87" s="117"/>
      <c r="E87" s="117"/>
      <c r="F87" s="118"/>
      <c r="G87" s="146"/>
      <c r="H87" s="147"/>
      <c r="I87" s="147"/>
      <c r="J87" s="148"/>
      <c r="K87" s="116"/>
      <c r="L87" s="117"/>
      <c r="M87" s="117"/>
      <c r="N87" s="117"/>
      <c r="O87" s="117"/>
      <c r="P87" s="117"/>
      <c r="Q87" s="118"/>
      <c r="R87" s="146"/>
      <c r="S87" s="147"/>
      <c r="T87" s="147"/>
      <c r="U87" s="148"/>
      <c r="AA87" s="1" t="s">
        <v>135</v>
      </c>
    </row>
    <row r="88" spans="1:27" ht="18" customHeight="1" x14ac:dyDescent="0.15">
      <c r="A88" s="3"/>
      <c r="B88" s="6"/>
      <c r="C88" s="6"/>
      <c r="D88" s="6"/>
      <c r="E88" s="6"/>
      <c r="F88" s="6"/>
      <c r="G88" s="56"/>
      <c r="H88" s="56"/>
      <c r="I88" s="56"/>
      <c r="J88" s="56"/>
      <c r="K88" s="6"/>
      <c r="L88" s="6"/>
      <c r="M88" s="6"/>
      <c r="N88" s="6"/>
      <c r="O88" s="6"/>
      <c r="P88" s="6"/>
      <c r="Q88" s="6"/>
      <c r="R88" s="56"/>
      <c r="S88" s="56"/>
      <c r="T88" s="56"/>
      <c r="U88" s="56"/>
      <c r="AA88" s="1" t="s">
        <v>136</v>
      </c>
    </row>
    <row r="89" spans="1:27" ht="18.75" customHeight="1" x14ac:dyDescent="0.15">
      <c r="A89" s="1" t="s">
        <v>102</v>
      </c>
      <c r="AA89" s="1" t="s">
        <v>137</v>
      </c>
    </row>
    <row r="90" spans="1:27" ht="18.75" customHeight="1" x14ac:dyDescent="0.15">
      <c r="B90" s="152" t="s">
        <v>49</v>
      </c>
      <c r="C90" s="153"/>
      <c r="D90" s="94" t="s">
        <v>50</v>
      </c>
      <c r="E90" s="95"/>
      <c r="F90" s="95"/>
      <c r="G90" s="95"/>
      <c r="H90" s="95"/>
      <c r="I90" s="95"/>
      <c r="J90" s="95"/>
      <c r="K90" s="95"/>
      <c r="L90" s="95"/>
      <c r="M90" s="95"/>
      <c r="N90" s="95"/>
      <c r="O90" s="95"/>
      <c r="P90" s="95"/>
      <c r="Q90" s="95"/>
      <c r="R90" s="95"/>
      <c r="S90" s="95"/>
      <c r="T90" s="95"/>
      <c r="U90" s="96"/>
    </row>
    <row r="91" spans="1:27" ht="97.5" customHeight="1" x14ac:dyDescent="0.15">
      <c r="B91" s="126" t="s">
        <v>56</v>
      </c>
      <c r="C91" s="57" t="s">
        <v>51</v>
      </c>
      <c r="D91" s="97" t="s">
        <v>169</v>
      </c>
      <c r="E91" s="98"/>
      <c r="F91" s="98"/>
      <c r="G91" s="98"/>
      <c r="H91" s="98"/>
      <c r="I91" s="98"/>
      <c r="J91" s="98"/>
      <c r="K91" s="98"/>
      <c r="L91" s="98"/>
      <c r="M91" s="98"/>
      <c r="N91" s="98"/>
      <c r="O91" s="98"/>
      <c r="P91" s="98"/>
      <c r="Q91" s="98"/>
      <c r="R91" s="98"/>
      <c r="S91" s="98"/>
      <c r="T91" s="98"/>
      <c r="U91" s="99"/>
    </row>
    <row r="92" spans="1:27" ht="97.5" customHeight="1" x14ac:dyDescent="0.15">
      <c r="B92" s="128"/>
      <c r="C92" s="58" t="s">
        <v>70</v>
      </c>
      <c r="D92" s="100" t="s">
        <v>179</v>
      </c>
      <c r="E92" s="101"/>
      <c r="F92" s="101"/>
      <c r="G92" s="101"/>
      <c r="H92" s="101"/>
      <c r="I92" s="101"/>
      <c r="J92" s="101"/>
      <c r="K92" s="101"/>
      <c r="L92" s="101"/>
      <c r="M92" s="101"/>
      <c r="N92" s="101"/>
      <c r="O92" s="101"/>
      <c r="P92" s="101"/>
      <c r="Q92" s="101"/>
      <c r="R92" s="101"/>
      <c r="S92" s="101"/>
      <c r="T92" s="101"/>
      <c r="U92" s="102"/>
    </row>
    <row r="93" spans="1:27" ht="97.5" customHeight="1" x14ac:dyDescent="0.15">
      <c r="B93" s="126" t="s">
        <v>57</v>
      </c>
      <c r="C93" s="59" t="s">
        <v>64</v>
      </c>
      <c r="D93" s="97" t="s">
        <v>170</v>
      </c>
      <c r="E93" s="103"/>
      <c r="F93" s="103"/>
      <c r="G93" s="103"/>
      <c r="H93" s="103"/>
      <c r="I93" s="103"/>
      <c r="J93" s="103"/>
      <c r="K93" s="103"/>
      <c r="L93" s="103"/>
      <c r="M93" s="103"/>
      <c r="N93" s="103"/>
      <c r="O93" s="103"/>
      <c r="P93" s="103"/>
      <c r="Q93" s="103"/>
      <c r="R93" s="103"/>
      <c r="S93" s="103"/>
      <c r="T93" s="103"/>
      <c r="U93" s="104"/>
    </row>
    <row r="94" spans="1:27" ht="97.5" customHeight="1" x14ac:dyDescent="0.15">
      <c r="B94" s="127"/>
      <c r="C94" s="60" t="s">
        <v>65</v>
      </c>
      <c r="D94" s="100" t="s">
        <v>171</v>
      </c>
      <c r="E94" s="105"/>
      <c r="F94" s="105"/>
      <c r="G94" s="105"/>
      <c r="H94" s="105"/>
      <c r="I94" s="105"/>
      <c r="J94" s="105"/>
      <c r="K94" s="105"/>
      <c r="L94" s="105"/>
      <c r="M94" s="105"/>
      <c r="N94" s="105"/>
      <c r="O94" s="105"/>
      <c r="P94" s="105"/>
      <c r="Q94" s="105"/>
      <c r="R94" s="105"/>
      <c r="S94" s="105"/>
      <c r="T94" s="105"/>
      <c r="U94" s="106"/>
    </row>
    <row r="95" spans="1:27" ht="97.5" customHeight="1" x14ac:dyDescent="0.15">
      <c r="B95" s="126" t="s">
        <v>58</v>
      </c>
      <c r="C95" s="59" t="s">
        <v>66</v>
      </c>
      <c r="D95" s="97" t="s">
        <v>172</v>
      </c>
      <c r="E95" s="103"/>
      <c r="F95" s="103"/>
      <c r="G95" s="103"/>
      <c r="H95" s="103"/>
      <c r="I95" s="103"/>
      <c r="J95" s="103"/>
      <c r="K95" s="103"/>
      <c r="L95" s="103"/>
      <c r="M95" s="103"/>
      <c r="N95" s="103"/>
      <c r="O95" s="103"/>
      <c r="P95" s="103"/>
      <c r="Q95" s="103"/>
      <c r="R95" s="103"/>
      <c r="S95" s="103"/>
      <c r="T95" s="103"/>
      <c r="U95" s="104"/>
    </row>
    <row r="96" spans="1:27" ht="97.5" customHeight="1" x14ac:dyDescent="0.15">
      <c r="B96" s="127"/>
      <c r="C96" s="61" t="s">
        <v>67</v>
      </c>
      <c r="D96" s="100" t="s">
        <v>173</v>
      </c>
      <c r="E96" s="105"/>
      <c r="F96" s="105"/>
      <c r="G96" s="105"/>
      <c r="H96" s="105"/>
      <c r="I96" s="105"/>
      <c r="J96" s="105"/>
      <c r="K96" s="105"/>
      <c r="L96" s="105"/>
      <c r="M96" s="105"/>
      <c r="N96" s="105"/>
      <c r="O96" s="105"/>
      <c r="P96" s="105"/>
      <c r="Q96" s="105"/>
      <c r="R96" s="105"/>
      <c r="S96" s="105"/>
      <c r="T96" s="105"/>
      <c r="U96" s="106"/>
    </row>
    <row r="97" spans="1:21" ht="97.5" customHeight="1" x14ac:dyDescent="0.15">
      <c r="B97" s="126" t="s">
        <v>71</v>
      </c>
      <c r="C97" s="57" t="s">
        <v>53</v>
      </c>
      <c r="D97" s="97" t="s">
        <v>174</v>
      </c>
      <c r="E97" s="103"/>
      <c r="F97" s="103"/>
      <c r="G97" s="103"/>
      <c r="H97" s="103"/>
      <c r="I97" s="103"/>
      <c r="J97" s="103"/>
      <c r="K97" s="103"/>
      <c r="L97" s="103"/>
      <c r="M97" s="103"/>
      <c r="N97" s="103"/>
      <c r="O97" s="103"/>
      <c r="P97" s="103"/>
      <c r="Q97" s="103"/>
      <c r="R97" s="103"/>
      <c r="S97" s="103"/>
      <c r="T97" s="103"/>
      <c r="U97" s="104"/>
    </row>
    <row r="98" spans="1:21" ht="97.5" customHeight="1" x14ac:dyDescent="0.15">
      <c r="B98" s="127"/>
      <c r="C98" s="60" t="s">
        <v>55</v>
      </c>
      <c r="D98" s="100" t="s">
        <v>175</v>
      </c>
      <c r="E98" s="105"/>
      <c r="F98" s="105"/>
      <c r="G98" s="105"/>
      <c r="H98" s="105"/>
      <c r="I98" s="105"/>
      <c r="J98" s="105"/>
      <c r="K98" s="105"/>
      <c r="L98" s="105"/>
      <c r="M98" s="105"/>
      <c r="N98" s="105"/>
      <c r="O98" s="105"/>
      <c r="P98" s="105"/>
      <c r="Q98" s="105"/>
      <c r="R98" s="105"/>
      <c r="S98" s="105"/>
      <c r="T98" s="105"/>
      <c r="U98" s="106"/>
    </row>
    <row r="99" spans="1:21" ht="120" customHeight="1" x14ac:dyDescent="0.15">
      <c r="B99" s="126" t="s">
        <v>72</v>
      </c>
      <c r="C99" s="59" t="s">
        <v>52</v>
      </c>
      <c r="D99" s="97" t="s">
        <v>176</v>
      </c>
      <c r="E99" s="103"/>
      <c r="F99" s="103"/>
      <c r="G99" s="103"/>
      <c r="H99" s="103"/>
      <c r="I99" s="103"/>
      <c r="J99" s="103"/>
      <c r="K99" s="103"/>
      <c r="L99" s="103"/>
      <c r="M99" s="103"/>
      <c r="N99" s="103"/>
      <c r="O99" s="103"/>
      <c r="P99" s="103"/>
      <c r="Q99" s="103"/>
      <c r="R99" s="103"/>
      <c r="S99" s="103"/>
      <c r="T99" s="103"/>
      <c r="U99" s="104"/>
    </row>
    <row r="100" spans="1:21" ht="86.25" customHeight="1" x14ac:dyDescent="0.15">
      <c r="B100" s="128"/>
      <c r="C100" s="62" t="s">
        <v>68</v>
      </c>
      <c r="D100" s="123" t="s">
        <v>177</v>
      </c>
      <c r="E100" s="124"/>
      <c r="F100" s="124"/>
      <c r="G100" s="124"/>
      <c r="H100" s="124"/>
      <c r="I100" s="124"/>
      <c r="J100" s="124"/>
      <c r="K100" s="124"/>
      <c r="L100" s="124"/>
      <c r="M100" s="124"/>
      <c r="N100" s="124"/>
      <c r="O100" s="124"/>
      <c r="P100" s="124"/>
      <c r="Q100" s="124"/>
      <c r="R100" s="124"/>
      <c r="S100" s="124"/>
      <c r="T100" s="124"/>
      <c r="U100" s="125"/>
    </row>
    <row r="101" spans="1:21" ht="86.25" customHeight="1" x14ac:dyDescent="0.15">
      <c r="B101" s="127"/>
      <c r="C101" s="61" t="s">
        <v>69</v>
      </c>
      <c r="D101" s="100" t="s">
        <v>178</v>
      </c>
      <c r="E101" s="105"/>
      <c r="F101" s="105"/>
      <c r="G101" s="105"/>
      <c r="H101" s="105"/>
      <c r="I101" s="105"/>
      <c r="J101" s="105"/>
      <c r="K101" s="105"/>
      <c r="L101" s="105"/>
      <c r="M101" s="105"/>
      <c r="N101" s="105"/>
      <c r="O101" s="105"/>
      <c r="P101" s="105"/>
      <c r="Q101" s="105"/>
      <c r="R101" s="105"/>
      <c r="S101" s="105"/>
      <c r="T101" s="105"/>
      <c r="U101" s="106"/>
    </row>
    <row r="102" spans="1:21" ht="6" customHeight="1" x14ac:dyDescent="0.15"/>
    <row r="103" spans="1:21" ht="18.75" customHeight="1" x14ac:dyDescent="0.15">
      <c r="A103" s="1" t="s">
        <v>103</v>
      </c>
    </row>
    <row r="104" spans="1:21" ht="81.75" customHeight="1" x14ac:dyDescent="0.15">
      <c r="B104" s="143" t="s">
        <v>183</v>
      </c>
      <c r="C104" s="144"/>
      <c r="D104" s="144"/>
      <c r="E104" s="144"/>
      <c r="F104" s="144"/>
      <c r="G104" s="144"/>
      <c r="H104" s="144"/>
      <c r="I104" s="144"/>
      <c r="J104" s="144"/>
      <c r="K104" s="144"/>
      <c r="L104" s="144"/>
      <c r="M104" s="144"/>
      <c r="N104" s="144"/>
      <c r="O104" s="144"/>
      <c r="P104" s="144"/>
      <c r="Q104" s="144"/>
      <c r="R104" s="144"/>
      <c r="S104" s="144"/>
      <c r="T104" s="144"/>
      <c r="U104" s="145"/>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50:J55 S60:U66 H60:J66 G71:J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8:J88 R88:U88"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 type="list" allowBlank="1" showInputMessage="1" showErrorMessage="1" sqref="G81:J87 R81:U87" xr:uid="{00000000-0002-0000-00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zoomScaleNormal="100" zoomScaleSheetLayoutView="100" workbookViewId="0">
      <selection activeCell="B14" sqref="B14"/>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44"/>
      <c r="B1" s="44"/>
      <c r="C1" s="44"/>
      <c r="D1" s="44"/>
      <c r="E1" s="44"/>
      <c r="F1" s="44"/>
      <c r="G1" s="44"/>
      <c r="H1" s="44"/>
      <c r="I1" s="44"/>
      <c r="J1" s="44"/>
      <c r="K1" s="44"/>
      <c r="L1" s="44"/>
      <c r="M1" s="44"/>
      <c r="N1" s="44"/>
      <c r="O1" s="44"/>
      <c r="P1" s="44"/>
      <c r="Q1" s="44"/>
      <c r="R1" s="44"/>
      <c r="S1" s="44" t="s">
        <v>92</v>
      </c>
    </row>
    <row r="2" spans="1:21" ht="18" customHeight="1" x14ac:dyDescent="0.15">
      <c r="A2" s="44"/>
      <c r="B2" s="44"/>
      <c r="C2" s="44"/>
      <c r="D2" s="44"/>
      <c r="E2" s="44"/>
      <c r="F2" s="44"/>
      <c r="G2" s="44"/>
      <c r="H2" s="44"/>
      <c r="I2" s="44"/>
      <c r="J2" s="44"/>
      <c r="K2" s="44"/>
      <c r="L2" s="44"/>
      <c r="M2" s="44"/>
      <c r="N2" s="44"/>
      <c r="O2" s="44"/>
      <c r="P2" s="44"/>
      <c r="Q2" s="161" t="str">
        <f>'様式１　プログラムを構成する授業科目'!C2</f>
        <v>愛知医療学院大学</v>
      </c>
      <c r="R2" s="161"/>
      <c r="S2" s="161"/>
    </row>
    <row r="3" spans="1:21" ht="18" customHeight="1" x14ac:dyDescent="0.15">
      <c r="A3" s="133" t="s">
        <v>142</v>
      </c>
      <c r="B3" s="133"/>
      <c r="C3" s="133"/>
      <c r="D3" s="133"/>
      <c r="E3" s="133"/>
      <c r="F3" s="133"/>
      <c r="G3" s="133"/>
      <c r="H3" s="133"/>
      <c r="I3" s="133"/>
      <c r="J3" s="133"/>
      <c r="K3" s="133"/>
      <c r="L3" s="133"/>
      <c r="M3" s="133"/>
      <c r="N3" s="133"/>
      <c r="O3" s="133"/>
      <c r="P3" s="133"/>
      <c r="Q3" s="133"/>
      <c r="R3" s="133"/>
      <c r="S3" s="133"/>
    </row>
    <row r="4" spans="1:21" ht="7.5" customHeight="1" x14ac:dyDescent="0.15">
      <c r="A4" s="46"/>
      <c r="B4" s="46"/>
      <c r="C4" s="46"/>
      <c r="D4" s="46"/>
      <c r="E4" s="46"/>
      <c r="F4" s="46"/>
      <c r="G4" s="46"/>
      <c r="H4" s="46"/>
      <c r="I4" s="46"/>
      <c r="J4" s="46"/>
      <c r="K4" s="46"/>
      <c r="L4" s="46"/>
      <c r="M4" s="46"/>
      <c r="N4" s="46"/>
      <c r="O4" s="46"/>
      <c r="P4" s="46"/>
      <c r="Q4" s="46"/>
      <c r="R4" s="46"/>
      <c r="S4" s="46"/>
    </row>
    <row r="5" spans="1:21" ht="18" customHeight="1" x14ac:dyDescent="0.15">
      <c r="A5" s="44" t="s">
        <v>75</v>
      </c>
      <c r="B5" s="44"/>
      <c r="C5" s="162" t="s">
        <v>145</v>
      </c>
      <c r="D5" s="163"/>
      <c r="E5" s="48" t="s">
        <v>125</v>
      </c>
      <c r="F5" s="46"/>
      <c r="G5" s="46"/>
      <c r="H5" s="46"/>
      <c r="I5" s="46"/>
      <c r="J5" s="46"/>
      <c r="K5" s="46"/>
      <c r="L5" s="46"/>
      <c r="M5" s="46"/>
      <c r="N5" s="46"/>
      <c r="O5" s="46"/>
      <c r="P5" s="46"/>
      <c r="Q5" s="46"/>
      <c r="R5" s="45"/>
      <c r="S5" s="45"/>
    </row>
    <row r="6" spans="1:21" ht="7.15" customHeight="1" x14ac:dyDescent="0.15">
      <c r="A6" s="44"/>
      <c r="B6" s="44"/>
      <c r="C6" s="65"/>
      <c r="D6" s="65"/>
      <c r="E6" s="46"/>
      <c r="F6" s="46"/>
      <c r="G6" s="46"/>
      <c r="H6" s="46"/>
      <c r="I6" s="46"/>
      <c r="J6" s="46"/>
      <c r="K6" s="46"/>
      <c r="L6" s="46"/>
      <c r="M6" s="46"/>
      <c r="N6" s="46"/>
      <c r="O6" s="46"/>
      <c r="P6" s="46"/>
      <c r="Q6" s="46"/>
      <c r="R6" s="45"/>
      <c r="S6" s="45"/>
    </row>
    <row r="7" spans="1:21" ht="18" customHeight="1" x14ac:dyDescent="0.15">
      <c r="A7" s="44" t="s">
        <v>109</v>
      </c>
      <c r="B7" s="44"/>
      <c r="C7" s="65"/>
      <c r="D7" s="65"/>
      <c r="E7" s="46" t="s">
        <v>110</v>
      </c>
      <c r="F7" s="49">
        <v>41</v>
      </c>
      <c r="G7" s="48" t="s">
        <v>111</v>
      </c>
      <c r="H7" s="46" t="s">
        <v>112</v>
      </c>
      <c r="I7" s="49">
        <v>42</v>
      </c>
      <c r="J7" s="48" t="s">
        <v>111</v>
      </c>
      <c r="K7" s="47" t="s">
        <v>113</v>
      </c>
      <c r="L7" s="46" t="s">
        <v>114</v>
      </c>
      <c r="M7" s="49">
        <f>F7+I7</f>
        <v>83</v>
      </c>
      <c r="N7" s="46" t="s">
        <v>1</v>
      </c>
      <c r="O7" s="48" t="s">
        <v>115</v>
      </c>
      <c r="P7" s="46"/>
      <c r="Q7" s="46"/>
      <c r="R7" s="45"/>
      <c r="S7" s="45"/>
    </row>
    <row r="8" spans="1:21" ht="17.45" customHeight="1" x14ac:dyDescent="0.15">
      <c r="A8" s="46"/>
      <c r="B8" s="66" t="s">
        <v>128</v>
      </c>
      <c r="C8" s="46"/>
      <c r="D8" s="46"/>
      <c r="E8" s="46"/>
      <c r="F8" s="46"/>
      <c r="G8" s="46"/>
      <c r="H8" s="46"/>
      <c r="I8" s="46"/>
      <c r="J8" s="46"/>
      <c r="K8" s="46"/>
      <c r="L8" s="46"/>
      <c r="M8" s="46"/>
      <c r="N8" s="46"/>
      <c r="O8" s="46"/>
      <c r="P8" s="46"/>
      <c r="Q8" s="46"/>
      <c r="R8" s="46"/>
      <c r="S8" s="46"/>
    </row>
    <row r="9" spans="1:21" ht="18" customHeight="1" x14ac:dyDescent="0.15">
      <c r="A9" s="44" t="s">
        <v>120</v>
      </c>
      <c r="B9" s="46"/>
      <c r="C9" s="46"/>
      <c r="D9" s="46"/>
      <c r="E9" s="46"/>
      <c r="F9" s="46"/>
      <c r="G9" s="46"/>
      <c r="H9" s="46"/>
      <c r="I9" s="46"/>
      <c r="J9" s="46"/>
      <c r="K9" s="46"/>
      <c r="L9" s="46"/>
      <c r="M9" s="46"/>
      <c r="N9" s="46"/>
      <c r="O9" s="46"/>
      <c r="P9" s="46"/>
      <c r="Q9" s="46"/>
      <c r="R9" s="46"/>
      <c r="S9" s="4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4" t="s">
        <v>43</v>
      </c>
      <c r="C11" s="174" t="s">
        <v>78</v>
      </c>
      <c r="D11" s="166" t="s">
        <v>45</v>
      </c>
      <c r="E11" s="168" t="s">
        <v>38</v>
      </c>
      <c r="F11" s="160" t="s">
        <v>126</v>
      </c>
      <c r="G11" s="160"/>
      <c r="H11" s="160" t="s">
        <v>106</v>
      </c>
      <c r="I11" s="160"/>
      <c r="J11" s="160" t="s">
        <v>77</v>
      </c>
      <c r="K11" s="160"/>
      <c r="L11" s="160" t="s">
        <v>46</v>
      </c>
      <c r="M11" s="160"/>
      <c r="N11" s="160" t="s">
        <v>47</v>
      </c>
      <c r="O11" s="160"/>
      <c r="P11" s="160" t="s">
        <v>127</v>
      </c>
      <c r="Q11" s="160"/>
      <c r="R11" s="170" t="s">
        <v>35</v>
      </c>
      <c r="S11" s="172" t="s">
        <v>32</v>
      </c>
      <c r="U11" s="2"/>
    </row>
    <row r="12" spans="1:21" ht="16.899999999999999" customHeight="1" x14ac:dyDescent="0.15">
      <c r="B12" s="165"/>
      <c r="C12" s="175"/>
      <c r="D12" s="167"/>
      <c r="E12" s="169"/>
      <c r="F12" s="67" t="s">
        <v>86</v>
      </c>
      <c r="G12" s="67" t="s">
        <v>29</v>
      </c>
      <c r="H12" s="67" t="s">
        <v>86</v>
      </c>
      <c r="I12" s="67" t="s">
        <v>29</v>
      </c>
      <c r="J12" s="67" t="s">
        <v>86</v>
      </c>
      <c r="K12" s="67" t="s">
        <v>29</v>
      </c>
      <c r="L12" s="67" t="s">
        <v>86</v>
      </c>
      <c r="M12" s="67" t="s">
        <v>29</v>
      </c>
      <c r="N12" s="67" t="s">
        <v>86</v>
      </c>
      <c r="O12" s="67" t="s">
        <v>29</v>
      </c>
      <c r="P12" s="67" t="s">
        <v>86</v>
      </c>
      <c r="Q12" s="68" t="s">
        <v>29</v>
      </c>
      <c r="R12" s="171"/>
      <c r="S12" s="173"/>
      <c r="U12" s="2"/>
    </row>
    <row r="13" spans="1:21" ht="18" customHeight="1" x14ac:dyDescent="0.15">
      <c r="A13" s="6"/>
      <c r="B13" s="38" t="s">
        <v>144</v>
      </c>
      <c r="C13" s="26">
        <v>83</v>
      </c>
      <c r="D13" s="27">
        <v>80</v>
      </c>
      <c r="E13" s="28">
        <v>320</v>
      </c>
      <c r="F13" s="28">
        <v>83</v>
      </c>
      <c r="G13" s="28">
        <v>81</v>
      </c>
      <c r="H13" s="28"/>
      <c r="I13" s="28"/>
      <c r="J13" s="28"/>
      <c r="K13" s="28"/>
      <c r="L13" s="28"/>
      <c r="M13" s="28"/>
      <c r="N13" s="28"/>
      <c r="O13" s="28"/>
      <c r="P13" s="28"/>
      <c r="Q13" s="39"/>
      <c r="R13" s="27">
        <f t="shared" ref="R13:R32" si="0">F13+H13+J13+L13+N13+P13</f>
        <v>83</v>
      </c>
      <c r="S13" s="40">
        <f>R13/E13</f>
        <v>0.25937500000000002</v>
      </c>
    </row>
    <row r="14" spans="1:21" ht="18" customHeight="1" x14ac:dyDescent="0.15">
      <c r="A14" s="6"/>
      <c r="B14" s="11"/>
      <c r="C14" s="29"/>
      <c r="D14" s="30"/>
      <c r="E14" s="31"/>
      <c r="F14" s="32"/>
      <c r="G14" s="32"/>
      <c r="H14" s="32"/>
      <c r="I14" s="32"/>
      <c r="J14" s="32"/>
      <c r="K14" s="32"/>
      <c r="L14" s="32"/>
      <c r="M14" s="32"/>
      <c r="N14" s="32"/>
      <c r="O14" s="32"/>
      <c r="P14" s="32"/>
      <c r="Q14" s="29"/>
      <c r="R14" s="30">
        <f t="shared" si="0"/>
        <v>0</v>
      </c>
      <c r="S14" s="16" t="e">
        <f t="shared" ref="S14:S33" si="1">R14/E14</f>
        <v>#DIV/0!</v>
      </c>
    </row>
    <row r="15" spans="1:21" ht="18" customHeight="1" x14ac:dyDescent="0.15">
      <c r="A15" s="6"/>
      <c r="B15" s="11"/>
      <c r="C15" s="29"/>
      <c r="D15" s="30"/>
      <c r="E15" s="31"/>
      <c r="F15" s="32"/>
      <c r="G15" s="32"/>
      <c r="H15" s="32"/>
      <c r="I15" s="32"/>
      <c r="J15" s="32"/>
      <c r="K15" s="32"/>
      <c r="L15" s="32"/>
      <c r="M15" s="32"/>
      <c r="N15" s="32"/>
      <c r="O15" s="32"/>
      <c r="P15" s="32"/>
      <c r="Q15" s="29"/>
      <c r="R15" s="30">
        <f t="shared" si="0"/>
        <v>0</v>
      </c>
      <c r="S15" s="8" t="e">
        <f t="shared" si="1"/>
        <v>#DIV/0!</v>
      </c>
    </row>
    <row r="16" spans="1:21" ht="18" customHeight="1" x14ac:dyDescent="0.15">
      <c r="A16" s="6"/>
      <c r="B16" s="11"/>
      <c r="C16" s="29"/>
      <c r="D16" s="30"/>
      <c r="E16" s="31"/>
      <c r="F16" s="32"/>
      <c r="G16" s="32"/>
      <c r="H16" s="32"/>
      <c r="I16" s="32"/>
      <c r="J16" s="32"/>
      <c r="K16" s="32"/>
      <c r="L16" s="32"/>
      <c r="M16" s="32"/>
      <c r="N16" s="32"/>
      <c r="O16" s="32"/>
      <c r="P16" s="32"/>
      <c r="Q16" s="29"/>
      <c r="R16" s="30">
        <f t="shared" si="0"/>
        <v>0</v>
      </c>
      <c r="S16" s="8" t="e">
        <f t="shared" si="1"/>
        <v>#DIV/0!</v>
      </c>
    </row>
    <row r="17" spans="1:19" ht="18" customHeight="1" x14ac:dyDescent="0.15">
      <c r="A17" s="6"/>
      <c r="B17" s="11"/>
      <c r="C17" s="29"/>
      <c r="D17" s="30"/>
      <c r="E17" s="31"/>
      <c r="F17" s="32"/>
      <c r="G17" s="32"/>
      <c r="H17" s="32"/>
      <c r="I17" s="32"/>
      <c r="J17" s="32"/>
      <c r="K17" s="32"/>
      <c r="L17" s="32"/>
      <c r="M17" s="32"/>
      <c r="N17" s="32"/>
      <c r="O17" s="32"/>
      <c r="P17" s="32"/>
      <c r="Q17" s="29"/>
      <c r="R17" s="30">
        <f t="shared" si="0"/>
        <v>0</v>
      </c>
      <c r="S17" s="8" t="e">
        <f t="shared" si="1"/>
        <v>#DIV/0!</v>
      </c>
    </row>
    <row r="18" spans="1:19" ht="18" customHeight="1" x14ac:dyDescent="0.15">
      <c r="A18" s="6"/>
      <c r="B18" s="11"/>
      <c r="C18" s="29"/>
      <c r="D18" s="30"/>
      <c r="E18" s="31"/>
      <c r="F18" s="32"/>
      <c r="G18" s="32"/>
      <c r="H18" s="32"/>
      <c r="I18" s="32"/>
      <c r="J18" s="32"/>
      <c r="K18" s="32"/>
      <c r="L18" s="32"/>
      <c r="M18" s="32"/>
      <c r="N18" s="32"/>
      <c r="O18" s="32"/>
      <c r="P18" s="32"/>
      <c r="Q18" s="29"/>
      <c r="R18" s="30">
        <f t="shared" si="0"/>
        <v>0</v>
      </c>
      <c r="S18" s="8" t="e">
        <f t="shared" si="1"/>
        <v>#DIV/0!</v>
      </c>
    </row>
    <row r="19" spans="1:19" ht="18" customHeight="1" x14ac:dyDescent="0.15">
      <c r="A19" s="6"/>
      <c r="B19" s="11"/>
      <c r="C19" s="29"/>
      <c r="D19" s="30"/>
      <c r="E19" s="31"/>
      <c r="F19" s="32"/>
      <c r="G19" s="32"/>
      <c r="H19" s="32"/>
      <c r="I19" s="32"/>
      <c r="J19" s="32"/>
      <c r="K19" s="32"/>
      <c r="L19" s="32"/>
      <c r="M19" s="32"/>
      <c r="N19" s="32"/>
      <c r="O19" s="32"/>
      <c r="P19" s="32"/>
      <c r="Q19" s="29"/>
      <c r="R19" s="30">
        <f t="shared" si="0"/>
        <v>0</v>
      </c>
      <c r="S19" s="8" t="e">
        <f t="shared" si="1"/>
        <v>#DIV/0!</v>
      </c>
    </row>
    <row r="20" spans="1:19" ht="18" customHeight="1" x14ac:dyDescent="0.15">
      <c r="A20" s="6"/>
      <c r="B20" s="11"/>
      <c r="C20" s="29"/>
      <c r="D20" s="30"/>
      <c r="E20" s="31"/>
      <c r="F20" s="32"/>
      <c r="G20" s="32"/>
      <c r="H20" s="32"/>
      <c r="I20" s="32"/>
      <c r="J20" s="32"/>
      <c r="K20" s="32"/>
      <c r="L20" s="32"/>
      <c r="M20" s="32"/>
      <c r="N20" s="32"/>
      <c r="O20" s="32"/>
      <c r="P20" s="32"/>
      <c r="Q20" s="29"/>
      <c r="R20" s="30">
        <f t="shared" si="0"/>
        <v>0</v>
      </c>
      <c r="S20" s="8" t="e">
        <f t="shared" si="1"/>
        <v>#DIV/0!</v>
      </c>
    </row>
    <row r="21" spans="1:19" ht="18" customHeight="1" x14ac:dyDescent="0.15">
      <c r="A21" s="6"/>
      <c r="B21" s="11"/>
      <c r="C21" s="29"/>
      <c r="D21" s="30"/>
      <c r="E21" s="31"/>
      <c r="F21" s="32"/>
      <c r="G21" s="32"/>
      <c r="H21" s="32"/>
      <c r="I21" s="32"/>
      <c r="J21" s="32"/>
      <c r="K21" s="32"/>
      <c r="L21" s="32"/>
      <c r="M21" s="32"/>
      <c r="N21" s="32"/>
      <c r="O21" s="32"/>
      <c r="P21" s="32"/>
      <c r="Q21" s="29"/>
      <c r="R21" s="30">
        <f t="shared" si="0"/>
        <v>0</v>
      </c>
      <c r="S21" s="8" t="e">
        <f t="shared" si="1"/>
        <v>#DIV/0!</v>
      </c>
    </row>
    <row r="22" spans="1:19" ht="18" customHeight="1" x14ac:dyDescent="0.15">
      <c r="A22" s="6"/>
      <c r="B22" s="11"/>
      <c r="C22" s="29"/>
      <c r="D22" s="30"/>
      <c r="E22" s="31"/>
      <c r="F22" s="32"/>
      <c r="G22" s="32"/>
      <c r="H22" s="32"/>
      <c r="I22" s="32"/>
      <c r="J22" s="32"/>
      <c r="K22" s="32"/>
      <c r="L22" s="32"/>
      <c r="M22" s="32"/>
      <c r="N22" s="32"/>
      <c r="O22" s="32"/>
      <c r="P22" s="32"/>
      <c r="Q22" s="29"/>
      <c r="R22" s="30">
        <f t="shared" si="0"/>
        <v>0</v>
      </c>
      <c r="S22" s="8" t="e">
        <f t="shared" si="1"/>
        <v>#DIV/0!</v>
      </c>
    </row>
    <row r="23" spans="1:19" ht="18" customHeight="1" x14ac:dyDescent="0.15">
      <c r="A23" s="6"/>
      <c r="B23" s="11"/>
      <c r="C23" s="29"/>
      <c r="D23" s="30"/>
      <c r="E23" s="31"/>
      <c r="F23" s="32"/>
      <c r="G23" s="32"/>
      <c r="H23" s="32"/>
      <c r="I23" s="32"/>
      <c r="J23" s="32"/>
      <c r="K23" s="32"/>
      <c r="L23" s="32"/>
      <c r="M23" s="32"/>
      <c r="N23" s="32"/>
      <c r="O23" s="32"/>
      <c r="P23" s="32"/>
      <c r="Q23" s="29"/>
      <c r="R23" s="30">
        <f t="shared" si="0"/>
        <v>0</v>
      </c>
      <c r="S23" s="8" t="e">
        <f t="shared" si="1"/>
        <v>#DIV/0!</v>
      </c>
    </row>
    <row r="24" spans="1:19" ht="18" customHeight="1" x14ac:dyDescent="0.15">
      <c r="A24" s="6"/>
      <c r="B24" s="11"/>
      <c r="C24" s="29"/>
      <c r="D24" s="30"/>
      <c r="E24" s="31"/>
      <c r="F24" s="32"/>
      <c r="G24" s="32"/>
      <c r="H24" s="32"/>
      <c r="I24" s="32"/>
      <c r="J24" s="32"/>
      <c r="K24" s="32"/>
      <c r="L24" s="32"/>
      <c r="M24" s="32"/>
      <c r="N24" s="32"/>
      <c r="O24" s="32"/>
      <c r="P24" s="32"/>
      <c r="Q24" s="29"/>
      <c r="R24" s="30">
        <f t="shared" si="0"/>
        <v>0</v>
      </c>
      <c r="S24" s="8" t="e">
        <f t="shared" si="1"/>
        <v>#DIV/0!</v>
      </c>
    </row>
    <row r="25" spans="1:19" ht="18" customHeight="1" x14ac:dyDescent="0.15">
      <c r="A25" s="6"/>
      <c r="B25" s="11"/>
      <c r="C25" s="29"/>
      <c r="D25" s="30"/>
      <c r="E25" s="31"/>
      <c r="F25" s="32"/>
      <c r="G25" s="32"/>
      <c r="H25" s="32"/>
      <c r="I25" s="32"/>
      <c r="J25" s="32"/>
      <c r="K25" s="32"/>
      <c r="L25" s="32"/>
      <c r="M25" s="32"/>
      <c r="N25" s="32"/>
      <c r="O25" s="32"/>
      <c r="P25" s="32"/>
      <c r="Q25" s="29"/>
      <c r="R25" s="30">
        <f t="shared" si="0"/>
        <v>0</v>
      </c>
      <c r="S25" s="8" t="e">
        <f t="shared" si="1"/>
        <v>#DIV/0!</v>
      </c>
    </row>
    <row r="26" spans="1:19" ht="18" customHeight="1" x14ac:dyDescent="0.15">
      <c r="A26" s="6"/>
      <c r="B26" s="11"/>
      <c r="C26" s="29"/>
      <c r="D26" s="30"/>
      <c r="E26" s="31"/>
      <c r="F26" s="32"/>
      <c r="G26" s="32"/>
      <c r="H26" s="32"/>
      <c r="I26" s="32"/>
      <c r="J26" s="32"/>
      <c r="K26" s="32"/>
      <c r="L26" s="32"/>
      <c r="M26" s="32"/>
      <c r="N26" s="32"/>
      <c r="O26" s="32"/>
      <c r="P26" s="32"/>
      <c r="Q26" s="29"/>
      <c r="R26" s="30">
        <f t="shared" si="0"/>
        <v>0</v>
      </c>
      <c r="S26" s="8" t="e">
        <f t="shared" si="1"/>
        <v>#DIV/0!</v>
      </c>
    </row>
    <row r="27" spans="1:19" ht="18" customHeight="1" x14ac:dyDescent="0.15">
      <c r="A27" s="6"/>
      <c r="B27" s="11"/>
      <c r="C27" s="29"/>
      <c r="D27" s="30"/>
      <c r="E27" s="31"/>
      <c r="F27" s="32"/>
      <c r="G27" s="32"/>
      <c r="H27" s="32"/>
      <c r="I27" s="32"/>
      <c r="J27" s="32"/>
      <c r="K27" s="32"/>
      <c r="L27" s="32"/>
      <c r="M27" s="32"/>
      <c r="N27" s="32"/>
      <c r="O27" s="32"/>
      <c r="P27" s="32"/>
      <c r="Q27" s="29"/>
      <c r="R27" s="30">
        <f t="shared" si="0"/>
        <v>0</v>
      </c>
      <c r="S27" s="8" t="e">
        <f t="shared" si="1"/>
        <v>#DIV/0!</v>
      </c>
    </row>
    <row r="28" spans="1:19" ht="18" customHeight="1" x14ac:dyDescent="0.15">
      <c r="A28" s="6"/>
      <c r="B28" s="11"/>
      <c r="C28" s="29"/>
      <c r="D28" s="30"/>
      <c r="E28" s="31"/>
      <c r="F28" s="32"/>
      <c r="G28" s="32"/>
      <c r="H28" s="32"/>
      <c r="I28" s="32"/>
      <c r="J28" s="32"/>
      <c r="K28" s="32"/>
      <c r="L28" s="32"/>
      <c r="M28" s="32"/>
      <c r="N28" s="32"/>
      <c r="O28" s="32"/>
      <c r="P28" s="32"/>
      <c r="Q28" s="29"/>
      <c r="R28" s="30">
        <f t="shared" si="0"/>
        <v>0</v>
      </c>
      <c r="S28" s="8" t="e">
        <f t="shared" si="1"/>
        <v>#DIV/0!</v>
      </c>
    </row>
    <row r="29" spans="1:19" ht="18" customHeight="1" x14ac:dyDescent="0.15">
      <c r="A29" s="6"/>
      <c r="B29" s="11"/>
      <c r="C29" s="29"/>
      <c r="D29" s="30"/>
      <c r="E29" s="31"/>
      <c r="F29" s="32"/>
      <c r="G29" s="32"/>
      <c r="H29" s="32"/>
      <c r="I29" s="32"/>
      <c r="J29" s="32"/>
      <c r="K29" s="32"/>
      <c r="L29" s="32"/>
      <c r="M29" s="32"/>
      <c r="N29" s="32"/>
      <c r="O29" s="32"/>
      <c r="P29" s="32"/>
      <c r="Q29" s="29"/>
      <c r="R29" s="30">
        <f t="shared" si="0"/>
        <v>0</v>
      </c>
      <c r="S29" s="8" t="e">
        <f t="shared" si="1"/>
        <v>#DIV/0!</v>
      </c>
    </row>
    <row r="30" spans="1:19" ht="18" customHeight="1" x14ac:dyDescent="0.15">
      <c r="A30" s="6"/>
      <c r="B30" s="11"/>
      <c r="C30" s="29"/>
      <c r="D30" s="33"/>
      <c r="E30" s="31"/>
      <c r="F30" s="32"/>
      <c r="G30" s="32"/>
      <c r="H30" s="32"/>
      <c r="I30" s="32"/>
      <c r="J30" s="32"/>
      <c r="K30" s="32"/>
      <c r="L30" s="32"/>
      <c r="M30" s="32"/>
      <c r="N30" s="32"/>
      <c r="O30" s="32"/>
      <c r="P30" s="32"/>
      <c r="Q30" s="29"/>
      <c r="R30" s="33">
        <f t="shared" si="0"/>
        <v>0</v>
      </c>
      <c r="S30" s="8" t="e">
        <f t="shared" si="1"/>
        <v>#DIV/0!</v>
      </c>
    </row>
    <row r="31" spans="1:19" ht="18" customHeight="1" x14ac:dyDescent="0.15">
      <c r="A31" s="6"/>
      <c r="B31" s="11"/>
      <c r="C31" s="29"/>
      <c r="D31" s="33"/>
      <c r="E31" s="31"/>
      <c r="F31" s="32"/>
      <c r="G31" s="32"/>
      <c r="H31" s="32"/>
      <c r="I31" s="32"/>
      <c r="J31" s="32"/>
      <c r="K31" s="32"/>
      <c r="L31" s="32"/>
      <c r="M31" s="32"/>
      <c r="N31" s="32"/>
      <c r="O31" s="32"/>
      <c r="P31" s="32"/>
      <c r="Q31" s="29"/>
      <c r="R31" s="33">
        <f t="shared" si="0"/>
        <v>0</v>
      </c>
      <c r="S31" s="8" t="e">
        <f t="shared" si="1"/>
        <v>#DIV/0!</v>
      </c>
    </row>
    <row r="32" spans="1:19" ht="18" customHeight="1" thickBot="1" x14ac:dyDescent="0.2">
      <c r="A32" s="6"/>
      <c r="B32" s="12"/>
      <c r="C32" s="26"/>
      <c r="D32" s="34"/>
      <c r="E32" s="28"/>
      <c r="F32" s="28"/>
      <c r="G32" s="28"/>
      <c r="H32" s="28"/>
      <c r="I32" s="28"/>
      <c r="J32" s="28"/>
      <c r="K32" s="28"/>
      <c r="L32" s="28"/>
      <c r="M32" s="28"/>
      <c r="N32" s="28"/>
      <c r="O32" s="28"/>
      <c r="P32" s="28"/>
      <c r="Q32" s="29"/>
      <c r="R32" s="34">
        <f t="shared" si="0"/>
        <v>0</v>
      </c>
      <c r="S32" s="7" t="e">
        <f t="shared" si="1"/>
        <v>#DIV/0!</v>
      </c>
    </row>
    <row r="33" spans="2:19" ht="18" customHeight="1" thickTop="1" x14ac:dyDescent="0.15">
      <c r="B33" s="13" t="s">
        <v>33</v>
      </c>
      <c r="C33" s="35">
        <f t="shared" ref="C33" si="2">SUM(C13:C32)</f>
        <v>83</v>
      </c>
      <c r="D33" s="36">
        <f t="shared" ref="D33:R33" si="3">SUM(D13:D32)</f>
        <v>80</v>
      </c>
      <c r="E33" s="37">
        <f t="shared" si="3"/>
        <v>320</v>
      </c>
      <c r="F33" s="37">
        <f t="shared" si="3"/>
        <v>83</v>
      </c>
      <c r="G33" s="37">
        <f t="shared" ref="G33:H33" si="4">SUM(G13:G32)</f>
        <v>81</v>
      </c>
      <c r="H33" s="37">
        <f t="shared" si="4"/>
        <v>0</v>
      </c>
      <c r="I33" s="37">
        <f t="shared" ref="I33:J33" si="5">SUM(I13:I32)</f>
        <v>0</v>
      </c>
      <c r="J33" s="37">
        <f t="shared" si="5"/>
        <v>0</v>
      </c>
      <c r="K33" s="37">
        <f t="shared" ref="K33:O33" si="6">SUM(K13:K32)</f>
        <v>0</v>
      </c>
      <c r="L33" s="37">
        <f t="shared" si="6"/>
        <v>0</v>
      </c>
      <c r="M33" s="37">
        <f t="shared" si="6"/>
        <v>0</v>
      </c>
      <c r="N33" s="37">
        <f t="shared" si="6"/>
        <v>0</v>
      </c>
      <c r="O33" s="37">
        <f t="shared" si="6"/>
        <v>0</v>
      </c>
      <c r="P33" s="37">
        <f t="shared" ref="P33:Q33" si="7">SUM(P13:P32)</f>
        <v>0</v>
      </c>
      <c r="Q33" s="35">
        <f t="shared" si="7"/>
        <v>0</v>
      </c>
      <c r="R33" s="36">
        <f t="shared" si="3"/>
        <v>83</v>
      </c>
      <c r="S33" s="9">
        <f t="shared" si="1"/>
        <v>0.25937500000000002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tabSelected="1" view="pageBreakPreview" topLeftCell="A26" zoomScaleNormal="100" zoomScaleSheetLayoutView="100" workbookViewId="0">
      <selection activeCell="B51" sqref="B51:I51"/>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4" t="str">
        <f>'様式１　プログラムを構成する授業科目'!C2</f>
        <v>愛知医療学院大学</v>
      </c>
      <c r="I2" s="96"/>
    </row>
    <row r="3" spans="1:9" ht="18.75" customHeight="1" x14ac:dyDescent="0.15">
      <c r="G3" s="18"/>
      <c r="H3" s="10"/>
      <c r="I3" s="10"/>
    </row>
    <row r="4" spans="1:9" ht="18.600000000000001" customHeight="1" x14ac:dyDescent="0.15">
      <c r="A4" s="133" t="s">
        <v>36</v>
      </c>
      <c r="B4" s="133"/>
      <c r="C4" s="133"/>
      <c r="D4" s="133"/>
      <c r="E4" s="133"/>
      <c r="F4" s="133"/>
      <c r="G4" s="133"/>
      <c r="H4" s="133"/>
      <c r="I4" s="133"/>
    </row>
    <row r="5" spans="1:9" ht="13.15" customHeight="1" x14ac:dyDescent="0.15">
      <c r="B5" s="3"/>
      <c r="C5" s="3"/>
      <c r="D5" s="3"/>
      <c r="E5" s="3"/>
      <c r="F5" s="3"/>
      <c r="G5" s="3"/>
      <c r="H5" s="3"/>
      <c r="I5" s="3"/>
    </row>
    <row r="6" spans="1:9" ht="18" customHeight="1" x14ac:dyDescent="0.15">
      <c r="A6" s="1" t="s">
        <v>0</v>
      </c>
      <c r="B6" s="10" t="s">
        <v>81</v>
      </c>
      <c r="C6" s="224" t="s">
        <v>82</v>
      </c>
      <c r="D6" s="224"/>
      <c r="E6" s="17">
        <v>15</v>
      </c>
      <c r="F6" s="3" t="s">
        <v>1</v>
      </c>
      <c r="G6" s="3" t="s">
        <v>2</v>
      </c>
      <c r="H6" s="17">
        <v>25</v>
      </c>
      <c r="I6" s="10" t="s">
        <v>1</v>
      </c>
    </row>
    <row r="7" spans="1:9" ht="12" customHeight="1" x14ac:dyDescent="0.15">
      <c r="C7" s="2"/>
      <c r="D7" s="2"/>
      <c r="E7" s="2"/>
      <c r="F7" s="2"/>
      <c r="G7" s="2"/>
      <c r="H7" s="2"/>
      <c r="I7" s="21"/>
    </row>
    <row r="8" spans="1:9" ht="18" customHeight="1" x14ac:dyDescent="0.15">
      <c r="A8" s="1" t="s">
        <v>3</v>
      </c>
      <c r="B8" s="10" t="s">
        <v>83</v>
      </c>
      <c r="E8" s="3"/>
      <c r="F8" s="3"/>
      <c r="G8" s="3"/>
      <c r="H8" s="17">
        <v>2</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21" t="s">
        <v>147</v>
      </c>
      <c r="D11" s="222"/>
      <c r="E11" s="223"/>
      <c r="F11" s="21"/>
      <c r="G11" s="18" t="s">
        <v>10</v>
      </c>
      <c r="H11" s="221" t="s">
        <v>148</v>
      </c>
      <c r="I11" s="223"/>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18" t="s">
        <v>146</v>
      </c>
      <c r="C14" s="219"/>
      <c r="D14" s="219"/>
      <c r="E14" s="219"/>
      <c r="F14" s="219"/>
      <c r="G14" s="219"/>
      <c r="H14" s="219"/>
      <c r="I14" s="220"/>
    </row>
    <row r="15" spans="1:9" ht="9" customHeight="1" x14ac:dyDescent="0.15">
      <c r="B15" s="3"/>
      <c r="C15" s="3"/>
      <c r="D15" s="3"/>
      <c r="E15" s="3"/>
      <c r="F15" s="3"/>
      <c r="G15" s="3"/>
      <c r="H15" s="3"/>
      <c r="I15" s="3"/>
    </row>
    <row r="16" spans="1:9" ht="18" customHeight="1" x14ac:dyDescent="0.15">
      <c r="B16" s="18" t="s">
        <v>41</v>
      </c>
      <c r="C16" s="221" t="s">
        <v>165</v>
      </c>
      <c r="D16" s="222"/>
      <c r="E16" s="223"/>
      <c r="F16" s="21"/>
      <c r="G16" s="18" t="s">
        <v>10</v>
      </c>
      <c r="H16" s="221" t="s">
        <v>164</v>
      </c>
      <c r="I16" s="223"/>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04" t="s">
        <v>152</v>
      </c>
      <c r="C19" s="205"/>
      <c r="D19" s="205"/>
      <c r="E19" s="205"/>
      <c r="F19" s="205"/>
      <c r="G19" s="205"/>
      <c r="H19" s="205"/>
      <c r="I19" s="20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07" t="s">
        <v>167</v>
      </c>
      <c r="C22" s="208"/>
      <c r="D22" s="208"/>
      <c r="E22" s="208"/>
      <c r="F22" s="208"/>
      <c r="G22" s="208"/>
      <c r="H22" s="208"/>
      <c r="I22" s="209"/>
    </row>
    <row r="23" spans="1:9" ht="18.75" customHeight="1" x14ac:dyDescent="0.15">
      <c r="A23" s="14"/>
      <c r="B23" s="210"/>
      <c r="C23" s="211"/>
      <c r="D23" s="211"/>
      <c r="E23" s="211"/>
      <c r="F23" s="211"/>
      <c r="G23" s="211"/>
      <c r="H23" s="211"/>
      <c r="I23" s="212"/>
    </row>
    <row r="24" spans="1:9" ht="18.75" customHeight="1" x14ac:dyDescent="0.15">
      <c r="A24" s="14"/>
      <c r="B24" s="210"/>
      <c r="C24" s="211"/>
      <c r="D24" s="211"/>
      <c r="E24" s="211"/>
      <c r="F24" s="211"/>
      <c r="G24" s="211"/>
      <c r="H24" s="211"/>
      <c r="I24" s="212"/>
    </row>
    <row r="25" spans="1:9" ht="18.75" customHeight="1" x14ac:dyDescent="0.15">
      <c r="A25" s="14"/>
      <c r="B25" s="210"/>
      <c r="C25" s="211"/>
      <c r="D25" s="211"/>
      <c r="E25" s="211"/>
      <c r="F25" s="211"/>
      <c r="G25" s="211"/>
      <c r="H25" s="211"/>
      <c r="I25" s="212"/>
    </row>
    <row r="26" spans="1:9" ht="18.75" customHeight="1" x14ac:dyDescent="0.15">
      <c r="A26" s="14"/>
      <c r="B26" s="210"/>
      <c r="C26" s="211"/>
      <c r="D26" s="211"/>
      <c r="E26" s="211"/>
      <c r="F26" s="211"/>
      <c r="G26" s="211"/>
      <c r="H26" s="211"/>
      <c r="I26" s="212"/>
    </row>
    <row r="27" spans="1:9" ht="18.75" customHeight="1" x14ac:dyDescent="0.15">
      <c r="A27" s="14"/>
      <c r="B27" s="210"/>
      <c r="C27" s="211"/>
      <c r="D27" s="211"/>
      <c r="E27" s="211"/>
      <c r="F27" s="211"/>
      <c r="G27" s="211"/>
      <c r="H27" s="211"/>
      <c r="I27" s="212"/>
    </row>
    <row r="28" spans="1:9" ht="18.75" customHeight="1" x14ac:dyDescent="0.15">
      <c r="A28" s="14"/>
      <c r="B28" s="210"/>
      <c r="C28" s="211"/>
      <c r="D28" s="211"/>
      <c r="E28" s="211"/>
      <c r="F28" s="211"/>
      <c r="G28" s="211"/>
      <c r="H28" s="211"/>
      <c r="I28" s="212"/>
    </row>
    <row r="29" spans="1:9" ht="18.75" customHeight="1" x14ac:dyDescent="0.15">
      <c r="A29" s="14"/>
      <c r="B29" s="210"/>
      <c r="C29" s="211"/>
      <c r="D29" s="211"/>
      <c r="E29" s="211"/>
      <c r="F29" s="211"/>
      <c r="G29" s="211"/>
      <c r="H29" s="211"/>
      <c r="I29" s="212"/>
    </row>
    <row r="30" spans="1:9" ht="18.75" customHeight="1" x14ac:dyDescent="0.15">
      <c r="A30" s="14"/>
      <c r="B30" s="213"/>
      <c r="C30" s="214"/>
      <c r="D30" s="214"/>
      <c r="E30" s="214"/>
      <c r="F30" s="214"/>
      <c r="G30" s="214"/>
      <c r="H30" s="214"/>
      <c r="I30" s="212"/>
    </row>
    <row r="31" spans="1:9" ht="18.75" customHeight="1" x14ac:dyDescent="0.15">
      <c r="A31" s="14"/>
      <c r="B31" s="213"/>
      <c r="C31" s="214"/>
      <c r="D31" s="214"/>
      <c r="E31" s="214"/>
      <c r="F31" s="214"/>
      <c r="G31" s="214"/>
      <c r="H31" s="214"/>
      <c r="I31" s="212"/>
    </row>
    <row r="32" spans="1:9" ht="18.75" customHeight="1" x14ac:dyDescent="0.15">
      <c r="A32" s="14"/>
      <c r="B32" s="215"/>
      <c r="C32" s="216"/>
      <c r="D32" s="216"/>
      <c r="E32" s="216"/>
      <c r="F32" s="216"/>
      <c r="G32" s="216"/>
      <c r="H32" s="216"/>
      <c r="I32" s="217"/>
    </row>
    <row r="33" spans="1:9" ht="7.5" customHeight="1" x14ac:dyDescent="0.15">
      <c r="A33" s="14"/>
      <c r="B33" s="14" t="s">
        <v>161</v>
      </c>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7" t="s">
        <v>166</v>
      </c>
      <c r="C35" s="208"/>
      <c r="D35" s="208"/>
      <c r="E35" s="208"/>
      <c r="F35" s="208"/>
      <c r="G35" s="208"/>
      <c r="H35" s="208"/>
      <c r="I35" s="209"/>
    </row>
    <row r="36" spans="1:9" ht="18.75" customHeight="1" x14ac:dyDescent="0.15">
      <c r="A36" s="14"/>
      <c r="B36" s="213"/>
      <c r="C36" s="214"/>
      <c r="D36" s="214"/>
      <c r="E36" s="214"/>
      <c r="F36" s="214"/>
      <c r="G36" s="214"/>
      <c r="H36" s="214"/>
      <c r="I36" s="212"/>
    </row>
    <row r="37" spans="1:9" ht="18.75" customHeight="1" x14ac:dyDescent="0.15">
      <c r="A37" s="14"/>
      <c r="B37" s="213"/>
      <c r="C37" s="214"/>
      <c r="D37" s="214"/>
      <c r="E37" s="214"/>
      <c r="F37" s="214"/>
      <c r="G37" s="214"/>
      <c r="H37" s="214"/>
      <c r="I37" s="212"/>
    </row>
    <row r="38" spans="1:9" ht="18.75" customHeight="1" x14ac:dyDescent="0.15">
      <c r="A38" s="14"/>
      <c r="B38" s="213"/>
      <c r="C38" s="214"/>
      <c r="D38" s="214"/>
      <c r="E38" s="214"/>
      <c r="F38" s="214"/>
      <c r="G38" s="214"/>
      <c r="H38" s="214"/>
      <c r="I38" s="212"/>
    </row>
    <row r="39" spans="1:9" ht="18.75" customHeight="1" x14ac:dyDescent="0.15">
      <c r="A39" s="14"/>
      <c r="B39" s="213"/>
      <c r="C39" s="214"/>
      <c r="D39" s="214"/>
      <c r="E39" s="214"/>
      <c r="F39" s="214"/>
      <c r="G39" s="214"/>
      <c r="H39" s="214"/>
      <c r="I39" s="212"/>
    </row>
    <row r="40" spans="1:9" ht="18.75" customHeight="1" x14ac:dyDescent="0.15">
      <c r="A40" s="14"/>
      <c r="B40" s="213"/>
      <c r="C40" s="214"/>
      <c r="D40" s="214"/>
      <c r="E40" s="214"/>
      <c r="F40" s="214"/>
      <c r="G40" s="214"/>
      <c r="H40" s="214"/>
      <c r="I40" s="212"/>
    </row>
    <row r="41" spans="1:9" ht="18.75" customHeight="1" x14ac:dyDescent="0.15">
      <c r="A41" s="14"/>
      <c r="B41" s="213"/>
      <c r="C41" s="214"/>
      <c r="D41" s="214"/>
      <c r="E41" s="214"/>
      <c r="F41" s="214"/>
      <c r="G41" s="214"/>
      <c r="H41" s="214"/>
      <c r="I41" s="212"/>
    </row>
    <row r="42" spans="1:9" ht="18.75" customHeight="1" x14ac:dyDescent="0.15">
      <c r="A42" s="14"/>
      <c r="B42" s="213"/>
      <c r="C42" s="214"/>
      <c r="D42" s="214"/>
      <c r="E42" s="214"/>
      <c r="F42" s="214"/>
      <c r="G42" s="214"/>
      <c r="H42" s="214"/>
      <c r="I42" s="212"/>
    </row>
    <row r="43" spans="1:9" ht="18.75" customHeight="1" x14ac:dyDescent="0.15">
      <c r="A43" s="14"/>
      <c r="B43" s="213"/>
      <c r="C43" s="214"/>
      <c r="D43" s="214"/>
      <c r="E43" s="214"/>
      <c r="F43" s="214"/>
      <c r="G43" s="214"/>
      <c r="H43" s="214"/>
      <c r="I43" s="212"/>
    </row>
    <row r="44" spans="1:9" ht="18.75" customHeight="1" x14ac:dyDescent="0.15">
      <c r="A44" s="14"/>
      <c r="B44" s="213"/>
      <c r="C44" s="214"/>
      <c r="D44" s="214"/>
      <c r="E44" s="214"/>
      <c r="F44" s="214"/>
      <c r="G44" s="214"/>
      <c r="H44" s="214"/>
      <c r="I44" s="212"/>
    </row>
    <row r="45" spans="1:9" ht="18.75" customHeight="1" x14ac:dyDescent="0.15">
      <c r="A45" s="14"/>
      <c r="B45" s="213"/>
      <c r="C45" s="214"/>
      <c r="D45" s="214"/>
      <c r="E45" s="214"/>
      <c r="F45" s="214"/>
      <c r="G45" s="214"/>
      <c r="H45" s="214"/>
      <c r="I45" s="212"/>
    </row>
    <row r="46" spans="1:9" ht="18.75" customHeight="1" x14ac:dyDescent="0.15">
      <c r="A46" s="14"/>
      <c r="B46" s="215"/>
      <c r="C46" s="216"/>
      <c r="D46" s="216"/>
      <c r="E46" s="216"/>
      <c r="F46" s="216"/>
      <c r="G46" s="216"/>
      <c r="H46" s="216"/>
      <c r="I46" s="217"/>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69" t="s">
        <v>129</v>
      </c>
      <c r="C49" s="193">
        <f>'様式２ 履修者等数の実績'!S33</f>
        <v>0.25937500000000002</v>
      </c>
      <c r="D49" s="193"/>
      <c r="E49" s="69" t="s">
        <v>60</v>
      </c>
      <c r="F49" s="193">
        <v>1</v>
      </c>
      <c r="G49" s="193"/>
      <c r="H49" s="69" t="s">
        <v>80</v>
      </c>
      <c r="I49" s="22">
        <v>1</v>
      </c>
      <c r="J49" s="1"/>
      <c r="M49" s="1"/>
      <c r="N49" s="23"/>
    </row>
    <row r="50" spans="1:15" s="3" customFormat="1" ht="18.75" customHeight="1" x14ac:dyDescent="0.15">
      <c r="B50" s="70" t="s">
        <v>116</v>
      </c>
      <c r="C50" s="176">
        <v>1</v>
      </c>
      <c r="D50" s="176"/>
      <c r="E50" s="70" t="s">
        <v>130</v>
      </c>
      <c r="F50" s="176">
        <v>1</v>
      </c>
      <c r="G50" s="176"/>
      <c r="H50" s="70" t="s">
        <v>61</v>
      </c>
      <c r="I50" s="24">
        <f>'様式２ 履修者等数の実績'!E33</f>
        <v>320</v>
      </c>
      <c r="J50" s="1"/>
      <c r="M50" s="1"/>
      <c r="N50" s="23"/>
    </row>
    <row r="51" spans="1:15" ht="18.75" customHeight="1" x14ac:dyDescent="0.15">
      <c r="A51" s="1"/>
      <c r="B51" s="235" t="s">
        <v>62</v>
      </c>
      <c r="C51" s="236"/>
      <c r="D51" s="236"/>
      <c r="E51" s="236"/>
      <c r="F51" s="236"/>
      <c r="G51" s="236"/>
      <c r="H51" s="236"/>
      <c r="I51" s="237"/>
      <c r="N51" s="23"/>
      <c r="O51" s="3"/>
    </row>
    <row r="52" spans="1:15" ht="18.75" customHeight="1" x14ac:dyDescent="0.15">
      <c r="A52" s="1"/>
      <c r="B52" s="194" t="s">
        <v>187</v>
      </c>
      <c r="C52" s="195"/>
      <c r="D52" s="195"/>
      <c r="E52" s="195"/>
      <c r="F52" s="195"/>
      <c r="G52" s="195"/>
      <c r="H52" s="195"/>
      <c r="I52" s="196"/>
      <c r="N52" s="23"/>
      <c r="O52" s="3"/>
    </row>
    <row r="53" spans="1:15" ht="18.75" customHeight="1" x14ac:dyDescent="0.15">
      <c r="A53" s="1"/>
      <c r="B53" s="197"/>
      <c r="C53" s="198"/>
      <c r="D53" s="198"/>
      <c r="E53" s="198"/>
      <c r="F53" s="198"/>
      <c r="G53" s="198"/>
      <c r="H53" s="198"/>
      <c r="I53" s="199"/>
      <c r="N53" s="23"/>
      <c r="O53" s="3"/>
    </row>
    <row r="54" spans="1:15" ht="18.75" customHeight="1" x14ac:dyDescent="0.15">
      <c r="A54" s="1"/>
      <c r="B54" s="197"/>
      <c r="C54" s="198"/>
      <c r="D54" s="198"/>
      <c r="E54" s="198"/>
      <c r="F54" s="198"/>
      <c r="G54" s="198"/>
      <c r="H54" s="198"/>
      <c r="I54" s="199"/>
    </row>
    <row r="55" spans="1:15" ht="18.75" customHeight="1" x14ac:dyDescent="0.15">
      <c r="A55" s="1"/>
      <c r="B55" s="197"/>
      <c r="C55" s="198"/>
      <c r="D55" s="198"/>
      <c r="E55" s="198"/>
      <c r="F55" s="198"/>
      <c r="G55" s="198"/>
      <c r="H55" s="198"/>
      <c r="I55" s="199"/>
    </row>
    <row r="56" spans="1:15" ht="18.75" customHeight="1" x14ac:dyDescent="0.15">
      <c r="A56" s="1"/>
      <c r="B56" s="197"/>
      <c r="C56" s="198"/>
      <c r="D56" s="198"/>
      <c r="E56" s="198"/>
      <c r="F56" s="198"/>
      <c r="G56" s="198"/>
      <c r="H56" s="198"/>
      <c r="I56" s="199"/>
    </row>
    <row r="57" spans="1:15" ht="18.75" customHeight="1" x14ac:dyDescent="0.15">
      <c r="A57" s="1"/>
      <c r="B57" s="197"/>
      <c r="C57" s="198"/>
      <c r="D57" s="198"/>
      <c r="E57" s="198"/>
      <c r="F57" s="198"/>
      <c r="G57" s="198"/>
      <c r="H57" s="198"/>
      <c r="I57" s="199"/>
    </row>
    <row r="58" spans="1:15" ht="18.75" customHeight="1" x14ac:dyDescent="0.15">
      <c r="A58" s="1"/>
      <c r="B58" s="197"/>
      <c r="C58" s="198"/>
      <c r="D58" s="198"/>
      <c r="E58" s="198"/>
      <c r="F58" s="198"/>
      <c r="G58" s="198"/>
      <c r="H58" s="198"/>
      <c r="I58" s="199"/>
    </row>
    <row r="59" spans="1:15" ht="18.75" customHeight="1" x14ac:dyDescent="0.15">
      <c r="A59" s="1"/>
      <c r="B59" s="197"/>
      <c r="C59" s="198"/>
      <c r="D59" s="198"/>
      <c r="E59" s="198"/>
      <c r="F59" s="198"/>
      <c r="G59" s="198"/>
      <c r="H59" s="198"/>
      <c r="I59" s="199"/>
    </row>
    <row r="60" spans="1:15" ht="18.75" customHeight="1" x14ac:dyDescent="0.15">
      <c r="A60" s="1"/>
      <c r="B60" s="197"/>
      <c r="C60" s="198"/>
      <c r="D60" s="198"/>
      <c r="E60" s="198"/>
      <c r="F60" s="198"/>
      <c r="G60" s="198"/>
      <c r="H60" s="198"/>
      <c r="I60" s="199"/>
    </row>
    <row r="61" spans="1:15" ht="18.75" customHeight="1" x14ac:dyDescent="0.15">
      <c r="A61" s="1"/>
      <c r="B61" s="197"/>
      <c r="C61" s="198"/>
      <c r="D61" s="198"/>
      <c r="E61" s="198"/>
      <c r="F61" s="198"/>
      <c r="G61" s="198"/>
      <c r="H61" s="198"/>
      <c r="I61" s="199"/>
    </row>
    <row r="62" spans="1:15" ht="18.75" customHeight="1" x14ac:dyDescent="0.15">
      <c r="A62" s="1"/>
      <c r="B62" s="197"/>
      <c r="C62" s="198"/>
      <c r="D62" s="198"/>
      <c r="E62" s="198"/>
      <c r="F62" s="198"/>
      <c r="G62" s="198"/>
      <c r="H62" s="198"/>
      <c r="I62" s="199"/>
    </row>
    <row r="63" spans="1:15" ht="18.75" customHeight="1" x14ac:dyDescent="0.15">
      <c r="A63" s="1"/>
      <c r="B63" s="200"/>
      <c r="C63" s="201"/>
      <c r="D63" s="201"/>
      <c r="E63" s="201"/>
      <c r="F63" s="201"/>
      <c r="G63" s="201"/>
      <c r="H63" s="201"/>
      <c r="I63" s="20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77" t="s">
        <v>185</v>
      </c>
      <c r="C66" s="178"/>
      <c r="D66" s="178"/>
      <c r="E66" s="178"/>
      <c r="F66" s="178"/>
      <c r="G66" s="178"/>
      <c r="H66" s="178"/>
      <c r="I66" s="179"/>
    </row>
    <row r="67" spans="1:9" ht="18.75" customHeight="1" x14ac:dyDescent="0.15">
      <c r="A67" s="4"/>
      <c r="B67" s="180"/>
      <c r="C67" s="181"/>
      <c r="D67" s="181"/>
      <c r="E67" s="181"/>
      <c r="F67" s="181"/>
      <c r="G67" s="181"/>
      <c r="H67" s="181"/>
      <c r="I67" s="182"/>
    </row>
    <row r="68" spans="1:9" ht="18.75" customHeight="1" x14ac:dyDescent="0.15">
      <c r="A68" s="4"/>
      <c r="B68" s="180"/>
      <c r="C68" s="181"/>
      <c r="D68" s="181"/>
      <c r="E68" s="181"/>
      <c r="F68" s="181"/>
      <c r="G68" s="181"/>
      <c r="H68" s="181"/>
      <c r="I68" s="182"/>
    </row>
    <row r="69" spans="1:9" ht="18.75" customHeight="1" x14ac:dyDescent="0.15">
      <c r="A69" s="4"/>
      <c r="B69" s="180"/>
      <c r="C69" s="181"/>
      <c r="D69" s="181"/>
      <c r="E69" s="181"/>
      <c r="F69" s="181"/>
      <c r="G69" s="181"/>
      <c r="H69" s="181"/>
      <c r="I69" s="182"/>
    </row>
    <row r="70" spans="1:9" ht="18.75" customHeight="1" x14ac:dyDescent="0.15">
      <c r="A70" s="4"/>
      <c r="B70" s="180"/>
      <c r="C70" s="181"/>
      <c r="D70" s="181"/>
      <c r="E70" s="181"/>
      <c r="F70" s="181"/>
      <c r="G70" s="181"/>
      <c r="H70" s="181"/>
      <c r="I70" s="182"/>
    </row>
    <row r="71" spans="1:9" ht="18.75" customHeight="1" x14ac:dyDescent="0.15">
      <c r="A71" s="4"/>
      <c r="B71" s="180"/>
      <c r="C71" s="181"/>
      <c r="D71" s="181"/>
      <c r="E71" s="181"/>
      <c r="F71" s="181"/>
      <c r="G71" s="181"/>
      <c r="H71" s="181"/>
      <c r="I71" s="182"/>
    </row>
    <row r="72" spans="1:9" ht="18.75" customHeight="1" x14ac:dyDescent="0.15">
      <c r="A72" s="4"/>
      <c r="B72" s="180"/>
      <c r="C72" s="181"/>
      <c r="D72" s="181"/>
      <c r="E72" s="181"/>
      <c r="F72" s="181"/>
      <c r="G72" s="181"/>
      <c r="H72" s="181"/>
      <c r="I72" s="182"/>
    </row>
    <row r="73" spans="1:9" ht="18.75" customHeight="1" x14ac:dyDescent="0.15">
      <c r="A73" s="4"/>
      <c r="B73" s="180"/>
      <c r="C73" s="181"/>
      <c r="D73" s="181"/>
      <c r="E73" s="181"/>
      <c r="F73" s="181"/>
      <c r="G73" s="181"/>
      <c r="H73" s="181"/>
      <c r="I73" s="182"/>
    </row>
    <row r="74" spans="1:9" ht="18.75" customHeight="1" x14ac:dyDescent="0.15">
      <c r="A74" s="4"/>
      <c r="B74" s="180"/>
      <c r="C74" s="181"/>
      <c r="D74" s="181"/>
      <c r="E74" s="181"/>
      <c r="F74" s="181"/>
      <c r="G74" s="181"/>
      <c r="H74" s="181"/>
      <c r="I74" s="182"/>
    </row>
    <row r="75" spans="1:9" ht="18.75" customHeight="1" x14ac:dyDescent="0.15">
      <c r="A75" s="4"/>
      <c r="B75" s="180"/>
      <c r="C75" s="181"/>
      <c r="D75" s="181"/>
      <c r="E75" s="181"/>
      <c r="F75" s="181"/>
      <c r="G75" s="181"/>
      <c r="H75" s="181"/>
      <c r="I75" s="182"/>
    </row>
    <row r="76" spans="1:9" ht="18.75" customHeight="1" x14ac:dyDescent="0.15">
      <c r="A76" s="4"/>
      <c r="B76" s="180"/>
      <c r="C76" s="181"/>
      <c r="D76" s="181"/>
      <c r="E76" s="181"/>
      <c r="F76" s="181"/>
      <c r="G76" s="181"/>
      <c r="H76" s="181"/>
      <c r="I76" s="182"/>
    </row>
    <row r="77" spans="1:9" ht="18.75" customHeight="1" x14ac:dyDescent="0.15">
      <c r="A77" s="4"/>
      <c r="B77" s="183"/>
      <c r="C77" s="184"/>
      <c r="D77" s="184"/>
      <c r="E77" s="184"/>
      <c r="F77" s="184"/>
      <c r="G77" s="184"/>
      <c r="H77" s="184"/>
      <c r="I77" s="185"/>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77" t="s">
        <v>188</v>
      </c>
      <c r="C80" s="178"/>
      <c r="D80" s="178"/>
      <c r="E80" s="178"/>
      <c r="F80" s="178"/>
      <c r="G80" s="178"/>
      <c r="H80" s="178"/>
      <c r="I80" s="186"/>
    </row>
    <row r="81" spans="1:9" ht="18.75" customHeight="1" x14ac:dyDescent="0.15">
      <c r="A81" s="1"/>
      <c r="B81" s="187"/>
      <c r="C81" s="188"/>
      <c r="D81" s="188"/>
      <c r="E81" s="188"/>
      <c r="F81" s="188"/>
      <c r="G81" s="188"/>
      <c r="H81" s="188"/>
      <c r="I81" s="189"/>
    </row>
    <row r="82" spans="1:9" ht="18.75" customHeight="1" x14ac:dyDescent="0.15">
      <c r="A82" s="1"/>
      <c r="B82" s="187"/>
      <c r="C82" s="188"/>
      <c r="D82" s="188"/>
      <c r="E82" s="188"/>
      <c r="F82" s="188"/>
      <c r="G82" s="188"/>
      <c r="H82" s="188"/>
      <c r="I82" s="189"/>
    </row>
    <row r="83" spans="1:9" ht="18.75" customHeight="1" x14ac:dyDescent="0.15">
      <c r="A83" s="1"/>
      <c r="B83" s="187"/>
      <c r="C83" s="188"/>
      <c r="D83" s="188"/>
      <c r="E83" s="188"/>
      <c r="F83" s="188"/>
      <c r="G83" s="188"/>
      <c r="H83" s="188"/>
      <c r="I83" s="189"/>
    </row>
    <row r="84" spans="1:9" ht="18.75" customHeight="1" x14ac:dyDescent="0.15">
      <c r="A84" s="1"/>
      <c r="B84" s="187"/>
      <c r="C84" s="188"/>
      <c r="D84" s="188"/>
      <c r="E84" s="188"/>
      <c r="F84" s="188"/>
      <c r="G84" s="188"/>
      <c r="H84" s="188"/>
      <c r="I84" s="189"/>
    </row>
    <row r="85" spans="1:9" ht="18.75" customHeight="1" x14ac:dyDescent="0.15">
      <c r="A85" s="1"/>
      <c r="B85" s="187"/>
      <c r="C85" s="188"/>
      <c r="D85" s="188"/>
      <c r="E85" s="188"/>
      <c r="F85" s="188"/>
      <c r="G85" s="188"/>
      <c r="H85" s="188"/>
      <c r="I85" s="189"/>
    </row>
    <row r="86" spans="1:9" ht="18.75" customHeight="1" x14ac:dyDescent="0.15">
      <c r="A86" s="1"/>
      <c r="B86" s="187"/>
      <c r="C86" s="188"/>
      <c r="D86" s="188"/>
      <c r="E86" s="188"/>
      <c r="F86" s="188"/>
      <c r="G86" s="188"/>
      <c r="H86" s="188"/>
      <c r="I86" s="189"/>
    </row>
    <row r="87" spans="1:9" ht="18.75" customHeight="1" x14ac:dyDescent="0.15">
      <c r="A87" s="1"/>
      <c r="B87" s="187"/>
      <c r="C87" s="188"/>
      <c r="D87" s="188"/>
      <c r="E87" s="188"/>
      <c r="F87" s="188"/>
      <c r="G87" s="188"/>
      <c r="H87" s="188"/>
      <c r="I87" s="189"/>
    </row>
    <row r="88" spans="1:9" ht="18.75" customHeight="1" x14ac:dyDescent="0.15">
      <c r="A88" s="1"/>
      <c r="B88" s="187"/>
      <c r="C88" s="188"/>
      <c r="D88" s="188"/>
      <c r="E88" s="188"/>
      <c r="F88" s="188"/>
      <c r="G88" s="188"/>
      <c r="H88" s="188"/>
      <c r="I88" s="189"/>
    </row>
    <row r="89" spans="1:9" ht="18.75" customHeight="1" x14ac:dyDescent="0.15">
      <c r="A89" s="1"/>
      <c r="B89" s="187"/>
      <c r="C89" s="188"/>
      <c r="D89" s="188"/>
      <c r="E89" s="188"/>
      <c r="F89" s="188"/>
      <c r="G89" s="188"/>
      <c r="H89" s="188"/>
      <c r="I89" s="189"/>
    </row>
    <row r="90" spans="1:9" ht="18.75" customHeight="1" x14ac:dyDescent="0.15">
      <c r="A90" s="4"/>
      <c r="B90" s="187"/>
      <c r="C90" s="188"/>
      <c r="D90" s="188"/>
      <c r="E90" s="188"/>
      <c r="F90" s="188"/>
      <c r="G90" s="188"/>
      <c r="H90" s="188"/>
      <c r="I90" s="189"/>
    </row>
    <row r="91" spans="1:9" ht="18.75" customHeight="1" x14ac:dyDescent="0.15">
      <c r="A91" s="4"/>
      <c r="B91" s="190"/>
      <c r="C91" s="191"/>
      <c r="D91" s="191"/>
      <c r="E91" s="191"/>
      <c r="F91" s="191"/>
      <c r="G91" s="191"/>
      <c r="H91" s="191"/>
      <c r="I91" s="192"/>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207" t="s">
        <v>186</v>
      </c>
      <c r="C94" s="208"/>
      <c r="D94" s="208"/>
      <c r="E94" s="208"/>
      <c r="F94" s="208"/>
      <c r="G94" s="208"/>
      <c r="H94" s="208"/>
      <c r="I94" s="209"/>
    </row>
    <row r="95" spans="1:9" ht="18.75" customHeight="1" x14ac:dyDescent="0.15">
      <c r="A95" s="1"/>
      <c r="B95" s="213"/>
      <c r="C95" s="214"/>
      <c r="D95" s="214"/>
      <c r="E95" s="214"/>
      <c r="F95" s="214"/>
      <c r="G95" s="214"/>
      <c r="H95" s="214"/>
      <c r="I95" s="212"/>
    </row>
    <row r="96" spans="1:9" ht="18.75" customHeight="1" x14ac:dyDescent="0.15">
      <c r="A96" s="1"/>
      <c r="B96" s="213"/>
      <c r="C96" s="214"/>
      <c r="D96" s="214"/>
      <c r="E96" s="214"/>
      <c r="F96" s="214"/>
      <c r="G96" s="214"/>
      <c r="H96" s="214"/>
      <c r="I96" s="212"/>
    </row>
    <row r="97" spans="1:9" ht="18.75" customHeight="1" x14ac:dyDescent="0.15">
      <c r="A97" s="1"/>
      <c r="B97" s="213"/>
      <c r="C97" s="214"/>
      <c r="D97" s="214"/>
      <c r="E97" s="214"/>
      <c r="F97" s="214"/>
      <c r="G97" s="214"/>
      <c r="H97" s="214"/>
      <c r="I97" s="212"/>
    </row>
    <row r="98" spans="1:9" ht="18.75" customHeight="1" x14ac:dyDescent="0.15">
      <c r="A98" s="1"/>
      <c r="B98" s="213"/>
      <c r="C98" s="214"/>
      <c r="D98" s="214"/>
      <c r="E98" s="214"/>
      <c r="F98" s="214"/>
      <c r="G98" s="214"/>
      <c r="H98" s="214"/>
      <c r="I98" s="212"/>
    </row>
    <row r="99" spans="1:9" ht="18.75" customHeight="1" x14ac:dyDescent="0.15">
      <c r="A99" s="1"/>
      <c r="B99" s="213"/>
      <c r="C99" s="214"/>
      <c r="D99" s="214"/>
      <c r="E99" s="214"/>
      <c r="F99" s="214"/>
      <c r="G99" s="214"/>
      <c r="H99" s="214"/>
      <c r="I99" s="212"/>
    </row>
    <row r="100" spans="1:9" ht="18.75" customHeight="1" x14ac:dyDescent="0.15">
      <c r="A100" s="1"/>
      <c r="B100" s="213"/>
      <c r="C100" s="214"/>
      <c r="D100" s="214"/>
      <c r="E100" s="214"/>
      <c r="F100" s="214"/>
      <c r="G100" s="214"/>
      <c r="H100" s="214"/>
      <c r="I100" s="212"/>
    </row>
    <row r="101" spans="1:9" ht="18.75" customHeight="1" x14ac:dyDescent="0.15">
      <c r="A101" s="1"/>
      <c r="B101" s="213"/>
      <c r="C101" s="214"/>
      <c r="D101" s="214"/>
      <c r="E101" s="214"/>
      <c r="F101" s="214"/>
      <c r="G101" s="214"/>
      <c r="H101" s="214"/>
      <c r="I101" s="212"/>
    </row>
    <row r="102" spans="1:9" ht="18.75" customHeight="1" x14ac:dyDescent="0.15">
      <c r="A102" s="1"/>
      <c r="B102" s="213"/>
      <c r="C102" s="214"/>
      <c r="D102" s="214"/>
      <c r="E102" s="214"/>
      <c r="F102" s="214"/>
      <c r="G102" s="214"/>
      <c r="H102" s="214"/>
      <c r="I102" s="212"/>
    </row>
    <row r="103" spans="1:9" ht="18.75" customHeight="1" x14ac:dyDescent="0.15">
      <c r="A103" s="1"/>
      <c r="B103" s="213"/>
      <c r="C103" s="214"/>
      <c r="D103" s="214"/>
      <c r="E103" s="214"/>
      <c r="F103" s="214"/>
      <c r="G103" s="214"/>
      <c r="H103" s="214"/>
      <c r="I103" s="212"/>
    </row>
    <row r="104" spans="1:9" ht="18.75" customHeight="1" x14ac:dyDescent="0.15">
      <c r="A104" s="1"/>
      <c r="B104" s="213"/>
      <c r="C104" s="214"/>
      <c r="D104" s="214"/>
      <c r="E104" s="214"/>
      <c r="F104" s="214"/>
      <c r="G104" s="214"/>
      <c r="H104" s="214"/>
      <c r="I104" s="212"/>
    </row>
    <row r="105" spans="1:9" ht="18.75" customHeight="1" x14ac:dyDescent="0.15">
      <c r="A105" s="4"/>
      <c r="B105" s="215"/>
      <c r="C105" s="216"/>
      <c r="D105" s="216"/>
      <c r="E105" s="216"/>
      <c r="F105" s="216"/>
      <c r="G105" s="216"/>
      <c r="H105" s="216"/>
      <c r="I105" s="217"/>
    </row>
    <row r="106" spans="1:9" ht="7.5" customHeight="1" x14ac:dyDescent="0.15">
      <c r="A106" s="4"/>
      <c r="B106" s="4"/>
      <c r="C106" s="4"/>
      <c r="D106" s="4"/>
      <c r="E106" s="4"/>
      <c r="F106" s="4"/>
      <c r="G106" s="4"/>
      <c r="H106" s="4"/>
      <c r="I106" s="4"/>
    </row>
    <row r="107" spans="1:9" ht="18.75" customHeight="1" x14ac:dyDescent="0.15">
      <c r="A107" s="1" t="s">
        <v>30</v>
      </c>
      <c r="B107" s="225" t="s">
        <v>44</v>
      </c>
      <c r="C107" s="225"/>
      <c r="D107" s="225"/>
      <c r="E107" s="225"/>
      <c r="F107" s="225"/>
      <c r="G107" s="225"/>
      <c r="H107" s="225"/>
      <c r="I107" s="225"/>
    </row>
    <row r="108" spans="1:9" ht="18.75" customHeight="1" x14ac:dyDescent="0.15">
      <c r="A108" s="4"/>
      <c r="B108" s="226" t="s">
        <v>181</v>
      </c>
      <c r="C108" s="227"/>
      <c r="D108" s="227"/>
      <c r="E108" s="227"/>
      <c r="F108" s="227"/>
      <c r="G108" s="227"/>
      <c r="H108" s="227"/>
      <c r="I108" s="228"/>
    </row>
    <row r="109" spans="1:9" ht="18.75" customHeight="1" x14ac:dyDescent="0.15">
      <c r="A109" s="4"/>
      <c r="B109" s="229"/>
      <c r="C109" s="230"/>
      <c r="D109" s="230"/>
      <c r="E109" s="230"/>
      <c r="F109" s="230"/>
      <c r="G109" s="230"/>
      <c r="H109" s="230"/>
      <c r="I109" s="231"/>
    </row>
    <row r="110" spans="1:9" ht="18.75" customHeight="1" x14ac:dyDescent="0.15">
      <c r="A110" s="4"/>
      <c r="B110" s="229"/>
      <c r="C110" s="230"/>
      <c r="D110" s="230"/>
      <c r="E110" s="230"/>
      <c r="F110" s="230"/>
      <c r="G110" s="230"/>
      <c r="H110" s="230"/>
      <c r="I110" s="231"/>
    </row>
    <row r="111" spans="1:9" ht="18.75" customHeight="1" x14ac:dyDescent="0.15">
      <c r="A111" s="4"/>
      <c r="B111" s="229"/>
      <c r="C111" s="230"/>
      <c r="D111" s="230"/>
      <c r="E111" s="230"/>
      <c r="F111" s="230"/>
      <c r="G111" s="230"/>
      <c r="H111" s="230"/>
      <c r="I111" s="231"/>
    </row>
    <row r="112" spans="1:9" ht="18.75" customHeight="1" x14ac:dyDescent="0.15">
      <c r="A112" s="4"/>
      <c r="B112" s="229"/>
      <c r="C112" s="230"/>
      <c r="D112" s="230"/>
      <c r="E112" s="230"/>
      <c r="F112" s="230"/>
      <c r="G112" s="230"/>
      <c r="H112" s="230"/>
      <c r="I112" s="231"/>
    </row>
    <row r="113" spans="1:9" ht="18.75" customHeight="1" x14ac:dyDescent="0.15">
      <c r="A113" s="4"/>
      <c r="B113" s="229"/>
      <c r="C113" s="230"/>
      <c r="D113" s="230"/>
      <c r="E113" s="230"/>
      <c r="F113" s="230"/>
      <c r="G113" s="230"/>
      <c r="H113" s="230"/>
      <c r="I113" s="231"/>
    </row>
    <row r="114" spans="1:9" ht="18.75" customHeight="1" x14ac:dyDescent="0.15">
      <c r="A114" s="4"/>
      <c r="B114" s="229"/>
      <c r="C114" s="230"/>
      <c r="D114" s="230"/>
      <c r="E114" s="230"/>
      <c r="F114" s="230"/>
      <c r="G114" s="230"/>
      <c r="H114" s="230"/>
      <c r="I114" s="231"/>
    </row>
    <row r="115" spans="1:9" ht="18.75" customHeight="1" x14ac:dyDescent="0.15">
      <c r="A115" s="4"/>
      <c r="B115" s="229"/>
      <c r="C115" s="230"/>
      <c r="D115" s="230"/>
      <c r="E115" s="230"/>
      <c r="F115" s="230"/>
      <c r="G115" s="230"/>
      <c r="H115" s="230"/>
      <c r="I115" s="231"/>
    </row>
    <row r="116" spans="1:9" ht="18.75" customHeight="1" x14ac:dyDescent="0.15">
      <c r="A116" s="4"/>
      <c r="B116" s="229"/>
      <c r="C116" s="230"/>
      <c r="D116" s="230"/>
      <c r="E116" s="230"/>
      <c r="F116" s="230"/>
      <c r="G116" s="230"/>
      <c r="H116" s="230"/>
      <c r="I116" s="231"/>
    </row>
    <row r="117" spans="1:9" ht="18.75" customHeight="1" x14ac:dyDescent="0.15">
      <c r="A117" s="4"/>
      <c r="B117" s="229"/>
      <c r="C117" s="230"/>
      <c r="D117" s="230"/>
      <c r="E117" s="230"/>
      <c r="F117" s="230"/>
      <c r="G117" s="230"/>
      <c r="H117" s="230"/>
      <c r="I117" s="231"/>
    </row>
    <row r="118" spans="1:9" ht="18.75" customHeight="1" x14ac:dyDescent="0.15">
      <c r="A118" s="4"/>
      <c r="B118" s="229"/>
      <c r="C118" s="230"/>
      <c r="D118" s="230"/>
      <c r="E118" s="230"/>
      <c r="F118" s="230"/>
      <c r="G118" s="230"/>
      <c r="H118" s="230"/>
      <c r="I118" s="231"/>
    </row>
    <row r="119" spans="1:9" ht="18.75" customHeight="1" x14ac:dyDescent="0.15">
      <c r="A119" s="4"/>
      <c r="B119" s="232"/>
      <c r="C119" s="233"/>
      <c r="D119" s="233"/>
      <c r="E119" s="233"/>
      <c r="F119" s="233"/>
      <c r="G119" s="233"/>
      <c r="H119" s="233"/>
      <c r="I119" s="234"/>
    </row>
    <row r="120" spans="1:9" ht="7.5" customHeight="1" x14ac:dyDescent="0.15">
      <c r="A120" s="4"/>
      <c r="B120" s="25"/>
      <c r="C120" s="25"/>
      <c r="D120" s="25"/>
      <c r="E120" s="25"/>
      <c r="F120" s="25"/>
      <c r="G120" s="25"/>
      <c r="H120" s="25"/>
      <c r="I120" s="25"/>
    </row>
    <row r="121" spans="1:9" ht="18.75" customHeight="1" x14ac:dyDescent="0.15">
      <c r="A121" s="41"/>
      <c r="B121" s="203"/>
      <c r="C121" s="203"/>
      <c r="D121" s="203"/>
      <c r="E121" s="203"/>
      <c r="F121" s="203"/>
      <c r="G121" s="203"/>
      <c r="H121" s="203"/>
      <c r="I121" s="203"/>
    </row>
    <row r="122" spans="1:9" ht="18.75" customHeight="1" x14ac:dyDescent="0.15">
      <c r="A122" s="41"/>
      <c r="B122" s="203"/>
      <c r="C122" s="203"/>
      <c r="D122" s="203"/>
      <c r="E122" s="203"/>
      <c r="F122" s="203"/>
      <c r="G122" s="203"/>
      <c r="H122" s="203"/>
      <c r="I122" s="203"/>
    </row>
    <row r="123" spans="1:9" ht="18.75" customHeight="1" x14ac:dyDescent="0.15">
      <c r="A123" s="4"/>
      <c r="B123" s="42"/>
      <c r="C123" s="42"/>
      <c r="D123" s="42"/>
      <c r="E123" s="42"/>
      <c r="F123" s="42"/>
      <c r="G123" s="42"/>
      <c r="H123" s="42"/>
      <c r="I123" s="43"/>
    </row>
    <row r="124" spans="1:9" ht="18.75" customHeight="1" x14ac:dyDescent="0.15">
      <c r="A124" s="4"/>
      <c r="B124" s="43"/>
      <c r="C124" s="43"/>
      <c r="D124" s="43"/>
      <c r="E124" s="43"/>
      <c r="F124" s="43"/>
      <c r="G124" s="43"/>
      <c r="H124" s="43"/>
      <c r="I124" s="43"/>
    </row>
    <row r="125" spans="1:9" ht="18.75" customHeight="1" x14ac:dyDescent="0.15">
      <c r="A125" s="4"/>
      <c r="B125" s="43"/>
      <c r="C125" s="43"/>
      <c r="D125" s="43"/>
      <c r="E125" s="43"/>
      <c r="F125" s="43"/>
      <c r="G125" s="43"/>
      <c r="H125" s="43"/>
      <c r="I125" s="43"/>
    </row>
    <row r="126" spans="1:9" ht="18.75" customHeight="1" x14ac:dyDescent="0.15">
      <c r="A126" s="4"/>
      <c r="B126" s="43"/>
      <c r="C126" s="43"/>
      <c r="D126" s="43"/>
      <c r="E126" s="43"/>
      <c r="F126" s="43"/>
      <c r="G126" s="43"/>
      <c r="H126" s="43"/>
      <c r="I126" s="43"/>
    </row>
    <row r="127" spans="1:9" ht="18.75" customHeight="1" x14ac:dyDescent="0.15">
      <c r="A127" s="4"/>
      <c r="B127" s="43"/>
      <c r="C127" s="43"/>
      <c r="D127" s="43"/>
      <c r="E127" s="43"/>
      <c r="F127" s="43"/>
      <c r="G127" s="43"/>
      <c r="H127" s="43"/>
      <c r="I127" s="43"/>
    </row>
    <row r="128" spans="1:9" ht="18.75" customHeight="1" x14ac:dyDescent="0.15">
      <c r="A128" s="4"/>
      <c r="B128" s="43"/>
      <c r="C128" s="43"/>
      <c r="D128" s="43"/>
      <c r="E128" s="43"/>
      <c r="F128" s="43"/>
      <c r="G128" s="43"/>
      <c r="H128" s="43"/>
      <c r="I128" s="43"/>
    </row>
    <row r="129" spans="1:9" ht="18.75" customHeight="1" x14ac:dyDescent="0.15">
      <c r="A129" s="4"/>
      <c r="B129" s="43"/>
      <c r="C129" s="43"/>
      <c r="D129" s="43"/>
      <c r="E129" s="43"/>
      <c r="F129" s="43"/>
      <c r="G129" s="43"/>
      <c r="H129" s="43"/>
      <c r="I129" s="43"/>
    </row>
    <row r="130" spans="1:9" ht="18.75" customHeight="1" x14ac:dyDescent="0.15">
      <c r="A130" s="4"/>
      <c r="B130" s="43"/>
      <c r="C130" s="43"/>
      <c r="D130" s="43"/>
      <c r="E130" s="43"/>
      <c r="F130" s="43"/>
      <c r="G130" s="43"/>
      <c r="H130" s="43"/>
      <c r="I130" s="43"/>
    </row>
    <row r="131" spans="1:9" ht="18.75" customHeight="1" x14ac:dyDescent="0.15">
      <c r="A131" s="4"/>
      <c r="B131" s="43"/>
      <c r="C131" s="43"/>
      <c r="D131" s="43"/>
      <c r="E131" s="43"/>
      <c r="F131" s="43"/>
      <c r="G131" s="43"/>
      <c r="H131" s="43"/>
      <c r="I131" s="43"/>
    </row>
    <row r="132" spans="1:9" ht="18.75" customHeight="1" x14ac:dyDescent="0.15">
      <c r="A132" s="4"/>
      <c r="B132" s="43"/>
      <c r="C132" s="43"/>
      <c r="D132" s="43"/>
      <c r="E132" s="43"/>
      <c r="F132" s="43"/>
      <c r="G132" s="43"/>
      <c r="H132" s="43"/>
      <c r="I132" s="43"/>
    </row>
    <row r="133" spans="1:9" ht="14.25" x14ac:dyDescent="0.15">
      <c r="A133" s="4"/>
      <c r="B133" s="43"/>
      <c r="C133" s="43"/>
      <c r="D133" s="43"/>
      <c r="E133" s="43"/>
      <c r="F133" s="43"/>
      <c r="G133" s="43"/>
      <c r="H133" s="43"/>
      <c r="I133" s="43"/>
    </row>
    <row r="134" spans="1:9" ht="7.5" customHeight="1" x14ac:dyDescent="0.15">
      <c r="A134" s="4"/>
      <c r="B134" s="43"/>
      <c r="C134" s="43"/>
      <c r="D134" s="43"/>
      <c r="E134" s="43"/>
      <c r="F134" s="43"/>
      <c r="G134" s="43"/>
      <c r="H134" s="43"/>
      <c r="I134" s="4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topLeftCell="A14" zoomScaleNormal="100" zoomScaleSheetLayoutView="100" workbookViewId="0">
      <selection activeCell="E15" sqref="E15:I15"/>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愛知医療学院大学</v>
      </c>
    </row>
    <row r="3" spans="1:9" ht="18.75" customHeight="1" x14ac:dyDescent="0.15">
      <c r="A3" s="133" t="s">
        <v>28</v>
      </c>
      <c r="B3" s="133"/>
      <c r="C3" s="133"/>
      <c r="D3" s="133"/>
      <c r="E3" s="133"/>
      <c r="F3" s="133"/>
      <c r="G3" s="133"/>
      <c r="H3" s="133"/>
      <c r="I3" s="133"/>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18" t="s">
        <v>149</v>
      </c>
      <c r="C6" s="263"/>
      <c r="D6" s="263"/>
      <c r="E6" s="263"/>
      <c r="F6" s="263"/>
      <c r="G6" s="263"/>
      <c r="H6" s="264"/>
      <c r="I6" s="3"/>
    </row>
    <row r="7" spans="1:9" ht="9" customHeight="1" x14ac:dyDescent="0.15">
      <c r="A7" s="5"/>
      <c r="B7" s="10"/>
      <c r="C7" s="10"/>
      <c r="D7" s="10"/>
      <c r="E7" s="10"/>
      <c r="F7" s="10"/>
      <c r="G7" s="10"/>
      <c r="H7" s="10"/>
      <c r="I7" s="3"/>
    </row>
    <row r="8" spans="1:9" ht="18.75" customHeight="1" x14ac:dyDescent="0.15">
      <c r="A8" s="5"/>
      <c r="B8" s="3"/>
      <c r="C8" s="3"/>
      <c r="D8" s="18" t="s">
        <v>41</v>
      </c>
      <c r="E8" s="19" t="s">
        <v>163</v>
      </c>
      <c r="F8" s="3"/>
      <c r="G8" s="18" t="s">
        <v>10</v>
      </c>
      <c r="H8" s="19" t="s">
        <v>162</v>
      </c>
      <c r="I8" s="3"/>
    </row>
    <row r="9" spans="1:9" ht="7.5" customHeight="1" x14ac:dyDescent="0.15">
      <c r="A9" s="5"/>
      <c r="B9" s="5"/>
      <c r="C9" s="5"/>
      <c r="D9" s="5"/>
      <c r="E9" s="5"/>
      <c r="F9" s="5"/>
      <c r="G9" s="5"/>
      <c r="H9" s="5"/>
      <c r="I9" s="5"/>
    </row>
    <row r="10" spans="1:9" ht="18.75" customHeight="1" x14ac:dyDescent="0.15">
      <c r="A10" s="44" t="s">
        <v>3</v>
      </c>
      <c r="B10" s="44" t="s">
        <v>27</v>
      </c>
      <c r="C10" s="77"/>
      <c r="D10" s="77"/>
      <c r="E10" s="77"/>
      <c r="F10" s="77"/>
      <c r="G10" s="77"/>
      <c r="H10" s="77"/>
      <c r="I10" s="77"/>
    </row>
    <row r="11" spans="1:9" ht="18.75" customHeight="1" x14ac:dyDescent="0.15">
      <c r="A11" s="44"/>
      <c r="B11" s="260" t="s">
        <v>24</v>
      </c>
      <c r="C11" s="261"/>
      <c r="D11" s="262"/>
      <c r="E11" s="261" t="s">
        <v>26</v>
      </c>
      <c r="F11" s="261"/>
      <c r="G11" s="261"/>
      <c r="H11" s="261"/>
      <c r="I11" s="262"/>
    </row>
    <row r="12" spans="1:9" ht="26.25" customHeight="1" x14ac:dyDescent="0.15">
      <c r="A12" s="44"/>
      <c r="B12" s="78" t="s">
        <v>14</v>
      </c>
      <c r="C12" s="79"/>
      <c r="D12" s="80"/>
      <c r="E12" s="81"/>
      <c r="F12" s="81"/>
      <c r="G12" s="81"/>
      <c r="H12" s="81"/>
      <c r="I12" s="80"/>
    </row>
    <row r="13" spans="1:9" ht="210.75" customHeight="1" x14ac:dyDescent="0.15">
      <c r="A13" s="44"/>
      <c r="B13" s="82"/>
      <c r="C13" s="243" t="s">
        <v>15</v>
      </c>
      <c r="D13" s="244"/>
      <c r="E13" s="256" t="s">
        <v>184</v>
      </c>
      <c r="F13" s="245"/>
      <c r="G13" s="245"/>
      <c r="H13" s="245"/>
      <c r="I13" s="246"/>
    </row>
    <row r="14" spans="1:9" ht="210.75" customHeight="1" x14ac:dyDescent="0.15">
      <c r="A14" s="44"/>
      <c r="B14" s="82"/>
      <c r="C14" s="258" t="s">
        <v>16</v>
      </c>
      <c r="D14" s="259"/>
      <c r="E14" s="256" t="s">
        <v>190</v>
      </c>
      <c r="F14" s="245"/>
      <c r="G14" s="245"/>
      <c r="H14" s="245"/>
      <c r="I14" s="246"/>
    </row>
    <row r="15" spans="1:9" ht="210.75" customHeight="1" x14ac:dyDescent="0.15">
      <c r="A15" s="44"/>
      <c r="B15" s="82"/>
      <c r="C15" s="243" t="s">
        <v>17</v>
      </c>
      <c r="D15" s="244"/>
      <c r="E15" s="256" t="s">
        <v>153</v>
      </c>
      <c r="F15" s="245"/>
      <c r="G15" s="245"/>
      <c r="H15" s="245"/>
      <c r="I15" s="246"/>
    </row>
    <row r="16" spans="1:9" ht="210.75" customHeight="1" x14ac:dyDescent="0.15">
      <c r="A16" s="44"/>
      <c r="B16" s="82"/>
      <c r="C16" s="243" t="s">
        <v>18</v>
      </c>
      <c r="D16" s="244"/>
      <c r="E16" s="256" t="s">
        <v>189</v>
      </c>
      <c r="F16" s="245"/>
      <c r="G16" s="245"/>
      <c r="H16" s="245"/>
      <c r="I16" s="246"/>
    </row>
    <row r="17" spans="1:9" ht="210.75" customHeight="1" x14ac:dyDescent="0.15">
      <c r="A17" s="44"/>
      <c r="B17" s="83"/>
      <c r="C17" s="247" t="s">
        <v>19</v>
      </c>
      <c r="D17" s="248"/>
      <c r="E17" s="257" t="s">
        <v>158</v>
      </c>
      <c r="F17" s="249"/>
      <c r="G17" s="249"/>
      <c r="H17" s="249"/>
      <c r="I17" s="250"/>
    </row>
    <row r="18" spans="1:9" ht="24" customHeight="1" x14ac:dyDescent="0.15">
      <c r="A18" s="44"/>
      <c r="B18" s="78" t="s">
        <v>20</v>
      </c>
      <c r="C18" s="84"/>
      <c r="D18" s="85"/>
      <c r="E18" s="86"/>
      <c r="F18" s="86"/>
      <c r="G18" s="86"/>
      <c r="H18" s="86"/>
      <c r="I18" s="87"/>
    </row>
    <row r="19" spans="1:9" ht="218.25" customHeight="1" x14ac:dyDescent="0.15">
      <c r="A19" s="44"/>
      <c r="B19" s="82"/>
      <c r="C19" s="243" t="s">
        <v>21</v>
      </c>
      <c r="D19" s="244"/>
      <c r="E19" s="245" t="s">
        <v>182</v>
      </c>
      <c r="F19" s="245"/>
      <c r="G19" s="245"/>
      <c r="H19" s="245"/>
      <c r="I19" s="246"/>
    </row>
    <row r="20" spans="1:9" ht="218.25" customHeight="1" x14ac:dyDescent="0.15">
      <c r="A20" s="44"/>
      <c r="B20" s="83"/>
      <c r="C20" s="247" t="s">
        <v>22</v>
      </c>
      <c r="D20" s="248"/>
      <c r="E20" s="249" t="s">
        <v>159</v>
      </c>
      <c r="F20" s="249"/>
      <c r="G20" s="249"/>
      <c r="H20" s="249"/>
      <c r="I20" s="250"/>
    </row>
    <row r="21" spans="1:9" ht="218.25" customHeight="1" x14ac:dyDescent="0.15">
      <c r="A21" s="44"/>
      <c r="B21" s="251" t="s">
        <v>23</v>
      </c>
      <c r="C21" s="252"/>
      <c r="D21" s="253"/>
      <c r="E21" s="254" t="s">
        <v>168</v>
      </c>
      <c r="F21" s="254"/>
      <c r="G21" s="254"/>
      <c r="H21" s="254"/>
      <c r="I21" s="255"/>
    </row>
    <row r="22" spans="1:9" ht="218.25" customHeight="1" x14ac:dyDescent="0.15">
      <c r="A22" s="44"/>
      <c r="B22" s="238" t="s">
        <v>121</v>
      </c>
      <c r="C22" s="239"/>
      <c r="D22" s="240"/>
      <c r="E22" s="241" t="s">
        <v>160</v>
      </c>
      <c r="F22" s="241"/>
      <c r="G22" s="241"/>
      <c r="H22" s="241"/>
      <c r="I22" s="242"/>
    </row>
    <row r="23" spans="1:9" ht="22.5" customHeight="1" x14ac:dyDescent="0.15">
      <c r="B23" s="4"/>
      <c r="C23" s="4"/>
      <c r="D23" s="4"/>
      <c r="E23" s="4"/>
      <c r="F23" s="4"/>
      <c r="G23" s="4"/>
      <c r="H23" s="4"/>
      <c r="I23" s="4"/>
    </row>
    <row r="24" spans="1:9" ht="22.5" customHeight="1" x14ac:dyDescent="0.15">
      <c r="B24" s="4"/>
      <c r="C24" s="4"/>
      <c r="D24" s="4"/>
      <c r="E24" s="4"/>
      <c r="F24" s="4"/>
      <c r="G24" s="4"/>
      <c r="H24" s="4"/>
      <c r="I24" s="4"/>
    </row>
    <row r="25" spans="1:9" ht="22.5" customHeight="1" x14ac:dyDescent="0.15">
      <c r="B25" s="4"/>
      <c r="C25" s="4"/>
      <c r="D25" s="4"/>
      <c r="E25" s="4"/>
      <c r="F25" s="4"/>
      <c r="G25" s="4"/>
      <c r="H25" s="4"/>
      <c r="I25" s="4"/>
    </row>
    <row r="26" spans="1:9" ht="22.5" customHeight="1" x14ac:dyDescent="0.15">
      <c r="B26" s="4"/>
      <c r="C26" s="4"/>
      <c r="D26" s="4"/>
      <c r="E26" s="4"/>
      <c r="F26" s="4"/>
      <c r="G26" s="4"/>
      <c r="H26" s="4"/>
      <c r="I26" s="4"/>
    </row>
    <row r="27" spans="1:9" ht="22.5" customHeight="1" x14ac:dyDescent="0.15">
      <c r="B27" s="4"/>
      <c r="C27" s="4"/>
      <c r="D27" s="4"/>
      <c r="E27" s="4"/>
      <c r="F27" s="4"/>
      <c r="G27" s="4"/>
      <c r="H27" s="4"/>
      <c r="I27" s="4"/>
    </row>
    <row r="28" spans="1:9" ht="22.5" customHeight="1" x14ac:dyDescent="0.15">
      <c r="B28" s="14"/>
      <c r="C28" s="14"/>
      <c r="D28" s="14"/>
      <c r="E28" s="14"/>
      <c r="F28" s="14"/>
      <c r="G28" s="14"/>
      <c r="H28" s="14"/>
      <c r="I28" s="14"/>
    </row>
    <row r="29" spans="1:9" ht="22.5" customHeight="1" x14ac:dyDescent="0.15">
      <c r="B29" s="14"/>
      <c r="C29" s="14"/>
      <c r="D29" s="14"/>
      <c r="E29" s="14"/>
      <c r="F29" s="14"/>
      <c r="G29" s="14"/>
      <c r="H29" s="14"/>
      <c r="I29" s="14"/>
    </row>
    <row r="30" spans="1: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matsuura</cp:lastModifiedBy>
  <cp:lastPrinted>2025-05-12T04:08:07Z</cp:lastPrinted>
  <dcterms:created xsi:type="dcterms:W3CDTF">2011-06-14T05:32:50Z</dcterms:created>
  <dcterms:modified xsi:type="dcterms:W3CDTF">2025-07-07T23:45:31Z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