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Y:\教務\学部\学部\教務\数理・データサイエンス・AI教育プログラム\R7\指摘事項\再提出書類\"/>
    </mc:Choice>
  </mc:AlternateContent>
  <xr:revisionPtr revIDLastSave="0" documentId="13_ncr:1_{52E576CE-1947-4B62-8138-62424989FEC6}" xr6:coauthVersionLast="47" xr6:coauthVersionMax="47" xr10:uidLastSave="{00000000-0000-0000-0000-000000000000}"/>
  <bookViews>
    <workbookView xWindow="28830" yWindow="750" windowWidth="28770" windowHeight="1545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41" l="1"/>
  <c r="C50" i="41"/>
  <c r="I49" i="41"/>
  <c r="F49" i="4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<sst xmlns="http://schemas.openxmlformats.org/spreadsheetml/2006/main" count="289" uniqueCount="189">
  <si>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</si>
  <si>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</si>
  <si>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</si>
  <si>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</si>
  <si>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</si>
  <si>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</si>
  <si>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</si>
  <si>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</si>
  <si>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</si>
  <si>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</si>
  <si>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</si>
  <si>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</si>
  <si>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</si>
  <si>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</si>
  <si>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</si>
  <si>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</si>
  <si>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</si>
  <si>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</si>
  <si>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</si>
  <si>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</si>
  <si>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</si>
  <si>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</si>
  <si>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</si>
  <si>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</si>
  <si>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</si>
  <si>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</si>
  <si>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</si>
  <si>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</si>
  <si>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</si>
  <si>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</si>
  <si>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</si>
  <si>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</si>
  <si>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</si>
  <si>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</si>
  <si>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</si>
  <si>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</si>
  <si>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</si>
  <si>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</si>
  <si>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</si>
  <si>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</si>
  <si>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</si>
  <si>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</si>
  <si>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</si>
  <si>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</si>
  <si>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</si>
  <si>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</si>
  <si>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</si>
  <si>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</si>
  <si>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</si>
  <si>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</si>
  <si>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</si>
  <si>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</si>
  <si>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</si>
  <si>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</si>
  <si>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</si>
  <si>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</si>
  <si>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</si>
  <si>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</si>
  <si>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</si>
  <si>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</si>
  <si>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</si>
  <si>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</si>
  <si>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</si>
  <si>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</si>
  <si>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</si>
  <si>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</si>
  <si>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</si>
  <si>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</si>
  <si>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</si>
  <si>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</si>
  <si>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</si>
  <si>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</si>
  <si>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</si>
  <si>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</si>
  <si>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</si>
  <si>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</si>
  <si>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</si>
  <si>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</si>
  <si>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</si>
  <si>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</si>
  <si>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</si>
  <si>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</si>
  <si>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</si>
  <si>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</si>
  <si>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</si>
  <si>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</si>
  <si>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</si>
  <si>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</si>
  <si>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</si>
  <si>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</si>
  <si>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</si>
  <si>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</si>
  <si>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</si>
  <si>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</si>
  <si>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</si>
  <si>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</si>
  <si>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</si>
  <si>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</si>
  <si>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</si>
  <si>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</si>
  <si>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</si>
  <si>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</si>
  <si>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</si>
  <si>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</si>
  <si>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</si>
  <si>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</si>
  <si>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</si>
  <si>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</si>
  <si>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</si>
  <si>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</si>
  <si>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</si>
  <si>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</si>
  <si>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</si>
  <si>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</si>
  <si>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</si>
  <si>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</si>
  <si>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</si>
  <si>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</si>
  <si>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</si>
  <si>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</si>
  <si>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</si>
  <si>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</si>
  <si>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</si>
  <si>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</si>
  <si>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</si>
  <si>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</si>
  <si>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</si>
  <si>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</si>
  <si>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</si>
  <si>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</si>
  <si>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</si>
  <si>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</si>
  <si>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</si>
  <si>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</si>
  <si>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</si>
  <si>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</si>
  <si>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</si>
  <si>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</si>
  <si>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</si>
  <si>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</si>
  <si>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</si>
  <si>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</si>
  <si>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</si>
  <si>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明治薬科大学</t>
    <rPh sb="0" eb="6">
      <t>メイジヤッカダイガク</t>
    </rPh>
    <phoneticPr fontId="1"/>
  </si>
  <si>
    <t>明治薬科大学数理・データサイエンス・AI教育プログラム</t>
    <rPh sb="0" eb="6">
      <t>メイジヤッカダイガク</t>
    </rPh>
    <rPh sb="6" eb="8">
      <t>スウリ</t>
    </rPh>
    <rPh sb="20" eb="22">
      <t>キョウイク</t>
    </rPh>
    <phoneticPr fontId="1"/>
  </si>
  <si>
    <t>学部・学科によって、修了要件は相違しない</t>
  </si>
  <si>
    <t>情報処理演習、薬の科学実習Ⅰの各1単位を取得すること。</t>
    <phoneticPr fontId="1"/>
  </si>
  <si>
    <t>情報処理演習</t>
    <rPh sb="0" eb="6">
      <t>ジョウホウショリエンシュウ</t>
    </rPh>
    <phoneticPr fontId="1"/>
  </si>
  <si>
    <t>○</t>
  </si>
  <si>
    <t>薬の科学実習Ⅰ</t>
    <rPh sb="0" eb="1">
      <t>クスリ</t>
    </rPh>
    <rPh sb="2" eb="6">
      <t>カガクジッシュウ</t>
    </rPh>
    <phoneticPr fontId="1"/>
  </si>
  <si>
    <t>4‐3データ構造とプログラミング基礎</t>
  </si>
  <si>
    <t>令和６</t>
    <rPh sb="0" eb="2">
      <t>レイワ</t>
    </rPh>
    <phoneticPr fontId="1"/>
  </si>
  <si>
    <t>薬学科</t>
    <rPh sb="0" eb="3">
      <t>ヤクガクカ</t>
    </rPh>
    <phoneticPr fontId="1"/>
  </si>
  <si>
    <t>生命創薬科学科</t>
    <rPh sb="0" eb="7">
      <t>セイメイソウヤクカガクカ</t>
    </rPh>
    <phoneticPr fontId="1"/>
  </si>
  <si>
    <t>　</t>
    <phoneticPr fontId="1"/>
  </si>
  <si>
    <t>富永大介</t>
    <rPh sb="0" eb="4">
      <t xml:space="preserve">トミナガダイスケ </t>
    </rPh>
    <phoneticPr fontId="1"/>
  </si>
  <si>
    <t>教授</t>
    <rPh sb="0" eb="2">
      <t xml:space="preserve">キョウジュ </t>
    </rPh>
    <phoneticPr fontId="1"/>
  </si>
  <si>
    <t>植沢芳広</t>
    <phoneticPr fontId="1"/>
  </si>
  <si>
    <t>明治薬科大学薬学データサイエンスセンター規程</t>
    <rPh sb="0" eb="6">
      <t>メイジ</t>
    </rPh>
    <rPh sb="6" eb="8">
      <t xml:space="preserve">ヤクガク </t>
    </rPh>
    <rPh sb="20" eb="22">
      <t xml:space="preserve">キテイ </t>
    </rPh>
    <phoneticPr fontId="1"/>
  </si>
  <si>
    <t>薬学データサイエンスに関する教育・研究を推進するため</t>
    <phoneticPr fontId="1"/>
  </si>
  <si>
    <t>プログラムの構成科目が必修科目であることを維持することで新規の履修者数を維持することで合計の履修者数の増加を図る。社会的要請や生成AIの技術的進歩に対応するようプログラム内容を修正し、それをシラバスに反映すると同時に新入生に向けた説明会でその内容と社会的価値の周知を図る。</t>
    <rPh sb="0" eb="5">
      <t xml:space="preserve">シャカイテキヨウセイ </t>
    </rPh>
    <rPh sb="6" eb="8">
      <t xml:space="preserve">セイセイ </t>
    </rPh>
    <rPh sb="11" eb="14">
      <t xml:space="preserve">ギジュツテキ </t>
    </rPh>
    <rPh sb="14" eb="16">
      <t xml:space="preserve">シンポ </t>
    </rPh>
    <rPh sb="17" eb="19">
      <t xml:space="preserve">タイオウスルヨウ </t>
    </rPh>
    <rPh sb="28" eb="30">
      <t xml:space="preserve">シンキノ </t>
    </rPh>
    <rPh sb="31" eb="34">
      <t xml:space="preserve">リシュウシャ </t>
    </rPh>
    <rPh sb="34" eb="35">
      <t xml:space="preserve">スウ </t>
    </rPh>
    <rPh sb="36" eb="38">
      <t xml:space="preserve">イジシ </t>
    </rPh>
    <rPh sb="43" eb="45">
      <t xml:space="preserve">ゴウケイノ </t>
    </rPh>
    <rPh sb="46" eb="50">
      <t xml:space="preserve">リシュウシャスウ </t>
    </rPh>
    <rPh sb="51" eb="53">
      <t xml:space="preserve">ゾウカヲハカル。 </t>
    </rPh>
    <rPh sb="67" eb="69">
      <t xml:space="preserve">カクニン </t>
    </rPh>
    <rPh sb="85" eb="89">
      <t xml:space="preserve">ヒッシュウカモクデアルコトヲ </t>
    </rPh>
    <rPh sb="100" eb="102">
      <t xml:space="preserve">ハンエイ </t>
    </rPh>
    <rPh sb="105" eb="107">
      <t xml:space="preserve">ドウジニ </t>
    </rPh>
    <rPh sb="108" eb="111">
      <t xml:space="preserve">シンニュウセイニムケタセツメイカイデ </t>
    </rPh>
    <rPh sb="121" eb="123">
      <t xml:space="preserve">ナイヨウト </t>
    </rPh>
    <rPh sb="124" eb="127">
      <t xml:space="preserve">シャカイテキ </t>
    </rPh>
    <rPh sb="127" eb="129">
      <t xml:space="preserve">カチノ </t>
    </rPh>
    <rPh sb="130" eb="132">
      <t xml:space="preserve">シュウチヲハカル。 </t>
    </rPh>
    <phoneticPr fontId="1"/>
  </si>
  <si>
    <t>プログラムを構成する二科目は全学科１年生の必修科目としており、進級、卒業のためにはこの二科目全ての科目の履修が必要であるため、自動的にプログラムを履修することになる。</t>
    <rPh sb="10" eb="11">
      <t xml:space="preserve">ニ </t>
    </rPh>
    <rPh sb="11" eb="13">
      <t xml:space="preserve">カモクハ </t>
    </rPh>
    <rPh sb="14" eb="17">
      <t xml:space="preserve">ゼンガッカ </t>
    </rPh>
    <rPh sb="18" eb="20">
      <t xml:space="preserve">ネンセイノ </t>
    </rPh>
    <rPh sb="21" eb="25">
      <t xml:space="preserve">ヒッシュウカモクトシテイル。 </t>
    </rPh>
    <rPh sb="31" eb="33">
      <t xml:space="preserve">シンキュウ、ソツギョウヲ </t>
    </rPh>
    <rPh sb="43" eb="46">
      <t xml:space="preserve">ニカモク </t>
    </rPh>
    <rPh sb="46" eb="47">
      <t xml:space="preserve">スベテノカモクノリシュウガヒツヨウデアル。 </t>
    </rPh>
    <rPh sb="63" eb="66">
      <t xml:space="preserve">ジドウテキニ </t>
    </rPh>
    <phoneticPr fontId="1"/>
  </si>
  <si>
    <t>ウェブサイトで情報を公開すると同時に新入生に向けた修学説明会でプログラムの内容と社会的価値の周知を図る。</t>
    <rPh sb="7" eb="9">
      <t xml:space="preserve">ジョウホウヲコウカイスルトドウジニ </t>
    </rPh>
    <rPh sb="18" eb="21">
      <t xml:space="preserve">シンニュウセイニムケタシュウガクセツメイカイデ </t>
    </rPh>
    <phoneticPr fontId="1"/>
  </si>
  <si>
    <t>プログラムの構成科目を実施する際には約100人〜130人程度の組に履修者を分け、各組ごとに実施する際に教員４名、ティーチングアシスタント２名によりPCの操作補助や理解の補助を行う。また全ての科目でグループワークとすることで理解の進まないものが取り残されることのないよう、グループ内で互いに理解を助け合って進める体制としている。</t>
    <rPh sb="11" eb="13">
      <t xml:space="preserve">ジッシスルサイニハ </t>
    </rPh>
    <rPh sb="18" eb="19">
      <t xml:space="preserve">ヤク </t>
    </rPh>
    <rPh sb="22" eb="23">
      <t xml:space="preserve">ニン </t>
    </rPh>
    <rPh sb="27" eb="30">
      <t xml:space="preserve">ニンテイドニ </t>
    </rPh>
    <rPh sb="31" eb="32">
      <t xml:space="preserve">クミニ </t>
    </rPh>
    <rPh sb="33" eb="35">
      <t xml:space="preserve">リシュウシャヲワケ、 </t>
    </rPh>
    <rPh sb="35" eb="36">
      <t xml:space="preserve">シャ </t>
    </rPh>
    <rPh sb="40" eb="41">
      <t xml:space="preserve">カク </t>
    </rPh>
    <rPh sb="41" eb="42">
      <t xml:space="preserve">クミ </t>
    </rPh>
    <rPh sb="45" eb="47">
      <t xml:space="preserve">ジッシスルサイニ </t>
    </rPh>
    <rPh sb="51" eb="53">
      <t xml:space="preserve">キョウイン </t>
    </rPh>
    <rPh sb="54" eb="55">
      <t xml:space="preserve">メイ </t>
    </rPh>
    <rPh sb="69" eb="70">
      <t xml:space="preserve">メイ </t>
    </rPh>
    <rPh sb="76" eb="80">
      <t xml:space="preserve">ソウサホジョ </t>
    </rPh>
    <rPh sb="81" eb="83">
      <t xml:space="preserve">リカイノ </t>
    </rPh>
    <rPh sb="84" eb="86">
      <t xml:space="preserve">ホジョ </t>
    </rPh>
    <rPh sb="87" eb="88">
      <t xml:space="preserve">オコナウ。 </t>
    </rPh>
    <rPh sb="92" eb="93">
      <t xml:space="preserve">スベテノカモクデ </t>
    </rPh>
    <rPh sb="111" eb="113">
      <t xml:space="preserve">リカイノススマナイモノガ </t>
    </rPh>
    <rPh sb="121" eb="122">
      <t xml:space="preserve">トリノコサレルコトノナイヨウ </t>
    </rPh>
    <phoneticPr fontId="1"/>
  </si>
  <si>
    <t>科目に関わる教員は全員オフィスアワーを設け、特にアポイントメントを取ることなく気軽に質問に来れるようにしている。またメールなどによる質問は随時受け付け、各科目の責任者が１〜２日のうちに返答するようにしている。</t>
    <rPh sb="0" eb="2">
      <t xml:space="preserve">カモクニカカワルキョウインハ </t>
    </rPh>
    <rPh sb="9" eb="11">
      <t xml:space="preserve">ゼンイン </t>
    </rPh>
    <rPh sb="19" eb="20">
      <t xml:space="preserve">モウケ、 </t>
    </rPh>
    <rPh sb="22" eb="23">
      <t xml:space="preserve">トクニ </t>
    </rPh>
    <rPh sb="39" eb="41">
      <t xml:space="preserve">キガルニシツモンニコレルヨウニシテイル。 </t>
    </rPh>
    <rPh sb="66" eb="68">
      <t xml:space="preserve">シツモンハ </t>
    </rPh>
    <rPh sb="69" eb="71">
      <t xml:space="preserve">ズイジ </t>
    </rPh>
    <rPh sb="71" eb="72">
      <t xml:space="preserve">ウケツケ </t>
    </rPh>
    <rPh sb="76" eb="77">
      <t xml:space="preserve">カク </t>
    </rPh>
    <rPh sb="77" eb="83">
      <t xml:space="preserve">カモクセキニンシャガ </t>
    </rPh>
    <rPh sb="87" eb="88">
      <t xml:space="preserve">ニチ </t>
    </rPh>
    <rPh sb="92" eb="94">
      <t xml:space="preserve">ヘントウスルヨウニシテイル。 </t>
    </rPh>
    <phoneticPr fontId="1"/>
  </si>
  <si>
    <t>薬学データサイエンスセンター教育・研究委員会</t>
    <rPh sb="0" eb="2">
      <t>ヤクガク</t>
    </rPh>
    <rPh sb="14" eb="16">
      <t xml:space="preserve">キョウイク </t>
    </rPh>
    <rPh sb="17" eb="19">
      <t xml:space="preserve">ケンキュウ </t>
    </rPh>
    <rPh sb="19" eb="22">
      <t xml:space="preserve">イインカイ </t>
    </rPh>
    <phoneticPr fontId="1"/>
  </si>
  <si>
    <t>現在、本学を卒業したプログラム修了者はいない。</t>
    <rPh sb="0" eb="1">
      <t xml:space="preserve">ゲンザイ、 </t>
    </rPh>
    <rPh sb="3" eb="5">
      <t xml:space="preserve">ホンガクヲソツギョウシタ </t>
    </rPh>
    <rPh sb="15" eb="18">
      <t xml:space="preserve">シュウリョウシャ </t>
    </rPh>
    <phoneticPr fontId="1"/>
  </si>
  <si>
    <t>2024年がプログラムの実施初年度であり、学修の成果は申請の時点では判断できない。</t>
    <rPh sb="4" eb="5">
      <t xml:space="preserve">ネンガ </t>
    </rPh>
    <rPh sb="12" eb="14">
      <t xml:space="preserve">ジッシ </t>
    </rPh>
    <rPh sb="14" eb="17">
      <t xml:space="preserve">ショネンドデアリ、 </t>
    </rPh>
    <rPh sb="21" eb="23">
      <t xml:space="preserve">ガクシュウノ </t>
    </rPh>
    <rPh sb="24" eb="26">
      <t xml:space="preserve">セイカハ </t>
    </rPh>
    <rPh sb="27" eb="29">
      <t xml:space="preserve">シンセイノジテンデハハンダンデキナイ。 </t>
    </rPh>
    <phoneticPr fontId="1"/>
  </si>
  <si>
    <r>
      <t>プログラムの構成科目は全て全学科１年生の必修科目であり、休学などの事情のある者を除いて全ての１年生が履修する。</t>
    </r>
    <r>
      <rPr>
        <sz val="12"/>
        <rFont val="ＭＳ Ｐゴシック"/>
        <family val="2"/>
        <charset val="128"/>
      </rPr>
      <t>2024年度は情報処理演習の履修者と修得者がそれぞれ４６３人と４２０人、薬の科学実習Ⅰでは４２３人と４１８人であり、ここからプログラムの履修者と修得者はそれぞれ４２３人と４１８人となる。プログラム実施初年度において、１年生全体におけるプログラムの履修率は１００％、それに対する修得率は９８．８％となる。</t>
    </r>
    <rPh sb="13" eb="16">
      <t xml:space="preserve">ゼンガッカ </t>
    </rPh>
    <rPh sb="17" eb="19">
      <t xml:space="preserve">ネンセイノ </t>
    </rPh>
    <rPh sb="20" eb="24">
      <t xml:space="preserve">ヒッシュウカモクデアリ、 </t>
    </rPh>
    <rPh sb="28" eb="30">
      <t xml:space="preserve">キュウガク </t>
    </rPh>
    <rPh sb="33" eb="35">
      <t xml:space="preserve">ジジョウノアルモノヲノゾイテ </t>
    </rPh>
    <rPh sb="38" eb="39">
      <t xml:space="preserve">モノ </t>
    </rPh>
    <rPh sb="40" eb="41">
      <t xml:space="preserve">ノゾイテスベテノ </t>
    </rPh>
    <rPh sb="47" eb="49">
      <t xml:space="preserve">ネンセイガ </t>
    </rPh>
    <rPh sb="50" eb="52">
      <t xml:space="preserve">リシュウスル。 </t>
    </rPh>
    <rPh sb="59" eb="61">
      <t xml:space="preserve">ネンドハ </t>
    </rPh>
    <rPh sb="62" eb="68">
      <t xml:space="preserve">ジョウホウショリエンシュウノ </t>
    </rPh>
    <rPh sb="69" eb="72">
      <t xml:space="preserve">リシュウシャトタンイシュトクシャガ </t>
    </rPh>
    <rPh sb="73" eb="75">
      <t xml:space="preserve">シュウトク </t>
    </rPh>
    <rPh sb="84" eb="85">
      <t xml:space="preserve">ニン </t>
    </rPh>
    <rPh sb="89" eb="90">
      <t xml:space="preserve">ニン </t>
    </rPh>
    <rPh sb="91" eb="92">
      <t xml:space="preserve">クスリノカガクエンシュウ </t>
    </rPh>
    <rPh sb="93" eb="95">
      <t xml:space="preserve">カガク </t>
    </rPh>
    <rPh sb="95" eb="97">
      <t xml:space="preserve">ジッシュウ </t>
    </rPh>
    <rPh sb="103" eb="104">
      <t xml:space="preserve">ニン </t>
    </rPh>
    <rPh sb="108" eb="109">
      <t xml:space="preserve">ニン </t>
    </rPh>
    <rPh sb="123" eb="126">
      <t xml:space="preserve">リシュウシャ </t>
    </rPh>
    <rPh sb="127" eb="129">
      <t xml:space="preserve">シュウトク </t>
    </rPh>
    <rPh sb="129" eb="130">
      <t xml:space="preserve">シャ </t>
    </rPh>
    <rPh sb="164" eb="166">
      <t xml:space="preserve">ネンセイ </t>
    </rPh>
    <rPh sb="166" eb="168">
      <t xml:space="preserve">ゼンタイニオケル </t>
    </rPh>
    <rPh sb="193" eb="196">
      <t xml:space="preserve">シュウトクリツ </t>
    </rPh>
    <phoneticPr fontId="1"/>
  </si>
  <si>
    <t>プログラム実施初年度の2024年度のアンケートでは、どちらの演習も大きくまとめると、予習や実施では労力がかかったが、多くのことが学べてやりがいがあった、ということであった。修得者における成績の分布はＳ、Ａ、Ｂ、Ｃがそれぞれ１２．０％、６０．８％、２３．１％、３．８％であり、おおむね良好だったと言えるが、わずかながらも理解を容易には進められない履修者がいたとも言える。</t>
    <rPh sb="15" eb="17">
      <t xml:space="preserve">ネンドノ </t>
    </rPh>
    <rPh sb="30" eb="32">
      <t xml:space="preserve">エンシュウモ </t>
    </rPh>
    <rPh sb="33" eb="34">
      <t xml:space="preserve">オオキクマトメルト、 </t>
    </rPh>
    <rPh sb="42" eb="44">
      <t xml:space="preserve">ヨシュウヤ </t>
    </rPh>
    <rPh sb="45" eb="47">
      <t xml:space="preserve">ジッシデハ </t>
    </rPh>
    <rPh sb="49" eb="51">
      <t xml:space="preserve">ロウリョクガカカッタガ </t>
    </rPh>
    <rPh sb="58" eb="59">
      <t xml:space="preserve">オオクノコトガマナベテ </t>
    </rPh>
    <rPh sb="86" eb="89">
      <t xml:space="preserve">シュウトクシャ </t>
    </rPh>
    <rPh sb="93" eb="95">
      <t xml:space="preserve">セイセキハ </t>
    </rPh>
    <rPh sb="96" eb="98">
      <t xml:space="preserve">ブンプ </t>
    </rPh>
    <rPh sb="159" eb="161">
      <t xml:space="preserve">リカイヲススメラレナイリシュウシャガ </t>
    </rPh>
    <rPh sb="162" eb="164">
      <t xml:space="preserve">ヨウイニハ </t>
    </rPh>
    <rPh sb="180" eb="181">
      <t xml:space="preserve">イエル </t>
    </rPh>
    <phoneticPr fontId="1"/>
  </si>
  <si>
    <t>定量的に推奨度を計算することは難しいが、学生アンケートでは、内容が多様で興味深かった、新しい知識を得られたなどと言った肯定的な意見が、内容が多く負担であったと言った否定的な意見よりも多く、総合すると「推奨する」という意見になると考えられる。</t>
    <rPh sb="0" eb="3">
      <t xml:space="preserve">テイリョウテキニハ </t>
    </rPh>
    <rPh sb="4" eb="7">
      <t xml:space="preserve">スイショウドヲ </t>
    </rPh>
    <rPh sb="8" eb="10">
      <t xml:space="preserve">ケイサンスルコトハムズカシイガ、 </t>
    </rPh>
    <rPh sb="20" eb="22">
      <t xml:space="preserve">ガクセイアンケート </t>
    </rPh>
    <rPh sb="30" eb="32">
      <t xml:space="preserve">ナイヨウガタヨウデ </t>
    </rPh>
    <rPh sb="36" eb="39">
      <t xml:space="preserve">キョウミブカカッタ、 </t>
    </rPh>
    <rPh sb="43" eb="44">
      <t xml:space="preserve">アタラシイチシキヲエラレタナドトイッタ </t>
    </rPh>
    <rPh sb="59" eb="62">
      <t xml:space="preserve">コウテイテキナイケンノホウガ </t>
    </rPh>
    <rPh sb="67" eb="69">
      <t xml:space="preserve">ナイヨウガオオクフタンデアッタトイッタ </t>
    </rPh>
    <rPh sb="82" eb="85">
      <t xml:space="preserve">ヒテイテキナイケンヨリモ </t>
    </rPh>
    <rPh sb="91" eb="92">
      <t xml:space="preserve">オオク、 </t>
    </rPh>
    <rPh sb="94" eb="96">
      <t xml:space="preserve">ソウゴウテキニハ </t>
    </rPh>
    <rPh sb="100" eb="102">
      <t xml:space="preserve">スイショウスル」 </t>
    </rPh>
    <rPh sb="108" eb="110">
      <t xml:space="preserve">イケンニナル </t>
    </rPh>
    <rPh sb="114" eb="115">
      <t xml:space="preserve">カンガエラレル。 </t>
    </rPh>
    <phoneticPr fontId="1"/>
  </si>
  <si>
    <t>履修者数および履修率は最良の状態にあると考えられ、現在の、ほぼ自動的にプログラムの履修を行う制度を維持する。</t>
    <rPh sb="0" eb="4">
      <t xml:space="preserve">リシュウシャスウ </t>
    </rPh>
    <rPh sb="7" eb="10">
      <t xml:space="preserve">リシュウリツシャ </t>
    </rPh>
    <rPh sb="11" eb="13">
      <t xml:space="preserve">サイリョウノジョウタイニアルトカンガエラレルタメ、 </t>
    </rPh>
    <rPh sb="24" eb="25">
      <t xml:space="preserve">サイリョウノジョウタイニアルトカンガエラレルタメ、 </t>
    </rPh>
    <rPh sb="25" eb="27">
      <t xml:space="preserve">ゲンザイノ </t>
    </rPh>
    <rPh sb="31" eb="34">
      <t xml:space="preserve">ジドウテキニ </t>
    </rPh>
    <rPh sb="41" eb="43">
      <t xml:space="preserve">リシュウ </t>
    </rPh>
    <rPh sb="46" eb="48">
      <t xml:space="preserve">セイド </t>
    </rPh>
    <phoneticPr fontId="1"/>
  </si>
  <si>
    <t>産業界においては、生成AIではなにができるのか、ということを大学を出たばかりの若い社会人から知りたいという要望はあるだろう。そのために常に、それを含めた最新の知識と利用スキルをプログラムの構成科目で教えられるように内容のアップデートを随時行うべきである。</t>
    <rPh sb="0" eb="3">
      <t xml:space="preserve">サンギョウカイニオイテハ、 </t>
    </rPh>
    <rPh sb="9" eb="11">
      <t xml:space="preserve">セイセイ </t>
    </rPh>
    <rPh sb="30" eb="32">
      <t xml:space="preserve">ダイガクヲデタバカリノ </t>
    </rPh>
    <rPh sb="39" eb="40">
      <t xml:space="preserve">ワカイシャカイジン </t>
    </rPh>
    <rPh sb="46" eb="47">
      <t xml:space="preserve">シリタイトウ </t>
    </rPh>
    <rPh sb="53" eb="55">
      <t xml:space="preserve">ヨウボウハアルダロウ </t>
    </rPh>
    <rPh sb="67" eb="68">
      <t xml:space="preserve">ツネニサイシンノチシキトリヨウホウヲ </t>
    </rPh>
    <rPh sb="73" eb="74">
      <t xml:space="preserve">フクメタ </t>
    </rPh>
    <rPh sb="76" eb="78">
      <t xml:space="preserve">サンギョウカイニオイテハ、 </t>
    </rPh>
    <rPh sb="94" eb="96">
      <t xml:space="preserve">コウセイ </t>
    </rPh>
    <rPh sb="96" eb="98">
      <t xml:space="preserve">カモク </t>
    </rPh>
    <rPh sb="99" eb="100">
      <t xml:space="preserve">オシエラレルヨウ </t>
    </rPh>
    <rPh sb="107" eb="109">
      <t xml:space="preserve">ナイヨウヲ </t>
    </rPh>
    <rPh sb="117" eb="119">
      <t xml:space="preserve">ズイジ </t>
    </rPh>
    <phoneticPr fontId="1"/>
  </si>
  <si>
    <t>薬学データサイエンス教育・研究委員会
委員長：植沢芳広 (薬学部・教授、薬学データサイエンスセンター長)
副委員長：富永大介 (薬学部・教授、薬学データサイエンスセンター副センター長)
委員：酒井良子 (薬学部・准教授、薬学データサイエンスセンターNDB部門長)
委員：赤沢学 (薬学部・教授、薬学データサイエンスセンターオブサーバー)
委員：山田芳則 (教務部教務課)
委員：西川佳苗 (教務部教務課)</t>
    <rPh sb="0" eb="2">
      <t xml:space="preserve">ヤクガクデータサイエンス </t>
    </rPh>
    <rPh sb="10" eb="12">
      <t xml:space="preserve">キョウイク </t>
    </rPh>
    <rPh sb="13" eb="15">
      <t xml:space="preserve">ケンキュウ </t>
    </rPh>
    <rPh sb="15" eb="18">
      <t xml:space="preserve">イインカイ </t>
    </rPh>
    <rPh sb="45" eb="47">
      <t xml:space="preserve">アカサワ </t>
    </rPh>
    <rPh sb="47" eb="48">
      <t xml:space="preserve">マナブ </t>
    </rPh>
    <phoneticPr fontId="1"/>
  </si>
  <si>
    <t>専門系のソフトウェアを使って分子生物学や薬剤の知識を調べ、可視化することで興味を喚起し、オフィスソフトウェアの使い方に関しても各自で調べたことを作文やプレゼンの題材としている。そのため単にソフトウェアの使用法を練習するだけでなく、効率的に科学技術研究やデスクワークなどを行うと言った目的を意識し広い視野を保ちながら、作業の内容を自分から探索することで、単なる労務作業ではなく幅広い領域において社会的意味のある作業であることを自覚できるようにしている。</t>
    <rPh sb="0" eb="3">
      <t xml:space="preserve">センモンケイノ </t>
    </rPh>
    <rPh sb="11" eb="12">
      <t xml:space="preserve">ツカッテ </t>
    </rPh>
    <rPh sb="14" eb="19">
      <t xml:space="preserve">ブンシセイブツガク </t>
    </rPh>
    <rPh sb="20" eb="22">
      <t xml:space="preserve">ヤクザイノ </t>
    </rPh>
    <rPh sb="23" eb="25">
      <t xml:space="preserve">チシキヲシラベ </t>
    </rPh>
    <rPh sb="29" eb="32">
      <t xml:space="preserve">カシカ </t>
    </rPh>
    <rPh sb="37" eb="39">
      <t xml:space="preserve">キョウミヲカンキシ </t>
    </rPh>
    <rPh sb="55" eb="56">
      <t xml:space="preserve">ツカイカタニカンシテモ </t>
    </rPh>
    <rPh sb="63" eb="65">
      <t xml:space="preserve">カクジデシラベタコトヲサクブンヤプレゼンノダイザイトスルコトデ </t>
    </rPh>
    <rPh sb="92" eb="93">
      <t xml:space="preserve">タンナル </t>
    </rPh>
    <rPh sb="101" eb="104">
      <t xml:space="preserve">シヨウホウ </t>
    </rPh>
    <rPh sb="105" eb="107">
      <t xml:space="preserve">レンシュウスル </t>
    </rPh>
    <rPh sb="115" eb="118">
      <t xml:space="preserve">コウリツテキニ </t>
    </rPh>
    <rPh sb="119" eb="125">
      <t xml:space="preserve">カガクギジュツケンキュウヤ </t>
    </rPh>
    <rPh sb="135" eb="136">
      <t xml:space="preserve">オコナウトイッタ、 </t>
    </rPh>
    <rPh sb="141" eb="143">
      <t xml:space="preserve">モクテキヲイシキシタ </t>
    </rPh>
    <rPh sb="147" eb="148">
      <t xml:space="preserve">ヒロイシヤヲタモッタツカイカタ </t>
    </rPh>
    <rPh sb="158" eb="160">
      <t xml:space="preserve">サギョウノナイヨウヲ </t>
    </rPh>
    <rPh sb="164" eb="166">
      <t xml:space="preserve">ジブンカラタンサク </t>
    </rPh>
    <rPh sb="176" eb="177">
      <t xml:space="preserve">タンナルサギョウデハナク </t>
    </rPh>
    <rPh sb="179" eb="181">
      <t xml:space="preserve">ロウム </t>
    </rPh>
    <rPh sb="187" eb="189">
      <t>ハバヒロ</t>
    </rPh>
    <rPh sb="190" eb="192">
      <t>リョウイキ</t>
    </rPh>
    <rPh sb="196" eb="201">
      <t xml:space="preserve">シャカイテキイミノアル </t>
    </rPh>
    <rPh sb="204" eb="206">
      <t xml:space="preserve">サギョウデアルコトヲ </t>
    </rPh>
    <rPh sb="212" eb="214">
      <t xml:space="preserve">ジカクデキルヨウニシテイル。 </t>
    </rPh>
    <phoneticPr fontId="1"/>
  </si>
  <si>
    <t>対象は薬学部の学生であり必ずしも情報工学、情報科学の専門知識を必要としないことから、計算機の動作原理や生成AIのしくみに踏み込むことはせず、いかに意味のある使い方をするか、いかに共同作業を効率的に行うか、注意点は何か、に重点を置いて実施している。その重点項目に関連するようなICT技術の進歩は積極的に科目の内容に取り入れ、毎年内容のアップデートを行っている。さらに、今後は薬物や薬物治療に関するテーマで数理・データサイエンスや生成AIがどのように活用されているか具体的な研究事例も含め、薬学生にとってもわかりやすい内容を随時検討していく。</t>
    <rPh sb="0" eb="2">
      <t xml:space="preserve">タイショウハ </t>
    </rPh>
    <rPh sb="3" eb="6">
      <t xml:space="preserve">ヤクガクブノガクセイデアリ </t>
    </rPh>
    <rPh sb="12" eb="13">
      <t xml:space="preserve">カナラズシモ </t>
    </rPh>
    <rPh sb="16" eb="20">
      <t xml:space="preserve">ジョウホウコウガク </t>
    </rPh>
    <rPh sb="21" eb="25">
      <t xml:space="preserve">ジョウホウカガクノセンモンチシキヲヒツヨウトシナイコトカラ、 </t>
    </rPh>
    <rPh sb="42" eb="45">
      <t xml:space="preserve">ケイサンキノドウサゲンリヤ </t>
    </rPh>
    <rPh sb="51" eb="53">
      <t xml:space="preserve">セイセイ </t>
    </rPh>
    <rPh sb="60" eb="61">
      <t xml:space="preserve">フミコムコトハセズ、 </t>
    </rPh>
    <rPh sb="73" eb="75">
      <t xml:space="preserve">イミノアルツカイカタヲスルカ、 </t>
    </rPh>
    <rPh sb="89" eb="93">
      <t xml:space="preserve">キョウドウサギョウヲ </t>
    </rPh>
    <rPh sb="94" eb="97">
      <t xml:space="preserve">コウリツテキニオコナウカニ </t>
    </rPh>
    <rPh sb="102" eb="105">
      <t xml:space="preserve">チュウイテンハナニカ </t>
    </rPh>
    <rPh sb="110" eb="112">
      <t xml:space="preserve">ジュウテンヲオイテ </t>
    </rPh>
    <rPh sb="116" eb="118">
      <t xml:space="preserve">ジッシシテイル。 </t>
    </rPh>
    <rPh sb="125" eb="129">
      <t xml:space="preserve">ジュウテンコウモクニ </t>
    </rPh>
    <rPh sb="130" eb="132">
      <t xml:space="preserve">カンレンスルヨウナ </t>
    </rPh>
    <rPh sb="140" eb="142">
      <t xml:space="preserve">ギジュツ </t>
    </rPh>
    <rPh sb="143" eb="145">
      <t xml:space="preserve">シンポハ </t>
    </rPh>
    <rPh sb="146" eb="149">
      <t xml:space="preserve">セッキョクテキニ </t>
    </rPh>
    <rPh sb="150" eb="152">
      <t xml:space="preserve">カモクノナイヨウニトリイレ、 </t>
    </rPh>
    <rPh sb="161" eb="163">
      <t xml:space="preserve">マイトシ </t>
    </rPh>
    <rPh sb="163" eb="165">
      <t xml:space="preserve">ナイヨウノアップデートヲオコナッテイル。 </t>
    </rPh>
    <rPh sb="183" eb="185">
      <t>コンゴ</t>
    </rPh>
    <rPh sb="186" eb="188">
      <t>ヤクブツ</t>
    </rPh>
    <rPh sb="189" eb="191">
      <t>ヤクブツ</t>
    </rPh>
    <rPh sb="191" eb="193">
      <t>チリョウ</t>
    </rPh>
    <rPh sb="194" eb="195">
      <t>カン</t>
    </rPh>
    <rPh sb="201" eb="203">
      <t>スウリ</t>
    </rPh>
    <rPh sb="213" eb="215">
      <t>セイセイ</t>
    </rPh>
    <rPh sb="223" eb="225">
      <t>カツヨウ</t>
    </rPh>
    <rPh sb="231" eb="234">
      <t>グタイテキ</t>
    </rPh>
    <rPh sb="235" eb="237">
      <t>ケンキュウ</t>
    </rPh>
    <rPh sb="237" eb="239">
      <t>ジレイ</t>
    </rPh>
    <rPh sb="240" eb="241">
      <t>フク</t>
    </rPh>
    <rPh sb="243" eb="246">
      <t>ヤクガクセイ</t>
    </rPh>
    <rPh sb="257" eb="259">
      <t>ナイヨウ</t>
    </rPh>
    <rPh sb="260" eb="262">
      <t>ズイジ</t>
    </rPh>
    <rPh sb="262" eb="264">
      <t>ケントウ</t>
    </rPh>
    <phoneticPr fontId="1"/>
  </si>
  <si>
    <t>薬学データサイエンス教育・研究委員会</t>
    <rPh sb="0" eb="2">
      <t>ヤクガク</t>
    </rPh>
    <rPh sb="10" eb="12">
      <t xml:space="preserve">キョウイク </t>
    </rPh>
    <rPh sb="13" eb="15">
      <t xml:space="preserve">ケンキュウ </t>
    </rPh>
    <rPh sb="15" eb="18">
      <t xml:space="preserve">イインカイ </t>
    </rPh>
    <phoneticPr fontId="1"/>
  </si>
  <si>
    <t>本プログラムは、医療人や研究者を含むSociety 5.0時代の社会人に求められる情報セキュリティ、信頼できる情報の収集と発信、社会人コミュニケーションの基礎、論理的思考能力、AIの利活用の知識、データサイエンスの基礎、基本的な統計解析・可視化スキル、基礎的な計算機プログラミング、化学と生命科学の専門分野ソフトウェアの利用法を習得することを目的としています。
具体的には、AI・データサイエンスの基礎知識を始めとしたICT全体の基礎知識、PCやオフィスソフトウェアの基本操作を習得し、ネットリテラシーや情報セキュリティの重要性を理解すると同時に、ネットとAIを活用した信頼できる情報の収集方法を習得します。またグループワークでのプレゼンテーションとディベートによって信頼性の高い情報発信の仕方を学び、それを論文化すること、およびオープンデータに基づく基礎的な解析と可視化によってにより論理的思考能力、情報の整理の方法、知識発見の基礎を身に付けます。専門分野のソフトウェアの利用を通じて生命科学と薬理の理解を深める能力を身に付けます。HTMLプログラミングによってノイマン型コンピュータのプログラムと動作の考え方を学びます。</t>
    <phoneticPr fontId="1"/>
  </si>
  <si>
    <r>
      <t>データ量の増加、計算機の処理性能の向上、AIの非連続的進化、人間の知的活動とAIの関係性</t>
    </r>
    <r>
      <rPr>
        <sz val="9"/>
        <rFont val="ＭＳ Ｐゴシック"/>
        <family val="3"/>
        <charset val="128"/>
      </rPr>
      <t>「情報処理演習」（1回目）</t>
    </r>
    <rPh sb="45" eb="51">
      <t>ジョウホウショリエンシュウ</t>
    </rPh>
    <rPh sb="54" eb="56">
      <t>カイメ</t>
    </rPh>
    <phoneticPr fontId="1"/>
  </si>
  <si>
    <r>
      <rPr>
        <b/>
        <sz val="9"/>
        <rFont val="ＭＳ Ｐゴシック"/>
        <family val="3"/>
        <charset val="128"/>
      </rPr>
      <t>AI最新技術の活用例（深層生成モデル、強化学習、転移学習、生成AIなど）</t>
    </r>
    <r>
      <rPr>
        <sz val="9"/>
        <rFont val="ＭＳ Ｐゴシック"/>
        <family val="3"/>
        <charset val="128"/>
        <scheme val="minor"/>
      </rPr>
      <t>「情報処理演習」（2回目）</t>
    </r>
    <phoneticPr fontId="1"/>
  </si>
  <si>
    <r>
      <rPr>
        <b/>
        <sz val="9"/>
        <rFont val="ＭＳ Ｐゴシック"/>
        <family val="3"/>
        <charset val="128"/>
      </rPr>
      <t>調査データ、実験データ、人の行動ログデータ、機械の稼働ログデータなど、データのオープン化（オープンデータ）</t>
    </r>
    <r>
      <rPr>
        <sz val="9"/>
        <rFont val="ＭＳ Ｐゴシック"/>
        <family val="3"/>
        <charset val="128"/>
        <scheme val="minor"/>
      </rPr>
      <t>「情報処理演習」（2回目）</t>
    </r>
    <phoneticPr fontId="1"/>
  </si>
  <si>
    <r>
      <t>対話、コンテンツ生成、翻訳・要約・執筆支援、コーディング支援など生成AIの応用</t>
    </r>
    <r>
      <rPr>
        <sz val="9"/>
        <rFont val="ＭＳ Ｐゴシック"/>
        <family val="3"/>
        <charset val="128"/>
      </rPr>
      <t>「情報処理演習」（2回目）</t>
    </r>
    <phoneticPr fontId="1"/>
  </si>
  <si>
    <r>
      <t>データ解析：予測、グルーピング、パターン発見、最適化、モデル化とシミュレーション・データ同化など、データ可視化：複合グラフ、2軸グラフ、多次元の可視化、関係性の可視化、地図上の可視化</t>
    </r>
    <r>
      <rPr>
        <sz val="9"/>
        <rFont val="ＭＳ Ｐゴシック"/>
        <family val="3"/>
        <charset val="128"/>
      </rPr>
      <t>「情報処理演習」（5回目）</t>
    </r>
    <phoneticPr fontId="1"/>
  </si>
  <si>
    <r>
      <rPr>
        <b/>
        <sz val="9"/>
        <rFont val="ＭＳ Ｐゴシック"/>
        <family val="3"/>
        <charset val="128"/>
      </rPr>
      <t>データサイエンスのサイクル（課題抽出と定式化、データの取得・管理・加工、探索的データ解析、データ解析と推論、結果の共有・伝達、課題解決に向けた提案）</t>
    </r>
    <r>
      <rPr>
        <sz val="9"/>
        <rFont val="ＭＳ Ｐゴシック"/>
        <family val="3"/>
        <charset val="128"/>
        <scheme val="minor"/>
      </rPr>
      <t>「情報処理演習」（3、4回目）</t>
    </r>
    <phoneticPr fontId="1"/>
  </si>
  <si>
    <r>
      <rPr>
        <b/>
        <sz val="9"/>
        <rFont val="ＭＳ Ｐゴシック"/>
        <family val="3"/>
        <charset val="128"/>
      </rPr>
      <t>倫理的・法的・社会的課題（ELSI：Ethical, Legal and Social Issues）、個人情報保護、EU一般データ保護規則(GDPR)、忘れられる権利、オプトアウト、データ倫理：データのねつ造、改ざん、盗用、プライバシー保護、AI社会原則（公平性、説明責任、透明性、人間中心の判断）、AIサービスの責任論、データ・AI活用における負の事例紹介、生成AIの留意事項（ハルシネーションによる誤情報の生成、偽情報や有害コンテンツの生成・氾濫 など）</t>
    </r>
    <r>
      <rPr>
        <sz val="9"/>
        <rFont val="ＭＳ Ｐゴシック"/>
        <family val="3"/>
        <charset val="128"/>
        <scheme val="minor"/>
      </rPr>
      <t>「情報処理演習」（1回目）</t>
    </r>
    <phoneticPr fontId="1"/>
  </si>
  <si>
    <r>
      <rPr>
        <b/>
        <sz val="9"/>
        <rFont val="ＭＳ Ｐゴシック"/>
        <family val="3"/>
        <charset val="128"/>
      </rPr>
      <t>匿名加工情報、暗号化と復号、ユーザ認証と、パスワード、アクセス制御、悪意ある情報搾取</t>
    </r>
    <r>
      <rPr>
        <sz val="9"/>
        <rFont val="ＭＳ Ｐゴシック"/>
        <family val="3"/>
        <charset val="128"/>
        <scheme val="minor"/>
      </rPr>
      <t>「情報処理演習」（1、3、5、6回目）</t>
    </r>
    <phoneticPr fontId="1"/>
  </si>
  <si>
    <r>
      <t>データの分布(ヒストグラム)と代表値（平均値、中央値、最頻値）、観測データに含まれる誤差の扱い</t>
    </r>
    <r>
      <rPr>
        <sz val="9"/>
        <rFont val="ＭＳ Ｐゴシック"/>
        <family val="3"/>
        <charset val="128"/>
      </rPr>
      <t>「薬の科学実習Ⅰ」（1回目）</t>
    </r>
    <rPh sb="58" eb="60">
      <t>カイメ</t>
    </rPh>
    <phoneticPr fontId="1"/>
  </si>
  <si>
    <r>
      <rPr>
        <b/>
        <sz val="9"/>
        <rFont val="ＭＳ Ｐゴシック"/>
        <family val="3"/>
        <charset val="128"/>
      </rPr>
      <t>相手に的確かつ正確に情報を伝える技術や考え方（スライド作成、プレゼンテーションなど）</t>
    </r>
    <r>
      <rPr>
        <sz val="9"/>
        <rFont val="ＭＳ Ｐゴシック"/>
        <family val="3"/>
        <charset val="128"/>
        <scheme val="minor"/>
      </rPr>
      <t>「薬の科学実習Ⅰ」（1回目）</t>
    </r>
    <phoneticPr fontId="1"/>
  </si>
  <si>
    <r>
      <rPr>
        <b/>
        <sz val="9"/>
        <rFont val="ＭＳ Ｐゴシック"/>
        <family val="3"/>
        <charset val="128"/>
      </rPr>
      <t>データの集計（和、平均）、データ解析ツール（スプレッドシート、BIツール）</t>
    </r>
    <r>
      <rPr>
        <sz val="9"/>
        <rFont val="ＭＳ Ｐゴシック"/>
        <family val="3"/>
        <charset val="128"/>
        <scheme val="minor"/>
      </rPr>
      <t>「薬の科学実習Ⅰ」（1回目）</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</si>
</sst>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ＭＳ Ｐゴシック"/>
      <family val="2"/>
      <charset val="128"/>
    </font>
    <font>
      <sz val="8"/>
      <color theme="1"/>
      <name val="ＭＳ Ｐゴシック"/>
      <family val="3"/>
      <charset val="128"/>
      <scheme val="minor"/>
    </font>
    <font>
      <b/>
      <sz val="9"/>
      <name val="ＭＳ Ｐゴシック"/>
      <family val="3"/>
      <charset val="128"/>
    </font>
    <font>
      <sz val="9"/>
      <name val="ＭＳ Ｐゴシック"/>
      <family val="3"/>
      <charset val="128"/>
      <scheme val="minor"/>
    </font>
    <font>
      <b/>
      <sz val="9"/>
      <name val="ＭＳ Ｐ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4"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15" fillId="0" borderId="29" xfId="0" applyNumberFormat="1" applyFont="1" applyBorder="1" applyAlignment="1">
      <alignment horizontal="left" vertical="center" wrapText="1"/>
    </xf>
    <xf numFmtId="49" fontId="16" fillId="0" borderId="31" xfId="0" applyNumberFormat="1" applyFont="1" applyBorder="1" applyAlignment="1">
      <alignment horizontal="left" vertical="center" wrapText="1"/>
    </xf>
    <xf numFmtId="49" fontId="16" fillId="0" borderId="30" xfId="0" applyNumberFormat="1" applyFont="1" applyBorder="1" applyAlignment="1">
      <alignment horizontal="left" vertical="center" wrapText="1"/>
    </xf>
    <xf numFmtId="49" fontId="17" fillId="0" borderId="32" xfId="0" applyNumberFormat="1" applyFont="1" applyBorder="1" applyAlignment="1">
      <alignment horizontal="left" vertical="center" wrapText="1"/>
    </xf>
    <xf numFmtId="49" fontId="16" fillId="0" borderId="33" xfId="0" applyNumberFormat="1" applyFont="1" applyBorder="1" applyAlignment="1">
      <alignment horizontal="left" vertical="center" wrapText="1"/>
    </xf>
    <xf numFmtId="49" fontId="16" fillId="0" borderId="34" xfId="0" applyNumberFormat="1" applyFont="1" applyBorder="1" applyAlignment="1">
      <alignment horizontal="left" vertical="center" wrapText="1"/>
    </xf>
    <xf numFmtId="49" fontId="17" fillId="0" borderId="29" xfId="0" applyNumberFormat="1" applyFont="1" applyBorder="1" applyAlignment="1">
      <alignment horizontal="left" vertical="center" wrapText="1"/>
    </xf>
    <xf numFmtId="49" fontId="15" fillId="0" borderId="32" xfId="0" applyNumberFormat="1" applyFont="1" applyBorder="1" applyAlignment="1">
      <alignment horizontal="left" vertical="center" wrapText="1"/>
    </xf>
    <xf numFmtId="49" fontId="17" fillId="0" borderId="18" xfId="0" applyNumberFormat="1" applyFont="1" applyBorder="1" applyAlignment="1">
      <alignment horizontal="left" vertical="center" wrapText="1"/>
    </xf>
    <xf numFmtId="49" fontId="16" fillId="0" borderId="19" xfId="0" applyNumberFormat="1" applyFont="1" applyBorder="1" applyAlignment="1">
      <alignment horizontal="left" vertical="center" wrapText="1"/>
    </xf>
    <xf numFmtId="49" fontId="16" fillId="0" borderId="17" xfId="0" applyNumberFormat="1" applyFont="1" applyBorder="1" applyAlignment="1">
      <alignment horizontal="left" vertical="center"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130" zoomScaleNormal="100" zoomScaleSheetLayoutView="13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11" t="s">
        <v>12</v>
      </c>
      <c r="U1" s="111"/>
      <c r="V1" s="2" t="s">
        <v>94</v>
      </c>
    </row>
    <row r="2" spans="1:24" ht="18.75" customHeight="1" x14ac:dyDescent="0.15">
      <c r="B2" s="17" t="s">
        <v>93</v>
      </c>
      <c r="C2" s="89" t="s">
        <v>143</v>
      </c>
      <c r="D2" s="90"/>
      <c r="E2" s="90"/>
      <c r="F2" s="90"/>
      <c r="G2" s="90"/>
      <c r="H2" s="90"/>
      <c r="I2" s="90"/>
      <c r="J2" s="91"/>
      <c r="K2" s="18"/>
      <c r="L2" s="6"/>
      <c r="M2" s="6"/>
      <c r="N2" s="6"/>
      <c r="O2" s="6"/>
      <c r="P2" s="6"/>
      <c r="Q2" s="6"/>
      <c r="R2" s="6"/>
      <c r="S2" s="6"/>
      <c r="T2" s="6"/>
      <c r="U2" s="6"/>
    </row>
    <row r="3" spans="1:24" ht="18.75" customHeight="1" x14ac:dyDescent="0.15">
      <c r="A3" s="1" t="s">
        <v>154</v>
      </c>
      <c r="B3" s="17" t="s">
        <v>88</v>
      </c>
      <c r="C3" s="112" t="s">
        <v>144</v>
      </c>
      <c r="D3" s="113"/>
      <c r="E3" s="113"/>
      <c r="F3" s="113"/>
      <c r="G3" s="113"/>
      <c r="H3" s="113"/>
      <c r="I3" s="113"/>
      <c r="J3" s="114"/>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15" t="s">
        <v>141</v>
      </c>
      <c r="B5" s="115"/>
      <c r="C5" s="115"/>
      <c r="D5" s="115"/>
      <c r="E5" s="115"/>
      <c r="F5" s="115"/>
      <c r="G5" s="115"/>
      <c r="H5" s="115"/>
      <c r="I5" s="115"/>
      <c r="J5" s="115"/>
      <c r="K5" s="115"/>
      <c r="L5" s="115"/>
      <c r="M5" s="115"/>
      <c r="N5" s="115"/>
      <c r="O5" s="115"/>
      <c r="P5" s="115"/>
      <c r="Q5" s="115"/>
      <c r="R5" s="115"/>
      <c r="S5" s="115"/>
      <c r="T5" s="115"/>
      <c r="U5" s="115"/>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6" t="s">
        <v>145</v>
      </c>
      <c r="M7" s="87"/>
      <c r="N7" s="87"/>
      <c r="O7" s="87"/>
      <c r="P7" s="87"/>
      <c r="Q7" s="87"/>
      <c r="R7" s="87"/>
      <c r="S7" s="87"/>
      <c r="T7" s="87"/>
      <c r="U7" s="8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2"/>
      <c r="C11" s="93"/>
      <c r="D11" s="93"/>
      <c r="E11" s="93"/>
      <c r="F11" s="93"/>
      <c r="G11" s="93"/>
      <c r="H11" s="93"/>
      <c r="I11" s="93"/>
      <c r="J11" s="93"/>
      <c r="K11" s="93"/>
      <c r="L11" s="93"/>
      <c r="M11" s="93"/>
      <c r="N11" s="93"/>
      <c r="O11" s="93"/>
      <c r="P11" s="93"/>
      <c r="Q11" s="93"/>
      <c r="R11" s="93"/>
      <c r="S11" s="93"/>
      <c r="T11" s="93"/>
      <c r="U11" s="94"/>
    </row>
    <row r="12" spans="1:24" ht="18" customHeight="1" x14ac:dyDescent="0.15">
      <c r="B12" s="95"/>
      <c r="C12" s="96"/>
      <c r="D12" s="96"/>
      <c r="E12" s="96"/>
      <c r="F12" s="96"/>
      <c r="G12" s="96"/>
      <c r="H12" s="96"/>
      <c r="I12" s="96"/>
      <c r="J12" s="96"/>
      <c r="K12" s="96"/>
      <c r="L12" s="96"/>
      <c r="M12" s="96"/>
      <c r="N12" s="96"/>
      <c r="O12" s="96"/>
      <c r="P12" s="96"/>
      <c r="Q12" s="96"/>
      <c r="R12" s="96"/>
      <c r="S12" s="96"/>
      <c r="T12" s="96"/>
      <c r="U12" s="97"/>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16" t="s">
        <v>146</v>
      </c>
      <c r="C15" s="117"/>
      <c r="D15" s="117"/>
      <c r="E15" s="117"/>
      <c r="F15" s="117"/>
      <c r="G15" s="117"/>
      <c r="H15" s="117"/>
      <c r="I15" s="117"/>
      <c r="J15" s="117"/>
      <c r="K15" s="117"/>
      <c r="L15" s="117"/>
      <c r="M15" s="117"/>
      <c r="N15" s="117"/>
      <c r="O15" s="117"/>
      <c r="P15" s="117"/>
      <c r="Q15" s="117"/>
      <c r="R15" s="117"/>
      <c r="S15" s="117"/>
      <c r="T15" s="117"/>
      <c r="U15" s="118"/>
      <c r="X15" s="1" t="s">
        <v>89</v>
      </c>
    </row>
    <row r="16" spans="1:24" ht="18" customHeight="1" x14ac:dyDescent="0.15">
      <c r="B16" s="119"/>
      <c r="C16" s="120"/>
      <c r="D16" s="120"/>
      <c r="E16" s="120"/>
      <c r="F16" s="120"/>
      <c r="G16" s="120"/>
      <c r="H16" s="120"/>
      <c r="I16" s="120"/>
      <c r="J16" s="120"/>
      <c r="K16" s="120"/>
      <c r="L16" s="120"/>
      <c r="M16" s="120"/>
      <c r="N16" s="120"/>
      <c r="O16" s="120"/>
      <c r="P16" s="120"/>
      <c r="Q16" s="120"/>
      <c r="R16" s="120"/>
      <c r="S16" s="120"/>
      <c r="T16" s="120"/>
      <c r="U16" s="121"/>
      <c r="X16" s="1" t="s">
        <v>122</v>
      </c>
    </row>
    <row r="17" spans="1:24" ht="18" customHeight="1" x14ac:dyDescent="0.15">
      <c r="B17" s="119"/>
      <c r="C17" s="120"/>
      <c r="D17" s="120"/>
      <c r="E17" s="120"/>
      <c r="F17" s="120"/>
      <c r="G17" s="120"/>
      <c r="H17" s="120"/>
      <c r="I17" s="120"/>
      <c r="J17" s="120"/>
      <c r="K17" s="120"/>
      <c r="L17" s="120"/>
      <c r="M17" s="120"/>
      <c r="N17" s="120"/>
      <c r="O17" s="120"/>
      <c r="P17" s="120"/>
      <c r="Q17" s="120"/>
      <c r="R17" s="120"/>
      <c r="S17" s="120"/>
      <c r="T17" s="120"/>
      <c r="U17" s="121"/>
      <c r="X17" s="1" t="s">
        <v>123</v>
      </c>
    </row>
    <row r="18" spans="1:24" ht="18" customHeight="1" x14ac:dyDescent="0.15">
      <c r="B18" s="119"/>
      <c r="C18" s="120"/>
      <c r="D18" s="120"/>
      <c r="E18" s="120"/>
      <c r="F18" s="120"/>
      <c r="G18" s="120"/>
      <c r="H18" s="120"/>
      <c r="I18" s="120"/>
      <c r="J18" s="120"/>
      <c r="K18" s="120"/>
      <c r="L18" s="120"/>
      <c r="M18" s="120"/>
      <c r="N18" s="120"/>
      <c r="O18" s="120"/>
      <c r="P18" s="120"/>
      <c r="Q18" s="120"/>
      <c r="R18" s="120"/>
      <c r="S18" s="120"/>
      <c r="T18" s="120"/>
      <c r="U18" s="121"/>
      <c r="X18" s="1" t="s">
        <v>124</v>
      </c>
    </row>
    <row r="19" spans="1:24" ht="18" customHeight="1" x14ac:dyDescent="0.15">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6">
        <v>2</v>
      </c>
      <c r="F22" s="1" t="s">
        <v>107</v>
      </c>
      <c r="H22" s="19">
        <v>2</v>
      </c>
      <c r="I22" s="3" t="s">
        <v>108</v>
      </c>
      <c r="J22" s="3"/>
      <c r="K22" s="18"/>
      <c r="M22" s="18" t="s">
        <v>104</v>
      </c>
      <c r="N22" s="83" t="s">
        <v>122</v>
      </c>
      <c r="O22" s="84"/>
      <c r="P22" s="84"/>
      <c r="Q22" s="84"/>
      <c r="R22" s="84"/>
      <c r="S22" s="84"/>
      <c r="T22" s="84"/>
      <c r="U22" s="8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07" t="s">
        <v>96</v>
      </c>
      <c r="B24" s="107"/>
      <c r="C24" s="107"/>
      <c r="D24" s="107"/>
      <c r="E24" s="107"/>
      <c r="F24" s="107"/>
      <c r="G24" s="107"/>
      <c r="H24" s="107"/>
      <c r="I24" s="107"/>
      <c r="J24" s="107"/>
      <c r="K24" s="107"/>
      <c r="L24" s="107"/>
      <c r="M24" s="107"/>
      <c r="N24" s="107"/>
      <c r="O24" s="107"/>
      <c r="P24" s="107"/>
      <c r="Q24" s="107"/>
      <c r="R24" s="107"/>
      <c r="S24" s="107"/>
      <c r="T24" s="107"/>
      <c r="U24" s="107"/>
    </row>
    <row r="25" spans="1:24" ht="18" customHeight="1" x14ac:dyDescent="0.15">
      <c r="A25" s="107"/>
      <c r="B25" s="107"/>
      <c r="C25" s="107"/>
      <c r="D25" s="107"/>
      <c r="E25" s="107"/>
      <c r="F25" s="107"/>
      <c r="G25" s="107"/>
      <c r="H25" s="107"/>
      <c r="I25" s="107"/>
      <c r="J25" s="107"/>
      <c r="K25" s="107"/>
      <c r="L25" s="107"/>
      <c r="M25" s="107"/>
      <c r="N25" s="107"/>
      <c r="O25" s="107"/>
      <c r="P25" s="107"/>
      <c r="Q25" s="107"/>
      <c r="R25" s="107"/>
      <c r="S25" s="107"/>
      <c r="T25" s="107"/>
      <c r="U25" s="107"/>
    </row>
    <row r="26" spans="1:24" ht="18" customHeight="1" x14ac:dyDescent="0.15">
      <c r="B26" s="89" t="s">
        <v>48</v>
      </c>
      <c r="C26" s="90"/>
      <c r="D26" s="90"/>
      <c r="E26" s="90"/>
      <c r="F26" s="91"/>
      <c r="G26" s="60" t="s">
        <v>73</v>
      </c>
      <c r="H26" s="61" t="s">
        <v>76</v>
      </c>
      <c r="I26" s="62" t="s">
        <v>51</v>
      </c>
      <c r="J26" s="62" t="s">
        <v>54</v>
      </c>
      <c r="K26" s="89" t="s">
        <v>48</v>
      </c>
      <c r="L26" s="90"/>
      <c r="M26" s="90"/>
      <c r="N26" s="90"/>
      <c r="O26" s="90"/>
      <c r="P26" s="90"/>
      <c r="Q26" s="91"/>
      <c r="R26" s="60" t="s">
        <v>73</v>
      </c>
      <c r="S26" s="61" t="s">
        <v>76</v>
      </c>
      <c r="T26" s="62" t="s">
        <v>51</v>
      </c>
      <c r="U26" s="62" t="s">
        <v>54</v>
      </c>
    </row>
    <row r="27" spans="1:24" ht="18" customHeight="1" x14ac:dyDescent="0.15">
      <c r="B27" s="104" t="s">
        <v>147</v>
      </c>
      <c r="C27" s="105"/>
      <c r="D27" s="105"/>
      <c r="E27" s="105"/>
      <c r="F27" s="106"/>
      <c r="G27" s="63">
        <v>1</v>
      </c>
      <c r="H27" s="63" t="s">
        <v>148</v>
      </c>
      <c r="I27" s="63" t="s">
        <v>148</v>
      </c>
      <c r="J27" s="63" t="s">
        <v>148</v>
      </c>
      <c r="K27" s="104"/>
      <c r="L27" s="105"/>
      <c r="M27" s="105"/>
      <c r="N27" s="105"/>
      <c r="O27" s="105"/>
      <c r="P27" s="105"/>
      <c r="Q27" s="106"/>
      <c r="R27" s="63"/>
      <c r="S27" s="63"/>
      <c r="T27" s="63"/>
      <c r="U27" s="63"/>
    </row>
    <row r="28" spans="1:24" ht="18" customHeight="1" x14ac:dyDescent="0.15">
      <c r="B28" s="98"/>
      <c r="C28" s="99"/>
      <c r="D28" s="99"/>
      <c r="E28" s="99"/>
      <c r="F28" s="100"/>
      <c r="G28" s="64"/>
      <c r="H28" s="64"/>
      <c r="I28" s="64"/>
      <c r="J28" s="64"/>
      <c r="K28" s="98"/>
      <c r="L28" s="99"/>
      <c r="M28" s="99"/>
      <c r="N28" s="99"/>
      <c r="O28" s="99"/>
      <c r="P28" s="99"/>
      <c r="Q28" s="100"/>
      <c r="R28" s="64"/>
      <c r="S28" s="64"/>
      <c r="T28" s="64"/>
      <c r="U28" s="64"/>
    </row>
    <row r="29" spans="1:24" ht="18" customHeight="1" x14ac:dyDescent="0.15">
      <c r="B29" s="98"/>
      <c r="C29" s="99"/>
      <c r="D29" s="99"/>
      <c r="E29" s="99"/>
      <c r="F29" s="100"/>
      <c r="G29" s="64"/>
      <c r="H29" s="64"/>
      <c r="I29" s="64"/>
      <c r="J29" s="64"/>
      <c r="K29" s="98"/>
      <c r="L29" s="99"/>
      <c r="M29" s="99"/>
      <c r="N29" s="99"/>
      <c r="O29" s="99"/>
      <c r="P29" s="99"/>
      <c r="Q29" s="100"/>
      <c r="R29" s="64"/>
      <c r="S29" s="64"/>
      <c r="T29" s="64"/>
      <c r="U29" s="64"/>
    </row>
    <row r="30" spans="1:24" ht="18" customHeight="1" x14ac:dyDescent="0.15">
      <c r="B30" s="98"/>
      <c r="C30" s="99"/>
      <c r="D30" s="99"/>
      <c r="E30" s="99"/>
      <c r="F30" s="100"/>
      <c r="G30" s="64"/>
      <c r="H30" s="64"/>
      <c r="I30" s="64"/>
      <c r="J30" s="64"/>
      <c r="K30" s="98"/>
      <c r="L30" s="99"/>
      <c r="M30" s="99"/>
      <c r="N30" s="99"/>
      <c r="O30" s="99"/>
      <c r="P30" s="99"/>
      <c r="Q30" s="100"/>
      <c r="R30" s="64"/>
      <c r="S30" s="64"/>
      <c r="T30" s="64"/>
      <c r="U30" s="64"/>
    </row>
    <row r="31" spans="1:24" ht="18" customHeight="1" x14ac:dyDescent="0.15">
      <c r="B31" s="98"/>
      <c r="C31" s="99"/>
      <c r="D31" s="99"/>
      <c r="E31" s="99"/>
      <c r="F31" s="100"/>
      <c r="G31" s="64"/>
      <c r="H31" s="64"/>
      <c r="I31" s="64"/>
      <c r="J31" s="64"/>
      <c r="K31" s="98"/>
      <c r="L31" s="99"/>
      <c r="M31" s="99"/>
      <c r="N31" s="99"/>
      <c r="O31" s="99"/>
      <c r="P31" s="99"/>
      <c r="Q31" s="100"/>
      <c r="R31" s="64"/>
      <c r="S31" s="64"/>
      <c r="T31" s="64"/>
      <c r="U31" s="64"/>
    </row>
    <row r="32" spans="1:24" ht="18" customHeight="1" x14ac:dyDescent="0.15">
      <c r="A32" s="3"/>
      <c r="B32" s="98"/>
      <c r="C32" s="99"/>
      <c r="D32" s="99"/>
      <c r="E32" s="99"/>
      <c r="F32" s="100"/>
      <c r="G32" s="64"/>
      <c r="H32" s="64"/>
      <c r="I32" s="64"/>
      <c r="J32" s="64"/>
      <c r="K32" s="98"/>
      <c r="L32" s="99"/>
      <c r="M32" s="99"/>
      <c r="N32" s="99"/>
      <c r="O32" s="99"/>
      <c r="P32" s="99"/>
      <c r="Q32" s="100"/>
      <c r="R32" s="64"/>
      <c r="S32" s="64"/>
      <c r="T32" s="64"/>
      <c r="U32" s="64"/>
    </row>
    <row r="33" spans="1:21" ht="18" customHeight="1" x14ac:dyDescent="0.15">
      <c r="A33" s="3"/>
      <c r="B33" s="101"/>
      <c r="C33" s="102"/>
      <c r="D33" s="102"/>
      <c r="E33" s="102"/>
      <c r="F33" s="103"/>
      <c r="G33" s="65"/>
      <c r="H33" s="65"/>
      <c r="I33" s="66"/>
      <c r="J33" s="66"/>
      <c r="K33" s="101"/>
      <c r="L33" s="102"/>
      <c r="M33" s="102"/>
      <c r="N33" s="102"/>
      <c r="O33" s="102"/>
      <c r="P33" s="102"/>
      <c r="Q33" s="103"/>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7" t="s">
        <v>97</v>
      </c>
      <c r="B35" s="107"/>
      <c r="C35" s="107"/>
      <c r="D35" s="107"/>
      <c r="E35" s="107"/>
      <c r="F35" s="107"/>
      <c r="G35" s="107"/>
      <c r="H35" s="107"/>
      <c r="I35" s="107"/>
      <c r="J35" s="107"/>
      <c r="K35" s="107"/>
      <c r="L35" s="107"/>
      <c r="M35" s="107"/>
      <c r="N35" s="107"/>
      <c r="O35" s="107"/>
      <c r="P35" s="107"/>
      <c r="Q35" s="107"/>
      <c r="R35" s="107"/>
      <c r="S35" s="107"/>
      <c r="T35" s="107"/>
      <c r="U35" s="107"/>
    </row>
    <row r="36" spans="1:21" ht="18" customHeight="1" x14ac:dyDescent="0.15">
      <c r="A36" s="107"/>
      <c r="B36" s="107"/>
      <c r="C36" s="107"/>
      <c r="D36" s="107"/>
      <c r="E36" s="107"/>
      <c r="F36" s="107"/>
      <c r="G36" s="107"/>
      <c r="H36" s="107"/>
      <c r="I36" s="107"/>
      <c r="J36" s="107"/>
      <c r="K36" s="107"/>
      <c r="L36" s="107"/>
      <c r="M36" s="107"/>
      <c r="N36" s="107"/>
      <c r="O36" s="107"/>
      <c r="P36" s="107"/>
      <c r="Q36" s="107"/>
      <c r="R36" s="107"/>
      <c r="S36" s="107"/>
      <c r="T36" s="107"/>
      <c r="U36" s="107"/>
    </row>
    <row r="37" spans="1:21" ht="18" customHeight="1" x14ac:dyDescent="0.15">
      <c r="B37" s="89" t="s">
        <v>48</v>
      </c>
      <c r="C37" s="90"/>
      <c r="D37" s="90"/>
      <c r="E37" s="90"/>
      <c r="F37" s="91"/>
      <c r="G37" s="60" t="s">
        <v>73</v>
      </c>
      <c r="H37" s="61" t="s">
        <v>76</v>
      </c>
      <c r="I37" s="62" t="s">
        <v>64</v>
      </c>
      <c r="J37" s="62" t="s">
        <v>65</v>
      </c>
      <c r="K37" s="89" t="s">
        <v>48</v>
      </c>
      <c r="L37" s="90"/>
      <c r="M37" s="90"/>
      <c r="N37" s="90"/>
      <c r="O37" s="90"/>
      <c r="P37" s="90"/>
      <c r="Q37" s="91"/>
      <c r="R37" s="60" t="s">
        <v>73</v>
      </c>
      <c r="S37" s="61" t="s">
        <v>76</v>
      </c>
      <c r="T37" s="62" t="s">
        <v>64</v>
      </c>
      <c r="U37" s="62" t="s">
        <v>65</v>
      </c>
    </row>
    <row r="38" spans="1:21" ht="18" customHeight="1" x14ac:dyDescent="0.15">
      <c r="B38" s="104" t="s">
        <v>147</v>
      </c>
      <c r="C38" s="105"/>
      <c r="D38" s="105"/>
      <c r="E38" s="105"/>
      <c r="F38" s="106"/>
      <c r="G38" s="63">
        <v>1</v>
      </c>
      <c r="H38" s="63" t="s">
        <v>148</v>
      </c>
      <c r="I38" s="63" t="s">
        <v>148</v>
      </c>
      <c r="J38" s="63" t="s">
        <v>148</v>
      </c>
      <c r="K38" s="104"/>
      <c r="L38" s="105"/>
      <c r="M38" s="105"/>
      <c r="N38" s="105"/>
      <c r="O38" s="105"/>
      <c r="P38" s="105"/>
      <c r="Q38" s="106"/>
      <c r="R38" s="63"/>
      <c r="S38" s="63"/>
      <c r="T38" s="63"/>
      <c r="U38" s="63"/>
    </row>
    <row r="39" spans="1:21" ht="18" customHeight="1" x14ac:dyDescent="0.15">
      <c r="B39" s="98"/>
      <c r="C39" s="99"/>
      <c r="D39" s="99"/>
      <c r="E39" s="99"/>
      <c r="F39" s="100"/>
      <c r="G39" s="64"/>
      <c r="H39" s="64"/>
      <c r="I39" s="64"/>
      <c r="J39" s="64"/>
      <c r="K39" s="98"/>
      <c r="L39" s="99"/>
      <c r="M39" s="99"/>
      <c r="N39" s="99"/>
      <c r="O39" s="99"/>
      <c r="P39" s="99"/>
      <c r="Q39" s="100"/>
      <c r="R39" s="64"/>
      <c r="S39" s="64"/>
      <c r="T39" s="64"/>
      <c r="U39" s="64"/>
    </row>
    <row r="40" spans="1:21" ht="18" customHeight="1" x14ac:dyDescent="0.15">
      <c r="B40" s="98"/>
      <c r="C40" s="99"/>
      <c r="D40" s="99"/>
      <c r="E40" s="99"/>
      <c r="F40" s="100"/>
      <c r="G40" s="64"/>
      <c r="H40" s="64"/>
      <c r="I40" s="64"/>
      <c r="J40" s="64"/>
      <c r="K40" s="98"/>
      <c r="L40" s="99"/>
      <c r="M40" s="99"/>
      <c r="N40" s="99"/>
      <c r="O40" s="99"/>
      <c r="P40" s="99"/>
      <c r="Q40" s="100"/>
      <c r="R40" s="64"/>
      <c r="S40" s="64"/>
      <c r="T40" s="64"/>
      <c r="U40" s="64"/>
    </row>
    <row r="41" spans="1:21" ht="18" customHeight="1" x14ac:dyDescent="0.15">
      <c r="B41" s="98"/>
      <c r="C41" s="99"/>
      <c r="D41" s="99"/>
      <c r="E41" s="99"/>
      <c r="F41" s="100"/>
      <c r="G41" s="64"/>
      <c r="H41" s="64"/>
      <c r="I41" s="64"/>
      <c r="J41" s="64"/>
      <c r="K41" s="98"/>
      <c r="L41" s="99"/>
      <c r="M41" s="99"/>
      <c r="N41" s="99"/>
      <c r="O41" s="99"/>
      <c r="P41" s="99"/>
      <c r="Q41" s="100"/>
      <c r="R41" s="64"/>
      <c r="S41" s="64"/>
      <c r="T41" s="64"/>
      <c r="U41" s="64"/>
    </row>
    <row r="42" spans="1:21" ht="18" customHeight="1" x14ac:dyDescent="0.15">
      <c r="B42" s="98"/>
      <c r="C42" s="99"/>
      <c r="D42" s="99"/>
      <c r="E42" s="99"/>
      <c r="F42" s="100"/>
      <c r="G42" s="64"/>
      <c r="H42" s="64"/>
      <c r="I42" s="64"/>
      <c r="J42" s="64"/>
      <c r="K42" s="98"/>
      <c r="L42" s="99"/>
      <c r="M42" s="99"/>
      <c r="N42" s="99"/>
      <c r="O42" s="99"/>
      <c r="P42" s="99"/>
      <c r="Q42" s="100"/>
      <c r="R42" s="64"/>
      <c r="S42" s="64"/>
      <c r="T42" s="64"/>
      <c r="U42" s="64"/>
    </row>
    <row r="43" spans="1:21" ht="18" customHeight="1" x14ac:dyDescent="0.15">
      <c r="B43" s="98"/>
      <c r="C43" s="99"/>
      <c r="D43" s="99"/>
      <c r="E43" s="99"/>
      <c r="F43" s="100"/>
      <c r="G43" s="64"/>
      <c r="H43" s="64"/>
      <c r="I43" s="64"/>
      <c r="J43" s="64"/>
      <c r="K43" s="98"/>
      <c r="L43" s="99"/>
      <c r="M43" s="99"/>
      <c r="N43" s="99"/>
      <c r="O43" s="99"/>
      <c r="P43" s="99"/>
      <c r="Q43" s="100"/>
      <c r="R43" s="64"/>
      <c r="S43" s="64"/>
      <c r="T43" s="64"/>
      <c r="U43" s="64"/>
    </row>
    <row r="44" spans="1:21" ht="18" customHeight="1" x14ac:dyDescent="0.15">
      <c r="B44" s="101"/>
      <c r="C44" s="102"/>
      <c r="D44" s="102"/>
      <c r="E44" s="102"/>
      <c r="F44" s="103"/>
      <c r="G44" s="65"/>
      <c r="H44" s="65"/>
      <c r="I44" s="66"/>
      <c r="J44" s="66"/>
      <c r="K44" s="101"/>
      <c r="L44" s="102"/>
      <c r="M44" s="102"/>
      <c r="N44" s="102"/>
      <c r="O44" s="102"/>
      <c r="P44" s="102"/>
      <c r="Q44" s="103"/>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7" t="s">
        <v>98</v>
      </c>
      <c r="B46" s="107"/>
      <c r="C46" s="107"/>
      <c r="D46" s="107"/>
      <c r="E46" s="107"/>
      <c r="F46" s="107"/>
      <c r="G46" s="107"/>
      <c r="H46" s="107"/>
      <c r="I46" s="107"/>
      <c r="J46" s="107"/>
      <c r="K46" s="107"/>
      <c r="L46" s="107"/>
      <c r="M46" s="107"/>
      <c r="N46" s="107"/>
      <c r="O46" s="107"/>
      <c r="P46" s="107"/>
      <c r="Q46" s="107"/>
      <c r="R46" s="107"/>
      <c r="S46" s="107"/>
      <c r="T46" s="107"/>
      <c r="U46" s="107"/>
    </row>
    <row r="47" spans="1:21" ht="18" customHeight="1" x14ac:dyDescent="0.15">
      <c r="A47" s="107"/>
      <c r="B47" s="107"/>
      <c r="C47" s="107"/>
      <c r="D47" s="107"/>
      <c r="E47" s="107"/>
      <c r="F47" s="107"/>
      <c r="G47" s="107"/>
      <c r="H47" s="107"/>
      <c r="I47" s="107"/>
      <c r="J47" s="107"/>
      <c r="K47" s="107"/>
      <c r="L47" s="107"/>
      <c r="M47" s="107"/>
      <c r="N47" s="107"/>
      <c r="O47" s="107"/>
      <c r="P47" s="107"/>
      <c r="Q47" s="107"/>
      <c r="R47" s="107"/>
      <c r="S47" s="107"/>
      <c r="T47" s="107"/>
      <c r="U47" s="107"/>
    </row>
    <row r="48" spans="1:21" ht="18" customHeight="1" x14ac:dyDescent="0.15">
      <c r="B48" s="89" t="s">
        <v>48</v>
      </c>
      <c r="C48" s="90"/>
      <c r="D48" s="90"/>
      <c r="E48" s="90"/>
      <c r="F48" s="91"/>
      <c r="G48" s="60" t="s">
        <v>73</v>
      </c>
      <c r="H48" s="61" t="s">
        <v>76</v>
      </c>
      <c r="I48" s="62" t="s">
        <v>66</v>
      </c>
      <c r="J48" s="62" t="s">
        <v>67</v>
      </c>
      <c r="K48" s="89" t="s">
        <v>48</v>
      </c>
      <c r="L48" s="90"/>
      <c r="M48" s="90"/>
      <c r="N48" s="90"/>
      <c r="O48" s="90"/>
      <c r="P48" s="90"/>
      <c r="Q48" s="91"/>
      <c r="R48" s="60" t="s">
        <v>73</v>
      </c>
      <c r="S48" s="61" t="s">
        <v>76</v>
      </c>
      <c r="T48" s="62" t="s">
        <v>66</v>
      </c>
      <c r="U48" s="62" t="s">
        <v>67</v>
      </c>
    </row>
    <row r="49" spans="1:21" ht="18" customHeight="1" x14ac:dyDescent="0.15">
      <c r="A49" s="3"/>
      <c r="B49" s="104" t="s">
        <v>147</v>
      </c>
      <c r="C49" s="105"/>
      <c r="D49" s="105"/>
      <c r="E49" s="105"/>
      <c r="F49" s="106"/>
      <c r="G49" s="63">
        <v>1</v>
      </c>
      <c r="H49" s="63" t="s">
        <v>148</v>
      </c>
      <c r="I49" s="63" t="s">
        <v>148</v>
      </c>
      <c r="J49" s="63" t="s">
        <v>148</v>
      </c>
      <c r="K49" s="104"/>
      <c r="L49" s="105"/>
      <c r="M49" s="105"/>
      <c r="N49" s="105"/>
      <c r="O49" s="105"/>
      <c r="P49" s="105"/>
      <c r="Q49" s="106"/>
      <c r="R49" s="63"/>
      <c r="S49" s="63"/>
      <c r="T49" s="63"/>
      <c r="U49" s="63"/>
    </row>
    <row r="50" spans="1:21" ht="18" customHeight="1" x14ac:dyDescent="0.15">
      <c r="A50" s="3"/>
      <c r="B50" s="98"/>
      <c r="C50" s="99"/>
      <c r="D50" s="99"/>
      <c r="E50" s="99"/>
      <c r="F50" s="100"/>
      <c r="G50" s="64"/>
      <c r="H50" s="64"/>
      <c r="I50" s="64"/>
      <c r="J50" s="64"/>
      <c r="K50" s="98"/>
      <c r="L50" s="99"/>
      <c r="M50" s="99"/>
      <c r="N50" s="99"/>
      <c r="O50" s="99"/>
      <c r="P50" s="99"/>
      <c r="Q50" s="100"/>
      <c r="R50" s="64"/>
      <c r="S50" s="64"/>
      <c r="T50" s="64"/>
      <c r="U50" s="64"/>
    </row>
    <row r="51" spans="1:21" ht="18" customHeight="1" x14ac:dyDescent="0.15">
      <c r="A51" s="3"/>
      <c r="B51" s="98"/>
      <c r="C51" s="99"/>
      <c r="D51" s="99"/>
      <c r="E51" s="99"/>
      <c r="F51" s="100"/>
      <c r="G51" s="64"/>
      <c r="H51" s="64"/>
      <c r="I51" s="64"/>
      <c r="J51" s="64"/>
      <c r="K51" s="98"/>
      <c r="L51" s="99"/>
      <c r="M51" s="99"/>
      <c r="N51" s="99"/>
      <c r="O51" s="99"/>
      <c r="P51" s="99"/>
      <c r="Q51" s="100"/>
      <c r="R51" s="64"/>
      <c r="S51" s="64"/>
      <c r="T51" s="64"/>
      <c r="U51" s="64"/>
    </row>
    <row r="52" spans="1:21" ht="18" customHeight="1" x14ac:dyDescent="0.15">
      <c r="A52" s="3"/>
      <c r="B52" s="98"/>
      <c r="C52" s="99"/>
      <c r="D52" s="99"/>
      <c r="E52" s="99"/>
      <c r="F52" s="100"/>
      <c r="G52" s="64"/>
      <c r="H52" s="64"/>
      <c r="I52" s="64"/>
      <c r="J52" s="64"/>
      <c r="K52" s="98"/>
      <c r="L52" s="99"/>
      <c r="M52" s="99"/>
      <c r="N52" s="99"/>
      <c r="O52" s="99"/>
      <c r="P52" s="99"/>
      <c r="Q52" s="100"/>
      <c r="R52" s="64"/>
      <c r="S52" s="64"/>
      <c r="T52" s="64"/>
      <c r="U52" s="64"/>
    </row>
    <row r="53" spans="1:21" ht="18" customHeight="1" x14ac:dyDescent="0.15">
      <c r="A53" s="3"/>
      <c r="B53" s="98"/>
      <c r="C53" s="99"/>
      <c r="D53" s="99"/>
      <c r="E53" s="99"/>
      <c r="F53" s="100"/>
      <c r="G53" s="64"/>
      <c r="H53" s="64"/>
      <c r="I53" s="64"/>
      <c r="J53" s="64"/>
      <c r="K53" s="98"/>
      <c r="L53" s="99"/>
      <c r="M53" s="99"/>
      <c r="N53" s="99"/>
      <c r="O53" s="99"/>
      <c r="P53" s="99"/>
      <c r="Q53" s="100"/>
      <c r="R53" s="64"/>
      <c r="S53" s="64"/>
      <c r="T53" s="64"/>
      <c r="U53" s="64"/>
    </row>
    <row r="54" spans="1:21" ht="18" customHeight="1" x14ac:dyDescent="0.15">
      <c r="A54" s="3"/>
      <c r="B54" s="98"/>
      <c r="C54" s="99"/>
      <c r="D54" s="99"/>
      <c r="E54" s="99"/>
      <c r="F54" s="100"/>
      <c r="G54" s="64"/>
      <c r="H54" s="64"/>
      <c r="I54" s="64"/>
      <c r="J54" s="64"/>
      <c r="K54" s="98"/>
      <c r="L54" s="99"/>
      <c r="M54" s="99"/>
      <c r="N54" s="99"/>
      <c r="O54" s="99"/>
      <c r="P54" s="99"/>
      <c r="Q54" s="100"/>
      <c r="R54" s="64"/>
      <c r="S54" s="64"/>
      <c r="T54" s="64"/>
      <c r="U54" s="64"/>
    </row>
    <row r="55" spans="1:21" ht="18" customHeight="1" x14ac:dyDescent="0.15">
      <c r="A55" s="3"/>
      <c r="B55" s="101"/>
      <c r="C55" s="102"/>
      <c r="D55" s="102"/>
      <c r="E55" s="102"/>
      <c r="F55" s="103"/>
      <c r="G55" s="65"/>
      <c r="H55" s="65"/>
      <c r="I55" s="66"/>
      <c r="J55" s="66"/>
      <c r="K55" s="101"/>
      <c r="L55" s="102"/>
      <c r="M55" s="102"/>
      <c r="N55" s="102"/>
      <c r="O55" s="102"/>
      <c r="P55" s="102"/>
      <c r="Q55" s="103"/>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7" t="s">
        <v>99</v>
      </c>
      <c r="B57" s="107"/>
      <c r="C57" s="107"/>
      <c r="D57" s="107"/>
      <c r="E57" s="107"/>
      <c r="F57" s="107"/>
      <c r="G57" s="107"/>
      <c r="H57" s="107"/>
      <c r="I57" s="107"/>
      <c r="J57" s="107"/>
      <c r="K57" s="107"/>
      <c r="L57" s="107"/>
      <c r="M57" s="107"/>
      <c r="N57" s="107"/>
      <c r="O57" s="107"/>
      <c r="P57" s="107"/>
      <c r="Q57" s="107"/>
      <c r="R57" s="107"/>
      <c r="S57" s="107"/>
      <c r="T57" s="107"/>
      <c r="U57" s="107"/>
    </row>
    <row r="58" spans="1:21" ht="18" customHeight="1" x14ac:dyDescent="0.15">
      <c r="A58" s="107"/>
      <c r="B58" s="107"/>
      <c r="C58" s="107"/>
      <c r="D58" s="107"/>
      <c r="E58" s="107"/>
      <c r="F58" s="107"/>
      <c r="G58" s="107"/>
      <c r="H58" s="107"/>
      <c r="I58" s="107"/>
      <c r="J58" s="107"/>
      <c r="K58" s="107"/>
      <c r="L58" s="107"/>
      <c r="M58" s="107"/>
      <c r="N58" s="107"/>
      <c r="O58" s="107"/>
      <c r="P58" s="107"/>
      <c r="Q58" s="107"/>
      <c r="R58" s="107"/>
      <c r="S58" s="107"/>
      <c r="T58" s="107"/>
      <c r="U58" s="107"/>
    </row>
    <row r="59" spans="1:21" ht="18" customHeight="1" x14ac:dyDescent="0.15">
      <c r="B59" s="89" t="s">
        <v>48</v>
      </c>
      <c r="C59" s="90"/>
      <c r="D59" s="90"/>
      <c r="E59" s="90"/>
      <c r="F59" s="91"/>
      <c r="G59" s="60" t="s">
        <v>73</v>
      </c>
      <c r="H59" s="61" t="s">
        <v>76</v>
      </c>
      <c r="I59" s="62" t="s">
        <v>53</v>
      </c>
      <c r="J59" s="62" t="s">
        <v>55</v>
      </c>
      <c r="K59" s="89" t="s">
        <v>48</v>
      </c>
      <c r="L59" s="90"/>
      <c r="M59" s="90"/>
      <c r="N59" s="90"/>
      <c r="O59" s="90"/>
      <c r="P59" s="90"/>
      <c r="Q59" s="91"/>
      <c r="R59" s="60" t="s">
        <v>73</v>
      </c>
      <c r="S59" s="61" t="s">
        <v>76</v>
      </c>
      <c r="T59" s="62" t="s">
        <v>53</v>
      </c>
      <c r="U59" s="62" t="s">
        <v>55</v>
      </c>
    </row>
    <row r="60" spans="1:21" ht="18" customHeight="1" x14ac:dyDescent="0.15">
      <c r="A60" s="3"/>
      <c r="B60" s="104" t="s">
        <v>147</v>
      </c>
      <c r="C60" s="105"/>
      <c r="D60" s="105"/>
      <c r="E60" s="105"/>
      <c r="F60" s="106"/>
      <c r="G60" s="63">
        <v>1</v>
      </c>
      <c r="H60" s="63" t="s">
        <v>148</v>
      </c>
      <c r="I60" s="63" t="s">
        <v>148</v>
      </c>
      <c r="J60" s="63" t="s">
        <v>148</v>
      </c>
      <c r="K60" s="104"/>
      <c r="L60" s="105"/>
      <c r="M60" s="105"/>
      <c r="N60" s="105"/>
      <c r="O60" s="105"/>
      <c r="P60" s="105"/>
      <c r="Q60" s="106"/>
      <c r="R60" s="63"/>
      <c r="S60" s="63"/>
      <c r="T60" s="63"/>
      <c r="U60" s="63"/>
    </row>
    <row r="61" spans="1:21" ht="18" customHeight="1" x14ac:dyDescent="0.15">
      <c r="A61" s="3"/>
      <c r="B61" s="98"/>
      <c r="C61" s="99"/>
      <c r="D61" s="99"/>
      <c r="E61" s="99"/>
      <c r="F61" s="100"/>
      <c r="G61" s="64"/>
      <c r="H61" s="64"/>
      <c r="I61" s="64"/>
      <c r="J61" s="64"/>
      <c r="K61" s="98"/>
      <c r="L61" s="99"/>
      <c r="M61" s="99"/>
      <c r="N61" s="99"/>
      <c r="O61" s="99"/>
      <c r="P61" s="99"/>
      <c r="Q61" s="100"/>
      <c r="R61" s="64"/>
      <c r="S61" s="64"/>
      <c r="T61" s="64"/>
      <c r="U61" s="64"/>
    </row>
    <row r="62" spans="1:21" ht="18" customHeight="1" x14ac:dyDescent="0.15">
      <c r="A62" s="3"/>
      <c r="B62" s="98"/>
      <c r="C62" s="99"/>
      <c r="D62" s="99"/>
      <c r="E62" s="99"/>
      <c r="F62" s="100"/>
      <c r="G62" s="64"/>
      <c r="H62" s="64"/>
      <c r="I62" s="64"/>
      <c r="J62" s="64"/>
      <c r="K62" s="98"/>
      <c r="L62" s="99"/>
      <c r="M62" s="99"/>
      <c r="N62" s="99"/>
      <c r="O62" s="99"/>
      <c r="P62" s="99"/>
      <c r="Q62" s="100"/>
      <c r="R62" s="64"/>
      <c r="S62" s="64"/>
      <c r="T62" s="64"/>
      <c r="U62" s="64"/>
    </row>
    <row r="63" spans="1:21" ht="18" customHeight="1" x14ac:dyDescent="0.15">
      <c r="A63" s="3"/>
      <c r="B63" s="98"/>
      <c r="C63" s="99"/>
      <c r="D63" s="99"/>
      <c r="E63" s="99"/>
      <c r="F63" s="100"/>
      <c r="G63" s="64"/>
      <c r="H63" s="64"/>
      <c r="I63" s="64"/>
      <c r="J63" s="64"/>
      <c r="K63" s="98"/>
      <c r="L63" s="99"/>
      <c r="M63" s="99"/>
      <c r="N63" s="99"/>
      <c r="O63" s="99"/>
      <c r="P63" s="99"/>
      <c r="Q63" s="100"/>
      <c r="R63" s="64"/>
      <c r="S63" s="64"/>
      <c r="T63" s="64"/>
      <c r="U63" s="64"/>
    </row>
    <row r="64" spans="1:21" ht="18" customHeight="1" x14ac:dyDescent="0.15">
      <c r="A64" s="3"/>
      <c r="B64" s="98"/>
      <c r="C64" s="99"/>
      <c r="D64" s="99"/>
      <c r="E64" s="99"/>
      <c r="F64" s="100"/>
      <c r="G64" s="64"/>
      <c r="H64" s="64"/>
      <c r="I64" s="64"/>
      <c r="J64" s="64"/>
      <c r="K64" s="98"/>
      <c r="L64" s="99"/>
      <c r="M64" s="99"/>
      <c r="N64" s="99"/>
      <c r="O64" s="99"/>
      <c r="P64" s="99"/>
      <c r="Q64" s="100"/>
      <c r="R64" s="64"/>
      <c r="S64" s="64"/>
      <c r="T64" s="64"/>
      <c r="U64" s="64"/>
    </row>
    <row r="65" spans="1:27" ht="18" customHeight="1" x14ac:dyDescent="0.15">
      <c r="A65" s="3"/>
      <c r="B65" s="98"/>
      <c r="C65" s="99"/>
      <c r="D65" s="99"/>
      <c r="E65" s="99"/>
      <c r="F65" s="100"/>
      <c r="G65" s="64"/>
      <c r="H65" s="64"/>
      <c r="I65" s="64"/>
      <c r="J65" s="64"/>
      <c r="K65" s="98"/>
      <c r="L65" s="99"/>
      <c r="M65" s="99"/>
      <c r="N65" s="99"/>
      <c r="O65" s="99"/>
      <c r="P65" s="99"/>
      <c r="Q65" s="100"/>
      <c r="R65" s="64"/>
      <c r="S65" s="64"/>
      <c r="T65" s="64"/>
      <c r="U65" s="64"/>
    </row>
    <row r="66" spans="1:27" ht="18" customHeight="1" x14ac:dyDescent="0.15">
      <c r="A66" s="3"/>
      <c r="B66" s="101"/>
      <c r="C66" s="102"/>
      <c r="D66" s="102"/>
      <c r="E66" s="102"/>
      <c r="F66" s="103"/>
      <c r="G66" s="65"/>
      <c r="H66" s="65"/>
      <c r="I66" s="66"/>
      <c r="J66" s="66"/>
      <c r="K66" s="101"/>
      <c r="L66" s="102"/>
      <c r="M66" s="102"/>
      <c r="N66" s="102"/>
      <c r="O66" s="102"/>
      <c r="P66" s="102"/>
      <c r="Q66" s="103"/>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07" t="s">
        <v>100</v>
      </c>
      <c r="B68" s="107"/>
      <c r="C68" s="107"/>
      <c r="D68" s="107"/>
      <c r="E68" s="107"/>
      <c r="F68" s="107"/>
      <c r="G68" s="107"/>
      <c r="H68" s="107"/>
      <c r="I68" s="107"/>
      <c r="J68" s="107"/>
      <c r="K68" s="107"/>
      <c r="L68" s="107"/>
      <c r="M68" s="107"/>
      <c r="N68" s="107"/>
      <c r="O68" s="107"/>
      <c r="P68" s="107"/>
      <c r="Q68" s="107"/>
      <c r="R68" s="107"/>
      <c r="S68" s="107"/>
      <c r="T68" s="107"/>
      <c r="U68" s="107"/>
    </row>
    <row r="69" spans="1:27" ht="18" customHeight="1" x14ac:dyDescent="0.15">
      <c r="A69" s="107"/>
      <c r="B69" s="107"/>
      <c r="C69" s="107"/>
      <c r="D69" s="107"/>
      <c r="E69" s="107"/>
      <c r="F69" s="107"/>
      <c r="G69" s="107"/>
      <c r="H69" s="107"/>
      <c r="I69" s="107"/>
      <c r="J69" s="107"/>
      <c r="K69" s="107"/>
      <c r="L69" s="107"/>
      <c r="M69" s="107"/>
      <c r="N69" s="107"/>
      <c r="O69" s="107"/>
      <c r="P69" s="107"/>
      <c r="Q69" s="107"/>
      <c r="R69" s="107"/>
      <c r="S69" s="107"/>
      <c r="T69" s="107"/>
      <c r="U69" s="107"/>
    </row>
    <row r="70" spans="1:27" ht="18" customHeight="1" x14ac:dyDescent="0.15">
      <c r="B70" s="89" t="s">
        <v>48</v>
      </c>
      <c r="C70" s="90"/>
      <c r="D70" s="90"/>
      <c r="E70" s="90"/>
      <c r="F70" s="60" t="s">
        <v>73</v>
      </c>
      <c r="G70" s="61" t="s">
        <v>76</v>
      </c>
      <c r="H70" s="62" t="s">
        <v>87</v>
      </c>
      <c r="I70" s="62" t="s">
        <v>68</v>
      </c>
      <c r="J70" s="62" t="s">
        <v>69</v>
      </c>
      <c r="K70" s="89" t="s">
        <v>48</v>
      </c>
      <c r="L70" s="90"/>
      <c r="M70" s="90"/>
      <c r="N70" s="90"/>
      <c r="O70" s="90"/>
      <c r="P70" s="91"/>
      <c r="Q70" s="60" t="s">
        <v>73</v>
      </c>
      <c r="R70" s="61" t="s">
        <v>76</v>
      </c>
      <c r="S70" s="62" t="s">
        <v>87</v>
      </c>
      <c r="T70" s="62" t="s">
        <v>68</v>
      </c>
      <c r="U70" s="62" t="s">
        <v>69</v>
      </c>
    </row>
    <row r="71" spans="1:27" ht="18" customHeight="1" x14ac:dyDescent="0.15">
      <c r="A71" s="3"/>
      <c r="B71" s="104" t="s">
        <v>147</v>
      </c>
      <c r="C71" s="105"/>
      <c r="D71" s="105"/>
      <c r="E71" s="105"/>
      <c r="F71" s="63">
        <v>1</v>
      </c>
      <c r="G71" s="63" t="s">
        <v>148</v>
      </c>
      <c r="H71" s="63" t="s">
        <v>148</v>
      </c>
      <c r="I71" s="63" t="s">
        <v>148</v>
      </c>
      <c r="J71" s="63" t="s">
        <v>148</v>
      </c>
      <c r="K71" s="104"/>
      <c r="L71" s="105"/>
      <c r="M71" s="105"/>
      <c r="N71" s="105"/>
      <c r="O71" s="105"/>
      <c r="P71" s="106"/>
      <c r="Q71" s="63"/>
      <c r="R71" s="63"/>
      <c r="S71" s="63"/>
      <c r="T71" s="63"/>
      <c r="U71" s="63"/>
    </row>
    <row r="72" spans="1:27" ht="18" customHeight="1" x14ac:dyDescent="0.15">
      <c r="A72" s="3"/>
      <c r="B72" s="98" t="s">
        <v>149</v>
      </c>
      <c r="C72" s="99"/>
      <c r="D72" s="99"/>
      <c r="E72" s="99"/>
      <c r="F72" s="64">
        <v>1</v>
      </c>
      <c r="G72" s="64" t="s">
        <v>148</v>
      </c>
      <c r="H72" s="64" t="s">
        <v>148</v>
      </c>
      <c r="I72" s="64" t="s">
        <v>148</v>
      </c>
      <c r="J72" s="64" t="s">
        <v>148</v>
      </c>
      <c r="K72" s="98"/>
      <c r="L72" s="99"/>
      <c r="M72" s="99"/>
      <c r="N72" s="99"/>
      <c r="O72" s="99"/>
      <c r="P72" s="100"/>
      <c r="Q72" s="64"/>
      <c r="R72" s="64"/>
      <c r="S72" s="64"/>
      <c r="T72" s="64"/>
      <c r="U72" s="64"/>
    </row>
    <row r="73" spans="1:27" ht="18" customHeight="1" x14ac:dyDescent="0.15">
      <c r="A73" s="3"/>
      <c r="B73" s="98"/>
      <c r="C73" s="99"/>
      <c r="D73" s="99"/>
      <c r="E73" s="99"/>
      <c r="F73" s="64"/>
      <c r="G73" s="64"/>
      <c r="H73" s="64"/>
      <c r="I73" s="64"/>
      <c r="J73" s="64"/>
      <c r="K73" s="98"/>
      <c r="L73" s="99"/>
      <c r="M73" s="99"/>
      <c r="N73" s="99"/>
      <c r="O73" s="99"/>
      <c r="P73" s="100"/>
      <c r="Q73" s="64"/>
      <c r="R73" s="64"/>
      <c r="S73" s="64"/>
      <c r="T73" s="64"/>
      <c r="U73" s="64"/>
    </row>
    <row r="74" spans="1:27" ht="18" customHeight="1" x14ac:dyDescent="0.15">
      <c r="A74" s="3"/>
      <c r="B74" s="98"/>
      <c r="C74" s="99"/>
      <c r="D74" s="99"/>
      <c r="E74" s="99"/>
      <c r="F74" s="64"/>
      <c r="G74" s="64"/>
      <c r="H74" s="64"/>
      <c r="I74" s="64"/>
      <c r="J74" s="64"/>
      <c r="K74" s="98"/>
      <c r="L74" s="99"/>
      <c r="M74" s="99"/>
      <c r="N74" s="99"/>
      <c r="O74" s="99"/>
      <c r="P74" s="100"/>
      <c r="Q74" s="64"/>
      <c r="R74" s="64"/>
      <c r="S74" s="64"/>
      <c r="T74" s="64"/>
      <c r="U74" s="64"/>
    </row>
    <row r="75" spans="1:27" ht="18" customHeight="1" x14ac:dyDescent="0.15">
      <c r="A75" s="3"/>
      <c r="B75" s="98"/>
      <c r="C75" s="99"/>
      <c r="D75" s="99"/>
      <c r="E75" s="99"/>
      <c r="F75" s="64"/>
      <c r="G75" s="64"/>
      <c r="H75" s="64"/>
      <c r="I75" s="64"/>
      <c r="J75" s="64"/>
      <c r="K75" s="98"/>
      <c r="L75" s="99"/>
      <c r="M75" s="99"/>
      <c r="N75" s="99"/>
      <c r="O75" s="99"/>
      <c r="P75" s="100"/>
      <c r="Q75" s="64"/>
      <c r="R75" s="64"/>
      <c r="S75" s="64"/>
      <c r="T75" s="64"/>
      <c r="U75" s="64"/>
    </row>
    <row r="76" spans="1:27" ht="18" customHeight="1" x14ac:dyDescent="0.15">
      <c r="A76" s="3"/>
      <c r="B76" s="98"/>
      <c r="C76" s="99"/>
      <c r="D76" s="99"/>
      <c r="E76" s="99"/>
      <c r="F76" s="64"/>
      <c r="G76" s="64"/>
      <c r="H76" s="64"/>
      <c r="I76" s="64"/>
      <c r="J76" s="64"/>
      <c r="K76" s="98"/>
      <c r="L76" s="99"/>
      <c r="M76" s="99"/>
      <c r="N76" s="99"/>
      <c r="O76" s="99"/>
      <c r="P76" s="100"/>
      <c r="Q76" s="64"/>
      <c r="R76" s="64"/>
      <c r="S76" s="64"/>
      <c r="T76" s="64"/>
      <c r="U76" s="64"/>
    </row>
    <row r="77" spans="1:27" ht="18" customHeight="1" x14ac:dyDescent="0.15">
      <c r="A77" s="3"/>
      <c r="B77" s="101"/>
      <c r="C77" s="102"/>
      <c r="D77" s="102"/>
      <c r="E77" s="102"/>
      <c r="F77" s="65"/>
      <c r="G77" s="65"/>
      <c r="H77" s="66"/>
      <c r="I77" s="66"/>
      <c r="J77" s="66"/>
      <c r="K77" s="101"/>
      <c r="L77" s="102"/>
      <c r="M77" s="102"/>
      <c r="N77" s="102"/>
      <c r="O77" s="102"/>
      <c r="P77" s="103"/>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89" t="s">
        <v>48</v>
      </c>
      <c r="C80" s="90"/>
      <c r="D80" s="90"/>
      <c r="E80" s="90"/>
      <c r="F80" s="91"/>
      <c r="G80" s="89" t="s">
        <v>74</v>
      </c>
      <c r="H80" s="90"/>
      <c r="I80" s="90"/>
      <c r="J80" s="91"/>
      <c r="K80" s="136" t="s">
        <v>48</v>
      </c>
      <c r="L80" s="137"/>
      <c r="M80" s="137"/>
      <c r="N80" s="137"/>
      <c r="O80" s="137"/>
      <c r="P80" s="137"/>
      <c r="Q80" s="138"/>
      <c r="R80" s="89" t="s">
        <v>74</v>
      </c>
      <c r="S80" s="90"/>
      <c r="T80" s="90"/>
      <c r="U80" s="91"/>
      <c r="AA80" s="1" t="s">
        <v>138</v>
      </c>
    </row>
    <row r="81" spans="1:27" ht="18" customHeight="1" x14ac:dyDescent="0.15">
      <c r="A81" s="3"/>
      <c r="B81" s="104" t="s">
        <v>147</v>
      </c>
      <c r="C81" s="105"/>
      <c r="D81" s="105"/>
      <c r="E81" s="105"/>
      <c r="F81" s="106"/>
      <c r="G81" s="139" t="s">
        <v>150</v>
      </c>
      <c r="H81" s="140"/>
      <c r="I81" s="140"/>
      <c r="J81" s="141"/>
      <c r="K81" s="104"/>
      <c r="L81" s="105"/>
      <c r="M81" s="105"/>
      <c r="N81" s="105"/>
      <c r="O81" s="105"/>
      <c r="P81" s="105"/>
      <c r="Q81" s="106"/>
      <c r="R81" s="139"/>
      <c r="S81" s="140"/>
      <c r="T81" s="140"/>
      <c r="U81" s="141"/>
      <c r="AA81" s="1" t="s">
        <v>131</v>
      </c>
    </row>
    <row r="82" spans="1:27" ht="18" customHeight="1" x14ac:dyDescent="0.15">
      <c r="A82" s="3"/>
      <c r="B82" s="98"/>
      <c r="C82" s="99"/>
      <c r="D82" s="99"/>
      <c r="E82" s="99"/>
      <c r="F82" s="100"/>
      <c r="G82" s="131"/>
      <c r="H82" s="132"/>
      <c r="I82" s="132"/>
      <c r="J82" s="133"/>
      <c r="K82" s="98"/>
      <c r="L82" s="99"/>
      <c r="M82" s="99"/>
      <c r="N82" s="99"/>
      <c r="O82" s="99"/>
      <c r="P82" s="99"/>
      <c r="Q82" s="100"/>
      <c r="R82" s="131"/>
      <c r="S82" s="132"/>
      <c r="T82" s="132"/>
      <c r="U82" s="133"/>
      <c r="AA82" s="1" t="s">
        <v>132</v>
      </c>
    </row>
    <row r="83" spans="1:27" ht="18" customHeight="1" x14ac:dyDescent="0.15">
      <c r="A83" s="3"/>
      <c r="B83" s="98"/>
      <c r="C83" s="99"/>
      <c r="D83" s="99"/>
      <c r="E83" s="99"/>
      <c r="F83" s="100"/>
      <c r="G83" s="131"/>
      <c r="H83" s="132"/>
      <c r="I83" s="132"/>
      <c r="J83" s="133"/>
      <c r="K83" s="98"/>
      <c r="L83" s="99"/>
      <c r="M83" s="99"/>
      <c r="N83" s="99"/>
      <c r="O83" s="99"/>
      <c r="P83" s="99"/>
      <c r="Q83" s="100"/>
      <c r="R83" s="131"/>
      <c r="S83" s="132"/>
      <c r="T83" s="132"/>
      <c r="U83" s="133"/>
      <c r="AA83" s="1" t="s">
        <v>133</v>
      </c>
    </row>
    <row r="84" spans="1:27" ht="18" customHeight="1" x14ac:dyDescent="0.15">
      <c r="A84" s="3"/>
      <c r="B84" s="98"/>
      <c r="C84" s="99"/>
      <c r="D84" s="99"/>
      <c r="E84" s="99"/>
      <c r="F84" s="100"/>
      <c r="G84" s="131"/>
      <c r="H84" s="132"/>
      <c r="I84" s="132"/>
      <c r="J84" s="133"/>
      <c r="K84" s="98"/>
      <c r="L84" s="99"/>
      <c r="M84" s="99"/>
      <c r="N84" s="99"/>
      <c r="O84" s="99"/>
      <c r="P84" s="99"/>
      <c r="Q84" s="100"/>
      <c r="R84" s="131"/>
      <c r="S84" s="132"/>
      <c r="T84" s="132"/>
      <c r="U84" s="133"/>
      <c r="AA84" s="1" t="s">
        <v>139</v>
      </c>
    </row>
    <row r="85" spans="1:27" ht="18" customHeight="1" x14ac:dyDescent="0.15">
      <c r="A85" s="3"/>
      <c r="B85" s="98"/>
      <c r="C85" s="99"/>
      <c r="D85" s="99"/>
      <c r="E85" s="99"/>
      <c r="F85" s="100"/>
      <c r="G85" s="131"/>
      <c r="H85" s="132"/>
      <c r="I85" s="132"/>
      <c r="J85" s="133"/>
      <c r="K85" s="98"/>
      <c r="L85" s="99"/>
      <c r="M85" s="99"/>
      <c r="N85" s="99"/>
      <c r="O85" s="99"/>
      <c r="P85" s="99"/>
      <c r="Q85" s="100"/>
      <c r="R85" s="131"/>
      <c r="S85" s="132"/>
      <c r="T85" s="132"/>
      <c r="U85" s="133"/>
      <c r="AA85" s="1" t="s">
        <v>140</v>
      </c>
    </row>
    <row r="86" spans="1:27" ht="18" customHeight="1" x14ac:dyDescent="0.15">
      <c r="A86" s="3"/>
      <c r="B86" s="98"/>
      <c r="C86" s="99"/>
      <c r="D86" s="99"/>
      <c r="E86" s="99"/>
      <c r="F86" s="100"/>
      <c r="G86" s="131"/>
      <c r="H86" s="132"/>
      <c r="I86" s="132"/>
      <c r="J86" s="133"/>
      <c r="K86" s="98"/>
      <c r="L86" s="99"/>
      <c r="M86" s="99"/>
      <c r="N86" s="99"/>
      <c r="O86" s="99"/>
      <c r="P86" s="99"/>
      <c r="Q86" s="100"/>
      <c r="R86" s="131"/>
      <c r="S86" s="132"/>
      <c r="T86" s="132"/>
      <c r="U86" s="133"/>
      <c r="AA86" s="1" t="s">
        <v>134</v>
      </c>
    </row>
    <row r="87" spans="1:27" ht="18" customHeight="1" x14ac:dyDescent="0.15">
      <c r="A87" s="3"/>
      <c r="B87" s="101"/>
      <c r="C87" s="102"/>
      <c r="D87" s="102"/>
      <c r="E87" s="102"/>
      <c r="F87" s="103"/>
      <c r="G87" s="128"/>
      <c r="H87" s="129"/>
      <c r="I87" s="129"/>
      <c r="J87" s="130"/>
      <c r="K87" s="101"/>
      <c r="L87" s="102"/>
      <c r="M87" s="102"/>
      <c r="N87" s="102"/>
      <c r="O87" s="102"/>
      <c r="P87" s="102"/>
      <c r="Q87" s="103"/>
      <c r="R87" s="128"/>
      <c r="S87" s="129"/>
      <c r="T87" s="129"/>
      <c r="U87" s="130"/>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34" t="s">
        <v>49</v>
      </c>
      <c r="C90" s="135"/>
      <c r="D90" s="89" t="s">
        <v>50</v>
      </c>
      <c r="E90" s="90"/>
      <c r="F90" s="90"/>
      <c r="G90" s="90"/>
      <c r="H90" s="90"/>
      <c r="I90" s="90"/>
      <c r="J90" s="90"/>
      <c r="K90" s="90"/>
      <c r="L90" s="90"/>
      <c r="M90" s="90"/>
      <c r="N90" s="90"/>
      <c r="O90" s="90"/>
      <c r="P90" s="90"/>
      <c r="Q90" s="90"/>
      <c r="R90" s="90"/>
      <c r="S90" s="90"/>
      <c r="T90" s="90"/>
      <c r="U90" s="91"/>
    </row>
    <row r="91" spans="1:27" ht="97.5" customHeight="1" x14ac:dyDescent="0.15">
      <c r="B91" s="108" t="s">
        <v>56</v>
      </c>
      <c r="C91" s="68" t="s">
        <v>51</v>
      </c>
      <c r="D91" s="234" t="s">
        <v>178</v>
      </c>
      <c r="E91" s="235"/>
      <c r="F91" s="235"/>
      <c r="G91" s="235"/>
      <c r="H91" s="235"/>
      <c r="I91" s="235"/>
      <c r="J91" s="235"/>
      <c r="K91" s="235"/>
      <c r="L91" s="235"/>
      <c r="M91" s="235"/>
      <c r="N91" s="235"/>
      <c r="O91" s="235"/>
      <c r="P91" s="235"/>
      <c r="Q91" s="235"/>
      <c r="R91" s="235"/>
      <c r="S91" s="235"/>
      <c r="T91" s="235"/>
      <c r="U91" s="236"/>
    </row>
    <row r="92" spans="1:27" ht="97.5" customHeight="1" x14ac:dyDescent="0.15">
      <c r="B92" s="110"/>
      <c r="C92" s="69" t="s">
        <v>70</v>
      </c>
      <c r="D92" s="237" t="s">
        <v>179</v>
      </c>
      <c r="E92" s="238"/>
      <c r="F92" s="238"/>
      <c r="G92" s="238"/>
      <c r="H92" s="238"/>
      <c r="I92" s="238"/>
      <c r="J92" s="238"/>
      <c r="K92" s="238"/>
      <c r="L92" s="238"/>
      <c r="M92" s="238"/>
      <c r="N92" s="238"/>
      <c r="O92" s="238"/>
      <c r="P92" s="238"/>
      <c r="Q92" s="238"/>
      <c r="R92" s="238"/>
      <c r="S92" s="238"/>
      <c r="T92" s="238"/>
      <c r="U92" s="239"/>
    </row>
    <row r="93" spans="1:27" ht="97.5" customHeight="1" x14ac:dyDescent="0.15">
      <c r="B93" s="108" t="s">
        <v>57</v>
      </c>
      <c r="C93" s="70" t="s">
        <v>64</v>
      </c>
      <c r="D93" s="240" t="s">
        <v>180</v>
      </c>
      <c r="E93" s="235"/>
      <c r="F93" s="235"/>
      <c r="G93" s="235"/>
      <c r="H93" s="235"/>
      <c r="I93" s="235"/>
      <c r="J93" s="235"/>
      <c r="K93" s="235"/>
      <c r="L93" s="235"/>
      <c r="M93" s="235"/>
      <c r="N93" s="235"/>
      <c r="O93" s="235"/>
      <c r="P93" s="235"/>
      <c r="Q93" s="235"/>
      <c r="R93" s="235"/>
      <c r="S93" s="235"/>
      <c r="T93" s="235"/>
      <c r="U93" s="236"/>
    </row>
    <row r="94" spans="1:27" ht="97.5" customHeight="1" x14ac:dyDescent="0.15">
      <c r="B94" s="109"/>
      <c r="C94" s="71" t="s">
        <v>65</v>
      </c>
      <c r="D94" s="241" t="s">
        <v>181</v>
      </c>
      <c r="E94" s="238"/>
      <c r="F94" s="238"/>
      <c r="G94" s="238"/>
      <c r="H94" s="238"/>
      <c r="I94" s="238"/>
      <c r="J94" s="238"/>
      <c r="K94" s="238"/>
      <c r="L94" s="238"/>
      <c r="M94" s="238"/>
      <c r="N94" s="238"/>
      <c r="O94" s="238"/>
      <c r="P94" s="238"/>
      <c r="Q94" s="238"/>
      <c r="R94" s="238"/>
      <c r="S94" s="238"/>
      <c r="T94" s="238"/>
      <c r="U94" s="239"/>
    </row>
    <row r="95" spans="1:27" ht="97.5" customHeight="1" x14ac:dyDescent="0.15">
      <c r="B95" s="108" t="s">
        <v>58</v>
      </c>
      <c r="C95" s="70" t="s">
        <v>66</v>
      </c>
      <c r="D95" s="234" t="s">
        <v>182</v>
      </c>
      <c r="E95" s="235"/>
      <c r="F95" s="235"/>
      <c r="G95" s="235"/>
      <c r="H95" s="235"/>
      <c r="I95" s="235"/>
      <c r="J95" s="235"/>
      <c r="K95" s="235"/>
      <c r="L95" s="235"/>
      <c r="M95" s="235"/>
      <c r="N95" s="235"/>
      <c r="O95" s="235"/>
      <c r="P95" s="235"/>
      <c r="Q95" s="235"/>
      <c r="R95" s="235"/>
      <c r="S95" s="235"/>
      <c r="T95" s="235"/>
      <c r="U95" s="236"/>
    </row>
    <row r="96" spans="1:27" ht="97.5" customHeight="1" x14ac:dyDescent="0.15">
      <c r="B96" s="109"/>
      <c r="C96" s="72" t="s">
        <v>67</v>
      </c>
      <c r="D96" s="237" t="s">
        <v>183</v>
      </c>
      <c r="E96" s="238"/>
      <c r="F96" s="238"/>
      <c r="G96" s="238"/>
      <c r="H96" s="238"/>
      <c r="I96" s="238"/>
      <c r="J96" s="238"/>
      <c r="K96" s="238"/>
      <c r="L96" s="238"/>
      <c r="M96" s="238"/>
      <c r="N96" s="238"/>
      <c r="O96" s="238"/>
      <c r="P96" s="238"/>
      <c r="Q96" s="238"/>
      <c r="R96" s="238"/>
      <c r="S96" s="238"/>
      <c r="T96" s="238"/>
      <c r="U96" s="239"/>
    </row>
    <row r="97" spans="1:21" ht="97.5" customHeight="1" x14ac:dyDescent="0.15">
      <c r="B97" s="108" t="s">
        <v>71</v>
      </c>
      <c r="C97" s="68" t="s">
        <v>53</v>
      </c>
      <c r="D97" s="240" t="s">
        <v>184</v>
      </c>
      <c r="E97" s="235"/>
      <c r="F97" s="235"/>
      <c r="G97" s="235"/>
      <c r="H97" s="235"/>
      <c r="I97" s="235"/>
      <c r="J97" s="235"/>
      <c r="K97" s="235"/>
      <c r="L97" s="235"/>
      <c r="M97" s="235"/>
      <c r="N97" s="235"/>
      <c r="O97" s="235"/>
      <c r="P97" s="235"/>
      <c r="Q97" s="235"/>
      <c r="R97" s="235"/>
      <c r="S97" s="235"/>
      <c r="T97" s="235"/>
      <c r="U97" s="236"/>
    </row>
    <row r="98" spans="1:21" ht="97.5" customHeight="1" x14ac:dyDescent="0.15">
      <c r="B98" s="109"/>
      <c r="C98" s="71" t="s">
        <v>55</v>
      </c>
      <c r="D98" s="237" t="s">
        <v>185</v>
      </c>
      <c r="E98" s="238"/>
      <c r="F98" s="238"/>
      <c r="G98" s="238"/>
      <c r="H98" s="238"/>
      <c r="I98" s="238"/>
      <c r="J98" s="238"/>
      <c r="K98" s="238"/>
      <c r="L98" s="238"/>
      <c r="M98" s="238"/>
      <c r="N98" s="238"/>
      <c r="O98" s="238"/>
      <c r="P98" s="238"/>
      <c r="Q98" s="238"/>
      <c r="R98" s="238"/>
      <c r="S98" s="238"/>
      <c r="T98" s="238"/>
      <c r="U98" s="239"/>
    </row>
    <row r="99" spans="1:21" ht="97.5" customHeight="1" x14ac:dyDescent="0.15">
      <c r="B99" s="108" t="s">
        <v>72</v>
      </c>
      <c r="C99" s="70" t="s">
        <v>52</v>
      </c>
      <c r="D99" s="234" t="s">
        <v>186</v>
      </c>
      <c r="E99" s="235"/>
      <c r="F99" s="235"/>
      <c r="G99" s="235"/>
      <c r="H99" s="235"/>
      <c r="I99" s="235"/>
      <c r="J99" s="235"/>
      <c r="K99" s="235"/>
      <c r="L99" s="235"/>
      <c r="M99" s="235"/>
      <c r="N99" s="235"/>
      <c r="O99" s="235"/>
      <c r="P99" s="235"/>
      <c r="Q99" s="235"/>
      <c r="R99" s="235"/>
      <c r="S99" s="235"/>
      <c r="T99" s="235"/>
      <c r="U99" s="236"/>
    </row>
    <row r="100" spans="1:21" ht="97.5" customHeight="1" x14ac:dyDescent="0.15">
      <c r="B100" s="110"/>
      <c r="C100" s="73" t="s">
        <v>68</v>
      </c>
      <c r="D100" s="242" t="s">
        <v>187</v>
      </c>
      <c r="E100" s="243"/>
      <c r="F100" s="243"/>
      <c r="G100" s="243"/>
      <c r="H100" s="243"/>
      <c r="I100" s="243"/>
      <c r="J100" s="243"/>
      <c r="K100" s="243"/>
      <c r="L100" s="243"/>
      <c r="M100" s="243"/>
      <c r="N100" s="243"/>
      <c r="O100" s="243"/>
      <c r="P100" s="243"/>
      <c r="Q100" s="243"/>
      <c r="R100" s="243"/>
      <c r="S100" s="243"/>
      <c r="T100" s="243"/>
      <c r="U100" s="244"/>
    </row>
    <row r="101" spans="1:21" ht="97.5" customHeight="1" x14ac:dyDescent="0.15">
      <c r="B101" s="109"/>
      <c r="C101" s="72" t="s">
        <v>69</v>
      </c>
      <c r="D101" s="237" t="s">
        <v>188</v>
      </c>
      <c r="E101" s="238"/>
      <c r="F101" s="238"/>
      <c r="G101" s="238"/>
      <c r="H101" s="238"/>
      <c r="I101" s="238"/>
      <c r="J101" s="238"/>
      <c r="K101" s="238"/>
      <c r="L101" s="238"/>
      <c r="M101" s="238"/>
      <c r="N101" s="238"/>
      <c r="O101" s="238"/>
      <c r="P101" s="238"/>
      <c r="Q101" s="238"/>
      <c r="R101" s="238"/>
      <c r="S101" s="238"/>
      <c r="T101" s="238"/>
      <c r="U101" s="239"/>
    </row>
    <row r="102" spans="1:21" ht="6" customHeight="1" x14ac:dyDescent="0.15"/>
    <row r="103" spans="1:21" ht="18.75" customHeight="1" x14ac:dyDescent="0.15">
      <c r="A103" s="1" t="s">
        <v>103</v>
      </c>
    </row>
    <row r="104" spans="1:21" ht="81.75" customHeight="1" x14ac:dyDescent="0.15">
      <c r="B104" s="125" t="s">
        <v>177</v>
      </c>
      <c r="C104" s="126"/>
      <c r="D104" s="126"/>
      <c r="E104" s="126"/>
      <c r="F104" s="126"/>
      <c r="G104" s="126"/>
      <c r="H104" s="126"/>
      <c r="I104" s="126"/>
      <c r="J104" s="126"/>
      <c r="K104" s="126"/>
      <c r="L104" s="126"/>
      <c r="M104" s="126"/>
      <c r="N104" s="126"/>
      <c r="O104" s="126"/>
      <c r="P104" s="126"/>
      <c r="Q104" s="126"/>
      <c r="R104" s="126"/>
      <c r="S104" s="126"/>
      <c r="T104" s="126"/>
      <c r="U104" s="127"/>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R71:U77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62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43" t="str">
        <f>'様式１　プログラムを構成する授業科目'!C2</f>
        <v>明治薬科大学</v>
      </c>
      <c r="R2" s="143"/>
      <c r="S2" s="143"/>
    </row>
    <row r="3" spans="1:21" ht="18" customHeight="1" x14ac:dyDescent="0.15">
      <c r="A3" s="115" t="s">
        <v>142</v>
      </c>
      <c r="B3" s="115"/>
      <c r="C3" s="115"/>
      <c r="D3" s="115"/>
      <c r="E3" s="115"/>
      <c r="F3" s="115"/>
      <c r="G3" s="115"/>
      <c r="H3" s="115"/>
      <c r="I3" s="115"/>
      <c r="J3" s="115"/>
      <c r="K3" s="115"/>
      <c r="L3" s="115"/>
      <c r="M3" s="115"/>
      <c r="N3" s="115"/>
      <c r="O3" s="115"/>
      <c r="P3" s="115"/>
      <c r="Q3" s="115"/>
      <c r="R3" s="115"/>
      <c r="S3" s="115"/>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44" t="s">
        <v>151</v>
      </c>
      <c r="D5" s="145"/>
      <c r="E5" s="58" t="s">
        <v>125</v>
      </c>
      <c r="F5" s="56"/>
      <c r="G5" s="56"/>
      <c r="H5" s="56"/>
      <c r="I5" s="56"/>
      <c r="J5" s="56"/>
      <c r="K5" s="56"/>
      <c r="L5" s="56"/>
      <c r="M5" s="56"/>
      <c r="N5" s="56"/>
      <c r="O5" s="56"/>
      <c r="P5" s="56"/>
      <c r="Q5" s="56"/>
      <c r="R5" s="55"/>
      <c r="S5" s="55"/>
    </row>
    <row r="6" spans="1:21" ht="7.3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786</v>
      </c>
      <c r="G7" s="58" t="s">
        <v>111</v>
      </c>
      <c r="H7" s="56" t="s">
        <v>112</v>
      </c>
      <c r="I7" s="59">
        <v>1478</v>
      </c>
      <c r="J7" s="58" t="s">
        <v>111</v>
      </c>
      <c r="K7" s="57" t="s">
        <v>113</v>
      </c>
      <c r="L7" s="56" t="s">
        <v>114</v>
      </c>
      <c r="M7" s="59">
        <f>F7+I7</f>
        <v>2264</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46" t="s">
        <v>43</v>
      </c>
      <c r="C11" s="156" t="s">
        <v>78</v>
      </c>
      <c r="D11" s="148" t="s">
        <v>45</v>
      </c>
      <c r="E11" s="150" t="s">
        <v>38</v>
      </c>
      <c r="F11" s="142" t="s">
        <v>126</v>
      </c>
      <c r="G11" s="142"/>
      <c r="H11" s="142" t="s">
        <v>106</v>
      </c>
      <c r="I11" s="142"/>
      <c r="J11" s="142" t="s">
        <v>77</v>
      </c>
      <c r="K11" s="142"/>
      <c r="L11" s="142" t="s">
        <v>46</v>
      </c>
      <c r="M11" s="142"/>
      <c r="N11" s="142" t="s">
        <v>47</v>
      </c>
      <c r="O11" s="142"/>
      <c r="P11" s="142" t="s">
        <v>127</v>
      </c>
      <c r="Q11" s="142"/>
      <c r="R11" s="152" t="s">
        <v>35</v>
      </c>
      <c r="S11" s="154" t="s">
        <v>32</v>
      </c>
      <c r="U11" s="2"/>
    </row>
    <row r="12" spans="1:21" ht="17.100000000000001" customHeight="1" x14ac:dyDescent="0.15">
      <c r="B12" s="147"/>
      <c r="C12" s="157"/>
      <c r="D12" s="149"/>
      <c r="E12" s="151"/>
      <c r="F12" s="79" t="s">
        <v>86</v>
      </c>
      <c r="G12" s="79" t="s">
        <v>29</v>
      </c>
      <c r="H12" s="79" t="s">
        <v>86</v>
      </c>
      <c r="I12" s="79" t="s">
        <v>29</v>
      </c>
      <c r="J12" s="79" t="s">
        <v>86</v>
      </c>
      <c r="K12" s="79" t="s">
        <v>29</v>
      </c>
      <c r="L12" s="79" t="s">
        <v>86</v>
      </c>
      <c r="M12" s="79" t="s">
        <v>29</v>
      </c>
      <c r="N12" s="79" t="s">
        <v>86</v>
      </c>
      <c r="O12" s="79" t="s">
        <v>29</v>
      </c>
      <c r="P12" s="79" t="s">
        <v>86</v>
      </c>
      <c r="Q12" s="80" t="s">
        <v>29</v>
      </c>
      <c r="R12" s="153"/>
      <c r="S12" s="155"/>
      <c r="U12" s="2"/>
    </row>
    <row r="13" spans="1:21" ht="18" customHeight="1" x14ac:dyDescent="0.15">
      <c r="A13" s="6"/>
      <c r="B13" s="48" t="s">
        <v>152</v>
      </c>
      <c r="C13" s="36">
        <v>2004</v>
      </c>
      <c r="D13" s="37">
        <v>360</v>
      </c>
      <c r="E13" s="38">
        <v>1920</v>
      </c>
      <c r="F13" s="38">
        <v>362</v>
      </c>
      <c r="G13" s="38">
        <v>360</v>
      </c>
      <c r="H13" s="38"/>
      <c r="I13" s="38"/>
      <c r="J13" s="38"/>
      <c r="K13" s="38"/>
      <c r="L13" s="38"/>
      <c r="M13" s="38"/>
      <c r="N13" s="38"/>
      <c r="O13" s="38"/>
      <c r="P13" s="38"/>
      <c r="Q13" s="49"/>
      <c r="R13" s="37">
        <f t="shared" ref="R13:R32" si="0">F13+H13+J13+L13+N13+P13</f>
        <v>362</v>
      </c>
      <c r="S13" s="50">
        <f t="shared" ref="S13:S33" si="1">R13/E13</f>
        <v>0.18854166666666666</v>
      </c>
    </row>
    <row r="14" spans="1:21" ht="18" customHeight="1" x14ac:dyDescent="0.15">
      <c r="A14" s="6"/>
      <c r="B14" s="11" t="s">
        <v>153</v>
      </c>
      <c r="C14" s="39">
        <v>260</v>
      </c>
      <c r="D14" s="40">
        <v>60</v>
      </c>
      <c r="E14" s="41">
        <v>240</v>
      </c>
      <c r="F14" s="42">
        <v>61</v>
      </c>
      <c r="G14" s="42">
        <v>58</v>
      </c>
      <c r="H14" s="42"/>
      <c r="I14" s="42"/>
      <c r="J14" s="42"/>
      <c r="K14" s="42"/>
      <c r="L14" s="42"/>
      <c r="M14" s="42"/>
      <c r="N14" s="42"/>
      <c r="O14" s="42"/>
      <c r="P14" s="42"/>
      <c r="Q14" s="39"/>
      <c r="R14" s="40">
        <f t="shared" si="0"/>
        <v>61</v>
      </c>
      <c r="S14" s="16">
        <f t="shared" si="1"/>
        <v>0.25416666666666665</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2264</v>
      </c>
      <c r="D33" s="46">
        <f t="shared" ref="D33:R33" si="3">SUM(D13:D32)</f>
        <v>420</v>
      </c>
      <c r="E33" s="47">
        <f t="shared" si="3"/>
        <v>2160</v>
      </c>
      <c r="F33" s="47">
        <f t="shared" si="3"/>
        <v>423</v>
      </c>
      <c r="G33" s="47">
        <f t="shared" ref="G33:H33" si="4">SUM(G13:G32)</f>
        <v>418</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423</v>
      </c>
      <c r="S33" s="9">
        <f t="shared" si="1"/>
        <v>0.19583333333333333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62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89" t="str">
        <f>'様式１　プログラムを構成する授業科目'!C2</f>
        <v>明治薬科大学</v>
      </c>
      <c r="I2" s="91"/>
    </row>
    <row r="3" spans="1:9" ht="18.75" customHeight="1" x14ac:dyDescent="0.15">
      <c r="G3" s="18"/>
      <c r="H3" s="10"/>
      <c r="I3" s="10"/>
    </row>
    <row r="4" spans="1:9" ht="18.600000000000001" customHeight="1" x14ac:dyDescent="0.15">
      <c r="A4" s="115" t="s">
        <v>36</v>
      </c>
      <c r="B4" s="115"/>
      <c r="C4" s="115"/>
      <c r="D4" s="115"/>
      <c r="E4" s="115"/>
      <c r="F4" s="115"/>
      <c r="G4" s="115"/>
      <c r="H4" s="115"/>
      <c r="I4" s="115"/>
    </row>
    <row r="5" spans="1:9" ht="13.35" customHeight="1" x14ac:dyDescent="0.15">
      <c r="B5" s="3"/>
      <c r="C5" s="3"/>
      <c r="D5" s="3"/>
      <c r="E5" s="3"/>
      <c r="F5" s="3"/>
      <c r="G5" s="3"/>
      <c r="H5" s="3"/>
      <c r="I5" s="3"/>
    </row>
    <row r="6" spans="1:9" ht="18" customHeight="1" x14ac:dyDescent="0.15">
      <c r="A6" s="1" t="s">
        <v>0</v>
      </c>
      <c r="B6" s="10" t="s">
        <v>81</v>
      </c>
      <c r="C6" s="205" t="s">
        <v>82</v>
      </c>
      <c r="D6" s="205"/>
      <c r="E6" s="17">
        <v>98</v>
      </c>
      <c r="F6" s="3" t="s">
        <v>1</v>
      </c>
      <c r="G6" s="3" t="s">
        <v>2</v>
      </c>
      <c r="H6" s="17">
        <v>58</v>
      </c>
      <c r="I6" s="10" t="s">
        <v>1</v>
      </c>
    </row>
    <row r="7" spans="1:9" ht="12" customHeight="1" x14ac:dyDescent="0.15">
      <c r="C7" s="2"/>
      <c r="D7" s="2"/>
      <c r="E7" s="2"/>
      <c r="F7" s="2"/>
      <c r="G7" s="2"/>
      <c r="H7" s="2"/>
      <c r="I7" s="21"/>
    </row>
    <row r="8" spans="1:9" ht="18" customHeight="1" x14ac:dyDescent="0.15">
      <c r="A8" s="1" t="s">
        <v>3</v>
      </c>
      <c r="B8" s="10" t="s">
        <v>83</v>
      </c>
      <c r="E8" s="3"/>
      <c r="F8" s="3"/>
      <c r="G8" s="3"/>
      <c r="H8" s="17">
        <v>11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00" t="s">
        <v>155</v>
      </c>
      <c r="D11" s="203"/>
      <c r="E11" s="204"/>
      <c r="F11" s="21"/>
      <c r="G11" s="18" t="s">
        <v>10</v>
      </c>
      <c r="H11" s="200" t="s">
        <v>156</v>
      </c>
      <c r="I11" s="204"/>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0" t="s">
        <v>176</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18" t="s">
        <v>41</v>
      </c>
      <c r="C16" s="200" t="s">
        <v>157</v>
      </c>
      <c r="D16" s="203"/>
      <c r="E16" s="204"/>
      <c r="F16" s="21"/>
      <c r="G16" s="18" t="s">
        <v>10</v>
      </c>
      <c r="H16" s="200" t="s">
        <v>156</v>
      </c>
      <c r="I16" s="204"/>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86" t="s">
        <v>158</v>
      </c>
      <c r="C19" s="187"/>
      <c r="D19" s="187"/>
      <c r="E19" s="187"/>
      <c r="F19" s="187"/>
      <c r="G19" s="187"/>
      <c r="H19" s="187"/>
      <c r="I19" s="18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89" t="s">
        <v>159</v>
      </c>
      <c r="C22" s="190"/>
      <c r="D22" s="190"/>
      <c r="E22" s="190"/>
      <c r="F22" s="190"/>
      <c r="G22" s="190"/>
      <c r="H22" s="190"/>
      <c r="I22" s="191"/>
    </row>
    <row r="23" spans="1:9" ht="18.75" customHeight="1" x14ac:dyDescent="0.15">
      <c r="A23" s="14"/>
      <c r="B23" s="192"/>
      <c r="C23" s="193"/>
      <c r="D23" s="193"/>
      <c r="E23" s="193"/>
      <c r="F23" s="193"/>
      <c r="G23" s="193"/>
      <c r="H23" s="193"/>
      <c r="I23" s="194"/>
    </row>
    <row r="24" spans="1:9" ht="18.75" customHeight="1" x14ac:dyDescent="0.15">
      <c r="A24" s="14"/>
      <c r="B24" s="192"/>
      <c r="C24" s="193"/>
      <c r="D24" s="193"/>
      <c r="E24" s="193"/>
      <c r="F24" s="193"/>
      <c r="G24" s="193"/>
      <c r="H24" s="193"/>
      <c r="I24" s="194"/>
    </row>
    <row r="25" spans="1:9" ht="18.75" customHeight="1" x14ac:dyDescent="0.15">
      <c r="A25" s="14"/>
      <c r="B25" s="192"/>
      <c r="C25" s="193"/>
      <c r="D25" s="193"/>
      <c r="E25" s="193"/>
      <c r="F25" s="193"/>
      <c r="G25" s="193"/>
      <c r="H25" s="193"/>
      <c r="I25" s="194"/>
    </row>
    <row r="26" spans="1:9" ht="18.75" customHeight="1" x14ac:dyDescent="0.15">
      <c r="A26" s="14"/>
      <c r="B26" s="192"/>
      <c r="C26" s="193"/>
      <c r="D26" s="193"/>
      <c r="E26" s="193"/>
      <c r="F26" s="193"/>
      <c r="G26" s="193"/>
      <c r="H26" s="193"/>
      <c r="I26" s="194"/>
    </row>
    <row r="27" spans="1:9" ht="18.75" customHeight="1" x14ac:dyDescent="0.15">
      <c r="A27" s="14"/>
      <c r="B27" s="192"/>
      <c r="C27" s="193"/>
      <c r="D27" s="193"/>
      <c r="E27" s="193"/>
      <c r="F27" s="193"/>
      <c r="G27" s="193"/>
      <c r="H27" s="193"/>
      <c r="I27" s="194"/>
    </row>
    <row r="28" spans="1:9" ht="18.75" customHeight="1" x14ac:dyDescent="0.15">
      <c r="A28" s="14"/>
      <c r="B28" s="192"/>
      <c r="C28" s="193"/>
      <c r="D28" s="193"/>
      <c r="E28" s="193"/>
      <c r="F28" s="193"/>
      <c r="G28" s="193"/>
      <c r="H28" s="193"/>
      <c r="I28" s="194"/>
    </row>
    <row r="29" spans="1:9" ht="18.75" customHeight="1" x14ac:dyDescent="0.15">
      <c r="A29" s="14"/>
      <c r="B29" s="192"/>
      <c r="C29" s="193"/>
      <c r="D29" s="193"/>
      <c r="E29" s="193"/>
      <c r="F29" s="193"/>
      <c r="G29" s="193"/>
      <c r="H29" s="193"/>
      <c r="I29" s="194"/>
    </row>
    <row r="30" spans="1:9" ht="18.75" customHeight="1" x14ac:dyDescent="0.15">
      <c r="A30" s="14"/>
      <c r="B30" s="195"/>
      <c r="C30" s="196"/>
      <c r="D30" s="196"/>
      <c r="E30" s="196"/>
      <c r="F30" s="196"/>
      <c r="G30" s="196"/>
      <c r="H30" s="196"/>
      <c r="I30" s="194"/>
    </row>
    <row r="31" spans="1:9" ht="18.75" customHeight="1" x14ac:dyDescent="0.15">
      <c r="A31" s="14"/>
      <c r="B31" s="195"/>
      <c r="C31" s="196"/>
      <c r="D31" s="196"/>
      <c r="E31" s="196"/>
      <c r="F31" s="196"/>
      <c r="G31" s="196"/>
      <c r="H31" s="196"/>
      <c r="I31" s="194"/>
    </row>
    <row r="32" spans="1:9" ht="18.75" customHeight="1" x14ac:dyDescent="0.15">
      <c r="A32" s="14"/>
      <c r="B32" s="197"/>
      <c r="C32" s="198"/>
      <c r="D32" s="198"/>
      <c r="E32" s="198"/>
      <c r="F32" s="198"/>
      <c r="G32" s="198"/>
      <c r="H32" s="198"/>
      <c r="I32" s="199"/>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9" t="s">
        <v>173</v>
      </c>
      <c r="C35" s="190"/>
      <c r="D35" s="190"/>
      <c r="E35" s="190"/>
      <c r="F35" s="190"/>
      <c r="G35" s="190"/>
      <c r="H35" s="190"/>
      <c r="I35" s="191"/>
    </row>
    <row r="36" spans="1:9" ht="18.75" customHeight="1" x14ac:dyDescent="0.15">
      <c r="A36" s="14"/>
      <c r="B36" s="195"/>
      <c r="C36" s="196"/>
      <c r="D36" s="196"/>
      <c r="E36" s="196"/>
      <c r="F36" s="196"/>
      <c r="G36" s="196"/>
      <c r="H36" s="196"/>
      <c r="I36" s="194"/>
    </row>
    <row r="37" spans="1:9" ht="18.75" customHeight="1" x14ac:dyDescent="0.15">
      <c r="A37" s="14"/>
      <c r="B37" s="195"/>
      <c r="C37" s="196"/>
      <c r="D37" s="196"/>
      <c r="E37" s="196"/>
      <c r="F37" s="196"/>
      <c r="G37" s="196"/>
      <c r="H37" s="196"/>
      <c r="I37" s="194"/>
    </row>
    <row r="38" spans="1:9" ht="18.75" customHeight="1" x14ac:dyDescent="0.15">
      <c r="A38" s="14"/>
      <c r="B38" s="195"/>
      <c r="C38" s="196"/>
      <c r="D38" s="196"/>
      <c r="E38" s="196"/>
      <c r="F38" s="196"/>
      <c r="G38" s="196"/>
      <c r="H38" s="196"/>
      <c r="I38" s="194"/>
    </row>
    <row r="39" spans="1:9" ht="18.75" customHeight="1" x14ac:dyDescent="0.15">
      <c r="A39" s="14"/>
      <c r="B39" s="195"/>
      <c r="C39" s="196"/>
      <c r="D39" s="196"/>
      <c r="E39" s="196"/>
      <c r="F39" s="196"/>
      <c r="G39" s="196"/>
      <c r="H39" s="196"/>
      <c r="I39" s="194"/>
    </row>
    <row r="40" spans="1:9" ht="18.75" customHeight="1" x14ac:dyDescent="0.15">
      <c r="A40" s="14"/>
      <c r="B40" s="195"/>
      <c r="C40" s="196"/>
      <c r="D40" s="196"/>
      <c r="E40" s="196"/>
      <c r="F40" s="196"/>
      <c r="G40" s="196"/>
      <c r="H40" s="196"/>
      <c r="I40" s="194"/>
    </row>
    <row r="41" spans="1:9" ht="18.75" customHeight="1" x14ac:dyDescent="0.15">
      <c r="A41" s="14"/>
      <c r="B41" s="195"/>
      <c r="C41" s="196"/>
      <c r="D41" s="196"/>
      <c r="E41" s="196"/>
      <c r="F41" s="196"/>
      <c r="G41" s="196"/>
      <c r="H41" s="196"/>
      <c r="I41" s="194"/>
    </row>
    <row r="42" spans="1:9" ht="18.75" customHeight="1" x14ac:dyDescent="0.15">
      <c r="A42" s="14"/>
      <c r="B42" s="195"/>
      <c r="C42" s="196"/>
      <c r="D42" s="196"/>
      <c r="E42" s="196"/>
      <c r="F42" s="196"/>
      <c r="G42" s="196"/>
      <c r="H42" s="196"/>
      <c r="I42" s="194"/>
    </row>
    <row r="43" spans="1:9" ht="18.75" customHeight="1" x14ac:dyDescent="0.15">
      <c r="A43" s="14"/>
      <c r="B43" s="195"/>
      <c r="C43" s="196"/>
      <c r="D43" s="196"/>
      <c r="E43" s="196"/>
      <c r="F43" s="196"/>
      <c r="G43" s="196"/>
      <c r="H43" s="196"/>
      <c r="I43" s="194"/>
    </row>
    <row r="44" spans="1:9" ht="18.75" customHeight="1" x14ac:dyDescent="0.15">
      <c r="A44" s="14"/>
      <c r="B44" s="195"/>
      <c r="C44" s="196"/>
      <c r="D44" s="196"/>
      <c r="E44" s="196"/>
      <c r="F44" s="196"/>
      <c r="G44" s="196"/>
      <c r="H44" s="196"/>
      <c r="I44" s="194"/>
    </row>
    <row r="45" spans="1:9" ht="18.75" customHeight="1" x14ac:dyDescent="0.15">
      <c r="A45" s="14"/>
      <c r="B45" s="195"/>
      <c r="C45" s="196"/>
      <c r="D45" s="196"/>
      <c r="E45" s="196"/>
      <c r="F45" s="196"/>
      <c r="G45" s="196"/>
      <c r="H45" s="196"/>
      <c r="I45" s="194"/>
    </row>
    <row r="46" spans="1:9" ht="18.75" customHeight="1" x14ac:dyDescent="0.15">
      <c r="A46" s="14"/>
      <c r="B46" s="197"/>
      <c r="C46" s="198"/>
      <c r="D46" s="198"/>
      <c r="E46" s="198"/>
      <c r="F46" s="198"/>
      <c r="G46" s="198"/>
      <c r="H46" s="198"/>
      <c r="I46" s="199"/>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175">
        <f>'様式２ 履修者等数の実績'!S33</f>
        <v>0.19583333333333333</v>
      </c>
      <c r="D49" s="175"/>
      <c r="E49" s="81" t="s">
        <v>60</v>
      </c>
      <c r="F49" s="175">
        <f>(720+120)/(1980+240)</f>
        <v>0.3783783783783784</v>
      </c>
      <c r="G49" s="175"/>
      <c r="H49" s="81" t="s">
        <v>80</v>
      </c>
      <c r="I49" s="22">
        <f>(1080+180)/(2040+240)</f>
        <v>0.55263157894736847</v>
      </c>
      <c r="J49" s="1"/>
      <c r="M49" s="1"/>
      <c r="N49" s="23"/>
    </row>
    <row r="50" spans="1:15" s="3" customFormat="1" ht="18.75" customHeight="1" x14ac:dyDescent="0.15">
      <c r="B50" s="82" t="s">
        <v>116</v>
      </c>
      <c r="C50" s="158">
        <f>(1440+240)/(2100+240)</f>
        <v>0.71794871794871795</v>
      </c>
      <c r="D50" s="158"/>
      <c r="E50" s="82" t="s">
        <v>130</v>
      </c>
      <c r="F50" s="158">
        <f>(1800+240)/(2100+240)</f>
        <v>0.87179487179487181</v>
      </c>
      <c r="G50" s="158"/>
      <c r="H50" s="82" t="s">
        <v>61</v>
      </c>
      <c r="I50" s="24">
        <f>'様式２ 履修者等数の実績'!E33</f>
        <v>2160</v>
      </c>
      <c r="J50" s="1"/>
      <c r="M50" s="1"/>
      <c r="N50" s="23"/>
    </row>
    <row r="51" spans="1:15" ht="18.75" customHeight="1" x14ac:dyDescent="0.15">
      <c r="A51" s="1"/>
      <c r="B51" s="207" t="s">
        <v>62</v>
      </c>
      <c r="C51" s="208"/>
      <c r="D51" s="208"/>
      <c r="E51" s="208"/>
      <c r="F51" s="208"/>
      <c r="G51" s="208"/>
      <c r="H51" s="208"/>
      <c r="I51" s="209"/>
      <c r="N51" s="23"/>
      <c r="O51" s="3"/>
    </row>
    <row r="52" spans="1:15" ht="18.75" customHeight="1" x14ac:dyDescent="0.15">
      <c r="A52" s="1"/>
      <c r="B52" s="176" t="s">
        <v>160</v>
      </c>
      <c r="C52" s="177"/>
      <c r="D52" s="177"/>
      <c r="E52" s="177"/>
      <c r="F52" s="177"/>
      <c r="G52" s="177"/>
      <c r="H52" s="177"/>
      <c r="I52" s="178"/>
      <c r="N52" s="23"/>
      <c r="O52" s="3"/>
    </row>
    <row r="53" spans="1:15" ht="18.75" customHeight="1" x14ac:dyDescent="0.15">
      <c r="A53" s="1"/>
      <c r="B53" s="179"/>
      <c r="C53" s="180"/>
      <c r="D53" s="180"/>
      <c r="E53" s="180"/>
      <c r="F53" s="180"/>
      <c r="G53" s="180"/>
      <c r="H53" s="180"/>
      <c r="I53" s="181"/>
      <c r="N53" s="23"/>
      <c r="O53" s="3"/>
    </row>
    <row r="54" spans="1:15" ht="18.75" customHeight="1" x14ac:dyDescent="0.15">
      <c r="A54" s="1"/>
      <c r="B54" s="179"/>
      <c r="C54" s="180"/>
      <c r="D54" s="180"/>
      <c r="E54" s="180"/>
      <c r="F54" s="180"/>
      <c r="G54" s="180"/>
      <c r="H54" s="180"/>
      <c r="I54" s="181"/>
    </row>
    <row r="55" spans="1:15" ht="18.75" customHeight="1" x14ac:dyDescent="0.15">
      <c r="A55" s="1"/>
      <c r="B55" s="179"/>
      <c r="C55" s="180"/>
      <c r="D55" s="180"/>
      <c r="E55" s="180"/>
      <c r="F55" s="180"/>
      <c r="G55" s="180"/>
      <c r="H55" s="180"/>
      <c r="I55" s="181"/>
    </row>
    <row r="56" spans="1:15" ht="18.75" customHeight="1" x14ac:dyDescent="0.15">
      <c r="A56" s="1"/>
      <c r="B56" s="179"/>
      <c r="C56" s="180"/>
      <c r="D56" s="180"/>
      <c r="E56" s="180"/>
      <c r="F56" s="180"/>
      <c r="G56" s="180"/>
      <c r="H56" s="180"/>
      <c r="I56" s="181"/>
    </row>
    <row r="57" spans="1:15" ht="18.75" customHeight="1" x14ac:dyDescent="0.15">
      <c r="A57" s="1"/>
      <c r="B57" s="179"/>
      <c r="C57" s="180"/>
      <c r="D57" s="180"/>
      <c r="E57" s="180"/>
      <c r="F57" s="180"/>
      <c r="G57" s="180"/>
      <c r="H57" s="180"/>
      <c r="I57" s="181"/>
    </row>
    <row r="58" spans="1:15" ht="18.75" customHeight="1" x14ac:dyDescent="0.15">
      <c r="A58" s="1"/>
      <c r="B58" s="179"/>
      <c r="C58" s="180"/>
      <c r="D58" s="180"/>
      <c r="E58" s="180"/>
      <c r="F58" s="180"/>
      <c r="G58" s="180"/>
      <c r="H58" s="180"/>
      <c r="I58" s="181"/>
    </row>
    <row r="59" spans="1:15" ht="18.75" customHeight="1" x14ac:dyDescent="0.15">
      <c r="A59" s="1"/>
      <c r="B59" s="179"/>
      <c r="C59" s="180"/>
      <c r="D59" s="180"/>
      <c r="E59" s="180"/>
      <c r="F59" s="180"/>
      <c r="G59" s="180"/>
      <c r="H59" s="180"/>
      <c r="I59" s="181"/>
    </row>
    <row r="60" spans="1:15" ht="18.75" customHeight="1" x14ac:dyDescent="0.15">
      <c r="A60" s="1"/>
      <c r="B60" s="179"/>
      <c r="C60" s="180"/>
      <c r="D60" s="180"/>
      <c r="E60" s="180"/>
      <c r="F60" s="180"/>
      <c r="G60" s="180"/>
      <c r="H60" s="180"/>
      <c r="I60" s="181"/>
    </row>
    <row r="61" spans="1:15" ht="18.75" customHeight="1" x14ac:dyDescent="0.15">
      <c r="A61" s="1"/>
      <c r="B61" s="179"/>
      <c r="C61" s="180"/>
      <c r="D61" s="180"/>
      <c r="E61" s="180"/>
      <c r="F61" s="180"/>
      <c r="G61" s="180"/>
      <c r="H61" s="180"/>
      <c r="I61" s="181"/>
    </row>
    <row r="62" spans="1:15" ht="18.75" customHeight="1" x14ac:dyDescent="0.15">
      <c r="A62" s="1"/>
      <c r="B62" s="179"/>
      <c r="C62" s="180"/>
      <c r="D62" s="180"/>
      <c r="E62" s="180"/>
      <c r="F62" s="180"/>
      <c r="G62" s="180"/>
      <c r="H62" s="180"/>
      <c r="I62" s="181"/>
    </row>
    <row r="63" spans="1:15" ht="18.75" customHeight="1" x14ac:dyDescent="0.15">
      <c r="A63" s="1"/>
      <c r="B63" s="182"/>
      <c r="C63" s="183"/>
      <c r="D63" s="183"/>
      <c r="E63" s="183"/>
      <c r="F63" s="183"/>
      <c r="G63" s="183"/>
      <c r="H63" s="183"/>
      <c r="I63" s="184"/>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59" t="s">
        <v>161</v>
      </c>
      <c r="C66" s="160"/>
      <c r="D66" s="160"/>
      <c r="E66" s="160"/>
      <c r="F66" s="160"/>
      <c r="G66" s="160"/>
      <c r="H66" s="160"/>
      <c r="I66" s="161"/>
    </row>
    <row r="67" spans="1:9" ht="18.75" customHeight="1" x14ac:dyDescent="0.15">
      <c r="A67" s="4"/>
      <c r="B67" s="162"/>
      <c r="C67" s="163"/>
      <c r="D67" s="163"/>
      <c r="E67" s="163"/>
      <c r="F67" s="163"/>
      <c r="G67" s="163"/>
      <c r="H67" s="163"/>
      <c r="I67" s="164"/>
    </row>
    <row r="68" spans="1:9" ht="18.75" customHeight="1" x14ac:dyDescent="0.15">
      <c r="A68" s="4"/>
      <c r="B68" s="162"/>
      <c r="C68" s="163"/>
      <c r="D68" s="163"/>
      <c r="E68" s="163"/>
      <c r="F68" s="163"/>
      <c r="G68" s="163"/>
      <c r="H68" s="163"/>
      <c r="I68" s="164"/>
    </row>
    <row r="69" spans="1:9" ht="18.75" customHeight="1" x14ac:dyDescent="0.15">
      <c r="A69" s="4"/>
      <c r="B69" s="162"/>
      <c r="C69" s="163"/>
      <c r="D69" s="163"/>
      <c r="E69" s="163"/>
      <c r="F69" s="163"/>
      <c r="G69" s="163"/>
      <c r="H69" s="163"/>
      <c r="I69" s="164"/>
    </row>
    <row r="70" spans="1:9" ht="18.75" customHeight="1" x14ac:dyDescent="0.15">
      <c r="A70" s="4"/>
      <c r="B70" s="162"/>
      <c r="C70" s="163"/>
      <c r="D70" s="163"/>
      <c r="E70" s="163"/>
      <c r="F70" s="163"/>
      <c r="G70" s="163"/>
      <c r="H70" s="163"/>
      <c r="I70" s="164"/>
    </row>
    <row r="71" spans="1:9" ht="18.75" customHeight="1" x14ac:dyDescent="0.15">
      <c r="A71" s="4"/>
      <c r="B71" s="162"/>
      <c r="C71" s="163"/>
      <c r="D71" s="163"/>
      <c r="E71" s="163"/>
      <c r="F71" s="163"/>
      <c r="G71" s="163"/>
      <c r="H71" s="163"/>
      <c r="I71" s="164"/>
    </row>
    <row r="72" spans="1:9" ht="18.75" customHeight="1" x14ac:dyDescent="0.15">
      <c r="A72" s="4"/>
      <c r="B72" s="162"/>
      <c r="C72" s="163"/>
      <c r="D72" s="163"/>
      <c r="E72" s="163"/>
      <c r="F72" s="163"/>
      <c r="G72" s="163"/>
      <c r="H72" s="163"/>
      <c r="I72" s="164"/>
    </row>
    <row r="73" spans="1:9" ht="18.75" customHeight="1" x14ac:dyDescent="0.15">
      <c r="A73" s="4"/>
      <c r="B73" s="162"/>
      <c r="C73" s="163"/>
      <c r="D73" s="163"/>
      <c r="E73" s="163"/>
      <c r="F73" s="163"/>
      <c r="G73" s="163"/>
      <c r="H73" s="163"/>
      <c r="I73" s="164"/>
    </row>
    <row r="74" spans="1:9" ht="18.75" customHeight="1" x14ac:dyDescent="0.15">
      <c r="A74" s="4"/>
      <c r="B74" s="162"/>
      <c r="C74" s="163"/>
      <c r="D74" s="163"/>
      <c r="E74" s="163"/>
      <c r="F74" s="163"/>
      <c r="G74" s="163"/>
      <c r="H74" s="163"/>
      <c r="I74" s="164"/>
    </row>
    <row r="75" spans="1:9" ht="18.75" customHeight="1" x14ac:dyDescent="0.15">
      <c r="A75" s="4"/>
      <c r="B75" s="162"/>
      <c r="C75" s="163"/>
      <c r="D75" s="163"/>
      <c r="E75" s="163"/>
      <c r="F75" s="163"/>
      <c r="G75" s="163"/>
      <c r="H75" s="163"/>
      <c r="I75" s="164"/>
    </row>
    <row r="76" spans="1:9" ht="18.75" customHeight="1" x14ac:dyDescent="0.15">
      <c r="A76" s="4"/>
      <c r="B76" s="162"/>
      <c r="C76" s="163"/>
      <c r="D76" s="163"/>
      <c r="E76" s="163"/>
      <c r="F76" s="163"/>
      <c r="G76" s="163"/>
      <c r="H76" s="163"/>
      <c r="I76" s="164"/>
    </row>
    <row r="77" spans="1:9" ht="18.75" customHeight="1" x14ac:dyDescent="0.15">
      <c r="A77" s="4"/>
      <c r="B77" s="165"/>
      <c r="C77" s="166"/>
      <c r="D77" s="166"/>
      <c r="E77" s="166"/>
      <c r="F77" s="166"/>
      <c r="G77" s="166"/>
      <c r="H77" s="166"/>
      <c r="I77" s="16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59" t="s">
        <v>162</v>
      </c>
      <c r="C80" s="160"/>
      <c r="D80" s="160"/>
      <c r="E80" s="160"/>
      <c r="F80" s="160"/>
      <c r="G80" s="160"/>
      <c r="H80" s="160"/>
      <c r="I80" s="168"/>
    </row>
    <row r="81" spans="1:9" ht="18.75" customHeight="1" x14ac:dyDescent="0.15">
      <c r="A81" s="1"/>
      <c r="B81" s="169"/>
      <c r="C81" s="170"/>
      <c r="D81" s="170"/>
      <c r="E81" s="170"/>
      <c r="F81" s="170"/>
      <c r="G81" s="170"/>
      <c r="H81" s="170"/>
      <c r="I81" s="171"/>
    </row>
    <row r="82" spans="1:9" ht="18.75" customHeight="1" x14ac:dyDescent="0.15">
      <c r="A82" s="1"/>
      <c r="B82" s="169"/>
      <c r="C82" s="170"/>
      <c r="D82" s="170"/>
      <c r="E82" s="170"/>
      <c r="F82" s="170"/>
      <c r="G82" s="170"/>
      <c r="H82" s="170"/>
      <c r="I82" s="171"/>
    </row>
    <row r="83" spans="1:9" ht="18.75" customHeight="1" x14ac:dyDescent="0.15">
      <c r="A83" s="1"/>
      <c r="B83" s="169"/>
      <c r="C83" s="170"/>
      <c r="D83" s="170"/>
      <c r="E83" s="170"/>
      <c r="F83" s="170"/>
      <c r="G83" s="170"/>
      <c r="H83" s="170"/>
      <c r="I83" s="171"/>
    </row>
    <row r="84" spans="1:9" ht="18.75" customHeight="1" x14ac:dyDescent="0.15">
      <c r="A84" s="1"/>
      <c r="B84" s="169"/>
      <c r="C84" s="170"/>
      <c r="D84" s="170"/>
      <c r="E84" s="170"/>
      <c r="F84" s="170"/>
      <c r="G84" s="170"/>
      <c r="H84" s="170"/>
      <c r="I84" s="171"/>
    </row>
    <row r="85" spans="1:9" ht="18.75" customHeight="1" x14ac:dyDescent="0.15">
      <c r="A85" s="1"/>
      <c r="B85" s="169"/>
      <c r="C85" s="170"/>
      <c r="D85" s="170"/>
      <c r="E85" s="170"/>
      <c r="F85" s="170"/>
      <c r="G85" s="170"/>
      <c r="H85" s="170"/>
      <c r="I85" s="171"/>
    </row>
    <row r="86" spans="1:9" ht="18.75" customHeight="1" x14ac:dyDescent="0.15">
      <c r="A86" s="1"/>
      <c r="B86" s="169"/>
      <c r="C86" s="170"/>
      <c r="D86" s="170"/>
      <c r="E86" s="170"/>
      <c r="F86" s="170"/>
      <c r="G86" s="170"/>
      <c r="H86" s="170"/>
      <c r="I86" s="171"/>
    </row>
    <row r="87" spans="1:9" ht="18.75" customHeight="1" x14ac:dyDescent="0.15">
      <c r="A87" s="1"/>
      <c r="B87" s="169"/>
      <c r="C87" s="170"/>
      <c r="D87" s="170"/>
      <c r="E87" s="170"/>
      <c r="F87" s="170"/>
      <c r="G87" s="170"/>
      <c r="H87" s="170"/>
      <c r="I87" s="171"/>
    </row>
    <row r="88" spans="1:9" ht="18.75" customHeight="1" x14ac:dyDescent="0.15">
      <c r="A88" s="1"/>
      <c r="B88" s="169"/>
      <c r="C88" s="170"/>
      <c r="D88" s="170"/>
      <c r="E88" s="170"/>
      <c r="F88" s="170"/>
      <c r="G88" s="170"/>
      <c r="H88" s="170"/>
      <c r="I88" s="171"/>
    </row>
    <row r="89" spans="1:9" ht="18.75" customHeight="1" x14ac:dyDescent="0.15">
      <c r="A89" s="1"/>
      <c r="B89" s="169"/>
      <c r="C89" s="170"/>
      <c r="D89" s="170"/>
      <c r="E89" s="170"/>
      <c r="F89" s="170"/>
      <c r="G89" s="170"/>
      <c r="H89" s="170"/>
      <c r="I89" s="171"/>
    </row>
    <row r="90" spans="1:9" ht="18.75" customHeight="1" x14ac:dyDescent="0.15">
      <c r="A90" s="4"/>
      <c r="B90" s="169"/>
      <c r="C90" s="170"/>
      <c r="D90" s="170"/>
      <c r="E90" s="170"/>
      <c r="F90" s="170"/>
      <c r="G90" s="170"/>
      <c r="H90" s="170"/>
      <c r="I90" s="171"/>
    </row>
    <row r="91" spans="1:9" ht="18.75" customHeight="1" x14ac:dyDescent="0.15">
      <c r="A91" s="4"/>
      <c r="B91" s="172"/>
      <c r="C91" s="173"/>
      <c r="D91" s="173"/>
      <c r="E91" s="173"/>
      <c r="F91" s="173"/>
      <c r="G91" s="173"/>
      <c r="H91" s="173"/>
      <c r="I91" s="174"/>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89" t="s">
        <v>163</v>
      </c>
      <c r="C94" s="190"/>
      <c r="D94" s="190"/>
      <c r="E94" s="190"/>
      <c r="F94" s="190"/>
      <c r="G94" s="190"/>
      <c r="H94" s="190"/>
      <c r="I94" s="191"/>
    </row>
    <row r="95" spans="1:9" ht="18.75" customHeight="1" x14ac:dyDescent="0.15">
      <c r="A95" s="1"/>
      <c r="B95" s="195"/>
      <c r="C95" s="196"/>
      <c r="D95" s="196"/>
      <c r="E95" s="196"/>
      <c r="F95" s="196"/>
      <c r="G95" s="196"/>
      <c r="H95" s="196"/>
      <c r="I95" s="194"/>
    </row>
    <row r="96" spans="1:9" ht="18.75" customHeight="1" x14ac:dyDescent="0.15">
      <c r="A96" s="1"/>
      <c r="B96" s="195"/>
      <c r="C96" s="196"/>
      <c r="D96" s="196"/>
      <c r="E96" s="196"/>
      <c r="F96" s="196"/>
      <c r="G96" s="196"/>
      <c r="H96" s="196"/>
      <c r="I96" s="194"/>
    </row>
    <row r="97" spans="1:9" ht="18.75" customHeight="1" x14ac:dyDescent="0.15">
      <c r="A97" s="1"/>
      <c r="B97" s="195"/>
      <c r="C97" s="196"/>
      <c r="D97" s="196"/>
      <c r="E97" s="196"/>
      <c r="F97" s="196"/>
      <c r="G97" s="196"/>
      <c r="H97" s="196"/>
      <c r="I97" s="194"/>
    </row>
    <row r="98" spans="1:9" ht="18.75" customHeight="1" x14ac:dyDescent="0.15">
      <c r="A98" s="1"/>
      <c r="B98" s="195"/>
      <c r="C98" s="196"/>
      <c r="D98" s="196"/>
      <c r="E98" s="196"/>
      <c r="F98" s="196"/>
      <c r="G98" s="196"/>
      <c r="H98" s="196"/>
      <c r="I98" s="194"/>
    </row>
    <row r="99" spans="1:9" ht="18.75" customHeight="1" x14ac:dyDescent="0.15">
      <c r="A99" s="1"/>
      <c r="B99" s="195"/>
      <c r="C99" s="196"/>
      <c r="D99" s="196"/>
      <c r="E99" s="196"/>
      <c r="F99" s="196"/>
      <c r="G99" s="196"/>
      <c r="H99" s="196"/>
      <c r="I99" s="194"/>
    </row>
    <row r="100" spans="1:9" ht="18.75" customHeight="1" x14ac:dyDescent="0.15">
      <c r="A100" s="1"/>
      <c r="B100" s="195"/>
      <c r="C100" s="196"/>
      <c r="D100" s="196"/>
      <c r="E100" s="196"/>
      <c r="F100" s="196"/>
      <c r="G100" s="196"/>
      <c r="H100" s="196"/>
      <c r="I100" s="194"/>
    </row>
    <row r="101" spans="1:9" ht="18.75" customHeight="1" x14ac:dyDescent="0.15">
      <c r="A101" s="1"/>
      <c r="B101" s="195"/>
      <c r="C101" s="196"/>
      <c r="D101" s="196"/>
      <c r="E101" s="196"/>
      <c r="F101" s="196"/>
      <c r="G101" s="196"/>
      <c r="H101" s="196"/>
      <c r="I101" s="194"/>
    </row>
    <row r="102" spans="1:9" ht="18.75" customHeight="1" x14ac:dyDescent="0.15">
      <c r="A102" s="1"/>
      <c r="B102" s="195"/>
      <c r="C102" s="196"/>
      <c r="D102" s="196"/>
      <c r="E102" s="196"/>
      <c r="F102" s="196"/>
      <c r="G102" s="196"/>
      <c r="H102" s="196"/>
      <c r="I102" s="194"/>
    </row>
    <row r="103" spans="1:9" ht="18.75" customHeight="1" x14ac:dyDescent="0.15">
      <c r="A103" s="1"/>
      <c r="B103" s="195"/>
      <c r="C103" s="196"/>
      <c r="D103" s="196"/>
      <c r="E103" s="196"/>
      <c r="F103" s="196"/>
      <c r="G103" s="196"/>
      <c r="H103" s="196"/>
      <c r="I103" s="194"/>
    </row>
    <row r="104" spans="1:9" ht="18.75" customHeight="1" x14ac:dyDescent="0.15">
      <c r="A104" s="1"/>
      <c r="B104" s="195"/>
      <c r="C104" s="196"/>
      <c r="D104" s="196"/>
      <c r="E104" s="196"/>
      <c r="F104" s="196"/>
      <c r="G104" s="196"/>
      <c r="H104" s="196"/>
      <c r="I104" s="194"/>
    </row>
    <row r="105" spans="1:9" ht="18.75" customHeight="1" x14ac:dyDescent="0.15">
      <c r="A105" s="4"/>
      <c r="B105" s="197"/>
      <c r="C105" s="198"/>
      <c r="D105" s="198"/>
      <c r="E105" s="198"/>
      <c r="F105" s="198"/>
      <c r="G105" s="198"/>
      <c r="H105" s="198"/>
      <c r="I105" s="199"/>
    </row>
    <row r="106" spans="1:9" ht="7.5" customHeight="1" x14ac:dyDescent="0.15">
      <c r="A106" s="4"/>
      <c r="B106" s="4"/>
      <c r="C106" s="4"/>
      <c r="D106" s="4"/>
      <c r="E106" s="4"/>
      <c r="F106" s="4"/>
      <c r="G106" s="4"/>
      <c r="H106" s="4"/>
      <c r="I106" s="4"/>
    </row>
    <row r="107" spans="1:9" ht="18.75" customHeight="1" x14ac:dyDescent="0.15">
      <c r="A107" s="1" t="s">
        <v>30</v>
      </c>
      <c r="B107" s="206" t="s">
        <v>44</v>
      </c>
      <c r="C107" s="206"/>
      <c r="D107" s="206"/>
      <c r="E107" s="206"/>
      <c r="F107" s="206"/>
      <c r="G107" s="206"/>
      <c r="H107" s="206"/>
      <c r="I107" s="206"/>
    </row>
    <row r="108" spans="1:9" ht="18.75" customHeight="1" x14ac:dyDescent="0.15">
      <c r="A108" s="4"/>
      <c r="B108" s="189" t="s">
        <v>164</v>
      </c>
      <c r="C108" s="190"/>
      <c r="D108" s="190"/>
      <c r="E108" s="190"/>
      <c r="F108" s="190"/>
      <c r="G108" s="190"/>
      <c r="H108" s="190"/>
      <c r="I108" s="191"/>
    </row>
    <row r="109" spans="1:9" ht="18.75" customHeight="1" x14ac:dyDescent="0.15">
      <c r="A109" s="4"/>
      <c r="B109" s="195"/>
      <c r="C109" s="196"/>
      <c r="D109" s="196"/>
      <c r="E109" s="196"/>
      <c r="F109" s="196"/>
      <c r="G109" s="196"/>
      <c r="H109" s="196"/>
      <c r="I109" s="194"/>
    </row>
    <row r="110" spans="1:9" ht="18.75" customHeight="1" x14ac:dyDescent="0.15">
      <c r="A110" s="4"/>
      <c r="B110" s="195"/>
      <c r="C110" s="196"/>
      <c r="D110" s="196"/>
      <c r="E110" s="196"/>
      <c r="F110" s="196"/>
      <c r="G110" s="196"/>
      <c r="H110" s="196"/>
      <c r="I110" s="194"/>
    </row>
    <row r="111" spans="1:9" ht="18.75" customHeight="1" x14ac:dyDescent="0.15">
      <c r="A111" s="4"/>
      <c r="B111" s="195"/>
      <c r="C111" s="196"/>
      <c r="D111" s="196"/>
      <c r="E111" s="196"/>
      <c r="F111" s="196"/>
      <c r="G111" s="196"/>
      <c r="H111" s="196"/>
      <c r="I111" s="194"/>
    </row>
    <row r="112" spans="1:9" ht="18.75" customHeight="1" x14ac:dyDescent="0.15">
      <c r="A112" s="4"/>
      <c r="B112" s="195"/>
      <c r="C112" s="196"/>
      <c r="D112" s="196"/>
      <c r="E112" s="196"/>
      <c r="F112" s="196"/>
      <c r="G112" s="196"/>
      <c r="H112" s="196"/>
      <c r="I112" s="194"/>
    </row>
    <row r="113" spans="1:9" ht="18.75" customHeight="1" x14ac:dyDescent="0.15">
      <c r="A113" s="4"/>
      <c r="B113" s="195"/>
      <c r="C113" s="196"/>
      <c r="D113" s="196"/>
      <c r="E113" s="196"/>
      <c r="F113" s="196"/>
      <c r="G113" s="196"/>
      <c r="H113" s="196"/>
      <c r="I113" s="194"/>
    </row>
    <row r="114" spans="1:9" ht="18.75" customHeight="1" x14ac:dyDescent="0.15">
      <c r="A114" s="4"/>
      <c r="B114" s="195"/>
      <c r="C114" s="196"/>
      <c r="D114" s="196"/>
      <c r="E114" s="196"/>
      <c r="F114" s="196"/>
      <c r="G114" s="196"/>
      <c r="H114" s="196"/>
      <c r="I114" s="194"/>
    </row>
    <row r="115" spans="1:9" ht="18.75" customHeight="1" x14ac:dyDescent="0.15">
      <c r="A115" s="4"/>
      <c r="B115" s="195"/>
      <c r="C115" s="196"/>
      <c r="D115" s="196"/>
      <c r="E115" s="196"/>
      <c r="F115" s="196"/>
      <c r="G115" s="196"/>
      <c r="H115" s="196"/>
      <c r="I115" s="194"/>
    </row>
    <row r="116" spans="1:9" ht="18.75" customHeight="1" x14ac:dyDescent="0.15">
      <c r="A116" s="4"/>
      <c r="B116" s="195"/>
      <c r="C116" s="196"/>
      <c r="D116" s="196"/>
      <c r="E116" s="196"/>
      <c r="F116" s="196"/>
      <c r="G116" s="196"/>
      <c r="H116" s="196"/>
      <c r="I116" s="194"/>
    </row>
    <row r="117" spans="1:9" ht="18.75" customHeight="1" x14ac:dyDescent="0.15">
      <c r="A117" s="4"/>
      <c r="B117" s="195"/>
      <c r="C117" s="196"/>
      <c r="D117" s="196"/>
      <c r="E117" s="196"/>
      <c r="F117" s="196"/>
      <c r="G117" s="196"/>
      <c r="H117" s="196"/>
      <c r="I117" s="194"/>
    </row>
    <row r="118" spans="1:9" ht="18.75" customHeight="1" x14ac:dyDescent="0.15">
      <c r="A118" s="4"/>
      <c r="B118" s="195"/>
      <c r="C118" s="196"/>
      <c r="D118" s="196"/>
      <c r="E118" s="196"/>
      <c r="F118" s="196"/>
      <c r="G118" s="196"/>
      <c r="H118" s="196"/>
      <c r="I118" s="194"/>
    </row>
    <row r="119" spans="1:9" ht="18.75" customHeight="1" x14ac:dyDescent="0.15">
      <c r="A119" s="4"/>
      <c r="B119" s="197"/>
      <c r="C119" s="198"/>
      <c r="D119" s="198"/>
      <c r="E119" s="198"/>
      <c r="F119" s="198"/>
      <c r="G119" s="198"/>
      <c r="H119" s="198"/>
      <c r="I119" s="199"/>
    </row>
    <row r="120" spans="1:9" ht="7.5" customHeight="1" x14ac:dyDescent="0.15">
      <c r="A120" s="4"/>
      <c r="B120" s="25"/>
      <c r="C120" s="25"/>
      <c r="D120" s="25"/>
      <c r="E120" s="25"/>
      <c r="F120" s="25"/>
      <c r="G120" s="25"/>
      <c r="H120" s="25"/>
      <c r="I120" s="25"/>
    </row>
    <row r="121" spans="1:9" ht="18.75" customHeight="1" x14ac:dyDescent="0.15">
      <c r="A121" s="51"/>
      <c r="B121" s="185"/>
      <c r="C121" s="185"/>
      <c r="D121" s="185"/>
      <c r="E121" s="185"/>
      <c r="F121" s="185"/>
      <c r="G121" s="185"/>
      <c r="H121" s="185"/>
      <c r="I121" s="185"/>
    </row>
    <row r="122" spans="1:9" ht="18.75" customHeight="1" x14ac:dyDescent="0.15">
      <c r="A122" s="51"/>
      <c r="B122" s="185"/>
      <c r="C122" s="185"/>
      <c r="D122" s="185"/>
      <c r="E122" s="185"/>
      <c r="F122" s="185"/>
      <c r="G122" s="185"/>
      <c r="H122" s="185"/>
      <c r="I122" s="185"/>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明治薬科大学</v>
      </c>
    </row>
    <row r="3" spans="1:9" ht="18.75" customHeight="1" x14ac:dyDescent="0.15">
      <c r="A3" s="115" t="s">
        <v>28</v>
      </c>
      <c r="B3" s="115"/>
      <c r="C3" s="115"/>
      <c r="D3" s="115"/>
      <c r="E3" s="115"/>
      <c r="F3" s="115"/>
      <c r="G3" s="115"/>
      <c r="H3" s="115"/>
      <c r="I3" s="115"/>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0" t="s">
        <v>165</v>
      </c>
      <c r="C6" s="232"/>
      <c r="D6" s="232"/>
      <c r="E6" s="232"/>
      <c r="F6" s="232"/>
      <c r="G6" s="232"/>
      <c r="H6" s="233"/>
      <c r="I6" s="3"/>
    </row>
    <row r="7" spans="1:9" ht="9" customHeight="1" x14ac:dyDescent="0.15">
      <c r="A7" s="5"/>
      <c r="B7" s="10"/>
      <c r="C7" s="10"/>
      <c r="D7" s="10"/>
      <c r="E7" s="10"/>
      <c r="F7" s="10"/>
      <c r="G7" s="10"/>
      <c r="H7" s="10"/>
      <c r="I7" s="3"/>
    </row>
    <row r="8" spans="1:9" ht="18.75" customHeight="1" x14ac:dyDescent="0.15">
      <c r="A8" s="5"/>
      <c r="B8" s="3"/>
      <c r="C8" s="3"/>
      <c r="D8" s="18" t="s">
        <v>41</v>
      </c>
      <c r="E8" s="19" t="s">
        <v>157</v>
      </c>
      <c r="F8" s="3"/>
      <c r="G8" s="18" t="s">
        <v>10</v>
      </c>
      <c r="H8" s="19" t="s">
        <v>156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26" t="s">
        <v>14</v>
      </c>
      <c r="C12" s="33"/>
      <c r="D12" s="27"/>
      <c r="E12" s="34"/>
      <c r="F12" s="34"/>
      <c r="G12" s="34"/>
      <c r="H12" s="34"/>
      <c r="I12" s="27"/>
    </row>
    <row r="13" spans="1:9" ht="210.75" customHeight="1" x14ac:dyDescent="0.15">
      <c r="B13" s="28"/>
      <c r="C13" s="215" t="s">
        <v>15</v>
      </c>
      <c r="D13" s="216"/>
      <c r="E13" s="228" t="s">
        <v>168</v>
      </c>
      <c r="F13" s="217"/>
      <c r="G13" s="217"/>
      <c r="H13" s="217"/>
      <c r="I13" s="218"/>
    </row>
    <row r="14" spans="1:9" ht="210.75" customHeight="1" x14ac:dyDescent="0.15">
      <c r="B14" s="28"/>
      <c r="C14" s="230" t="s">
        <v>16</v>
      </c>
      <c r="D14" s="231"/>
      <c r="E14" s="228" t="s">
        <v>167</v>
      </c>
      <c r="F14" s="217"/>
      <c r="G14" s="217"/>
      <c r="H14" s="217"/>
      <c r="I14" s="218"/>
    </row>
    <row r="15" spans="1:9" ht="210.75" customHeight="1" x14ac:dyDescent="0.15">
      <c r="B15" s="28"/>
      <c r="C15" s="215" t="s">
        <v>17</v>
      </c>
      <c r="D15" s="216"/>
      <c r="E15" s="228" t="s">
        <v>169</v>
      </c>
      <c r="F15" s="217"/>
      <c r="G15" s="217"/>
      <c r="H15" s="217"/>
      <c r="I15" s="218"/>
    </row>
    <row r="16" spans="1:9" ht="210.75" customHeight="1" x14ac:dyDescent="0.15">
      <c r="B16" s="28"/>
      <c r="C16" s="215" t="s">
        <v>18</v>
      </c>
      <c r="D16" s="216"/>
      <c r="E16" s="228" t="s">
        <v>170</v>
      </c>
      <c r="F16" s="217"/>
      <c r="G16" s="217"/>
      <c r="H16" s="217"/>
      <c r="I16" s="218"/>
    </row>
    <row r="17" spans="2:9" ht="210.75" customHeight="1" x14ac:dyDescent="0.15">
      <c r="B17" s="29"/>
      <c r="C17" s="219" t="s">
        <v>19</v>
      </c>
      <c r="D17" s="220"/>
      <c r="E17" s="229" t="s">
        <v>171</v>
      </c>
      <c r="F17" s="221"/>
      <c r="G17" s="221"/>
      <c r="H17" s="221"/>
      <c r="I17" s="222"/>
    </row>
    <row r="18" spans="2:9" ht="24" customHeight="1" x14ac:dyDescent="0.15">
      <c r="B18" s="26" t="s">
        <v>20</v>
      </c>
      <c r="C18" s="30"/>
      <c r="D18" s="31"/>
      <c r="E18" s="32"/>
      <c r="F18" s="32"/>
      <c r="G18" s="32"/>
      <c r="H18" s="32"/>
      <c r="I18" s="35"/>
    </row>
    <row r="19" spans="2:9" ht="218.25" customHeight="1" x14ac:dyDescent="0.15">
      <c r="B19" s="28"/>
      <c r="C19" s="215" t="s">
        <v>21</v>
      </c>
      <c r="D19" s="216"/>
      <c r="E19" s="217" t="s">
        <v>166</v>
      </c>
      <c r="F19" s="217"/>
      <c r="G19" s="217"/>
      <c r="H19" s="217"/>
      <c r="I19" s="218"/>
    </row>
    <row r="20" spans="2:9" ht="218.25" customHeight="1" x14ac:dyDescent="0.15">
      <c r="B20" s="29"/>
      <c r="C20" s="219" t="s">
        <v>22</v>
      </c>
      <c r="D20" s="220"/>
      <c r="E20" s="221" t="s">
        <v>172</v>
      </c>
      <c r="F20" s="221"/>
      <c r="G20" s="221"/>
      <c r="H20" s="221"/>
      <c r="I20" s="222"/>
    </row>
    <row r="21" spans="2:9" ht="218.25" customHeight="1" x14ac:dyDescent="0.15">
      <c r="B21" s="223" t="s">
        <v>23</v>
      </c>
      <c r="C21" s="224"/>
      <c r="D21" s="225"/>
      <c r="E21" s="226" t="s">
        <v>174</v>
      </c>
      <c r="F21" s="226"/>
      <c r="G21" s="226"/>
      <c r="H21" s="226"/>
      <c r="I21" s="227"/>
    </row>
    <row r="22" spans="2:9" ht="218.25" customHeight="1" x14ac:dyDescent="0.15">
      <c r="B22" s="210" t="s">
        <v>121</v>
      </c>
      <c r="C22" s="211"/>
      <c r="D22" s="212"/>
      <c r="E22" s="213" t="s">
        <v>175</v>
      </c>
      <c r="F22" s="213"/>
      <c r="G22" s="213"/>
      <c r="H22" s="213"/>
      <c r="I22" s="21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山田　芳則</dc:creator>
  <cp:lastModifiedBy>山田　芳則</cp:lastModifiedBy>
  <cp:lastPrinted>2025-05-12T00:41:34Z</cp:lastPrinted>
  <dcterms:created xsi:type="dcterms:W3CDTF">2011-06-14T05:32:50Z</dcterms:created>
  <dcterms:modified xsi:type="dcterms:W3CDTF">2025-07-07T09:05:45Z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