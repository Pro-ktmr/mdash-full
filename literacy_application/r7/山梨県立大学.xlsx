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210.151.101.140\kyouiku\24 MDASH\03：提出書類（再提出）250711\元データ\①申請書【新しいものに差し替え（八代ｔ、朱ｔに確認していただいた）】\"/>
    </mc:Choice>
  </mc:AlternateContent>
  <xr:revisionPtr revIDLastSave="0" documentId="8_{579CFC9E-E1AD-455A-AE20-56E2D35EE15E}" xr6:coauthVersionLast="47" xr6:coauthVersionMax="47" xr10:uidLastSave="{00000000-0000-0000-0000-000000000000}"/>
  <bookViews>
    <workbookView xWindow="-108" yWindow="-108" windowWidth="30936" windowHeight="16776" tabRatio="885"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5" i="40" l="1"/>
  <c r="R14" i="40"/>
  <c r="R13" i="40"/>
  <c r="M7" i="40" l="1"/>
  <c r="I2" i="42"/>
  <c r="H2" i="41"/>
  <c r="Q2" i="40"/>
  <c r="I33" i="40" l="1"/>
  <c r="M33" i="40"/>
  <c r="P33" i="40"/>
  <c r="Q33" i="40"/>
  <c r="O33" i="40"/>
  <c r="N33" i="40"/>
  <c r="L33" i="40"/>
  <c r="J33" i="40"/>
  <c r="K33" i="40"/>
  <c r="H33" i="40"/>
  <c r="S13" i="40" l="1"/>
  <c r="C33" i="40"/>
  <c r="G33" i="40" l="1"/>
  <c r="F33" i="40" l="1"/>
  <c r="E33" i="40"/>
  <c r="I50" i="41" s="1"/>
  <c r="D33" i="40"/>
  <c r="S15" i="40"/>
  <c r="S14" i="40"/>
  <c r="R33" i="40" l="1"/>
  <c r="S33" i="40" s="1"/>
  <c r="C49" i="41" s="1"/>
</calcChain>
</file>

<file path=xl/sharedStrings.xml><?xml version="1.0" encoding="utf-8"?>
<sst xmlns="http://schemas.openxmlformats.org/spreadsheetml/2006/main" count="294" uniqueCount="188">
  <si>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</si>
  <si>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</si>
  <si>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</si>
  <si>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</si>
  <si>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</si>
  <si>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</si>
  <si>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</si>
  <si>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</si>
  <si>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</si>
  <si>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</si>
  <si>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</si>
  <si>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</si>
  <si>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</si>
  <si>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</si>
  <si>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</si>
  <si>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</si>
  <si>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</si>
  <si>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</si>
  <si>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</si>
  <si>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</si>
  <si>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</si>
  <si>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</si>
  <si>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</si>
  <si>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</si>
  <si>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</si>
  <si>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</si>
  <si>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</si>
  <si>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</si>
  <si>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</si>
  <si>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</si>
  <si>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</si>
  <si>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</si>
  <si>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</si>
  <si>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</si>
  <si>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</si>
  <si>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</si>
  <si>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</si>
  <si>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</si>
  <si>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</si>
  <si>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</si>
  <si>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</si>
  <si>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</si>
  <si>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</si>
  <si>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</si>
  <si>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</si>
  <si>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</si>
  <si>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</si>
  <si>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</si>
  <si>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</si>
  <si>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</si>
  <si>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</si>
  <si>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</si>
  <si>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</si>
  <si>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</si>
  <si>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</si>
  <si>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</si>
  <si>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</si>
  <si>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</si>
  <si>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</si>
  <si>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</si>
  <si>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</si>
  <si>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</si>
  <si>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</si>
  <si>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</si>
  <si>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</si>
  <si>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</si>
  <si>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</si>
  <si>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</si>
  <si>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</si>
  <si>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</si>
  <si>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</si>
  <si>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</si>
  <si>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</si>
  <si>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</si>
  <si>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</si>
  <si>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</si>
  <si>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</si>
  <si>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</si>
  <si>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</si>
  <si>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</si>
  <si>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</si>
  <si>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</si>
  <si>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</si>
  <si>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</si>
  <si>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</si>
  <si>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</si>
  <si>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</si>
  <si>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</si>
  <si>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</si>
  <si>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</si>
  <si>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</si>
  <si>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</si>
  <si>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</si>
  <si>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</si>
  <si>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</si>
  <si>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</si>
  <si>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</si>
  <si>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</si>
  <si>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</si>
  <si>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</si>
  <si>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</si>
  <si>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</si>
  <si>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</si>
  <si>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</si>
  <si>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</si>
  <si>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</si>
  <si>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</si>
  <si>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</si>
  <si>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</si>
  <si>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</si>
  <si>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</si>
  <si>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</si>
  <si>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</si>
  <si>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</si>
  <si>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</si>
  <si>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</si>
  <si>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</si>
  <si>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</si>
  <si>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</si>
  <si>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</si>
  <si>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</si>
  <si>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</si>
  <si>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</si>
  <si>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</si>
  <si>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</si>
  <si>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</si>
  <si>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</si>
  <si>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</si>
  <si>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</si>
  <si>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</si>
  <si>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</si>
  <si>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</si>
  <si>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</si>
  <si>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</si>
  <si>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</si>
  <si>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</si>
  <si>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</si>
  <si>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</si>
  <si>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</si>
  <si>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</si>
  <si>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</si>
  <si>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</si>
  <si>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</si>
  <si>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山梨県立大学データサイエンスプログラム委員会</t>
    <rPh sb="0" eb="6">
      <t xml:space="preserve">ヤマナシケンリツダイガク </t>
    </rPh>
    <rPh sb="19" eb="22">
      <t xml:space="preserve">イインカイ </t>
    </rPh>
    <phoneticPr fontId="1"/>
  </si>
  <si>
    <t>山梨県立大学</t>
    <rPh sb="0" eb="4">
      <t xml:space="preserve">ヤマナシケンリツ </t>
    </rPh>
    <rPh sb="4" eb="6">
      <t xml:space="preserve">ダイガク </t>
    </rPh>
    <phoneticPr fontId="1"/>
  </si>
  <si>
    <t>学部・学科によって、修了要件は相違しない</t>
  </si>
  <si>
    <t>データサイエンス基礎I</t>
    <rPh sb="8" eb="10">
      <t xml:space="preserve">キソ </t>
    </rPh>
    <phoneticPr fontId="1"/>
  </si>
  <si>
    <t>○</t>
  </si>
  <si>
    <t>データサイエンス基礎II</t>
    <rPh sb="0" eb="2">
      <t>データサイエンスク</t>
    </rPh>
    <rPh sb="8" eb="9">
      <t xml:space="preserve">キソ </t>
    </rPh>
    <phoneticPr fontId="1"/>
  </si>
  <si>
    <t>① 現代社会に必要なデータ処理の基礎が理解できる。
② AIの概念・仕組みを理解することができる。
③ 情報聞きを利用してデータの分析と予測ができる。
④ 読解、表現、数理・データサイエンスなどに関する基盤的リテラシーを身に付けている。
⑤ データを分析し、適切な意思決定ができる。
⑥ 思考を現実と関連づけながら発展させ、進んで問題を発見し、解決していく姿勢を整えている。</t>
    <phoneticPr fontId="1"/>
  </si>
  <si>
    <t>令和6</t>
    <rPh sb="0" eb="2">
      <t>レイワ</t>
    </rPh>
    <phoneticPr fontId="1"/>
  </si>
  <si>
    <t>国際政策学部</t>
    <rPh sb="0" eb="2">
      <t xml:space="preserve">コクサイ </t>
    </rPh>
    <rPh sb="2" eb="4">
      <t xml:space="preserve">セイサク </t>
    </rPh>
    <rPh sb="4" eb="6">
      <t xml:space="preserve">ガクブ </t>
    </rPh>
    <phoneticPr fontId="1"/>
  </si>
  <si>
    <t>人間福祉学部</t>
    <rPh sb="0" eb="4">
      <t xml:space="preserve">ニンゲンフクシ </t>
    </rPh>
    <rPh sb="4" eb="6">
      <t xml:space="preserve">ガクブ </t>
    </rPh>
    <phoneticPr fontId="1"/>
  </si>
  <si>
    <t>看護学部</t>
    <rPh sb="0" eb="4">
      <t xml:space="preserve">カンゴガクブ </t>
    </rPh>
    <phoneticPr fontId="1"/>
  </si>
  <si>
    <t>委員長</t>
    <rPh sb="0" eb="3">
      <t xml:space="preserve">イインチョウ </t>
    </rPh>
    <phoneticPr fontId="1"/>
  </si>
  <si>
    <t>山梨県立大学データサイエンスプログラム委員会規程</t>
    <rPh sb="0" eb="6">
      <t xml:space="preserve">ヤマナシケンリツダイガク </t>
    </rPh>
    <rPh sb="19" eb="22">
      <t xml:space="preserve">イインカイ </t>
    </rPh>
    <rPh sb="22" eb="24">
      <t xml:space="preserve">キテイ </t>
    </rPh>
    <phoneticPr fontId="1"/>
  </si>
  <si>
    <t>プログラムを構成する必修科目（2単位）の取得を修了要件とする。
＜必修科目＞
①データサイエンス基礎Ⅰ（1単位）　【全学共通科目　1年次　必修科目】
②データサイエンス基礎Ⅱ（1単位）　【全学共通科目　1年次　必修科目】</t>
    <rPh sb="10" eb="14">
      <t xml:space="preserve">ヒッシュウカモク </t>
    </rPh>
    <rPh sb="20" eb="22">
      <t>シュトク</t>
    </rPh>
    <rPh sb="23" eb="25">
      <t>シュウリョウ</t>
    </rPh>
    <rPh sb="25" eb="27">
      <t>ヨウケン</t>
    </rPh>
    <rPh sb="33" eb="37">
      <t>ヒッシュウカモク</t>
    </rPh>
    <rPh sb="48" eb="50">
      <t>キソ</t>
    </rPh>
    <rPh sb="53" eb="55">
      <t>タンイ</t>
    </rPh>
    <rPh sb="58" eb="64">
      <t>ゼンガクキョウツウカモク</t>
    </rPh>
    <rPh sb="66" eb="68">
      <t>ネンジ</t>
    </rPh>
    <rPh sb="69" eb="73">
      <t>ヒッシュウカモク</t>
    </rPh>
    <rPh sb="84" eb="86">
      <t>キソ</t>
    </rPh>
    <rPh sb="89" eb="91">
      <t>タンイ</t>
    </rPh>
    <rPh sb="94" eb="96">
      <t>ゼンガク</t>
    </rPh>
    <rPh sb="96" eb="100">
      <t>キョウツウカモク</t>
    </rPh>
    <rPh sb="102" eb="104">
      <t>ネンジ</t>
    </rPh>
    <rPh sb="105" eb="107">
      <t>ヒッシュウ</t>
    </rPh>
    <rPh sb="107" eb="109">
      <t>カモク</t>
    </rPh>
    <phoneticPr fontId="1"/>
  </si>
  <si>
    <t>データサイエンスプログラム</t>
    <phoneticPr fontId="1"/>
  </si>
  <si>
    <t>委員長</t>
    <rPh sb="0" eb="3">
      <t>イインチョウ</t>
    </rPh>
    <phoneticPr fontId="1"/>
  </si>
  <si>
    <t>プログラム委員会は本学の数理・データサイエンス・AI教育の推進することを目的とする。具体的には、次に掲げる事項について審議する。
（１）データサイエンスプログラムの立案及び実施に関すること。
（２）データサイエンスプログラムの普及に関すること。
（３）データサイエンスプログラムの自己点検・評価及び改善に関すること。
（４）データサイエンスプログラムの情報公開に関すること。
（５）その他データサイエンスプログラムに関する重要事項に関すること。</t>
    <rPh sb="36" eb="38">
      <t>モクテキ</t>
    </rPh>
    <rPh sb="42" eb="45">
      <t>グタイテキ</t>
    </rPh>
    <rPh sb="48" eb="49">
      <t>ツギ</t>
    </rPh>
    <rPh sb="50" eb="51">
      <t>カカ</t>
    </rPh>
    <rPh sb="53" eb="55">
      <t>ジコウ</t>
    </rPh>
    <rPh sb="59" eb="61">
      <t>シンギ</t>
    </rPh>
    <phoneticPr fontId="1"/>
  </si>
  <si>
    <t>・授業はLMS(Google Classroom等）で管理しており、学生はいつでも科目担当者へ個別あるいは学修者全員と共有しながら質問できる環境を整えている。
・科目担当者（基幹教員）はオフィスアワーを設けており、その時間帯はいつでも質問に答えられるようにしている。</t>
    <rPh sb="41" eb="46">
      <t>カモクタントウシャ</t>
    </rPh>
    <rPh sb="81" eb="86">
      <t>カモクタントウシャ</t>
    </rPh>
    <rPh sb="87" eb="91">
      <t>キカンキョウイン</t>
    </rPh>
    <rPh sb="109" eb="112">
      <t>ジカンタイ</t>
    </rPh>
    <phoneticPr fontId="1"/>
  </si>
  <si>
    <t>・クラス複数設け、全キャンパス（飯田キャンパス、池田キャンパス）で授業を開講することにより、学生が修得しやすい環境を構築している。
・学生は配布資料をいつでも閲覧できるようにしている。
・データサイエンス基礎IIは、TAを配置し、授業内で支援を受けやすい環境を整えている。
・データサイエンス基礎IIは、学生がPCを持参して受講するようにしているが、受講できるような無線LANの設備、アクティブ・ラーニング教室の整備を行った。
・PCの使い方についてはヘルプデスクを配置し、いつでも相談できる環境を整えている。
・図書館ではデータサイエンスに関する参考図書を科目担当者からの聞き取りにより整備した。</t>
    <rPh sb="4" eb="6">
      <t>フクスウ</t>
    </rPh>
    <rPh sb="6" eb="7">
      <t>モウ</t>
    </rPh>
    <rPh sb="9" eb="10">
      <t>ゼン</t>
    </rPh>
    <rPh sb="16" eb="18">
      <t>イイダ</t>
    </rPh>
    <rPh sb="24" eb="26">
      <t>イケダ</t>
    </rPh>
    <rPh sb="33" eb="35">
      <t>ジュギョウ</t>
    </rPh>
    <rPh sb="36" eb="38">
      <t>カイコウ</t>
    </rPh>
    <rPh sb="206" eb="208">
      <t>セイビ</t>
    </rPh>
    <rPh sb="209" eb="210">
      <t>オコナ</t>
    </rPh>
    <rPh sb="279" eb="284">
      <t>カモクタントウシャ</t>
    </rPh>
    <rPh sb="287" eb="288">
      <t>キ</t>
    </rPh>
    <rPh sb="289" eb="290">
      <t>ト</t>
    </rPh>
    <phoneticPr fontId="1"/>
  </si>
  <si>
    <t>・全学共科目として配置しているが、学部・学科ごとに複数クラスを設けて実施している。
・時間割は対象の学部・学科で他の授業がない時間帯を設定し、全員が履修できるようにしている。
・必修科目については入学時のオリエンテーションにおいて、必ず１年次で履修するよう指導を行っている。</t>
    <rPh sb="4" eb="6">
      <t>カモク</t>
    </rPh>
    <rPh sb="31" eb="32">
      <t>モウ</t>
    </rPh>
    <rPh sb="34" eb="36">
      <t>ジッシ</t>
    </rPh>
    <phoneticPr fontId="1"/>
  </si>
  <si>
    <t>・各学位プログラムの全学共通科目における必修科目として設置しているため、全学生が履修する必要がある。</t>
    <rPh sb="1" eb="4">
      <t>カクガクイ</t>
    </rPh>
    <rPh sb="12" eb="16">
      <t>キョウツウカモク</t>
    </rPh>
    <rPh sb="44" eb="46">
      <t>ヒツヨウ</t>
    </rPh>
    <phoneticPr fontId="1"/>
  </si>
  <si>
    <t>・本プログラムは、令和6年度の全学共通科目に、リテラシーレベルを網羅する科目としてデータサイエンス基礎I及びデータサイエンス基礎IIを新設した。全学生が履修できるよう、導入初年度から各学位プログラムの必修科目に位置付けているため、学年進行に従い、令和9年度には全学生が履修することになる。</t>
    <rPh sb="1" eb="2">
      <t>ホン</t>
    </rPh>
    <rPh sb="15" eb="17">
      <t>ゼンガク</t>
    </rPh>
    <rPh sb="17" eb="21">
      <t>キョウツウカモク</t>
    </rPh>
    <rPh sb="52" eb="53">
      <t>オヨ</t>
    </rPh>
    <rPh sb="72" eb="75">
      <t>ゼンガクセイ</t>
    </rPh>
    <rPh sb="76" eb="78">
      <t>リシュウ</t>
    </rPh>
    <rPh sb="84" eb="86">
      <t>ドウニュウ</t>
    </rPh>
    <rPh sb="86" eb="89">
      <t>ショネンド</t>
    </rPh>
    <rPh sb="91" eb="94">
      <t>カクガクイ</t>
    </rPh>
    <rPh sb="100" eb="102">
      <t>ヒッシュウ</t>
    </rPh>
    <rPh sb="102" eb="104">
      <t>カモク</t>
    </rPh>
    <rPh sb="105" eb="108">
      <t>イチヅ</t>
    </rPh>
    <rPh sb="120" eb="121">
      <t>シタガ</t>
    </rPh>
    <rPh sb="123" eb="125">
      <t>レイワ</t>
    </rPh>
    <rPh sb="126" eb="128">
      <t>ネンド</t>
    </rPh>
    <phoneticPr fontId="1"/>
  </si>
  <si>
    <t>　令和6年度入学生から各学位プログラムにおいて全学共通科目の必修科目としているため、毎年度すべての学生が履修することになる。
令和6年度　260名（履修者数）　260名（累計）　達成
令和7年度　260名（履修者数）　520名（累計）　予定
令和8年度　260名（履修者数）　780名（累計）　予定
令和9年度　260名（履修者数） 1040名（累計）　予定
令和6年度の進捗状況は順調であり、今後の計画に向けて順調に進んでいる。</t>
    <rPh sb="11" eb="14">
      <t>カクガクイ</t>
    </rPh>
    <rPh sb="23" eb="27">
      <t>ゼンガクキョウツウ</t>
    </rPh>
    <rPh sb="27" eb="29">
      <t>カモク</t>
    </rPh>
    <phoneticPr fontId="1"/>
  </si>
  <si>
    <t>　山梨県の職員（2名）および民間企業の方（2名）から、本教育プログラムについて内容を説明するとともに、意見を聴取した。具体的な内容は、次のとおり。
・業務効率化できるかと考える指向性やマインドを育てることができる。
・地域課題を考えることで、地域がどんなミッションを持っているのかを知ることができる。地域の課題を知っていることは地域の企業の課題を考えるのに大事な資質となる。
・EBPM（Evidence Based Policy Making）が求められている。その中でデータ分析ができないと提案ができない時代になっている。これらを大学初年度に実施できるのはとてもよいことである。
・ICTを活用して、自ら解決できるという経験を一連のプロセス（課題発見、設計、開発、実装、評価）を通じて行えるのがよい。
・ビジネスとICTを結びつけて考えられるようになる。複数の視点を持って考えられるようになるのがよい。
本プログラムの狙いと概ね合致した意見が多く、技術のみならずマインドの醸成もできている点を評価されている。</t>
    <rPh sb="59" eb="62">
      <t>グタイテキ</t>
    </rPh>
    <rPh sb="63" eb="65">
      <t>ナイヨウ</t>
    </rPh>
    <rPh sb="67" eb="68">
      <t>ツギ</t>
    </rPh>
    <phoneticPr fontId="1"/>
  </si>
  <si>
    <t>　本プログラムは令和6年度に開始し、構成する科目は、１年次の必修科目として位置付けられている。従って、1年次全員が履修しており、令和6年度のプログラム修了者は264名である。科目別にみると、データサイエンス基礎Iは、全体で 267名が履修し、266名が単位を修得した（単位修得率99.6%）。また、データサイエンス基礎Ⅱは、全体では 267名が履修し、264名が単位を修得した（単位修得率98.9%）。</t>
    <rPh sb="1" eb="2">
      <t>ホン</t>
    </rPh>
    <rPh sb="8" eb="10">
      <t>レイワ</t>
    </rPh>
    <rPh sb="11" eb="13">
      <t>ネンド</t>
    </rPh>
    <rPh sb="14" eb="16">
      <t>カイシ</t>
    </rPh>
    <rPh sb="18" eb="20">
      <t>コウセイ</t>
    </rPh>
    <rPh sb="22" eb="24">
      <t>カモク</t>
    </rPh>
    <rPh sb="27" eb="28">
      <t>ネン</t>
    </rPh>
    <rPh sb="28" eb="29">
      <t>ジ</t>
    </rPh>
    <rPh sb="30" eb="32">
      <t>ヒッシュウ</t>
    </rPh>
    <rPh sb="32" eb="34">
      <t>カモク</t>
    </rPh>
    <rPh sb="37" eb="40">
      <t>イチヅ</t>
    </rPh>
    <rPh sb="47" eb="48">
      <t>シタガ</t>
    </rPh>
    <rPh sb="52" eb="54">
      <t>ネンジ</t>
    </rPh>
    <rPh sb="54" eb="56">
      <t>ゼンイン</t>
    </rPh>
    <rPh sb="57" eb="59">
      <t>リシュウ</t>
    </rPh>
    <rPh sb="64" eb="66">
      <t>レイワ</t>
    </rPh>
    <rPh sb="67" eb="69">
      <t>ネンド</t>
    </rPh>
    <rPh sb="75" eb="78">
      <t>シュウリョウシャ</t>
    </rPh>
    <rPh sb="82" eb="83">
      <t>メイ</t>
    </rPh>
    <rPh sb="87" eb="89">
      <t>カモク</t>
    </rPh>
    <rPh sb="89" eb="90">
      <t>ベツ</t>
    </rPh>
    <rPh sb="104" eb="106">
      <t xml:space="preserve">キソ </t>
    </rPh>
    <rPh sb="109" eb="111">
      <t xml:space="preserve">ゼンタイ </t>
    </rPh>
    <rPh sb="115" eb="116">
      <t xml:space="preserve">メイ </t>
    </rPh>
    <rPh sb="117" eb="119">
      <t xml:space="preserve">リシュウシ </t>
    </rPh>
    <rPh sb="134" eb="136">
      <t>タンイ</t>
    </rPh>
    <rPh sb="136" eb="139">
      <t>シュウトクリツ</t>
    </rPh>
    <rPh sb="157" eb="159">
      <t>キソ</t>
    </rPh>
    <rPh sb="181" eb="183">
      <t>タンイ</t>
    </rPh>
    <rPh sb="189" eb="191">
      <t>タンイ</t>
    </rPh>
    <rPh sb="191" eb="194">
      <t>シュウトクリツ</t>
    </rPh>
    <phoneticPr fontId="1"/>
  </si>
  <si>
    <t>　本プログラム修了者に卒業生がいないため、対象外とする。</t>
    <rPh sb="1" eb="2">
      <t>ホン</t>
    </rPh>
    <rPh sb="13" eb="14">
      <t>セイ</t>
    </rPh>
    <rPh sb="21" eb="24">
      <t>タイショウガイ</t>
    </rPh>
    <phoneticPr fontId="1"/>
  </si>
  <si>
    <t>副学長</t>
    <rPh sb="0" eb="3">
      <t>フクガクチョウ</t>
    </rPh>
    <phoneticPr fontId="1"/>
  </si>
  <si>
    <t>八代一浩</t>
    <rPh sb="0" eb="2">
      <t>ヤツシロ</t>
    </rPh>
    <rPh sb="2" eb="4">
      <t>カズヒロ</t>
    </rPh>
    <phoneticPr fontId="1"/>
  </si>
  <si>
    <t>　成績評価については、科目の到達度を達成し単位を修得した学生の割合が高く、概ね想定していた学修成果が得らている。科目別みると、データサイエンス基礎Ⅰにおける単位修得者の成績分布はS: 68名、A:170名、B:27名、C:1名であった。データサイエンス基礎Ⅱの単位取得者の成績の布はS: 72名、A:34名、B:90名、C:67名であった。なお、不合格者に対しては、次年度に再度履修するように指導している。
　授業評価アンケートにおける「『学士力』がどの程度身につけましたか」との問いに対してプログラム全体では、5点法で4.6（データサイエンス基礎Ⅰ4.6、データサイエンス基礎Ⅱ4.5）の評価が得られており、十分な学修成果があったと言える。また、自由記述の中には「情報機器による処理・分析の技術が身についた。」と答えている学生が複数人おり、授業内でデータ分析・予測などを情報機器による処理・分析を使って行ったことにより、単にオペレーション能力が身についたばかりでなく、データ分析への応用スキルも修得できたと考えられる。</t>
    <rPh sb="1" eb="3">
      <t xml:space="preserve">ガクセイ </t>
    </rPh>
    <rPh sb="3" eb="5">
      <t>ヒョウカ</t>
    </rPh>
    <rPh sb="11" eb="13">
      <t>カモク</t>
    </rPh>
    <rPh sb="14" eb="17">
      <t>トウタツド</t>
    </rPh>
    <rPh sb="18" eb="20">
      <t>タッセイ</t>
    </rPh>
    <rPh sb="21" eb="23">
      <t>タンイ</t>
    </rPh>
    <rPh sb="24" eb="26">
      <t>シュウトク</t>
    </rPh>
    <rPh sb="28" eb="30">
      <t>ガクセイ</t>
    </rPh>
    <rPh sb="31" eb="33">
      <t>ワリアイ</t>
    </rPh>
    <rPh sb="34" eb="35">
      <t>タカ</t>
    </rPh>
    <rPh sb="37" eb="38">
      <t xml:space="preserve">オオムネ </t>
    </rPh>
    <rPh sb="39" eb="41">
      <t xml:space="preserve">ソウテイ </t>
    </rPh>
    <rPh sb="45" eb="49">
      <t xml:space="preserve">ガクシュウセイカ </t>
    </rPh>
    <rPh sb="50" eb="51">
      <t xml:space="preserve">エラレタ </t>
    </rPh>
    <rPh sb="56" eb="59">
      <t>カモクベツ</t>
    </rPh>
    <rPh sb="71" eb="73">
      <t>キソ</t>
    </rPh>
    <rPh sb="78" eb="83">
      <t>タンイシュウトクシャ</t>
    </rPh>
    <rPh sb="126" eb="128">
      <t>キソ</t>
    </rPh>
    <rPh sb="173" eb="177">
      <t>フゴウカクシャ</t>
    </rPh>
    <rPh sb="178" eb="179">
      <t>タイ</t>
    </rPh>
    <rPh sb="183" eb="186">
      <t>ジネンド</t>
    </rPh>
    <rPh sb="187" eb="189">
      <t>サイド</t>
    </rPh>
    <rPh sb="189" eb="191">
      <t>リシュウ</t>
    </rPh>
    <rPh sb="196" eb="198">
      <t>シドウ</t>
    </rPh>
    <rPh sb="272" eb="274">
      <t>キソ</t>
    </rPh>
    <rPh sb="287" eb="289">
      <t>キソ</t>
    </rPh>
    <rPh sb="317" eb="318">
      <t>イ</t>
    </rPh>
    <rPh sb="454" eb="455">
      <t xml:space="preserve">_x0000__x0001__x0002__x0005__x0004__x0004__x000C_
</t>
    </rPh>
    <phoneticPr fontId="1"/>
  </si>
  <si>
    <t xml:space="preserve">八代一浩　　　　　　副学長
山崎スコウ竜二　　地域人材養成センター・特任准教授
朱成敏　　　　　　　 国際政策学部国際コミュニケーション学科・講師
</t>
    <rPh sb="0" eb="2">
      <t>ヤツシロ</t>
    </rPh>
    <rPh sb="2" eb="4">
      <t>カズヒロ</t>
    </rPh>
    <rPh sb="10" eb="13">
      <t>フクガクチョウ</t>
    </rPh>
    <rPh sb="71" eb="73">
      <t>コウシ</t>
    </rPh>
    <phoneticPr fontId="1"/>
  </si>
  <si>
    <t>　学生アンケートの自由記述では、「自分の生活に疎遠だと思っていたデータやAIが、意外にも身近にあり驚いた。以前よりも情報機器による処理・分析を使いこなせるようになってうれしかった。」、「重回帰式を実際に自分の考えに落とし込むことができて楽しかった。」、「デジタルについて学びを深めることが出来てよかった。」、「難しくて自分にはできないとおもっていたけれどできてポジティブになった。また、使い方次第では、患者さんとのコミュニケーションなどで使えると思った。」などの回答があり、学生は科目担当者の説明や教材により理解を深めていると言える。</t>
    <rPh sb="155" eb="156">
      <t>ムズカ</t>
    </rPh>
    <rPh sb="159" eb="161">
      <t>ジブン</t>
    </rPh>
    <rPh sb="193" eb="194">
      <t>ツカ</t>
    </rPh>
    <rPh sb="195" eb="196">
      <t>カタ</t>
    </rPh>
    <rPh sb="196" eb="198">
      <t>シダイ</t>
    </rPh>
    <rPh sb="201" eb="203">
      <t>カンジャ</t>
    </rPh>
    <rPh sb="219" eb="220">
      <t>ツカ</t>
    </rPh>
    <rPh sb="223" eb="224">
      <t>オモ</t>
    </rPh>
    <rPh sb="240" eb="245">
      <t>カモクタントウシャ</t>
    </rPh>
    <rPh sb="257" eb="258">
      <t>フカ</t>
    </rPh>
    <rPh sb="263" eb="264">
      <t>イ</t>
    </rPh>
    <phoneticPr fontId="1"/>
  </si>
  <si>
    <t>　本学の授業評価アンケートの自由記述において「2年生も参戦したがっていました。」、「一つ一つ丁寧に説明して頂いたので分かりやすかった。」、「他学科の学生と交流しながら作業を進められたこと。」、「自分はパソコンが苦手なので、最初はこんあ高度な事できるわけがないと思っていたが、講義を通じてだんだん仕組みが理解できるようになったり、パソコン作業への楽しさが芽生えた。」などの肯定的な意見が多かった。</t>
    <rPh sb="14" eb="18">
      <t>ジユウキジュツ</t>
    </rPh>
    <rPh sb="97" eb="99">
      <t>ジブン</t>
    </rPh>
    <rPh sb="105" eb="107">
      <t>ニガテ</t>
    </rPh>
    <rPh sb="111" eb="113">
      <t>サイショ</t>
    </rPh>
    <rPh sb="117" eb="119">
      <t>コウド</t>
    </rPh>
    <rPh sb="120" eb="121">
      <t>コト</t>
    </rPh>
    <rPh sb="130" eb="131">
      <t>オモ</t>
    </rPh>
    <rPh sb="137" eb="139">
      <t>コウギ</t>
    </rPh>
    <rPh sb="140" eb="141">
      <t>ツウ</t>
    </rPh>
    <rPh sb="147" eb="149">
      <t>シク</t>
    </rPh>
    <rPh sb="151" eb="153">
      <t>リカイ</t>
    </rPh>
    <rPh sb="168" eb="170">
      <t>サギョウ</t>
    </rPh>
    <rPh sb="172" eb="173">
      <t>タノ</t>
    </rPh>
    <rPh sb="176" eb="178">
      <t>メバ</t>
    </rPh>
    <phoneticPr fontId="1"/>
  </si>
  <si>
    <r>
      <t>　学生にとって身近なテーマを選択して、学生に関心を持ってもらうことにまず注力した。さらに演習課題を入れて、実際に操作して実感してもらうこと、また学生同士が相談しながら進めることを設計して授業に望んだ。また、必修科目であることから、ICTスキルが低い学生も受講しているため丁寧に学生に対応することも心がけた。これらの設計通りの評価が授業評価アンケートの結果から伺える。
　一方で、ICTスキルが十分でない学生への対応については、次年度以降、1年前期に開講されるICTスキルを身につける別の科目（情報リテラシー）との連携を図り、情報機器による処理・分析の操作がスムーズに行えるように情報リテラシーの内容の変更を計画することとした。</t>
    </r>
    <r>
      <rPr>
        <sz val="12"/>
        <rFont val="ＭＳ Ｐゴシック"/>
        <family val="3"/>
        <charset val="128"/>
      </rPr>
      <t>AIやデータサイエンスに対する国の取り組みや政策については、行政機関が毎年発行する白書やガイドラインを参考にし、担当教員間で共有するとともに、教育資料の更新を行う予定である。急速に普及しているAIツールについては、その利便性と留意すべき点に焦点を当てて説明を行い、学生の思考力や創造力、そしてAIツールの活用能力がともに向上するような教育を進めていく方針である。</t>
    </r>
    <rPh sb="105" eb="107">
      <t>カモク</t>
    </rPh>
    <rPh sb="175" eb="177">
      <t>ケッカ</t>
    </rPh>
    <rPh sb="179" eb="180">
      <t>ウカガ</t>
    </rPh>
    <rPh sb="195" eb="197">
      <t>ガイネn</t>
    </rPh>
    <rPh sb="204" eb="206">
      <t>イギ</t>
    </rPh>
    <rPh sb="207" eb="209">
      <t>ジテゥ</t>
    </rPh>
    <rPh sb="218" eb="219">
      <t>クニ</t>
    </rPh>
    <rPh sb="220" eb="221">
      <t>ススメ</t>
    </rPh>
    <rPh sb="231" eb="233">
      <t>セイサク</t>
    </rPh>
    <rPh sb="234" eb="236">
      <t>カダイ</t>
    </rPh>
    <rPh sb="240" eb="243">
      <t>ジュウテn</t>
    </rPh>
    <rPh sb="244" eb="245">
      <t>トリイレ</t>
    </rPh>
    <rPh sb="249" eb="251">
      <t>ミライ</t>
    </rPh>
    <rPh sb="261" eb="263">
      <t>ヤクワリ</t>
    </rPh>
    <rPh sb="264" eb="267">
      <t>ジュウヨウ</t>
    </rPh>
    <rPh sb="325" eb="326">
      <t>タイス</t>
    </rPh>
    <rPh sb="328" eb="329">
      <t>クニ</t>
    </rPh>
    <rPh sb="335" eb="337">
      <t>セイサク</t>
    </rPh>
    <rPh sb="342" eb="343">
      <t>クニ</t>
    </rPh>
    <rPh sb="344" eb="348">
      <t>コウキョウ</t>
    </rPh>
    <rPh sb="349" eb="351">
      <t>ハッコウ</t>
    </rPh>
    <rPh sb="353" eb="355">
      <t>ハクセィオ</t>
    </rPh>
    <rPh sb="363" eb="365">
      <t>マイトセィ</t>
    </rPh>
    <rPh sb="365" eb="367">
      <t>サンコウ</t>
    </rPh>
    <rPh sb="369" eb="375">
      <t>タントウ</t>
    </rPh>
    <rPh sb="376" eb="378">
      <t>キョウユウ</t>
    </rPh>
    <rPh sb="379" eb="383">
      <t>キョウイク</t>
    </rPh>
    <rPh sb="384" eb="386">
      <t>コウシn</t>
    </rPh>
    <rPh sb="387" eb="388">
      <t>オコナウ</t>
    </rPh>
    <rPh sb="389" eb="391">
      <t>ヨテイ</t>
    </rPh>
    <rPh sb="395" eb="397">
      <t>キュウソク</t>
    </rPh>
    <rPh sb="398" eb="400">
      <t>フキュウ</t>
    </rPh>
    <rPh sb="416" eb="419">
      <t>リベn</t>
    </rPh>
    <rPh sb="420" eb="423">
      <t>チュウ</t>
    </rPh>
    <rPh sb="424" eb="426">
      <t>チュウシn</t>
    </rPh>
    <rPh sb="427" eb="429">
      <t>セツメイ</t>
    </rPh>
    <rPh sb="430" eb="431">
      <t>オコナイ</t>
    </rPh>
    <rPh sb="433" eb="435">
      <t>ガクセイ</t>
    </rPh>
    <rPh sb="443" eb="446">
      <t>カツヨウ</t>
    </rPh>
    <rPh sb="447" eb="450">
      <t>シコウ</t>
    </rPh>
    <rPh sb="451" eb="454">
      <t>ソウゾウル</t>
    </rPh>
    <rPh sb="455" eb="456">
      <t>トモニ</t>
    </rPh>
    <rPh sb="458" eb="459">
      <t>セイチョウ</t>
    </rPh>
    <rPh sb="462" eb="464">
      <t>ホウ</t>
    </rPh>
    <rPh sb="465" eb="467">
      <t>キョウイク</t>
    </rPh>
    <rPh sb="468" eb="469">
      <t>トリクミ</t>
    </rPh>
    <rPh sb="472" eb="474">
      <t>ヨテイ</t>
    </rPh>
    <phoneticPr fontId="1"/>
  </si>
  <si>
    <r>
      <t>　授業は、学科ごとにクラスがわかれており、科目担当者はそれぞれの特性に合わせた題材を提供している。具体的には、学生にとって</t>
    </r>
    <r>
      <rPr>
        <sz val="12"/>
        <rFont val="ＭＳ Ｐゴシック"/>
        <family val="3"/>
        <charset val="128"/>
      </rPr>
      <t>各学部の学びに関連する事例や、</t>
    </r>
    <r>
      <rPr>
        <sz val="12"/>
        <rFont val="ＭＳ Ｐゴシック"/>
        <family val="3"/>
        <charset val="128"/>
        <scheme val="minor"/>
      </rPr>
      <t>身近な課題、関心のある課題を取り上げているため、学ぶ楽しさや学ぶことの意義について、自分ごととして捉えることができる。授業の振り返りでは、重回帰分析等これまで扱ったことのない分析方法で、課題解決に取り組み、自ら解決策を導くことができたことに大きな達成感を持った回答した学生の意見</t>
    </r>
    <r>
      <rPr>
        <sz val="12"/>
        <rFont val="ＭＳ Ｐゴシック"/>
        <family val="3"/>
        <charset val="128"/>
      </rPr>
      <t>も見られた。このように、本授業で身につけた数理・データサイエンス・AIに関する基礎的知識や処理スキルは、今後の各学科における専門的な教育の重要な基盤となると考えられる。	
 　また、Society 5.0の概念やデータ基盤の意義、実現に必要な要素など、国が推進する未来社会像や政策、課題を重点的に取り入れることで、社会における数理・データサイエンス・AIの役割と重要性への理解を深めた。演習課題では、自治体が提供するオープンデータを活用し、地域の課題解決や活性化における数理・データサイエンス・AIの可能性を実感させた。これにより、学生は地域社会への貢献の意義と、学ぶことの意味をより深く捉えることができたと考えられる。</t>
    </r>
    <rPh sb="1" eb="3">
      <t>ジュギョウ</t>
    </rPh>
    <rPh sb="5" eb="7">
      <t>ガッカ</t>
    </rPh>
    <rPh sb="21" eb="26">
      <t>カモクタントウシャ</t>
    </rPh>
    <rPh sb="39" eb="41">
      <t>ダイザイ</t>
    </rPh>
    <rPh sb="42" eb="44">
      <t>テイキョウ</t>
    </rPh>
    <rPh sb="49" eb="52">
      <t>グタイテキ</t>
    </rPh>
    <rPh sb="61" eb="64">
      <t>カクガク</t>
    </rPh>
    <rPh sb="65" eb="66">
      <t>マナビ</t>
    </rPh>
    <rPh sb="68" eb="70">
      <t>カンレn</t>
    </rPh>
    <rPh sb="72" eb="74">
      <t>ジレイ</t>
    </rPh>
    <rPh sb="87" eb="89">
      <t>カダイ</t>
    </rPh>
    <rPh sb="90" eb="91">
      <t>ト</t>
    </rPh>
    <rPh sb="92" eb="93">
      <t>ア</t>
    </rPh>
    <rPh sb="135" eb="137">
      <t>ジュギョウ</t>
    </rPh>
    <rPh sb="138" eb="139">
      <t>フ</t>
    </rPh>
    <rPh sb="140" eb="141">
      <t>カエ</t>
    </rPh>
    <rPh sb="155" eb="156">
      <t>アツカ</t>
    </rPh>
    <rPh sb="163" eb="167">
      <t>ブンセキホウホウ</t>
    </rPh>
    <rPh sb="174" eb="175">
      <t>ト</t>
    </rPh>
    <rPh sb="176" eb="177">
      <t>ク</t>
    </rPh>
    <rPh sb="181" eb="183">
      <t>カイケツ</t>
    </rPh>
    <rPh sb="183" eb="184">
      <t>サク</t>
    </rPh>
    <rPh sb="185" eb="186">
      <t>ミチビ</t>
    </rPh>
    <rPh sb="206" eb="208">
      <t>カイトウ</t>
    </rPh>
    <rPh sb="213" eb="215">
      <t>イケn</t>
    </rPh>
    <rPh sb="219" eb="220">
      <t xml:space="preserve">ホン </t>
    </rPh>
    <rPh sb="220" eb="222">
      <t xml:space="preserve">ジュギョウ </t>
    </rPh>
    <rPh sb="223" eb="224">
      <t>ミニツケ</t>
    </rPh>
    <rPh sb="228" eb="230">
      <t>スウ</t>
    </rPh>
    <rPh sb="246" eb="249">
      <t>キソテ</t>
    </rPh>
    <rPh sb="249" eb="251">
      <t>チシキ</t>
    </rPh>
    <rPh sb="252" eb="254">
      <t>ショリ</t>
    </rPh>
    <rPh sb="259" eb="261">
      <t>コンゴ</t>
    </rPh>
    <rPh sb="262" eb="263">
      <t>オノオノ</t>
    </rPh>
    <rPh sb="263" eb="270">
      <t>ガッカ</t>
    </rPh>
    <rPh sb="270" eb="272">
      <t>キョウイク</t>
    </rPh>
    <rPh sb="276" eb="278">
      <t>ジュウヨウ</t>
    </rPh>
    <rPh sb="279" eb="281">
      <t>キバn</t>
    </rPh>
    <rPh sb="286" eb="287">
      <t>カンガエ</t>
    </rPh>
    <rPh sb="371" eb="373">
      <t>_x0000__x0001__x0002__x0005__x0005__x0002__x0008__x0015__x0005__x0011_'_x0002__x0015_*_x0002__x001A_1_x0003__x001F_=_x0003_#A_x0001_&amp;D_x0002_*H_x0002_-W_x0002_0Z_x0001_1\_x0001_2_x0002_7_x0001_8_x0001_:_x0001_=£_x0004_E®_x0001_F°_x0001_Gµ_x0002_K·_x0001_M¹_x0001_PÎ_x0002_TÕ_x0002_WÛ_x0001_ZÜ_x0002_`ß_x0001_dä_x0002_fö_x0003_iù_x0002_lü_x0002_oă_x0002_rĆ_x0001_vć_x0007_yĎ_x0002_~Ĕ_x0002_ė_x0002_Ğ_x0001_ų</t>
    </rPh>
    <phoneticPr fontId="1"/>
  </si>
  <si>
    <r>
      <t>・</t>
    </r>
    <r>
      <rPr>
        <u/>
        <sz val="9"/>
        <color theme="1"/>
        <rFont val="ＭＳ Ｐゴシック"/>
        <family val="3"/>
        <charset val="128"/>
      </rPr>
      <t>AI最新技術の活用例（深層生成モデル、強化学習、生成AI）</t>
    </r>
    <r>
      <rPr>
        <sz val="9"/>
        <color theme="1"/>
        <rFont val="ＭＳ Ｐゴシック"/>
        <family val="3"/>
        <charset val="128"/>
        <scheme val="minor"/>
      </rPr>
      <t>　　「データサイエンス基礎I」　第7回　（AI②）
・</t>
    </r>
    <r>
      <rPr>
        <u/>
        <sz val="9"/>
        <color theme="1"/>
        <rFont val="ＭＳ Ｐゴシック"/>
        <family val="3"/>
        <charset val="128"/>
      </rPr>
      <t>基盤モデル、大規模言語モデル</t>
    </r>
    <r>
      <rPr>
        <sz val="9"/>
        <color theme="1"/>
        <rFont val="ＭＳ Ｐゴシック"/>
        <family val="3"/>
        <charset val="128"/>
        <scheme val="minor"/>
      </rPr>
      <t xml:space="preserve">　「データサイエンス基礎I」　第7回　（AI②）
</t>
    </r>
    <rPh sb="0" eb="3">
      <t xml:space="preserve">テンイガクシュウ </t>
    </rPh>
    <rPh sb="4" eb="6">
      <t xml:space="preserve">シセイ </t>
    </rPh>
    <rPh sb="25" eb="27">
      <t xml:space="preserve">セイセイ </t>
    </rPh>
    <rPh sb="57" eb="59">
      <t xml:space="preserve">キバンモデル </t>
    </rPh>
    <rPh sb="63" eb="66">
      <t xml:space="preserve">ダイキボ </t>
    </rPh>
    <rPh sb="66" eb="68">
      <t xml:space="preserve">ゲンゴ </t>
    </rPh>
    <phoneticPr fontId="1"/>
  </si>
  <si>
    <r>
      <t>・</t>
    </r>
    <r>
      <rPr>
        <u/>
        <sz val="9"/>
        <color theme="1"/>
        <rFont val="ＭＳ Ｐゴシック"/>
        <family val="3"/>
        <charset val="128"/>
      </rPr>
      <t>人の行動ログデータ</t>
    </r>
    <r>
      <rPr>
        <sz val="9"/>
        <color theme="1"/>
        <rFont val="ＭＳ Ｐゴシック"/>
        <family val="3"/>
        <charset val="128"/>
        <scheme val="minor"/>
      </rPr>
      <t>　「データサイエンス基礎I」　第5回　（データの管理）
・</t>
    </r>
    <r>
      <rPr>
        <u/>
        <sz val="9"/>
        <color theme="1"/>
        <rFont val="ＭＳ Ｐゴシック"/>
        <family val="3"/>
        <charset val="128"/>
      </rPr>
      <t>構造化データ、非構造化データ（文章、画像／動画、音声／音楽など）</t>
    </r>
    <r>
      <rPr>
        <sz val="9"/>
        <color theme="1"/>
        <rFont val="ＭＳ Ｐゴシック"/>
        <family val="3"/>
        <charset val="128"/>
        <scheme val="minor"/>
      </rPr>
      <t>　「データサイエンス基礎I」　第1回　（データとデータサイエンス）
・</t>
    </r>
    <r>
      <rPr>
        <u/>
        <sz val="9"/>
        <color theme="1"/>
        <rFont val="ＭＳ Ｐゴシック"/>
        <family val="3"/>
        <charset val="128"/>
      </rPr>
      <t>データ作成</t>
    </r>
    <r>
      <rPr>
        <sz val="9"/>
        <color theme="1"/>
        <rFont val="ＭＳ Ｐゴシック"/>
        <family val="3"/>
        <charset val="128"/>
        <scheme val="minor"/>
      </rPr>
      <t>　「データサイエンス基礎I」　第1回　（データとデータサイエンス）
・</t>
    </r>
    <r>
      <rPr>
        <u/>
        <sz val="9"/>
        <color theme="1"/>
        <rFont val="ＭＳ Ｐゴシック"/>
        <family val="3"/>
        <charset val="128"/>
      </rPr>
      <t>データ作成（アノテーション）</t>
    </r>
    <r>
      <rPr>
        <sz val="9"/>
        <color theme="1"/>
        <rFont val="ＭＳ Ｐゴシック"/>
        <family val="3"/>
        <charset val="128"/>
        <scheme val="minor"/>
      </rPr>
      <t>　「データサイエンス基礎I」　第6回　（AI①）
・</t>
    </r>
    <r>
      <rPr>
        <u/>
        <sz val="9"/>
        <color theme="1"/>
        <rFont val="ＭＳ Ｐゴシック"/>
        <family val="3"/>
        <charset val="128"/>
      </rPr>
      <t>データのオープン化（オープンデータ）</t>
    </r>
    <r>
      <rPr>
        <sz val="9"/>
        <color theme="1"/>
        <rFont val="ＭＳ Ｐゴシック"/>
        <family val="3"/>
        <charset val="128"/>
        <scheme val="minor"/>
      </rPr>
      <t>　「データサイエンス基礎I」　第4回（データによる予測）</t>
    </r>
    <rPh sb="1" eb="2">
      <t xml:space="preserve">ヒト </t>
    </rPh>
    <rPh sb="3" eb="5">
      <t xml:space="preserve">コウドウ </t>
    </rPh>
    <rPh sb="13" eb="16">
      <t xml:space="preserve">コウゾウカ </t>
    </rPh>
    <rPh sb="20" eb="24">
      <t xml:space="preserve">ヒコウゾウカ </t>
    </rPh>
    <rPh sb="28" eb="30">
      <t xml:space="preserve">ブンショウ </t>
    </rPh>
    <rPh sb="31" eb="33">
      <t xml:space="preserve">ガゾウ </t>
    </rPh>
    <rPh sb="34" eb="36">
      <t xml:space="preserve">カンリ </t>
    </rPh>
    <rPh sb="134" eb="136">
      <t xml:space="preserve">キソ </t>
    </rPh>
    <rPh sb="139" eb="140">
      <t xml:space="preserve">ダイ </t>
    </rPh>
    <rPh sb="141" eb="142">
      <t xml:space="preserve">カイ </t>
    </rPh>
    <rPh sb="149" eb="151">
      <t xml:space="preserve">ヨソク </t>
    </rPh>
    <rPh sb="157" eb="159">
      <t xml:space="preserve">サクセイ </t>
    </rPh>
    <rPh sb="164" eb="166">
      <t xml:space="preserve">サクセイ </t>
    </rPh>
    <rPh sb="176" eb="177">
      <t xml:space="preserve">ダイ </t>
    </rPh>
    <rPh sb="178" eb="179">
      <t xml:space="preserve">カイ </t>
    </rPh>
    <phoneticPr fontId="1"/>
  </si>
  <si>
    <r>
      <t>・</t>
    </r>
    <r>
      <rPr>
        <u/>
        <sz val="9"/>
        <color theme="1"/>
        <rFont val="ＭＳ Ｐゴシック"/>
        <family val="3"/>
        <charset val="128"/>
      </rPr>
      <t>データ・AI活用領域の広がり（生産、消費）</t>
    </r>
    <r>
      <rPr>
        <sz val="9"/>
        <color theme="1"/>
        <rFont val="ＭＳ Ｐゴシック"/>
        <family val="3"/>
        <charset val="128"/>
        <scheme val="minor"/>
      </rPr>
      <t>　「データサイエンス基礎I」　第5回　（データの管理）、第8回　（データサイエンス・AIの倫理、AI社会）
・</t>
    </r>
    <r>
      <rPr>
        <u/>
        <sz val="9"/>
        <color theme="1"/>
        <rFont val="ＭＳ Ｐゴシック"/>
        <family val="3"/>
        <charset val="128"/>
      </rPr>
      <t>サービス</t>
    </r>
    <r>
      <rPr>
        <sz val="9"/>
        <color theme="1"/>
        <rFont val="ＭＳ Ｐゴシック"/>
        <family val="2"/>
        <charset val="128"/>
      </rPr>
      <t>　「データサイエンス基礎I」</t>
    </r>
    <r>
      <rPr>
        <sz val="9"/>
        <color theme="1"/>
        <rFont val="ＭＳ Ｐゴシック"/>
        <family val="3"/>
        <charset val="128"/>
        <scheme val="minor"/>
      </rPr>
      <t>　第5回　（データの管理）
・</t>
    </r>
    <r>
      <rPr>
        <u/>
        <sz val="9"/>
        <color theme="1"/>
        <rFont val="ＭＳ Ｐゴシック"/>
        <family val="3"/>
        <charset val="128"/>
      </rPr>
      <t>仮説検証、知識発見、新規生成</t>
    </r>
    <r>
      <rPr>
        <sz val="9"/>
        <color theme="1"/>
        <rFont val="ＭＳ Ｐゴシック"/>
        <family val="3"/>
        <charset val="128"/>
        <scheme val="minor"/>
      </rPr>
      <t>　「データサイエンス基礎I」　第6回　（AI①）
・</t>
    </r>
    <r>
      <rPr>
        <u/>
        <sz val="9"/>
        <color theme="1"/>
        <rFont val="ＭＳ Ｐゴシック"/>
        <family val="3"/>
        <charset val="128"/>
      </rPr>
      <t>対話、コンテンツ生成、翻訳・要約・執筆支援など生成AIの応用</t>
    </r>
    <r>
      <rPr>
        <sz val="9"/>
        <color theme="1"/>
        <rFont val="ＭＳ Ｐゴシック"/>
        <family val="3"/>
        <charset val="128"/>
        <scheme val="minor"/>
      </rPr>
      <t>　「データサイエンス基礎I」　第7回　（AI②）</t>
    </r>
    <rPh sb="7" eb="9">
      <t xml:space="preserve">カツヨウ </t>
    </rPh>
    <rPh sb="9" eb="11">
      <t xml:space="preserve">リョウイキ </t>
    </rPh>
    <rPh sb="12" eb="13">
      <t xml:space="preserve">ヒロガリ </t>
    </rPh>
    <rPh sb="16" eb="18">
      <t xml:space="preserve">セイサン </t>
    </rPh>
    <rPh sb="19" eb="21">
      <t xml:space="preserve">ショウヒ </t>
    </rPh>
    <rPh sb="32" eb="34">
      <t xml:space="preserve">キソ </t>
    </rPh>
    <rPh sb="55" eb="57">
      <t xml:space="preserve">リンリ </t>
    </rPh>
    <rPh sb="60" eb="62">
      <t xml:space="preserve">シャカイ </t>
    </rPh>
    <rPh sb="65" eb="67">
      <t xml:space="preserve">タイワ </t>
    </rPh>
    <rPh sb="73" eb="75">
      <t xml:space="preserve">セイセイ </t>
    </rPh>
    <rPh sb="82" eb="83">
      <t xml:space="preserve">セイセイ </t>
    </rPh>
    <rPh sb="90" eb="92">
      <t xml:space="preserve">キソ </t>
    </rPh>
    <rPh sb="95" eb="96">
      <t xml:space="preserve">ダイ </t>
    </rPh>
    <rPh sb="110" eb="114">
      <t xml:space="preserve">カセツケンショウ </t>
    </rPh>
    <rPh sb="115" eb="117">
      <t xml:space="preserve">チシキ </t>
    </rPh>
    <rPh sb="117" eb="119">
      <t xml:space="preserve">ハッケン </t>
    </rPh>
    <rPh sb="120" eb="122">
      <t xml:space="preserve">シンキ </t>
    </rPh>
    <rPh sb="122" eb="124">
      <t xml:space="preserve">セイセイ </t>
    </rPh>
    <rPh sb="134" eb="136">
      <t xml:space="preserve">キソ </t>
    </rPh>
    <rPh sb="139" eb="140">
      <t xml:space="preserve">ダイ </t>
    </rPh>
    <rPh sb="141" eb="142">
      <t xml:space="preserve">カイ </t>
    </rPh>
    <phoneticPr fontId="1"/>
  </si>
  <si>
    <r>
      <t>・</t>
    </r>
    <r>
      <rPr>
        <u/>
        <sz val="9"/>
        <color theme="1"/>
        <rFont val="ＭＳ Ｐゴシック"/>
        <family val="2"/>
        <charset val="128"/>
      </rPr>
      <t>情報セキュリティ</t>
    </r>
    <r>
      <rPr>
        <sz val="9"/>
        <color theme="1"/>
        <rFont val="ＭＳ Ｐゴシック"/>
        <family val="3"/>
        <charset val="128"/>
      </rPr>
      <t>　「データサイエンス基礎I」　第5回（データの管理）
・</t>
    </r>
    <r>
      <rPr>
        <u/>
        <sz val="9"/>
        <color theme="1"/>
        <rFont val="ＭＳ Ｐゴシック"/>
        <family val="2"/>
        <charset val="128"/>
      </rPr>
      <t>暗号化、ユーザ認証、アクセス制御</t>
    </r>
    <r>
      <rPr>
        <sz val="9"/>
        <color theme="1"/>
        <rFont val="ＭＳ Ｐゴシック"/>
        <family val="3"/>
        <charset val="128"/>
      </rPr>
      <t>　「データサイエンス基礎I」　第5回（データの管理）</t>
    </r>
    <rPh sb="1" eb="3">
      <t xml:space="preserve">ジョウホウ </t>
    </rPh>
    <rPh sb="15" eb="17">
      <t xml:space="preserve">セイギョ </t>
    </rPh>
    <rPh sb="18" eb="21">
      <t xml:space="preserve">アンゴウカ </t>
    </rPh>
    <rPh sb="36" eb="37">
      <t xml:space="preserve">キソ </t>
    </rPh>
    <rPh sb="42" eb="44">
      <t xml:space="preserve">カンリ </t>
    </rPh>
    <rPh sb="51" eb="53">
      <t xml:space="preserve">セイギョ </t>
    </rPh>
    <phoneticPr fontId="1"/>
  </si>
  <si>
    <r>
      <t>・</t>
    </r>
    <r>
      <rPr>
        <u/>
        <sz val="9"/>
        <color theme="1"/>
        <rFont val="ＭＳ Ｐゴシック"/>
        <family val="2"/>
        <charset val="128"/>
      </rPr>
      <t>データサイエンスのサイクル（課題抽出と定式化）</t>
    </r>
    <r>
      <rPr>
        <sz val="9"/>
        <color theme="1"/>
        <rFont val="ＭＳ Ｐゴシック"/>
        <family val="3"/>
        <charset val="128"/>
      </rPr>
      <t xml:space="preserve"> 
   「データサイエンス基礎I」第1回　（データとデータサイエンス）、「データサイエンス基礎II」　第5回（問題解決トレーニング）
・</t>
    </r>
    <r>
      <rPr>
        <u/>
        <sz val="9"/>
        <color theme="1"/>
        <rFont val="ＭＳ Ｐゴシック"/>
        <family val="2"/>
        <charset val="128"/>
      </rPr>
      <t>データサイエンスのサイクル（データの取得・管理・加工、結果の共有・伝達）</t>
    </r>
    <r>
      <rPr>
        <sz val="9"/>
        <color theme="1"/>
        <rFont val="ＭＳ Ｐゴシック"/>
        <family val="3"/>
        <charset val="128"/>
      </rPr>
      <t>　「データサイエンス基礎I」　第5回　（データの管理）
・</t>
    </r>
    <r>
      <rPr>
        <u/>
        <sz val="9"/>
        <color theme="1"/>
        <rFont val="ＭＳ Ｐゴシック"/>
        <family val="2"/>
        <charset val="128"/>
      </rPr>
      <t>データサイエンスのサイクル（データ解析と推論）</t>
    </r>
    <r>
      <rPr>
        <sz val="9"/>
        <color theme="1"/>
        <rFont val="ＭＳ Ｐゴシック"/>
        <family val="3"/>
        <charset val="128"/>
      </rPr>
      <t>　「データサイエンス基礎I」　第2回（データの分類）、第3回（データの分析）、第4回（データによる予測）
・</t>
    </r>
    <r>
      <rPr>
        <u/>
        <sz val="9"/>
        <color theme="1"/>
        <rFont val="ＭＳ Ｐゴシック"/>
        <family val="2"/>
        <charset val="128"/>
      </rPr>
      <t>データサイエンスのサイクル（課題解決に向けた提案）</t>
    </r>
    <r>
      <rPr>
        <sz val="9"/>
        <color theme="1"/>
        <rFont val="ＭＳ Ｐゴシック"/>
        <family val="3"/>
        <charset val="128"/>
      </rPr>
      <t>　「データサイエンス基礎II」　第2回（アルゴリズム思考ワークショップ）
・</t>
    </r>
    <r>
      <rPr>
        <u/>
        <sz val="9"/>
        <color theme="1"/>
        <rFont val="ＭＳ Ｐゴシック"/>
        <family val="2"/>
        <charset val="128"/>
      </rPr>
      <t>データ・AI利活用事例紹介（公共・サービス・インフラ）</t>
    </r>
    <r>
      <rPr>
        <sz val="9"/>
        <color theme="1"/>
        <rFont val="ＭＳ Ｐゴシック"/>
        <family val="3"/>
        <charset val="128"/>
      </rPr>
      <t xml:space="preserve">　「データサイエンス基礎I」　第1回　（データとデータサイエンス）
</t>
    </r>
    <rPh sb="15" eb="17">
      <t xml:space="preserve">カダイチュウチュツ </t>
    </rPh>
    <rPh sb="17" eb="19">
      <t xml:space="preserve">チュウシュツ </t>
    </rPh>
    <rPh sb="20" eb="23">
      <t xml:space="preserve">テイシキカ </t>
    </rPh>
    <rPh sb="37" eb="39">
      <t xml:space="preserve">キソ </t>
    </rPh>
    <rPh sb="69" eb="71">
      <t xml:space="preserve">キソ </t>
    </rPh>
    <rPh sb="75" eb="76">
      <t xml:space="preserve">ダイ </t>
    </rPh>
    <rPh sb="77" eb="78">
      <t xml:space="preserve">カイ </t>
    </rPh>
    <rPh sb="79" eb="81">
      <t xml:space="preserve">モンダイ </t>
    </rPh>
    <rPh sb="81" eb="83">
      <t xml:space="preserve">カイケツ </t>
    </rPh>
    <rPh sb="91" eb="93">
      <t xml:space="preserve">シュトク </t>
    </rPh>
    <rPh sb="94" eb="96">
      <t xml:space="preserve">カンリ </t>
    </rPh>
    <rPh sb="97" eb="99">
      <t xml:space="preserve">カコウ </t>
    </rPh>
    <rPh sb="100" eb="102">
      <t xml:space="preserve">ケッカ </t>
    </rPh>
    <rPh sb="103" eb="105">
      <t xml:space="preserve">キョウユウ </t>
    </rPh>
    <rPh sb="106" eb="108">
      <t xml:space="preserve">デンタツ </t>
    </rPh>
    <rPh sb="119" eb="121">
      <t xml:space="preserve">キソ </t>
    </rPh>
    <rPh sb="124" eb="125">
      <t xml:space="preserve">ダイ </t>
    </rPh>
    <rPh sb="126" eb="127">
      <t xml:space="preserve">カイ </t>
    </rPh>
    <rPh sb="133" eb="135">
      <t xml:space="preserve">カンリ </t>
    </rPh>
    <rPh sb="155" eb="157">
      <t xml:space="preserve">カイセキ </t>
    </rPh>
    <rPh sb="158" eb="160">
      <t xml:space="preserve">スイロン </t>
    </rPh>
    <rPh sb="170" eb="172">
      <t xml:space="preserve">キソ </t>
    </rPh>
    <rPh sb="195" eb="197">
      <t xml:space="preserve">キソ </t>
    </rPh>
    <rPh sb="203" eb="205">
      <t xml:space="preserve">シコウ </t>
    </rPh>
    <rPh sb="206" eb="208">
      <t xml:space="preserve">チイキ </t>
    </rPh>
    <rPh sb="210" eb="213">
      <t xml:space="preserve">ジブンジシン </t>
    </rPh>
    <rPh sb="217" eb="222">
      <t xml:space="preserve">セイセイ </t>
    </rPh>
    <rPh sb="225" eb="227">
      <t xml:space="preserve">ジレイ </t>
    </rPh>
    <rPh sb="227" eb="229">
      <t xml:space="preserve">ショウカイ </t>
    </rPh>
    <rPh sb="230" eb="232">
      <t xml:space="preserve">コウキョウ </t>
    </rPh>
    <rPh sb="244" eb="245">
      <t xml:space="preserve">ダイ </t>
    </rPh>
    <rPh sb="246" eb="247">
      <t xml:space="preserve">カイ </t>
    </rPh>
    <rPh sb="257" eb="259">
      <t xml:space="preserve">キソ </t>
    </rPh>
    <rPh sb="269" eb="272">
      <t xml:space="preserve">モンダイハッケン </t>
    </rPh>
    <rPh sb="273" eb="274">
      <t xml:space="preserve">カイ </t>
    </rPh>
    <rPh sb="286" eb="289">
      <t xml:space="preserve">リカツヨウ </t>
    </rPh>
    <rPh sb="289" eb="291">
      <t xml:space="preserve">ジレイ </t>
    </rPh>
    <rPh sb="291" eb="293">
      <t xml:space="preserve">ショウカイ </t>
    </rPh>
    <rPh sb="309" eb="311">
      <t xml:space="preserve">キソ </t>
    </rPh>
    <rPh sb="314" eb="315">
      <t xml:space="preserve">ダイ </t>
    </rPh>
    <rPh sb="316" eb="317">
      <t xml:space="preserve">カイ </t>
    </rPh>
    <rPh sb="322" eb="324">
      <t xml:space="preserve">ブンセキ </t>
    </rPh>
    <rPh sb="333" eb="336">
      <t xml:space="preserve">リカツヨウ </t>
    </rPh>
    <rPh sb="336" eb="338">
      <t xml:space="preserve">ジレイ </t>
    </rPh>
    <rPh sb="338" eb="340">
      <t xml:space="preserve">ショウカイ </t>
    </rPh>
    <rPh sb="341" eb="343">
      <t xml:space="preserve">コウキョウ </t>
    </rPh>
    <rPh sb="354" eb="356">
      <t xml:space="preserve">キソ </t>
    </rPh>
    <phoneticPr fontId="1"/>
  </si>
  <si>
    <r>
      <t>・</t>
    </r>
    <r>
      <rPr>
        <u/>
        <sz val="9"/>
        <color theme="1"/>
        <rFont val="ＭＳ Ｐゴシック"/>
        <family val="2"/>
        <charset val="128"/>
      </rPr>
      <t>データ表現（散布図）</t>
    </r>
    <r>
      <rPr>
        <sz val="9"/>
        <color theme="1"/>
        <rFont val="ＭＳ Ｐゴシック"/>
        <family val="2"/>
        <charset val="128"/>
      </rPr>
      <t>　</t>
    </r>
    <r>
      <rPr>
        <sz val="9"/>
        <color theme="1"/>
        <rFont val="ＭＳ Ｐゴシック"/>
        <family val="3"/>
        <charset val="128"/>
      </rPr>
      <t>「データサイエンス基礎I」　第3回　（データの分析）
・</t>
    </r>
    <r>
      <rPr>
        <u/>
        <sz val="9"/>
        <color theme="1"/>
        <rFont val="ＭＳ Ｐゴシック"/>
        <family val="2"/>
        <charset val="128"/>
      </rPr>
      <t>データの比較（条件をそろえた比較）</t>
    </r>
    <r>
      <rPr>
        <sz val="9"/>
        <color theme="1"/>
        <rFont val="ＭＳ Ｐゴシック"/>
        <family val="3"/>
        <charset val="128"/>
      </rPr>
      <t>　「データサイエンス基礎I」　第2回（データの分類）
・</t>
    </r>
    <r>
      <rPr>
        <u/>
        <sz val="9"/>
        <color theme="1"/>
        <rFont val="ＭＳ Ｐゴシック"/>
        <family val="2"/>
        <charset val="128"/>
      </rPr>
      <t>相手に的確かつ正確に情報を伝える技術や考え方（スライド作成、プレゼンテーションなど）</t>
    </r>
    <r>
      <rPr>
        <sz val="9"/>
        <color theme="1"/>
        <rFont val="ＭＳ Ｐゴシック"/>
        <family val="3"/>
        <charset val="128"/>
      </rPr>
      <t>　
   「データサイエンス基礎II」　第7回　（問題解決トレーニング（個人）・プレゼンテーション資料の準備、
    第8回 （プレゼンテーションと講座総括）</t>
    </r>
    <rPh sb="4" eb="6">
      <t xml:space="preserve">ヒョウゲン </t>
    </rPh>
    <rPh sb="21" eb="23">
      <t xml:space="preserve">キソ </t>
    </rPh>
    <rPh sb="44" eb="46">
      <t xml:space="preserve">ヒカク </t>
    </rPh>
    <rPh sb="47" eb="49">
      <t xml:space="preserve">ジョウケンヲ </t>
    </rPh>
    <rPh sb="54" eb="56">
      <t xml:space="preserve">ヒカク </t>
    </rPh>
    <rPh sb="67" eb="69">
      <t xml:space="preserve">キソ </t>
    </rPh>
    <rPh sb="72" eb="73">
      <t xml:space="preserve">ダイ </t>
    </rPh>
    <rPh sb="74" eb="75">
      <t xml:space="preserve">カイ </t>
    </rPh>
    <rPh sb="85" eb="87">
      <t xml:space="preserve">アイテニ </t>
    </rPh>
    <rPh sb="88" eb="90">
      <t xml:space="preserve">テキカク </t>
    </rPh>
    <rPh sb="92" eb="94">
      <t xml:space="preserve">セイカク </t>
    </rPh>
    <rPh sb="95" eb="97">
      <t xml:space="preserve">ジョウホウ </t>
    </rPh>
    <rPh sb="98" eb="99">
      <t xml:space="preserve">ツタエル </t>
    </rPh>
    <rPh sb="101" eb="103">
      <t xml:space="preserve">ギジュツ </t>
    </rPh>
    <rPh sb="104" eb="105">
      <t xml:space="preserve">カンガエカタ </t>
    </rPh>
    <rPh sb="112" eb="114">
      <t xml:space="preserve">サクセイ </t>
    </rPh>
    <rPh sb="137" eb="139">
      <t xml:space="preserve">キソ </t>
    </rPh>
    <rPh sb="143" eb="144">
      <t xml:space="preserve">ダイ </t>
    </rPh>
    <rPh sb="145" eb="146">
      <t xml:space="preserve">カイ </t>
    </rPh>
    <rPh sb="148" eb="150">
      <t xml:space="preserve">モンダイ </t>
    </rPh>
    <rPh sb="150" eb="152">
      <t xml:space="preserve">カイケツ </t>
    </rPh>
    <rPh sb="159" eb="161">
      <t xml:space="preserve">コジン </t>
    </rPh>
    <rPh sb="172" eb="174">
      <t xml:space="preserve">シリョウ </t>
    </rPh>
    <rPh sb="175" eb="177">
      <t xml:space="preserve">ジュンビ </t>
    </rPh>
    <rPh sb="178" eb="179">
      <t xml:space="preserve">ダイ </t>
    </rPh>
    <rPh sb="184" eb="185">
      <t xml:space="preserve">カイ </t>
    </rPh>
    <rPh sb="197" eb="199">
      <t xml:space="preserve">コウザ </t>
    </rPh>
    <rPh sb="199" eb="201">
      <t xml:space="preserve">ソウカツ ブンルイ </t>
    </rPh>
    <phoneticPr fontId="1"/>
  </si>
  <si>
    <r>
      <t>・</t>
    </r>
    <r>
      <rPr>
        <u/>
        <sz val="9"/>
        <color theme="1"/>
        <rFont val="ＭＳ Ｐゴシック"/>
        <family val="2"/>
        <charset val="128"/>
      </rPr>
      <t>データの取得（機械判読可能なデータの作成）</t>
    </r>
    <r>
      <rPr>
        <sz val="9"/>
        <color theme="1"/>
        <rFont val="ＭＳ Ｐゴシック"/>
        <family val="3"/>
        <charset val="128"/>
      </rPr>
      <t>　「データサイエンス基礎I」 　第1回（データとデータサイエンス）
・</t>
    </r>
    <r>
      <rPr>
        <u/>
        <sz val="9"/>
        <color theme="1"/>
        <rFont val="ＭＳ Ｐゴシック"/>
        <family val="2"/>
        <charset val="128"/>
      </rPr>
      <t>データの集計（和、平均）</t>
    </r>
    <r>
      <rPr>
        <sz val="9"/>
        <color theme="1"/>
        <rFont val="ＭＳ Ｐゴシック"/>
        <family val="3"/>
        <charset val="128"/>
      </rPr>
      <t>　「データサイエンス基礎I」　第2回　（データの分類）
・</t>
    </r>
    <r>
      <rPr>
        <u/>
        <sz val="9"/>
        <color theme="1"/>
        <rFont val="ＭＳ Ｐゴシック"/>
        <family val="2"/>
        <charset val="128"/>
      </rPr>
      <t>データの並び替え、ランキング</t>
    </r>
    <r>
      <rPr>
        <sz val="9"/>
        <color theme="1"/>
        <rFont val="ＭＳ Ｐゴシック"/>
        <family val="3"/>
        <charset val="128"/>
      </rPr>
      <t>　「データサイエンス基礎I」　第2回　（データの分類）
・</t>
    </r>
    <r>
      <rPr>
        <u/>
        <sz val="9"/>
        <color theme="1"/>
        <rFont val="ＭＳ Ｐゴシック"/>
        <family val="2"/>
        <charset val="128"/>
      </rPr>
      <t>データ解析ツール（スプレッドシート）</t>
    </r>
    <r>
      <rPr>
        <sz val="9"/>
        <color theme="1"/>
        <rFont val="ＭＳ Ｐゴシック"/>
        <family val="3"/>
        <charset val="128"/>
      </rPr>
      <t>　「データサイエンス基礎I」　第2回（データの分類）、第3回（データの分析）、　第4回（データによる予測）</t>
    </r>
    <rPh sb="5" eb="7">
      <t xml:space="preserve">シュトク </t>
    </rPh>
    <rPh sb="8" eb="10">
      <t xml:space="preserve">キカイ </t>
    </rPh>
    <rPh sb="10" eb="12">
      <t xml:space="preserve">ハンドク </t>
    </rPh>
    <rPh sb="12" eb="14">
      <t xml:space="preserve">カノウ </t>
    </rPh>
    <rPh sb="19" eb="21">
      <t xml:space="preserve">サクセイ </t>
    </rPh>
    <rPh sb="23" eb="24">
      <t xml:space="preserve">ダイ </t>
    </rPh>
    <rPh sb="25" eb="26">
      <t xml:space="preserve">カイ </t>
    </rPh>
    <rPh sb="47" eb="49">
      <t xml:space="preserve">シュウケイ </t>
    </rPh>
    <rPh sb="50" eb="51">
      <t xml:space="preserve">ヘイキン </t>
    </rPh>
    <rPh sb="51" eb="52">
      <t xml:space="preserve">ワ </t>
    </rPh>
    <rPh sb="53" eb="55">
      <t xml:space="preserve">ヘイキン </t>
    </rPh>
    <rPh sb="79" eb="81">
      <t xml:space="preserve">ブンルイ </t>
    </rPh>
    <rPh sb="87" eb="89">
      <t xml:space="preserve">カイセキ </t>
    </rPh>
    <rPh sb="113" eb="115">
      <t xml:space="preserve">キソ </t>
    </rPh>
    <rPh sb="119" eb="120">
      <t xml:space="preserve">ダイ </t>
    </rPh>
    <rPh sb="121" eb="122">
      <t xml:space="preserve">カイ </t>
    </rPh>
    <rPh sb="127" eb="129">
      <t xml:space="preserve">ブンルイ </t>
    </rPh>
    <rPh sb="130" eb="131">
      <t xml:space="preserve">ダイ </t>
    </rPh>
    <rPh sb="132" eb="133">
      <t xml:space="preserve">カイ </t>
    </rPh>
    <rPh sb="138" eb="140">
      <t xml:space="preserve">ブンセキ </t>
    </rPh>
    <rPh sb="142" eb="143">
      <t xml:space="preserve">ダイ </t>
    </rPh>
    <rPh sb="145" eb="146">
      <t xml:space="preserve">カイ </t>
    </rPh>
    <rPh sb="153" eb="155">
      <t xml:space="preserve">ヨソク </t>
    </rPh>
    <phoneticPr fontId="1"/>
  </si>
  <si>
    <r>
      <t>・</t>
    </r>
    <r>
      <rPr>
        <u/>
        <sz val="9"/>
        <color theme="1"/>
        <rFont val="ＭＳ Ｐゴシック"/>
        <family val="3"/>
        <charset val="128"/>
      </rPr>
      <t>データの解析：予測、グルーピング、パターン発見など</t>
    </r>
    <r>
      <rPr>
        <sz val="9"/>
        <color theme="1"/>
        <rFont val="ＭＳ Ｐゴシック"/>
        <family val="2"/>
        <charset val="128"/>
      </rPr>
      <t xml:space="preserve"> </t>
    </r>
    <r>
      <rPr>
        <sz val="9"/>
        <color theme="1"/>
        <rFont val="ＭＳ Ｐゴシック"/>
        <family val="3"/>
        <charset val="128"/>
        <scheme val="minor"/>
      </rPr>
      <t>「データサイエンス基礎I」　第2回（データの分類）、第3回（データの分析）、第4回（データによる予測）
・</t>
    </r>
    <r>
      <rPr>
        <u/>
        <sz val="9"/>
        <color theme="1"/>
        <rFont val="ＭＳ Ｐゴシック"/>
        <family val="3"/>
        <charset val="128"/>
      </rPr>
      <t>データ可視化：関係性の可視化など</t>
    </r>
    <r>
      <rPr>
        <sz val="9"/>
        <color theme="1"/>
        <rFont val="ＭＳ Ｐゴシック"/>
        <family val="3"/>
        <charset val="128"/>
        <scheme val="minor"/>
      </rPr>
      <t>　「データサイエンス基礎I」　第3回　（データ分析）　第4回（データによる予測）
・</t>
    </r>
    <r>
      <rPr>
        <u/>
        <sz val="9"/>
        <color theme="1"/>
        <rFont val="ＭＳ Ｐゴシック"/>
        <family val="3"/>
        <charset val="128"/>
      </rPr>
      <t>今のAIで出来ることと出来ないこと</t>
    </r>
    <r>
      <rPr>
        <sz val="9"/>
        <color theme="1"/>
        <rFont val="ＭＳ Ｐゴシック"/>
        <family val="3"/>
        <charset val="128"/>
        <scheme val="minor"/>
      </rPr>
      <t>　「データサイエンス基礎I」　第6回　（AI①）
・</t>
    </r>
    <r>
      <rPr>
        <u/>
        <sz val="9"/>
        <color theme="1"/>
        <rFont val="ＭＳ Ｐゴシック"/>
        <family val="3"/>
        <charset val="128"/>
      </rPr>
      <t>生成AIの活用（プロンプトエンジニアリング）</t>
    </r>
    <r>
      <rPr>
        <sz val="9"/>
        <color theme="1"/>
        <rFont val="ＭＳ Ｐゴシック"/>
        <family val="3"/>
        <charset val="128"/>
        <scheme val="minor"/>
      </rPr>
      <t xml:space="preserve">　「データサイエンス基礎I」　第7回　（AI②）
</t>
    </r>
    <rPh sb="5" eb="7">
      <t xml:space="preserve">カイセキ </t>
    </rPh>
    <rPh sb="8" eb="10">
      <t xml:space="preserve">ヨソク </t>
    </rPh>
    <rPh sb="27" eb="29">
      <t xml:space="preserve">ブンセキ </t>
    </rPh>
    <rPh sb="31" eb="32">
      <t xml:space="preserve">ダイ </t>
    </rPh>
    <rPh sb="33" eb="34">
      <t xml:space="preserve">カイ </t>
    </rPh>
    <rPh sb="41" eb="43">
      <t xml:space="preserve">ヨソク </t>
    </rPh>
    <rPh sb="49" eb="52">
      <t xml:space="preserve">カシカ </t>
    </rPh>
    <rPh sb="53" eb="56">
      <t xml:space="preserve">カンケイセイ </t>
    </rPh>
    <rPh sb="57" eb="60">
      <t xml:space="preserve">カシカ </t>
    </rPh>
    <rPh sb="72" eb="74">
      <t xml:space="preserve">キソ </t>
    </rPh>
    <rPh sb="77" eb="78">
      <t xml:space="preserve">ダイ </t>
    </rPh>
    <rPh sb="79" eb="80">
      <t xml:space="preserve">カイ </t>
    </rPh>
    <rPh sb="85" eb="87">
      <t xml:space="preserve">ブンセキ </t>
    </rPh>
    <rPh sb="89" eb="90">
      <t xml:space="preserve">ダイ </t>
    </rPh>
    <rPh sb="91" eb="92">
      <t xml:space="preserve">カイ </t>
    </rPh>
    <rPh sb="99" eb="101">
      <t xml:space="preserve">ヨソク </t>
    </rPh>
    <rPh sb="104" eb="105">
      <t xml:space="preserve">イマノ </t>
    </rPh>
    <rPh sb="109" eb="111">
      <t xml:space="preserve">デキル </t>
    </rPh>
    <rPh sb="115" eb="117">
      <t xml:space="preserve">デキナイ </t>
    </rPh>
    <rPh sb="131" eb="133">
      <t xml:space="preserve">キソ </t>
    </rPh>
    <rPh sb="136" eb="137">
      <t xml:space="preserve">ダイ </t>
    </rPh>
    <rPh sb="147" eb="149">
      <t xml:space="preserve">セイセイ </t>
    </rPh>
    <rPh sb="150" eb="152">
      <t xml:space="preserve">カツヨウ </t>
    </rPh>
    <phoneticPr fontId="1"/>
  </si>
  <si>
    <r>
      <t>・</t>
    </r>
    <r>
      <rPr>
        <u/>
        <sz val="9"/>
        <color theme="1"/>
        <rFont val="ＭＳ Ｐゴシック"/>
        <family val="2"/>
        <charset val="128"/>
      </rPr>
      <t>データの種類（量的変数、質的変数）</t>
    </r>
    <r>
      <rPr>
        <sz val="9"/>
        <color theme="1"/>
        <rFont val="ＭＳ Ｐゴシック"/>
        <family val="3"/>
        <charset val="128"/>
      </rPr>
      <t>　「データサイエンス基礎I」　第1回（データとデータサイエンス）
・</t>
    </r>
    <r>
      <rPr>
        <u/>
        <sz val="9"/>
        <color theme="1"/>
        <rFont val="ＭＳ Ｐゴシック"/>
        <family val="2"/>
        <charset val="128"/>
      </rPr>
      <t>データの分布（ヒストグラム）と代表値（平均値、中央値）</t>
    </r>
    <r>
      <rPr>
        <sz val="9"/>
        <color theme="1"/>
        <rFont val="ＭＳ Ｐゴシック"/>
        <family val="3"/>
        <charset val="128"/>
      </rPr>
      <t>　「データサイエンス基礎I」　第3回（データの分析）
・</t>
    </r>
    <r>
      <rPr>
        <u/>
        <sz val="9"/>
        <color theme="1"/>
        <rFont val="ＭＳ Ｐゴシック"/>
        <family val="2"/>
        <charset val="128"/>
      </rPr>
      <t>代表値の性質の違い</t>
    </r>
    <r>
      <rPr>
        <sz val="9"/>
        <color theme="1"/>
        <rFont val="ＭＳ Ｐゴシック"/>
        <family val="3"/>
        <charset val="128"/>
      </rPr>
      <t xml:space="preserve"> 「データサイエンス基礎I」　第3回（データの分析）
・</t>
    </r>
    <r>
      <rPr>
        <u/>
        <sz val="9"/>
        <color theme="1"/>
        <rFont val="ＭＳ Ｐゴシック"/>
        <family val="2"/>
        <charset val="128"/>
      </rPr>
      <t>観測データに含まれる誤差の扱い</t>
    </r>
    <r>
      <rPr>
        <sz val="9"/>
        <color theme="1"/>
        <rFont val="ＭＳ Ｐゴシック"/>
        <family val="3"/>
        <charset val="128"/>
      </rPr>
      <t xml:space="preserve"> 「データサイエンス基礎I」　第3回（データの分析）
・</t>
    </r>
    <r>
      <rPr>
        <u/>
        <sz val="9"/>
        <color theme="1"/>
        <rFont val="ＭＳ Ｐゴシック"/>
        <family val="2"/>
        <charset val="128"/>
      </rPr>
      <t>相関と因果（相関係数、擬似相関）</t>
    </r>
    <r>
      <rPr>
        <sz val="9"/>
        <color theme="1"/>
        <rFont val="ＭＳ Ｐゴシック"/>
        <family val="3"/>
        <charset val="128"/>
      </rPr>
      <t>　「データサイエンス基礎I」　第3回（データの分析）</t>
    </r>
    <rPh sb="5" eb="7">
      <t xml:space="preserve">シュルイ </t>
    </rPh>
    <rPh sb="8" eb="10">
      <t xml:space="preserve">リョウテキ </t>
    </rPh>
    <rPh sb="10" eb="12">
      <t xml:space="preserve">ヘンスウ </t>
    </rPh>
    <rPh sb="13" eb="15">
      <t xml:space="preserve">シツテキ </t>
    </rPh>
    <rPh sb="15" eb="17">
      <t xml:space="preserve">ヘンスウ </t>
    </rPh>
    <rPh sb="28" eb="30">
      <t xml:space="preserve">キソ </t>
    </rPh>
    <rPh sb="33" eb="34">
      <t xml:space="preserve">ダイ </t>
    </rPh>
    <rPh sb="35" eb="36">
      <t xml:space="preserve">カイ </t>
    </rPh>
    <rPh sb="56" eb="58">
      <t xml:space="preserve">ブンプ </t>
    </rPh>
    <rPh sb="67" eb="70">
      <t xml:space="preserve">ダイヒョウチ </t>
    </rPh>
    <rPh sb="71" eb="74">
      <t xml:space="preserve">ヘイキンチ </t>
    </rPh>
    <rPh sb="75" eb="78">
      <t>チュウオウ</t>
    </rPh>
    <rPh sb="89" eb="91">
      <t xml:space="preserve">キソ </t>
    </rPh>
    <rPh sb="94" eb="95">
      <t xml:space="preserve">ダイ </t>
    </rPh>
    <rPh sb="96" eb="97">
      <t xml:space="preserve">カイ </t>
    </rPh>
    <rPh sb="102" eb="104">
      <t xml:space="preserve">ブンセキ </t>
    </rPh>
    <rPh sb="107" eb="109">
      <t>ダイヒョウ</t>
    </rPh>
    <rPh sb="109" eb="110">
      <t>アタイ</t>
    </rPh>
    <rPh sb="111" eb="113">
      <t>セイシテゥ</t>
    </rPh>
    <rPh sb="114" eb="115">
      <t>チガイ</t>
    </rPh>
    <rPh sb="117" eb="119">
      <t xml:space="preserve">ソウカン </t>
    </rPh>
    <rPh sb="120" eb="122">
      <t xml:space="preserve">インガカンケイ </t>
    </rPh>
    <rPh sb="124" eb="126">
      <t xml:space="preserve">ソウカン </t>
    </rPh>
    <rPh sb="126" eb="128">
      <t xml:space="preserve">ケイスウ </t>
    </rPh>
    <rPh sb="129" eb="133">
      <t xml:space="preserve">ギジソウカン </t>
    </rPh>
    <rPh sb="159" eb="161">
      <t xml:space="preserve">キソ </t>
    </rPh>
    <rPh sb="164" eb="165">
      <t xml:space="preserve">ダイ </t>
    </rPh>
    <rPh sb="166" eb="167">
      <t xml:space="preserve">カイ </t>
    </rPh>
    <rPh sb="172" eb="174">
      <t xml:space="preserve">ブンセキ </t>
    </rPh>
    <rPh sb="175" eb="176">
      <t xml:space="preserve">ブンルイ </t>
    </rPh>
    <phoneticPr fontId="1"/>
  </si>
  <si>
    <r>
      <t>・</t>
    </r>
    <r>
      <rPr>
        <u/>
        <sz val="9"/>
        <color theme="1"/>
        <rFont val="ＭＳ Ｐゴシック"/>
        <family val="3"/>
        <charset val="128"/>
      </rPr>
      <t>IoT、データ量の増加、ビッグデータ、計算機の処理性能の向上</t>
    </r>
    <r>
      <rPr>
        <sz val="9"/>
        <color theme="1"/>
        <rFont val="ＭＳ Ｐゴシック"/>
        <family val="2"/>
        <charset val="128"/>
      </rPr>
      <t>　</t>
    </r>
    <r>
      <rPr>
        <sz val="9"/>
        <color theme="1"/>
        <rFont val="ＭＳ Ｐゴシック"/>
        <family val="3"/>
        <charset val="128"/>
        <scheme val="minor"/>
      </rPr>
      <t>「データサイエンス基礎I」　第1回　（データとデータサイエンス）
・</t>
    </r>
    <r>
      <rPr>
        <u/>
        <sz val="9"/>
        <color theme="1"/>
        <rFont val="ＭＳ Ｐゴシック"/>
        <family val="3"/>
        <charset val="128"/>
      </rPr>
      <t>AI、生成AIの利活用による社会の効率化</t>
    </r>
    <r>
      <rPr>
        <sz val="9"/>
        <color theme="1"/>
        <rFont val="ＭＳ Ｐゴシック"/>
        <family val="3"/>
        <charset val="128"/>
        <scheme val="minor"/>
      </rPr>
      <t xml:space="preserve"> 「データサイエンス基礎I」　第6回　（AI①）、第７回（AI②）
・</t>
    </r>
    <r>
      <rPr>
        <u/>
        <sz val="9"/>
        <color theme="1"/>
        <rFont val="ＭＳ Ｐゴシック"/>
        <family val="3"/>
        <charset val="128"/>
      </rPr>
      <t>Society 5.0、データ駆動型社会</t>
    </r>
    <r>
      <rPr>
        <sz val="9"/>
        <color theme="1"/>
        <rFont val="ＭＳ Ｐゴシック"/>
        <family val="3"/>
        <charset val="128"/>
        <scheme val="minor"/>
      </rPr>
      <t>　「データサイエンス基礎I」　第8回　（データサイエンス・AIの倫理、AI社会）</t>
    </r>
    <rPh sb="20" eb="23">
      <t xml:space="preserve">ケイサンキ </t>
    </rPh>
    <rPh sb="24" eb="28">
      <t xml:space="preserve">ショリセイノウ </t>
    </rPh>
    <rPh sb="29" eb="31">
      <t xml:space="preserve">コウジョウ </t>
    </rPh>
    <rPh sb="34" eb="36">
      <t xml:space="preserve">セイセイ </t>
    </rPh>
    <rPh sb="48" eb="50">
      <t xml:space="preserve">キソ </t>
    </rPh>
    <rPh sb="53" eb="54">
      <t xml:space="preserve">ダイ </t>
    </rPh>
    <rPh sb="55" eb="56">
      <t xml:space="preserve">カイ </t>
    </rPh>
    <rPh sb="63" eb="64">
      <t xml:space="preserve">ダイ </t>
    </rPh>
    <rPh sb="64" eb="65">
      <t xml:space="preserve">カイ </t>
    </rPh>
    <rPh sb="72" eb="73">
      <t xml:space="preserve">ダイ </t>
    </rPh>
    <rPh sb="74" eb="77">
      <t>リカツヨウ</t>
    </rPh>
    <rPh sb="80" eb="82">
      <t>シャカイ</t>
    </rPh>
    <rPh sb="83" eb="86">
      <t>コウリテゥ</t>
    </rPh>
    <rPh sb="87" eb="88">
      <t xml:space="preserve">ツギ </t>
    </rPh>
    <rPh sb="88" eb="90">
      <t xml:space="preserve">サンギョウ </t>
    </rPh>
    <rPh sb="90" eb="92">
      <t xml:space="preserve">カクメイ </t>
    </rPh>
    <rPh sb="108" eb="111">
      <t xml:space="preserve">クドウガタ </t>
    </rPh>
    <rPh sb="111" eb="113">
      <t xml:space="preserve">シャカイ </t>
    </rPh>
    <rPh sb="117" eb="119">
      <t xml:space="preserve">ミライシャカイ </t>
    </rPh>
    <rPh sb="136" eb="138">
      <t xml:space="preserve">リンリ </t>
    </rPh>
    <rPh sb="141" eb="143">
      <t xml:space="preserve">シャカイ </t>
    </rPh>
    <phoneticPr fontId="1"/>
  </si>
  <si>
    <r>
      <t xml:space="preserve">
・</t>
    </r>
    <r>
      <rPr>
        <u/>
        <sz val="9"/>
        <color theme="1"/>
        <rFont val="ＭＳ Ｐゴシック"/>
        <family val="2"/>
        <charset val="128"/>
      </rPr>
      <t>倫理的・法的・社会的課題（ELSI: Ethical, Legal and Social Issues)</t>
    </r>
    <r>
      <rPr>
        <sz val="9"/>
        <color theme="1"/>
        <rFont val="ＭＳ Ｐゴシック"/>
        <family val="3"/>
        <charset val="128"/>
      </rPr>
      <t>　「データサイエンス基礎I」　第8回　（データサイエンス・AIの倫理、AI社会）
・</t>
    </r>
    <r>
      <rPr>
        <u/>
        <sz val="9"/>
        <color theme="1"/>
        <rFont val="ＭＳ Ｐゴシック"/>
        <family val="2"/>
        <charset val="128"/>
      </rPr>
      <t>個人情報保護、オプトアウト</t>
    </r>
    <r>
      <rPr>
        <sz val="9"/>
        <color theme="1"/>
        <rFont val="ＭＳ Ｐゴシック"/>
        <family val="3"/>
        <charset val="128"/>
      </rPr>
      <t xml:space="preserve">　「データサイエンス基礎I」　第6回　（AI①）
</t>
    </r>
    <r>
      <rPr>
        <u/>
        <sz val="9"/>
        <color theme="1"/>
        <rFont val="ＭＳ Ｐゴシック"/>
        <family val="2"/>
        <charset val="128"/>
      </rPr>
      <t>・データガバナンス</t>
    </r>
    <r>
      <rPr>
        <sz val="9"/>
        <color theme="1"/>
        <rFont val="ＭＳ Ｐゴシック"/>
        <family val="2"/>
        <charset val="128"/>
      </rPr>
      <t xml:space="preserve"> 「データサイエンス基礎I」　</t>
    </r>
    <r>
      <rPr>
        <sz val="9"/>
        <color theme="1"/>
        <rFont val="ＭＳ Ｐゴシック"/>
        <family val="3"/>
        <charset val="128"/>
      </rPr>
      <t>第5回　（データの管理）
・</t>
    </r>
    <r>
      <rPr>
        <u/>
        <sz val="9"/>
        <color theme="1"/>
        <rFont val="ＭＳ Ｐゴシック"/>
        <family val="2"/>
        <charset val="128"/>
      </rPr>
      <t>データ・AI活用における負の事例紹介</t>
    </r>
    <r>
      <rPr>
        <sz val="9"/>
        <color theme="1"/>
        <rFont val="ＭＳ Ｐゴシック"/>
        <family val="3"/>
        <charset val="128"/>
      </rPr>
      <t>　「データサイエンス基礎I」　第6回　（AI①）
・</t>
    </r>
    <r>
      <rPr>
        <u/>
        <sz val="9"/>
        <color theme="1"/>
        <rFont val="ＭＳ Ｐゴシック"/>
        <family val="2"/>
        <charset val="128"/>
      </rPr>
      <t>生成AIの留意事項（ハルシネーションによる誤情報の生成、偽情報や有害コンテンツの生成・氾濫など）</t>
    </r>
    <r>
      <rPr>
        <sz val="9"/>
        <color theme="1"/>
        <rFont val="ＭＳ Ｐゴシック"/>
        <family val="3"/>
        <charset val="128"/>
      </rPr>
      <t>　「データサイエンス基礎I」　第6回（AI①）</t>
    </r>
    <rPh sb="2" eb="5">
      <t xml:space="preserve">リンリテキ </t>
    </rPh>
    <rPh sb="6" eb="8">
      <t xml:space="preserve">ホウテキ </t>
    </rPh>
    <rPh sb="9" eb="12">
      <t xml:space="preserve">シャカイテキ </t>
    </rPh>
    <rPh sb="12" eb="14">
      <t xml:space="preserve">カダイ </t>
    </rPh>
    <rPh sb="64" eb="66">
      <t xml:space="preserve">キソ </t>
    </rPh>
    <rPh sb="69" eb="70">
      <t xml:space="preserve">ダイ </t>
    </rPh>
    <rPh sb="71" eb="72">
      <t xml:space="preserve">カイ </t>
    </rPh>
    <rPh sb="91" eb="93">
      <t xml:space="preserve">シャカイ </t>
    </rPh>
    <rPh sb="96" eb="100">
      <t xml:space="preserve">コジンジョウホウ </t>
    </rPh>
    <rPh sb="100" eb="102">
      <t xml:space="preserve">ホゴ </t>
    </rPh>
    <rPh sb="119" eb="121">
      <t xml:space="preserve">キソ </t>
    </rPh>
    <rPh sb="124" eb="125">
      <t xml:space="preserve">ダイ </t>
    </rPh>
    <rPh sb="126" eb="127">
      <t xml:space="preserve">カイ </t>
    </rPh>
    <rPh sb="151" eb="153">
      <t xml:space="preserve">カツヨウ </t>
    </rPh>
    <rPh sb="157" eb="158">
      <t xml:space="preserve">フノ </t>
    </rPh>
    <rPh sb="159" eb="163">
      <t xml:space="preserve">ジレイショウカイ </t>
    </rPh>
    <rPh sb="173" eb="175">
      <t xml:space="preserve">キソ </t>
    </rPh>
    <rPh sb="178" eb="179">
      <t xml:space="preserve">ダイ </t>
    </rPh>
    <rPh sb="189" eb="191">
      <t xml:space="preserve">セイセイ </t>
    </rPh>
    <rPh sb="194" eb="198">
      <t xml:space="preserve">リュウイジコウ </t>
    </rPh>
    <rPh sb="210" eb="213">
      <t xml:space="preserve">ゴジョウホウ </t>
    </rPh>
    <rPh sb="214" eb="216">
      <t xml:space="preserve">セイセイ </t>
    </rPh>
    <rPh sb="217" eb="218">
      <t xml:space="preserve">ニセ </t>
    </rPh>
    <rPh sb="218" eb="220">
      <t xml:space="preserve">ジョウホウ </t>
    </rPh>
    <rPh sb="221" eb="223">
      <t xml:space="preserve">ユウガイ </t>
    </rPh>
    <rPh sb="229" eb="231">
      <t xml:space="preserve">セイセイ </t>
    </rPh>
    <rPh sb="232" eb="234">
      <t xml:space="preserve">ハンラン </t>
    </rPh>
    <rPh sb="247" eb="249">
      <t xml:space="preserve">キソ </t>
    </rPh>
    <rPh sb="252" eb="253">
      <t xml:space="preserve">ダイ </t>
    </rPh>
    <rPh sb="254" eb="255">
      <t xml:space="preserve">カイ カイ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</si>
</sst>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color theme="1"/>
      <name val="ＭＳ Ｐゴシック (本文)"/>
      <family val="3"/>
      <charset val="128"/>
    </font>
    <font>
      <sz val="12"/>
      <name val="ＭＳ Ｐゴシック"/>
      <family val="3"/>
      <charset val="128"/>
    </font>
    <font>
      <sz val="9"/>
      <color theme="1"/>
      <name val="ＭＳ Ｐゴシック"/>
      <family val="3"/>
      <charset val="128"/>
    </font>
    <font>
      <u/>
      <sz val="9"/>
      <color theme="1"/>
      <name val="ＭＳ Ｐゴシック"/>
      <family val="3"/>
      <charset val="128"/>
    </font>
    <font>
      <sz val="9"/>
      <color theme="1"/>
      <name val="ＭＳ Ｐゴシック"/>
      <family val="2"/>
      <charset val="128"/>
    </font>
    <font>
      <u/>
      <sz val="9"/>
      <color theme="1"/>
      <name val="ＭＳ Ｐゴシック"/>
      <family val="2"/>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11" fillId="0" borderId="1" xfId="0" applyFont="1" applyBorder="1" applyAlignment="1">
      <alignment horizontal="center" vertical="center"/>
    </xf>
    <xf numFmtId="0" fontId="2" fillId="0" borderId="1" xfId="0" applyFont="1" applyBorder="1" applyAlignment="1">
      <alignment horizontal="right"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15" fillId="0" borderId="32" xfId="0" applyNumberFormat="1" applyFont="1" applyBorder="1" applyAlignment="1">
      <alignment horizontal="left" vertical="center" wrapText="1"/>
    </xf>
    <xf numFmtId="49" fontId="13" fillId="0" borderId="33" xfId="0" applyNumberFormat="1" applyFont="1" applyBorder="1" applyAlignment="1">
      <alignment horizontal="left" vertical="center"/>
    </xf>
    <xf numFmtId="49" fontId="13" fillId="0" borderId="34" xfId="0" applyNumberFormat="1" applyFont="1" applyBorder="1" applyAlignment="1">
      <alignment horizontal="left" vertical="center"/>
    </xf>
    <xf numFmtId="49" fontId="15" fillId="0" borderId="29" xfId="0" applyNumberFormat="1" applyFont="1" applyBorder="1" applyAlignment="1">
      <alignment horizontal="left" vertical="center" wrapText="1"/>
    </xf>
    <xf numFmtId="49" fontId="13" fillId="0" borderId="31" xfId="0" applyNumberFormat="1" applyFont="1" applyBorder="1" applyAlignment="1">
      <alignment horizontal="left" vertical="center"/>
    </xf>
    <xf numFmtId="49" fontId="13" fillId="0" borderId="30" xfId="0" applyNumberFormat="1" applyFont="1" applyBorder="1" applyAlignment="1">
      <alignment horizontal="left" vertical="center"/>
    </xf>
    <xf numFmtId="49" fontId="15" fillId="0" borderId="18" xfId="0" applyNumberFormat="1" applyFont="1" applyBorder="1" applyAlignment="1">
      <alignment horizontal="left" vertical="center" wrapText="1"/>
    </xf>
    <xf numFmtId="49" fontId="13" fillId="0" borderId="19" xfId="0" applyNumberFormat="1" applyFont="1" applyBorder="1" applyAlignment="1">
      <alignment horizontal="left" vertical="center"/>
    </xf>
    <xf numFmtId="49" fontId="13"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1" fillId="0" borderId="37" xfId="0" applyFont="1" applyBorder="1" applyAlignment="1">
      <alignment vertical="top" wrapText="1" shrinkToFit="1"/>
    </xf>
    <xf numFmtId="0" fontId="11"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A31" zoomScaleNormal="100" zoomScaleSheetLayoutView="100" workbookViewId="0">
      <selection activeCell="AF91" sqref="AF91"/>
    </sheetView>
  </sheetViews>
  <sheetFormatPr defaultColWidth="9" defaultRowHeight="18.75" customHeight="1"/>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45" customHeight="1">
      <c r="T1" s="127" t="s">
        <v>12</v>
      </c>
      <c r="U1" s="127"/>
      <c r="V1" s="2" t="s">
        <v>94</v>
      </c>
    </row>
    <row r="2" spans="1:24" ht="18.75" customHeight="1">
      <c r="B2" s="17" t="s">
        <v>93</v>
      </c>
      <c r="C2" s="97" t="s">
        <v>144</v>
      </c>
      <c r="D2" s="98"/>
      <c r="E2" s="98"/>
      <c r="F2" s="98"/>
      <c r="G2" s="98"/>
      <c r="H2" s="98"/>
      <c r="I2" s="98"/>
      <c r="J2" s="99"/>
      <c r="K2" s="18"/>
      <c r="L2" s="6"/>
      <c r="M2" s="6"/>
      <c r="N2" s="6"/>
      <c r="O2" s="6"/>
      <c r="P2" s="6"/>
      <c r="Q2" s="6"/>
      <c r="R2" s="6"/>
      <c r="S2" s="6"/>
      <c r="T2" s="6"/>
      <c r="U2" s="6"/>
    </row>
    <row r="3" spans="1:24" ht="18.75" customHeight="1">
      <c r="B3" s="17" t="s">
        <v>88</v>
      </c>
      <c r="C3" s="97" t="s">
        <v>157</v>
      </c>
      <c r="D3" s="98"/>
      <c r="E3" s="98"/>
      <c r="F3" s="98"/>
      <c r="G3" s="98"/>
      <c r="H3" s="98"/>
      <c r="I3" s="98"/>
      <c r="J3" s="99"/>
      <c r="K3" s="18"/>
      <c r="L3" s="6"/>
      <c r="M3" s="6"/>
      <c r="N3" s="6"/>
      <c r="O3" s="6"/>
      <c r="P3" s="6"/>
      <c r="Q3" s="6"/>
      <c r="R3" s="6"/>
      <c r="S3" s="6"/>
      <c r="T3" s="6"/>
      <c r="U3" s="6"/>
    </row>
    <row r="4" spans="1:24" ht="15" customHeight="1">
      <c r="L4" s="18"/>
      <c r="M4" s="74"/>
      <c r="N4" s="74"/>
      <c r="O4" s="74"/>
      <c r="P4" s="74"/>
      <c r="Q4" s="74"/>
      <c r="R4" s="74"/>
      <c r="S4" s="74"/>
      <c r="T4" s="74"/>
      <c r="U4" s="74"/>
    </row>
    <row r="5" spans="1:24" ht="18" customHeight="1">
      <c r="A5" s="108" t="s">
        <v>141</v>
      </c>
      <c r="B5" s="108"/>
      <c r="C5" s="108"/>
      <c r="D5" s="108"/>
      <c r="E5" s="108"/>
      <c r="F5" s="108"/>
      <c r="G5" s="108"/>
      <c r="H5" s="108"/>
      <c r="I5" s="108"/>
      <c r="J5" s="108"/>
      <c r="K5" s="108"/>
      <c r="L5" s="108"/>
      <c r="M5" s="108"/>
      <c r="N5" s="108"/>
      <c r="O5" s="108"/>
      <c r="P5" s="108"/>
      <c r="Q5" s="108"/>
      <c r="R5" s="108"/>
      <c r="S5" s="108"/>
      <c r="T5" s="108"/>
      <c r="U5" s="108"/>
    </row>
    <row r="6" spans="1:24" ht="15" customHeight="1">
      <c r="B6" s="3"/>
      <c r="C6" s="3"/>
      <c r="D6" s="3"/>
      <c r="E6" s="3"/>
      <c r="F6" s="3"/>
      <c r="G6" s="3"/>
      <c r="H6" s="3"/>
      <c r="I6" s="3"/>
      <c r="J6" s="3"/>
      <c r="K6" s="3"/>
      <c r="L6" s="3"/>
      <c r="M6" s="3"/>
      <c r="N6" s="3"/>
      <c r="O6" s="3"/>
      <c r="P6" s="3"/>
      <c r="Q6" s="3"/>
      <c r="R6" s="3"/>
      <c r="S6" s="3"/>
      <c r="T6" s="3"/>
      <c r="U6" s="3"/>
    </row>
    <row r="7" spans="1:24" ht="15" customHeight="1">
      <c r="A7" s="1" t="s">
        <v>117</v>
      </c>
      <c r="B7" s="3"/>
      <c r="C7" s="3"/>
      <c r="D7" s="3"/>
      <c r="E7" s="3"/>
      <c r="F7" s="2"/>
      <c r="G7" s="2"/>
      <c r="H7" s="2"/>
      <c r="I7" s="2"/>
      <c r="J7" s="2"/>
      <c r="K7" s="2"/>
      <c r="L7" s="140" t="s">
        <v>145</v>
      </c>
      <c r="M7" s="141"/>
      <c r="N7" s="141"/>
      <c r="O7" s="141"/>
      <c r="P7" s="141"/>
      <c r="Q7" s="141"/>
      <c r="R7" s="141"/>
      <c r="S7" s="141"/>
      <c r="T7" s="141"/>
      <c r="U7" s="142"/>
    </row>
    <row r="8" spans="1:24" ht="6" customHeight="1">
      <c r="B8" s="3"/>
      <c r="C8" s="3"/>
      <c r="D8" s="3"/>
      <c r="E8" s="3"/>
      <c r="F8" s="3"/>
      <c r="G8" s="3"/>
      <c r="H8" s="3"/>
      <c r="I8" s="3"/>
      <c r="J8" s="3"/>
      <c r="K8" s="3"/>
      <c r="L8" s="3"/>
      <c r="M8" s="3"/>
      <c r="N8" s="3"/>
      <c r="O8" s="3"/>
      <c r="P8" s="3"/>
      <c r="Q8" s="3"/>
      <c r="R8" s="3"/>
      <c r="S8" s="3"/>
      <c r="T8" s="3"/>
      <c r="U8" s="3"/>
    </row>
    <row r="9" spans="1:24" ht="18" customHeight="1">
      <c r="A9" s="1" t="s">
        <v>118</v>
      </c>
      <c r="C9" s="3"/>
      <c r="D9" s="3"/>
      <c r="K9" s="18"/>
      <c r="L9" s="2"/>
      <c r="M9" s="2"/>
      <c r="N9" s="2"/>
      <c r="O9" s="2"/>
      <c r="P9" s="2"/>
      <c r="Q9" s="2"/>
      <c r="R9" s="2"/>
      <c r="S9" s="2"/>
      <c r="T9" s="2"/>
      <c r="U9" s="2"/>
    </row>
    <row r="10" spans="1:24" ht="6" customHeight="1">
      <c r="B10" s="3"/>
      <c r="C10" s="3"/>
      <c r="D10" s="3"/>
      <c r="E10" s="3"/>
      <c r="F10" s="3"/>
      <c r="G10" s="3"/>
      <c r="H10" s="3"/>
      <c r="I10" s="3"/>
      <c r="J10" s="3"/>
      <c r="K10" s="3"/>
      <c r="L10" s="10"/>
      <c r="M10" s="3"/>
      <c r="N10" s="3"/>
      <c r="O10" s="3"/>
      <c r="P10" s="3"/>
      <c r="Q10" s="3"/>
      <c r="R10" s="3"/>
      <c r="S10" s="3"/>
      <c r="T10" s="3"/>
      <c r="U10" s="3"/>
    </row>
    <row r="11" spans="1:24" ht="18" customHeight="1">
      <c r="B11" s="149"/>
      <c r="C11" s="150"/>
      <c r="D11" s="150"/>
      <c r="E11" s="150"/>
      <c r="F11" s="150"/>
      <c r="G11" s="150"/>
      <c r="H11" s="150"/>
      <c r="I11" s="150"/>
      <c r="J11" s="150"/>
      <c r="K11" s="150"/>
      <c r="L11" s="150"/>
      <c r="M11" s="150"/>
      <c r="N11" s="150"/>
      <c r="O11" s="150"/>
      <c r="P11" s="150"/>
      <c r="Q11" s="150"/>
      <c r="R11" s="150"/>
      <c r="S11" s="150"/>
      <c r="T11" s="150"/>
      <c r="U11" s="151"/>
    </row>
    <row r="12" spans="1:24" ht="18" customHeight="1">
      <c r="B12" s="152"/>
      <c r="C12" s="153"/>
      <c r="D12" s="153"/>
      <c r="E12" s="153"/>
      <c r="F12" s="153"/>
      <c r="G12" s="153"/>
      <c r="H12" s="153"/>
      <c r="I12" s="153"/>
      <c r="J12" s="153"/>
      <c r="K12" s="153"/>
      <c r="L12" s="153"/>
      <c r="M12" s="153"/>
      <c r="N12" s="153"/>
      <c r="O12" s="153"/>
      <c r="P12" s="153"/>
      <c r="Q12" s="153"/>
      <c r="R12" s="153"/>
      <c r="S12" s="153"/>
      <c r="T12" s="153"/>
      <c r="U12" s="154"/>
    </row>
    <row r="13" spans="1:24" ht="6" customHeight="1">
      <c r="B13" s="3"/>
      <c r="C13" s="3"/>
      <c r="D13" s="3"/>
      <c r="E13" s="3"/>
      <c r="F13" s="3"/>
      <c r="G13" s="3"/>
      <c r="H13" s="3"/>
      <c r="I13" s="3"/>
      <c r="J13" s="3"/>
      <c r="K13" s="3"/>
      <c r="L13" s="10"/>
      <c r="M13" s="3"/>
      <c r="N13" s="3"/>
      <c r="O13" s="3"/>
      <c r="P13" s="3"/>
      <c r="Q13" s="3"/>
      <c r="R13" s="3"/>
      <c r="S13" s="3"/>
      <c r="T13" s="3"/>
      <c r="U13" s="3"/>
    </row>
    <row r="14" spans="1:24" ht="18" customHeight="1">
      <c r="A14" s="1" t="s">
        <v>95</v>
      </c>
      <c r="B14" s="3"/>
      <c r="C14" s="3"/>
      <c r="D14" s="3"/>
      <c r="E14" s="18"/>
      <c r="F14" s="18"/>
      <c r="G14" s="18"/>
      <c r="H14" s="18"/>
      <c r="I14" s="18"/>
      <c r="J14" s="18"/>
      <c r="K14" s="18"/>
      <c r="L14" s="75"/>
      <c r="M14" s="75"/>
      <c r="N14" s="75"/>
      <c r="O14" s="75"/>
      <c r="P14" s="75"/>
      <c r="Q14" s="75"/>
      <c r="R14" s="75"/>
      <c r="S14" s="75"/>
      <c r="T14" s="75"/>
      <c r="U14" s="75"/>
    </row>
    <row r="15" spans="1:24" ht="18" customHeight="1">
      <c r="B15" s="109" t="s">
        <v>156</v>
      </c>
      <c r="C15" s="110"/>
      <c r="D15" s="110"/>
      <c r="E15" s="110"/>
      <c r="F15" s="110"/>
      <c r="G15" s="110"/>
      <c r="H15" s="110"/>
      <c r="I15" s="110"/>
      <c r="J15" s="110"/>
      <c r="K15" s="110"/>
      <c r="L15" s="110"/>
      <c r="M15" s="110"/>
      <c r="N15" s="110"/>
      <c r="O15" s="110"/>
      <c r="P15" s="110"/>
      <c r="Q15" s="110"/>
      <c r="R15" s="110"/>
      <c r="S15" s="110"/>
      <c r="T15" s="110"/>
      <c r="U15" s="111"/>
      <c r="X15" s="1" t="s">
        <v>89</v>
      </c>
    </row>
    <row r="16" spans="1:24" ht="18" customHeight="1">
      <c r="B16" s="112"/>
      <c r="C16" s="113"/>
      <c r="D16" s="113"/>
      <c r="E16" s="113"/>
      <c r="F16" s="113"/>
      <c r="G16" s="113"/>
      <c r="H16" s="113"/>
      <c r="I16" s="113"/>
      <c r="J16" s="113"/>
      <c r="K16" s="113"/>
      <c r="L16" s="113"/>
      <c r="M16" s="113"/>
      <c r="N16" s="113"/>
      <c r="O16" s="113"/>
      <c r="P16" s="113"/>
      <c r="Q16" s="113"/>
      <c r="R16" s="113"/>
      <c r="S16" s="113"/>
      <c r="T16" s="113"/>
      <c r="U16" s="114"/>
      <c r="X16" s="1" t="s">
        <v>122</v>
      </c>
    </row>
    <row r="17" spans="1:24" ht="18" customHeight="1">
      <c r="B17" s="112"/>
      <c r="C17" s="113"/>
      <c r="D17" s="113"/>
      <c r="E17" s="113"/>
      <c r="F17" s="113"/>
      <c r="G17" s="113"/>
      <c r="H17" s="113"/>
      <c r="I17" s="113"/>
      <c r="J17" s="113"/>
      <c r="K17" s="113"/>
      <c r="L17" s="113"/>
      <c r="M17" s="113"/>
      <c r="N17" s="113"/>
      <c r="O17" s="113"/>
      <c r="P17" s="113"/>
      <c r="Q17" s="113"/>
      <c r="R17" s="113"/>
      <c r="S17" s="113"/>
      <c r="T17" s="113"/>
      <c r="U17" s="114"/>
      <c r="X17" s="1" t="s">
        <v>123</v>
      </c>
    </row>
    <row r="18" spans="1:24" ht="18" customHeight="1">
      <c r="B18" s="112"/>
      <c r="C18" s="113"/>
      <c r="D18" s="113"/>
      <c r="E18" s="113"/>
      <c r="F18" s="113"/>
      <c r="G18" s="113"/>
      <c r="H18" s="113"/>
      <c r="I18" s="113"/>
      <c r="J18" s="113"/>
      <c r="K18" s="113"/>
      <c r="L18" s="113"/>
      <c r="M18" s="113"/>
      <c r="N18" s="113"/>
      <c r="O18" s="113"/>
      <c r="P18" s="113"/>
      <c r="Q18" s="113"/>
      <c r="R18" s="113"/>
      <c r="S18" s="113"/>
      <c r="T18" s="113"/>
      <c r="U18" s="114"/>
      <c r="X18" s="1" t="s">
        <v>124</v>
      </c>
    </row>
    <row r="19" spans="1:24" ht="18" customHeight="1">
      <c r="B19" s="112"/>
      <c r="C19" s="113"/>
      <c r="D19" s="113"/>
      <c r="E19" s="113"/>
      <c r="F19" s="113"/>
      <c r="G19" s="113"/>
      <c r="H19" s="113"/>
      <c r="I19" s="113"/>
      <c r="J19" s="113"/>
      <c r="K19" s="113"/>
      <c r="L19" s="113"/>
      <c r="M19" s="113"/>
      <c r="N19" s="113"/>
      <c r="O19" s="113"/>
      <c r="P19" s="113"/>
      <c r="Q19" s="113"/>
      <c r="R19" s="113"/>
      <c r="S19" s="113"/>
      <c r="T19" s="113"/>
      <c r="U19" s="114"/>
    </row>
    <row r="20" spans="1:24" ht="18" customHeight="1">
      <c r="B20" s="115"/>
      <c r="C20" s="116"/>
      <c r="D20" s="116"/>
      <c r="E20" s="116"/>
      <c r="F20" s="116"/>
      <c r="G20" s="116"/>
      <c r="H20" s="116"/>
      <c r="I20" s="116"/>
      <c r="J20" s="116"/>
      <c r="K20" s="116"/>
      <c r="L20" s="116"/>
      <c r="M20" s="116"/>
      <c r="N20" s="116"/>
      <c r="O20" s="116"/>
      <c r="P20" s="116"/>
      <c r="Q20" s="116"/>
      <c r="R20" s="116"/>
      <c r="S20" s="116"/>
      <c r="T20" s="116"/>
      <c r="U20" s="117"/>
    </row>
    <row r="21" spans="1:24" ht="7.5" customHeight="1">
      <c r="B21" s="3"/>
      <c r="C21" s="3"/>
      <c r="D21" s="3"/>
      <c r="E21" s="3"/>
      <c r="F21" s="3"/>
      <c r="G21" s="3"/>
      <c r="H21" s="3"/>
      <c r="I21" s="3"/>
      <c r="J21" s="3"/>
      <c r="K21" s="3"/>
      <c r="L21" s="3"/>
      <c r="M21" s="3"/>
      <c r="N21" s="3"/>
      <c r="O21" s="3"/>
      <c r="P21" s="3"/>
      <c r="Q21" s="3"/>
      <c r="R21" s="3"/>
      <c r="S21" s="3"/>
      <c r="T21" s="3"/>
      <c r="U21" s="3"/>
    </row>
    <row r="22" spans="1:24" ht="19.95" customHeight="1">
      <c r="B22" s="1" t="s">
        <v>119</v>
      </c>
      <c r="E22" s="83">
        <v>2</v>
      </c>
      <c r="F22" s="1" t="s">
        <v>107</v>
      </c>
      <c r="H22" s="83">
        <v>2</v>
      </c>
      <c r="I22" s="3" t="s">
        <v>108</v>
      </c>
      <c r="J22" s="3"/>
      <c r="K22" s="18"/>
      <c r="M22" s="18" t="s">
        <v>104</v>
      </c>
      <c r="N22" s="137" t="s">
        <v>122</v>
      </c>
      <c r="O22" s="138"/>
      <c r="P22" s="138"/>
      <c r="Q22" s="138"/>
      <c r="R22" s="138"/>
      <c r="S22" s="138"/>
      <c r="T22" s="138"/>
      <c r="U22" s="139"/>
    </row>
    <row r="23" spans="1:24" ht="7.5" customHeight="1">
      <c r="B23" s="3"/>
      <c r="C23" s="3"/>
      <c r="D23" s="3"/>
      <c r="E23" s="3"/>
      <c r="F23" s="3"/>
      <c r="G23" s="3"/>
      <c r="H23" s="3"/>
      <c r="I23" s="3"/>
      <c r="J23" s="3"/>
      <c r="K23" s="3"/>
      <c r="L23" s="3"/>
      <c r="M23" s="3"/>
      <c r="N23" s="3"/>
      <c r="O23" s="3"/>
      <c r="P23" s="3"/>
      <c r="Q23" s="3"/>
      <c r="R23" s="3"/>
      <c r="S23" s="3"/>
      <c r="T23" s="3"/>
      <c r="U23" s="3"/>
    </row>
    <row r="24" spans="1:24" ht="18" customHeight="1">
      <c r="A24" s="90" t="s">
        <v>96</v>
      </c>
      <c r="B24" s="90"/>
      <c r="C24" s="90"/>
      <c r="D24" s="90"/>
      <c r="E24" s="90"/>
      <c r="F24" s="90"/>
      <c r="G24" s="90"/>
      <c r="H24" s="90"/>
      <c r="I24" s="90"/>
      <c r="J24" s="90"/>
      <c r="K24" s="90"/>
      <c r="L24" s="90"/>
      <c r="M24" s="90"/>
      <c r="N24" s="90"/>
      <c r="O24" s="90"/>
      <c r="P24" s="90"/>
      <c r="Q24" s="90"/>
      <c r="R24" s="90"/>
      <c r="S24" s="90"/>
      <c r="T24" s="90"/>
      <c r="U24" s="90"/>
    </row>
    <row r="25" spans="1:24" ht="18" customHeight="1">
      <c r="A25" s="90"/>
      <c r="B25" s="90"/>
      <c r="C25" s="90"/>
      <c r="D25" s="90"/>
      <c r="E25" s="90"/>
      <c r="F25" s="90"/>
      <c r="G25" s="90"/>
      <c r="H25" s="90"/>
      <c r="I25" s="90"/>
      <c r="J25" s="90"/>
      <c r="K25" s="90"/>
      <c r="L25" s="90"/>
      <c r="M25" s="90"/>
      <c r="N25" s="90"/>
      <c r="O25" s="90"/>
      <c r="P25" s="90"/>
      <c r="Q25" s="90"/>
      <c r="R25" s="90"/>
      <c r="S25" s="90"/>
      <c r="T25" s="90"/>
      <c r="U25" s="90"/>
    </row>
    <row r="26" spans="1:24" ht="18" customHeight="1">
      <c r="B26" s="97" t="s">
        <v>48</v>
      </c>
      <c r="C26" s="98"/>
      <c r="D26" s="98"/>
      <c r="E26" s="98"/>
      <c r="F26" s="99"/>
      <c r="G26" s="60" t="s">
        <v>73</v>
      </c>
      <c r="H26" s="61" t="s">
        <v>76</v>
      </c>
      <c r="I26" s="62" t="s">
        <v>51</v>
      </c>
      <c r="J26" s="62" t="s">
        <v>54</v>
      </c>
      <c r="K26" s="97" t="s">
        <v>48</v>
      </c>
      <c r="L26" s="98"/>
      <c r="M26" s="98"/>
      <c r="N26" s="98"/>
      <c r="O26" s="98"/>
      <c r="P26" s="98"/>
      <c r="Q26" s="99"/>
      <c r="R26" s="60" t="s">
        <v>73</v>
      </c>
      <c r="S26" s="61" t="s">
        <v>76</v>
      </c>
      <c r="T26" s="62" t="s">
        <v>51</v>
      </c>
      <c r="U26" s="62" t="s">
        <v>54</v>
      </c>
    </row>
    <row r="27" spans="1:24" ht="18" customHeight="1">
      <c r="B27" s="91" t="s">
        <v>146</v>
      </c>
      <c r="C27" s="92"/>
      <c r="D27" s="92"/>
      <c r="E27" s="92"/>
      <c r="F27" s="93"/>
      <c r="G27" s="63">
        <v>1</v>
      </c>
      <c r="H27" s="63" t="s">
        <v>147</v>
      </c>
      <c r="I27" s="63" t="s">
        <v>147</v>
      </c>
      <c r="J27" s="63" t="s">
        <v>147</v>
      </c>
      <c r="K27" s="91"/>
      <c r="L27" s="92"/>
      <c r="M27" s="92"/>
      <c r="N27" s="92"/>
      <c r="O27" s="92"/>
      <c r="P27" s="92"/>
      <c r="Q27" s="93"/>
      <c r="R27" s="63"/>
      <c r="S27" s="63"/>
      <c r="T27" s="63"/>
      <c r="U27" s="63"/>
    </row>
    <row r="28" spans="1:24" ht="18" customHeight="1">
      <c r="B28" s="84" t="s">
        <v>148</v>
      </c>
      <c r="C28" s="85"/>
      <c r="D28" s="85"/>
      <c r="E28" s="85"/>
      <c r="F28" s="86"/>
      <c r="G28" s="64">
        <v>1</v>
      </c>
      <c r="H28" s="64" t="s">
        <v>147</v>
      </c>
      <c r="I28" s="64"/>
      <c r="J28" s="64"/>
      <c r="K28" s="84"/>
      <c r="L28" s="85"/>
      <c r="M28" s="85"/>
      <c r="N28" s="85"/>
      <c r="O28" s="85"/>
      <c r="P28" s="85"/>
      <c r="Q28" s="86"/>
      <c r="R28" s="64"/>
      <c r="S28" s="64"/>
      <c r="T28" s="64"/>
      <c r="U28" s="64"/>
    </row>
    <row r="29" spans="1:24" ht="18" customHeight="1">
      <c r="B29" s="84"/>
      <c r="C29" s="85"/>
      <c r="D29" s="85"/>
      <c r="E29" s="85"/>
      <c r="F29" s="86"/>
      <c r="G29" s="64"/>
      <c r="H29" s="64"/>
      <c r="I29" s="64"/>
      <c r="J29" s="64"/>
      <c r="K29" s="84"/>
      <c r="L29" s="85"/>
      <c r="M29" s="85"/>
      <c r="N29" s="85"/>
      <c r="O29" s="85"/>
      <c r="P29" s="85"/>
      <c r="Q29" s="86"/>
      <c r="R29" s="64"/>
      <c r="S29" s="64"/>
      <c r="T29" s="64"/>
      <c r="U29" s="64"/>
    </row>
    <row r="30" spans="1:24" ht="18" customHeight="1">
      <c r="B30" s="84"/>
      <c r="C30" s="85"/>
      <c r="D30" s="85"/>
      <c r="E30" s="85"/>
      <c r="F30" s="86"/>
      <c r="G30" s="64"/>
      <c r="H30" s="64"/>
      <c r="I30" s="64"/>
      <c r="J30" s="64"/>
      <c r="K30" s="84"/>
      <c r="L30" s="85"/>
      <c r="M30" s="85"/>
      <c r="N30" s="85"/>
      <c r="O30" s="85"/>
      <c r="P30" s="85"/>
      <c r="Q30" s="86"/>
      <c r="R30" s="64"/>
      <c r="S30" s="64"/>
      <c r="T30" s="64"/>
      <c r="U30" s="64"/>
    </row>
    <row r="31" spans="1:24" ht="18" customHeight="1">
      <c r="B31" s="84"/>
      <c r="C31" s="85"/>
      <c r="D31" s="85"/>
      <c r="E31" s="85"/>
      <c r="F31" s="86"/>
      <c r="G31" s="64"/>
      <c r="H31" s="64"/>
      <c r="I31" s="64"/>
      <c r="J31" s="64"/>
      <c r="K31" s="84"/>
      <c r="L31" s="85"/>
      <c r="M31" s="85"/>
      <c r="N31" s="85"/>
      <c r="O31" s="85"/>
      <c r="P31" s="85"/>
      <c r="Q31" s="86"/>
      <c r="R31" s="64"/>
      <c r="S31" s="64"/>
      <c r="T31" s="64"/>
      <c r="U31" s="64"/>
    </row>
    <row r="32" spans="1:24" ht="18" customHeight="1">
      <c r="A32" s="3"/>
      <c r="B32" s="84"/>
      <c r="C32" s="85"/>
      <c r="D32" s="85"/>
      <c r="E32" s="85"/>
      <c r="F32" s="86"/>
      <c r="G32" s="64"/>
      <c r="H32" s="64"/>
      <c r="I32" s="64"/>
      <c r="J32" s="64"/>
      <c r="K32" s="84"/>
      <c r="L32" s="85"/>
      <c r="M32" s="85"/>
      <c r="N32" s="85"/>
      <c r="O32" s="85"/>
      <c r="P32" s="85"/>
      <c r="Q32" s="86"/>
      <c r="R32" s="64"/>
      <c r="S32" s="64"/>
      <c r="T32" s="64"/>
      <c r="U32" s="64"/>
    </row>
    <row r="33" spans="1:21" ht="18" customHeight="1">
      <c r="A33" s="3"/>
      <c r="B33" s="87"/>
      <c r="C33" s="88"/>
      <c r="D33" s="88"/>
      <c r="E33" s="88"/>
      <c r="F33" s="89"/>
      <c r="G33" s="65"/>
      <c r="H33" s="65"/>
      <c r="I33" s="66"/>
      <c r="J33" s="66"/>
      <c r="K33" s="87"/>
      <c r="L33" s="88"/>
      <c r="M33" s="88"/>
      <c r="N33" s="88"/>
      <c r="O33" s="88"/>
      <c r="P33" s="88"/>
      <c r="Q33" s="89"/>
      <c r="R33" s="65"/>
      <c r="S33" s="65"/>
      <c r="T33" s="66"/>
      <c r="U33" s="66"/>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90" t="s">
        <v>97</v>
      </c>
      <c r="B35" s="90"/>
      <c r="C35" s="90"/>
      <c r="D35" s="90"/>
      <c r="E35" s="90"/>
      <c r="F35" s="90"/>
      <c r="G35" s="90"/>
      <c r="H35" s="90"/>
      <c r="I35" s="90"/>
      <c r="J35" s="90"/>
      <c r="K35" s="90"/>
      <c r="L35" s="90"/>
      <c r="M35" s="90"/>
      <c r="N35" s="90"/>
      <c r="O35" s="90"/>
      <c r="P35" s="90"/>
      <c r="Q35" s="90"/>
      <c r="R35" s="90"/>
      <c r="S35" s="90"/>
      <c r="T35" s="90"/>
      <c r="U35" s="90"/>
    </row>
    <row r="36" spans="1:21" ht="18" customHeight="1">
      <c r="A36" s="90"/>
      <c r="B36" s="90"/>
      <c r="C36" s="90"/>
      <c r="D36" s="90"/>
      <c r="E36" s="90"/>
      <c r="F36" s="90"/>
      <c r="G36" s="90"/>
      <c r="H36" s="90"/>
      <c r="I36" s="90"/>
      <c r="J36" s="90"/>
      <c r="K36" s="90"/>
      <c r="L36" s="90"/>
      <c r="M36" s="90"/>
      <c r="N36" s="90"/>
      <c r="O36" s="90"/>
      <c r="P36" s="90"/>
      <c r="Q36" s="90"/>
      <c r="R36" s="90"/>
      <c r="S36" s="90"/>
      <c r="T36" s="90"/>
      <c r="U36" s="90"/>
    </row>
    <row r="37" spans="1:21" ht="18" customHeight="1">
      <c r="B37" s="97" t="s">
        <v>48</v>
      </c>
      <c r="C37" s="98"/>
      <c r="D37" s="98"/>
      <c r="E37" s="98"/>
      <c r="F37" s="99"/>
      <c r="G37" s="60" t="s">
        <v>73</v>
      </c>
      <c r="H37" s="61" t="s">
        <v>76</v>
      </c>
      <c r="I37" s="62" t="s">
        <v>64</v>
      </c>
      <c r="J37" s="62" t="s">
        <v>65</v>
      </c>
      <c r="K37" s="97" t="s">
        <v>48</v>
      </c>
      <c r="L37" s="98"/>
      <c r="M37" s="98"/>
      <c r="N37" s="98"/>
      <c r="O37" s="98"/>
      <c r="P37" s="98"/>
      <c r="Q37" s="99"/>
      <c r="R37" s="60" t="s">
        <v>73</v>
      </c>
      <c r="S37" s="61" t="s">
        <v>76</v>
      </c>
      <c r="T37" s="62" t="s">
        <v>64</v>
      </c>
      <c r="U37" s="62" t="s">
        <v>65</v>
      </c>
    </row>
    <row r="38" spans="1:21" ht="18" customHeight="1">
      <c r="B38" s="91" t="s">
        <v>146</v>
      </c>
      <c r="C38" s="92"/>
      <c r="D38" s="92"/>
      <c r="E38" s="92"/>
      <c r="F38" s="93"/>
      <c r="G38" s="63">
        <v>1</v>
      </c>
      <c r="H38" s="63" t="s">
        <v>147</v>
      </c>
      <c r="I38" s="63" t="s">
        <v>147</v>
      </c>
      <c r="J38" s="63" t="s">
        <v>147</v>
      </c>
      <c r="K38" s="91"/>
      <c r="L38" s="92"/>
      <c r="M38" s="92"/>
      <c r="N38" s="92"/>
      <c r="O38" s="92"/>
      <c r="P38" s="92"/>
      <c r="Q38" s="93"/>
      <c r="R38" s="63"/>
      <c r="S38" s="63"/>
      <c r="T38" s="63"/>
      <c r="U38" s="63"/>
    </row>
    <row r="39" spans="1:21" ht="18" customHeight="1">
      <c r="B39" s="84" t="s">
        <v>148</v>
      </c>
      <c r="C39" s="85"/>
      <c r="D39" s="85"/>
      <c r="E39" s="85"/>
      <c r="F39" s="86"/>
      <c r="G39" s="64">
        <v>1</v>
      </c>
      <c r="H39" s="64" t="s">
        <v>147</v>
      </c>
      <c r="I39" s="64"/>
      <c r="J39" s="64"/>
      <c r="K39" s="84"/>
      <c r="L39" s="85"/>
      <c r="M39" s="85"/>
      <c r="N39" s="85"/>
      <c r="O39" s="85"/>
      <c r="P39" s="85"/>
      <c r="Q39" s="86"/>
      <c r="R39" s="64"/>
      <c r="S39" s="64"/>
      <c r="T39" s="64"/>
      <c r="U39" s="64"/>
    </row>
    <row r="40" spans="1:21" ht="18" customHeight="1">
      <c r="B40" s="84"/>
      <c r="C40" s="85"/>
      <c r="D40" s="85"/>
      <c r="E40" s="85"/>
      <c r="F40" s="86"/>
      <c r="G40" s="64"/>
      <c r="H40" s="64"/>
      <c r="I40" s="64"/>
      <c r="J40" s="64"/>
      <c r="K40" s="84"/>
      <c r="L40" s="85"/>
      <c r="M40" s="85"/>
      <c r="N40" s="85"/>
      <c r="O40" s="85"/>
      <c r="P40" s="85"/>
      <c r="Q40" s="86"/>
      <c r="R40" s="64"/>
      <c r="S40" s="64"/>
      <c r="T40" s="64"/>
      <c r="U40" s="64"/>
    </row>
    <row r="41" spans="1:21" ht="18" customHeight="1">
      <c r="B41" s="84"/>
      <c r="C41" s="85"/>
      <c r="D41" s="85"/>
      <c r="E41" s="85"/>
      <c r="F41" s="86"/>
      <c r="G41" s="64"/>
      <c r="H41" s="64"/>
      <c r="I41" s="64"/>
      <c r="J41" s="64"/>
      <c r="K41" s="84"/>
      <c r="L41" s="85"/>
      <c r="M41" s="85"/>
      <c r="N41" s="85"/>
      <c r="O41" s="85"/>
      <c r="P41" s="85"/>
      <c r="Q41" s="86"/>
      <c r="R41" s="64"/>
      <c r="S41" s="64"/>
      <c r="T41" s="64"/>
      <c r="U41" s="64"/>
    </row>
    <row r="42" spans="1:21" ht="18" customHeight="1">
      <c r="B42" s="84"/>
      <c r="C42" s="85"/>
      <c r="D42" s="85"/>
      <c r="E42" s="85"/>
      <c r="F42" s="86"/>
      <c r="G42" s="64"/>
      <c r="H42" s="64"/>
      <c r="I42" s="64"/>
      <c r="J42" s="64"/>
      <c r="K42" s="84"/>
      <c r="L42" s="85"/>
      <c r="M42" s="85"/>
      <c r="N42" s="85"/>
      <c r="O42" s="85"/>
      <c r="P42" s="85"/>
      <c r="Q42" s="86"/>
      <c r="R42" s="64"/>
      <c r="S42" s="64"/>
      <c r="T42" s="64"/>
      <c r="U42" s="64"/>
    </row>
    <row r="43" spans="1:21" ht="18" customHeight="1">
      <c r="B43" s="84"/>
      <c r="C43" s="85"/>
      <c r="D43" s="85"/>
      <c r="E43" s="85"/>
      <c r="F43" s="86"/>
      <c r="G43" s="64"/>
      <c r="H43" s="64"/>
      <c r="I43" s="64"/>
      <c r="J43" s="64"/>
      <c r="K43" s="84"/>
      <c r="L43" s="85"/>
      <c r="M43" s="85"/>
      <c r="N43" s="85"/>
      <c r="O43" s="85"/>
      <c r="P43" s="85"/>
      <c r="Q43" s="86"/>
      <c r="R43" s="64"/>
      <c r="S43" s="64"/>
      <c r="T43" s="64"/>
      <c r="U43" s="64"/>
    </row>
    <row r="44" spans="1:21" ht="18" customHeight="1">
      <c r="B44" s="87"/>
      <c r="C44" s="88"/>
      <c r="D44" s="88"/>
      <c r="E44" s="88"/>
      <c r="F44" s="89"/>
      <c r="G44" s="65"/>
      <c r="H44" s="65"/>
      <c r="I44" s="66"/>
      <c r="J44" s="66"/>
      <c r="K44" s="87"/>
      <c r="L44" s="88"/>
      <c r="M44" s="88"/>
      <c r="N44" s="88"/>
      <c r="O44" s="88"/>
      <c r="P44" s="88"/>
      <c r="Q44" s="89"/>
      <c r="R44" s="65"/>
      <c r="S44" s="65"/>
      <c r="T44" s="66"/>
      <c r="U44" s="66"/>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90" t="s">
        <v>98</v>
      </c>
      <c r="B46" s="90"/>
      <c r="C46" s="90"/>
      <c r="D46" s="90"/>
      <c r="E46" s="90"/>
      <c r="F46" s="90"/>
      <c r="G46" s="90"/>
      <c r="H46" s="90"/>
      <c r="I46" s="90"/>
      <c r="J46" s="90"/>
      <c r="K46" s="90"/>
      <c r="L46" s="90"/>
      <c r="M46" s="90"/>
      <c r="N46" s="90"/>
      <c r="O46" s="90"/>
      <c r="P46" s="90"/>
      <c r="Q46" s="90"/>
      <c r="R46" s="90"/>
      <c r="S46" s="90"/>
      <c r="T46" s="90"/>
      <c r="U46" s="90"/>
    </row>
    <row r="47" spans="1:21" ht="18" customHeight="1">
      <c r="A47" s="90"/>
      <c r="B47" s="90"/>
      <c r="C47" s="90"/>
      <c r="D47" s="90"/>
      <c r="E47" s="90"/>
      <c r="F47" s="90"/>
      <c r="G47" s="90"/>
      <c r="H47" s="90"/>
      <c r="I47" s="90"/>
      <c r="J47" s="90"/>
      <c r="K47" s="90"/>
      <c r="L47" s="90"/>
      <c r="M47" s="90"/>
      <c r="N47" s="90"/>
      <c r="O47" s="90"/>
      <c r="P47" s="90"/>
      <c r="Q47" s="90"/>
      <c r="R47" s="90"/>
      <c r="S47" s="90"/>
      <c r="T47" s="90"/>
      <c r="U47" s="90"/>
    </row>
    <row r="48" spans="1:21" ht="18" customHeight="1">
      <c r="B48" s="97" t="s">
        <v>48</v>
      </c>
      <c r="C48" s="98"/>
      <c r="D48" s="98"/>
      <c r="E48" s="98"/>
      <c r="F48" s="99"/>
      <c r="G48" s="60" t="s">
        <v>73</v>
      </c>
      <c r="H48" s="61" t="s">
        <v>76</v>
      </c>
      <c r="I48" s="62" t="s">
        <v>66</v>
      </c>
      <c r="J48" s="62" t="s">
        <v>67</v>
      </c>
      <c r="K48" s="97" t="s">
        <v>48</v>
      </c>
      <c r="L48" s="98"/>
      <c r="M48" s="98"/>
      <c r="N48" s="98"/>
      <c r="O48" s="98"/>
      <c r="P48" s="98"/>
      <c r="Q48" s="99"/>
      <c r="R48" s="60" t="s">
        <v>73</v>
      </c>
      <c r="S48" s="61" t="s">
        <v>76</v>
      </c>
      <c r="T48" s="62" t="s">
        <v>66</v>
      </c>
      <c r="U48" s="62" t="s">
        <v>67</v>
      </c>
    </row>
    <row r="49" spans="1:21" ht="18" customHeight="1">
      <c r="A49" s="3"/>
      <c r="B49" s="91" t="s">
        <v>146</v>
      </c>
      <c r="C49" s="92"/>
      <c r="D49" s="92"/>
      <c r="E49" s="92"/>
      <c r="F49" s="93"/>
      <c r="G49" s="63">
        <v>1</v>
      </c>
      <c r="H49" s="63" t="s">
        <v>147</v>
      </c>
      <c r="I49" s="63" t="s">
        <v>147</v>
      </c>
      <c r="J49" s="63" t="s">
        <v>147</v>
      </c>
      <c r="K49" s="91"/>
      <c r="L49" s="92"/>
      <c r="M49" s="92"/>
      <c r="N49" s="92"/>
      <c r="O49" s="92"/>
      <c r="P49" s="92"/>
      <c r="Q49" s="93"/>
      <c r="R49" s="63"/>
      <c r="S49" s="63"/>
      <c r="T49" s="63"/>
      <c r="U49" s="63"/>
    </row>
    <row r="50" spans="1:21" ht="18" customHeight="1">
      <c r="A50" s="3"/>
      <c r="B50" s="84" t="s">
        <v>148</v>
      </c>
      <c r="C50" s="85"/>
      <c r="D50" s="85"/>
      <c r="E50" s="85"/>
      <c r="F50" s="86"/>
      <c r="G50" s="64">
        <v>1</v>
      </c>
      <c r="H50" s="64" t="s">
        <v>147</v>
      </c>
      <c r="I50" s="64"/>
      <c r="J50" s="64" t="s">
        <v>147</v>
      </c>
      <c r="K50" s="84"/>
      <c r="L50" s="85"/>
      <c r="M50" s="85"/>
      <c r="N50" s="85"/>
      <c r="O50" s="85"/>
      <c r="P50" s="85"/>
      <c r="Q50" s="86"/>
      <c r="R50" s="64"/>
      <c r="S50" s="64"/>
      <c r="T50" s="64"/>
      <c r="U50" s="64"/>
    </row>
    <row r="51" spans="1:21" ht="18" customHeight="1">
      <c r="A51" s="3"/>
      <c r="B51" s="84"/>
      <c r="C51" s="85"/>
      <c r="D51" s="85"/>
      <c r="E51" s="85"/>
      <c r="F51" s="86"/>
      <c r="G51" s="64"/>
      <c r="H51" s="64"/>
      <c r="I51" s="64"/>
      <c r="J51" s="64"/>
      <c r="K51" s="84"/>
      <c r="L51" s="85"/>
      <c r="M51" s="85"/>
      <c r="N51" s="85"/>
      <c r="O51" s="85"/>
      <c r="P51" s="85"/>
      <c r="Q51" s="86"/>
      <c r="R51" s="64"/>
      <c r="S51" s="64"/>
      <c r="T51" s="64"/>
      <c r="U51" s="64"/>
    </row>
    <row r="52" spans="1:21" ht="18" customHeight="1">
      <c r="A52" s="3"/>
      <c r="B52" s="84"/>
      <c r="C52" s="85"/>
      <c r="D52" s="85"/>
      <c r="E52" s="85"/>
      <c r="F52" s="86"/>
      <c r="G52" s="64"/>
      <c r="H52" s="64"/>
      <c r="I52" s="64"/>
      <c r="J52" s="64"/>
      <c r="K52" s="84"/>
      <c r="L52" s="85"/>
      <c r="M52" s="85"/>
      <c r="N52" s="85"/>
      <c r="O52" s="85"/>
      <c r="P52" s="85"/>
      <c r="Q52" s="86"/>
      <c r="R52" s="64"/>
      <c r="S52" s="64"/>
      <c r="T52" s="64"/>
      <c r="U52" s="64"/>
    </row>
    <row r="53" spans="1:21" ht="18" customHeight="1">
      <c r="A53" s="3"/>
      <c r="B53" s="84"/>
      <c r="C53" s="85"/>
      <c r="D53" s="85"/>
      <c r="E53" s="85"/>
      <c r="F53" s="86"/>
      <c r="G53" s="64"/>
      <c r="H53" s="64"/>
      <c r="I53" s="64"/>
      <c r="J53" s="64"/>
      <c r="K53" s="84"/>
      <c r="L53" s="85"/>
      <c r="M53" s="85"/>
      <c r="N53" s="85"/>
      <c r="O53" s="85"/>
      <c r="P53" s="85"/>
      <c r="Q53" s="86"/>
      <c r="R53" s="64"/>
      <c r="S53" s="64"/>
      <c r="T53" s="64"/>
      <c r="U53" s="64"/>
    </row>
    <row r="54" spans="1:21" ht="18" customHeight="1">
      <c r="A54" s="3"/>
      <c r="B54" s="84"/>
      <c r="C54" s="85"/>
      <c r="D54" s="85"/>
      <c r="E54" s="85"/>
      <c r="F54" s="86"/>
      <c r="G54" s="64"/>
      <c r="H54" s="64"/>
      <c r="I54" s="64"/>
      <c r="J54" s="64"/>
      <c r="K54" s="84"/>
      <c r="L54" s="85"/>
      <c r="M54" s="85"/>
      <c r="N54" s="85"/>
      <c r="O54" s="85"/>
      <c r="P54" s="85"/>
      <c r="Q54" s="86"/>
      <c r="R54" s="64"/>
      <c r="S54" s="64"/>
      <c r="T54" s="64"/>
      <c r="U54" s="64"/>
    </row>
    <row r="55" spans="1:21" ht="18" customHeight="1">
      <c r="A55" s="3"/>
      <c r="B55" s="87"/>
      <c r="C55" s="88"/>
      <c r="D55" s="88"/>
      <c r="E55" s="88"/>
      <c r="F55" s="89"/>
      <c r="G55" s="65"/>
      <c r="H55" s="65"/>
      <c r="I55" s="66"/>
      <c r="J55" s="66"/>
      <c r="K55" s="87"/>
      <c r="L55" s="88"/>
      <c r="M55" s="88"/>
      <c r="N55" s="88"/>
      <c r="O55" s="88"/>
      <c r="P55" s="88"/>
      <c r="Q55" s="89"/>
      <c r="R55" s="65"/>
      <c r="S55" s="65"/>
      <c r="T55" s="66"/>
      <c r="U55" s="66"/>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90" t="s">
        <v>99</v>
      </c>
      <c r="B57" s="90"/>
      <c r="C57" s="90"/>
      <c r="D57" s="90"/>
      <c r="E57" s="90"/>
      <c r="F57" s="90"/>
      <c r="G57" s="90"/>
      <c r="H57" s="90"/>
      <c r="I57" s="90"/>
      <c r="J57" s="90"/>
      <c r="K57" s="90"/>
      <c r="L57" s="90"/>
      <c r="M57" s="90"/>
      <c r="N57" s="90"/>
      <c r="O57" s="90"/>
      <c r="P57" s="90"/>
      <c r="Q57" s="90"/>
      <c r="R57" s="90"/>
      <c r="S57" s="90"/>
      <c r="T57" s="90"/>
      <c r="U57" s="90"/>
    </row>
    <row r="58" spans="1:21" ht="18" customHeight="1">
      <c r="A58" s="90"/>
      <c r="B58" s="90"/>
      <c r="C58" s="90"/>
      <c r="D58" s="90"/>
      <c r="E58" s="90"/>
      <c r="F58" s="90"/>
      <c r="G58" s="90"/>
      <c r="H58" s="90"/>
      <c r="I58" s="90"/>
      <c r="J58" s="90"/>
      <c r="K58" s="90"/>
      <c r="L58" s="90"/>
      <c r="M58" s="90"/>
      <c r="N58" s="90"/>
      <c r="O58" s="90"/>
      <c r="P58" s="90"/>
      <c r="Q58" s="90"/>
      <c r="R58" s="90"/>
      <c r="S58" s="90"/>
      <c r="T58" s="90"/>
      <c r="U58" s="90"/>
    </row>
    <row r="59" spans="1:21" ht="18" customHeight="1">
      <c r="B59" s="97" t="s">
        <v>48</v>
      </c>
      <c r="C59" s="98"/>
      <c r="D59" s="98"/>
      <c r="E59" s="98"/>
      <c r="F59" s="99"/>
      <c r="G59" s="60" t="s">
        <v>73</v>
      </c>
      <c r="H59" s="61" t="s">
        <v>76</v>
      </c>
      <c r="I59" s="62" t="s">
        <v>53</v>
      </c>
      <c r="J59" s="62" t="s">
        <v>55</v>
      </c>
      <c r="K59" s="97" t="s">
        <v>48</v>
      </c>
      <c r="L59" s="98"/>
      <c r="M59" s="98"/>
      <c r="N59" s="98"/>
      <c r="O59" s="98"/>
      <c r="P59" s="98"/>
      <c r="Q59" s="99"/>
      <c r="R59" s="60" t="s">
        <v>73</v>
      </c>
      <c r="S59" s="61" t="s">
        <v>76</v>
      </c>
      <c r="T59" s="62" t="s">
        <v>53</v>
      </c>
      <c r="U59" s="62" t="s">
        <v>55</v>
      </c>
    </row>
    <row r="60" spans="1:21" ht="18" customHeight="1">
      <c r="A60" s="3"/>
      <c r="B60" s="91" t="s">
        <v>146</v>
      </c>
      <c r="C60" s="92"/>
      <c r="D60" s="92"/>
      <c r="E60" s="92"/>
      <c r="F60" s="93"/>
      <c r="G60" s="63">
        <v>1</v>
      </c>
      <c r="H60" s="63" t="s">
        <v>147</v>
      </c>
      <c r="I60" s="63" t="s">
        <v>147</v>
      </c>
      <c r="J60" s="63" t="s">
        <v>147</v>
      </c>
      <c r="K60" s="91"/>
      <c r="L60" s="92"/>
      <c r="M60" s="92"/>
      <c r="N60" s="92"/>
      <c r="O60" s="92"/>
      <c r="P60" s="92"/>
      <c r="Q60" s="93"/>
      <c r="R60" s="63"/>
      <c r="S60" s="63"/>
      <c r="T60" s="63"/>
      <c r="U60" s="63"/>
    </row>
    <row r="61" spans="1:21" ht="18" customHeight="1">
      <c r="A61" s="3"/>
      <c r="B61" s="84" t="s">
        <v>148</v>
      </c>
      <c r="C61" s="85"/>
      <c r="D61" s="85"/>
      <c r="E61" s="85"/>
      <c r="F61" s="86"/>
      <c r="G61" s="64">
        <v>1</v>
      </c>
      <c r="H61" s="64" t="s">
        <v>147</v>
      </c>
      <c r="I61" s="64"/>
      <c r="J61" s="64"/>
      <c r="K61" s="84"/>
      <c r="L61" s="85"/>
      <c r="M61" s="85"/>
      <c r="N61" s="85"/>
      <c r="O61" s="85"/>
      <c r="P61" s="85"/>
      <c r="Q61" s="86"/>
      <c r="R61" s="64"/>
      <c r="S61" s="64"/>
      <c r="T61" s="64"/>
      <c r="U61" s="64"/>
    </row>
    <row r="62" spans="1:21" ht="18" customHeight="1">
      <c r="A62" s="3"/>
      <c r="B62" s="84"/>
      <c r="C62" s="85"/>
      <c r="D62" s="85"/>
      <c r="E62" s="85"/>
      <c r="F62" s="86"/>
      <c r="G62" s="64"/>
      <c r="H62" s="64"/>
      <c r="I62" s="64"/>
      <c r="J62" s="64"/>
      <c r="K62" s="84"/>
      <c r="L62" s="85"/>
      <c r="M62" s="85"/>
      <c r="N62" s="85"/>
      <c r="O62" s="85"/>
      <c r="P62" s="85"/>
      <c r="Q62" s="86"/>
      <c r="R62" s="64"/>
      <c r="S62" s="64"/>
      <c r="T62" s="64"/>
      <c r="U62" s="64"/>
    </row>
    <row r="63" spans="1:21" ht="18" customHeight="1">
      <c r="A63" s="3"/>
      <c r="B63" s="84"/>
      <c r="C63" s="85"/>
      <c r="D63" s="85"/>
      <c r="E63" s="85"/>
      <c r="F63" s="86"/>
      <c r="G63" s="64"/>
      <c r="H63" s="64"/>
      <c r="I63" s="64"/>
      <c r="J63" s="64"/>
      <c r="K63" s="84"/>
      <c r="L63" s="85"/>
      <c r="M63" s="85"/>
      <c r="N63" s="85"/>
      <c r="O63" s="85"/>
      <c r="P63" s="85"/>
      <c r="Q63" s="86"/>
      <c r="R63" s="64"/>
      <c r="S63" s="64"/>
      <c r="T63" s="64"/>
      <c r="U63" s="64"/>
    </row>
    <row r="64" spans="1:21" ht="18" customHeight="1">
      <c r="A64" s="3"/>
      <c r="B64" s="84"/>
      <c r="C64" s="85"/>
      <c r="D64" s="85"/>
      <c r="E64" s="85"/>
      <c r="F64" s="86"/>
      <c r="G64" s="64"/>
      <c r="H64" s="64"/>
      <c r="I64" s="64"/>
      <c r="J64" s="64"/>
      <c r="K64" s="84"/>
      <c r="L64" s="85"/>
      <c r="M64" s="85"/>
      <c r="N64" s="85"/>
      <c r="O64" s="85"/>
      <c r="P64" s="85"/>
      <c r="Q64" s="86"/>
      <c r="R64" s="64"/>
      <c r="S64" s="64"/>
      <c r="T64" s="64"/>
      <c r="U64" s="64"/>
    </row>
    <row r="65" spans="1:27" ht="18" customHeight="1">
      <c r="A65" s="3"/>
      <c r="B65" s="84"/>
      <c r="C65" s="85"/>
      <c r="D65" s="85"/>
      <c r="E65" s="85"/>
      <c r="F65" s="86"/>
      <c r="G65" s="64"/>
      <c r="H65" s="64"/>
      <c r="I65" s="64"/>
      <c r="J65" s="64"/>
      <c r="K65" s="84"/>
      <c r="L65" s="85"/>
      <c r="M65" s="85"/>
      <c r="N65" s="85"/>
      <c r="O65" s="85"/>
      <c r="P65" s="85"/>
      <c r="Q65" s="86"/>
      <c r="R65" s="64"/>
      <c r="S65" s="64"/>
      <c r="T65" s="64"/>
      <c r="U65" s="64"/>
    </row>
    <row r="66" spans="1:27" ht="18" customHeight="1">
      <c r="A66" s="3"/>
      <c r="B66" s="87"/>
      <c r="C66" s="88"/>
      <c r="D66" s="88"/>
      <c r="E66" s="88"/>
      <c r="F66" s="89"/>
      <c r="G66" s="65"/>
      <c r="H66" s="65"/>
      <c r="I66" s="66"/>
      <c r="J66" s="66"/>
      <c r="K66" s="87"/>
      <c r="L66" s="88"/>
      <c r="M66" s="88"/>
      <c r="N66" s="88"/>
      <c r="O66" s="88"/>
      <c r="P66" s="88"/>
      <c r="Q66" s="89"/>
      <c r="R66" s="65"/>
      <c r="S66" s="65"/>
      <c r="T66" s="66"/>
      <c r="U66" s="66"/>
    </row>
    <row r="67" spans="1:27" ht="7.5" customHeight="1">
      <c r="B67" s="14"/>
      <c r="C67" s="14"/>
      <c r="D67" s="14"/>
      <c r="E67" s="14"/>
      <c r="F67" s="14"/>
      <c r="G67" s="14"/>
      <c r="H67" s="14"/>
      <c r="I67" s="14"/>
      <c r="J67" s="14"/>
      <c r="K67" s="14"/>
      <c r="L67" s="14"/>
      <c r="M67" s="14"/>
      <c r="N67" s="14"/>
      <c r="O67" s="14"/>
      <c r="P67" s="14"/>
      <c r="Q67" s="14"/>
      <c r="R67" s="14"/>
      <c r="S67" s="14"/>
      <c r="T67" s="14"/>
    </row>
    <row r="68" spans="1:27" ht="18" customHeight="1">
      <c r="A68" s="90" t="s">
        <v>100</v>
      </c>
      <c r="B68" s="90"/>
      <c r="C68" s="90"/>
      <c r="D68" s="90"/>
      <c r="E68" s="90"/>
      <c r="F68" s="90"/>
      <c r="G68" s="90"/>
      <c r="H68" s="90"/>
      <c r="I68" s="90"/>
      <c r="J68" s="90"/>
      <c r="K68" s="90"/>
      <c r="L68" s="90"/>
      <c r="M68" s="90"/>
      <c r="N68" s="90"/>
      <c r="O68" s="90"/>
      <c r="P68" s="90"/>
      <c r="Q68" s="90"/>
      <c r="R68" s="90"/>
      <c r="S68" s="90"/>
      <c r="T68" s="90"/>
      <c r="U68" s="90"/>
    </row>
    <row r="69" spans="1:27" ht="18" customHeight="1">
      <c r="A69" s="90"/>
      <c r="B69" s="90"/>
      <c r="C69" s="90"/>
      <c r="D69" s="90"/>
      <c r="E69" s="90"/>
      <c r="F69" s="90"/>
      <c r="G69" s="90"/>
      <c r="H69" s="90"/>
      <c r="I69" s="90"/>
      <c r="J69" s="90"/>
      <c r="K69" s="90"/>
      <c r="L69" s="90"/>
      <c r="M69" s="90"/>
      <c r="N69" s="90"/>
      <c r="O69" s="90"/>
      <c r="P69" s="90"/>
      <c r="Q69" s="90"/>
      <c r="R69" s="90"/>
      <c r="S69" s="90"/>
      <c r="T69" s="90"/>
      <c r="U69" s="90"/>
    </row>
    <row r="70" spans="1:27" ht="18" customHeight="1">
      <c r="B70" s="97" t="s">
        <v>48</v>
      </c>
      <c r="C70" s="98"/>
      <c r="D70" s="98"/>
      <c r="E70" s="98"/>
      <c r="F70" s="60" t="s">
        <v>73</v>
      </c>
      <c r="G70" s="61" t="s">
        <v>76</v>
      </c>
      <c r="H70" s="62" t="s">
        <v>87</v>
      </c>
      <c r="I70" s="62" t="s">
        <v>68</v>
      </c>
      <c r="J70" s="62" t="s">
        <v>69</v>
      </c>
      <c r="K70" s="97" t="s">
        <v>48</v>
      </c>
      <c r="L70" s="98"/>
      <c r="M70" s="98"/>
      <c r="N70" s="98"/>
      <c r="O70" s="98"/>
      <c r="P70" s="99"/>
      <c r="Q70" s="60" t="s">
        <v>73</v>
      </c>
      <c r="R70" s="61" t="s">
        <v>76</v>
      </c>
      <c r="S70" s="62" t="s">
        <v>87</v>
      </c>
      <c r="T70" s="62" t="s">
        <v>68</v>
      </c>
      <c r="U70" s="62" t="s">
        <v>69</v>
      </c>
    </row>
    <row r="71" spans="1:27" ht="18" customHeight="1">
      <c r="A71" s="3"/>
      <c r="B71" s="91" t="s">
        <v>146</v>
      </c>
      <c r="C71" s="92"/>
      <c r="D71" s="92"/>
      <c r="E71" s="93"/>
      <c r="F71" s="63">
        <v>1</v>
      </c>
      <c r="G71" s="63" t="s">
        <v>147</v>
      </c>
      <c r="H71" s="63" t="s">
        <v>147</v>
      </c>
      <c r="I71" s="63" t="s">
        <v>147</v>
      </c>
      <c r="J71" s="63" t="s">
        <v>147</v>
      </c>
      <c r="K71" s="91"/>
      <c r="L71" s="92"/>
      <c r="M71" s="92"/>
      <c r="N71" s="92"/>
      <c r="O71" s="92"/>
      <c r="P71" s="93"/>
      <c r="Q71" s="63"/>
      <c r="R71" s="63"/>
      <c r="S71" s="63"/>
      <c r="T71" s="63"/>
      <c r="U71" s="63"/>
    </row>
    <row r="72" spans="1:27" ht="18" customHeight="1">
      <c r="A72" s="3"/>
      <c r="B72" s="84" t="s">
        <v>148</v>
      </c>
      <c r="C72" s="85"/>
      <c r="D72" s="85"/>
      <c r="E72" s="86"/>
      <c r="F72" s="64">
        <v>1</v>
      </c>
      <c r="G72" s="64" t="s">
        <v>147</v>
      </c>
      <c r="H72" s="64"/>
      <c r="I72" s="64" t="s">
        <v>147</v>
      </c>
      <c r="J72" s="64"/>
      <c r="K72" s="84"/>
      <c r="L72" s="85"/>
      <c r="M72" s="85"/>
      <c r="N72" s="85"/>
      <c r="O72" s="85"/>
      <c r="P72" s="86"/>
      <c r="Q72" s="64"/>
      <c r="R72" s="64"/>
      <c r="S72" s="64"/>
      <c r="T72" s="64"/>
      <c r="U72" s="64"/>
    </row>
    <row r="73" spans="1:27" ht="18" customHeight="1">
      <c r="A73" s="3"/>
      <c r="B73" s="84"/>
      <c r="C73" s="85"/>
      <c r="D73" s="85"/>
      <c r="E73" s="85"/>
      <c r="F73" s="64"/>
      <c r="G73" s="64"/>
      <c r="H73" s="64"/>
      <c r="I73" s="64"/>
      <c r="J73" s="64"/>
      <c r="K73" s="84"/>
      <c r="L73" s="85"/>
      <c r="M73" s="85"/>
      <c r="N73" s="85"/>
      <c r="O73" s="85"/>
      <c r="P73" s="86"/>
      <c r="Q73" s="64"/>
      <c r="R73" s="64"/>
      <c r="S73" s="64"/>
      <c r="T73" s="64"/>
      <c r="U73" s="64"/>
    </row>
    <row r="74" spans="1:27" ht="18" customHeight="1">
      <c r="A74" s="3"/>
      <c r="B74" s="84"/>
      <c r="C74" s="85"/>
      <c r="D74" s="85"/>
      <c r="E74" s="85"/>
      <c r="F74" s="64"/>
      <c r="G74" s="64"/>
      <c r="H74" s="64"/>
      <c r="I74" s="64"/>
      <c r="J74" s="64"/>
      <c r="K74" s="84"/>
      <c r="L74" s="85"/>
      <c r="M74" s="85"/>
      <c r="N74" s="85"/>
      <c r="O74" s="85"/>
      <c r="P74" s="86"/>
      <c r="Q74" s="64"/>
      <c r="R74" s="64"/>
      <c r="S74" s="64"/>
      <c r="T74" s="64"/>
      <c r="U74" s="64"/>
    </row>
    <row r="75" spans="1:27" ht="18" customHeight="1">
      <c r="A75" s="3"/>
      <c r="B75" s="84"/>
      <c r="C75" s="85"/>
      <c r="D75" s="85"/>
      <c r="E75" s="85"/>
      <c r="F75" s="64"/>
      <c r="G75" s="64"/>
      <c r="H75" s="64"/>
      <c r="I75" s="64"/>
      <c r="J75" s="64"/>
      <c r="K75" s="84"/>
      <c r="L75" s="85"/>
      <c r="M75" s="85"/>
      <c r="N75" s="85"/>
      <c r="O75" s="85"/>
      <c r="P75" s="86"/>
      <c r="Q75" s="64"/>
      <c r="R75" s="64"/>
      <c r="S75" s="64"/>
      <c r="T75" s="64"/>
      <c r="U75" s="64"/>
    </row>
    <row r="76" spans="1:27" ht="18" customHeight="1">
      <c r="A76" s="3"/>
      <c r="B76" s="84"/>
      <c r="C76" s="85"/>
      <c r="D76" s="85"/>
      <c r="E76" s="85"/>
      <c r="F76" s="64"/>
      <c r="G76" s="64"/>
      <c r="H76" s="64"/>
      <c r="I76" s="64"/>
      <c r="J76" s="64"/>
      <c r="K76" s="84"/>
      <c r="L76" s="85"/>
      <c r="M76" s="85"/>
      <c r="N76" s="85"/>
      <c r="O76" s="85"/>
      <c r="P76" s="86"/>
      <c r="Q76" s="64"/>
      <c r="R76" s="64"/>
      <c r="S76" s="64"/>
      <c r="T76" s="64"/>
      <c r="U76" s="64"/>
    </row>
    <row r="77" spans="1:27" ht="18" customHeight="1">
      <c r="A77" s="3"/>
      <c r="B77" s="87"/>
      <c r="C77" s="88"/>
      <c r="D77" s="88"/>
      <c r="E77" s="88"/>
      <c r="F77" s="65"/>
      <c r="G77" s="65"/>
      <c r="H77" s="66"/>
      <c r="I77" s="66"/>
      <c r="J77" s="66"/>
      <c r="K77" s="87"/>
      <c r="L77" s="88"/>
      <c r="M77" s="88"/>
      <c r="N77" s="88"/>
      <c r="O77" s="88"/>
      <c r="P77" s="89"/>
      <c r="Q77" s="65"/>
      <c r="R77" s="65"/>
      <c r="S77" s="66"/>
      <c r="T77" s="66"/>
      <c r="U77" s="66"/>
    </row>
    <row r="78" spans="1:27" ht="7.5" customHeight="1">
      <c r="B78" s="14"/>
      <c r="C78" s="14"/>
      <c r="D78" s="14"/>
      <c r="E78" s="14"/>
      <c r="F78" s="14"/>
      <c r="G78" s="14"/>
      <c r="H78" s="14"/>
      <c r="I78" s="14"/>
      <c r="J78" s="14"/>
      <c r="K78" s="14"/>
      <c r="L78" s="14"/>
      <c r="M78" s="14"/>
      <c r="N78" s="14"/>
      <c r="O78" s="14"/>
      <c r="P78" s="14"/>
      <c r="Q78" s="14"/>
      <c r="R78" s="14"/>
      <c r="S78" s="14"/>
      <c r="T78" s="14"/>
    </row>
    <row r="79" spans="1:27" ht="18" customHeight="1">
      <c r="A79" s="1" t="s">
        <v>101</v>
      </c>
      <c r="I79" s="3"/>
      <c r="J79" s="3"/>
      <c r="K79" s="3"/>
      <c r="L79" s="3"/>
      <c r="M79" s="3"/>
      <c r="N79" s="3"/>
      <c r="O79" s="3"/>
      <c r="P79" s="3"/>
      <c r="Q79" s="3"/>
      <c r="R79" s="3"/>
      <c r="S79" s="3"/>
      <c r="T79" s="3"/>
      <c r="U79" s="3"/>
    </row>
    <row r="80" spans="1:27" ht="18" customHeight="1">
      <c r="B80" s="97" t="s">
        <v>48</v>
      </c>
      <c r="C80" s="98"/>
      <c r="D80" s="98"/>
      <c r="E80" s="98"/>
      <c r="F80" s="99"/>
      <c r="G80" s="97" t="s">
        <v>74</v>
      </c>
      <c r="H80" s="98"/>
      <c r="I80" s="98"/>
      <c r="J80" s="99"/>
      <c r="K80" s="105" t="s">
        <v>48</v>
      </c>
      <c r="L80" s="106"/>
      <c r="M80" s="106"/>
      <c r="N80" s="106"/>
      <c r="O80" s="106"/>
      <c r="P80" s="106"/>
      <c r="Q80" s="107"/>
      <c r="R80" s="97" t="s">
        <v>74</v>
      </c>
      <c r="S80" s="98"/>
      <c r="T80" s="98"/>
      <c r="U80" s="99"/>
      <c r="AA80" s="1" t="s">
        <v>138</v>
      </c>
    </row>
    <row r="81" spans="1:27" ht="18" customHeight="1">
      <c r="A81" s="3"/>
      <c r="B81" s="91"/>
      <c r="C81" s="92"/>
      <c r="D81" s="92"/>
      <c r="E81" s="92"/>
      <c r="F81" s="93"/>
      <c r="G81" s="94"/>
      <c r="H81" s="95"/>
      <c r="I81" s="95"/>
      <c r="J81" s="96"/>
      <c r="K81" s="91"/>
      <c r="L81" s="92"/>
      <c r="M81" s="92"/>
      <c r="N81" s="92"/>
      <c r="O81" s="92"/>
      <c r="P81" s="92"/>
      <c r="Q81" s="93"/>
      <c r="R81" s="94"/>
      <c r="S81" s="95"/>
      <c r="T81" s="95"/>
      <c r="U81" s="96"/>
      <c r="AA81" s="1" t="s">
        <v>131</v>
      </c>
    </row>
    <row r="82" spans="1:27" ht="18" customHeight="1">
      <c r="A82" s="3"/>
      <c r="B82" s="84"/>
      <c r="C82" s="85"/>
      <c r="D82" s="85"/>
      <c r="E82" s="85"/>
      <c r="F82" s="86"/>
      <c r="G82" s="102"/>
      <c r="H82" s="103"/>
      <c r="I82" s="103"/>
      <c r="J82" s="104"/>
      <c r="K82" s="84"/>
      <c r="L82" s="85"/>
      <c r="M82" s="85"/>
      <c r="N82" s="85"/>
      <c r="O82" s="85"/>
      <c r="P82" s="85"/>
      <c r="Q82" s="86"/>
      <c r="R82" s="102"/>
      <c r="S82" s="103"/>
      <c r="T82" s="103"/>
      <c r="U82" s="104"/>
      <c r="AA82" s="1" t="s">
        <v>132</v>
      </c>
    </row>
    <row r="83" spans="1:27" ht="18" customHeight="1">
      <c r="A83" s="3"/>
      <c r="B83" s="84"/>
      <c r="C83" s="85"/>
      <c r="D83" s="85"/>
      <c r="E83" s="85"/>
      <c r="F83" s="86"/>
      <c r="G83" s="102"/>
      <c r="H83" s="103"/>
      <c r="I83" s="103"/>
      <c r="J83" s="104"/>
      <c r="K83" s="84"/>
      <c r="L83" s="85"/>
      <c r="M83" s="85"/>
      <c r="N83" s="85"/>
      <c r="O83" s="85"/>
      <c r="P83" s="85"/>
      <c r="Q83" s="86"/>
      <c r="R83" s="102"/>
      <c r="S83" s="103"/>
      <c r="T83" s="103"/>
      <c r="U83" s="104"/>
      <c r="AA83" s="1" t="s">
        <v>133</v>
      </c>
    </row>
    <row r="84" spans="1:27" ht="18" customHeight="1">
      <c r="A84" s="3"/>
      <c r="B84" s="84"/>
      <c r="C84" s="85"/>
      <c r="D84" s="85"/>
      <c r="E84" s="85"/>
      <c r="F84" s="86"/>
      <c r="G84" s="102"/>
      <c r="H84" s="103"/>
      <c r="I84" s="103"/>
      <c r="J84" s="104"/>
      <c r="K84" s="84"/>
      <c r="L84" s="85"/>
      <c r="M84" s="85"/>
      <c r="N84" s="85"/>
      <c r="O84" s="85"/>
      <c r="P84" s="85"/>
      <c r="Q84" s="86"/>
      <c r="R84" s="102"/>
      <c r="S84" s="103"/>
      <c r="T84" s="103"/>
      <c r="U84" s="104"/>
      <c r="AA84" s="1" t="s">
        <v>139</v>
      </c>
    </row>
    <row r="85" spans="1:27" ht="18" customHeight="1">
      <c r="A85" s="3"/>
      <c r="B85" s="84"/>
      <c r="C85" s="85"/>
      <c r="D85" s="85"/>
      <c r="E85" s="85"/>
      <c r="F85" s="86"/>
      <c r="G85" s="102"/>
      <c r="H85" s="103"/>
      <c r="I85" s="103"/>
      <c r="J85" s="104"/>
      <c r="K85" s="84"/>
      <c r="L85" s="85"/>
      <c r="M85" s="85"/>
      <c r="N85" s="85"/>
      <c r="O85" s="85"/>
      <c r="P85" s="85"/>
      <c r="Q85" s="86"/>
      <c r="R85" s="102"/>
      <c r="S85" s="103"/>
      <c r="T85" s="103"/>
      <c r="U85" s="104"/>
      <c r="AA85" s="1" t="s">
        <v>140</v>
      </c>
    </row>
    <row r="86" spans="1:27" ht="18" customHeight="1">
      <c r="A86" s="3"/>
      <c r="B86" s="84"/>
      <c r="C86" s="85"/>
      <c r="D86" s="85"/>
      <c r="E86" s="85"/>
      <c r="F86" s="86"/>
      <c r="G86" s="102"/>
      <c r="H86" s="103"/>
      <c r="I86" s="103"/>
      <c r="J86" s="104"/>
      <c r="K86" s="84"/>
      <c r="L86" s="85"/>
      <c r="M86" s="85"/>
      <c r="N86" s="85"/>
      <c r="O86" s="85"/>
      <c r="P86" s="85"/>
      <c r="Q86" s="86"/>
      <c r="R86" s="102"/>
      <c r="S86" s="103"/>
      <c r="T86" s="103"/>
      <c r="U86" s="104"/>
      <c r="AA86" s="1" t="s">
        <v>134</v>
      </c>
    </row>
    <row r="87" spans="1:27" ht="18" customHeight="1">
      <c r="A87" s="3"/>
      <c r="B87" s="87"/>
      <c r="C87" s="88"/>
      <c r="D87" s="88"/>
      <c r="E87" s="88"/>
      <c r="F87" s="89"/>
      <c r="G87" s="121"/>
      <c r="H87" s="122"/>
      <c r="I87" s="122"/>
      <c r="J87" s="123"/>
      <c r="K87" s="87"/>
      <c r="L87" s="88"/>
      <c r="M87" s="88"/>
      <c r="N87" s="88"/>
      <c r="O87" s="88"/>
      <c r="P87" s="88"/>
      <c r="Q87" s="89"/>
      <c r="R87" s="121"/>
      <c r="S87" s="122"/>
      <c r="T87" s="122"/>
      <c r="U87" s="123"/>
      <c r="AA87" s="1" t="s">
        <v>135</v>
      </c>
    </row>
    <row r="88" spans="1:27" ht="18" customHeight="1">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c r="A89" s="1" t="s">
        <v>102</v>
      </c>
      <c r="AA89" s="1" t="s">
        <v>137</v>
      </c>
    </row>
    <row r="90" spans="1:27" ht="18.75" customHeight="1">
      <c r="B90" s="125" t="s">
        <v>49</v>
      </c>
      <c r="C90" s="126"/>
      <c r="D90" s="97" t="s">
        <v>50</v>
      </c>
      <c r="E90" s="98"/>
      <c r="F90" s="98"/>
      <c r="G90" s="98"/>
      <c r="H90" s="98"/>
      <c r="I90" s="98"/>
      <c r="J90" s="98"/>
      <c r="K90" s="98"/>
      <c r="L90" s="98"/>
      <c r="M90" s="98"/>
      <c r="N90" s="98"/>
      <c r="O90" s="98"/>
      <c r="P90" s="98"/>
      <c r="Q90" s="98"/>
      <c r="R90" s="98"/>
      <c r="S90" s="98"/>
      <c r="T90" s="98"/>
      <c r="U90" s="99"/>
    </row>
    <row r="91" spans="1:27" ht="97.5" customHeight="1">
      <c r="B91" s="100" t="s">
        <v>56</v>
      </c>
      <c r="C91" s="68" t="s">
        <v>51</v>
      </c>
      <c r="D91" s="143" t="s">
        <v>186</v>
      </c>
      <c r="E91" s="144"/>
      <c r="F91" s="144"/>
      <c r="G91" s="144"/>
      <c r="H91" s="144"/>
      <c r="I91" s="144"/>
      <c r="J91" s="144"/>
      <c r="K91" s="144"/>
      <c r="L91" s="144"/>
      <c r="M91" s="144"/>
      <c r="N91" s="144"/>
      <c r="O91" s="144"/>
      <c r="P91" s="144"/>
      <c r="Q91" s="144"/>
      <c r="R91" s="144"/>
      <c r="S91" s="144"/>
      <c r="T91" s="144"/>
      <c r="U91" s="145"/>
    </row>
    <row r="92" spans="1:27" ht="97.5" customHeight="1">
      <c r="B92" s="124"/>
      <c r="C92" s="69" t="s">
        <v>70</v>
      </c>
      <c r="D92" s="146" t="s">
        <v>177</v>
      </c>
      <c r="E92" s="147"/>
      <c r="F92" s="147"/>
      <c r="G92" s="147"/>
      <c r="H92" s="147"/>
      <c r="I92" s="147"/>
      <c r="J92" s="147"/>
      <c r="K92" s="147"/>
      <c r="L92" s="147"/>
      <c r="M92" s="147"/>
      <c r="N92" s="147"/>
      <c r="O92" s="147"/>
      <c r="P92" s="147"/>
      <c r="Q92" s="147"/>
      <c r="R92" s="147"/>
      <c r="S92" s="147"/>
      <c r="T92" s="147"/>
      <c r="U92" s="148"/>
    </row>
    <row r="93" spans="1:27" ht="97.5" customHeight="1">
      <c r="B93" s="100" t="s">
        <v>57</v>
      </c>
      <c r="C93" s="70" t="s">
        <v>64</v>
      </c>
      <c r="D93" s="146" t="s">
        <v>178</v>
      </c>
      <c r="E93" s="147"/>
      <c r="F93" s="147"/>
      <c r="G93" s="147"/>
      <c r="H93" s="147"/>
      <c r="I93" s="147"/>
      <c r="J93" s="147"/>
      <c r="K93" s="147"/>
      <c r="L93" s="147"/>
      <c r="M93" s="147"/>
      <c r="N93" s="147"/>
      <c r="O93" s="147"/>
      <c r="P93" s="147"/>
      <c r="Q93" s="147"/>
      <c r="R93" s="147"/>
      <c r="S93" s="147"/>
      <c r="T93" s="147"/>
      <c r="U93" s="148"/>
    </row>
    <row r="94" spans="1:27" ht="97.5" customHeight="1">
      <c r="B94" s="101"/>
      <c r="C94" s="71" t="s">
        <v>65</v>
      </c>
      <c r="D94" s="146" t="s">
        <v>179</v>
      </c>
      <c r="E94" s="147"/>
      <c r="F94" s="147"/>
      <c r="G94" s="147"/>
      <c r="H94" s="147"/>
      <c r="I94" s="147"/>
      <c r="J94" s="147"/>
      <c r="K94" s="147"/>
      <c r="L94" s="147"/>
      <c r="M94" s="147"/>
      <c r="N94" s="147"/>
      <c r="O94" s="147"/>
      <c r="P94" s="147"/>
      <c r="Q94" s="147"/>
      <c r="R94" s="147"/>
      <c r="S94" s="147"/>
      <c r="T94" s="147"/>
      <c r="U94" s="148"/>
    </row>
    <row r="95" spans="1:27" ht="97.5" customHeight="1">
      <c r="B95" s="100" t="s">
        <v>58</v>
      </c>
      <c r="C95" s="70" t="s">
        <v>66</v>
      </c>
      <c r="D95" s="143" t="s">
        <v>184</v>
      </c>
      <c r="E95" s="144"/>
      <c r="F95" s="144"/>
      <c r="G95" s="144"/>
      <c r="H95" s="144"/>
      <c r="I95" s="144"/>
      <c r="J95" s="144"/>
      <c r="K95" s="144"/>
      <c r="L95" s="144"/>
      <c r="M95" s="144"/>
      <c r="N95" s="144"/>
      <c r="O95" s="144"/>
      <c r="P95" s="144"/>
      <c r="Q95" s="144"/>
      <c r="R95" s="144"/>
      <c r="S95" s="144"/>
      <c r="T95" s="144"/>
      <c r="U95" s="145"/>
    </row>
    <row r="96" spans="1:27" ht="97.5" customHeight="1">
      <c r="B96" s="101"/>
      <c r="C96" s="72" t="s">
        <v>67</v>
      </c>
      <c r="D96" s="128" t="s">
        <v>181</v>
      </c>
      <c r="E96" s="129"/>
      <c r="F96" s="129"/>
      <c r="G96" s="129"/>
      <c r="H96" s="129"/>
      <c r="I96" s="129"/>
      <c r="J96" s="129"/>
      <c r="K96" s="129"/>
      <c r="L96" s="129"/>
      <c r="M96" s="129"/>
      <c r="N96" s="129"/>
      <c r="O96" s="129"/>
      <c r="P96" s="129"/>
      <c r="Q96" s="129"/>
      <c r="R96" s="129"/>
      <c r="S96" s="129"/>
      <c r="T96" s="129"/>
      <c r="U96" s="130"/>
    </row>
    <row r="97" spans="1:21" ht="97.5" customHeight="1">
      <c r="B97" s="100" t="s">
        <v>71</v>
      </c>
      <c r="C97" s="68" t="s">
        <v>53</v>
      </c>
      <c r="D97" s="128" t="s">
        <v>187</v>
      </c>
      <c r="E97" s="129"/>
      <c r="F97" s="129"/>
      <c r="G97" s="129"/>
      <c r="H97" s="129"/>
      <c r="I97" s="129"/>
      <c r="J97" s="129"/>
      <c r="K97" s="129"/>
      <c r="L97" s="129"/>
      <c r="M97" s="129"/>
      <c r="N97" s="129"/>
      <c r="O97" s="129"/>
      <c r="P97" s="129"/>
      <c r="Q97" s="129"/>
      <c r="R97" s="129"/>
      <c r="S97" s="129"/>
      <c r="T97" s="129"/>
      <c r="U97" s="130"/>
    </row>
    <row r="98" spans="1:21" ht="97.5" customHeight="1">
      <c r="B98" s="101"/>
      <c r="C98" s="71" t="s">
        <v>55</v>
      </c>
      <c r="D98" s="128" t="s">
        <v>180</v>
      </c>
      <c r="E98" s="129"/>
      <c r="F98" s="129"/>
      <c r="G98" s="129"/>
      <c r="H98" s="129"/>
      <c r="I98" s="129"/>
      <c r="J98" s="129"/>
      <c r="K98" s="129"/>
      <c r="L98" s="129"/>
      <c r="M98" s="129"/>
      <c r="N98" s="129"/>
      <c r="O98" s="129"/>
      <c r="P98" s="129"/>
      <c r="Q98" s="129"/>
      <c r="R98" s="129"/>
      <c r="S98" s="129"/>
      <c r="T98" s="129"/>
      <c r="U98" s="130"/>
    </row>
    <row r="99" spans="1:21" ht="97.5" customHeight="1">
      <c r="B99" s="100" t="s">
        <v>72</v>
      </c>
      <c r="C99" s="70" t="s">
        <v>52</v>
      </c>
      <c r="D99" s="131" t="s">
        <v>185</v>
      </c>
      <c r="E99" s="132"/>
      <c r="F99" s="132"/>
      <c r="G99" s="132"/>
      <c r="H99" s="132"/>
      <c r="I99" s="132"/>
      <c r="J99" s="132"/>
      <c r="K99" s="132"/>
      <c r="L99" s="132"/>
      <c r="M99" s="132"/>
      <c r="N99" s="132"/>
      <c r="O99" s="132"/>
      <c r="P99" s="132"/>
      <c r="Q99" s="132"/>
      <c r="R99" s="132"/>
      <c r="S99" s="132"/>
      <c r="T99" s="132"/>
      <c r="U99" s="133"/>
    </row>
    <row r="100" spans="1:21" ht="97.5" customHeight="1">
      <c r="B100" s="124"/>
      <c r="C100" s="73" t="s">
        <v>68</v>
      </c>
      <c r="D100" s="134" t="s">
        <v>182</v>
      </c>
      <c r="E100" s="135"/>
      <c r="F100" s="135"/>
      <c r="G100" s="135"/>
      <c r="H100" s="135"/>
      <c r="I100" s="135"/>
      <c r="J100" s="135"/>
      <c r="K100" s="135"/>
      <c r="L100" s="135"/>
      <c r="M100" s="135"/>
      <c r="N100" s="135"/>
      <c r="O100" s="135"/>
      <c r="P100" s="135"/>
      <c r="Q100" s="135"/>
      <c r="R100" s="135"/>
      <c r="S100" s="135"/>
      <c r="T100" s="135"/>
      <c r="U100" s="136"/>
    </row>
    <row r="101" spans="1:21" ht="97.5" customHeight="1">
      <c r="B101" s="101"/>
      <c r="C101" s="72" t="s">
        <v>69</v>
      </c>
      <c r="D101" s="128" t="s">
        <v>183</v>
      </c>
      <c r="E101" s="129"/>
      <c r="F101" s="129"/>
      <c r="G101" s="129"/>
      <c r="H101" s="129"/>
      <c r="I101" s="129"/>
      <c r="J101" s="129"/>
      <c r="K101" s="129"/>
      <c r="L101" s="129"/>
      <c r="M101" s="129"/>
      <c r="N101" s="129"/>
      <c r="O101" s="129"/>
      <c r="P101" s="129"/>
      <c r="Q101" s="129"/>
      <c r="R101" s="129"/>
      <c r="S101" s="129"/>
      <c r="T101" s="129"/>
      <c r="U101" s="130"/>
    </row>
    <row r="102" spans="1:21" ht="6" customHeight="1"/>
    <row r="103" spans="1:21" ht="18.75" customHeight="1">
      <c r="A103" s="1" t="s">
        <v>103</v>
      </c>
    </row>
    <row r="104" spans="1:21" ht="91.8" customHeight="1">
      <c r="B104" s="118" t="s">
        <v>149</v>
      </c>
      <c r="C104" s="119"/>
      <c r="D104" s="119"/>
      <c r="E104" s="119"/>
      <c r="F104" s="119"/>
      <c r="G104" s="119"/>
      <c r="H104" s="119"/>
      <c r="I104" s="119"/>
      <c r="J104" s="119"/>
      <c r="K104" s="119"/>
      <c r="L104" s="119"/>
      <c r="M104" s="119"/>
      <c r="N104" s="119"/>
      <c r="O104" s="119"/>
      <c r="P104" s="119"/>
      <c r="Q104" s="119"/>
      <c r="R104" s="119"/>
      <c r="S104" s="119"/>
      <c r="T104" s="119"/>
      <c r="U104" s="120"/>
    </row>
    <row r="107" spans="1:21" ht="18" customHeight="1"/>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horizontalDpi="300" verticalDpi="300"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D14" sqref="D14"/>
    </sheetView>
  </sheetViews>
  <sheetFormatPr defaultColWidth="9" defaultRowHeight="18.75" customHeight="1"/>
  <cols>
    <col min="1" max="1" width="2.77734375" style="1" customWidth="1"/>
    <col min="2" max="2" width="27.77734375" style="1" customWidth="1"/>
    <col min="3" max="18" width="6.109375" style="1" customWidth="1"/>
    <col min="19" max="19" width="6.6640625" style="1" customWidth="1"/>
    <col min="20" max="16384" width="9" style="1"/>
  </cols>
  <sheetData>
    <row r="1" spans="1:21" ht="18" customHeight="1">
      <c r="A1" s="54"/>
      <c r="B1" s="54"/>
      <c r="C1" s="54"/>
      <c r="D1" s="54"/>
      <c r="E1" s="54"/>
      <c r="F1" s="54"/>
      <c r="G1" s="54"/>
      <c r="H1" s="54"/>
      <c r="I1" s="54"/>
      <c r="J1" s="54"/>
      <c r="K1" s="54"/>
      <c r="L1" s="54"/>
      <c r="M1" s="54"/>
      <c r="N1" s="54"/>
      <c r="O1" s="54"/>
      <c r="P1" s="54"/>
      <c r="Q1" s="54"/>
      <c r="R1" s="54"/>
      <c r="S1" s="54" t="s">
        <v>92</v>
      </c>
    </row>
    <row r="2" spans="1:21" ht="18" customHeight="1">
      <c r="A2" s="54"/>
      <c r="B2" s="54"/>
      <c r="C2" s="54"/>
      <c r="D2" s="54"/>
      <c r="E2" s="54"/>
      <c r="F2" s="54"/>
      <c r="G2" s="54"/>
      <c r="H2" s="54"/>
      <c r="I2" s="54"/>
      <c r="J2" s="54"/>
      <c r="K2" s="54"/>
      <c r="L2" s="54"/>
      <c r="M2" s="54"/>
      <c r="N2" s="54"/>
      <c r="O2" s="54"/>
      <c r="P2" s="54"/>
      <c r="Q2" s="156" t="str">
        <f>'様式１　プログラムを構成する授業科目'!C2</f>
        <v>山梨県立大学</v>
      </c>
      <c r="R2" s="156"/>
      <c r="S2" s="156"/>
    </row>
    <row r="3" spans="1:21" ht="18" customHeight="1">
      <c r="A3" s="108" t="s">
        <v>142</v>
      </c>
      <c r="B3" s="108"/>
      <c r="C3" s="108"/>
      <c r="D3" s="108"/>
      <c r="E3" s="108"/>
      <c r="F3" s="108"/>
      <c r="G3" s="108"/>
      <c r="H3" s="108"/>
      <c r="I3" s="108"/>
      <c r="J3" s="108"/>
      <c r="K3" s="108"/>
      <c r="L3" s="108"/>
      <c r="M3" s="108"/>
      <c r="N3" s="108"/>
      <c r="O3" s="108"/>
      <c r="P3" s="108"/>
      <c r="Q3" s="108"/>
      <c r="R3" s="108"/>
      <c r="S3" s="108"/>
    </row>
    <row r="4" spans="1:21" ht="7.5" customHeight="1">
      <c r="A4" s="56"/>
      <c r="B4" s="56"/>
      <c r="C4" s="56"/>
      <c r="D4" s="56"/>
      <c r="E4" s="56"/>
      <c r="F4" s="56"/>
      <c r="G4" s="56"/>
      <c r="H4" s="56"/>
      <c r="I4" s="56"/>
      <c r="J4" s="56"/>
      <c r="K4" s="56"/>
      <c r="L4" s="56"/>
      <c r="M4" s="56"/>
      <c r="N4" s="56"/>
      <c r="O4" s="56"/>
      <c r="P4" s="56"/>
      <c r="Q4" s="56"/>
      <c r="R4" s="56"/>
      <c r="S4" s="56"/>
    </row>
    <row r="5" spans="1:21" ht="18" customHeight="1">
      <c r="A5" s="54" t="s">
        <v>75</v>
      </c>
      <c r="B5" s="54"/>
      <c r="C5" s="157" t="s">
        <v>150</v>
      </c>
      <c r="D5" s="158"/>
      <c r="E5" s="58" t="s">
        <v>125</v>
      </c>
      <c r="F5" s="56"/>
      <c r="G5" s="56"/>
      <c r="H5" s="56"/>
      <c r="I5" s="56"/>
      <c r="J5" s="56"/>
      <c r="K5" s="56"/>
      <c r="L5" s="56"/>
      <c r="M5" s="56"/>
      <c r="N5" s="56"/>
      <c r="O5" s="56"/>
      <c r="P5" s="56"/>
      <c r="Q5" s="56"/>
      <c r="R5" s="55"/>
      <c r="S5" s="55"/>
    </row>
    <row r="6" spans="1:21" ht="7.2" customHeight="1">
      <c r="A6" s="54"/>
      <c r="B6" s="54"/>
      <c r="C6" s="76"/>
      <c r="D6" s="76"/>
      <c r="E6" s="56"/>
      <c r="F6" s="56"/>
      <c r="G6" s="56"/>
      <c r="H6" s="56"/>
      <c r="I6" s="56"/>
      <c r="J6" s="56"/>
      <c r="K6" s="56"/>
      <c r="L6" s="56"/>
      <c r="M6" s="56"/>
      <c r="N6" s="56"/>
      <c r="O6" s="56"/>
      <c r="P6" s="56"/>
      <c r="Q6" s="56"/>
      <c r="R6" s="55"/>
      <c r="S6" s="55"/>
    </row>
    <row r="7" spans="1:21" ht="18" customHeight="1">
      <c r="A7" s="54" t="s">
        <v>109</v>
      </c>
      <c r="B7" s="54"/>
      <c r="C7" s="76"/>
      <c r="D7" s="76"/>
      <c r="E7" s="56" t="s">
        <v>110</v>
      </c>
      <c r="F7" s="59">
        <v>193</v>
      </c>
      <c r="G7" s="58" t="s">
        <v>111</v>
      </c>
      <c r="H7" s="56" t="s">
        <v>112</v>
      </c>
      <c r="I7" s="59">
        <v>941</v>
      </c>
      <c r="J7" s="58" t="s">
        <v>111</v>
      </c>
      <c r="K7" s="57" t="s">
        <v>113</v>
      </c>
      <c r="L7" s="56" t="s">
        <v>114</v>
      </c>
      <c r="M7" s="59">
        <f>F7+I7</f>
        <v>1134</v>
      </c>
      <c r="N7" s="56" t="s">
        <v>1</v>
      </c>
      <c r="O7" s="58" t="s">
        <v>115</v>
      </c>
      <c r="P7" s="56"/>
      <c r="Q7" s="56"/>
      <c r="R7" s="55"/>
      <c r="S7" s="55"/>
    </row>
    <row r="8" spans="1:21" ht="17.55" customHeight="1">
      <c r="A8" s="56"/>
      <c r="B8" s="77" t="s">
        <v>128</v>
      </c>
      <c r="C8" s="56"/>
      <c r="D8" s="56"/>
      <c r="E8" s="56"/>
      <c r="F8" s="56"/>
      <c r="G8" s="56"/>
      <c r="H8" s="56"/>
      <c r="I8" s="56"/>
      <c r="J8" s="56"/>
      <c r="K8" s="56"/>
      <c r="L8" s="56"/>
      <c r="M8" s="56"/>
      <c r="N8" s="56"/>
      <c r="O8" s="56"/>
      <c r="P8" s="56"/>
      <c r="Q8" s="56"/>
      <c r="R8" s="56"/>
      <c r="S8" s="56"/>
    </row>
    <row r="9" spans="1:21" ht="18" customHeight="1">
      <c r="A9" s="54" t="s">
        <v>120</v>
      </c>
      <c r="B9" s="56"/>
      <c r="C9" s="56"/>
      <c r="D9" s="56"/>
      <c r="E9" s="56"/>
      <c r="F9" s="56"/>
      <c r="G9" s="56"/>
      <c r="H9" s="56"/>
      <c r="I9" s="56"/>
      <c r="J9" s="56"/>
      <c r="K9" s="56"/>
      <c r="L9" s="56"/>
      <c r="M9" s="56"/>
      <c r="N9" s="56"/>
      <c r="O9" s="56"/>
      <c r="P9" s="56"/>
      <c r="Q9" s="56"/>
      <c r="R9" s="56"/>
      <c r="S9" s="56"/>
    </row>
    <row r="10" spans="1:21" ht="6" customHeight="1">
      <c r="B10" s="3"/>
      <c r="C10" s="3"/>
      <c r="D10" s="3"/>
      <c r="E10" s="3"/>
      <c r="F10" s="3"/>
      <c r="G10" s="3"/>
      <c r="H10" s="3"/>
      <c r="I10" s="3"/>
      <c r="J10" s="3"/>
      <c r="K10" s="3"/>
      <c r="L10" s="3"/>
      <c r="M10" s="3"/>
      <c r="N10" s="3"/>
      <c r="O10" s="3"/>
      <c r="P10" s="3"/>
      <c r="Q10" s="3"/>
      <c r="R10" s="3"/>
      <c r="S10" s="3"/>
    </row>
    <row r="11" spans="1:21" ht="18" customHeight="1">
      <c r="B11" s="159" t="s">
        <v>43</v>
      </c>
      <c r="C11" s="169" t="s">
        <v>78</v>
      </c>
      <c r="D11" s="161" t="s">
        <v>45</v>
      </c>
      <c r="E11" s="163" t="s">
        <v>38</v>
      </c>
      <c r="F11" s="155" t="s">
        <v>126</v>
      </c>
      <c r="G11" s="155"/>
      <c r="H11" s="155" t="s">
        <v>106</v>
      </c>
      <c r="I11" s="155"/>
      <c r="J11" s="155" t="s">
        <v>77</v>
      </c>
      <c r="K11" s="155"/>
      <c r="L11" s="155" t="s">
        <v>46</v>
      </c>
      <c r="M11" s="155"/>
      <c r="N11" s="155" t="s">
        <v>47</v>
      </c>
      <c r="O11" s="155"/>
      <c r="P11" s="155" t="s">
        <v>127</v>
      </c>
      <c r="Q11" s="155"/>
      <c r="R11" s="165" t="s">
        <v>35</v>
      </c>
      <c r="S11" s="167" t="s">
        <v>32</v>
      </c>
      <c r="U11" s="2"/>
    </row>
    <row r="12" spans="1:21" ht="16.95" customHeight="1">
      <c r="B12" s="160"/>
      <c r="C12" s="170"/>
      <c r="D12" s="162"/>
      <c r="E12" s="164"/>
      <c r="F12" s="78" t="s">
        <v>86</v>
      </c>
      <c r="G12" s="78" t="s">
        <v>29</v>
      </c>
      <c r="H12" s="78" t="s">
        <v>86</v>
      </c>
      <c r="I12" s="78" t="s">
        <v>29</v>
      </c>
      <c r="J12" s="78" t="s">
        <v>86</v>
      </c>
      <c r="K12" s="78" t="s">
        <v>29</v>
      </c>
      <c r="L12" s="78" t="s">
        <v>86</v>
      </c>
      <c r="M12" s="78" t="s">
        <v>29</v>
      </c>
      <c r="N12" s="78" t="s">
        <v>86</v>
      </c>
      <c r="O12" s="78" t="s">
        <v>29</v>
      </c>
      <c r="P12" s="78" t="s">
        <v>86</v>
      </c>
      <c r="Q12" s="79" t="s">
        <v>29</v>
      </c>
      <c r="R12" s="166"/>
      <c r="S12" s="168"/>
      <c r="U12" s="2"/>
    </row>
    <row r="13" spans="1:21" ht="18" customHeight="1">
      <c r="A13" s="6"/>
      <c r="B13" s="48" t="s">
        <v>151</v>
      </c>
      <c r="C13" s="36">
        <v>382</v>
      </c>
      <c r="D13" s="37">
        <v>80</v>
      </c>
      <c r="E13" s="38">
        <v>340</v>
      </c>
      <c r="F13" s="38">
        <v>81</v>
      </c>
      <c r="G13" s="38">
        <v>79</v>
      </c>
      <c r="H13" s="38"/>
      <c r="I13" s="38"/>
      <c r="J13" s="38"/>
      <c r="K13" s="38"/>
      <c r="L13" s="38"/>
      <c r="M13" s="38"/>
      <c r="N13" s="38"/>
      <c r="O13" s="38"/>
      <c r="P13" s="38"/>
      <c r="Q13" s="49"/>
      <c r="R13" s="37">
        <f t="shared" ref="R13:R15" si="0">F13+H13+J13+L13+N13+P13</f>
        <v>81</v>
      </c>
      <c r="S13" s="50">
        <f t="shared" ref="S13:S33" si="1">R13/E13</f>
        <v>0.23823529411764705</v>
      </c>
    </row>
    <row r="14" spans="1:21" ht="18" customHeight="1">
      <c r="A14" s="6"/>
      <c r="B14" s="11" t="s">
        <v>152</v>
      </c>
      <c r="C14" s="39">
        <v>340</v>
      </c>
      <c r="D14" s="40">
        <v>80</v>
      </c>
      <c r="E14" s="41">
        <v>340</v>
      </c>
      <c r="F14" s="42">
        <v>86</v>
      </c>
      <c r="G14" s="42">
        <v>86</v>
      </c>
      <c r="H14" s="42"/>
      <c r="I14" s="42"/>
      <c r="J14" s="42"/>
      <c r="K14" s="42"/>
      <c r="L14" s="42"/>
      <c r="M14" s="42"/>
      <c r="N14" s="42"/>
      <c r="O14" s="42"/>
      <c r="P14" s="42"/>
      <c r="Q14" s="39"/>
      <c r="R14" s="40">
        <f t="shared" si="0"/>
        <v>86</v>
      </c>
      <c r="S14" s="16">
        <f t="shared" si="1"/>
        <v>0.25294117647058822</v>
      </c>
    </row>
    <row r="15" spans="1:21" ht="18" customHeight="1">
      <c r="A15" s="6"/>
      <c r="B15" s="11" t="s">
        <v>153</v>
      </c>
      <c r="C15" s="39">
        <v>413</v>
      </c>
      <c r="D15" s="40">
        <v>100</v>
      </c>
      <c r="E15" s="41">
        <v>400</v>
      </c>
      <c r="F15" s="42">
        <v>101</v>
      </c>
      <c r="G15" s="42">
        <v>101</v>
      </c>
      <c r="H15" s="42"/>
      <c r="I15" s="42"/>
      <c r="J15" s="42"/>
      <c r="K15" s="42"/>
      <c r="L15" s="42"/>
      <c r="M15" s="42"/>
      <c r="N15" s="42"/>
      <c r="O15" s="42"/>
      <c r="P15" s="42"/>
      <c r="Q15" s="39"/>
      <c r="R15" s="40">
        <f t="shared" si="0"/>
        <v>101</v>
      </c>
      <c r="S15" s="8">
        <f t="shared" si="1"/>
        <v>0.2525</v>
      </c>
    </row>
    <row r="16" spans="1:21" ht="18" customHeight="1">
      <c r="A16" s="6"/>
      <c r="B16" s="11"/>
      <c r="C16" s="39"/>
      <c r="D16" s="40"/>
      <c r="E16" s="41"/>
      <c r="F16" s="42"/>
      <c r="G16" s="42"/>
      <c r="H16" s="42"/>
      <c r="I16" s="42"/>
      <c r="J16" s="42"/>
      <c r="K16" s="42"/>
      <c r="L16" s="42"/>
      <c r="M16" s="42"/>
      <c r="N16" s="42"/>
      <c r="O16" s="42"/>
      <c r="P16" s="42"/>
      <c r="Q16" s="39"/>
      <c r="R16" s="40"/>
      <c r="S16" s="8"/>
    </row>
    <row r="17" spans="1:19" ht="18" customHeight="1">
      <c r="A17" s="6"/>
      <c r="B17" s="11"/>
      <c r="C17" s="39"/>
      <c r="D17" s="40"/>
      <c r="E17" s="41"/>
      <c r="F17" s="42"/>
      <c r="G17" s="42"/>
      <c r="H17" s="42"/>
      <c r="I17" s="42"/>
      <c r="J17" s="42"/>
      <c r="K17" s="42"/>
      <c r="L17" s="42"/>
      <c r="M17" s="42"/>
      <c r="N17" s="42"/>
      <c r="O17" s="42"/>
      <c r="P17" s="42"/>
      <c r="Q17" s="39"/>
      <c r="R17" s="40"/>
      <c r="S17" s="8"/>
    </row>
    <row r="18" spans="1:19" ht="18" customHeight="1">
      <c r="A18" s="6"/>
      <c r="B18" s="11"/>
      <c r="C18" s="39"/>
      <c r="D18" s="40"/>
      <c r="E18" s="41"/>
      <c r="F18" s="42"/>
      <c r="G18" s="42"/>
      <c r="H18" s="42"/>
      <c r="I18" s="42"/>
      <c r="J18" s="42"/>
      <c r="K18" s="42"/>
      <c r="L18" s="42"/>
      <c r="M18" s="42"/>
      <c r="N18" s="42"/>
      <c r="O18" s="42"/>
      <c r="P18" s="42"/>
      <c r="Q18" s="39"/>
      <c r="R18" s="40"/>
      <c r="S18" s="8"/>
    </row>
    <row r="19" spans="1:19" ht="18" customHeight="1">
      <c r="A19" s="6"/>
      <c r="B19" s="11"/>
      <c r="C19" s="39"/>
      <c r="D19" s="40"/>
      <c r="E19" s="41"/>
      <c r="F19" s="42"/>
      <c r="G19" s="42"/>
      <c r="H19" s="42"/>
      <c r="I19" s="42"/>
      <c r="J19" s="42"/>
      <c r="K19" s="42"/>
      <c r="L19" s="42"/>
      <c r="M19" s="42"/>
      <c r="N19" s="42"/>
      <c r="O19" s="42"/>
      <c r="P19" s="42"/>
      <c r="Q19" s="39"/>
      <c r="R19" s="40"/>
      <c r="S19" s="8"/>
    </row>
    <row r="20" spans="1:19" ht="18" customHeight="1">
      <c r="A20" s="6"/>
      <c r="B20" s="11"/>
      <c r="C20" s="39"/>
      <c r="D20" s="40"/>
      <c r="E20" s="41"/>
      <c r="F20" s="42"/>
      <c r="G20" s="42"/>
      <c r="H20" s="42"/>
      <c r="I20" s="42"/>
      <c r="J20" s="42"/>
      <c r="K20" s="42"/>
      <c r="L20" s="42"/>
      <c r="M20" s="42"/>
      <c r="N20" s="42"/>
      <c r="O20" s="42"/>
      <c r="P20" s="42"/>
      <c r="Q20" s="39"/>
      <c r="R20" s="40"/>
      <c r="S20" s="8"/>
    </row>
    <row r="21" spans="1:19" ht="18" customHeight="1">
      <c r="A21" s="6"/>
      <c r="B21" s="11"/>
      <c r="C21" s="39"/>
      <c r="D21" s="40"/>
      <c r="E21" s="41"/>
      <c r="F21" s="42"/>
      <c r="G21" s="42"/>
      <c r="H21" s="42"/>
      <c r="I21" s="42"/>
      <c r="J21" s="42"/>
      <c r="K21" s="42"/>
      <c r="L21" s="42"/>
      <c r="M21" s="42"/>
      <c r="N21" s="42"/>
      <c r="O21" s="42"/>
      <c r="P21" s="42"/>
      <c r="Q21" s="39"/>
      <c r="R21" s="40"/>
      <c r="S21" s="8"/>
    </row>
    <row r="22" spans="1:19" ht="18" customHeight="1">
      <c r="A22" s="6"/>
      <c r="B22" s="11"/>
      <c r="C22" s="39"/>
      <c r="D22" s="40"/>
      <c r="E22" s="41"/>
      <c r="F22" s="42"/>
      <c r="G22" s="42"/>
      <c r="H22" s="42"/>
      <c r="I22" s="42"/>
      <c r="J22" s="42"/>
      <c r="K22" s="42"/>
      <c r="L22" s="42"/>
      <c r="M22" s="42"/>
      <c r="N22" s="42"/>
      <c r="O22" s="42"/>
      <c r="P22" s="42"/>
      <c r="Q22" s="39"/>
      <c r="R22" s="40"/>
      <c r="S22" s="8"/>
    </row>
    <row r="23" spans="1:19" ht="18" customHeight="1">
      <c r="A23" s="6"/>
      <c r="B23" s="11"/>
      <c r="C23" s="39"/>
      <c r="D23" s="40"/>
      <c r="E23" s="41"/>
      <c r="F23" s="42"/>
      <c r="G23" s="42"/>
      <c r="H23" s="42"/>
      <c r="I23" s="42"/>
      <c r="J23" s="42"/>
      <c r="K23" s="42"/>
      <c r="L23" s="42"/>
      <c r="M23" s="42"/>
      <c r="N23" s="42"/>
      <c r="O23" s="42"/>
      <c r="P23" s="42"/>
      <c r="Q23" s="39"/>
      <c r="R23" s="40"/>
      <c r="S23" s="8"/>
    </row>
    <row r="24" spans="1:19" ht="18" customHeight="1">
      <c r="A24" s="6"/>
      <c r="B24" s="11"/>
      <c r="C24" s="39"/>
      <c r="D24" s="40"/>
      <c r="E24" s="41"/>
      <c r="F24" s="42"/>
      <c r="G24" s="42"/>
      <c r="H24" s="42"/>
      <c r="I24" s="42"/>
      <c r="J24" s="42"/>
      <c r="K24" s="42"/>
      <c r="L24" s="42"/>
      <c r="M24" s="42"/>
      <c r="N24" s="42"/>
      <c r="O24" s="42"/>
      <c r="P24" s="42"/>
      <c r="Q24" s="39"/>
      <c r="R24" s="40"/>
      <c r="S24" s="8"/>
    </row>
    <row r="25" spans="1:19" ht="18" customHeight="1">
      <c r="A25" s="6"/>
      <c r="B25" s="11"/>
      <c r="C25" s="39"/>
      <c r="D25" s="40"/>
      <c r="E25" s="41"/>
      <c r="F25" s="42"/>
      <c r="G25" s="42"/>
      <c r="H25" s="42"/>
      <c r="I25" s="42"/>
      <c r="J25" s="42"/>
      <c r="K25" s="42"/>
      <c r="L25" s="42"/>
      <c r="M25" s="42"/>
      <c r="N25" s="42"/>
      <c r="O25" s="42"/>
      <c r="P25" s="42"/>
      <c r="Q25" s="39"/>
      <c r="R25" s="40"/>
      <c r="S25" s="8"/>
    </row>
    <row r="26" spans="1:19" ht="18" customHeight="1">
      <c r="A26" s="6"/>
      <c r="B26" s="11"/>
      <c r="C26" s="39"/>
      <c r="D26" s="40"/>
      <c r="E26" s="41"/>
      <c r="F26" s="42"/>
      <c r="G26" s="42"/>
      <c r="H26" s="42"/>
      <c r="I26" s="42"/>
      <c r="J26" s="42"/>
      <c r="K26" s="42"/>
      <c r="L26" s="42"/>
      <c r="M26" s="42"/>
      <c r="N26" s="42"/>
      <c r="O26" s="42"/>
      <c r="P26" s="42"/>
      <c r="Q26" s="39"/>
      <c r="R26" s="40"/>
      <c r="S26" s="8"/>
    </row>
    <row r="27" spans="1:19" ht="18" customHeight="1">
      <c r="A27" s="6"/>
      <c r="B27" s="11"/>
      <c r="C27" s="39"/>
      <c r="D27" s="40"/>
      <c r="E27" s="41"/>
      <c r="F27" s="42"/>
      <c r="G27" s="42"/>
      <c r="H27" s="42"/>
      <c r="I27" s="42"/>
      <c r="J27" s="42"/>
      <c r="K27" s="42"/>
      <c r="L27" s="42"/>
      <c r="M27" s="42"/>
      <c r="N27" s="42"/>
      <c r="O27" s="42"/>
      <c r="P27" s="42"/>
      <c r="Q27" s="39"/>
      <c r="R27" s="40"/>
      <c r="S27" s="8"/>
    </row>
    <row r="28" spans="1:19" ht="18" customHeight="1">
      <c r="A28" s="6"/>
      <c r="B28" s="11"/>
      <c r="C28" s="39"/>
      <c r="D28" s="40"/>
      <c r="E28" s="41"/>
      <c r="F28" s="42"/>
      <c r="G28" s="42"/>
      <c r="H28" s="42"/>
      <c r="I28" s="42"/>
      <c r="J28" s="42"/>
      <c r="K28" s="42"/>
      <c r="L28" s="42"/>
      <c r="M28" s="42"/>
      <c r="N28" s="42"/>
      <c r="O28" s="42"/>
      <c r="P28" s="42"/>
      <c r="Q28" s="39"/>
      <c r="R28" s="40"/>
      <c r="S28" s="8"/>
    </row>
    <row r="29" spans="1:19" ht="18" customHeight="1">
      <c r="A29" s="6"/>
      <c r="B29" s="11"/>
      <c r="C29" s="39"/>
      <c r="D29" s="40"/>
      <c r="E29" s="41"/>
      <c r="F29" s="42"/>
      <c r="G29" s="42"/>
      <c r="H29" s="42"/>
      <c r="I29" s="42"/>
      <c r="J29" s="42"/>
      <c r="K29" s="42"/>
      <c r="L29" s="42"/>
      <c r="M29" s="42"/>
      <c r="N29" s="42"/>
      <c r="O29" s="42"/>
      <c r="P29" s="42"/>
      <c r="Q29" s="39"/>
      <c r="R29" s="40"/>
      <c r="S29" s="8"/>
    </row>
    <row r="30" spans="1:19" ht="18" customHeight="1">
      <c r="A30" s="6"/>
      <c r="B30" s="11"/>
      <c r="C30" s="39"/>
      <c r="D30" s="43"/>
      <c r="E30" s="41"/>
      <c r="F30" s="42"/>
      <c r="G30" s="42"/>
      <c r="H30" s="42"/>
      <c r="I30" s="42"/>
      <c r="J30" s="42"/>
      <c r="K30" s="42"/>
      <c r="L30" s="42"/>
      <c r="M30" s="42"/>
      <c r="N30" s="42"/>
      <c r="O30" s="42"/>
      <c r="P30" s="42"/>
      <c r="Q30" s="39"/>
      <c r="R30" s="43"/>
      <c r="S30" s="8"/>
    </row>
    <row r="31" spans="1:19" ht="18" customHeight="1">
      <c r="A31" s="6"/>
      <c r="B31" s="11"/>
      <c r="C31" s="39"/>
      <c r="D31" s="43"/>
      <c r="E31" s="41"/>
      <c r="F31" s="42"/>
      <c r="G31" s="42"/>
      <c r="H31" s="42"/>
      <c r="I31" s="42"/>
      <c r="J31" s="42"/>
      <c r="K31" s="42"/>
      <c r="L31" s="42"/>
      <c r="M31" s="42"/>
      <c r="N31" s="42"/>
      <c r="O31" s="42"/>
      <c r="P31" s="42"/>
      <c r="Q31" s="39"/>
      <c r="R31" s="43"/>
      <c r="S31" s="8"/>
    </row>
    <row r="32" spans="1:19" ht="18" customHeight="1" thickBot="1">
      <c r="A32" s="6"/>
      <c r="B32" s="12"/>
      <c r="C32" s="36"/>
      <c r="D32" s="44"/>
      <c r="E32" s="38"/>
      <c r="F32" s="38"/>
      <c r="G32" s="38"/>
      <c r="H32" s="38"/>
      <c r="I32" s="38"/>
      <c r="J32" s="38"/>
      <c r="K32" s="38"/>
      <c r="L32" s="38"/>
      <c r="M32" s="38"/>
      <c r="N32" s="38"/>
      <c r="O32" s="38"/>
      <c r="P32" s="38"/>
      <c r="Q32" s="39"/>
      <c r="R32" s="44"/>
      <c r="S32" s="7"/>
    </row>
    <row r="33" spans="2:19" ht="18" customHeight="1" thickTop="1">
      <c r="B33" s="13" t="s">
        <v>33</v>
      </c>
      <c r="C33" s="45">
        <f t="shared" ref="C33" si="2">SUM(C13:C32)</f>
        <v>1135</v>
      </c>
      <c r="D33" s="46">
        <f t="shared" ref="D33:R33" si="3">SUM(D13:D32)</f>
        <v>260</v>
      </c>
      <c r="E33" s="47">
        <f t="shared" si="3"/>
        <v>1080</v>
      </c>
      <c r="F33" s="47">
        <f t="shared" si="3"/>
        <v>268</v>
      </c>
      <c r="G33" s="47">
        <f t="shared" ref="G33:H33" si="4">SUM(G13:G32)</f>
        <v>266</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268</v>
      </c>
      <c r="S33" s="9">
        <f t="shared" si="1"/>
        <v>0.24814814814814815</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3"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22" sqref="B22:I32"/>
    </sheetView>
  </sheetViews>
  <sheetFormatPr defaultColWidth="11.33203125" defaultRowHeight="18.75" customHeight="1"/>
  <cols>
    <col min="1" max="1" width="2.77734375" style="20" customWidth="1"/>
    <col min="2" max="2" width="16.6640625" style="1" customWidth="1"/>
    <col min="3" max="3" width="8.77734375" style="1" customWidth="1"/>
    <col min="4" max="4" width="2.1093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c r="A1" s="20" t="s">
        <v>59</v>
      </c>
      <c r="I1" s="18" t="s">
        <v>91</v>
      </c>
    </row>
    <row r="2" spans="1:9" ht="18.75" customHeight="1">
      <c r="G2" s="18" t="s">
        <v>93</v>
      </c>
      <c r="H2" s="97" t="str">
        <f>'様式１　プログラムを構成する授業科目'!C2</f>
        <v>山梨県立大学</v>
      </c>
      <c r="I2" s="99"/>
    </row>
    <row r="3" spans="1:9" ht="18.75" customHeight="1">
      <c r="G3" s="18"/>
      <c r="H3" s="10"/>
      <c r="I3" s="10"/>
    </row>
    <row r="4" spans="1:9" ht="18.45" customHeight="1">
      <c r="A4" s="108" t="s">
        <v>36</v>
      </c>
      <c r="B4" s="108"/>
      <c r="C4" s="108"/>
      <c r="D4" s="108"/>
      <c r="E4" s="108"/>
      <c r="F4" s="108"/>
      <c r="G4" s="108"/>
      <c r="H4" s="108"/>
      <c r="I4" s="108"/>
    </row>
    <row r="5" spans="1:9" ht="13.2" customHeight="1">
      <c r="B5" s="3"/>
      <c r="C5" s="3"/>
      <c r="D5" s="3"/>
      <c r="E5" s="3"/>
      <c r="F5" s="3"/>
      <c r="G5" s="3"/>
      <c r="H5" s="3"/>
      <c r="I5" s="3"/>
    </row>
    <row r="6" spans="1:9" ht="18" customHeight="1">
      <c r="A6" s="1" t="s">
        <v>0</v>
      </c>
      <c r="B6" s="10" t="s">
        <v>81</v>
      </c>
      <c r="C6" s="191" t="s">
        <v>82</v>
      </c>
      <c r="D6" s="191"/>
      <c r="E6" s="17">
        <v>128</v>
      </c>
      <c r="F6" s="3" t="s">
        <v>1</v>
      </c>
      <c r="G6" s="3" t="s">
        <v>2</v>
      </c>
      <c r="H6" s="17">
        <v>172</v>
      </c>
      <c r="I6" s="10" t="s">
        <v>1</v>
      </c>
    </row>
    <row r="7" spans="1:9" ht="12" customHeight="1">
      <c r="C7" s="2"/>
      <c r="D7" s="2"/>
      <c r="E7" s="2"/>
      <c r="F7" s="2"/>
      <c r="G7" s="2"/>
      <c r="H7" s="2"/>
      <c r="I7" s="21"/>
    </row>
    <row r="8" spans="1:9" ht="18" customHeight="1">
      <c r="A8" s="1" t="s">
        <v>3</v>
      </c>
      <c r="B8" s="10" t="s">
        <v>83</v>
      </c>
      <c r="E8" s="3"/>
      <c r="F8" s="3"/>
      <c r="G8" s="3"/>
      <c r="H8" s="82">
        <v>3</v>
      </c>
      <c r="I8" s="10" t="s">
        <v>1</v>
      </c>
    </row>
    <row r="9" spans="1:9" ht="9" customHeight="1">
      <c r="B9" s="3"/>
      <c r="C9" s="3"/>
      <c r="D9" s="3"/>
      <c r="E9" s="3"/>
      <c r="F9" s="3"/>
      <c r="G9" s="3"/>
      <c r="H9" s="3"/>
      <c r="I9" s="3"/>
    </row>
    <row r="10" spans="1:9" ht="18" customHeight="1">
      <c r="A10" s="1" t="s">
        <v>4</v>
      </c>
      <c r="B10" s="10" t="s">
        <v>84</v>
      </c>
      <c r="C10" s="3"/>
      <c r="D10" s="3"/>
      <c r="E10" s="3"/>
      <c r="F10" s="3"/>
      <c r="G10" s="3"/>
      <c r="H10" s="3"/>
      <c r="I10" s="3"/>
    </row>
    <row r="11" spans="1:9" ht="18" customHeight="1">
      <c r="B11" s="18" t="s">
        <v>41</v>
      </c>
      <c r="C11" s="186" t="s">
        <v>170</v>
      </c>
      <c r="D11" s="189"/>
      <c r="E11" s="190"/>
      <c r="F11" s="21"/>
      <c r="G11" s="18" t="s">
        <v>10</v>
      </c>
      <c r="H11" s="186" t="s">
        <v>169</v>
      </c>
      <c r="I11" s="190"/>
    </row>
    <row r="12" spans="1:9" ht="10.199999999999999" customHeight="1">
      <c r="B12" s="18"/>
      <c r="C12" s="10"/>
      <c r="D12" s="21"/>
      <c r="E12" s="21"/>
      <c r="F12" s="21"/>
      <c r="G12" s="18"/>
      <c r="H12" s="10"/>
      <c r="I12" s="21"/>
    </row>
    <row r="13" spans="1:9" ht="18" customHeight="1">
      <c r="A13" s="1" t="s">
        <v>7</v>
      </c>
      <c r="B13" s="10" t="s">
        <v>79</v>
      </c>
      <c r="C13" s="3"/>
      <c r="D13" s="3"/>
      <c r="E13" s="3"/>
      <c r="F13" s="3"/>
      <c r="G13" s="3"/>
      <c r="H13" s="3"/>
      <c r="I13" s="3"/>
    </row>
    <row r="14" spans="1:9" ht="18" customHeight="1">
      <c r="B14" s="186" t="s">
        <v>143</v>
      </c>
      <c r="C14" s="187"/>
      <c r="D14" s="187"/>
      <c r="E14" s="187"/>
      <c r="F14" s="187"/>
      <c r="G14" s="187"/>
      <c r="H14" s="187"/>
      <c r="I14" s="188"/>
    </row>
    <row r="15" spans="1:9" ht="9" customHeight="1">
      <c r="B15" s="3"/>
      <c r="C15" s="3"/>
      <c r="D15" s="3"/>
      <c r="E15" s="3"/>
      <c r="F15" s="3"/>
      <c r="G15" s="3"/>
      <c r="H15" s="3"/>
      <c r="I15" s="3"/>
    </row>
    <row r="16" spans="1:9" ht="18" customHeight="1">
      <c r="B16" s="18" t="s">
        <v>41</v>
      </c>
      <c r="C16" s="186" t="s">
        <v>170</v>
      </c>
      <c r="D16" s="189"/>
      <c r="E16" s="190"/>
      <c r="F16" s="21"/>
      <c r="G16" s="18" t="s">
        <v>10</v>
      </c>
      <c r="H16" s="186" t="s">
        <v>158</v>
      </c>
      <c r="I16" s="190"/>
    </row>
    <row r="17" spans="1:9" ht="18" customHeight="1">
      <c r="B17" s="3"/>
      <c r="C17" s="3"/>
      <c r="D17" s="3"/>
      <c r="E17" s="3"/>
      <c r="F17" s="3"/>
      <c r="G17" s="3"/>
      <c r="H17" s="3"/>
      <c r="I17" s="3"/>
    </row>
    <row r="18" spans="1:9" ht="18.75" customHeight="1">
      <c r="A18" s="1" t="s">
        <v>5</v>
      </c>
      <c r="B18" s="1" t="s">
        <v>40</v>
      </c>
      <c r="I18" s="3"/>
    </row>
    <row r="19" spans="1:9" ht="18.75" customHeight="1">
      <c r="A19" s="1"/>
      <c r="B19" s="172" t="s">
        <v>155</v>
      </c>
      <c r="C19" s="173"/>
      <c r="D19" s="173"/>
      <c r="E19" s="173"/>
      <c r="F19" s="173"/>
      <c r="G19" s="173"/>
      <c r="H19" s="173"/>
      <c r="I19" s="174"/>
    </row>
    <row r="20" spans="1:9" ht="7.5" customHeight="1">
      <c r="B20" s="3"/>
      <c r="C20" s="3"/>
      <c r="D20" s="3"/>
      <c r="E20" s="3"/>
      <c r="F20" s="3"/>
      <c r="G20" s="3"/>
      <c r="H20" s="3"/>
      <c r="I20" s="3"/>
    </row>
    <row r="21" spans="1:9" ht="18.75" customHeight="1">
      <c r="A21" s="1" t="s">
        <v>8</v>
      </c>
      <c r="B21" s="1" t="s">
        <v>25</v>
      </c>
    </row>
    <row r="22" spans="1:9" ht="18.75" customHeight="1">
      <c r="A22" s="14"/>
      <c r="B22" s="175" t="s">
        <v>159</v>
      </c>
      <c r="C22" s="176"/>
      <c r="D22" s="176"/>
      <c r="E22" s="176"/>
      <c r="F22" s="176"/>
      <c r="G22" s="176"/>
      <c r="H22" s="176"/>
      <c r="I22" s="177"/>
    </row>
    <row r="23" spans="1:9" ht="18.75" customHeight="1">
      <c r="A23" s="14"/>
      <c r="B23" s="178"/>
      <c r="C23" s="179"/>
      <c r="D23" s="179"/>
      <c r="E23" s="179"/>
      <c r="F23" s="179"/>
      <c r="G23" s="179"/>
      <c r="H23" s="179"/>
      <c r="I23" s="180"/>
    </row>
    <row r="24" spans="1:9" ht="18.75" customHeight="1">
      <c r="A24" s="14"/>
      <c r="B24" s="178"/>
      <c r="C24" s="179"/>
      <c r="D24" s="179"/>
      <c r="E24" s="179"/>
      <c r="F24" s="179"/>
      <c r="G24" s="179"/>
      <c r="H24" s="179"/>
      <c r="I24" s="180"/>
    </row>
    <row r="25" spans="1:9" ht="18.75" customHeight="1">
      <c r="A25" s="14"/>
      <c r="B25" s="178"/>
      <c r="C25" s="179"/>
      <c r="D25" s="179"/>
      <c r="E25" s="179"/>
      <c r="F25" s="179"/>
      <c r="G25" s="179"/>
      <c r="H25" s="179"/>
      <c r="I25" s="180"/>
    </row>
    <row r="26" spans="1:9" ht="18.75" customHeight="1">
      <c r="A26" s="14"/>
      <c r="B26" s="178"/>
      <c r="C26" s="179"/>
      <c r="D26" s="179"/>
      <c r="E26" s="179"/>
      <c r="F26" s="179"/>
      <c r="G26" s="179"/>
      <c r="H26" s="179"/>
      <c r="I26" s="180"/>
    </row>
    <row r="27" spans="1:9" ht="18.75" customHeight="1">
      <c r="A27" s="14"/>
      <c r="B27" s="178"/>
      <c r="C27" s="179"/>
      <c r="D27" s="179"/>
      <c r="E27" s="179"/>
      <c r="F27" s="179"/>
      <c r="G27" s="179"/>
      <c r="H27" s="179"/>
      <c r="I27" s="180"/>
    </row>
    <row r="28" spans="1:9" ht="18.75" customHeight="1">
      <c r="A28" s="14"/>
      <c r="B28" s="178"/>
      <c r="C28" s="179"/>
      <c r="D28" s="179"/>
      <c r="E28" s="179"/>
      <c r="F28" s="179"/>
      <c r="G28" s="179"/>
      <c r="H28" s="179"/>
      <c r="I28" s="180"/>
    </row>
    <row r="29" spans="1:9" ht="18.75" customHeight="1">
      <c r="A29" s="14"/>
      <c r="B29" s="178"/>
      <c r="C29" s="179"/>
      <c r="D29" s="179"/>
      <c r="E29" s="179"/>
      <c r="F29" s="179"/>
      <c r="G29" s="179"/>
      <c r="H29" s="179"/>
      <c r="I29" s="180"/>
    </row>
    <row r="30" spans="1:9" ht="18.75" customHeight="1">
      <c r="A30" s="14"/>
      <c r="B30" s="181"/>
      <c r="C30" s="182"/>
      <c r="D30" s="182"/>
      <c r="E30" s="182"/>
      <c r="F30" s="182"/>
      <c r="G30" s="182"/>
      <c r="H30" s="182"/>
      <c r="I30" s="180"/>
    </row>
    <row r="31" spans="1:9" ht="18.75" customHeight="1">
      <c r="A31" s="14"/>
      <c r="B31" s="181"/>
      <c r="C31" s="182"/>
      <c r="D31" s="182"/>
      <c r="E31" s="182"/>
      <c r="F31" s="182"/>
      <c r="G31" s="182"/>
      <c r="H31" s="182"/>
      <c r="I31" s="180"/>
    </row>
    <row r="32" spans="1:9" ht="18.75" customHeight="1">
      <c r="A32" s="14"/>
      <c r="B32" s="183"/>
      <c r="C32" s="184"/>
      <c r="D32" s="184"/>
      <c r="E32" s="184"/>
      <c r="F32" s="184"/>
      <c r="G32" s="184"/>
      <c r="H32" s="184"/>
      <c r="I32" s="185"/>
    </row>
    <row r="33" spans="1:9" ht="7.5" customHeight="1">
      <c r="A33" s="14"/>
      <c r="B33" s="14"/>
      <c r="C33" s="14"/>
      <c r="D33" s="14"/>
      <c r="E33" s="14"/>
      <c r="F33" s="14"/>
      <c r="G33" s="14"/>
      <c r="H33" s="14"/>
      <c r="I33" s="14"/>
    </row>
    <row r="34" spans="1:9" ht="18.75" customHeight="1">
      <c r="A34" s="15" t="s">
        <v>6</v>
      </c>
      <c r="B34" s="15" t="s">
        <v>9</v>
      </c>
      <c r="C34" s="10"/>
      <c r="D34" s="15"/>
      <c r="E34" s="15"/>
      <c r="F34" s="15"/>
      <c r="G34" s="15"/>
      <c r="H34" s="15"/>
      <c r="I34" s="15"/>
    </row>
    <row r="35" spans="1:9" ht="18.75" customHeight="1">
      <c r="A35" s="14"/>
      <c r="B35" s="175" t="s">
        <v>172</v>
      </c>
      <c r="C35" s="176"/>
      <c r="D35" s="176"/>
      <c r="E35" s="176"/>
      <c r="F35" s="176"/>
      <c r="G35" s="176"/>
      <c r="H35" s="176"/>
      <c r="I35" s="177"/>
    </row>
    <row r="36" spans="1:9" ht="18.75" customHeight="1">
      <c r="A36" s="14"/>
      <c r="B36" s="181"/>
      <c r="C36" s="182"/>
      <c r="D36" s="182"/>
      <c r="E36" s="182"/>
      <c r="F36" s="182"/>
      <c r="G36" s="182"/>
      <c r="H36" s="182"/>
      <c r="I36" s="180"/>
    </row>
    <row r="37" spans="1:9" ht="18.75" customHeight="1">
      <c r="A37" s="14"/>
      <c r="B37" s="181"/>
      <c r="C37" s="182"/>
      <c r="D37" s="182"/>
      <c r="E37" s="182"/>
      <c r="F37" s="182"/>
      <c r="G37" s="182"/>
      <c r="H37" s="182"/>
      <c r="I37" s="180"/>
    </row>
    <row r="38" spans="1:9" ht="18.75" customHeight="1">
      <c r="A38" s="14"/>
      <c r="B38" s="181"/>
      <c r="C38" s="182"/>
      <c r="D38" s="182"/>
      <c r="E38" s="182"/>
      <c r="F38" s="182"/>
      <c r="G38" s="182"/>
      <c r="H38" s="182"/>
      <c r="I38" s="180"/>
    </row>
    <row r="39" spans="1:9" ht="18.75" customHeight="1">
      <c r="A39" s="14"/>
      <c r="B39" s="181"/>
      <c r="C39" s="182"/>
      <c r="D39" s="182"/>
      <c r="E39" s="182"/>
      <c r="F39" s="182"/>
      <c r="G39" s="182"/>
      <c r="H39" s="182"/>
      <c r="I39" s="180"/>
    </row>
    <row r="40" spans="1:9" ht="18.75" customHeight="1">
      <c r="A40" s="14"/>
      <c r="B40" s="181"/>
      <c r="C40" s="182"/>
      <c r="D40" s="182"/>
      <c r="E40" s="182"/>
      <c r="F40" s="182"/>
      <c r="G40" s="182"/>
      <c r="H40" s="182"/>
      <c r="I40" s="180"/>
    </row>
    <row r="41" spans="1:9" ht="18.75" customHeight="1">
      <c r="A41" s="14"/>
      <c r="B41" s="181"/>
      <c r="C41" s="182"/>
      <c r="D41" s="182"/>
      <c r="E41" s="182"/>
      <c r="F41" s="182"/>
      <c r="G41" s="182"/>
      <c r="H41" s="182"/>
      <c r="I41" s="180"/>
    </row>
    <row r="42" spans="1:9" ht="18.75" customHeight="1">
      <c r="A42" s="14"/>
      <c r="B42" s="181"/>
      <c r="C42" s="182"/>
      <c r="D42" s="182"/>
      <c r="E42" s="182"/>
      <c r="F42" s="182"/>
      <c r="G42" s="182"/>
      <c r="H42" s="182"/>
      <c r="I42" s="180"/>
    </row>
    <row r="43" spans="1:9" ht="18.75" customHeight="1">
      <c r="A43" s="14"/>
      <c r="B43" s="181"/>
      <c r="C43" s="182"/>
      <c r="D43" s="182"/>
      <c r="E43" s="182"/>
      <c r="F43" s="182"/>
      <c r="G43" s="182"/>
      <c r="H43" s="182"/>
      <c r="I43" s="180"/>
    </row>
    <row r="44" spans="1:9" ht="18.75" customHeight="1">
      <c r="A44" s="14"/>
      <c r="B44" s="181"/>
      <c r="C44" s="182"/>
      <c r="D44" s="182"/>
      <c r="E44" s="182"/>
      <c r="F44" s="182"/>
      <c r="G44" s="182"/>
      <c r="H44" s="182"/>
      <c r="I44" s="180"/>
    </row>
    <row r="45" spans="1:9" ht="18.75" customHeight="1">
      <c r="A45" s="14"/>
      <c r="B45" s="181"/>
      <c r="C45" s="182"/>
      <c r="D45" s="182"/>
      <c r="E45" s="182"/>
      <c r="F45" s="182"/>
      <c r="G45" s="182"/>
      <c r="H45" s="182"/>
      <c r="I45" s="180"/>
    </row>
    <row r="46" spans="1:9" ht="18.75" customHeight="1">
      <c r="A46" s="14"/>
      <c r="B46" s="183"/>
      <c r="C46" s="184"/>
      <c r="D46" s="184"/>
      <c r="E46" s="184"/>
      <c r="F46" s="184"/>
      <c r="G46" s="184"/>
      <c r="H46" s="184"/>
      <c r="I46" s="185"/>
    </row>
    <row r="47" spans="1:9" ht="7.5" customHeight="1">
      <c r="A47" s="4"/>
      <c r="B47" s="4"/>
      <c r="C47" s="4"/>
      <c r="D47" s="4"/>
      <c r="E47" s="4"/>
      <c r="F47" s="4"/>
      <c r="G47" s="4"/>
      <c r="H47" s="4"/>
      <c r="I47" s="4"/>
    </row>
    <row r="48" spans="1:9" ht="18.75" customHeight="1">
      <c r="A48" s="1" t="s">
        <v>31</v>
      </c>
      <c r="B48" s="1" t="s">
        <v>105</v>
      </c>
    </row>
    <row r="49" spans="1:15" s="3" customFormat="1" ht="18.75" customHeight="1">
      <c r="B49" s="80" t="s">
        <v>129</v>
      </c>
      <c r="C49" s="213">
        <f>'様式２ 履修者等数の実績'!S33</f>
        <v>0.24814814814814815</v>
      </c>
      <c r="D49" s="213"/>
      <c r="E49" s="80" t="s">
        <v>60</v>
      </c>
      <c r="F49" s="213">
        <v>0.5</v>
      </c>
      <c r="G49" s="213"/>
      <c r="H49" s="80" t="s">
        <v>80</v>
      </c>
      <c r="I49" s="22">
        <v>0.75</v>
      </c>
      <c r="J49" s="1"/>
      <c r="M49" s="1"/>
      <c r="N49" s="23"/>
    </row>
    <row r="50" spans="1:15" s="3" customFormat="1" ht="18.75" customHeight="1">
      <c r="B50" s="81" t="s">
        <v>116</v>
      </c>
      <c r="C50" s="196">
        <v>1</v>
      </c>
      <c r="D50" s="196"/>
      <c r="E50" s="81" t="s">
        <v>130</v>
      </c>
      <c r="F50" s="196">
        <v>1</v>
      </c>
      <c r="G50" s="196"/>
      <c r="H50" s="81" t="s">
        <v>61</v>
      </c>
      <c r="I50" s="24">
        <f>'様式２ 履修者等数の実績'!E33</f>
        <v>1080</v>
      </c>
      <c r="J50" s="1"/>
      <c r="M50" s="1"/>
      <c r="N50" s="23"/>
    </row>
    <row r="51" spans="1:15" ht="18.75" customHeight="1">
      <c r="A51" s="1"/>
      <c r="B51" s="193" t="s">
        <v>62</v>
      </c>
      <c r="C51" s="194"/>
      <c r="D51" s="194"/>
      <c r="E51" s="194"/>
      <c r="F51" s="194"/>
      <c r="G51" s="194"/>
      <c r="H51" s="194"/>
      <c r="I51" s="195"/>
      <c r="N51" s="23"/>
      <c r="O51" s="3"/>
    </row>
    <row r="52" spans="1:15" ht="18.75" customHeight="1">
      <c r="A52" s="1"/>
      <c r="B52" s="214" t="s">
        <v>164</v>
      </c>
      <c r="C52" s="215"/>
      <c r="D52" s="215"/>
      <c r="E52" s="215"/>
      <c r="F52" s="215"/>
      <c r="G52" s="215"/>
      <c r="H52" s="215"/>
      <c r="I52" s="216"/>
      <c r="N52" s="23"/>
      <c r="O52" s="3"/>
    </row>
    <row r="53" spans="1:15" ht="18.75" customHeight="1">
      <c r="A53" s="1"/>
      <c r="B53" s="217"/>
      <c r="C53" s="218"/>
      <c r="D53" s="218"/>
      <c r="E53" s="218"/>
      <c r="F53" s="218"/>
      <c r="G53" s="218"/>
      <c r="H53" s="218"/>
      <c r="I53" s="219"/>
      <c r="N53" s="23"/>
      <c r="O53" s="3"/>
    </row>
    <row r="54" spans="1:15" ht="18.75" customHeight="1">
      <c r="A54" s="1"/>
      <c r="B54" s="217"/>
      <c r="C54" s="218"/>
      <c r="D54" s="218"/>
      <c r="E54" s="218"/>
      <c r="F54" s="218"/>
      <c r="G54" s="218"/>
      <c r="H54" s="218"/>
      <c r="I54" s="219"/>
    </row>
    <row r="55" spans="1:15" ht="18.75" customHeight="1">
      <c r="A55" s="1"/>
      <c r="B55" s="217"/>
      <c r="C55" s="218"/>
      <c r="D55" s="218"/>
      <c r="E55" s="218"/>
      <c r="F55" s="218"/>
      <c r="G55" s="218"/>
      <c r="H55" s="218"/>
      <c r="I55" s="219"/>
    </row>
    <row r="56" spans="1:15" ht="18.75" customHeight="1">
      <c r="A56" s="1"/>
      <c r="B56" s="217"/>
      <c r="C56" s="218"/>
      <c r="D56" s="218"/>
      <c r="E56" s="218"/>
      <c r="F56" s="218"/>
      <c r="G56" s="218"/>
      <c r="H56" s="218"/>
      <c r="I56" s="219"/>
    </row>
    <row r="57" spans="1:15" ht="18.75" customHeight="1">
      <c r="A57" s="1"/>
      <c r="B57" s="217"/>
      <c r="C57" s="218"/>
      <c r="D57" s="218"/>
      <c r="E57" s="218"/>
      <c r="F57" s="218"/>
      <c r="G57" s="218"/>
      <c r="H57" s="218"/>
      <c r="I57" s="219"/>
    </row>
    <row r="58" spans="1:15" ht="18.75" customHeight="1">
      <c r="A58" s="1"/>
      <c r="B58" s="217"/>
      <c r="C58" s="218"/>
      <c r="D58" s="218"/>
      <c r="E58" s="218"/>
      <c r="F58" s="218"/>
      <c r="G58" s="218"/>
      <c r="H58" s="218"/>
      <c r="I58" s="219"/>
    </row>
    <row r="59" spans="1:15" ht="18.75" customHeight="1">
      <c r="A59" s="1"/>
      <c r="B59" s="217"/>
      <c r="C59" s="218"/>
      <c r="D59" s="218"/>
      <c r="E59" s="218"/>
      <c r="F59" s="218"/>
      <c r="G59" s="218"/>
      <c r="H59" s="218"/>
      <c r="I59" s="219"/>
    </row>
    <row r="60" spans="1:15" ht="18.75" customHeight="1">
      <c r="A60" s="1"/>
      <c r="B60" s="217"/>
      <c r="C60" s="218"/>
      <c r="D60" s="218"/>
      <c r="E60" s="218"/>
      <c r="F60" s="218"/>
      <c r="G60" s="218"/>
      <c r="H60" s="218"/>
      <c r="I60" s="219"/>
    </row>
    <row r="61" spans="1:15" ht="18.75" customHeight="1">
      <c r="A61" s="1"/>
      <c r="B61" s="217"/>
      <c r="C61" s="218"/>
      <c r="D61" s="218"/>
      <c r="E61" s="218"/>
      <c r="F61" s="218"/>
      <c r="G61" s="218"/>
      <c r="H61" s="218"/>
      <c r="I61" s="219"/>
    </row>
    <row r="62" spans="1:15" ht="18.75" customHeight="1">
      <c r="A62" s="1"/>
      <c r="B62" s="217"/>
      <c r="C62" s="218"/>
      <c r="D62" s="218"/>
      <c r="E62" s="218"/>
      <c r="F62" s="218"/>
      <c r="G62" s="218"/>
      <c r="H62" s="218"/>
      <c r="I62" s="219"/>
    </row>
    <row r="63" spans="1:15" ht="18.75" customHeight="1">
      <c r="A63" s="1"/>
      <c r="B63" s="220"/>
      <c r="C63" s="221"/>
      <c r="D63" s="221"/>
      <c r="E63" s="221"/>
      <c r="F63" s="221"/>
      <c r="G63" s="221"/>
      <c r="H63" s="221"/>
      <c r="I63" s="222"/>
    </row>
    <row r="64" spans="1:15" ht="7.5" customHeight="1">
      <c r="A64" s="14"/>
      <c r="B64" s="14"/>
      <c r="C64" s="14"/>
      <c r="D64" s="14"/>
      <c r="E64" s="14"/>
      <c r="F64" s="14"/>
      <c r="G64" s="14"/>
      <c r="H64" s="14"/>
      <c r="I64" s="14"/>
    </row>
    <row r="65" spans="1:9" ht="18.75" customHeight="1">
      <c r="A65" s="15" t="s">
        <v>34</v>
      </c>
      <c r="B65" s="1" t="s">
        <v>37</v>
      </c>
      <c r="I65" s="15"/>
    </row>
    <row r="66" spans="1:9" ht="18.75" customHeight="1">
      <c r="A66" s="4"/>
      <c r="B66" s="197" t="s">
        <v>163</v>
      </c>
      <c r="C66" s="198"/>
      <c r="D66" s="198"/>
      <c r="E66" s="198"/>
      <c r="F66" s="198"/>
      <c r="G66" s="198"/>
      <c r="H66" s="198"/>
      <c r="I66" s="199"/>
    </row>
    <row r="67" spans="1:9" ht="18.75" customHeight="1">
      <c r="A67" s="4"/>
      <c r="B67" s="200"/>
      <c r="C67" s="201"/>
      <c r="D67" s="201"/>
      <c r="E67" s="201"/>
      <c r="F67" s="201"/>
      <c r="G67" s="201"/>
      <c r="H67" s="201"/>
      <c r="I67" s="202"/>
    </row>
    <row r="68" spans="1:9" ht="18.75" customHeight="1">
      <c r="A68" s="4"/>
      <c r="B68" s="200"/>
      <c r="C68" s="201"/>
      <c r="D68" s="201"/>
      <c r="E68" s="201"/>
      <c r="F68" s="201"/>
      <c r="G68" s="201"/>
      <c r="H68" s="201"/>
      <c r="I68" s="202"/>
    </row>
    <row r="69" spans="1:9" ht="18.75" customHeight="1">
      <c r="A69" s="4"/>
      <c r="B69" s="200"/>
      <c r="C69" s="201"/>
      <c r="D69" s="201"/>
      <c r="E69" s="201"/>
      <c r="F69" s="201"/>
      <c r="G69" s="201"/>
      <c r="H69" s="201"/>
      <c r="I69" s="202"/>
    </row>
    <row r="70" spans="1:9" ht="18.75" customHeight="1">
      <c r="A70" s="4"/>
      <c r="B70" s="200"/>
      <c r="C70" s="201"/>
      <c r="D70" s="201"/>
      <c r="E70" s="201"/>
      <c r="F70" s="201"/>
      <c r="G70" s="201"/>
      <c r="H70" s="201"/>
      <c r="I70" s="202"/>
    </row>
    <row r="71" spans="1:9" ht="18.75" customHeight="1">
      <c r="A71" s="4"/>
      <c r="B71" s="200"/>
      <c r="C71" s="201"/>
      <c r="D71" s="201"/>
      <c r="E71" s="201"/>
      <c r="F71" s="201"/>
      <c r="G71" s="201"/>
      <c r="H71" s="201"/>
      <c r="I71" s="202"/>
    </row>
    <row r="72" spans="1:9" ht="18.75" customHeight="1">
      <c r="A72" s="4"/>
      <c r="B72" s="200"/>
      <c r="C72" s="201"/>
      <c r="D72" s="201"/>
      <c r="E72" s="201"/>
      <c r="F72" s="201"/>
      <c r="G72" s="201"/>
      <c r="H72" s="201"/>
      <c r="I72" s="202"/>
    </row>
    <row r="73" spans="1:9" ht="18.75" customHeight="1">
      <c r="A73" s="4"/>
      <c r="B73" s="200"/>
      <c r="C73" s="201"/>
      <c r="D73" s="201"/>
      <c r="E73" s="201"/>
      <c r="F73" s="201"/>
      <c r="G73" s="201"/>
      <c r="H73" s="201"/>
      <c r="I73" s="202"/>
    </row>
    <row r="74" spans="1:9" ht="18.75" customHeight="1">
      <c r="A74" s="4"/>
      <c r="B74" s="200"/>
      <c r="C74" s="201"/>
      <c r="D74" s="201"/>
      <c r="E74" s="201"/>
      <c r="F74" s="201"/>
      <c r="G74" s="201"/>
      <c r="H74" s="201"/>
      <c r="I74" s="202"/>
    </row>
    <row r="75" spans="1:9" ht="18.75" customHeight="1">
      <c r="A75" s="4"/>
      <c r="B75" s="200"/>
      <c r="C75" s="201"/>
      <c r="D75" s="201"/>
      <c r="E75" s="201"/>
      <c r="F75" s="201"/>
      <c r="G75" s="201"/>
      <c r="H75" s="201"/>
      <c r="I75" s="202"/>
    </row>
    <row r="76" spans="1:9" ht="18.75" customHeight="1">
      <c r="A76" s="4"/>
      <c r="B76" s="200"/>
      <c r="C76" s="201"/>
      <c r="D76" s="201"/>
      <c r="E76" s="201"/>
      <c r="F76" s="201"/>
      <c r="G76" s="201"/>
      <c r="H76" s="201"/>
      <c r="I76" s="202"/>
    </row>
    <row r="77" spans="1:9" ht="18.75" customHeight="1">
      <c r="A77" s="4"/>
      <c r="B77" s="203"/>
      <c r="C77" s="204"/>
      <c r="D77" s="204"/>
      <c r="E77" s="204"/>
      <c r="F77" s="204"/>
      <c r="G77" s="204"/>
      <c r="H77" s="204"/>
      <c r="I77" s="205"/>
    </row>
    <row r="78" spans="1:9" ht="7.5" customHeight="1">
      <c r="A78" s="4"/>
      <c r="B78" s="4"/>
      <c r="C78" s="4"/>
      <c r="D78" s="4"/>
      <c r="E78" s="4"/>
      <c r="F78" s="4"/>
      <c r="G78" s="4"/>
      <c r="H78" s="4"/>
      <c r="I78" s="4"/>
    </row>
    <row r="79" spans="1:9" ht="18.75" customHeight="1">
      <c r="A79" s="1" t="s">
        <v>11</v>
      </c>
      <c r="B79" s="1" t="s">
        <v>39</v>
      </c>
    </row>
    <row r="80" spans="1:9" ht="18.75" customHeight="1">
      <c r="A80" s="1"/>
      <c r="B80" s="197" t="s">
        <v>162</v>
      </c>
      <c r="C80" s="198"/>
      <c r="D80" s="198"/>
      <c r="E80" s="198"/>
      <c r="F80" s="198"/>
      <c r="G80" s="198"/>
      <c r="H80" s="198"/>
      <c r="I80" s="206"/>
    </row>
    <row r="81" spans="1:9" ht="18.75" customHeight="1">
      <c r="A81" s="1"/>
      <c r="B81" s="207"/>
      <c r="C81" s="208"/>
      <c r="D81" s="208"/>
      <c r="E81" s="208"/>
      <c r="F81" s="208"/>
      <c r="G81" s="208"/>
      <c r="H81" s="208"/>
      <c r="I81" s="209"/>
    </row>
    <row r="82" spans="1:9" ht="18.75" customHeight="1">
      <c r="A82" s="1"/>
      <c r="B82" s="207"/>
      <c r="C82" s="208"/>
      <c r="D82" s="208"/>
      <c r="E82" s="208"/>
      <c r="F82" s="208"/>
      <c r="G82" s="208"/>
      <c r="H82" s="208"/>
      <c r="I82" s="209"/>
    </row>
    <row r="83" spans="1:9" ht="18.75" customHeight="1">
      <c r="A83" s="1"/>
      <c r="B83" s="207"/>
      <c r="C83" s="208"/>
      <c r="D83" s="208"/>
      <c r="E83" s="208"/>
      <c r="F83" s="208"/>
      <c r="G83" s="208"/>
      <c r="H83" s="208"/>
      <c r="I83" s="209"/>
    </row>
    <row r="84" spans="1:9" ht="18.75" customHeight="1">
      <c r="A84" s="1"/>
      <c r="B84" s="207"/>
      <c r="C84" s="208"/>
      <c r="D84" s="208"/>
      <c r="E84" s="208"/>
      <c r="F84" s="208"/>
      <c r="G84" s="208"/>
      <c r="H84" s="208"/>
      <c r="I84" s="209"/>
    </row>
    <row r="85" spans="1:9" ht="18.75" customHeight="1">
      <c r="A85" s="1"/>
      <c r="B85" s="207"/>
      <c r="C85" s="208"/>
      <c r="D85" s="208"/>
      <c r="E85" s="208"/>
      <c r="F85" s="208"/>
      <c r="G85" s="208"/>
      <c r="H85" s="208"/>
      <c r="I85" s="209"/>
    </row>
    <row r="86" spans="1:9" ht="18.75" customHeight="1">
      <c r="A86" s="1"/>
      <c r="B86" s="207"/>
      <c r="C86" s="208"/>
      <c r="D86" s="208"/>
      <c r="E86" s="208"/>
      <c r="F86" s="208"/>
      <c r="G86" s="208"/>
      <c r="H86" s="208"/>
      <c r="I86" s="209"/>
    </row>
    <row r="87" spans="1:9" ht="18.75" customHeight="1">
      <c r="A87" s="1"/>
      <c r="B87" s="207"/>
      <c r="C87" s="208"/>
      <c r="D87" s="208"/>
      <c r="E87" s="208"/>
      <c r="F87" s="208"/>
      <c r="G87" s="208"/>
      <c r="H87" s="208"/>
      <c r="I87" s="209"/>
    </row>
    <row r="88" spans="1:9" ht="18.75" customHeight="1">
      <c r="A88" s="1"/>
      <c r="B88" s="207"/>
      <c r="C88" s="208"/>
      <c r="D88" s="208"/>
      <c r="E88" s="208"/>
      <c r="F88" s="208"/>
      <c r="G88" s="208"/>
      <c r="H88" s="208"/>
      <c r="I88" s="209"/>
    </row>
    <row r="89" spans="1:9" ht="18.75" customHeight="1">
      <c r="A89" s="1"/>
      <c r="B89" s="207"/>
      <c r="C89" s="208"/>
      <c r="D89" s="208"/>
      <c r="E89" s="208"/>
      <c r="F89" s="208"/>
      <c r="G89" s="208"/>
      <c r="H89" s="208"/>
      <c r="I89" s="209"/>
    </row>
    <row r="90" spans="1:9" ht="18.75" customHeight="1">
      <c r="A90" s="4"/>
      <c r="B90" s="207"/>
      <c r="C90" s="208"/>
      <c r="D90" s="208"/>
      <c r="E90" s="208"/>
      <c r="F90" s="208"/>
      <c r="G90" s="208"/>
      <c r="H90" s="208"/>
      <c r="I90" s="209"/>
    </row>
    <row r="91" spans="1:9" ht="18.75" customHeight="1">
      <c r="A91" s="4"/>
      <c r="B91" s="210"/>
      <c r="C91" s="211"/>
      <c r="D91" s="211"/>
      <c r="E91" s="211"/>
      <c r="F91" s="211"/>
      <c r="G91" s="211"/>
      <c r="H91" s="211"/>
      <c r="I91" s="212"/>
    </row>
    <row r="92" spans="1:9" ht="7.5" customHeight="1">
      <c r="A92" s="4"/>
      <c r="B92" s="4"/>
      <c r="C92" s="4"/>
      <c r="D92" s="4"/>
      <c r="E92" s="4"/>
      <c r="F92" s="4"/>
      <c r="G92" s="4"/>
      <c r="H92" s="4"/>
      <c r="I92" s="4"/>
    </row>
    <row r="93" spans="1:9" ht="18.75" customHeight="1">
      <c r="A93" s="1" t="s">
        <v>42</v>
      </c>
      <c r="B93" s="1" t="s">
        <v>13</v>
      </c>
    </row>
    <row r="94" spans="1:9" ht="18.75" customHeight="1">
      <c r="A94" s="1"/>
      <c r="B94" s="175" t="s">
        <v>161</v>
      </c>
      <c r="C94" s="176"/>
      <c r="D94" s="176"/>
      <c r="E94" s="176"/>
      <c r="F94" s="176"/>
      <c r="G94" s="176"/>
      <c r="H94" s="176"/>
      <c r="I94" s="177"/>
    </row>
    <row r="95" spans="1:9" ht="18.75" customHeight="1">
      <c r="A95" s="1"/>
      <c r="B95" s="181"/>
      <c r="C95" s="182"/>
      <c r="D95" s="182"/>
      <c r="E95" s="182"/>
      <c r="F95" s="182"/>
      <c r="G95" s="182"/>
      <c r="H95" s="182"/>
      <c r="I95" s="180"/>
    </row>
    <row r="96" spans="1:9" ht="18.75" customHeight="1">
      <c r="A96" s="1"/>
      <c r="B96" s="181"/>
      <c r="C96" s="182"/>
      <c r="D96" s="182"/>
      <c r="E96" s="182"/>
      <c r="F96" s="182"/>
      <c r="G96" s="182"/>
      <c r="H96" s="182"/>
      <c r="I96" s="180"/>
    </row>
    <row r="97" spans="1:9" ht="18.75" customHeight="1">
      <c r="A97" s="1"/>
      <c r="B97" s="181"/>
      <c r="C97" s="182"/>
      <c r="D97" s="182"/>
      <c r="E97" s="182"/>
      <c r="F97" s="182"/>
      <c r="G97" s="182"/>
      <c r="H97" s="182"/>
      <c r="I97" s="180"/>
    </row>
    <row r="98" spans="1:9" ht="18.75" customHeight="1">
      <c r="A98" s="1"/>
      <c r="B98" s="181"/>
      <c r="C98" s="182"/>
      <c r="D98" s="182"/>
      <c r="E98" s="182"/>
      <c r="F98" s="182"/>
      <c r="G98" s="182"/>
      <c r="H98" s="182"/>
      <c r="I98" s="180"/>
    </row>
    <row r="99" spans="1:9" ht="18.75" customHeight="1">
      <c r="A99" s="1"/>
      <c r="B99" s="181"/>
      <c r="C99" s="182"/>
      <c r="D99" s="182"/>
      <c r="E99" s="182"/>
      <c r="F99" s="182"/>
      <c r="G99" s="182"/>
      <c r="H99" s="182"/>
      <c r="I99" s="180"/>
    </row>
    <row r="100" spans="1:9" ht="18.75" customHeight="1">
      <c r="A100" s="1"/>
      <c r="B100" s="181"/>
      <c r="C100" s="182"/>
      <c r="D100" s="182"/>
      <c r="E100" s="182"/>
      <c r="F100" s="182"/>
      <c r="G100" s="182"/>
      <c r="H100" s="182"/>
      <c r="I100" s="180"/>
    </row>
    <row r="101" spans="1:9" ht="18.75" customHeight="1">
      <c r="A101" s="1"/>
      <c r="B101" s="181"/>
      <c r="C101" s="182"/>
      <c r="D101" s="182"/>
      <c r="E101" s="182"/>
      <c r="F101" s="182"/>
      <c r="G101" s="182"/>
      <c r="H101" s="182"/>
      <c r="I101" s="180"/>
    </row>
    <row r="102" spans="1:9" ht="18.75" customHeight="1">
      <c r="A102" s="1"/>
      <c r="B102" s="181"/>
      <c r="C102" s="182"/>
      <c r="D102" s="182"/>
      <c r="E102" s="182"/>
      <c r="F102" s="182"/>
      <c r="G102" s="182"/>
      <c r="H102" s="182"/>
      <c r="I102" s="180"/>
    </row>
    <row r="103" spans="1:9" ht="18.75" customHeight="1">
      <c r="A103" s="1"/>
      <c r="B103" s="181"/>
      <c r="C103" s="182"/>
      <c r="D103" s="182"/>
      <c r="E103" s="182"/>
      <c r="F103" s="182"/>
      <c r="G103" s="182"/>
      <c r="H103" s="182"/>
      <c r="I103" s="180"/>
    </row>
    <row r="104" spans="1:9" ht="18.75" customHeight="1">
      <c r="A104" s="1"/>
      <c r="B104" s="181"/>
      <c r="C104" s="182"/>
      <c r="D104" s="182"/>
      <c r="E104" s="182"/>
      <c r="F104" s="182"/>
      <c r="G104" s="182"/>
      <c r="H104" s="182"/>
      <c r="I104" s="180"/>
    </row>
    <row r="105" spans="1:9" ht="18.75" customHeight="1">
      <c r="A105" s="4"/>
      <c r="B105" s="183"/>
      <c r="C105" s="184"/>
      <c r="D105" s="184"/>
      <c r="E105" s="184"/>
      <c r="F105" s="184"/>
      <c r="G105" s="184"/>
      <c r="H105" s="184"/>
      <c r="I105" s="185"/>
    </row>
    <row r="106" spans="1:9" ht="7.5" customHeight="1">
      <c r="A106" s="4"/>
      <c r="B106" s="4"/>
      <c r="C106" s="4"/>
      <c r="D106" s="4"/>
      <c r="E106" s="4"/>
      <c r="F106" s="4"/>
      <c r="G106" s="4"/>
      <c r="H106" s="4"/>
      <c r="I106" s="4"/>
    </row>
    <row r="107" spans="1:9" ht="18.75" customHeight="1">
      <c r="A107" s="1" t="s">
        <v>30</v>
      </c>
      <c r="B107" s="192" t="s">
        <v>44</v>
      </c>
      <c r="C107" s="192"/>
      <c r="D107" s="192"/>
      <c r="E107" s="192"/>
      <c r="F107" s="192"/>
      <c r="G107" s="192"/>
      <c r="H107" s="192"/>
      <c r="I107" s="192"/>
    </row>
    <row r="108" spans="1:9" ht="18.75" customHeight="1">
      <c r="A108" s="4"/>
      <c r="B108" s="175" t="s">
        <v>160</v>
      </c>
      <c r="C108" s="176"/>
      <c r="D108" s="176"/>
      <c r="E108" s="176"/>
      <c r="F108" s="176"/>
      <c r="G108" s="176"/>
      <c r="H108" s="176"/>
      <c r="I108" s="177"/>
    </row>
    <row r="109" spans="1:9" ht="18.75" customHeight="1">
      <c r="A109" s="4"/>
      <c r="B109" s="181"/>
      <c r="C109" s="182"/>
      <c r="D109" s="182"/>
      <c r="E109" s="182"/>
      <c r="F109" s="182"/>
      <c r="G109" s="182"/>
      <c r="H109" s="182"/>
      <c r="I109" s="180"/>
    </row>
    <row r="110" spans="1:9" ht="18.75" customHeight="1">
      <c r="A110" s="4"/>
      <c r="B110" s="181"/>
      <c r="C110" s="182"/>
      <c r="D110" s="182"/>
      <c r="E110" s="182"/>
      <c r="F110" s="182"/>
      <c r="G110" s="182"/>
      <c r="H110" s="182"/>
      <c r="I110" s="180"/>
    </row>
    <row r="111" spans="1:9" ht="18.75" customHeight="1">
      <c r="A111" s="4"/>
      <c r="B111" s="181"/>
      <c r="C111" s="182"/>
      <c r="D111" s="182"/>
      <c r="E111" s="182"/>
      <c r="F111" s="182"/>
      <c r="G111" s="182"/>
      <c r="H111" s="182"/>
      <c r="I111" s="180"/>
    </row>
    <row r="112" spans="1:9" ht="18.75" customHeight="1">
      <c r="A112" s="4"/>
      <c r="B112" s="181"/>
      <c r="C112" s="182"/>
      <c r="D112" s="182"/>
      <c r="E112" s="182"/>
      <c r="F112" s="182"/>
      <c r="G112" s="182"/>
      <c r="H112" s="182"/>
      <c r="I112" s="180"/>
    </row>
    <row r="113" spans="1:9" ht="18.75" customHeight="1">
      <c r="A113" s="4"/>
      <c r="B113" s="181"/>
      <c r="C113" s="182"/>
      <c r="D113" s="182"/>
      <c r="E113" s="182"/>
      <c r="F113" s="182"/>
      <c r="G113" s="182"/>
      <c r="H113" s="182"/>
      <c r="I113" s="180"/>
    </row>
    <row r="114" spans="1:9" ht="18.75" customHeight="1">
      <c r="A114" s="4"/>
      <c r="B114" s="181"/>
      <c r="C114" s="182"/>
      <c r="D114" s="182"/>
      <c r="E114" s="182"/>
      <c r="F114" s="182"/>
      <c r="G114" s="182"/>
      <c r="H114" s="182"/>
      <c r="I114" s="180"/>
    </row>
    <row r="115" spans="1:9" ht="18.75" customHeight="1">
      <c r="A115" s="4"/>
      <c r="B115" s="181"/>
      <c r="C115" s="182"/>
      <c r="D115" s="182"/>
      <c r="E115" s="182"/>
      <c r="F115" s="182"/>
      <c r="G115" s="182"/>
      <c r="H115" s="182"/>
      <c r="I115" s="180"/>
    </row>
    <row r="116" spans="1:9" ht="18.75" customHeight="1">
      <c r="A116" s="4"/>
      <c r="B116" s="181"/>
      <c r="C116" s="182"/>
      <c r="D116" s="182"/>
      <c r="E116" s="182"/>
      <c r="F116" s="182"/>
      <c r="G116" s="182"/>
      <c r="H116" s="182"/>
      <c r="I116" s="180"/>
    </row>
    <row r="117" spans="1:9" ht="18.75" customHeight="1">
      <c r="A117" s="4"/>
      <c r="B117" s="181"/>
      <c r="C117" s="182"/>
      <c r="D117" s="182"/>
      <c r="E117" s="182"/>
      <c r="F117" s="182"/>
      <c r="G117" s="182"/>
      <c r="H117" s="182"/>
      <c r="I117" s="180"/>
    </row>
    <row r="118" spans="1:9" ht="18.75" customHeight="1">
      <c r="A118" s="4"/>
      <c r="B118" s="181"/>
      <c r="C118" s="182"/>
      <c r="D118" s="182"/>
      <c r="E118" s="182"/>
      <c r="F118" s="182"/>
      <c r="G118" s="182"/>
      <c r="H118" s="182"/>
      <c r="I118" s="180"/>
    </row>
    <row r="119" spans="1:9" ht="18.75" customHeight="1">
      <c r="A119" s="4"/>
      <c r="B119" s="183"/>
      <c r="C119" s="184"/>
      <c r="D119" s="184"/>
      <c r="E119" s="184"/>
      <c r="F119" s="184"/>
      <c r="G119" s="184"/>
      <c r="H119" s="184"/>
      <c r="I119" s="185"/>
    </row>
    <row r="120" spans="1:9" ht="7.5" customHeight="1">
      <c r="A120" s="4"/>
      <c r="B120" s="25"/>
      <c r="C120" s="25"/>
      <c r="D120" s="25"/>
      <c r="E120" s="25"/>
      <c r="F120" s="25"/>
      <c r="G120" s="25"/>
      <c r="H120" s="25"/>
      <c r="I120" s="25"/>
    </row>
    <row r="121" spans="1:9" ht="18.75" customHeight="1">
      <c r="A121" s="51"/>
      <c r="B121" s="171"/>
      <c r="C121" s="171"/>
      <c r="D121" s="171"/>
      <c r="E121" s="171"/>
      <c r="F121" s="171"/>
      <c r="G121" s="171"/>
      <c r="H121" s="171"/>
      <c r="I121" s="171"/>
    </row>
    <row r="122" spans="1:9" ht="18.75" customHeight="1">
      <c r="A122" s="51"/>
      <c r="B122" s="171"/>
      <c r="C122" s="171"/>
      <c r="D122" s="171"/>
      <c r="E122" s="171"/>
      <c r="F122" s="171"/>
      <c r="G122" s="171"/>
      <c r="H122" s="171"/>
      <c r="I122" s="171"/>
    </row>
    <row r="123" spans="1:9" ht="18.75" customHeight="1">
      <c r="A123" s="4"/>
      <c r="B123" s="52"/>
      <c r="C123" s="52"/>
      <c r="D123" s="52"/>
      <c r="E123" s="52"/>
      <c r="F123" s="52"/>
      <c r="G123" s="52"/>
      <c r="H123" s="52"/>
      <c r="I123" s="53"/>
    </row>
    <row r="124" spans="1:9" ht="18.75" customHeight="1">
      <c r="A124" s="4"/>
      <c r="B124" s="53"/>
      <c r="C124" s="53"/>
      <c r="D124" s="53"/>
      <c r="E124" s="53"/>
      <c r="F124" s="53"/>
      <c r="G124" s="53"/>
      <c r="H124" s="53"/>
      <c r="I124" s="53"/>
    </row>
    <row r="125" spans="1:9" ht="18.75" customHeight="1">
      <c r="A125" s="4"/>
      <c r="B125" s="53"/>
      <c r="C125" s="53"/>
      <c r="D125" s="53"/>
      <c r="E125" s="53"/>
      <c r="F125" s="53"/>
      <c r="G125" s="53"/>
      <c r="H125" s="53"/>
      <c r="I125" s="53"/>
    </row>
    <row r="126" spans="1:9" ht="18.75" customHeight="1">
      <c r="A126" s="4"/>
      <c r="B126" s="53"/>
      <c r="C126" s="53"/>
      <c r="D126" s="53"/>
      <c r="E126" s="53"/>
      <c r="F126" s="53"/>
      <c r="G126" s="53"/>
      <c r="H126" s="53"/>
      <c r="I126" s="53"/>
    </row>
    <row r="127" spans="1:9" ht="18.75" customHeight="1">
      <c r="A127" s="4"/>
      <c r="B127" s="53"/>
      <c r="C127" s="53"/>
      <c r="D127" s="53"/>
      <c r="E127" s="53"/>
      <c r="F127" s="53"/>
      <c r="G127" s="53"/>
      <c r="H127" s="53"/>
      <c r="I127" s="53"/>
    </row>
    <row r="128" spans="1:9" ht="18.75" customHeight="1">
      <c r="A128" s="4"/>
      <c r="B128" s="53"/>
      <c r="C128" s="53"/>
      <c r="D128" s="53"/>
      <c r="E128" s="53"/>
      <c r="F128" s="53"/>
      <c r="G128" s="53"/>
      <c r="H128" s="53"/>
      <c r="I128" s="53"/>
    </row>
    <row r="129" spans="1:9" ht="18.75" customHeight="1">
      <c r="A129" s="4"/>
      <c r="B129" s="53"/>
      <c r="C129" s="53"/>
      <c r="D129" s="53"/>
      <c r="E129" s="53"/>
      <c r="F129" s="53"/>
      <c r="G129" s="53"/>
      <c r="H129" s="53"/>
      <c r="I129" s="53"/>
    </row>
    <row r="130" spans="1:9" ht="18.75" customHeight="1">
      <c r="A130" s="4"/>
      <c r="B130" s="53"/>
      <c r="C130" s="53"/>
      <c r="D130" s="53"/>
      <c r="E130" s="53"/>
      <c r="F130" s="53"/>
      <c r="G130" s="53"/>
      <c r="H130" s="53"/>
      <c r="I130" s="53"/>
    </row>
    <row r="131" spans="1:9" ht="18.75" customHeight="1">
      <c r="A131" s="4"/>
      <c r="B131" s="53"/>
      <c r="C131" s="53"/>
      <c r="D131" s="53"/>
      <c r="E131" s="53"/>
      <c r="F131" s="53"/>
      <c r="G131" s="53"/>
      <c r="H131" s="53"/>
      <c r="I131" s="53"/>
    </row>
    <row r="132" spans="1:9" ht="18.75" customHeight="1">
      <c r="A132" s="4"/>
      <c r="B132" s="53"/>
      <c r="C132" s="53"/>
      <c r="D132" s="53"/>
      <c r="E132" s="53"/>
      <c r="F132" s="53"/>
      <c r="G132" s="53"/>
      <c r="H132" s="53"/>
      <c r="I132" s="53"/>
    </row>
    <row r="133" spans="1:9" ht="14.4">
      <c r="A133" s="4"/>
      <c r="B133" s="53"/>
      <c r="C133" s="53"/>
      <c r="D133" s="53"/>
      <c r="E133" s="53"/>
      <c r="F133" s="53"/>
      <c r="G133" s="53"/>
      <c r="H133" s="53"/>
      <c r="I133" s="53"/>
    </row>
    <row r="134" spans="1:9" ht="7.5" customHeight="1">
      <c r="A134" s="4"/>
      <c r="B134" s="53"/>
      <c r="C134" s="53"/>
      <c r="D134" s="53"/>
      <c r="E134" s="53"/>
      <c r="F134" s="53"/>
      <c r="G134" s="53"/>
      <c r="H134" s="53"/>
      <c r="I134" s="5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1"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zoomScaleNormal="100" zoomScaleSheetLayoutView="100" workbookViewId="0">
      <selection activeCell="H8" sqref="H8"/>
    </sheetView>
  </sheetViews>
  <sheetFormatPr defaultColWidth="11.33203125" defaultRowHeight="22.5" customHeight="1"/>
  <cols>
    <col min="1" max="3" width="2.77734375" style="1" customWidth="1"/>
    <col min="4" max="4" width="22.1093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c r="A1" s="1" t="s">
        <v>63</v>
      </c>
      <c r="I1" s="18" t="s">
        <v>90</v>
      </c>
    </row>
    <row r="2" spans="1:9" ht="18.75" customHeight="1">
      <c r="H2" s="18" t="s">
        <v>93</v>
      </c>
      <c r="I2" s="17" t="str">
        <f>'様式１　プログラムを構成する授業科目'!C2</f>
        <v>山梨県立大学</v>
      </c>
    </row>
    <row r="3" spans="1:9" ht="18.75" customHeight="1">
      <c r="A3" s="108" t="s">
        <v>28</v>
      </c>
      <c r="B3" s="108"/>
      <c r="C3" s="108"/>
      <c r="D3" s="108"/>
      <c r="E3" s="108"/>
      <c r="F3" s="108"/>
      <c r="G3" s="108"/>
      <c r="H3" s="108"/>
      <c r="I3" s="108"/>
    </row>
    <row r="4" spans="1:9" ht="18.75" customHeight="1">
      <c r="A4" s="5"/>
      <c r="B4" s="5"/>
      <c r="C4" s="5"/>
      <c r="D4" s="5"/>
      <c r="E4" s="5"/>
      <c r="F4" s="5"/>
      <c r="G4" s="5"/>
      <c r="H4" s="5"/>
      <c r="I4" s="5"/>
    </row>
    <row r="5" spans="1:9" ht="18.75" customHeight="1">
      <c r="A5" s="1" t="s">
        <v>0</v>
      </c>
      <c r="B5" s="10" t="s">
        <v>85</v>
      </c>
      <c r="C5" s="5"/>
      <c r="D5" s="5"/>
      <c r="E5" s="5"/>
      <c r="F5" s="5"/>
      <c r="G5" s="5"/>
      <c r="H5" s="5"/>
      <c r="I5" s="5"/>
    </row>
    <row r="6" spans="1:9" ht="26.25" customHeight="1">
      <c r="A6" s="5"/>
      <c r="B6" s="186" t="s">
        <v>143</v>
      </c>
      <c r="C6" s="230"/>
      <c r="D6" s="230"/>
      <c r="E6" s="230"/>
      <c r="F6" s="230"/>
      <c r="G6" s="230"/>
      <c r="H6" s="231"/>
      <c r="I6" s="3"/>
    </row>
    <row r="7" spans="1:9" ht="9" customHeight="1">
      <c r="A7" s="5"/>
      <c r="B7" s="10"/>
      <c r="C7" s="10"/>
      <c r="D7" s="10"/>
      <c r="E7" s="10"/>
      <c r="F7" s="10"/>
      <c r="G7" s="10"/>
      <c r="H7" s="10"/>
      <c r="I7" s="3"/>
    </row>
    <row r="8" spans="1:9" ht="18.75" customHeight="1">
      <c r="A8" s="5"/>
      <c r="B8" s="3"/>
      <c r="C8" s="3"/>
      <c r="D8" s="18" t="s">
        <v>41</v>
      </c>
      <c r="E8" s="19" t="s">
        <v>170</v>
      </c>
      <c r="F8" s="3"/>
      <c r="G8" s="18" t="s">
        <v>10</v>
      </c>
      <c r="H8" s="19" t="s">
        <v>154</v>
      </c>
      <c r="I8" s="3"/>
    </row>
    <row r="9" spans="1:9" ht="7.5" customHeight="1">
      <c r="A9" s="5"/>
      <c r="B9" s="5"/>
      <c r="C9" s="5"/>
      <c r="D9" s="5"/>
      <c r="E9" s="5"/>
      <c r="F9" s="5"/>
      <c r="G9" s="5"/>
      <c r="H9" s="5"/>
      <c r="I9" s="5"/>
    </row>
    <row r="10" spans="1:9" ht="18.75" customHeight="1">
      <c r="A10" s="1" t="s">
        <v>3</v>
      </c>
      <c r="B10" s="1" t="s">
        <v>27</v>
      </c>
      <c r="C10" s="4"/>
      <c r="D10" s="4"/>
      <c r="E10" s="4"/>
      <c r="F10" s="4"/>
      <c r="G10" s="4"/>
      <c r="H10" s="4"/>
      <c r="I10" s="4"/>
    </row>
    <row r="11" spans="1:9" ht="18.75" customHeight="1">
      <c r="B11" s="97" t="s">
        <v>24</v>
      </c>
      <c r="C11" s="98"/>
      <c r="D11" s="99"/>
      <c r="E11" s="98" t="s">
        <v>26</v>
      </c>
      <c r="F11" s="98"/>
      <c r="G11" s="98"/>
      <c r="H11" s="98"/>
      <c r="I11" s="99"/>
    </row>
    <row r="12" spans="1:9" ht="26.25" customHeight="1">
      <c r="B12" s="26" t="s">
        <v>14</v>
      </c>
      <c r="C12" s="33"/>
      <c r="D12" s="27"/>
      <c r="E12" s="34"/>
      <c r="F12" s="34"/>
      <c r="G12" s="34"/>
      <c r="H12" s="34"/>
      <c r="I12" s="27"/>
    </row>
    <row r="13" spans="1:9" ht="210.75" customHeight="1">
      <c r="B13" s="28"/>
      <c r="C13" s="228" t="s">
        <v>15</v>
      </c>
      <c r="D13" s="229"/>
      <c r="E13" s="225" t="s">
        <v>167</v>
      </c>
      <c r="F13" s="226"/>
      <c r="G13" s="226"/>
      <c r="H13" s="226"/>
      <c r="I13" s="227"/>
    </row>
    <row r="14" spans="1:9" ht="210.75" customHeight="1">
      <c r="B14" s="28"/>
      <c r="C14" s="223" t="s">
        <v>16</v>
      </c>
      <c r="D14" s="224"/>
      <c r="E14" s="225" t="s">
        <v>171</v>
      </c>
      <c r="F14" s="226"/>
      <c r="G14" s="226"/>
      <c r="H14" s="226"/>
      <c r="I14" s="227"/>
    </row>
    <row r="15" spans="1:9" ht="210.75" customHeight="1">
      <c r="B15" s="28"/>
      <c r="C15" s="228" t="s">
        <v>17</v>
      </c>
      <c r="D15" s="229"/>
      <c r="E15" s="225" t="s">
        <v>173</v>
      </c>
      <c r="F15" s="226"/>
      <c r="G15" s="226"/>
      <c r="H15" s="226"/>
      <c r="I15" s="227"/>
    </row>
    <row r="16" spans="1:9" ht="210.75" customHeight="1">
      <c r="B16" s="28"/>
      <c r="C16" s="228" t="s">
        <v>18</v>
      </c>
      <c r="D16" s="229"/>
      <c r="E16" s="225" t="s">
        <v>174</v>
      </c>
      <c r="F16" s="226"/>
      <c r="G16" s="226"/>
      <c r="H16" s="226"/>
      <c r="I16" s="227"/>
    </row>
    <row r="17" spans="2:9" ht="210.75" customHeight="1">
      <c r="B17" s="29"/>
      <c r="C17" s="232" t="s">
        <v>19</v>
      </c>
      <c r="D17" s="233"/>
      <c r="E17" s="234" t="s">
        <v>165</v>
      </c>
      <c r="F17" s="235"/>
      <c r="G17" s="235"/>
      <c r="H17" s="235"/>
      <c r="I17" s="236"/>
    </row>
    <row r="18" spans="2:9" ht="24" customHeight="1">
      <c r="B18" s="26" t="s">
        <v>20</v>
      </c>
      <c r="C18" s="30"/>
      <c r="D18" s="31"/>
      <c r="E18" s="32"/>
      <c r="F18" s="32"/>
      <c r="G18" s="32"/>
      <c r="H18" s="32"/>
      <c r="I18" s="35"/>
    </row>
    <row r="19" spans="2:9" ht="218.25" customHeight="1">
      <c r="B19" s="28"/>
      <c r="C19" s="228" t="s">
        <v>21</v>
      </c>
      <c r="D19" s="229"/>
      <c r="E19" s="226" t="s">
        <v>168</v>
      </c>
      <c r="F19" s="226"/>
      <c r="G19" s="226"/>
      <c r="H19" s="226"/>
      <c r="I19" s="227"/>
    </row>
    <row r="20" spans="2:9" ht="218.25" customHeight="1">
      <c r="B20" s="29"/>
      <c r="C20" s="232" t="s">
        <v>22</v>
      </c>
      <c r="D20" s="233"/>
      <c r="E20" s="235" t="s">
        <v>166</v>
      </c>
      <c r="F20" s="235"/>
      <c r="G20" s="235"/>
      <c r="H20" s="235"/>
      <c r="I20" s="236"/>
    </row>
    <row r="21" spans="2:9" ht="218.25" customHeight="1">
      <c r="B21" s="242" t="s">
        <v>23</v>
      </c>
      <c r="C21" s="243"/>
      <c r="D21" s="244"/>
      <c r="E21" s="245" t="s">
        <v>176</v>
      </c>
      <c r="F21" s="245"/>
      <c r="G21" s="245"/>
      <c r="H21" s="245"/>
      <c r="I21" s="246"/>
    </row>
    <row r="22" spans="2:9" ht="218.25" customHeight="1">
      <c r="B22" s="237" t="s">
        <v>121</v>
      </c>
      <c r="C22" s="238"/>
      <c r="D22" s="239"/>
      <c r="E22" s="240" t="s">
        <v>175</v>
      </c>
      <c r="F22" s="240"/>
      <c r="G22" s="240"/>
      <c r="H22" s="240"/>
      <c r="I22" s="241"/>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6"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YPU09N400</dc:creator>
  <cp:lastModifiedBy>手塚 智之</cp:lastModifiedBy>
  <cp:lastPrinted>2025-07-08T01:20:14Z</cp:lastPrinted>
  <dcterms:created xsi:type="dcterms:W3CDTF">2011-06-14T05:32:50Z</dcterms:created>
  <dcterms:modified xsi:type="dcterms:W3CDTF">2025-07-11T07:09:28Z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