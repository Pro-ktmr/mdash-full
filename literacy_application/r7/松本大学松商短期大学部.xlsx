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C:\Users\70020\Documents\いつもの\010_「数理・データサイエンス・AI教育プログラム認定制度（リテラシーレベル）」における説明会\2025\01-2_再申請\01_松本大学松商短期大学部_リテラシー\"/>
    </mc:Choice>
  </mc:AlternateContent>
  <xr:revisionPtr revIDLastSave="0" documentId="13_ncr:1_{05E77E95-B8AC-48B0-9D4A-44EFE56D974E}" xr6:coauthVersionLast="47" xr6:coauthVersionMax="47" xr10:uidLastSave="{00000000-0000-0000-0000-000000000000}"/>
  <bookViews>
    <workbookView xWindow="-18617" yWindow="-103" windowWidth="18720" windowHeight="324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40" l="1"/>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<sst xmlns="http://schemas.openxmlformats.org/spreadsheetml/2006/main" count="285" uniqueCount="190">
  <si>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</si>
  <si>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</si>
  <si>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</si>
  <si>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</si>
  <si>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</si>
  <si>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</si>
  <si>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</si>
  <si>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</si>
  <si>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</si>
  <si>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</si>
  <si>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</si>
  <si>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</si>
  <si>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</si>
  <si>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</si>
  <si>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</si>
  <si>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</si>
  <si>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</si>
  <si>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</si>
  <si>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</si>
  <si>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</si>
  <si>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</si>
  <si>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</si>
  <si>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</si>
  <si>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</si>
  <si>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</si>
  <si>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</si>
  <si>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</si>
  <si>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</si>
  <si>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</si>
  <si>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</si>
  <si>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</si>
  <si>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</si>
  <si>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</si>
  <si>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</si>
  <si>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</si>
  <si>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</si>
  <si>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</si>
  <si>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</si>
  <si>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</si>
  <si>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</si>
  <si>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</si>
  <si>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</si>
  <si>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</si>
  <si>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</si>
  <si>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</si>
  <si>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</si>
  <si>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</si>
  <si>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</si>
  <si>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</si>
  <si>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</si>
  <si>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</si>
  <si>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</si>
  <si>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</si>
  <si>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</si>
  <si>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</si>
  <si>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</si>
  <si>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</si>
  <si>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</si>
  <si>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</si>
  <si>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</si>
  <si>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</si>
  <si>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</si>
  <si>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</si>
  <si>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</si>
  <si>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</si>
  <si>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</si>
  <si>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</si>
  <si>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</si>
  <si>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</si>
  <si>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</si>
  <si>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</si>
  <si>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</si>
  <si>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</si>
  <si>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</si>
  <si>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</si>
  <si>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</si>
  <si>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</si>
  <si>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</si>
  <si>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</si>
  <si>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</si>
  <si>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</si>
  <si>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</si>
  <si>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</si>
  <si>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</si>
  <si>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</si>
  <si>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</si>
  <si>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</si>
  <si>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</si>
  <si>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</si>
  <si>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</si>
  <si>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</si>
  <si>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</si>
  <si>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</si>
  <si>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</si>
  <si>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</si>
  <si>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</si>
  <si>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</si>
  <si>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</si>
  <si>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</si>
  <si>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</si>
  <si>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</si>
  <si>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</si>
  <si>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</si>
  <si>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</si>
  <si>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</si>
  <si>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</si>
  <si>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</si>
  <si>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</si>
  <si>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</si>
  <si>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</si>
  <si>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</si>
  <si>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</si>
  <si>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</si>
  <si>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</si>
  <si>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</si>
  <si>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</si>
  <si>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</si>
  <si>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</si>
  <si>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</si>
  <si>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</si>
  <si>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</si>
  <si>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</si>
  <si>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</si>
  <si>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</si>
  <si>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</si>
  <si>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</si>
  <si>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</si>
  <si>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</si>
  <si>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</si>
  <si>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</si>
  <si>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</si>
  <si>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</si>
  <si>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</si>
  <si>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</si>
  <si>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</si>
  <si>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</si>
  <si>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</si>
  <si>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</si>
  <si>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</si>
  <si>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</si>
  <si>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</si>
  <si>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</si>
  <si>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</si>
  <si>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松本大学松商短期大学部</t>
    <rPh sb="0" eb="4">
      <t>マツモトダイガク</t>
    </rPh>
    <rPh sb="4" eb="11">
      <t>マッショウタンキダイガクブ</t>
    </rPh>
    <phoneticPr fontId="1"/>
  </si>
  <si>
    <t>学部・学科によって、修了要件は相違しない</t>
  </si>
  <si>
    <t>科目「AIとデータサイエンス」の2単位を取得すること</t>
    <rPh sb="0" eb="2">
      <t>カモク</t>
    </rPh>
    <rPh sb="17" eb="19">
      <t>タンイ</t>
    </rPh>
    <rPh sb="20" eb="22">
      <t>シュトク</t>
    </rPh>
    <phoneticPr fontId="1"/>
  </si>
  <si>
    <t>AIとデータサイエンス</t>
    <phoneticPr fontId="1"/>
  </si>
  <si>
    <t>○</t>
  </si>
  <si>
    <t>・データ解析、データ可視化、非構造化データ処理「AIとデータサイエンス」（第5回）</t>
    <phoneticPr fontId="1"/>
  </si>
  <si>
    <t>・データの種類（量的変数、質的変数）、データの分布(ヒストグラム)と代表値（平均値、中央値、最頻値）、代表値の性質の違い（実社会では平均値＝最頻値でないことが多い）、データのばらつき（分散、標準偏差、偏差値）「AIとデータサイエンス」（第7回）
・母集団と標本抽出、クロス集計表「AIとデータサイエンス」（第8回）</t>
    <rPh sb="153" eb="154">
      <t>ダイ</t>
    </rPh>
    <rPh sb="155" eb="156">
      <t>カイ</t>
    </rPh>
    <phoneticPr fontId="1"/>
  </si>
  <si>
    <t>・データ表現（棒グラフ、折線グラフ、散布図、ヒートマップ、箱ひげ図）「AIとデータサイエンス」（第7回）</t>
    <phoneticPr fontId="1"/>
  </si>
  <si>
    <t>・情報セキュリティの3要素（機密性、完全性、可用性）「AIとデータサイエンス」（第10回）</t>
    <phoneticPr fontId="1"/>
  </si>
  <si>
    <t>令和6</t>
    <rPh sb="0" eb="2">
      <t>レイワ</t>
    </rPh>
    <phoneticPr fontId="1"/>
  </si>
  <si>
    <t>商学科</t>
    <rPh sb="0" eb="3">
      <t>ショウガッカ</t>
    </rPh>
    <phoneticPr fontId="1"/>
  </si>
  <si>
    <t>経営情報学科</t>
    <rPh sb="0" eb="6">
      <t>ケイエイジョウホウガッカ</t>
    </rPh>
    <phoneticPr fontId="1"/>
  </si>
  <si>
    <t>浜崎　央</t>
    <rPh sb="0" eb="2">
      <t>ハマサキ</t>
    </rPh>
    <rPh sb="3" eb="4">
      <t>ヒロシ</t>
    </rPh>
    <phoneticPr fontId="1"/>
  </si>
  <si>
    <t>全学教務委員会</t>
    <rPh sb="0" eb="2">
      <t>ゼンガク</t>
    </rPh>
    <rPh sb="2" eb="7">
      <t>キョウムイインカイ</t>
    </rPh>
    <phoneticPr fontId="1"/>
  </si>
  <si>
    <t>・AIとは何なのかを理解し、社会のどのような現場でどのようなデータを対象として活用しているのかを理解することができる。
・AIを活用する演習を通して主体的にデータ分析を行うことができるようになる。</t>
    <rPh sb="5" eb="6">
      <t>ナン</t>
    </rPh>
    <rPh sb="10" eb="12">
      <t>リカイ</t>
    </rPh>
    <rPh sb="14" eb="16">
      <t>シャカイ</t>
    </rPh>
    <rPh sb="22" eb="24">
      <t>ゲンバ</t>
    </rPh>
    <rPh sb="34" eb="36">
      <t>タイショウ</t>
    </rPh>
    <rPh sb="39" eb="41">
      <t>カツヨウ</t>
    </rPh>
    <rPh sb="48" eb="50">
      <t>リカイ</t>
    </rPh>
    <rPh sb="64" eb="66">
      <t>カツヨウ</t>
    </rPh>
    <rPh sb="68" eb="70">
      <t>エンシュウ</t>
    </rPh>
    <rPh sb="71" eb="72">
      <t>トオ</t>
    </rPh>
    <rPh sb="74" eb="77">
      <t>シュタイテキ</t>
    </rPh>
    <rPh sb="81" eb="83">
      <t>ブンセキ</t>
    </rPh>
    <rPh sb="84" eb="85">
      <t>オコナ</t>
    </rPh>
    <phoneticPr fontId="1"/>
  </si>
  <si>
    <t>松本大学全学教務委員会規程</t>
    <rPh sb="0" eb="4">
      <t>マツモトダイガク</t>
    </rPh>
    <rPh sb="4" eb="6">
      <t>ゼンガク</t>
    </rPh>
    <rPh sb="6" eb="11">
      <t>キョウムイインカイ</t>
    </rPh>
    <rPh sb="11" eb="13">
      <t>キテイ</t>
    </rPh>
    <phoneticPr fontId="1"/>
  </si>
  <si>
    <t>令和6年度に本プログラムの運用を開始したため、令和7年度には、まずは、授業アンケート結果を精査し、より興味を持ってもらう授業としていくことで履修者の増加につなげていく。また、履修登録前のオリエンテーションにおいて、本プログラムの意義や内容の説明を実施し、履修者増を目指す。また、本プログラム修了生を含む卒業生や就職先企業に対するアンケートにより、本学の卒業生が主な就職先とする地域企業に求められている内容などを精査し、授業内容の改善を実施するとともに、その必要性を学生に周知していくこととする。</t>
    <rPh sb="0" eb="2">
      <t>レイワ</t>
    </rPh>
    <rPh sb="3" eb="5">
      <t>ネンド</t>
    </rPh>
    <rPh sb="6" eb="7">
      <t>ホン</t>
    </rPh>
    <rPh sb="13" eb="15">
      <t>ウンヨウ</t>
    </rPh>
    <rPh sb="16" eb="18">
      <t>カイシ</t>
    </rPh>
    <rPh sb="23" eb="25">
      <t>レイワ</t>
    </rPh>
    <rPh sb="26" eb="28">
      <t>ネンド</t>
    </rPh>
    <rPh sb="35" eb="37">
      <t>ジュギョウ</t>
    </rPh>
    <rPh sb="42" eb="44">
      <t>ケッカ</t>
    </rPh>
    <rPh sb="45" eb="47">
      <t>セイサ</t>
    </rPh>
    <rPh sb="51" eb="53">
      <t>キョウミ</t>
    </rPh>
    <rPh sb="54" eb="55">
      <t>モ</t>
    </rPh>
    <rPh sb="60" eb="62">
      <t>ジュギョウ</t>
    </rPh>
    <rPh sb="70" eb="73">
      <t>リシュウシャ</t>
    </rPh>
    <rPh sb="74" eb="76">
      <t>ゾウカ</t>
    </rPh>
    <rPh sb="87" eb="92">
      <t>リシュウトウロクマエ</t>
    </rPh>
    <rPh sb="107" eb="108">
      <t>ホン</t>
    </rPh>
    <rPh sb="114" eb="116">
      <t>イギ</t>
    </rPh>
    <rPh sb="117" eb="119">
      <t>ナイヨウ</t>
    </rPh>
    <rPh sb="123" eb="125">
      <t>ジッシ</t>
    </rPh>
    <rPh sb="132" eb="134">
      <t>メザ</t>
    </rPh>
    <rPh sb="139" eb="140">
      <t>ホン</t>
    </rPh>
    <rPh sb="145" eb="148">
      <t>シュウリョウセイ</t>
    </rPh>
    <rPh sb="149" eb="150">
      <t>フク</t>
    </rPh>
    <rPh sb="151" eb="154">
      <t>ソツギョウセイ</t>
    </rPh>
    <rPh sb="155" eb="160">
      <t>シュウショクサキキギョウ</t>
    </rPh>
    <rPh sb="161" eb="162">
      <t>タイ</t>
    </rPh>
    <rPh sb="173" eb="175">
      <t>ホンガク</t>
    </rPh>
    <rPh sb="176" eb="179">
      <t>ソツギョウセイ</t>
    </rPh>
    <rPh sb="180" eb="181">
      <t>オモ</t>
    </rPh>
    <rPh sb="182" eb="185">
      <t>シュウショクサキ</t>
    </rPh>
    <rPh sb="188" eb="192">
      <t>チイキキギョウ</t>
    </rPh>
    <rPh sb="193" eb="194">
      <t>モト</t>
    </rPh>
    <rPh sb="200" eb="202">
      <t>ナイヨウ</t>
    </rPh>
    <rPh sb="205" eb="207">
      <t>セイサ</t>
    </rPh>
    <rPh sb="214" eb="216">
      <t>カイゼン</t>
    </rPh>
    <rPh sb="217" eb="219">
      <t>ジッシ</t>
    </rPh>
    <rPh sb="228" eb="231">
      <t>ヒツヨウセイ</t>
    </rPh>
    <rPh sb="232" eb="234">
      <t>ガクセイ</t>
    </rPh>
    <rPh sb="235" eb="237">
      <t>シュウチ</t>
    </rPh>
    <phoneticPr fontId="1"/>
  </si>
  <si>
    <t>福島　智子</t>
    <rPh sb="0" eb="2">
      <t>フクシマ</t>
    </rPh>
    <rPh sb="3" eb="5">
      <t>トモコ</t>
    </rPh>
    <phoneticPr fontId="1"/>
  </si>
  <si>
    <t>教授</t>
    <rPh sb="0" eb="2">
      <t>キョウジュ</t>
    </rPh>
    <phoneticPr fontId="1"/>
  </si>
  <si>
    <t>本プログラムの授業は商学科および経営情報学科の共通科目であり、学生が所属している学科に関係なく本プログラムを希望する学生は全員受講可能となっている。</t>
    <rPh sb="0" eb="1">
      <t>ホン</t>
    </rPh>
    <rPh sb="7" eb="9">
      <t>ジュギョウ</t>
    </rPh>
    <rPh sb="10" eb="13">
      <t>ショウガッカ</t>
    </rPh>
    <rPh sb="16" eb="22">
      <t>ケイエイジョウホウガッカ</t>
    </rPh>
    <rPh sb="23" eb="27">
      <t>キョウツウカモク</t>
    </rPh>
    <rPh sb="31" eb="33">
      <t>ガクセイ</t>
    </rPh>
    <rPh sb="34" eb="36">
      <t>ショゾク</t>
    </rPh>
    <rPh sb="40" eb="42">
      <t>ガッカ</t>
    </rPh>
    <rPh sb="43" eb="45">
      <t>カンケイ</t>
    </rPh>
    <rPh sb="47" eb="48">
      <t>ホン</t>
    </rPh>
    <rPh sb="54" eb="56">
      <t>キボウ</t>
    </rPh>
    <rPh sb="58" eb="60">
      <t>ガクセイ</t>
    </rPh>
    <rPh sb="61" eb="63">
      <t>ゼンイン</t>
    </rPh>
    <rPh sb="63" eb="65">
      <t>ジュコウ</t>
    </rPh>
    <rPh sb="65" eb="67">
      <t>カノウ</t>
    </rPh>
    <phoneticPr fontId="1"/>
  </si>
  <si>
    <t>履修登録前に行われるオリエンテーションにおいて、本プログラムについての意義や内容などの説明を全学生に行い周知することとする。また、本学の数理・データサイエンス・AI教育プログラムのWebサイトでも、多くの学生が履修できるように、その取り組みや意義などを含めた情報を公開することとする。</t>
    <rPh sb="0" eb="5">
      <t>リシュウトウロクマエ</t>
    </rPh>
    <rPh sb="6" eb="7">
      <t>オコナ</t>
    </rPh>
    <rPh sb="24" eb="25">
      <t>ホン</t>
    </rPh>
    <rPh sb="35" eb="37">
      <t>イギ</t>
    </rPh>
    <rPh sb="38" eb="40">
      <t>ナイヨウ</t>
    </rPh>
    <rPh sb="43" eb="45">
      <t>セツメイ</t>
    </rPh>
    <rPh sb="46" eb="49">
      <t>ゼンガクセイ</t>
    </rPh>
    <rPh sb="50" eb="51">
      <t>オコナ</t>
    </rPh>
    <rPh sb="52" eb="54">
      <t>シュウチ</t>
    </rPh>
    <rPh sb="65" eb="67">
      <t>ホンガク</t>
    </rPh>
    <rPh sb="68" eb="70">
      <t>スウリ</t>
    </rPh>
    <rPh sb="82" eb="84">
      <t>キョウイク</t>
    </rPh>
    <rPh sb="116" eb="117">
      <t>ト</t>
    </rPh>
    <rPh sb="118" eb="119">
      <t>ク</t>
    </rPh>
    <rPh sb="121" eb="123">
      <t>イギ</t>
    </rPh>
    <rPh sb="126" eb="127">
      <t>フク</t>
    </rPh>
    <phoneticPr fontId="1"/>
  </si>
  <si>
    <t>学生の理解度に合わせた柔軟な学修指導を行っており、授業時間外の個別のサポートも⑫にあるようにオフィスアワーを設定して丁寧に行うようにしている。また、本学では、本プログラムの授業も含めたすべての授業の出欠状況を定期的に確認し、一定割合以上の欠席がある学生についてはゼミナール担当教員より指導を行うようになっており、修得離脱者がでないようにサポートを行っている。</t>
    <rPh sb="0" eb="2">
      <t>ガクセイ</t>
    </rPh>
    <rPh sb="3" eb="6">
      <t>リカイド</t>
    </rPh>
    <rPh sb="7" eb="8">
      <t>ア</t>
    </rPh>
    <rPh sb="11" eb="13">
      <t>ジュウナン</t>
    </rPh>
    <rPh sb="14" eb="18">
      <t>ガクシュウシドウ</t>
    </rPh>
    <rPh sb="19" eb="20">
      <t>オコナ</t>
    </rPh>
    <rPh sb="25" eb="30">
      <t>ジュギョウジカンガイ</t>
    </rPh>
    <rPh sb="31" eb="33">
      <t>コベツ</t>
    </rPh>
    <rPh sb="54" eb="56">
      <t>セッテイ</t>
    </rPh>
    <rPh sb="58" eb="60">
      <t>テイネイ</t>
    </rPh>
    <rPh sb="61" eb="62">
      <t>オコナ</t>
    </rPh>
    <rPh sb="74" eb="76">
      <t>ホンガク</t>
    </rPh>
    <rPh sb="79" eb="80">
      <t>ホン</t>
    </rPh>
    <rPh sb="86" eb="88">
      <t>ジュギョウ</t>
    </rPh>
    <rPh sb="89" eb="90">
      <t>フク</t>
    </rPh>
    <rPh sb="96" eb="98">
      <t>ジュギョウ</t>
    </rPh>
    <rPh sb="99" eb="103">
      <t>シュッケツジョウキョウ</t>
    </rPh>
    <rPh sb="104" eb="107">
      <t>テイキテキ</t>
    </rPh>
    <rPh sb="108" eb="110">
      <t>カクニン</t>
    </rPh>
    <rPh sb="136" eb="140">
      <t>タントウキョウイン</t>
    </rPh>
    <rPh sb="156" eb="161">
      <t>シュウトクリダツシャ</t>
    </rPh>
    <rPh sb="173" eb="174">
      <t>オコナ</t>
    </rPh>
    <phoneticPr fontId="1"/>
  </si>
  <si>
    <t>授業時間内は対面での授業のため、質問を受け付ける時間を設けたり、受講票の自由記述欄を利用した質問を毎時間受け付けるようにしており、必要に応じて次週にはその回答を行うようにしている。とくに授業の中でExcelやPythonのプログラムを使った実習を行っているが、自前のパソコンを使っての実習としているため、そのパソコン環境の違いや習熟度の違いに配慮し、困っているときには質問ができるように授業を進め方を工夫している。また、授業時間外では、担当教員と対面でコンタクトが取れるようにオフィスアワーを設けているが、本学では教員が研究室にいる時間帯には自由に質問等に訪問できる環境となっているため、オフィスアワーの時間に限らず気軽に質問を受け付ける仕組みとなっている。</t>
    <rPh sb="0" eb="2">
      <t>ジュギョウ</t>
    </rPh>
    <rPh sb="2" eb="5">
      <t>ジカンナイ</t>
    </rPh>
    <rPh sb="6" eb="8">
      <t>タイメン</t>
    </rPh>
    <rPh sb="10" eb="12">
      <t>ジュギョウ</t>
    </rPh>
    <rPh sb="16" eb="18">
      <t>シツモン</t>
    </rPh>
    <rPh sb="19" eb="20">
      <t>ウ</t>
    </rPh>
    <rPh sb="21" eb="22">
      <t>ツ</t>
    </rPh>
    <rPh sb="24" eb="26">
      <t>ジカン</t>
    </rPh>
    <rPh sb="27" eb="28">
      <t>モウ</t>
    </rPh>
    <rPh sb="32" eb="35">
      <t>ジュコウヒョウ</t>
    </rPh>
    <rPh sb="42" eb="44">
      <t>リヨウ</t>
    </rPh>
    <rPh sb="46" eb="48">
      <t>シツモン</t>
    </rPh>
    <rPh sb="49" eb="52">
      <t>マイジカン</t>
    </rPh>
    <rPh sb="52" eb="53">
      <t>ウ</t>
    </rPh>
    <rPh sb="54" eb="55">
      <t>ツ</t>
    </rPh>
    <rPh sb="65" eb="67">
      <t>ヒツヨウ</t>
    </rPh>
    <rPh sb="68" eb="69">
      <t>オウ</t>
    </rPh>
    <rPh sb="71" eb="73">
      <t>ジシュウ</t>
    </rPh>
    <rPh sb="77" eb="79">
      <t>カイトウ</t>
    </rPh>
    <rPh sb="80" eb="81">
      <t>オコナ</t>
    </rPh>
    <rPh sb="93" eb="95">
      <t>ジュギョウ</t>
    </rPh>
    <rPh sb="96" eb="97">
      <t>ナカ</t>
    </rPh>
    <rPh sb="117" eb="118">
      <t>ツカ</t>
    </rPh>
    <rPh sb="120" eb="122">
      <t>ジッシュウ</t>
    </rPh>
    <rPh sb="123" eb="124">
      <t>オコナ</t>
    </rPh>
    <rPh sb="130" eb="132">
      <t>ジマエ</t>
    </rPh>
    <rPh sb="138" eb="139">
      <t>ツカ</t>
    </rPh>
    <rPh sb="142" eb="144">
      <t>ジッシュウ</t>
    </rPh>
    <rPh sb="158" eb="160">
      <t>カンキョウ</t>
    </rPh>
    <rPh sb="161" eb="162">
      <t>チガ</t>
    </rPh>
    <rPh sb="164" eb="166">
      <t>シュウジュク</t>
    </rPh>
    <rPh sb="166" eb="167">
      <t>ド</t>
    </rPh>
    <rPh sb="168" eb="169">
      <t>チガ</t>
    </rPh>
    <rPh sb="171" eb="173">
      <t>ハイリョ</t>
    </rPh>
    <rPh sb="175" eb="176">
      <t>コマ</t>
    </rPh>
    <rPh sb="184" eb="186">
      <t>シツモン</t>
    </rPh>
    <rPh sb="193" eb="195">
      <t>ジュギョウ</t>
    </rPh>
    <rPh sb="196" eb="197">
      <t>スス</t>
    </rPh>
    <rPh sb="198" eb="199">
      <t>カタ</t>
    </rPh>
    <rPh sb="200" eb="202">
      <t>クフウ</t>
    </rPh>
    <rPh sb="210" eb="215">
      <t>ジュギョウジカンガイ</t>
    </rPh>
    <rPh sb="218" eb="222">
      <t>タントウキョウイン</t>
    </rPh>
    <rPh sb="223" eb="225">
      <t>タイメン</t>
    </rPh>
    <rPh sb="232" eb="233">
      <t>ト</t>
    </rPh>
    <rPh sb="246" eb="247">
      <t>モウ</t>
    </rPh>
    <rPh sb="253" eb="255">
      <t>ホンガク</t>
    </rPh>
    <rPh sb="257" eb="259">
      <t>キョウイン</t>
    </rPh>
    <rPh sb="260" eb="263">
      <t>ケンキュウシツ</t>
    </rPh>
    <rPh sb="266" eb="269">
      <t>ジカンタイ</t>
    </rPh>
    <rPh sb="271" eb="273">
      <t>ジユウ</t>
    </rPh>
    <rPh sb="274" eb="277">
      <t>シツモントウ</t>
    </rPh>
    <rPh sb="278" eb="280">
      <t>ホウモン</t>
    </rPh>
    <rPh sb="283" eb="285">
      <t>カンキョウ</t>
    </rPh>
    <rPh sb="302" eb="304">
      <t>ジカン</t>
    </rPh>
    <rPh sb="305" eb="306">
      <t>カギ</t>
    </rPh>
    <rPh sb="308" eb="310">
      <t>キガル</t>
    </rPh>
    <rPh sb="311" eb="313">
      <t>シツモン</t>
    </rPh>
    <rPh sb="314" eb="315">
      <t>ウ</t>
    </rPh>
    <rPh sb="316" eb="317">
      <t>ツ</t>
    </rPh>
    <rPh sb="319" eb="321">
      <t>シク</t>
    </rPh>
    <phoneticPr fontId="1"/>
  </si>
  <si>
    <t>経営情報学科長・教授</t>
    <rPh sb="0" eb="7">
      <t>ケイエイジョウホウガッカチョウ</t>
    </rPh>
    <rPh sb="8" eb="10">
      <t>キョウジュ</t>
    </rPh>
    <phoneticPr fontId="1"/>
  </si>
  <si>
    <t>本プログラムの授業科目を含め、すべての授業科目の履修状況はLMSにより把握され、その結果は履修登録確定後に教務委員会において確認されている。本プログラムの授業科目も含めて、極端に履修者数が多いまたは少ない科目については、その原因等の議論がなされ、今後の対応等が検討されている。また、同じLMSにより毎週の学生の出欠席状況や成績等も把握できるため、修得に向けた状況について点検・評価ができる体制が整っている。令和6年度については、本プログラムの授業の履修者数40人のうち、単位を取得し本プログラムを修得できた学生は31人（77.5%）であった。修得できなかった学生9人のうち、約半数の4人は欠席超過であるため、授業の初期の段階でよりモチベーションを高めるような内容が必要だと考えらえれる。また、残りの5人に関しても質疑応答を丁寧に行うなどよりわかりやすい授業を心がけるようにすることで、修得できるようにすることが望まれる。</t>
    <rPh sb="0" eb="1">
      <t>ホン</t>
    </rPh>
    <rPh sb="7" eb="11">
      <t>ジュギョウカモク</t>
    </rPh>
    <rPh sb="12" eb="13">
      <t>フク</t>
    </rPh>
    <rPh sb="19" eb="23">
      <t>ジュギョウカモク</t>
    </rPh>
    <rPh sb="26" eb="28">
      <t>ジョウキョウ</t>
    </rPh>
    <rPh sb="35" eb="37">
      <t>ハアク</t>
    </rPh>
    <rPh sb="42" eb="44">
      <t>ケッカ</t>
    </rPh>
    <rPh sb="53" eb="58">
      <t>キョウムイインカイ</t>
    </rPh>
    <rPh sb="62" eb="64">
      <t>カクニン</t>
    </rPh>
    <rPh sb="70" eb="71">
      <t>ホン</t>
    </rPh>
    <rPh sb="77" eb="81">
      <t>ジュギョウカモク</t>
    </rPh>
    <rPh sb="82" eb="83">
      <t>フク</t>
    </rPh>
    <rPh sb="86" eb="88">
      <t>キョクタン</t>
    </rPh>
    <rPh sb="89" eb="93">
      <t>リシュウシャスウ</t>
    </rPh>
    <rPh sb="94" eb="95">
      <t>オオ</t>
    </rPh>
    <rPh sb="99" eb="100">
      <t>スク</t>
    </rPh>
    <rPh sb="102" eb="104">
      <t>カモク</t>
    </rPh>
    <rPh sb="112" eb="115">
      <t>ゲンイントウ</t>
    </rPh>
    <rPh sb="116" eb="118">
      <t>ギロン</t>
    </rPh>
    <rPh sb="123" eb="125">
      <t>コンゴ</t>
    </rPh>
    <rPh sb="126" eb="129">
      <t>タイオウトウ</t>
    </rPh>
    <rPh sb="130" eb="132">
      <t>ケントウ</t>
    </rPh>
    <rPh sb="141" eb="142">
      <t>オナ</t>
    </rPh>
    <rPh sb="149" eb="151">
      <t>マイシュウ</t>
    </rPh>
    <rPh sb="156" eb="158">
      <t>ケッセキ</t>
    </rPh>
    <rPh sb="158" eb="160">
      <t>ジョウキョウ</t>
    </rPh>
    <rPh sb="161" eb="163">
      <t>セイセキ</t>
    </rPh>
    <rPh sb="163" eb="164">
      <t>トウ</t>
    </rPh>
    <rPh sb="165" eb="167">
      <t>ハアク</t>
    </rPh>
    <rPh sb="173" eb="175">
      <t>シュウトク</t>
    </rPh>
    <rPh sb="176" eb="177">
      <t>ム</t>
    </rPh>
    <rPh sb="179" eb="181">
      <t>ジョウキョウ</t>
    </rPh>
    <rPh sb="188" eb="190">
      <t>ヒョウカ</t>
    </rPh>
    <rPh sb="194" eb="196">
      <t>タイセイ</t>
    </rPh>
    <rPh sb="197" eb="198">
      <t>トトノ</t>
    </rPh>
    <rPh sb="203" eb="205">
      <t>レイワ</t>
    </rPh>
    <rPh sb="206" eb="208">
      <t>ネンド</t>
    </rPh>
    <rPh sb="209" eb="211">
      <t>ジッシ</t>
    </rPh>
    <rPh sb="213" eb="215">
      <t>カモク</t>
    </rPh>
    <rPh sb="221" eb="223">
      <t>ジュギョウ</t>
    </rPh>
    <rPh sb="224" eb="225">
      <t>ホン</t>
    </rPh>
    <rPh sb="231" eb="234">
      <t>リシュウシャ</t>
    </rPh>
    <rPh sb="234" eb="235">
      <t>スウ</t>
    </rPh>
    <rPh sb="237" eb="238">
      <t>ニン</t>
    </rPh>
    <rPh sb="242" eb="244">
      <t>タンイ</t>
    </rPh>
    <rPh sb="245" eb="247">
      <t>シュトク</t>
    </rPh>
    <rPh sb="248" eb="249">
      <t>ホン</t>
    </rPh>
    <rPh sb="255" eb="257">
      <t>シュウトク</t>
    </rPh>
    <rPh sb="260" eb="262">
      <t>ガクセイ</t>
    </rPh>
    <rPh sb="265" eb="266">
      <t>ニン</t>
    </rPh>
    <rPh sb="278" eb="280">
      <t>シュウトク</t>
    </rPh>
    <rPh sb="286" eb="288">
      <t>ガクセイ</t>
    </rPh>
    <rPh sb="289" eb="290">
      <t>ニン</t>
    </rPh>
    <rPh sb="294" eb="297">
      <t>ヤクハンスウ</t>
    </rPh>
    <rPh sb="299" eb="300">
      <t>ニン</t>
    </rPh>
    <rPh sb="301" eb="305">
      <t>ケッセキチョウカ</t>
    </rPh>
    <rPh sb="399" eb="401">
      <t>シュウトク</t>
    </rPh>
    <phoneticPr fontId="1"/>
  </si>
  <si>
    <t>本学では一部の科目を除いてすべての科目で学期末に授業アンケートを実施している。その中で「あなたはこの授業において、シラバスに示されている学修到達目標をどのくらい達成できましたか」という設問があり、この回答によって学生の内容の理解度が判断できると考えられる。令和6年度に実施した本プログラムの授業においては、この設問に対する回答として、「達成できた」の回答が48%、「まあまあ達成できた」の回答が48％、「あまり達成できなかった」が0%、「全く達成できなかった」の回答が3%と、履修者のほとんどの学生が達成できたと感じていたことがわかる。今後も同様の理解度が得られるように授業に取り組むことが望まれる。</t>
    <rPh sb="41" eb="42">
      <t>ナカ</t>
    </rPh>
    <rPh sb="100" eb="102">
      <t>カイトウ</t>
    </rPh>
    <rPh sb="106" eb="108">
      <t>ガクセイ</t>
    </rPh>
    <rPh sb="109" eb="111">
      <t>ナイヨウ</t>
    </rPh>
    <rPh sb="112" eb="115">
      <t>リカイド</t>
    </rPh>
    <rPh sb="116" eb="118">
      <t>ハンダン</t>
    </rPh>
    <rPh sb="122" eb="123">
      <t>カンガ</t>
    </rPh>
    <rPh sb="128" eb="130">
      <t>レイワ</t>
    </rPh>
    <rPh sb="131" eb="133">
      <t>ネンド</t>
    </rPh>
    <rPh sb="134" eb="136">
      <t>ジッシ</t>
    </rPh>
    <rPh sb="138" eb="139">
      <t>ホン</t>
    </rPh>
    <rPh sb="145" eb="147">
      <t>ジュギョウ</t>
    </rPh>
    <rPh sb="155" eb="157">
      <t>セツモン</t>
    </rPh>
    <rPh sb="158" eb="159">
      <t>タイ</t>
    </rPh>
    <rPh sb="161" eb="163">
      <t>カイトウ</t>
    </rPh>
    <phoneticPr fontId="1"/>
  </si>
  <si>
    <t>授業内では、理論の話しだけではなく、実際にデータを使いExcelやPythonのプログラムを利用して分析を行い、その結果を考察することを何度か行うようにしている。アンケートの自由記述欄にも「後半はPCを使って実践的な学習をしました。後半の方が楽しくて、プログラミングやピポットテーブルを使用しての分析問題が、楽しくデータ分析出来ました。データに詳しい先生のセキュリティの知識なども為になりました。」という記述もあり、その成果が現れていることがわかる。今後もアンケートの結果を注視しながら、授業内でテキストにはないような最新の技術も紹介していくことで、より「わかりやすい」授業を目指すことが望まれる。</t>
    <rPh sb="0" eb="3">
      <t>ジュギョウナイ</t>
    </rPh>
    <rPh sb="6" eb="8">
      <t>リロン</t>
    </rPh>
    <rPh sb="9" eb="10">
      <t>ハナシ</t>
    </rPh>
    <rPh sb="18" eb="20">
      <t>ジッサイ</t>
    </rPh>
    <rPh sb="25" eb="26">
      <t>ツカ</t>
    </rPh>
    <rPh sb="46" eb="48">
      <t>リヨウ</t>
    </rPh>
    <rPh sb="50" eb="52">
      <t>ブンセキ</t>
    </rPh>
    <rPh sb="53" eb="54">
      <t>オコナ</t>
    </rPh>
    <rPh sb="58" eb="60">
      <t>ケッカ</t>
    </rPh>
    <rPh sb="61" eb="63">
      <t>コウサツ</t>
    </rPh>
    <rPh sb="68" eb="70">
      <t>ナンド</t>
    </rPh>
    <rPh sb="71" eb="72">
      <t>オコナ</t>
    </rPh>
    <rPh sb="87" eb="92">
      <t>ジユウキジュツラン</t>
    </rPh>
    <rPh sb="202" eb="204">
      <t>キジュツ</t>
    </rPh>
    <rPh sb="210" eb="212">
      <t>セイカ</t>
    </rPh>
    <rPh sb="213" eb="214">
      <t>アラワ</t>
    </rPh>
    <rPh sb="225" eb="227">
      <t>コンゴ</t>
    </rPh>
    <rPh sb="234" eb="236">
      <t>ケッカ</t>
    </rPh>
    <rPh sb="237" eb="239">
      <t>チュウシ</t>
    </rPh>
    <rPh sb="244" eb="247">
      <t>ジュギョウナイ</t>
    </rPh>
    <rPh sb="259" eb="261">
      <t>サイシン</t>
    </rPh>
    <rPh sb="262" eb="264">
      <t>ギジュツ</t>
    </rPh>
    <rPh sb="265" eb="267">
      <t>ショウカイ</t>
    </rPh>
    <rPh sb="285" eb="287">
      <t>ジュギョウ</t>
    </rPh>
    <rPh sb="288" eb="290">
      <t>メザ</t>
    </rPh>
    <rPh sb="294" eb="295">
      <t>ノゾ</t>
    </rPh>
    <phoneticPr fontId="1"/>
  </si>
  <si>
    <t>本プログラムの授業は令和6年度に新規に開講した科目のため、履修者数や履修率向上に向けた計画の達成度や進捗状況について記載することはないが、選択科目において40名の履修者は本学の授業としては平均的な履修者数であるといえる。今後は、様式3の⑩⑪に記載した方法や取り組みを通して履修者数の向上に向けて実施していき、その結果を点検・評価し、改善につなげていく。</t>
    <rPh sb="0" eb="1">
      <t>ホン</t>
    </rPh>
    <rPh sb="7" eb="9">
      <t>ジュギョウ</t>
    </rPh>
    <rPh sb="10" eb="12">
      <t>レイワ</t>
    </rPh>
    <rPh sb="13" eb="15">
      <t>ネンド</t>
    </rPh>
    <rPh sb="16" eb="18">
      <t>シンキ</t>
    </rPh>
    <rPh sb="19" eb="21">
      <t>カイコウ</t>
    </rPh>
    <rPh sb="23" eb="25">
      <t>カモク</t>
    </rPh>
    <rPh sb="29" eb="33">
      <t>リシュウシャスウ</t>
    </rPh>
    <rPh sb="34" eb="37">
      <t>リシュウリツ</t>
    </rPh>
    <rPh sb="37" eb="39">
      <t>コウジョウ</t>
    </rPh>
    <rPh sb="40" eb="41">
      <t>ム</t>
    </rPh>
    <rPh sb="43" eb="45">
      <t>ケイカク</t>
    </rPh>
    <rPh sb="46" eb="49">
      <t>タッセイド</t>
    </rPh>
    <rPh sb="50" eb="54">
      <t>シンチョクジョウキョウ</t>
    </rPh>
    <rPh sb="58" eb="60">
      <t>キサイ</t>
    </rPh>
    <rPh sb="69" eb="73">
      <t>センタクカモク</t>
    </rPh>
    <rPh sb="79" eb="80">
      <t>メイ</t>
    </rPh>
    <rPh sb="81" eb="84">
      <t>リシュウシャ</t>
    </rPh>
    <rPh sb="85" eb="87">
      <t>ホンガク</t>
    </rPh>
    <rPh sb="88" eb="90">
      <t>ジュギョウ</t>
    </rPh>
    <rPh sb="94" eb="97">
      <t>ヘイキンテキ</t>
    </rPh>
    <rPh sb="98" eb="102">
      <t>リシュウシャスウ</t>
    </rPh>
    <rPh sb="110" eb="112">
      <t>コンゴ</t>
    </rPh>
    <rPh sb="114" eb="116">
      <t>ヨウシキ</t>
    </rPh>
    <rPh sb="121" eb="123">
      <t>キサイ</t>
    </rPh>
    <rPh sb="125" eb="127">
      <t>ホウホウ</t>
    </rPh>
    <rPh sb="128" eb="129">
      <t>ト</t>
    </rPh>
    <rPh sb="130" eb="131">
      <t>ク</t>
    </rPh>
    <rPh sb="133" eb="134">
      <t>トオ</t>
    </rPh>
    <rPh sb="136" eb="140">
      <t>リシュウシャスウ</t>
    </rPh>
    <rPh sb="141" eb="143">
      <t>コウジョウ</t>
    </rPh>
    <rPh sb="144" eb="145">
      <t>ム</t>
    </rPh>
    <phoneticPr fontId="1"/>
  </si>
  <si>
    <t xml:space="preserve">・データ・AI活用領域の広がり(生産、消費、文化活動など)「AIとデータサイエンス」（4回）
</t>
    <phoneticPr fontId="1"/>
  </si>
  <si>
    <t>・データサイエンスのサイクル（課題抽出と定式化、データの取得・管理・加工、探索的データ解析、データ解析と推論、結果の共有・伝達、課題解決に向けた提案）「AIとデータサイエンス」（6回、12回、14回）</t>
    <rPh sb="94" eb="95">
      <t>カイ</t>
    </rPh>
    <rPh sb="98" eb="99">
      <t>カイ</t>
    </rPh>
    <phoneticPr fontId="1"/>
  </si>
  <si>
    <t>・倫理的・法的・社会的課題（ELSI：Ethical, Legal and Social Issues）「AIとデータサイエンス」（第9回）
・個人情報保護、EU一般データ保護規則(GDPR)、忘れられる権利、オプトアウト「AIとデータサイエンス」（第9回）
・データ倫理：データのねつ造、改ざん、盗用、プライバシー保護「AIとデータサイエンス」（第9回）</t>
    <phoneticPr fontId="1"/>
  </si>
  <si>
    <t>・データの取得（機械判読可能なデータの作成・表記方法）「AIとデータサイエンス」（第12回, 14回）
・データの集計（和、平均）「AIとデータサイエンス」（第12回, 14回）
・データの並び替え、ランキング「AIとデータサイエンス」（第12回, 14回）</t>
    <rPh sb="49" eb="50">
      <t>カイ</t>
    </rPh>
    <phoneticPr fontId="1"/>
  </si>
  <si>
    <t>・AI最新技術の活用例（深層生成モデル、強化学習、転移学習、生成AIなど）「AIとデータサイエンス」（6回）
・AI等を活用した新しいビジネスモデル(シェアリングエコノミー、商品のレコメンデーションなど)「AIとデータサイエンス」（4回）</t>
    <phoneticPr fontId="1"/>
  </si>
  <si>
    <t>・AI、生成AI「AIとデータサイエンス」（1回）
・ビッグデータ、IoT、第4次産業革命、Society5.0,データ駆動型社会「AIとデータサイエンス」（2回）</t>
    <rPh sb="4" eb="6">
      <t>セイセイ</t>
    </rPh>
    <rPh sb="60" eb="63">
      <t>クドウガタ</t>
    </rPh>
    <rPh sb="63" eb="65">
      <t>シャカイ</t>
    </rPh>
    <rPh sb="80" eb="81">
      <t>カイ</t>
    </rPh>
    <phoneticPr fontId="1"/>
  </si>
  <si>
    <t>・調査データ、実験データ、人の行動ログデータ「AIとデータサイエンス」（3回）
・1次データ、2次データ、データのメタ化、構造化データ、非構造化データ、データ作成（ビッグデータとアノテーション）、データのオープン化（オープンデータ）「AIとデータサイエンス」（3回）</t>
    <phoneticPr fontId="1"/>
  </si>
  <si>
    <t>AIとデータサイエンス</t>
    <phoneticPr fontId="1"/>
  </si>
  <si>
    <t>4‐3データ構造とプログラミング基礎</t>
  </si>
  <si>
    <t>4‐8データ活用実践（教師あり学習）</t>
  </si>
  <si>
    <t>全学教務委員長　人間健康学部　教授　福島智子
総合経営学部　准教授　古川智史
総合経営学部　准教授　向井健
人間健康学部　准教授　田邉愛子
教育学部　教授　安藤絵里
教育学部　専任講師　海沼亮
短期大学部　准教授　廣瀨豊
教務課長　伊藤健
教務課係長　滝澤毅
教務課係長　石川大輔
教務課主任　川久保考俊
教務課主事　奈良井悠希
教務課主事　中西浩一
教務課主事　風間葉月</t>
    <phoneticPr fontId="1"/>
  </si>
  <si>
    <t>本学では多くの学生が地元の中小企業へと就職しており、令和6年度に本プログラムの授業を履修した学生も同様である。プログラム修了者とそうでない学生の進路に大きな違いはないが、中にはこの授業をとおしてデータサイエンスの面白さを知り、4年制大学に編入するモチベーションの一つとなった学生もいたと聞いている。本プログラムを修得した学生は就職が決まったところだが、本学では卒業生が就職した企業先へのアンケートを毎年実施しており、今後、活躍状況や企業等の評価については、そのアンケート結果により点検・評価していく。</t>
    <rPh sb="0" eb="2">
      <t>ホンガク</t>
    </rPh>
    <rPh sb="4" eb="5">
      <t>オオ</t>
    </rPh>
    <rPh sb="7" eb="9">
      <t>ガクセイ</t>
    </rPh>
    <rPh sb="10" eb="12">
      <t>ジモト</t>
    </rPh>
    <rPh sb="13" eb="17">
      <t>チュウショウキギョウ</t>
    </rPh>
    <rPh sb="19" eb="21">
      <t>シュウショク</t>
    </rPh>
    <rPh sb="26" eb="28">
      <t>レイワ</t>
    </rPh>
    <rPh sb="29" eb="31">
      <t>ネンド</t>
    </rPh>
    <rPh sb="32" eb="33">
      <t>ホン</t>
    </rPh>
    <rPh sb="39" eb="41">
      <t>ジュギョウ</t>
    </rPh>
    <rPh sb="42" eb="44">
      <t>リシュウ</t>
    </rPh>
    <rPh sb="46" eb="48">
      <t>ガクセイ</t>
    </rPh>
    <rPh sb="49" eb="51">
      <t>ドウヨウ</t>
    </rPh>
    <rPh sb="120" eb="121">
      <t>ニュウ</t>
    </rPh>
    <rPh sb="131" eb="132">
      <t>ヒト</t>
    </rPh>
    <rPh sb="149" eb="150">
      <t>ホン</t>
    </rPh>
    <rPh sb="156" eb="158">
      <t>シュウトク</t>
    </rPh>
    <rPh sb="160" eb="162">
      <t>ガクセイ</t>
    </rPh>
    <rPh sb="163" eb="165">
      <t>シュウショク</t>
    </rPh>
    <rPh sb="166" eb="167">
      <t>キ</t>
    </rPh>
    <rPh sb="190" eb="191">
      <t>サキ</t>
    </rPh>
    <rPh sb="201" eb="203">
      <t>ジッシ</t>
    </rPh>
    <phoneticPr fontId="1"/>
  </si>
  <si>
    <t>「松本大学全学教務委員会」は、併設する4年制大学と共同で設置されている委員会であり、「本学における教育の目的を十分に果たし、教務指導の円滑化に向けた全学的体制の整備」をその目的として掲げている。この全学教務委員会のもとに各学部において教務委員会が設置されており、短期大学部に限定した教育に関する議論は短期大学部教務委員会において実施されている。「数理・データサイエンス・AI教育プログラム」については、学長の指示のもと、4年制大学も含めた全学的な取り組みとして行われており、そのため本プログラムの改善や進化のための議論については、全学教務委員会において行われている。</t>
    <rPh sb="1" eb="5">
      <t>マツモトダイガク</t>
    </rPh>
    <rPh sb="5" eb="12">
      <t>ゼンガクキョウムイインカイ</t>
    </rPh>
    <rPh sb="15" eb="17">
      <t>ヘイセツ</t>
    </rPh>
    <rPh sb="20" eb="24">
      <t>ネンセイダイガク</t>
    </rPh>
    <rPh sb="25" eb="27">
      <t>キョウドウ</t>
    </rPh>
    <rPh sb="28" eb="30">
      <t>セッチ</t>
    </rPh>
    <rPh sb="35" eb="38">
      <t>イインカイ</t>
    </rPh>
    <rPh sb="43" eb="45">
      <t>ホンガク</t>
    </rPh>
    <rPh sb="49" eb="51">
      <t>キョウイク</t>
    </rPh>
    <rPh sb="52" eb="54">
      <t>モクテキ</t>
    </rPh>
    <rPh sb="55" eb="57">
      <t>ジュウブン</t>
    </rPh>
    <rPh sb="58" eb="59">
      <t>ハ</t>
    </rPh>
    <rPh sb="62" eb="66">
      <t>キョウムシドウ</t>
    </rPh>
    <rPh sb="67" eb="70">
      <t>エンカツカ</t>
    </rPh>
    <rPh sb="71" eb="72">
      <t>ム</t>
    </rPh>
    <rPh sb="74" eb="79">
      <t>ゼンガクテキタイセイ</t>
    </rPh>
    <rPh sb="80" eb="82">
      <t>セイビ</t>
    </rPh>
    <rPh sb="86" eb="88">
      <t>モクテキ</t>
    </rPh>
    <rPh sb="91" eb="92">
      <t>カカ</t>
    </rPh>
    <rPh sb="99" eb="106">
      <t>ゼンガクキョウムイインカイ</t>
    </rPh>
    <rPh sb="110" eb="113">
      <t>カクガクブ</t>
    </rPh>
    <rPh sb="119" eb="122">
      <t>イインカイ</t>
    </rPh>
    <rPh sb="123" eb="125">
      <t>セッチ</t>
    </rPh>
    <rPh sb="131" eb="136">
      <t>タンキダイガクブ</t>
    </rPh>
    <rPh sb="137" eb="139">
      <t>ゲンテイ</t>
    </rPh>
    <rPh sb="141" eb="143">
      <t>キョウイク</t>
    </rPh>
    <rPh sb="144" eb="145">
      <t>カン</t>
    </rPh>
    <rPh sb="147" eb="149">
      <t>ギロン</t>
    </rPh>
    <rPh sb="150" eb="155">
      <t>タンキダイガクブ</t>
    </rPh>
    <rPh sb="157" eb="160">
      <t>イインカイ</t>
    </rPh>
    <rPh sb="164" eb="166">
      <t>ジッシ</t>
    </rPh>
    <rPh sb="173" eb="175">
      <t>スウリ</t>
    </rPh>
    <rPh sb="187" eb="189">
      <t>キョウイク</t>
    </rPh>
    <rPh sb="201" eb="203">
      <t>ガクチョウ</t>
    </rPh>
    <rPh sb="204" eb="206">
      <t>シジ</t>
    </rPh>
    <rPh sb="211" eb="215">
      <t>ネンセイダイガク</t>
    </rPh>
    <rPh sb="216" eb="217">
      <t>フク</t>
    </rPh>
    <rPh sb="219" eb="222">
      <t>ゼンガクテキ</t>
    </rPh>
    <rPh sb="223" eb="224">
      <t>ト</t>
    </rPh>
    <rPh sb="225" eb="226">
      <t>ク</t>
    </rPh>
    <rPh sb="230" eb="231">
      <t>オコナ</t>
    </rPh>
    <rPh sb="241" eb="242">
      <t>ホン</t>
    </rPh>
    <rPh sb="248" eb="250">
      <t>カイゼン</t>
    </rPh>
    <rPh sb="251" eb="253">
      <t>シンカ</t>
    </rPh>
    <rPh sb="257" eb="259">
      <t>ギロン</t>
    </rPh>
    <rPh sb="265" eb="267">
      <t>ゼンガク</t>
    </rPh>
    <rPh sb="267" eb="272">
      <t>キョウムイインカイ</t>
    </rPh>
    <rPh sb="276" eb="277">
      <t>オコナ</t>
    </rPh>
    <phoneticPr fontId="1"/>
  </si>
  <si>
    <t>数理・データサイエンス・AI教育プログラム</t>
    <rPh sb="0" eb="2">
      <t>スウリ</t>
    </rPh>
    <rPh sb="14" eb="16">
      <t>キョウイク</t>
    </rPh>
    <phoneticPr fontId="1"/>
  </si>
  <si>
    <t>本学では、毎年、自治体関係者や高校、大学関係者、地元企業の関係者、および本学学生等のステークホルダーを集めたステークホルダーミーティングを実施している（令和5年度までは外部評価委員会として実施）。令和6年度のステークホルダーミーティングでは、地域の商工会議所の委員より、DXを徹底的に進めようと計画しているため、デジタル人材の確保のために、データサイエンスやAIに関連する授業をカリキュラムに入れて多くの学生に身に付けさせてほしいとの要望があった。今後も地域企業との連携を取りながら、本プログラムの内容を改善していきながら、本プログラムを修得する学生を増やし地域に貢献できる人材を輩出していく。</t>
    <rPh sb="0" eb="2">
      <t>ホンガク</t>
    </rPh>
    <rPh sb="5" eb="7">
      <t>マイトシ</t>
    </rPh>
    <rPh sb="8" eb="14">
      <t>ジチタイカンケイシャ</t>
    </rPh>
    <rPh sb="15" eb="17">
      <t>コウコウ</t>
    </rPh>
    <rPh sb="18" eb="23">
      <t>ダイガクカンケイシャ</t>
    </rPh>
    <rPh sb="24" eb="28">
      <t>ジモトキギョウ</t>
    </rPh>
    <rPh sb="29" eb="32">
      <t>カンケイシャ</t>
    </rPh>
    <rPh sb="36" eb="40">
      <t>ホンガクガクセイ</t>
    </rPh>
    <rPh sb="40" eb="41">
      <t>トウ</t>
    </rPh>
    <rPh sb="51" eb="52">
      <t>アツ</t>
    </rPh>
    <rPh sb="69" eb="71">
      <t>ジッシ</t>
    </rPh>
    <rPh sb="76" eb="78">
      <t>レイワ</t>
    </rPh>
    <rPh sb="79" eb="81">
      <t>ネンド</t>
    </rPh>
    <rPh sb="84" eb="91">
      <t>ガイブヒョウカイインカイ</t>
    </rPh>
    <rPh sb="94" eb="96">
      <t>ジッシ</t>
    </rPh>
    <rPh sb="98" eb="100">
      <t>レイワ</t>
    </rPh>
    <rPh sb="101" eb="103">
      <t>ネンド</t>
    </rPh>
    <rPh sb="147" eb="149">
      <t>ケイカク</t>
    </rPh>
    <rPh sb="182" eb="184">
      <t>カンレン</t>
    </rPh>
    <rPh sb="186" eb="188">
      <t>ジュギョウ</t>
    </rPh>
    <rPh sb="224" eb="226">
      <t>コンゴ</t>
    </rPh>
    <rPh sb="227" eb="231">
      <t>チイキキギョウ</t>
    </rPh>
    <rPh sb="233" eb="235">
      <t>レンケイ</t>
    </rPh>
    <rPh sb="236" eb="237">
      <t>ト</t>
    </rPh>
    <rPh sb="242" eb="243">
      <t>ホン</t>
    </rPh>
    <rPh sb="249" eb="251">
      <t>ナイヨウ</t>
    </rPh>
    <rPh sb="252" eb="254">
      <t>カイゼン</t>
    </rPh>
    <rPh sb="262" eb="263">
      <t>ホン</t>
    </rPh>
    <rPh sb="269" eb="271">
      <t>シュウトク</t>
    </rPh>
    <rPh sb="273" eb="275">
      <t>ガクセイ</t>
    </rPh>
    <rPh sb="276" eb="277">
      <t>フ</t>
    </rPh>
    <rPh sb="279" eb="281">
      <t>チイキ</t>
    </rPh>
    <rPh sb="282" eb="284">
      <t>コウケン</t>
    </rPh>
    <rPh sb="287" eb="289">
      <t>ジンザイ</t>
    </rPh>
    <rPh sb="290" eb="292">
      <t>ハイシュツ</t>
    </rPh>
    <phoneticPr fontId="1"/>
  </si>
  <si>
    <t xml:space="preserve">本プログラムの授業において得られる学修成果はシラバスにおいて明記されており、知識としての学修成果は学期末の筆記試験において評価しているのに加えて、具体的なデータを使った分析を行う課題によって主体的にデータ分析ができることを評価しており、単位の修得によってその学修成果の達成は保証されていると考えられる。また、学期末に授業アンケートを実施しており、その結果は、期ごとに分析され、教授会での報告やFD・SD研修会における意見交換等をとおして授業改善に結び付けている。本プログラムにおける授業においても、同様にアンケート結果をとおしてプログラムの評価・改善につなげていくことができている。
</t>
    <phoneticPr fontId="1"/>
  </si>
  <si>
    <t>学期末の授業アンケートの中で、「授業に意欲的に取り組めたか」や「教員の熱意・意欲を感じたか」という設問があり、この回答によって後輩等他の学生への推奨度が測られると考えられる。令和6年度に実施した本プログラムの授業については、「授業に意欲的に取り組めたか」の設問に対して、「意欲的に取り組めた」「まあまあ取り組めた」の回答が96％であり、また、「教員の熱意・意欲を感じたか」の設問に対しては「とても感じた」「まあまあ感じた」の回答が100%と全員が熱意や意欲を感じた授業だったことがわかる。そのため後輩等他の学生の推奨度も高いと予想している。今後も同様の結果が得られるように授業に取り組むことが望まれる。</t>
    <phoneticPr fontId="1"/>
  </si>
  <si>
    <t>学期末の授業アンケートの中で、「この授業の内容や方法で特に良かった点、この授業を受けて有益であった点があれば記入してください」という設問があり、「学ぶ楽しさ」や「学ぶことの意義」の理解について間接的に点検・評価を行うことができると考えられる。令和6年度に実施した本プログラムの授業については、「AIの必要性について考えることが出来たので良かったです。」や「現代のAIがどれだけ進んでいるのか、AIの真の意味を学ぶことが出来て良かった。とても面白い授業でした。」などのコメントがあり、「学ぶ楽しさ」や「学ぶことの意義」の理解が進んだことが認められる。今後、定量的に点検・評価ができるかを検討していく。</t>
    <phoneticPr fontId="1"/>
  </si>
  <si>
    <t>松本大学自己点検・評価委員会</t>
    <rPh sb="0" eb="4">
      <t>マツモトダイガク</t>
    </rPh>
    <rPh sb="4" eb="8">
      <t>ジコテンケン</t>
    </rPh>
    <rPh sb="9" eb="11">
      <t>ヒョウカ</t>
    </rPh>
    <rPh sb="11" eb="14">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</si>
</sst>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color rgb="FFFF000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11" fillId="0" borderId="1" xfId="0" applyFont="1" applyBorder="1" applyAlignment="1">
      <alignment horizontal="center" vertical="center"/>
    </xf>
    <xf numFmtId="38" fontId="11" fillId="0" borderId="45" xfId="2" applyFont="1" applyFill="1" applyBorder="1" applyAlignment="1">
      <alignment vertical="center" shrinkToFit="1"/>
    </xf>
    <xf numFmtId="38" fontId="11" fillId="0" borderId="20" xfId="2" applyFont="1" applyFill="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49" fontId="14" fillId="0" borderId="32" xfId="0" applyNumberFormat="1" applyFont="1" applyBorder="1" applyAlignment="1">
      <alignment horizontal="left" vertical="center" wrapText="1"/>
    </xf>
    <xf numFmtId="49" fontId="13" fillId="0" borderId="33" xfId="0" applyNumberFormat="1" applyFont="1" applyBorder="1" applyAlignment="1">
      <alignment horizontal="left" vertical="center" wrapText="1"/>
    </xf>
    <xf numFmtId="49" fontId="13" fillId="0" borderId="34"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wrapText="1" shrinkToFit="1"/>
    </xf>
    <xf numFmtId="9" fontId="11" fillId="0" borderId="1" xfId="0" applyNumberFormat="1" applyFont="1" applyFill="1" applyBorder="1" applyAlignment="1">
      <alignment horizontal="center" vertical="center" wrapText="1" shrinkToFit="1"/>
    </xf>
    <xf numFmtId="9" fontId="11"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9" fontId="11" fillId="0" borderId="1" xfId="0" applyNumberFormat="1"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25" t="s">
        <v>12</v>
      </c>
      <c r="U1" s="125"/>
      <c r="V1" s="2" t="s">
        <v>94</v>
      </c>
    </row>
    <row r="2" spans="1:24" ht="18.75" customHeight="1" x14ac:dyDescent="0.2">
      <c r="B2" s="17" t="s">
        <v>93</v>
      </c>
      <c r="C2" s="95" t="s">
        <v>143</v>
      </c>
      <c r="D2" s="96"/>
      <c r="E2" s="96"/>
      <c r="F2" s="96"/>
      <c r="G2" s="96"/>
      <c r="H2" s="96"/>
      <c r="I2" s="96"/>
      <c r="J2" s="97"/>
      <c r="K2" s="18"/>
      <c r="L2" s="6"/>
      <c r="M2" s="6"/>
      <c r="N2" s="6"/>
      <c r="O2" s="6"/>
      <c r="P2" s="6"/>
      <c r="Q2" s="6"/>
      <c r="R2" s="6"/>
      <c r="S2" s="6"/>
      <c r="T2" s="6"/>
      <c r="U2" s="6"/>
    </row>
    <row r="3" spans="1:24" ht="18.75" customHeight="1" x14ac:dyDescent="0.2">
      <c r="B3" s="17" t="s">
        <v>88</v>
      </c>
      <c r="C3" s="126" t="s">
        <v>184</v>
      </c>
      <c r="D3" s="127"/>
      <c r="E3" s="127"/>
      <c r="F3" s="127"/>
      <c r="G3" s="127"/>
      <c r="H3" s="127"/>
      <c r="I3" s="127"/>
      <c r="J3" s="128"/>
      <c r="K3" s="18"/>
      <c r="L3" s="6"/>
      <c r="M3" s="6"/>
      <c r="N3" s="6"/>
      <c r="O3" s="6"/>
      <c r="P3" s="6"/>
      <c r="Q3" s="6"/>
      <c r="R3" s="6"/>
      <c r="S3" s="6"/>
      <c r="T3" s="6"/>
      <c r="U3" s="6"/>
    </row>
    <row r="4" spans="1:24" ht="15" customHeight="1" x14ac:dyDescent="0.2">
      <c r="L4" s="18"/>
      <c r="M4" s="72"/>
      <c r="N4" s="72"/>
      <c r="O4" s="72"/>
      <c r="P4" s="72"/>
      <c r="Q4" s="72"/>
      <c r="R4" s="72"/>
      <c r="S4" s="72"/>
      <c r="T4" s="72"/>
      <c r="U4" s="72"/>
    </row>
    <row r="5" spans="1:24" ht="18" customHeight="1" x14ac:dyDescent="0.2">
      <c r="A5" s="106" t="s">
        <v>141</v>
      </c>
      <c r="B5" s="106"/>
      <c r="C5" s="106"/>
      <c r="D5" s="106"/>
      <c r="E5" s="106"/>
      <c r="F5" s="106"/>
      <c r="G5" s="106"/>
      <c r="H5" s="106"/>
      <c r="I5" s="106"/>
      <c r="J5" s="106"/>
      <c r="K5" s="106"/>
      <c r="L5" s="106"/>
      <c r="M5" s="106"/>
      <c r="N5" s="106"/>
      <c r="O5" s="106"/>
      <c r="P5" s="106"/>
      <c r="Q5" s="106"/>
      <c r="R5" s="106"/>
      <c r="S5" s="106"/>
      <c r="T5" s="106"/>
      <c r="U5" s="106"/>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4" t="s">
        <v>144</v>
      </c>
      <c r="M7" s="145"/>
      <c r="N7" s="145"/>
      <c r="O7" s="145"/>
      <c r="P7" s="145"/>
      <c r="Q7" s="145"/>
      <c r="R7" s="145"/>
      <c r="S7" s="145"/>
      <c r="T7" s="145"/>
      <c r="U7" s="146"/>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7"/>
      <c r="C11" s="148"/>
      <c r="D11" s="148"/>
      <c r="E11" s="148"/>
      <c r="F11" s="148"/>
      <c r="G11" s="148"/>
      <c r="H11" s="148"/>
      <c r="I11" s="148"/>
      <c r="J11" s="148"/>
      <c r="K11" s="148"/>
      <c r="L11" s="148"/>
      <c r="M11" s="148"/>
      <c r="N11" s="148"/>
      <c r="O11" s="148"/>
      <c r="P11" s="148"/>
      <c r="Q11" s="148"/>
      <c r="R11" s="148"/>
      <c r="S11" s="148"/>
      <c r="T11" s="148"/>
      <c r="U11" s="149"/>
    </row>
    <row r="12" spans="1:24" ht="18" customHeight="1" x14ac:dyDescent="0.2">
      <c r="B12" s="150"/>
      <c r="C12" s="151"/>
      <c r="D12" s="151"/>
      <c r="E12" s="151"/>
      <c r="F12" s="151"/>
      <c r="G12" s="151"/>
      <c r="H12" s="151"/>
      <c r="I12" s="151"/>
      <c r="J12" s="151"/>
      <c r="K12" s="151"/>
      <c r="L12" s="151"/>
      <c r="M12" s="151"/>
      <c r="N12" s="151"/>
      <c r="O12" s="151"/>
      <c r="P12" s="151"/>
      <c r="Q12" s="151"/>
      <c r="R12" s="151"/>
      <c r="S12" s="151"/>
      <c r="T12" s="151"/>
      <c r="U12" s="152"/>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8"/>
      <c r="F14" s="18"/>
      <c r="G14" s="18"/>
      <c r="H14" s="18"/>
      <c r="I14" s="18"/>
      <c r="J14" s="18"/>
      <c r="K14" s="18"/>
      <c r="L14" s="73"/>
      <c r="M14" s="73"/>
      <c r="N14" s="73"/>
      <c r="O14" s="73"/>
      <c r="P14" s="73"/>
      <c r="Q14" s="73"/>
      <c r="R14" s="73"/>
      <c r="S14" s="73"/>
      <c r="T14" s="73"/>
      <c r="U14" s="73"/>
    </row>
    <row r="15" spans="1:24" ht="18" customHeight="1" x14ac:dyDescent="0.2">
      <c r="B15" s="107" t="s">
        <v>145</v>
      </c>
      <c r="C15" s="108"/>
      <c r="D15" s="108"/>
      <c r="E15" s="108"/>
      <c r="F15" s="108"/>
      <c r="G15" s="108"/>
      <c r="H15" s="108"/>
      <c r="I15" s="108"/>
      <c r="J15" s="108"/>
      <c r="K15" s="108"/>
      <c r="L15" s="108"/>
      <c r="M15" s="108"/>
      <c r="N15" s="108"/>
      <c r="O15" s="108"/>
      <c r="P15" s="108"/>
      <c r="Q15" s="108"/>
      <c r="R15" s="108"/>
      <c r="S15" s="108"/>
      <c r="T15" s="108"/>
      <c r="U15" s="109"/>
      <c r="X15" s="1" t="s">
        <v>89</v>
      </c>
    </row>
    <row r="16" spans="1:24" ht="18" customHeight="1" x14ac:dyDescent="0.2">
      <c r="B16" s="110"/>
      <c r="C16" s="111"/>
      <c r="D16" s="111"/>
      <c r="E16" s="111"/>
      <c r="F16" s="111"/>
      <c r="G16" s="111"/>
      <c r="H16" s="111"/>
      <c r="I16" s="111"/>
      <c r="J16" s="111"/>
      <c r="K16" s="111"/>
      <c r="L16" s="111"/>
      <c r="M16" s="111"/>
      <c r="N16" s="111"/>
      <c r="O16" s="111"/>
      <c r="P16" s="111"/>
      <c r="Q16" s="111"/>
      <c r="R16" s="111"/>
      <c r="S16" s="111"/>
      <c r="T16" s="111"/>
      <c r="U16" s="112"/>
      <c r="X16" s="1" t="s">
        <v>122</v>
      </c>
    </row>
    <row r="17" spans="1:24" ht="18" customHeight="1" x14ac:dyDescent="0.2">
      <c r="B17" s="110"/>
      <c r="C17" s="111"/>
      <c r="D17" s="111"/>
      <c r="E17" s="111"/>
      <c r="F17" s="111"/>
      <c r="G17" s="111"/>
      <c r="H17" s="111"/>
      <c r="I17" s="111"/>
      <c r="J17" s="111"/>
      <c r="K17" s="111"/>
      <c r="L17" s="111"/>
      <c r="M17" s="111"/>
      <c r="N17" s="111"/>
      <c r="O17" s="111"/>
      <c r="P17" s="111"/>
      <c r="Q17" s="111"/>
      <c r="R17" s="111"/>
      <c r="S17" s="111"/>
      <c r="T17" s="111"/>
      <c r="U17" s="112"/>
      <c r="X17" s="1" t="s">
        <v>123</v>
      </c>
    </row>
    <row r="18" spans="1:24" ht="18" customHeight="1" x14ac:dyDescent="0.2">
      <c r="B18" s="110"/>
      <c r="C18" s="111"/>
      <c r="D18" s="111"/>
      <c r="E18" s="111"/>
      <c r="F18" s="111"/>
      <c r="G18" s="111"/>
      <c r="H18" s="111"/>
      <c r="I18" s="111"/>
      <c r="J18" s="111"/>
      <c r="K18" s="111"/>
      <c r="L18" s="111"/>
      <c r="M18" s="111"/>
      <c r="N18" s="111"/>
      <c r="O18" s="111"/>
      <c r="P18" s="111"/>
      <c r="Q18" s="111"/>
      <c r="R18" s="111"/>
      <c r="S18" s="111"/>
      <c r="T18" s="111"/>
      <c r="U18" s="112"/>
      <c r="X18" s="1" t="s">
        <v>124</v>
      </c>
    </row>
    <row r="19" spans="1:24" ht="18" customHeight="1" x14ac:dyDescent="0.2">
      <c r="B19" s="110"/>
      <c r="C19" s="111"/>
      <c r="D19" s="111"/>
      <c r="E19" s="111"/>
      <c r="F19" s="111"/>
      <c r="G19" s="111"/>
      <c r="H19" s="111"/>
      <c r="I19" s="111"/>
      <c r="J19" s="111"/>
      <c r="K19" s="111"/>
      <c r="L19" s="111"/>
      <c r="M19" s="111"/>
      <c r="N19" s="111"/>
      <c r="O19" s="111"/>
      <c r="P19" s="111"/>
      <c r="Q19" s="111"/>
      <c r="R19" s="111"/>
      <c r="S19" s="111"/>
      <c r="T19" s="111"/>
      <c r="U19" s="112"/>
    </row>
    <row r="20" spans="1:24" ht="18" customHeight="1" x14ac:dyDescent="0.2">
      <c r="B20" s="113"/>
      <c r="C20" s="114"/>
      <c r="D20" s="114"/>
      <c r="E20" s="114"/>
      <c r="F20" s="114"/>
      <c r="G20" s="114"/>
      <c r="H20" s="114"/>
      <c r="I20" s="114"/>
      <c r="J20" s="114"/>
      <c r="K20" s="114"/>
      <c r="L20" s="114"/>
      <c r="M20" s="114"/>
      <c r="N20" s="114"/>
      <c r="O20" s="114"/>
      <c r="P20" s="114"/>
      <c r="Q20" s="114"/>
      <c r="R20" s="114"/>
      <c r="S20" s="114"/>
      <c r="T20" s="114"/>
      <c r="U20" s="115"/>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 customHeight="1" x14ac:dyDescent="0.2">
      <c r="B22" s="1" t="s">
        <v>119</v>
      </c>
      <c r="E22" s="74">
        <v>1</v>
      </c>
      <c r="F22" s="1" t="s">
        <v>107</v>
      </c>
      <c r="H22" s="19">
        <v>2</v>
      </c>
      <c r="I22" s="3" t="s">
        <v>108</v>
      </c>
      <c r="J22" s="3"/>
      <c r="K22" s="18"/>
      <c r="M22" s="18" t="s">
        <v>104</v>
      </c>
      <c r="N22" s="141" t="s">
        <v>124</v>
      </c>
      <c r="O22" s="142"/>
      <c r="P22" s="142"/>
      <c r="Q22" s="142"/>
      <c r="R22" s="142"/>
      <c r="S22" s="142"/>
      <c r="T22" s="142"/>
      <c r="U22" s="143"/>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8" t="s">
        <v>96</v>
      </c>
      <c r="B24" s="88"/>
      <c r="C24" s="88"/>
      <c r="D24" s="88"/>
      <c r="E24" s="88"/>
      <c r="F24" s="88"/>
      <c r="G24" s="88"/>
      <c r="H24" s="88"/>
      <c r="I24" s="88"/>
      <c r="J24" s="88"/>
      <c r="K24" s="88"/>
      <c r="L24" s="88"/>
      <c r="M24" s="88"/>
      <c r="N24" s="88"/>
      <c r="O24" s="88"/>
      <c r="P24" s="88"/>
      <c r="Q24" s="88"/>
      <c r="R24" s="88"/>
      <c r="S24" s="88"/>
      <c r="T24" s="88"/>
      <c r="U24" s="88"/>
    </row>
    <row r="25" spans="1:24" ht="18" customHeight="1" x14ac:dyDescent="0.2">
      <c r="A25" s="88"/>
      <c r="B25" s="88"/>
      <c r="C25" s="88"/>
      <c r="D25" s="88"/>
      <c r="E25" s="88"/>
      <c r="F25" s="88"/>
      <c r="G25" s="88"/>
      <c r="H25" s="88"/>
      <c r="I25" s="88"/>
      <c r="J25" s="88"/>
      <c r="K25" s="88"/>
      <c r="L25" s="88"/>
      <c r="M25" s="88"/>
      <c r="N25" s="88"/>
      <c r="O25" s="88"/>
      <c r="P25" s="88"/>
      <c r="Q25" s="88"/>
      <c r="R25" s="88"/>
      <c r="S25" s="88"/>
      <c r="T25" s="88"/>
      <c r="U25" s="88"/>
    </row>
    <row r="26" spans="1:24" ht="18" customHeight="1" x14ac:dyDescent="0.2">
      <c r="B26" s="95" t="s">
        <v>48</v>
      </c>
      <c r="C26" s="96"/>
      <c r="D26" s="96"/>
      <c r="E26" s="96"/>
      <c r="F26" s="97"/>
      <c r="G26" s="58" t="s">
        <v>73</v>
      </c>
      <c r="H26" s="59" t="s">
        <v>76</v>
      </c>
      <c r="I26" s="60" t="s">
        <v>51</v>
      </c>
      <c r="J26" s="60" t="s">
        <v>54</v>
      </c>
      <c r="K26" s="95" t="s">
        <v>48</v>
      </c>
      <c r="L26" s="96"/>
      <c r="M26" s="96"/>
      <c r="N26" s="96"/>
      <c r="O26" s="96"/>
      <c r="P26" s="96"/>
      <c r="Q26" s="97"/>
      <c r="R26" s="58" t="s">
        <v>73</v>
      </c>
      <c r="S26" s="59" t="s">
        <v>76</v>
      </c>
      <c r="T26" s="60" t="s">
        <v>51</v>
      </c>
      <c r="U26" s="60" t="s">
        <v>54</v>
      </c>
    </row>
    <row r="27" spans="1:24" ht="18" customHeight="1" x14ac:dyDescent="0.2">
      <c r="B27" s="89" t="s">
        <v>146</v>
      </c>
      <c r="C27" s="90"/>
      <c r="D27" s="90"/>
      <c r="E27" s="90"/>
      <c r="F27" s="91"/>
      <c r="G27" s="61">
        <v>2</v>
      </c>
      <c r="H27" s="61" t="s">
        <v>147</v>
      </c>
      <c r="I27" s="61" t="s">
        <v>147</v>
      </c>
      <c r="J27" s="61" t="s">
        <v>147</v>
      </c>
      <c r="K27" s="89"/>
      <c r="L27" s="90"/>
      <c r="M27" s="90"/>
      <c r="N27" s="90"/>
      <c r="O27" s="90"/>
      <c r="P27" s="90"/>
      <c r="Q27" s="91"/>
      <c r="R27" s="61"/>
      <c r="S27" s="61"/>
      <c r="T27" s="61"/>
      <c r="U27" s="61"/>
    </row>
    <row r="28" spans="1:24" ht="18" customHeight="1" x14ac:dyDescent="0.2">
      <c r="B28" s="82"/>
      <c r="C28" s="83"/>
      <c r="D28" s="83"/>
      <c r="E28" s="83"/>
      <c r="F28" s="84"/>
      <c r="G28" s="62"/>
      <c r="H28" s="62"/>
      <c r="I28" s="62"/>
      <c r="J28" s="62"/>
      <c r="K28" s="82"/>
      <c r="L28" s="83"/>
      <c r="M28" s="83"/>
      <c r="N28" s="83"/>
      <c r="O28" s="83"/>
      <c r="P28" s="83"/>
      <c r="Q28" s="84"/>
      <c r="R28" s="62"/>
      <c r="S28" s="62"/>
      <c r="T28" s="62"/>
      <c r="U28" s="62"/>
    </row>
    <row r="29" spans="1:24" ht="18" customHeight="1" x14ac:dyDescent="0.2">
      <c r="B29" s="82"/>
      <c r="C29" s="83"/>
      <c r="D29" s="83"/>
      <c r="E29" s="83"/>
      <c r="F29" s="84"/>
      <c r="G29" s="62"/>
      <c r="H29" s="62"/>
      <c r="I29" s="62"/>
      <c r="J29" s="62"/>
      <c r="K29" s="82"/>
      <c r="L29" s="83"/>
      <c r="M29" s="83"/>
      <c r="N29" s="83"/>
      <c r="O29" s="83"/>
      <c r="P29" s="83"/>
      <c r="Q29" s="84"/>
      <c r="R29" s="62"/>
      <c r="S29" s="62"/>
      <c r="T29" s="62"/>
      <c r="U29" s="62"/>
    </row>
    <row r="30" spans="1:24" ht="18" customHeight="1" x14ac:dyDescent="0.2">
      <c r="B30" s="82"/>
      <c r="C30" s="83"/>
      <c r="D30" s="83"/>
      <c r="E30" s="83"/>
      <c r="F30" s="84"/>
      <c r="G30" s="62"/>
      <c r="H30" s="62"/>
      <c r="I30" s="62"/>
      <c r="J30" s="62"/>
      <c r="K30" s="82"/>
      <c r="L30" s="83"/>
      <c r="M30" s="83"/>
      <c r="N30" s="83"/>
      <c r="O30" s="83"/>
      <c r="P30" s="83"/>
      <c r="Q30" s="84"/>
      <c r="R30" s="62"/>
      <c r="S30" s="62"/>
      <c r="T30" s="62"/>
      <c r="U30" s="62"/>
    </row>
    <row r="31" spans="1:24" ht="18" customHeight="1" x14ac:dyDescent="0.2">
      <c r="B31" s="82"/>
      <c r="C31" s="83"/>
      <c r="D31" s="83"/>
      <c r="E31" s="83"/>
      <c r="F31" s="84"/>
      <c r="G31" s="62"/>
      <c r="H31" s="62"/>
      <c r="I31" s="62"/>
      <c r="J31" s="62"/>
      <c r="K31" s="82"/>
      <c r="L31" s="83"/>
      <c r="M31" s="83"/>
      <c r="N31" s="83"/>
      <c r="O31" s="83"/>
      <c r="P31" s="83"/>
      <c r="Q31" s="84"/>
      <c r="R31" s="62"/>
      <c r="S31" s="62"/>
      <c r="T31" s="62"/>
      <c r="U31" s="62"/>
    </row>
    <row r="32" spans="1:24" ht="18" customHeight="1" x14ac:dyDescent="0.2">
      <c r="A32" s="3"/>
      <c r="B32" s="82"/>
      <c r="C32" s="83"/>
      <c r="D32" s="83"/>
      <c r="E32" s="83"/>
      <c r="F32" s="84"/>
      <c r="G32" s="62"/>
      <c r="H32" s="62"/>
      <c r="I32" s="62"/>
      <c r="J32" s="62"/>
      <c r="K32" s="82"/>
      <c r="L32" s="83"/>
      <c r="M32" s="83"/>
      <c r="N32" s="83"/>
      <c r="O32" s="83"/>
      <c r="P32" s="83"/>
      <c r="Q32" s="84"/>
      <c r="R32" s="62"/>
      <c r="S32" s="62"/>
      <c r="T32" s="62"/>
      <c r="U32" s="62"/>
    </row>
    <row r="33" spans="1:21" ht="18" customHeight="1" x14ac:dyDescent="0.2">
      <c r="A33" s="3"/>
      <c r="B33" s="85"/>
      <c r="C33" s="86"/>
      <c r="D33" s="86"/>
      <c r="E33" s="86"/>
      <c r="F33" s="87"/>
      <c r="G33" s="63"/>
      <c r="H33" s="63"/>
      <c r="I33" s="64"/>
      <c r="J33" s="64"/>
      <c r="K33" s="85"/>
      <c r="L33" s="86"/>
      <c r="M33" s="86"/>
      <c r="N33" s="86"/>
      <c r="O33" s="86"/>
      <c r="P33" s="86"/>
      <c r="Q33" s="87"/>
      <c r="R33" s="63"/>
      <c r="S33" s="63"/>
      <c r="T33" s="64"/>
      <c r="U33" s="64"/>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8" t="s">
        <v>97</v>
      </c>
      <c r="B35" s="88"/>
      <c r="C35" s="88"/>
      <c r="D35" s="88"/>
      <c r="E35" s="88"/>
      <c r="F35" s="88"/>
      <c r="G35" s="88"/>
      <c r="H35" s="88"/>
      <c r="I35" s="88"/>
      <c r="J35" s="88"/>
      <c r="K35" s="88"/>
      <c r="L35" s="88"/>
      <c r="M35" s="88"/>
      <c r="N35" s="88"/>
      <c r="O35" s="88"/>
      <c r="P35" s="88"/>
      <c r="Q35" s="88"/>
      <c r="R35" s="88"/>
      <c r="S35" s="88"/>
      <c r="T35" s="88"/>
      <c r="U35" s="88"/>
    </row>
    <row r="36" spans="1:21" ht="18" customHeight="1" x14ac:dyDescent="0.2">
      <c r="A36" s="88"/>
      <c r="B36" s="88"/>
      <c r="C36" s="88"/>
      <c r="D36" s="88"/>
      <c r="E36" s="88"/>
      <c r="F36" s="88"/>
      <c r="G36" s="88"/>
      <c r="H36" s="88"/>
      <c r="I36" s="88"/>
      <c r="J36" s="88"/>
      <c r="K36" s="88"/>
      <c r="L36" s="88"/>
      <c r="M36" s="88"/>
      <c r="N36" s="88"/>
      <c r="O36" s="88"/>
      <c r="P36" s="88"/>
      <c r="Q36" s="88"/>
      <c r="R36" s="88"/>
      <c r="S36" s="88"/>
      <c r="T36" s="88"/>
      <c r="U36" s="88"/>
    </row>
    <row r="37" spans="1:21" ht="18" customHeight="1" x14ac:dyDescent="0.2">
      <c r="B37" s="95" t="s">
        <v>48</v>
      </c>
      <c r="C37" s="96"/>
      <c r="D37" s="96"/>
      <c r="E37" s="96"/>
      <c r="F37" s="97"/>
      <c r="G37" s="58" t="s">
        <v>73</v>
      </c>
      <c r="H37" s="59" t="s">
        <v>76</v>
      </c>
      <c r="I37" s="60" t="s">
        <v>64</v>
      </c>
      <c r="J37" s="60" t="s">
        <v>65</v>
      </c>
      <c r="K37" s="95" t="s">
        <v>48</v>
      </c>
      <c r="L37" s="96"/>
      <c r="M37" s="96"/>
      <c r="N37" s="96"/>
      <c r="O37" s="96"/>
      <c r="P37" s="96"/>
      <c r="Q37" s="97"/>
      <c r="R37" s="58" t="s">
        <v>73</v>
      </c>
      <c r="S37" s="59" t="s">
        <v>76</v>
      </c>
      <c r="T37" s="60" t="s">
        <v>64</v>
      </c>
      <c r="U37" s="60" t="s">
        <v>65</v>
      </c>
    </row>
    <row r="38" spans="1:21" ht="18" customHeight="1" x14ac:dyDescent="0.2">
      <c r="B38" s="89" t="s">
        <v>146</v>
      </c>
      <c r="C38" s="90"/>
      <c r="D38" s="90"/>
      <c r="E38" s="90"/>
      <c r="F38" s="91"/>
      <c r="G38" s="61">
        <v>2</v>
      </c>
      <c r="H38" s="61" t="s">
        <v>147</v>
      </c>
      <c r="I38" s="61" t="s">
        <v>147</v>
      </c>
      <c r="J38" s="61" t="s">
        <v>147</v>
      </c>
      <c r="K38" s="89"/>
      <c r="L38" s="90"/>
      <c r="M38" s="90"/>
      <c r="N38" s="90"/>
      <c r="O38" s="90"/>
      <c r="P38" s="90"/>
      <c r="Q38" s="91"/>
      <c r="R38" s="61"/>
      <c r="S38" s="61"/>
      <c r="T38" s="61"/>
      <c r="U38" s="61"/>
    </row>
    <row r="39" spans="1:21" ht="18" customHeight="1" x14ac:dyDescent="0.2">
      <c r="B39" s="82"/>
      <c r="C39" s="83"/>
      <c r="D39" s="83"/>
      <c r="E39" s="83"/>
      <c r="F39" s="84"/>
      <c r="G39" s="62"/>
      <c r="H39" s="62"/>
      <c r="I39" s="62"/>
      <c r="J39" s="62"/>
      <c r="K39" s="82"/>
      <c r="L39" s="83"/>
      <c r="M39" s="83"/>
      <c r="N39" s="83"/>
      <c r="O39" s="83"/>
      <c r="P39" s="83"/>
      <c r="Q39" s="84"/>
      <c r="R39" s="62"/>
      <c r="S39" s="62"/>
      <c r="T39" s="62"/>
      <c r="U39" s="62"/>
    </row>
    <row r="40" spans="1:21" ht="18" customHeight="1" x14ac:dyDescent="0.2">
      <c r="B40" s="82"/>
      <c r="C40" s="83"/>
      <c r="D40" s="83"/>
      <c r="E40" s="83"/>
      <c r="F40" s="84"/>
      <c r="G40" s="62"/>
      <c r="H40" s="62"/>
      <c r="I40" s="62"/>
      <c r="J40" s="62"/>
      <c r="K40" s="82"/>
      <c r="L40" s="83"/>
      <c r="M40" s="83"/>
      <c r="N40" s="83"/>
      <c r="O40" s="83"/>
      <c r="P40" s="83"/>
      <c r="Q40" s="84"/>
      <c r="R40" s="62"/>
      <c r="S40" s="62"/>
      <c r="T40" s="62"/>
      <c r="U40" s="62"/>
    </row>
    <row r="41" spans="1:21" ht="18" customHeight="1" x14ac:dyDescent="0.2">
      <c r="B41" s="82"/>
      <c r="C41" s="83"/>
      <c r="D41" s="83"/>
      <c r="E41" s="83"/>
      <c r="F41" s="84"/>
      <c r="G41" s="62"/>
      <c r="H41" s="62"/>
      <c r="I41" s="62"/>
      <c r="J41" s="62"/>
      <c r="K41" s="82"/>
      <c r="L41" s="83"/>
      <c r="M41" s="83"/>
      <c r="N41" s="83"/>
      <c r="O41" s="83"/>
      <c r="P41" s="83"/>
      <c r="Q41" s="84"/>
      <c r="R41" s="62"/>
      <c r="S41" s="62"/>
      <c r="T41" s="62"/>
      <c r="U41" s="62"/>
    </row>
    <row r="42" spans="1:21" ht="18" customHeight="1" x14ac:dyDescent="0.2">
      <c r="B42" s="82"/>
      <c r="C42" s="83"/>
      <c r="D42" s="83"/>
      <c r="E42" s="83"/>
      <c r="F42" s="84"/>
      <c r="G42" s="62"/>
      <c r="H42" s="62"/>
      <c r="I42" s="62"/>
      <c r="J42" s="62"/>
      <c r="K42" s="82"/>
      <c r="L42" s="83"/>
      <c r="M42" s="83"/>
      <c r="N42" s="83"/>
      <c r="O42" s="83"/>
      <c r="P42" s="83"/>
      <c r="Q42" s="84"/>
      <c r="R42" s="62"/>
      <c r="S42" s="62"/>
      <c r="T42" s="62"/>
      <c r="U42" s="62"/>
    </row>
    <row r="43" spans="1:21" ht="18" customHeight="1" x14ac:dyDescent="0.2">
      <c r="B43" s="82"/>
      <c r="C43" s="83"/>
      <c r="D43" s="83"/>
      <c r="E43" s="83"/>
      <c r="F43" s="84"/>
      <c r="G43" s="62"/>
      <c r="H43" s="62"/>
      <c r="I43" s="62"/>
      <c r="J43" s="62"/>
      <c r="K43" s="82"/>
      <c r="L43" s="83"/>
      <c r="M43" s="83"/>
      <c r="N43" s="83"/>
      <c r="O43" s="83"/>
      <c r="P43" s="83"/>
      <c r="Q43" s="84"/>
      <c r="R43" s="62"/>
      <c r="S43" s="62"/>
      <c r="T43" s="62"/>
      <c r="U43" s="62"/>
    </row>
    <row r="44" spans="1:21" ht="18" customHeight="1" x14ac:dyDescent="0.2">
      <c r="B44" s="85"/>
      <c r="C44" s="86"/>
      <c r="D44" s="86"/>
      <c r="E44" s="86"/>
      <c r="F44" s="87"/>
      <c r="G44" s="63"/>
      <c r="H44" s="63"/>
      <c r="I44" s="64"/>
      <c r="J44" s="64"/>
      <c r="K44" s="85"/>
      <c r="L44" s="86"/>
      <c r="M44" s="86"/>
      <c r="N44" s="86"/>
      <c r="O44" s="86"/>
      <c r="P44" s="86"/>
      <c r="Q44" s="87"/>
      <c r="R44" s="63"/>
      <c r="S44" s="63"/>
      <c r="T44" s="64"/>
      <c r="U44" s="64"/>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8" t="s">
        <v>98</v>
      </c>
      <c r="B46" s="88"/>
      <c r="C46" s="88"/>
      <c r="D46" s="88"/>
      <c r="E46" s="88"/>
      <c r="F46" s="88"/>
      <c r="G46" s="88"/>
      <c r="H46" s="88"/>
      <c r="I46" s="88"/>
      <c r="J46" s="88"/>
      <c r="K46" s="88"/>
      <c r="L46" s="88"/>
      <c r="M46" s="88"/>
      <c r="N46" s="88"/>
      <c r="O46" s="88"/>
      <c r="P46" s="88"/>
      <c r="Q46" s="88"/>
      <c r="R46" s="88"/>
      <c r="S46" s="88"/>
      <c r="T46" s="88"/>
      <c r="U46" s="88"/>
    </row>
    <row r="47" spans="1:21" ht="18" customHeight="1" x14ac:dyDescent="0.2">
      <c r="A47" s="88"/>
      <c r="B47" s="88"/>
      <c r="C47" s="88"/>
      <c r="D47" s="88"/>
      <c r="E47" s="88"/>
      <c r="F47" s="88"/>
      <c r="G47" s="88"/>
      <c r="H47" s="88"/>
      <c r="I47" s="88"/>
      <c r="J47" s="88"/>
      <c r="K47" s="88"/>
      <c r="L47" s="88"/>
      <c r="M47" s="88"/>
      <c r="N47" s="88"/>
      <c r="O47" s="88"/>
      <c r="P47" s="88"/>
      <c r="Q47" s="88"/>
      <c r="R47" s="88"/>
      <c r="S47" s="88"/>
      <c r="T47" s="88"/>
      <c r="U47" s="88"/>
    </row>
    <row r="48" spans="1:21" ht="18" customHeight="1" x14ac:dyDescent="0.2">
      <c r="B48" s="95" t="s">
        <v>48</v>
      </c>
      <c r="C48" s="96"/>
      <c r="D48" s="96"/>
      <c r="E48" s="96"/>
      <c r="F48" s="97"/>
      <c r="G48" s="58" t="s">
        <v>73</v>
      </c>
      <c r="H48" s="59" t="s">
        <v>76</v>
      </c>
      <c r="I48" s="60" t="s">
        <v>66</v>
      </c>
      <c r="J48" s="60" t="s">
        <v>67</v>
      </c>
      <c r="K48" s="95" t="s">
        <v>48</v>
      </c>
      <c r="L48" s="96"/>
      <c r="M48" s="96"/>
      <c r="N48" s="96"/>
      <c r="O48" s="96"/>
      <c r="P48" s="96"/>
      <c r="Q48" s="97"/>
      <c r="R48" s="58" t="s">
        <v>73</v>
      </c>
      <c r="S48" s="59" t="s">
        <v>76</v>
      </c>
      <c r="T48" s="60" t="s">
        <v>66</v>
      </c>
      <c r="U48" s="60" t="s">
        <v>67</v>
      </c>
    </row>
    <row r="49" spans="1:21" ht="18" customHeight="1" x14ac:dyDescent="0.2">
      <c r="A49" s="3"/>
      <c r="B49" s="89" t="s">
        <v>146</v>
      </c>
      <c r="C49" s="90"/>
      <c r="D49" s="90"/>
      <c r="E49" s="90"/>
      <c r="F49" s="91"/>
      <c r="G49" s="61">
        <v>2</v>
      </c>
      <c r="H49" s="61" t="s">
        <v>147</v>
      </c>
      <c r="I49" s="61" t="s">
        <v>147</v>
      </c>
      <c r="J49" s="61" t="s">
        <v>147</v>
      </c>
      <c r="K49" s="89"/>
      <c r="L49" s="90"/>
      <c r="M49" s="90"/>
      <c r="N49" s="90"/>
      <c r="O49" s="90"/>
      <c r="P49" s="90"/>
      <c r="Q49" s="91"/>
      <c r="R49" s="61"/>
      <c r="S49" s="61"/>
      <c r="T49" s="61"/>
      <c r="U49" s="61"/>
    </row>
    <row r="50" spans="1:21" ht="18" customHeight="1" x14ac:dyDescent="0.2">
      <c r="A50" s="3"/>
      <c r="B50" s="82"/>
      <c r="C50" s="83"/>
      <c r="D50" s="83"/>
      <c r="E50" s="83"/>
      <c r="F50" s="84"/>
      <c r="G50" s="62"/>
      <c r="H50" s="62"/>
      <c r="I50" s="62"/>
      <c r="J50" s="62"/>
      <c r="K50" s="82"/>
      <c r="L50" s="83"/>
      <c r="M50" s="83"/>
      <c r="N50" s="83"/>
      <c r="O50" s="83"/>
      <c r="P50" s="83"/>
      <c r="Q50" s="84"/>
      <c r="R50" s="62"/>
      <c r="S50" s="62"/>
      <c r="T50" s="62"/>
      <c r="U50" s="62"/>
    </row>
    <row r="51" spans="1:21" ht="18" customHeight="1" x14ac:dyDescent="0.2">
      <c r="A51" s="3"/>
      <c r="B51" s="82"/>
      <c r="C51" s="83"/>
      <c r="D51" s="83"/>
      <c r="E51" s="83"/>
      <c r="F51" s="84"/>
      <c r="G51" s="62"/>
      <c r="H51" s="62"/>
      <c r="I51" s="62"/>
      <c r="J51" s="62"/>
      <c r="K51" s="82"/>
      <c r="L51" s="83"/>
      <c r="M51" s="83"/>
      <c r="N51" s="83"/>
      <c r="O51" s="83"/>
      <c r="P51" s="83"/>
      <c r="Q51" s="84"/>
      <c r="R51" s="62"/>
      <c r="S51" s="62"/>
      <c r="T51" s="62"/>
      <c r="U51" s="62"/>
    </row>
    <row r="52" spans="1:21" ht="18" customHeight="1" x14ac:dyDescent="0.2">
      <c r="A52" s="3"/>
      <c r="B52" s="82"/>
      <c r="C52" s="83"/>
      <c r="D52" s="83"/>
      <c r="E52" s="83"/>
      <c r="F52" s="84"/>
      <c r="G52" s="62"/>
      <c r="H52" s="62"/>
      <c r="I52" s="62"/>
      <c r="J52" s="62"/>
      <c r="K52" s="82"/>
      <c r="L52" s="83"/>
      <c r="M52" s="83"/>
      <c r="N52" s="83"/>
      <c r="O52" s="83"/>
      <c r="P52" s="83"/>
      <c r="Q52" s="84"/>
      <c r="R52" s="62"/>
      <c r="S52" s="62"/>
      <c r="T52" s="62"/>
      <c r="U52" s="62"/>
    </row>
    <row r="53" spans="1:21" ht="18" customHeight="1" x14ac:dyDescent="0.2">
      <c r="A53" s="3"/>
      <c r="B53" s="82"/>
      <c r="C53" s="83"/>
      <c r="D53" s="83"/>
      <c r="E53" s="83"/>
      <c r="F53" s="84"/>
      <c r="G53" s="62"/>
      <c r="H53" s="62"/>
      <c r="I53" s="62"/>
      <c r="J53" s="62"/>
      <c r="K53" s="82"/>
      <c r="L53" s="83"/>
      <c r="M53" s="83"/>
      <c r="N53" s="83"/>
      <c r="O53" s="83"/>
      <c r="P53" s="83"/>
      <c r="Q53" s="84"/>
      <c r="R53" s="62"/>
      <c r="S53" s="62"/>
      <c r="T53" s="62"/>
      <c r="U53" s="62"/>
    </row>
    <row r="54" spans="1:21" ht="18" customHeight="1" x14ac:dyDescent="0.2">
      <c r="A54" s="3"/>
      <c r="B54" s="82"/>
      <c r="C54" s="83"/>
      <c r="D54" s="83"/>
      <c r="E54" s="83"/>
      <c r="F54" s="84"/>
      <c r="G54" s="62"/>
      <c r="H54" s="62"/>
      <c r="I54" s="62"/>
      <c r="J54" s="62"/>
      <c r="K54" s="82"/>
      <c r="L54" s="83"/>
      <c r="M54" s="83"/>
      <c r="N54" s="83"/>
      <c r="O54" s="83"/>
      <c r="P54" s="83"/>
      <c r="Q54" s="84"/>
      <c r="R54" s="62"/>
      <c r="S54" s="62"/>
      <c r="T54" s="62"/>
      <c r="U54" s="62"/>
    </row>
    <row r="55" spans="1:21" ht="18" customHeight="1" x14ac:dyDescent="0.2">
      <c r="A55" s="3"/>
      <c r="B55" s="85"/>
      <c r="C55" s="86"/>
      <c r="D55" s="86"/>
      <c r="E55" s="86"/>
      <c r="F55" s="87"/>
      <c r="G55" s="63"/>
      <c r="H55" s="63"/>
      <c r="I55" s="64"/>
      <c r="J55" s="64"/>
      <c r="K55" s="85"/>
      <c r="L55" s="86"/>
      <c r="M55" s="86"/>
      <c r="N55" s="86"/>
      <c r="O55" s="86"/>
      <c r="P55" s="86"/>
      <c r="Q55" s="87"/>
      <c r="R55" s="63"/>
      <c r="S55" s="63"/>
      <c r="T55" s="64"/>
      <c r="U55" s="64"/>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88" t="s">
        <v>99</v>
      </c>
      <c r="B57" s="88"/>
      <c r="C57" s="88"/>
      <c r="D57" s="88"/>
      <c r="E57" s="88"/>
      <c r="F57" s="88"/>
      <c r="G57" s="88"/>
      <c r="H57" s="88"/>
      <c r="I57" s="88"/>
      <c r="J57" s="88"/>
      <c r="K57" s="88"/>
      <c r="L57" s="88"/>
      <c r="M57" s="88"/>
      <c r="N57" s="88"/>
      <c r="O57" s="88"/>
      <c r="P57" s="88"/>
      <c r="Q57" s="88"/>
      <c r="R57" s="88"/>
      <c r="S57" s="88"/>
      <c r="T57" s="88"/>
      <c r="U57" s="88"/>
    </row>
    <row r="58" spans="1:21" ht="18" customHeight="1" x14ac:dyDescent="0.2">
      <c r="A58" s="88"/>
      <c r="B58" s="88"/>
      <c r="C58" s="88"/>
      <c r="D58" s="88"/>
      <c r="E58" s="88"/>
      <c r="F58" s="88"/>
      <c r="G58" s="88"/>
      <c r="H58" s="88"/>
      <c r="I58" s="88"/>
      <c r="J58" s="88"/>
      <c r="K58" s="88"/>
      <c r="L58" s="88"/>
      <c r="M58" s="88"/>
      <c r="N58" s="88"/>
      <c r="O58" s="88"/>
      <c r="P58" s="88"/>
      <c r="Q58" s="88"/>
      <c r="R58" s="88"/>
      <c r="S58" s="88"/>
      <c r="T58" s="88"/>
      <c r="U58" s="88"/>
    </row>
    <row r="59" spans="1:21" ht="18" customHeight="1" x14ac:dyDescent="0.2">
      <c r="B59" s="95" t="s">
        <v>48</v>
      </c>
      <c r="C59" s="96"/>
      <c r="D59" s="96"/>
      <c r="E59" s="96"/>
      <c r="F59" s="97"/>
      <c r="G59" s="58" t="s">
        <v>73</v>
      </c>
      <c r="H59" s="59" t="s">
        <v>76</v>
      </c>
      <c r="I59" s="60" t="s">
        <v>53</v>
      </c>
      <c r="J59" s="60" t="s">
        <v>55</v>
      </c>
      <c r="K59" s="95" t="s">
        <v>48</v>
      </c>
      <c r="L59" s="96"/>
      <c r="M59" s="96"/>
      <c r="N59" s="96"/>
      <c r="O59" s="96"/>
      <c r="P59" s="96"/>
      <c r="Q59" s="97"/>
      <c r="R59" s="58" t="s">
        <v>73</v>
      </c>
      <c r="S59" s="59" t="s">
        <v>76</v>
      </c>
      <c r="T59" s="60" t="s">
        <v>53</v>
      </c>
      <c r="U59" s="60" t="s">
        <v>55</v>
      </c>
    </row>
    <row r="60" spans="1:21" ht="18" customHeight="1" x14ac:dyDescent="0.2">
      <c r="A60" s="3"/>
      <c r="B60" s="89" t="s">
        <v>146</v>
      </c>
      <c r="C60" s="90"/>
      <c r="D60" s="90"/>
      <c r="E60" s="90"/>
      <c r="F60" s="91"/>
      <c r="G60" s="61">
        <v>2</v>
      </c>
      <c r="H60" s="61" t="s">
        <v>147</v>
      </c>
      <c r="I60" s="61" t="s">
        <v>147</v>
      </c>
      <c r="J60" s="61" t="s">
        <v>147</v>
      </c>
      <c r="K60" s="89"/>
      <c r="L60" s="90"/>
      <c r="M60" s="90"/>
      <c r="N60" s="90"/>
      <c r="O60" s="90"/>
      <c r="P60" s="90"/>
      <c r="Q60" s="91"/>
      <c r="R60" s="61"/>
      <c r="S60" s="61"/>
      <c r="T60" s="61"/>
      <c r="U60" s="61"/>
    </row>
    <row r="61" spans="1:21" ht="18" customHeight="1" x14ac:dyDescent="0.2">
      <c r="A61" s="3"/>
      <c r="B61" s="82"/>
      <c r="C61" s="83"/>
      <c r="D61" s="83"/>
      <c r="E61" s="83"/>
      <c r="F61" s="84"/>
      <c r="G61" s="62"/>
      <c r="H61" s="62"/>
      <c r="I61" s="62"/>
      <c r="J61" s="62"/>
      <c r="K61" s="82"/>
      <c r="L61" s="83"/>
      <c r="M61" s="83"/>
      <c r="N61" s="83"/>
      <c r="O61" s="83"/>
      <c r="P61" s="83"/>
      <c r="Q61" s="84"/>
      <c r="R61" s="62"/>
      <c r="S61" s="62"/>
      <c r="T61" s="62"/>
      <c r="U61" s="62"/>
    </row>
    <row r="62" spans="1:21" ht="18" customHeight="1" x14ac:dyDescent="0.2">
      <c r="A62" s="3"/>
      <c r="B62" s="82"/>
      <c r="C62" s="83"/>
      <c r="D62" s="83"/>
      <c r="E62" s="83"/>
      <c r="F62" s="84"/>
      <c r="G62" s="62"/>
      <c r="H62" s="62"/>
      <c r="I62" s="62"/>
      <c r="J62" s="62"/>
      <c r="K62" s="82"/>
      <c r="L62" s="83"/>
      <c r="M62" s="83"/>
      <c r="N62" s="83"/>
      <c r="O62" s="83"/>
      <c r="P62" s="83"/>
      <c r="Q62" s="84"/>
      <c r="R62" s="62"/>
      <c r="S62" s="62"/>
      <c r="T62" s="62"/>
      <c r="U62" s="62"/>
    </row>
    <row r="63" spans="1:21" ht="18" customHeight="1" x14ac:dyDescent="0.2">
      <c r="A63" s="3"/>
      <c r="B63" s="82"/>
      <c r="C63" s="83"/>
      <c r="D63" s="83"/>
      <c r="E63" s="83"/>
      <c r="F63" s="84"/>
      <c r="G63" s="62"/>
      <c r="H63" s="62"/>
      <c r="I63" s="62"/>
      <c r="J63" s="62"/>
      <c r="K63" s="82"/>
      <c r="L63" s="83"/>
      <c r="M63" s="83"/>
      <c r="N63" s="83"/>
      <c r="O63" s="83"/>
      <c r="P63" s="83"/>
      <c r="Q63" s="84"/>
      <c r="R63" s="62"/>
      <c r="S63" s="62"/>
      <c r="T63" s="62"/>
      <c r="U63" s="62"/>
    </row>
    <row r="64" spans="1:21" ht="18" customHeight="1" x14ac:dyDescent="0.2">
      <c r="A64" s="3"/>
      <c r="B64" s="82"/>
      <c r="C64" s="83"/>
      <c r="D64" s="83"/>
      <c r="E64" s="83"/>
      <c r="F64" s="84"/>
      <c r="G64" s="62"/>
      <c r="H64" s="62"/>
      <c r="I64" s="62"/>
      <c r="J64" s="62"/>
      <c r="K64" s="82"/>
      <c r="L64" s="83"/>
      <c r="M64" s="83"/>
      <c r="N64" s="83"/>
      <c r="O64" s="83"/>
      <c r="P64" s="83"/>
      <c r="Q64" s="84"/>
      <c r="R64" s="62"/>
      <c r="S64" s="62"/>
      <c r="T64" s="62"/>
      <c r="U64" s="62"/>
    </row>
    <row r="65" spans="1:27" ht="18" customHeight="1" x14ac:dyDescent="0.2">
      <c r="A65" s="3"/>
      <c r="B65" s="82"/>
      <c r="C65" s="83"/>
      <c r="D65" s="83"/>
      <c r="E65" s="83"/>
      <c r="F65" s="84"/>
      <c r="G65" s="62"/>
      <c r="H65" s="62"/>
      <c r="I65" s="62"/>
      <c r="J65" s="62"/>
      <c r="K65" s="82"/>
      <c r="L65" s="83"/>
      <c r="M65" s="83"/>
      <c r="N65" s="83"/>
      <c r="O65" s="83"/>
      <c r="P65" s="83"/>
      <c r="Q65" s="84"/>
      <c r="R65" s="62"/>
      <c r="S65" s="62"/>
      <c r="T65" s="62"/>
      <c r="U65" s="62"/>
    </row>
    <row r="66" spans="1:27" ht="18" customHeight="1" x14ac:dyDescent="0.2">
      <c r="A66" s="3"/>
      <c r="B66" s="85"/>
      <c r="C66" s="86"/>
      <c r="D66" s="86"/>
      <c r="E66" s="86"/>
      <c r="F66" s="87"/>
      <c r="G66" s="63"/>
      <c r="H66" s="63"/>
      <c r="I66" s="64"/>
      <c r="J66" s="64"/>
      <c r="K66" s="85"/>
      <c r="L66" s="86"/>
      <c r="M66" s="86"/>
      <c r="N66" s="86"/>
      <c r="O66" s="86"/>
      <c r="P66" s="86"/>
      <c r="Q66" s="87"/>
      <c r="R66" s="63"/>
      <c r="S66" s="63"/>
      <c r="T66" s="64"/>
      <c r="U66" s="64"/>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88" t="s">
        <v>100</v>
      </c>
      <c r="B68" s="88"/>
      <c r="C68" s="88"/>
      <c r="D68" s="88"/>
      <c r="E68" s="88"/>
      <c r="F68" s="88"/>
      <c r="G68" s="88"/>
      <c r="H68" s="88"/>
      <c r="I68" s="88"/>
      <c r="J68" s="88"/>
      <c r="K68" s="88"/>
      <c r="L68" s="88"/>
      <c r="M68" s="88"/>
      <c r="N68" s="88"/>
      <c r="O68" s="88"/>
      <c r="P68" s="88"/>
      <c r="Q68" s="88"/>
      <c r="R68" s="88"/>
      <c r="S68" s="88"/>
      <c r="T68" s="88"/>
      <c r="U68" s="88"/>
    </row>
    <row r="69" spans="1:27" ht="18" customHeight="1" x14ac:dyDescent="0.2">
      <c r="A69" s="88"/>
      <c r="B69" s="88"/>
      <c r="C69" s="88"/>
      <c r="D69" s="88"/>
      <c r="E69" s="88"/>
      <c r="F69" s="88"/>
      <c r="G69" s="88"/>
      <c r="H69" s="88"/>
      <c r="I69" s="88"/>
      <c r="J69" s="88"/>
      <c r="K69" s="88"/>
      <c r="L69" s="88"/>
      <c r="M69" s="88"/>
      <c r="N69" s="88"/>
      <c r="O69" s="88"/>
      <c r="P69" s="88"/>
      <c r="Q69" s="88"/>
      <c r="R69" s="88"/>
      <c r="S69" s="88"/>
      <c r="T69" s="88"/>
      <c r="U69" s="88"/>
    </row>
    <row r="70" spans="1:27" ht="18" customHeight="1" x14ac:dyDescent="0.2">
      <c r="B70" s="95" t="s">
        <v>48</v>
      </c>
      <c r="C70" s="96"/>
      <c r="D70" s="96"/>
      <c r="E70" s="96"/>
      <c r="F70" s="58" t="s">
        <v>73</v>
      </c>
      <c r="G70" s="59" t="s">
        <v>76</v>
      </c>
      <c r="H70" s="60" t="s">
        <v>87</v>
      </c>
      <c r="I70" s="60" t="s">
        <v>68</v>
      </c>
      <c r="J70" s="60" t="s">
        <v>69</v>
      </c>
      <c r="K70" s="95" t="s">
        <v>48</v>
      </c>
      <c r="L70" s="96"/>
      <c r="M70" s="96"/>
      <c r="N70" s="96"/>
      <c r="O70" s="96"/>
      <c r="P70" s="97"/>
      <c r="Q70" s="58" t="s">
        <v>73</v>
      </c>
      <c r="R70" s="59" t="s">
        <v>76</v>
      </c>
      <c r="S70" s="60" t="s">
        <v>87</v>
      </c>
      <c r="T70" s="60" t="s">
        <v>68</v>
      </c>
      <c r="U70" s="60" t="s">
        <v>69</v>
      </c>
    </row>
    <row r="71" spans="1:27" ht="18" customHeight="1" x14ac:dyDescent="0.2">
      <c r="A71" s="3"/>
      <c r="B71" s="82" t="s">
        <v>146</v>
      </c>
      <c r="C71" s="83"/>
      <c r="D71" s="83"/>
      <c r="E71" s="83"/>
      <c r="F71" s="62">
        <v>2</v>
      </c>
      <c r="G71" s="62" t="s">
        <v>147</v>
      </c>
      <c r="H71" s="61" t="s">
        <v>147</v>
      </c>
      <c r="I71" s="61" t="s">
        <v>147</v>
      </c>
      <c r="J71" s="61" t="s">
        <v>147</v>
      </c>
      <c r="K71" s="89"/>
      <c r="L71" s="90"/>
      <c r="M71" s="90"/>
      <c r="N71" s="90"/>
      <c r="O71" s="90"/>
      <c r="P71" s="91"/>
      <c r="Q71" s="61"/>
      <c r="R71" s="61"/>
      <c r="S71" s="61"/>
      <c r="T71" s="61"/>
      <c r="U71" s="61"/>
    </row>
    <row r="72" spans="1:27" ht="18" customHeight="1" x14ac:dyDescent="0.2">
      <c r="A72" s="3"/>
      <c r="B72" s="82"/>
      <c r="C72" s="83"/>
      <c r="D72" s="83"/>
      <c r="E72" s="83"/>
      <c r="F72" s="62"/>
      <c r="G72" s="62"/>
      <c r="H72" s="62"/>
      <c r="I72" s="62"/>
      <c r="J72" s="62"/>
      <c r="K72" s="82"/>
      <c r="L72" s="83"/>
      <c r="M72" s="83"/>
      <c r="N72" s="83"/>
      <c r="O72" s="83"/>
      <c r="P72" s="84"/>
      <c r="Q72" s="62"/>
      <c r="R72" s="62"/>
      <c r="S72" s="62"/>
      <c r="T72" s="62"/>
      <c r="U72" s="62"/>
    </row>
    <row r="73" spans="1:27" ht="18" customHeight="1" x14ac:dyDescent="0.2">
      <c r="A73" s="3"/>
      <c r="B73" s="82"/>
      <c r="C73" s="83"/>
      <c r="D73" s="83"/>
      <c r="E73" s="83"/>
      <c r="F73" s="62"/>
      <c r="G73" s="62"/>
      <c r="H73" s="62"/>
      <c r="I73" s="62"/>
      <c r="J73" s="62"/>
      <c r="K73" s="82"/>
      <c r="L73" s="83"/>
      <c r="M73" s="83"/>
      <c r="N73" s="83"/>
      <c r="O73" s="83"/>
      <c r="P73" s="84"/>
      <c r="Q73" s="62"/>
      <c r="R73" s="62"/>
      <c r="S73" s="62"/>
      <c r="T73" s="62"/>
      <c r="U73" s="62"/>
    </row>
    <row r="74" spans="1:27" ht="18" customHeight="1" x14ac:dyDescent="0.2">
      <c r="A74" s="3"/>
      <c r="B74" s="82"/>
      <c r="C74" s="83"/>
      <c r="D74" s="83"/>
      <c r="E74" s="83"/>
      <c r="F74" s="62"/>
      <c r="G74" s="62"/>
      <c r="H74" s="62"/>
      <c r="I74" s="62"/>
      <c r="J74" s="62"/>
      <c r="K74" s="82"/>
      <c r="L74" s="83"/>
      <c r="M74" s="83"/>
      <c r="N74" s="83"/>
      <c r="O74" s="83"/>
      <c r="P74" s="84"/>
      <c r="Q74" s="62"/>
      <c r="R74" s="62"/>
      <c r="S74" s="62"/>
      <c r="T74" s="62"/>
      <c r="U74" s="62"/>
    </row>
    <row r="75" spans="1:27" ht="18" customHeight="1" x14ac:dyDescent="0.2">
      <c r="A75" s="3"/>
      <c r="B75" s="82"/>
      <c r="C75" s="83"/>
      <c r="D75" s="83"/>
      <c r="E75" s="83"/>
      <c r="F75" s="62"/>
      <c r="G75" s="62"/>
      <c r="H75" s="62"/>
      <c r="I75" s="62"/>
      <c r="J75" s="62"/>
      <c r="K75" s="82"/>
      <c r="L75" s="83"/>
      <c r="M75" s="83"/>
      <c r="N75" s="83"/>
      <c r="O75" s="83"/>
      <c r="P75" s="84"/>
      <c r="Q75" s="62"/>
      <c r="R75" s="62"/>
      <c r="S75" s="62"/>
      <c r="T75" s="62"/>
      <c r="U75" s="62"/>
    </row>
    <row r="76" spans="1:27" ht="18" customHeight="1" x14ac:dyDescent="0.2">
      <c r="A76" s="3"/>
      <c r="B76" s="82"/>
      <c r="C76" s="83"/>
      <c r="D76" s="83"/>
      <c r="E76" s="83"/>
      <c r="F76" s="62"/>
      <c r="G76" s="62"/>
      <c r="H76" s="62"/>
      <c r="I76" s="62"/>
      <c r="J76" s="62"/>
      <c r="K76" s="82"/>
      <c r="L76" s="83"/>
      <c r="M76" s="83"/>
      <c r="N76" s="83"/>
      <c r="O76" s="83"/>
      <c r="P76" s="84"/>
      <c r="Q76" s="62"/>
      <c r="R76" s="62"/>
      <c r="S76" s="62"/>
      <c r="T76" s="62"/>
      <c r="U76" s="62"/>
    </row>
    <row r="77" spans="1:27" ht="18" customHeight="1" x14ac:dyDescent="0.2">
      <c r="A77" s="3"/>
      <c r="B77" s="85"/>
      <c r="C77" s="86"/>
      <c r="D77" s="86"/>
      <c r="E77" s="86"/>
      <c r="F77" s="63"/>
      <c r="G77" s="63"/>
      <c r="H77" s="64"/>
      <c r="I77" s="64"/>
      <c r="J77" s="64"/>
      <c r="K77" s="85"/>
      <c r="L77" s="86"/>
      <c r="M77" s="86"/>
      <c r="N77" s="86"/>
      <c r="O77" s="86"/>
      <c r="P77" s="87"/>
      <c r="Q77" s="63"/>
      <c r="R77" s="63"/>
      <c r="S77" s="64"/>
      <c r="T77" s="64"/>
      <c r="U77" s="64"/>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95" t="s">
        <v>48</v>
      </c>
      <c r="C80" s="96"/>
      <c r="D80" s="96"/>
      <c r="E80" s="96"/>
      <c r="F80" s="97"/>
      <c r="G80" s="95" t="s">
        <v>74</v>
      </c>
      <c r="H80" s="96"/>
      <c r="I80" s="96"/>
      <c r="J80" s="97"/>
      <c r="K80" s="103" t="s">
        <v>48</v>
      </c>
      <c r="L80" s="104"/>
      <c r="M80" s="104"/>
      <c r="N80" s="104"/>
      <c r="O80" s="104"/>
      <c r="P80" s="104"/>
      <c r="Q80" s="105"/>
      <c r="R80" s="95" t="s">
        <v>74</v>
      </c>
      <c r="S80" s="96"/>
      <c r="T80" s="96"/>
      <c r="U80" s="97"/>
      <c r="AA80" s="1" t="s">
        <v>138</v>
      </c>
    </row>
    <row r="81" spans="1:27" ht="18" customHeight="1" x14ac:dyDescent="0.2">
      <c r="A81" s="3"/>
      <c r="B81" s="89" t="s">
        <v>178</v>
      </c>
      <c r="C81" s="90"/>
      <c r="D81" s="90"/>
      <c r="E81" s="90"/>
      <c r="F81" s="91"/>
      <c r="G81" s="92" t="s">
        <v>179</v>
      </c>
      <c r="H81" s="93"/>
      <c r="I81" s="93"/>
      <c r="J81" s="94"/>
      <c r="K81" s="89"/>
      <c r="L81" s="90"/>
      <c r="M81" s="90"/>
      <c r="N81" s="90"/>
      <c r="O81" s="90"/>
      <c r="P81" s="90"/>
      <c r="Q81" s="91"/>
      <c r="R81" s="92"/>
      <c r="S81" s="93"/>
      <c r="T81" s="93"/>
      <c r="U81" s="94"/>
      <c r="AA81" s="1" t="s">
        <v>131</v>
      </c>
    </row>
    <row r="82" spans="1:27" ht="18" customHeight="1" x14ac:dyDescent="0.2">
      <c r="A82" s="3"/>
      <c r="B82" s="89" t="s">
        <v>178</v>
      </c>
      <c r="C82" s="90"/>
      <c r="D82" s="90"/>
      <c r="E82" s="90"/>
      <c r="F82" s="91"/>
      <c r="G82" s="100" t="s">
        <v>180</v>
      </c>
      <c r="H82" s="101"/>
      <c r="I82" s="101"/>
      <c r="J82" s="102"/>
      <c r="K82" s="82"/>
      <c r="L82" s="83"/>
      <c r="M82" s="83"/>
      <c r="N82" s="83"/>
      <c r="O82" s="83"/>
      <c r="P82" s="83"/>
      <c r="Q82" s="84"/>
      <c r="R82" s="100"/>
      <c r="S82" s="101"/>
      <c r="T82" s="101"/>
      <c r="U82" s="102"/>
      <c r="AA82" s="1" t="s">
        <v>132</v>
      </c>
    </row>
    <row r="83" spans="1:27" ht="18" customHeight="1" x14ac:dyDescent="0.2">
      <c r="A83" s="3"/>
      <c r="B83" s="89"/>
      <c r="C83" s="90"/>
      <c r="D83" s="90"/>
      <c r="E83" s="90"/>
      <c r="F83" s="91"/>
      <c r="G83" s="100"/>
      <c r="H83" s="101"/>
      <c r="I83" s="101"/>
      <c r="J83" s="102"/>
      <c r="K83" s="82"/>
      <c r="L83" s="83"/>
      <c r="M83" s="83"/>
      <c r="N83" s="83"/>
      <c r="O83" s="83"/>
      <c r="P83" s="83"/>
      <c r="Q83" s="84"/>
      <c r="R83" s="100"/>
      <c r="S83" s="101"/>
      <c r="T83" s="101"/>
      <c r="U83" s="102"/>
      <c r="AA83" s="1" t="s">
        <v>133</v>
      </c>
    </row>
    <row r="84" spans="1:27" ht="18" customHeight="1" x14ac:dyDescent="0.2">
      <c r="A84" s="3"/>
      <c r="B84" s="82"/>
      <c r="C84" s="83"/>
      <c r="D84" s="83"/>
      <c r="E84" s="83"/>
      <c r="F84" s="84"/>
      <c r="G84" s="100"/>
      <c r="H84" s="101"/>
      <c r="I84" s="101"/>
      <c r="J84" s="102"/>
      <c r="K84" s="82"/>
      <c r="L84" s="83"/>
      <c r="M84" s="83"/>
      <c r="N84" s="83"/>
      <c r="O84" s="83"/>
      <c r="P84" s="83"/>
      <c r="Q84" s="84"/>
      <c r="R84" s="100"/>
      <c r="S84" s="101"/>
      <c r="T84" s="101"/>
      <c r="U84" s="102"/>
      <c r="AA84" s="1" t="s">
        <v>139</v>
      </c>
    </row>
    <row r="85" spans="1:27" ht="18" customHeight="1" x14ac:dyDescent="0.2">
      <c r="A85" s="3"/>
      <c r="B85" s="82"/>
      <c r="C85" s="83"/>
      <c r="D85" s="83"/>
      <c r="E85" s="83"/>
      <c r="F85" s="84"/>
      <c r="G85" s="100"/>
      <c r="H85" s="101"/>
      <c r="I85" s="101"/>
      <c r="J85" s="102"/>
      <c r="K85" s="82"/>
      <c r="L85" s="83"/>
      <c r="M85" s="83"/>
      <c r="N85" s="83"/>
      <c r="O85" s="83"/>
      <c r="P85" s="83"/>
      <c r="Q85" s="84"/>
      <c r="R85" s="100"/>
      <c r="S85" s="101"/>
      <c r="T85" s="101"/>
      <c r="U85" s="102"/>
      <c r="AA85" s="1" t="s">
        <v>140</v>
      </c>
    </row>
    <row r="86" spans="1:27" ht="18" customHeight="1" x14ac:dyDescent="0.2">
      <c r="A86" s="3"/>
      <c r="B86" s="82"/>
      <c r="C86" s="83"/>
      <c r="D86" s="83"/>
      <c r="E86" s="83"/>
      <c r="F86" s="84"/>
      <c r="G86" s="100"/>
      <c r="H86" s="101"/>
      <c r="I86" s="101"/>
      <c r="J86" s="102"/>
      <c r="K86" s="82"/>
      <c r="L86" s="83"/>
      <c r="M86" s="83"/>
      <c r="N86" s="83"/>
      <c r="O86" s="83"/>
      <c r="P86" s="83"/>
      <c r="Q86" s="84"/>
      <c r="R86" s="100"/>
      <c r="S86" s="101"/>
      <c r="T86" s="101"/>
      <c r="U86" s="102"/>
      <c r="AA86" s="1" t="s">
        <v>134</v>
      </c>
    </row>
    <row r="87" spans="1:27" ht="18" customHeight="1" x14ac:dyDescent="0.2">
      <c r="A87" s="3"/>
      <c r="B87" s="85"/>
      <c r="C87" s="86"/>
      <c r="D87" s="86"/>
      <c r="E87" s="86"/>
      <c r="F87" s="87"/>
      <c r="G87" s="119"/>
      <c r="H87" s="120"/>
      <c r="I87" s="120"/>
      <c r="J87" s="121"/>
      <c r="K87" s="85"/>
      <c r="L87" s="86"/>
      <c r="M87" s="86"/>
      <c r="N87" s="86"/>
      <c r="O87" s="86"/>
      <c r="P87" s="86"/>
      <c r="Q87" s="87"/>
      <c r="R87" s="119"/>
      <c r="S87" s="120"/>
      <c r="T87" s="120"/>
      <c r="U87" s="121"/>
      <c r="AA87" s="1" t="s">
        <v>135</v>
      </c>
    </row>
    <row r="88" spans="1:27" ht="18" customHeight="1" x14ac:dyDescent="0.2">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2">
      <c r="A89" s="1" t="s">
        <v>102</v>
      </c>
      <c r="AA89" s="1" t="s">
        <v>137</v>
      </c>
    </row>
    <row r="90" spans="1:27" ht="18.75" customHeight="1" x14ac:dyDescent="0.2">
      <c r="B90" s="123" t="s">
        <v>49</v>
      </c>
      <c r="C90" s="124"/>
      <c r="D90" s="95" t="s">
        <v>50</v>
      </c>
      <c r="E90" s="96"/>
      <c r="F90" s="96"/>
      <c r="G90" s="96"/>
      <c r="H90" s="96"/>
      <c r="I90" s="96"/>
      <c r="J90" s="96"/>
      <c r="K90" s="96"/>
      <c r="L90" s="96"/>
      <c r="M90" s="96"/>
      <c r="N90" s="96"/>
      <c r="O90" s="96"/>
      <c r="P90" s="96"/>
      <c r="Q90" s="96"/>
      <c r="R90" s="96"/>
      <c r="S90" s="96"/>
      <c r="T90" s="96"/>
      <c r="U90" s="97"/>
    </row>
    <row r="91" spans="1:27" ht="97.5" customHeight="1" x14ac:dyDescent="0.2">
      <c r="B91" s="98" t="s">
        <v>56</v>
      </c>
      <c r="C91" s="66" t="s">
        <v>51</v>
      </c>
      <c r="D91" s="132" t="s">
        <v>176</v>
      </c>
      <c r="E91" s="133"/>
      <c r="F91" s="133"/>
      <c r="G91" s="133"/>
      <c r="H91" s="133"/>
      <c r="I91" s="133"/>
      <c r="J91" s="133"/>
      <c r="K91" s="133"/>
      <c r="L91" s="133"/>
      <c r="M91" s="133"/>
      <c r="N91" s="133"/>
      <c r="O91" s="133"/>
      <c r="P91" s="133"/>
      <c r="Q91" s="133"/>
      <c r="R91" s="133"/>
      <c r="S91" s="133"/>
      <c r="T91" s="133"/>
      <c r="U91" s="134"/>
    </row>
    <row r="92" spans="1:27" ht="97.5" customHeight="1" x14ac:dyDescent="0.2">
      <c r="B92" s="122"/>
      <c r="C92" s="67" t="s">
        <v>70</v>
      </c>
      <c r="D92" s="129" t="s">
        <v>175</v>
      </c>
      <c r="E92" s="130"/>
      <c r="F92" s="130"/>
      <c r="G92" s="130"/>
      <c r="H92" s="130"/>
      <c r="I92" s="130"/>
      <c r="J92" s="130"/>
      <c r="K92" s="130"/>
      <c r="L92" s="130"/>
      <c r="M92" s="130"/>
      <c r="N92" s="130"/>
      <c r="O92" s="130"/>
      <c r="P92" s="130"/>
      <c r="Q92" s="130"/>
      <c r="R92" s="130"/>
      <c r="S92" s="130"/>
      <c r="T92" s="130"/>
      <c r="U92" s="131"/>
    </row>
    <row r="93" spans="1:27" ht="97.5" customHeight="1" x14ac:dyDescent="0.2">
      <c r="B93" s="98" t="s">
        <v>57</v>
      </c>
      <c r="C93" s="68" t="s">
        <v>64</v>
      </c>
      <c r="D93" s="132" t="s">
        <v>177</v>
      </c>
      <c r="E93" s="133"/>
      <c r="F93" s="133"/>
      <c r="G93" s="133"/>
      <c r="H93" s="133"/>
      <c r="I93" s="133"/>
      <c r="J93" s="133"/>
      <c r="K93" s="133"/>
      <c r="L93" s="133"/>
      <c r="M93" s="133"/>
      <c r="N93" s="133"/>
      <c r="O93" s="133"/>
      <c r="P93" s="133"/>
      <c r="Q93" s="133"/>
      <c r="R93" s="133"/>
      <c r="S93" s="133"/>
      <c r="T93" s="133"/>
      <c r="U93" s="134"/>
    </row>
    <row r="94" spans="1:27" ht="97.5" customHeight="1" x14ac:dyDescent="0.2">
      <c r="B94" s="99"/>
      <c r="C94" s="69" t="s">
        <v>65</v>
      </c>
      <c r="D94" s="138" t="s">
        <v>171</v>
      </c>
      <c r="E94" s="139"/>
      <c r="F94" s="139"/>
      <c r="G94" s="139"/>
      <c r="H94" s="139"/>
      <c r="I94" s="139"/>
      <c r="J94" s="139"/>
      <c r="K94" s="139"/>
      <c r="L94" s="139"/>
      <c r="M94" s="139"/>
      <c r="N94" s="139"/>
      <c r="O94" s="139"/>
      <c r="P94" s="139"/>
      <c r="Q94" s="139"/>
      <c r="R94" s="139"/>
      <c r="S94" s="139"/>
      <c r="T94" s="139"/>
      <c r="U94" s="140"/>
    </row>
    <row r="95" spans="1:27" ht="97.5" customHeight="1" x14ac:dyDescent="0.2">
      <c r="B95" s="98" t="s">
        <v>58</v>
      </c>
      <c r="C95" s="68" t="s">
        <v>66</v>
      </c>
      <c r="D95" s="132" t="s">
        <v>148</v>
      </c>
      <c r="E95" s="133"/>
      <c r="F95" s="133"/>
      <c r="G95" s="133"/>
      <c r="H95" s="133"/>
      <c r="I95" s="133"/>
      <c r="J95" s="133"/>
      <c r="K95" s="133"/>
      <c r="L95" s="133"/>
      <c r="M95" s="133"/>
      <c r="N95" s="133"/>
      <c r="O95" s="133"/>
      <c r="P95" s="133"/>
      <c r="Q95" s="133"/>
      <c r="R95" s="133"/>
      <c r="S95" s="133"/>
      <c r="T95" s="133"/>
      <c r="U95" s="134"/>
    </row>
    <row r="96" spans="1:27" ht="97.5" customHeight="1" x14ac:dyDescent="0.2">
      <c r="B96" s="99"/>
      <c r="C96" s="70" t="s">
        <v>67</v>
      </c>
      <c r="D96" s="138" t="s">
        <v>172</v>
      </c>
      <c r="E96" s="139"/>
      <c r="F96" s="139"/>
      <c r="G96" s="139"/>
      <c r="H96" s="139"/>
      <c r="I96" s="139"/>
      <c r="J96" s="139"/>
      <c r="K96" s="139"/>
      <c r="L96" s="139"/>
      <c r="M96" s="139"/>
      <c r="N96" s="139"/>
      <c r="O96" s="139"/>
      <c r="P96" s="139"/>
      <c r="Q96" s="139"/>
      <c r="R96" s="139"/>
      <c r="S96" s="139"/>
      <c r="T96" s="139"/>
      <c r="U96" s="140"/>
    </row>
    <row r="97" spans="1:21" ht="97.5" customHeight="1" x14ac:dyDescent="0.2">
      <c r="B97" s="98" t="s">
        <v>71</v>
      </c>
      <c r="C97" s="66" t="s">
        <v>53</v>
      </c>
      <c r="D97" s="132" t="s">
        <v>173</v>
      </c>
      <c r="E97" s="133"/>
      <c r="F97" s="133"/>
      <c r="G97" s="133"/>
      <c r="H97" s="133"/>
      <c r="I97" s="133"/>
      <c r="J97" s="133"/>
      <c r="K97" s="133"/>
      <c r="L97" s="133"/>
      <c r="M97" s="133"/>
      <c r="N97" s="133"/>
      <c r="O97" s="133"/>
      <c r="P97" s="133"/>
      <c r="Q97" s="133"/>
      <c r="R97" s="133"/>
      <c r="S97" s="133"/>
      <c r="T97" s="133"/>
      <c r="U97" s="134"/>
    </row>
    <row r="98" spans="1:21" ht="97.5" customHeight="1" x14ac:dyDescent="0.2">
      <c r="B98" s="99"/>
      <c r="C98" s="69" t="s">
        <v>55</v>
      </c>
      <c r="D98" s="129" t="s">
        <v>151</v>
      </c>
      <c r="E98" s="130"/>
      <c r="F98" s="130"/>
      <c r="G98" s="130"/>
      <c r="H98" s="130"/>
      <c r="I98" s="130"/>
      <c r="J98" s="130"/>
      <c r="K98" s="130"/>
      <c r="L98" s="130"/>
      <c r="M98" s="130"/>
      <c r="N98" s="130"/>
      <c r="O98" s="130"/>
      <c r="P98" s="130"/>
      <c r="Q98" s="130"/>
      <c r="R98" s="130"/>
      <c r="S98" s="130"/>
      <c r="T98" s="130"/>
      <c r="U98" s="131"/>
    </row>
    <row r="99" spans="1:21" ht="97.5" customHeight="1" x14ac:dyDescent="0.2">
      <c r="B99" s="98" t="s">
        <v>72</v>
      </c>
      <c r="C99" s="68" t="s">
        <v>52</v>
      </c>
      <c r="D99" s="132" t="s">
        <v>149</v>
      </c>
      <c r="E99" s="133"/>
      <c r="F99" s="133"/>
      <c r="G99" s="133"/>
      <c r="H99" s="133"/>
      <c r="I99" s="133"/>
      <c r="J99" s="133"/>
      <c r="K99" s="133"/>
      <c r="L99" s="133"/>
      <c r="M99" s="133"/>
      <c r="N99" s="133"/>
      <c r="O99" s="133"/>
      <c r="P99" s="133"/>
      <c r="Q99" s="133"/>
      <c r="R99" s="133"/>
      <c r="S99" s="133"/>
      <c r="T99" s="133"/>
      <c r="U99" s="134"/>
    </row>
    <row r="100" spans="1:21" ht="97.5" customHeight="1" x14ac:dyDescent="0.2">
      <c r="B100" s="122"/>
      <c r="C100" s="71" t="s">
        <v>68</v>
      </c>
      <c r="D100" s="135" t="s">
        <v>150</v>
      </c>
      <c r="E100" s="136"/>
      <c r="F100" s="136"/>
      <c r="G100" s="136"/>
      <c r="H100" s="136"/>
      <c r="I100" s="136"/>
      <c r="J100" s="136"/>
      <c r="K100" s="136"/>
      <c r="L100" s="136"/>
      <c r="M100" s="136"/>
      <c r="N100" s="136"/>
      <c r="O100" s="136"/>
      <c r="P100" s="136"/>
      <c r="Q100" s="136"/>
      <c r="R100" s="136"/>
      <c r="S100" s="136"/>
      <c r="T100" s="136"/>
      <c r="U100" s="137"/>
    </row>
    <row r="101" spans="1:21" ht="97.5" customHeight="1" x14ac:dyDescent="0.2">
      <c r="B101" s="99"/>
      <c r="C101" s="70" t="s">
        <v>69</v>
      </c>
      <c r="D101" s="138" t="s">
        <v>174</v>
      </c>
      <c r="E101" s="139"/>
      <c r="F101" s="139"/>
      <c r="G101" s="139"/>
      <c r="H101" s="139"/>
      <c r="I101" s="139"/>
      <c r="J101" s="139"/>
      <c r="K101" s="139"/>
      <c r="L101" s="139"/>
      <c r="M101" s="139"/>
      <c r="N101" s="139"/>
      <c r="O101" s="139"/>
      <c r="P101" s="139"/>
      <c r="Q101" s="139"/>
      <c r="R101" s="139"/>
      <c r="S101" s="139"/>
      <c r="T101" s="139"/>
      <c r="U101" s="140"/>
    </row>
    <row r="102" spans="1:21" ht="6" customHeight="1" x14ac:dyDescent="0.2"/>
    <row r="103" spans="1:21" ht="18.75" customHeight="1" x14ac:dyDescent="0.2">
      <c r="A103" s="1" t="s">
        <v>103</v>
      </c>
    </row>
    <row r="104" spans="1:21" ht="81.75" customHeight="1" x14ac:dyDescent="0.2">
      <c r="B104" s="116" t="s">
        <v>157</v>
      </c>
      <c r="C104" s="117"/>
      <c r="D104" s="117"/>
      <c r="E104" s="117"/>
      <c r="F104" s="117"/>
      <c r="G104" s="117"/>
      <c r="H104" s="117"/>
      <c r="I104" s="117"/>
      <c r="J104" s="117"/>
      <c r="K104" s="117"/>
      <c r="L104" s="117"/>
      <c r="M104" s="117"/>
      <c r="N104" s="117"/>
      <c r="O104" s="117"/>
      <c r="P104" s="117"/>
      <c r="Q104" s="117"/>
      <c r="R104" s="117"/>
      <c r="S104" s="117"/>
      <c r="T104" s="117"/>
      <c r="U104" s="118"/>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I19" sqref="I19"/>
    </sheetView>
  </sheetViews>
  <sheetFormatPr defaultColWidth="9" defaultRowHeight="18.75" customHeight="1" x14ac:dyDescent="0.2"/>
  <cols>
    <col min="1" max="1" width="2.81640625" style="1" customWidth="1"/>
    <col min="2" max="2" width="27.90625" style="1" customWidth="1"/>
    <col min="3" max="18" width="6.08984375" style="1" customWidth="1"/>
    <col min="19" max="19" width="6.6328125" style="1" customWidth="1"/>
    <col min="20" max="16384" width="9" style="1"/>
  </cols>
  <sheetData>
    <row r="1" spans="1:21" ht="18" customHeight="1" x14ac:dyDescent="0.2">
      <c r="A1" s="52"/>
      <c r="B1" s="52"/>
      <c r="C1" s="52"/>
      <c r="D1" s="52"/>
      <c r="E1" s="52"/>
      <c r="F1" s="52"/>
      <c r="G1" s="52"/>
      <c r="H1" s="52"/>
      <c r="I1" s="52"/>
      <c r="J1" s="52"/>
      <c r="K1" s="52"/>
      <c r="L1" s="52"/>
      <c r="M1" s="52"/>
      <c r="N1" s="52"/>
      <c r="O1" s="52"/>
      <c r="P1" s="52"/>
      <c r="Q1" s="52"/>
      <c r="R1" s="52"/>
      <c r="S1" s="52" t="s">
        <v>92</v>
      </c>
    </row>
    <row r="2" spans="1:21" ht="18" customHeight="1" x14ac:dyDescent="0.2">
      <c r="A2" s="52"/>
      <c r="B2" s="52"/>
      <c r="C2" s="52"/>
      <c r="D2" s="52"/>
      <c r="E2" s="52"/>
      <c r="F2" s="52"/>
      <c r="G2" s="52"/>
      <c r="H2" s="52"/>
      <c r="I2" s="52"/>
      <c r="J2" s="52"/>
      <c r="K2" s="52"/>
      <c r="L2" s="52"/>
      <c r="M2" s="52"/>
      <c r="N2" s="52"/>
      <c r="O2" s="52"/>
      <c r="P2" s="52"/>
      <c r="Q2" s="154" t="str">
        <f>'様式１　プログラムを構成する授業科目'!C2</f>
        <v>松本大学松商短期大学部</v>
      </c>
      <c r="R2" s="154"/>
      <c r="S2" s="154"/>
    </row>
    <row r="3" spans="1:21" ht="18" customHeight="1" x14ac:dyDescent="0.2">
      <c r="A3" s="106" t="s">
        <v>142</v>
      </c>
      <c r="B3" s="106"/>
      <c r="C3" s="106"/>
      <c r="D3" s="106"/>
      <c r="E3" s="106"/>
      <c r="F3" s="106"/>
      <c r="G3" s="106"/>
      <c r="H3" s="106"/>
      <c r="I3" s="106"/>
      <c r="J3" s="106"/>
      <c r="K3" s="106"/>
      <c r="L3" s="106"/>
      <c r="M3" s="106"/>
      <c r="N3" s="106"/>
      <c r="O3" s="106"/>
      <c r="P3" s="106"/>
      <c r="Q3" s="106"/>
      <c r="R3" s="106"/>
      <c r="S3" s="106"/>
    </row>
    <row r="4" spans="1:21" ht="7.5" customHeight="1" x14ac:dyDescent="0.2">
      <c r="A4" s="54"/>
      <c r="B4" s="54"/>
      <c r="C4" s="54"/>
      <c r="D4" s="54"/>
      <c r="E4" s="54"/>
      <c r="F4" s="54"/>
      <c r="G4" s="54"/>
      <c r="H4" s="54"/>
      <c r="I4" s="54"/>
      <c r="J4" s="54"/>
      <c r="K4" s="54"/>
      <c r="L4" s="54"/>
      <c r="M4" s="54"/>
      <c r="N4" s="54"/>
      <c r="O4" s="54"/>
      <c r="P4" s="54"/>
      <c r="Q4" s="54"/>
      <c r="R4" s="54"/>
      <c r="S4" s="54"/>
    </row>
    <row r="5" spans="1:21" ht="18" customHeight="1" x14ac:dyDescent="0.2">
      <c r="A5" s="52" t="s">
        <v>75</v>
      </c>
      <c r="B5" s="52"/>
      <c r="C5" s="155" t="s">
        <v>152</v>
      </c>
      <c r="D5" s="156"/>
      <c r="E5" s="56" t="s">
        <v>125</v>
      </c>
      <c r="F5" s="54"/>
      <c r="G5" s="54"/>
      <c r="H5" s="54"/>
      <c r="I5" s="54"/>
      <c r="J5" s="54"/>
      <c r="K5" s="54"/>
      <c r="L5" s="54"/>
      <c r="M5" s="54"/>
      <c r="N5" s="54"/>
      <c r="O5" s="54"/>
      <c r="P5" s="54"/>
      <c r="Q5" s="54"/>
      <c r="R5" s="53"/>
      <c r="S5" s="53"/>
    </row>
    <row r="6" spans="1:21" ht="7.25" customHeight="1" x14ac:dyDescent="0.2">
      <c r="A6" s="52"/>
      <c r="B6" s="52"/>
      <c r="C6" s="75"/>
      <c r="D6" s="75"/>
      <c r="E6" s="54"/>
      <c r="F6" s="54"/>
      <c r="G6" s="54"/>
      <c r="H6" s="54"/>
      <c r="I6" s="54"/>
      <c r="J6" s="54"/>
      <c r="K6" s="54"/>
      <c r="L6" s="54"/>
      <c r="M6" s="54"/>
      <c r="N6" s="54"/>
      <c r="O6" s="54"/>
      <c r="P6" s="54"/>
      <c r="Q6" s="54"/>
      <c r="R6" s="53"/>
      <c r="S6" s="53"/>
    </row>
    <row r="7" spans="1:21" ht="18" customHeight="1" x14ac:dyDescent="0.2">
      <c r="A7" s="52" t="s">
        <v>109</v>
      </c>
      <c r="B7" s="52"/>
      <c r="C7" s="75"/>
      <c r="D7" s="75"/>
      <c r="E7" s="54" t="s">
        <v>110</v>
      </c>
      <c r="F7" s="57">
        <v>114</v>
      </c>
      <c r="G7" s="56" t="s">
        <v>111</v>
      </c>
      <c r="H7" s="54" t="s">
        <v>112</v>
      </c>
      <c r="I7" s="57">
        <v>247</v>
      </c>
      <c r="J7" s="56" t="s">
        <v>111</v>
      </c>
      <c r="K7" s="55" t="s">
        <v>113</v>
      </c>
      <c r="L7" s="54" t="s">
        <v>114</v>
      </c>
      <c r="M7" s="57">
        <f>F7+I7</f>
        <v>361</v>
      </c>
      <c r="N7" s="54" t="s">
        <v>1</v>
      </c>
      <c r="O7" s="56" t="s">
        <v>115</v>
      </c>
      <c r="P7" s="54"/>
      <c r="Q7" s="54"/>
      <c r="R7" s="53"/>
      <c r="S7" s="53"/>
    </row>
    <row r="8" spans="1:21" ht="17.399999999999999" customHeight="1" x14ac:dyDescent="0.2">
      <c r="A8" s="54"/>
      <c r="B8" s="76" t="s">
        <v>128</v>
      </c>
      <c r="C8" s="54"/>
      <c r="D8" s="54"/>
      <c r="E8" s="54"/>
      <c r="F8" s="54"/>
      <c r="G8" s="54"/>
      <c r="H8" s="54"/>
      <c r="I8" s="54"/>
      <c r="J8" s="54"/>
      <c r="K8" s="54"/>
      <c r="L8" s="54"/>
      <c r="M8" s="54"/>
      <c r="N8" s="54"/>
      <c r="O8" s="54"/>
      <c r="P8" s="54"/>
      <c r="Q8" s="54"/>
      <c r="R8" s="54"/>
      <c r="S8" s="54"/>
    </row>
    <row r="9" spans="1:21" ht="18" customHeight="1" x14ac:dyDescent="0.2">
      <c r="A9" s="52" t="s">
        <v>120</v>
      </c>
      <c r="B9" s="54"/>
      <c r="C9" s="54"/>
      <c r="D9" s="54"/>
      <c r="E9" s="54"/>
      <c r="F9" s="54"/>
      <c r="G9" s="54"/>
      <c r="H9" s="54"/>
      <c r="I9" s="54"/>
      <c r="J9" s="54"/>
      <c r="K9" s="54"/>
      <c r="L9" s="54"/>
      <c r="M9" s="54"/>
      <c r="N9" s="54"/>
      <c r="O9" s="54"/>
      <c r="P9" s="54"/>
      <c r="Q9" s="54"/>
      <c r="R9" s="54"/>
      <c r="S9" s="54"/>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7" t="s">
        <v>43</v>
      </c>
      <c r="C11" s="167" t="s">
        <v>78</v>
      </c>
      <c r="D11" s="159" t="s">
        <v>45</v>
      </c>
      <c r="E11" s="161" t="s">
        <v>38</v>
      </c>
      <c r="F11" s="153" t="s">
        <v>126</v>
      </c>
      <c r="G11" s="153"/>
      <c r="H11" s="153" t="s">
        <v>106</v>
      </c>
      <c r="I11" s="153"/>
      <c r="J11" s="153" t="s">
        <v>77</v>
      </c>
      <c r="K11" s="153"/>
      <c r="L11" s="153" t="s">
        <v>46</v>
      </c>
      <c r="M11" s="153"/>
      <c r="N11" s="153" t="s">
        <v>47</v>
      </c>
      <c r="O11" s="153"/>
      <c r="P11" s="153" t="s">
        <v>127</v>
      </c>
      <c r="Q11" s="153"/>
      <c r="R11" s="163" t="s">
        <v>35</v>
      </c>
      <c r="S11" s="165" t="s">
        <v>32</v>
      </c>
      <c r="U11" s="2"/>
    </row>
    <row r="12" spans="1:21" ht="17" customHeight="1" x14ac:dyDescent="0.2">
      <c r="B12" s="158"/>
      <c r="C12" s="168"/>
      <c r="D12" s="160"/>
      <c r="E12" s="162"/>
      <c r="F12" s="77" t="s">
        <v>86</v>
      </c>
      <c r="G12" s="77" t="s">
        <v>29</v>
      </c>
      <c r="H12" s="77" t="s">
        <v>86</v>
      </c>
      <c r="I12" s="77" t="s">
        <v>29</v>
      </c>
      <c r="J12" s="77" t="s">
        <v>86</v>
      </c>
      <c r="K12" s="77" t="s">
        <v>29</v>
      </c>
      <c r="L12" s="77" t="s">
        <v>86</v>
      </c>
      <c r="M12" s="77" t="s">
        <v>29</v>
      </c>
      <c r="N12" s="77" t="s">
        <v>86</v>
      </c>
      <c r="O12" s="77" t="s">
        <v>29</v>
      </c>
      <c r="P12" s="77" t="s">
        <v>86</v>
      </c>
      <c r="Q12" s="78" t="s">
        <v>29</v>
      </c>
      <c r="R12" s="164"/>
      <c r="S12" s="166"/>
      <c r="U12" s="2"/>
    </row>
    <row r="13" spans="1:21" ht="18" customHeight="1" x14ac:dyDescent="0.2">
      <c r="A13" s="6"/>
      <c r="B13" s="46" t="s">
        <v>153</v>
      </c>
      <c r="C13" s="80">
        <v>178</v>
      </c>
      <c r="D13" s="35">
        <v>100</v>
      </c>
      <c r="E13" s="36">
        <v>200</v>
      </c>
      <c r="F13" s="36">
        <v>21</v>
      </c>
      <c r="G13" s="36">
        <v>15</v>
      </c>
      <c r="H13" s="36"/>
      <c r="I13" s="36"/>
      <c r="J13" s="36"/>
      <c r="K13" s="36"/>
      <c r="L13" s="36"/>
      <c r="M13" s="36"/>
      <c r="N13" s="36"/>
      <c r="O13" s="36"/>
      <c r="P13" s="36"/>
      <c r="Q13" s="47"/>
      <c r="R13" s="35">
        <f t="shared" ref="R13:R32" si="0">F13+H13+J13+L13+N13+P13</f>
        <v>21</v>
      </c>
      <c r="S13" s="48">
        <f>R13/E13</f>
        <v>0.105</v>
      </c>
    </row>
    <row r="14" spans="1:21" ht="18" customHeight="1" x14ac:dyDescent="0.2">
      <c r="A14" s="6"/>
      <c r="B14" s="11" t="s">
        <v>154</v>
      </c>
      <c r="C14" s="81">
        <v>183</v>
      </c>
      <c r="D14" s="38">
        <v>100</v>
      </c>
      <c r="E14" s="39">
        <v>200</v>
      </c>
      <c r="F14" s="40">
        <v>19</v>
      </c>
      <c r="G14" s="40">
        <v>16</v>
      </c>
      <c r="H14" s="40"/>
      <c r="I14" s="40"/>
      <c r="J14" s="40"/>
      <c r="K14" s="40"/>
      <c r="L14" s="40"/>
      <c r="M14" s="40"/>
      <c r="N14" s="40"/>
      <c r="O14" s="40"/>
      <c r="P14" s="40"/>
      <c r="Q14" s="37"/>
      <c r="R14" s="38">
        <f t="shared" si="0"/>
        <v>19</v>
      </c>
      <c r="S14" s="16">
        <f t="shared" ref="S14:S33" si="1">R14/E14</f>
        <v>9.5000000000000001E-2</v>
      </c>
    </row>
    <row r="15" spans="1:21" ht="18" customHeight="1" x14ac:dyDescent="0.2">
      <c r="A15" s="6"/>
      <c r="B15" s="11"/>
      <c r="C15" s="37"/>
      <c r="D15" s="38"/>
      <c r="E15" s="39"/>
      <c r="F15" s="40"/>
      <c r="G15" s="40"/>
      <c r="H15" s="40"/>
      <c r="I15" s="40"/>
      <c r="J15" s="40"/>
      <c r="K15" s="40"/>
      <c r="L15" s="40"/>
      <c r="M15" s="40"/>
      <c r="N15" s="40"/>
      <c r="O15" s="40"/>
      <c r="P15" s="40"/>
      <c r="Q15" s="37"/>
      <c r="R15" s="38">
        <f t="shared" si="0"/>
        <v>0</v>
      </c>
      <c r="S15" s="8" t="e">
        <f t="shared" si="1"/>
        <v>#DIV/0!</v>
      </c>
    </row>
    <row r="16" spans="1:21" ht="18" customHeight="1" x14ac:dyDescent="0.2">
      <c r="A16" s="6"/>
      <c r="B16" s="11"/>
      <c r="C16" s="37"/>
      <c r="D16" s="38"/>
      <c r="E16" s="39"/>
      <c r="F16" s="40"/>
      <c r="G16" s="40"/>
      <c r="H16" s="40"/>
      <c r="I16" s="40"/>
      <c r="J16" s="40"/>
      <c r="K16" s="40"/>
      <c r="L16" s="40"/>
      <c r="M16" s="40"/>
      <c r="N16" s="40"/>
      <c r="O16" s="40"/>
      <c r="P16" s="40"/>
      <c r="Q16" s="37"/>
      <c r="R16" s="38">
        <f t="shared" si="0"/>
        <v>0</v>
      </c>
      <c r="S16" s="8" t="e">
        <f t="shared" si="1"/>
        <v>#DIV/0!</v>
      </c>
    </row>
    <row r="17" spans="1:19" ht="18" customHeight="1" x14ac:dyDescent="0.2">
      <c r="A17" s="6"/>
      <c r="B17" s="11"/>
      <c r="C17" s="37"/>
      <c r="D17" s="38"/>
      <c r="E17" s="39"/>
      <c r="F17" s="40"/>
      <c r="G17" s="40"/>
      <c r="H17" s="40"/>
      <c r="I17" s="40"/>
      <c r="J17" s="40"/>
      <c r="K17" s="40"/>
      <c r="L17" s="40"/>
      <c r="M17" s="40"/>
      <c r="N17" s="40"/>
      <c r="O17" s="40"/>
      <c r="P17" s="40"/>
      <c r="Q17" s="37"/>
      <c r="R17" s="38">
        <f t="shared" si="0"/>
        <v>0</v>
      </c>
      <c r="S17" s="8" t="e">
        <f t="shared" si="1"/>
        <v>#DIV/0!</v>
      </c>
    </row>
    <row r="18" spans="1:19" ht="18" customHeight="1" x14ac:dyDescent="0.2">
      <c r="A18" s="6"/>
      <c r="B18" s="11"/>
      <c r="C18" s="37"/>
      <c r="D18" s="38"/>
      <c r="E18" s="39"/>
      <c r="F18" s="40"/>
      <c r="G18" s="40"/>
      <c r="H18" s="40"/>
      <c r="I18" s="40"/>
      <c r="J18" s="40"/>
      <c r="K18" s="40"/>
      <c r="L18" s="40"/>
      <c r="M18" s="40"/>
      <c r="N18" s="40"/>
      <c r="O18" s="40"/>
      <c r="P18" s="40"/>
      <c r="Q18" s="37"/>
      <c r="R18" s="38">
        <f t="shared" si="0"/>
        <v>0</v>
      </c>
      <c r="S18" s="8" t="e">
        <f t="shared" si="1"/>
        <v>#DIV/0!</v>
      </c>
    </row>
    <row r="19" spans="1:19" ht="18" customHeight="1" x14ac:dyDescent="0.2">
      <c r="A19" s="6"/>
      <c r="B19" s="11"/>
      <c r="C19" s="37"/>
      <c r="D19" s="38"/>
      <c r="E19" s="39"/>
      <c r="F19" s="40"/>
      <c r="G19" s="40"/>
      <c r="H19" s="40"/>
      <c r="I19" s="40"/>
      <c r="J19" s="40"/>
      <c r="K19" s="40"/>
      <c r="L19" s="40"/>
      <c r="M19" s="40"/>
      <c r="N19" s="40"/>
      <c r="O19" s="40"/>
      <c r="P19" s="40"/>
      <c r="Q19" s="37"/>
      <c r="R19" s="38">
        <f t="shared" si="0"/>
        <v>0</v>
      </c>
      <c r="S19" s="8" t="e">
        <f t="shared" si="1"/>
        <v>#DIV/0!</v>
      </c>
    </row>
    <row r="20" spans="1:19" ht="18" customHeight="1" x14ac:dyDescent="0.2">
      <c r="A20" s="6"/>
      <c r="B20" s="11"/>
      <c r="C20" s="37"/>
      <c r="D20" s="38"/>
      <c r="E20" s="39"/>
      <c r="F20" s="40"/>
      <c r="G20" s="40"/>
      <c r="H20" s="40"/>
      <c r="I20" s="40"/>
      <c r="J20" s="40"/>
      <c r="K20" s="40"/>
      <c r="L20" s="40"/>
      <c r="M20" s="40"/>
      <c r="N20" s="40"/>
      <c r="O20" s="40"/>
      <c r="P20" s="40"/>
      <c r="Q20" s="37"/>
      <c r="R20" s="38">
        <f t="shared" si="0"/>
        <v>0</v>
      </c>
      <c r="S20" s="8" t="e">
        <f t="shared" si="1"/>
        <v>#DIV/0!</v>
      </c>
    </row>
    <row r="21" spans="1:19" ht="18" customHeight="1" x14ac:dyDescent="0.2">
      <c r="A21" s="6"/>
      <c r="B21" s="11"/>
      <c r="C21" s="37"/>
      <c r="D21" s="38"/>
      <c r="E21" s="39"/>
      <c r="F21" s="40"/>
      <c r="G21" s="40"/>
      <c r="H21" s="40"/>
      <c r="I21" s="40"/>
      <c r="J21" s="40"/>
      <c r="K21" s="40"/>
      <c r="L21" s="40"/>
      <c r="M21" s="40"/>
      <c r="N21" s="40"/>
      <c r="O21" s="40"/>
      <c r="P21" s="40"/>
      <c r="Q21" s="37"/>
      <c r="R21" s="38">
        <f t="shared" si="0"/>
        <v>0</v>
      </c>
      <c r="S21" s="8" t="e">
        <f t="shared" si="1"/>
        <v>#DIV/0!</v>
      </c>
    </row>
    <row r="22" spans="1:19" ht="18" customHeight="1" x14ac:dyDescent="0.2">
      <c r="A22" s="6"/>
      <c r="B22" s="11"/>
      <c r="C22" s="37"/>
      <c r="D22" s="38"/>
      <c r="E22" s="39"/>
      <c r="F22" s="40"/>
      <c r="G22" s="40"/>
      <c r="H22" s="40"/>
      <c r="I22" s="40"/>
      <c r="J22" s="40"/>
      <c r="K22" s="40"/>
      <c r="L22" s="40"/>
      <c r="M22" s="40"/>
      <c r="N22" s="40"/>
      <c r="O22" s="40"/>
      <c r="P22" s="40"/>
      <c r="Q22" s="37"/>
      <c r="R22" s="38">
        <f t="shared" si="0"/>
        <v>0</v>
      </c>
      <c r="S22" s="8" t="e">
        <f t="shared" si="1"/>
        <v>#DIV/0!</v>
      </c>
    </row>
    <row r="23" spans="1:19" ht="18" customHeight="1" x14ac:dyDescent="0.2">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customHeight="1" x14ac:dyDescent="0.2">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customHeight="1" x14ac:dyDescent="0.2">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customHeight="1" x14ac:dyDescent="0.2">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customHeight="1" x14ac:dyDescent="0.2">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customHeight="1" x14ac:dyDescent="0.2">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customHeight="1" x14ac:dyDescent="0.2">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customHeight="1" x14ac:dyDescent="0.2">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customHeight="1" x14ac:dyDescent="0.2">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thickBot="1" x14ac:dyDescent="0.25">
      <c r="A32" s="6"/>
      <c r="B32" s="12"/>
      <c r="C32" s="34"/>
      <c r="D32" s="42"/>
      <c r="E32" s="36"/>
      <c r="F32" s="36"/>
      <c r="G32" s="36"/>
      <c r="H32" s="36"/>
      <c r="I32" s="36"/>
      <c r="J32" s="36"/>
      <c r="K32" s="36"/>
      <c r="L32" s="36"/>
      <c r="M32" s="36"/>
      <c r="N32" s="36"/>
      <c r="O32" s="36"/>
      <c r="P32" s="36"/>
      <c r="Q32" s="37"/>
      <c r="R32" s="42">
        <f t="shared" si="0"/>
        <v>0</v>
      </c>
      <c r="S32" s="7" t="e">
        <f t="shared" si="1"/>
        <v>#DIV/0!</v>
      </c>
    </row>
    <row r="33" spans="2:19" ht="18" customHeight="1" thickTop="1" x14ac:dyDescent="0.2">
      <c r="B33" s="13" t="s">
        <v>33</v>
      </c>
      <c r="C33" s="43">
        <f t="shared" ref="C33" si="2">SUM(C13:C32)</f>
        <v>361</v>
      </c>
      <c r="D33" s="44">
        <f t="shared" ref="D33:R33" si="3">SUM(D13:D32)</f>
        <v>200</v>
      </c>
      <c r="E33" s="45">
        <f t="shared" si="3"/>
        <v>400</v>
      </c>
      <c r="F33" s="45">
        <f t="shared" si="3"/>
        <v>40</v>
      </c>
      <c r="G33" s="45">
        <f t="shared" ref="G33:H33" si="4">SUM(G13:G32)</f>
        <v>31</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40</v>
      </c>
      <c r="S33" s="9">
        <f t="shared" si="1"/>
        <v>0.1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zoomScaleNormal="100" zoomScaleSheetLayoutView="100" workbookViewId="0">
      <selection activeCell="B3" sqref="B3"/>
    </sheetView>
  </sheetViews>
  <sheetFormatPr defaultColWidth="11.36328125" defaultRowHeight="18.75" customHeight="1" x14ac:dyDescent="0.2"/>
  <cols>
    <col min="1" max="1" width="2.81640625" style="20"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20" t="s">
        <v>59</v>
      </c>
      <c r="I1" s="18" t="s">
        <v>91</v>
      </c>
    </row>
    <row r="2" spans="1:9" ht="18.75" customHeight="1" x14ac:dyDescent="0.2">
      <c r="G2" s="18" t="s">
        <v>93</v>
      </c>
      <c r="H2" s="95" t="str">
        <f>'様式１　プログラムを構成する授業科目'!C2</f>
        <v>松本大学松商短期大学部</v>
      </c>
      <c r="I2" s="97"/>
    </row>
    <row r="3" spans="1:9" ht="18.75" customHeight="1" x14ac:dyDescent="0.2">
      <c r="G3" s="18"/>
      <c r="H3" s="10"/>
      <c r="I3" s="10"/>
    </row>
    <row r="4" spans="1:9" ht="18.649999999999999" customHeight="1" x14ac:dyDescent="0.2">
      <c r="A4" s="106" t="s">
        <v>36</v>
      </c>
      <c r="B4" s="106"/>
      <c r="C4" s="106"/>
      <c r="D4" s="106"/>
      <c r="E4" s="106"/>
      <c r="F4" s="106"/>
      <c r="G4" s="106"/>
      <c r="H4" s="106"/>
      <c r="I4" s="106"/>
    </row>
    <row r="5" spans="1:9" ht="13.25" customHeight="1" x14ac:dyDescent="0.2">
      <c r="B5" s="3"/>
      <c r="C5" s="3"/>
      <c r="D5" s="3"/>
      <c r="E5" s="3"/>
      <c r="F5" s="3"/>
      <c r="G5" s="3"/>
      <c r="H5" s="3"/>
      <c r="I5" s="3"/>
    </row>
    <row r="6" spans="1:9" ht="18" customHeight="1" x14ac:dyDescent="0.2">
      <c r="A6" s="1" t="s">
        <v>0</v>
      </c>
      <c r="B6" s="10" t="s">
        <v>81</v>
      </c>
      <c r="C6" s="198" t="s">
        <v>82</v>
      </c>
      <c r="D6" s="198"/>
      <c r="E6" s="17">
        <v>12</v>
      </c>
      <c r="F6" s="3" t="s">
        <v>1</v>
      </c>
      <c r="G6" s="3" t="s">
        <v>2</v>
      </c>
      <c r="H6" s="79">
        <v>30</v>
      </c>
      <c r="I6" s="10" t="s">
        <v>1</v>
      </c>
    </row>
    <row r="7" spans="1:9" ht="12" customHeight="1" x14ac:dyDescent="0.2">
      <c r="C7" s="2"/>
      <c r="D7" s="2"/>
      <c r="E7" s="2"/>
      <c r="F7" s="2"/>
      <c r="G7" s="2"/>
      <c r="H7" s="2"/>
      <c r="I7" s="21"/>
    </row>
    <row r="8" spans="1:9" ht="18" customHeight="1" x14ac:dyDescent="0.2">
      <c r="A8" s="1" t="s">
        <v>3</v>
      </c>
      <c r="B8" s="10" t="s">
        <v>83</v>
      </c>
      <c r="E8" s="3"/>
      <c r="F8" s="3"/>
      <c r="G8" s="3"/>
      <c r="H8" s="17">
        <v>1</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93" t="s">
        <v>155</v>
      </c>
      <c r="D11" s="196"/>
      <c r="E11" s="197"/>
      <c r="F11" s="21"/>
      <c r="G11" s="18" t="s">
        <v>10</v>
      </c>
      <c r="H11" s="193" t="s">
        <v>166</v>
      </c>
      <c r="I11" s="197"/>
    </row>
    <row r="12" spans="1:9" ht="10.25"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93" t="s">
        <v>156</v>
      </c>
      <c r="C14" s="194"/>
      <c r="D14" s="194"/>
      <c r="E14" s="194"/>
      <c r="F14" s="194"/>
      <c r="G14" s="194"/>
      <c r="H14" s="194"/>
      <c r="I14" s="195"/>
    </row>
    <row r="15" spans="1:9" ht="9" customHeight="1" x14ac:dyDescent="0.2">
      <c r="B15" s="3"/>
      <c r="C15" s="3"/>
      <c r="D15" s="3"/>
      <c r="E15" s="3"/>
      <c r="F15" s="3"/>
      <c r="G15" s="3"/>
      <c r="H15" s="3"/>
      <c r="I15" s="3"/>
    </row>
    <row r="16" spans="1:9" ht="18" customHeight="1" x14ac:dyDescent="0.2">
      <c r="B16" s="18" t="s">
        <v>41</v>
      </c>
      <c r="C16" s="193" t="s">
        <v>160</v>
      </c>
      <c r="D16" s="196"/>
      <c r="E16" s="197"/>
      <c r="F16" s="21"/>
      <c r="G16" s="18" t="s">
        <v>10</v>
      </c>
      <c r="H16" s="193" t="s">
        <v>161</v>
      </c>
      <c r="I16" s="197"/>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70" t="s">
        <v>158</v>
      </c>
      <c r="C19" s="171"/>
      <c r="D19" s="171"/>
      <c r="E19" s="171"/>
      <c r="F19" s="171"/>
      <c r="G19" s="171"/>
      <c r="H19" s="171"/>
      <c r="I19" s="172"/>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73" t="s">
        <v>183</v>
      </c>
      <c r="C22" s="174"/>
      <c r="D22" s="174"/>
      <c r="E22" s="174"/>
      <c r="F22" s="174"/>
      <c r="G22" s="174"/>
      <c r="H22" s="174"/>
      <c r="I22" s="175"/>
    </row>
    <row r="23" spans="1:9" ht="18.75" customHeight="1" x14ac:dyDescent="0.2">
      <c r="A23" s="14"/>
      <c r="B23" s="176"/>
      <c r="C23" s="177"/>
      <c r="D23" s="177"/>
      <c r="E23" s="177"/>
      <c r="F23" s="177"/>
      <c r="G23" s="177"/>
      <c r="H23" s="177"/>
      <c r="I23" s="178"/>
    </row>
    <row r="24" spans="1:9" ht="18.75" customHeight="1" x14ac:dyDescent="0.2">
      <c r="A24" s="14"/>
      <c r="B24" s="176"/>
      <c r="C24" s="177"/>
      <c r="D24" s="177"/>
      <c r="E24" s="177"/>
      <c r="F24" s="177"/>
      <c r="G24" s="177"/>
      <c r="H24" s="177"/>
      <c r="I24" s="178"/>
    </row>
    <row r="25" spans="1:9" ht="18.75" customHeight="1" x14ac:dyDescent="0.2">
      <c r="A25" s="14"/>
      <c r="B25" s="176"/>
      <c r="C25" s="177"/>
      <c r="D25" s="177"/>
      <c r="E25" s="177"/>
      <c r="F25" s="177"/>
      <c r="G25" s="177"/>
      <c r="H25" s="177"/>
      <c r="I25" s="178"/>
    </row>
    <row r="26" spans="1:9" ht="18.75" customHeight="1" x14ac:dyDescent="0.2">
      <c r="A26" s="14"/>
      <c r="B26" s="176"/>
      <c r="C26" s="177"/>
      <c r="D26" s="177"/>
      <c r="E26" s="177"/>
      <c r="F26" s="177"/>
      <c r="G26" s="177"/>
      <c r="H26" s="177"/>
      <c r="I26" s="178"/>
    </row>
    <row r="27" spans="1:9" ht="18.75" customHeight="1" x14ac:dyDescent="0.2">
      <c r="A27" s="14"/>
      <c r="B27" s="176"/>
      <c r="C27" s="177"/>
      <c r="D27" s="177"/>
      <c r="E27" s="177"/>
      <c r="F27" s="177"/>
      <c r="G27" s="177"/>
      <c r="H27" s="177"/>
      <c r="I27" s="178"/>
    </row>
    <row r="28" spans="1:9" ht="18.75" customHeight="1" x14ac:dyDescent="0.2">
      <c r="A28" s="14"/>
      <c r="B28" s="176"/>
      <c r="C28" s="177"/>
      <c r="D28" s="177"/>
      <c r="E28" s="177"/>
      <c r="F28" s="177"/>
      <c r="G28" s="177"/>
      <c r="H28" s="177"/>
      <c r="I28" s="178"/>
    </row>
    <row r="29" spans="1:9" ht="18.75" customHeight="1" x14ac:dyDescent="0.2">
      <c r="A29" s="14"/>
      <c r="B29" s="176"/>
      <c r="C29" s="177"/>
      <c r="D29" s="177"/>
      <c r="E29" s="177"/>
      <c r="F29" s="177"/>
      <c r="G29" s="177"/>
      <c r="H29" s="177"/>
      <c r="I29" s="178"/>
    </row>
    <row r="30" spans="1:9" ht="18.75" customHeight="1" x14ac:dyDescent="0.2">
      <c r="A30" s="14"/>
      <c r="B30" s="179"/>
      <c r="C30" s="180"/>
      <c r="D30" s="180"/>
      <c r="E30" s="180"/>
      <c r="F30" s="180"/>
      <c r="G30" s="180"/>
      <c r="H30" s="180"/>
      <c r="I30" s="178"/>
    </row>
    <row r="31" spans="1:9" ht="18.75" customHeight="1" x14ac:dyDescent="0.2">
      <c r="A31" s="14"/>
      <c r="B31" s="179"/>
      <c r="C31" s="180"/>
      <c r="D31" s="180"/>
      <c r="E31" s="180"/>
      <c r="F31" s="180"/>
      <c r="G31" s="180"/>
      <c r="H31" s="180"/>
      <c r="I31" s="178"/>
    </row>
    <row r="32" spans="1:9" ht="18.75" customHeight="1" x14ac:dyDescent="0.2">
      <c r="A32" s="14"/>
      <c r="B32" s="181"/>
      <c r="C32" s="182"/>
      <c r="D32" s="182"/>
      <c r="E32" s="182"/>
      <c r="F32" s="182"/>
      <c r="G32" s="182"/>
      <c r="H32" s="182"/>
      <c r="I32" s="183"/>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84" t="s">
        <v>181</v>
      </c>
      <c r="C35" s="185"/>
      <c r="D35" s="185"/>
      <c r="E35" s="185"/>
      <c r="F35" s="185"/>
      <c r="G35" s="185"/>
      <c r="H35" s="185"/>
      <c r="I35" s="186"/>
    </row>
    <row r="36" spans="1:9" ht="18.75" customHeight="1" x14ac:dyDescent="0.2">
      <c r="A36" s="14"/>
      <c r="B36" s="187"/>
      <c r="C36" s="188"/>
      <c r="D36" s="188"/>
      <c r="E36" s="188"/>
      <c r="F36" s="188"/>
      <c r="G36" s="188"/>
      <c r="H36" s="188"/>
      <c r="I36" s="189"/>
    </row>
    <row r="37" spans="1:9" ht="18.75" customHeight="1" x14ac:dyDescent="0.2">
      <c r="A37" s="14"/>
      <c r="B37" s="187"/>
      <c r="C37" s="188"/>
      <c r="D37" s="188"/>
      <c r="E37" s="188"/>
      <c r="F37" s="188"/>
      <c r="G37" s="188"/>
      <c r="H37" s="188"/>
      <c r="I37" s="189"/>
    </row>
    <row r="38" spans="1:9" ht="18.75" customHeight="1" x14ac:dyDescent="0.2">
      <c r="A38" s="14"/>
      <c r="B38" s="187"/>
      <c r="C38" s="188"/>
      <c r="D38" s="188"/>
      <c r="E38" s="188"/>
      <c r="F38" s="188"/>
      <c r="G38" s="188"/>
      <c r="H38" s="188"/>
      <c r="I38" s="189"/>
    </row>
    <row r="39" spans="1:9" ht="18.75" customHeight="1" x14ac:dyDescent="0.2">
      <c r="A39" s="14"/>
      <c r="B39" s="187"/>
      <c r="C39" s="188"/>
      <c r="D39" s="188"/>
      <c r="E39" s="188"/>
      <c r="F39" s="188"/>
      <c r="G39" s="188"/>
      <c r="H39" s="188"/>
      <c r="I39" s="189"/>
    </row>
    <row r="40" spans="1:9" ht="18.75" customHeight="1" x14ac:dyDescent="0.2">
      <c r="A40" s="14"/>
      <c r="B40" s="187"/>
      <c r="C40" s="188"/>
      <c r="D40" s="188"/>
      <c r="E40" s="188"/>
      <c r="F40" s="188"/>
      <c r="G40" s="188"/>
      <c r="H40" s="188"/>
      <c r="I40" s="189"/>
    </row>
    <row r="41" spans="1:9" ht="18.75" customHeight="1" x14ac:dyDescent="0.2">
      <c r="A41" s="14"/>
      <c r="B41" s="187"/>
      <c r="C41" s="188"/>
      <c r="D41" s="188"/>
      <c r="E41" s="188"/>
      <c r="F41" s="188"/>
      <c r="G41" s="188"/>
      <c r="H41" s="188"/>
      <c r="I41" s="189"/>
    </row>
    <row r="42" spans="1:9" ht="18.75" customHeight="1" x14ac:dyDescent="0.2">
      <c r="A42" s="14"/>
      <c r="B42" s="187"/>
      <c r="C42" s="188"/>
      <c r="D42" s="188"/>
      <c r="E42" s="188"/>
      <c r="F42" s="188"/>
      <c r="G42" s="188"/>
      <c r="H42" s="188"/>
      <c r="I42" s="189"/>
    </row>
    <row r="43" spans="1:9" ht="18.75" customHeight="1" x14ac:dyDescent="0.2">
      <c r="A43" s="14"/>
      <c r="B43" s="187"/>
      <c r="C43" s="188"/>
      <c r="D43" s="188"/>
      <c r="E43" s="188"/>
      <c r="F43" s="188"/>
      <c r="G43" s="188"/>
      <c r="H43" s="188"/>
      <c r="I43" s="189"/>
    </row>
    <row r="44" spans="1:9" ht="18.75" customHeight="1" x14ac:dyDescent="0.2">
      <c r="A44" s="14"/>
      <c r="B44" s="187"/>
      <c r="C44" s="188"/>
      <c r="D44" s="188"/>
      <c r="E44" s="188"/>
      <c r="F44" s="188"/>
      <c r="G44" s="188"/>
      <c r="H44" s="188"/>
      <c r="I44" s="189"/>
    </row>
    <row r="45" spans="1:9" ht="18.75" customHeight="1" x14ac:dyDescent="0.2">
      <c r="A45" s="14"/>
      <c r="B45" s="187"/>
      <c r="C45" s="188"/>
      <c r="D45" s="188"/>
      <c r="E45" s="188"/>
      <c r="F45" s="188"/>
      <c r="G45" s="188"/>
      <c r="H45" s="188"/>
      <c r="I45" s="189"/>
    </row>
    <row r="46" spans="1:9" ht="18.75" customHeight="1" x14ac:dyDescent="0.2">
      <c r="A46" s="14"/>
      <c r="B46" s="190"/>
      <c r="C46" s="191"/>
      <c r="D46" s="191"/>
      <c r="E46" s="191"/>
      <c r="F46" s="191"/>
      <c r="G46" s="191"/>
      <c r="H46" s="191"/>
      <c r="I46" s="192"/>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253" t="s">
        <v>129</v>
      </c>
      <c r="C49" s="254">
        <f>'様式２ 履修者等数の実績'!S33</f>
        <v>0.1</v>
      </c>
      <c r="D49" s="254"/>
      <c r="E49" s="253" t="s">
        <v>60</v>
      </c>
      <c r="F49" s="255">
        <v>0.11</v>
      </c>
      <c r="G49" s="255"/>
      <c r="H49" s="253" t="s">
        <v>80</v>
      </c>
      <c r="I49" s="256">
        <v>0.12</v>
      </c>
      <c r="J49" s="1"/>
      <c r="M49" s="1"/>
      <c r="N49" s="22"/>
    </row>
    <row r="50" spans="1:15" s="3" customFormat="1" ht="18.75" customHeight="1" x14ac:dyDescent="0.2">
      <c r="B50" s="257" t="s">
        <v>116</v>
      </c>
      <c r="C50" s="258">
        <v>0.13</v>
      </c>
      <c r="D50" s="258"/>
      <c r="E50" s="257" t="s">
        <v>130</v>
      </c>
      <c r="F50" s="258">
        <v>0.14000000000000001</v>
      </c>
      <c r="G50" s="258"/>
      <c r="H50" s="257" t="s">
        <v>61</v>
      </c>
      <c r="I50" s="259">
        <f>'様式２ 履修者等数の実績'!E33</f>
        <v>400</v>
      </c>
      <c r="J50" s="1"/>
      <c r="M50" s="1"/>
      <c r="N50" s="22"/>
    </row>
    <row r="51" spans="1:15" ht="18.75" customHeight="1" x14ac:dyDescent="0.2">
      <c r="A51" s="1"/>
      <c r="B51" s="200" t="s">
        <v>62</v>
      </c>
      <c r="C51" s="201"/>
      <c r="D51" s="201"/>
      <c r="E51" s="201"/>
      <c r="F51" s="201"/>
      <c r="G51" s="201"/>
      <c r="H51" s="201"/>
      <c r="I51" s="202"/>
      <c r="N51" s="22"/>
      <c r="O51" s="3"/>
    </row>
    <row r="52" spans="1:15" ht="18.75" customHeight="1" x14ac:dyDescent="0.2">
      <c r="A52" s="1"/>
      <c r="B52" s="219" t="s">
        <v>159</v>
      </c>
      <c r="C52" s="220"/>
      <c r="D52" s="220"/>
      <c r="E52" s="220"/>
      <c r="F52" s="220"/>
      <c r="G52" s="220"/>
      <c r="H52" s="220"/>
      <c r="I52" s="221"/>
      <c r="N52" s="22"/>
      <c r="O52" s="3"/>
    </row>
    <row r="53" spans="1:15" ht="18.75" customHeight="1" x14ac:dyDescent="0.2">
      <c r="A53" s="1"/>
      <c r="B53" s="222"/>
      <c r="C53" s="223"/>
      <c r="D53" s="223"/>
      <c r="E53" s="223"/>
      <c r="F53" s="223"/>
      <c r="G53" s="223"/>
      <c r="H53" s="223"/>
      <c r="I53" s="224"/>
      <c r="N53" s="22"/>
      <c r="O53" s="3"/>
    </row>
    <row r="54" spans="1:15" ht="18.75" customHeight="1" x14ac:dyDescent="0.2">
      <c r="A54" s="1"/>
      <c r="B54" s="222"/>
      <c r="C54" s="223"/>
      <c r="D54" s="223"/>
      <c r="E54" s="223"/>
      <c r="F54" s="223"/>
      <c r="G54" s="223"/>
      <c r="H54" s="223"/>
      <c r="I54" s="224"/>
    </row>
    <row r="55" spans="1:15" ht="18.75" customHeight="1" x14ac:dyDescent="0.2">
      <c r="A55" s="1"/>
      <c r="B55" s="222"/>
      <c r="C55" s="223"/>
      <c r="D55" s="223"/>
      <c r="E55" s="223"/>
      <c r="F55" s="223"/>
      <c r="G55" s="223"/>
      <c r="H55" s="223"/>
      <c r="I55" s="224"/>
    </row>
    <row r="56" spans="1:15" ht="18.75" customHeight="1" x14ac:dyDescent="0.2">
      <c r="A56" s="1"/>
      <c r="B56" s="222"/>
      <c r="C56" s="223"/>
      <c r="D56" s="223"/>
      <c r="E56" s="223"/>
      <c r="F56" s="223"/>
      <c r="G56" s="223"/>
      <c r="H56" s="223"/>
      <c r="I56" s="224"/>
    </row>
    <row r="57" spans="1:15" ht="18.75" customHeight="1" x14ac:dyDescent="0.2">
      <c r="A57" s="1"/>
      <c r="B57" s="222"/>
      <c r="C57" s="223"/>
      <c r="D57" s="223"/>
      <c r="E57" s="223"/>
      <c r="F57" s="223"/>
      <c r="G57" s="223"/>
      <c r="H57" s="223"/>
      <c r="I57" s="224"/>
    </row>
    <row r="58" spans="1:15" ht="18.75" customHeight="1" x14ac:dyDescent="0.2">
      <c r="A58" s="1"/>
      <c r="B58" s="222"/>
      <c r="C58" s="223"/>
      <c r="D58" s="223"/>
      <c r="E58" s="223"/>
      <c r="F58" s="223"/>
      <c r="G58" s="223"/>
      <c r="H58" s="223"/>
      <c r="I58" s="224"/>
    </row>
    <row r="59" spans="1:15" ht="18.75" customHeight="1" x14ac:dyDescent="0.2">
      <c r="A59" s="1"/>
      <c r="B59" s="222"/>
      <c r="C59" s="223"/>
      <c r="D59" s="223"/>
      <c r="E59" s="223"/>
      <c r="F59" s="223"/>
      <c r="G59" s="223"/>
      <c r="H59" s="223"/>
      <c r="I59" s="224"/>
    </row>
    <row r="60" spans="1:15" ht="18.75" customHeight="1" x14ac:dyDescent="0.2">
      <c r="A60" s="1"/>
      <c r="B60" s="222"/>
      <c r="C60" s="223"/>
      <c r="D60" s="223"/>
      <c r="E60" s="223"/>
      <c r="F60" s="223"/>
      <c r="G60" s="223"/>
      <c r="H60" s="223"/>
      <c r="I60" s="224"/>
    </row>
    <row r="61" spans="1:15" ht="18.75" customHeight="1" x14ac:dyDescent="0.2">
      <c r="A61" s="1"/>
      <c r="B61" s="222"/>
      <c r="C61" s="223"/>
      <c r="D61" s="223"/>
      <c r="E61" s="223"/>
      <c r="F61" s="223"/>
      <c r="G61" s="223"/>
      <c r="H61" s="223"/>
      <c r="I61" s="224"/>
    </row>
    <row r="62" spans="1:15" ht="18.75" customHeight="1" x14ac:dyDescent="0.2">
      <c r="A62" s="1"/>
      <c r="B62" s="222"/>
      <c r="C62" s="223"/>
      <c r="D62" s="223"/>
      <c r="E62" s="223"/>
      <c r="F62" s="223"/>
      <c r="G62" s="223"/>
      <c r="H62" s="223"/>
      <c r="I62" s="224"/>
    </row>
    <row r="63" spans="1:15" ht="18.75" customHeight="1" x14ac:dyDescent="0.2">
      <c r="A63" s="1"/>
      <c r="B63" s="225"/>
      <c r="C63" s="226"/>
      <c r="D63" s="226"/>
      <c r="E63" s="226"/>
      <c r="F63" s="226"/>
      <c r="G63" s="226"/>
      <c r="H63" s="226"/>
      <c r="I63" s="227"/>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03" t="s">
        <v>162</v>
      </c>
      <c r="C66" s="204"/>
      <c r="D66" s="204"/>
      <c r="E66" s="204"/>
      <c r="F66" s="204"/>
      <c r="G66" s="204"/>
      <c r="H66" s="204"/>
      <c r="I66" s="205"/>
    </row>
    <row r="67" spans="1:9" ht="18.75" customHeight="1" x14ac:dyDescent="0.2">
      <c r="A67" s="4"/>
      <c r="B67" s="206"/>
      <c r="C67" s="207"/>
      <c r="D67" s="207"/>
      <c r="E67" s="207"/>
      <c r="F67" s="207"/>
      <c r="G67" s="207"/>
      <c r="H67" s="207"/>
      <c r="I67" s="208"/>
    </row>
    <row r="68" spans="1:9" ht="18.75" customHeight="1" x14ac:dyDescent="0.2">
      <c r="A68" s="4"/>
      <c r="B68" s="206"/>
      <c r="C68" s="207"/>
      <c r="D68" s="207"/>
      <c r="E68" s="207"/>
      <c r="F68" s="207"/>
      <c r="G68" s="207"/>
      <c r="H68" s="207"/>
      <c r="I68" s="208"/>
    </row>
    <row r="69" spans="1:9" ht="18.75" customHeight="1" x14ac:dyDescent="0.2">
      <c r="A69" s="4"/>
      <c r="B69" s="206"/>
      <c r="C69" s="207"/>
      <c r="D69" s="207"/>
      <c r="E69" s="207"/>
      <c r="F69" s="207"/>
      <c r="G69" s="207"/>
      <c r="H69" s="207"/>
      <c r="I69" s="208"/>
    </row>
    <row r="70" spans="1:9" ht="18.75" customHeight="1" x14ac:dyDescent="0.2">
      <c r="A70" s="4"/>
      <c r="B70" s="206"/>
      <c r="C70" s="207"/>
      <c r="D70" s="207"/>
      <c r="E70" s="207"/>
      <c r="F70" s="207"/>
      <c r="G70" s="207"/>
      <c r="H70" s="207"/>
      <c r="I70" s="208"/>
    </row>
    <row r="71" spans="1:9" ht="18.75" customHeight="1" x14ac:dyDescent="0.2">
      <c r="A71" s="4"/>
      <c r="B71" s="206"/>
      <c r="C71" s="207"/>
      <c r="D71" s="207"/>
      <c r="E71" s="207"/>
      <c r="F71" s="207"/>
      <c r="G71" s="207"/>
      <c r="H71" s="207"/>
      <c r="I71" s="208"/>
    </row>
    <row r="72" spans="1:9" ht="18.75" customHeight="1" x14ac:dyDescent="0.2">
      <c r="A72" s="4"/>
      <c r="B72" s="206"/>
      <c r="C72" s="207"/>
      <c r="D72" s="207"/>
      <c r="E72" s="207"/>
      <c r="F72" s="207"/>
      <c r="G72" s="207"/>
      <c r="H72" s="207"/>
      <c r="I72" s="208"/>
    </row>
    <row r="73" spans="1:9" ht="18.75" customHeight="1" x14ac:dyDescent="0.2">
      <c r="A73" s="4"/>
      <c r="B73" s="206"/>
      <c r="C73" s="207"/>
      <c r="D73" s="207"/>
      <c r="E73" s="207"/>
      <c r="F73" s="207"/>
      <c r="G73" s="207"/>
      <c r="H73" s="207"/>
      <c r="I73" s="208"/>
    </row>
    <row r="74" spans="1:9" ht="18.75" customHeight="1" x14ac:dyDescent="0.2">
      <c r="A74" s="4"/>
      <c r="B74" s="206"/>
      <c r="C74" s="207"/>
      <c r="D74" s="207"/>
      <c r="E74" s="207"/>
      <c r="F74" s="207"/>
      <c r="G74" s="207"/>
      <c r="H74" s="207"/>
      <c r="I74" s="208"/>
    </row>
    <row r="75" spans="1:9" ht="18.75" customHeight="1" x14ac:dyDescent="0.2">
      <c r="A75" s="4"/>
      <c r="B75" s="206"/>
      <c r="C75" s="207"/>
      <c r="D75" s="207"/>
      <c r="E75" s="207"/>
      <c r="F75" s="207"/>
      <c r="G75" s="207"/>
      <c r="H75" s="207"/>
      <c r="I75" s="208"/>
    </row>
    <row r="76" spans="1:9" ht="18.75" customHeight="1" x14ac:dyDescent="0.2">
      <c r="A76" s="4"/>
      <c r="B76" s="206"/>
      <c r="C76" s="207"/>
      <c r="D76" s="207"/>
      <c r="E76" s="207"/>
      <c r="F76" s="207"/>
      <c r="G76" s="207"/>
      <c r="H76" s="207"/>
      <c r="I76" s="208"/>
    </row>
    <row r="77" spans="1:9" ht="18.75" customHeight="1" x14ac:dyDescent="0.2">
      <c r="A77" s="4"/>
      <c r="B77" s="209"/>
      <c r="C77" s="210"/>
      <c r="D77" s="210"/>
      <c r="E77" s="210"/>
      <c r="F77" s="210"/>
      <c r="G77" s="210"/>
      <c r="H77" s="210"/>
      <c r="I77" s="211"/>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203" t="s">
        <v>163</v>
      </c>
      <c r="C80" s="204"/>
      <c r="D80" s="204"/>
      <c r="E80" s="204"/>
      <c r="F80" s="204"/>
      <c r="G80" s="204"/>
      <c r="H80" s="204"/>
      <c r="I80" s="212"/>
    </row>
    <row r="81" spans="1:9" ht="18.75" customHeight="1" x14ac:dyDescent="0.2">
      <c r="A81" s="1"/>
      <c r="B81" s="213"/>
      <c r="C81" s="214"/>
      <c r="D81" s="214"/>
      <c r="E81" s="214"/>
      <c r="F81" s="214"/>
      <c r="G81" s="214"/>
      <c r="H81" s="214"/>
      <c r="I81" s="215"/>
    </row>
    <row r="82" spans="1:9" ht="18.75" customHeight="1" x14ac:dyDescent="0.2">
      <c r="A82" s="1"/>
      <c r="B82" s="213"/>
      <c r="C82" s="214"/>
      <c r="D82" s="214"/>
      <c r="E82" s="214"/>
      <c r="F82" s="214"/>
      <c r="G82" s="214"/>
      <c r="H82" s="214"/>
      <c r="I82" s="215"/>
    </row>
    <row r="83" spans="1:9" ht="18.75" customHeight="1" x14ac:dyDescent="0.2">
      <c r="A83" s="1"/>
      <c r="B83" s="213"/>
      <c r="C83" s="214"/>
      <c r="D83" s="214"/>
      <c r="E83" s="214"/>
      <c r="F83" s="214"/>
      <c r="G83" s="214"/>
      <c r="H83" s="214"/>
      <c r="I83" s="215"/>
    </row>
    <row r="84" spans="1:9" ht="18.75" customHeight="1" x14ac:dyDescent="0.2">
      <c r="A84" s="1"/>
      <c r="B84" s="213"/>
      <c r="C84" s="214"/>
      <c r="D84" s="214"/>
      <c r="E84" s="214"/>
      <c r="F84" s="214"/>
      <c r="G84" s="214"/>
      <c r="H84" s="214"/>
      <c r="I84" s="215"/>
    </row>
    <row r="85" spans="1:9" ht="18.75" customHeight="1" x14ac:dyDescent="0.2">
      <c r="A85" s="1"/>
      <c r="B85" s="213"/>
      <c r="C85" s="214"/>
      <c r="D85" s="214"/>
      <c r="E85" s="214"/>
      <c r="F85" s="214"/>
      <c r="G85" s="214"/>
      <c r="H85" s="214"/>
      <c r="I85" s="215"/>
    </row>
    <row r="86" spans="1:9" ht="18.75" customHeight="1" x14ac:dyDescent="0.2">
      <c r="A86" s="1"/>
      <c r="B86" s="213"/>
      <c r="C86" s="214"/>
      <c r="D86" s="214"/>
      <c r="E86" s="214"/>
      <c r="F86" s="214"/>
      <c r="G86" s="214"/>
      <c r="H86" s="214"/>
      <c r="I86" s="215"/>
    </row>
    <row r="87" spans="1:9" ht="18.75" customHeight="1" x14ac:dyDescent="0.2">
      <c r="A87" s="1"/>
      <c r="B87" s="213"/>
      <c r="C87" s="214"/>
      <c r="D87" s="214"/>
      <c r="E87" s="214"/>
      <c r="F87" s="214"/>
      <c r="G87" s="214"/>
      <c r="H87" s="214"/>
      <c r="I87" s="215"/>
    </row>
    <row r="88" spans="1:9" ht="18.75" customHeight="1" x14ac:dyDescent="0.2">
      <c r="A88" s="1"/>
      <c r="B88" s="213"/>
      <c r="C88" s="214"/>
      <c r="D88" s="214"/>
      <c r="E88" s="214"/>
      <c r="F88" s="214"/>
      <c r="G88" s="214"/>
      <c r="H88" s="214"/>
      <c r="I88" s="215"/>
    </row>
    <row r="89" spans="1:9" ht="18.75" customHeight="1" x14ac:dyDescent="0.2">
      <c r="A89" s="1"/>
      <c r="B89" s="213"/>
      <c r="C89" s="214"/>
      <c r="D89" s="214"/>
      <c r="E89" s="214"/>
      <c r="F89" s="214"/>
      <c r="G89" s="214"/>
      <c r="H89" s="214"/>
      <c r="I89" s="215"/>
    </row>
    <row r="90" spans="1:9" ht="18.75" customHeight="1" x14ac:dyDescent="0.2">
      <c r="A90" s="4"/>
      <c r="B90" s="213"/>
      <c r="C90" s="214"/>
      <c r="D90" s="214"/>
      <c r="E90" s="214"/>
      <c r="F90" s="214"/>
      <c r="G90" s="214"/>
      <c r="H90" s="214"/>
      <c r="I90" s="215"/>
    </row>
    <row r="91" spans="1:9" ht="18.75" customHeight="1" x14ac:dyDescent="0.2">
      <c r="A91" s="4"/>
      <c r="B91" s="216"/>
      <c r="C91" s="217"/>
      <c r="D91" s="217"/>
      <c r="E91" s="217"/>
      <c r="F91" s="217"/>
      <c r="G91" s="217"/>
      <c r="H91" s="217"/>
      <c r="I91" s="218"/>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73" t="s">
        <v>164</v>
      </c>
      <c r="C94" s="174"/>
      <c r="D94" s="174"/>
      <c r="E94" s="174"/>
      <c r="F94" s="174"/>
      <c r="G94" s="174"/>
      <c r="H94" s="174"/>
      <c r="I94" s="175"/>
    </row>
    <row r="95" spans="1:9" ht="18.75" customHeight="1" x14ac:dyDescent="0.2">
      <c r="A95" s="1"/>
      <c r="B95" s="179"/>
      <c r="C95" s="180"/>
      <c r="D95" s="180"/>
      <c r="E95" s="180"/>
      <c r="F95" s="180"/>
      <c r="G95" s="180"/>
      <c r="H95" s="180"/>
      <c r="I95" s="178"/>
    </row>
    <row r="96" spans="1:9" ht="18.75" customHeight="1" x14ac:dyDescent="0.2">
      <c r="A96" s="1"/>
      <c r="B96" s="179"/>
      <c r="C96" s="180"/>
      <c r="D96" s="180"/>
      <c r="E96" s="180"/>
      <c r="F96" s="180"/>
      <c r="G96" s="180"/>
      <c r="H96" s="180"/>
      <c r="I96" s="178"/>
    </row>
    <row r="97" spans="1:9" ht="18.75" customHeight="1" x14ac:dyDescent="0.2">
      <c r="A97" s="1"/>
      <c r="B97" s="179"/>
      <c r="C97" s="180"/>
      <c r="D97" s="180"/>
      <c r="E97" s="180"/>
      <c r="F97" s="180"/>
      <c r="G97" s="180"/>
      <c r="H97" s="180"/>
      <c r="I97" s="178"/>
    </row>
    <row r="98" spans="1:9" ht="18.75" customHeight="1" x14ac:dyDescent="0.2">
      <c r="A98" s="1"/>
      <c r="B98" s="179"/>
      <c r="C98" s="180"/>
      <c r="D98" s="180"/>
      <c r="E98" s="180"/>
      <c r="F98" s="180"/>
      <c r="G98" s="180"/>
      <c r="H98" s="180"/>
      <c r="I98" s="178"/>
    </row>
    <row r="99" spans="1:9" ht="18.75" customHeight="1" x14ac:dyDescent="0.2">
      <c r="A99" s="1"/>
      <c r="B99" s="179"/>
      <c r="C99" s="180"/>
      <c r="D99" s="180"/>
      <c r="E99" s="180"/>
      <c r="F99" s="180"/>
      <c r="G99" s="180"/>
      <c r="H99" s="180"/>
      <c r="I99" s="178"/>
    </row>
    <row r="100" spans="1:9" ht="18.75" customHeight="1" x14ac:dyDescent="0.2">
      <c r="A100" s="1"/>
      <c r="B100" s="179"/>
      <c r="C100" s="180"/>
      <c r="D100" s="180"/>
      <c r="E100" s="180"/>
      <c r="F100" s="180"/>
      <c r="G100" s="180"/>
      <c r="H100" s="180"/>
      <c r="I100" s="178"/>
    </row>
    <row r="101" spans="1:9" ht="18.75" customHeight="1" x14ac:dyDescent="0.2">
      <c r="A101" s="1"/>
      <c r="B101" s="179"/>
      <c r="C101" s="180"/>
      <c r="D101" s="180"/>
      <c r="E101" s="180"/>
      <c r="F101" s="180"/>
      <c r="G101" s="180"/>
      <c r="H101" s="180"/>
      <c r="I101" s="178"/>
    </row>
    <row r="102" spans="1:9" ht="18.75" customHeight="1" x14ac:dyDescent="0.2">
      <c r="A102" s="1"/>
      <c r="B102" s="179"/>
      <c r="C102" s="180"/>
      <c r="D102" s="180"/>
      <c r="E102" s="180"/>
      <c r="F102" s="180"/>
      <c r="G102" s="180"/>
      <c r="H102" s="180"/>
      <c r="I102" s="178"/>
    </row>
    <row r="103" spans="1:9" ht="18.75" customHeight="1" x14ac:dyDescent="0.2">
      <c r="A103" s="1"/>
      <c r="B103" s="179"/>
      <c r="C103" s="180"/>
      <c r="D103" s="180"/>
      <c r="E103" s="180"/>
      <c r="F103" s="180"/>
      <c r="G103" s="180"/>
      <c r="H103" s="180"/>
      <c r="I103" s="178"/>
    </row>
    <row r="104" spans="1:9" ht="18.75" customHeight="1" x14ac:dyDescent="0.2">
      <c r="A104" s="1"/>
      <c r="B104" s="179"/>
      <c r="C104" s="180"/>
      <c r="D104" s="180"/>
      <c r="E104" s="180"/>
      <c r="F104" s="180"/>
      <c r="G104" s="180"/>
      <c r="H104" s="180"/>
      <c r="I104" s="178"/>
    </row>
    <row r="105" spans="1:9" ht="18.75" customHeight="1" x14ac:dyDescent="0.2">
      <c r="A105" s="4"/>
      <c r="B105" s="181"/>
      <c r="C105" s="182"/>
      <c r="D105" s="182"/>
      <c r="E105" s="182"/>
      <c r="F105" s="182"/>
      <c r="G105" s="182"/>
      <c r="H105" s="182"/>
      <c r="I105" s="183"/>
    </row>
    <row r="106" spans="1:9" ht="7.5" customHeight="1" x14ac:dyDescent="0.2">
      <c r="A106" s="4"/>
      <c r="B106" s="4"/>
      <c r="C106" s="4"/>
      <c r="D106" s="4"/>
      <c r="E106" s="4"/>
      <c r="F106" s="4"/>
      <c r="G106" s="4"/>
      <c r="H106" s="4"/>
      <c r="I106" s="4"/>
    </row>
    <row r="107" spans="1:9" ht="18.75" customHeight="1" x14ac:dyDescent="0.2">
      <c r="A107" s="1" t="s">
        <v>30</v>
      </c>
      <c r="B107" s="199" t="s">
        <v>44</v>
      </c>
      <c r="C107" s="199"/>
      <c r="D107" s="199"/>
      <c r="E107" s="199"/>
      <c r="F107" s="199"/>
      <c r="G107" s="199"/>
      <c r="H107" s="199"/>
      <c r="I107" s="199"/>
    </row>
    <row r="108" spans="1:9" ht="18.75" customHeight="1" x14ac:dyDescent="0.2">
      <c r="A108" s="4"/>
      <c r="B108" s="173" t="s">
        <v>165</v>
      </c>
      <c r="C108" s="174"/>
      <c r="D108" s="174"/>
      <c r="E108" s="174"/>
      <c r="F108" s="174"/>
      <c r="G108" s="174"/>
      <c r="H108" s="174"/>
      <c r="I108" s="175"/>
    </row>
    <row r="109" spans="1:9" ht="18.75" customHeight="1" x14ac:dyDescent="0.2">
      <c r="A109" s="4"/>
      <c r="B109" s="179"/>
      <c r="C109" s="180"/>
      <c r="D109" s="180"/>
      <c r="E109" s="180"/>
      <c r="F109" s="180"/>
      <c r="G109" s="180"/>
      <c r="H109" s="180"/>
      <c r="I109" s="178"/>
    </row>
    <row r="110" spans="1:9" ht="18.75" customHeight="1" x14ac:dyDescent="0.2">
      <c r="A110" s="4"/>
      <c r="B110" s="179"/>
      <c r="C110" s="180"/>
      <c r="D110" s="180"/>
      <c r="E110" s="180"/>
      <c r="F110" s="180"/>
      <c r="G110" s="180"/>
      <c r="H110" s="180"/>
      <c r="I110" s="178"/>
    </row>
    <row r="111" spans="1:9" ht="18.75" customHeight="1" x14ac:dyDescent="0.2">
      <c r="A111" s="4"/>
      <c r="B111" s="179"/>
      <c r="C111" s="180"/>
      <c r="D111" s="180"/>
      <c r="E111" s="180"/>
      <c r="F111" s="180"/>
      <c r="G111" s="180"/>
      <c r="H111" s="180"/>
      <c r="I111" s="178"/>
    </row>
    <row r="112" spans="1:9" ht="18.75" customHeight="1" x14ac:dyDescent="0.2">
      <c r="A112" s="4"/>
      <c r="B112" s="179"/>
      <c r="C112" s="180"/>
      <c r="D112" s="180"/>
      <c r="E112" s="180"/>
      <c r="F112" s="180"/>
      <c r="G112" s="180"/>
      <c r="H112" s="180"/>
      <c r="I112" s="178"/>
    </row>
    <row r="113" spans="1:9" ht="18.75" customHeight="1" x14ac:dyDescent="0.2">
      <c r="A113" s="4"/>
      <c r="B113" s="179"/>
      <c r="C113" s="180"/>
      <c r="D113" s="180"/>
      <c r="E113" s="180"/>
      <c r="F113" s="180"/>
      <c r="G113" s="180"/>
      <c r="H113" s="180"/>
      <c r="I113" s="178"/>
    </row>
    <row r="114" spans="1:9" ht="18.75" customHeight="1" x14ac:dyDescent="0.2">
      <c r="A114" s="4"/>
      <c r="B114" s="179"/>
      <c r="C114" s="180"/>
      <c r="D114" s="180"/>
      <c r="E114" s="180"/>
      <c r="F114" s="180"/>
      <c r="G114" s="180"/>
      <c r="H114" s="180"/>
      <c r="I114" s="178"/>
    </row>
    <row r="115" spans="1:9" ht="18.75" customHeight="1" x14ac:dyDescent="0.2">
      <c r="A115" s="4"/>
      <c r="B115" s="179"/>
      <c r="C115" s="180"/>
      <c r="D115" s="180"/>
      <c r="E115" s="180"/>
      <c r="F115" s="180"/>
      <c r="G115" s="180"/>
      <c r="H115" s="180"/>
      <c r="I115" s="178"/>
    </row>
    <row r="116" spans="1:9" ht="18.75" customHeight="1" x14ac:dyDescent="0.2">
      <c r="A116" s="4"/>
      <c r="B116" s="179"/>
      <c r="C116" s="180"/>
      <c r="D116" s="180"/>
      <c r="E116" s="180"/>
      <c r="F116" s="180"/>
      <c r="G116" s="180"/>
      <c r="H116" s="180"/>
      <c r="I116" s="178"/>
    </row>
    <row r="117" spans="1:9" ht="18.75" customHeight="1" x14ac:dyDescent="0.2">
      <c r="A117" s="4"/>
      <c r="B117" s="179"/>
      <c r="C117" s="180"/>
      <c r="D117" s="180"/>
      <c r="E117" s="180"/>
      <c r="F117" s="180"/>
      <c r="G117" s="180"/>
      <c r="H117" s="180"/>
      <c r="I117" s="178"/>
    </row>
    <row r="118" spans="1:9" ht="18.75" customHeight="1" x14ac:dyDescent="0.2">
      <c r="A118" s="4"/>
      <c r="B118" s="179"/>
      <c r="C118" s="180"/>
      <c r="D118" s="180"/>
      <c r="E118" s="180"/>
      <c r="F118" s="180"/>
      <c r="G118" s="180"/>
      <c r="H118" s="180"/>
      <c r="I118" s="178"/>
    </row>
    <row r="119" spans="1:9" ht="18.75" customHeight="1" x14ac:dyDescent="0.2">
      <c r="A119" s="4"/>
      <c r="B119" s="181"/>
      <c r="C119" s="182"/>
      <c r="D119" s="182"/>
      <c r="E119" s="182"/>
      <c r="F119" s="182"/>
      <c r="G119" s="182"/>
      <c r="H119" s="182"/>
      <c r="I119" s="183"/>
    </row>
    <row r="120" spans="1:9" ht="7.5" customHeight="1" x14ac:dyDescent="0.2">
      <c r="A120" s="4"/>
      <c r="B120" s="23"/>
      <c r="C120" s="23"/>
      <c r="D120" s="23"/>
      <c r="E120" s="23"/>
      <c r="F120" s="23"/>
      <c r="G120" s="23"/>
      <c r="H120" s="23"/>
      <c r="I120" s="23"/>
    </row>
    <row r="121" spans="1:9" ht="18.75" customHeight="1" x14ac:dyDescent="0.2">
      <c r="A121" s="49"/>
      <c r="B121" s="169"/>
      <c r="C121" s="169"/>
      <c r="D121" s="169"/>
      <c r="E121" s="169"/>
      <c r="F121" s="169"/>
      <c r="G121" s="169"/>
      <c r="H121" s="169"/>
      <c r="I121" s="169"/>
    </row>
    <row r="122" spans="1:9" ht="18.75" customHeight="1" x14ac:dyDescent="0.2">
      <c r="A122" s="49"/>
      <c r="B122" s="169"/>
      <c r="C122" s="169"/>
      <c r="D122" s="169"/>
      <c r="E122" s="169"/>
      <c r="F122" s="169"/>
      <c r="G122" s="169"/>
      <c r="H122" s="169"/>
      <c r="I122" s="169"/>
    </row>
    <row r="123" spans="1:9" ht="18.75" customHeight="1" x14ac:dyDescent="0.2">
      <c r="A123" s="4"/>
      <c r="B123" s="50"/>
      <c r="C123" s="50"/>
      <c r="D123" s="50"/>
      <c r="E123" s="50"/>
      <c r="F123" s="50"/>
      <c r="G123" s="50"/>
      <c r="H123" s="50"/>
      <c r="I123" s="51"/>
    </row>
    <row r="124" spans="1:9" ht="18.75" customHeight="1" x14ac:dyDescent="0.2">
      <c r="A124" s="4"/>
      <c r="B124" s="51"/>
      <c r="C124" s="51"/>
      <c r="D124" s="51"/>
      <c r="E124" s="51"/>
      <c r="F124" s="51"/>
      <c r="G124" s="51"/>
      <c r="H124" s="51"/>
      <c r="I124" s="51"/>
    </row>
    <row r="125" spans="1:9" ht="18.75" customHeight="1" x14ac:dyDescent="0.2">
      <c r="A125" s="4"/>
      <c r="B125" s="51"/>
      <c r="C125" s="51"/>
      <c r="D125" s="51"/>
      <c r="E125" s="51"/>
      <c r="F125" s="51"/>
      <c r="G125" s="51"/>
      <c r="H125" s="51"/>
      <c r="I125" s="51"/>
    </row>
    <row r="126" spans="1:9" ht="18.75" customHeight="1" x14ac:dyDescent="0.2">
      <c r="A126" s="4"/>
      <c r="B126" s="51"/>
      <c r="C126" s="51"/>
      <c r="D126" s="51"/>
      <c r="E126" s="51"/>
      <c r="F126" s="51"/>
      <c r="G126" s="51"/>
      <c r="H126" s="51"/>
      <c r="I126" s="51"/>
    </row>
    <row r="127" spans="1:9" ht="18.75" customHeight="1" x14ac:dyDescent="0.2">
      <c r="A127" s="4"/>
      <c r="B127" s="51"/>
      <c r="C127" s="51"/>
      <c r="D127" s="51"/>
      <c r="E127" s="51"/>
      <c r="F127" s="51"/>
      <c r="G127" s="51"/>
      <c r="H127" s="51"/>
      <c r="I127" s="51"/>
    </row>
    <row r="128" spans="1:9" ht="18.75" customHeight="1" x14ac:dyDescent="0.2">
      <c r="A128" s="4"/>
      <c r="B128" s="51"/>
      <c r="C128" s="51"/>
      <c r="D128" s="51"/>
      <c r="E128" s="51"/>
      <c r="F128" s="51"/>
      <c r="G128" s="51"/>
      <c r="H128" s="51"/>
      <c r="I128" s="51"/>
    </row>
    <row r="129" spans="1:9" ht="18.75" customHeight="1" x14ac:dyDescent="0.2">
      <c r="A129" s="4"/>
      <c r="B129" s="51"/>
      <c r="C129" s="51"/>
      <c r="D129" s="51"/>
      <c r="E129" s="51"/>
      <c r="F129" s="51"/>
      <c r="G129" s="51"/>
      <c r="H129" s="51"/>
      <c r="I129" s="51"/>
    </row>
    <row r="130" spans="1:9" ht="18.75" customHeight="1" x14ac:dyDescent="0.2">
      <c r="A130" s="4"/>
      <c r="B130" s="51"/>
      <c r="C130" s="51"/>
      <c r="D130" s="51"/>
      <c r="E130" s="51"/>
      <c r="F130" s="51"/>
      <c r="G130" s="51"/>
      <c r="H130" s="51"/>
      <c r="I130" s="51"/>
    </row>
    <row r="131" spans="1:9" ht="18.75" customHeight="1" x14ac:dyDescent="0.2">
      <c r="A131" s="4"/>
      <c r="B131" s="51"/>
      <c r="C131" s="51"/>
      <c r="D131" s="51"/>
      <c r="E131" s="51"/>
      <c r="F131" s="51"/>
      <c r="G131" s="51"/>
      <c r="H131" s="51"/>
      <c r="I131" s="51"/>
    </row>
    <row r="132" spans="1:9" ht="18.75" customHeight="1" x14ac:dyDescent="0.2">
      <c r="A132" s="4"/>
      <c r="B132" s="51"/>
      <c r="C132" s="51"/>
      <c r="D132" s="51"/>
      <c r="E132" s="51"/>
      <c r="F132" s="51"/>
      <c r="G132" s="51"/>
      <c r="H132" s="51"/>
      <c r="I132" s="51"/>
    </row>
    <row r="133" spans="1:9" ht="14" x14ac:dyDescent="0.2">
      <c r="A133" s="4"/>
      <c r="B133" s="51"/>
      <c r="C133" s="51"/>
      <c r="D133" s="51"/>
      <c r="E133" s="51"/>
      <c r="F133" s="51"/>
      <c r="G133" s="51"/>
      <c r="H133" s="51"/>
      <c r="I133" s="51"/>
    </row>
    <row r="134" spans="1:9" ht="7.5" customHeight="1" x14ac:dyDescent="0.2">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115" zoomScaleNormal="100" zoomScaleSheetLayoutView="115" workbookViewId="0">
      <selection activeCell="A3" sqref="A3:I3"/>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63</v>
      </c>
      <c r="I1" s="18" t="s">
        <v>90</v>
      </c>
    </row>
    <row r="2" spans="1:9" ht="18.75" customHeight="1" x14ac:dyDescent="0.2">
      <c r="H2" s="18" t="s">
        <v>93</v>
      </c>
      <c r="I2" s="17" t="str">
        <f>'様式１　プログラムを構成する授業科目'!C2</f>
        <v>松本大学松商短期大学部</v>
      </c>
    </row>
    <row r="3" spans="1:9" ht="18.75" customHeight="1" x14ac:dyDescent="0.2">
      <c r="A3" s="106" t="s">
        <v>28</v>
      </c>
      <c r="B3" s="106"/>
      <c r="C3" s="106"/>
      <c r="D3" s="106"/>
      <c r="E3" s="106"/>
      <c r="F3" s="106"/>
      <c r="G3" s="106"/>
      <c r="H3" s="106"/>
      <c r="I3" s="106"/>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235" t="s">
        <v>189</v>
      </c>
      <c r="C6" s="236"/>
      <c r="D6" s="236"/>
      <c r="E6" s="236"/>
      <c r="F6" s="236"/>
      <c r="G6" s="236"/>
      <c r="H6" s="237"/>
      <c r="I6" s="3"/>
    </row>
    <row r="7" spans="1:9" ht="9" customHeight="1" x14ac:dyDescent="0.2">
      <c r="A7" s="5"/>
      <c r="B7" s="10"/>
      <c r="C7" s="10"/>
      <c r="D7" s="10"/>
      <c r="E7" s="10"/>
      <c r="F7" s="10"/>
      <c r="G7" s="10"/>
      <c r="H7" s="10"/>
      <c r="I7" s="3"/>
    </row>
    <row r="8" spans="1:9" ht="18.75" customHeight="1" x14ac:dyDescent="0.2">
      <c r="A8" s="5"/>
      <c r="B8" s="3"/>
      <c r="C8" s="3"/>
      <c r="D8" s="18" t="s">
        <v>41</v>
      </c>
      <c r="E8" s="19" t="s">
        <v>155</v>
      </c>
      <c r="F8" s="3"/>
      <c r="G8" s="18" t="s">
        <v>10</v>
      </c>
      <c r="H8" s="19" t="s">
        <v>166</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5" t="s">
        <v>24</v>
      </c>
      <c r="C11" s="96"/>
      <c r="D11" s="97"/>
      <c r="E11" s="96" t="s">
        <v>26</v>
      </c>
      <c r="F11" s="96"/>
      <c r="G11" s="96"/>
      <c r="H11" s="96"/>
      <c r="I11" s="97"/>
    </row>
    <row r="12" spans="1:9" ht="26.25" customHeight="1" x14ac:dyDescent="0.2">
      <c r="B12" s="24" t="s">
        <v>14</v>
      </c>
      <c r="C12" s="31"/>
      <c r="D12" s="25"/>
      <c r="E12" s="32"/>
      <c r="F12" s="32"/>
      <c r="G12" s="32"/>
      <c r="H12" s="32"/>
      <c r="I12" s="25"/>
    </row>
    <row r="13" spans="1:9" ht="210.75" customHeight="1" x14ac:dyDescent="0.2">
      <c r="B13" s="26"/>
      <c r="C13" s="233" t="s">
        <v>15</v>
      </c>
      <c r="D13" s="234"/>
      <c r="E13" s="230" t="s">
        <v>167</v>
      </c>
      <c r="F13" s="231"/>
      <c r="G13" s="231"/>
      <c r="H13" s="231"/>
      <c r="I13" s="232"/>
    </row>
    <row r="14" spans="1:9" ht="210.75" customHeight="1" x14ac:dyDescent="0.2">
      <c r="B14" s="26"/>
      <c r="C14" s="228" t="s">
        <v>16</v>
      </c>
      <c r="D14" s="229"/>
      <c r="E14" s="230" t="s">
        <v>186</v>
      </c>
      <c r="F14" s="231"/>
      <c r="G14" s="231"/>
      <c r="H14" s="231"/>
      <c r="I14" s="232"/>
    </row>
    <row r="15" spans="1:9" ht="210.75" customHeight="1" x14ac:dyDescent="0.2">
      <c r="B15" s="26"/>
      <c r="C15" s="233" t="s">
        <v>17</v>
      </c>
      <c r="D15" s="234"/>
      <c r="E15" s="230" t="s">
        <v>168</v>
      </c>
      <c r="F15" s="231"/>
      <c r="G15" s="231"/>
      <c r="H15" s="231"/>
      <c r="I15" s="232"/>
    </row>
    <row r="16" spans="1:9" ht="210.75" customHeight="1" x14ac:dyDescent="0.2">
      <c r="B16" s="26"/>
      <c r="C16" s="233" t="s">
        <v>18</v>
      </c>
      <c r="D16" s="234"/>
      <c r="E16" s="230" t="s">
        <v>187</v>
      </c>
      <c r="F16" s="231"/>
      <c r="G16" s="231"/>
      <c r="H16" s="231"/>
      <c r="I16" s="232"/>
    </row>
    <row r="17" spans="2:9" ht="210.75" customHeight="1" x14ac:dyDescent="0.2">
      <c r="B17" s="27"/>
      <c r="C17" s="238" t="s">
        <v>19</v>
      </c>
      <c r="D17" s="239"/>
      <c r="E17" s="240" t="s">
        <v>170</v>
      </c>
      <c r="F17" s="241"/>
      <c r="G17" s="241"/>
      <c r="H17" s="241"/>
      <c r="I17" s="242"/>
    </row>
    <row r="18" spans="2:9" ht="24" customHeight="1" x14ac:dyDescent="0.2">
      <c r="B18" s="24" t="s">
        <v>20</v>
      </c>
      <c r="C18" s="28"/>
      <c r="D18" s="29"/>
      <c r="E18" s="30"/>
      <c r="F18" s="30"/>
      <c r="G18" s="30"/>
      <c r="H18" s="30"/>
      <c r="I18" s="33"/>
    </row>
    <row r="19" spans="2:9" ht="218.25" customHeight="1" x14ac:dyDescent="0.2">
      <c r="B19" s="26"/>
      <c r="C19" s="233" t="s">
        <v>21</v>
      </c>
      <c r="D19" s="234"/>
      <c r="E19" s="231" t="s">
        <v>182</v>
      </c>
      <c r="F19" s="231"/>
      <c r="G19" s="231"/>
      <c r="H19" s="231"/>
      <c r="I19" s="232"/>
    </row>
    <row r="20" spans="2:9" ht="218.25" customHeight="1" x14ac:dyDescent="0.2">
      <c r="B20" s="27"/>
      <c r="C20" s="238" t="s">
        <v>22</v>
      </c>
      <c r="D20" s="239"/>
      <c r="E20" s="241" t="s">
        <v>185</v>
      </c>
      <c r="F20" s="241"/>
      <c r="G20" s="241"/>
      <c r="H20" s="241"/>
      <c r="I20" s="242"/>
    </row>
    <row r="21" spans="2:9" ht="218.25" customHeight="1" x14ac:dyDescent="0.2">
      <c r="B21" s="248" t="s">
        <v>23</v>
      </c>
      <c r="C21" s="249"/>
      <c r="D21" s="250"/>
      <c r="E21" s="251" t="s">
        <v>188</v>
      </c>
      <c r="F21" s="251"/>
      <c r="G21" s="251"/>
      <c r="H21" s="251"/>
      <c r="I21" s="252"/>
    </row>
    <row r="22" spans="2:9" ht="218.25" customHeight="1" x14ac:dyDescent="0.2">
      <c r="B22" s="243" t="s">
        <v>121</v>
      </c>
      <c r="C22" s="244"/>
      <c r="D22" s="245"/>
      <c r="E22" s="246" t="s">
        <v>169</v>
      </c>
      <c r="F22" s="246"/>
      <c r="G22" s="246"/>
      <c r="H22" s="246"/>
      <c r="I22" s="24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健</dc:creator>
  <cp:lastModifiedBy>伊藤　健</cp:lastModifiedBy>
  <cp:lastPrinted>2025-03-17T01:22:06Z</cp:lastPrinted>
  <dcterms:created xsi:type="dcterms:W3CDTF">2011-06-14T05:32:50Z</dcterms:created>
  <dcterms:modified xsi:type="dcterms:W3CDTF">2025-07-08T05:26:36Z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