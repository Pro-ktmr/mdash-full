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172.20.8.96\share\●内部質保証推進課（旧：教学推進課）\MDASH関連(数理・データサイエンス・AI教育)\MDASH申請\R7年度リテラシーレベル申請（～5月12日）\4.再申請・提出資料作成フォルダ\大阪産業大学＿再提出版\01 大阪産業大学_リテラシー＿再提出版\"/>
    </mc:Choice>
  </mc:AlternateContent>
  <xr:revisionPtr revIDLastSave="0" documentId="13_ncr:1_{030F4998-999E-431E-8C75-E8D7BE804391}" xr6:coauthVersionLast="47" xr6:coauthVersionMax="47" xr10:uidLastSave="{00000000-0000-0000-0000-000000000000}"/>
  <bookViews>
    <workbookView xWindow="2868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H33" i="40"/>
  <c r="G33" i="40"/>
  <c r="F33" i="40"/>
  <c r="E33" i="40"/>
  <c r="D33" i="40"/>
  <c r="C33" i="40"/>
  <c r="R18" i="40"/>
  <c r="S18" i="40" s="1"/>
  <c r="R17" i="40"/>
  <c r="S17" i="40" s="1"/>
  <c r="R16" i="40"/>
  <c r="S16" i="40" s="1"/>
  <c r="R15" i="40"/>
  <c r="S15" i="40"/>
  <c r="M7" i="40"/>
  <c r="Q2" i="40"/>
  <c r="I33" i="40" l="1"/>
  <c r="M33" i="40"/>
  <c r="P33" i="40"/>
  <c r="Q33" i="40"/>
  <c r="O33" i="40"/>
  <c r="N33" i="40"/>
  <c r="L33" i="40"/>
  <c r="J33" i="40"/>
  <c r="K33" i="40"/>
  <c r="R14" i="40" l="1"/>
  <c r="S14" i="40" s="1"/>
  <c r="R19" i="40"/>
  <c r="R20" i="40"/>
  <c r="R21" i="40"/>
  <c r="R22" i="40"/>
  <c r="R23" i="40"/>
  <c r="R24" i="40"/>
  <c r="R25" i="40"/>
  <c r="R26" i="40"/>
  <c r="R27" i="40"/>
  <c r="R28" i="40"/>
  <c r="R29" i="40"/>
  <c r="R30" i="40"/>
  <c r="R31" i="40"/>
  <c r="R32" i="40"/>
  <c r="R13" i="40"/>
  <c r="R33" i="40" l="1"/>
  <c r="S33" i="40" s="1"/>
  <c r="C49" i="41" s="1"/>
  <c r="S13" i="40"/>
  <c r="S32" i="40"/>
  <c r="S31" i="40"/>
  <c r="S30" i="40"/>
  <c r="S29" i="40"/>
  <c r="S28" i="40"/>
  <c r="S27" i="40"/>
  <c r="S26" i="40"/>
  <c r="S25" i="40"/>
  <c r="S24" i="40"/>
  <c r="S23" i="40"/>
  <c r="S22" i="40"/>
  <c r="S21" i="40"/>
  <c r="S20" i="40"/>
  <c r="S19" i="40"/>
</calcChain>
</file>

<file path=xl/sharedStrings.xml><?xml version="1.0" encoding="utf-8"?>
<sst xmlns="http://schemas.openxmlformats.org/spreadsheetml/2006/main" count="285" uniqueCount="191">
  <si>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</si>
  <si>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</si>
  <si>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</si>
  <si>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</si>
  <si>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</si>
  <si>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</si>
  <si>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</si>
  <si>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</si>
  <si>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</si>
  <si>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</si>
  <si>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</si>
  <si>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</si>
  <si>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</si>
  <si>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</si>
  <si>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</si>
  <si>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</si>
  <si>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</si>
  <si>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</si>
  <si>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</si>
  <si>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</si>
  <si>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</si>
  <si>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</si>
  <si>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</si>
  <si>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</si>
  <si>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</si>
  <si>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</si>
  <si>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</si>
  <si>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</si>
  <si>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</si>
  <si>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</si>
  <si>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</si>
  <si>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</si>
  <si>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</si>
  <si>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</si>
  <si>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</si>
  <si>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</si>
  <si>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</si>
  <si>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</si>
  <si>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</si>
  <si>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</si>
  <si>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</si>
  <si>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</si>
  <si>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</si>
  <si>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</si>
  <si>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</si>
  <si>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</si>
  <si>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</si>
  <si>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</si>
  <si>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</si>
  <si>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</si>
  <si>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</si>
  <si>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</si>
  <si>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</si>
  <si>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</si>
  <si>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</si>
  <si>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</si>
  <si>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</si>
  <si>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</si>
  <si>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</si>
  <si>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</si>
  <si>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</si>
  <si>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</si>
  <si>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</si>
  <si>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</si>
  <si>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</si>
  <si>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</si>
  <si>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</si>
  <si>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</si>
  <si>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</si>
  <si>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</si>
  <si>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</si>
  <si>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</si>
  <si>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</si>
  <si>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</si>
  <si>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</si>
  <si>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</si>
  <si>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</si>
  <si>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</si>
  <si>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</si>
  <si>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</si>
  <si>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</si>
  <si>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</si>
  <si>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</si>
  <si>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</si>
  <si>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</si>
  <si>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</si>
  <si>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</si>
  <si>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</si>
  <si>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</si>
  <si>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</si>
  <si>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</si>
  <si>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</si>
  <si>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</si>
  <si>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</si>
  <si>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</si>
  <si>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</si>
  <si>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</si>
  <si>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</si>
  <si>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</si>
  <si>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</si>
  <si>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</si>
  <si>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</si>
  <si>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</si>
  <si>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</si>
  <si>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</si>
  <si>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</si>
  <si>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</si>
  <si>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</si>
  <si>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</si>
  <si>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</si>
  <si>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</si>
  <si>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</si>
  <si>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</si>
  <si>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</si>
  <si>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</si>
  <si>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</si>
  <si>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</si>
  <si>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</si>
  <si>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</si>
  <si>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</si>
  <si>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</si>
  <si>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</si>
  <si>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</si>
  <si>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</si>
  <si>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</si>
  <si>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</si>
  <si>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</si>
  <si>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</si>
  <si>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</si>
  <si>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</si>
  <si>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</si>
  <si>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</si>
  <si>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</si>
  <si>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</si>
  <si>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</si>
  <si>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</si>
  <si>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</si>
  <si>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</si>
  <si>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</si>
  <si>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</si>
  <si>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</si>
  <si>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</si>
  <si>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</si>
  <si>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大阪産業大学</t>
    <phoneticPr fontId="1"/>
  </si>
  <si>
    <t>学部・学科によって、修了要件は相違しない</t>
  </si>
  <si>
    <t>「特殊講義」の２単位を取得すること。</t>
    <phoneticPr fontId="1"/>
  </si>
  <si>
    <t>特殊講義</t>
  </si>
  <si>
    <t>特殊講義</t>
    <phoneticPr fontId="1"/>
  </si>
  <si>
    <t>○</t>
  </si>
  <si>
    <t>令和6</t>
    <rPh sb="0" eb="2">
      <t>レイワ</t>
    </rPh>
    <phoneticPr fontId="1"/>
  </si>
  <si>
    <t>国際学部</t>
  </si>
  <si>
    <t>スポーツ健康学部</t>
  </si>
  <si>
    <t>経営学部</t>
  </si>
  <si>
    <t>経済学部</t>
  </si>
  <si>
    <t>デザイン工学部</t>
  </si>
  <si>
    <t>工学部</t>
  </si>
  <si>
    <t>張替　俊夫</t>
    <phoneticPr fontId="1"/>
  </si>
  <si>
    <t>全学教育機構長</t>
    <phoneticPr fontId="1"/>
  </si>
  <si>
    <t>内部質保証推進委員会数理・データサイエンス・AI教育推進部会</t>
    <phoneticPr fontId="1"/>
  </si>
  <si>
    <t>中山　雅人</t>
    <phoneticPr fontId="1"/>
  </si>
  <si>
    <t>副学長</t>
    <phoneticPr fontId="1"/>
  </si>
  <si>
    <t>内部質保証推進委員会部会に関する申し合わせ</t>
    <phoneticPr fontId="1"/>
  </si>
  <si>
    <t xml:space="preserve">内部質保証推進委員会から付託された以下の業務を遂行するため、数理・データサイエンス・AI教育推進部会を設置する。
　(1) 数理・データサイエンス・AI 教育プログラムの全学的な調整
　(2) 数理・データサイエンス・AI教育プログラムの改善・進化
　(3) 数理・データサイエンス・AI 教育プログラムの自己点検・評価
　(4) その他数理・データサイエンス・AI教育プログラムに関して内部質保証推進委員会から付託された業務 </t>
    <phoneticPr fontId="1"/>
  </si>
  <si>
    <t>数理・データサイエンス・AI教育推進部会で履修者数・履修率等を振り返り、その向上に向けた具体的な施策（履修状況に応じた担当教員増によるクラス増設やオンラインコンテンツ活用等）について検討を行う。周知については、引き続き新入生には周知のチラシ配布を続けると共に、教務委員会や教授会といった他の委員会とも必要に応じて連携を行い、学生への周知の取り組みを充実させる。将来的には、全学教育機構が担っている全学教育の一環としてプログラムを推進・発展させていくことを検討する。授業形態については、対面授業だけでなく、オンライン授業やオンデマンド教育のメリットを活かしてプログラムを展開することも検討し、より多くの学生が履修できる運営方法を整備していく。</t>
    <phoneticPr fontId="1"/>
  </si>
  <si>
    <t>本プログラムについてWebサイトで公表し、全学部の新入生に広く周知している。本学では、これからのデジタル社会において不可欠な「数理・データサイエンス・AI（人工知能）」について、文系・理系を問わず、基礎から体系的に学ぶことができる教育プログラムを提供する。本プログラムでは、半期1コマで数理・データサイエンス・AIのリテラシー（知識や活用力）を身につけることが可能である。また、本プログラムは、文部科学大臣が認定・選定する「数理・データサイエンス・AI教育プログラム認定制度（リテラシーレベル）」の要件に準拠しており、社会で求められるデジタルスキルを効率的に習得できるカリキュラムとなっている旨、Webサイトで年間を通して公表し、併行して学生への資料として紙媒体のチラシを配布している。</t>
    <phoneticPr fontId="1"/>
  </si>
  <si>
    <t>2024年度はカリキュラム改正時期の都合で、履修登録者は年間で17名にとどまった。修得状況は良好で、16名が合格した。2025年度は、総合教育科目の中の「データサイエンスの基礎」として開講され、履修者数の問題は改善される見込みである。</t>
    <phoneticPr fontId="1"/>
  </si>
  <si>
    <t>授業アンケート対象クラスにおける授業内容や満足度に関するアンケート結果は概ね全科目平均を大きく上回っており、リテラシー科目として、データサイエンスを学ぶ上での常識や心得を伝えるという目的は果たせていると考える。元々の予備知識には個人差が大きいため、全員に修得を課す内容であるか、上級者を飽きさせないような発展的内容であるかを分かるように伝えたい。また、本項をより適切に評価できるよう、学内共通の授業アンケートとは別に、本プログラム向けのアンケートを設計したい。</t>
    <phoneticPr fontId="1"/>
  </si>
  <si>
    <t>授業アンケート結果は大変良好であった。少人数クラスであったことを考慮して自己評価はBにとどめておく。次年度も高評価が得られるように努めたい。また、本項をより適切に評価できるよう、学内共通の授業アンケートとは別に、本プログラム向けのアンケートを設計したい。</t>
    <phoneticPr fontId="1"/>
  </si>
  <si>
    <t>授業アンケート結果は大変良好であった。授業アンケート対象クラスにおける授業の満足度についても、5段階中4.71と高い結果となった。次年度も高評価が得られるように努めたい。また、本項をより適切に評価できるよう、学内共通の授業アンケートとは別に、本プログラム向けのアンケートを設計したい。</t>
    <phoneticPr fontId="1"/>
  </si>
  <si>
    <t>全新入生に向けて周知チラシを配布したが、2024年度はカリキュラム改正時期の都合で全新入生を受講対象とするため既存科目「特殊講義」として開講し、履修登録方法が通常と異なったため、履修登録者は年間で17名、うち合格者は16名であった。2025年度は、総合教育科目の中の「データサイエンスの基礎」として開講する。通常の履修登録方法により、年間200名程度の受講者を受け入れる予定であり、改善される見込みである。また、新入生には引き続きチラシ配布により履修率向上に努める。</t>
    <phoneticPr fontId="1"/>
  </si>
  <si>
    <t>2024年度から開講したプログラムであるため、十分な評価が行える段階に至っていない。現在、アンケート等で適切に評価できる仕組みを検討している。年次進行した修了生に対するアンケート実施や卒業後アンケート等への反映、外部評価委員会を活用した運用等を具体的に検討し、評価体制の整備に向けた取り組みを進めたい。</t>
    <phoneticPr fontId="1"/>
  </si>
  <si>
    <t>2024年度から開講したプログラムであるため、十分な評価が行える段階に至っていない。2025年度より、実施結果を踏まえたアンケートや外部評価等の仕組みを運用したい。企業アンケート等への反映、外部評価委員会を活用した運用等による評価体制を整備し、2025年度より評価を実施したい。</t>
    <phoneticPr fontId="1"/>
  </si>
  <si>
    <t>MDASHのモデルカリキュラムに則った内容で講義した。データサイエンスを学ぶ上での常識や心得は伝えられた。授業アンケート対象クラスにおける授業の満足度についても、5段階中4.71と高い結果となった。昨今の生成系AIの発展には目覚ましいものがある。こうした時事的な内容も取り込めたらよいかと思う。また、本項をより適切に評価できるよう、学内共通の授業アンケートとは別に、本プログラム向けのアンケートを設計したい。</t>
    <phoneticPr fontId="1"/>
  </si>
  <si>
    <t>資料PDFには、図表を織り込み、補足や発展的内容のWebページをリンクするなど、わかりやすさに努めた。授業アンケート対象クラスにおける授業のわかりやすさに関するアンケート結果も、5段階中4.71と高い結果となっており、「分かりやすい」授業となっている。学生の予備知識には大きな差があるので、個々に対応して説明を加えたり理解を深めるには、ハイパーリンクの利用が有効であると考える。また、本項をより適切に評価できるよう、本プログラム向けのアンケートを設計したい。</t>
    <phoneticPr fontId="1"/>
  </si>
  <si>
    <t>・ビッグデータ、IoT、AI「特殊講義」（2回目）
・データ量の増加、計算機の処理性能の向上「特殊講義」（2回目）
・第4次産業革命、Society 5.0、データ駆動型社会「特殊講義」（2回目）
・人間の知的活動とAIの関係性「特殊講義」（1回目）
・データを起点としたものの見方「特殊講義」（4回目）</t>
    <phoneticPr fontId="1"/>
  </si>
  <si>
    <t>・AI最新技術の活用例（深層生成モデル、強化学習、転移学習）「特殊講義」（7回目）
・AI等を活用した新しいビジネスモデル(シェアリングエコノミー、商品のレコメンデーションなど)「特殊講義」（4回目）</t>
    <phoneticPr fontId="1"/>
  </si>
  <si>
    <t>・調査データ、実験データ、人の行動ログデータ、機械の稼働ログデータなど「特殊講義」（3回目）
・1次データ、2次データ、データのメタ化「特殊講義」（3回目）
・構造化データ、非構造化データ（文章、画像/動画、音声/音楽など）「特殊講義」（3回目）
・データのオープン化（オープンデータ）「特殊講義」（3回目、10回目）</t>
    <phoneticPr fontId="1"/>
  </si>
  <si>
    <t>・データ・AI活用領域の広がり(生産、消費、文化活動など)「特殊講義」（4回目）
・マーケティング、サービスなど「特殊講義」（4回目）
・仮説検証、知識発見、判断支援「特殊講義」（4回目）</t>
    <phoneticPr fontId="1"/>
  </si>
  <si>
    <t>・データ解析：予測、グルーピング、パターン発見「特殊講義」（5回目）
・データ可視化：複合グラフ、2軸グラフ、関係性の可視化、地図上の可視化、リアルタイム可視化「特殊講義」（5回目）
・非構造化データ処理：言語処理、画像/動画処理「特殊講義」（5回目）
・AIとビッグデータ「特殊講義」（2回目）</t>
    <phoneticPr fontId="1"/>
  </si>
  <si>
    <t>・データサイエンスのサイクル（課題抽出と定式化、データの取得・管理・加工、データ解析と推論、課題解決に向けた提案）「特殊講義」（5回目、8回目）
・流通、サービス、ヘルスケア等におけるデータ・AI利活用事例紹介「特殊講義」（4回目）</t>
    <phoneticPr fontId="1"/>
  </si>
  <si>
    <t>・倫理的・法的・社会的課題（ELSI：Ethical, Legal and Social Issues）「特殊講義」（13回目）
・個人情報保護、EU一般データ保護規則(GDPR)、忘れられる権利、オプトアウト「特殊講義」（13回目）
・データ倫理：データのねつ造、改ざん、盗用、プライバシー保護「特殊講義」（13回目）
・AI社会原則（公平性、説明責任、透明性、人間中心の判断）「特殊講義」（13回目）
・データバイアス「特殊講義」（12回目、13回目）
・データ・AI活用における負の事例紹介「特殊講義」（13回目）</t>
    <phoneticPr fontId="1"/>
  </si>
  <si>
    <t>・情報セキュリティの3要素（機密性、完全性、可用性）「特殊講義」（14回目）
・匿名加工情報、暗号化と復号、ユーザ認証とパスワード「特殊講義」（4回目、14回目）
・サイバーセキュリティ「特殊講義」（14回目）</t>
    <phoneticPr fontId="1"/>
  </si>
  <si>
    <t>・データの種類（量的変数、質的変数）「特殊講義」（8回目）
・データの分布(ヒストグラム)と代表値（平均値、中央値、最頻値）「特殊講義」（8回目、10回目）
・代表値の性質の違い（実社会では平均値＝最頻値でないことが多い）「特殊講義」（10回目）
・データのばらつき（分散、標準偏差）、外れ値「特殊講義」（10回目）
・相関と因果（相関係数、擬似相関、交絡）「特殊講義」（11回目、12回目）
・母集団と標本抽出（国勢調査、アンケート調査、全数調査、単純無作為抽出、層別抽出、多段抽出）「特殊講義」（8回目）
・クロス集計表、分割表、散布図行列「特殊講義」（11回目）</t>
    <phoneticPr fontId="1"/>
  </si>
  <si>
    <t>・データ表現（棒グラフ、折線グラフ、散布図、箱ひげ図）「特殊講義」（5回目）
・優れた可視化事例の紹介（可視化することによって新たな気づきがあった事例など）「特殊講義」（5回目）
・相手に的確かつ正確に情報を伝える技術や考え方（スライド作成、プレゼンテーションなど）「特殊講義」（5回目）</t>
    <phoneticPr fontId="1"/>
  </si>
  <si>
    <t>・データの取得（機械判読可能なデータの作成・表記方法）「特殊講義」（3回目、10回目、11回目）
・データの集計（和、平均）「特殊講義」（6回目）
・データの並び替え「特殊講義」（6回目）
・データ解析ツール（スプレッドシート）「特殊講義」（6回目）
・表形式のデータ（csv）「特殊講義」（3回目、6回目）</t>
    <phoneticPr fontId="1"/>
  </si>
  <si>
    <t>AIが日常生活・社会でどのように利活用されているかを知り、それを使う上での基礎的知識・技術を修得することができる。倫理的・法律的に留意すべき点を学ぶことで、AIを正しく使うことができるようになる。そして、データ指向の考え方がどういうものかを理解し、Society5.0時代に相応しい社会人として主体的にAIを活用し、社会に還元できる能力の基礎を身に付けることができる。</t>
    <phoneticPr fontId="1"/>
  </si>
  <si>
    <t>中山　雅人　　　副学長・デザイン工学部教授
高橋　徹　　　　副学長・デザイン工学部教授
張替　俊夫　　　全学教育機構長・全学教育機構教授
田村　誠　　　　全学教育機構教授
川嶋　克利　　　全学教育機構准教授  
永田　靖　　　　経営学部教授 
西本　博之　　　デザイン工学部教授
高浪　龍平　　　デザイン工学部准教授  
山﨑　高弘　　　工学部教授
伊藤　一也　　　工学部准教授
佐々木　秀次　　教務課長
北村　友　　　　企画・広報課長
甘利　博子　　　内部質保証推進課長　   
芳中　宗一郎　内部質保証推進課員</t>
    <phoneticPr fontId="1"/>
  </si>
  <si>
    <t>本プログラムは令和6年度より、制度上の都合で「特殊講義」の名で開講した。開講にあたっては、Webページでの広報の他、全対象学生に広報チラシの印刷物を配布し、各学科ガイダンスにおいても周知した。令和7年度からは、カリキュラム改正を行い、教養教育科目として全学部に共通の科目名「データサイエンスの基礎」で開講されることになっており、より多くの学生が履修しやすい環境を整えている。</t>
    <phoneticPr fontId="1"/>
  </si>
  <si>
    <t>本学では、できる限り多くの学生が本プログラムを履修・修得できるよう、学習環境の整備と充実したサポート体制を提供している。オンデマンド教材を活用し、時間や場所を問わず学習できる仕組みを整えるとともに、LMS上で過去の授業動画や補助教材を閲覧できるようにし、復習の機会を確保している他、教室となるPC演習室には情報科学センター担当者が常駐し、コンピュータの操作等に関するトラブルに授業中でも対応できる体制を取っている。</t>
    <phoneticPr fontId="1"/>
  </si>
  <si>
    <t>本学では、授業内外を問わず、学生が円滑に学習を進められるよう、多様なサポート体制を整備している。授業中においては教員が内容に関する質問に随時対応しており、授業時間外においてはLMSやメールを活用したオンライン対応の他、オフィスアワーにおいて対面での個別相談も受け付けることで、学習上の疑問を解決しやすい環境を整えている。</t>
    <phoneticPr fontId="1"/>
  </si>
  <si>
    <t>教養としての数理・データサイエンス・AI教育プログラム</t>
    <rPh sb="0" eb="2">
      <t>キョウヨウ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</si>
</sst>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4" xfId="0" applyNumberFormat="1"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177"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Fill="1" applyBorder="1" applyAlignment="1">
      <alignment horizontal="lef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2" xfId="0"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11" fillId="0" borderId="4" xfId="0" applyFont="1" applyFill="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tabSelected="1" view="pageBreakPreview" zoomScaleNormal="100" zoomScaleSheetLayoutView="100" workbookViewId="0">
      <selection activeCell="C4" sqref="C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1" t="s">
        <v>12</v>
      </c>
      <c r="U1" s="121"/>
      <c r="V1" s="2" t="s">
        <v>94</v>
      </c>
    </row>
    <row r="2" spans="1:24" ht="18.75" customHeight="1" x14ac:dyDescent="0.15">
      <c r="B2" s="16" t="s">
        <v>93</v>
      </c>
      <c r="C2" s="88" t="s">
        <v>143</v>
      </c>
      <c r="D2" s="89"/>
      <c r="E2" s="89"/>
      <c r="F2" s="89"/>
      <c r="G2" s="89"/>
      <c r="H2" s="89"/>
      <c r="I2" s="89"/>
      <c r="J2" s="90"/>
      <c r="K2" s="17"/>
      <c r="L2" s="6"/>
      <c r="M2" s="6"/>
      <c r="N2" s="6"/>
      <c r="O2" s="6"/>
      <c r="P2" s="6"/>
      <c r="Q2" s="6"/>
      <c r="R2" s="6"/>
      <c r="S2" s="6"/>
      <c r="T2" s="6"/>
      <c r="U2" s="6"/>
    </row>
    <row r="3" spans="1:24" ht="18.75" customHeight="1" x14ac:dyDescent="0.15">
      <c r="B3" s="16" t="s">
        <v>88</v>
      </c>
      <c r="C3" s="245" t="s">
        <v>190</v>
      </c>
      <c r="D3" s="246"/>
      <c r="E3" s="246"/>
      <c r="F3" s="246"/>
      <c r="G3" s="246"/>
      <c r="H3" s="246"/>
      <c r="I3" s="246"/>
      <c r="J3" s="247"/>
      <c r="K3" s="17"/>
      <c r="L3" s="6"/>
      <c r="M3" s="6"/>
      <c r="N3" s="6"/>
      <c r="O3" s="6"/>
      <c r="P3" s="6"/>
      <c r="Q3" s="6"/>
      <c r="R3" s="6"/>
      <c r="S3" s="6"/>
      <c r="T3" s="6"/>
      <c r="U3" s="6"/>
    </row>
    <row r="4" spans="1:24" ht="15" customHeight="1" x14ac:dyDescent="0.15">
      <c r="L4" s="17"/>
      <c r="M4" s="72"/>
      <c r="N4" s="72"/>
      <c r="O4" s="72"/>
      <c r="P4" s="72"/>
      <c r="Q4" s="72"/>
      <c r="R4" s="72"/>
      <c r="S4" s="72"/>
      <c r="T4" s="72"/>
      <c r="U4" s="72"/>
    </row>
    <row r="5" spans="1:24" ht="18" customHeight="1" x14ac:dyDescent="0.15">
      <c r="A5" s="122" t="s">
        <v>141</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5" t="s">
        <v>144</v>
      </c>
      <c r="M7" s="86"/>
      <c r="N7" s="86"/>
      <c r="O7" s="86"/>
      <c r="P7" s="86"/>
      <c r="Q7" s="86"/>
      <c r="R7" s="86"/>
      <c r="S7" s="86"/>
      <c r="T7" s="86"/>
      <c r="U7" s="87"/>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7"/>
      <c r="C11" s="98"/>
      <c r="D11" s="98"/>
      <c r="E11" s="98"/>
      <c r="F11" s="98"/>
      <c r="G11" s="98"/>
      <c r="H11" s="98"/>
      <c r="I11" s="98"/>
      <c r="J11" s="98"/>
      <c r="K11" s="98"/>
      <c r="L11" s="98"/>
      <c r="M11" s="98"/>
      <c r="N11" s="98"/>
      <c r="O11" s="98"/>
      <c r="P11" s="98"/>
      <c r="Q11" s="98"/>
      <c r="R11" s="98"/>
      <c r="S11" s="98"/>
      <c r="T11" s="98"/>
      <c r="U11" s="99"/>
    </row>
    <row r="12" spans="1:24" ht="18" customHeight="1" x14ac:dyDescent="0.15">
      <c r="B12" s="100"/>
      <c r="C12" s="101"/>
      <c r="D12" s="101"/>
      <c r="E12" s="101"/>
      <c r="F12" s="101"/>
      <c r="G12" s="101"/>
      <c r="H12" s="101"/>
      <c r="I12" s="101"/>
      <c r="J12" s="101"/>
      <c r="K12" s="101"/>
      <c r="L12" s="101"/>
      <c r="M12" s="101"/>
      <c r="N12" s="101"/>
      <c r="O12" s="101"/>
      <c r="P12" s="101"/>
      <c r="Q12" s="101"/>
      <c r="R12" s="101"/>
      <c r="S12" s="101"/>
      <c r="T12" s="101"/>
      <c r="U12" s="102"/>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73"/>
      <c r="M14" s="73"/>
      <c r="N14" s="73"/>
      <c r="O14" s="73"/>
      <c r="P14" s="73"/>
      <c r="Q14" s="73"/>
      <c r="R14" s="73"/>
      <c r="S14" s="73"/>
      <c r="T14" s="73"/>
      <c r="U14" s="73"/>
    </row>
    <row r="15" spans="1:24" ht="18" customHeight="1" x14ac:dyDescent="0.15">
      <c r="B15" s="123" t="s">
        <v>145</v>
      </c>
      <c r="C15" s="124"/>
      <c r="D15" s="124"/>
      <c r="E15" s="124"/>
      <c r="F15" s="124"/>
      <c r="G15" s="124"/>
      <c r="H15" s="124"/>
      <c r="I15" s="124"/>
      <c r="J15" s="124"/>
      <c r="K15" s="124"/>
      <c r="L15" s="124"/>
      <c r="M15" s="124"/>
      <c r="N15" s="124"/>
      <c r="O15" s="124"/>
      <c r="P15" s="124"/>
      <c r="Q15" s="124"/>
      <c r="R15" s="124"/>
      <c r="S15" s="124"/>
      <c r="T15" s="124"/>
      <c r="U15" s="125"/>
      <c r="X15" s="1" t="s">
        <v>89</v>
      </c>
    </row>
    <row r="16" spans="1:24" ht="18" customHeight="1" x14ac:dyDescent="0.15">
      <c r="B16" s="126"/>
      <c r="C16" s="127"/>
      <c r="D16" s="127"/>
      <c r="E16" s="127"/>
      <c r="F16" s="127"/>
      <c r="G16" s="127"/>
      <c r="H16" s="127"/>
      <c r="I16" s="127"/>
      <c r="J16" s="127"/>
      <c r="K16" s="127"/>
      <c r="L16" s="127"/>
      <c r="M16" s="127"/>
      <c r="N16" s="127"/>
      <c r="O16" s="127"/>
      <c r="P16" s="127"/>
      <c r="Q16" s="127"/>
      <c r="R16" s="127"/>
      <c r="S16" s="127"/>
      <c r="T16" s="127"/>
      <c r="U16" s="128"/>
      <c r="X16" s="1" t="s">
        <v>122</v>
      </c>
    </row>
    <row r="17" spans="1:24" ht="18" customHeight="1" x14ac:dyDescent="0.15">
      <c r="B17" s="126"/>
      <c r="C17" s="127"/>
      <c r="D17" s="127"/>
      <c r="E17" s="127"/>
      <c r="F17" s="127"/>
      <c r="G17" s="127"/>
      <c r="H17" s="127"/>
      <c r="I17" s="127"/>
      <c r="J17" s="127"/>
      <c r="K17" s="127"/>
      <c r="L17" s="127"/>
      <c r="M17" s="127"/>
      <c r="N17" s="127"/>
      <c r="O17" s="127"/>
      <c r="P17" s="127"/>
      <c r="Q17" s="127"/>
      <c r="R17" s="127"/>
      <c r="S17" s="127"/>
      <c r="T17" s="127"/>
      <c r="U17" s="128"/>
      <c r="X17" s="1" t="s">
        <v>123</v>
      </c>
    </row>
    <row r="18" spans="1:24" ht="18" customHeight="1" x14ac:dyDescent="0.15">
      <c r="B18" s="126"/>
      <c r="C18" s="127"/>
      <c r="D18" s="127"/>
      <c r="E18" s="127"/>
      <c r="F18" s="127"/>
      <c r="G18" s="127"/>
      <c r="H18" s="127"/>
      <c r="I18" s="127"/>
      <c r="J18" s="127"/>
      <c r="K18" s="127"/>
      <c r="L18" s="127"/>
      <c r="M18" s="127"/>
      <c r="N18" s="127"/>
      <c r="O18" s="127"/>
      <c r="P18" s="127"/>
      <c r="Q18" s="127"/>
      <c r="R18" s="127"/>
      <c r="S18" s="127"/>
      <c r="T18" s="127"/>
      <c r="U18" s="128"/>
      <c r="X18" s="1" t="s">
        <v>124</v>
      </c>
    </row>
    <row r="19" spans="1:24" ht="18" customHeight="1" x14ac:dyDescent="0.15">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1</v>
      </c>
      <c r="F22" s="1" t="s">
        <v>107</v>
      </c>
      <c r="H22" s="18">
        <v>2</v>
      </c>
      <c r="I22" s="3" t="s">
        <v>108</v>
      </c>
      <c r="J22" s="3"/>
      <c r="K22" s="17"/>
      <c r="M22" s="17" t="s">
        <v>104</v>
      </c>
      <c r="N22" s="82" t="s">
        <v>124</v>
      </c>
      <c r="O22" s="83"/>
      <c r="P22" s="83"/>
      <c r="Q22" s="83"/>
      <c r="R22" s="83"/>
      <c r="S22" s="83"/>
      <c r="T22" s="83"/>
      <c r="U22" s="84"/>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2" t="s">
        <v>96</v>
      </c>
      <c r="B24" s="112"/>
      <c r="C24" s="112"/>
      <c r="D24" s="112"/>
      <c r="E24" s="112"/>
      <c r="F24" s="112"/>
      <c r="G24" s="112"/>
      <c r="H24" s="112"/>
      <c r="I24" s="112"/>
      <c r="J24" s="112"/>
      <c r="K24" s="112"/>
      <c r="L24" s="112"/>
      <c r="M24" s="112"/>
      <c r="N24" s="112"/>
      <c r="O24" s="112"/>
      <c r="P24" s="112"/>
      <c r="Q24" s="112"/>
      <c r="R24" s="112"/>
      <c r="S24" s="112"/>
      <c r="T24" s="112"/>
      <c r="U24" s="112"/>
    </row>
    <row r="25" spans="1:24" ht="18" customHeight="1" x14ac:dyDescent="0.15">
      <c r="A25" s="112"/>
      <c r="B25" s="112"/>
      <c r="C25" s="112"/>
      <c r="D25" s="112"/>
      <c r="E25" s="112"/>
      <c r="F25" s="112"/>
      <c r="G25" s="112"/>
      <c r="H25" s="112"/>
      <c r="I25" s="112"/>
      <c r="J25" s="112"/>
      <c r="K25" s="112"/>
      <c r="L25" s="112"/>
      <c r="M25" s="112"/>
      <c r="N25" s="112"/>
      <c r="O25" s="112"/>
      <c r="P25" s="112"/>
      <c r="Q25" s="112"/>
      <c r="R25" s="112"/>
      <c r="S25" s="112"/>
      <c r="T25" s="112"/>
      <c r="U25" s="112"/>
    </row>
    <row r="26" spans="1:24" ht="18" customHeight="1" x14ac:dyDescent="0.15">
      <c r="B26" s="88" t="s">
        <v>48</v>
      </c>
      <c r="C26" s="89"/>
      <c r="D26" s="89"/>
      <c r="E26" s="89"/>
      <c r="F26" s="90"/>
      <c r="G26" s="58" t="s">
        <v>73</v>
      </c>
      <c r="H26" s="59" t="s">
        <v>76</v>
      </c>
      <c r="I26" s="60" t="s">
        <v>51</v>
      </c>
      <c r="J26" s="60" t="s">
        <v>54</v>
      </c>
      <c r="K26" s="88" t="s">
        <v>48</v>
      </c>
      <c r="L26" s="89"/>
      <c r="M26" s="89"/>
      <c r="N26" s="89"/>
      <c r="O26" s="89"/>
      <c r="P26" s="89"/>
      <c r="Q26" s="90"/>
      <c r="R26" s="58" t="s">
        <v>73</v>
      </c>
      <c r="S26" s="59" t="s">
        <v>76</v>
      </c>
      <c r="T26" s="60" t="s">
        <v>51</v>
      </c>
      <c r="U26" s="60" t="s">
        <v>54</v>
      </c>
    </row>
    <row r="27" spans="1:24" ht="18" customHeight="1" x14ac:dyDescent="0.15">
      <c r="B27" s="109" t="s">
        <v>147</v>
      </c>
      <c r="C27" s="110"/>
      <c r="D27" s="110"/>
      <c r="E27" s="110"/>
      <c r="F27" s="111"/>
      <c r="G27" s="61">
        <v>2</v>
      </c>
      <c r="H27" s="61" t="s">
        <v>148</v>
      </c>
      <c r="I27" s="61" t="s">
        <v>148</v>
      </c>
      <c r="J27" s="61" t="s">
        <v>148</v>
      </c>
      <c r="K27" s="109"/>
      <c r="L27" s="110"/>
      <c r="M27" s="110"/>
      <c r="N27" s="110"/>
      <c r="O27" s="110"/>
      <c r="P27" s="110"/>
      <c r="Q27" s="111"/>
      <c r="R27" s="61"/>
      <c r="S27" s="61"/>
      <c r="T27" s="61"/>
      <c r="U27" s="61"/>
    </row>
    <row r="28" spans="1:24" ht="18" customHeight="1" x14ac:dyDescent="0.15">
      <c r="B28" s="103"/>
      <c r="C28" s="104"/>
      <c r="D28" s="104"/>
      <c r="E28" s="104"/>
      <c r="F28" s="105"/>
      <c r="G28" s="62"/>
      <c r="H28" s="62"/>
      <c r="I28" s="62"/>
      <c r="J28" s="62"/>
      <c r="K28" s="103"/>
      <c r="L28" s="104"/>
      <c r="M28" s="104"/>
      <c r="N28" s="104"/>
      <c r="O28" s="104"/>
      <c r="P28" s="104"/>
      <c r="Q28" s="105"/>
      <c r="R28" s="62"/>
      <c r="S28" s="62"/>
      <c r="T28" s="62"/>
      <c r="U28" s="62"/>
    </row>
    <row r="29" spans="1:24" ht="18" customHeight="1" x14ac:dyDescent="0.15">
      <c r="B29" s="103"/>
      <c r="C29" s="104"/>
      <c r="D29" s="104"/>
      <c r="E29" s="104"/>
      <c r="F29" s="105"/>
      <c r="G29" s="62"/>
      <c r="H29" s="62"/>
      <c r="I29" s="62"/>
      <c r="J29" s="62"/>
      <c r="K29" s="103"/>
      <c r="L29" s="104"/>
      <c r="M29" s="104"/>
      <c r="N29" s="104"/>
      <c r="O29" s="104"/>
      <c r="P29" s="104"/>
      <c r="Q29" s="105"/>
      <c r="R29" s="62"/>
      <c r="S29" s="62"/>
      <c r="T29" s="62"/>
      <c r="U29" s="62"/>
    </row>
    <row r="30" spans="1:24" ht="18" customHeight="1" x14ac:dyDescent="0.15">
      <c r="B30" s="103"/>
      <c r="C30" s="104"/>
      <c r="D30" s="104"/>
      <c r="E30" s="104"/>
      <c r="F30" s="105"/>
      <c r="G30" s="62"/>
      <c r="H30" s="62"/>
      <c r="I30" s="62"/>
      <c r="J30" s="62"/>
      <c r="K30" s="103"/>
      <c r="L30" s="104"/>
      <c r="M30" s="104"/>
      <c r="N30" s="104"/>
      <c r="O30" s="104"/>
      <c r="P30" s="104"/>
      <c r="Q30" s="105"/>
      <c r="R30" s="62"/>
      <c r="S30" s="62"/>
      <c r="T30" s="62"/>
      <c r="U30" s="62"/>
    </row>
    <row r="31" spans="1:24" ht="18" customHeight="1" x14ac:dyDescent="0.15">
      <c r="B31" s="103"/>
      <c r="C31" s="104"/>
      <c r="D31" s="104"/>
      <c r="E31" s="104"/>
      <c r="F31" s="105"/>
      <c r="G31" s="62"/>
      <c r="H31" s="62"/>
      <c r="I31" s="62"/>
      <c r="J31" s="62"/>
      <c r="K31" s="103"/>
      <c r="L31" s="104"/>
      <c r="M31" s="104"/>
      <c r="N31" s="104"/>
      <c r="O31" s="104"/>
      <c r="P31" s="104"/>
      <c r="Q31" s="105"/>
      <c r="R31" s="62"/>
      <c r="S31" s="62"/>
      <c r="T31" s="62"/>
      <c r="U31" s="62"/>
    </row>
    <row r="32" spans="1:24" ht="18" customHeight="1" x14ac:dyDescent="0.15">
      <c r="A32" s="3"/>
      <c r="B32" s="103"/>
      <c r="C32" s="104"/>
      <c r="D32" s="104"/>
      <c r="E32" s="104"/>
      <c r="F32" s="105"/>
      <c r="G32" s="62"/>
      <c r="H32" s="62"/>
      <c r="I32" s="62"/>
      <c r="J32" s="62"/>
      <c r="K32" s="103"/>
      <c r="L32" s="104"/>
      <c r="M32" s="104"/>
      <c r="N32" s="104"/>
      <c r="O32" s="104"/>
      <c r="P32" s="104"/>
      <c r="Q32" s="105"/>
      <c r="R32" s="62"/>
      <c r="S32" s="62"/>
      <c r="T32" s="62"/>
      <c r="U32" s="62"/>
    </row>
    <row r="33" spans="1:21" ht="18" customHeight="1" x14ac:dyDescent="0.15">
      <c r="A33" s="3"/>
      <c r="B33" s="106"/>
      <c r="C33" s="107"/>
      <c r="D33" s="107"/>
      <c r="E33" s="107"/>
      <c r="F33" s="108"/>
      <c r="G33" s="63"/>
      <c r="H33" s="63"/>
      <c r="I33" s="64"/>
      <c r="J33" s="64"/>
      <c r="K33" s="106"/>
      <c r="L33" s="107"/>
      <c r="M33" s="107"/>
      <c r="N33" s="107"/>
      <c r="O33" s="107"/>
      <c r="P33" s="107"/>
      <c r="Q33" s="108"/>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2" t="s">
        <v>97</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88" t="s">
        <v>48</v>
      </c>
      <c r="C37" s="89"/>
      <c r="D37" s="89"/>
      <c r="E37" s="89"/>
      <c r="F37" s="90"/>
      <c r="G37" s="58" t="s">
        <v>73</v>
      </c>
      <c r="H37" s="59" t="s">
        <v>76</v>
      </c>
      <c r="I37" s="60" t="s">
        <v>64</v>
      </c>
      <c r="J37" s="60" t="s">
        <v>65</v>
      </c>
      <c r="K37" s="88" t="s">
        <v>48</v>
      </c>
      <c r="L37" s="89"/>
      <c r="M37" s="89"/>
      <c r="N37" s="89"/>
      <c r="O37" s="89"/>
      <c r="P37" s="89"/>
      <c r="Q37" s="90"/>
      <c r="R37" s="58" t="s">
        <v>73</v>
      </c>
      <c r="S37" s="59" t="s">
        <v>76</v>
      </c>
      <c r="T37" s="60" t="s">
        <v>64</v>
      </c>
      <c r="U37" s="60" t="s">
        <v>65</v>
      </c>
    </row>
    <row r="38" spans="1:21" ht="18" customHeight="1" x14ac:dyDescent="0.15">
      <c r="B38" s="109" t="s">
        <v>147</v>
      </c>
      <c r="C38" s="110"/>
      <c r="D38" s="110"/>
      <c r="E38" s="110"/>
      <c r="F38" s="111"/>
      <c r="G38" s="61">
        <v>2</v>
      </c>
      <c r="H38" s="61" t="s">
        <v>148</v>
      </c>
      <c r="I38" s="61" t="s">
        <v>148</v>
      </c>
      <c r="J38" s="61" t="s">
        <v>148</v>
      </c>
      <c r="K38" s="109"/>
      <c r="L38" s="110"/>
      <c r="M38" s="110"/>
      <c r="N38" s="110"/>
      <c r="O38" s="110"/>
      <c r="P38" s="110"/>
      <c r="Q38" s="111"/>
      <c r="R38" s="61"/>
      <c r="S38" s="61"/>
      <c r="T38" s="61"/>
      <c r="U38" s="61"/>
    </row>
    <row r="39" spans="1:21" ht="18" customHeight="1" x14ac:dyDescent="0.15">
      <c r="B39" s="103"/>
      <c r="C39" s="104"/>
      <c r="D39" s="104"/>
      <c r="E39" s="104"/>
      <c r="F39" s="105"/>
      <c r="G39" s="62"/>
      <c r="H39" s="62"/>
      <c r="I39" s="62"/>
      <c r="J39" s="62"/>
      <c r="K39" s="103"/>
      <c r="L39" s="104"/>
      <c r="M39" s="104"/>
      <c r="N39" s="104"/>
      <c r="O39" s="104"/>
      <c r="P39" s="104"/>
      <c r="Q39" s="105"/>
      <c r="R39" s="62"/>
      <c r="S39" s="62"/>
      <c r="T39" s="62"/>
      <c r="U39" s="62"/>
    </row>
    <row r="40" spans="1:21" ht="18" customHeight="1" x14ac:dyDescent="0.15">
      <c r="B40" s="103"/>
      <c r="C40" s="104"/>
      <c r="D40" s="104"/>
      <c r="E40" s="104"/>
      <c r="F40" s="105"/>
      <c r="G40" s="62"/>
      <c r="H40" s="62"/>
      <c r="I40" s="62"/>
      <c r="J40" s="62"/>
      <c r="K40" s="103"/>
      <c r="L40" s="104"/>
      <c r="M40" s="104"/>
      <c r="N40" s="104"/>
      <c r="O40" s="104"/>
      <c r="P40" s="104"/>
      <c r="Q40" s="105"/>
      <c r="R40" s="62"/>
      <c r="S40" s="62"/>
      <c r="T40" s="62"/>
      <c r="U40" s="62"/>
    </row>
    <row r="41" spans="1:21" ht="18" customHeight="1" x14ac:dyDescent="0.15">
      <c r="B41" s="103"/>
      <c r="C41" s="104"/>
      <c r="D41" s="104"/>
      <c r="E41" s="104"/>
      <c r="F41" s="105"/>
      <c r="G41" s="62"/>
      <c r="H41" s="62"/>
      <c r="I41" s="62"/>
      <c r="J41" s="62"/>
      <c r="K41" s="103"/>
      <c r="L41" s="104"/>
      <c r="M41" s="104"/>
      <c r="N41" s="104"/>
      <c r="O41" s="104"/>
      <c r="P41" s="104"/>
      <c r="Q41" s="105"/>
      <c r="R41" s="62"/>
      <c r="S41" s="62"/>
      <c r="T41" s="62"/>
      <c r="U41" s="62"/>
    </row>
    <row r="42" spans="1:21" ht="18" customHeight="1" x14ac:dyDescent="0.15">
      <c r="B42" s="103"/>
      <c r="C42" s="104"/>
      <c r="D42" s="104"/>
      <c r="E42" s="104"/>
      <c r="F42" s="105"/>
      <c r="G42" s="62"/>
      <c r="H42" s="62"/>
      <c r="I42" s="62"/>
      <c r="J42" s="62"/>
      <c r="K42" s="103"/>
      <c r="L42" s="104"/>
      <c r="M42" s="104"/>
      <c r="N42" s="104"/>
      <c r="O42" s="104"/>
      <c r="P42" s="104"/>
      <c r="Q42" s="105"/>
      <c r="R42" s="62"/>
      <c r="S42" s="62"/>
      <c r="T42" s="62"/>
      <c r="U42" s="62"/>
    </row>
    <row r="43" spans="1:21" ht="18" customHeight="1" x14ac:dyDescent="0.15">
      <c r="B43" s="103"/>
      <c r="C43" s="104"/>
      <c r="D43" s="104"/>
      <c r="E43" s="104"/>
      <c r="F43" s="105"/>
      <c r="G43" s="62"/>
      <c r="H43" s="62"/>
      <c r="I43" s="62"/>
      <c r="J43" s="62"/>
      <c r="K43" s="103"/>
      <c r="L43" s="104"/>
      <c r="M43" s="104"/>
      <c r="N43" s="104"/>
      <c r="O43" s="104"/>
      <c r="P43" s="104"/>
      <c r="Q43" s="105"/>
      <c r="R43" s="62"/>
      <c r="S43" s="62"/>
      <c r="T43" s="62"/>
      <c r="U43" s="62"/>
    </row>
    <row r="44" spans="1:21" ht="18" customHeight="1" x14ac:dyDescent="0.15">
      <c r="B44" s="106"/>
      <c r="C44" s="107"/>
      <c r="D44" s="107"/>
      <c r="E44" s="107"/>
      <c r="F44" s="108"/>
      <c r="G44" s="63"/>
      <c r="H44" s="63"/>
      <c r="I44" s="64"/>
      <c r="J44" s="64"/>
      <c r="K44" s="106"/>
      <c r="L44" s="107"/>
      <c r="M44" s="107"/>
      <c r="N44" s="107"/>
      <c r="O44" s="107"/>
      <c r="P44" s="107"/>
      <c r="Q44" s="108"/>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2" t="s">
        <v>98</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88" t="s">
        <v>48</v>
      </c>
      <c r="C48" s="89"/>
      <c r="D48" s="89"/>
      <c r="E48" s="89"/>
      <c r="F48" s="90"/>
      <c r="G48" s="58" t="s">
        <v>73</v>
      </c>
      <c r="H48" s="59" t="s">
        <v>76</v>
      </c>
      <c r="I48" s="60" t="s">
        <v>66</v>
      </c>
      <c r="J48" s="60" t="s">
        <v>67</v>
      </c>
      <c r="K48" s="88" t="s">
        <v>48</v>
      </c>
      <c r="L48" s="89"/>
      <c r="M48" s="89"/>
      <c r="N48" s="89"/>
      <c r="O48" s="89"/>
      <c r="P48" s="89"/>
      <c r="Q48" s="90"/>
      <c r="R48" s="58" t="s">
        <v>73</v>
      </c>
      <c r="S48" s="59" t="s">
        <v>76</v>
      </c>
      <c r="T48" s="60" t="s">
        <v>66</v>
      </c>
      <c r="U48" s="60" t="s">
        <v>67</v>
      </c>
    </row>
    <row r="49" spans="1:21" ht="18" customHeight="1" x14ac:dyDescent="0.15">
      <c r="A49" s="3"/>
      <c r="B49" s="109" t="s">
        <v>147</v>
      </c>
      <c r="C49" s="110"/>
      <c r="D49" s="110"/>
      <c r="E49" s="110"/>
      <c r="F49" s="111"/>
      <c r="G49" s="61">
        <v>2</v>
      </c>
      <c r="H49" s="61" t="s">
        <v>148</v>
      </c>
      <c r="I49" s="61" t="s">
        <v>148</v>
      </c>
      <c r="J49" s="61" t="s">
        <v>148</v>
      </c>
      <c r="K49" s="109"/>
      <c r="L49" s="110"/>
      <c r="M49" s="110"/>
      <c r="N49" s="110"/>
      <c r="O49" s="110"/>
      <c r="P49" s="110"/>
      <c r="Q49" s="111"/>
      <c r="R49" s="61"/>
      <c r="S49" s="61"/>
      <c r="T49" s="61"/>
      <c r="U49" s="61"/>
    </row>
    <row r="50" spans="1:21" ht="18" customHeight="1" x14ac:dyDescent="0.15">
      <c r="A50" s="3"/>
      <c r="B50" s="103"/>
      <c r="C50" s="104"/>
      <c r="D50" s="104"/>
      <c r="E50" s="104"/>
      <c r="F50" s="105"/>
      <c r="G50" s="62"/>
      <c r="H50" s="62"/>
      <c r="I50" s="62"/>
      <c r="J50" s="62"/>
      <c r="K50" s="103"/>
      <c r="L50" s="104"/>
      <c r="M50" s="104"/>
      <c r="N50" s="104"/>
      <c r="O50" s="104"/>
      <c r="P50" s="104"/>
      <c r="Q50" s="105"/>
      <c r="R50" s="62"/>
      <c r="S50" s="62"/>
      <c r="T50" s="62"/>
      <c r="U50" s="62"/>
    </row>
    <row r="51" spans="1:21" ht="18" customHeight="1" x14ac:dyDescent="0.15">
      <c r="A51" s="3"/>
      <c r="B51" s="103"/>
      <c r="C51" s="104"/>
      <c r="D51" s="104"/>
      <c r="E51" s="104"/>
      <c r="F51" s="105"/>
      <c r="G51" s="62"/>
      <c r="H51" s="62"/>
      <c r="I51" s="62"/>
      <c r="J51" s="62"/>
      <c r="K51" s="103"/>
      <c r="L51" s="104"/>
      <c r="M51" s="104"/>
      <c r="N51" s="104"/>
      <c r="O51" s="104"/>
      <c r="P51" s="104"/>
      <c r="Q51" s="105"/>
      <c r="R51" s="62"/>
      <c r="S51" s="62"/>
      <c r="T51" s="62"/>
      <c r="U51" s="62"/>
    </row>
    <row r="52" spans="1:21" ht="18" customHeight="1" x14ac:dyDescent="0.15">
      <c r="A52" s="3"/>
      <c r="B52" s="103"/>
      <c r="C52" s="104"/>
      <c r="D52" s="104"/>
      <c r="E52" s="104"/>
      <c r="F52" s="105"/>
      <c r="G52" s="62"/>
      <c r="H52" s="62"/>
      <c r="I52" s="62"/>
      <c r="J52" s="62"/>
      <c r="K52" s="103"/>
      <c r="L52" s="104"/>
      <c r="M52" s="104"/>
      <c r="N52" s="104"/>
      <c r="O52" s="104"/>
      <c r="P52" s="104"/>
      <c r="Q52" s="105"/>
      <c r="R52" s="62"/>
      <c r="S52" s="62"/>
      <c r="T52" s="62"/>
      <c r="U52" s="62"/>
    </row>
    <row r="53" spans="1:21" ht="18" customHeight="1" x14ac:dyDescent="0.15">
      <c r="A53" s="3"/>
      <c r="B53" s="103"/>
      <c r="C53" s="104"/>
      <c r="D53" s="104"/>
      <c r="E53" s="104"/>
      <c r="F53" s="105"/>
      <c r="G53" s="62"/>
      <c r="H53" s="62"/>
      <c r="I53" s="62"/>
      <c r="J53" s="62"/>
      <c r="K53" s="103"/>
      <c r="L53" s="104"/>
      <c r="M53" s="104"/>
      <c r="N53" s="104"/>
      <c r="O53" s="104"/>
      <c r="P53" s="104"/>
      <c r="Q53" s="105"/>
      <c r="R53" s="62"/>
      <c r="S53" s="62"/>
      <c r="T53" s="62"/>
      <c r="U53" s="62"/>
    </row>
    <row r="54" spans="1:21" ht="18" customHeight="1" x14ac:dyDescent="0.15">
      <c r="A54" s="3"/>
      <c r="B54" s="103"/>
      <c r="C54" s="104"/>
      <c r="D54" s="104"/>
      <c r="E54" s="104"/>
      <c r="F54" s="105"/>
      <c r="G54" s="62"/>
      <c r="H54" s="62"/>
      <c r="I54" s="62"/>
      <c r="J54" s="62"/>
      <c r="K54" s="103"/>
      <c r="L54" s="104"/>
      <c r="M54" s="104"/>
      <c r="N54" s="104"/>
      <c r="O54" s="104"/>
      <c r="P54" s="104"/>
      <c r="Q54" s="105"/>
      <c r="R54" s="62"/>
      <c r="S54" s="62"/>
      <c r="T54" s="62"/>
      <c r="U54" s="62"/>
    </row>
    <row r="55" spans="1:21" ht="18" customHeight="1" x14ac:dyDescent="0.15">
      <c r="A55" s="3"/>
      <c r="B55" s="106"/>
      <c r="C55" s="107"/>
      <c r="D55" s="107"/>
      <c r="E55" s="107"/>
      <c r="F55" s="108"/>
      <c r="G55" s="63"/>
      <c r="H55" s="63"/>
      <c r="I55" s="64"/>
      <c r="J55" s="64"/>
      <c r="K55" s="106"/>
      <c r="L55" s="107"/>
      <c r="M55" s="107"/>
      <c r="N55" s="107"/>
      <c r="O55" s="107"/>
      <c r="P55" s="107"/>
      <c r="Q55" s="108"/>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2" t="s">
        <v>99</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88" t="s">
        <v>48</v>
      </c>
      <c r="C59" s="89"/>
      <c r="D59" s="89"/>
      <c r="E59" s="89"/>
      <c r="F59" s="90"/>
      <c r="G59" s="58" t="s">
        <v>73</v>
      </c>
      <c r="H59" s="59" t="s">
        <v>76</v>
      </c>
      <c r="I59" s="60" t="s">
        <v>53</v>
      </c>
      <c r="J59" s="60" t="s">
        <v>55</v>
      </c>
      <c r="K59" s="88" t="s">
        <v>48</v>
      </c>
      <c r="L59" s="89"/>
      <c r="M59" s="89"/>
      <c r="N59" s="89"/>
      <c r="O59" s="89"/>
      <c r="P59" s="89"/>
      <c r="Q59" s="90"/>
      <c r="R59" s="58" t="s">
        <v>73</v>
      </c>
      <c r="S59" s="59" t="s">
        <v>76</v>
      </c>
      <c r="T59" s="60" t="s">
        <v>53</v>
      </c>
      <c r="U59" s="60" t="s">
        <v>55</v>
      </c>
    </row>
    <row r="60" spans="1:21" ht="18" customHeight="1" x14ac:dyDescent="0.15">
      <c r="A60" s="3"/>
      <c r="B60" s="109" t="s">
        <v>147</v>
      </c>
      <c r="C60" s="110"/>
      <c r="D60" s="110"/>
      <c r="E60" s="110"/>
      <c r="F60" s="111"/>
      <c r="G60" s="61">
        <v>2</v>
      </c>
      <c r="H60" s="61" t="s">
        <v>148</v>
      </c>
      <c r="I60" s="61" t="s">
        <v>148</v>
      </c>
      <c r="J60" s="61" t="s">
        <v>148</v>
      </c>
      <c r="K60" s="109"/>
      <c r="L60" s="110"/>
      <c r="M60" s="110"/>
      <c r="N60" s="110"/>
      <c r="O60" s="110"/>
      <c r="P60" s="110"/>
      <c r="Q60" s="111"/>
      <c r="R60" s="61"/>
      <c r="S60" s="61"/>
      <c r="T60" s="61"/>
      <c r="U60" s="61"/>
    </row>
    <row r="61" spans="1:21" ht="18" customHeight="1" x14ac:dyDescent="0.15">
      <c r="A61" s="3"/>
      <c r="B61" s="103"/>
      <c r="C61" s="104"/>
      <c r="D61" s="104"/>
      <c r="E61" s="104"/>
      <c r="F61" s="105"/>
      <c r="G61" s="62"/>
      <c r="H61" s="62"/>
      <c r="I61" s="62"/>
      <c r="J61" s="62"/>
      <c r="K61" s="103"/>
      <c r="L61" s="104"/>
      <c r="M61" s="104"/>
      <c r="N61" s="104"/>
      <c r="O61" s="104"/>
      <c r="P61" s="104"/>
      <c r="Q61" s="105"/>
      <c r="R61" s="62"/>
      <c r="S61" s="62"/>
      <c r="T61" s="62"/>
      <c r="U61" s="62"/>
    </row>
    <row r="62" spans="1:21" ht="18" customHeight="1" x14ac:dyDescent="0.15">
      <c r="A62" s="3"/>
      <c r="B62" s="103"/>
      <c r="C62" s="104"/>
      <c r="D62" s="104"/>
      <c r="E62" s="104"/>
      <c r="F62" s="105"/>
      <c r="G62" s="62"/>
      <c r="H62" s="62"/>
      <c r="I62" s="62"/>
      <c r="J62" s="62"/>
      <c r="K62" s="103"/>
      <c r="L62" s="104"/>
      <c r="M62" s="104"/>
      <c r="N62" s="104"/>
      <c r="O62" s="104"/>
      <c r="P62" s="104"/>
      <c r="Q62" s="105"/>
      <c r="R62" s="62"/>
      <c r="S62" s="62"/>
      <c r="T62" s="62"/>
      <c r="U62" s="62"/>
    </row>
    <row r="63" spans="1:21" ht="18" customHeight="1" x14ac:dyDescent="0.15">
      <c r="A63" s="3"/>
      <c r="B63" s="103"/>
      <c r="C63" s="104"/>
      <c r="D63" s="104"/>
      <c r="E63" s="104"/>
      <c r="F63" s="105"/>
      <c r="G63" s="62"/>
      <c r="H63" s="62"/>
      <c r="I63" s="62"/>
      <c r="J63" s="62"/>
      <c r="K63" s="103"/>
      <c r="L63" s="104"/>
      <c r="M63" s="104"/>
      <c r="N63" s="104"/>
      <c r="O63" s="104"/>
      <c r="P63" s="104"/>
      <c r="Q63" s="105"/>
      <c r="R63" s="62"/>
      <c r="S63" s="62"/>
      <c r="T63" s="62"/>
      <c r="U63" s="62"/>
    </row>
    <row r="64" spans="1:21" ht="18" customHeight="1" x14ac:dyDescent="0.15">
      <c r="A64" s="3"/>
      <c r="B64" s="103"/>
      <c r="C64" s="104"/>
      <c r="D64" s="104"/>
      <c r="E64" s="104"/>
      <c r="F64" s="105"/>
      <c r="G64" s="62"/>
      <c r="H64" s="62"/>
      <c r="I64" s="62"/>
      <c r="J64" s="62"/>
      <c r="K64" s="103"/>
      <c r="L64" s="104"/>
      <c r="M64" s="104"/>
      <c r="N64" s="104"/>
      <c r="O64" s="104"/>
      <c r="P64" s="104"/>
      <c r="Q64" s="105"/>
      <c r="R64" s="62"/>
      <c r="S64" s="62"/>
      <c r="T64" s="62"/>
      <c r="U64" s="62"/>
    </row>
    <row r="65" spans="1:27" ht="18" customHeight="1" x14ac:dyDescent="0.15">
      <c r="A65" s="3"/>
      <c r="B65" s="103"/>
      <c r="C65" s="104"/>
      <c r="D65" s="104"/>
      <c r="E65" s="104"/>
      <c r="F65" s="105"/>
      <c r="G65" s="62"/>
      <c r="H65" s="62"/>
      <c r="I65" s="62"/>
      <c r="J65" s="62"/>
      <c r="K65" s="103"/>
      <c r="L65" s="104"/>
      <c r="M65" s="104"/>
      <c r="N65" s="104"/>
      <c r="O65" s="104"/>
      <c r="P65" s="104"/>
      <c r="Q65" s="105"/>
      <c r="R65" s="62"/>
      <c r="S65" s="62"/>
      <c r="T65" s="62"/>
      <c r="U65" s="62"/>
    </row>
    <row r="66" spans="1:27" ht="18" customHeight="1" x14ac:dyDescent="0.15">
      <c r="A66" s="3"/>
      <c r="B66" s="106"/>
      <c r="C66" s="107"/>
      <c r="D66" s="107"/>
      <c r="E66" s="107"/>
      <c r="F66" s="108"/>
      <c r="G66" s="63"/>
      <c r="H66" s="63"/>
      <c r="I66" s="64"/>
      <c r="J66" s="64"/>
      <c r="K66" s="106"/>
      <c r="L66" s="107"/>
      <c r="M66" s="107"/>
      <c r="N66" s="107"/>
      <c r="O66" s="107"/>
      <c r="P66" s="107"/>
      <c r="Q66" s="108"/>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2" t="s">
        <v>100</v>
      </c>
      <c r="B68" s="112"/>
      <c r="C68" s="112"/>
      <c r="D68" s="112"/>
      <c r="E68" s="112"/>
      <c r="F68" s="112"/>
      <c r="G68" s="112"/>
      <c r="H68" s="112"/>
      <c r="I68" s="112"/>
      <c r="J68" s="112"/>
      <c r="K68" s="112"/>
      <c r="L68" s="112"/>
      <c r="M68" s="112"/>
      <c r="N68" s="112"/>
      <c r="O68" s="112"/>
      <c r="P68" s="112"/>
      <c r="Q68" s="112"/>
      <c r="R68" s="112"/>
      <c r="S68" s="112"/>
      <c r="T68" s="112"/>
      <c r="U68" s="112"/>
    </row>
    <row r="69" spans="1:27"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7" ht="18" customHeight="1" x14ac:dyDescent="0.15">
      <c r="B70" s="88" t="s">
        <v>48</v>
      </c>
      <c r="C70" s="89"/>
      <c r="D70" s="89"/>
      <c r="E70" s="89"/>
      <c r="F70" s="58" t="s">
        <v>73</v>
      </c>
      <c r="G70" s="59" t="s">
        <v>76</v>
      </c>
      <c r="H70" s="60" t="s">
        <v>87</v>
      </c>
      <c r="I70" s="60" t="s">
        <v>68</v>
      </c>
      <c r="J70" s="60" t="s">
        <v>69</v>
      </c>
      <c r="K70" s="88" t="s">
        <v>48</v>
      </c>
      <c r="L70" s="89"/>
      <c r="M70" s="89"/>
      <c r="N70" s="89"/>
      <c r="O70" s="89"/>
      <c r="P70" s="90"/>
      <c r="Q70" s="58" t="s">
        <v>73</v>
      </c>
      <c r="R70" s="59" t="s">
        <v>76</v>
      </c>
      <c r="S70" s="60" t="s">
        <v>87</v>
      </c>
      <c r="T70" s="60" t="s">
        <v>68</v>
      </c>
      <c r="U70" s="60" t="s">
        <v>69</v>
      </c>
    </row>
    <row r="71" spans="1:27" ht="18" customHeight="1" x14ac:dyDescent="0.15">
      <c r="A71" s="3"/>
      <c r="B71" s="109" t="s">
        <v>146</v>
      </c>
      <c r="C71" s="110"/>
      <c r="D71" s="110"/>
      <c r="E71" s="111"/>
      <c r="F71" s="61">
        <v>2</v>
      </c>
      <c r="G71" s="61" t="s">
        <v>148</v>
      </c>
      <c r="H71" s="61" t="s">
        <v>148</v>
      </c>
      <c r="I71" s="61" t="s">
        <v>148</v>
      </c>
      <c r="J71" s="61" t="s">
        <v>148</v>
      </c>
      <c r="K71" s="109"/>
      <c r="L71" s="110"/>
      <c r="M71" s="110"/>
      <c r="N71" s="110"/>
      <c r="O71" s="110"/>
      <c r="P71" s="111"/>
      <c r="Q71" s="61"/>
      <c r="R71" s="61"/>
      <c r="S71" s="61"/>
      <c r="T71" s="61"/>
      <c r="U71" s="61"/>
    </row>
    <row r="72" spans="1:27" ht="18" customHeight="1" x14ac:dyDescent="0.15">
      <c r="A72" s="3"/>
      <c r="B72" s="103"/>
      <c r="C72" s="104"/>
      <c r="D72" s="104"/>
      <c r="E72" s="104"/>
      <c r="F72" s="62"/>
      <c r="G72" s="62"/>
      <c r="H72" s="62"/>
      <c r="I72" s="62"/>
      <c r="J72" s="62"/>
      <c r="K72" s="103"/>
      <c r="L72" s="104"/>
      <c r="M72" s="104"/>
      <c r="N72" s="104"/>
      <c r="O72" s="104"/>
      <c r="P72" s="105"/>
      <c r="Q72" s="62"/>
      <c r="R72" s="62"/>
      <c r="S72" s="62"/>
      <c r="T72" s="62"/>
      <c r="U72" s="62"/>
    </row>
    <row r="73" spans="1:27" ht="18" customHeight="1" x14ac:dyDescent="0.15">
      <c r="A73" s="3"/>
      <c r="B73" s="103"/>
      <c r="C73" s="104"/>
      <c r="D73" s="104"/>
      <c r="E73" s="104"/>
      <c r="F73" s="62"/>
      <c r="G73" s="62"/>
      <c r="H73" s="62"/>
      <c r="I73" s="62"/>
      <c r="J73" s="62"/>
      <c r="K73" s="103"/>
      <c r="L73" s="104"/>
      <c r="M73" s="104"/>
      <c r="N73" s="104"/>
      <c r="O73" s="104"/>
      <c r="P73" s="105"/>
      <c r="Q73" s="62"/>
      <c r="R73" s="62"/>
      <c r="S73" s="62"/>
      <c r="T73" s="62"/>
      <c r="U73" s="62"/>
    </row>
    <row r="74" spans="1:27" ht="18" customHeight="1" x14ac:dyDescent="0.15">
      <c r="A74" s="3"/>
      <c r="B74" s="103"/>
      <c r="C74" s="104"/>
      <c r="D74" s="104"/>
      <c r="E74" s="104"/>
      <c r="F74" s="62"/>
      <c r="G74" s="62"/>
      <c r="H74" s="62"/>
      <c r="I74" s="62"/>
      <c r="J74" s="62"/>
      <c r="K74" s="103"/>
      <c r="L74" s="104"/>
      <c r="M74" s="104"/>
      <c r="N74" s="104"/>
      <c r="O74" s="104"/>
      <c r="P74" s="105"/>
      <c r="Q74" s="62"/>
      <c r="R74" s="62"/>
      <c r="S74" s="62"/>
      <c r="T74" s="62"/>
      <c r="U74" s="62"/>
    </row>
    <row r="75" spans="1:27" ht="18" customHeight="1" x14ac:dyDescent="0.15">
      <c r="A75" s="3"/>
      <c r="B75" s="103"/>
      <c r="C75" s="104"/>
      <c r="D75" s="104"/>
      <c r="E75" s="104"/>
      <c r="F75" s="62"/>
      <c r="G75" s="62"/>
      <c r="H75" s="62"/>
      <c r="I75" s="62"/>
      <c r="J75" s="62"/>
      <c r="K75" s="103"/>
      <c r="L75" s="104"/>
      <c r="M75" s="104"/>
      <c r="N75" s="104"/>
      <c r="O75" s="104"/>
      <c r="P75" s="105"/>
      <c r="Q75" s="62"/>
      <c r="R75" s="62"/>
      <c r="S75" s="62"/>
      <c r="T75" s="62"/>
      <c r="U75" s="62"/>
    </row>
    <row r="76" spans="1:27" ht="18" customHeight="1" x14ac:dyDescent="0.15">
      <c r="A76" s="3"/>
      <c r="B76" s="103"/>
      <c r="C76" s="104"/>
      <c r="D76" s="104"/>
      <c r="E76" s="104"/>
      <c r="F76" s="62"/>
      <c r="G76" s="62"/>
      <c r="H76" s="62"/>
      <c r="I76" s="62"/>
      <c r="J76" s="62"/>
      <c r="K76" s="103"/>
      <c r="L76" s="104"/>
      <c r="M76" s="104"/>
      <c r="N76" s="104"/>
      <c r="O76" s="104"/>
      <c r="P76" s="105"/>
      <c r="Q76" s="62"/>
      <c r="R76" s="62"/>
      <c r="S76" s="62"/>
      <c r="T76" s="62"/>
      <c r="U76" s="62"/>
    </row>
    <row r="77" spans="1:27" ht="18" customHeight="1" x14ac:dyDescent="0.15">
      <c r="A77" s="3"/>
      <c r="B77" s="106"/>
      <c r="C77" s="107"/>
      <c r="D77" s="107"/>
      <c r="E77" s="107"/>
      <c r="F77" s="63"/>
      <c r="G77" s="63"/>
      <c r="H77" s="64"/>
      <c r="I77" s="64"/>
      <c r="J77" s="64"/>
      <c r="K77" s="106"/>
      <c r="L77" s="107"/>
      <c r="M77" s="107"/>
      <c r="N77" s="107"/>
      <c r="O77" s="107"/>
      <c r="P77" s="108"/>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88" t="s">
        <v>48</v>
      </c>
      <c r="C80" s="89"/>
      <c r="D80" s="89"/>
      <c r="E80" s="89"/>
      <c r="F80" s="90"/>
      <c r="G80" s="88" t="s">
        <v>74</v>
      </c>
      <c r="H80" s="89"/>
      <c r="I80" s="89"/>
      <c r="J80" s="90"/>
      <c r="K80" s="143" t="s">
        <v>48</v>
      </c>
      <c r="L80" s="144"/>
      <c r="M80" s="144"/>
      <c r="N80" s="144"/>
      <c r="O80" s="144"/>
      <c r="P80" s="144"/>
      <c r="Q80" s="145"/>
      <c r="R80" s="88" t="s">
        <v>74</v>
      </c>
      <c r="S80" s="89"/>
      <c r="T80" s="89"/>
      <c r="U80" s="90"/>
      <c r="AA80" s="1" t="s">
        <v>138</v>
      </c>
    </row>
    <row r="81" spans="1:27" ht="18" customHeight="1" x14ac:dyDescent="0.15">
      <c r="A81" s="3"/>
      <c r="B81" s="109"/>
      <c r="C81" s="110"/>
      <c r="D81" s="110"/>
      <c r="E81" s="110"/>
      <c r="F81" s="111"/>
      <c r="G81" s="146"/>
      <c r="H81" s="147"/>
      <c r="I81" s="147"/>
      <c r="J81" s="148"/>
      <c r="K81" s="109"/>
      <c r="L81" s="110"/>
      <c r="M81" s="110"/>
      <c r="N81" s="110"/>
      <c r="O81" s="110"/>
      <c r="P81" s="110"/>
      <c r="Q81" s="111"/>
      <c r="R81" s="146"/>
      <c r="S81" s="147"/>
      <c r="T81" s="147"/>
      <c r="U81" s="148"/>
      <c r="AA81" s="1" t="s">
        <v>131</v>
      </c>
    </row>
    <row r="82" spans="1:27" ht="18" customHeight="1" x14ac:dyDescent="0.15">
      <c r="A82" s="3"/>
      <c r="B82" s="103"/>
      <c r="C82" s="104"/>
      <c r="D82" s="104"/>
      <c r="E82" s="104"/>
      <c r="F82" s="105"/>
      <c r="G82" s="138"/>
      <c r="H82" s="139"/>
      <c r="I82" s="139"/>
      <c r="J82" s="140"/>
      <c r="K82" s="103"/>
      <c r="L82" s="104"/>
      <c r="M82" s="104"/>
      <c r="N82" s="104"/>
      <c r="O82" s="104"/>
      <c r="P82" s="104"/>
      <c r="Q82" s="105"/>
      <c r="R82" s="138"/>
      <c r="S82" s="139"/>
      <c r="T82" s="139"/>
      <c r="U82" s="140"/>
      <c r="AA82" s="1" t="s">
        <v>132</v>
      </c>
    </row>
    <row r="83" spans="1:27" ht="18" customHeight="1" x14ac:dyDescent="0.15">
      <c r="A83" s="3"/>
      <c r="B83" s="103"/>
      <c r="C83" s="104"/>
      <c r="D83" s="104"/>
      <c r="E83" s="104"/>
      <c r="F83" s="105"/>
      <c r="G83" s="138"/>
      <c r="H83" s="139"/>
      <c r="I83" s="139"/>
      <c r="J83" s="140"/>
      <c r="K83" s="103"/>
      <c r="L83" s="104"/>
      <c r="M83" s="104"/>
      <c r="N83" s="104"/>
      <c r="O83" s="104"/>
      <c r="P83" s="104"/>
      <c r="Q83" s="105"/>
      <c r="R83" s="138"/>
      <c r="S83" s="139"/>
      <c r="T83" s="139"/>
      <c r="U83" s="140"/>
      <c r="AA83" s="1" t="s">
        <v>133</v>
      </c>
    </row>
    <row r="84" spans="1:27" ht="18" customHeight="1" x14ac:dyDescent="0.15">
      <c r="A84" s="3"/>
      <c r="B84" s="103"/>
      <c r="C84" s="104"/>
      <c r="D84" s="104"/>
      <c r="E84" s="104"/>
      <c r="F84" s="105"/>
      <c r="G84" s="138"/>
      <c r="H84" s="139"/>
      <c r="I84" s="139"/>
      <c r="J84" s="140"/>
      <c r="K84" s="103"/>
      <c r="L84" s="104"/>
      <c r="M84" s="104"/>
      <c r="N84" s="104"/>
      <c r="O84" s="104"/>
      <c r="P84" s="104"/>
      <c r="Q84" s="105"/>
      <c r="R84" s="138"/>
      <c r="S84" s="139"/>
      <c r="T84" s="139"/>
      <c r="U84" s="140"/>
      <c r="AA84" s="1" t="s">
        <v>139</v>
      </c>
    </row>
    <row r="85" spans="1:27" ht="18" customHeight="1" x14ac:dyDescent="0.15">
      <c r="A85" s="3"/>
      <c r="B85" s="103"/>
      <c r="C85" s="104"/>
      <c r="D85" s="104"/>
      <c r="E85" s="104"/>
      <c r="F85" s="105"/>
      <c r="G85" s="138"/>
      <c r="H85" s="139"/>
      <c r="I85" s="139"/>
      <c r="J85" s="140"/>
      <c r="K85" s="103"/>
      <c r="L85" s="104"/>
      <c r="M85" s="104"/>
      <c r="N85" s="104"/>
      <c r="O85" s="104"/>
      <c r="P85" s="104"/>
      <c r="Q85" s="105"/>
      <c r="R85" s="138"/>
      <c r="S85" s="139"/>
      <c r="T85" s="139"/>
      <c r="U85" s="140"/>
      <c r="AA85" s="1" t="s">
        <v>140</v>
      </c>
    </row>
    <row r="86" spans="1:27" ht="18" customHeight="1" x14ac:dyDescent="0.15">
      <c r="A86" s="3"/>
      <c r="B86" s="103"/>
      <c r="C86" s="104"/>
      <c r="D86" s="104"/>
      <c r="E86" s="104"/>
      <c r="F86" s="105"/>
      <c r="G86" s="138"/>
      <c r="H86" s="139"/>
      <c r="I86" s="139"/>
      <c r="J86" s="140"/>
      <c r="K86" s="103"/>
      <c r="L86" s="104"/>
      <c r="M86" s="104"/>
      <c r="N86" s="104"/>
      <c r="O86" s="104"/>
      <c r="P86" s="104"/>
      <c r="Q86" s="105"/>
      <c r="R86" s="138"/>
      <c r="S86" s="139"/>
      <c r="T86" s="139"/>
      <c r="U86" s="140"/>
      <c r="AA86" s="1" t="s">
        <v>134</v>
      </c>
    </row>
    <row r="87" spans="1:27" ht="18" customHeight="1" x14ac:dyDescent="0.15">
      <c r="A87" s="3"/>
      <c r="B87" s="106"/>
      <c r="C87" s="107"/>
      <c r="D87" s="107"/>
      <c r="E87" s="107"/>
      <c r="F87" s="108"/>
      <c r="G87" s="135"/>
      <c r="H87" s="136"/>
      <c r="I87" s="136"/>
      <c r="J87" s="137"/>
      <c r="K87" s="106"/>
      <c r="L87" s="107"/>
      <c r="M87" s="107"/>
      <c r="N87" s="107"/>
      <c r="O87" s="107"/>
      <c r="P87" s="107"/>
      <c r="Q87" s="108"/>
      <c r="R87" s="135"/>
      <c r="S87" s="136"/>
      <c r="T87" s="136"/>
      <c r="U87" s="137"/>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41" t="s">
        <v>49</v>
      </c>
      <c r="C90" s="142"/>
      <c r="D90" s="88" t="s">
        <v>50</v>
      </c>
      <c r="E90" s="89"/>
      <c r="F90" s="89"/>
      <c r="G90" s="89"/>
      <c r="H90" s="89"/>
      <c r="I90" s="89"/>
      <c r="J90" s="89"/>
      <c r="K90" s="89"/>
      <c r="L90" s="89"/>
      <c r="M90" s="89"/>
      <c r="N90" s="89"/>
      <c r="O90" s="89"/>
      <c r="P90" s="89"/>
      <c r="Q90" s="89"/>
      <c r="R90" s="89"/>
      <c r="S90" s="89"/>
      <c r="T90" s="89"/>
      <c r="U90" s="90"/>
    </row>
    <row r="91" spans="1:27" ht="97.5" customHeight="1" x14ac:dyDescent="0.15">
      <c r="B91" s="118" t="s">
        <v>56</v>
      </c>
      <c r="C91" s="66" t="s">
        <v>51</v>
      </c>
      <c r="D91" s="91" t="s">
        <v>174</v>
      </c>
      <c r="E91" s="92"/>
      <c r="F91" s="92"/>
      <c r="G91" s="92"/>
      <c r="H91" s="92"/>
      <c r="I91" s="92"/>
      <c r="J91" s="92"/>
      <c r="K91" s="92"/>
      <c r="L91" s="92"/>
      <c r="M91" s="92"/>
      <c r="N91" s="92"/>
      <c r="O91" s="92"/>
      <c r="P91" s="92"/>
      <c r="Q91" s="92"/>
      <c r="R91" s="92"/>
      <c r="S91" s="92"/>
      <c r="T91" s="92"/>
      <c r="U91" s="93"/>
    </row>
    <row r="92" spans="1:27" ht="97.5" customHeight="1" x14ac:dyDescent="0.15">
      <c r="B92" s="120"/>
      <c r="C92" s="67" t="s">
        <v>70</v>
      </c>
      <c r="D92" s="94" t="s">
        <v>175</v>
      </c>
      <c r="E92" s="95"/>
      <c r="F92" s="95"/>
      <c r="G92" s="95"/>
      <c r="H92" s="95"/>
      <c r="I92" s="95"/>
      <c r="J92" s="95"/>
      <c r="K92" s="95"/>
      <c r="L92" s="95"/>
      <c r="M92" s="95"/>
      <c r="N92" s="95"/>
      <c r="O92" s="95"/>
      <c r="P92" s="95"/>
      <c r="Q92" s="95"/>
      <c r="R92" s="95"/>
      <c r="S92" s="95"/>
      <c r="T92" s="95"/>
      <c r="U92" s="96"/>
    </row>
    <row r="93" spans="1:27" ht="97.5" customHeight="1" x14ac:dyDescent="0.15">
      <c r="B93" s="118" t="s">
        <v>57</v>
      </c>
      <c r="C93" s="68" t="s">
        <v>64</v>
      </c>
      <c r="D93" s="91" t="s">
        <v>176</v>
      </c>
      <c r="E93" s="92"/>
      <c r="F93" s="92"/>
      <c r="G93" s="92"/>
      <c r="H93" s="92"/>
      <c r="I93" s="92"/>
      <c r="J93" s="92"/>
      <c r="K93" s="92"/>
      <c r="L93" s="92"/>
      <c r="M93" s="92"/>
      <c r="N93" s="92"/>
      <c r="O93" s="92"/>
      <c r="P93" s="92"/>
      <c r="Q93" s="92"/>
      <c r="R93" s="92"/>
      <c r="S93" s="92"/>
      <c r="T93" s="92"/>
      <c r="U93" s="93"/>
    </row>
    <row r="94" spans="1:27" ht="97.5" customHeight="1" x14ac:dyDescent="0.15">
      <c r="B94" s="119"/>
      <c r="C94" s="69" t="s">
        <v>65</v>
      </c>
      <c r="D94" s="94" t="s">
        <v>177</v>
      </c>
      <c r="E94" s="95"/>
      <c r="F94" s="95"/>
      <c r="G94" s="95"/>
      <c r="H94" s="95"/>
      <c r="I94" s="95"/>
      <c r="J94" s="95"/>
      <c r="K94" s="95"/>
      <c r="L94" s="95"/>
      <c r="M94" s="95"/>
      <c r="N94" s="95"/>
      <c r="O94" s="95"/>
      <c r="P94" s="95"/>
      <c r="Q94" s="95"/>
      <c r="R94" s="95"/>
      <c r="S94" s="95"/>
      <c r="T94" s="95"/>
      <c r="U94" s="96"/>
    </row>
    <row r="95" spans="1:27" ht="97.5" customHeight="1" x14ac:dyDescent="0.15">
      <c r="B95" s="118" t="s">
        <v>58</v>
      </c>
      <c r="C95" s="68" t="s">
        <v>66</v>
      </c>
      <c r="D95" s="91" t="s">
        <v>178</v>
      </c>
      <c r="E95" s="92"/>
      <c r="F95" s="92"/>
      <c r="G95" s="92"/>
      <c r="H95" s="92"/>
      <c r="I95" s="92"/>
      <c r="J95" s="92"/>
      <c r="K95" s="92"/>
      <c r="L95" s="92"/>
      <c r="M95" s="92"/>
      <c r="N95" s="92"/>
      <c r="O95" s="92"/>
      <c r="P95" s="92"/>
      <c r="Q95" s="92"/>
      <c r="R95" s="92"/>
      <c r="S95" s="92"/>
      <c r="T95" s="92"/>
      <c r="U95" s="93"/>
    </row>
    <row r="96" spans="1:27" ht="97.5" customHeight="1" x14ac:dyDescent="0.15">
      <c r="B96" s="119"/>
      <c r="C96" s="70" t="s">
        <v>67</v>
      </c>
      <c r="D96" s="94" t="s">
        <v>179</v>
      </c>
      <c r="E96" s="95"/>
      <c r="F96" s="95"/>
      <c r="G96" s="95"/>
      <c r="H96" s="95"/>
      <c r="I96" s="95"/>
      <c r="J96" s="95"/>
      <c r="K96" s="95"/>
      <c r="L96" s="95"/>
      <c r="M96" s="95"/>
      <c r="N96" s="95"/>
      <c r="O96" s="95"/>
      <c r="P96" s="95"/>
      <c r="Q96" s="95"/>
      <c r="R96" s="95"/>
      <c r="S96" s="95"/>
      <c r="T96" s="95"/>
      <c r="U96" s="96"/>
    </row>
    <row r="97" spans="1:21" ht="97.5" customHeight="1" x14ac:dyDescent="0.15">
      <c r="B97" s="118" t="s">
        <v>71</v>
      </c>
      <c r="C97" s="66" t="s">
        <v>53</v>
      </c>
      <c r="D97" s="91" t="s">
        <v>180</v>
      </c>
      <c r="E97" s="92"/>
      <c r="F97" s="92"/>
      <c r="G97" s="92"/>
      <c r="H97" s="92"/>
      <c r="I97" s="92"/>
      <c r="J97" s="92"/>
      <c r="K97" s="92"/>
      <c r="L97" s="92"/>
      <c r="M97" s="92"/>
      <c r="N97" s="92"/>
      <c r="O97" s="92"/>
      <c r="P97" s="92"/>
      <c r="Q97" s="92"/>
      <c r="R97" s="92"/>
      <c r="S97" s="92"/>
      <c r="T97" s="92"/>
      <c r="U97" s="93"/>
    </row>
    <row r="98" spans="1:21" ht="97.5" customHeight="1" x14ac:dyDescent="0.15">
      <c r="B98" s="119"/>
      <c r="C98" s="69" t="s">
        <v>55</v>
      </c>
      <c r="D98" s="94" t="s">
        <v>181</v>
      </c>
      <c r="E98" s="95"/>
      <c r="F98" s="95"/>
      <c r="G98" s="95"/>
      <c r="H98" s="95"/>
      <c r="I98" s="95"/>
      <c r="J98" s="95"/>
      <c r="K98" s="95"/>
      <c r="L98" s="95"/>
      <c r="M98" s="95"/>
      <c r="N98" s="95"/>
      <c r="O98" s="95"/>
      <c r="P98" s="95"/>
      <c r="Q98" s="95"/>
      <c r="R98" s="95"/>
      <c r="S98" s="95"/>
      <c r="T98" s="95"/>
      <c r="U98" s="96"/>
    </row>
    <row r="99" spans="1:21" ht="97.5" customHeight="1" x14ac:dyDescent="0.15">
      <c r="B99" s="118" t="s">
        <v>72</v>
      </c>
      <c r="C99" s="68" t="s">
        <v>52</v>
      </c>
      <c r="D99" s="91" t="s">
        <v>182</v>
      </c>
      <c r="E99" s="113"/>
      <c r="F99" s="113"/>
      <c r="G99" s="113"/>
      <c r="H99" s="113"/>
      <c r="I99" s="113"/>
      <c r="J99" s="113"/>
      <c r="K99" s="113"/>
      <c r="L99" s="113"/>
      <c r="M99" s="113"/>
      <c r="N99" s="113"/>
      <c r="O99" s="113"/>
      <c r="P99" s="113"/>
      <c r="Q99" s="113"/>
      <c r="R99" s="113"/>
      <c r="S99" s="113"/>
      <c r="T99" s="113"/>
      <c r="U99" s="114"/>
    </row>
    <row r="100" spans="1:21" ht="97.5" customHeight="1" x14ac:dyDescent="0.15">
      <c r="B100" s="120"/>
      <c r="C100" s="71" t="s">
        <v>68</v>
      </c>
      <c r="D100" s="115" t="s">
        <v>183</v>
      </c>
      <c r="E100" s="116"/>
      <c r="F100" s="116"/>
      <c r="G100" s="116"/>
      <c r="H100" s="116"/>
      <c r="I100" s="116"/>
      <c r="J100" s="116"/>
      <c r="K100" s="116"/>
      <c r="L100" s="116"/>
      <c r="M100" s="116"/>
      <c r="N100" s="116"/>
      <c r="O100" s="116"/>
      <c r="P100" s="116"/>
      <c r="Q100" s="116"/>
      <c r="R100" s="116"/>
      <c r="S100" s="116"/>
      <c r="T100" s="116"/>
      <c r="U100" s="117"/>
    </row>
    <row r="101" spans="1:21" ht="97.5" customHeight="1" x14ac:dyDescent="0.15">
      <c r="B101" s="119"/>
      <c r="C101" s="70" t="s">
        <v>69</v>
      </c>
      <c r="D101" s="94" t="s">
        <v>184</v>
      </c>
      <c r="E101" s="95"/>
      <c r="F101" s="95"/>
      <c r="G101" s="95"/>
      <c r="H101" s="95"/>
      <c r="I101" s="95"/>
      <c r="J101" s="95"/>
      <c r="K101" s="95"/>
      <c r="L101" s="95"/>
      <c r="M101" s="95"/>
      <c r="N101" s="95"/>
      <c r="O101" s="95"/>
      <c r="P101" s="95"/>
      <c r="Q101" s="95"/>
      <c r="R101" s="95"/>
      <c r="S101" s="95"/>
      <c r="T101" s="95"/>
      <c r="U101" s="96"/>
    </row>
    <row r="102" spans="1:21" ht="6" customHeight="1" x14ac:dyDescent="0.15"/>
    <row r="103" spans="1:21" ht="18.75" customHeight="1" x14ac:dyDescent="0.15">
      <c r="A103" s="1" t="s">
        <v>103</v>
      </c>
    </row>
    <row r="104" spans="1:21" ht="81.75" customHeight="1" x14ac:dyDescent="0.15">
      <c r="B104" s="132" t="s">
        <v>185</v>
      </c>
      <c r="C104" s="133"/>
      <c r="D104" s="133"/>
      <c r="E104" s="133"/>
      <c r="F104" s="133"/>
      <c r="G104" s="133"/>
      <c r="H104" s="133"/>
      <c r="I104" s="133"/>
      <c r="J104" s="133"/>
      <c r="K104" s="133"/>
      <c r="L104" s="133"/>
      <c r="M104" s="133"/>
      <c r="N104" s="133"/>
      <c r="O104" s="133"/>
      <c r="P104" s="133"/>
      <c r="Q104" s="133"/>
      <c r="R104" s="133"/>
      <c r="S104" s="133"/>
      <c r="T104" s="133"/>
      <c r="U104" s="134"/>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Normal="100" zoomScaleSheetLayoutView="100" workbookViewId="0">
      <selection activeCell="J18" sqref="J1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50" t="str">
        <f>'様式１　プログラムを構成する授業科目'!C2</f>
        <v>大阪産業大学</v>
      </c>
      <c r="R2" s="150"/>
      <c r="S2" s="150"/>
    </row>
    <row r="3" spans="1:21" ht="18" customHeight="1" x14ac:dyDescent="0.15">
      <c r="A3" s="122" t="s">
        <v>142</v>
      </c>
      <c r="B3" s="122"/>
      <c r="C3" s="122"/>
      <c r="D3" s="122"/>
      <c r="E3" s="122"/>
      <c r="F3" s="122"/>
      <c r="G3" s="122"/>
      <c r="H3" s="122"/>
      <c r="I3" s="122"/>
      <c r="J3" s="122"/>
      <c r="K3" s="122"/>
      <c r="L3" s="122"/>
      <c r="M3" s="122"/>
      <c r="N3" s="122"/>
      <c r="O3" s="122"/>
      <c r="P3" s="122"/>
      <c r="Q3" s="122"/>
      <c r="R3" s="122"/>
      <c r="S3" s="122"/>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51" t="s">
        <v>149</v>
      </c>
      <c r="D5" s="152"/>
      <c r="E5" s="56" t="s">
        <v>125</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6041</v>
      </c>
      <c r="G7" s="56" t="s">
        <v>111</v>
      </c>
      <c r="H7" s="54" t="s">
        <v>112</v>
      </c>
      <c r="I7" s="57">
        <v>956</v>
      </c>
      <c r="J7" s="56" t="s">
        <v>111</v>
      </c>
      <c r="K7" s="55" t="s">
        <v>113</v>
      </c>
      <c r="L7" s="54" t="s">
        <v>114</v>
      </c>
      <c r="M7" s="57">
        <f>F7+I7</f>
        <v>6997</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3" t="s">
        <v>43</v>
      </c>
      <c r="C11" s="163" t="s">
        <v>78</v>
      </c>
      <c r="D11" s="155" t="s">
        <v>45</v>
      </c>
      <c r="E11" s="157" t="s">
        <v>38</v>
      </c>
      <c r="F11" s="149" t="s">
        <v>126</v>
      </c>
      <c r="G11" s="149"/>
      <c r="H11" s="149" t="s">
        <v>106</v>
      </c>
      <c r="I11" s="149"/>
      <c r="J11" s="149" t="s">
        <v>77</v>
      </c>
      <c r="K11" s="149"/>
      <c r="L11" s="149" t="s">
        <v>46</v>
      </c>
      <c r="M11" s="149"/>
      <c r="N11" s="149" t="s">
        <v>47</v>
      </c>
      <c r="O11" s="149"/>
      <c r="P11" s="149" t="s">
        <v>127</v>
      </c>
      <c r="Q11" s="149"/>
      <c r="R11" s="159" t="s">
        <v>35</v>
      </c>
      <c r="S11" s="161" t="s">
        <v>32</v>
      </c>
      <c r="U11" s="2"/>
    </row>
    <row r="12" spans="1:21" ht="16.899999999999999" customHeight="1" x14ac:dyDescent="0.15">
      <c r="B12" s="154"/>
      <c r="C12" s="164"/>
      <c r="D12" s="156"/>
      <c r="E12" s="158"/>
      <c r="F12" s="77" t="s">
        <v>86</v>
      </c>
      <c r="G12" s="77" t="s">
        <v>29</v>
      </c>
      <c r="H12" s="77" t="s">
        <v>86</v>
      </c>
      <c r="I12" s="77" t="s">
        <v>29</v>
      </c>
      <c r="J12" s="77" t="s">
        <v>86</v>
      </c>
      <c r="K12" s="77" t="s">
        <v>29</v>
      </c>
      <c r="L12" s="77" t="s">
        <v>86</v>
      </c>
      <c r="M12" s="77" t="s">
        <v>29</v>
      </c>
      <c r="N12" s="77" t="s">
        <v>86</v>
      </c>
      <c r="O12" s="77" t="s">
        <v>29</v>
      </c>
      <c r="P12" s="77" t="s">
        <v>86</v>
      </c>
      <c r="Q12" s="78" t="s">
        <v>29</v>
      </c>
      <c r="R12" s="160"/>
      <c r="S12" s="162"/>
      <c r="U12" s="2"/>
    </row>
    <row r="13" spans="1:21" ht="18" customHeight="1" x14ac:dyDescent="0.15">
      <c r="A13" s="6"/>
      <c r="B13" s="47" t="s">
        <v>150</v>
      </c>
      <c r="C13" s="35">
        <v>326</v>
      </c>
      <c r="D13" s="36">
        <v>105</v>
      </c>
      <c r="E13" s="37">
        <v>424</v>
      </c>
      <c r="F13" s="37">
        <v>0</v>
      </c>
      <c r="G13" s="37">
        <v>0</v>
      </c>
      <c r="H13" s="37"/>
      <c r="I13" s="37"/>
      <c r="J13" s="37"/>
      <c r="K13" s="37"/>
      <c r="L13" s="37"/>
      <c r="M13" s="37"/>
      <c r="N13" s="37"/>
      <c r="O13" s="37"/>
      <c r="P13" s="37"/>
      <c r="Q13" s="48"/>
      <c r="R13" s="36">
        <f t="shared" ref="R13:R32" si="0">F13+H13+J13+L13+N13+P13</f>
        <v>0</v>
      </c>
      <c r="S13" s="81">
        <f t="shared" ref="S13:S18" si="1">R13/E13</f>
        <v>0</v>
      </c>
    </row>
    <row r="14" spans="1:21" ht="18" customHeight="1" x14ac:dyDescent="0.15">
      <c r="A14" s="6"/>
      <c r="B14" s="11" t="s">
        <v>151</v>
      </c>
      <c r="C14" s="38">
        <v>642</v>
      </c>
      <c r="D14" s="39">
        <v>155</v>
      </c>
      <c r="E14" s="40">
        <v>624</v>
      </c>
      <c r="F14" s="41">
        <v>0</v>
      </c>
      <c r="G14" s="41">
        <v>0</v>
      </c>
      <c r="H14" s="41"/>
      <c r="I14" s="41"/>
      <c r="J14" s="41"/>
      <c r="K14" s="41"/>
      <c r="L14" s="41"/>
      <c r="M14" s="41"/>
      <c r="N14" s="41"/>
      <c r="O14" s="41"/>
      <c r="P14" s="41"/>
      <c r="Q14" s="38"/>
      <c r="R14" s="39">
        <f t="shared" si="0"/>
        <v>0</v>
      </c>
      <c r="S14" s="8">
        <f t="shared" si="1"/>
        <v>0</v>
      </c>
    </row>
    <row r="15" spans="1:21" ht="18" customHeight="1" x14ac:dyDescent="0.15">
      <c r="A15" s="6"/>
      <c r="B15" s="11" t="s">
        <v>152</v>
      </c>
      <c r="C15" s="38">
        <v>1983</v>
      </c>
      <c r="D15" s="39">
        <v>500</v>
      </c>
      <c r="E15" s="40">
        <v>2020</v>
      </c>
      <c r="F15" s="41">
        <v>5</v>
      </c>
      <c r="G15" s="41">
        <v>5</v>
      </c>
      <c r="H15" s="41"/>
      <c r="I15" s="41"/>
      <c r="J15" s="41"/>
      <c r="K15" s="41"/>
      <c r="L15" s="41"/>
      <c r="M15" s="41"/>
      <c r="N15" s="41"/>
      <c r="O15" s="41"/>
      <c r="P15" s="41"/>
      <c r="Q15" s="38"/>
      <c r="R15" s="39">
        <f>F15+H15+J15+L15+N15+P15</f>
        <v>5</v>
      </c>
      <c r="S15" s="8">
        <f t="shared" si="1"/>
        <v>2.4752475247524753E-3</v>
      </c>
    </row>
    <row r="16" spans="1:21" ht="18" customHeight="1" x14ac:dyDescent="0.15">
      <c r="A16" s="6"/>
      <c r="B16" s="11" t="s">
        <v>153</v>
      </c>
      <c r="C16" s="38">
        <v>1617</v>
      </c>
      <c r="D16" s="39">
        <v>500</v>
      </c>
      <c r="E16" s="40">
        <v>2020</v>
      </c>
      <c r="F16" s="41">
        <v>0</v>
      </c>
      <c r="G16" s="41">
        <v>0</v>
      </c>
      <c r="H16" s="41"/>
      <c r="I16" s="41"/>
      <c r="J16" s="41"/>
      <c r="K16" s="41"/>
      <c r="L16" s="41"/>
      <c r="M16" s="41"/>
      <c r="N16" s="41"/>
      <c r="O16" s="41"/>
      <c r="P16" s="41"/>
      <c r="Q16" s="38"/>
      <c r="R16" s="39">
        <f>F16+H16+J16+L16+N16+P16</f>
        <v>0</v>
      </c>
      <c r="S16" s="8">
        <f t="shared" si="1"/>
        <v>0</v>
      </c>
    </row>
    <row r="17" spans="1:19" ht="18" customHeight="1" x14ac:dyDescent="0.15">
      <c r="A17" s="6"/>
      <c r="B17" s="11" t="s">
        <v>154</v>
      </c>
      <c r="C17" s="38">
        <v>1146</v>
      </c>
      <c r="D17" s="39">
        <v>306</v>
      </c>
      <c r="E17" s="40">
        <v>1236</v>
      </c>
      <c r="F17" s="41">
        <v>1</v>
      </c>
      <c r="G17" s="41">
        <v>1</v>
      </c>
      <c r="H17" s="41"/>
      <c r="I17" s="41"/>
      <c r="J17" s="41"/>
      <c r="K17" s="41"/>
      <c r="L17" s="41"/>
      <c r="M17" s="41"/>
      <c r="N17" s="41"/>
      <c r="O17" s="41"/>
      <c r="P17" s="41"/>
      <c r="Q17" s="38"/>
      <c r="R17" s="39">
        <f>F17+H17+J17+L17+N17+P17</f>
        <v>1</v>
      </c>
      <c r="S17" s="8">
        <f t="shared" si="1"/>
        <v>8.090614886731392E-4</v>
      </c>
    </row>
    <row r="18" spans="1:19" ht="18" customHeight="1" x14ac:dyDescent="0.15">
      <c r="A18" s="6"/>
      <c r="B18" s="11" t="s">
        <v>155</v>
      </c>
      <c r="C18" s="38">
        <v>1283</v>
      </c>
      <c r="D18" s="39">
        <v>410</v>
      </c>
      <c r="E18" s="40">
        <v>1656</v>
      </c>
      <c r="F18" s="41">
        <v>11</v>
      </c>
      <c r="G18" s="41">
        <v>10</v>
      </c>
      <c r="H18" s="41"/>
      <c r="I18" s="41"/>
      <c r="J18" s="41"/>
      <c r="K18" s="41"/>
      <c r="L18" s="41"/>
      <c r="M18" s="41"/>
      <c r="N18" s="41"/>
      <c r="O18" s="41"/>
      <c r="P18" s="41"/>
      <c r="Q18" s="38"/>
      <c r="R18" s="39">
        <f>F18+H18+J18+L18+N18+P18</f>
        <v>11</v>
      </c>
      <c r="S18" s="8">
        <f t="shared" si="1"/>
        <v>6.642512077294686E-3</v>
      </c>
    </row>
    <row r="19" spans="1:19" ht="18" customHeight="1" x14ac:dyDescent="0.15">
      <c r="A19" s="6"/>
      <c r="B19" s="11"/>
      <c r="C19" s="38"/>
      <c r="D19" s="39"/>
      <c r="E19" s="40"/>
      <c r="F19" s="41"/>
      <c r="G19" s="41"/>
      <c r="H19" s="41"/>
      <c r="I19" s="41"/>
      <c r="J19" s="41"/>
      <c r="K19" s="41"/>
      <c r="L19" s="41"/>
      <c r="M19" s="41"/>
      <c r="N19" s="41"/>
      <c r="O19" s="41"/>
      <c r="P19" s="41"/>
      <c r="Q19" s="38"/>
      <c r="R19" s="39">
        <f t="shared" si="0"/>
        <v>0</v>
      </c>
      <c r="S19" s="8" t="e">
        <f t="shared" ref="S19:S32" si="2">R19/E19</f>
        <v>#DIV/0!</v>
      </c>
    </row>
    <row r="20" spans="1:19" ht="18" customHeight="1" x14ac:dyDescent="0.15">
      <c r="A20" s="6"/>
      <c r="B20" s="11"/>
      <c r="C20" s="38"/>
      <c r="D20" s="39"/>
      <c r="E20" s="40"/>
      <c r="F20" s="41"/>
      <c r="G20" s="41"/>
      <c r="H20" s="41"/>
      <c r="I20" s="41"/>
      <c r="J20" s="41"/>
      <c r="K20" s="41"/>
      <c r="L20" s="41"/>
      <c r="M20" s="41"/>
      <c r="N20" s="41"/>
      <c r="O20" s="41"/>
      <c r="P20" s="41"/>
      <c r="Q20" s="38"/>
      <c r="R20" s="39">
        <f t="shared" si="0"/>
        <v>0</v>
      </c>
      <c r="S20" s="8" t="e">
        <f t="shared" si="2"/>
        <v>#DIV/0!</v>
      </c>
    </row>
    <row r="21" spans="1:19" ht="18" customHeight="1" x14ac:dyDescent="0.15">
      <c r="A21" s="6"/>
      <c r="B21" s="11"/>
      <c r="C21" s="38"/>
      <c r="D21" s="39"/>
      <c r="E21" s="40"/>
      <c r="F21" s="41"/>
      <c r="G21" s="41"/>
      <c r="H21" s="41"/>
      <c r="I21" s="41"/>
      <c r="J21" s="41"/>
      <c r="K21" s="41"/>
      <c r="L21" s="41"/>
      <c r="M21" s="41"/>
      <c r="N21" s="41"/>
      <c r="O21" s="41"/>
      <c r="P21" s="41"/>
      <c r="Q21" s="38"/>
      <c r="R21" s="39">
        <f t="shared" si="0"/>
        <v>0</v>
      </c>
      <c r="S21" s="8" t="e">
        <f t="shared" si="2"/>
        <v>#DIV/0!</v>
      </c>
    </row>
    <row r="22" spans="1:19" ht="18" customHeight="1" x14ac:dyDescent="0.15">
      <c r="A22" s="6"/>
      <c r="B22" s="11"/>
      <c r="C22" s="38"/>
      <c r="D22" s="39"/>
      <c r="E22" s="40"/>
      <c r="F22" s="41"/>
      <c r="G22" s="41"/>
      <c r="H22" s="41"/>
      <c r="I22" s="41"/>
      <c r="J22" s="41"/>
      <c r="K22" s="41"/>
      <c r="L22" s="41"/>
      <c r="M22" s="41"/>
      <c r="N22" s="41"/>
      <c r="O22" s="41"/>
      <c r="P22" s="41"/>
      <c r="Q22" s="38"/>
      <c r="R22" s="39">
        <f t="shared" si="0"/>
        <v>0</v>
      </c>
      <c r="S22" s="8" t="e">
        <f t="shared" si="2"/>
        <v>#DIV/0!</v>
      </c>
    </row>
    <row r="23" spans="1:19" ht="18" customHeight="1" x14ac:dyDescent="0.15">
      <c r="A23" s="6"/>
      <c r="B23" s="11"/>
      <c r="C23" s="38"/>
      <c r="D23" s="39"/>
      <c r="E23" s="40"/>
      <c r="F23" s="41"/>
      <c r="G23" s="41"/>
      <c r="H23" s="41"/>
      <c r="I23" s="41"/>
      <c r="J23" s="41"/>
      <c r="K23" s="41"/>
      <c r="L23" s="41"/>
      <c r="M23" s="41"/>
      <c r="N23" s="41"/>
      <c r="O23" s="41"/>
      <c r="P23" s="41"/>
      <c r="Q23" s="38"/>
      <c r="R23" s="39">
        <f t="shared" si="0"/>
        <v>0</v>
      </c>
      <c r="S23" s="8" t="e">
        <f t="shared" si="2"/>
        <v>#DIV/0!</v>
      </c>
    </row>
    <row r="24" spans="1:19" ht="18" customHeight="1" x14ac:dyDescent="0.15">
      <c r="A24" s="6"/>
      <c r="B24" s="11"/>
      <c r="C24" s="38"/>
      <c r="D24" s="39"/>
      <c r="E24" s="40"/>
      <c r="F24" s="41"/>
      <c r="G24" s="41"/>
      <c r="H24" s="41"/>
      <c r="I24" s="41"/>
      <c r="J24" s="41"/>
      <c r="K24" s="41"/>
      <c r="L24" s="41"/>
      <c r="M24" s="41"/>
      <c r="N24" s="41"/>
      <c r="O24" s="41"/>
      <c r="P24" s="41"/>
      <c r="Q24" s="38"/>
      <c r="R24" s="39">
        <f t="shared" si="0"/>
        <v>0</v>
      </c>
      <c r="S24" s="8" t="e">
        <f t="shared" si="2"/>
        <v>#DIV/0!</v>
      </c>
    </row>
    <row r="25" spans="1:19" ht="18" customHeight="1" x14ac:dyDescent="0.15">
      <c r="A25" s="6"/>
      <c r="B25" s="11"/>
      <c r="C25" s="38"/>
      <c r="D25" s="39"/>
      <c r="E25" s="40"/>
      <c r="F25" s="41"/>
      <c r="G25" s="41"/>
      <c r="H25" s="41"/>
      <c r="I25" s="41"/>
      <c r="J25" s="41"/>
      <c r="K25" s="41"/>
      <c r="L25" s="41"/>
      <c r="M25" s="41"/>
      <c r="N25" s="41"/>
      <c r="O25" s="41"/>
      <c r="P25" s="41"/>
      <c r="Q25" s="38"/>
      <c r="R25" s="39">
        <f t="shared" si="0"/>
        <v>0</v>
      </c>
      <c r="S25" s="8" t="e">
        <f t="shared" si="2"/>
        <v>#DIV/0!</v>
      </c>
    </row>
    <row r="26" spans="1:19" ht="18" customHeight="1" x14ac:dyDescent="0.15">
      <c r="A26" s="6"/>
      <c r="B26" s="11"/>
      <c r="C26" s="38"/>
      <c r="D26" s="39"/>
      <c r="E26" s="40"/>
      <c r="F26" s="41"/>
      <c r="G26" s="41"/>
      <c r="H26" s="41"/>
      <c r="I26" s="41"/>
      <c r="J26" s="41"/>
      <c r="K26" s="41"/>
      <c r="L26" s="41"/>
      <c r="M26" s="41"/>
      <c r="N26" s="41"/>
      <c r="O26" s="41"/>
      <c r="P26" s="41"/>
      <c r="Q26" s="38"/>
      <c r="R26" s="39">
        <f t="shared" si="0"/>
        <v>0</v>
      </c>
      <c r="S26" s="8" t="e">
        <f t="shared" si="2"/>
        <v>#DIV/0!</v>
      </c>
    </row>
    <row r="27" spans="1:19" ht="18" customHeight="1" x14ac:dyDescent="0.15">
      <c r="A27" s="6"/>
      <c r="B27" s="11"/>
      <c r="C27" s="38"/>
      <c r="D27" s="39"/>
      <c r="E27" s="40"/>
      <c r="F27" s="41"/>
      <c r="G27" s="41"/>
      <c r="H27" s="41"/>
      <c r="I27" s="41"/>
      <c r="J27" s="41"/>
      <c r="K27" s="41"/>
      <c r="L27" s="41"/>
      <c r="M27" s="41"/>
      <c r="N27" s="41"/>
      <c r="O27" s="41"/>
      <c r="P27" s="41"/>
      <c r="Q27" s="38"/>
      <c r="R27" s="39">
        <f t="shared" si="0"/>
        <v>0</v>
      </c>
      <c r="S27" s="8" t="e">
        <f t="shared" si="2"/>
        <v>#DIV/0!</v>
      </c>
    </row>
    <row r="28" spans="1:19" ht="18" customHeight="1" x14ac:dyDescent="0.15">
      <c r="A28" s="6"/>
      <c r="B28" s="11"/>
      <c r="C28" s="38"/>
      <c r="D28" s="39"/>
      <c r="E28" s="40"/>
      <c r="F28" s="41"/>
      <c r="G28" s="41"/>
      <c r="H28" s="41"/>
      <c r="I28" s="41"/>
      <c r="J28" s="41"/>
      <c r="K28" s="41"/>
      <c r="L28" s="41"/>
      <c r="M28" s="41"/>
      <c r="N28" s="41"/>
      <c r="O28" s="41"/>
      <c r="P28" s="41"/>
      <c r="Q28" s="38"/>
      <c r="R28" s="39">
        <f t="shared" si="0"/>
        <v>0</v>
      </c>
      <c r="S28" s="8" t="e">
        <f t="shared" si="2"/>
        <v>#DIV/0!</v>
      </c>
    </row>
    <row r="29" spans="1:19" ht="18" customHeight="1" x14ac:dyDescent="0.15">
      <c r="A29" s="6"/>
      <c r="B29" s="11"/>
      <c r="C29" s="38"/>
      <c r="D29" s="39"/>
      <c r="E29" s="40"/>
      <c r="F29" s="41"/>
      <c r="G29" s="41"/>
      <c r="H29" s="41"/>
      <c r="I29" s="41"/>
      <c r="J29" s="41"/>
      <c r="K29" s="41"/>
      <c r="L29" s="41"/>
      <c r="M29" s="41"/>
      <c r="N29" s="41"/>
      <c r="O29" s="41"/>
      <c r="P29" s="41"/>
      <c r="Q29" s="38"/>
      <c r="R29" s="39">
        <f t="shared" si="0"/>
        <v>0</v>
      </c>
      <c r="S29" s="8" t="e">
        <f t="shared" si="2"/>
        <v>#DIV/0!</v>
      </c>
    </row>
    <row r="30" spans="1:19" ht="18" customHeight="1" x14ac:dyDescent="0.15">
      <c r="A30" s="6"/>
      <c r="B30" s="11"/>
      <c r="C30" s="38"/>
      <c r="D30" s="42"/>
      <c r="E30" s="40"/>
      <c r="F30" s="41"/>
      <c r="G30" s="41"/>
      <c r="H30" s="41"/>
      <c r="I30" s="41"/>
      <c r="J30" s="41"/>
      <c r="K30" s="41"/>
      <c r="L30" s="41"/>
      <c r="M30" s="41"/>
      <c r="N30" s="41"/>
      <c r="O30" s="41"/>
      <c r="P30" s="41"/>
      <c r="Q30" s="38"/>
      <c r="R30" s="42">
        <f t="shared" si="0"/>
        <v>0</v>
      </c>
      <c r="S30" s="8" t="e">
        <f t="shared" si="2"/>
        <v>#DIV/0!</v>
      </c>
    </row>
    <row r="31" spans="1:19" ht="18" customHeight="1" x14ac:dyDescent="0.15">
      <c r="A31" s="6"/>
      <c r="B31" s="11"/>
      <c r="C31" s="38"/>
      <c r="D31" s="42"/>
      <c r="E31" s="40"/>
      <c r="F31" s="41"/>
      <c r="G31" s="41"/>
      <c r="H31" s="41"/>
      <c r="I31" s="41"/>
      <c r="J31" s="41"/>
      <c r="K31" s="41"/>
      <c r="L31" s="41"/>
      <c r="M31" s="41"/>
      <c r="N31" s="41"/>
      <c r="O31" s="41"/>
      <c r="P31" s="41"/>
      <c r="Q31" s="38"/>
      <c r="R31" s="42">
        <f t="shared" si="0"/>
        <v>0</v>
      </c>
      <c r="S31" s="8" t="e">
        <f t="shared" si="2"/>
        <v>#DIV/0!</v>
      </c>
    </row>
    <row r="32" spans="1:19" ht="18" customHeight="1" thickBot="1" x14ac:dyDescent="0.2">
      <c r="A32" s="6"/>
      <c r="B32" s="12"/>
      <c r="C32" s="35"/>
      <c r="D32" s="43"/>
      <c r="E32" s="37"/>
      <c r="F32" s="37"/>
      <c r="G32" s="37"/>
      <c r="H32" s="37"/>
      <c r="I32" s="37"/>
      <c r="J32" s="37"/>
      <c r="K32" s="37"/>
      <c r="L32" s="37"/>
      <c r="M32" s="37"/>
      <c r="N32" s="37"/>
      <c r="O32" s="37"/>
      <c r="P32" s="37"/>
      <c r="Q32" s="38"/>
      <c r="R32" s="43">
        <f t="shared" si="0"/>
        <v>0</v>
      </c>
      <c r="S32" s="7" t="e">
        <f t="shared" si="2"/>
        <v>#DIV/0!</v>
      </c>
    </row>
    <row r="33" spans="2:19" ht="18" customHeight="1" thickTop="1" x14ac:dyDescent="0.15">
      <c r="B33" s="13" t="s">
        <v>33</v>
      </c>
      <c r="C33" s="44">
        <f t="shared" ref="C33:H33" si="3">SUM(C13:C32)</f>
        <v>6997</v>
      </c>
      <c r="D33" s="45">
        <f t="shared" si="3"/>
        <v>1976</v>
      </c>
      <c r="E33" s="46">
        <f t="shared" si="3"/>
        <v>7980</v>
      </c>
      <c r="F33" s="46">
        <f t="shared" si="3"/>
        <v>17</v>
      </c>
      <c r="G33" s="46">
        <f t="shared" si="3"/>
        <v>16</v>
      </c>
      <c r="H33" s="46">
        <f t="shared" si="3"/>
        <v>0</v>
      </c>
      <c r="I33" s="46">
        <f t="shared" ref="I33:J33" si="4">SUM(I13:I32)</f>
        <v>0</v>
      </c>
      <c r="J33" s="46">
        <f t="shared" si="4"/>
        <v>0</v>
      </c>
      <c r="K33" s="46">
        <f t="shared" ref="K33:O33" si="5">SUM(K13:K32)</f>
        <v>0</v>
      </c>
      <c r="L33" s="46">
        <f t="shared" si="5"/>
        <v>0</v>
      </c>
      <c r="M33" s="46">
        <f t="shared" si="5"/>
        <v>0</v>
      </c>
      <c r="N33" s="46">
        <f t="shared" si="5"/>
        <v>0</v>
      </c>
      <c r="O33" s="46">
        <f t="shared" si="5"/>
        <v>0</v>
      </c>
      <c r="P33" s="46">
        <f t="shared" ref="P33:Q33" si="6">SUM(P13:P32)</f>
        <v>0</v>
      </c>
      <c r="Q33" s="44">
        <f t="shared" si="6"/>
        <v>0</v>
      </c>
      <c r="R33" s="45">
        <f>SUM(R13:R32)</f>
        <v>17</v>
      </c>
      <c r="S33" s="9">
        <f>R33/E33</f>
        <v>2.1303258145363409E-3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K109" sqref="K109"/>
    </sheetView>
  </sheetViews>
  <sheetFormatPr defaultColWidth="11.375" defaultRowHeight="18.75" customHeight="1" x14ac:dyDescent="0.15"/>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9" t="s">
        <v>59</v>
      </c>
      <c r="I1" s="17" t="s">
        <v>91</v>
      </c>
    </row>
    <row r="2" spans="1:9" ht="18.75" customHeight="1" x14ac:dyDescent="0.15">
      <c r="G2" s="17" t="s">
        <v>93</v>
      </c>
      <c r="H2" s="88" t="str">
        <f>'様式１　プログラムを構成する授業科目'!C2</f>
        <v>大阪産業大学</v>
      </c>
      <c r="I2" s="90"/>
    </row>
    <row r="3" spans="1:9" ht="18.75" customHeight="1" x14ac:dyDescent="0.15">
      <c r="G3" s="17"/>
      <c r="H3" s="10"/>
      <c r="I3" s="10"/>
    </row>
    <row r="4" spans="1:9" ht="18.600000000000001" customHeight="1" x14ac:dyDescent="0.15">
      <c r="A4" s="122" t="s">
        <v>36</v>
      </c>
      <c r="B4" s="122"/>
      <c r="C4" s="122"/>
      <c r="D4" s="122"/>
      <c r="E4" s="122"/>
      <c r="F4" s="122"/>
      <c r="G4" s="122"/>
      <c r="H4" s="122"/>
      <c r="I4" s="122"/>
    </row>
    <row r="5" spans="1:9" ht="13.15" customHeight="1" x14ac:dyDescent="0.15">
      <c r="B5" s="3"/>
      <c r="C5" s="3"/>
      <c r="D5" s="3"/>
      <c r="E5" s="3"/>
      <c r="F5" s="3"/>
      <c r="G5" s="3"/>
      <c r="H5" s="3"/>
      <c r="I5" s="3"/>
    </row>
    <row r="6" spans="1:9" ht="18" customHeight="1" x14ac:dyDescent="0.15">
      <c r="A6" s="1" t="s">
        <v>0</v>
      </c>
      <c r="B6" s="10" t="s">
        <v>81</v>
      </c>
      <c r="C6" s="216" t="s">
        <v>82</v>
      </c>
      <c r="D6" s="216"/>
      <c r="E6" s="16">
        <v>210</v>
      </c>
      <c r="F6" s="3" t="s">
        <v>1</v>
      </c>
      <c r="G6" s="3" t="s">
        <v>2</v>
      </c>
      <c r="H6" s="16">
        <v>526</v>
      </c>
      <c r="I6" s="10" t="s">
        <v>1</v>
      </c>
    </row>
    <row r="7" spans="1:9" ht="12" customHeight="1" x14ac:dyDescent="0.15">
      <c r="C7" s="2"/>
      <c r="D7" s="2"/>
      <c r="E7" s="2"/>
      <c r="F7" s="2"/>
      <c r="G7" s="2"/>
      <c r="H7" s="2"/>
      <c r="I7" s="20"/>
    </row>
    <row r="8" spans="1:9" ht="18" customHeight="1" x14ac:dyDescent="0.15">
      <c r="A8" s="1" t="s">
        <v>3</v>
      </c>
      <c r="B8" s="10" t="s">
        <v>83</v>
      </c>
      <c r="E8" s="3"/>
      <c r="F8" s="3"/>
      <c r="G8" s="3"/>
      <c r="H8" s="16">
        <v>2</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7" t="s">
        <v>41</v>
      </c>
      <c r="C11" s="208" t="s">
        <v>156</v>
      </c>
      <c r="D11" s="215"/>
      <c r="E11" s="214"/>
      <c r="F11" s="20"/>
      <c r="G11" s="17" t="s">
        <v>10</v>
      </c>
      <c r="H11" s="208" t="s">
        <v>157</v>
      </c>
      <c r="I11" s="214"/>
    </row>
    <row r="12" spans="1:9" ht="10.15" customHeight="1" x14ac:dyDescent="0.15">
      <c r="B12" s="17"/>
      <c r="C12" s="10"/>
      <c r="D12" s="20"/>
      <c r="E12" s="20"/>
      <c r="F12" s="20"/>
      <c r="G12" s="17"/>
      <c r="H12" s="10"/>
      <c r="I12" s="20"/>
    </row>
    <row r="13" spans="1:9" ht="18" customHeight="1" x14ac:dyDescent="0.15">
      <c r="A13" s="1" t="s">
        <v>7</v>
      </c>
      <c r="B13" s="10" t="s">
        <v>79</v>
      </c>
      <c r="C13" s="3"/>
      <c r="D13" s="3"/>
      <c r="E13" s="3"/>
      <c r="F13" s="3"/>
      <c r="G13" s="3"/>
      <c r="H13" s="3"/>
      <c r="I13" s="3"/>
    </row>
    <row r="14" spans="1:9" ht="18" customHeight="1" x14ac:dyDescent="0.15">
      <c r="B14" s="208" t="s">
        <v>158</v>
      </c>
      <c r="C14" s="209"/>
      <c r="D14" s="209"/>
      <c r="E14" s="209"/>
      <c r="F14" s="209"/>
      <c r="G14" s="209"/>
      <c r="H14" s="209"/>
      <c r="I14" s="210"/>
    </row>
    <row r="15" spans="1:9" ht="9" customHeight="1" x14ac:dyDescent="0.15">
      <c r="B15" s="3"/>
      <c r="C15" s="3"/>
      <c r="D15" s="3"/>
      <c r="E15" s="3"/>
      <c r="F15" s="3"/>
      <c r="G15" s="3"/>
      <c r="H15" s="3"/>
      <c r="I15" s="3"/>
    </row>
    <row r="16" spans="1:9" ht="18" customHeight="1" x14ac:dyDescent="0.15">
      <c r="B16" s="17" t="s">
        <v>41</v>
      </c>
      <c r="C16" s="211" t="s">
        <v>159</v>
      </c>
      <c r="D16" s="212"/>
      <c r="E16" s="213"/>
      <c r="F16" s="20"/>
      <c r="G16" s="17" t="s">
        <v>10</v>
      </c>
      <c r="H16" s="208" t="s">
        <v>160</v>
      </c>
      <c r="I16" s="214"/>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4" t="s">
        <v>161</v>
      </c>
      <c r="C19" s="195"/>
      <c r="D19" s="195"/>
      <c r="E19" s="195"/>
      <c r="F19" s="195"/>
      <c r="G19" s="195"/>
      <c r="H19" s="195"/>
      <c r="I19" s="19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7" t="s">
        <v>162</v>
      </c>
      <c r="C22" s="198"/>
      <c r="D22" s="198"/>
      <c r="E22" s="198"/>
      <c r="F22" s="198"/>
      <c r="G22" s="198"/>
      <c r="H22" s="198"/>
      <c r="I22" s="199"/>
    </row>
    <row r="23" spans="1:9" ht="18.75" customHeight="1" x14ac:dyDescent="0.15">
      <c r="A23" s="14"/>
      <c r="B23" s="200"/>
      <c r="C23" s="201"/>
      <c r="D23" s="201"/>
      <c r="E23" s="201"/>
      <c r="F23" s="201"/>
      <c r="G23" s="201"/>
      <c r="H23" s="201"/>
      <c r="I23" s="202"/>
    </row>
    <row r="24" spans="1:9" ht="18.75" customHeight="1" x14ac:dyDescent="0.15">
      <c r="A24" s="14"/>
      <c r="B24" s="200"/>
      <c r="C24" s="201"/>
      <c r="D24" s="201"/>
      <c r="E24" s="201"/>
      <c r="F24" s="201"/>
      <c r="G24" s="201"/>
      <c r="H24" s="201"/>
      <c r="I24" s="202"/>
    </row>
    <row r="25" spans="1:9" ht="18.75" customHeight="1" x14ac:dyDescent="0.15">
      <c r="A25" s="14"/>
      <c r="B25" s="200"/>
      <c r="C25" s="201"/>
      <c r="D25" s="201"/>
      <c r="E25" s="201"/>
      <c r="F25" s="201"/>
      <c r="G25" s="201"/>
      <c r="H25" s="201"/>
      <c r="I25" s="202"/>
    </row>
    <row r="26" spans="1:9" ht="18.75" customHeight="1" x14ac:dyDescent="0.15">
      <c r="A26" s="14"/>
      <c r="B26" s="200"/>
      <c r="C26" s="201"/>
      <c r="D26" s="201"/>
      <c r="E26" s="201"/>
      <c r="F26" s="201"/>
      <c r="G26" s="201"/>
      <c r="H26" s="201"/>
      <c r="I26" s="202"/>
    </row>
    <row r="27" spans="1:9" ht="18.75" customHeight="1" x14ac:dyDescent="0.15">
      <c r="A27" s="14"/>
      <c r="B27" s="200"/>
      <c r="C27" s="201"/>
      <c r="D27" s="201"/>
      <c r="E27" s="201"/>
      <c r="F27" s="201"/>
      <c r="G27" s="201"/>
      <c r="H27" s="201"/>
      <c r="I27" s="202"/>
    </row>
    <row r="28" spans="1:9" ht="18.75" customHeight="1" x14ac:dyDescent="0.15">
      <c r="A28" s="14"/>
      <c r="B28" s="200"/>
      <c r="C28" s="201"/>
      <c r="D28" s="201"/>
      <c r="E28" s="201"/>
      <c r="F28" s="201"/>
      <c r="G28" s="201"/>
      <c r="H28" s="201"/>
      <c r="I28" s="202"/>
    </row>
    <row r="29" spans="1:9" ht="18.75" customHeight="1" x14ac:dyDescent="0.15">
      <c r="A29" s="14"/>
      <c r="B29" s="200"/>
      <c r="C29" s="201"/>
      <c r="D29" s="201"/>
      <c r="E29" s="201"/>
      <c r="F29" s="201"/>
      <c r="G29" s="201"/>
      <c r="H29" s="201"/>
      <c r="I29" s="202"/>
    </row>
    <row r="30" spans="1:9" ht="18.75" customHeight="1" x14ac:dyDescent="0.15">
      <c r="A30" s="14"/>
      <c r="B30" s="203"/>
      <c r="C30" s="204"/>
      <c r="D30" s="204"/>
      <c r="E30" s="204"/>
      <c r="F30" s="204"/>
      <c r="G30" s="204"/>
      <c r="H30" s="204"/>
      <c r="I30" s="202"/>
    </row>
    <row r="31" spans="1:9" ht="18.75" customHeight="1" x14ac:dyDescent="0.15">
      <c r="A31" s="14"/>
      <c r="B31" s="203"/>
      <c r="C31" s="204"/>
      <c r="D31" s="204"/>
      <c r="E31" s="204"/>
      <c r="F31" s="204"/>
      <c r="G31" s="204"/>
      <c r="H31" s="204"/>
      <c r="I31" s="202"/>
    </row>
    <row r="32" spans="1:9" ht="18.75" customHeight="1" x14ac:dyDescent="0.15">
      <c r="A32" s="14"/>
      <c r="B32" s="205"/>
      <c r="C32" s="206"/>
      <c r="D32" s="206"/>
      <c r="E32" s="206"/>
      <c r="F32" s="206"/>
      <c r="G32" s="206"/>
      <c r="H32" s="206"/>
      <c r="I32" s="207"/>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7" t="s">
        <v>186</v>
      </c>
      <c r="C35" s="198"/>
      <c r="D35" s="198"/>
      <c r="E35" s="198"/>
      <c r="F35" s="198"/>
      <c r="G35" s="198"/>
      <c r="H35" s="198"/>
      <c r="I35" s="199"/>
    </row>
    <row r="36" spans="1:9" ht="18.75" customHeight="1" x14ac:dyDescent="0.15">
      <c r="A36" s="14"/>
      <c r="B36" s="203"/>
      <c r="C36" s="204"/>
      <c r="D36" s="204"/>
      <c r="E36" s="204"/>
      <c r="F36" s="204"/>
      <c r="G36" s="204"/>
      <c r="H36" s="204"/>
      <c r="I36" s="202"/>
    </row>
    <row r="37" spans="1:9" ht="18.75" customHeight="1" x14ac:dyDescent="0.15">
      <c r="A37" s="14"/>
      <c r="B37" s="203"/>
      <c r="C37" s="204"/>
      <c r="D37" s="204"/>
      <c r="E37" s="204"/>
      <c r="F37" s="204"/>
      <c r="G37" s="204"/>
      <c r="H37" s="204"/>
      <c r="I37" s="202"/>
    </row>
    <row r="38" spans="1:9" ht="18.75" customHeight="1" x14ac:dyDescent="0.15">
      <c r="A38" s="14"/>
      <c r="B38" s="203"/>
      <c r="C38" s="204"/>
      <c r="D38" s="204"/>
      <c r="E38" s="204"/>
      <c r="F38" s="204"/>
      <c r="G38" s="204"/>
      <c r="H38" s="204"/>
      <c r="I38" s="202"/>
    </row>
    <row r="39" spans="1:9" ht="18.75" customHeight="1" x14ac:dyDescent="0.15">
      <c r="A39" s="14"/>
      <c r="B39" s="203"/>
      <c r="C39" s="204"/>
      <c r="D39" s="204"/>
      <c r="E39" s="204"/>
      <c r="F39" s="204"/>
      <c r="G39" s="204"/>
      <c r="H39" s="204"/>
      <c r="I39" s="202"/>
    </row>
    <row r="40" spans="1:9" ht="18.75" customHeight="1" x14ac:dyDescent="0.15">
      <c r="A40" s="14"/>
      <c r="B40" s="203"/>
      <c r="C40" s="204"/>
      <c r="D40" s="204"/>
      <c r="E40" s="204"/>
      <c r="F40" s="204"/>
      <c r="G40" s="204"/>
      <c r="H40" s="204"/>
      <c r="I40" s="202"/>
    </row>
    <row r="41" spans="1:9" ht="18.75" customHeight="1" x14ac:dyDescent="0.15">
      <c r="A41" s="14"/>
      <c r="B41" s="203"/>
      <c r="C41" s="204"/>
      <c r="D41" s="204"/>
      <c r="E41" s="204"/>
      <c r="F41" s="204"/>
      <c r="G41" s="204"/>
      <c r="H41" s="204"/>
      <c r="I41" s="202"/>
    </row>
    <row r="42" spans="1:9" ht="18.75" customHeight="1" x14ac:dyDescent="0.15">
      <c r="A42" s="14"/>
      <c r="B42" s="203"/>
      <c r="C42" s="204"/>
      <c r="D42" s="204"/>
      <c r="E42" s="204"/>
      <c r="F42" s="204"/>
      <c r="G42" s="204"/>
      <c r="H42" s="204"/>
      <c r="I42" s="202"/>
    </row>
    <row r="43" spans="1:9" ht="18.75" customHeight="1" x14ac:dyDescent="0.15">
      <c r="A43" s="14"/>
      <c r="B43" s="203"/>
      <c r="C43" s="204"/>
      <c r="D43" s="204"/>
      <c r="E43" s="204"/>
      <c r="F43" s="204"/>
      <c r="G43" s="204"/>
      <c r="H43" s="204"/>
      <c r="I43" s="202"/>
    </row>
    <row r="44" spans="1:9" ht="18.75" customHeight="1" x14ac:dyDescent="0.15">
      <c r="A44" s="14"/>
      <c r="B44" s="203"/>
      <c r="C44" s="204"/>
      <c r="D44" s="204"/>
      <c r="E44" s="204"/>
      <c r="F44" s="204"/>
      <c r="G44" s="204"/>
      <c r="H44" s="204"/>
      <c r="I44" s="202"/>
    </row>
    <row r="45" spans="1:9" ht="18.75" customHeight="1" x14ac:dyDescent="0.15">
      <c r="A45" s="14"/>
      <c r="B45" s="203"/>
      <c r="C45" s="204"/>
      <c r="D45" s="204"/>
      <c r="E45" s="204"/>
      <c r="F45" s="204"/>
      <c r="G45" s="204"/>
      <c r="H45" s="204"/>
      <c r="I45" s="202"/>
    </row>
    <row r="46" spans="1:9" ht="18.75" customHeight="1" x14ac:dyDescent="0.15">
      <c r="A46" s="14"/>
      <c r="B46" s="205"/>
      <c r="C46" s="206"/>
      <c r="D46" s="206"/>
      <c r="E46" s="206"/>
      <c r="F46" s="206"/>
      <c r="G46" s="206"/>
      <c r="H46" s="206"/>
      <c r="I46" s="207"/>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182">
        <f>'様式２ 履修者等数の実績'!S33</f>
        <v>2.1303258145363409E-3</v>
      </c>
      <c r="D49" s="182"/>
      <c r="E49" s="79" t="s">
        <v>60</v>
      </c>
      <c r="F49" s="183">
        <v>0.04</v>
      </c>
      <c r="G49" s="183"/>
      <c r="H49" s="79" t="s">
        <v>80</v>
      </c>
      <c r="I49" s="21">
        <v>0.08</v>
      </c>
      <c r="J49" s="1"/>
      <c r="M49" s="1"/>
      <c r="N49" s="22"/>
    </row>
    <row r="50" spans="1:15" s="3" customFormat="1" ht="18.75" customHeight="1" x14ac:dyDescent="0.15">
      <c r="B50" s="80" t="s">
        <v>116</v>
      </c>
      <c r="C50" s="165">
        <v>0.12</v>
      </c>
      <c r="D50" s="165"/>
      <c r="E50" s="80" t="s">
        <v>130</v>
      </c>
      <c r="F50" s="165">
        <v>0.16</v>
      </c>
      <c r="G50" s="165"/>
      <c r="H50" s="80" t="s">
        <v>61</v>
      </c>
      <c r="I50" s="23">
        <v>7980</v>
      </c>
      <c r="J50" s="1"/>
      <c r="M50" s="1"/>
      <c r="N50" s="22"/>
    </row>
    <row r="51" spans="1:15" ht="18.75" customHeight="1" x14ac:dyDescent="0.15">
      <c r="A51" s="1"/>
      <c r="B51" s="218" t="s">
        <v>62</v>
      </c>
      <c r="C51" s="219"/>
      <c r="D51" s="219"/>
      <c r="E51" s="219"/>
      <c r="F51" s="219"/>
      <c r="G51" s="219"/>
      <c r="H51" s="219"/>
      <c r="I51" s="220"/>
      <c r="N51" s="22"/>
      <c r="O51" s="3"/>
    </row>
    <row r="52" spans="1:15" ht="18.75" customHeight="1" x14ac:dyDescent="0.15">
      <c r="A52" s="1"/>
      <c r="B52" s="184" t="s">
        <v>163</v>
      </c>
      <c r="C52" s="185"/>
      <c r="D52" s="185"/>
      <c r="E52" s="185"/>
      <c r="F52" s="185"/>
      <c r="G52" s="185"/>
      <c r="H52" s="185"/>
      <c r="I52" s="186"/>
      <c r="N52" s="22"/>
      <c r="O52" s="3"/>
    </row>
    <row r="53" spans="1:15" ht="18.75" customHeight="1" x14ac:dyDescent="0.15">
      <c r="A53" s="1"/>
      <c r="B53" s="187"/>
      <c r="C53" s="188"/>
      <c r="D53" s="188"/>
      <c r="E53" s="188"/>
      <c r="F53" s="188"/>
      <c r="G53" s="188"/>
      <c r="H53" s="188"/>
      <c r="I53" s="189"/>
      <c r="N53" s="22"/>
      <c r="O53" s="3"/>
    </row>
    <row r="54" spans="1:15" ht="18.75" customHeight="1" x14ac:dyDescent="0.15">
      <c r="A54" s="1"/>
      <c r="B54" s="187"/>
      <c r="C54" s="188"/>
      <c r="D54" s="188"/>
      <c r="E54" s="188"/>
      <c r="F54" s="188"/>
      <c r="G54" s="188"/>
      <c r="H54" s="188"/>
      <c r="I54" s="189"/>
    </row>
    <row r="55" spans="1:15" ht="18.75" customHeight="1" x14ac:dyDescent="0.15">
      <c r="A55" s="1"/>
      <c r="B55" s="187"/>
      <c r="C55" s="188"/>
      <c r="D55" s="188"/>
      <c r="E55" s="188"/>
      <c r="F55" s="188"/>
      <c r="G55" s="188"/>
      <c r="H55" s="188"/>
      <c r="I55" s="189"/>
    </row>
    <row r="56" spans="1:15" ht="18.75" customHeight="1" x14ac:dyDescent="0.15">
      <c r="A56" s="1"/>
      <c r="B56" s="187"/>
      <c r="C56" s="188"/>
      <c r="D56" s="188"/>
      <c r="E56" s="188"/>
      <c r="F56" s="188"/>
      <c r="G56" s="188"/>
      <c r="H56" s="188"/>
      <c r="I56" s="189"/>
    </row>
    <row r="57" spans="1:15" ht="18.75" customHeight="1" x14ac:dyDescent="0.15">
      <c r="A57" s="1"/>
      <c r="B57" s="187"/>
      <c r="C57" s="188"/>
      <c r="D57" s="188"/>
      <c r="E57" s="188"/>
      <c r="F57" s="188"/>
      <c r="G57" s="188"/>
      <c r="H57" s="188"/>
      <c r="I57" s="189"/>
    </row>
    <row r="58" spans="1:15" ht="18.75" customHeight="1" x14ac:dyDescent="0.15">
      <c r="A58" s="1"/>
      <c r="B58" s="187"/>
      <c r="C58" s="188"/>
      <c r="D58" s="188"/>
      <c r="E58" s="188"/>
      <c r="F58" s="188"/>
      <c r="G58" s="188"/>
      <c r="H58" s="188"/>
      <c r="I58" s="189"/>
    </row>
    <row r="59" spans="1:15" ht="18.75" customHeight="1" x14ac:dyDescent="0.15">
      <c r="A59" s="1"/>
      <c r="B59" s="187"/>
      <c r="C59" s="188"/>
      <c r="D59" s="188"/>
      <c r="E59" s="188"/>
      <c r="F59" s="188"/>
      <c r="G59" s="188"/>
      <c r="H59" s="188"/>
      <c r="I59" s="189"/>
    </row>
    <row r="60" spans="1:15" ht="18.75" customHeight="1" x14ac:dyDescent="0.15">
      <c r="A60" s="1"/>
      <c r="B60" s="187"/>
      <c r="C60" s="188"/>
      <c r="D60" s="188"/>
      <c r="E60" s="188"/>
      <c r="F60" s="188"/>
      <c r="G60" s="188"/>
      <c r="H60" s="188"/>
      <c r="I60" s="189"/>
    </row>
    <row r="61" spans="1:15" ht="18.75" customHeight="1" x14ac:dyDescent="0.15">
      <c r="A61" s="1"/>
      <c r="B61" s="187"/>
      <c r="C61" s="188"/>
      <c r="D61" s="188"/>
      <c r="E61" s="188"/>
      <c r="F61" s="188"/>
      <c r="G61" s="188"/>
      <c r="H61" s="188"/>
      <c r="I61" s="189"/>
    </row>
    <row r="62" spans="1:15" ht="18.75" customHeight="1" x14ac:dyDescent="0.15">
      <c r="A62" s="1"/>
      <c r="B62" s="187"/>
      <c r="C62" s="188"/>
      <c r="D62" s="188"/>
      <c r="E62" s="188"/>
      <c r="F62" s="188"/>
      <c r="G62" s="188"/>
      <c r="H62" s="188"/>
      <c r="I62" s="189"/>
    </row>
    <row r="63" spans="1:15" ht="18.75" customHeight="1" x14ac:dyDescent="0.15">
      <c r="A63" s="1"/>
      <c r="B63" s="190"/>
      <c r="C63" s="191"/>
      <c r="D63" s="191"/>
      <c r="E63" s="191"/>
      <c r="F63" s="191"/>
      <c r="G63" s="191"/>
      <c r="H63" s="191"/>
      <c r="I63" s="19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6" t="s">
        <v>187</v>
      </c>
      <c r="C66" s="167"/>
      <c r="D66" s="167"/>
      <c r="E66" s="167"/>
      <c r="F66" s="167"/>
      <c r="G66" s="167"/>
      <c r="H66" s="167"/>
      <c r="I66" s="168"/>
    </row>
    <row r="67" spans="1:9" ht="18.75" customHeight="1" x14ac:dyDescent="0.15">
      <c r="A67" s="4"/>
      <c r="B67" s="169"/>
      <c r="C67" s="170"/>
      <c r="D67" s="170"/>
      <c r="E67" s="170"/>
      <c r="F67" s="170"/>
      <c r="G67" s="170"/>
      <c r="H67" s="170"/>
      <c r="I67" s="171"/>
    </row>
    <row r="68" spans="1:9" ht="18.75" customHeight="1" x14ac:dyDescent="0.15">
      <c r="A68" s="4"/>
      <c r="B68" s="169"/>
      <c r="C68" s="170"/>
      <c r="D68" s="170"/>
      <c r="E68" s="170"/>
      <c r="F68" s="170"/>
      <c r="G68" s="170"/>
      <c r="H68" s="170"/>
      <c r="I68" s="171"/>
    </row>
    <row r="69" spans="1:9" ht="18.75" customHeight="1" x14ac:dyDescent="0.15">
      <c r="A69" s="4"/>
      <c r="B69" s="169"/>
      <c r="C69" s="170"/>
      <c r="D69" s="170"/>
      <c r="E69" s="170"/>
      <c r="F69" s="170"/>
      <c r="G69" s="170"/>
      <c r="H69" s="170"/>
      <c r="I69" s="171"/>
    </row>
    <row r="70" spans="1:9" ht="18.75" customHeight="1" x14ac:dyDescent="0.15">
      <c r="A70" s="4"/>
      <c r="B70" s="169"/>
      <c r="C70" s="170"/>
      <c r="D70" s="170"/>
      <c r="E70" s="170"/>
      <c r="F70" s="170"/>
      <c r="G70" s="170"/>
      <c r="H70" s="170"/>
      <c r="I70" s="171"/>
    </row>
    <row r="71" spans="1:9" ht="18.75" customHeight="1" x14ac:dyDescent="0.15">
      <c r="A71" s="4"/>
      <c r="B71" s="169"/>
      <c r="C71" s="170"/>
      <c r="D71" s="170"/>
      <c r="E71" s="170"/>
      <c r="F71" s="170"/>
      <c r="G71" s="170"/>
      <c r="H71" s="170"/>
      <c r="I71" s="171"/>
    </row>
    <row r="72" spans="1:9" ht="18.75" customHeight="1" x14ac:dyDescent="0.15">
      <c r="A72" s="4"/>
      <c r="B72" s="169"/>
      <c r="C72" s="170"/>
      <c r="D72" s="170"/>
      <c r="E72" s="170"/>
      <c r="F72" s="170"/>
      <c r="G72" s="170"/>
      <c r="H72" s="170"/>
      <c r="I72" s="171"/>
    </row>
    <row r="73" spans="1:9" ht="18.75" customHeight="1" x14ac:dyDescent="0.15">
      <c r="A73" s="4"/>
      <c r="B73" s="169"/>
      <c r="C73" s="170"/>
      <c r="D73" s="170"/>
      <c r="E73" s="170"/>
      <c r="F73" s="170"/>
      <c r="G73" s="170"/>
      <c r="H73" s="170"/>
      <c r="I73" s="171"/>
    </row>
    <row r="74" spans="1:9" ht="18.75" customHeight="1" x14ac:dyDescent="0.15">
      <c r="A74" s="4"/>
      <c r="B74" s="169"/>
      <c r="C74" s="170"/>
      <c r="D74" s="170"/>
      <c r="E74" s="170"/>
      <c r="F74" s="170"/>
      <c r="G74" s="170"/>
      <c r="H74" s="170"/>
      <c r="I74" s="171"/>
    </row>
    <row r="75" spans="1:9" ht="18.75" customHeight="1" x14ac:dyDescent="0.15">
      <c r="A75" s="4"/>
      <c r="B75" s="169"/>
      <c r="C75" s="170"/>
      <c r="D75" s="170"/>
      <c r="E75" s="170"/>
      <c r="F75" s="170"/>
      <c r="G75" s="170"/>
      <c r="H75" s="170"/>
      <c r="I75" s="171"/>
    </row>
    <row r="76" spans="1:9" ht="18.75" customHeight="1" x14ac:dyDescent="0.15">
      <c r="A76" s="4"/>
      <c r="B76" s="169"/>
      <c r="C76" s="170"/>
      <c r="D76" s="170"/>
      <c r="E76" s="170"/>
      <c r="F76" s="170"/>
      <c r="G76" s="170"/>
      <c r="H76" s="170"/>
      <c r="I76" s="171"/>
    </row>
    <row r="77" spans="1:9" ht="18.75" customHeight="1" x14ac:dyDescent="0.15">
      <c r="A77" s="4"/>
      <c r="B77" s="172"/>
      <c r="C77" s="173"/>
      <c r="D77" s="173"/>
      <c r="E77" s="173"/>
      <c r="F77" s="173"/>
      <c r="G77" s="173"/>
      <c r="H77" s="173"/>
      <c r="I77" s="174"/>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6" t="s">
        <v>164</v>
      </c>
      <c r="C80" s="167"/>
      <c r="D80" s="167"/>
      <c r="E80" s="167"/>
      <c r="F80" s="167"/>
      <c r="G80" s="167"/>
      <c r="H80" s="167"/>
      <c r="I80" s="175"/>
    </row>
    <row r="81" spans="1:9" ht="18.75" customHeight="1" x14ac:dyDescent="0.15">
      <c r="A81" s="1"/>
      <c r="B81" s="176"/>
      <c r="C81" s="177"/>
      <c r="D81" s="177"/>
      <c r="E81" s="177"/>
      <c r="F81" s="177"/>
      <c r="G81" s="177"/>
      <c r="H81" s="177"/>
      <c r="I81" s="178"/>
    </row>
    <row r="82" spans="1:9" ht="18.75" customHeight="1" x14ac:dyDescent="0.15">
      <c r="A82" s="1"/>
      <c r="B82" s="176"/>
      <c r="C82" s="177"/>
      <c r="D82" s="177"/>
      <c r="E82" s="177"/>
      <c r="F82" s="177"/>
      <c r="G82" s="177"/>
      <c r="H82" s="177"/>
      <c r="I82" s="178"/>
    </row>
    <row r="83" spans="1:9" ht="18.75" customHeight="1" x14ac:dyDescent="0.15">
      <c r="A83" s="1"/>
      <c r="B83" s="176"/>
      <c r="C83" s="177"/>
      <c r="D83" s="177"/>
      <c r="E83" s="177"/>
      <c r="F83" s="177"/>
      <c r="G83" s="177"/>
      <c r="H83" s="177"/>
      <c r="I83" s="178"/>
    </row>
    <row r="84" spans="1:9" ht="18.75" customHeight="1" x14ac:dyDescent="0.15">
      <c r="A84" s="1"/>
      <c r="B84" s="176"/>
      <c r="C84" s="177"/>
      <c r="D84" s="177"/>
      <c r="E84" s="177"/>
      <c r="F84" s="177"/>
      <c r="G84" s="177"/>
      <c r="H84" s="177"/>
      <c r="I84" s="178"/>
    </row>
    <row r="85" spans="1:9" ht="18.75" customHeight="1" x14ac:dyDescent="0.15">
      <c r="A85" s="1"/>
      <c r="B85" s="176"/>
      <c r="C85" s="177"/>
      <c r="D85" s="177"/>
      <c r="E85" s="177"/>
      <c r="F85" s="177"/>
      <c r="G85" s="177"/>
      <c r="H85" s="177"/>
      <c r="I85" s="178"/>
    </row>
    <row r="86" spans="1:9" ht="18.75" customHeight="1" x14ac:dyDescent="0.15">
      <c r="A86" s="1"/>
      <c r="B86" s="176"/>
      <c r="C86" s="177"/>
      <c r="D86" s="177"/>
      <c r="E86" s="177"/>
      <c r="F86" s="177"/>
      <c r="G86" s="177"/>
      <c r="H86" s="177"/>
      <c r="I86" s="178"/>
    </row>
    <row r="87" spans="1:9" ht="18.75" customHeight="1" x14ac:dyDescent="0.15">
      <c r="A87" s="1"/>
      <c r="B87" s="176"/>
      <c r="C87" s="177"/>
      <c r="D87" s="177"/>
      <c r="E87" s="177"/>
      <c r="F87" s="177"/>
      <c r="G87" s="177"/>
      <c r="H87" s="177"/>
      <c r="I87" s="178"/>
    </row>
    <row r="88" spans="1:9" ht="18.75" customHeight="1" x14ac:dyDescent="0.15">
      <c r="A88" s="1"/>
      <c r="B88" s="176"/>
      <c r="C88" s="177"/>
      <c r="D88" s="177"/>
      <c r="E88" s="177"/>
      <c r="F88" s="177"/>
      <c r="G88" s="177"/>
      <c r="H88" s="177"/>
      <c r="I88" s="178"/>
    </row>
    <row r="89" spans="1:9" ht="18.75" customHeight="1" x14ac:dyDescent="0.15">
      <c r="A89" s="1"/>
      <c r="B89" s="176"/>
      <c r="C89" s="177"/>
      <c r="D89" s="177"/>
      <c r="E89" s="177"/>
      <c r="F89" s="177"/>
      <c r="G89" s="177"/>
      <c r="H89" s="177"/>
      <c r="I89" s="178"/>
    </row>
    <row r="90" spans="1:9" ht="18.75" customHeight="1" x14ac:dyDescent="0.15">
      <c r="A90" s="4"/>
      <c r="B90" s="176"/>
      <c r="C90" s="177"/>
      <c r="D90" s="177"/>
      <c r="E90" s="177"/>
      <c r="F90" s="177"/>
      <c r="G90" s="177"/>
      <c r="H90" s="177"/>
      <c r="I90" s="178"/>
    </row>
    <row r="91" spans="1:9" ht="18.75" customHeight="1" x14ac:dyDescent="0.15">
      <c r="A91" s="4"/>
      <c r="B91" s="179"/>
      <c r="C91" s="180"/>
      <c r="D91" s="180"/>
      <c r="E91" s="180"/>
      <c r="F91" s="180"/>
      <c r="G91" s="180"/>
      <c r="H91" s="180"/>
      <c r="I91" s="181"/>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7" t="s">
        <v>188</v>
      </c>
      <c r="C94" s="198"/>
      <c r="D94" s="198"/>
      <c r="E94" s="198"/>
      <c r="F94" s="198"/>
      <c r="G94" s="198"/>
      <c r="H94" s="198"/>
      <c r="I94" s="199"/>
    </row>
    <row r="95" spans="1:9" ht="18.75" customHeight="1" x14ac:dyDescent="0.15">
      <c r="A95" s="1"/>
      <c r="B95" s="203"/>
      <c r="C95" s="204"/>
      <c r="D95" s="204"/>
      <c r="E95" s="204"/>
      <c r="F95" s="204"/>
      <c r="G95" s="204"/>
      <c r="H95" s="204"/>
      <c r="I95" s="202"/>
    </row>
    <row r="96" spans="1:9" ht="18.75" customHeight="1" x14ac:dyDescent="0.15">
      <c r="A96" s="1"/>
      <c r="B96" s="203"/>
      <c r="C96" s="204"/>
      <c r="D96" s="204"/>
      <c r="E96" s="204"/>
      <c r="F96" s="204"/>
      <c r="G96" s="204"/>
      <c r="H96" s="204"/>
      <c r="I96" s="202"/>
    </row>
    <row r="97" spans="1:9" ht="18.75" customHeight="1" x14ac:dyDescent="0.15">
      <c r="A97" s="1"/>
      <c r="B97" s="203"/>
      <c r="C97" s="204"/>
      <c r="D97" s="204"/>
      <c r="E97" s="204"/>
      <c r="F97" s="204"/>
      <c r="G97" s="204"/>
      <c r="H97" s="204"/>
      <c r="I97" s="202"/>
    </row>
    <row r="98" spans="1:9" ht="18.75" customHeight="1" x14ac:dyDescent="0.15">
      <c r="A98" s="1"/>
      <c r="B98" s="203"/>
      <c r="C98" s="204"/>
      <c r="D98" s="204"/>
      <c r="E98" s="204"/>
      <c r="F98" s="204"/>
      <c r="G98" s="204"/>
      <c r="H98" s="204"/>
      <c r="I98" s="202"/>
    </row>
    <row r="99" spans="1:9" ht="18.75" customHeight="1" x14ac:dyDescent="0.15">
      <c r="A99" s="1"/>
      <c r="B99" s="203"/>
      <c r="C99" s="204"/>
      <c r="D99" s="204"/>
      <c r="E99" s="204"/>
      <c r="F99" s="204"/>
      <c r="G99" s="204"/>
      <c r="H99" s="204"/>
      <c r="I99" s="202"/>
    </row>
    <row r="100" spans="1:9" ht="18.75" customHeight="1" x14ac:dyDescent="0.15">
      <c r="A100" s="1"/>
      <c r="B100" s="203"/>
      <c r="C100" s="204"/>
      <c r="D100" s="204"/>
      <c r="E100" s="204"/>
      <c r="F100" s="204"/>
      <c r="G100" s="204"/>
      <c r="H100" s="204"/>
      <c r="I100" s="202"/>
    </row>
    <row r="101" spans="1:9" ht="18.75" customHeight="1" x14ac:dyDescent="0.15">
      <c r="A101" s="1"/>
      <c r="B101" s="203"/>
      <c r="C101" s="204"/>
      <c r="D101" s="204"/>
      <c r="E101" s="204"/>
      <c r="F101" s="204"/>
      <c r="G101" s="204"/>
      <c r="H101" s="204"/>
      <c r="I101" s="202"/>
    </row>
    <row r="102" spans="1:9" ht="18.75" customHeight="1" x14ac:dyDescent="0.15">
      <c r="A102" s="1"/>
      <c r="B102" s="203"/>
      <c r="C102" s="204"/>
      <c r="D102" s="204"/>
      <c r="E102" s="204"/>
      <c r="F102" s="204"/>
      <c r="G102" s="204"/>
      <c r="H102" s="204"/>
      <c r="I102" s="202"/>
    </row>
    <row r="103" spans="1:9" ht="18.75" customHeight="1" x14ac:dyDescent="0.15">
      <c r="A103" s="1"/>
      <c r="B103" s="203"/>
      <c r="C103" s="204"/>
      <c r="D103" s="204"/>
      <c r="E103" s="204"/>
      <c r="F103" s="204"/>
      <c r="G103" s="204"/>
      <c r="H103" s="204"/>
      <c r="I103" s="202"/>
    </row>
    <row r="104" spans="1:9" ht="18.75" customHeight="1" x14ac:dyDescent="0.15">
      <c r="A104" s="1"/>
      <c r="B104" s="203"/>
      <c r="C104" s="204"/>
      <c r="D104" s="204"/>
      <c r="E104" s="204"/>
      <c r="F104" s="204"/>
      <c r="G104" s="204"/>
      <c r="H104" s="204"/>
      <c r="I104" s="202"/>
    </row>
    <row r="105" spans="1:9" ht="18.75" customHeight="1" x14ac:dyDescent="0.15">
      <c r="A105" s="4"/>
      <c r="B105" s="205"/>
      <c r="C105" s="206"/>
      <c r="D105" s="206"/>
      <c r="E105" s="206"/>
      <c r="F105" s="206"/>
      <c r="G105" s="206"/>
      <c r="H105" s="206"/>
      <c r="I105" s="207"/>
    </row>
    <row r="106" spans="1:9" ht="7.5" customHeight="1" x14ac:dyDescent="0.15">
      <c r="A106" s="4"/>
      <c r="B106" s="4"/>
      <c r="C106" s="4"/>
      <c r="D106" s="4"/>
      <c r="E106" s="4"/>
      <c r="F106" s="4"/>
      <c r="G106" s="4"/>
      <c r="H106" s="4"/>
      <c r="I106" s="4"/>
    </row>
    <row r="107" spans="1:9" ht="18.75" customHeight="1" x14ac:dyDescent="0.15">
      <c r="A107" s="1" t="s">
        <v>30</v>
      </c>
      <c r="B107" s="217" t="s">
        <v>44</v>
      </c>
      <c r="C107" s="217"/>
      <c r="D107" s="217"/>
      <c r="E107" s="217"/>
      <c r="F107" s="217"/>
      <c r="G107" s="217"/>
      <c r="H107" s="217"/>
      <c r="I107" s="217"/>
    </row>
    <row r="108" spans="1:9" ht="18.75" customHeight="1" x14ac:dyDescent="0.15">
      <c r="A108" s="4"/>
      <c r="B108" s="197" t="s">
        <v>189</v>
      </c>
      <c r="C108" s="198"/>
      <c r="D108" s="198"/>
      <c r="E108" s="198"/>
      <c r="F108" s="198"/>
      <c r="G108" s="198"/>
      <c r="H108" s="198"/>
      <c r="I108" s="199"/>
    </row>
    <row r="109" spans="1:9" ht="18.75" customHeight="1" x14ac:dyDescent="0.15">
      <c r="A109" s="4"/>
      <c r="B109" s="203"/>
      <c r="C109" s="204"/>
      <c r="D109" s="204"/>
      <c r="E109" s="204"/>
      <c r="F109" s="204"/>
      <c r="G109" s="204"/>
      <c r="H109" s="204"/>
      <c r="I109" s="202"/>
    </row>
    <row r="110" spans="1:9" ht="18.75" customHeight="1" x14ac:dyDescent="0.15">
      <c r="A110" s="4"/>
      <c r="B110" s="203"/>
      <c r="C110" s="204"/>
      <c r="D110" s="204"/>
      <c r="E110" s="204"/>
      <c r="F110" s="204"/>
      <c r="G110" s="204"/>
      <c r="H110" s="204"/>
      <c r="I110" s="202"/>
    </row>
    <row r="111" spans="1:9" ht="18.75" customHeight="1" x14ac:dyDescent="0.15">
      <c r="A111" s="4"/>
      <c r="B111" s="203"/>
      <c r="C111" s="204"/>
      <c r="D111" s="204"/>
      <c r="E111" s="204"/>
      <c r="F111" s="204"/>
      <c r="G111" s="204"/>
      <c r="H111" s="204"/>
      <c r="I111" s="202"/>
    </row>
    <row r="112" spans="1:9" ht="18.75" customHeight="1" x14ac:dyDescent="0.15">
      <c r="A112" s="4"/>
      <c r="B112" s="203"/>
      <c r="C112" s="204"/>
      <c r="D112" s="204"/>
      <c r="E112" s="204"/>
      <c r="F112" s="204"/>
      <c r="G112" s="204"/>
      <c r="H112" s="204"/>
      <c r="I112" s="202"/>
    </row>
    <row r="113" spans="1:9" ht="18.75" customHeight="1" x14ac:dyDescent="0.15">
      <c r="A113" s="4"/>
      <c r="B113" s="203"/>
      <c r="C113" s="204"/>
      <c r="D113" s="204"/>
      <c r="E113" s="204"/>
      <c r="F113" s="204"/>
      <c r="G113" s="204"/>
      <c r="H113" s="204"/>
      <c r="I113" s="202"/>
    </row>
    <row r="114" spans="1:9" ht="18.75" customHeight="1" x14ac:dyDescent="0.15">
      <c r="A114" s="4"/>
      <c r="B114" s="203"/>
      <c r="C114" s="204"/>
      <c r="D114" s="204"/>
      <c r="E114" s="204"/>
      <c r="F114" s="204"/>
      <c r="G114" s="204"/>
      <c r="H114" s="204"/>
      <c r="I114" s="202"/>
    </row>
    <row r="115" spans="1:9" ht="18.75" customHeight="1" x14ac:dyDescent="0.15">
      <c r="A115" s="4"/>
      <c r="B115" s="203"/>
      <c r="C115" s="204"/>
      <c r="D115" s="204"/>
      <c r="E115" s="204"/>
      <c r="F115" s="204"/>
      <c r="G115" s="204"/>
      <c r="H115" s="204"/>
      <c r="I115" s="202"/>
    </row>
    <row r="116" spans="1:9" ht="18.75" customHeight="1" x14ac:dyDescent="0.15">
      <c r="A116" s="4"/>
      <c r="B116" s="203"/>
      <c r="C116" s="204"/>
      <c r="D116" s="204"/>
      <c r="E116" s="204"/>
      <c r="F116" s="204"/>
      <c r="G116" s="204"/>
      <c r="H116" s="204"/>
      <c r="I116" s="202"/>
    </row>
    <row r="117" spans="1:9" ht="18.75" customHeight="1" x14ac:dyDescent="0.15">
      <c r="A117" s="4"/>
      <c r="B117" s="203"/>
      <c r="C117" s="204"/>
      <c r="D117" s="204"/>
      <c r="E117" s="204"/>
      <c r="F117" s="204"/>
      <c r="G117" s="204"/>
      <c r="H117" s="204"/>
      <c r="I117" s="202"/>
    </row>
    <row r="118" spans="1:9" ht="18.75" customHeight="1" x14ac:dyDescent="0.15">
      <c r="A118" s="4"/>
      <c r="B118" s="203"/>
      <c r="C118" s="204"/>
      <c r="D118" s="204"/>
      <c r="E118" s="204"/>
      <c r="F118" s="204"/>
      <c r="G118" s="204"/>
      <c r="H118" s="204"/>
      <c r="I118" s="202"/>
    </row>
    <row r="119" spans="1:9" ht="18.75" customHeight="1" x14ac:dyDescent="0.15">
      <c r="A119" s="4"/>
      <c r="B119" s="205"/>
      <c r="C119" s="206"/>
      <c r="D119" s="206"/>
      <c r="E119" s="206"/>
      <c r="F119" s="206"/>
      <c r="G119" s="206"/>
      <c r="H119" s="206"/>
      <c r="I119" s="207"/>
    </row>
    <row r="120" spans="1:9" ht="7.5" customHeight="1" x14ac:dyDescent="0.15">
      <c r="A120" s="4"/>
      <c r="B120" s="24"/>
      <c r="C120" s="24"/>
      <c r="D120" s="24"/>
      <c r="E120" s="24"/>
      <c r="F120" s="24"/>
      <c r="G120" s="24"/>
      <c r="H120" s="24"/>
      <c r="I120" s="24"/>
    </row>
    <row r="121" spans="1:9" ht="18.75" customHeight="1" x14ac:dyDescent="0.15">
      <c r="A121" s="49"/>
      <c r="B121" s="193"/>
      <c r="C121" s="193"/>
      <c r="D121" s="193"/>
      <c r="E121" s="193"/>
      <c r="F121" s="193"/>
      <c r="G121" s="193"/>
      <c r="H121" s="193"/>
      <c r="I121" s="193"/>
    </row>
    <row r="122" spans="1:9" ht="18.75" customHeight="1" x14ac:dyDescent="0.15">
      <c r="A122" s="49"/>
      <c r="B122" s="193"/>
      <c r="C122" s="193"/>
      <c r="D122" s="193"/>
      <c r="E122" s="193"/>
      <c r="F122" s="193"/>
      <c r="G122" s="193"/>
      <c r="H122" s="193"/>
      <c r="I122" s="193"/>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topLeftCell="A22" zoomScale="90" zoomScaleNormal="100" zoomScaleSheetLayoutView="9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7" t="s">
        <v>90</v>
      </c>
    </row>
    <row r="2" spans="1:9" ht="18.75" customHeight="1" x14ac:dyDescent="0.15">
      <c r="H2" s="17" t="s">
        <v>93</v>
      </c>
      <c r="I2" s="16" t="str">
        <f>'様式１　プログラムを構成する授業科目'!C2</f>
        <v>大阪産業大学</v>
      </c>
    </row>
    <row r="3" spans="1:9" ht="18.75" customHeight="1" x14ac:dyDescent="0.15">
      <c r="A3" s="122" t="s">
        <v>28</v>
      </c>
      <c r="B3" s="122"/>
      <c r="C3" s="122"/>
      <c r="D3" s="122"/>
      <c r="E3" s="122"/>
      <c r="F3" s="122"/>
      <c r="G3" s="122"/>
      <c r="H3" s="122"/>
      <c r="I3" s="122"/>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08" t="s">
        <v>158</v>
      </c>
      <c r="C6" s="243"/>
      <c r="D6" s="243"/>
      <c r="E6" s="243"/>
      <c r="F6" s="243"/>
      <c r="G6" s="243"/>
      <c r="H6" s="244"/>
      <c r="I6" s="3"/>
    </row>
    <row r="7" spans="1:9" ht="9" customHeight="1" x14ac:dyDescent="0.15">
      <c r="A7" s="5"/>
      <c r="B7" s="10"/>
      <c r="C7" s="10"/>
      <c r="D7" s="10"/>
      <c r="E7" s="10"/>
      <c r="F7" s="10"/>
      <c r="G7" s="10"/>
      <c r="H7" s="10"/>
      <c r="I7" s="3"/>
    </row>
    <row r="8" spans="1:9" ht="18.75" customHeight="1" x14ac:dyDescent="0.15">
      <c r="A8" s="5"/>
      <c r="B8" s="3"/>
      <c r="C8" s="3"/>
      <c r="D8" s="17" t="s">
        <v>41</v>
      </c>
      <c r="E8" s="18" t="s">
        <v>159</v>
      </c>
      <c r="F8" s="3"/>
      <c r="G8" s="17" t="s">
        <v>10</v>
      </c>
      <c r="H8" s="18" t="s">
        <v>160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25" t="s">
        <v>14</v>
      </c>
      <c r="C12" s="32"/>
      <c r="D12" s="26"/>
      <c r="E12" s="33"/>
      <c r="F12" s="33"/>
      <c r="G12" s="33"/>
      <c r="H12" s="33"/>
      <c r="I12" s="26"/>
    </row>
    <row r="13" spans="1:9" ht="210.75" customHeight="1" x14ac:dyDescent="0.15">
      <c r="B13" s="27"/>
      <c r="C13" s="226" t="s">
        <v>15</v>
      </c>
      <c r="D13" s="227"/>
      <c r="E13" s="239" t="s">
        <v>165</v>
      </c>
      <c r="F13" s="228"/>
      <c r="G13" s="228"/>
      <c r="H13" s="228"/>
      <c r="I13" s="229"/>
    </row>
    <row r="14" spans="1:9" ht="210.75" customHeight="1" x14ac:dyDescent="0.15">
      <c r="B14" s="27"/>
      <c r="C14" s="241" t="s">
        <v>16</v>
      </c>
      <c r="D14" s="242"/>
      <c r="E14" s="239" t="s">
        <v>166</v>
      </c>
      <c r="F14" s="228"/>
      <c r="G14" s="228"/>
      <c r="H14" s="228"/>
      <c r="I14" s="229"/>
    </row>
    <row r="15" spans="1:9" ht="210.75" customHeight="1" x14ac:dyDescent="0.15">
      <c r="B15" s="27"/>
      <c r="C15" s="226" t="s">
        <v>17</v>
      </c>
      <c r="D15" s="227"/>
      <c r="E15" s="239" t="s">
        <v>167</v>
      </c>
      <c r="F15" s="228"/>
      <c r="G15" s="228"/>
      <c r="H15" s="228"/>
      <c r="I15" s="229"/>
    </row>
    <row r="16" spans="1:9" ht="210.75" customHeight="1" x14ac:dyDescent="0.15">
      <c r="B16" s="27"/>
      <c r="C16" s="226" t="s">
        <v>18</v>
      </c>
      <c r="D16" s="227"/>
      <c r="E16" s="239" t="s">
        <v>168</v>
      </c>
      <c r="F16" s="228"/>
      <c r="G16" s="228"/>
      <c r="H16" s="228"/>
      <c r="I16" s="229"/>
    </row>
    <row r="17" spans="2:9" ht="210.75" customHeight="1" x14ac:dyDescent="0.15">
      <c r="B17" s="28"/>
      <c r="C17" s="230" t="s">
        <v>19</v>
      </c>
      <c r="D17" s="231"/>
      <c r="E17" s="240" t="s">
        <v>169</v>
      </c>
      <c r="F17" s="232"/>
      <c r="G17" s="232"/>
      <c r="H17" s="232"/>
      <c r="I17" s="233"/>
    </row>
    <row r="18" spans="2:9" ht="24" customHeight="1" x14ac:dyDescent="0.15">
      <c r="B18" s="25" t="s">
        <v>20</v>
      </c>
      <c r="C18" s="29"/>
      <c r="D18" s="30"/>
      <c r="E18" s="31"/>
      <c r="F18" s="31"/>
      <c r="G18" s="31"/>
      <c r="H18" s="31"/>
      <c r="I18" s="34"/>
    </row>
    <row r="19" spans="2:9" ht="218.25" customHeight="1" x14ac:dyDescent="0.15">
      <c r="B19" s="27"/>
      <c r="C19" s="226" t="s">
        <v>21</v>
      </c>
      <c r="D19" s="227"/>
      <c r="E19" s="228" t="s">
        <v>170</v>
      </c>
      <c r="F19" s="228"/>
      <c r="G19" s="228"/>
      <c r="H19" s="228"/>
      <c r="I19" s="229"/>
    </row>
    <row r="20" spans="2:9" ht="218.25" customHeight="1" x14ac:dyDescent="0.15">
      <c r="B20" s="28"/>
      <c r="C20" s="230" t="s">
        <v>22</v>
      </c>
      <c r="D20" s="231"/>
      <c r="E20" s="232" t="s">
        <v>171</v>
      </c>
      <c r="F20" s="232"/>
      <c r="G20" s="232"/>
      <c r="H20" s="232"/>
      <c r="I20" s="233"/>
    </row>
    <row r="21" spans="2:9" ht="218.25" customHeight="1" x14ac:dyDescent="0.15">
      <c r="B21" s="234" t="s">
        <v>23</v>
      </c>
      <c r="C21" s="235"/>
      <c r="D21" s="236"/>
      <c r="E21" s="237" t="s">
        <v>172</v>
      </c>
      <c r="F21" s="237"/>
      <c r="G21" s="237"/>
      <c r="H21" s="237"/>
      <c r="I21" s="238"/>
    </row>
    <row r="22" spans="2:9" ht="218.25" customHeight="1" x14ac:dyDescent="0.15">
      <c r="B22" s="221" t="s">
        <v>121</v>
      </c>
      <c r="C22" s="222"/>
      <c r="D22" s="223"/>
      <c r="E22" s="224" t="s">
        <v>173</v>
      </c>
      <c r="F22" s="224"/>
      <c r="G22" s="224"/>
      <c r="H22" s="224"/>
      <c r="I22" s="22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井手　伸彦</cp:lastModifiedBy>
  <cp:lastPrinted>2025-04-18T02:14:35Z</cp:lastPrinted>
  <dcterms:created xsi:type="dcterms:W3CDTF">2011-06-14T05:32:50Z</dcterms:created>
  <dcterms:modified xsi:type="dcterms:W3CDTF">2025-07-07T04:51:25Z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