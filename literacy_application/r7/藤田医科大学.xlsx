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C:\Users\学務課　山本\Desktop\保健衛生学部\●会議関連\数理データサイエンスPG準備委員会\藤田医科大学\01_藤田医科大学_リテラシー（7月再提出）\"/>
    </mc:Choice>
  </mc:AlternateContent>
  <xr:revisionPtr revIDLastSave="0" documentId="13_ncr:1_{37A2DF33-057C-4163-8D01-4A3E51868ECE}" xr6:coauthVersionLast="47" xr6:coauthVersionMax="47" xr10:uidLastSave="{00000000-0000-0000-0000-000000000000}"/>
  <bookViews>
    <workbookView xWindow="-120" yWindow="-120" windowWidth="29040" windowHeight="15720" tabRatio="885" activeTab="1" xr2:uid="{00000000-000D-0000-FFFF-FFFF00000000}"/>
  </bookViews>
  <sheets>
    <sheet name="様式１-１　プログラムを構成する授業科目" sheetId="39" r:id="rId1"/>
    <sheet name="様式１－2　プログラムを構成する授業科目" sheetId="43" r:id="rId2"/>
    <sheet name="様式１－3　プログラムを構成する授業科目" sheetId="44"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'様式１-１　プログラムを構成する授業科目'!$X$16:$X$18</definedName>
    <definedName name="_xlnm._FilterDatabase" localSheetId="1" hidden="1">'様式１－2　プログラムを構成する授業科目'!$X$16:$X$18</definedName>
    <definedName name="_xlnm._FilterDatabase" localSheetId="2" hidden="1">'様式１－3　プログラムを構成する授業科目'!$X$16:$X$18</definedName>
    <definedName name="_xlnm._FilterDatabase" localSheetId="3" hidden="1">'様式２ 履修者等数の実績'!#REF!</definedName>
    <definedName name="_xlnm.Print_Area" localSheetId="0">'様式１-１　プログラムを構成する授業科目'!$A$1:$U$105</definedName>
    <definedName name="_xlnm.Print_Area" localSheetId="1">'様式１－2　プログラムを構成する授業科目'!$A$1:$U$105</definedName>
    <definedName name="_xlnm.Print_Area" localSheetId="2">'様式１－3　プログラムを構成する授業科目'!$A$1:$U$106</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 i="40" l="1"/>
  <c r="H2" i="41" l="1"/>
  <c r="M7" i="40" l="1"/>
  <c r="I2" i="42"/>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 r="C49" i="41" s="1"/>
</calcChain>
</file>

<file path=xl/sharedStrings.xml><?xml version="1.0" encoding="utf-8"?>
<sst xmlns="http://schemas.openxmlformats.org/spreadsheetml/2006/main" count="712" uniqueCount="252">
  <si>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</si>
  <si>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</si>
  <si>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</si>
  <si>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藤田医科大学</t>
    <rPh sb="0" eb="2">
      <t>フジタ</t>
    </rPh>
    <rPh sb="2" eb="4">
      <t>イカ</t>
    </rPh>
    <rPh sb="4" eb="6">
      <t>ダイガク</t>
    </rPh>
    <phoneticPr fontId="1"/>
  </si>
  <si>
    <t>プログラム名</t>
    <rPh sb="5" eb="6">
      <t>メイ</t>
    </rPh>
    <phoneticPr fontId="1"/>
  </si>
  <si>
    <t>FHUデータサイエンス教育プログラム</t>
    <rPh sb="11" eb="13">
      <t>キョウイク</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</si>
  <si>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</si>
  <si>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</si>
  <si>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</si>
  <si>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</si>
  <si>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③ 修了要件</t>
    <phoneticPr fontId="1"/>
  </si>
  <si>
    <t>医学部医学科においては、プログラムを構成する「基礎データサイエンス（医学科必修　2単位）」、「医学統計学（医学科必修　1単位）」を取得すること。</t>
  </si>
  <si>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</si>
  <si>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</si>
  <si>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</si>
  <si>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</si>
  <si>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</si>
  <si>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</si>
  <si>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</si>
  <si>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</si>
  <si>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</si>
  <si>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</si>
  <si>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</si>
  <si>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</si>
  <si>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</si>
  <si>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</si>
  <si>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基礎データサイエンス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</si>
  <si>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</si>
  <si>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</si>
  <si>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</si>
  <si>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</si>
  <si>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</si>
  <si>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</si>
  <si>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</si>
  <si>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</si>
  <si>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</si>
  <si>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</si>
  <si>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</si>
  <si>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</si>
  <si>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</si>
  <si>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</si>
  <si>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医学統計学</t>
    <rPh sb="0" eb="5">
      <t>イガクトウケイガク</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</si>
  <si>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</si>
  <si>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</si>
  <si>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</si>
  <si>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医学統計学</t>
    <rPh sb="0" eb="2">
      <t>イガク</t>
    </rPh>
    <rPh sb="2" eb="5">
      <t>トウケイガク</t>
    </rPh>
    <phoneticPr fontId="1"/>
  </si>
  <si>
    <t>4-1統計および数理基礎</t>
  </si>
  <si>
    <t>4‐2アルゴリズム基礎</t>
    <phoneticPr fontId="1"/>
  </si>
  <si>
    <t>4‐7データハンドリング</t>
  </si>
  <si>
    <t>4‐3データ構造とプログラミング基礎</t>
    <phoneticPr fontId="1"/>
  </si>
  <si>
    <t>4‐4時系列データ解析</t>
    <phoneticPr fontId="1"/>
  </si>
  <si>
    <t>4‐3データ構造とプログラミング基礎</t>
  </si>
  <si>
    <t>4‐5自然言語処理</t>
    <rPh sb="3" eb="5">
      <t>シゼン</t>
    </rPh>
    <rPh sb="5" eb="7">
      <t>ゲンゴ</t>
    </rPh>
    <rPh sb="7" eb="9">
      <t>ショリ</t>
    </rPh>
    <phoneticPr fontId="1"/>
  </si>
  <si>
    <t>4‐6画像認識</t>
    <rPh sb="5" eb="7">
      <t>ニンシキ</t>
    </rPh>
    <phoneticPr fontId="1"/>
  </si>
  <si>
    <t>4‐8データ活用実践（教師あり学習）</t>
  </si>
  <si>
    <t>4‐7データハンドリング</t>
    <phoneticPr fontId="1"/>
  </si>
  <si>
    <t>4‐9データ活用実践（教師なし学習）</t>
  </si>
  <si>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</si>
  <si>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</si>
  <si>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</si>
  <si>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</si>
  <si>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</si>
  <si>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</si>
  <si>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</si>
  <si>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・ビッグデータ、IoT、AI・データ量の増加、計算機の処理性能の向上「基礎データサイエンス（1回目）」</t>
    <phoneticPr fontId="1"/>
  </si>
  <si>
    <t>1-6</t>
    <phoneticPr fontId="1"/>
  </si>
  <si>
    <t>・AI最新技術の活用例(深層生成モデル、強化学習、転移学習など) 「基礎データサイエンス（2回目）」</t>
    <phoneticPr fontId="1"/>
  </si>
  <si>
    <t>（２）「社会で活用されているデータ」や「データの活用領域」は非常に広範囲であって、日常生活や社会の課題を解決する有用なツールになり得るもの</t>
    <phoneticPr fontId="1"/>
  </si>
  <si>
    <t>・データ・AI活用領域の広がり(生産、消費、文化活動など) 「基礎データサイエンス（1回目）」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</si>
  <si>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</si>
  <si>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・ヘルスケア等におけるデータ・AI利活用事例紹介 「基礎データサイエンス（2回目）」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</si>
  <si>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</si>
  <si>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</si>
  <si>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</si>
  <si>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</si>
  <si>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・情報技術・データサイエンスの基礎的な知識や倫理、医療との関わりを理解する。
・プログラミングの基本的な技術を身につけることで、コンピュータを使いこなす技術を身につける。
・人工知能の原理を学び、データを使って実践する。
・母数の推定や仮説検定など根拠に基づくデータの分析方法を理解し、それを実践する。</t>
    <phoneticPr fontId="1"/>
  </si>
  <si>
    <t>様式１－２</t>
    <rPh sb="0" eb="2">
      <t>ヨウシキ</t>
    </rPh>
    <phoneticPr fontId="1"/>
  </si>
  <si>
    <t>藤田医科大学</t>
    <phoneticPr fontId="1"/>
  </si>
  <si>
    <t>FHUデータサイエンス教育プログラム</t>
    <phoneticPr fontId="1"/>
  </si>
  <si>
    <t>医療科学部においては、「データサイエンス」1単位及び「医療統計学」1単位の合計2単位を修得すること。</t>
    <rPh sb="0" eb="5">
      <t>イリョウｋア</t>
    </rPh>
    <rPh sb="24" eb="25">
      <t>オヨｂイ</t>
    </rPh>
    <rPh sb="27" eb="32">
      <t>イリョウ</t>
    </rPh>
    <rPh sb="37" eb="39">
      <t>ゴウケイ</t>
    </rPh>
    <rPh sb="43" eb="45">
      <t>シュウトｋウ</t>
    </rPh>
    <phoneticPr fontId="1"/>
  </si>
  <si>
    <t>データサイエンス</t>
    <phoneticPr fontId="1"/>
  </si>
  <si>
    <t>医療統計学</t>
    <phoneticPr fontId="1"/>
  </si>
  <si>
    <t>〇なぜ、数理・データサイエンス・AIを学ぶのか，について理解できる。（社会におけるデータ・AIの利活用）
〇データはどのように取得され，どのように収集・整備するか理解できる。（データリテラシ1）
〇データをどのように読み，扱い，説明できるか，どのような統計的解釈となるかを判断できる。（データリテラシ2）
〇データを守る，社会生活を守るための仕組みを理解できる。（データ・AI利活用における留意事項）
〇統計に用いられる用語の意味を説明できる。
〇データの種類に合わせた統計解析ができる。
〇統計解析により得られた結果の意味を説明できる。
〇統計ソフトを利用して基礎的なデータサイエンス手法を使うことができる。</t>
    <phoneticPr fontId="1"/>
  </si>
  <si>
    <t>様式１－３</t>
    <rPh sb="0" eb="2">
      <t>ヨウシキ</t>
    </rPh>
    <phoneticPr fontId="1"/>
  </si>
  <si>
    <t>藤田医科大学</t>
    <rPh sb="0" eb="2">
      <t>フジタ</t>
    </rPh>
    <rPh sb="2" eb="6">
      <t>イカダイガク</t>
    </rPh>
    <phoneticPr fontId="1"/>
  </si>
  <si>
    <t>学科ごとに認定された「認定科目」の単位を修得する。単位の修得によって本プログラムの修了が認定される。
保健衛生学部看護学科においては、「情報リテラシー」１単位、「データサイエンス」1単位、「看護研究方法論」1単位を修得すること。
また、「情報機器の操作」２単位、「保健統計学演習」１単位、も選択科目として履修可能。
保健衛生学部リハビリテーション学科においては、「基礎情報処理学」1単位、「統計学」1単位、「リハビリテーション情報工学」1単位、「運動学演習」１単位、「研究概論」1単位を修得すること。また、「数学」1単位、「医用情報処理学」1単位も選択科目として履修可能。</t>
    <rPh sb="213" eb="215">
      <t>ジョウホウ</t>
    </rPh>
    <rPh sb="226" eb="228">
      <t>エンシュウ</t>
    </rPh>
    <rPh sb="234" eb="238">
      <t>ケンキュウガイロン</t>
    </rPh>
    <rPh sb="240" eb="242">
      <t>タンイ</t>
    </rPh>
    <rPh sb="262" eb="264">
      <t>イヨウ</t>
    </rPh>
    <rPh sb="264" eb="266">
      <t>ジョウホウ</t>
    </rPh>
    <phoneticPr fontId="1"/>
  </si>
  <si>
    <t>情報リテラシー</t>
    <rPh sb="0" eb="2">
      <t>ジョウホウ</t>
    </rPh>
    <phoneticPr fontId="1"/>
  </si>
  <si>
    <t>基礎情報処理学</t>
    <phoneticPr fontId="1"/>
  </si>
  <si>
    <t>医用情報処理学</t>
    <phoneticPr fontId="1"/>
  </si>
  <si>
    <t>保健統計学演習</t>
    <rPh sb="0" eb="5">
      <t>ホケントウケイガク</t>
    </rPh>
    <rPh sb="5" eb="7">
      <t>エンシュウ</t>
    </rPh>
    <phoneticPr fontId="1"/>
  </si>
  <si>
    <t>リハビリテーション情報工学</t>
    <phoneticPr fontId="1"/>
  </si>
  <si>
    <t>保健統計学演習</t>
    <phoneticPr fontId="1"/>
  </si>
  <si>
    <t>運動学演習</t>
    <phoneticPr fontId="1"/>
  </si>
  <si>
    <t>情報機器の操作</t>
    <rPh sb="0" eb="2">
      <t>ジョウホウ</t>
    </rPh>
    <rPh sb="2" eb="4">
      <t>キキ</t>
    </rPh>
    <rPh sb="5" eb="7">
      <t>ソウサ</t>
    </rPh>
    <phoneticPr fontId="1"/>
  </si>
  <si>
    <t>基礎情報処理学</t>
  </si>
  <si>
    <t>看護研究方法論</t>
    <rPh sb="0" eb="2">
      <t>カンゴ</t>
    </rPh>
    <rPh sb="2" eb="4">
      <t>ケンキュウ</t>
    </rPh>
    <rPh sb="4" eb="7">
      <t>ホウホウロン</t>
    </rPh>
    <phoneticPr fontId="1"/>
  </si>
  <si>
    <t>医用情報処理学</t>
  </si>
  <si>
    <t>保健統計学演習</t>
  </si>
  <si>
    <t>研究概論</t>
    <rPh sb="0" eb="4">
      <t>ケンキュウガイロン</t>
    </rPh>
    <phoneticPr fontId="1"/>
  </si>
  <si>
    <t>統計学</t>
    <rPh sb="0" eb="3">
      <t>トウケイガク</t>
    </rPh>
    <phoneticPr fontId="1"/>
  </si>
  <si>
    <t>数学</t>
    <rPh sb="0" eb="2">
      <t>スウガク</t>
    </rPh>
    <phoneticPr fontId="1"/>
  </si>
  <si>
    <t>運動学演習</t>
    <rPh sb="3" eb="4">
      <t>エン</t>
    </rPh>
    <phoneticPr fontId="1"/>
  </si>
  <si>
    <t>4‐4時系列データ解析</t>
  </si>
  <si>
    <t>様式２</t>
    <phoneticPr fontId="1"/>
  </si>
  <si>
    <t>リテラシーレベルのプログラムの履修者数等の実績について</t>
    <phoneticPr fontId="1"/>
  </si>
  <si>
    <t>①プログラム開設年度</t>
    <rPh sb="6" eb="8">
      <t>カイセツ</t>
    </rPh>
    <rPh sb="8" eb="10">
      <t>ネンド</t>
    </rPh>
    <phoneticPr fontId="1"/>
  </si>
  <si>
    <t>令和6</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</si>
  <si>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</si>
  <si>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</si>
  <si>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</si>
  <si>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</si>
  <si>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</si>
  <si>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</si>
  <si>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</si>
  <si>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</si>
  <si>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</si>
  <si>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</si>
  <si>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</si>
  <si>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</si>
  <si>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</si>
  <si>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</si>
  <si>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</si>
  <si>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</si>
  <si>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</si>
  <si>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</si>
  <si>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</si>
  <si>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</si>
  <si>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</si>
  <si>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</si>
  <si>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</si>
  <si>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</si>
  <si>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</si>
  <si>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医療科学部・放射線学科</t>
    <rPh sb="0" eb="5">
      <t>イリョウ</t>
    </rPh>
    <rPh sb="6" eb="11">
      <t>ホウｓｙア</t>
    </rPh>
    <phoneticPr fontId="4"/>
  </si>
  <si>
    <t>保健衛生学部・看護学科</t>
    <rPh sb="0" eb="6">
      <t>ホケンエイセイガクブ</t>
    </rPh>
    <rPh sb="7" eb="9">
      <t>カンゴ</t>
    </rPh>
    <rPh sb="9" eb="11">
      <t>ガッカ</t>
    </rPh>
    <phoneticPr fontId="4"/>
  </si>
  <si>
    <t>保健衛生学部・リハビリテーション学科</t>
    <rPh sb="0" eb="6">
      <t>ホケンエイセイガクブ</t>
    </rPh>
    <rPh sb="16" eb="18">
      <t>ガッカ</t>
    </rPh>
    <phoneticPr fontId="4"/>
  </si>
  <si>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</si>
  <si>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</si>
  <si>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</si>
  <si>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</si>
  <si>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</si>
  <si>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</si>
  <si>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</si>
  <si>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</si>
  <si>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</si>
  <si>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</si>
  <si>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</si>
  <si>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</si>
  <si>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</si>
  <si>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長崎　弘</t>
    <phoneticPr fontId="1"/>
  </si>
  <si>
    <t>（役職名）</t>
    <rPh sb="1" eb="4">
      <t>ヤクショクメイ</t>
    </rPh>
    <phoneticPr fontId="1"/>
  </si>
  <si>
    <t>教育推進本部副本部長</t>
    <phoneticPr fontId="1"/>
  </si>
  <si>
    <t>④</t>
    <phoneticPr fontId="1"/>
  </si>
  <si>
    <t>プログラムを改善・進化させるための体制（委員会・組織等）</t>
    <phoneticPr fontId="1"/>
  </si>
  <si>
    <t>藤田医科大学 数理・データサイエンス・AI教育プログラム委員会</t>
    <phoneticPr fontId="1"/>
  </si>
  <si>
    <t>吉本　潤一郎</t>
    <phoneticPr fontId="1"/>
  </si>
  <si>
    <t>医学部教授/委員長</t>
    <phoneticPr fontId="1"/>
  </si>
  <si>
    <t>⑤</t>
    <phoneticPr fontId="1"/>
  </si>
  <si>
    <t>プログラムを改善・進化させるための体制を定める規則名称</t>
    <phoneticPr fontId="1"/>
  </si>
  <si>
    <t>藤田医科大学数理・データサイエンス・AI教育プログラム委員会規程</t>
    <phoneticPr fontId="1"/>
  </si>
  <si>
    <t>⑥</t>
    <phoneticPr fontId="1"/>
  </si>
  <si>
    <t>体制の目的</t>
    <rPh sb="0" eb="2">
      <t>タイセイ</t>
    </rPh>
    <rPh sb="3" eb="5">
      <t>モクテキ</t>
    </rPh>
    <phoneticPr fontId="1"/>
  </si>
  <si>
    <t>本委員会は、藤田医科大学における数理・データサイエンス・AIに関する教育を全学的に統括し、学生の興味関心を高めつつ、基礎的能力から応用的活用力までを体系的に育成することを目的として、教育推進本部会議の下部組織として設置される。本委員会では、各学部の特性を生かした教育連携により、分野横断的な学びを促進し、将来の医療・生命科学分野におけるデータ駆動研究を実践できる人材の育成を図る。また、教育プログラムの企画・実施・評価を通じて継続的な質の向上を目指すとともに、外部機関との連携を通じて先進的かつ実践的な教育内容の充実を図る。</t>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</si>
  <si>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</si>
  <si>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</si>
  <si>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</si>
  <si>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</si>
  <si>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</si>
  <si>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</si>
  <si>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</si>
  <si>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</si>
  <si>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</si>
  <si>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</si>
  <si>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</si>
  <si>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本学では、すべての学部において、本プログラムを構成する1科目以上が必修科目であるため、履修率向上について具体的な計画・目標は定めない。一方で、社会的ニーズが高い生成AIに関する教育プログラムを充実させることで、数理・データサイエンス・AIに対する学生の関心と興味を引き付ける施策を実施する。具体的には、令和6年度に少人数で試行した生成AIに関する全学セミナーを、規模を拡大して令和7年度中に実施する。この講義資料や動画アーカイブは本プログラムに関わる教員に共有し、各学部で提供する授業科目でも再利用できるようにする。令和8年以降についても、受講生からのフィードバックをもとに検証・改善を進めながら本セミナーを継続する。また、本セミナーの受講生には、就職活動時の自己アピールに活用できるように、修了証のデジタル証明（オープンバッジ）を発行する。</t>
    <rPh sb="71" eb="74">
      <t xml:space="preserve">シャカイテキ </t>
    </rPh>
    <rPh sb="78" eb="79">
      <t xml:space="preserve">タカイ </t>
    </rPh>
    <rPh sb="85" eb="86">
      <t xml:space="preserve">カンスル </t>
    </rPh>
    <rPh sb="88" eb="90">
      <t xml:space="preserve">キョウイク </t>
    </rPh>
    <rPh sb="96" eb="98">
      <t xml:space="preserve">ジュウジツ </t>
    </rPh>
    <rPh sb="105" eb="107">
      <t xml:space="preserve">ガクセイノ </t>
    </rPh>
    <rPh sb="108" eb="110">
      <t xml:space="preserve">キョウミヲ </t>
    </rPh>
    <rPh sb="111" eb="112">
      <t xml:space="preserve">ヒキツケル </t>
    </rPh>
    <rPh sb="116" eb="118">
      <t xml:space="preserve">セサクヲ </t>
    </rPh>
    <rPh sb="123" eb="125">
      <t xml:space="preserve">ジッシ </t>
    </rPh>
    <rPh sb="126" eb="128">
      <t xml:space="preserve">カンシン </t>
    </rPh>
    <rPh sb="131" eb="134">
      <t xml:space="preserve">グタイテキニハ </t>
    </rPh>
    <rPh sb="137" eb="139">
      <t xml:space="preserve">レイワ </t>
    </rPh>
    <rPh sb="140" eb="142">
      <t xml:space="preserve">ネンドニ </t>
    </rPh>
    <rPh sb="143" eb="146">
      <t xml:space="preserve">ショウニンズウ </t>
    </rPh>
    <rPh sb="147" eb="149">
      <t xml:space="preserve">シコウ </t>
    </rPh>
    <rPh sb="156" eb="157">
      <t xml:space="preserve">カンスル </t>
    </rPh>
    <rPh sb="159" eb="161">
      <t xml:space="preserve">ゼンガクセミナーヲ </t>
    </rPh>
    <rPh sb="167" eb="169">
      <t xml:space="preserve">キボヲ </t>
    </rPh>
    <rPh sb="170" eb="172">
      <t xml:space="preserve">カクダイ </t>
    </rPh>
    <rPh sb="174" eb="176">
      <t xml:space="preserve">レイワ </t>
    </rPh>
    <rPh sb="177" eb="179">
      <t xml:space="preserve">ネンド </t>
    </rPh>
    <rPh sb="179" eb="180">
      <t xml:space="preserve">チュウ </t>
    </rPh>
    <rPh sb="181" eb="183">
      <t xml:space="preserve">ジッシシ </t>
    </rPh>
    <rPh sb="188" eb="190">
      <t xml:space="preserve">コウギ </t>
    </rPh>
    <rPh sb="190" eb="192">
      <t xml:space="preserve">シリョウハ </t>
    </rPh>
    <rPh sb="193" eb="195">
      <t xml:space="preserve">ドウガ </t>
    </rPh>
    <rPh sb="201" eb="202">
      <t xml:space="preserve">ホンプログラムニ </t>
    </rPh>
    <rPh sb="208" eb="209">
      <t xml:space="preserve">カカワル </t>
    </rPh>
    <rPh sb="211" eb="213">
      <t xml:space="preserve">キョウイン </t>
    </rPh>
    <rPh sb="214" eb="216">
      <t xml:space="preserve">キョウユウシ </t>
    </rPh>
    <rPh sb="218" eb="219">
      <t xml:space="preserve">カク </t>
    </rPh>
    <rPh sb="219" eb="221">
      <t xml:space="preserve">ガクブノ </t>
    </rPh>
    <rPh sb="222" eb="224">
      <t xml:space="preserve">テイキョウスル </t>
    </rPh>
    <rPh sb="226" eb="230">
      <t xml:space="preserve">ジュギョウカモクニ </t>
    </rPh>
    <rPh sb="232" eb="235">
      <t xml:space="preserve">サイリヨウ </t>
    </rPh>
    <rPh sb="247" eb="248">
      <t xml:space="preserve">ホン </t>
    </rPh>
    <rPh sb="253" eb="256">
      <t xml:space="preserve">ジュコウセイニハ </t>
    </rPh>
    <rPh sb="258" eb="260">
      <t xml:space="preserve">レイワ </t>
    </rPh>
    <rPh sb="261" eb="262">
      <t xml:space="preserve">ネン </t>
    </rPh>
    <rPh sb="262" eb="264">
      <t xml:space="preserve">イコウニ </t>
    </rPh>
    <rPh sb="270" eb="273">
      <t xml:space="preserve">ジュコウセイカラノ </t>
    </rPh>
    <rPh sb="287" eb="289">
      <t xml:space="preserve">ケンショウ </t>
    </rPh>
    <rPh sb="290" eb="292">
      <t xml:space="preserve">カイゼンヲ </t>
    </rPh>
    <rPh sb="293" eb="294">
      <t xml:space="preserve">ススメナガラ </t>
    </rPh>
    <rPh sb="298" eb="299">
      <t xml:space="preserve">ホンセミナーヲ </t>
    </rPh>
    <rPh sb="304" eb="306">
      <t xml:space="preserve">ケイゾクスル </t>
    </rPh>
    <rPh sb="330" eb="332">
      <t xml:space="preserve">ハッコウシ </t>
    </rPh>
    <rPh sb="355" eb="357">
      <t xml:space="preserve">シュウショク </t>
    </rPh>
    <rPh sb="357" eb="359">
      <t xml:space="preserve">カツドウ </t>
    </rPh>
    <rPh sb="359" eb="360">
      <t xml:space="preserve">ジノ </t>
    </rPh>
    <rPh sb="361" eb="363">
      <t xml:space="preserve">ジコアピールニ </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</si>
  <si>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</si>
  <si>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</si>
  <si>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委員長である吉本潤一郎は、医学部において「基礎データサイエンス」と「医学統計学」の授業科目を分担している。医学部では、授業の様子をビデオアーカイブ化し、学生が授業後に閲覧できるVODのシステムをすでに導入している。このビデオアーカイブを他学部の学生も閲覧できるようにする。また、本委員会からは、数理・データサイエンス・AI教育強化拠点コンソーシアムで提供している講義資料・動画集の情報を定期的に学生に発信する。以上によって、希望する学生が自主的に学習できる環境を整え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</si>
  <si>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</si>
  <si>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</si>
  <si>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学のホームページで、本プログラムの概要や目的、意義を周知している。加えて、上記の通り、年に1回以上の頻度で数理・データサイエンス・AIに関する全学セミナーを開催し、多くの学生が興味を持ちそうなテーマに関する講演会やハンズオンを実施することで、本プログラムの有用性を再確認する機会を設けている。</t>
    <phoneticPr fontId="1"/>
  </si>
  <si>
    <t>⑪</t>
    <phoneticPr fontId="1"/>
  </si>
  <si>
    <t>できる限り多くの学生が履修・修得できるようなサポート体制</t>
    <rPh sb="26" eb="28">
      <t>タイセイ</t>
    </rPh>
    <phoneticPr fontId="1"/>
  </si>
  <si>
    <t>本教育プログラムの多くの授業については、学習管理システムMoodle上に講義資料や小テスト問題を蓄積しており、受講生がいつでも講義内容を閲覧したり、理解度を確認したりすることが可能な環境を構築している。</t>
    <phoneticPr fontId="1"/>
  </si>
  <si>
    <t>⑫</t>
    <phoneticPr fontId="1"/>
  </si>
  <si>
    <t>授業時間内外で学習指導、質問を受け付ける具体的な仕組み</t>
    <rPh sb="20" eb="23">
      <t>グタイテキ</t>
    </rPh>
    <phoneticPr fontId="1"/>
  </si>
  <si>
    <t>すべての授業にはオフィスアワーを設けており、学生が個別に質問や相談に教員を訪問することが可能な仕組みを取り入れている。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</si>
  <si>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</si>
  <si>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</si>
  <si>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</si>
  <si>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</si>
  <si>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吉本 潤一郎</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</si>
  <si>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</si>
  <si>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</si>
  <si>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</si>
  <si>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</si>
  <si>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</si>
  <si>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プログラムの履修・習得状況については、各学部の学務課担当事務員が随時チェックしており、欠席超過者や成績不良者などが発見された場合には、その内容が各学部の教務委員会で共有され、必要に応じて学生との面談を実施している。年度末には、藤田医科大学数理・データサイエンス・AI教育プログラム委員会（以下、「本委員会」と呼ぶ）において、各科目コーディネーターに作成を依頼した自己点検票をもとに本プログラムの問題点の洗い出しやその解決策について議論し、必要に応じて科目コーディネーターへフィードバックしている。 </t>
  </si>
  <si>
    <t>学修成果</t>
    <rPh sb="0" eb="2">
      <t>ガクシュウ</t>
    </rPh>
    <rPh sb="2" eb="4">
      <t>セイカ</t>
    </rPh>
    <phoneticPr fontId="1"/>
  </si>
  <si>
    <t>全学教学運営委員会からの依頼のもと、IR推進センターおよび各学部IR分室で授業評価アンケートや学修実態調査などを学修成果に関連する調査の分析と評価を実施している。その結果を、全学教学運営委員会や教育推進本部会議が点検し、問題点の改善に向けた提言を行う。そのうち、FHUデータサイエンス教育プログラム（以下、「本プログラム」と呼ぶ）に関わるものについては、本委員会で具体的な施策を考案し、科目担当教員にその実践を依頼している。</t>
    <rPh sb="0" eb="4">
      <t xml:space="preserve">ゼンガクキョウガク </t>
    </rPh>
    <rPh sb="4" eb="6">
      <t>ウンエイ</t>
    </rPh>
    <rPh sb="6" eb="9">
      <t xml:space="preserve">イインカイカラ </t>
    </rPh>
    <rPh sb="12" eb="14">
      <t xml:space="preserve">イライノ </t>
    </rPh>
    <rPh sb="20" eb="22">
      <t>スイシンセン</t>
    </rPh>
    <rPh sb="29" eb="32">
      <t xml:space="preserve">カクガクブノ </t>
    </rPh>
    <rPh sb="34" eb="36">
      <t xml:space="preserve">ブンシツ </t>
    </rPh>
    <rPh sb="37" eb="41">
      <t xml:space="preserve">ジュギョウヒョウカヤ </t>
    </rPh>
    <rPh sb="47" eb="49">
      <t xml:space="preserve">ガクシュウ </t>
    </rPh>
    <rPh sb="49" eb="51">
      <t xml:space="preserve">ジッタイ </t>
    </rPh>
    <rPh sb="51" eb="53">
      <t xml:space="preserve">チョウサ </t>
    </rPh>
    <rPh sb="56" eb="58">
      <t xml:space="preserve">ガクシュウ </t>
    </rPh>
    <rPh sb="58" eb="60">
      <t xml:space="preserve">セイカノ </t>
    </rPh>
    <rPh sb="61" eb="63">
      <t xml:space="preserve">カンレン </t>
    </rPh>
    <rPh sb="65" eb="67">
      <t xml:space="preserve">チョウサノ </t>
    </rPh>
    <rPh sb="68" eb="70">
      <t xml:space="preserve">ブンセキト </t>
    </rPh>
    <rPh sb="71" eb="73">
      <t xml:space="preserve">ヒョウカヲ </t>
    </rPh>
    <rPh sb="74" eb="76">
      <t xml:space="preserve">ジッシ </t>
    </rPh>
    <rPh sb="91" eb="93">
      <t>ウンエイ</t>
    </rPh>
    <rPh sb="106" eb="108">
      <t xml:space="preserve">テンケンヤ </t>
    </rPh>
    <rPh sb="110" eb="113">
      <t xml:space="preserve">モンダイテンノ </t>
    </rPh>
    <rPh sb="114" eb="116">
      <t xml:space="preserve">カイゼンニ </t>
    </rPh>
    <rPh sb="117" eb="118">
      <t xml:space="preserve">ムケタ </t>
    </rPh>
    <rPh sb="120" eb="122">
      <t xml:space="preserve">テイゲンヲ </t>
    </rPh>
    <rPh sb="123" eb="124">
      <t xml:space="preserve">オコナウ </t>
    </rPh>
    <rPh sb="142" eb="144">
      <t xml:space="preserve">キョウイク </t>
    </rPh>
    <rPh sb="150" eb="152">
      <t xml:space="preserve">イカ </t>
    </rPh>
    <rPh sb="154" eb="155">
      <t>ホンプｒ</t>
    </rPh>
    <rPh sb="162" eb="163">
      <t xml:space="preserve">ヨブ </t>
    </rPh>
    <rPh sb="166" eb="167">
      <t xml:space="preserve">カカワル </t>
    </rPh>
    <rPh sb="177" eb="181">
      <t xml:space="preserve">ホンイインカイデ </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</si>
  <si>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</si>
  <si>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プログラムに限らず）すべての科目において、受講生は講義実施日ごとに授業評価アンケートに回答を求められ、各科目の講師は随時、その評価結果や学生からのコメントを確認できる。また、アンケート結果は教育推進本部会議においても点検・評価され、その結果をもとに改善や向上に向けた提言がなされる。その提言をもとに、本委員会で具体的な施策を考案し、科目担当教員にその実践を依頼する仕組みを構築している。</t>
    <rPh sb="53" eb="54">
      <t xml:space="preserve">カク </t>
    </rPh>
    <rPh sb="54" eb="56">
      <t xml:space="preserve">カモクノ </t>
    </rPh>
    <rPh sb="57" eb="59">
      <t xml:space="preserve">コウシハ </t>
    </rPh>
    <rPh sb="60" eb="62">
      <t xml:space="preserve">ズイジ </t>
    </rPh>
    <rPh sb="65" eb="69">
      <t xml:space="preserve">ヒョウカケッカヲ </t>
    </rPh>
    <rPh sb="70" eb="72">
      <t xml:space="preserve">ガクセイカラノ </t>
    </rPh>
    <rPh sb="80" eb="82">
      <t xml:space="preserve">カクニｎ </t>
    </rPh>
    <rPh sb="94" eb="96">
      <t xml:space="preserve">ケッッカ </t>
    </rPh>
    <rPh sb="152" eb="153">
      <t xml:space="preserve">ホン </t>
    </rPh>
    <rPh sb="153" eb="156">
      <t xml:space="preserve">イインカイ </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</si>
  <si>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</si>
  <si>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を構成する科目は事実上の必修科目となっているため、後輩等他の学生へ推奨度の調査は実施しておらず、また、その必要はないものと考えている。一方で、本委員会が主催となって「数理・データサイエンス・AI教育のための全学セミナー」を年1回以上開催し、そのセミナー中に実施しているグループ演習やハンズオンでの議論を通して、学生本人やその学友の本プログラムへの関心を確認している。</t>
    <rPh sb="0" eb="1">
      <t xml:space="preserve">ホンプログラムヲ </t>
    </rPh>
    <rPh sb="7" eb="9">
      <t xml:space="preserve">コウセイ </t>
    </rPh>
    <rPh sb="11" eb="13">
      <t xml:space="preserve">カモクハ </t>
    </rPh>
    <rPh sb="14" eb="16">
      <t xml:space="preserve">ジジツ </t>
    </rPh>
    <rPh sb="16" eb="17">
      <t xml:space="preserve">ジョウノ </t>
    </rPh>
    <rPh sb="18" eb="20">
      <t xml:space="preserve">ヒッシュウ </t>
    </rPh>
    <rPh sb="20" eb="22">
      <t xml:space="preserve">カモクト </t>
    </rPh>
    <rPh sb="31" eb="33">
      <t xml:space="preserve">コウハイ </t>
    </rPh>
    <rPh sb="34" eb="35">
      <t xml:space="preserve">タノ </t>
    </rPh>
    <rPh sb="36" eb="38">
      <t xml:space="preserve">ガクセイヘ </t>
    </rPh>
    <rPh sb="39" eb="42">
      <t xml:space="preserve">スイショウドヲ </t>
    </rPh>
    <rPh sb="43" eb="45">
      <t xml:space="preserve">チョウサスル </t>
    </rPh>
    <rPh sb="46" eb="48">
      <t xml:space="preserve">ジッシ </t>
    </rPh>
    <rPh sb="67" eb="68">
      <t xml:space="preserve">カンガエテイル </t>
    </rPh>
    <rPh sb="73" eb="75">
      <t xml:space="preserve">イッポウデ </t>
    </rPh>
    <rPh sb="77" eb="78">
      <t xml:space="preserve">ホン </t>
    </rPh>
    <rPh sb="78" eb="81">
      <t xml:space="preserve">イインカイガ </t>
    </rPh>
    <rPh sb="82" eb="84">
      <t xml:space="preserve">シュサイト </t>
    </rPh>
    <rPh sb="88" eb="89">
      <t xml:space="preserve">ホンプログラム </t>
    </rPh>
    <rPh sb="96" eb="98">
      <t xml:space="preserve">ガクセイノ </t>
    </rPh>
    <rPh sb="99" eb="101">
      <t xml:space="preserve">カンシンヲ </t>
    </rPh>
    <rPh sb="102" eb="103">
      <t xml:space="preserve">タカメルタメニ </t>
    </rPh>
    <rPh sb="132" eb="133">
      <t xml:space="preserve">チュウニ </t>
    </rPh>
    <rPh sb="134" eb="136">
      <t xml:space="preserve">ジッシシテイル </t>
    </rPh>
    <rPh sb="144" eb="145">
      <t>_x0000__x0000__x0001_	_x0007__x0002__x000E__x000B__x0002__x0013__x000E__x0002__x0017__x0010__x0001__x001C__x0012__x0002_"_x0014__x0002_'_x001F__x0002_,"_x0001_/$_x0002_5'_x0003_=+_x0002_D._x0002_HC_x0001_PI_x0002_VM_x0001_YN</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</si>
  <si>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</si>
  <si>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を構成する科目は事実上の必修科目となっているため、基本的には履修率は100％達成となる。ただし、今まで各学部において個別に実施していた科目をプログラムとして運用を始めたのは令和6年度からであるため、収容定員と科目単位を取得する学年(時期)の関係で初年度はパーセンテージが低いが、令和9年度までには在学生全員が100％履修済となる見込みである（※医学部は6年制のため令和9年度の5・6年生については100％履修済見込みの算出対象外とする。）一方で、年度末には、本委員会が実施するプログラム自己点検において、各科目コーディネーターから学生の関心や学生のレベルに応じた講義が提供できているかについて自己点検票による聞き取り調査を行ってい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</si>
  <si>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</si>
  <si>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</si>
  <si>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各学部学務課が卒業生の進路先は把握している。また、調査の必要があれば、IR推進センターや各学部のIR分室に本プログラムの修学が就職先でどの程度役立ったか等の調査は可能な体制にある。さらに、本学付属病院にも多くの卒業生が在籍しており、彼らの活躍状況や病院での評価を容易に調査できる体制にあ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</si>
  <si>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</si>
  <si>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医療系大学であるため、卒業生の多くは医療業務に携わっており、本学付属病院にも多くの卒業生が在籍している。配属先医局から本プログラムに関連する現場の課題が、全学教学運営委員会や教育推進本部会議に上がってくる仕組みが整っており、本プログラムの改善に活用できる体制にあ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</si>
  <si>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</si>
  <si>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上記の通り、本委員会が主催となって「数理・データサイエンス・AI教育のための全学セミナー」を年1回以上開催している。ここでは、学生・教職員が一緒にグループ演習に取り組むプログラムも組み入れており、参加者の自由な発想で課題設定をし、生成AIや統計処理技術など本プログラムが講義科目で提供する知識や技術を用いて問題解決に取り組むことを目標としている。このように、能動的な学びの場を提供することで、数理・データサイエンス・ＡＩを「学ぶ楽しさ」「学ぶことの意義」を理解させる取り組みを行っている。</t>
    <rPh sb="0" eb="2">
      <t xml:space="preserve">ジョウキノ </t>
    </rPh>
    <rPh sb="3" eb="4">
      <t xml:space="preserve">トオリ </t>
    </rPh>
    <rPh sb="63" eb="65">
      <t xml:space="preserve">ガクセイ </t>
    </rPh>
    <rPh sb="66" eb="69">
      <t>キョウｓｈ</t>
    </rPh>
    <rPh sb="70" eb="72">
      <t xml:space="preserve">イッショニ </t>
    </rPh>
    <rPh sb="77" eb="79">
      <t xml:space="preserve">エンシュウガ </t>
    </rPh>
    <rPh sb="80" eb="81">
      <t xml:space="preserve">トリクム </t>
    </rPh>
    <rPh sb="90" eb="91">
      <t xml:space="preserve">クミイレテオリ </t>
    </rPh>
    <rPh sb="98" eb="101">
      <t xml:space="preserve">サンカシャノ </t>
    </rPh>
    <rPh sb="102" eb="104">
      <t xml:space="preserve">ジユウナ </t>
    </rPh>
    <rPh sb="105" eb="107">
      <t xml:space="preserve">ハッソウデ </t>
    </rPh>
    <rPh sb="108" eb="112">
      <t xml:space="preserve">カダイセッテイヲ </t>
    </rPh>
    <rPh sb="115" eb="117">
      <t xml:space="preserve">セイセイ </t>
    </rPh>
    <rPh sb="120" eb="124">
      <t xml:space="preserve">トウケイショリ </t>
    </rPh>
    <rPh sb="124" eb="126">
      <t xml:space="preserve">ギジュツナド </t>
    </rPh>
    <rPh sb="128" eb="129">
      <t>ホン</t>
    </rPh>
    <rPh sb="135" eb="137">
      <t xml:space="preserve">コウギデ </t>
    </rPh>
    <rPh sb="137" eb="139">
      <t xml:space="preserve">カモク </t>
    </rPh>
    <rPh sb="140" eb="142">
      <t xml:space="preserve">テイキョウスル </t>
    </rPh>
    <rPh sb="144" eb="146">
      <t xml:space="preserve">チシキヤ </t>
    </rPh>
    <rPh sb="147" eb="149">
      <t xml:space="preserve">ギジュツ </t>
    </rPh>
    <rPh sb="150" eb="151">
      <t xml:space="preserve">モチイテ </t>
    </rPh>
    <rPh sb="153" eb="157">
      <t xml:space="preserve">モンダイカイケツニ </t>
    </rPh>
    <rPh sb="158" eb="159">
      <t xml:space="preserve">トリクムコトヲ </t>
    </rPh>
    <rPh sb="165" eb="167">
      <t xml:space="preserve">モクヒョウト </t>
    </rPh>
    <rPh sb="179" eb="182">
      <t xml:space="preserve">ノウドウテキニ </t>
    </rPh>
    <rPh sb="183" eb="184">
      <t xml:space="preserve">マナビノ </t>
    </rPh>
    <rPh sb="186" eb="187">
      <t xml:space="preserve">バヲ </t>
    </rPh>
    <rPh sb="233" eb="234">
      <t xml:space="preserve">テイキョウ </t>
    </rPh>
    <rPh sb="238" eb="239">
      <t xml:space="preserve">オコナッテイウｒ トリクミヲ </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</si>
  <si>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</si>
  <si>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年度末に本プログラムを構成している科目のコーディネーターに、各科目で提供している講義の内容・実施方法・特徴、課題をまとめた自己点検票の作成を依頼している。本委員会では、自己点検票を回覧し、学生の理解や関心を向上させる授業方法や現場での課題を議論し、必要に応じて科目コーディネーターにフィードバックしている。加えて、上記の「数理・データサイエンス・AI教育のための全学セミナー」は新たなテーマや授業方法を試行するための模擬授業にもなっており、良いものは講義にも組み込むことを推奨する取り組みを行っている。</t>
    <rPh sb="0" eb="3">
      <t xml:space="preserve">ネンドマツニ </t>
    </rPh>
    <rPh sb="4" eb="5">
      <t xml:space="preserve">ホンプログラムヲ </t>
    </rPh>
    <rPh sb="11" eb="13">
      <t xml:space="preserve">コウセイ </t>
    </rPh>
    <rPh sb="17" eb="21">
      <t xml:space="preserve">ホンイインカイ </t>
    </rPh>
    <rPh sb="22" eb="24">
      <t xml:space="preserve">ジッシシテイル </t>
    </rPh>
    <rPh sb="33" eb="37">
      <t xml:space="preserve">ジコテンケンニ </t>
    </rPh>
    <rPh sb="42" eb="44">
      <t xml:space="preserve">カモクノ </t>
    </rPh>
    <rPh sb="55" eb="56">
      <t xml:space="preserve">カク </t>
    </rPh>
    <rPh sb="56" eb="62">
      <t xml:space="preserve">カモクノ </t>
    </rPh>
    <rPh sb="63" eb="65">
      <t xml:space="preserve">テイキョウシテイル </t>
    </rPh>
    <rPh sb="67" eb="69">
      <t xml:space="preserve">サクセイヲ </t>
    </rPh>
    <rPh sb="70" eb="72">
      <t xml:space="preserve">イライ </t>
    </rPh>
    <rPh sb="77" eb="81">
      <t>ジコテン</t>
    </rPh>
    <rPh sb="86" eb="89">
      <t xml:space="preserve">ジッシホウホウ </t>
    </rPh>
    <rPh sb="90" eb="92">
      <t xml:space="preserve">カイランシ </t>
    </rPh>
    <rPh sb="94" eb="96">
      <t xml:space="preserve">ガクセイノ </t>
    </rPh>
    <rPh sb="97" eb="99">
      <t xml:space="preserve">リカイヤ </t>
    </rPh>
    <rPh sb="100" eb="102">
      <t xml:space="preserve">カンシンヲ </t>
    </rPh>
    <rPh sb="103" eb="105">
      <t xml:space="preserve">コウジョウサセル </t>
    </rPh>
    <rPh sb="108" eb="112">
      <t xml:space="preserve">ジュギョウホウホウヤ </t>
    </rPh>
    <rPh sb="113" eb="115">
      <t xml:space="preserve">ゲンバデノ </t>
    </rPh>
    <rPh sb="117" eb="119">
      <t xml:space="preserve">カダイヲ </t>
    </rPh>
    <rPh sb="120" eb="122">
      <t xml:space="preserve">ギロンシテ </t>
    </rPh>
    <rPh sb="124" eb="126">
      <t xml:space="preserve">ヒツヨウニオウジテ </t>
    </rPh>
    <rPh sb="130" eb="132">
      <t xml:space="preserve">カモク </t>
    </rPh>
    <rPh sb="153" eb="154">
      <t xml:space="preserve">クワエテ </t>
    </rPh>
    <rPh sb="157" eb="159">
      <t xml:space="preserve">ジョウキノ </t>
    </rPh>
    <rPh sb="160" eb="164">
      <t>ジ</t>
    </rPh>
    <rPh sb="164" eb="165">
      <t xml:space="preserve">ヒョウニ </t>
    </rPh>
    <rPh sb="174" eb="178">
      <t>ホンイイン</t>
    </rPh>
    <rPh sb="179" eb="182">
      <t xml:space="preserve">コウセイインデ </t>
    </rPh>
    <rPh sb="189" eb="190">
      <t xml:space="preserve">アラタナ </t>
    </rPh>
    <rPh sb="196" eb="200">
      <t xml:space="preserve">ジュギョウホウホウヲ </t>
    </rPh>
    <rPh sb="201" eb="203">
      <t xml:space="preserve">シコウ </t>
    </rPh>
    <rPh sb="208" eb="212">
      <t>キョウユ</t>
    </rPh>
    <rPh sb="220" eb="221">
      <t xml:space="preserve">ヨイモノハ </t>
    </rPh>
    <rPh sb="225" eb="227">
      <t xml:space="preserve">コウギニモ </t>
    </rPh>
    <rPh sb="229" eb="230">
      <t xml:space="preserve">クミコムコトヲ </t>
    </rPh>
    <rPh sb="236" eb="238">
      <t xml:space="preserve">スイショウスル </t>
    </rPh>
    <rPh sb="240" eb="241">
      <t xml:space="preserve">トリクミヲ </t>
    </rPh>
    <rPh sb="245" eb="246">
      <t xml:space="preserve">オコナッテイル モギジュウ </t>
    </rPh>
    <phoneticPr fontId="1"/>
  </si>
  <si>
    <t>＜委員長＞
　医学部　教授　吉本 潤一郎
＜副委員長＞
　医学部　教授　長崎　弘
＜委　員＞
　医療科学部　　 　　 　教授　　鈴木 康司
　医療科学部　　 　　准教授　　武藤 晃一
　保健衛生学部　 　　　教授　　山田 晃司
　保健衛生学部　  　准教授　　皆川 敦子
　保健衛生学部　  　准教授　　小山 総市朗
　大学事務局　　  学務部長　  保科 豊次
　（医学部）　　　　 学務課員 　 金子 祥子、櫻井 麗子
　（医療科学部）　 学務課員　　羽根友弥、村川のぞみ、三浦真紀子
　(保健衛生学部) 学務課員　　坂井田 直孝、原　美佳、松原　睦
　</t>
    <phoneticPr fontId="1"/>
  </si>
  <si>
    <t>デジタル社会において、数理・データサイエンス・AIを日常の生活、仕事等の場で使いこなすことができる基礎的素養を主体的に身に付ける。
学修した数理・データサイエンス・AIに関する知識・技能をもとに、これらを扱う際には、人間中心の適切な判断でき、不安なく自らの意志でAI等の
恩恵を享受し、これらを説明し、活用できるようになる。</t>
    <phoneticPr fontId="1"/>
  </si>
  <si>
    <t>医療科学部</t>
    <phoneticPr fontId="1"/>
  </si>
  <si>
    <t>医学部</t>
    <rPh sb="0" eb="2">
      <t>イガク</t>
    </rPh>
    <rPh sb="2" eb="3">
      <t>ブ</t>
    </rPh>
    <phoneticPr fontId="1"/>
  </si>
  <si>
    <t>保健衛生学部</t>
    <phoneticPr fontId="1"/>
  </si>
  <si>
    <t>医学部</t>
    <rPh sb="0" eb="3">
      <t>イガクブ</t>
    </rPh>
    <phoneticPr fontId="1"/>
  </si>
  <si>
    <t>医療科学部</t>
    <rPh sb="0" eb="5">
      <t>イリョウ</t>
    </rPh>
    <phoneticPr fontId="4"/>
  </si>
  <si>
    <t>保健衛生学部</t>
    <rPh sb="0" eb="6">
      <t>ホケンエイセイガクブ</t>
    </rPh>
    <phoneticPr fontId="4"/>
  </si>
  <si>
    <t>・データサイエンスのサイクル（データの取得・管理・加工）「データサイエンス」（4回目）
・ヘルスケア等におけるデータ・AI利活用事例紹介「データサイエンス」（1回目）</t>
    <phoneticPr fontId="1"/>
  </si>
  <si>
    <t>・ビッグデータ、IoT、AI、データ量の増加、計算機の処理性能の向上、Society 5.0 「データサイエンス」（1回目）</t>
    <phoneticPr fontId="1"/>
  </si>
  <si>
    <t>・AI最新技術の活用例（深層生成モデル、強化学習、転移学習、生成AIなど）「データサイエンス」（1回目,9回目）</t>
    <phoneticPr fontId="1"/>
  </si>
  <si>
    <t>・調査データ、実験データ、人の行動ログデータ、機械の稼働ログデータなど「データサイエンス」（4回目）
・1次データ、2次データ、データのメタ化、構造化データ、非構造化データ（文章、画像/動画、音声/音楽など）「データサイエンス」（2回目)</t>
    <phoneticPr fontId="1"/>
  </si>
  <si>
    <t>・データ・AI活用領域の広がり(生産、消費、文化活動など)「データサイエンス」（4回目）</t>
    <phoneticPr fontId="1"/>
  </si>
  <si>
    <t>・データ可視化：複合グラフ、2軸グラフ、多次元の可視化、関係性の可視化、挙動・軌跡の可視化「データ・サイエンス」（2,4回目）
・データ可視化：複合グラフ、関係性の可視化「医療統計学」（2,4,6,8,10回目）
・データ解析：予測「データ・サイエンス」（7,8回目）「医療統計学」（9～12回目）</t>
    <rPh sb="147" eb="148">
      <t>メ</t>
    </rPh>
    <phoneticPr fontId="1"/>
  </si>
  <si>
    <t>・データの種類（量的変数、質的変数）「データサイエンス」（1回目）「医療統計学」（1回目）
・データの分布(ヒストグラム)と代表値（平均値、中央値、最頻値）「データサイエンス」（2回目）「医療統計学」（1,2回目）
・代表値の性質の違い「データ・サイエンス」（2回目）「医療統計学」（1,2回目）
・データのばらつき（分散、標準偏差、偏差値）、外れ値「データサイエンス」（2回目）「医療統計学」（1,2回目）
・相関と因果（相関係数、擬似相関、交絡）「データサイエンス」（7回目）「医療統計学」（3,4,9～12回目）
・母集団と標本抽出「データサイエンス」（3回目）「医療統計学」（1,2回目）
・クロス集計表、分割表、相関係数行列、散布図行列「データサイエンス」（7回目）「医療統計学」（7,8回目）
・統計情報の正しい理解「データサイエンス」（5回目）「医療統計学」（1～12回目）</t>
    <phoneticPr fontId="1"/>
  </si>
  <si>
    <t>・データ表現（棒グラフ、折線グラフ、散布図、ヒートマップ、箱ひげ図）「データサイエンス」（2,4,6～8回目）「医療統計学」（2,4,6,8,10,12回目）</t>
    <phoneticPr fontId="1"/>
  </si>
  <si>
    <t>リハビリテーション情報工学</t>
    <rPh sb="9" eb="11">
      <t>ジョウホウ</t>
    </rPh>
    <rPh sb="11" eb="13">
      <t>コウガク</t>
    </rPh>
    <phoneticPr fontId="1"/>
  </si>
  <si>
    <t>・データ・AI活用領域の広がり「情報リテラシー」（4回目）
・データ・AI活用領域の広がり「データサイエンス」（8回目）
・データ・AI活用領域の広がり「保健統計学演習」（7,8,9,10,11,12回目)
・データ・AI活用領域の広がり「医用情報処理学」（1回目)
・データ・AI活用領域の広がり「リハビリテーション情報工学」（1回目）</t>
    <rPh sb="131" eb="132">
      <t>メ</t>
    </rPh>
    <rPh sb="167" eb="168">
      <t>メ</t>
    </rPh>
    <phoneticPr fontId="1"/>
  </si>
  <si>
    <t>・AI最新技術の活用例「データサイエンス」（1回目）
・AI最新技術の活用例「保健統計学演習」（1回目）
・AI最新技術の活用例、生成AI、大規模言語モデル「医用情報処理学」(1回目)
・AI最新技術の活用例「リハビリテーション情報工学」（1回目、5回目）</t>
    <rPh sb="90" eb="91">
      <t>メ</t>
    </rPh>
    <rPh sb="122" eb="123">
      <t>メ</t>
    </rPh>
    <rPh sb="126" eb="127">
      <t>メ</t>
    </rPh>
    <phoneticPr fontId="1"/>
  </si>
  <si>
    <t>・構造化データ、非構造化データ(文章、画像/動画、音声/音楽など)「情報リテラシー」（6回目）
・調査データ、実験データなど、1次データ、2次データ、データのメタ化「データサイエンス」（8回目）
・調査データ、1次データ、2次データ、データのメタ化「保健統計学演習」（13,14,15回目）
・調査データ、実験データ、データ作成「医用情報処理学」（2回目)
・調査データ、実験データ「運動学演習」(1回目、2回目、3回目)</t>
    <rPh sb="176" eb="177">
      <t>メ</t>
    </rPh>
    <rPh sb="201" eb="202">
      <t>メ</t>
    </rPh>
    <rPh sb="205" eb="206">
      <t>メ</t>
    </rPh>
    <rPh sb="209" eb="210">
      <t>メ</t>
    </rPh>
    <phoneticPr fontId="1"/>
  </si>
  <si>
    <t xml:space="preserve">・公共、ヘルスケア等におけるデータ・AI利活用事例紹介「情報リテラシー」（6回目）
・公共、ヘルスケア等におけるデータ・AI利活用事例紹介「データサイエンス」（8回目）
・公共、ヘルスケア等におけるデータ・AI利活用事例紹介「保健統計学演習」（13,14,15回目）
・公共、ヘルスケア等におけるデータ・AI利活用事例紹介「医用情報処理学」(1回目) 
・公共、ヘルスケア等におけるデータ・AI利活用事例紹介「リハビリテーション情報工学」(1回目、5回目) </t>
    <rPh sb="173" eb="174">
      <t>メ</t>
    </rPh>
    <rPh sb="222" eb="223">
      <t>メ</t>
    </rPh>
    <rPh sb="226" eb="227">
      <t>メ</t>
    </rPh>
    <phoneticPr fontId="1"/>
  </si>
  <si>
    <t>・ELSI(Ethical,LegalandSocialIssues)、個人情報保護、データ倫理:プライバシー保護「情報リテラシー」（5回目）
・ELSI(Ethical,LegalandSocialIssues)、データ倫理「データサイエンス」（1回目）
・ELSI(Ethical,LegalandSocialIssues)、個人情報保護、オプトアウト、データ倫理「看護研究方法論」（2,3回目）
・データ倫理:データのねつ造、改ざん、盗用、プライバシー保護「保健統計学演習」（1回目）
・生成AIの留意事項（ハルシネーション、偽情報）「医用情報処理学」(1回目) 
・AIサービスの責任論「リハビリテーション情報工学」（5回目) 
・ELSI(Ethical,LegalandSocialIssues)、AI社会原則、データ倫理、個人情報保護、データ・AI活用における負の事例紹介「研究概論」(7回目)</t>
    <rPh sb="243" eb="244">
      <t>メ</t>
    </rPh>
    <rPh sb="282" eb="283">
      <t>メ</t>
    </rPh>
    <rPh sb="315" eb="316">
      <t>メ</t>
    </rPh>
    <rPh sb="391" eb="393">
      <t>ショウカイ</t>
    </rPh>
    <rPh sb="402" eb="403">
      <t>メ</t>
    </rPh>
    <phoneticPr fontId="1"/>
  </si>
  <si>
    <t xml:space="preserve">・データの集計(和、平均) 「情報リテラシー」（3回目）
・データの集計、データ解析ツール「データサイエンス」（1,2,3,4,5,6,7,8回目)
・データの集計、データの並び替え、データ解析ツール「情報機器の操作」（8,9,10,11,13,14回目）
・データの集計、データの並び替え、データ解析ツール「保健統計学演習」（7,8,9,10,11,12,13,14,15回目)
・データの取得、データの集計、データの並び替え、データ解析ツール、表形式のデータ「医用情報処理学」(3回目～12回目) 
・データの取得、データの集計、データの並び替え、データ解析ツール、表形式のデータ「運動学演習」(1回目～15回目) 
・データの取得、データの集計「研究概論」(8回目～12回目) </t>
    <rPh sb="243" eb="244">
      <t>メ</t>
    </rPh>
    <rPh sb="248" eb="249">
      <t>メ</t>
    </rPh>
    <rPh sb="302" eb="303">
      <t>メ</t>
    </rPh>
    <rPh sb="307" eb="308">
      <t>メ</t>
    </rPh>
    <rPh sb="334" eb="335">
      <t>メ</t>
    </rPh>
    <rPh sb="339" eb="340">
      <t>メ</t>
    </rPh>
    <phoneticPr fontId="1"/>
  </si>
  <si>
    <t xml:space="preserve">・情報セキュリティの3要素(機密性、完全性、可用性)、情報漏洩等によるセキュリティ事故の事例紹介「情報リテラシー」（5回目）
・情報セキュリティの3要素(機密性、完全性、可用性)「データサイエンス」（1回目）
・情報セキュリティの3要素(機密性、完全性、可用性)、匿名加工情報、暗号化、パスワード、悪意ある情報搾取、情報漏洩等によるセキュリティ
　事故の事例紹介「看護・研究方法論」（2回目）
・情報セキュリティの3要素(機密性、完全性、可用性)「保健統計学演習」（1回目）
・情報セキュリティの3要素(機密性、完全性、可用性)「基礎情報処理学」（1回目）
</t>
    <rPh sb="11" eb="13">
      <t>ヨウソ</t>
    </rPh>
    <phoneticPr fontId="1"/>
  </si>
  <si>
    <t>・データを起点としたものの見方、人間の知的活動を起点としたものの見方「情報リテラシー」（5回目）
・データを起点としたものの見方「データサイエンス」（1回目）
・データ量の増加、計算機の処理性能の向上、データを起点としたものの見方「保健統計学演習」（1回目）
・第4次産業革命、Society 5.0、データ駆動型社会「基礎情報処理学」（3回目）
・AIの発展による社会変化、人間の知的活動とAIの関係性、情報リテラシー、データ倫理を中心としたAI社会原則「医用情報処理学」（1回目）
・ビッグデータ、IoT、AI、機械の稼働ログデータ、ディープデータ、ロボット「リハビリテーション情報工学」（2回目、5回目、8回目）</t>
    <rPh sb="171" eb="172">
      <t>メ</t>
    </rPh>
    <rPh sb="188" eb="190">
      <t>ニンゲン</t>
    </rPh>
    <rPh sb="191" eb="195">
      <t>チテキカツドウ</t>
    </rPh>
    <rPh sb="199" eb="202">
      <t>カンケイセイ</t>
    </rPh>
    <rPh sb="240" eb="241">
      <t>メ</t>
    </rPh>
    <rPh sb="299" eb="300">
      <t>メ</t>
    </rPh>
    <rPh sb="302" eb="304">
      <t>カイメ</t>
    </rPh>
    <rPh sb="307" eb="308">
      <t>メ</t>
    </rPh>
    <phoneticPr fontId="1"/>
  </si>
  <si>
    <t xml:space="preserve">・データ解析「データサイエンス」（8回目）
・データ可視化「情報機器の操作」（12回目）
・データ解析、データ可視化「保健統計学演習」（2,3回目）
・データ解析、データ可視化「基礎情報処理学」(6回目)
・今のAIで出来ることと出来ないこと、生成AIの活用「医用情報処理学」(1回目、2回目)
・特化型AIと汎用型AI、AIの基盤技術（予測、グルーピング）、AIの発展（ルールベース、エキスパートシステム）
 「リハビリテーション情報工学」(5回目)
・データ解析（予測）、データ可視化「運動学演習」(6回目～16回目) </t>
    <rPh sb="100" eb="101">
      <t>メ</t>
    </rPh>
    <rPh sb="141" eb="142">
      <t>メ</t>
    </rPh>
    <rPh sb="145" eb="146">
      <t>メ</t>
    </rPh>
    <rPh sb="224" eb="225">
      <t>メ</t>
    </rPh>
    <rPh sb="254" eb="255">
      <t>メ</t>
    </rPh>
    <rPh sb="259" eb="260">
      <t>メ</t>
    </rPh>
    <phoneticPr fontId="1"/>
  </si>
  <si>
    <t xml:space="preserve">・データの種類(量的変数、質的変数)、データの分布(ヒストグラム)と代表値(平均値、中央値、最頻値 「情報リテラシー」（3回目）
・データの種類(量的変数、質的変数)、データの分布(ヒストグラム)と代表値(平均値、中央値、最頻値）、代表値の性質の違い（実社会では
 平均値＝最頻値でないことが多い）、データのばらつき（分散、標準偏差、偏差値）、相関と因果（相関係数、擬似相関、交絡）、母集団と
 標本抽出、クロス集計表、分割表、相関係数行列、散布図行列「データサイエンス」（1,2,3,4,5,6,7,8回目)
・データの種類(量的変数、質的変数)、統計情報の正しい理解「看護研究方法論」（5,6,8回目）
・データの種類(量的変数、質的変数)、データの分布(ヒストグラム)と代表値(平均値、中央値、最頻値)、代表値の性質の違い（実社会では
 平均値＝最頻値でないことが多い）、データのばらつき（分散、標準偏差、偏差値）「情報機器の操作」（7,13,14回目）
・データの種類、データの分布(ヒストグラム)と代表値（平均値、中央値、最頻値）、代表値の性質の違い（実社会では平均値＝最頻値で
 ないことが多い）、データのばらつき（分散、標準偏差、偏差値）、母集団と標本抽出「保健統計学演習」（7,8,9,10,11,12,13,14,15回目)
・統計情報の正しい理解「基礎情報処理学」(6回目)
・データの種類（量的変数、質的変数）、データの分布(ヒストグラム)と代表値（平均値、中央値、最頻値）、代表値の性質の違い（実社会では
 平均値＝最頻値でないことが多い）、データのばらつき（分散、標準偏差、偏差値）、外れ値、相関と因果（相関係数、擬似相関、交絡）
 「統計学」(2回目～12回目) 
・統計情報の正しい理解（誇張表現に惑わされない）「数学」(1回目～12回目) 
・データの種類、データの分布（ヒストグラム）と代表値（平均値、中央値、最頻値）、代表値の性質の違い、データのばらつき（分散、標準
 偏差、偏差値）、外れ値、相関と因果、母集団と標本抽出「医用情報処理学」(5回目～11回目) 
・データのばらつき（分散、標準偏差、偏差値）、母集団と標本抽出、データの分布（ヒストグラム）と代表値（平均値、中央値、最頻値）、
 データ表現（折れ線グラフ、散布図）、相関と因果「運動学演習」(1回目～15回目) 
・データの分布（ヒストグラム）と代表値（平均値、中央値、最頻値）、母集団と標本抽出、クロス集計表、統計情報の正しい理解
 「研究概論」(8回目～12回目) </t>
    <rPh sb="595" eb="596">
      <t>メ</t>
    </rPh>
    <rPh sb="738" eb="739">
      <t>メ</t>
    </rPh>
    <rPh sb="743" eb="744">
      <t>メ</t>
    </rPh>
    <rPh sb="778" eb="779">
      <t>メ</t>
    </rPh>
    <rPh sb="783" eb="784">
      <t>メ</t>
    </rPh>
    <rPh sb="891" eb="892">
      <t>メ</t>
    </rPh>
    <rPh sb="896" eb="897">
      <t>メ</t>
    </rPh>
    <rPh sb="999" eb="1000">
      <t>メ</t>
    </rPh>
    <rPh sb="1004" eb="1005">
      <t>メ</t>
    </rPh>
    <rPh sb="1078" eb="1079">
      <t>メ</t>
    </rPh>
    <rPh sb="1083" eb="1084">
      <t>メ</t>
    </rPh>
    <phoneticPr fontId="1"/>
  </si>
  <si>
    <t xml:space="preserve">・データ表現（棒グラフ、折線グラフ、散布図） 「情報リテラシー」（3回目）
・データ表現（棒グラフ、折線グラフ、散布図）、データの図表表現(チャート化)、「データサイエンス」（8回目)
・データ表現（棒グラフ、折線グラフ、散布図）、データの図表表現(チャート化)「情報機器の操作」（12回目）
・データ表現（棒グラフ、折線グラフ、散布図）、データの図表表現(チャート化)「保健統計学演習」（2,3,13,14,15回目)
・データ表現（棒グラフ、折線グラフ、散布図、箱ひげ図）、データの比較、不適切なグラフ表現、相手に的確かつ正確に情報を伝える技術や
 考え方 「基礎情報処理学」(6回目、7回目)
・データ表現（棒グラフ、折線グラフ、散布図、ヒートマップ、箱ひげ図）、データの比較（条件をそろえた比較、処理の前後での比較、
 A/Bテスト)「統計学」(2回目～12回目) 
・データ表現（棒グラフ、折線グラフ、散布図、ヒートマップ、箱ひげ図）、データの比較（条件をそろえた比較、処理の前後での比較、
 A/Bテスト)「数学」(1回目～12回目) 
・データ表現（棒グラフ、折線グラフ、散布図、箱ひげ図）、データの比較「医用情報処理学」(5回目～12回目) 
・データ表現（折線グラフ、散布図）、データの比較「運動学演習」(1回目～15回目) 
・データ表現（棒グラフ、折線グラフ、散布図、箱ひげ図）、データの比較、相手に的確かつ正確に情報を伝える技術や考え方
 「研究概論」(8回目～12回目) </t>
    <rPh sb="35" eb="36">
      <t>メ</t>
    </rPh>
    <rPh sb="293" eb="294">
      <t>メ</t>
    </rPh>
    <rPh sb="297" eb="298">
      <t>メ</t>
    </rPh>
    <rPh sb="379" eb="380">
      <t>メ</t>
    </rPh>
    <rPh sb="384" eb="385">
      <t>メ</t>
    </rPh>
    <rPh sb="466" eb="467">
      <t>メ</t>
    </rPh>
    <rPh sb="471" eb="472">
      <t>メ</t>
    </rPh>
    <rPh sb="521" eb="522">
      <t>メ</t>
    </rPh>
    <rPh sb="526" eb="527">
      <t>メ</t>
    </rPh>
    <rPh sb="564" eb="565">
      <t>メ</t>
    </rPh>
    <rPh sb="569" eb="570">
      <t>メ</t>
    </rPh>
    <rPh sb="641" eb="642">
      <t>メ</t>
    </rPh>
    <rPh sb="646" eb="647">
      <t>メ</t>
    </rPh>
    <phoneticPr fontId="1"/>
  </si>
  <si>
    <t>・倫理的・法的・社会的課題（ELSI：Ethical, Legal and Social Issues）、個人情報保護、EU一般データ保護規則(GDPR)、忘れられる権利、
 オプトアウト、データバイアス、アルゴリズムバイアス「データサイエンス」（11回目）
・データ倫理：データのねつ造、改ざん、盗用、プライバシー保護「データサイエンス」（10回目）</t>
    <phoneticPr fontId="1"/>
  </si>
  <si>
    <t>・情報セキュリティの3要素（機密性、完全性、可用性）、匿名加工情報、暗号化と復号、ユーザ認証と、パスワード、アクセス制御、
 悪意ある情報搾取「データサイエンス」（10回目）</t>
    <phoneticPr fontId="1"/>
  </si>
  <si>
    <t>・データの取得（機械判読可能なデータの作成・表記方法）、表形式のデータ（csv）「データサイエンス」（2～4回目）
 「医療統計学」（2,4,6,8,10,12回目）
・データの集計（和、平均）「データサイエンス」（2回目）「医療統計学」（2,4,6,8,10,12回目）
・データの並び替え、ランキング「データサイエンス」（2回目）「医療統計学」（2,4,6,8,10,12回目）
・データ解析ツール「医療統計学」（2,4,6,8,10,12回目）</t>
    <phoneticPr fontId="1"/>
  </si>
  <si>
    <t>・調査データ、実験データなど ・構造化データ、非構造化データ(文章、画像/動画、音声/音楽など) ・データ作成(ビッグデータとアノテーション) 
「基礎データサイエンス（2,8回目）」</t>
    <phoneticPr fontId="1"/>
  </si>
  <si>
    <t>・データ解析:予測、グルーピング、パターン発見、モデル化とシミュレーション・データ同化など ・データ可視化:複合グラフ、2軸グラフ、多次元
 の可視化、関係性の可視化、画像/動画処理・特化型AIと汎用AI、今のAIで出来ることと出来ないこと、AIとビッグデータ 「基礎データサイエンス
 （2,19-20, 22-30回目）」</t>
    <phoneticPr fontId="1"/>
  </si>
  <si>
    <t>・個人情報保護・EU一般データ保護規則(GDPR)、忘れられる権利、オプトアウト ・AI社会原則(公平性、説明責任、透明性、人間中心の判断) ・
 AIサービスの責任論 ・データ・AI活用における負の事例紹介・データバイアス、アルゴリズムバイアス・生成AIの留意事項（ハルシネーション
 による誤情報の生成、偽情報や有害コンテンツの生成・氾濫 など） 「基礎データサイエンス（2,4,5,7回目）」</t>
    <phoneticPr fontId="1"/>
  </si>
  <si>
    <t>・情報セキュリティの3要素（機密性、完全性、可用性） ・匿名加工情報、パスワード、悪意ある情報搾取 ・情報漏洩等によるセキュリティ事故
 の事例紹介 「基礎データサイエンス（7回目）」</t>
    <phoneticPr fontId="1"/>
  </si>
  <si>
    <t>・データの種類(量的変数、質的変数) ・データの分布(ヒストグラム)と代表値(平均値、中央値、最頻値) ・代表値の性質の違い(実社会では
 平均値=最頻値でないことが多い) ・データのばらつき(分散、標準偏差、偏差値)
・相関と因果(相関係数、擬似相関、交絡) ・母集団と標本抽出(国勢調査、アンケート調査、全数調査、単純無作為抽出、層別抽出、多段
 抽出) ・クロス集計表、分割表、相関係数行列、散布図行列 ・統計情報の正しい理解(誇張表現に惑わされない) 
 「基礎データサイエンス（3,4回目）」
・データの種類(量的変数、質的変数)・データの分布(ヒストグラム)と代表値(平均値、中央値、最頻値)・代表値の性質の違い(実社会では
 平均値=最頻値でないことが多い)・データのばらつき(分散、標準偏差、偏差値)・観測データに含まれる誤差の扱い・相関と因果(相関係数、
 擬似相関、交絡) ・母集団と標本抽出(国勢調査、アンケート調査、全数調査、単純無作為抽出、層別抽出、多段抽出) ・クロス集計表、
 分割表、相関係数行列、散布図行列 ・統計情報の正しい理解(誇張表現に惑わされない)：「医学統計学（1-4回目, 9-12回目）」</t>
    <phoneticPr fontId="1"/>
  </si>
  <si>
    <t>・データ表現(棒グラフ、折線グラフ、散布図) 「基礎データサイエンス（13-15回目）」
・データ表現(棒グラフ、折線グラフ、散布図、ヒートマップ) ・データの比較(条件をそろえた比較、処理の前後での比較、A/Bテスト) ・優れた
 可視化事例の紹介(可視化することによって新たな気づきがあった事例など)「医学統計学（1-2回目、6-10回目）」</t>
    <phoneticPr fontId="1"/>
  </si>
  <si>
    <t>・データの集計(和、平均) ・データの並び替え ・データ解析ツール ・表形式のデータ(csv) 「基礎データサイエンス（13-15回目）」
・データの集計(和、平均) ・表形式のデータ(csv) 「医学統計学（2,4,7,10,12,14回目）」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</si>
</sst>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ＭＳ Ｐゴシック"/>
      <family val="2"/>
      <charset val="128"/>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8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1" xfId="0" applyFont="1" applyBorder="1">
      <alignment vertical="center"/>
    </xf>
    <xf numFmtId="0" fontId="11" fillId="0" borderId="0" xfId="0" applyFont="1" applyAlignment="1">
      <alignment horizontal="right" vertical="center"/>
    </xf>
    <xf numFmtId="0" fontId="12" fillId="0" borderId="0" xfId="0" applyFont="1" applyAlignment="1">
      <alignment horizontal="center" vertical="center"/>
    </xf>
    <xf numFmtId="0" fontId="10" fillId="0" borderId="0" xfId="0" applyFont="1" applyAlignment="1">
      <alignment horizontal="center" vertical="center"/>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4"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47" xfId="2" applyFont="1" applyFill="1" applyBorder="1" applyAlignment="1">
      <alignment vertical="center" shrinkToFit="1"/>
    </xf>
    <xf numFmtId="9" fontId="2" fillId="0" borderId="14" xfId="0" applyNumberFormat="1" applyFont="1" applyBorder="1" applyAlignment="1">
      <alignment vertical="center" shrinkToFit="1"/>
    </xf>
    <xf numFmtId="0" fontId="2" fillId="0" borderId="20" xfId="0" applyFont="1" applyBorder="1" applyAlignment="1">
      <alignment horizontal="lef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5" xfId="2" applyFont="1" applyFill="1" applyBorder="1" applyAlignment="1">
      <alignment vertical="center" shrinkToFit="1"/>
    </xf>
    <xf numFmtId="9" fontId="2" fillId="0" borderId="47" xfId="0" applyNumberFormat="1" applyFont="1" applyBorder="1" applyAlignment="1">
      <alignment vertical="center" shrinkToFit="1"/>
    </xf>
    <xf numFmtId="9" fontId="2" fillId="0" borderId="20" xfId="0" applyNumberFormat="1" applyFont="1" applyBorder="1" applyAlignment="1">
      <alignment vertical="center" shrinkToFit="1"/>
    </xf>
    <xf numFmtId="38" fontId="2" fillId="0" borderId="17" xfId="2" applyFont="1" applyFill="1" applyBorder="1" applyAlignment="1">
      <alignment vertical="center" shrinkToFit="1"/>
    </xf>
    <xf numFmtId="0" fontId="2" fillId="0" borderId="21" xfId="0" applyFont="1" applyBorder="1" applyAlignment="1">
      <alignment horizontal="left" vertical="center" shrinkToFit="1"/>
    </xf>
    <xf numFmtId="38" fontId="2" fillId="0" borderId="10" xfId="2" applyFont="1" applyFill="1" applyBorder="1" applyAlignment="1">
      <alignment vertical="center" shrinkToFit="1"/>
    </xf>
    <xf numFmtId="9" fontId="2" fillId="0" borderId="10" xfId="0" applyNumberFormat="1" applyFont="1" applyBorder="1" applyAlignment="1">
      <alignment vertical="center" shrinkToFit="1"/>
    </xf>
    <xf numFmtId="0" fontId="2" fillId="0" borderId="24" xfId="0" applyFont="1" applyBorder="1" applyAlignment="1">
      <alignment horizontal="center" vertical="center" shrinkToFit="1"/>
    </xf>
    <xf numFmtId="38" fontId="2" fillId="0" borderId="24" xfId="2" applyFont="1" applyFill="1" applyBorder="1" applyAlignment="1">
      <alignment vertical="center" shrinkToFit="1"/>
    </xf>
    <xf numFmtId="38" fontId="2" fillId="0" borderId="23" xfId="2" applyFont="1" applyFill="1" applyBorder="1" applyAlignment="1">
      <alignment vertical="center" shrinkToFit="1"/>
    </xf>
    <xf numFmtId="38" fontId="2" fillId="0" borderId="22" xfId="2" applyFont="1" applyFill="1" applyBorder="1" applyAlignment="1">
      <alignment vertical="center" shrinkToFit="1"/>
    </xf>
    <xf numFmtId="0" fontId="2" fillId="0" borderId="1" xfId="0" applyFont="1" applyBorder="1" applyAlignment="1">
      <alignment horizontal="right" vertical="center"/>
    </xf>
    <xf numFmtId="38" fontId="2" fillId="0" borderId="1" xfId="0" applyNumberFormat="1" applyFont="1" applyBorder="1">
      <alignment vertical="center"/>
    </xf>
    <xf numFmtId="9" fontId="2" fillId="0" borderId="24" xfId="0" applyNumberFormat="1" applyFont="1" applyBorder="1" applyAlignment="1">
      <alignment vertical="center" shrinkToFit="1"/>
    </xf>
    <xf numFmtId="0" fontId="11" fillId="0" borderId="1" xfId="0" applyFont="1" applyBorder="1" applyAlignment="1">
      <alignment horizontal="center" vertical="center"/>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20" xfId="0" applyFont="1" applyBorder="1" applyAlignment="1">
      <alignment horizontal="center" vertical="center" shrinkToFit="1"/>
    </xf>
    <xf numFmtId="0" fontId="14" fillId="0" borderId="0" xfId="0" applyFont="1">
      <alignment vertical="center"/>
    </xf>
    <xf numFmtId="0" fontId="11" fillId="0" borderId="0" xfId="0" applyFont="1" applyAlignment="1">
      <alignment horizontal="left" vertical="center" shrinkToFit="1"/>
    </xf>
    <xf numFmtId="0" fontId="14" fillId="0" borderId="0" xfId="0" applyFont="1" applyAlignment="1">
      <alignment horizontal="center" vertical="center"/>
    </xf>
    <xf numFmtId="0" fontId="11" fillId="0" borderId="1" xfId="0" applyFont="1" applyBorder="1" applyAlignment="1">
      <alignment horizontal="right" vertical="center"/>
    </xf>
    <xf numFmtId="0" fontId="16" fillId="0" borderId="1" xfId="0" applyFont="1" applyBorder="1" applyAlignment="1">
      <alignment horizontal="center" vertical="center" shrinkToFit="1"/>
    </xf>
    <xf numFmtId="0" fontId="16" fillId="0" borderId="4" xfId="0" applyFont="1" applyBorder="1" applyAlignment="1">
      <alignment horizontal="center" vertical="center" shrinkToFit="1"/>
    </xf>
    <xf numFmtId="49" fontId="16"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31"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13"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47" xfId="0" applyFont="1" applyBorder="1" applyAlignment="1">
      <alignment horizontal="center" vertical="center" shrinkToFit="1"/>
    </xf>
    <xf numFmtId="0" fontId="11" fillId="0" borderId="0" xfId="0" applyFont="1" applyAlignment="1">
      <alignment vertical="top" wrapText="1"/>
    </xf>
    <xf numFmtId="0" fontId="11" fillId="0" borderId="44" xfId="0" applyFont="1" applyBorder="1" applyAlignment="1">
      <alignment horizontal="center" vertical="center" shrinkToFit="1"/>
    </xf>
    <xf numFmtId="0" fontId="11" fillId="0" borderId="48" xfId="0" applyFont="1" applyBorder="1" applyAlignment="1">
      <alignment horizontal="center" vertical="center" shrinkToFit="1"/>
    </xf>
    <xf numFmtId="49" fontId="16" fillId="0" borderId="42" xfId="0" applyNumberFormat="1" applyFont="1" applyBorder="1" applyAlignment="1">
      <alignment horizontal="center" vertical="center"/>
    </xf>
    <xf numFmtId="49" fontId="16" fillId="0" borderId="43" xfId="0" applyNumberFormat="1" applyFont="1" applyBorder="1" applyAlignment="1">
      <alignment horizontal="center" vertical="center"/>
    </xf>
    <xf numFmtId="49" fontId="16" fillId="0" borderId="38" xfId="0" applyNumberFormat="1" applyFont="1" applyBorder="1" applyAlignment="1">
      <alignment horizontal="center" vertical="center"/>
    </xf>
    <xf numFmtId="49" fontId="16" fillId="0" borderId="25" xfId="0" applyNumberFormat="1" applyFont="1" applyBorder="1" applyAlignment="1">
      <alignment horizontal="center" vertical="center"/>
    </xf>
    <xf numFmtId="49" fontId="16" fillId="0" borderId="41" xfId="0" applyNumberFormat="1" applyFont="1" applyBorder="1" applyAlignment="1">
      <alignment horizontal="center" vertical="center"/>
    </xf>
    <xf numFmtId="49" fontId="16" fillId="0" borderId="27" xfId="0" applyNumberFormat="1"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0"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28" xfId="0" applyNumberFormat="1" applyFont="1" applyBorder="1" applyAlignment="1">
      <alignment horizontal="left" vertical="center"/>
    </xf>
    <xf numFmtId="49" fontId="3" fillId="0" borderId="31" xfId="0" applyNumberFormat="1" applyFont="1" applyBorder="1" applyAlignment="1">
      <alignment horizontal="left" vertical="center"/>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12" xfId="0" applyFont="1" applyFill="1" applyBorder="1" applyAlignment="1">
      <alignment horizontal="left" vertical="center" wrapText="1"/>
    </xf>
    <xf numFmtId="49" fontId="16" fillId="0" borderId="28" xfId="0" applyNumberFormat="1" applyFont="1" applyBorder="1" applyAlignment="1">
      <alignment horizontal="left" vertical="center" wrapText="1"/>
    </xf>
    <xf numFmtId="49" fontId="16" fillId="0" borderId="30" xfId="0" applyNumberFormat="1" applyFont="1" applyBorder="1" applyAlignment="1">
      <alignment horizontal="left" vertical="center"/>
    </xf>
    <xf numFmtId="49" fontId="16" fillId="0" borderId="29" xfId="0" applyNumberFormat="1" applyFont="1" applyBorder="1" applyAlignment="1">
      <alignment horizontal="left" vertical="center"/>
    </xf>
    <xf numFmtId="49" fontId="16" fillId="0" borderId="18" xfId="0" applyNumberFormat="1" applyFont="1" applyBorder="1" applyAlignment="1">
      <alignment horizontal="left" vertical="center" wrapText="1"/>
    </xf>
    <xf numFmtId="49" fontId="16" fillId="0" borderId="19" xfId="0" applyNumberFormat="1" applyFont="1" applyBorder="1" applyAlignment="1">
      <alignment horizontal="left" vertical="center"/>
    </xf>
    <xf numFmtId="49" fontId="16" fillId="0" borderId="17" xfId="0" applyNumberFormat="1" applyFont="1" applyBorder="1" applyAlignment="1">
      <alignment horizontal="left" vertical="center"/>
    </xf>
    <xf numFmtId="49" fontId="16" fillId="0" borderId="31" xfId="0" applyNumberFormat="1" applyFont="1" applyBorder="1" applyAlignment="1">
      <alignment horizontal="left" vertical="center" wrapText="1"/>
    </xf>
    <xf numFmtId="49" fontId="16" fillId="0" borderId="32" xfId="0" applyNumberFormat="1" applyFont="1" applyBorder="1" applyAlignment="1">
      <alignment horizontal="left" vertical="center"/>
    </xf>
    <xf numFmtId="49" fontId="16" fillId="0" borderId="33" xfId="0" applyNumberFormat="1" applyFont="1" applyBorder="1" applyAlignment="1">
      <alignment horizontal="left"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4" fillId="0" borderId="2" xfId="0" applyFont="1" applyBorder="1" applyAlignment="1">
      <alignment vertical="center" wrapText="1" shrinkToFit="1"/>
    </xf>
    <xf numFmtId="0" fontId="14" fillId="0" borderId="3" xfId="0" applyFont="1" applyBorder="1" applyAlignment="1">
      <alignment vertical="center" wrapText="1" shrinkToFit="1"/>
    </xf>
    <xf numFmtId="0" fontId="14" fillId="0" borderId="4" xfId="0" applyFont="1" applyBorder="1" applyAlignment="1">
      <alignment vertical="center" wrapText="1" shrinkToFit="1"/>
    </xf>
    <xf numFmtId="0" fontId="16" fillId="0" borderId="39" xfId="0" applyFont="1" applyBorder="1" applyAlignment="1">
      <alignment vertical="center" wrapText="1"/>
    </xf>
    <xf numFmtId="0" fontId="16" fillId="0" borderId="40" xfId="0" applyFont="1" applyBorder="1" applyAlignment="1">
      <alignment vertical="center" wrapText="1"/>
    </xf>
    <xf numFmtId="0" fontId="16" fillId="0" borderId="26" xfId="0" applyFont="1" applyBorder="1" applyAlignment="1">
      <alignment vertical="center" wrapText="1"/>
    </xf>
    <xf numFmtId="49" fontId="16" fillId="0" borderId="30" xfId="0" applyNumberFormat="1" applyFont="1" applyBorder="1" applyAlignment="1">
      <alignment horizontal="left" vertical="center" wrapText="1"/>
    </xf>
    <xf numFmtId="49" fontId="16" fillId="0" borderId="29" xfId="0" applyNumberFormat="1" applyFont="1" applyBorder="1" applyAlignment="1">
      <alignment horizontal="left" vertical="center" wrapText="1"/>
    </xf>
    <xf numFmtId="49" fontId="16" fillId="0" borderId="19" xfId="0" applyNumberFormat="1" applyFont="1" applyBorder="1" applyAlignment="1">
      <alignment horizontal="left" vertical="center" wrapText="1"/>
    </xf>
    <xf numFmtId="49" fontId="16" fillId="0" borderId="17" xfId="0" applyNumberFormat="1" applyFont="1" applyBorder="1" applyAlignment="1">
      <alignment horizontal="left" vertical="center" wrapText="1"/>
    </xf>
    <xf numFmtId="49" fontId="16" fillId="0" borderId="32" xfId="0" applyNumberFormat="1" applyFont="1" applyBorder="1" applyAlignment="1">
      <alignment horizontal="left" vertical="center" wrapText="1"/>
    </xf>
    <xf numFmtId="49" fontId="16" fillId="0" borderId="33" xfId="0" applyNumberFormat="1" applyFont="1" applyBorder="1" applyAlignment="1">
      <alignment horizontal="left" vertical="center" wrapText="1"/>
    </xf>
    <xf numFmtId="0" fontId="11" fillId="0" borderId="31"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11"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12"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18" xfId="0" applyFont="1" applyBorder="1" applyAlignment="1">
      <alignment horizontal="left" vertical="center" shrinkToFit="1"/>
    </xf>
    <xf numFmtId="0" fontId="11" fillId="0" borderId="19" xfId="0" applyFont="1" applyBorder="1" applyAlignment="1">
      <alignment horizontal="left" vertical="center" shrinkToFit="1"/>
    </xf>
    <xf numFmtId="0" fontId="11" fillId="0" borderId="17" xfId="0" applyFont="1" applyBorder="1" applyAlignment="1">
      <alignment horizontal="left" vertical="center" shrinkToFit="1"/>
    </xf>
    <xf numFmtId="0" fontId="11" fillId="0" borderId="28" xfId="0" applyFont="1" applyBorder="1" applyAlignment="1">
      <alignment vertical="center" shrinkToFit="1"/>
    </xf>
    <xf numFmtId="0" fontId="11" fillId="0" borderId="30" xfId="0" applyFont="1" applyBorder="1" applyAlignment="1">
      <alignment vertical="center" shrinkToFit="1"/>
    </xf>
    <xf numFmtId="0" fontId="11" fillId="0" borderId="29" xfId="0" applyFont="1" applyBorder="1" applyAlignment="1">
      <alignment vertical="center" shrinkToFit="1"/>
    </xf>
    <xf numFmtId="0" fontId="11" fillId="0" borderId="28" xfId="0" applyFont="1" applyBorder="1" applyAlignment="1">
      <alignment horizontal="center" vertical="center" shrinkToFit="1"/>
    </xf>
    <xf numFmtId="0" fontId="11" fillId="0" borderId="30" xfId="0" applyFont="1" applyBorder="1" applyAlignment="1">
      <alignment horizontal="center" vertical="center" shrinkToFit="1"/>
    </xf>
    <xf numFmtId="0" fontId="11" fillId="0" borderId="29" xfId="0" applyFont="1" applyBorder="1" applyAlignment="1">
      <alignment horizontal="center" vertical="center" shrinkToFit="1"/>
    </xf>
    <xf numFmtId="0" fontId="11" fillId="0" borderId="28" xfId="0" applyFont="1" applyBorder="1" applyAlignment="1">
      <alignment horizontal="left" vertical="center" shrinkToFit="1"/>
    </xf>
    <xf numFmtId="0" fontId="11" fillId="0" borderId="30" xfId="0" applyFont="1" applyBorder="1" applyAlignment="1">
      <alignment horizontal="left" vertical="center" shrinkToFit="1"/>
    </xf>
    <xf numFmtId="0" fontId="11" fillId="0" borderId="29" xfId="0" applyFont="1" applyBorder="1" applyAlignment="1">
      <alignment horizontal="left" vertical="center" shrinkToFit="1"/>
    </xf>
    <xf numFmtId="0" fontId="11" fillId="0" borderId="7" xfId="0" applyFont="1" applyBorder="1" applyAlignment="1">
      <alignment horizontal="left" vertical="center"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18" xfId="0" applyFont="1" applyBorder="1" applyAlignment="1">
      <alignment horizontal="left" vertical="center"/>
    </xf>
    <xf numFmtId="0" fontId="11" fillId="0" borderId="19" xfId="0" applyFont="1" applyBorder="1" applyAlignment="1">
      <alignment horizontal="left" vertical="center"/>
    </xf>
    <xf numFmtId="0" fontId="11" fillId="0" borderId="17" xfId="0" applyFont="1" applyBorder="1" applyAlignment="1">
      <alignment horizontal="left" vertical="center"/>
    </xf>
    <xf numFmtId="0" fontId="11" fillId="0" borderId="31" xfId="0" applyFont="1" applyBorder="1" applyAlignment="1">
      <alignment horizontal="left" vertical="center"/>
    </xf>
    <xf numFmtId="0" fontId="11" fillId="0" borderId="32" xfId="0" applyFont="1" applyBorder="1" applyAlignment="1">
      <alignment horizontal="left" vertical="center"/>
    </xf>
    <xf numFmtId="0" fontId="11" fillId="0" borderId="33" xfId="0" applyFont="1" applyBorder="1" applyAlignment="1">
      <alignment horizontal="left"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0" xfId="0" applyFont="1" applyAlignment="1">
      <alignment vertical="center" wrapText="1"/>
    </xf>
    <xf numFmtId="0" fontId="11" fillId="0" borderId="28" xfId="0" applyFont="1" applyBorder="1" applyAlignment="1">
      <alignment horizontal="left" vertical="center"/>
    </xf>
    <xf numFmtId="0" fontId="11" fillId="0" borderId="30" xfId="0" applyFont="1" applyBorder="1" applyAlignment="1">
      <alignment horizontal="left" vertical="center"/>
    </xf>
    <xf numFmtId="0" fontId="11" fillId="0" borderId="29" xfId="0" applyFont="1" applyBorder="1" applyAlignment="1">
      <alignment horizontal="left" vertical="center"/>
    </xf>
    <xf numFmtId="0" fontId="11" fillId="0" borderId="35" xfId="0" applyFont="1" applyBorder="1" applyAlignment="1">
      <alignment vertical="center" shrinkToFit="1"/>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1" fillId="0" borderId="0" xfId="0" applyFont="1" applyAlignment="1">
      <alignment horizontal="right" vertical="center"/>
    </xf>
    <xf numFmtId="0" fontId="11" fillId="0" borderId="2" xfId="0" applyFont="1" applyBorder="1" applyAlignment="1">
      <alignment horizontal="left" vertical="center" indent="1"/>
    </xf>
    <xf numFmtId="0" fontId="11" fillId="0" borderId="3" xfId="0" applyFont="1" applyBorder="1" applyAlignment="1">
      <alignment horizontal="left" vertical="center" indent="1"/>
    </xf>
    <xf numFmtId="0" fontId="11" fillId="0" borderId="4" xfId="0" applyFont="1" applyBorder="1" applyAlignment="1">
      <alignment horizontal="left" vertical="center" indent="1"/>
    </xf>
    <xf numFmtId="0" fontId="15" fillId="0" borderId="0" xfId="0" applyFont="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11" fillId="0" borderId="31" xfId="0" applyFont="1" applyBorder="1" applyAlignment="1">
      <alignment vertical="top" wrapText="1" shrinkToFi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92" zoomScale="80" zoomScaleNormal="100" zoomScaleSheetLayoutView="80" workbookViewId="0">
      <selection activeCell="AD101" sqref="AD101"/>
    </sheetView>
  </sheetViews>
  <sheetFormatPr defaultColWidth="9" defaultRowHeight="18.75" customHeight="1" x14ac:dyDescent="0.15"/>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57" t="s">
        <v>0</v>
      </c>
      <c r="U1" s="157"/>
      <c r="V1" s="2" t="s">
        <v>1</v>
      </c>
    </row>
    <row r="2" spans="1:24" ht="18.75" customHeight="1" x14ac:dyDescent="0.15">
      <c r="B2" s="10" t="s">
        <v>2</v>
      </c>
      <c r="C2" s="127" t="s">
        <v>3</v>
      </c>
      <c r="D2" s="128"/>
      <c r="E2" s="128"/>
      <c r="F2" s="128"/>
      <c r="G2" s="128"/>
      <c r="H2" s="128"/>
      <c r="I2" s="128"/>
      <c r="J2" s="129"/>
      <c r="K2" s="11"/>
      <c r="L2" s="6"/>
      <c r="M2" s="6"/>
      <c r="N2" s="6"/>
      <c r="O2" s="6"/>
      <c r="P2" s="6"/>
      <c r="Q2" s="6"/>
      <c r="R2" s="6"/>
      <c r="S2" s="6"/>
      <c r="T2" s="6"/>
      <c r="U2" s="6"/>
    </row>
    <row r="3" spans="1:24" ht="18.75" customHeight="1" x14ac:dyDescent="0.15">
      <c r="B3" s="10" t="s">
        <v>4</v>
      </c>
      <c r="C3" s="127" t="s">
        <v>5</v>
      </c>
      <c r="D3" s="128"/>
      <c r="E3" s="128"/>
      <c r="F3" s="128"/>
      <c r="G3" s="128"/>
      <c r="H3" s="128"/>
      <c r="I3" s="128"/>
      <c r="J3" s="129"/>
      <c r="K3" s="11"/>
      <c r="L3" s="6"/>
      <c r="M3" s="6"/>
      <c r="N3" s="6"/>
      <c r="O3" s="6"/>
      <c r="P3" s="6"/>
      <c r="Q3" s="6"/>
      <c r="R3" s="6"/>
      <c r="S3" s="6"/>
      <c r="T3" s="6"/>
      <c r="U3" s="6"/>
    </row>
    <row r="4" spans="1:24" ht="15" customHeight="1" x14ac:dyDescent="0.15">
      <c r="L4" s="11"/>
      <c r="M4" s="46"/>
      <c r="N4" s="46"/>
      <c r="O4" s="46"/>
      <c r="P4" s="46"/>
      <c r="Q4" s="46"/>
      <c r="R4" s="46"/>
      <c r="S4" s="46"/>
      <c r="T4" s="46"/>
      <c r="U4" s="46"/>
    </row>
    <row r="5" spans="1:24" ht="18" customHeight="1" x14ac:dyDescent="0.15">
      <c r="A5" s="138" t="s">
        <v>6</v>
      </c>
      <c r="B5" s="138"/>
      <c r="C5" s="138"/>
      <c r="D5" s="138"/>
      <c r="E5" s="138"/>
      <c r="F5" s="138"/>
      <c r="G5" s="138"/>
      <c r="H5" s="138"/>
      <c r="I5" s="138"/>
      <c r="J5" s="138"/>
      <c r="K5" s="138"/>
      <c r="L5" s="138"/>
      <c r="M5" s="138"/>
      <c r="N5" s="138"/>
      <c r="O5" s="138"/>
      <c r="P5" s="138"/>
      <c r="Q5" s="138"/>
      <c r="R5" s="138"/>
      <c r="S5" s="138"/>
      <c r="T5" s="138"/>
      <c r="U5" s="138"/>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74" t="s">
        <v>8</v>
      </c>
      <c r="M7" s="175"/>
      <c r="N7" s="175"/>
      <c r="O7" s="175"/>
      <c r="P7" s="175"/>
      <c r="Q7" s="175"/>
      <c r="R7" s="175"/>
      <c r="S7" s="175"/>
      <c r="T7" s="175"/>
      <c r="U7" s="176"/>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1"/>
      <c r="L9" s="2"/>
      <c r="M9" s="2"/>
      <c r="N9" s="2"/>
      <c r="O9" s="2"/>
      <c r="P9" s="2"/>
      <c r="Q9" s="2"/>
      <c r="R9" s="2"/>
      <c r="S9" s="2"/>
      <c r="T9" s="2"/>
      <c r="U9" s="2"/>
    </row>
    <row r="10" spans="1:24" ht="6" customHeight="1" x14ac:dyDescent="0.15">
      <c r="B10" s="3"/>
      <c r="C10" s="3"/>
      <c r="D10" s="3"/>
      <c r="E10" s="3"/>
      <c r="F10" s="3"/>
      <c r="G10" s="3"/>
      <c r="H10" s="3"/>
      <c r="I10" s="3"/>
      <c r="J10" s="3"/>
      <c r="K10" s="3"/>
      <c r="L10" s="7"/>
      <c r="M10" s="3"/>
      <c r="N10" s="3"/>
      <c r="O10" s="3"/>
      <c r="P10" s="3"/>
      <c r="Q10" s="3"/>
      <c r="R10" s="3"/>
      <c r="S10" s="3"/>
      <c r="T10" s="3"/>
      <c r="U10" s="3"/>
    </row>
    <row r="11" spans="1:24" ht="18" customHeight="1" x14ac:dyDescent="0.15">
      <c r="B11" s="179" t="s">
        <v>217</v>
      </c>
      <c r="C11" s="180"/>
      <c r="D11" s="180"/>
      <c r="E11" s="180"/>
      <c r="F11" s="180"/>
      <c r="G11" s="180"/>
      <c r="H11" s="180"/>
      <c r="I11" s="180"/>
      <c r="J11" s="180"/>
      <c r="K11" s="180"/>
      <c r="L11" s="180"/>
      <c r="M11" s="180"/>
      <c r="N11" s="180"/>
      <c r="O11" s="180"/>
      <c r="P11" s="180"/>
      <c r="Q11" s="180"/>
      <c r="R11" s="180"/>
      <c r="S11" s="180"/>
      <c r="T11" s="180"/>
      <c r="U11" s="181"/>
    </row>
    <row r="12" spans="1:24" ht="18" customHeight="1" x14ac:dyDescent="0.15">
      <c r="B12" s="182"/>
      <c r="C12" s="183"/>
      <c r="D12" s="183"/>
      <c r="E12" s="183"/>
      <c r="F12" s="183"/>
      <c r="G12" s="183"/>
      <c r="H12" s="183"/>
      <c r="I12" s="183"/>
      <c r="J12" s="183"/>
      <c r="K12" s="183"/>
      <c r="L12" s="183"/>
      <c r="M12" s="183"/>
      <c r="N12" s="183"/>
      <c r="O12" s="183"/>
      <c r="P12" s="183"/>
      <c r="Q12" s="183"/>
      <c r="R12" s="183"/>
      <c r="S12" s="183"/>
      <c r="T12" s="183"/>
      <c r="U12" s="184"/>
    </row>
    <row r="13" spans="1:24" ht="6" customHeight="1" x14ac:dyDescent="0.15">
      <c r="B13" s="3"/>
      <c r="C13" s="3"/>
      <c r="D13" s="3"/>
      <c r="E13" s="3"/>
      <c r="F13" s="3"/>
      <c r="G13" s="3"/>
      <c r="H13" s="3"/>
      <c r="I13" s="3"/>
      <c r="J13" s="3"/>
      <c r="K13" s="3"/>
      <c r="L13" s="7"/>
      <c r="M13" s="3"/>
      <c r="N13" s="3"/>
      <c r="O13" s="3"/>
      <c r="P13" s="3"/>
      <c r="Q13" s="3"/>
      <c r="R13" s="3"/>
      <c r="S13" s="3"/>
      <c r="T13" s="3"/>
      <c r="U13" s="3"/>
    </row>
    <row r="14" spans="1:24" ht="18" customHeight="1" x14ac:dyDescent="0.15">
      <c r="A14" s="1" t="s">
        <v>10</v>
      </c>
      <c r="B14" s="3"/>
      <c r="C14" s="3"/>
      <c r="D14" s="3"/>
      <c r="E14" s="11"/>
      <c r="F14" s="11"/>
      <c r="G14" s="11"/>
      <c r="H14" s="11"/>
      <c r="I14" s="11"/>
      <c r="J14" s="11"/>
      <c r="K14" s="11"/>
      <c r="L14" s="47"/>
      <c r="M14" s="47"/>
      <c r="N14" s="47"/>
      <c r="O14" s="47"/>
      <c r="P14" s="47"/>
      <c r="Q14" s="47"/>
      <c r="R14" s="47"/>
      <c r="S14" s="47"/>
      <c r="T14" s="47"/>
      <c r="U14" s="47"/>
    </row>
    <row r="15" spans="1:24" ht="18" customHeight="1" x14ac:dyDescent="0.15">
      <c r="B15" s="139" t="s">
        <v>11</v>
      </c>
      <c r="C15" s="140"/>
      <c r="D15" s="140"/>
      <c r="E15" s="140"/>
      <c r="F15" s="140"/>
      <c r="G15" s="140"/>
      <c r="H15" s="140"/>
      <c r="I15" s="140"/>
      <c r="J15" s="140"/>
      <c r="K15" s="140"/>
      <c r="L15" s="140"/>
      <c r="M15" s="140"/>
      <c r="N15" s="140"/>
      <c r="O15" s="140"/>
      <c r="P15" s="140"/>
      <c r="Q15" s="140"/>
      <c r="R15" s="140"/>
      <c r="S15" s="140"/>
      <c r="T15" s="140"/>
      <c r="U15" s="141"/>
      <c r="X15" s="1" t="s">
        <v>12</v>
      </c>
    </row>
    <row r="16" spans="1:24" ht="18" customHeight="1" x14ac:dyDescent="0.15">
      <c r="B16" s="142"/>
      <c r="C16" s="143"/>
      <c r="D16" s="143"/>
      <c r="E16" s="143"/>
      <c r="F16" s="143"/>
      <c r="G16" s="143"/>
      <c r="H16" s="143"/>
      <c r="I16" s="143"/>
      <c r="J16" s="143"/>
      <c r="K16" s="143"/>
      <c r="L16" s="143"/>
      <c r="M16" s="143"/>
      <c r="N16" s="143"/>
      <c r="O16" s="143"/>
      <c r="P16" s="143"/>
      <c r="Q16" s="143"/>
      <c r="R16" s="143"/>
      <c r="S16" s="143"/>
      <c r="T16" s="143"/>
      <c r="U16" s="144"/>
      <c r="X16" s="1" t="s">
        <v>13</v>
      </c>
    </row>
    <row r="17" spans="1:24" ht="18" customHeight="1" x14ac:dyDescent="0.15">
      <c r="B17" s="142"/>
      <c r="C17" s="143"/>
      <c r="D17" s="143"/>
      <c r="E17" s="143"/>
      <c r="F17" s="143"/>
      <c r="G17" s="143"/>
      <c r="H17" s="143"/>
      <c r="I17" s="143"/>
      <c r="J17" s="143"/>
      <c r="K17" s="143"/>
      <c r="L17" s="143"/>
      <c r="M17" s="143"/>
      <c r="N17" s="143"/>
      <c r="O17" s="143"/>
      <c r="P17" s="143"/>
      <c r="Q17" s="143"/>
      <c r="R17" s="143"/>
      <c r="S17" s="143"/>
      <c r="T17" s="143"/>
      <c r="U17" s="144"/>
      <c r="X17" s="1" t="s">
        <v>14</v>
      </c>
    </row>
    <row r="18" spans="1:24" ht="18" customHeight="1" x14ac:dyDescent="0.15">
      <c r="B18" s="142"/>
      <c r="C18" s="143"/>
      <c r="D18" s="143"/>
      <c r="E18" s="143"/>
      <c r="F18" s="143"/>
      <c r="G18" s="143"/>
      <c r="H18" s="143"/>
      <c r="I18" s="143"/>
      <c r="J18" s="143"/>
      <c r="K18" s="143"/>
      <c r="L18" s="143"/>
      <c r="M18" s="143"/>
      <c r="N18" s="143"/>
      <c r="O18" s="143"/>
      <c r="P18" s="143"/>
      <c r="Q18" s="143"/>
      <c r="R18" s="143"/>
      <c r="S18" s="143"/>
      <c r="T18" s="143"/>
      <c r="U18" s="144"/>
      <c r="X18" s="1" t="s">
        <v>15</v>
      </c>
    </row>
    <row r="19" spans="1:24" ht="18" customHeight="1" x14ac:dyDescent="0.15">
      <c r="B19" s="142"/>
      <c r="C19" s="143"/>
      <c r="D19" s="143"/>
      <c r="E19" s="143"/>
      <c r="F19" s="143"/>
      <c r="G19" s="143"/>
      <c r="H19" s="143"/>
      <c r="I19" s="143"/>
      <c r="J19" s="143"/>
      <c r="K19" s="143"/>
      <c r="L19" s="143"/>
      <c r="M19" s="143"/>
      <c r="N19" s="143"/>
      <c r="O19" s="143"/>
      <c r="P19" s="143"/>
      <c r="Q19" s="143"/>
      <c r="R19" s="143"/>
      <c r="S19" s="143"/>
      <c r="T19" s="143"/>
      <c r="U19" s="144"/>
    </row>
    <row r="20" spans="1:24" ht="18" customHeight="1" x14ac:dyDescent="0.15">
      <c r="B20" s="145"/>
      <c r="C20" s="146"/>
      <c r="D20" s="146"/>
      <c r="E20" s="146"/>
      <c r="F20" s="146"/>
      <c r="G20" s="146"/>
      <c r="H20" s="146"/>
      <c r="I20" s="146"/>
      <c r="J20" s="146"/>
      <c r="K20" s="146"/>
      <c r="L20" s="146"/>
      <c r="M20" s="146"/>
      <c r="N20" s="146"/>
      <c r="O20" s="146"/>
      <c r="P20" s="146"/>
      <c r="Q20" s="146"/>
      <c r="R20" s="146"/>
      <c r="S20" s="146"/>
      <c r="T20" s="146"/>
      <c r="U20" s="147"/>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16</v>
      </c>
      <c r="E22" s="48">
        <v>2</v>
      </c>
      <c r="F22" s="1" t="s">
        <v>17</v>
      </c>
      <c r="H22" s="83">
        <v>3</v>
      </c>
      <c r="I22" s="3" t="s">
        <v>18</v>
      </c>
      <c r="J22" s="3"/>
      <c r="K22" s="11"/>
      <c r="M22" s="11" t="s">
        <v>19</v>
      </c>
      <c r="N22" s="171" t="s">
        <v>13</v>
      </c>
      <c r="O22" s="172"/>
      <c r="P22" s="172"/>
      <c r="Q22" s="172"/>
      <c r="R22" s="172"/>
      <c r="S22" s="172"/>
      <c r="T22" s="172"/>
      <c r="U22" s="173"/>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0" t="s">
        <v>20</v>
      </c>
      <c r="B24" s="120"/>
      <c r="C24" s="120"/>
      <c r="D24" s="120"/>
      <c r="E24" s="120"/>
      <c r="F24" s="120"/>
      <c r="G24" s="120"/>
      <c r="H24" s="120"/>
      <c r="I24" s="120"/>
      <c r="J24" s="120"/>
      <c r="K24" s="120"/>
      <c r="L24" s="120"/>
      <c r="M24" s="120"/>
      <c r="N24" s="120"/>
      <c r="O24" s="120"/>
      <c r="P24" s="120"/>
      <c r="Q24" s="120"/>
      <c r="R24" s="120"/>
      <c r="S24" s="120"/>
      <c r="T24" s="120"/>
      <c r="U24" s="120"/>
    </row>
    <row r="25" spans="1:24" ht="18" customHeight="1" x14ac:dyDescent="0.15">
      <c r="A25" s="120"/>
      <c r="B25" s="120"/>
      <c r="C25" s="120"/>
      <c r="D25" s="120"/>
      <c r="E25" s="120"/>
      <c r="F25" s="120"/>
      <c r="G25" s="120"/>
      <c r="H25" s="120"/>
      <c r="I25" s="120"/>
      <c r="J25" s="120"/>
      <c r="K25" s="120"/>
      <c r="L25" s="120"/>
      <c r="M25" s="120"/>
      <c r="N25" s="120"/>
      <c r="O25" s="120"/>
      <c r="P25" s="120"/>
      <c r="Q25" s="120"/>
      <c r="R25" s="120"/>
      <c r="S25" s="120"/>
      <c r="T25" s="120"/>
      <c r="U25" s="120"/>
    </row>
    <row r="26" spans="1:24" ht="18" customHeight="1" x14ac:dyDescent="0.15">
      <c r="B26" s="127" t="s">
        <v>21</v>
      </c>
      <c r="C26" s="128"/>
      <c r="D26" s="128"/>
      <c r="E26" s="128"/>
      <c r="F26" s="129"/>
      <c r="G26" s="32" t="s">
        <v>22</v>
      </c>
      <c r="H26" s="33" t="s">
        <v>23</v>
      </c>
      <c r="I26" s="34" t="s">
        <v>24</v>
      </c>
      <c r="J26" s="34" t="s">
        <v>25</v>
      </c>
      <c r="K26" s="127" t="s">
        <v>21</v>
      </c>
      <c r="L26" s="128"/>
      <c r="M26" s="128"/>
      <c r="N26" s="128"/>
      <c r="O26" s="128"/>
      <c r="P26" s="128"/>
      <c r="Q26" s="129"/>
      <c r="R26" s="32" t="s">
        <v>22</v>
      </c>
      <c r="S26" s="33" t="s">
        <v>23</v>
      </c>
      <c r="T26" s="34" t="s">
        <v>24</v>
      </c>
      <c r="U26" s="34" t="s">
        <v>25</v>
      </c>
    </row>
    <row r="27" spans="1:24" ht="18" customHeight="1" x14ac:dyDescent="0.15">
      <c r="B27" s="121" t="s">
        <v>26</v>
      </c>
      <c r="C27" s="122"/>
      <c r="D27" s="122"/>
      <c r="E27" s="122"/>
      <c r="F27" s="123"/>
      <c r="G27" s="35">
        <v>2</v>
      </c>
      <c r="H27" s="35" t="s">
        <v>27</v>
      </c>
      <c r="I27" s="35" t="s">
        <v>27</v>
      </c>
      <c r="J27" s="35" t="s">
        <v>27</v>
      </c>
      <c r="K27" s="121"/>
      <c r="L27" s="122"/>
      <c r="M27" s="122"/>
      <c r="N27" s="122"/>
      <c r="O27" s="122"/>
      <c r="P27" s="122"/>
      <c r="Q27" s="123"/>
      <c r="R27" s="35"/>
      <c r="S27" s="35"/>
      <c r="T27" s="35"/>
      <c r="U27" s="35"/>
    </row>
    <row r="28" spans="1:24" ht="18" customHeight="1" x14ac:dyDescent="0.15">
      <c r="B28" s="114"/>
      <c r="C28" s="115"/>
      <c r="D28" s="115"/>
      <c r="E28" s="115"/>
      <c r="F28" s="116"/>
      <c r="G28" s="36"/>
      <c r="H28" s="36"/>
      <c r="I28" s="36"/>
      <c r="J28" s="36"/>
      <c r="K28" s="114"/>
      <c r="L28" s="115"/>
      <c r="M28" s="115"/>
      <c r="N28" s="115"/>
      <c r="O28" s="115"/>
      <c r="P28" s="115"/>
      <c r="Q28" s="116"/>
      <c r="R28" s="36"/>
      <c r="S28" s="36"/>
      <c r="T28" s="36"/>
      <c r="U28" s="36"/>
    </row>
    <row r="29" spans="1:24" ht="18" customHeight="1" x14ac:dyDescent="0.15">
      <c r="B29" s="114"/>
      <c r="C29" s="115"/>
      <c r="D29" s="115"/>
      <c r="E29" s="115"/>
      <c r="F29" s="116"/>
      <c r="G29" s="36"/>
      <c r="H29" s="36"/>
      <c r="I29" s="36"/>
      <c r="J29" s="36"/>
      <c r="K29" s="114"/>
      <c r="L29" s="115"/>
      <c r="M29" s="115"/>
      <c r="N29" s="115"/>
      <c r="O29" s="115"/>
      <c r="P29" s="115"/>
      <c r="Q29" s="116"/>
      <c r="R29" s="36"/>
      <c r="S29" s="36"/>
      <c r="T29" s="36"/>
      <c r="U29" s="36"/>
    </row>
    <row r="30" spans="1:24" ht="18" customHeight="1" x14ac:dyDescent="0.15">
      <c r="B30" s="114"/>
      <c r="C30" s="115"/>
      <c r="D30" s="115"/>
      <c r="E30" s="115"/>
      <c r="F30" s="116"/>
      <c r="G30" s="36"/>
      <c r="H30" s="36"/>
      <c r="I30" s="36"/>
      <c r="J30" s="36"/>
      <c r="K30" s="114"/>
      <c r="L30" s="115"/>
      <c r="M30" s="115"/>
      <c r="N30" s="115"/>
      <c r="O30" s="115"/>
      <c r="P30" s="115"/>
      <c r="Q30" s="116"/>
      <c r="R30" s="36"/>
      <c r="S30" s="36"/>
      <c r="T30" s="36"/>
      <c r="U30" s="36"/>
    </row>
    <row r="31" spans="1:24" ht="18" customHeight="1" x14ac:dyDescent="0.15">
      <c r="B31" s="114"/>
      <c r="C31" s="115"/>
      <c r="D31" s="115"/>
      <c r="E31" s="115"/>
      <c r="F31" s="116"/>
      <c r="G31" s="36"/>
      <c r="H31" s="36"/>
      <c r="I31" s="36"/>
      <c r="J31" s="36"/>
      <c r="K31" s="114"/>
      <c r="L31" s="115"/>
      <c r="M31" s="115"/>
      <c r="N31" s="115"/>
      <c r="O31" s="115"/>
      <c r="P31" s="115"/>
      <c r="Q31" s="116"/>
      <c r="R31" s="36"/>
      <c r="S31" s="36"/>
      <c r="T31" s="36"/>
      <c r="U31" s="36"/>
    </row>
    <row r="32" spans="1:24" ht="18" customHeight="1" x14ac:dyDescent="0.15">
      <c r="A32" s="3"/>
      <c r="B32" s="114"/>
      <c r="C32" s="115"/>
      <c r="D32" s="115"/>
      <c r="E32" s="115"/>
      <c r="F32" s="116"/>
      <c r="G32" s="36"/>
      <c r="H32" s="36"/>
      <c r="I32" s="36"/>
      <c r="J32" s="36"/>
      <c r="K32" s="114"/>
      <c r="L32" s="115"/>
      <c r="M32" s="115"/>
      <c r="N32" s="115"/>
      <c r="O32" s="115"/>
      <c r="P32" s="115"/>
      <c r="Q32" s="116"/>
      <c r="R32" s="36"/>
      <c r="S32" s="36"/>
      <c r="T32" s="36"/>
      <c r="U32" s="36"/>
    </row>
    <row r="33" spans="1:21" ht="18" customHeight="1" x14ac:dyDescent="0.15">
      <c r="A33" s="3"/>
      <c r="B33" s="117"/>
      <c r="C33" s="118"/>
      <c r="D33" s="118"/>
      <c r="E33" s="118"/>
      <c r="F33" s="119"/>
      <c r="G33" s="37"/>
      <c r="H33" s="37"/>
      <c r="I33" s="38"/>
      <c r="J33" s="38"/>
      <c r="K33" s="117"/>
      <c r="L33" s="118"/>
      <c r="M33" s="118"/>
      <c r="N33" s="118"/>
      <c r="O33" s="118"/>
      <c r="P33" s="118"/>
      <c r="Q33" s="119"/>
      <c r="R33" s="37"/>
      <c r="S33" s="37"/>
      <c r="T33" s="38"/>
      <c r="U33" s="38"/>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0" t="s">
        <v>28</v>
      </c>
      <c r="B35" s="120"/>
      <c r="C35" s="120"/>
      <c r="D35" s="120"/>
      <c r="E35" s="120"/>
      <c r="F35" s="120"/>
      <c r="G35" s="120"/>
      <c r="H35" s="120"/>
      <c r="I35" s="120"/>
      <c r="J35" s="120"/>
      <c r="K35" s="120"/>
      <c r="L35" s="120"/>
      <c r="M35" s="120"/>
      <c r="N35" s="120"/>
      <c r="O35" s="120"/>
      <c r="P35" s="120"/>
      <c r="Q35" s="120"/>
      <c r="R35" s="120"/>
      <c r="S35" s="120"/>
      <c r="T35" s="120"/>
      <c r="U35" s="120"/>
    </row>
    <row r="36" spans="1:21" ht="18" customHeight="1" x14ac:dyDescent="0.15">
      <c r="A36" s="120"/>
      <c r="B36" s="120"/>
      <c r="C36" s="120"/>
      <c r="D36" s="120"/>
      <c r="E36" s="120"/>
      <c r="F36" s="120"/>
      <c r="G36" s="120"/>
      <c r="H36" s="120"/>
      <c r="I36" s="120"/>
      <c r="J36" s="120"/>
      <c r="K36" s="120"/>
      <c r="L36" s="120"/>
      <c r="M36" s="120"/>
      <c r="N36" s="120"/>
      <c r="O36" s="120"/>
      <c r="P36" s="120"/>
      <c r="Q36" s="120"/>
      <c r="R36" s="120"/>
      <c r="S36" s="120"/>
      <c r="T36" s="120"/>
      <c r="U36" s="120"/>
    </row>
    <row r="37" spans="1:21" ht="18" customHeight="1" x14ac:dyDescent="0.15">
      <c r="B37" s="127" t="s">
        <v>21</v>
      </c>
      <c r="C37" s="128"/>
      <c r="D37" s="128"/>
      <c r="E37" s="128"/>
      <c r="F37" s="129"/>
      <c r="G37" s="32" t="s">
        <v>22</v>
      </c>
      <c r="H37" s="33" t="s">
        <v>23</v>
      </c>
      <c r="I37" s="34" t="s">
        <v>29</v>
      </c>
      <c r="J37" s="34" t="s">
        <v>30</v>
      </c>
      <c r="K37" s="127" t="s">
        <v>21</v>
      </c>
      <c r="L37" s="128"/>
      <c r="M37" s="128"/>
      <c r="N37" s="128"/>
      <c r="O37" s="128"/>
      <c r="P37" s="128"/>
      <c r="Q37" s="129"/>
      <c r="R37" s="32" t="s">
        <v>22</v>
      </c>
      <c r="S37" s="33" t="s">
        <v>23</v>
      </c>
      <c r="T37" s="34" t="s">
        <v>29</v>
      </c>
      <c r="U37" s="34" t="s">
        <v>30</v>
      </c>
    </row>
    <row r="38" spans="1:21" ht="18" customHeight="1" x14ac:dyDescent="0.15">
      <c r="B38" s="121" t="s">
        <v>26</v>
      </c>
      <c r="C38" s="122"/>
      <c r="D38" s="122"/>
      <c r="E38" s="122"/>
      <c r="F38" s="123"/>
      <c r="G38" s="35">
        <v>2</v>
      </c>
      <c r="H38" s="35" t="s">
        <v>27</v>
      </c>
      <c r="I38" s="35" t="s">
        <v>27</v>
      </c>
      <c r="J38" s="35" t="s">
        <v>27</v>
      </c>
      <c r="K38" s="121"/>
      <c r="L38" s="122"/>
      <c r="M38" s="122"/>
      <c r="N38" s="122"/>
      <c r="O38" s="122"/>
      <c r="P38" s="122"/>
      <c r="Q38" s="123"/>
      <c r="R38" s="35"/>
      <c r="S38" s="35"/>
      <c r="T38" s="35"/>
      <c r="U38" s="35"/>
    </row>
    <row r="39" spans="1:21" ht="18" customHeight="1" x14ac:dyDescent="0.15">
      <c r="B39" s="114"/>
      <c r="C39" s="115"/>
      <c r="D39" s="115"/>
      <c r="E39" s="115"/>
      <c r="F39" s="116"/>
      <c r="G39" s="36"/>
      <c r="H39" s="36"/>
      <c r="I39" s="36"/>
      <c r="J39" s="36"/>
      <c r="K39" s="114"/>
      <c r="L39" s="115"/>
      <c r="M39" s="115"/>
      <c r="N39" s="115"/>
      <c r="O39" s="115"/>
      <c r="P39" s="115"/>
      <c r="Q39" s="116"/>
      <c r="R39" s="36"/>
      <c r="S39" s="36"/>
      <c r="T39" s="36"/>
      <c r="U39" s="36"/>
    </row>
    <row r="40" spans="1:21" ht="18" customHeight="1" x14ac:dyDescent="0.15">
      <c r="B40" s="114"/>
      <c r="C40" s="115"/>
      <c r="D40" s="115"/>
      <c r="E40" s="115"/>
      <c r="F40" s="116"/>
      <c r="G40" s="36"/>
      <c r="H40" s="36"/>
      <c r="I40" s="36"/>
      <c r="J40" s="36"/>
      <c r="K40" s="114"/>
      <c r="L40" s="115"/>
      <c r="M40" s="115"/>
      <c r="N40" s="115"/>
      <c r="O40" s="115"/>
      <c r="P40" s="115"/>
      <c r="Q40" s="116"/>
      <c r="R40" s="36"/>
      <c r="S40" s="36"/>
      <c r="T40" s="36"/>
      <c r="U40" s="36"/>
    </row>
    <row r="41" spans="1:21" ht="18" customHeight="1" x14ac:dyDescent="0.15">
      <c r="B41" s="114"/>
      <c r="C41" s="115"/>
      <c r="D41" s="115"/>
      <c r="E41" s="115"/>
      <c r="F41" s="116"/>
      <c r="G41" s="36"/>
      <c r="H41" s="36"/>
      <c r="I41" s="36"/>
      <c r="J41" s="36"/>
      <c r="K41" s="114"/>
      <c r="L41" s="115"/>
      <c r="M41" s="115"/>
      <c r="N41" s="115"/>
      <c r="O41" s="115"/>
      <c r="P41" s="115"/>
      <c r="Q41" s="116"/>
      <c r="R41" s="36"/>
      <c r="S41" s="36"/>
      <c r="T41" s="36"/>
      <c r="U41" s="36"/>
    </row>
    <row r="42" spans="1:21" ht="18" customHeight="1" x14ac:dyDescent="0.15">
      <c r="B42" s="114"/>
      <c r="C42" s="115"/>
      <c r="D42" s="115"/>
      <c r="E42" s="115"/>
      <c r="F42" s="116"/>
      <c r="G42" s="36"/>
      <c r="H42" s="36"/>
      <c r="I42" s="36"/>
      <c r="J42" s="36"/>
      <c r="K42" s="114"/>
      <c r="L42" s="115"/>
      <c r="M42" s="115"/>
      <c r="N42" s="115"/>
      <c r="O42" s="115"/>
      <c r="P42" s="115"/>
      <c r="Q42" s="116"/>
      <c r="R42" s="36"/>
      <c r="S42" s="36"/>
      <c r="T42" s="36"/>
      <c r="U42" s="36"/>
    </row>
    <row r="43" spans="1:21" ht="18" customHeight="1" x14ac:dyDescent="0.15">
      <c r="B43" s="114"/>
      <c r="C43" s="115"/>
      <c r="D43" s="115"/>
      <c r="E43" s="115"/>
      <c r="F43" s="116"/>
      <c r="G43" s="36"/>
      <c r="H43" s="36"/>
      <c r="I43" s="36"/>
      <c r="J43" s="36"/>
      <c r="K43" s="114"/>
      <c r="L43" s="115"/>
      <c r="M43" s="115"/>
      <c r="N43" s="115"/>
      <c r="O43" s="115"/>
      <c r="P43" s="115"/>
      <c r="Q43" s="116"/>
      <c r="R43" s="36"/>
      <c r="S43" s="36"/>
      <c r="T43" s="36"/>
      <c r="U43" s="36"/>
    </row>
    <row r="44" spans="1:21" ht="18" customHeight="1" x14ac:dyDescent="0.15">
      <c r="B44" s="117"/>
      <c r="C44" s="118"/>
      <c r="D44" s="118"/>
      <c r="E44" s="118"/>
      <c r="F44" s="119"/>
      <c r="G44" s="37"/>
      <c r="H44" s="37"/>
      <c r="I44" s="38"/>
      <c r="J44" s="38"/>
      <c r="K44" s="117"/>
      <c r="L44" s="118"/>
      <c r="M44" s="118"/>
      <c r="N44" s="118"/>
      <c r="O44" s="118"/>
      <c r="P44" s="118"/>
      <c r="Q44" s="119"/>
      <c r="R44" s="37"/>
      <c r="S44" s="37"/>
      <c r="T44" s="38"/>
      <c r="U44" s="38"/>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0" t="s">
        <v>31</v>
      </c>
      <c r="B46" s="120"/>
      <c r="C46" s="120"/>
      <c r="D46" s="120"/>
      <c r="E46" s="120"/>
      <c r="F46" s="120"/>
      <c r="G46" s="120"/>
      <c r="H46" s="120"/>
      <c r="I46" s="120"/>
      <c r="J46" s="120"/>
      <c r="K46" s="120"/>
      <c r="L46" s="120"/>
      <c r="M46" s="120"/>
      <c r="N46" s="120"/>
      <c r="O46" s="120"/>
      <c r="P46" s="120"/>
      <c r="Q46" s="120"/>
      <c r="R46" s="120"/>
      <c r="S46" s="120"/>
      <c r="T46" s="120"/>
      <c r="U46" s="120"/>
    </row>
    <row r="47" spans="1:21" ht="18" customHeight="1" x14ac:dyDescent="0.15">
      <c r="A47" s="120"/>
      <c r="B47" s="120"/>
      <c r="C47" s="120"/>
      <c r="D47" s="120"/>
      <c r="E47" s="120"/>
      <c r="F47" s="120"/>
      <c r="G47" s="120"/>
      <c r="H47" s="120"/>
      <c r="I47" s="120"/>
      <c r="J47" s="120"/>
      <c r="K47" s="120"/>
      <c r="L47" s="120"/>
      <c r="M47" s="120"/>
      <c r="N47" s="120"/>
      <c r="O47" s="120"/>
      <c r="P47" s="120"/>
      <c r="Q47" s="120"/>
      <c r="R47" s="120"/>
      <c r="S47" s="120"/>
      <c r="T47" s="120"/>
      <c r="U47" s="120"/>
    </row>
    <row r="48" spans="1:21" ht="18" customHeight="1" x14ac:dyDescent="0.15">
      <c r="B48" s="127" t="s">
        <v>21</v>
      </c>
      <c r="C48" s="128"/>
      <c r="D48" s="128"/>
      <c r="E48" s="128"/>
      <c r="F48" s="129"/>
      <c r="G48" s="32" t="s">
        <v>22</v>
      </c>
      <c r="H48" s="33" t="s">
        <v>23</v>
      </c>
      <c r="I48" s="34" t="s">
        <v>32</v>
      </c>
      <c r="J48" s="34" t="s">
        <v>33</v>
      </c>
      <c r="K48" s="127" t="s">
        <v>21</v>
      </c>
      <c r="L48" s="128"/>
      <c r="M48" s="128"/>
      <c r="N48" s="128"/>
      <c r="O48" s="128"/>
      <c r="P48" s="128"/>
      <c r="Q48" s="129"/>
      <c r="R48" s="32" t="s">
        <v>22</v>
      </c>
      <c r="S48" s="33" t="s">
        <v>23</v>
      </c>
      <c r="T48" s="34" t="s">
        <v>32</v>
      </c>
      <c r="U48" s="34" t="s">
        <v>33</v>
      </c>
    </row>
    <row r="49" spans="1:21" ht="18" customHeight="1" x14ac:dyDescent="0.15">
      <c r="A49" s="3"/>
      <c r="B49" s="121" t="s">
        <v>26</v>
      </c>
      <c r="C49" s="122"/>
      <c r="D49" s="122"/>
      <c r="E49" s="122"/>
      <c r="F49" s="123"/>
      <c r="G49" s="35">
        <v>2</v>
      </c>
      <c r="H49" s="35" t="s">
        <v>27</v>
      </c>
      <c r="I49" s="35" t="s">
        <v>27</v>
      </c>
      <c r="J49" s="35" t="s">
        <v>27</v>
      </c>
      <c r="K49" s="121"/>
      <c r="L49" s="122"/>
      <c r="M49" s="122"/>
      <c r="N49" s="122"/>
      <c r="O49" s="122"/>
      <c r="P49" s="122"/>
      <c r="Q49" s="123"/>
      <c r="R49" s="35"/>
      <c r="S49" s="35"/>
      <c r="T49" s="35"/>
      <c r="U49" s="35"/>
    </row>
    <row r="50" spans="1:21" ht="18" customHeight="1" x14ac:dyDescent="0.15">
      <c r="A50" s="3"/>
      <c r="B50" s="114"/>
      <c r="C50" s="115"/>
      <c r="D50" s="115"/>
      <c r="E50" s="115"/>
      <c r="F50" s="116"/>
      <c r="G50" s="36"/>
      <c r="H50" s="36"/>
      <c r="I50" s="36"/>
      <c r="J50" s="36"/>
      <c r="K50" s="114"/>
      <c r="L50" s="115"/>
      <c r="M50" s="115"/>
      <c r="N50" s="115"/>
      <c r="O50" s="115"/>
      <c r="P50" s="115"/>
      <c r="Q50" s="116"/>
      <c r="R50" s="36"/>
      <c r="S50" s="36"/>
      <c r="T50" s="36"/>
      <c r="U50" s="36"/>
    </row>
    <row r="51" spans="1:21" ht="18" customHeight="1" x14ac:dyDescent="0.15">
      <c r="A51" s="3"/>
      <c r="B51" s="114"/>
      <c r="C51" s="115"/>
      <c r="D51" s="115"/>
      <c r="E51" s="115"/>
      <c r="F51" s="116"/>
      <c r="G51" s="36"/>
      <c r="H51" s="36"/>
      <c r="I51" s="36"/>
      <c r="J51" s="36"/>
      <c r="K51" s="114"/>
      <c r="L51" s="115"/>
      <c r="M51" s="115"/>
      <c r="N51" s="115"/>
      <c r="O51" s="115"/>
      <c r="P51" s="115"/>
      <c r="Q51" s="116"/>
      <c r="R51" s="36"/>
      <c r="S51" s="36"/>
      <c r="T51" s="36"/>
      <c r="U51" s="36"/>
    </row>
    <row r="52" spans="1:21" ht="18" customHeight="1" x14ac:dyDescent="0.15">
      <c r="A52" s="3"/>
      <c r="B52" s="114"/>
      <c r="C52" s="115"/>
      <c r="D52" s="115"/>
      <c r="E52" s="115"/>
      <c r="F52" s="116"/>
      <c r="G52" s="36"/>
      <c r="H52" s="36"/>
      <c r="I52" s="36"/>
      <c r="J52" s="36"/>
      <c r="K52" s="114"/>
      <c r="L52" s="115"/>
      <c r="M52" s="115"/>
      <c r="N52" s="115"/>
      <c r="O52" s="115"/>
      <c r="P52" s="115"/>
      <c r="Q52" s="116"/>
      <c r="R52" s="36"/>
      <c r="S52" s="36"/>
      <c r="T52" s="36"/>
      <c r="U52" s="36"/>
    </row>
    <row r="53" spans="1:21" ht="18" customHeight="1" x14ac:dyDescent="0.15">
      <c r="A53" s="3"/>
      <c r="B53" s="114"/>
      <c r="C53" s="115"/>
      <c r="D53" s="115"/>
      <c r="E53" s="115"/>
      <c r="F53" s="116"/>
      <c r="G53" s="36"/>
      <c r="H53" s="36"/>
      <c r="I53" s="36"/>
      <c r="J53" s="36"/>
      <c r="K53" s="114"/>
      <c r="L53" s="115"/>
      <c r="M53" s="115"/>
      <c r="N53" s="115"/>
      <c r="O53" s="115"/>
      <c r="P53" s="115"/>
      <c r="Q53" s="116"/>
      <c r="R53" s="36"/>
      <c r="S53" s="36"/>
      <c r="T53" s="36"/>
      <c r="U53" s="36"/>
    </row>
    <row r="54" spans="1:21" ht="18" customHeight="1" x14ac:dyDescent="0.15">
      <c r="A54" s="3"/>
      <c r="B54" s="114"/>
      <c r="C54" s="115"/>
      <c r="D54" s="115"/>
      <c r="E54" s="115"/>
      <c r="F54" s="116"/>
      <c r="G54" s="36"/>
      <c r="H54" s="36"/>
      <c r="I54" s="36"/>
      <c r="J54" s="36"/>
      <c r="K54" s="114"/>
      <c r="L54" s="115"/>
      <c r="M54" s="115"/>
      <c r="N54" s="115"/>
      <c r="O54" s="115"/>
      <c r="P54" s="115"/>
      <c r="Q54" s="116"/>
      <c r="R54" s="36"/>
      <c r="S54" s="36"/>
      <c r="T54" s="36"/>
      <c r="U54" s="36"/>
    </row>
    <row r="55" spans="1:21" ht="18" customHeight="1" x14ac:dyDescent="0.15">
      <c r="A55" s="3"/>
      <c r="B55" s="117"/>
      <c r="C55" s="118"/>
      <c r="D55" s="118"/>
      <c r="E55" s="118"/>
      <c r="F55" s="119"/>
      <c r="G55" s="37"/>
      <c r="H55" s="37"/>
      <c r="I55" s="38"/>
      <c r="J55" s="38"/>
      <c r="K55" s="117"/>
      <c r="L55" s="118"/>
      <c r="M55" s="118"/>
      <c r="N55" s="118"/>
      <c r="O55" s="118"/>
      <c r="P55" s="118"/>
      <c r="Q55" s="119"/>
      <c r="R55" s="37"/>
      <c r="S55" s="37"/>
      <c r="T55" s="38"/>
      <c r="U55" s="38"/>
    </row>
    <row r="56" spans="1:21" ht="7.5" customHeight="1" x14ac:dyDescent="0.15">
      <c r="B56" s="8"/>
      <c r="C56" s="8"/>
      <c r="D56" s="8"/>
      <c r="E56" s="8"/>
      <c r="F56" s="8"/>
      <c r="G56" s="8"/>
      <c r="H56" s="8"/>
      <c r="I56" s="8"/>
      <c r="J56" s="8"/>
      <c r="K56" s="8"/>
      <c r="L56" s="8"/>
      <c r="M56" s="8"/>
      <c r="N56" s="8"/>
      <c r="O56" s="8"/>
      <c r="P56" s="8"/>
      <c r="Q56" s="8"/>
      <c r="R56" s="8"/>
      <c r="S56" s="8"/>
      <c r="T56" s="8"/>
    </row>
    <row r="57" spans="1:21" ht="18" customHeight="1" x14ac:dyDescent="0.15">
      <c r="A57" s="120" t="s">
        <v>34</v>
      </c>
      <c r="B57" s="120"/>
      <c r="C57" s="120"/>
      <c r="D57" s="120"/>
      <c r="E57" s="120"/>
      <c r="F57" s="120"/>
      <c r="G57" s="120"/>
      <c r="H57" s="120"/>
      <c r="I57" s="120"/>
      <c r="J57" s="120"/>
      <c r="K57" s="120"/>
      <c r="L57" s="120"/>
      <c r="M57" s="120"/>
      <c r="N57" s="120"/>
      <c r="O57" s="120"/>
      <c r="P57" s="120"/>
      <c r="Q57" s="120"/>
      <c r="R57" s="120"/>
      <c r="S57" s="120"/>
      <c r="T57" s="120"/>
      <c r="U57" s="120"/>
    </row>
    <row r="58" spans="1:21" ht="18" customHeight="1" x14ac:dyDescent="0.15">
      <c r="A58" s="120"/>
      <c r="B58" s="120"/>
      <c r="C58" s="120"/>
      <c r="D58" s="120"/>
      <c r="E58" s="120"/>
      <c r="F58" s="120"/>
      <c r="G58" s="120"/>
      <c r="H58" s="120"/>
      <c r="I58" s="120"/>
      <c r="J58" s="120"/>
      <c r="K58" s="120"/>
      <c r="L58" s="120"/>
      <c r="M58" s="120"/>
      <c r="N58" s="120"/>
      <c r="O58" s="120"/>
      <c r="P58" s="120"/>
      <c r="Q58" s="120"/>
      <c r="R58" s="120"/>
      <c r="S58" s="120"/>
      <c r="T58" s="120"/>
      <c r="U58" s="120"/>
    </row>
    <row r="59" spans="1:21" ht="18" customHeight="1" x14ac:dyDescent="0.15">
      <c r="B59" s="127" t="s">
        <v>21</v>
      </c>
      <c r="C59" s="128"/>
      <c r="D59" s="128"/>
      <c r="E59" s="128"/>
      <c r="F59" s="129"/>
      <c r="G59" s="32" t="s">
        <v>22</v>
      </c>
      <c r="H59" s="33" t="s">
        <v>23</v>
      </c>
      <c r="I59" s="34" t="s">
        <v>35</v>
      </c>
      <c r="J59" s="34" t="s">
        <v>36</v>
      </c>
      <c r="K59" s="127" t="s">
        <v>21</v>
      </c>
      <c r="L59" s="128"/>
      <c r="M59" s="128"/>
      <c r="N59" s="128"/>
      <c r="O59" s="128"/>
      <c r="P59" s="128"/>
      <c r="Q59" s="129"/>
      <c r="R59" s="32" t="s">
        <v>22</v>
      </c>
      <c r="S59" s="33" t="s">
        <v>23</v>
      </c>
      <c r="T59" s="34" t="s">
        <v>35</v>
      </c>
      <c r="U59" s="34" t="s">
        <v>36</v>
      </c>
    </row>
    <row r="60" spans="1:21" ht="18" customHeight="1" x14ac:dyDescent="0.15">
      <c r="A60" s="3"/>
      <c r="B60" s="121" t="s">
        <v>26</v>
      </c>
      <c r="C60" s="122"/>
      <c r="D60" s="122"/>
      <c r="E60" s="122"/>
      <c r="F60" s="123"/>
      <c r="G60" s="35">
        <v>2</v>
      </c>
      <c r="H60" s="35" t="s">
        <v>27</v>
      </c>
      <c r="I60" s="35" t="s">
        <v>27</v>
      </c>
      <c r="J60" s="35" t="s">
        <v>27</v>
      </c>
      <c r="K60" s="121"/>
      <c r="L60" s="122"/>
      <c r="M60" s="122"/>
      <c r="N60" s="122"/>
      <c r="O60" s="122"/>
      <c r="P60" s="122"/>
      <c r="Q60" s="123"/>
      <c r="R60" s="35"/>
      <c r="S60" s="35"/>
      <c r="T60" s="35"/>
      <c r="U60" s="35"/>
    </row>
    <row r="61" spans="1:21" ht="18" customHeight="1" x14ac:dyDescent="0.15">
      <c r="A61" s="3"/>
      <c r="B61" s="114"/>
      <c r="C61" s="115"/>
      <c r="D61" s="115"/>
      <c r="E61" s="115"/>
      <c r="F61" s="116"/>
      <c r="G61" s="36"/>
      <c r="H61" s="36"/>
      <c r="I61" s="36"/>
      <c r="J61" s="36"/>
      <c r="K61" s="114"/>
      <c r="L61" s="115"/>
      <c r="M61" s="115"/>
      <c r="N61" s="115"/>
      <c r="O61" s="115"/>
      <c r="P61" s="115"/>
      <c r="Q61" s="116"/>
      <c r="R61" s="36"/>
      <c r="S61" s="36"/>
      <c r="T61" s="36"/>
      <c r="U61" s="36"/>
    </row>
    <row r="62" spans="1:21" ht="18" customHeight="1" x14ac:dyDescent="0.15">
      <c r="A62" s="3"/>
      <c r="B62" s="114"/>
      <c r="C62" s="115"/>
      <c r="D62" s="115"/>
      <c r="E62" s="115"/>
      <c r="F62" s="116"/>
      <c r="G62" s="36"/>
      <c r="H62" s="36"/>
      <c r="I62" s="36"/>
      <c r="J62" s="36"/>
      <c r="K62" s="114"/>
      <c r="L62" s="115"/>
      <c r="M62" s="115"/>
      <c r="N62" s="115"/>
      <c r="O62" s="115"/>
      <c r="P62" s="115"/>
      <c r="Q62" s="116"/>
      <c r="R62" s="36"/>
      <c r="S62" s="36"/>
      <c r="T62" s="36"/>
      <c r="U62" s="36"/>
    </row>
    <row r="63" spans="1:21" ht="18" customHeight="1" x14ac:dyDescent="0.15">
      <c r="A63" s="3"/>
      <c r="B63" s="114"/>
      <c r="C63" s="115"/>
      <c r="D63" s="115"/>
      <c r="E63" s="115"/>
      <c r="F63" s="116"/>
      <c r="G63" s="36"/>
      <c r="H63" s="36"/>
      <c r="I63" s="36"/>
      <c r="J63" s="36"/>
      <c r="K63" s="114"/>
      <c r="L63" s="115"/>
      <c r="M63" s="115"/>
      <c r="N63" s="115"/>
      <c r="O63" s="115"/>
      <c r="P63" s="115"/>
      <c r="Q63" s="116"/>
      <c r="R63" s="36"/>
      <c r="S63" s="36"/>
      <c r="T63" s="36"/>
      <c r="U63" s="36"/>
    </row>
    <row r="64" spans="1:21" ht="18" customHeight="1" x14ac:dyDescent="0.15">
      <c r="A64" s="3"/>
      <c r="B64" s="114"/>
      <c r="C64" s="115"/>
      <c r="D64" s="115"/>
      <c r="E64" s="115"/>
      <c r="F64" s="116"/>
      <c r="G64" s="36"/>
      <c r="H64" s="36"/>
      <c r="I64" s="36"/>
      <c r="J64" s="36"/>
      <c r="K64" s="114"/>
      <c r="L64" s="115"/>
      <c r="M64" s="115"/>
      <c r="N64" s="115"/>
      <c r="O64" s="115"/>
      <c r="P64" s="115"/>
      <c r="Q64" s="116"/>
      <c r="R64" s="36"/>
      <c r="S64" s="36"/>
      <c r="T64" s="36"/>
      <c r="U64" s="36"/>
    </row>
    <row r="65" spans="1:27" ht="18" customHeight="1" x14ac:dyDescent="0.15">
      <c r="A65" s="3"/>
      <c r="B65" s="114"/>
      <c r="C65" s="115"/>
      <c r="D65" s="115"/>
      <c r="E65" s="115"/>
      <c r="F65" s="116"/>
      <c r="G65" s="36"/>
      <c r="H65" s="36"/>
      <c r="I65" s="36"/>
      <c r="J65" s="36"/>
      <c r="K65" s="114"/>
      <c r="L65" s="115"/>
      <c r="M65" s="115"/>
      <c r="N65" s="115"/>
      <c r="O65" s="115"/>
      <c r="P65" s="115"/>
      <c r="Q65" s="116"/>
      <c r="R65" s="36"/>
      <c r="S65" s="36"/>
      <c r="T65" s="36"/>
      <c r="U65" s="36"/>
    </row>
    <row r="66" spans="1:27" ht="18" customHeight="1" x14ac:dyDescent="0.15">
      <c r="A66" s="3"/>
      <c r="B66" s="117"/>
      <c r="C66" s="118"/>
      <c r="D66" s="118"/>
      <c r="E66" s="118"/>
      <c r="F66" s="119"/>
      <c r="G66" s="37"/>
      <c r="H66" s="37"/>
      <c r="I66" s="38"/>
      <c r="J66" s="38"/>
      <c r="K66" s="117"/>
      <c r="L66" s="118"/>
      <c r="M66" s="118"/>
      <c r="N66" s="118"/>
      <c r="O66" s="118"/>
      <c r="P66" s="118"/>
      <c r="Q66" s="119"/>
      <c r="R66" s="37"/>
      <c r="S66" s="37"/>
      <c r="T66" s="38"/>
      <c r="U66" s="38"/>
    </row>
    <row r="67" spans="1:27" ht="7.5" customHeight="1" x14ac:dyDescent="0.15">
      <c r="B67" s="8"/>
      <c r="C67" s="8"/>
      <c r="D67" s="8"/>
      <c r="E67" s="8"/>
      <c r="F67" s="8"/>
      <c r="G67" s="8"/>
      <c r="H67" s="8"/>
      <c r="I67" s="8"/>
      <c r="J67" s="8"/>
      <c r="K67" s="8"/>
      <c r="L67" s="8"/>
      <c r="M67" s="8"/>
      <c r="N67" s="8"/>
      <c r="O67" s="8"/>
      <c r="P67" s="8"/>
      <c r="Q67" s="8"/>
      <c r="R67" s="8"/>
      <c r="S67" s="8"/>
      <c r="T67" s="8"/>
    </row>
    <row r="68" spans="1:27" ht="18" customHeight="1" x14ac:dyDescent="0.15">
      <c r="A68" s="120" t="s">
        <v>37</v>
      </c>
      <c r="B68" s="120"/>
      <c r="C68" s="120"/>
      <c r="D68" s="120"/>
      <c r="E68" s="120"/>
      <c r="F68" s="120"/>
      <c r="G68" s="120"/>
      <c r="H68" s="120"/>
      <c r="I68" s="120"/>
      <c r="J68" s="120"/>
      <c r="K68" s="120"/>
      <c r="L68" s="120"/>
      <c r="M68" s="120"/>
      <c r="N68" s="120"/>
      <c r="O68" s="120"/>
      <c r="P68" s="120"/>
      <c r="Q68" s="120"/>
      <c r="R68" s="120"/>
      <c r="S68" s="120"/>
      <c r="T68" s="120"/>
      <c r="U68" s="120"/>
    </row>
    <row r="69" spans="1:27" ht="18" customHeight="1" x14ac:dyDescent="0.15">
      <c r="A69" s="120"/>
      <c r="B69" s="120"/>
      <c r="C69" s="120"/>
      <c r="D69" s="120"/>
      <c r="E69" s="120"/>
      <c r="F69" s="120"/>
      <c r="G69" s="120"/>
      <c r="H69" s="120"/>
      <c r="I69" s="120"/>
      <c r="J69" s="120"/>
      <c r="K69" s="120"/>
      <c r="L69" s="120"/>
      <c r="M69" s="120"/>
      <c r="N69" s="120"/>
      <c r="O69" s="120"/>
      <c r="P69" s="120"/>
      <c r="Q69" s="120"/>
      <c r="R69" s="120"/>
      <c r="S69" s="120"/>
      <c r="T69" s="120"/>
      <c r="U69" s="120"/>
    </row>
    <row r="70" spans="1:27" ht="18" customHeight="1" x14ac:dyDescent="0.15">
      <c r="B70" s="127" t="s">
        <v>21</v>
      </c>
      <c r="C70" s="128"/>
      <c r="D70" s="128"/>
      <c r="E70" s="128"/>
      <c r="F70" s="32" t="s">
        <v>22</v>
      </c>
      <c r="G70" s="33" t="s">
        <v>23</v>
      </c>
      <c r="H70" s="34" t="s">
        <v>38</v>
      </c>
      <c r="I70" s="34" t="s">
        <v>39</v>
      </c>
      <c r="J70" s="34" t="s">
        <v>40</v>
      </c>
      <c r="K70" s="127" t="s">
        <v>21</v>
      </c>
      <c r="L70" s="128"/>
      <c r="M70" s="128"/>
      <c r="N70" s="128"/>
      <c r="O70" s="128"/>
      <c r="P70" s="129"/>
      <c r="Q70" s="32" t="s">
        <v>22</v>
      </c>
      <c r="R70" s="33" t="s">
        <v>23</v>
      </c>
      <c r="S70" s="34" t="s">
        <v>38</v>
      </c>
      <c r="T70" s="34" t="s">
        <v>39</v>
      </c>
      <c r="U70" s="34" t="s">
        <v>40</v>
      </c>
    </row>
    <row r="71" spans="1:27" ht="18" customHeight="1" x14ac:dyDescent="0.15">
      <c r="A71" s="3"/>
      <c r="B71" s="121" t="s">
        <v>26</v>
      </c>
      <c r="C71" s="122"/>
      <c r="D71" s="122"/>
      <c r="E71" s="122"/>
      <c r="F71" s="35">
        <v>2</v>
      </c>
      <c r="G71" s="35" t="s">
        <v>27</v>
      </c>
      <c r="H71" s="35" t="s">
        <v>27</v>
      </c>
      <c r="I71" s="35" t="s">
        <v>27</v>
      </c>
      <c r="J71" s="35" t="s">
        <v>27</v>
      </c>
      <c r="K71" s="121"/>
      <c r="L71" s="122"/>
      <c r="M71" s="122"/>
      <c r="N71" s="122"/>
      <c r="O71" s="122"/>
      <c r="P71" s="123"/>
      <c r="Q71" s="35"/>
      <c r="R71" s="35"/>
      <c r="S71" s="35"/>
      <c r="T71" s="35"/>
      <c r="U71" s="35"/>
    </row>
    <row r="72" spans="1:27" ht="18" customHeight="1" x14ac:dyDescent="0.15">
      <c r="A72" s="3"/>
      <c r="B72" s="114" t="s">
        <v>41</v>
      </c>
      <c r="C72" s="115"/>
      <c r="D72" s="115"/>
      <c r="E72" s="115"/>
      <c r="F72" s="36">
        <v>1</v>
      </c>
      <c r="G72" s="36" t="s">
        <v>27</v>
      </c>
      <c r="H72" s="36" t="s">
        <v>27</v>
      </c>
      <c r="I72" s="36" t="s">
        <v>27</v>
      </c>
      <c r="J72" s="36" t="s">
        <v>27</v>
      </c>
      <c r="K72" s="114"/>
      <c r="L72" s="115"/>
      <c r="M72" s="115"/>
      <c r="N72" s="115"/>
      <c r="O72" s="115"/>
      <c r="P72" s="116"/>
      <c r="Q72" s="36"/>
      <c r="R72" s="36"/>
      <c r="S72" s="36"/>
      <c r="T72" s="36"/>
      <c r="U72" s="36"/>
    </row>
    <row r="73" spans="1:27" ht="18" customHeight="1" x14ac:dyDescent="0.15">
      <c r="A73" s="3"/>
      <c r="B73" s="114"/>
      <c r="C73" s="115"/>
      <c r="D73" s="115"/>
      <c r="E73" s="115"/>
      <c r="F73" s="36"/>
      <c r="G73" s="36"/>
      <c r="H73" s="36"/>
      <c r="I73" s="36"/>
      <c r="J73" s="36"/>
      <c r="K73" s="114"/>
      <c r="L73" s="115"/>
      <c r="M73" s="115"/>
      <c r="N73" s="115"/>
      <c r="O73" s="115"/>
      <c r="P73" s="116"/>
      <c r="Q73" s="36"/>
      <c r="R73" s="36"/>
      <c r="S73" s="36"/>
      <c r="T73" s="36"/>
      <c r="U73" s="36"/>
    </row>
    <row r="74" spans="1:27" ht="18" customHeight="1" x14ac:dyDescent="0.15">
      <c r="A74" s="3"/>
      <c r="B74" s="114"/>
      <c r="C74" s="115"/>
      <c r="D74" s="115"/>
      <c r="E74" s="115"/>
      <c r="F74" s="36"/>
      <c r="G74" s="36"/>
      <c r="H74" s="36"/>
      <c r="I74" s="36"/>
      <c r="J74" s="36"/>
      <c r="K74" s="114"/>
      <c r="L74" s="115"/>
      <c r="M74" s="115"/>
      <c r="N74" s="115"/>
      <c r="O74" s="115"/>
      <c r="P74" s="116"/>
      <c r="Q74" s="36"/>
      <c r="R74" s="36"/>
      <c r="S74" s="36"/>
      <c r="T74" s="36"/>
      <c r="U74" s="36"/>
    </row>
    <row r="75" spans="1:27" ht="18" customHeight="1" x14ac:dyDescent="0.15">
      <c r="A75" s="3"/>
      <c r="B75" s="114"/>
      <c r="C75" s="115"/>
      <c r="D75" s="115"/>
      <c r="E75" s="115"/>
      <c r="F75" s="36"/>
      <c r="G75" s="36"/>
      <c r="H75" s="36"/>
      <c r="I75" s="36"/>
      <c r="J75" s="36"/>
      <c r="K75" s="114"/>
      <c r="L75" s="115"/>
      <c r="M75" s="115"/>
      <c r="N75" s="115"/>
      <c r="O75" s="115"/>
      <c r="P75" s="116"/>
      <c r="Q75" s="36"/>
      <c r="R75" s="36"/>
      <c r="S75" s="36"/>
      <c r="T75" s="36"/>
      <c r="U75" s="36"/>
    </row>
    <row r="76" spans="1:27" ht="18" customHeight="1" x14ac:dyDescent="0.15">
      <c r="A76" s="3"/>
      <c r="B76" s="114"/>
      <c r="C76" s="115"/>
      <c r="D76" s="115"/>
      <c r="E76" s="115"/>
      <c r="F76" s="36"/>
      <c r="G76" s="36"/>
      <c r="H76" s="36"/>
      <c r="I76" s="36"/>
      <c r="J76" s="36"/>
      <c r="K76" s="114"/>
      <c r="L76" s="115"/>
      <c r="M76" s="115"/>
      <c r="N76" s="115"/>
      <c r="O76" s="115"/>
      <c r="P76" s="116"/>
      <c r="Q76" s="36"/>
      <c r="R76" s="36"/>
      <c r="S76" s="36"/>
      <c r="T76" s="36"/>
      <c r="U76" s="36"/>
    </row>
    <row r="77" spans="1:27" ht="18" customHeight="1" x14ac:dyDescent="0.15">
      <c r="A77" s="3"/>
      <c r="B77" s="117"/>
      <c r="C77" s="118"/>
      <c r="D77" s="118"/>
      <c r="E77" s="118"/>
      <c r="F77" s="37"/>
      <c r="G77" s="37"/>
      <c r="H77" s="38"/>
      <c r="I77" s="38"/>
      <c r="J77" s="38"/>
      <c r="K77" s="117"/>
      <c r="L77" s="118"/>
      <c r="M77" s="118"/>
      <c r="N77" s="118"/>
      <c r="O77" s="118"/>
      <c r="P77" s="119"/>
      <c r="Q77" s="37"/>
      <c r="R77" s="37"/>
      <c r="S77" s="38"/>
      <c r="T77" s="38"/>
      <c r="U77" s="38"/>
    </row>
    <row r="78" spans="1:27" ht="7.5" customHeight="1" x14ac:dyDescent="0.15">
      <c r="B78" s="8"/>
      <c r="C78" s="8"/>
      <c r="D78" s="8"/>
      <c r="E78" s="8"/>
      <c r="F78" s="8"/>
      <c r="G78" s="8"/>
      <c r="H78" s="8"/>
      <c r="I78" s="8"/>
      <c r="J78" s="8"/>
      <c r="K78" s="8"/>
      <c r="L78" s="8"/>
      <c r="M78" s="8"/>
      <c r="N78" s="8"/>
      <c r="O78" s="8"/>
      <c r="P78" s="8"/>
      <c r="Q78" s="8"/>
      <c r="R78" s="8"/>
      <c r="S78" s="8"/>
      <c r="T78" s="8"/>
    </row>
    <row r="79" spans="1:27" ht="18" customHeight="1" x14ac:dyDescent="0.15">
      <c r="A79" s="1" t="s">
        <v>42</v>
      </c>
      <c r="I79" s="3"/>
      <c r="J79" s="3"/>
      <c r="K79" s="3"/>
      <c r="L79" s="3"/>
      <c r="M79" s="3"/>
      <c r="N79" s="3"/>
      <c r="O79" s="3"/>
      <c r="P79" s="3"/>
      <c r="Q79" s="3"/>
      <c r="R79" s="3"/>
      <c r="S79" s="3"/>
      <c r="T79" s="3"/>
      <c r="U79" s="3"/>
    </row>
    <row r="80" spans="1:27" ht="18" customHeight="1" x14ac:dyDescent="0.15">
      <c r="B80" s="127" t="s">
        <v>21</v>
      </c>
      <c r="C80" s="128"/>
      <c r="D80" s="128"/>
      <c r="E80" s="128"/>
      <c r="F80" s="129"/>
      <c r="G80" s="127" t="s">
        <v>43</v>
      </c>
      <c r="H80" s="128"/>
      <c r="I80" s="128"/>
      <c r="J80" s="129"/>
      <c r="K80" s="135" t="s">
        <v>21</v>
      </c>
      <c r="L80" s="136"/>
      <c r="M80" s="136"/>
      <c r="N80" s="136"/>
      <c r="O80" s="136"/>
      <c r="P80" s="136"/>
      <c r="Q80" s="137"/>
      <c r="R80" s="127" t="s">
        <v>43</v>
      </c>
      <c r="S80" s="128"/>
      <c r="T80" s="128"/>
      <c r="U80" s="129"/>
      <c r="AA80" s="1" t="s">
        <v>44</v>
      </c>
    </row>
    <row r="81" spans="1:27" ht="18" customHeight="1" x14ac:dyDescent="0.15">
      <c r="A81" s="3"/>
      <c r="B81" s="121" t="s">
        <v>45</v>
      </c>
      <c r="C81" s="122"/>
      <c r="D81" s="122"/>
      <c r="E81" s="122"/>
      <c r="F81" s="123"/>
      <c r="G81" s="124" t="s">
        <v>46</v>
      </c>
      <c r="H81" s="125"/>
      <c r="I81" s="125"/>
      <c r="J81" s="126"/>
      <c r="K81" s="121"/>
      <c r="L81" s="122"/>
      <c r="M81" s="122"/>
      <c r="N81" s="122"/>
      <c r="O81" s="122"/>
      <c r="P81" s="122"/>
      <c r="Q81" s="123"/>
      <c r="R81" s="124"/>
      <c r="S81" s="125"/>
      <c r="T81" s="125"/>
      <c r="U81" s="126"/>
      <c r="AA81" s="1" t="s">
        <v>47</v>
      </c>
    </row>
    <row r="82" spans="1:27" ht="18" customHeight="1" x14ac:dyDescent="0.15">
      <c r="A82" s="3"/>
      <c r="B82" s="114" t="s">
        <v>45</v>
      </c>
      <c r="C82" s="115"/>
      <c r="D82" s="115"/>
      <c r="E82" s="115"/>
      <c r="F82" s="116"/>
      <c r="G82" s="132" t="s">
        <v>48</v>
      </c>
      <c r="H82" s="133"/>
      <c r="I82" s="133"/>
      <c r="J82" s="134"/>
      <c r="K82" s="114"/>
      <c r="L82" s="115"/>
      <c r="M82" s="115"/>
      <c r="N82" s="115"/>
      <c r="O82" s="115"/>
      <c r="P82" s="115"/>
      <c r="Q82" s="116"/>
      <c r="R82" s="132"/>
      <c r="S82" s="133"/>
      <c r="T82" s="133"/>
      <c r="U82" s="134"/>
      <c r="AA82" s="1" t="s">
        <v>49</v>
      </c>
    </row>
    <row r="83" spans="1:27" ht="18" customHeight="1" x14ac:dyDescent="0.15">
      <c r="A83" s="3"/>
      <c r="B83" s="114" t="s">
        <v>26</v>
      </c>
      <c r="C83" s="115"/>
      <c r="D83" s="115"/>
      <c r="E83" s="115"/>
      <c r="F83" s="116"/>
      <c r="G83" s="132" t="s">
        <v>46</v>
      </c>
      <c r="H83" s="133"/>
      <c r="I83" s="133"/>
      <c r="J83" s="134"/>
      <c r="K83" s="114"/>
      <c r="L83" s="115"/>
      <c r="M83" s="115"/>
      <c r="N83" s="115"/>
      <c r="O83" s="115"/>
      <c r="P83" s="115"/>
      <c r="Q83" s="116"/>
      <c r="R83" s="132"/>
      <c r="S83" s="133"/>
      <c r="T83" s="133"/>
      <c r="U83" s="134"/>
      <c r="AA83" s="1" t="s">
        <v>50</v>
      </c>
    </row>
    <row r="84" spans="1:27" ht="18" customHeight="1" x14ac:dyDescent="0.15">
      <c r="A84" s="3"/>
      <c r="B84" s="114" t="s">
        <v>26</v>
      </c>
      <c r="C84" s="115"/>
      <c r="D84" s="115"/>
      <c r="E84" s="115"/>
      <c r="F84" s="116"/>
      <c r="G84" s="132" t="s">
        <v>51</v>
      </c>
      <c r="H84" s="133"/>
      <c r="I84" s="133"/>
      <c r="J84" s="134"/>
      <c r="K84" s="114"/>
      <c r="L84" s="115"/>
      <c r="M84" s="115"/>
      <c r="N84" s="115"/>
      <c r="O84" s="115"/>
      <c r="P84" s="115"/>
      <c r="Q84" s="116"/>
      <c r="R84" s="132"/>
      <c r="S84" s="133"/>
      <c r="T84" s="133"/>
      <c r="U84" s="134"/>
      <c r="AA84" s="1" t="s">
        <v>52</v>
      </c>
    </row>
    <row r="85" spans="1:27" ht="18" customHeight="1" x14ac:dyDescent="0.15">
      <c r="A85" s="3"/>
      <c r="B85" s="114" t="s">
        <v>26</v>
      </c>
      <c r="C85" s="115"/>
      <c r="D85" s="115"/>
      <c r="E85" s="115"/>
      <c r="F85" s="116"/>
      <c r="G85" s="132" t="s">
        <v>53</v>
      </c>
      <c r="H85" s="133"/>
      <c r="I85" s="133"/>
      <c r="J85" s="134"/>
      <c r="K85" s="114"/>
      <c r="L85" s="115"/>
      <c r="M85" s="115"/>
      <c r="N85" s="115"/>
      <c r="O85" s="115"/>
      <c r="P85" s="115"/>
      <c r="Q85" s="116"/>
      <c r="R85" s="132"/>
      <c r="S85" s="133"/>
      <c r="T85" s="133"/>
      <c r="U85" s="134"/>
      <c r="AA85" s="1" t="s">
        <v>53</v>
      </c>
    </row>
    <row r="86" spans="1:27" ht="18" customHeight="1" x14ac:dyDescent="0.15">
      <c r="A86" s="3"/>
      <c r="B86" s="114" t="s">
        <v>26</v>
      </c>
      <c r="C86" s="115"/>
      <c r="D86" s="115"/>
      <c r="E86" s="115"/>
      <c r="F86" s="116"/>
      <c r="G86" s="132" t="s">
        <v>54</v>
      </c>
      <c r="H86" s="133"/>
      <c r="I86" s="133"/>
      <c r="J86" s="134"/>
      <c r="K86" s="114"/>
      <c r="L86" s="115"/>
      <c r="M86" s="115"/>
      <c r="N86" s="115"/>
      <c r="O86" s="115"/>
      <c r="P86" s="115"/>
      <c r="Q86" s="116"/>
      <c r="R86" s="132"/>
      <c r="S86" s="133"/>
      <c r="T86" s="133"/>
      <c r="U86" s="134"/>
      <c r="AA86" s="1" t="s">
        <v>55</v>
      </c>
    </row>
    <row r="87" spans="1:27" ht="18" customHeight="1" x14ac:dyDescent="0.15">
      <c r="A87" s="3"/>
      <c r="B87" s="117" t="s">
        <v>26</v>
      </c>
      <c r="C87" s="118"/>
      <c r="D87" s="118"/>
      <c r="E87" s="118"/>
      <c r="F87" s="119"/>
      <c r="G87" s="151" t="s">
        <v>56</v>
      </c>
      <c r="H87" s="152"/>
      <c r="I87" s="152"/>
      <c r="J87" s="153"/>
      <c r="K87" s="117"/>
      <c r="L87" s="118"/>
      <c r="M87" s="118"/>
      <c r="N87" s="118"/>
      <c r="O87" s="118"/>
      <c r="P87" s="118"/>
      <c r="Q87" s="119"/>
      <c r="R87" s="151"/>
      <c r="S87" s="152"/>
      <c r="T87" s="152"/>
      <c r="U87" s="153"/>
      <c r="AA87" s="1" t="s">
        <v>57</v>
      </c>
    </row>
    <row r="88" spans="1:27" ht="18" customHeight="1" x14ac:dyDescent="0.15">
      <c r="A88" s="3"/>
      <c r="B88" s="6"/>
      <c r="C88" s="6"/>
      <c r="D88" s="6"/>
      <c r="E88" s="6"/>
      <c r="F88" s="6"/>
      <c r="G88" s="39"/>
      <c r="H88" s="39"/>
      <c r="I88" s="39"/>
      <c r="J88" s="39"/>
      <c r="K88" s="6"/>
      <c r="L88" s="6"/>
      <c r="M88" s="6"/>
      <c r="N88" s="6"/>
      <c r="O88" s="6"/>
      <c r="P88" s="6"/>
      <c r="Q88" s="6"/>
      <c r="R88" s="39"/>
      <c r="S88" s="39"/>
      <c r="T88" s="39"/>
      <c r="U88" s="39"/>
      <c r="AA88" s="1" t="s">
        <v>58</v>
      </c>
    </row>
    <row r="89" spans="1:27" ht="18.75" customHeight="1" x14ac:dyDescent="0.15">
      <c r="A89" s="1" t="s">
        <v>59</v>
      </c>
      <c r="AA89" s="1" t="s">
        <v>60</v>
      </c>
    </row>
    <row r="90" spans="1:27" ht="18.75" customHeight="1" x14ac:dyDescent="0.15">
      <c r="B90" s="155" t="s">
        <v>61</v>
      </c>
      <c r="C90" s="156"/>
      <c r="D90" s="127" t="s">
        <v>62</v>
      </c>
      <c r="E90" s="128"/>
      <c r="F90" s="128"/>
      <c r="G90" s="128"/>
      <c r="H90" s="128"/>
      <c r="I90" s="128"/>
      <c r="J90" s="128"/>
      <c r="K90" s="128"/>
      <c r="L90" s="128"/>
      <c r="M90" s="128"/>
      <c r="N90" s="128"/>
      <c r="O90" s="128"/>
      <c r="P90" s="128"/>
      <c r="Q90" s="128"/>
      <c r="R90" s="128"/>
      <c r="S90" s="128"/>
      <c r="T90" s="128"/>
      <c r="U90" s="129"/>
    </row>
    <row r="91" spans="1:27" ht="97.5" customHeight="1" x14ac:dyDescent="0.15">
      <c r="B91" s="130" t="s">
        <v>63</v>
      </c>
      <c r="C91" s="40" t="s">
        <v>24</v>
      </c>
      <c r="D91" s="177" t="s">
        <v>64</v>
      </c>
      <c r="E91" s="162"/>
      <c r="F91" s="162"/>
      <c r="G91" s="162"/>
      <c r="H91" s="162"/>
      <c r="I91" s="162"/>
      <c r="J91" s="162"/>
      <c r="K91" s="162"/>
      <c r="L91" s="162"/>
      <c r="M91" s="162"/>
      <c r="N91" s="162"/>
      <c r="O91" s="162"/>
      <c r="P91" s="162"/>
      <c r="Q91" s="162"/>
      <c r="R91" s="162"/>
      <c r="S91" s="162"/>
      <c r="T91" s="162"/>
      <c r="U91" s="163"/>
    </row>
    <row r="92" spans="1:27" ht="97.5" customHeight="1" x14ac:dyDescent="0.15">
      <c r="B92" s="154"/>
      <c r="C92" s="41" t="s">
        <v>65</v>
      </c>
      <c r="D92" s="178" t="s">
        <v>66</v>
      </c>
      <c r="E92" s="167"/>
      <c r="F92" s="167"/>
      <c r="G92" s="167"/>
      <c r="H92" s="167"/>
      <c r="I92" s="167"/>
      <c r="J92" s="167"/>
      <c r="K92" s="167"/>
      <c r="L92" s="167"/>
      <c r="M92" s="167"/>
      <c r="N92" s="167"/>
      <c r="O92" s="167"/>
      <c r="P92" s="167"/>
      <c r="Q92" s="167"/>
      <c r="R92" s="167"/>
      <c r="S92" s="167"/>
      <c r="T92" s="167"/>
      <c r="U92" s="168"/>
    </row>
    <row r="93" spans="1:27" ht="97.5" customHeight="1" x14ac:dyDescent="0.15">
      <c r="B93" s="130" t="s">
        <v>67</v>
      </c>
      <c r="C93" s="42" t="s">
        <v>29</v>
      </c>
      <c r="D93" s="161" t="s">
        <v>245</v>
      </c>
      <c r="E93" s="169"/>
      <c r="F93" s="169"/>
      <c r="G93" s="169"/>
      <c r="H93" s="169"/>
      <c r="I93" s="169"/>
      <c r="J93" s="169"/>
      <c r="K93" s="169"/>
      <c r="L93" s="169"/>
      <c r="M93" s="169"/>
      <c r="N93" s="169"/>
      <c r="O93" s="169"/>
      <c r="P93" s="169"/>
      <c r="Q93" s="169"/>
      <c r="R93" s="169"/>
      <c r="S93" s="169"/>
      <c r="T93" s="169"/>
      <c r="U93" s="170"/>
    </row>
    <row r="94" spans="1:27" ht="97.5" customHeight="1" x14ac:dyDescent="0.15">
      <c r="B94" s="131"/>
      <c r="C94" s="43" t="s">
        <v>30</v>
      </c>
      <c r="D94" s="178" t="s">
        <v>68</v>
      </c>
      <c r="E94" s="167"/>
      <c r="F94" s="167"/>
      <c r="G94" s="167"/>
      <c r="H94" s="167"/>
      <c r="I94" s="167"/>
      <c r="J94" s="167"/>
      <c r="K94" s="167"/>
      <c r="L94" s="167"/>
      <c r="M94" s="167"/>
      <c r="N94" s="167"/>
      <c r="O94" s="167"/>
      <c r="P94" s="167"/>
      <c r="Q94" s="167"/>
      <c r="R94" s="167"/>
      <c r="S94" s="167"/>
      <c r="T94" s="167"/>
      <c r="U94" s="168"/>
    </row>
    <row r="95" spans="1:27" ht="97.5" customHeight="1" x14ac:dyDescent="0.15">
      <c r="B95" s="130" t="s">
        <v>69</v>
      </c>
      <c r="C95" s="42" t="s">
        <v>32</v>
      </c>
      <c r="D95" s="161" t="s">
        <v>246</v>
      </c>
      <c r="E95" s="169"/>
      <c r="F95" s="169"/>
      <c r="G95" s="169"/>
      <c r="H95" s="169"/>
      <c r="I95" s="169"/>
      <c r="J95" s="169"/>
      <c r="K95" s="169"/>
      <c r="L95" s="169"/>
      <c r="M95" s="169"/>
      <c r="N95" s="169"/>
      <c r="O95" s="169"/>
      <c r="P95" s="169"/>
      <c r="Q95" s="169"/>
      <c r="R95" s="169"/>
      <c r="S95" s="169"/>
      <c r="T95" s="169"/>
      <c r="U95" s="170"/>
    </row>
    <row r="96" spans="1:27" ht="97.5" customHeight="1" x14ac:dyDescent="0.15">
      <c r="B96" s="131"/>
      <c r="C96" s="44" t="s">
        <v>33</v>
      </c>
      <c r="D96" s="178" t="s">
        <v>70</v>
      </c>
      <c r="E96" s="167"/>
      <c r="F96" s="167"/>
      <c r="G96" s="167"/>
      <c r="H96" s="167"/>
      <c r="I96" s="167"/>
      <c r="J96" s="167"/>
      <c r="K96" s="167"/>
      <c r="L96" s="167"/>
      <c r="M96" s="167"/>
      <c r="N96" s="167"/>
      <c r="O96" s="167"/>
      <c r="P96" s="167"/>
      <c r="Q96" s="167"/>
      <c r="R96" s="167"/>
      <c r="S96" s="167"/>
      <c r="T96" s="167"/>
      <c r="U96" s="168"/>
    </row>
    <row r="97" spans="1:21" ht="97.5" customHeight="1" x14ac:dyDescent="0.15">
      <c r="B97" s="130" t="s">
        <v>71</v>
      </c>
      <c r="C97" s="40" t="s">
        <v>35</v>
      </c>
      <c r="D97" s="161" t="s">
        <v>247</v>
      </c>
      <c r="E97" s="169"/>
      <c r="F97" s="169"/>
      <c r="G97" s="169"/>
      <c r="H97" s="169"/>
      <c r="I97" s="169"/>
      <c r="J97" s="169"/>
      <c r="K97" s="169"/>
      <c r="L97" s="169"/>
      <c r="M97" s="169"/>
      <c r="N97" s="169"/>
      <c r="O97" s="169"/>
      <c r="P97" s="169"/>
      <c r="Q97" s="169"/>
      <c r="R97" s="169"/>
      <c r="S97" s="169"/>
      <c r="T97" s="169"/>
      <c r="U97" s="170"/>
    </row>
    <row r="98" spans="1:21" ht="97.5" customHeight="1" x14ac:dyDescent="0.15">
      <c r="B98" s="131"/>
      <c r="C98" s="43" t="s">
        <v>36</v>
      </c>
      <c r="D98" s="158" t="s">
        <v>248</v>
      </c>
      <c r="E98" s="159"/>
      <c r="F98" s="159"/>
      <c r="G98" s="159"/>
      <c r="H98" s="159"/>
      <c r="I98" s="159"/>
      <c r="J98" s="159"/>
      <c r="K98" s="159"/>
      <c r="L98" s="159"/>
      <c r="M98" s="159"/>
      <c r="N98" s="159"/>
      <c r="O98" s="159"/>
      <c r="P98" s="159"/>
      <c r="Q98" s="159"/>
      <c r="R98" s="159"/>
      <c r="S98" s="159"/>
      <c r="T98" s="159"/>
      <c r="U98" s="160"/>
    </row>
    <row r="99" spans="1:21" ht="124.5" customHeight="1" x14ac:dyDescent="0.15">
      <c r="B99" s="130" t="s">
        <v>72</v>
      </c>
      <c r="C99" s="42" t="s">
        <v>73</v>
      </c>
      <c r="D99" s="161" t="s">
        <v>249</v>
      </c>
      <c r="E99" s="162"/>
      <c r="F99" s="162"/>
      <c r="G99" s="162"/>
      <c r="H99" s="162"/>
      <c r="I99" s="162"/>
      <c r="J99" s="162"/>
      <c r="K99" s="162"/>
      <c r="L99" s="162"/>
      <c r="M99" s="162"/>
      <c r="N99" s="162"/>
      <c r="O99" s="162"/>
      <c r="P99" s="162"/>
      <c r="Q99" s="162"/>
      <c r="R99" s="162"/>
      <c r="S99" s="162"/>
      <c r="T99" s="162"/>
      <c r="U99" s="163"/>
    </row>
    <row r="100" spans="1:21" ht="97.5" customHeight="1" x14ac:dyDescent="0.15">
      <c r="B100" s="154"/>
      <c r="C100" s="45" t="s">
        <v>39</v>
      </c>
      <c r="D100" s="164" t="s">
        <v>250</v>
      </c>
      <c r="E100" s="165"/>
      <c r="F100" s="165"/>
      <c r="G100" s="165"/>
      <c r="H100" s="165"/>
      <c r="I100" s="165"/>
      <c r="J100" s="165"/>
      <c r="K100" s="165"/>
      <c r="L100" s="165"/>
      <c r="M100" s="165"/>
      <c r="N100" s="165"/>
      <c r="O100" s="165"/>
      <c r="P100" s="165"/>
      <c r="Q100" s="165"/>
      <c r="R100" s="165"/>
      <c r="S100" s="165"/>
      <c r="T100" s="165"/>
      <c r="U100" s="166"/>
    </row>
    <row r="101" spans="1:21" ht="97.5" customHeight="1" x14ac:dyDescent="0.15">
      <c r="B101" s="131"/>
      <c r="C101" s="44" t="s">
        <v>40</v>
      </c>
      <c r="D101" s="158" t="s">
        <v>251</v>
      </c>
      <c r="E101" s="167"/>
      <c r="F101" s="167"/>
      <c r="G101" s="167"/>
      <c r="H101" s="167"/>
      <c r="I101" s="167"/>
      <c r="J101" s="167"/>
      <c r="K101" s="167"/>
      <c r="L101" s="167"/>
      <c r="M101" s="167"/>
      <c r="N101" s="167"/>
      <c r="O101" s="167"/>
      <c r="P101" s="167"/>
      <c r="Q101" s="167"/>
      <c r="R101" s="167"/>
      <c r="S101" s="167"/>
      <c r="T101" s="167"/>
      <c r="U101" s="168"/>
    </row>
    <row r="102" spans="1:21" ht="6" customHeight="1" x14ac:dyDescent="0.15"/>
    <row r="103" spans="1:21" ht="18.75" customHeight="1" x14ac:dyDescent="0.15">
      <c r="A103" s="1" t="s">
        <v>74</v>
      </c>
    </row>
    <row r="104" spans="1:21" ht="81.75" customHeight="1" x14ac:dyDescent="0.15">
      <c r="B104" s="148" t="s">
        <v>75</v>
      </c>
      <c r="C104" s="149"/>
      <c r="D104" s="149"/>
      <c r="E104" s="149"/>
      <c r="F104" s="149"/>
      <c r="G104" s="149"/>
      <c r="H104" s="149"/>
      <c r="I104" s="149"/>
      <c r="J104" s="149"/>
      <c r="K104" s="149"/>
      <c r="L104" s="149"/>
      <c r="M104" s="149"/>
      <c r="N104" s="149"/>
      <c r="O104" s="149"/>
      <c r="P104" s="149"/>
      <c r="Q104" s="149"/>
      <c r="R104" s="149"/>
      <c r="S104" s="149"/>
      <c r="T104" s="149"/>
      <c r="U104" s="150"/>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9A043-5B5B-41CC-BB04-F0A0D3157C6C}">
  <sheetPr>
    <pageSetUpPr fitToPage="1"/>
  </sheetPr>
  <dimension ref="A1:X107"/>
  <sheetViews>
    <sheetView showZeros="0" tabSelected="1" view="pageBreakPreview" topLeftCell="A95" zoomScaleNormal="100" zoomScaleSheetLayoutView="100" workbookViewId="0">
      <selection activeCell="W100" sqref="W100"/>
    </sheetView>
  </sheetViews>
  <sheetFormatPr defaultColWidth="9" defaultRowHeight="18.75" customHeight="1" x14ac:dyDescent="0.15"/>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T1" s="157" t="s">
        <v>76</v>
      </c>
      <c r="U1" s="157"/>
      <c r="V1" s="2" t="s">
        <v>1</v>
      </c>
    </row>
    <row r="2" spans="1:24" ht="18.75" customHeight="1" x14ac:dyDescent="0.15">
      <c r="B2" s="10" t="s">
        <v>2</v>
      </c>
      <c r="C2" s="127" t="s">
        <v>77</v>
      </c>
      <c r="D2" s="128"/>
      <c r="E2" s="128"/>
      <c r="F2" s="128"/>
      <c r="G2" s="128"/>
      <c r="H2" s="128"/>
      <c r="I2" s="128"/>
      <c r="J2" s="129"/>
      <c r="K2" s="11"/>
      <c r="L2" s="6"/>
      <c r="M2" s="6"/>
      <c r="N2" s="6"/>
      <c r="O2" s="6"/>
      <c r="P2" s="6"/>
      <c r="Q2" s="6"/>
      <c r="R2" s="6"/>
      <c r="S2" s="6"/>
      <c r="T2" s="6"/>
      <c r="U2" s="6"/>
    </row>
    <row r="3" spans="1:24" ht="18.75" customHeight="1" x14ac:dyDescent="0.15">
      <c r="B3" s="10" t="s">
        <v>4</v>
      </c>
      <c r="C3" s="127" t="s">
        <v>78</v>
      </c>
      <c r="D3" s="128"/>
      <c r="E3" s="128"/>
      <c r="F3" s="128"/>
      <c r="G3" s="128"/>
      <c r="H3" s="128"/>
      <c r="I3" s="128"/>
      <c r="J3" s="129"/>
      <c r="K3" s="11"/>
      <c r="L3" s="6"/>
      <c r="M3" s="6"/>
      <c r="N3" s="6"/>
      <c r="O3" s="6"/>
      <c r="P3" s="6"/>
      <c r="Q3" s="6"/>
      <c r="R3" s="6"/>
      <c r="S3" s="6"/>
      <c r="T3" s="6"/>
      <c r="U3" s="6"/>
    </row>
    <row r="4" spans="1:24" ht="15" customHeight="1" x14ac:dyDescent="0.15">
      <c r="L4" s="11"/>
      <c r="M4" s="46"/>
      <c r="N4" s="46"/>
      <c r="O4" s="46"/>
      <c r="P4" s="46"/>
      <c r="Q4" s="46"/>
      <c r="R4" s="46"/>
      <c r="S4" s="46"/>
      <c r="T4" s="46"/>
      <c r="U4" s="46"/>
    </row>
    <row r="5" spans="1:24" ht="18" customHeight="1" x14ac:dyDescent="0.15">
      <c r="A5" s="138" t="s">
        <v>6</v>
      </c>
      <c r="B5" s="138"/>
      <c r="C5" s="138"/>
      <c r="D5" s="138"/>
      <c r="E5" s="138"/>
      <c r="F5" s="138"/>
      <c r="G5" s="138"/>
      <c r="H5" s="138"/>
      <c r="I5" s="138"/>
      <c r="J5" s="138"/>
      <c r="K5" s="138"/>
      <c r="L5" s="138"/>
      <c r="M5" s="138"/>
      <c r="N5" s="138"/>
      <c r="O5" s="138"/>
      <c r="P5" s="138"/>
      <c r="Q5" s="138"/>
      <c r="R5" s="138"/>
      <c r="S5" s="138"/>
      <c r="T5" s="138"/>
      <c r="U5" s="138"/>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74" t="s">
        <v>8</v>
      </c>
      <c r="M7" s="175"/>
      <c r="N7" s="175"/>
      <c r="O7" s="175"/>
      <c r="P7" s="175"/>
      <c r="Q7" s="175"/>
      <c r="R7" s="175"/>
      <c r="S7" s="175"/>
      <c r="T7" s="175"/>
      <c r="U7" s="176"/>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1"/>
      <c r="L9" s="2"/>
      <c r="M9" s="2"/>
      <c r="N9" s="2"/>
      <c r="O9" s="2"/>
      <c r="P9" s="2"/>
      <c r="Q9" s="2"/>
      <c r="R9" s="2"/>
      <c r="S9" s="2"/>
      <c r="T9" s="2"/>
      <c r="U9" s="2"/>
    </row>
    <row r="10" spans="1:24" ht="6" customHeight="1" x14ac:dyDescent="0.15">
      <c r="B10" s="3"/>
      <c r="C10" s="3"/>
      <c r="D10" s="3"/>
      <c r="E10" s="3"/>
      <c r="F10" s="3"/>
      <c r="G10" s="3"/>
      <c r="H10" s="3"/>
      <c r="I10" s="3"/>
      <c r="J10" s="3"/>
      <c r="K10" s="3"/>
      <c r="L10" s="7"/>
      <c r="M10" s="3"/>
      <c r="N10" s="3"/>
      <c r="O10" s="3"/>
      <c r="P10" s="3"/>
      <c r="Q10" s="3"/>
      <c r="R10" s="3"/>
      <c r="S10" s="3"/>
      <c r="T10" s="3"/>
      <c r="U10" s="3"/>
    </row>
    <row r="11" spans="1:24" ht="18" customHeight="1" x14ac:dyDescent="0.15">
      <c r="B11" s="203" t="s">
        <v>216</v>
      </c>
      <c r="C11" s="204"/>
      <c r="D11" s="204"/>
      <c r="E11" s="204"/>
      <c r="F11" s="204"/>
      <c r="G11" s="204"/>
      <c r="H11" s="204"/>
      <c r="I11" s="204"/>
      <c r="J11" s="204"/>
      <c r="K11" s="204"/>
      <c r="L11" s="204"/>
      <c r="M11" s="204"/>
      <c r="N11" s="204"/>
      <c r="O11" s="204"/>
      <c r="P11" s="204"/>
      <c r="Q11" s="204"/>
      <c r="R11" s="204"/>
      <c r="S11" s="204"/>
      <c r="T11" s="204"/>
      <c r="U11" s="205"/>
    </row>
    <row r="12" spans="1:24" ht="18" customHeight="1" x14ac:dyDescent="0.15">
      <c r="B12" s="206"/>
      <c r="C12" s="207"/>
      <c r="D12" s="207"/>
      <c r="E12" s="207"/>
      <c r="F12" s="207"/>
      <c r="G12" s="207"/>
      <c r="H12" s="207"/>
      <c r="I12" s="207"/>
      <c r="J12" s="207"/>
      <c r="K12" s="207"/>
      <c r="L12" s="207"/>
      <c r="M12" s="207"/>
      <c r="N12" s="207"/>
      <c r="O12" s="207"/>
      <c r="P12" s="207"/>
      <c r="Q12" s="207"/>
      <c r="R12" s="207"/>
      <c r="S12" s="207"/>
      <c r="T12" s="207"/>
      <c r="U12" s="208"/>
    </row>
    <row r="13" spans="1:24" ht="6" customHeight="1" x14ac:dyDescent="0.15">
      <c r="B13" s="3"/>
      <c r="C13" s="3"/>
      <c r="D13" s="3"/>
      <c r="E13" s="3"/>
      <c r="F13" s="3"/>
      <c r="G13" s="3"/>
      <c r="H13" s="3"/>
      <c r="I13" s="3"/>
      <c r="J13" s="3"/>
      <c r="K13" s="3"/>
      <c r="L13" s="7"/>
      <c r="M13" s="3"/>
      <c r="N13" s="3"/>
      <c r="O13" s="3"/>
      <c r="P13" s="3"/>
      <c r="Q13" s="3"/>
      <c r="R13" s="3"/>
      <c r="S13" s="3"/>
      <c r="T13" s="3"/>
      <c r="U13" s="3"/>
    </row>
    <row r="14" spans="1:24" ht="18" customHeight="1" x14ac:dyDescent="0.15">
      <c r="A14" s="1" t="s">
        <v>10</v>
      </c>
      <c r="B14" s="3"/>
      <c r="C14" s="3"/>
      <c r="D14" s="3"/>
      <c r="E14" s="11"/>
      <c r="F14" s="11"/>
      <c r="G14" s="11"/>
      <c r="H14" s="11"/>
      <c r="I14" s="11"/>
      <c r="J14" s="11"/>
      <c r="K14" s="11"/>
      <c r="L14" s="47"/>
      <c r="M14" s="47"/>
      <c r="N14" s="47"/>
      <c r="O14" s="47"/>
      <c r="P14" s="47"/>
      <c r="Q14" s="47"/>
      <c r="R14" s="47"/>
      <c r="S14" s="47"/>
      <c r="T14" s="47"/>
      <c r="U14" s="47"/>
    </row>
    <row r="15" spans="1:24" ht="18" customHeight="1" x14ac:dyDescent="0.15">
      <c r="B15" s="194" t="s">
        <v>79</v>
      </c>
      <c r="C15" s="195"/>
      <c r="D15" s="195"/>
      <c r="E15" s="195"/>
      <c r="F15" s="195"/>
      <c r="G15" s="195"/>
      <c r="H15" s="195"/>
      <c r="I15" s="195"/>
      <c r="J15" s="195"/>
      <c r="K15" s="195"/>
      <c r="L15" s="195"/>
      <c r="M15" s="195"/>
      <c r="N15" s="195"/>
      <c r="O15" s="195"/>
      <c r="P15" s="195"/>
      <c r="Q15" s="195"/>
      <c r="R15" s="195"/>
      <c r="S15" s="195"/>
      <c r="T15" s="195"/>
      <c r="U15" s="196"/>
      <c r="X15" s="1" t="s">
        <v>12</v>
      </c>
    </row>
    <row r="16" spans="1:24" ht="18" customHeight="1" x14ac:dyDescent="0.15">
      <c r="B16" s="197"/>
      <c r="C16" s="198"/>
      <c r="D16" s="198"/>
      <c r="E16" s="198"/>
      <c r="F16" s="198"/>
      <c r="G16" s="198"/>
      <c r="H16" s="198"/>
      <c r="I16" s="198"/>
      <c r="J16" s="198"/>
      <c r="K16" s="198"/>
      <c r="L16" s="198"/>
      <c r="M16" s="198"/>
      <c r="N16" s="198"/>
      <c r="O16" s="198"/>
      <c r="P16" s="198"/>
      <c r="Q16" s="198"/>
      <c r="R16" s="198"/>
      <c r="S16" s="198"/>
      <c r="T16" s="198"/>
      <c r="U16" s="199"/>
      <c r="X16" s="1" t="s">
        <v>13</v>
      </c>
    </row>
    <row r="17" spans="1:24" ht="18" customHeight="1" x14ac:dyDescent="0.15">
      <c r="B17" s="197"/>
      <c r="C17" s="198"/>
      <c r="D17" s="198"/>
      <c r="E17" s="198"/>
      <c r="F17" s="198"/>
      <c r="G17" s="198"/>
      <c r="H17" s="198"/>
      <c r="I17" s="198"/>
      <c r="J17" s="198"/>
      <c r="K17" s="198"/>
      <c r="L17" s="198"/>
      <c r="M17" s="198"/>
      <c r="N17" s="198"/>
      <c r="O17" s="198"/>
      <c r="P17" s="198"/>
      <c r="Q17" s="198"/>
      <c r="R17" s="198"/>
      <c r="S17" s="198"/>
      <c r="T17" s="198"/>
      <c r="U17" s="199"/>
      <c r="X17" s="1" t="s">
        <v>14</v>
      </c>
    </row>
    <row r="18" spans="1:24" ht="18" customHeight="1" x14ac:dyDescent="0.15">
      <c r="B18" s="197"/>
      <c r="C18" s="198"/>
      <c r="D18" s="198"/>
      <c r="E18" s="198"/>
      <c r="F18" s="198"/>
      <c r="G18" s="198"/>
      <c r="H18" s="198"/>
      <c r="I18" s="198"/>
      <c r="J18" s="198"/>
      <c r="K18" s="198"/>
      <c r="L18" s="198"/>
      <c r="M18" s="198"/>
      <c r="N18" s="198"/>
      <c r="O18" s="198"/>
      <c r="P18" s="198"/>
      <c r="Q18" s="198"/>
      <c r="R18" s="198"/>
      <c r="S18" s="198"/>
      <c r="T18" s="198"/>
      <c r="U18" s="199"/>
      <c r="X18" s="1" t="s">
        <v>15</v>
      </c>
    </row>
    <row r="19" spans="1:24" ht="18" customHeight="1" x14ac:dyDescent="0.15">
      <c r="B19" s="197"/>
      <c r="C19" s="198"/>
      <c r="D19" s="198"/>
      <c r="E19" s="198"/>
      <c r="F19" s="198"/>
      <c r="G19" s="198"/>
      <c r="H19" s="198"/>
      <c r="I19" s="198"/>
      <c r="J19" s="198"/>
      <c r="K19" s="198"/>
      <c r="L19" s="198"/>
      <c r="M19" s="198"/>
      <c r="N19" s="198"/>
      <c r="O19" s="198"/>
      <c r="P19" s="198"/>
      <c r="Q19" s="198"/>
      <c r="R19" s="198"/>
      <c r="S19" s="198"/>
      <c r="T19" s="198"/>
      <c r="U19" s="199"/>
    </row>
    <row r="20" spans="1:24" ht="18" customHeight="1" x14ac:dyDescent="0.15">
      <c r="B20" s="200"/>
      <c r="C20" s="201"/>
      <c r="D20" s="201"/>
      <c r="E20" s="201"/>
      <c r="F20" s="201"/>
      <c r="G20" s="201"/>
      <c r="H20" s="201"/>
      <c r="I20" s="201"/>
      <c r="J20" s="201"/>
      <c r="K20" s="201"/>
      <c r="L20" s="201"/>
      <c r="M20" s="201"/>
      <c r="N20" s="201"/>
      <c r="O20" s="201"/>
      <c r="P20" s="201"/>
      <c r="Q20" s="201"/>
      <c r="R20" s="201"/>
      <c r="S20" s="201"/>
      <c r="T20" s="201"/>
      <c r="U20" s="20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16</v>
      </c>
      <c r="E22" s="48">
        <v>2</v>
      </c>
      <c r="F22" s="1" t="s">
        <v>17</v>
      </c>
      <c r="H22" s="83">
        <v>2</v>
      </c>
      <c r="I22" s="3" t="s">
        <v>18</v>
      </c>
      <c r="J22" s="3"/>
      <c r="K22" s="11"/>
      <c r="M22" s="11" t="s">
        <v>19</v>
      </c>
      <c r="N22" s="171" t="s">
        <v>13</v>
      </c>
      <c r="O22" s="172"/>
      <c r="P22" s="172"/>
      <c r="Q22" s="172"/>
      <c r="R22" s="172"/>
      <c r="S22" s="172"/>
      <c r="T22" s="172"/>
      <c r="U22" s="173"/>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0" t="s">
        <v>20</v>
      </c>
      <c r="B24" s="120"/>
      <c r="C24" s="120"/>
      <c r="D24" s="120"/>
      <c r="E24" s="120"/>
      <c r="F24" s="120"/>
      <c r="G24" s="120"/>
      <c r="H24" s="120"/>
      <c r="I24" s="120"/>
      <c r="J24" s="120"/>
      <c r="K24" s="120"/>
      <c r="L24" s="120"/>
      <c r="M24" s="120"/>
      <c r="N24" s="120"/>
      <c r="O24" s="120"/>
      <c r="P24" s="120"/>
      <c r="Q24" s="120"/>
      <c r="R24" s="120"/>
      <c r="S24" s="120"/>
      <c r="T24" s="120"/>
      <c r="U24" s="120"/>
    </row>
    <row r="25" spans="1:24" ht="18" customHeight="1" x14ac:dyDescent="0.15">
      <c r="A25" s="120"/>
      <c r="B25" s="120"/>
      <c r="C25" s="120"/>
      <c r="D25" s="120"/>
      <c r="E25" s="120"/>
      <c r="F25" s="120"/>
      <c r="G25" s="120"/>
      <c r="H25" s="120"/>
      <c r="I25" s="120"/>
      <c r="J25" s="120"/>
      <c r="K25" s="120"/>
      <c r="L25" s="120"/>
      <c r="M25" s="120"/>
      <c r="N25" s="120"/>
      <c r="O25" s="120"/>
      <c r="P25" s="120"/>
      <c r="Q25" s="120"/>
      <c r="R25" s="120"/>
      <c r="S25" s="120"/>
      <c r="T25" s="120"/>
      <c r="U25" s="120"/>
    </row>
    <row r="26" spans="1:24" ht="18" customHeight="1" x14ac:dyDescent="0.15">
      <c r="B26" s="127" t="s">
        <v>21</v>
      </c>
      <c r="C26" s="128"/>
      <c r="D26" s="128"/>
      <c r="E26" s="128"/>
      <c r="F26" s="129"/>
      <c r="G26" s="32" t="s">
        <v>22</v>
      </c>
      <c r="H26" s="33" t="s">
        <v>23</v>
      </c>
      <c r="I26" s="34" t="s">
        <v>24</v>
      </c>
      <c r="J26" s="34" t="s">
        <v>25</v>
      </c>
      <c r="K26" s="127" t="s">
        <v>21</v>
      </c>
      <c r="L26" s="128"/>
      <c r="M26" s="128"/>
      <c r="N26" s="128"/>
      <c r="O26" s="128"/>
      <c r="P26" s="128"/>
      <c r="Q26" s="129"/>
      <c r="R26" s="32" t="s">
        <v>22</v>
      </c>
      <c r="S26" s="33" t="s">
        <v>23</v>
      </c>
      <c r="T26" s="34" t="s">
        <v>24</v>
      </c>
      <c r="U26" s="34" t="s">
        <v>25</v>
      </c>
    </row>
    <row r="27" spans="1:24" ht="18" customHeight="1" x14ac:dyDescent="0.15">
      <c r="B27" s="121" t="s">
        <v>80</v>
      </c>
      <c r="C27" s="122"/>
      <c r="D27" s="122"/>
      <c r="E27" s="122"/>
      <c r="F27" s="123"/>
      <c r="G27" s="35">
        <v>1</v>
      </c>
      <c r="H27" s="35" t="s">
        <v>27</v>
      </c>
      <c r="I27" s="35" t="s">
        <v>27</v>
      </c>
      <c r="J27" s="35" t="s">
        <v>27</v>
      </c>
      <c r="K27" s="121"/>
      <c r="L27" s="122"/>
      <c r="M27" s="122"/>
      <c r="N27" s="122"/>
      <c r="O27" s="122"/>
      <c r="P27" s="122"/>
      <c r="Q27" s="123"/>
      <c r="R27" s="35"/>
      <c r="S27" s="35"/>
      <c r="T27" s="35"/>
      <c r="U27" s="35"/>
    </row>
    <row r="28" spans="1:24" ht="18" customHeight="1" x14ac:dyDescent="0.15">
      <c r="B28" s="114"/>
      <c r="C28" s="115"/>
      <c r="D28" s="115"/>
      <c r="E28" s="115"/>
      <c r="F28" s="116"/>
      <c r="G28" s="36"/>
      <c r="H28" s="36"/>
      <c r="I28" s="36"/>
      <c r="J28" s="36"/>
      <c r="K28" s="114"/>
      <c r="L28" s="115"/>
      <c r="M28" s="115"/>
      <c r="N28" s="115"/>
      <c r="O28" s="115"/>
      <c r="P28" s="115"/>
      <c r="Q28" s="116"/>
      <c r="R28" s="36"/>
      <c r="S28" s="36"/>
      <c r="T28" s="36"/>
      <c r="U28" s="36"/>
    </row>
    <row r="29" spans="1:24" ht="18" customHeight="1" x14ac:dyDescent="0.15">
      <c r="B29" s="114"/>
      <c r="C29" s="115"/>
      <c r="D29" s="115"/>
      <c r="E29" s="115"/>
      <c r="F29" s="116"/>
      <c r="G29" s="36"/>
      <c r="H29" s="36"/>
      <c r="I29" s="36"/>
      <c r="J29" s="36"/>
      <c r="K29" s="114"/>
      <c r="L29" s="115"/>
      <c r="M29" s="115"/>
      <c r="N29" s="115"/>
      <c r="O29" s="115"/>
      <c r="P29" s="115"/>
      <c r="Q29" s="116"/>
      <c r="R29" s="36"/>
      <c r="S29" s="36"/>
      <c r="T29" s="36"/>
      <c r="U29" s="36"/>
    </row>
    <row r="30" spans="1:24" ht="18" customHeight="1" x14ac:dyDescent="0.15">
      <c r="B30" s="114"/>
      <c r="C30" s="115"/>
      <c r="D30" s="115"/>
      <c r="E30" s="115"/>
      <c r="F30" s="116"/>
      <c r="G30" s="36"/>
      <c r="H30" s="36"/>
      <c r="I30" s="36"/>
      <c r="J30" s="36"/>
      <c r="K30" s="114"/>
      <c r="L30" s="115"/>
      <c r="M30" s="115"/>
      <c r="N30" s="115"/>
      <c r="O30" s="115"/>
      <c r="P30" s="115"/>
      <c r="Q30" s="116"/>
      <c r="R30" s="36"/>
      <c r="S30" s="36"/>
      <c r="T30" s="36"/>
      <c r="U30" s="36"/>
    </row>
    <row r="31" spans="1:24" ht="18" customHeight="1" x14ac:dyDescent="0.15">
      <c r="B31" s="114"/>
      <c r="C31" s="115"/>
      <c r="D31" s="115"/>
      <c r="E31" s="115"/>
      <c r="F31" s="116"/>
      <c r="G31" s="36"/>
      <c r="H31" s="36"/>
      <c r="I31" s="36"/>
      <c r="J31" s="36"/>
      <c r="K31" s="114"/>
      <c r="L31" s="115"/>
      <c r="M31" s="115"/>
      <c r="N31" s="115"/>
      <c r="O31" s="115"/>
      <c r="P31" s="115"/>
      <c r="Q31" s="116"/>
      <c r="R31" s="36"/>
      <c r="S31" s="36"/>
      <c r="T31" s="36"/>
      <c r="U31" s="36"/>
    </row>
    <row r="32" spans="1:24" ht="18" customHeight="1" x14ac:dyDescent="0.15">
      <c r="A32" s="3"/>
      <c r="B32" s="114"/>
      <c r="C32" s="115"/>
      <c r="D32" s="115"/>
      <c r="E32" s="115"/>
      <c r="F32" s="116"/>
      <c r="G32" s="36"/>
      <c r="H32" s="36"/>
      <c r="I32" s="36"/>
      <c r="J32" s="36"/>
      <c r="K32" s="114"/>
      <c r="L32" s="115"/>
      <c r="M32" s="115"/>
      <c r="N32" s="115"/>
      <c r="O32" s="115"/>
      <c r="P32" s="115"/>
      <c r="Q32" s="116"/>
      <c r="R32" s="36"/>
      <c r="S32" s="36"/>
      <c r="T32" s="36"/>
      <c r="U32" s="36"/>
    </row>
    <row r="33" spans="1:21" ht="18" customHeight="1" x14ac:dyDescent="0.15">
      <c r="A33" s="3"/>
      <c r="B33" s="117"/>
      <c r="C33" s="118"/>
      <c r="D33" s="118"/>
      <c r="E33" s="118"/>
      <c r="F33" s="119"/>
      <c r="G33" s="37"/>
      <c r="H33" s="37"/>
      <c r="I33" s="38"/>
      <c r="J33" s="38"/>
      <c r="K33" s="117"/>
      <c r="L33" s="118"/>
      <c r="M33" s="118"/>
      <c r="N33" s="118"/>
      <c r="O33" s="118"/>
      <c r="P33" s="118"/>
      <c r="Q33" s="119"/>
      <c r="R33" s="37"/>
      <c r="S33" s="37"/>
      <c r="T33" s="38"/>
      <c r="U33" s="38"/>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0" t="s">
        <v>28</v>
      </c>
      <c r="B35" s="120"/>
      <c r="C35" s="120"/>
      <c r="D35" s="120"/>
      <c r="E35" s="120"/>
      <c r="F35" s="120"/>
      <c r="G35" s="120"/>
      <c r="H35" s="120"/>
      <c r="I35" s="120"/>
      <c r="J35" s="120"/>
      <c r="K35" s="120"/>
      <c r="L35" s="120"/>
      <c r="M35" s="120"/>
      <c r="N35" s="120"/>
      <c r="O35" s="120"/>
      <c r="P35" s="120"/>
      <c r="Q35" s="120"/>
      <c r="R35" s="120"/>
      <c r="S35" s="120"/>
      <c r="T35" s="120"/>
      <c r="U35" s="120"/>
    </row>
    <row r="36" spans="1:21" ht="18" customHeight="1" x14ac:dyDescent="0.15">
      <c r="A36" s="120"/>
      <c r="B36" s="120"/>
      <c r="C36" s="120"/>
      <c r="D36" s="120"/>
      <c r="E36" s="120"/>
      <c r="F36" s="120"/>
      <c r="G36" s="120"/>
      <c r="H36" s="120"/>
      <c r="I36" s="120"/>
      <c r="J36" s="120"/>
      <c r="K36" s="120"/>
      <c r="L36" s="120"/>
      <c r="M36" s="120"/>
      <c r="N36" s="120"/>
      <c r="O36" s="120"/>
      <c r="P36" s="120"/>
      <c r="Q36" s="120"/>
      <c r="R36" s="120"/>
      <c r="S36" s="120"/>
      <c r="T36" s="120"/>
      <c r="U36" s="120"/>
    </row>
    <row r="37" spans="1:21" ht="18" customHeight="1" x14ac:dyDescent="0.15">
      <c r="B37" s="127" t="s">
        <v>21</v>
      </c>
      <c r="C37" s="128"/>
      <c r="D37" s="128"/>
      <c r="E37" s="128"/>
      <c r="F37" s="129"/>
      <c r="G37" s="32" t="s">
        <v>22</v>
      </c>
      <c r="H37" s="33" t="s">
        <v>23</v>
      </c>
      <c r="I37" s="34" t="s">
        <v>29</v>
      </c>
      <c r="J37" s="34" t="s">
        <v>30</v>
      </c>
      <c r="K37" s="127" t="s">
        <v>21</v>
      </c>
      <c r="L37" s="128"/>
      <c r="M37" s="128"/>
      <c r="N37" s="128"/>
      <c r="O37" s="128"/>
      <c r="P37" s="128"/>
      <c r="Q37" s="129"/>
      <c r="R37" s="32" t="s">
        <v>22</v>
      </c>
      <c r="S37" s="33" t="s">
        <v>23</v>
      </c>
      <c r="T37" s="34" t="s">
        <v>29</v>
      </c>
      <c r="U37" s="34" t="s">
        <v>30</v>
      </c>
    </row>
    <row r="38" spans="1:21" ht="18" customHeight="1" x14ac:dyDescent="0.15">
      <c r="B38" s="121" t="s">
        <v>80</v>
      </c>
      <c r="C38" s="122"/>
      <c r="D38" s="122"/>
      <c r="E38" s="122"/>
      <c r="F38" s="123"/>
      <c r="G38" s="35">
        <v>1</v>
      </c>
      <c r="H38" s="35" t="s">
        <v>27</v>
      </c>
      <c r="I38" s="35" t="s">
        <v>27</v>
      </c>
      <c r="J38" s="35" t="s">
        <v>27</v>
      </c>
      <c r="K38" s="121"/>
      <c r="L38" s="122"/>
      <c r="M38" s="122"/>
      <c r="N38" s="122"/>
      <c r="O38" s="122"/>
      <c r="P38" s="122"/>
      <c r="Q38" s="123"/>
      <c r="R38" s="35"/>
      <c r="S38" s="35"/>
      <c r="T38" s="35"/>
      <c r="U38" s="35"/>
    </row>
    <row r="39" spans="1:21" ht="18" customHeight="1" x14ac:dyDescent="0.15">
      <c r="B39" s="114"/>
      <c r="C39" s="115"/>
      <c r="D39" s="115"/>
      <c r="E39" s="115"/>
      <c r="F39" s="116"/>
      <c r="G39" s="36"/>
      <c r="H39" s="36"/>
      <c r="I39" s="36"/>
      <c r="J39" s="36"/>
      <c r="K39" s="114"/>
      <c r="L39" s="115"/>
      <c r="M39" s="115"/>
      <c r="N39" s="115"/>
      <c r="O39" s="115"/>
      <c r="P39" s="115"/>
      <c r="Q39" s="116"/>
      <c r="R39" s="36"/>
      <c r="S39" s="36"/>
      <c r="T39" s="36"/>
      <c r="U39" s="36"/>
    </row>
    <row r="40" spans="1:21" ht="18" customHeight="1" x14ac:dyDescent="0.15">
      <c r="B40" s="114"/>
      <c r="C40" s="115"/>
      <c r="D40" s="115"/>
      <c r="E40" s="115"/>
      <c r="F40" s="116"/>
      <c r="G40" s="36"/>
      <c r="H40" s="36"/>
      <c r="I40" s="36"/>
      <c r="J40" s="36"/>
      <c r="K40" s="114"/>
      <c r="L40" s="115"/>
      <c r="M40" s="115"/>
      <c r="N40" s="115"/>
      <c r="O40" s="115"/>
      <c r="P40" s="115"/>
      <c r="Q40" s="116"/>
      <c r="R40" s="36"/>
      <c r="S40" s="36"/>
      <c r="T40" s="36"/>
      <c r="U40" s="36"/>
    </row>
    <row r="41" spans="1:21" ht="18" customHeight="1" x14ac:dyDescent="0.15">
      <c r="B41" s="114"/>
      <c r="C41" s="115"/>
      <c r="D41" s="115"/>
      <c r="E41" s="115"/>
      <c r="F41" s="116"/>
      <c r="G41" s="36"/>
      <c r="H41" s="36"/>
      <c r="I41" s="36"/>
      <c r="J41" s="36"/>
      <c r="K41" s="114"/>
      <c r="L41" s="115"/>
      <c r="M41" s="115"/>
      <c r="N41" s="115"/>
      <c r="O41" s="115"/>
      <c r="P41" s="115"/>
      <c r="Q41" s="116"/>
      <c r="R41" s="36"/>
      <c r="S41" s="36"/>
      <c r="T41" s="36"/>
      <c r="U41" s="36"/>
    </row>
    <row r="42" spans="1:21" ht="18" customHeight="1" x14ac:dyDescent="0.15">
      <c r="B42" s="114"/>
      <c r="C42" s="115"/>
      <c r="D42" s="115"/>
      <c r="E42" s="115"/>
      <c r="F42" s="116"/>
      <c r="G42" s="36"/>
      <c r="H42" s="36"/>
      <c r="I42" s="36"/>
      <c r="J42" s="36"/>
      <c r="K42" s="114"/>
      <c r="L42" s="115"/>
      <c r="M42" s="115"/>
      <c r="N42" s="115"/>
      <c r="O42" s="115"/>
      <c r="P42" s="115"/>
      <c r="Q42" s="116"/>
      <c r="R42" s="36"/>
      <c r="S42" s="36"/>
      <c r="T42" s="36"/>
      <c r="U42" s="36"/>
    </row>
    <row r="43" spans="1:21" ht="18" customHeight="1" x14ac:dyDescent="0.15">
      <c r="B43" s="114"/>
      <c r="C43" s="115"/>
      <c r="D43" s="115"/>
      <c r="E43" s="115"/>
      <c r="F43" s="116"/>
      <c r="G43" s="36"/>
      <c r="H43" s="36"/>
      <c r="I43" s="36"/>
      <c r="J43" s="36"/>
      <c r="K43" s="114"/>
      <c r="L43" s="115"/>
      <c r="M43" s="115"/>
      <c r="N43" s="115"/>
      <c r="O43" s="115"/>
      <c r="P43" s="115"/>
      <c r="Q43" s="116"/>
      <c r="R43" s="36"/>
      <c r="S43" s="36"/>
      <c r="T43" s="36"/>
      <c r="U43" s="36"/>
    </row>
    <row r="44" spans="1:21" ht="18" customHeight="1" x14ac:dyDescent="0.15">
      <c r="B44" s="117"/>
      <c r="C44" s="118"/>
      <c r="D44" s="118"/>
      <c r="E44" s="118"/>
      <c r="F44" s="119"/>
      <c r="G44" s="37"/>
      <c r="H44" s="37"/>
      <c r="I44" s="38"/>
      <c r="J44" s="38"/>
      <c r="K44" s="117"/>
      <c r="L44" s="118"/>
      <c r="M44" s="118"/>
      <c r="N44" s="118"/>
      <c r="O44" s="118"/>
      <c r="P44" s="118"/>
      <c r="Q44" s="119"/>
      <c r="R44" s="37"/>
      <c r="S44" s="37"/>
      <c r="T44" s="38"/>
      <c r="U44" s="38"/>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0" t="s">
        <v>31</v>
      </c>
      <c r="B46" s="120"/>
      <c r="C46" s="120"/>
      <c r="D46" s="120"/>
      <c r="E46" s="120"/>
      <c r="F46" s="120"/>
      <c r="G46" s="120"/>
      <c r="H46" s="120"/>
      <c r="I46" s="120"/>
      <c r="J46" s="120"/>
      <c r="K46" s="120"/>
      <c r="L46" s="120"/>
      <c r="M46" s="120"/>
      <c r="N46" s="120"/>
      <c r="O46" s="120"/>
      <c r="P46" s="120"/>
      <c r="Q46" s="120"/>
      <c r="R46" s="120"/>
      <c r="S46" s="120"/>
      <c r="T46" s="120"/>
      <c r="U46" s="120"/>
    </row>
    <row r="47" spans="1:21" ht="18" customHeight="1" x14ac:dyDescent="0.15">
      <c r="A47" s="120"/>
      <c r="B47" s="120"/>
      <c r="C47" s="120"/>
      <c r="D47" s="120"/>
      <c r="E47" s="120"/>
      <c r="F47" s="120"/>
      <c r="G47" s="120"/>
      <c r="H47" s="120"/>
      <c r="I47" s="120"/>
      <c r="J47" s="120"/>
      <c r="K47" s="120"/>
      <c r="L47" s="120"/>
      <c r="M47" s="120"/>
      <c r="N47" s="120"/>
      <c r="O47" s="120"/>
      <c r="P47" s="120"/>
      <c r="Q47" s="120"/>
      <c r="R47" s="120"/>
      <c r="S47" s="120"/>
      <c r="T47" s="120"/>
      <c r="U47" s="120"/>
    </row>
    <row r="48" spans="1:21" ht="18" customHeight="1" x14ac:dyDescent="0.15">
      <c r="B48" s="127" t="s">
        <v>21</v>
      </c>
      <c r="C48" s="128"/>
      <c r="D48" s="128"/>
      <c r="E48" s="128"/>
      <c r="F48" s="129"/>
      <c r="G48" s="32" t="s">
        <v>22</v>
      </c>
      <c r="H48" s="33" t="s">
        <v>23</v>
      </c>
      <c r="I48" s="34" t="s">
        <v>32</v>
      </c>
      <c r="J48" s="34" t="s">
        <v>33</v>
      </c>
      <c r="K48" s="127" t="s">
        <v>21</v>
      </c>
      <c r="L48" s="128"/>
      <c r="M48" s="128"/>
      <c r="N48" s="128"/>
      <c r="O48" s="128"/>
      <c r="P48" s="128"/>
      <c r="Q48" s="129"/>
      <c r="R48" s="32" t="s">
        <v>22</v>
      </c>
      <c r="S48" s="33" t="s">
        <v>23</v>
      </c>
      <c r="T48" s="34" t="s">
        <v>32</v>
      </c>
      <c r="U48" s="34" t="s">
        <v>33</v>
      </c>
    </row>
    <row r="49" spans="1:21" ht="18" customHeight="1" x14ac:dyDescent="0.15">
      <c r="A49" s="3"/>
      <c r="B49" s="114" t="s">
        <v>81</v>
      </c>
      <c r="C49" s="115"/>
      <c r="D49" s="115"/>
      <c r="E49" s="115"/>
      <c r="F49" s="116"/>
      <c r="G49" s="36">
        <v>1</v>
      </c>
      <c r="H49" s="36" t="s">
        <v>27</v>
      </c>
      <c r="I49" s="36" t="s">
        <v>27</v>
      </c>
      <c r="J49" s="36" t="s">
        <v>27</v>
      </c>
      <c r="K49" s="121"/>
      <c r="L49" s="122"/>
      <c r="M49" s="122"/>
      <c r="N49" s="122"/>
      <c r="O49" s="122"/>
      <c r="P49" s="122"/>
      <c r="Q49" s="123"/>
      <c r="R49" s="35"/>
      <c r="S49" s="35"/>
      <c r="T49" s="35"/>
      <c r="U49" s="35"/>
    </row>
    <row r="50" spans="1:21" ht="18" customHeight="1" x14ac:dyDescent="0.15">
      <c r="A50" s="3"/>
      <c r="B50" s="114"/>
      <c r="C50" s="115"/>
      <c r="D50" s="115"/>
      <c r="E50" s="115"/>
      <c r="F50" s="116"/>
      <c r="G50" s="36"/>
      <c r="H50" s="36"/>
      <c r="I50" s="36"/>
      <c r="J50" s="36"/>
      <c r="K50" s="114"/>
      <c r="L50" s="115"/>
      <c r="M50" s="115"/>
      <c r="N50" s="115"/>
      <c r="O50" s="115"/>
      <c r="P50" s="115"/>
      <c r="Q50" s="116"/>
      <c r="R50" s="36"/>
      <c r="S50" s="36"/>
      <c r="T50" s="36"/>
      <c r="U50" s="36"/>
    </row>
    <row r="51" spans="1:21" ht="18" customHeight="1" x14ac:dyDescent="0.15">
      <c r="A51" s="3"/>
      <c r="B51" s="114"/>
      <c r="C51" s="115"/>
      <c r="D51" s="115"/>
      <c r="E51" s="115"/>
      <c r="F51" s="116"/>
      <c r="G51" s="36"/>
      <c r="H51" s="36"/>
      <c r="I51" s="36"/>
      <c r="J51" s="36"/>
      <c r="K51" s="114"/>
      <c r="L51" s="115"/>
      <c r="M51" s="115"/>
      <c r="N51" s="115"/>
      <c r="O51" s="115"/>
      <c r="P51" s="115"/>
      <c r="Q51" s="116"/>
      <c r="R51" s="36"/>
      <c r="S51" s="36"/>
      <c r="T51" s="36"/>
      <c r="U51" s="36"/>
    </row>
    <row r="52" spans="1:21" ht="18" customHeight="1" x14ac:dyDescent="0.15">
      <c r="A52" s="3"/>
      <c r="B52" s="114"/>
      <c r="C52" s="115"/>
      <c r="D52" s="115"/>
      <c r="E52" s="115"/>
      <c r="F52" s="116"/>
      <c r="G52" s="36"/>
      <c r="H52" s="36"/>
      <c r="I52" s="36"/>
      <c r="J52" s="36"/>
      <c r="K52" s="114"/>
      <c r="L52" s="115"/>
      <c r="M52" s="115"/>
      <c r="N52" s="115"/>
      <c r="O52" s="115"/>
      <c r="P52" s="115"/>
      <c r="Q52" s="116"/>
      <c r="R52" s="36"/>
      <c r="S52" s="36"/>
      <c r="T52" s="36"/>
      <c r="U52" s="36"/>
    </row>
    <row r="53" spans="1:21" ht="18" customHeight="1" x14ac:dyDescent="0.15">
      <c r="A53" s="3"/>
      <c r="B53" s="114"/>
      <c r="C53" s="115"/>
      <c r="D53" s="115"/>
      <c r="E53" s="115"/>
      <c r="F53" s="116"/>
      <c r="G53" s="36"/>
      <c r="H53" s="36"/>
      <c r="I53" s="36"/>
      <c r="J53" s="36"/>
      <c r="K53" s="114"/>
      <c r="L53" s="115"/>
      <c r="M53" s="115"/>
      <c r="N53" s="115"/>
      <c r="O53" s="115"/>
      <c r="P53" s="115"/>
      <c r="Q53" s="116"/>
      <c r="R53" s="36"/>
      <c r="S53" s="36"/>
      <c r="T53" s="36"/>
      <c r="U53" s="36"/>
    </row>
    <row r="54" spans="1:21" ht="18" customHeight="1" x14ac:dyDescent="0.15">
      <c r="A54" s="3"/>
      <c r="B54" s="114"/>
      <c r="C54" s="115"/>
      <c r="D54" s="115"/>
      <c r="E54" s="115"/>
      <c r="F54" s="116"/>
      <c r="G54" s="36"/>
      <c r="H54" s="36"/>
      <c r="I54" s="36"/>
      <c r="J54" s="36"/>
      <c r="K54" s="114"/>
      <c r="L54" s="115"/>
      <c r="M54" s="115"/>
      <c r="N54" s="115"/>
      <c r="O54" s="115"/>
      <c r="P54" s="115"/>
      <c r="Q54" s="116"/>
      <c r="R54" s="36"/>
      <c r="S54" s="36"/>
      <c r="T54" s="36"/>
      <c r="U54" s="36"/>
    </row>
    <row r="55" spans="1:21" ht="18" customHeight="1" x14ac:dyDescent="0.15">
      <c r="A55" s="3"/>
      <c r="B55" s="117"/>
      <c r="C55" s="118"/>
      <c r="D55" s="118"/>
      <c r="E55" s="118"/>
      <c r="F55" s="119"/>
      <c r="G55" s="37"/>
      <c r="H55" s="37"/>
      <c r="I55" s="38"/>
      <c r="J55" s="38"/>
      <c r="K55" s="117"/>
      <c r="L55" s="118"/>
      <c r="M55" s="118"/>
      <c r="N55" s="118"/>
      <c r="O55" s="118"/>
      <c r="P55" s="118"/>
      <c r="Q55" s="119"/>
      <c r="R55" s="37"/>
      <c r="S55" s="37"/>
      <c r="T55" s="38"/>
      <c r="U55" s="38"/>
    </row>
    <row r="56" spans="1:21" ht="7.5" customHeight="1" x14ac:dyDescent="0.15">
      <c r="B56" s="8"/>
      <c r="C56" s="8"/>
      <c r="D56" s="8"/>
      <c r="E56" s="8"/>
      <c r="F56" s="8"/>
      <c r="G56" s="8"/>
      <c r="H56" s="8"/>
      <c r="I56" s="8"/>
      <c r="J56" s="8"/>
      <c r="K56" s="8"/>
      <c r="L56" s="8"/>
      <c r="M56" s="8"/>
      <c r="N56" s="8"/>
      <c r="O56" s="8"/>
      <c r="P56" s="8"/>
      <c r="Q56" s="8"/>
      <c r="R56" s="8"/>
      <c r="S56" s="8"/>
      <c r="T56" s="8"/>
    </row>
    <row r="57" spans="1:21" ht="18" customHeight="1" x14ac:dyDescent="0.15">
      <c r="A57" s="120" t="s">
        <v>34</v>
      </c>
      <c r="B57" s="120"/>
      <c r="C57" s="120"/>
      <c r="D57" s="120"/>
      <c r="E57" s="120"/>
      <c r="F57" s="120"/>
      <c r="G57" s="120"/>
      <c r="H57" s="120"/>
      <c r="I57" s="120"/>
      <c r="J57" s="120"/>
      <c r="K57" s="120"/>
      <c r="L57" s="120"/>
      <c r="M57" s="120"/>
      <c r="N57" s="120"/>
      <c r="O57" s="120"/>
      <c r="P57" s="120"/>
      <c r="Q57" s="120"/>
      <c r="R57" s="120"/>
      <c r="S57" s="120"/>
      <c r="T57" s="120"/>
      <c r="U57" s="120"/>
    </row>
    <row r="58" spans="1:21" ht="18" customHeight="1" x14ac:dyDescent="0.15">
      <c r="A58" s="120"/>
      <c r="B58" s="120"/>
      <c r="C58" s="120"/>
      <c r="D58" s="120"/>
      <c r="E58" s="120"/>
      <c r="F58" s="120"/>
      <c r="G58" s="120"/>
      <c r="H58" s="120"/>
      <c r="I58" s="120"/>
      <c r="J58" s="120"/>
      <c r="K58" s="120"/>
      <c r="L58" s="120"/>
      <c r="M58" s="120"/>
      <c r="N58" s="120"/>
      <c r="O58" s="120"/>
      <c r="P58" s="120"/>
      <c r="Q58" s="120"/>
      <c r="R58" s="120"/>
      <c r="S58" s="120"/>
      <c r="T58" s="120"/>
      <c r="U58" s="120"/>
    </row>
    <row r="59" spans="1:21" ht="18" customHeight="1" x14ac:dyDescent="0.15">
      <c r="B59" s="127" t="s">
        <v>21</v>
      </c>
      <c r="C59" s="128"/>
      <c r="D59" s="128"/>
      <c r="E59" s="128"/>
      <c r="F59" s="129"/>
      <c r="G59" s="32" t="s">
        <v>22</v>
      </c>
      <c r="H59" s="33" t="s">
        <v>23</v>
      </c>
      <c r="I59" s="34" t="s">
        <v>35</v>
      </c>
      <c r="J59" s="34" t="s">
        <v>36</v>
      </c>
      <c r="K59" s="127" t="s">
        <v>21</v>
      </c>
      <c r="L59" s="128"/>
      <c r="M59" s="128"/>
      <c r="N59" s="128"/>
      <c r="O59" s="128"/>
      <c r="P59" s="128"/>
      <c r="Q59" s="129"/>
      <c r="R59" s="32" t="s">
        <v>22</v>
      </c>
      <c r="S59" s="33" t="s">
        <v>23</v>
      </c>
      <c r="T59" s="34" t="s">
        <v>35</v>
      </c>
      <c r="U59" s="34" t="s">
        <v>36</v>
      </c>
    </row>
    <row r="60" spans="1:21" ht="18" customHeight="1" x14ac:dyDescent="0.15">
      <c r="A60" s="3"/>
      <c r="B60" s="121" t="s">
        <v>80</v>
      </c>
      <c r="C60" s="122"/>
      <c r="D60" s="122"/>
      <c r="E60" s="122"/>
      <c r="F60" s="123"/>
      <c r="G60" s="35">
        <v>1</v>
      </c>
      <c r="H60" s="35" t="s">
        <v>27</v>
      </c>
      <c r="I60" s="35" t="s">
        <v>27</v>
      </c>
      <c r="J60" s="35" t="s">
        <v>27</v>
      </c>
      <c r="K60" s="121"/>
      <c r="L60" s="122"/>
      <c r="M60" s="122"/>
      <c r="N60" s="122"/>
      <c r="O60" s="122"/>
      <c r="P60" s="122"/>
      <c r="Q60" s="123"/>
      <c r="R60" s="35"/>
      <c r="S60" s="35"/>
      <c r="T60" s="35"/>
      <c r="U60" s="35"/>
    </row>
    <row r="61" spans="1:21" ht="18" customHeight="1" x14ac:dyDescent="0.15">
      <c r="A61" s="3"/>
      <c r="B61" s="114"/>
      <c r="C61" s="115"/>
      <c r="D61" s="115"/>
      <c r="E61" s="115"/>
      <c r="F61" s="116"/>
      <c r="G61" s="36"/>
      <c r="H61" s="36"/>
      <c r="I61" s="36"/>
      <c r="J61" s="36"/>
      <c r="K61" s="114"/>
      <c r="L61" s="115"/>
      <c r="M61" s="115"/>
      <c r="N61" s="115"/>
      <c r="O61" s="115"/>
      <c r="P61" s="115"/>
      <c r="Q61" s="116"/>
      <c r="R61" s="36"/>
      <c r="S61" s="36"/>
      <c r="T61" s="36"/>
      <c r="U61" s="36"/>
    </row>
    <row r="62" spans="1:21" ht="18" customHeight="1" x14ac:dyDescent="0.15">
      <c r="A62" s="3"/>
      <c r="B62" s="114"/>
      <c r="C62" s="115"/>
      <c r="D62" s="115"/>
      <c r="E62" s="115"/>
      <c r="F62" s="116"/>
      <c r="G62" s="36"/>
      <c r="H62" s="36"/>
      <c r="I62" s="36"/>
      <c r="J62" s="36"/>
      <c r="K62" s="114"/>
      <c r="L62" s="115"/>
      <c r="M62" s="115"/>
      <c r="N62" s="115"/>
      <c r="O62" s="115"/>
      <c r="P62" s="115"/>
      <c r="Q62" s="116"/>
      <c r="R62" s="36"/>
      <c r="S62" s="36"/>
      <c r="T62" s="36"/>
      <c r="U62" s="36"/>
    </row>
    <row r="63" spans="1:21" ht="18" customHeight="1" x14ac:dyDescent="0.15">
      <c r="A63" s="3"/>
      <c r="B63" s="114"/>
      <c r="C63" s="115"/>
      <c r="D63" s="115"/>
      <c r="E63" s="115"/>
      <c r="F63" s="116"/>
      <c r="G63" s="36"/>
      <c r="H63" s="36"/>
      <c r="I63" s="36"/>
      <c r="J63" s="36"/>
      <c r="K63" s="114"/>
      <c r="L63" s="115"/>
      <c r="M63" s="115"/>
      <c r="N63" s="115"/>
      <c r="O63" s="115"/>
      <c r="P63" s="115"/>
      <c r="Q63" s="116"/>
      <c r="R63" s="36"/>
      <c r="S63" s="36"/>
      <c r="T63" s="36"/>
      <c r="U63" s="36"/>
    </row>
    <row r="64" spans="1:21" ht="18" customHeight="1" x14ac:dyDescent="0.15">
      <c r="A64" s="3"/>
      <c r="B64" s="114"/>
      <c r="C64" s="115"/>
      <c r="D64" s="115"/>
      <c r="E64" s="115"/>
      <c r="F64" s="116"/>
      <c r="G64" s="36"/>
      <c r="H64" s="36"/>
      <c r="I64" s="36"/>
      <c r="J64" s="36"/>
      <c r="K64" s="114"/>
      <c r="L64" s="115"/>
      <c r="M64" s="115"/>
      <c r="N64" s="115"/>
      <c r="O64" s="115"/>
      <c r="P64" s="115"/>
      <c r="Q64" s="116"/>
      <c r="R64" s="36"/>
      <c r="S64" s="36"/>
      <c r="T64" s="36"/>
      <c r="U64" s="36"/>
    </row>
    <row r="65" spans="1:21" ht="18" customHeight="1" x14ac:dyDescent="0.15">
      <c r="A65" s="3"/>
      <c r="B65" s="114"/>
      <c r="C65" s="115"/>
      <c r="D65" s="115"/>
      <c r="E65" s="115"/>
      <c r="F65" s="116"/>
      <c r="G65" s="36"/>
      <c r="H65" s="36"/>
      <c r="I65" s="36"/>
      <c r="J65" s="36"/>
      <c r="K65" s="114"/>
      <c r="L65" s="115"/>
      <c r="M65" s="115"/>
      <c r="N65" s="115"/>
      <c r="O65" s="115"/>
      <c r="P65" s="115"/>
      <c r="Q65" s="116"/>
      <c r="R65" s="36"/>
      <c r="S65" s="36"/>
      <c r="T65" s="36"/>
      <c r="U65" s="36"/>
    </row>
    <row r="66" spans="1:21" ht="18" customHeight="1" x14ac:dyDescent="0.15">
      <c r="A66" s="3"/>
      <c r="B66" s="117"/>
      <c r="C66" s="118"/>
      <c r="D66" s="118"/>
      <c r="E66" s="118"/>
      <c r="F66" s="119"/>
      <c r="G66" s="37"/>
      <c r="H66" s="37"/>
      <c r="I66" s="38"/>
      <c r="J66" s="38"/>
      <c r="K66" s="117"/>
      <c r="L66" s="118"/>
      <c r="M66" s="118"/>
      <c r="N66" s="118"/>
      <c r="O66" s="118"/>
      <c r="P66" s="118"/>
      <c r="Q66" s="119"/>
      <c r="R66" s="37"/>
      <c r="S66" s="37"/>
      <c r="T66" s="38"/>
      <c r="U66" s="38"/>
    </row>
    <row r="67" spans="1:21" ht="7.5" customHeight="1" x14ac:dyDescent="0.15">
      <c r="B67" s="8"/>
      <c r="C67" s="8"/>
      <c r="D67" s="8"/>
      <c r="E67" s="8"/>
      <c r="F67" s="8"/>
      <c r="G67" s="8"/>
      <c r="H67" s="8"/>
      <c r="I67" s="8"/>
      <c r="J67" s="8"/>
      <c r="K67" s="8"/>
      <c r="L67" s="8"/>
      <c r="M67" s="8"/>
      <c r="N67" s="8"/>
      <c r="O67" s="8"/>
      <c r="P67" s="8"/>
      <c r="Q67" s="8"/>
      <c r="R67" s="8"/>
      <c r="S67" s="8"/>
      <c r="T67" s="8"/>
    </row>
    <row r="68" spans="1:21" ht="18" customHeight="1" x14ac:dyDescent="0.15">
      <c r="A68" s="120" t="s">
        <v>37</v>
      </c>
      <c r="B68" s="120"/>
      <c r="C68" s="120"/>
      <c r="D68" s="120"/>
      <c r="E68" s="120"/>
      <c r="F68" s="120"/>
      <c r="G68" s="120"/>
      <c r="H68" s="120"/>
      <c r="I68" s="120"/>
      <c r="J68" s="120"/>
      <c r="K68" s="120"/>
      <c r="L68" s="120"/>
      <c r="M68" s="120"/>
      <c r="N68" s="120"/>
      <c r="O68" s="120"/>
      <c r="P68" s="120"/>
      <c r="Q68" s="120"/>
      <c r="R68" s="120"/>
      <c r="S68" s="120"/>
      <c r="T68" s="120"/>
      <c r="U68" s="120"/>
    </row>
    <row r="69" spans="1:21" ht="18" customHeight="1" x14ac:dyDescent="0.15">
      <c r="A69" s="120"/>
      <c r="B69" s="120"/>
      <c r="C69" s="120"/>
      <c r="D69" s="120"/>
      <c r="E69" s="120"/>
      <c r="F69" s="120"/>
      <c r="G69" s="120"/>
      <c r="H69" s="120"/>
      <c r="I69" s="120"/>
      <c r="J69" s="120"/>
      <c r="K69" s="120"/>
      <c r="L69" s="120"/>
      <c r="M69" s="120"/>
      <c r="N69" s="120"/>
      <c r="O69" s="120"/>
      <c r="P69" s="120"/>
      <c r="Q69" s="120"/>
      <c r="R69" s="120"/>
      <c r="S69" s="120"/>
      <c r="T69" s="120"/>
      <c r="U69" s="120"/>
    </row>
    <row r="70" spans="1:21" ht="18" customHeight="1" x14ac:dyDescent="0.15">
      <c r="B70" s="127" t="s">
        <v>21</v>
      </c>
      <c r="C70" s="128"/>
      <c r="D70" s="128"/>
      <c r="E70" s="128"/>
      <c r="F70" s="32" t="s">
        <v>22</v>
      </c>
      <c r="G70" s="33" t="s">
        <v>23</v>
      </c>
      <c r="H70" s="34" t="s">
        <v>38</v>
      </c>
      <c r="I70" s="34" t="s">
        <v>39</v>
      </c>
      <c r="J70" s="34" t="s">
        <v>40</v>
      </c>
      <c r="K70" s="127" t="s">
        <v>21</v>
      </c>
      <c r="L70" s="128"/>
      <c r="M70" s="128"/>
      <c r="N70" s="128"/>
      <c r="O70" s="128"/>
      <c r="P70" s="129"/>
      <c r="Q70" s="32" t="s">
        <v>22</v>
      </c>
      <c r="R70" s="33" t="s">
        <v>23</v>
      </c>
      <c r="S70" s="34" t="s">
        <v>38</v>
      </c>
      <c r="T70" s="34" t="s">
        <v>39</v>
      </c>
      <c r="U70" s="34" t="s">
        <v>40</v>
      </c>
    </row>
    <row r="71" spans="1:21" ht="18" customHeight="1" x14ac:dyDescent="0.15">
      <c r="A71" s="3"/>
      <c r="B71" s="121" t="s">
        <v>80</v>
      </c>
      <c r="C71" s="122"/>
      <c r="D71" s="122"/>
      <c r="E71" s="122"/>
      <c r="F71" s="35">
        <v>1</v>
      </c>
      <c r="G71" s="35" t="s">
        <v>27</v>
      </c>
      <c r="H71" s="35" t="s">
        <v>27</v>
      </c>
      <c r="I71" s="35" t="s">
        <v>27</v>
      </c>
      <c r="J71" s="35" t="s">
        <v>27</v>
      </c>
      <c r="K71" s="121"/>
      <c r="L71" s="122"/>
      <c r="M71" s="122"/>
      <c r="N71" s="122"/>
      <c r="O71" s="122"/>
      <c r="P71" s="123"/>
      <c r="Q71" s="35"/>
      <c r="R71" s="35"/>
      <c r="S71" s="35"/>
      <c r="T71" s="35"/>
      <c r="U71" s="35"/>
    </row>
    <row r="72" spans="1:21" ht="18" customHeight="1" x14ac:dyDescent="0.15">
      <c r="A72" s="3"/>
      <c r="B72" s="114" t="s">
        <v>81</v>
      </c>
      <c r="C72" s="115"/>
      <c r="D72" s="115"/>
      <c r="E72" s="115"/>
      <c r="F72" s="36">
        <v>1</v>
      </c>
      <c r="G72" s="36" t="s">
        <v>27</v>
      </c>
      <c r="H72" s="36" t="s">
        <v>27</v>
      </c>
      <c r="I72" s="36" t="s">
        <v>27</v>
      </c>
      <c r="J72" s="36" t="s">
        <v>27</v>
      </c>
      <c r="K72" s="114"/>
      <c r="L72" s="115"/>
      <c r="M72" s="115"/>
      <c r="N72" s="115"/>
      <c r="O72" s="115"/>
      <c r="P72" s="116"/>
      <c r="Q72" s="36"/>
      <c r="R72" s="36"/>
      <c r="S72" s="36"/>
      <c r="T72" s="36"/>
      <c r="U72" s="36"/>
    </row>
    <row r="73" spans="1:21" ht="18" customHeight="1" x14ac:dyDescent="0.15">
      <c r="A73" s="3"/>
      <c r="B73" s="114"/>
      <c r="C73" s="115"/>
      <c r="D73" s="115"/>
      <c r="E73" s="115"/>
      <c r="F73" s="36"/>
      <c r="G73" s="36"/>
      <c r="H73" s="36"/>
      <c r="I73" s="36"/>
      <c r="J73" s="36"/>
      <c r="K73" s="114"/>
      <c r="L73" s="115"/>
      <c r="M73" s="115"/>
      <c r="N73" s="115"/>
      <c r="O73" s="115"/>
      <c r="P73" s="116"/>
      <c r="Q73" s="36"/>
      <c r="R73" s="36"/>
      <c r="S73" s="36"/>
      <c r="T73" s="36"/>
      <c r="U73" s="36"/>
    </row>
    <row r="74" spans="1:21" ht="18" customHeight="1" x14ac:dyDescent="0.15">
      <c r="A74" s="3"/>
      <c r="B74" s="114"/>
      <c r="C74" s="115"/>
      <c r="D74" s="115"/>
      <c r="E74" s="115"/>
      <c r="F74" s="36"/>
      <c r="G74" s="36"/>
      <c r="H74" s="36"/>
      <c r="I74" s="36"/>
      <c r="J74" s="36"/>
      <c r="K74" s="114"/>
      <c r="L74" s="115"/>
      <c r="M74" s="115"/>
      <c r="N74" s="115"/>
      <c r="O74" s="115"/>
      <c r="P74" s="116"/>
      <c r="Q74" s="36"/>
      <c r="R74" s="36"/>
      <c r="S74" s="36"/>
      <c r="T74" s="36"/>
      <c r="U74" s="36"/>
    </row>
    <row r="75" spans="1:21" ht="18" customHeight="1" x14ac:dyDescent="0.15">
      <c r="A75" s="3"/>
      <c r="B75" s="114"/>
      <c r="C75" s="115"/>
      <c r="D75" s="115"/>
      <c r="E75" s="115"/>
      <c r="F75" s="36"/>
      <c r="G75" s="36"/>
      <c r="H75" s="36"/>
      <c r="I75" s="36"/>
      <c r="J75" s="36"/>
      <c r="K75" s="114"/>
      <c r="L75" s="115"/>
      <c r="M75" s="115"/>
      <c r="N75" s="115"/>
      <c r="O75" s="115"/>
      <c r="P75" s="116"/>
      <c r="Q75" s="36"/>
      <c r="R75" s="36"/>
      <c r="S75" s="36"/>
      <c r="T75" s="36"/>
      <c r="U75" s="36"/>
    </row>
    <row r="76" spans="1:21" ht="18" customHeight="1" x14ac:dyDescent="0.15">
      <c r="A76" s="3"/>
      <c r="B76" s="114"/>
      <c r="C76" s="115"/>
      <c r="D76" s="115"/>
      <c r="E76" s="115"/>
      <c r="F76" s="36"/>
      <c r="G76" s="36"/>
      <c r="H76" s="36"/>
      <c r="I76" s="36"/>
      <c r="J76" s="36"/>
      <c r="K76" s="114"/>
      <c r="L76" s="115"/>
      <c r="M76" s="115"/>
      <c r="N76" s="115"/>
      <c r="O76" s="115"/>
      <c r="P76" s="116"/>
      <c r="Q76" s="36"/>
      <c r="R76" s="36"/>
      <c r="S76" s="36"/>
      <c r="T76" s="36"/>
      <c r="U76" s="36"/>
    </row>
    <row r="77" spans="1:21" ht="18" customHeight="1" x14ac:dyDescent="0.15">
      <c r="A77" s="3"/>
      <c r="B77" s="117"/>
      <c r="C77" s="118"/>
      <c r="D77" s="118"/>
      <c r="E77" s="118"/>
      <c r="F77" s="37"/>
      <c r="G77" s="37"/>
      <c r="H77" s="38"/>
      <c r="I77" s="38"/>
      <c r="J77" s="38"/>
      <c r="K77" s="117"/>
      <c r="L77" s="118"/>
      <c r="M77" s="118"/>
      <c r="N77" s="118"/>
      <c r="O77" s="118"/>
      <c r="P77" s="119"/>
      <c r="Q77" s="37"/>
      <c r="R77" s="37"/>
      <c r="S77" s="38"/>
      <c r="T77" s="38"/>
      <c r="U77" s="38"/>
    </row>
    <row r="78" spans="1:21" ht="7.5" customHeight="1" x14ac:dyDescent="0.15">
      <c r="B78" s="8"/>
      <c r="C78" s="8"/>
      <c r="D78" s="8"/>
      <c r="E78" s="8"/>
      <c r="F78" s="8"/>
      <c r="G78" s="8"/>
      <c r="H78" s="8"/>
      <c r="I78" s="8"/>
      <c r="J78" s="8"/>
      <c r="K78" s="8"/>
      <c r="L78" s="8"/>
      <c r="M78" s="8"/>
      <c r="N78" s="8"/>
      <c r="O78" s="8"/>
      <c r="P78" s="8"/>
      <c r="Q78" s="8"/>
      <c r="R78" s="8"/>
      <c r="S78" s="8"/>
      <c r="T78" s="8"/>
    </row>
    <row r="79" spans="1:21" ht="18" customHeight="1" x14ac:dyDescent="0.15">
      <c r="A79" s="1" t="s">
        <v>42</v>
      </c>
      <c r="I79" s="3"/>
      <c r="J79" s="3"/>
      <c r="K79" s="3"/>
      <c r="L79" s="3"/>
      <c r="M79" s="3"/>
      <c r="N79" s="3"/>
      <c r="O79" s="3"/>
      <c r="P79" s="3"/>
      <c r="Q79" s="3"/>
      <c r="R79" s="3"/>
      <c r="S79" s="3"/>
      <c r="T79" s="3"/>
      <c r="U79" s="3"/>
    </row>
    <row r="80" spans="1:21" ht="18" customHeight="1" x14ac:dyDescent="0.15">
      <c r="B80" s="127" t="s">
        <v>21</v>
      </c>
      <c r="C80" s="128"/>
      <c r="D80" s="128"/>
      <c r="E80" s="128"/>
      <c r="F80" s="129"/>
      <c r="G80" s="127" t="s">
        <v>43</v>
      </c>
      <c r="H80" s="128"/>
      <c r="I80" s="128"/>
      <c r="J80" s="129"/>
      <c r="K80" s="135" t="s">
        <v>21</v>
      </c>
      <c r="L80" s="136"/>
      <c r="M80" s="136"/>
      <c r="N80" s="136"/>
      <c r="O80" s="136"/>
      <c r="P80" s="136"/>
      <c r="Q80" s="137"/>
      <c r="R80" s="127" t="s">
        <v>43</v>
      </c>
      <c r="S80" s="128"/>
      <c r="T80" s="128"/>
      <c r="U80" s="129"/>
    </row>
    <row r="81" spans="1:21" ht="18" customHeight="1" x14ac:dyDescent="0.15">
      <c r="A81" s="3"/>
      <c r="B81" s="121" t="s">
        <v>81</v>
      </c>
      <c r="C81" s="122"/>
      <c r="D81" s="122"/>
      <c r="E81" s="122"/>
      <c r="F81" s="123"/>
      <c r="G81" s="124" t="s">
        <v>46</v>
      </c>
      <c r="H81" s="125"/>
      <c r="I81" s="125"/>
      <c r="J81" s="126"/>
      <c r="K81" s="121"/>
      <c r="L81" s="122"/>
      <c r="M81" s="122"/>
      <c r="N81" s="122"/>
      <c r="O81" s="122"/>
      <c r="P81" s="122"/>
      <c r="Q81" s="123"/>
      <c r="R81" s="124"/>
      <c r="S81" s="125"/>
      <c r="T81" s="125"/>
      <c r="U81" s="126"/>
    </row>
    <row r="82" spans="1:21" ht="18" customHeight="1" x14ac:dyDescent="0.15">
      <c r="A82" s="3"/>
      <c r="B82" s="114"/>
      <c r="C82" s="115"/>
      <c r="D82" s="115"/>
      <c r="E82" s="115"/>
      <c r="F82" s="116"/>
      <c r="G82" s="132"/>
      <c r="H82" s="133"/>
      <c r="I82" s="133"/>
      <c r="J82" s="134"/>
      <c r="K82" s="114"/>
      <c r="L82" s="115"/>
      <c r="M82" s="115"/>
      <c r="N82" s="115"/>
      <c r="O82" s="115"/>
      <c r="P82" s="115"/>
      <c r="Q82" s="116"/>
      <c r="R82" s="132"/>
      <c r="S82" s="133"/>
      <c r="T82" s="133"/>
      <c r="U82" s="134"/>
    </row>
    <row r="83" spans="1:21" ht="18" customHeight="1" x14ac:dyDescent="0.15">
      <c r="A83" s="3"/>
      <c r="B83" s="114"/>
      <c r="C83" s="115"/>
      <c r="D83" s="115"/>
      <c r="E83" s="115"/>
      <c r="F83" s="116"/>
      <c r="G83" s="132"/>
      <c r="H83" s="133"/>
      <c r="I83" s="133"/>
      <c r="J83" s="134"/>
      <c r="K83" s="114"/>
      <c r="L83" s="115"/>
      <c r="M83" s="115"/>
      <c r="N83" s="115"/>
      <c r="O83" s="115"/>
      <c r="P83" s="115"/>
      <c r="Q83" s="116"/>
      <c r="R83" s="132"/>
      <c r="S83" s="133"/>
      <c r="T83" s="133"/>
      <c r="U83" s="134"/>
    </row>
    <row r="84" spans="1:21" ht="18" customHeight="1" x14ac:dyDescent="0.15">
      <c r="A84" s="3"/>
      <c r="B84" s="114"/>
      <c r="C84" s="115"/>
      <c r="D84" s="115"/>
      <c r="E84" s="115"/>
      <c r="F84" s="116"/>
      <c r="G84" s="132"/>
      <c r="H84" s="133"/>
      <c r="I84" s="133"/>
      <c r="J84" s="134"/>
      <c r="K84" s="114"/>
      <c r="L84" s="115"/>
      <c r="M84" s="115"/>
      <c r="N84" s="115"/>
      <c r="O84" s="115"/>
      <c r="P84" s="115"/>
      <c r="Q84" s="116"/>
      <c r="R84" s="132"/>
      <c r="S84" s="133"/>
      <c r="T84" s="133"/>
      <c r="U84" s="134"/>
    </row>
    <row r="85" spans="1:21" ht="18" customHeight="1" x14ac:dyDescent="0.15">
      <c r="A85" s="3"/>
      <c r="B85" s="114"/>
      <c r="C85" s="115"/>
      <c r="D85" s="115"/>
      <c r="E85" s="115"/>
      <c r="F85" s="116"/>
      <c r="G85" s="132"/>
      <c r="H85" s="133"/>
      <c r="I85" s="133"/>
      <c r="J85" s="134"/>
      <c r="K85" s="114"/>
      <c r="L85" s="115"/>
      <c r="M85" s="115"/>
      <c r="N85" s="115"/>
      <c r="O85" s="115"/>
      <c r="P85" s="115"/>
      <c r="Q85" s="116"/>
      <c r="R85" s="132"/>
      <c r="S85" s="133"/>
      <c r="T85" s="133"/>
      <c r="U85" s="134"/>
    </row>
    <row r="86" spans="1:21" ht="18" customHeight="1" x14ac:dyDescent="0.15">
      <c r="A86" s="3"/>
      <c r="B86" s="114"/>
      <c r="C86" s="115"/>
      <c r="D86" s="115"/>
      <c r="E86" s="115"/>
      <c r="F86" s="116"/>
      <c r="G86" s="132"/>
      <c r="H86" s="133"/>
      <c r="I86" s="133"/>
      <c r="J86" s="134"/>
      <c r="K86" s="114"/>
      <c r="L86" s="115"/>
      <c r="M86" s="115"/>
      <c r="N86" s="115"/>
      <c r="O86" s="115"/>
      <c r="P86" s="115"/>
      <c r="Q86" s="116"/>
      <c r="R86" s="132"/>
      <c r="S86" s="133"/>
      <c r="T86" s="133"/>
      <c r="U86" s="134"/>
    </row>
    <row r="87" spans="1:21" ht="18" customHeight="1" x14ac:dyDescent="0.15">
      <c r="A87" s="3"/>
      <c r="B87" s="117"/>
      <c r="C87" s="118"/>
      <c r="D87" s="118"/>
      <c r="E87" s="118"/>
      <c r="F87" s="119"/>
      <c r="G87" s="151"/>
      <c r="H87" s="152"/>
      <c r="I87" s="152"/>
      <c r="J87" s="153"/>
      <c r="K87" s="117"/>
      <c r="L87" s="118"/>
      <c r="M87" s="118"/>
      <c r="N87" s="118"/>
      <c r="O87" s="118"/>
      <c r="P87" s="118"/>
      <c r="Q87" s="119"/>
      <c r="R87" s="151"/>
      <c r="S87" s="152"/>
      <c r="T87" s="152"/>
      <c r="U87" s="153"/>
    </row>
    <row r="88" spans="1:21" ht="18" customHeight="1" x14ac:dyDescent="0.15">
      <c r="A88" s="3"/>
      <c r="B88" s="6"/>
      <c r="C88" s="6"/>
      <c r="D88" s="6"/>
      <c r="E88" s="6"/>
      <c r="F88" s="6"/>
      <c r="G88" s="39"/>
      <c r="H88" s="39"/>
      <c r="I88" s="39"/>
      <c r="J88" s="39"/>
      <c r="K88" s="6"/>
      <c r="L88" s="6"/>
      <c r="M88" s="6"/>
      <c r="N88" s="6"/>
      <c r="O88" s="6"/>
      <c r="P88" s="6"/>
      <c r="Q88" s="6"/>
      <c r="R88" s="39"/>
      <c r="S88" s="39"/>
      <c r="T88" s="39"/>
      <c r="U88" s="39"/>
    </row>
    <row r="89" spans="1:21" ht="18.75" customHeight="1" x14ac:dyDescent="0.15">
      <c r="A89" s="1" t="s">
        <v>59</v>
      </c>
    </row>
    <row r="90" spans="1:21" ht="18.75" customHeight="1" x14ac:dyDescent="0.15">
      <c r="B90" s="155" t="s">
        <v>61</v>
      </c>
      <c r="C90" s="156"/>
      <c r="D90" s="127" t="s">
        <v>62</v>
      </c>
      <c r="E90" s="128"/>
      <c r="F90" s="128"/>
      <c r="G90" s="128"/>
      <c r="H90" s="128"/>
      <c r="I90" s="128"/>
      <c r="J90" s="128"/>
      <c r="K90" s="128"/>
      <c r="L90" s="128"/>
      <c r="M90" s="128"/>
      <c r="N90" s="128"/>
      <c r="O90" s="128"/>
      <c r="P90" s="128"/>
      <c r="Q90" s="128"/>
      <c r="R90" s="128"/>
      <c r="S90" s="128"/>
      <c r="T90" s="128"/>
      <c r="U90" s="129"/>
    </row>
    <row r="91" spans="1:21" ht="71.25" customHeight="1" x14ac:dyDescent="0.15">
      <c r="B91" s="130" t="s">
        <v>63</v>
      </c>
      <c r="C91" s="40" t="s">
        <v>24</v>
      </c>
      <c r="D91" s="185" t="s">
        <v>223</v>
      </c>
      <c r="E91" s="186"/>
      <c r="F91" s="186"/>
      <c r="G91" s="186"/>
      <c r="H91" s="186"/>
      <c r="I91" s="186"/>
      <c r="J91" s="186"/>
      <c r="K91" s="186"/>
      <c r="L91" s="186"/>
      <c r="M91" s="186"/>
      <c r="N91" s="186"/>
      <c r="O91" s="186"/>
      <c r="P91" s="186"/>
      <c r="Q91" s="186"/>
      <c r="R91" s="186"/>
      <c r="S91" s="186"/>
      <c r="T91" s="186"/>
      <c r="U91" s="187"/>
    </row>
    <row r="92" spans="1:21" ht="71.25" customHeight="1" x14ac:dyDescent="0.15">
      <c r="B92" s="154"/>
      <c r="C92" s="41" t="s">
        <v>65</v>
      </c>
      <c r="D92" s="191" t="s">
        <v>224</v>
      </c>
      <c r="E92" s="192"/>
      <c r="F92" s="192"/>
      <c r="G92" s="192"/>
      <c r="H92" s="192"/>
      <c r="I92" s="192"/>
      <c r="J92" s="192"/>
      <c r="K92" s="192"/>
      <c r="L92" s="192"/>
      <c r="M92" s="192"/>
      <c r="N92" s="192"/>
      <c r="O92" s="192"/>
      <c r="P92" s="192"/>
      <c r="Q92" s="192"/>
      <c r="R92" s="192"/>
      <c r="S92" s="192"/>
      <c r="T92" s="192"/>
      <c r="U92" s="193"/>
    </row>
    <row r="93" spans="1:21" ht="71.25" customHeight="1" x14ac:dyDescent="0.15">
      <c r="B93" s="130" t="s">
        <v>67</v>
      </c>
      <c r="C93" s="42" t="s">
        <v>29</v>
      </c>
      <c r="D93" s="185" t="s">
        <v>225</v>
      </c>
      <c r="E93" s="186"/>
      <c r="F93" s="186"/>
      <c r="G93" s="186"/>
      <c r="H93" s="186"/>
      <c r="I93" s="186"/>
      <c r="J93" s="186"/>
      <c r="K93" s="186"/>
      <c r="L93" s="186"/>
      <c r="M93" s="186"/>
      <c r="N93" s="186"/>
      <c r="O93" s="186"/>
      <c r="P93" s="186"/>
      <c r="Q93" s="186"/>
      <c r="R93" s="186"/>
      <c r="S93" s="186"/>
      <c r="T93" s="186"/>
      <c r="U93" s="187"/>
    </row>
    <row r="94" spans="1:21" ht="71.25" customHeight="1" x14ac:dyDescent="0.15">
      <c r="B94" s="131"/>
      <c r="C94" s="43" t="s">
        <v>30</v>
      </c>
      <c r="D94" s="191" t="s">
        <v>226</v>
      </c>
      <c r="E94" s="192"/>
      <c r="F94" s="192"/>
      <c r="G94" s="192"/>
      <c r="H94" s="192"/>
      <c r="I94" s="192"/>
      <c r="J94" s="192"/>
      <c r="K94" s="192"/>
      <c r="L94" s="192"/>
      <c r="M94" s="192"/>
      <c r="N94" s="192"/>
      <c r="O94" s="192"/>
      <c r="P94" s="192"/>
      <c r="Q94" s="192"/>
      <c r="R94" s="192"/>
      <c r="S94" s="192"/>
      <c r="T94" s="192"/>
      <c r="U94" s="193"/>
    </row>
    <row r="95" spans="1:21" ht="71.25" customHeight="1" x14ac:dyDescent="0.15">
      <c r="B95" s="130" t="s">
        <v>69</v>
      </c>
      <c r="C95" s="42" t="s">
        <v>32</v>
      </c>
      <c r="D95" s="185" t="s">
        <v>227</v>
      </c>
      <c r="E95" s="186"/>
      <c r="F95" s="186"/>
      <c r="G95" s="186"/>
      <c r="H95" s="186"/>
      <c r="I95" s="186"/>
      <c r="J95" s="186"/>
      <c r="K95" s="186"/>
      <c r="L95" s="186"/>
      <c r="M95" s="186"/>
      <c r="N95" s="186"/>
      <c r="O95" s="186"/>
      <c r="P95" s="186"/>
      <c r="Q95" s="186"/>
      <c r="R95" s="186"/>
      <c r="S95" s="186"/>
      <c r="T95" s="186"/>
      <c r="U95" s="187"/>
    </row>
    <row r="96" spans="1:21" ht="71.25" customHeight="1" x14ac:dyDescent="0.15">
      <c r="B96" s="131"/>
      <c r="C96" s="44" t="s">
        <v>33</v>
      </c>
      <c r="D96" s="191" t="s">
        <v>222</v>
      </c>
      <c r="E96" s="192"/>
      <c r="F96" s="192"/>
      <c r="G96" s="192"/>
      <c r="H96" s="192"/>
      <c r="I96" s="192"/>
      <c r="J96" s="192"/>
      <c r="K96" s="192"/>
      <c r="L96" s="192"/>
      <c r="M96" s="192"/>
      <c r="N96" s="192"/>
      <c r="O96" s="192"/>
      <c r="P96" s="192"/>
      <c r="Q96" s="192"/>
      <c r="R96" s="192"/>
      <c r="S96" s="192"/>
      <c r="T96" s="192"/>
      <c r="U96" s="193"/>
    </row>
    <row r="97" spans="1:21" ht="71.25" customHeight="1" x14ac:dyDescent="0.15">
      <c r="B97" s="130" t="s">
        <v>71</v>
      </c>
      <c r="C97" s="40" t="s">
        <v>35</v>
      </c>
      <c r="D97" s="185" t="s">
        <v>242</v>
      </c>
      <c r="E97" s="186"/>
      <c r="F97" s="186"/>
      <c r="G97" s="186"/>
      <c r="H97" s="186"/>
      <c r="I97" s="186"/>
      <c r="J97" s="186"/>
      <c r="K97" s="186"/>
      <c r="L97" s="186"/>
      <c r="M97" s="186"/>
      <c r="N97" s="186"/>
      <c r="O97" s="186"/>
      <c r="P97" s="186"/>
      <c r="Q97" s="186"/>
      <c r="R97" s="186"/>
      <c r="S97" s="186"/>
      <c r="T97" s="186"/>
      <c r="U97" s="187"/>
    </row>
    <row r="98" spans="1:21" ht="71.25" customHeight="1" x14ac:dyDescent="0.15">
      <c r="B98" s="131"/>
      <c r="C98" s="43" t="s">
        <v>36</v>
      </c>
      <c r="D98" s="191" t="s">
        <v>243</v>
      </c>
      <c r="E98" s="192"/>
      <c r="F98" s="192"/>
      <c r="G98" s="192"/>
      <c r="H98" s="192"/>
      <c r="I98" s="192"/>
      <c r="J98" s="192"/>
      <c r="K98" s="192"/>
      <c r="L98" s="192"/>
      <c r="M98" s="192"/>
      <c r="N98" s="192"/>
      <c r="O98" s="192"/>
      <c r="P98" s="192"/>
      <c r="Q98" s="192"/>
      <c r="R98" s="192"/>
      <c r="S98" s="192"/>
      <c r="T98" s="192"/>
      <c r="U98" s="193"/>
    </row>
    <row r="99" spans="1:21" ht="119.25" customHeight="1" x14ac:dyDescent="0.15">
      <c r="B99" s="130" t="s">
        <v>72</v>
      </c>
      <c r="C99" s="42" t="s">
        <v>73</v>
      </c>
      <c r="D99" s="185" t="s">
        <v>228</v>
      </c>
      <c r="E99" s="186"/>
      <c r="F99" s="186"/>
      <c r="G99" s="186"/>
      <c r="H99" s="186"/>
      <c r="I99" s="186"/>
      <c r="J99" s="186"/>
      <c r="K99" s="186"/>
      <c r="L99" s="186"/>
      <c r="M99" s="186"/>
      <c r="N99" s="186"/>
      <c r="O99" s="186"/>
      <c r="P99" s="186"/>
      <c r="Q99" s="186"/>
      <c r="R99" s="186"/>
      <c r="S99" s="186"/>
      <c r="T99" s="186"/>
      <c r="U99" s="187"/>
    </row>
    <row r="100" spans="1:21" ht="51" customHeight="1" x14ac:dyDescent="0.15">
      <c r="B100" s="154"/>
      <c r="C100" s="45" t="s">
        <v>39</v>
      </c>
      <c r="D100" s="188" t="s">
        <v>229</v>
      </c>
      <c r="E100" s="189"/>
      <c r="F100" s="189"/>
      <c r="G100" s="189"/>
      <c r="H100" s="189"/>
      <c r="I100" s="189"/>
      <c r="J100" s="189"/>
      <c r="K100" s="189"/>
      <c r="L100" s="189"/>
      <c r="M100" s="189"/>
      <c r="N100" s="189"/>
      <c r="O100" s="189"/>
      <c r="P100" s="189"/>
      <c r="Q100" s="189"/>
      <c r="R100" s="189"/>
      <c r="S100" s="189"/>
      <c r="T100" s="189"/>
      <c r="U100" s="190"/>
    </row>
    <row r="101" spans="1:21" ht="75" customHeight="1" x14ac:dyDescent="0.15">
      <c r="B101" s="131"/>
      <c r="C101" s="44" t="s">
        <v>40</v>
      </c>
      <c r="D101" s="191" t="s">
        <v>244</v>
      </c>
      <c r="E101" s="192"/>
      <c r="F101" s="192"/>
      <c r="G101" s="192"/>
      <c r="H101" s="192"/>
      <c r="I101" s="192"/>
      <c r="J101" s="192"/>
      <c r="K101" s="192"/>
      <c r="L101" s="192"/>
      <c r="M101" s="192"/>
      <c r="N101" s="192"/>
      <c r="O101" s="192"/>
      <c r="P101" s="192"/>
      <c r="Q101" s="192"/>
      <c r="R101" s="192"/>
      <c r="S101" s="192"/>
      <c r="T101" s="192"/>
      <c r="U101" s="193"/>
    </row>
    <row r="102" spans="1:21" ht="6" customHeight="1" x14ac:dyDescent="0.15"/>
    <row r="103" spans="1:21" ht="18.75" customHeight="1" x14ac:dyDescent="0.15">
      <c r="A103" s="1" t="s">
        <v>74</v>
      </c>
    </row>
    <row r="104" spans="1:21" ht="132" customHeight="1" x14ac:dyDescent="0.15">
      <c r="B104" s="148" t="s">
        <v>82</v>
      </c>
      <c r="C104" s="149"/>
      <c r="D104" s="149"/>
      <c r="E104" s="149"/>
      <c r="F104" s="149"/>
      <c r="G104" s="149"/>
      <c r="H104" s="149"/>
      <c r="I104" s="149"/>
      <c r="J104" s="149"/>
      <c r="K104" s="149"/>
      <c r="L104" s="149"/>
      <c r="M104" s="149"/>
      <c r="N104" s="149"/>
      <c r="O104" s="149"/>
      <c r="P104" s="149"/>
      <c r="Q104" s="149"/>
      <c r="R104" s="149"/>
      <c r="S104" s="149"/>
      <c r="T104" s="149"/>
      <c r="U104" s="150"/>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N22:U22" xr:uid="{138C7F9A-76A7-406F-99C8-513307D38F3D}">
      <formula1>$X$16:$X$18</formula1>
    </dataValidation>
    <dataValidation type="list" allowBlank="1" showInputMessage="1" showErrorMessage="1" sqref="G88:J88 R88:U88" xr:uid="{2A685049-7AA3-4244-94B8-FC71556C7E4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2FA98E01-DE33-463E-8DA4-D47250CC0781}">
      <formula1>"学部・学科によって、修了要件は相違する,学部・学科によって、修了要件は相違しない"</formula1>
    </dataValidation>
    <dataValidation type="list" allowBlank="1" showInputMessage="1" showErrorMessage="1" sqref="U34 U45 E34:H34 E45:H45" xr:uid="{1FF4FDD1-BC4D-400F-85F4-9B67F7794330}">
      <formula1>"全学開講,一部開講"</formula1>
    </dataValidation>
    <dataValidation type="list" allowBlank="1" showInputMessage="1" showErrorMessage="1" sqref="R71:U77 S27:U33 H27:J33 S38:U44 H38:J44 S49:U55 H49:J55 S60:U66 H60:J66 G71:J77" xr:uid="{26B4E266-B8B6-465C-8670-20739FA17EEE}">
      <formula1>"○"</formula1>
    </dataValidation>
    <dataValidation type="list" allowBlank="1" showInputMessage="1" showErrorMessage="1" sqref="G81:J87 R81:U87" xr:uid="{FB1482DA-186C-4C04-82AE-7E85F691674E}">
      <formula1>#REF!</formula1>
    </dataValidation>
  </dataValidations>
  <printOptions horizontalCentered="1"/>
  <pageMargins left="0.78740157480314965" right="0.78740157480314965" top="0.98425196850393704" bottom="0.19685039370078741" header="0.51181102362204722" footer="0.19685039370078741"/>
  <pageSetup paperSize="9" scale="68" fitToHeight="0" orientation="portrait" r:id="rId1"/>
  <headerFooter>
    <oddHeader>&amp;C数理・データサイエンス・AI教育プログラム認定制度【リテラシーレベル】令和７年度申請用</oddHeader>
  </headerFooter>
  <rowBreaks count="1" manualBreakCount="1">
    <brk id="67"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8C1F-2B35-467C-A00D-FC324D363BDC}">
  <dimension ref="A1:X108"/>
  <sheetViews>
    <sheetView showZeros="0" view="pageBreakPreview" topLeftCell="A100" zoomScaleNormal="85" zoomScaleSheetLayoutView="100" workbookViewId="0">
      <selection activeCell="W100" sqref="W100"/>
    </sheetView>
  </sheetViews>
  <sheetFormatPr defaultColWidth="9" defaultRowHeight="18.75" customHeight="1" x14ac:dyDescent="0.15"/>
  <cols>
    <col min="1" max="1" width="2.375" style="51" customWidth="1"/>
    <col min="2" max="2" width="16.375" style="51" customWidth="1"/>
    <col min="3" max="21" width="5.625" style="51" customWidth="1"/>
    <col min="22" max="22" width="9" style="51"/>
    <col min="23" max="23" width="3.625" style="51" customWidth="1"/>
    <col min="24" max="24" width="48.625" style="51" hidden="1" customWidth="1"/>
    <col min="25" max="16384" width="9" style="51"/>
  </cols>
  <sheetData>
    <row r="1" spans="1:24" ht="18.600000000000001" customHeight="1" x14ac:dyDescent="0.15">
      <c r="T1" s="272" t="s">
        <v>83</v>
      </c>
      <c r="U1" s="272"/>
      <c r="V1" s="91" t="s">
        <v>1</v>
      </c>
    </row>
    <row r="2" spans="1:24" ht="18.75" customHeight="1" x14ac:dyDescent="0.15">
      <c r="B2" s="86" t="s">
        <v>2</v>
      </c>
      <c r="C2" s="273" t="s">
        <v>84</v>
      </c>
      <c r="D2" s="274"/>
      <c r="E2" s="274"/>
      <c r="F2" s="274"/>
      <c r="G2" s="274"/>
      <c r="H2" s="274"/>
      <c r="I2" s="274"/>
      <c r="J2" s="275"/>
      <c r="K2" s="57"/>
      <c r="L2" s="54"/>
      <c r="M2" s="54"/>
      <c r="N2" s="54"/>
      <c r="O2" s="54"/>
      <c r="P2" s="54"/>
      <c r="Q2" s="54"/>
      <c r="R2" s="54"/>
      <c r="S2" s="54"/>
      <c r="T2" s="54"/>
      <c r="U2" s="54"/>
    </row>
    <row r="3" spans="1:24" ht="18.75" customHeight="1" x14ac:dyDescent="0.15">
      <c r="B3" s="86" t="s">
        <v>4</v>
      </c>
      <c r="C3" s="273" t="s">
        <v>78</v>
      </c>
      <c r="D3" s="274"/>
      <c r="E3" s="274"/>
      <c r="F3" s="274"/>
      <c r="G3" s="274"/>
      <c r="H3" s="274"/>
      <c r="I3" s="274"/>
      <c r="J3" s="275"/>
      <c r="K3" s="57"/>
      <c r="L3" s="54"/>
      <c r="M3" s="54"/>
      <c r="N3" s="54"/>
      <c r="O3" s="54"/>
      <c r="P3" s="54"/>
      <c r="Q3" s="54"/>
      <c r="R3" s="54"/>
      <c r="S3" s="54"/>
      <c r="T3" s="54"/>
      <c r="U3" s="54"/>
    </row>
    <row r="4" spans="1:24" ht="15" customHeight="1" x14ac:dyDescent="0.15">
      <c r="L4" s="57"/>
      <c r="M4" s="92"/>
      <c r="N4" s="92"/>
      <c r="O4" s="92"/>
      <c r="P4" s="92"/>
      <c r="Q4" s="92"/>
      <c r="R4" s="92"/>
      <c r="S4" s="92"/>
      <c r="T4" s="92"/>
      <c r="U4" s="92"/>
    </row>
    <row r="5" spans="1:24" ht="18" customHeight="1" x14ac:dyDescent="0.15">
      <c r="A5" s="276" t="s">
        <v>6</v>
      </c>
      <c r="B5" s="276"/>
      <c r="C5" s="276"/>
      <c r="D5" s="276"/>
      <c r="E5" s="276"/>
      <c r="F5" s="276"/>
      <c r="G5" s="276"/>
      <c r="H5" s="276"/>
      <c r="I5" s="276"/>
      <c r="J5" s="276"/>
      <c r="K5" s="276"/>
      <c r="L5" s="276"/>
      <c r="M5" s="276"/>
      <c r="N5" s="276"/>
      <c r="O5" s="276"/>
      <c r="P5" s="276"/>
      <c r="Q5" s="276"/>
      <c r="R5" s="276"/>
      <c r="S5" s="276"/>
      <c r="T5" s="276"/>
      <c r="U5" s="276"/>
    </row>
    <row r="6" spans="1:24" ht="15" customHeight="1" x14ac:dyDescent="0.15">
      <c r="B6" s="52"/>
      <c r="C6" s="52"/>
      <c r="D6" s="52"/>
      <c r="E6" s="52"/>
      <c r="F6" s="52"/>
      <c r="G6" s="52"/>
      <c r="H6" s="52"/>
      <c r="I6" s="52"/>
      <c r="J6" s="52"/>
      <c r="K6" s="52"/>
      <c r="L6" s="52"/>
      <c r="M6" s="52"/>
      <c r="N6" s="52"/>
      <c r="O6" s="52"/>
      <c r="P6" s="52"/>
      <c r="Q6" s="52"/>
      <c r="R6" s="52"/>
      <c r="S6" s="52"/>
      <c r="T6" s="52"/>
      <c r="U6" s="52"/>
    </row>
    <row r="7" spans="1:24" ht="15" customHeight="1" x14ac:dyDescent="0.15">
      <c r="A7" s="51" t="s">
        <v>7</v>
      </c>
      <c r="B7" s="52"/>
      <c r="C7" s="52"/>
      <c r="D7" s="52"/>
      <c r="E7" s="52"/>
      <c r="F7" s="91"/>
      <c r="G7" s="91"/>
      <c r="H7" s="91"/>
      <c r="I7" s="91"/>
      <c r="J7" s="91"/>
      <c r="K7" s="91"/>
      <c r="L7" s="277" t="s">
        <v>8</v>
      </c>
      <c r="M7" s="278"/>
      <c r="N7" s="278"/>
      <c r="O7" s="278"/>
      <c r="P7" s="278"/>
      <c r="Q7" s="278"/>
      <c r="R7" s="278"/>
      <c r="S7" s="278"/>
      <c r="T7" s="278"/>
      <c r="U7" s="279"/>
    </row>
    <row r="8" spans="1:24" ht="6" customHeight="1" x14ac:dyDescent="0.15">
      <c r="B8" s="52"/>
      <c r="C8" s="52"/>
      <c r="D8" s="52"/>
      <c r="E8" s="52"/>
      <c r="F8" s="52"/>
      <c r="G8" s="52"/>
      <c r="H8" s="52"/>
      <c r="I8" s="52"/>
      <c r="J8" s="52"/>
      <c r="K8" s="52"/>
      <c r="L8" s="52"/>
      <c r="M8" s="52"/>
      <c r="N8" s="52"/>
      <c r="O8" s="52"/>
      <c r="P8" s="52"/>
      <c r="Q8" s="52"/>
      <c r="R8" s="52"/>
      <c r="S8" s="52"/>
      <c r="T8" s="52"/>
      <c r="U8" s="52"/>
    </row>
    <row r="9" spans="1:24" ht="18" customHeight="1" x14ac:dyDescent="0.15">
      <c r="A9" s="51" t="s">
        <v>9</v>
      </c>
      <c r="C9" s="52"/>
      <c r="D9" s="52"/>
      <c r="K9" s="57"/>
      <c r="L9" s="91"/>
      <c r="M9" s="91"/>
      <c r="N9" s="91"/>
      <c r="O9" s="91"/>
      <c r="P9" s="91"/>
      <c r="Q9" s="91"/>
      <c r="R9" s="91"/>
      <c r="S9" s="91"/>
      <c r="T9" s="91"/>
      <c r="U9" s="91"/>
    </row>
    <row r="10" spans="1:24" ht="6" customHeight="1" x14ac:dyDescent="0.15">
      <c r="B10" s="52"/>
      <c r="C10" s="52"/>
      <c r="D10" s="52"/>
      <c r="E10" s="52"/>
      <c r="F10" s="52"/>
      <c r="G10" s="52"/>
      <c r="H10" s="52"/>
      <c r="I10" s="52"/>
      <c r="J10" s="52"/>
      <c r="K10" s="52"/>
      <c r="L10" s="53"/>
      <c r="M10" s="52"/>
      <c r="N10" s="52"/>
      <c r="O10" s="52"/>
      <c r="P10" s="52"/>
      <c r="Q10" s="52"/>
      <c r="R10" s="52"/>
      <c r="S10" s="52"/>
      <c r="T10" s="52"/>
      <c r="U10" s="52"/>
    </row>
    <row r="11" spans="1:24" ht="18" customHeight="1" x14ac:dyDescent="0.15">
      <c r="B11" s="280" t="s">
        <v>218</v>
      </c>
      <c r="C11" s="281"/>
      <c r="D11" s="281"/>
      <c r="E11" s="281"/>
      <c r="F11" s="281"/>
      <c r="G11" s="281"/>
      <c r="H11" s="281"/>
      <c r="I11" s="281"/>
      <c r="J11" s="281"/>
      <c r="K11" s="281"/>
      <c r="L11" s="281"/>
      <c r="M11" s="281"/>
      <c r="N11" s="281"/>
      <c r="O11" s="281"/>
      <c r="P11" s="281"/>
      <c r="Q11" s="281"/>
      <c r="R11" s="281"/>
      <c r="S11" s="281"/>
      <c r="T11" s="281"/>
      <c r="U11" s="282"/>
    </row>
    <row r="12" spans="1:24" ht="18" customHeight="1" x14ac:dyDescent="0.15">
      <c r="B12" s="283"/>
      <c r="C12" s="284"/>
      <c r="D12" s="284"/>
      <c r="E12" s="284"/>
      <c r="F12" s="284"/>
      <c r="G12" s="284"/>
      <c r="H12" s="284"/>
      <c r="I12" s="284"/>
      <c r="J12" s="284"/>
      <c r="K12" s="284"/>
      <c r="L12" s="284"/>
      <c r="M12" s="284"/>
      <c r="N12" s="284"/>
      <c r="O12" s="284"/>
      <c r="P12" s="284"/>
      <c r="Q12" s="284"/>
      <c r="R12" s="284"/>
      <c r="S12" s="284"/>
      <c r="T12" s="284"/>
      <c r="U12" s="285"/>
    </row>
    <row r="13" spans="1:24" ht="6" customHeight="1" x14ac:dyDescent="0.15">
      <c r="B13" s="52"/>
      <c r="C13" s="52"/>
      <c r="D13" s="52"/>
      <c r="E13" s="52"/>
      <c r="F13" s="52"/>
      <c r="G13" s="52"/>
      <c r="H13" s="52"/>
      <c r="I13" s="52"/>
      <c r="J13" s="52"/>
      <c r="K13" s="52"/>
      <c r="L13" s="53"/>
      <c r="M13" s="52"/>
      <c r="N13" s="52"/>
      <c r="O13" s="52"/>
      <c r="P13" s="52"/>
      <c r="Q13" s="52"/>
      <c r="R13" s="52"/>
      <c r="S13" s="52"/>
      <c r="T13" s="52"/>
      <c r="U13" s="52"/>
    </row>
    <row r="14" spans="1:24" ht="18" customHeight="1" x14ac:dyDescent="0.15">
      <c r="A14" s="51" t="s">
        <v>10</v>
      </c>
      <c r="B14" s="52"/>
      <c r="C14" s="52"/>
      <c r="D14" s="52"/>
      <c r="E14" s="57"/>
      <c r="F14" s="57"/>
      <c r="G14" s="57"/>
      <c r="H14" s="57"/>
      <c r="I14" s="57"/>
      <c r="J14" s="57"/>
      <c r="K14" s="57"/>
      <c r="L14" s="93"/>
      <c r="M14" s="93"/>
      <c r="N14" s="93"/>
      <c r="O14" s="93"/>
      <c r="P14" s="93"/>
      <c r="Q14" s="93"/>
      <c r="R14" s="93"/>
      <c r="S14" s="93"/>
      <c r="T14" s="93"/>
      <c r="U14" s="93"/>
    </row>
    <row r="15" spans="1:24" ht="18" customHeight="1" x14ac:dyDescent="0.15">
      <c r="B15" s="194" t="s">
        <v>85</v>
      </c>
      <c r="C15" s="195"/>
      <c r="D15" s="195"/>
      <c r="E15" s="195"/>
      <c r="F15" s="195"/>
      <c r="G15" s="195"/>
      <c r="H15" s="195"/>
      <c r="I15" s="195"/>
      <c r="J15" s="195"/>
      <c r="K15" s="195"/>
      <c r="L15" s="195"/>
      <c r="M15" s="195"/>
      <c r="N15" s="195"/>
      <c r="O15" s="195"/>
      <c r="P15" s="195"/>
      <c r="Q15" s="195"/>
      <c r="R15" s="195"/>
      <c r="S15" s="195"/>
      <c r="T15" s="195"/>
      <c r="U15" s="196"/>
      <c r="X15" s="51" t="s">
        <v>12</v>
      </c>
    </row>
    <row r="16" spans="1:24" ht="18" customHeight="1" x14ac:dyDescent="0.15">
      <c r="B16" s="197"/>
      <c r="C16" s="198"/>
      <c r="D16" s="198"/>
      <c r="E16" s="198"/>
      <c r="F16" s="198"/>
      <c r="G16" s="198"/>
      <c r="H16" s="198"/>
      <c r="I16" s="198"/>
      <c r="J16" s="198"/>
      <c r="K16" s="198"/>
      <c r="L16" s="198"/>
      <c r="M16" s="198"/>
      <c r="N16" s="198"/>
      <c r="O16" s="198"/>
      <c r="P16" s="198"/>
      <c r="Q16" s="198"/>
      <c r="R16" s="198"/>
      <c r="S16" s="198"/>
      <c r="T16" s="198"/>
      <c r="U16" s="199"/>
      <c r="X16" s="51" t="s">
        <v>13</v>
      </c>
    </row>
    <row r="17" spans="1:24" ht="18" customHeight="1" x14ac:dyDescent="0.15">
      <c r="B17" s="197"/>
      <c r="C17" s="198"/>
      <c r="D17" s="198"/>
      <c r="E17" s="198"/>
      <c r="F17" s="198"/>
      <c r="G17" s="198"/>
      <c r="H17" s="198"/>
      <c r="I17" s="198"/>
      <c r="J17" s="198"/>
      <c r="K17" s="198"/>
      <c r="L17" s="198"/>
      <c r="M17" s="198"/>
      <c r="N17" s="198"/>
      <c r="O17" s="198"/>
      <c r="P17" s="198"/>
      <c r="Q17" s="198"/>
      <c r="R17" s="198"/>
      <c r="S17" s="198"/>
      <c r="T17" s="198"/>
      <c r="U17" s="199"/>
      <c r="X17" s="51" t="s">
        <v>14</v>
      </c>
    </row>
    <row r="18" spans="1:24" ht="18" customHeight="1" x14ac:dyDescent="0.15">
      <c r="B18" s="197"/>
      <c r="C18" s="198"/>
      <c r="D18" s="198"/>
      <c r="E18" s="198"/>
      <c r="F18" s="198"/>
      <c r="G18" s="198"/>
      <c r="H18" s="198"/>
      <c r="I18" s="198"/>
      <c r="J18" s="198"/>
      <c r="K18" s="198"/>
      <c r="L18" s="198"/>
      <c r="M18" s="198"/>
      <c r="N18" s="198"/>
      <c r="O18" s="198"/>
      <c r="P18" s="198"/>
      <c r="Q18" s="198"/>
      <c r="R18" s="198"/>
      <c r="S18" s="198"/>
      <c r="T18" s="198"/>
      <c r="U18" s="199"/>
      <c r="X18" s="51" t="s">
        <v>15</v>
      </c>
    </row>
    <row r="19" spans="1:24" ht="18" customHeight="1" x14ac:dyDescent="0.15">
      <c r="B19" s="197"/>
      <c r="C19" s="198"/>
      <c r="D19" s="198"/>
      <c r="E19" s="198"/>
      <c r="F19" s="198"/>
      <c r="G19" s="198"/>
      <c r="H19" s="198"/>
      <c r="I19" s="198"/>
      <c r="J19" s="198"/>
      <c r="K19" s="198"/>
      <c r="L19" s="198"/>
      <c r="M19" s="198"/>
      <c r="N19" s="198"/>
      <c r="O19" s="198"/>
      <c r="P19" s="198"/>
      <c r="Q19" s="198"/>
      <c r="R19" s="198"/>
      <c r="S19" s="198"/>
      <c r="T19" s="198"/>
      <c r="U19" s="199"/>
    </row>
    <row r="20" spans="1:24" ht="18.75" customHeight="1" x14ac:dyDescent="0.15">
      <c r="B20" s="200"/>
      <c r="C20" s="201"/>
      <c r="D20" s="201"/>
      <c r="E20" s="201"/>
      <c r="F20" s="201"/>
      <c r="G20" s="201"/>
      <c r="H20" s="201"/>
      <c r="I20" s="201"/>
      <c r="J20" s="201"/>
      <c r="K20" s="201"/>
      <c r="L20" s="201"/>
      <c r="M20" s="201"/>
      <c r="N20" s="201"/>
      <c r="O20" s="201"/>
      <c r="P20" s="201"/>
      <c r="Q20" s="201"/>
      <c r="R20" s="201"/>
      <c r="S20" s="201"/>
      <c r="T20" s="201"/>
      <c r="U20" s="202"/>
    </row>
    <row r="21" spans="1:24" ht="7.5" customHeight="1" x14ac:dyDescent="0.15">
      <c r="B21" s="52"/>
      <c r="C21" s="52"/>
      <c r="D21" s="52"/>
      <c r="E21" s="52"/>
      <c r="F21" s="52"/>
      <c r="G21" s="52"/>
      <c r="H21" s="52"/>
      <c r="I21" s="52"/>
      <c r="J21" s="52"/>
      <c r="K21" s="52"/>
      <c r="L21" s="52"/>
      <c r="M21" s="52"/>
      <c r="N21" s="52"/>
      <c r="O21" s="52"/>
      <c r="P21" s="52"/>
      <c r="Q21" s="52"/>
      <c r="R21" s="52"/>
      <c r="S21" s="52"/>
      <c r="T21" s="52"/>
      <c r="U21" s="52"/>
    </row>
    <row r="22" spans="1:24" ht="20.100000000000001" customHeight="1" x14ac:dyDescent="0.15">
      <c r="B22" s="51" t="s">
        <v>16</v>
      </c>
      <c r="E22" s="94">
        <v>3</v>
      </c>
      <c r="F22" s="51" t="s">
        <v>17</v>
      </c>
      <c r="H22" s="94">
        <v>3</v>
      </c>
      <c r="I22" s="52" t="s">
        <v>18</v>
      </c>
      <c r="J22" s="52"/>
      <c r="K22" s="57"/>
      <c r="M22" s="57" t="s">
        <v>19</v>
      </c>
      <c r="N22" s="269" t="s">
        <v>13</v>
      </c>
      <c r="O22" s="270"/>
      <c r="P22" s="270"/>
      <c r="Q22" s="270"/>
      <c r="R22" s="270"/>
      <c r="S22" s="270"/>
      <c r="T22" s="270"/>
      <c r="U22" s="271"/>
    </row>
    <row r="23" spans="1:24" ht="7.5" customHeight="1" x14ac:dyDescent="0.15">
      <c r="B23" s="52"/>
      <c r="C23" s="52"/>
      <c r="D23" s="52"/>
      <c r="E23" s="52"/>
      <c r="F23" s="52"/>
      <c r="G23" s="52"/>
      <c r="H23" s="52"/>
      <c r="I23" s="52"/>
      <c r="J23" s="52"/>
      <c r="K23" s="52"/>
      <c r="L23" s="52"/>
      <c r="M23" s="52"/>
      <c r="N23" s="52"/>
      <c r="O23" s="52"/>
      <c r="P23" s="52"/>
      <c r="Q23" s="52"/>
      <c r="R23" s="52"/>
      <c r="S23" s="52"/>
      <c r="T23" s="52"/>
      <c r="U23" s="52"/>
    </row>
    <row r="24" spans="1:24" ht="18" customHeight="1" x14ac:dyDescent="0.15">
      <c r="A24" s="262" t="s">
        <v>20</v>
      </c>
      <c r="B24" s="262"/>
      <c r="C24" s="262"/>
      <c r="D24" s="262"/>
      <c r="E24" s="262"/>
      <c r="F24" s="262"/>
      <c r="G24" s="262"/>
      <c r="H24" s="262"/>
      <c r="I24" s="262"/>
      <c r="J24" s="262"/>
      <c r="K24" s="262"/>
      <c r="L24" s="262"/>
      <c r="M24" s="262"/>
      <c r="N24" s="262"/>
      <c r="O24" s="262"/>
      <c r="P24" s="262"/>
      <c r="Q24" s="262"/>
      <c r="R24" s="262"/>
      <c r="S24" s="262"/>
      <c r="T24" s="262"/>
      <c r="U24" s="262"/>
    </row>
    <row r="25" spans="1:24" ht="18" customHeight="1" x14ac:dyDescent="0.15">
      <c r="A25" s="262"/>
      <c r="B25" s="262"/>
      <c r="C25" s="262"/>
      <c r="D25" s="262"/>
      <c r="E25" s="262"/>
      <c r="F25" s="262"/>
      <c r="G25" s="262"/>
      <c r="H25" s="262"/>
      <c r="I25" s="262"/>
      <c r="J25" s="262"/>
      <c r="K25" s="262"/>
      <c r="L25" s="262"/>
      <c r="M25" s="262"/>
      <c r="N25" s="262"/>
      <c r="O25" s="262"/>
      <c r="P25" s="262"/>
      <c r="Q25" s="262"/>
      <c r="R25" s="262"/>
      <c r="S25" s="262"/>
      <c r="T25" s="262"/>
      <c r="U25" s="262"/>
    </row>
    <row r="26" spans="1:24" ht="18" customHeight="1" x14ac:dyDescent="0.15">
      <c r="B26" s="229" t="s">
        <v>21</v>
      </c>
      <c r="C26" s="230"/>
      <c r="D26" s="230"/>
      <c r="E26" s="230"/>
      <c r="F26" s="231"/>
      <c r="G26" s="95" t="s">
        <v>22</v>
      </c>
      <c r="H26" s="96" t="s">
        <v>23</v>
      </c>
      <c r="I26" s="97" t="s">
        <v>24</v>
      </c>
      <c r="J26" s="97" t="s">
        <v>25</v>
      </c>
      <c r="K26" s="229" t="s">
        <v>21</v>
      </c>
      <c r="L26" s="230"/>
      <c r="M26" s="230"/>
      <c r="N26" s="230"/>
      <c r="O26" s="230"/>
      <c r="P26" s="230"/>
      <c r="Q26" s="231"/>
      <c r="R26" s="95" t="s">
        <v>22</v>
      </c>
      <c r="S26" s="96" t="s">
        <v>23</v>
      </c>
      <c r="T26" s="97" t="s">
        <v>24</v>
      </c>
      <c r="U26" s="97" t="s">
        <v>25</v>
      </c>
    </row>
    <row r="27" spans="1:24" ht="18" customHeight="1" x14ac:dyDescent="0.15">
      <c r="B27" s="241" t="s">
        <v>86</v>
      </c>
      <c r="C27" s="242"/>
      <c r="D27" s="242"/>
      <c r="E27" s="242"/>
      <c r="F27" s="243"/>
      <c r="G27" s="98">
        <v>1</v>
      </c>
      <c r="H27" s="98" t="s">
        <v>27</v>
      </c>
      <c r="I27" s="98" t="s">
        <v>27</v>
      </c>
      <c r="J27" s="98"/>
      <c r="K27" s="241" t="s">
        <v>87</v>
      </c>
      <c r="L27" s="242"/>
      <c r="M27" s="242"/>
      <c r="N27" s="242"/>
      <c r="O27" s="242"/>
      <c r="P27" s="242"/>
      <c r="Q27" s="243"/>
      <c r="R27" s="90">
        <v>1</v>
      </c>
      <c r="S27" s="90" t="s">
        <v>27</v>
      </c>
      <c r="T27" s="90" t="s">
        <v>27</v>
      </c>
      <c r="U27" s="90"/>
    </row>
    <row r="28" spans="1:24" ht="18" customHeight="1" x14ac:dyDescent="0.15">
      <c r="B28" s="232" t="s">
        <v>80</v>
      </c>
      <c r="C28" s="233"/>
      <c r="D28" s="233"/>
      <c r="E28" s="233"/>
      <c r="F28" s="234"/>
      <c r="G28" s="90">
        <v>1</v>
      </c>
      <c r="H28" s="90" t="s">
        <v>27</v>
      </c>
      <c r="I28" s="90" t="s">
        <v>27</v>
      </c>
      <c r="J28" s="90" t="s">
        <v>27</v>
      </c>
      <c r="K28" s="232" t="s">
        <v>88</v>
      </c>
      <c r="L28" s="233"/>
      <c r="M28" s="233"/>
      <c r="N28" s="233"/>
      <c r="O28" s="233"/>
      <c r="P28" s="233"/>
      <c r="Q28" s="234"/>
      <c r="R28" s="90">
        <v>1</v>
      </c>
      <c r="S28" s="90"/>
      <c r="T28" s="90" t="s">
        <v>27</v>
      </c>
      <c r="U28" s="90" t="s">
        <v>27</v>
      </c>
    </row>
    <row r="29" spans="1:24" ht="18" customHeight="1" x14ac:dyDescent="0.15">
      <c r="B29" s="232" t="s">
        <v>89</v>
      </c>
      <c r="C29" s="233"/>
      <c r="D29" s="233"/>
      <c r="E29" s="233"/>
      <c r="F29" s="234"/>
      <c r="G29" s="90">
        <v>1</v>
      </c>
      <c r="H29" s="90"/>
      <c r="I29" s="90" t="s">
        <v>27</v>
      </c>
      <c r="J29" s="90" t="s">
        <v>27</v>
      </c>
      <c r="K29" s="232" t="s">
        <v>90</v>
      </c>
      <c r="L29" s="233"/>
      <c r="M29" s="233"/>
      <c r="N29" s="233"/>
      <c r="O29" s="233"/>
      <c r="P29" s="233"/>
      <c r="Q29" s="234"/>
      <c r="R29" s="90">
        <v>1</v>
      </c>
      <c r="S29" s="90" t="s">
        <v>27</v>
      </c>
      <c r="T29" s="90" t="s">
        <v>27</v>
      </c>
      <c r="U29" s="90" t="s">
        <v>27</v>
      </c>
    </row>
    <row r="30" spans="1:24" ht="18" customHeight="1" x14ac:dyDescent="0.15">
      <c r="B30" s="232"/>
      <c r="C30" s="233"/>
      <c r="D30" s="233"/>
      <c r="E30" s="233"/>
      <c r="F30" s="234"/>
      <c r="G30" s="90"/>
      <c r="H30" s="90"/>
      <c r="I30" s="90"/>
      <c r="J30" s="90"/>
      <c r="K30" s="232"/>
      <c r="L30" s="233"/>
      <c r="M30" s="233"/>
      <c r="N30" s="233"/>
      <c r="O30" s="233"/>
      <c r="P30" s="233"/>
      <c r="Q30" s="234"/>
      <c r="R30" s="90"/>
      <c r="S30" s="90"/>
      <c r="T30" s="90"/>
      <c r="U30" s="90"/>
    </row>
    <row r="31" spans="1:24" ht="18" customHeight="1" x14ac:dyDescent="0.15">
      <c r="B31" s="232"/>
      <c r="C31" s="233"/>
      <c r="D31" s="233"/>
      <c r="E31" s="233"/>
      <c r="F31" s="234"/>
      <c r="G31" s="90"/>
      <c r="H31" s="90"/>
      <c r="I31" s="90"/>
      <c r="J31" s="90"/>
      <c r="K31" s="232"/>
      <c r="L31" s="233"/>
      <c r="M31" s="233"/>
      <c r="N31" s="233"/>
      <c r="O31" s="233"/>
      <c r="P31" s="233"/>
      <c r="Q31" s="234"/>
      <c r="R31" s="90"/>
      <c r="S31" s="90"/>
      <c r="T31" s="90"/>
      <c r="U31" s="90"/>
    </row>
    <row r="32" spans="1:24" ht="18" customHeight="1" x14ac:dyDescent="0.15">
      <c r="A32" s="52"/>
      <c r="B32" s="232"/>
      <c r="C32" s="233"/>
      <c r="D32" s="233"/>
      <c r="E32" s="233"/>
      <c r="F32" s="234"/>
      <c r="G32" s="90"/>
      <c r="H32" s="90"/>
      <c r="I32" s="90"/>
      <c r="J32" s="90"/>
      <c r="K32" s="232"/>
      <c r="L32" s="233"/>
      <c r="M32" s="233"/>
      <c r="N32" s="233"/>
      <c r="O32" s="233"/>
      <c r="P32" s="233"/>
      <c r="Q32" s="234"/>
      <c r="R32" s="90"/>
      <c r="S32" s="90"/>
      <c r="T32" s="90"/>
      <c r="U32" s="90"/>
    </row>
    <row r="33" spans="1:21" ht="18" customHeight="1" x14ac:dyDescent="0.15">
      <c r="A33" s="52"/>
      <c r="B33" s="221"/>
      <c r="C33" s="222"/>
      <c r="D33" s="222"/>
      <c r="E33" s="222"/>
      <c r="F33" s="223"/>
      <c r="G33" s="102"/>
      <c r="H33" s="102"/>
      <c r="I33" s="103"/>
      <c r="J33" s="103"/>
      <c r="K33" s="221"/>
      <c r="L33" s="222"/>
      <c r="M33" s="222"/>
      <c r="N33" s="222"/>
      <c r="O33" s="222"/>
      <c r="P33" s="222"/>
      <c r="Q33" s="223"/>
      <c r="R33" s="102"/>
      <c r="S33" s="102"/>
      <c r="T33" s="103"/>
      <c r="U33" s="103"/>
    </row>
    <row r="34" spans="1:21" ht="7.5" customHeight="1" x14ac:dyDescent="0.15">
      <c r="A34" s="52"/>
      <c r="B34" s="54"/>
      <c r="C34" s="54"/>
      <c r="D34" s="54"/>
      <c r="E34" s="52"/>
      <c r="F34" s="52"/>
      <c r="G34" s="52"/>
      <c r="H34" s="52"/>
      <c r="I34" s="54"/>
      <c r="J34" s="54"/>
      <c r="K34" s="54"/>
      <c r="L34" s="54"/>
      <c r="M34" s="54"/>
      <c r="N34" s="54"/>
      <c r="O34" s="54"/>
      <c r="P34" s="54"/>
      <c r="Q34" s="54"/>
      <c r="R34" s="54"/>
      <c r="S34" s="54"/>
      <c r="T34" s="54"/>
      <c r="U34" s="52"/>
    </row>
    <row r="35" spans="1:21" ht="18" customHeight="1" x14ac:dyDescent="0.15">
      <c r="A35" s="262" t="s">
        <v>28</v>
      </c>
      <c r="B35" s="262"/>
      <c r="C35" s="262"/>
      <c r="D35" s="262"/>
      <c r="E35" s="262"/>
      <c r="F35" s="262"/>
      <c r="G35" s="262"/>
      <c r="H35" s="262"/>
      <c r="I35" s="262"/>
      <c r="J35" s="262"/>
      <c r="K35" s="262"/>
      <c r="L35" s="262"/>
      <c r="M35" s="262"/>
      <c r="N35" s="262"/>
      <c r="O35" s="262"/>
      <c r="P35" s="262"/>
      <c r="Q35" s="262"/>
      <c r="R35" s="262"/>
      <c r="S35" s="262"/>
      <c r="T35" s="262"/>
      <c r="U35" s="262"/>
    </row>
    <row r="36" spans="1:21" ht="18" customHeight="1" x14ac:dyDescent="0.15">
      <c r="A36" s="262"/>
      <c r="B36" s="262"/>
      <c r="C36" s="262"/>
      <c r="D36" s="262"/>
      <c r="E36" s="262"/>
      <c r="F36" s="262"/>
      <c r="G36" s="262"/>
      <c r="H36" s="262"/>
      <c r="I36" s="262"/>
      <c r="J36" s="262"/>
      <c r="K36" s="262"/>
      <c r="L36" s="262"/>
      <c r="M36" s="262"/>
      <c r="N36" s="262"/>
      <c r="O36" s="262"/>
      <c r="P36" s="262"/>
      <c r="Q36" s="262"/>
      <c r="R36" s="262"/>
      <c r="S36" s="262"/>
      <c r="T36" s="262"/>
      <c r="U36" s="262"/>
    </row>
    <row r="37" spans="1:21" ht="18" customHeight="1" x14ac:dyDescent="0.15">
      <c r="B37" s="229" t="s">
        <v>21</v>
      </c>
      <c r="C37" s="230"/>
      <c r="D37" s="230"/>
      <c r="E37" s="230"/>
      <c r="F37" s="231"/>
      <c r="G37" s="95" t="s">
        <v>22</v>
      </c>
      <c r="H37" s="96" t="s">
        <v>23</v>
      </c>
      <c r="I37" s="97" t="s">
        <v>29</v>
      </c>
      <c r="J37" s="97" t="s">
        <v>30</v>
      </c>
      <c r="K37" s="229" t="s">
        <v>21</v>
      </c>
      <c r="L37" s="230"/>
      <c r="M37" s="230"/>
      <c r="N37" s="230"/>
      <c r="O37" s="230"/>
      <c r="P37" s="230"/>
      <c r="Q37" s="231"/>
      <c r="R37" s="95" t="s">
        <v>22</v>
      </c>
      <c r="S37" s="96" t="s">
        <v>23</v>
      </c>
      <c r="T37" s="97" t="s">
        <v>29</v>
      </c>
      <c r="U37" s="97" t="s">
        <v>30</v>
      </c>
    </row>
    <row r="38" spans="1:21" ht="18" customHeight="1" x14ac:dyDescent="0.15">
      <c r="B38" s="241" t="s">
        <v>86</v>
      </c>
      <c r="C38" s="242"/>
      <c r="D38" s="242"/>
      <c r="E38" s="242"/>
      <c r="F38" s="243"/>
      <c r="G38" s="98">
        <v>1</v>
      </c>
      <c r="H38" s="98" t="s">
        <v>27</v>
      </c>
      <c r="I38" s="98" t="s">
        <v>27</v>
      </c>
      <c r="J38" s="98" t="s">
        <v>27</v>
      </c>
      <c r="K38" s="232" t="s">
        <v>88</v>
      </c>
      <c r="L38" s="233"/>
      <c r="M38" s="233"/>
      <c r="N38" s="233"/>
      <c r="O38" s="233"/>
      <c r="P38" s="233"/>
      <c r="Q38" s="234"/>
      <c r="R38" s="90">
        <v>1</v>
      </c>
      <c r="S38" s="90"/>
      <c r="T38" s="90" t="s">
        <v>27</v>
      </c>
      <c r="U38" s="90" t="s">
        <v>27</v>
      </c>
    </row>
    <row r="39" spans="1:21" ht="18" customHeight="1" x14ac:dyDescent="0.15">
      <c r="B39" s="266" t="s">
        <v>80</v>
      </c>
      <c r="C39" s="267"/>
      <c r="D39" s="267"/>
      <c r="E39" s="267"/>
      <c r="F39" s="268"/>
      <c r="G39" s="104">
        <v>1</v>
      </c>
      <c r="H39" s="104" t="s">
        <v>27</v>
      </c>
      <c r="I39" s="104" t="s">
        <v>27</v>
      </c>
      <c r="J39" s="104" t="s">
        <v>27</v>
      </c>
      <c r="K39" s="232" t="s">
        <v>90</v>
      </c>
      <c r="L39" s="233"/>
      <c r="M39" s="233"/>
      <c r="N39" s="233"/>
      <c r="O39" s="233"/>
      <c r="P39" s="233"/>
      <c r="Q39" s="234"/>
      <c r="R39" s="90">
        <v>1</v>
      </c>
      <c r="S39" s="90" t="s">
        <v>27</v>
      </c>
      <c r="T39" s="90"/>
      <c r="U39" s="90" t="s">
        <v>27</v>
      </c>
    </row>
    <row r="40" spans="1:21" ht="18" customHeight="1" x14ac:dyDescent="0.15">
      <c r="B40" s="238" t="s">
        <v>91</v>
      </c>
      <c r="C40" s="239"/>
      <c r="D40" s="239"/>
      <c r="E40" s="239"/>
      <c r="F40" s="240"/>
      <c r="G40" s="90">
        <v>1</v>
      </c>
      <c r="H40" s="90"/>
      <c r="I40" s="90" t="s">
        <v>27</v>
      </c>
      <c r="J40" s="90" t="s">
        <v>27</v>
      </c>
      <c r="K40" s="232" t="s">
        <v>92</v>
      </c>
      <c r="L40" s="233"/>
      <c r="M40" s="233"/>
      <c r="N40" s="233"/>
      <c r="O40" s="233"/>
      <c r="P40" s="233"/>
      <c r="Q40" s="234"/>
      <c r="R40" s="90">
        <v>1</v>
      </c>
      <c r="S40" s="90" t="s">
        <v>27</v>
      </c>
      <c r="T40" s="90" t="s">
        <v>27</v>
      </c>
      <c r="U40" s="90"/>
    </row>
    <row r="41" spans="1:21" ht="18" customHeight="1" x14ac:dyDescent="0.15">
      <c r="B41" s="232"/>
      <c r="C41" s="233"/>
      <c r="D41" s="233"/>
      <c r="E41" s="233"/>
      <c r="F41" s="234"/>
      <c r="G41" s="90"/>
      <c r="H41" s="90"/>
      <c r="I41" s="90"/>
      <c r="J41" s="90"/>
      <c r="K41" s="232"/>
      <c r="L41" s="233"/>
      <c r="M41" s="233"/>
      <c r="N41" s="233"/>
      <c r="O41" s="233"/>
      <c r="P41" s="233"/>
      <c r="Q41" s="234"/>
      <c r="R41" s="90"/>
      <c r="S41" s="90"/>
      <c r="T41" s="90"/>
      <c r="U41" s="90"/>
    </row>
    <row r="42" spans="1:21" ht="18" customHeight="1" x14ac:dyDescent="0.15">
      <c r="B42" s="232"/>
      <c r="C42" s="233"/>
      <c r="D42" s="233"/>
      <c r="E42" s="233"/>
      <c r="F42" s="234"/>
      <c r="G42" s="90"/>
      <c r="H42" s="90"/>
      <c r="I42" s="90"/>
      <c r="J42" s="90"/>
      <c r="K42" s="232"/>
      <c r="L42" s="233"/>
      <c r="M42" s="233"/>
      <c r="N42" s="233"/>
      <c r="O42" s="233"/>
      <c r="P42" s="233"/>
      <c r="Q42" s="234"/>
      <c r="R42" s="90"/>
      <c r="S42" s="90"/>
      <c r="T42" s="90"/>
      <c r="U42" s="90"/>
    </row>
    <row r="43" spans="1:21" ht="18" customHeight="1" x14ac:dyDescent="0.15">
      <c r="B43" s="232"/>
      <c r="C43" s="233"/>
      <c r="D43" s="233"/>
      <c r="E43" s="233"/>
      <c r="F43" s="234"/>
      <c r="G43" s="90"/>
      <c r="H43" s="90"/>
      <c r="I43" s="90"/>
      <c r="J43" s="90"/>
      <c r="K43" s="232"/>
      <c r="L43" s="233"/>
      <c r="M43" s="233"/>
      <c r="N43" s="233"/>
      <c r="O43" s="233"/>
      <c r="P43" s="233"/>
      <c r="Q43" s="234"/>
      <c r="R43" s="90"/>
      <c r="S43" s="90"/>
      <c r="T43" s="90"/>
      <c r="U43" s="90"/>
    </row>
    <row r="44" spans="1:21" ht="18" customHeight="1" x14ac:dyDescent="0.15">
      <c r="B44" s="221"/>
      <c r="C44" s="222"/>
      <c r="D44" s="222"/>
      <c r="E44" s="222"/>
      <c r="F44" s="223"/>
      <c r="G44" s="103"/>
      <c r="H44" s="103"/>
      <c r="I44" s="103"/>
      <c r="J44" s="103"/>
      <c r="K44" s="221"/>
      <c r="L44" s="222"/>
      <c r="M44" s="222"/>
      <c r="N44" s="222"/>
      <c r="O44" s="222"/>
      <c r="P44" s="222"/>
      <c r="Q44" s="223"/>
      <c r="R44" s="102"/>
      <c r="S44" s="102"/>
      <c r="T44" s="103"/>
      <c r="U44" s="103"/>
    </row>
    <row r="45" spans="1:21" ht="7.5" customHeight="1" x14ac:dyDescent="0.15">
      <c r="A45" s="52"/>
      <c r="B45" s="54"/>
      <c r="C45" s="54"/>
      <c r="D45" s="54"/>
      <c r="E45" s="52"/>
      <c r="F45" s="52"/>
      <c r="G45" s="52"/>
      <c r="H45" s="52"/>
      <c r="I45" s="54"/>
      <c r="J45" s="54"/>
      <c r="K45" s="54"/>
      <c r="L45" s="54"/>
      <c r="M45" s="54"/>
      <c r="N45" s="54"/>
      <c r="O45" s="54"/>
      <c r="P45" s="54"/>
      <c r="Q45" s="54"/>
      <c r="R45" s="54"/>
      <c r="S45" s="54"/>
      <c r="T45" s="54"/>
      <c r="U45" s="52"/>
    </row>
    <row r="46" spans="1:21" ht="18" customHeight="1" x14ac:dyDescent="0.15">
      <c r="A46" s="262" t="s">
        <v>31</v>
      </c>
      <c r="B46" s="262"/>
      <c r="C46" s="262"/>
      <c r="D46" s="262"/>
      <c r="E46" s="262"/>
      <c r="F46" s="262"/>
      <c r="G46" s="262"/>
      <c r="H46" s="262"/>
      <c r="I46" s="262"/>
      <c r="J46" s="262"/>
      <c r="K46" s="262"/>
      <c r="L46" s="262"/>
      <c r="M46" s="262"/>
      <c r="N46" s="262"/>
      <c r="O46" s="262"/>
      <c r="P46" s="262"/>
      <c r="Q46" s="262"/>
      <c r="R46" s="262"/>
      <c r="S46" s="262"/>
      <c r="T46" s="262"/>
      <c r="U46" s="262"/>
    </row>
    <row r="47" spans="1:21" ht="18" customHeight="1" x14ac:dyDescent="0.15">
      <c r="A47" s="262"/>
      <c r="B47" s="262"/>
      <c r="C47" s="262"/>
      <c r="D47" s="262"/>
      <c r="E47" s="262"/>
      <c r="F47" s="262"/>
      <c r="G47" s="262"/>
      <c r="H47" s="262"/>
      <c r="I47" s="262"/>
      <c r="J47" s="262"/>
      <c r="K47" s="262"/>
      <c r="L47" s="262"/>
      <c r="M47" s="262"/>
      <c r="N47" s="262"/>
      <c r="O47" s="262"/>
      <c r="P47" s="262"/>
      <c r="Q47" s="262"/>
      <c r="R47" s="262"/>
      <c r="S47" s="262"/>
      <c r="T47" s="262"/>
      <c r="U47" s="262"/>
    </row>
    <row r="48" spans="1:21" ht="18" customHeight="1" x14ac:dyDescent="0.15">
      <c r="B48" s="229" t="s">
        <v>21</v>
      </c>
      <c r="C48" s="230"/>
      <c r="D48" s="230"/>
      <c r="E48" s="230"/>
      <c r="F48" s="231"/>
      <c r="G48" s="95" t="s">
        <v>22</v>
      </c>
      <c r="H48" s="96" t="s">
        <v>23</v>
      </c>
      <c r="I48" s="97" t="s">
        <v>32</v>
      </c>
      <c r="J48" s="97" t="s">
        <v>33</v>
      </c>
      <c r="K48" s="229" t="s">
        <v>21</v>
      </c>
      <c r="L48" s="230"/>
      <c r="M48" s="230"/>
      <c r="N48" s="230"/>
      <c r="O48" s="230"/>
      <c r="P48" s="230"/>
      <c r="Q48" s="231"/>
      <c r="R48" s="95" t="s">
        <v>22</v>
      </c>
      <c r="S48" s="96" t="s">
        <v>23</v>
      </c>
      <c r="T48" s="97" t="s">
        <v>32</v>
      </c>
      <c r="U48" s="97" t="s">
        <v>33</v>
      </c>
    </row>
    <row r="49" spans="1:21" ht="18" customHeight="1" x14ac:dyDescent="0.15">
      <c r="A49" s="52"/>
      <c r="B49" s="241" t="s">
        <v>86</v>
      </c>
      <c r="C49" s="242"/>
      <c r="D49" s="242"/>
      <c r="E49" s="242"/>
      <c r="F49" s="243"/>
      <c r="G49" s="98">
        <v>1</v>
      </c>
      <c r="H49" s="98" t="s">
        <v>27</v>
      </c>
      <c r="I49" s="98"/>
      <c r="J49" s="98" t="s">
        <v>27</v>
      </c>
      <c r="K49" s="232" t="s">
        <v>88</v>
      </c>
      <c r="L49" s="233"/>
      <c r="M49" s="233"/>
      <c r="N49" s="233"/>
      <c r="O49" s="233"/>
      <c r="P49" s="233"/>
      <c r="Q49" s="234"/>
      <c r="R49" s="98">
        <v>1</v>
      </c>
      <c r="S49" s="98"/>
      <c r="T49" s="98" t="s">
        <v>27</v>
      </c>
      <c r="U49" s="98" t="s">
        <v>27</v>
      </c>
    </row>
    <row r="50" spans="1:21" ht="18" customHeight="1" x14ac:dyDescent="0.15">
      <c r="A50" s="52"/>
      <c r="B50" s="232" t="s">
        <v>80</v>
      </c>
      <c r="C50" s="233"/>
      <c r="D50" s="233"/>
      <c r="E50" s="233"/>
      <c r="F50" s="234"/>
      <c r="G50" s="90">
        <v>1</v>
      </c>
      <c r="H50" s="90" t="s">
        <v>27</v>
      </c>
      <c r="I50" s="90" t="s">
        <v>27</v>
      </c>
      <c r="J50" s="90" t="s">
        <v>27</v>
      </c>
      <c r="K50" s="232" t="s">
        <v>90</v>
      </c>
      <c r="L50" s="233"/>
      <c r="M50" s="233"/>
      <c r="N50" s="233"/>
      <c r="O50" s="233"/>
      <c r="P50" s="233"/>
      <c r="Q50" s="234"/>
      <c r="R50" s="90">
        <v>1</v>
      </c>
      <c r="S50" s="90" t="s">
        <v>27</v>
      </c>
      <c r="T50" s="90" t="s">
        <v>27</v>
      </c>
      <c r="U50" s="90" t="s">
        <v>27</v>
      </c>
    </row>
    <row r="51" spans="1:21" ht="18" customHeight="1" x14ac:dyDescent="0.15">
      <c r="A51" s="52"/>
      <c r="B51" s="238" t="s">
        <v>93</v>
      </c>
      <c r="C51" s="239"/>
      <c r="D51" s="239"/>
      <c r="E51" s="239"/>
      <c r="F51" s="240"/>
      <c r="G51" s="90">
        <v>2</v>
      </c>
      <c r="H51" s="90"/>
      <c r="I51" s="90" t="s">
        <v>27</v>
      </c>
      <c r="J51" s="90"/>
      <c r="K51" s="232" t="s">
        <v>92</v>
      </c>
      <c r="L51" s="233"/>
      <c r="M51" s="233"/>
      <c r="N51" s="233"/>
      <c r="O51" s="233"/>
      <c r="P51" s="233"/>
      <c r="Q51" s="234"/>
      <c r="R51" s="90">
        <v>1</v>
      </c>
      <c r="S51" s="90" t="s">
        <v>27</v>
      </c>
      <c r="T51" s="90" t="s">
        <v>27</v>
      </c>
      <c r="U51" s="90"/>
    </row>
    <row r="52" spans="1:21" ht="18" customHeight="1" x14ac:dyDescent="0.15">
      <c r="A52" s="52"/>
      <c r="B52" s="232" t="s">
        <v>91</v>
      </c>
      <c r="C52" s="233"/>
      <c r="D52" s="233"/>
      <c r="E52" s="233"/>
      <c r="F52" s="234"/>
      <c r="G52" s="90">
        <v>1</v>
      </c>
      <c r="H52" s="90"/>
      <c r="I52" s="90" t="s">
        <v>27</v>
      </c>
      <c r="J52" s="90" t="s">
        <v>27</v>
      </c>
      <c r="K52" s="232" t="s">
        <v>94</v>
      </c>
      <c r="L52" s="233"/>
      <c r="M52" s="233"/>
      <c r="N52" s="233"/>
      <c r="O52" s="233"/>
      <c r="P52" s="233"/>
      <c r="Q52" s="234"/>
      <c r="R52" s="90">
        <v>1</v>
      </c>
      <c r="S52" s="90" t="s">
        <v>27</v>
      </c>
      <c r="T52" s="90" t="s">
        <v>27</v>
      </c>
      <c r="U52" s="90"/>
    </row>
    <row r="53" spans="1:21" ht="18" customHeight="1" x14ac:dyDescent="0.15">
      <c r="A53" s="52"/>
      <c r="B53" s="232"/>
      <c r="C53" s="233"/>
      <c r="D53" s="233"/>
      <c r="E53" s="233"/>
      <c r="F53" s="234"/>
      <c r="G53" s="90"/>
      <c r="H53" s="90"/>
      <c r="I53" s="90"/>
      <c r="J53" s="90"/>
      <c r="K53" s="232"/>
      <c r="L53" s="233"/>
      <c r="M53" s="233"/>
      <c r="N53" s="233"/>
      <c r="O53" s="233"/>
      <c r="P53" s="233"/>
      <c r="Q53" s="234"/>
      <c r="R53" s="90"/>
      <c r="S53" s="90"/>
      <c r="T53" s="90"/>
      <c r="U53" s="90"/>
    </row>
    <row r="54" spans="1:21" ht="18" customHeight="1" x14ac:dyDescent="0.15">
      <c r="A54" s="52"/>
      <c r="B54" s="232"/>
      <c r="C54" s="233"/>
      <c r="D54" s="233"/>
      <c r="E54" s="233"/>
      <c r="F54" s="234"/>
      <c r="G54" s="90"/>
      <c r="H54" s="90"/>
      <c r="I54" s="90"/>
      <c r="J54" s="90"/>
      <c r="K54" s="232"/>
      <c r="L54" s="233"/>
      <c r="M54" s="233"/>
      <c r="N54" s="233"/>
      <c r="O54" s="233"/>
      <c r="P54" s="233"/>
      <c r="Q54" s="234"/>
      <c r="R54" s="90"/>
      <c r="S54" s="90"/>
      <c r="T54" s="90"/>
      <c r="U54" s="90"/>
    </row>
    <row r="55" spans="1:21" ht="18" customHeight="1" x14ac:dyDescent="0.15">
      <c r="A55" s="52"/>
      <c r="B55" s="221"/>
      <c r="C55" s="222"/>
      <c r="D55" s="222"/>
      <c r="E55" s="222"/>
      <c r="F55" s="223"/>
      <c r="G55" s="102"/>
      <c r="H55" s="102"/>
      <c r="I55" s="103"/>
      <c r="J55" s="103"/>
      <c r="K55" s="221"/>
      <c r="L55" s="222"/>
      <c r="M55" s="222"/>
      <c r="N55" s="222"/>
      <c r="O55" s="222"/>
      <c r="P55" s="222"/>
      <c r="Q55" s="223"/>
      <c r="R55" s="102"/>
      <c r="S55" s="102"/>
      <c r="T55" s="103"/>
      <c r="U55" s="103"/>
    </row>
    <row r="56" spans="1:21" ht="7.5" customHeight="1" x14ac:dyDescent="0.15">
      <c r="B56" s="105"/>
      <c r="C56" s="105"/>
      <c r="D56" s="105"/>
      <c r="E56" s="105"/>
      <c r="F56" s="105"/>
      <c r="G56" s="105"/>
      <c r="H56" s="105"/>
      <c r="I56" s="105"/>
      <c r="J56" s="105"/>
      <c r="K56" s="105"/>
      <c r="L56" s="105"/>
      <c r="M56" s="105"/>
      <c r="N56" s="105"/>
      <c r="O56" s="105"/>
      <c r="P56" s="105"/>
      <c r="Q56" s="105"/>
      <c r="R56" s="105"/>
      <c r="S56" s="105"/>
      <c r="T56" s="105"/>
    </row>
    <row r="57" spans="1:21" ht="18" customHeight="1" x14ac:dyDescent="0.15">
      <c r="A57" s="262" t="s">
        <v>34</v>
      </c>
      <c r="B57" s="262"/>
      <c r="C57" s="262"/>
      <c r="D57" s="262"/>
      <c r="E57" s="262"/>
      <c r="F57" s="262"/>
      <c r="G57" s="262"/>
      <c r="H57" s="262"/>
      <c r="I57" s="262"/>
      <c r="J57" s="262"/>
      <c r="K57" s="262"/>
      <c r="L57" s="262"/>
      <c r="M57" s="262"/>
      <c r="N57" s="262"/>
      <c r="O57" s="262"/>
      <c r="P57" s="262"/>
      <c r="Q57" s="262"/>
      <c r="R57" s="262"/>
      <c r="S57" s="262"/>
      <c r="T57" s="262"/>
      <c r="U57" s="262"/>
    </row>
    <row r="58" spans="1:21" ht="18" customHeight="1" x14ac:dyDescent="0.15">
      <c r="A58" s="262"/>
      <c r="B58" s="262"/>
      <c r="C58" s="262"/>
      <c r="D58" s="262"/>
      <c r="E58" s="262"/>
      <c r="F58" s="262"/>
      <c r="G58" s="262"/>
      <c r="H58" s="262"/>
      <c r="I58" s="262"/>
      <c r="J58" s="262"/>
      <c r="K58" s="262"/>
      <c r="L58" s="262"/>
      <c r="M58" s="262"/>
      <c r="N58" s="262"/>
      <c r="O58" s="262"/>
      <c r="P58" s="262"/>
      <c r="Q58" s="262"/>
      <c r="R58" s="262"/>
      <c r="S58" s="262"/>
      <c r="T58" s="262"/>
      <c r="U58" s="262"/>
    </row>
    <row r="59" spans="1:21" ht="18" customHeight="1" x14ac:dyDescent="0.15">
      <c r="B59" s="229" t="s">
        <v>21</v>
      </c>
      <c r="C59" s="230"/>
      <c r="D59" s="230"/>
      <c r="E59" s="230"/>
      <c r="F59" s="231"/>
      <c r="G59" s="95" t="s">
        <v>22</v>
      </c>
      <c r="H59" s="96" t="s">
        <v>23</v>
      </c>
      <c r="I59" s="97" t="s">
        <v>35</v>
      </c>
      <c r="J59" s="97" t="s">
        <v>36</v>
      </c>
      <c r="K59" s="229" t="s">
        <v>21</v>
      </c>
      <c r="L59" s="230"/>
      <c r="M59" s="230"/>
      <c r="N59" s="230"/>
      <c r="O59" s="230"/>
      <c r="P59" s="230"/>
      <c r="Q59" s="231"/>
      <c r="R59" s="95" t="s">
        <v>22</v>
      </c>
      <c r="S59" s="96" t="s">
        <v>23</v>
      </c>
      <c r="T59" s="97" t="s">
        <v>35</v>
      </c>
      <c r="U59" s="97" t="s">
        <v>36</v>
      </c>
    </row>
    <row r="60" spans="1:21" ht="18" customHeight="1" x14ac:dyDescent="0.15">
      <c r="A60" s="52"/>
      <c r="B60" s="241" t="s">
        <v>86</v>
      </c>
      <c r="C60" s="242"/>
      <c r="D60" s="242"/>
      <c r="E60" s="242"/>
      <c r="F60" s="243"/>
      <c r="G60" s="98">
        <v>1</v>
      </c>
      <c r="H60" s="98" t="s">
        <v>27</v>
      </c>
      <c r="I60" s="98" t="s">
        <v>27</v>
      </c>
      <c r="J60" s="98" t="s">
        <v>27</v>
      </c>
      <c r="K60" s="241" t="s">
        <v>94</v>
      </c>
      <c r="L60" s="242"/>
      <c r="M60" s="242"/>
      <c r="N60" s="242"/>
      <c r="O60" s="242"/>
      <c r="P60" s="242"/>
      <c r="Q60" s="243"/>
      <c r="R60" s="98">
        <v>1</v>
      </c>
      <c r="S60" s="98" t="s">
        <v>27</v>
      </c>
      <c r="T60" s="98"/>
      <c r="U60" s="98" t="s">
        <v>27</v>
      </c>
    </row>
    <row r="61" spans="1:21" ht="18" customHeight="1" x14ac:dyDescent="0.15">
      <c r="A61" s="52"/>
      <c r="B61" s="232" t="s">
        <v>80</v>
      </c>
      <c r="C61" s="233"/>
      <c r="D61" s="233"/>
      <c r="E61" s="233"/>
      <c r="F61" s="234"/>
      <c r="G61" s="90">
        <v>1</v>
      </c>
      <c r="H61" s="90" t="s">
        <v>27</v>
      </c>
      <c r="I61" s="90" t="s">
        <v>27</v>
      </c>
      <c r="J61" s="90" t="s">
        <v>27</v>
      </c>
      <c r="K61" s="232" t="s">
        <v>98</v>
      </c>
      <c r="L61" s="233"/>
      <c r="M61" s="233"/>
      <c r="N61" s="233"/>
      <c r="O61" s="233"/>
      <c r="P61" s="233"/>
      <c r="Q61" s="234"/>
      <c r="R61" s="90">
        <v>1</v>
      </c>
      <c r="S61" s="90" t="s">
        <v>27</v>
      </c>
      <c r="T61" s="90" t="s">
        <v>27</v>
      </c>
      <c r="U61" s="90"/>
    </row>
    <row r="62" spans="1:21" ht="18" customHeight="1" x14ac:dyDescent="0.15">
      <c r="A62" s="52"/>
      <c r="B62" s="232" t="s">
        <v>95</v>
      </c>
      <c r="C62" s="233"/>
      <c r="D62" s="233"/>
      <c r="E62" s="233"/>
      <c r="F62" s="234"/>
      <c r="G62" s="90">
        <v>1</v>
      </c>
      <c r="H62" s="90" t="s">
        <v>27</v>
      </c>
      <c r="I62" s="90" t="s">
        <v>27</v>
      </c>
      <c r="J62" s="90" t="s">
        <v>27</v>
      </c>
      <c r="K62" s="232" t="s">
        <v>96</v>
      </c>
      <c r="L62" s="233"/>
      <c r="M62" s="233"/>
      <c r="N62" s="233"/>
      <c r="O62" s="233"/>
      <c r="P62" s="233"/>
      <c r="Q62" s="234"/>
      <c r="R62" s="90">
        <v>1</v>
      </c>
      <c r="S62" s="90"/>
      <c r="T62" s="90" t="s">
        <v>27</v>
      </c>
      <c r="U62" s="90"/>
    </row>
    <row r="63" spans="1:21" ht="18" customHeight="1" x14ac:dyDescent="0.15">
      <c r="A63" s="52"/>
      <c r="B63" s="232" t="s">
        <v>97</v>
      </c>
      <c r="C63" s="233"/>
      <c r="D63" s="233"/>
      <c r="E63" s="233"/>
      <c r="F63" s="234"/>
      <c r="G63" s="90">
        <v>1</v>
      </c>
      <c r="H63" s="90"/>
      <c r="I63" s="90" t="s">
        <v>27</v>
      </c>
      <c r="J63" s="90" t="s">
        <v>27</v>
      </c>
      <c r="K63" s="232" t="s">
        <v>230</v>
      </c>
      <c r="L63" s="233"/>
      <c r="M63" s="233"/>
      <c r="N63" s="233"/>
      <c r="O63" s="233"/>
      <c r="P63" s="233"/>
      <c r="Q63" s="234"/>
      <c r="R63" s="90">
        <v>1</v>
      </c>
      <c r="S63" s="90" t="s">
        <v>27</v>
      </c>
      <c r="T63" s="90" t="s">
        <v>27</v>
      </c>
      <c r="U63" s="90"/>
    </row>
    <row r="64" spans="1:21" ht="18" customHeight="1" x14ac:dyDescent="0.15">
      <c r="A64" s="52"/>
      <c r="B64" s="232"/>
      <c r="C64" s="233"/>
      <c r="D64" s="233"/>
      <c r="E64" s="233"/>
      <c r="F64" s="234"/>
      <c r="G64" s="90"/>
      <c r="H64" s="90"/>
      <c r="I64" s="90"/>
      <c r="J64" s="90"/>
      <c r="K64" s="232"/>
      <c r="L64" s="233"/>
      <c r="M64" s="233"/>
      <c r="N64" s="233"/>
      <c r="O64" s="233"/>
      <c r="P64" s="233"/>
      <c r="Q64" s="234"/>
      <c r="R64" s="90"/>
      <c r="S64" s="90"/>
      <c r="T64" s="90"/>
      <c r="U64" s="90"/>
    </row>
    <row r="65" spans="1:21" ht="18" customHeight="1" x14ac:dyDescent="0.15">
      <c r="A65" s="52"/>
      <c r="B65" s="232"/>
      <c r="C65" s="233"/>
      <c r="D65" s="233"/>
      <c r="E65" s="233"/>
      <c r="F65" s="234"/>
      <c r="G65" s="90"/>
      <c r="H65" s="90"/>
      <c r="I65" s="90"/>
      <c r="J65" s="90"/>
      <c r="K65" s="232"/>
      <c r="L65" s="233"/>
      <c r="M65" s="233"/>
      <c r="N65" s="233"/>
      <c r="O65" s="233"/>
      <c r="P65" s="233"/>
      <c r="Q65" s="234"/>
      <c r="R65" s="90"/>
      <c r="S65" s="90"/>
      <c r="T65" s="90"/>
      <c r="U65" s="90"/>
    </row>
    <row r="66" spans="1:21" ht="18" customHeight="1" x14ac:dyDescent="0.15">
      <c r="A66" s="52"/>
      <c r="B66" s="221"/>
      <c r="C66" s="222"/>
      <c r="D66" s="222"/>
      <c r="E66" s="222"/>
      <c r="F66" s="223"/>
      <c r="G66" s="102"/>
      <c r="H66" s="102"/>
      <c r="I66" s="103"/>
      <c r="J66" s="103"/>
      <c r="K66" s="221"/>
      <c r="L66" s="222"/>
      <c r="M66" s="222"/>
      <c r="N66" s="222"/>
      <c r="O66" s="222"/>
      <c r="P66" s="222"/>
      <c r="Q66" s="223"/>
      <c r="R66" s="102"/>
      <c r="S66" s="102"/>
      <c r="T66" s="103"/>
      <c r="U66" s="103"/>
    </row>
    <row r="67" spans="1:21" ht="7.5" customHeight="1" x14ac:dyDescent="0.15">
      <c r="B67" s="105"/>
      <c r="C67" s="105"/>
      <c r="D67" s="105"/>
      <c r="E67" s="105"/>
      <c r="F67" s="105"/>
      <c r="G67" s="105"/>
      <c r="H67" s="105"/>
      <c r="I67" s="105"/>
      <c r="J67" s="105"/>
      <c r="K67" s="105"/>
      <c r="L67" s="105"/>
      <c r="M67" s="105"/>
      <c r="N67" s="105"/>
      <c r="O67" s="105"/>
      <c r="P67" s="105"/>
      <c r="Q67" s="105"/>
      <c r="R67" s="105"/>
      <c r="S67" s="105"/>
      <c r="T67" s="105"/>
    </row>
    <row r="68" spans="1:21" ht="18" customHeight="1" x14ac:dyDescent="0.15">
      <c r="A68" s="262" t="s">
        <v>37</v>
      </c>
      <c r="B68" s="262"/>
      <c r="C68" s="262"/>
      <c r="D68" s="262"/>
      <c r="E68" s="262"/>
      <c r="F68" s="262"/>
      <c r="G68" s="262"/>
      <c r="H68" s="262"/>
      <c r="I68" s="262"/>
      <c r="J68" s="262"/>
      <c r="K68" s="262"/>
      <c r="L68" s="262"/>
      <c r="M68" s="262"/>
      <c r="N68" s="262"/>
      <c r="O68" s="262"/>
      <c r="P68" s="262"/>
      <c r="Q68" s="262"/>
      <c r="R68" s="262"/>
      <c r="S68" s="262"/>
      <c r="T68" s="262"/>
      <c r="U68" s="262"/>
    </row>
    <row r="69" spans="1:21" ht="18" customHeight="1" x14ac:dyDescent="0.15">
      <c r="A69" s="262"/>
      <c r="B69" s="262"/>
      <c r="C69" s="262"/>
      <c r="D69" s="262"/>
      <c r="E69" s="262"/>
      <c r="F69" s="262"/>
      <c r="G69" s="262"/>
      <c r="H69" s="262"/>
      <c r="I69" s="262"/>
      <c r="J69" s="262"/>
      <c r="K69" s="262"/>
      <c r="L69" s="262"/>
      <c r="M69" s="262"/>
      <c r="N69" s="262"/>
      <c r="O69" s="262"/>
      <c r="P69" s="262"/>
      <c r="Q69" s="262"/>
      <c r="R69" s="262"/>
      <c r="S69" s="262"/>
      <c r="T69" s="262"/>
      <c r="U69" s="262"/>
    </row>
    <row r="70" spans="1:21" ht="18" customHeight="1" x14ac:dyDescent="0.15">
      <c r="B70" s="229" t="s">
        <v>21</v>
      </c>
      <c r="C70" s="230"/>
      <c r="D70" s="230"/>
      <c r="E70" s="230"/>
      <c r="F70" s="95" t="s">
        <v>22</v>
      </c>
      <c r="G70" s="96" t="s">
        <v>23</v>
      </c>
      <c r="H70" s="97" t="s">
        <v>38</v>
      </c>
      <c r="I70" s="97" t="s">
        <v>39</v>
      </c>
      <c r="J70" s="97" t="s">
        <v>40</v>
      </c>
      <c r="K70" s="229" t="s">
        <v>21</v>
      </c>
      <c r="L70" s="230"/>
      <c r="M70" s="230"/>
      <c r="N70" s="230"/>
      <c r="O70" s="230"/>
      <c r="P70" s="231"/>
      <c r="Q70" s="95" t="s">
        <v>22</v>
      </c>
      <c r="R70" s="96" t="s">
        <v>23</v>
      </c>
      <c r="S70" s="97" t="s">
        <v>38</v>
      </c>
      <c r="T70" s="97" t="s">
        <v>39</v>
      </c>
      <c r="U70" s="97" t="s">
        <v>40</v>
      </c>
    </row>
    <row r="71" spans="1:21" ht="18" customHeight="1" x14ac:dyDescent="0.15">
      <c r="A71" s="52"/>
      <c r="B71" s="241" t="s">
        <v>86</v>
      </c>
      <c r="C71" s="242"/>
      <c r="D71" s="242"/>
      <c r="E71" s="242"/>
      <c r="F71" s="98">
        <v>1</v>
      </c>
      <c r="G71" s="98" t="s">
        <v>27</v>
      </c>
      <c r="H71" s="98" t="s">
        <v>27</v>
      </c>
      <c r="I71" s="98" t="s">
        <v>27</v>
      </c>
      <c r="J71" s="98" t="s">
        <v>27</v>
      </c>
      <c r="K71" s="263" t="s">
        <v>94</v>
      </c>
      <c r="L71" s="264"/>
      <c r="M71" s="264"/>
      <c r="N71" s="264"/>
      <c r="O71" s="264"/>
      <c r="P71" s="265"/>
      <c r="Q71" s="98">
        <v>1</v>
      </c>
      <c r="R71" s="98" t="s">
        <v>27</v>
      </c>
      <c r="S71" s="98" t="s">
        <v>27</v>
      </c>
      <c r="T71" s="98" t="s">
        <v>27</v>
      </c>
      <c r="U71" s="98"/>
    </row>
    <row r="72" spans="1:21" ht="18" customHeight="1" x14ac:dyDescent="0.15">
      <c r="A72" s="52"/>
      <c r="B72" s="232" t="s">
        <v>80</v>
      </c>
      <c r="C72" s="233"/>
      <c r="D72" s="233"/>
      <c r="E72" s="233"/>
      <c r="F72" s="90">
        <v>1</v>
      </c>
      <c r="G72" s="90" t="s">
        <v>27</v>
      </c>
      <c r="H72" s="90" t="s">
        <v>27</v>
      </c>
      <c r="I72" s="90" t="s">
        <v>27</v>
      </c>
      <c r="J72" s="90" t="s">
        <v>27</v>
      </c>
      <c r="K72" s="253" t="s">
        <v>99</v>
      </c>
      <c r="L72" s="254"/>
      <c r="M72" s="254"/>
      <c r="N72" s="254"/>
      <c r="O72" s="254"/>
      <c r="P72" s="255"/>
      <c r="Q72" s="90">
        <v>1</v>
      </c>
      <c r="R72" s="90" t="s">
        <v>27</v>
      </c>
      <c r="S72" s="90" t="s">
        <v>27</v>
      </c>
      <c r="T72" s="90" t="s">
        <v>27</v>
      </c>
      <c r="U72" s="90"/>
    </row>
    <row r="73" spans="1:21" ht="18" customHeight="1" x14ac:dyDescent="0.15">
      <c r="A73" s="52"/>
      <c r="B73" s="232" t="s">
        <v>93</v>
      </c>
      <c r="C73" s="233"/>
      <c r="D73" s="233"/>
      <c r="E73" s="233"/>
      <c r="F73" s="90">
        <v>2</v>
      </c>
      <c r="G73" s="90"/>
      <c r="H73" s="90" t="s">
        <v>27</v>
      </c>
      <c r="I73" s="90" t="s">
        <v>27</v>
      </c>
      <c r="J73" s="90" t="s">
        <v>27</v>
      </c>
      <c r="K73" s="253" t="s">
        <v>100</v>
      </c>
      <c r="L73" s="254"/>
      <c r="M73" s="254"/>
      <c r="N73" s="254"/>
      <c r="O73" s="254"/>
      <c r="P73" s="255"/>
      <c r="Q73" s="90">
        <v>1</v>
      </c>
      <c r="R73" s="90"/>
      <c r="S73" s="90" t="s">
        <v>27</v>
      </c>
      <c r="T73" s="90" t="s">
        <v>27</v>
      </c>
      <c r="U73" s="90"/>
    </row>
    <row r="74" spans="1:21" ht="18" customHeight="1" x14ac:dyDescent="0.15">
      <c r="A74" s="52"/>
      <c r="B74" s="232" t="s">
        <v>95</v>
      </c>
      <c r="C74" s="233"/>
      <c r="D74" s="233"/>
      <c r="E74" s="233"/>
      <c r="F74" s="90">
        <v>1</v>
      </c>
      <c r="G74" s="90" t="s">
        <v>27</v>
      </c>
      <c r="H74" s="90" t="s">
        <v>27</v>
      </c>
      <c r="I74" s="90"/>
      <c r="J74" s="90"/>
      <c r="K74" s="253" t="s">
        <v>88</v>
      </c>
      <c r="L74" s="254"/>
      <c r="M74" s="254"/>
      <c r="N74" s="254"/>
      <c r="O74" s="254"/>
      <c r="P74" s="255"/>
      <c r="Q74" s="90">
        <v>1</v>
      </c>
      <c r="R74" s="90"/>
      <c r="S74" s="90" t="s">
        <v>27</v>
      </c>
      <c r="T74" s="90" t="s">
        <v>27</v>
      </c>
      <c r="U74" s="90" t="s">
        <v>27</v>
      </c>
    </row>
    <row r="75" spans="1:21" ht="18" customHeight="1" x14ac:dyDescent="0.15">
      <c r="A75" s="52"/>
      <c r="B75" s="232" t="s">
        <v>91</v>
      </c>
      <c r="C75" s="233"/>
      <c r="D75" s="233"/>
      <c r="E75" s="234"/>
      <c r="F75" s="90">
        <v>1</v>
      </c>
      <c r="G75" s="90"/>
      <c r="H75" s="90" t="s">
        <v>27</v>
      </c>
      <c r="I75" s="90" t="s">
        <v>27</v>
      </c>
      <c r="J75" s="90" t="s">
        <v>27</v>
      </c>
      <c r="K75" s="253" t="s">
        <v>101</v>
      </c>
      <c r="L75" s="254"/>
      <c r="M75" s="254"/>
      <c r="N75" s="254"/>
      <c r="O75" s="254"/>
      <c r="P75" s="255"/>
      <c r="Q75" s="90">
        <v>1</v>
      </c>
      <c r="R75" s="90" t="s">
        <v>27</v>
      </c>
      <c r="S75" s="90" t="s">
        <v>27</v>
      </c>
      <c r="T75" s="90" t="s">
        <v>27</v>
      </c>
      <c r="U75" s="90" t="s">
        <v>27</v>
      </c>
    </row>
    <row r="76" spans="1:21" ht="18" customHeight="1" x14ac:dyDescent="0.15">
      <c r="A76" s="52"/>
      <c r="B76" s="87"/>
      <c r="C76" s="88"/>
      <c r="D76" s="88"/>
      <c r="E76" s="88"/>
      <c r="F76" s="90"/>
      <c r="G76" s="90"/>
      <c r="H76" s="90"/>
      <c r="I76" s="90"/>
      <c r="J76" s="90"/>
      <c r="K76" s="253" t="s">
        <v>98</v>
      </c>
      <c r="L76" s="254"/>
      <c r="M76" s="254"/>
      <c r="N76" s="254"/>
      <c r="O76" s="254"/>
      <c r="P76" s="255"/>
      <c r="Q76" s="90">
        <v>1</v>
      </c>
      <c r="R76" s="90" t="s">
        <v>27</v>
      </c>
      <c r="S76" s="90" t="s">
        <v>27</v>
      </c>
      <c r="T76" s="90" t="s">
        <v>27</v>
      </c>
      <c r="U76" s="90" t="s">
        <v>27</v>
      </c>
    </row>
    <row r="77" spans="1:21" ht="18" customHeight="1" x14ac:dyDescent="0.15">
      <c r="A77" s="52"/>
      <c r="B77" s="232"/>
      <c r="C77" s="233"/>
      <c r="D77" s="233"/>
      <c r="E77" s="233"/>
      <c r="F77" s="90"/>
      <c r="G77" s="90"/>
      <c r="H77" s="90"/>
      <c r="I77" s="90"/>
      <c r="J77" s="90"/>
      <c r="K77" s="253"/>
      <c r="L77" s="254"/>
      <c r="M77" s="254"/>
      <c r="N77" s="254"/>
      <c r="O77" s="254"/>
      <c r="P77" s="255"/>
      <c r="Q77" s="106"/>
      <c r="R77" s="106"/>
      <c r="S77" s="107"/>
      <c r="T77" s="107"/>
      <c r="U77" s="107"/>
    </row>
    <row r="78" spans="1:21" ht="18" customHeight="1" x14ac:dyDescent="0.15">
      <c r="A78" s="52"/>
      <c r="B78" s="221"/>
      <c r="C78" s="222"/>
      <c r="D78" s="222"/>
      <c r="E78" s="222"/>
      <c r="F78" s="102"/>
      <c r="G78" s="102"/>
      <c r="H78" s="103"/>
      <c r="I78" s="103"/>
      <c r="J78" s="103"/>
      <c r="K78" s="256"/>
      <c r="L78" s="257"/>
      <c r="M78" s="257"/>
      <c r="N78" s="257"/>
      <c r="O78" s="257"/>
      <c r="P78" s="258"/>
      <c r="Q78" s="103"/>
      <c r="R78" s="103"/>
      <c r="S78" s="103"/>
      <c r="T78" s="103"/>
      <c r="U78" s="103"/>
    </row>
    <row r="79" spans="1:21" ht="7.5" customHeight="1" x14ac:dyDescent="0.15">
      <c r="B79" s="105"/>
      <c r="C79" s="105"/>
      <c r="D79" s="105"/>
      <c r="E79" s="105"/>
      <c r="F79" s="105"/>
      <c r="G79" s="105"/>
      <c r="H79" s="105"/>
      <c r="I79" s="105"/>
      <c r="J79" s="105"/>
      <c r="K79" s="105"/>
      <c r="L79" s="105"/>
      <c r="M79" s="105"/>
      <c r="N79" s="105"/>
      <c r="O79" s="105"/>
      <c r="P79" s="105"/>
      <c r="Q79" s="105"/>
      <c r="R79" s="105"/>
      <c r="S79" s="105"/>
      <c r="T79" s="105"/>
    </row>
    <row r="80" spans="1:21" ht="18" customHeight="1" x14ac:dyDescent="0.15">
      <c r="A80" s="51" t="s">
        <v>42</v>
      </c>
      <c r="I80" s="52"/>
      <c r="J80" s="52"/>
      <c r="K80" s="52"/>
      <c r="L80" s="52"/>
      <c r="M80" s="52"/>
      <c r="N80" s="52"/>
      <c r="O80" s="52"/>
      <c r="P80" s="52"/>
      <c r="Q80" s="52"/>
      <c r="R80" s="52"/>
      <c r="S80" s="52"/>
      <c r="T80" s="52"/>
      <c r="U80" s="52"/>
    </row>
    <row r="81" spans="1:21" ht="18" customHeight="1" x14ac:dyDescent="0.15">
      <c r="B81" s="229" t="s">
        <v>21</v>
      </c>
      <c r="C81" s="230"/>
      <c r="D81" s="230"/>
      <c r="E81" s="230"/>
      <c r="F81" s="231"/>
      <c r="G81" s="229" t="s">
        <v>43</v>
      </c>
      <c r="H81" s="230"/>
      <c r="I81" s="230"/>
      <c r="J81" s="231"/>
      <c r="K81" s="259" t="s">
        <v>21</v>
      </c>
      <c r="L81" s="260"/>
      <c r="M81" s="260"/>
      <c r="N81" s="260"/>
      <c r="O81" s="260"/>
      <c r="P81" s="260"/>
      <c r="Q81" s="261"/>
      <c r="R81" s="229" t="s">
        <v>43</v>
      </c>
      <c r="S81" s="230"/>
      <c r="T81" s="230"/>
      <c r="U81" s="231"/>
    </row>
    <row r="82" spans="1:21" ht="18" customHeight="1" x14ac:dyDescent="0.15">
      <c r="A82" s="52"/>
      <c r="B82" s="241" t="s">
        <v>80</v>
      </c>
      <c r="C82" s="242"/>
      <c r="D82" s="242"/>
      <c r="E82" s="242"/>
      <c r="F82" s="243"/>
      <c r="G82" s="244" t="s">
        <v>102</v>
      </c>
      <c r="H82" s="245"/>
      <c r="I82" s="245"/>
      <c r="J82" s="246"/>
      <c r="K82" s="247" t="s">
        <v>92</v>
      </c>
      <c r="L82" s="248"/>
      <c r="M82" s="248"/>
      <c r="N82" s="248"/>
      <c r="O82" s="248"/>
      <c r="P82" s="248"/>
      <c r="Q82" s="249"/>
      <c r="R82" s="250" t="s">
        <v>51</v>
      </c>
      <c r="S82" s="251"/>
      <c r="T82" s="251"/>
      <c r="U82" s="252"/>
    </row>
    <row r="83" spans="1:21" ht="18" customHeight="1" x14ac:dyDescent="0.15">
      <c r="A83" s="52"/>
      <c r="B83" s="232" t="s">
        <v>91</v>
      </c>
      <c r="C83" s="233"/>
      <c r="D83" s="233"/>
      <c r="E83" s="233"/>
      <c r="F83" s="234"/>
      <c r="G83" s="235" t="s">
        <v>102</v>
      </c>
      <c r="H83" s="236"/>
      <c r="I83" s="236"/>
      <c r="J83" s="237"/>
      <c r="K83" s="238" t="s">
        <v>92</v>
      </c>
      <c r="L83" s="239"/>
      <c r="M83" s="239"/>
      <c r="N83" s="239"/>
      <c r="O83" s="239"/>
      <c r="P83" s="239"/>
      <c r="Q83" s="240"/>
      <c r="R83" s="238" t="s">
        <v>102</v>
      </c>
      <c r="S83" s="239"/>
      <c r="T83" s="239"/>
      <c r="U83" s="240"/>
    </row>
    <row r="84" spans="1:21" ht="18" customHeight="1" x14ac:dyDescent="0.15">
      <c r="A84" s="52"/>
      <c r="B84" s="232"/>
      <c r="C84" s="233"/>
      <c r="D84" s="233"/>
      <c r="E84" s="233"/>
      <c r="F84" s="234"/>
      <c r="G84" s="235"/>
      <c r="H84" s="236"/>
      <c r="I84" s="236"/>
      <c r="J84" s="237"/>
      <c r="K84" s="238"/>
      <c r="L84" s="239"/>
      <c r="M84" s="239"/>
      <c r="N84" s="239"/>
      <c r="O84" s="239"/>
      <c r="P84" s="239"/>
      <c r="Q84" s="240"/>
      <c r="R84" s="238"/>
      <c r="S84" s="239"/>
      <c r="T84" s="239"/>
      <c r="U84" s="240"/>
    </row>
    <row r="85" spans="1:21" ht="18" customHeight="1" x14ac:dyDescent="0.15">
      <c r="A85" s="52"/>
      <c r="B85" s="232"/>
      <c r="C85" s="233"/>
      <c r="D85" s="233"/>
      <c r="E85" s="233"/>
      <c r="F85" s="234"/>
      <c r="G85" s="235"/>
      <c r="H85" s="236"/>
      <c r="I85" s="236"/>
      <c r="J85" s="237"/>
      <c r="K85" s="238"/>
      <c r="L85" s="239"/>
      <c r="M85" s="239"/>
      <c r="N85" s="239"/>
      <c r="O85" s="239"/>
      <c r="P85" s="239"/>
      <c r="Q85" s="240"/>
      <c r="R85" s="238"/>
      <c r="S85" s="239"/>
      <c r="T85" s="239"/>
      <c r="U85" s="240"/>
    </row>
    <row r="86" spans="1:21" ht="18" customHeight="1" x14ac:dyDescent="0.15">
      <c r="A86" s="52"/>
      <c r="B86" s="232"/>
      <c r="C86" s="233"/>
      <c r="D86" s="233"/>
      <c r="E86" s="233"/>
      <c r="F86" s="234"/>
      <c r="G86" s="235"/>
      <c r="H86" s="236"/>
      <c r="I86" s="236"/>
      <c r="J86" s="237"/>
      <c r="K86" s="238"/>
      <c r="L86" s="239"/>
      <c r="M86" s="239"/>
      <c r="N86" s="239"/>
      <c r="O86" s="239"/>
      <c r="P86" s="239"/>
      <c r="Q86" s="240"/>
      <c r="R86" s="238"/>
      <c r="S86" s="239"/>
      <c r="T86" s="239"/>
      <c r="U86" s="240"/>
    </row>
    <row r="87" spans="1:21" ht="18" customHeight="1" x14ac:dyDescent="0.15">
      <c r="A87" s="52"/>
      <c r="B87" s="232"/>
      <c r="C87" s="233"/>
      <c r="D87" s="233"/>
      <c r="E87" s="233"/>
      <c r="F87" s="234"/>
      <c r="G87" s="235"/>
      <c r="H87" s="236"/>
      <c r="I87" s="236"/>
      <c r="J87" s="237"/>
      <c r="K87" s="88"/>
      <c r="M87" s="88"/>
      <c r="N87" s="88"/>
      <c r="O87" s="88"/>
      <c r="P87" s="88"/>
      <c r="Q87" s="89"/>
      <c r="R87" s="235"/>
      <c r="S87" s="236"/>
      <c r="T87" s="236"/>
      <c r="U87" s="237"/>
    </row>
    <row r="88" spans="1:21" ht="18" customHeight="1" x14ac:dyDescent="0.15">
      <c r="A88" s="52"/>
      <c r="B88" s="221"/>
      <c r="C88" s="222"/>
      <c r="D88" s="222"/>
      <c r="E88" s="222"/>
      <c r="F88" s="223"/>
      <c r="G88" s="224"/>
      <c r="H88" s="225"/>
      <c r="I88" s="225"/>
      <c r="J88" s="226"/>
      <c r="K88" s="99"/>
      <c r="L88" s="100"/>
      <c r="M88" s="100"/>
      <c r="N88" s="100"/>
      <c r="O88" s="100"/>
      <c r="P88" s="100"/>
      <c r="Q88" s="101"/>
      <c r="R88" s="224"/>
      <c r="S88" s="225"/>
      <c r="T88" s="225"/>
      <c r="U88" s="226"/>
    </row>
    <row r="89" spans="1:21" ht="18" customHeight="1" x14ac:dyDescent="0.15">
      <c r="A89" s="52"/>
      <c r="B89" s="54"/>
      <c r="C89" s="54"/>
      <c r="D89" s="54"/>
      <c r="E89" s="54"/>
      <c r="F89" s="54"/>
      <c r="G89" s="55"/>
      <c r="H89" s="55"/>
      <c r="I89" s="55"/>
      <c r="J89" s="55"/>
      <c r="K89" s="54"/>
      <c r="L89" s="54"/>
      <c r="M89" s="54"/>
      <c r="N89" s="54"/>
      <c r="O89" s="54"/>
      <c r="P89" s="54"/>
      <c r="Q89" s="54"/>
      <c r="R89" s="55"/>
      <c r="S89" s="55"/>
      <c r="T89" s="55"/>
      <c r="U89" s="55"/>
    </row>
    <row r="90" spans="1:21" ht="18.75" customHeight="1" x14ac:dyDescent="0.15">
      <c r="A90" s="51" t="s">
        <v>59</v>
      </c>
    </row>
    <row r="91" spans="1:21" ht="18.75" customHeight="1" x14ac:dyDescent="0.15">
      <c r="B91" s="227" t="s">
        <v>61</v>
      </c>
      <c r="C91" s="228"/>
      <c r="D91" s="229" t="s">
        <v>62</v>
      </c>
      <c r="E91" s="230"/>
      <c r="F91" s="230"/>
      <c r="G91" s="230"/>
      <c r="H91" s="230"/>
      <c r="I91" s="230"/>
      <c r="J91" s="230"/>
      <c r="K91" s="230"/>
      <c r="L91" s="230"/>
      <c r="M91" s="230"/>
      <c r="N91" s="230"/>
      <c r="O91" s="230"/>
      <c r="P91" s="230"/>
      <c r="Q91" s="230"/>
      <c r="R91" s="230"/>
      <c r="S91" s="230"/>
      <c r="T91" s="230"/>
      <c r="U91" s="231"/>
    </row>
    <row r="92" spans="1:21" ht="94.5" customHeight="1" x14ac:dyDescent="0.15">
      <c r="B92" s="212" t="s">
        <v>63</v>
      </c>
      <c r="C92" s="108" t="s">
        <v>24</v>
      </c>
      <c r="D92" s="185" t="s">
        <v>238</v>
      </c>
      <c r="E92" s="186"/>
      <c r="F92" s="186"/>
      <c r="G92" s="186"/>
      <c r="H92" s="186"/>
      <c r="I92" s="186"/>
      <c r="J92" s="186"/>
      <c r="K92" s="186"/>
      <c r="L92" s="186"/>
      <c r="M92" s="186"/>
      <c r="N92" s="186"/>
      <c r="O92" s="186"/>
      <c r="P92" s="186"/>
      <c r="Q92" s="186"/>
      <c r="R92" s="186"/>
      <c r="S92" s="186"/>
      <c r="T92" s="186"/>
      <c r="U92" s="187"/>
    </row>
    <row r="93" spans="1:21" ht="73.5" customHeight="1" x14ac:dyDescent="0.15">
      <c r="B93" s="214"/>
      <c r="C93" s="109" t="s">
        <v>65</v>
      </c>
      <c r="D93" s="191" t="s">
        <v>232</v>
      </c>
      <c r="E93" s="192"/>
      <c r="F93" s="192"/>
      <c r="G93" s="192"/>
      <c r="H93" s="192"/>
      <c r="I93" s="192"/>
      <c r="J93" s="192"/>
      <c r="K93" s="192"/>
      <c r="L93" s="192"/>
      <c r="M93" s="192"/>
      <c r="N93" s="192"/>
      <c r="O93" s="192"/>
      <c r="P93" s="192"/>
      <c r="Q93" s="192"/>
      <c r="R93" s="192"/>
      <c r="S93" s="192"/>
      <c r="T93" s="192"/>
      <c r="U93" s="193"/>
    </row>
    <row r="94" spans="1:21" ht="99" customHeight="1" x14ac:dyDescent="0.15">
      <c r="B94" s="212" t="s">
        <v>67</v>
      </c>
      <c r="C94" s="110" t="s">
        <v>29</v>
      </c>
      <c r="D94" s="185" t="s">
        <v>233</v>
      </c>
      <c r="E94" s="186"/>
      <c r="F94" s="186"/>
      <c r="G94" s="186"/>
      <c r="H94" s="186"/>
      <c r="I94" s="186"/>
      <c r="J94" s="186"/>
      <c r="K94" s="186"/>
      <c r="L94" s="186"/>
      <c r="M94" s="186"/>
      <c r="N94" s="186"/>
      <c r="O94" s="186"/>
      <c r="P94" s="186"/>
      <c r="Q94" s="186"/>
      <c r="R94" s="186"/>
      <c r="S94" s="186"/>
      <c r="T94" s="186"/>
      <c r="U94" s="187"/>
    </row>
    <row r="95" spans="1:21" ht="84.75" customHeight="1" x14ac:dyDescent="0.15">
      <c r="B95" s="213"/>
      <c r="C95" s="111" t="s">
        <v>30</v>
      </c>
      <c r="D95" s="191" t="s">
        <v>231</v>
      </c>
      <c r="E95" s="192"/>
      <c r="F95" s="192"/>
      <c r="G95" s="192"/>
      <c r="H95" s="192"/>
      <c r="I95" s="192"/>
      <c r="J95" s="192"/>
      <c r="K95" s="192"/>
      <c r="L95" s="192"/>
      <c r="M95" s="192"/>
      <c r="N95" s="192"/>
      <c r="O95" s="192"/>
      <c r="P95" s="192"/>
      <c r="Q95" s="192"/>
      <c r="R95" s="192"/>
      <c r="S95" s="192"/>
      <c r="T95" s="192"/>
      <c r="U95" s="193"/>
    </row>
    <row r="96" spans="1:21" ht="105" customHeight="1" x14ac:dyDescent="0.15">
      <c r="B96" s="212" t="s">
        <v>69</v>
      </c>
      <c r="C96" s="110" t="s">
        <v>32</v>
      </c>
      <c r="D96" s="185" t="s">
        <v>239</v>
      </c>
      <c r="E96" s="186"/>
      <c r="F96" s="186"/>
      <c r="G96" s="186"/>
      <c r="H96" s="186"/>
      <c r="I96" s="186"/>
      <c r="J96" s="186"/>
      <c r="K96" s="186"/>
      <c r="L96" s="186"/>
      <c r="M96" s="186"/>
      <c r="N96" s="186"/>
      <c r="O96" s="186"/>
      <c r="P96" s="186"/>
      <c r="Q96" s="186"/>
      <c r="R96" s="186"/>
      <c r="S96" s="186"/>
      <c r="T96" s="186"/>
      <c r="U96" s="187"/>
    </row>
    <row r="97" spans="1:21" ht="90" customHeight="1" x14ac:dyDescent="0.15">
      <c r="B97" s="213"/>
      <c r="C97" s="112" t="s">
        <v>33</v>
      </c>
      <c r="D97" s="191" t="s">
        <v>234</v>
      </c>
      <c r="E97" s="192"/>
      <c r="F97" s="192"/>
      <c r="G97" s="192"/>
      <c r="H97" s="192"/>
      <c r="I97" s="192"/>
      <c r="J97" s="192"/>
      <c r="K97" s="192"/>
      <c r="L97" s="192"/>
      <c r="M97" s="192"/>
      <c r="N97" s="192"/>
      <c r="O97" s="192"/>
      <c r="P97" s="192"/>
      <c r="Q97" s="192"/>
      <c r="R97" s="192"/>
      <c r="S97" s="192"/>
      <c r="T97" s="192"/>
      <c r="U97" s="193"/>
    </row>
    <row r="98" spans="1:21" ht="101.25" customHeight="1" x14ac:dyDescent="0.15">
      <c r="B98" s="212" t="s">
        <v>71</v>
      </c>
      <c r="C98" s="108" t="s">
        <v>35</v>
      </c>
      <c r="D98" s="185" t="s">
        <v>235</v>
      </c>
      <c r="E98" s="186"/>
      <c r="F98" s="186"/>
      <c r="G98" s="186"/>
      <c r="H98" s="186"/>
      <c r="I98" s="186"/>
      <c r="J98" s="186"/>
      <c r="K98" s="186"/>
      <c r="L98" s="186"/>
      <c r="M98" s="186"/>
      <c r="N98" s="186"/>
      <c r="O98" s="186"/>
      <c r="P98" s="186"/>
      <c r="Q98" s="186"/>
      <c r="R98" s="186"/>
      <c r="S98" s="186"/>
      <c r="T98" s="186"/>
      <c r="U98" s="187"/>
    </row>
    <row r="99" spans="1:21" ht="123.75" customHeight="1" x14ac:dyDescent="0.15">
      <c r="B99" s="213"/>
      <c r="C99" s="111" t="s">
        <v>36</v>
      </c>
      <c r="D99" s="191" t="s">
        <v>237</v>
      </c>
      <c r="E99" s="192"/>
      <c r="F99" s="192"/>
      <c r="G99" s="192"/>
      <c r="H99" s="192"/>
      <c r="I99" s="192"/>
      <c r="J99" s="192"/>
      <c r="K99" s="192"/>
      <c r="L99" s="192"/>
      <c r="M99" s="192"/>
      <c r="N99" s="192"/>
      <c r="O99" s="192"/>
      <c r="P99" s="192"/>
      <c r="Q99" s="192"/>
      <c r="R99" s="192"/>
      <c r="S99" s="192"/>
      <c r="T99" s="192"/>
      <c r="U99" s="193"/>
    </row>
    <row r="100" spans="1:21" ht="258" customHeight="1" x14ac:dyDescent="0.15">
      <c r="B100" s="212" t="s">
        <v>72</v>
      </c>
      <c r="C100" s="110" t="s">
        <v>73</v>
      </c>
      <c r="D100" s="185" t="s">
        <v>240</v>
      </c>
      <c r="E100" s="215"/>
      <c r="F100" s="215"/>
      <c r="G100" s="215"/>
      <c r="H100" s="215"/>
      <c r="I100" s="215"/>
      <c r="J100" s="215"/>
      <c r="K100" s="215"/>
      <c r="L100" s="215"/>
      <c r="M100" s="215"/>
      <c r="N100" s="215"/>
      <c r="O100" s="215"/>
      <c r="P100" s="215"/>
      <c r="Q100" s="215"/>
      <c r="R100" s="215"/>
      <c r="S100" s="215"/>
      <c r="T100" s="215"/>
      <c r="U100" s="216"/>
    </row>
    <row r="101" spans="1:21" ht="205.5" customHeight="1" x14ac:dyDescent="0.15">
      <c r="B101" s="214"/>
      <c r="C101" s="113" t="s">
        <v>39</v>
      </c>
      <c r="D101" s="188" t="s">
        <v>241</v>
      </c>
      <c r="E101" s="217"/>
      <c r="F101" s="217"/>
      <c r="G101" s="217"/>
      <c r="H101" s="217"/>
      <c r="I101" s="217"/>
      <c r="J101" s="217"/>
      <c r="K101" s="217"/>
      <c r="L101" s="217"/>
      <c r="M101" s="217"/>
      <c r="N101" s="217"/>
      <c r="O101" s="217"/>
      <c r="P101" s="217"/>
      <c r="Q101" s="217"/>
      <c r="R101" s="217"/>
      <c r="S101" s="217"/>
      <c r="T101" s="217"/>
      <c r="U101" s="218"/>
    </row>
    <row r="102" spans="1:21" ht="150" customHeight="1" x14ac:dyDescent="0.15">
      <c r="B102" s="213"/>
      <c r="C102" s="112" t="s">
        <v>40</v>
      </c>
      <c r="D102" s="191" t="s">
        <v>236</v>
      </c>
      <c r="E102" s="219"/>
      <c r="F102" s="219"/>
      <c r="G102" s="219"/>
      <c r="H102" s="219"/>
      <c r="I102" s="219"/>
      <c r="J102" s="219"/>
      <c r="K102" s="219"/>
      <c r="L102" s="219"/>
      <c r="M102" s="219"/>
      <c r="N102" s="219"/>
      <c r="O102" s="219"/>
      <c r="P102" s="219"/>
      <c r="Q102" s="219"/>
      <c r="R102" s="219"/>
      <c r="S102" s="219"/>
      <c r="T102" s="219"/>
      <c r="U102" s="220"/>
    </row>
    <row r="103" spans="1:21" ht="6" customHeight="1" x14ac:dyDescent="0.15"/>
    <row r="104" spans="1:21" ht="18.75" customHeight="1" x14ac:dyDescent="0.15">
      <c r="A104" s="51" t="s">
        <v>74</v>
      </c>
    </row>
    <row r="105" spans="1:21" ht="81.75" customHeight="1" x14ac:dyDescent="0.15">
      <c r="B105" s="209" t="s">
        <v>215</v>
      </c>
      <c r="C105" s="210"/>
      <c r="D105" s="210"/>
      <c r="E105" s="210"/>
      <c r="F105" s="210"/>
      <c r="G105" s="210"/>
      <c r="H105" s="210"/>
      <c r="I105" s="210"/>
      <c r="J105" s="210"/>
      <c r="K105" s="210"/>
      <c r="L105" s="210"/>
      <c r="M105" s="210"/>
      <c r="N105" s="210"/>
      <c r="O105" s="210"/>
      <c r="P105" s="210"/>
      <c r="Q105" s="210"/>
      <c r="R105" s="210"/>
      <c r="S105" s="210"/>
      <c r="T105" s="210"/>
      <c r="U105" s="211"/>
    </row>
    <row r="108" spans="1:21" ht="18" customHeight="1" x14ac:dyDescent="0.15"/>
  </sheetData>
  <mergeCells count="143">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K76:P76"/>
    <mergeCell ref="B77:E77"/>
    <mergeCell ref="K77:P77"/>
    <mergeCell ref="B78:E78"/>
    <mergeCell ref="K78:P78"/>
    <mergeCell ref="B81:F81"/>
    <mergeCell ref="G81:J81"/>
    <mergeCell ref="K81:Q81"/>
    <mergeCell ref="B73:E73"/>
    <mergeCell ref="K73:P73"/>
    <mergeCell ref="B74:E74"/>
    <mergeCell ref="K74:P74"/>
    <mergeCell ref="B75:E75"/>
    <mergeCell ref="K75:P75"/>
    <mergeCell ref="B84:F84"/>
    <mergeCell ref="G84:J84"/>
    <mergeCell ref="K84:Q84"/>
    <mergeCell ref="R84:U84"/>
    <mergeCell ref="B85:F85"/>
    <mergeCell ref="G85:J85"/>
    <mergeCell ref="K85:Q85"/>
    <mergeCell ref="R85:U85"/>
    <mergeCell ref="R81:U81"/>
    <mergeCell ref="B82:F82"/>
    <mergeCell ref="G82:J82"/>
    <mergeCell ref="K82:Q82"/>
    <mergeCell ref="R82:U82"/>
    <mergeCell ref="B83:F83"/>
    <mergeCell ref="G83:J83"/>
    <mergeCell ref="K83:Q83"/>
    <mergeCell ref="R83:U83"/>
    <mergeCell ref="B88:F88"/>
    <mergeCell ref="G88:J88"/>
    <mergeCell ref="R88:U88"/>
    <mergeCell ref="B91:C91"/>
    <mergeCell ref="D91:U91"/>
    <mergeCell ref="B92:B93"/>
    <mergeCell ref="D92:U92"/>
    <mergeCell ref="D93:U93"/>
    <mergeCell ref="B86:F86"/>
    <mergeCell ref="G86:J86"/>
    <mergeCell ref="K86:Q86"/>
    <mergeCell ref="R86:U86"/>
    <mergeCell ref="B87:F87"/>
    <mergeCell ref="G87:J87"/>
    <mergeCell ref="R87:U87"/>
    <mergeCell ref="B105:U105"/>
    <mergeCell ref="B98:B99"/>
    <mergeCell ref="D98:U98"/>
    <mergeCell ref="D99:U99"/>
    <mergeCell ref="B100:B102"/>
    <mergeCell ref="D100:U100"/>
    <mergeCell ref="D101:U101"/>
    <mergeCell ref="D102:U102"/>
    <mergeCell ref="B94:B95"/>
    <mergeCell ref="D94:U94"/>
    <mergeCell ref="D95:U95"/>
    <mergeCell ref="B96:B97"/>
    <mergeCell ref="D96:U96"/>
    <mergeCell ref="D97:U97"/>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38:U44 R71:U78 H38:J44 G71:J78 S49:U55 H49:J55 S27:U33 H60:J66 S60:U66" xr:uid="{E15812F4-1EE7-421C-9739-6A50553DAB44}">
      <formula1>"○"</formula1>
    </dataValidation>
    <dataValidation type="list" allowBlank="1" showInputMessage="1" showErrorMessage="1" sqref="U34 U45 E34:H34 E45:H45" xr:uid="{9BB2C88F-547B-4110-A7CE-9621B3E6123B}">
      <formula1>"全学開講,一部開講"</formula1>
    </dataValidation>
    <dataValidation type="list" allowBlank="1" showInputMessage="1" showErrorMessage="1" sqref="L14 L7:U7" xr:uid="{55F6CD74-0C5E-4C6F-BC62-051594E999A0}">
      <formula1>"学部・学科によって、修了要件は相違する,学部・学科によって、修了要件は相違しない"</formula1>
    </dataValidation>
    <dataValidation type="list" allowBlank="1" showInputMessage="1" showErrorMessage="1" sqref="G89:J89 R89:U89 H82:J82 G82:G83" xr:uid="{7936156B-4600-4C91-A9DA-265871C8354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B6E65185-891E-4445-A12A-15C8889FFCBF}">
      <formula1>$X$16:$X$18</formula1>
    </dataValidation>
    <dataValidation type="list" allowBlank="1" showInputMessage="1" showErrorMessage="1" sqref="R82:U88 G84:J88" xr:uid="{D22AED75-DEE4-4A61-B8A5-765894FFDB67}">
      <formula1>#REF!</formula1>
    </dataValidation>
  </dataValidations>
  <printOptions horizontalCentered="1"/>
  <pageMargins left="0.59055118110236227" right="0.59055118110236227" top="0.78740157480314965" bottom="0.19685039370078741" header="0.31496062992125984" footer="0.19685039370078741"/>
  <pageSetup paperSize="9" scale="70" fitToHeight="0" orientation="portrait" r:id="rId1"/>
  <headerFooter>
    <oddHeader>&amp;C数理・データサイエンス・AI教育プログラム認定制度【リテラシーレベル】令和７年度申請用</oddHeader>
  </headerFooter>
  <rowBreaks count="2" manualBreakCount="2">
    <brk id="67" max="20" man="1"/>
    <brk id="99"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W33"/>
  <sheetViews>
    <sheetView view="pageBreakPreview" zoomScaleNormal="100" zoomScaleSheetLayoutView="100" workbookViewId="0">
      <selection activeCell="W100" sqref="W100"/>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21" width="9" style="1"/>
    <col min="22" max="22" width="34.25" style="1" customWidth="1"/>
    <col min="23" max="16384" width="9" style="1"/>
  </cols>
  <sheetData>
    <row r="1" spans="1:23" ht="18" customHeight="1" x14ac:dyDescent="0.15">
      <c r="A1" s="51"/>
      <c r="B1" s="51"/>
      <c r="C1" s="51"/>
      <c r="D1" s="51"/>
      <c r="E1" s="51"/>
      <c r="F1" s="51"/>
      <c r="G1" s="51"/>
      <c r="H1" s="51"/>
      <c r="I1" s="51"/>
      <c r="J1" s="51"/>
      <c r="K1" s="51"/>
      <c r="L1" s="51"/>
      <c r="M1" s="51"/>
      <c r="N1" s="51"/>
      <c r="O1" s="51"/>
      <c r="P1" s="51"/>
      <c r="Q1" s="51"/>
      <c r="R1" s="51"/>
      <c r="S1" s="51" t="s">
        <v>103</v>
      </c>
    </row>
    <row r="2" spans="1:23" ht="18" customHeight="1" x14ac:dyDescent="0.15">
      <c r="A2" s="51"/>
      <c r="B2" s="51"/>
      <c r="C2" s="51"/>
      <c r="D2" s="51"/>
      <c r="E2" s="51"/>
      <c r="F2" s="51"/>
      <c r="G2" s="51"/>
      <c r="H2" s="51"/>
      <c r="I2" s="51"/>
      <c r="J2" s="51"/>
      <c r="K2" s="51"/>
      <c r="L2" s="51"/>
      <c r="M2" s="51"/>
      <c r="N2" s="51"/>
      <c r="O2" s="51"/>
      <c r="P2" s="51"/>
      <c r="Q2" s="287" t="str">
        <f>'様式１-１　プログラムを構成する授業科目'!C2</f>
        <v>藤田医科大学</v>
      </c>
      <c r="R2" s="287"/>
      <c r="S2" s="287"/>
    </row>
    <row r="3" spans="1:23" ht="18" customHeight="1" x14ac:dyDescent="0.15">
      <c r="A3" s="138" t="s">
        <v>104</v>
      </c>
      <c r="B3" s="138"/>
      <c r="C3" s="138"/>
      <c r="D3" s="138"/>
      <c r="E3" s="138"/>
      <c r="F3" s="138"/>
      <c r="G3" s="138"/>
      <c r="H3" s="138"/>
      <c r="I3" s="138"/>
      <c r="J3" s="138"/>
      <c r="K3" s="138"/>
      <c r="L3" s="138"/>
      <c r="M3" s="138"/>
      <c r="N3" s="138"/>
      <c r="O3" s="138"/>
      <c r="P3" s="138"/>
      <c r="Q3" s="138"/>
      <c r="R3" s="138"/>
      <c r="S3" s="138"/>
    </row>
    <row r="4" spans="1:23" ht="7.5" customHeight="1" x14ac:dyDescent="0.15">
      <c r="A4" s="52"/>
      <c r="B4" s="52"/>
      <c r="C4" s="52"/>
      <c r="D4" s="52"/>
      <c r="E4" s="52"/>
      <c r="F4" s="52"/>
      <c r="G4" s="52"/>
      <c r="H4" s="52"/>
      <c r="I4" s="52"/>
      <c r="J4" s="52"/>
      <c r="K4" s="52"/>
      <c r="L4" s="52"/>
      <c r="M4" s="52"/>
      <c r="N4" s="52"/>
      <c r="O4" s="52"/>
      <c r="P4" s="52"/>
      <c r="Q4" s="52"/>
      <c r="R4" s="52"/>
      <c r="S4" s="52"/>
    </row>
    <row r="5" spans="1:23" ht="18" customHeight="1" x14ac:dyDescent="0.15">
      <c r="A5" s="51" t="s">
        <v>105</v>
      </c>
      <c r="B5" s="51"/>
      <c r="C5" s="288" t="s">
        <v>106</v>
      </c>
      <c r="D5" s="289"/>
      <c r="E5" s="53" t="s">
        <v>107</v>
      </c>
      <c r="F5" s="52"/>
      <c r="G5" s="52"/>
      <c r="H5" s="52"/>
      <c r="I5" s="52"/>
      <c r="J5" s="52"/>
      <c r="K5" s="52"/>
      <c r="L5" s="52"/>
      <c r="M5" s="52"/>
      <c r="N5" s="52"/>
      <c r="O5" s="52"/>
      <c r="P5" s="52"/>
      <c r="Q5" s="52"/>
      <c r="R5" s="54"/>
      <c r="S5" s="54"/>
    </row>
    <row r="6" spans="1:23" ht="7.15" customHeight="1" x14ac:dyDescent="0.15">
      <c r="A6" s="51"/>
      <c r="B6" s="51"/>
      <c r="C6" s="55"/>
      <c r="D6" s="55"/>
      <c r="E6" s="52"/>
      <c r="F6" s="52"/>
      <c r="G6" s="52"/>
      <c r="H6" s="52"/>
      <c r="I6" s="52"/>
      <c r="J6" s="52"/>
      <c r="K6" s="52"/>
      <c r="L6" s="52"/>
      <c r="M6" s="52"/>
      <c r="N6" s="52"/>
      <c r="O6" s="52"/>
      <c r="P6" s="52"/>
      <c r="Q6" s="52"/>
      <c r="R6" s="54"/>
      <c r="S6" s="54"/>
    </row>
    <row r="7" spans="1:23" ht="18" customHeight="1" x14ac:dyDescent="0.15">
      <c r="A7" s="51" t="s">
        <v>108</v>
      </c>
      <c r="B7" s="51"/>
      <c r="C7" s="55"/>
      <c r="D7" s="55"/>
      <c r="E7" s="52" t="s">
        <v>109</v>
      </c>
      <c r="F7" s="56">
        <v>963</v>
      </c>
      <c r="G7" s="53" t="s">
        <v>110</v>
      </c>
      <c r="H7" s="52" t="s">
        <v>111</v>
      </c>
      <c r="I7" s="56">
        <v>1792</v>
      </c>
      <c r="J7" s="53" t="s">
        <v>110</v>
      </c>
      <c r="K7" s="57" t="s">
        <v>112</v>
      </c>
      <c r="L7" s="52" t="s">
        <v>113</v>
      </c>
      <c r="M7" s="56">
        <f>F7+I7</f>
        <v>2755</v>
      </c>
      <c r="N7" s="52" t="s">
        <v>114</v>
      </c>
      <c r="O7" s="53" t="s">
        <v>115</v>
      </c>
      <c r="P7" s="52"/>
      <c r="Q7" s="52"/>
      <c r="R7" s="54"/>
      <c r="S7" s="54"/>
    </row>
    <row r="8" spans="1:23" ht="17.45" customHeight="1" x14ac:dyDescent="0.15">
      <c r="A8" s="52"/>
      <c r="B8" s="58" t="s">
        <v>116</v>
      </c>
      <c r="C8" s="52"/>
      <c r="D8" s="52"/>
      <c r="E8" s="59"/>
      <c r="F8" s="59"/>
      <c r="G8" s="59"/>
      <c r="H8" s="59"/>
      <c r="I8" s="59"/>
      <c r="J8" s="59"/>
      <c r="K8" s="59"/>
      <c r="L8" s="59"/>
      <c r="M8" s="59"/>
      <c r="N8" s="52"/>
      <c r="O8" s="52"/>
      <c r="P8" s="52"/>
      <c r="Q8" s="52"/>
      <c r="R8" s="52"/>
      <c r="S8" s="52"/>
    </row>
    <row r="9" spans="1:23" ht="18" customHeight="1" x14ac:dyDescent="0.15">
      <c r="A9" s="51" t="s">
        <v>117</v>
      </c>
      <c r="B9" s="52"/>
      <c r="C9" s="52"/>
      <c r="D9" s="52"/>
      <c r="E9" s="52"/>
      <c r="F9" s="52"/>
      <c r="G9" s="52"/>
      <c r="H9" s="52"/>
      <c r="I9" s="52"/>
      <c r="J9" s="52"/>
      <c r="K9" s="52"/>
      <c r="L9" s="52"/>
      <c r="M9" s="52"/>
      <c r="N9" s="52"/>
      <c r="O9" s="52"/>
      <c r="P9" s="52"/>
      <c r="Q9" s="52"/>
      <c r="R9" s="52"/>
      <c r="S9" s="52"/>
    </row>
    <row r="10" spans="1:23" ht="6" customHeight="1" x14ac:dyDescent="0.15">
      <c r="B10" s="3"/>
      <c r="C10" s="3"/>
      <c r="D10" s="3"/>
      <c r="E10" s="3"/>
      <c r="F10" s="3"/>
      <c r="G10" s="3"/>
      <c r="H10" s="3"/>
      <c r="I10" s="3"/>
      <c r="J10" s="3"/>
      <c r="K10" s="3"/>
      <c r="L10" s="3"/>
      <c r="M10" s="3"/>
      <c r="N10" s="3"/>
      <c r="O10" s="3"/>
      <c r="P10" s="3"/>
      <c r="Q10" s="3"/>
      <c r="R10" s="3"/>
      <c r="S10" s="3"/>
    </row>
    <row r="11" spans="1:23" ht="18" customHeight="1" x14ac:dyDescent="0.15">
      <c r="B11" s="290" t="s">
        <v>118</v>
      </c>
      <c r="C11" s="300" t="s">
        <v>119</v>
      </c>
      <c r="D11" s="292" t="s">
        <v>120</v>
      </c>
      <c r="E11" s="294" t="s">
        <v>121</v>
      </c>
      <c r="F11" s="286" t="s">
        <v>122</v>
      </c>
      <c r="G11" s="286"/>
      <c r="H11" s="286" t="s">
        <v>123</v>
      </c>
      <c r="I11" s="286"/>
      <c r="J11" s="286" t="s">
        <v>124</v>
      </c>
      <c r="K11" s="286"/>
      <c r="L11" s="286" t="s">
        <v>125</v>
      </c>
      <c r="M11" s="286"/>
      <c r="N11" s="286" t="s">
        <v>126</v>
      </c>
      <c r="O11" s="286"/>
      <c r="P11" s="286" t="s">
        <v>127</v>
      </c>
      <c r="Q11" s="286"/>
      <c r="R11" s="296" t="s">
        <v>128</v>
      </c>
      <c r="S11" s="298" t="s">
        <v>129</v>
      </c>
      <c r="U11" s="2"/>
      <c r="W11" s="84">
        <f>C13+C14+C15</f>
        <v>2755</v>
      </c>
    </row>
    <row r="12" spans="1:23" ht="16.899999999999999" customHeight="1" x14ac:dyDescent="0.15">
      <c r="B12" s="291"/>
      <c r="C12" s="301"/>
      <c r="D12" s="293"/>
      <c r="E12" s="295"/>
      <c r="F12" s="60" t="s">
        <v>130</v>
      </c>
      <c r="G12" s="60" t="s">
        <v>131</v>
      </c>
      <c r="H12" s="60" t="s">
        <v>130</v>
      </c>
      <c r="I12" s="60" t="s">
        <v>131</v>
      </c>
      <c r="J12" s="60" t="s">
        <v>130</v>
      </c>
      <c r="K12" s="60" t="s">
        <v>131</v>
      </c>
      <c r="L12" s="60" t="s">
        <v>130</v>
      </c>
      <c r="M12" s="60" t="s">
        <v>131</v>
      </c>
      <c r="N12" s="60" t="s">
        <v>130</v>
      </c>
      <c r="O12" s="60" t="s">
        <v>131</v>
      </c>
      <c r="P12" s="60" t="s">
        <v>130</v>
      </c>
      <c r="Q12" s="61" t="s">
        <v>131</v>
      </c>
      <c r="R12" s="297"/>
      <c r="S12" s="299"/>
      <c r="U12" s="2"/>
    </row>
    <row r="13" spans="1:23" ht="18" customHeight="1" x14ac:dyDescent="0.15">
      <c r="A13" s="6"/>
      <c r="B13" s="62" t="s">
        <v>219</v>
      </c>
      <c r="C13" s="63">
        <v>737</v>
      </c>
      <c r="D13" s="64">
        <v>120</v>
      </c>
      <c r="E13" s="65">
        <v>720</v>
      </c>
      <c r="F13" s="65">
        <v>130</v>
      </c>
      <c r="G13" s="65">
        <v>121</v>
      </c>
      <c r="H13" s="65"/>
      <c r="I13" s="65"/>
      <c r="J13" s="65"/>
      <c r="K13" s="65"/>
      <c r="L13" s="65"/>
      <c r="M13" s="65"/>
      <c r="N13" s="65"/>
      <c r="O13" s="65"/>
      <c r="P13" s="65"/>
      <c r="Q13" s="66"/>
      <c r="R13" s="64">
        <f t="shared" ref="R13:R32" si="0">F13+H13+J13+L13+N13+P13</f>
        <v>130</v>
      </c>
      <c r="S13" s="67">
        <f t="shared" ref="S13:S33" si="1">R13/E13</f>
        <v>0.18055555555555555</v>
      </c>
      <c r="V13" s="1" t="s">
        <v>219</v>
      </c>
      <c r="W13" s="1">
        <v>737</v>
      </c>
    </row>
    <row r="14" spans="1:23" ht="18" customHeight="1" x14ac:dyDescent="0.15">
      <c r="A14" s="6"/>
      <c r="B14" s="68" t="s">
        <v>220</v>
      </c>
      <c r="C14" s="69">
        <v>957</v>
      </c>
      <c r="D14" s="70">
        <v>230</v>
      </c>
      <c r="E14" s="71">
        <v>920</v>
      </c>
      <c r="F14" s="72">
        <v>240</v>
      </c>
      <c r="G14" s="72">
        <v>238</v>
      </c>
      <c r="H14" s="72"/>
      <c r="I14" s="72"/>
      <c r="J14" s="72"/>
      <c r="K14" s="72"/>
      <c r="L14" s="72"/>
      <c r="M14" s="72"/>
      <c r="N14" s="72"/>
      <c r="O14" s="72"/>
      <c r="P14" s="72"/>
      <c r="Q14" s="69"/>
      <c r="R14" s="70">
        <f t="shared" si="0"/>
        <v>240</v>
      </c>
      <c r="S14" s="73">
        <f>R14/E14</f>
        <v>0.2608695652173913</v>
      </c>
      <c r="V14" s="1" t="s">
        <v>220</v>
      </c>
      <c r="W14" s="1">
        <v>588</v>
      </c>
    </row>
    <row r="15" spans="1:23" ht="18" customHeight="1" x14ac:dyDescent="0.15">
      <c r="A15" s="6"/>
      <c r="B15" s="68" t="s">
        <v>221</v>
      </c>
      <c r="C15" s="69">
        <v>1061</v>
      </c>
      <c r="D15" s="70">
        <v>250</v>
      </c>
      <c r="E15" s="71">
        <v>1000</v>
      </c>
      <c r="F15" s="72">
        <v>279</v>
      </c>
      <c r="G15" s="72">
        <v>265</v>
      </c>
      <c r="H15" s="72"/>
      <c r="I15" s="72"/>
      <c r="J15" s="72"/>
      <c r="K15" s="72"/>
      <c r="L15" s="72"/>
      <c r="M15" s="72"/>
      <c r="N15" s="72"/>
      <c r="O15" s="72"/>
      <c r="P15" s="72"/>
      <c r="Q15" s="69"/>
      <c r="R15" s="70">
        <f t="shared" si="0"/>
        <v>279</v>
      </c>
      <c r="S15" s="74">
        <f t="shared" si="1"/>
        <v>0.27900000000000003</v>
      </c>
      <c r="V15" s="1" t="s">
        <v>132</v>
      </c>
      <c r="W15" s="1">
        <v>369</v>
      </c>
    </row>
    <row r="16" spans="1:23" ht="18" customHeight="1" x14ac:dyDescent="0.15">
      <c r="A16" s="6"/>
      <c r="B16" s="68"/>
      <c r="C16" s="69"/>
      <c r="D16" s="70"/>
      <c r="E16" s="71"/>
      <c r="F16" s="72"/>
      <c r="G16" s="72"/>
      <c r="H16" s="72"/>
      <c r="I16" s="72"/>
      <c r="J16" s="72"/>
      <c r="K16" s="72"/>
      <c r="L16" s="72"/>
      <c r="M16" s="72"/>
      <c r="N16" s="72"/>
      <c r="O16" s="72"/>
      <c r="P16" s="72"/>
      <c r="Q16" s="69"/>
      <c r="R16" s="70">
        <f t="shared" si="0"/>
        <v>0</v>
      </c>
      <c r="S16" s="74" t="e">
        <f t="shared" si="1"/>
        <v>#DIV/0!</v>
      </c>
      <c r="V16" s="1" t="s">
        <v>133</v>
      </c>
      <c r="W16" s="1">
        <v>562</v>
      </c>
    </row>
    <row r="17" spans="1:23" ht="18" customHeight="1" x14ac:dyDescent="0.15">
      <c r="A17" s="6"/>
      <c r="B17" s="68"/>
      <c r="C17" s="69"/>
      <c r="D17" s="70"/>
      <c r="E17" s="71"/>
      <c r="F17" s="72"/>
      <c r="G17" s="72"/>
      <c r="H17" s="72"/>
      <c r="I17" s="72"/>
      <c r="J17" s="72"/>
      <c r="K17" s="72"/>
      <c r="L17" s="72"/>
      <c r="M17" s="72"/>
      <c r="N17" s="72"/>
      <c r="O17" s="72"/>
      <c r="P17" s="72"/>
      <c r="Q17" s="69"/>
      <c r="R17" s="70">
        <f t="shared" si="0"/>
        <v>0</v>
      </c>
      <c r="S17" s="74" t="e">
        <f t="shared" si="1"/>
        <v>#DIV/0!</v>
      </c>
      <c r="V17" s="1" t="s">
        <v>134</v>
      </c>
      <c r="W17" s="1">
        <v>499</v>
      </c>
    </row>
    <row r="18" spans="1:23" ht="18" customHeight="1" x14ac:dyDescent="0.15">
      <c r="A18" s="6"/>
      <c r="B18" s="68"/>
      <c r="C18" s="69"/>
      <c r="D18" s="70"/>
      <c r="E18" s="71"/>
      <c r="F18" s="72"/>
      <c r="G18" s="72"/>
      <c r="H18" s="72"/>
      <c r="I18" s="72"/>
      <c r="J18" s="72"/>
      <c r="K18" s="72"/>
      <c r="L18" s="72"/>
      <c r="M18" s="72"/>
      <c r="N18" s="72"/>
      <c r="O18" s="72"/>
      <c r="P18" s="72"/>
      <c r="Q18" s="69"/>
      <c r="R18" s="70">
        <f t="shared" si="0"/>
        <v>0</v>
      </c>
      <c r="S18" s="74" t="e">
        <f t="shared" si="1"/>
        <v>#DIV/0!</v>
      </c>
    </row>
    <row r="19" spans="1:23" ht="18" customHeight="1" x14ac:dyDescent="0.15">
      <c r="A19" s="6"/>
      <c r="B19" s="68"/>
      <c r="C19" s="69"/>
      <c r="D19" s="70"/>
      <c r="E19" s="71"/>
      <c r="F19" s="72"/>
      <c r="G19" s="72"/>
      <c r="H19" s="72"/>
      <c r="I19" s="72"/>
      <c r="J19" s="72"/>
      <c r="K19" s="72"/>
      <c r="L19" s="72"/>
      <c r="M19" s="72"/>
      <c r="N19" s="72"/>
      <c r="O19" s="72"/>
      <c r="P19" s="72"/>
      <c r="Q19" s="69"/>
      <c r="R19" s="70">
        <f t="shared" si="0"/>
        <v>0</v>
      </c>
      <c r="S19" s="74" t="e">
        <f t="shared" si="1"/>
        <v>#DIV/0!</v>
      </c>
    </row>
    <row r="20" spans="1:23" ht="18" customHeight="1" x14ac:dyDescent="0.15">
      <c r="A20" s="6"/>
      <c r="B20" s="68"/>
      <c r="C20" s="69"/>
      <c r="D20" s="70"/>
      <c r="E20" s="71"/>
      <c r="F20" s="72"/>
      <c r="G20" s="72"/>
      <c r="H20" s="72"/>
      <c r="I20" s="72"/>
      <c r="J20" s="72"/>
      <c r="K20" s="72"/>
      <c r="L20" s="72"/>
      <c r="M20" s="72"/>
      <c r="N20" s="72"/>
      <c r="O20" s="72"/>
      <c r="P20" s="72"/>
      <c r="Q20" s="69"/>
      <c r="R20" s="70">
        <f t="shared" si="0"/>
        <v>0</v>
      </c>
      <c r="S20" s="74" t="e">
        <f t="shared" si="1"/>
        <v>#DIV/0!</v>
      </c>
    </row>
    <row r="21" spans="1:23" ht="18" customHeight="1" x14ac:dyDescent="0.15">
      <c r="A21" s="6"/>
      <c r="B21" s="68"/>
      <c r="C21" s="69"/>
      <c r="D21" s="70"/>
      <c r="E21" s="71"/>
      <c r="F21" s="72"/>
      <c r="G21" s="72"/>
      <c r="H21" s="72"/>
      <c r="I21" s="72"/>
      <c r="J21" s="72"/>
      <c r="K21" s="72"/>
      <c r="L21" s="72"/>
      <c r="M21" s="72"/>
      <c r="N21" s="72"/>
      <c r="O21" s="72"/>
      <c r="P21" s="72"/>
      <c r="Q21" s="69"/>
      <c r="R21" s="70">
        <f t="shared" si="0"/>
        <v>0</v>
      </c>
      <c r="S21" s="74" t="e">
        <f t="shared" si="1"/>
        <v>#DIV/0!</v>
      </c>
    </row>
    <row r="22" spans="1:23" ht="18" customHeight="1" x14ac:dyDescent="0.15">
      <c r="A22" s="6"/>
      <c r="B22" s="68"/>
      <c r="C22" s="69"/>
      <c r="D22" s="70"/>
      <c r="E22" s="71"/>
      <c r="F22" s="72"/>
      <c r="G22" s="72"/>
      <c r="H22" s="72"/>
      <c r="I22" s="72"/>
      <c r="J22" s="72"/>
      <c r="K22" s="72"/>
      <c r="L22" s="72"/>
      <c r="M22" s="72"/>
      <c r="N22" s="72"/>
      <c r="O22" s="72"/>
      <c r="P22" s="72"/>
      <c r="Q22" s="69"/>
      <c r="R22" s="70">
        <f t="shared" si="0"/>
        <v>0</v>
      </c>
      <c r="S22" s="74" t="e">
        <f t="shared" si="1"/>
        <v>#DIV/0!</v>
      </c>
    </row>
    <row r="23" spans="1:23" ht="18" customHeight="1" x14ac:dyDescent="0.15">
      <c r="A23" s="6"/>
      <c r="B23" s="68"/>
      <c r="C23" s="69"/>
      <c r="D23" s="70"/>
      <c r="E23" s="71"/>
      <c r="F23" s="72"/>
      <c r="G23" s="72"/>
      <c r="H23" s="72"/>
      <c r="I23" s="72"/>
      <c r="J23" s="72"/>
      <c r="K23" s="72"/>
      <c r="L23" s="72"/>
      <c r="M23" s="72"/>
      <c r="N23" s="72"/>
      <c r="O23" s="72"/>
      <c r="P23" s="72"/>
      <c r="Q23" s="69"/>
      <c r="R23" s="70">
        <f t="shared" si="0"/>
        <v>0</v>
      </c>
      <c r="S23" s="74" t="e">
        <f t="shared" si="1"/>
        <v>#DIV/0!</v>
      </c>
    </row>
    <row r="24" spans="1:23" ht="18" customHeight="1" x14ac:dyDescent="0.15">
      <c r="A24" s="6"/>
      <c r="B24" s="68"/>
      <c r="C24" s="69"/>
      <c r="D24" s="70"/>
      <c r="E24" s="71"/>
      <c r="F24" s="72"/>
      <c r="G24" s="72"/>
      <c r="H24" s="72"/>
      <c r="I24" s="72"/>
      <c r="J24" s="72"/>
      <c r="K24" s="72"/>
      <c r="L24" s="72"/>
      <c r="M24" s="72"/>
      <c r="N24" s="72"/>
      <c r="O24" s="72"/>
      <c r="P24" s="72"/>
      <c r="Q24" s="69"/>
      <c r="R24" s="70">
        <f t="shared" si="0"/>
        <v>0</v>
      </c>
      <c r="S24" s="74" t="e">
        <f t="shared" si="1"/>
        <v>#DIV/0!</v>
      </c>
    </row>
    <row r="25" spans="1:23" ht="18" customHeight="1" x14ac:dyDescent="0.15">
      <c r="A25" s="6"/>
      <c r="B25" s="68"/>
      <c r="C25" s="69"/>
      <c r="D25" s="70"/>
      <c r="E25" s="71"/>
      <c r="F25" s="72"/>
      <c r="G25" s="72"/>
      <c r="H25" s="72"/>
      <c r="I25" s="72"/>
      <c r="J25" s="72"/>
      <c r="K25" s="72"/>
      <c r="L25" s="72"/>
      <c r="M25" s="72"/>
      <c r="N25" s="72"/>
      <c r="O25" s="72"/>
      <c r="P25" s="72"/>
      <c r="Q25" s="69"/>
      <c r="R25" s="70">
        <f t="shared" si="0"/>
        <v>0</v>
      </c>
      <c r="S25" s="74" t="e">
        <f t="shared" si="1"/>
        <v>#DIV/0!</v>
      </c>
    </row>
    <row r="26" spans="1:23" ht="18" customHeight="1" x14ac:dyDescent="0.15">
      <c r="A26" s="6"/>
      <c r="B26" s="68"/>
      <c r="C26" s="69"/>
      <c r="D26" s="70"/>
      <c r="E26" s="71"/>
      <c r="F26" s="72"/>
      <c r="G26" s="72"/>
      <c r="H26" s="72"/>
      <c r="I26" s="72"/>
      <c r="J26" s="72"/>
      <c r="K26" s="72"/>
      <c r="L26" s="72"/>
      <c r="M26" s="72"/>
      <c r="N26" s="72"/>
      <c r="O26" s="72"/>
      <c r="P26" s="72"/>
      <c r="Q26" s="69"/>
      <c r="R26" s="70">
        <f t="shared" si="0"/>
        <v>0</v>
      </c>
      <c r="S26" s="74" t="e">
        <f t="shared" si="1"/>
        <v>#DIV/0!</v>
      </c>
    </row>
    <row r="27" spans="1:23" ht="18" customHeight="1" x14ac:dyDescent="0.15">
      <c r="A27" s="6"/>
      <c r="B27" s="68"/>
      <c r="C27" s="69"/>
      <c r="D27" s="70"/>
      <c r="E27" s="71"/>
      <c r="F27" s="72"/>
      <c r="G27" s="72"/>
      <c r="H27" s="72"/>
      <c r="I27" s="72"/>
      <c r="J27" s="72"/>
      <c r="K27" s="72"/>
      <c r="L27" s="72"/>
      <c r="M27" s="72"/>
      <c r="N27" s="72"/>
      <c r="O27" s="72"/>
      <c r="P27" s="72"/>
      <c r="Q27" s="69"/>
      <c r="R27" s="70">
        <f t="shared" si="0"/>
        <v>0</v>
      </c>
      <c r="S27" s="74" t="e">
        <f t="shared" si="1"/>
        <v>#DIV/0!</v>
      </c>
    </row>
    <row r="28" spans="1:23" ht="18" customHeight="1" x14ac:dyDescent="0.15">
      <c r="A28" s="6"/>
      <c r="B28" s="68"/>
      <c r="C28" s="69"/>
      <c r="D28" s="70"/>
      <c r="E28" s="71"/>
      <c r="F28" s="72"/>
      <c r="G28" s="72"/>
      <c r="H28" s="72"/>
      <c r="I28" s="72"/>
      <c r="J28" s="72"/>
      <c r="K28" s="72"/>
      <c r="L28" s="72"/>
      <c r="M28" s="72"/>
      <c r="N28" s="72"/>
      <c r="O28" s="72"/>
      <c r="P28" s="72"/>
      <c r="Q28" s="69"/>
      <c r="R28" s="70">
        <f t="shared" si="0"/>
        <v>0</v>
      </c>
      <c r="S28" s="74" t="e">
        <f t="shared" si="1"/>
        <v>#DIV/0!</v>
      </c>
    </row>
    <row r="29" spans="1:23" ht="18" customHeight="1" x14ac:dyDescent="0.15">
      <c r="A29" s="6"/>
      <c r="B29" s="68"/>
      <c r="C29" s="69"/>
      <c r="D29" s="70"/>
      <c r="E29" s="71"/>
      <c r="F29" s="72"/>
      <c r="G29" s="72"/>
      <c r="H29" s="72"/>
      <c r="I29" s="72"/>
      <c r="J29" s="72"/>
      <c r="K29" s="72"/>
      <c r="L29" s="72"/>
      <c r="M29" s="72"/>
      <c r="N29" s="72"/>
      <c r="O29" s="72"/>
      <c r="P29" s="72"/>
      <c r="Q29" s="69"/>
      <c r="R29" s="70">
        <f t="shared" si="0"/>
        <v>0</v>
      </c>
      <c r="S29" s="74" t="e">
        <f t="shared" si="1"/>
        <v>#DIV/0!</v>
      </c>
    </row>
    <row r="30" spans="1:23" ht="18" customHeight="1" x14ac:dyDescent="0.15">
      <c r="A30" s="6"/>
      <c r="B30" s="68"/>
      <c r="C30" s="69"/>
      <c r="D30" s="75"/>
      <c r="E30" s="71"/>
      <c r="F30" s="72"/>
      <c r="G30" s="72"/>
      <c r="H30" s="72"/>
      <c r="I30" s="72"/>
      <c r="J30" s="72"/>
      <c r="K30" s="72"/>
      <c r="L30" s="72"/>
      <c r="M30" s="72"/>
      <c r="N30" s="72"/>
      <c r="O30" s="72"/>
      <c r="P30" s="72"/>
      <c r="Q30" s="69"/>
      <c r="R30" s="75">
        <f t="shared" si="0"/>
        <v>0</v>
      </c>
      <c r="S30" s="74" t="e">
        <f t="shared" si="1"/>
        <v>#DIV/0!</v>
      </c>
    </row>
    <row r="31" spans="1:23" ht="18" customHeight="1" x14ac:dyDescent="0.15">
      <c r="A31" s="6"/>
      <c r="B31" s="68"/>
      <c r="C31" s="69"/>
      <c r="D31" s="75"/>
      <c r="E31" s="71"/>
      <c r="F31" s="72"/>
      <c r="G31" s="72"/>
      <c r="H31" s="72"/>
      <c r="I31" s="72"/>
      <c r="J31" s="72"/>
      <c r="K31" s="72"/>
      <c r="L31" s="72"/>
      <c r="M31" s="72"/>
      <c r="N31" s="72"/>
      <c r="O31" s="72"/>
      <c r="P31" s="72"/>
      <c r="Q31" s="69"/>
      <c r="R31" s="75">
        <f t="shared" si="0"/>
        <v>0</v>
      </c>
      <c r="S31" s="74" t="e">
        <f t="shared" si="1"/>
        <v>#DIV/0!</v>
      </c>
    </row>
    <row r="32" spans="1:23" ht="18" customHeight="1" thickBot="1" x14ac:dyDescent="0.2">
      <c r="A32" s="6"/>
      <c r="B32" s="76"/>
      <c r="C32" s="63"/>
      <c r="D32" s="77"/>
      <c r="E32" s="65"/>
      <c r="F32" s="65"/>
      <c r="G32" s="65"/>
      <c r="H32" s="65"/>
      <c r="I32" s="65"/>
      <c r="J32" s="65"/>
      <c r="K32" s="65"/>
      <c r="L32" s="65"/>
      <c r="M32" s="65"/>
      <c r="N32" s="65"/>
      <c r="O32" s="65"/>
      <c r="P32" s="65"/>
      <c r="Q32" s="69"/>
      <c r="R32" s="77">
        <f t="shared" si="0"/>
        <v>0</v>
      </c>
      <c r="S32" s="78" t="e">
        <f t="shared" si="1"/>
        <v>#DIV/0!</v>
      </c>
    </row>
    <row r="33" spans="2:19" ht="18" customHeight="1" thickTop="1" x14ac:dyDescent="0.15">
      <c r="B33" s="79" t="s">
        <v>135</v>
      </c>
      <c r="C33" s="80">
        <f t="shared" ref="C33" si="2">SUM(C13:C32)</f>
        <v>2755</v>
      </c>
      <c r="D33" s="81">
        <f t="shared" ref="D33:R33" si="3">SUM(D13:D32)</f>
        <v>600</v>
      </c>
      <c r="E33" s="82">
        <f t="shared" si="3"/>
        <v>2640</v>
      </c>
      <c r="F33" s="82">
        <f t="shared" si="3"/>
        <v>649</v>
      </c>
      <c r="G33" s="82">
        <f t="shared" ref="G33:H33" si="4">SUM(G13:G32)</f>
        <v>624</v>
      </c>
      <c r="H33" s="82">
        <f t="shared" si="4"/>
        <v>0</v>
      </c>
      <c r="I33" s="82">
        <f t="shared" ref="I33:J33" si="5">SUM(I13:I32)</f>
        <v>0</v>
      </c>
      <c r="J33" s="82">
        <f t="shared" si="5"/>
        <v>0</v>
      </c>
      <c r="K33" s="82">
        <f t="shared" ref="K33:O33" si="6">SUM(K13:K32)</f>
        <v>0</v>
      </c>
      <c r="L33" s="82">
        <f t="shared" si="6"/>
        <v>0</v>
      </c>
      <c r="M33" s="82">
        <f t="shared" si="6"/>
        <v>0</v>
      </c>
      <c r="N33" s="82">
        <f t="shared" si="6"/>
        <v>0</v>
      </c>
      <c r="O33" s="82">
        <f t="shared" si="6"/>
        <v>0</v>
      </c>
      <c r="P33" s="82">
        <f t="shared" ref="P33:Q33" si="7">SUM(P13:P32)</f>
        <v>0</v>
      </c>
      <c r="Q33" s="80">
        <f t="shared" si="7"/>
        <v>0</v>
      </c>
      <c r="R33" s="81">
        <f t="shared" si="3"/>
        <v>649</v>
      </c>
      <c r="S33" s="85">
        <f t="shared" si="1"/>
        <v>0.24583333333333332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W100" sqref="W100"/>
    </sheetView>
  </sheetViews>
  <sheetFormatPr defaultColWidth="11.375" defaultRowHeight="18.75" customHeight="1" x14ac:dyDescent="0.15"/>
  <cols>
    <col min="1" max="1" width="2.75" style="13"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3" t="s">
        <v>136</v>
      </c>
      <c r="I1" s="11" t="s">
        <v>137</v>
      </c>
    </row>
    <row r="2" spans="1:9" ht="18.75" customHeight="1" x14ac:dyDescent="0.15">
      <c r="G2" s="11" t="s">
        <v>2</v>
      </c>
      <c r="H2" s="127" t="str">
        <f>'様式１-１　プログラムを構成する授業科目'!C2</f>
        <v>藤田医科大学</v>
      </c>
      <c r="I2" s="129"/>
    </row>
    <row r="3" spans="1:9" ht="18.75" customHeight="1" x14ac:dyDescent="0.15">
      <c r="G3" s="11"/>
      <c r="H3" s="7"/>
      <c r="I3" s="7"/>
    </row>
    <row r="4" spans="1:9" ht="18.600000000000001" customHeight="1" x14ac:dyDescent="0.15">
      <c r="A4" s="138" t="s">
        <v>138</v>
      </c>
      <c r="B4" s="138"/>
      <c r="C4" s="138"/>
      <c r="D4" s="138"/>
      <c r="E4" s="138"/>
      <c r="F4" s="138"/>
      <c r="G4" s="138"/>
      <c r="H4" s="138"/>
      <c r="I4" s="138"/>
    </row>
    <row r="5" spans="1:9" ht="13.15" customHeight="1" x14ac:dyDescent="0.15">
      <c r="B5" s="3"/>
      <c r="C5" s="3"/>
      <c r="D5" s="3"/>
      <c r="E5" s="3"/>
      <c r="F5" s="3"/>
      <c r="G5" s="3"/>
      <c r="H5" s="3"/>
      <c r="I5" s="3"/>
    </row>
    <row r="6" spans="1:9" ht="18" customHeight="1" x14ac:dyDescent="0.15">
      <c r="A6" s="1" t="s">
        <v>139</v>
      </c>
      <c r="B6" s="7" t="s">
        <v>140</v>
      </c>
      <c r="C6" s="322" t="s">
        <v>141</v>
      </c>
      <c r="D6" s="322"/>
      <c r="E6" s="10">
        <v>1303</v>
      </c>
      <c r="F6" s="3" t="s">
        <v>114</v>
      </c>
      <c r="G6" s="3" t="s">
        <v>142</v>
      </c>
      <c r="H6" s="10">
        <v>281</v>
      </c>
      <c r="I6" s="7" t="s">
        <v>114</v>
      </c>
    </row>
    <row r="7" spans="1:9" ht="12" customHeight="1" x14ac:dyDescent="0.15">
      <c r="C7" s="2"/>
      <c r="D7" s="2"/>
      <c r="E7" s="2"/>
      <c r="F7" s="2"/>
      <c r="G7" s="2"/>
      <c r="H7" s="2"/>
      <c r="I7" s="14"/>
    </row>
    <row r="8" spans="1:9" ht="18" customHeight="1" x14ac:dyDescent="0.15">
      <c r="A8" s="1" t="s">
        <v>143</v>
      </c>
      <c r="B8" s="7" t="s">
        <v>144</v>
      </c>
      <c r="E8" s="3"/>
      <c r="F8" s="3"/>
      <c r="G8" s="3"/>
      <c r="H8" s="10">
        <v>78</v>
      </c>
      <c r="I8" s="7" t="s">
        <v>114</v>
      </c>
    </row>
    <row r="9" spans="1:9" ht="9" customHeight="1" x14ac:dyDescent="0.15">
      <c r="B9" s="3"/>
      <c r="C9" s="3"/>
      <c r="D9" s="3"/>
      <c r="E9" s="3"/>
      <c r="F9" s="3"/>
      <c r="G9" s="3"/>
      <c r="H9" s="3"/>
      <c r="I9" s="3"/>
    </row>
    <row r="10" spans="1:9" ht="18" customHeight="1" x14ac:dyDescent="0.15">
      <c r="A10" s="1" t="s">
        <v>145</v>
      </c>
      <c r="B10" s="7" t="s">
        <v>146</v>
      </c>
      <c r="C10" s="3"/>
      <c r="D10" s="3"/>
      <c r="E10" s="3"/>
      <c r="F10" s="3"/>
      <c r="G10" s="3"/>
      <c r="H10" s="3"/>
      <c r="I10" s="3"/>
    </row>
    <row r="11" spans="1:9" ht="18" customHeight="1" x14ac:dyDescent="0.15">
      <c r="B11" s="11" t="s">
        <v>147</v>
      </c>
      <c r="C11" s="317" t="s">
        <v>148</v>
      </c>
      <c r="D11" s="320"/>
      <c r="E11" s="321"/>
      <c r="F11" s="14"/>
      <c r="G11" s="11" t="s">
        <v>149</v>
      </c>
      <c r="H11" s="317" t="s">
        <v>150</v>
      </c>
      <c r="I11" s="321"/>
    </row>
    <row r="12" spans="1:9" ht="10.15" customHeight="1" x14ac:dyDescent="0.15">
      <c r="B12" s="11"/>
      <c r="C12" s="7"/>
      <c r="D12" s="14"/>
      <c r="E12" s="14"/>
      <c r="F12" s="14"/>
      <c r="G12" s="11"/>
      <c r="H12" s="7"/>
      <c r="I12" s="14"/>
    </row>
    <row r="13" spans="1:9" ht="18" customHeight="1" x14ac:dyDescent="0.15">
      <c r="A13" s="1" t="s">
        <v>151</v>
      </c>
      <c r="B13" s="7" t="s">
        <v>152</v>
      </c>
      <c r="C13" s="3"/>
      <c r="D13" s="3"/>
      <c r="E13" s="3"/>
      <c r="F13" s="3"/>
      <c r="G13" s="3"/>
      <c r="H13" s="3"/>
      <c r="I13" s="3"/>
    </row>
    <row r="14" spans="1:9" ht="18" customHeight="1" x14ac:dyDescent="0.15">
      <c r="B14" s="317" t="s">
        <v>153</v>
      </c>
      <c r="C14" s="318"/>
      <c r="D14" s="318"/>
      <c r="E14" s="318"/>
      <c r="F14" s="318"/>
      <c r="G14" s="318"/>
      <c r="H14" s="318"/>
      <c r="I14" s="319"/>
    </row>
    <row r="15" spans="1:9" ht="9" customHeight="1" x14ac:dyDescent="0.15">
      <c r="B15" s="3"/>
      <c r="C15" s="3"/>
      <c r="D15" s="3"/>
      <c r="E15" s="3"/>
      <c r="F15" s="3"/>
      <c r="G15" s="3"/>
      <c r="H15" s="3"/>
      <c r="I15" s="3"/>
    </row>
    <row r="16" spans="1:9" ht="18" customHeight="1" x14ac:dyDescent="0.15">
      <c r="B16" s="11" t="s">
        <v>147</v>
      </c>
      <c r="C16" s="317" t="s">
        <v>154</v>
      </c>
      <c r="D16" s="320"/>
      <c r="E16" s="321"/>
      <c r="F16" s="14"/>
      <c r="G16" s="11" t="s">
        <v>149</v>
      </c>
      <c r="H16" s="317" t="s">
        <v>155</v>
      </c>
      <c r="I16" s="321"/>
    </row>
    <row r="17" spans="1:9" ht="18" customHeight="1" x14ac:dyDescent="0.15">
      <c r="B17" s="3"/>
      <c r="C17" s="3"/>
      <c r="D17" s="3"/>
      <c r="E17" s="3"/>
      <c r="F17" s="3"/>
      <c r="G17" s="3"/>
      <c r="H17" s="3"/>
      <c r="I17" s="3"/>
    </row>
    <row r="18" spans="1:9" ht="18.75" customHeight="1" x14ac:dyDescent="0.15">
      <c r="A18" s="1" t="s">
        <v>156</v>
      </c>
      <c r="B18" s="1" t="s">
        <v>157</v>
      </c>
      <c r="I18" s="3"/>
    </row>
    <row r="19" spans="1:9" ht="18.75" customHeight="1" x14ac:dyDescent="0.15">
      <c r="A19" s="1"/>
      <c r="B19" s="303" t="s">
        <v>158</v>
      </c>
      <c r="C19" s="304"/>
      <c r="D19" s="304"/>
      <c r="E19" s="304"/>
      <c r="F19" s="304"/>
      <c r="G19" s="304"/>
      <c r="H19" s="304"/>
      <c r="I19" s="305"/>
    </row>
    <row r="20" spans="1:9" ht="7.5" customHeight="1" x14ac:dyDescent="0.15">
      <c r="B20" s="3"/>
      <c r="C20" s="3"/>
      <c r="D20" s="3"/>
      <c r="E20" s="3"/>
      <c r="F20" s="3"/>
      <c r="G20" s="3"/>
      <c r="H20" s="3"/>
      <c r="I20" s="3"/>
    </row>
    <row r="21" spans="1:9" ht="18.75" customHeight="1" x14ac:dyDescent="0.15">
      <c r="A21" s="1" t="s">
        <v>159</v>
      </c>
      <c r="B21" s="1" t="s">
        <v>160</v>
      </c>
    </row>
    <row r="22" spans="1:9" ht="18.75" customHeight="1" x14ac:dyDescent="0.15">
      <c r="A22" s="8"/>
      <c r="B22" s="306" t="s">
        <v>161</v>
      </c>
      <c r="C22" s="307"/>
      <c r="D22" s="307"/>
      <c r="E22" s="307"/>
      <c r="F22" s="307"/>
      <c r="G22" s="307"/>
      <c r="H22" s="307"/>
      <c r="I22" s="308"/>
    </row>
    <row r="23" spans="1:9" ht="18.75" customHeight="1" x14ac:dyDescent="0.15">
      <c r="A23" s="8"/>
      <c r="B23" s="309"/>
      <c r="C23" s="310"/>
      <c r="D23" s="310"/>
      <c r="E23" s="310"/>
      <c r="F23" s="310"/>
      <c r="G23" s="310"/>
      <c r="H23" s="310"/>
      <c r="I23" s="311"/>
    </row>
    <row r="24" spans="1:9" ht="18.75" customHeight="1" x14ac:dyDescent="0.15">
      <c r="A24" s="8"/>
      <c r="B24" s="309"/>
      <c r="C24" s="310"/>
      <c r="D24" s="310"/>
      <c r="E24" s="310"/>
      <c r="F24" s="310"/>
      <c r="G24" s="310"/>
      <c r="H24" s="310"/>
      <c r="I24" s="311"/>
    </row>
    <row r="25" spans="1:9" ht="18.75" customHeight="1" x14ac:dyDescent="0.15">
      <c r="A25" s="8"/>
      <c r="B25" s="309"/>
      <c r="C25" s="310"/>
      <c r="D25" s="310"/>
      <c r="E25" s="310"/>
      <c r="F25" s="310"/>
      <c r="G25" s="310"/>
      <c r="H25" s="310"/>
      <c r="I25" s="311"/>
    </row>
    <row r="26" spans="1:9" ht="18.75" customHeight="1" x14ac:dyDescent="0.15">
      <c r="A26" s="8"/>
      <c r="B26" s="309"/>
      <c r="C26" s="310"/>
      <c r="D26" s="310"/>
      <c r="E26" s="310"/>
      <c r="F26" s="310"/>
      <c r="G26" s="310"/>
      <c r="H26" s="310"/>
      <c r="I26" s="311"/>
    </row>
    <row r="27" spans="1:9" ht="15" customHeight="1" x14ac:dyDescent="0.15">
      <c r="A27" s="8"/>
      <c r="B27" s="309"/>
      <c r="C27" s="310"/>
      <c r="D27" s="310"/>
      <c r="E27" s="310"/>
      <c r="F27" s="310"/>
      <c r="G27" s="310"/>
      <c r="H27" s="310"/>
      <c r="I27" s="311"/>
    </row>
    <row r="28" spans="1:9" ht="15" customHeight="1" x14ac:dyDescent="0.15">
      <c r="A28" s="8"/>
      <c r="B28" s="309"/>
      <c r="C28" s="310"/>
      <c r="D28" s="310"/>
      <c r="E28" s="310"/>
      <c r="F28" s="310"/>
      <c r="G28" s="310"/>
      <c r="H28" s="310"/>
      <c r="I28" s="311"/>
    </row>
    <row r="29" spans="1:9" ht="15" customHeight="1" x14ac:dyDescent="0.15">
      <c r="A29" s="8"/>
      <c r="B29" s="309"/>
      <c r="C29" s="310"/>
      <c r="D29" s="310"/>
      <c r="E29" s="310"/>
      <c r="F29" s="310"/>
      <c r="G29" s="310"/>
      <c r="H29" s="310"/>
      <c r="I29" s="311"/>
    </row>
    <row r="30" spans="1:9" ht="15" customHeight="1" x14ac:dyDescent="0.15">
      <c r="A30" s="8"/>
      <c r="B30" s="312"/>
      <c r="C30" s="313"/>
      <c r="D30" s="313"/>
      <c r="E30" s="313"/>
      <c r="F30" s="313"/>
      <c r="G30" s="313"/>
      <c r="H30" s="313"/>
      <c r="I30" s="311"/>
    </row>
    <row r="31" spans="1:9" ht="15" customHeight="1" x14ac:dyDescent="0.15">
      <c r="A31" s="8"/>
      <c r="B31" s="312"/>
      <c r="C31" s="313"/>
      <c r="D31" s="313"/>
      <c r="E31" s="313"/>
      <c r="F31" s="313"/>
      <c r="G31" s="313"/>
      <c r="H31" s="313"/>
      <c r="I31" s="311"/>
    </row>
    <row r="32" spans="1:9" ht="15" customHeight="1" x14ac:dyDescent="0.15">
      <c r="A32" s="8"/>
      <c r="B32" s="314"/>
      <c r="C32" s="315"/>
      <c r="D32" s="315"/>
      <c r="E32" s="315"/>
      <c r="F32" s="315"/>
      <c r="G32" s="315"/>
      <c r="H32" s="315"/>
      <c r="I32" s="316"/>
    </row>
    <row r="33" spans="1:9" ht="7.5" customHeight="1" x14ac:dyDescent="0.15">
      <c r="A33" s="8"/>
      <c r="B33" s="8"/>
      <c r="C33" s="8"/>
      <c r="D33" s="8"/>
      <c r="E33" s="8"/>
      <c r="F33" s="8"/>
      <c r="G33" s="8"/>
      <c r="H33" s="8"/>
      <c r="I33" s="8"/>
    </row>
    <row r="34" spans="1:9" ht="18.75" customHeight="1" x14ac:dyDescent="0.15">
      <c r="A34" s="9" t="s">
        <v>162</v>
      </c>
      <c r="B34" s="9" t="s">
        <v>163</v>
      </c>
      <c r="C34" s="7"/>
      <c r="D34" s="9"/>
      <c r="E34" s="9"/>
      <c r="F34" s="9"/>
      <c r="G34" s="9"/>
      <c r="H34" s="9"/>
      <c r="I34" s="9"/>
    </row>
    <row r="35" spans="1:9" ht="18.75" customHeight="1" x14ac:dyDescent="0.15">
      <c r="A35" s="8"/>
      <c r="B35" s="306" t="s">
        <v>214</v>
      </c>
      <c r="C35" s="307"/>
      <c r="D35" s="307"/>
      <c r="E35" s="307"/>
      <c r="F35" s="307"/>
      <c r="G35" s="307"/>
      <c r="H35" s="307"/>
      <c r="I35" s="308"/>
    </row>
    <row r="36" spans="1:9" ht="18.75" customHeight="1" x14ac:dyDescent="0.15">
      <c r="A36" s="8"/>
      <c r="B36" s="312"/>
      <c r="C36" s="313"/>
      <c r="D36" s="313"/>
      <c r="E36" s="313"/>
      <c r="F36" s="313"/>
      <c r="G36" s="313"/>
      <c r="H36" s="313"/>
      <c r="I36" s="311"/>
    </row>
    <row r="37" spans="1:9" ht="18.75" customHeight="1" x14ac:dyDescent="0.15">
      <c r="A37" s="8"/>
      <c r="B37" s="312"/>
      <c r="C37" s="313"/>
      <c r="D37" s="313"/>
      <c r="E37" s="313"/>
      <c r="F37" s="313"/>
      <c r="G37" s="313"/>
      <c r="H37" s="313"/>
      <c r="I37" s="311"/>
    </row>
    <row r="38" spans="1:9" ht="18.75" customHeight="1" x14ac:dyDescent="0.15">
      <c r="A38" s="8"/>
      <c r="B38" s="312"/>
      <c r="C38" s="313"/>
      <c r="D38" s="313"/>
      <c r="E38" s="313"/>
      <c r="F38" s="313"/>
      <c r="G38" s="313"/>
      <c r="H38" s="313"/>
      <c r="I38" s="311"/>
    </row>
    <row r="39" spans="1:9" ht="22.5" customHeight="1" x14ac:dyDescent="0.15">
      <c r="A39" s="8"/>
      <c r="B39" s="312"/>
      <c r="C39" s="313"/>
      <c r="D39" s="313"/>
      <c r="E39" s="313"/>
      <c r="F39" s="313"/>
      <c r="G39" s="313"/>
      <c r="H39" s="313"/>
      <c r="I39" s="311"/>
    </row>
    <row r="40" spans="1:9" ht="22.5" customHeight="1" x14ac:dyDescent="0.15">
      <c r="A40" s="8"/>
      <c r="B40" s="312"/>
      <c r="C40" s="313"/>
      <c r="D40" s="313"/>
      <c r="E40" s="313"/>
      <c r="F40" s="313"/>
      <c r="G40" s="313"/>
      <c r="H40" s="313"/>
      <c r="I40" s="311"/>
    </row>
    <row r="41" spans="1:9" ht="22.5" customHeight="1" x14ac:dyDescent="0.15">
      <c r="A41" s="8"/>
      <c r="B41" s="312"/>
      <c r="C41" s="313"/>
      <c r="D41" s="313"/>
      <c r="E41" s="313"/>
      <c r="F41" s="313"/>
      <c r="G41" s="313"/>
      <c r="H41" s="313"/>
      <c r="I41" s="311"/>
    </row>
    <row r="42" spans="1:9" ht="22.5" customHeight="1" x14ac:dyDescent="0.15">
      <c r="A42" s="8"/>
      <c r="B42" s="312"/>
      <c r="C42" s="313"/>
      <c r="D42" s="313"/>
      <c r="E42" s="313"/>
      <c r="F42" s="313"/>
      <c r="G42" s="313"/>
      <c r="H42" s="313"/>
      <c r="I42" s="311"/>
    </row>
    <row r="43" spans="1:9" ht="22.5" customHeight="1" x14ac:dyDescent="0.15">
      <c r="A43" s="8"/>
      <c r="B43" s="312"/>
      <c r="C43" s="313"/>
      <c r="D43" s="313"/>
      <c r="E43" s="313"/>
      <c r="F43" s="313"/>
      <c r="G43" s="313"/>
      <c r="H43" s="313"/>
      <c r="I43" s="311"/>
    </row>
    <row r="44" spans="1:9" ht="22.5" customHeight="1" x14ac:dyDescent="0.15">
      <c r="A44" s="8"/>
      <c r="B44" s="312"/>
      <c r="C44" s="313"/>
      <c r="D44" s="313"/>
      <c r="E44" s="313"/>
      <c r="F44" s="313"/>
      <c r="G44" s="313"/>
      <c r="H44" s="313"/>
      <c r="I44" s="311"/>
    </row>
    <row r="45" spans="1:9" ht="22.5" customHeight="1" x14ac:dyDescent="0.15">
      <c r="A45" s="8"/>
      <c r="B45" s="312"/>
      <c r="C45" s="313"/>
      <c r="D45" s="313"/>
      <c r="E45" s="313"/>
      <c r="F45" s="313"/>
      <c r="G45" s="313"/>
      <c r="H45" s="313"/>
      <c r="I45" s="311"/>
    </row>
    <row r="46" spans="1:9" ht="22.5" customHeight="1" x14ac:dyDescent="0.15">
      <c r="A46" s="8"/>
      <c r="B46" s="314"/>
      <c r="C46" s="315"/>
      <c r="D46" s="315"/>
      <c r="E46" s="315"/>
      <c r="F46" s="315"/>
      <c r="G46" s="315"/>
      <c r="H46" s="315"/>
      <c r="I46" s="316"/>
    </row>
    <row r="47" spans="1:9" ht="7.5" customHeight="1" x14ac:dyDescent="0.15">
      <c r="A47" s="4"/>
      <c r="B47" s="4"/>
      <c r="C47" s="4"/>
      <c r="D47" s="4"/>
      <c r="E47" s="4"/>
      <c r="F47" s="4"/>
      <c r="G47" s="4"/>
      <c r="H47" s="4"/>
      <c r="I47" s="4"/>
    </row>
    <row r="48" spans="1:9" ht="18.75" customHeight="1" x14ac:dyDescent="0.15">
      <c r="A48" s="1" t="s">
        <v>164</v>
      </c>
      <c r="B48" s="1" t="s">
        <v>165</v>
      </c>
    </row>
    <row r="49" spans="1:15" s="3" customFormat="1" ht="18.75" customHeight="1" x14ac:dyDescent="0.15">
      <c r="B49" s="49" t="s">
        <v>166</v>
      </c>
      <c r="C49" s="344">
        <f>'様式２ 履修者等数の実績'!S33</f>
        <v>0.24583333333333332</v>
      </c>
      <c r="D49" s="344"/>
      <c r="E49" s="49" t="s">
        <v>167</v>
      </c>
      <c r="F49" s="344">
        <v>0.5</v>
      </c>
      <c r="G49" s="344"/>
      <c r="H49" s="49" t="s">
        <v>168</v>
      </c>
      <c r="I49" s="15">
        <v>0.75</v>
      </c>
      <c r="J49" s="1"/>
      <c r="M49" s="1"/>
      <c r="N49" s="16"/>
    </row>
    <row r="50" spans="1:15" s="3" customFormat="1" ht="18.75" customHeight="1" x14ac:dyDescent="0.15">
      <c r="B50" s="50" t="s">
        <v>169</v>
      </c>
      <c r="C50" s="327">
        <v>1</v>
      </c>
      <c r="D50" s="327"/>
      <c r="E50" s="50" t="s">
        <v>170</v>
      </c>
      <c r="F50" s="327">
        <v>1</v>
      </c>
      <c r="G50" s="327"/>
      <c r="H50" s="50" t="s">
        <v>171</v>
      </c>
      <c r="I50" s="17">
        <f>'様式２ 履修者等数の実績'!E33</f>
        <v>2640</v>
      </c>
      <c r="J50" s="1"/>
      <c r="M50" s="1"/>
      <c r="N50" s="16"/>
    </row>
    <row r="51" spans="1:15" ht="18.75" customHeight="1" x14ac:dyDescent="0.15">
      <c r="A51" s="1"/>
      <c r="B51" s="324" t="s">
        <v>172</v>
      </c>
      <c r="C51" s="325"/>
      <c r="D51" s="325"/>
      <c r="E51" s="325"/>
      <c r="F51" s="325"/>
      <c r="G51" s="325"/>
      <c r="H51" s="325"/>
      <c r="I51" s="326"/>
      <c r="N51" s="16"/>
      <c r="O51" s="3"/>
    </row>
    <row r="52" spans="1:15" ht="18.75" customHeight="1" x14ac:dyDescent="0.15">
      <c r="A52" s="1"/>
      <c r="B52" s="345" t="s">
        <v>173</v>
      </c>
      <c r="C52" s="346"/>
      <c r="D52" s="346"/>
      <c r="E52" s="346"/>
      <c r="F52" s="346"/>
      <c r="G52" s="346"/>
      <c r="H52" s="346"/>
      <c r="I52" s="347"/>
      <c r="N52" s="16"/>
      <c r="O52" s="3"/>
    </row>
    <row r="53" spans="1:15" ht="18.75" customHeight="1" x14ac:dyDescent="0.15">
      <c r="A53" s="1"/>
      <c r="B53" s="348"/>
      <c r="C53" s="349"/>
      <c r="D53" s="349"/>
      <c r="E53" s="349"/>
      <c r="F53" s="349"/>
      <c r="G53" s="349"/>
      <c r="H53" s="349"/>
      <c r="I53" s="350"/>
      <c r="N53" s="16"/>
      <c r="O53" s="3"/>
    </row>
    <row r="54" spans="1:15" ht="18.75" customHeight="1" x14ac:dyDescent="0.15">
      <c r="A54" s="1"/>
      <c r="B54" s="348"/>
      <c r="C54" s="349"/>
      <c r="D54" s="349"/>
      <c r="E54" s="349"/>
      <c r="F54" s="349"/>
      <c r="G54" s="349"/>
      <c r="H54" s="349"/>
      <c r="I54" s="350"/>
    </row>
    <row r="55" spans="1:15" ht="18.75" customHeight="1" x14ac:dyDescent="0.15">
      <c r="A55" s="1"/>
      <c r="B55" s="348"/>
      <c r="C55" s="349"/>
      <c r="D55" s="349"/>
      <c r="E55" s="349"/>
      <c r="F55" s="349"/>
      <c r="G55" s="349"/>
      <c r="H55" s="349"/>
      <c r="I55" s="350"/>
    </row>
    <row r="56" spans="1:15" ht="18.75" customHeight="1" x14ac:dyDescent="0.15">
      <c r="A56" s="1"/>
      <c r="B56" s="348"/>
      <c r="C56" s="349"/>
      <c r="D56" s="349"/>
      <c r="E56" s="349"/>
      <c r="F56" s="349"/>
      <c r="G56" s="349"/>
      <c r="H56" s="349"/>
      <c r="I56" s="350"/>
    </row>
    <row r="57" spans="1:15" ht="18.75" customHeight="1" x14ac:dyDescent="0.15">
      <c r="A57" s="1"/>
      <c r="B57" s="348"/>
      <c r="C57" s="349"/>
      <c r="D57" s="349"/>
      <c r="E57" s="349"/>
      <c r="F57" s="349"/>
      <c r="G57" s="349"/>
      <c r="H57" s="349"/>
      <c r="I57" s="350"/>
    </row>
    <row r="58" spans="1:15" ht="18.75" customHeight="1" x14ac:dyDescent="0.15">
      <c r="A58" s="1"/>
      <c r="B58" s="348"/>
      <c r="C58" s="349"/>
      <c r="D58" s="349"/>
      <c r="E58" s="349"/>
      <c r="F58" s="349"/>
      <c r="G58" s="349"/>
      <c r="H58" s="349"/>
      <c r="I58" s="350"/>
    </row>
    <row r="59" spans="1:15" ht="18.75" customHeight="1" x14ac:dyDescent="0.15">
      <c r="A59" s="1"/>
      <c r="B59" s="348"/>
      <c r="C59" s="349"/>
      <c r="D59" s="349"/>
      <c r="E59" s="349"/>
      <c r="F59" s="349"/>
      <c r="G59" s="349"/>
      <c r="H59" s="349"/>
      <c r="I59" s="350"/>
    </row>
    <row r="60" spans="1:15" ht="18.75" customHeight="1" x14ac:dyDescent="0.15">
      <c r="A60" s="1"/>
      <c r="B60" s="348"/>
      <c r="C60" s="349"/>
      <c r="D60" s="349"/>
      <c r="E60" s="349"/>
      <c r="F60" s="349"/>
      <c r="G60" s="349"/>
      <c r="H60" s="349"/>
      <c r="I60" s="350"/>
    </row>
    <row r="61" spans="1:15" ht="18.75" customHeight="1" x14ac:dyDescent="0.15">
      <c r="A61" s="1"/>
      <c r="B61" s="348"/>
      <c r="C61" s="349"/>
      <c r="D61" s="349"/>
      <c r="E61" s="349"/>
      <c r="F61" s="349"/>
      <c r="G61" s="349"/>
      <c r="H61" s="349"/>
      <c r="I61" s="350"/>
    </row>
    <row r="62" spans="1:15" ht="18.75" customHeight="1" x14ac:dyDescent="0.15">
      <c r="A62" s="1"/>
      <c r="B62" s="348"/>
      <c r="C62" s="349"/>
      <c r="D62" s="349"/>
      <c r="E62" s="349"/>
      <c r="F62" s="349"/>
      <c r="G62" s="349"/>
      <c r="H62" s="349"/>
      <c r="I62" s="350"/>
    </row>
    <row r="63" spans="1:15" ht="18.75" customHeight="1" x14ac:dyDescent="0.15">
      <c r="A63" s="1"/>
      <c r="B63" s="351"/>
      <c r="C63" s="352"/>
      <c r="D63" s="352"/>
      <c r="E63" s="352"/>
      <c r="F63" s="352"/>
      <c r="G63" s="352"/>
      <c r="H63" s="352"/>
      <c r="I63" s="353"/>
    </row>
    <row r="64" spans="1:15" ht="7.5" customHeight="1" x14ac:dyDescent="0.15">
      <c r="A64" s="8"/>
      <c r="B64" s="8"/>
      <c r="C64" s="8"/>
      <c r="D64" s="8"/>
      <c r="E64" s="8"/>
      <c r="F64" s="8"/>
      <c r="G64" s="8"/>
      <c r="H64" s="8"/>
      <c r="I64" s="8"/>
    </row>
    <row r="65" spans="1:9" ht="18.75" customHeight="1" x14ac:dyDescent="0.15">
      <c r="A65" s="9" t="s">
        <v>174</v>
      </c>
      <c r="B65" s="1" t="s">
        <v>175</v>
      </c>
      <c r="I65" s="9"/>
    </row>
    <row r="66" spans="1:9" ht="18.75" customHeight="1" x14ac:dyDescent="0.15">
      <c r="A66" s="4"/>
      <c r="B66" s="328" t="s">
        <v>176</v>
      </c>
      <c r="C66" s="329"/>
      <c r="D66" s="329"/>
      <c r="E66" s="329"/>
      <c r="F66" s="329"/>
      <c r="G66" s="329"/>
      <c r="H66" s="329"/>
      <c r="I66" s="330"/>
    </row>
    <row r="67" spans="1:9" ht="18.75" customHeight="1" x14ac:dyDescent="0.15">
      <c r="A67" s="4"/>
      <c r="B67" s="331"/>
      <c r="C67" s="332"/>
      <c r="D67" s="332"/>
      <c r="E67" s="332"/>
      <c r="F67" s="332"/>
      <c r="G67" s="332"/>
      <c r="H67" s="332"/>
      <c r="I67" s="333"/>
    </row>
    <row r="68" spans="1:9" ht="18.75" customHeight="1" x14ac:dyDescent="0.15">
      <c r="A68" s="4"/>
      <c r="B68" s="331"/>
      <c r="C68" s="332"/>
      <c r="D68" s="332"/>
      <c r="E68" s="332"/>
      <c r="F68" s="332"/>
      <c r="G68" s="332"/>
      <c r="H68" s="332"/>
      <c r="I68" s="333"/>
    </row>
    <row r="69" spans="1:9" ht="18.75" customHeight="1" x14ac:dyDescent="0.15">
      <c r="A69" s="4"/>
      <c r="B69" s="331"/>
      <c r="C69" s="332"/>
      <c r="D69" s="332"/>
      <c r="E69" s="332"/>
      <c r="F69" s="332"/>
      <c r="G69" s="332"/>
      <c r="H69" s="332"/>
      <c r="I69" s="333"/>
    </row>
    <row r="70" spans="1:9" ht="18.75" customHeight="1" x14ac:dyDescent="0.15">
      <c r="A70" s="4"/>
      <c r="B70" s="331"/>
      <c r="C70" s="332"/>
      <c r="D70" s="332"/>
      <c r="E70" s="332"/>
      <c r="F70" s="332"/>
      <c r="G70" s="332"/>
      <c r="H70" s="332"/>
      <c r="I70" s="333"/>
    </row>
    <row r="71" spans="1:9" ht="18.75" customHeight="1" x14ac:dyDescent="0.15">
      <c r="A71" s="4"/>
      <c r="B71" s="331"/>
      <c r="C71" s="332"/>
      <c r="D71" s="332"/>
      <c r="E71" s="332"/>
      <c r="F71" s="332"/>
      <c r="G71" s="332"/>
      <c r="H71" s="332"/>
      <c r="I71" s="333"/>
    </row>
    <row r="72" spans="1:9" ht="18.75" customHeight="1" x14ac:dyDescent="0.15">
      <c r="A72" s="4"/>
      <c r="B72" s="331"/>
      <c r="C72" s="332"/>
      <c r="D72" s="332"/>
      <c r="E72" s="332"/>
      <c r="F72" s="332"/>
      <c r="G72" s="332"/>
      <c r="H72" s="332"/>
      <c r="I72" s="333"/>
    </row>
    <row r="73" spans="1:9" ht="18.75" customHeight="1" x14ac:dyDescent="0.15">
      <c r="A73" s="4"/>
      <c r="B73" s="331"/>
      <c r="C73" s="332"/>
      <c r="D73" s="332"/>
      <c r="E73" s="332"/>
      <c r="F73" s="332"/>
      <c r="G73" s="332"/>
      <c r="H73" s="332"/>
      <c r="I73" s="333"/>
    </row>
    <row r="74" spans="1:9" ht="18.75" customHeight="1" x14ac:dyDescent="0.15">
      <c r="A74" s="4"/>
      <c r="B74" s="331"/>
      <c r="C74" s="332"/>
      <c r="D74" s="332"/>
      <c r="E74" s="332"/>
      <c r="F74" s="332"/>
      <c r="G74" s="332"/>
      <c r="H74" s="332"/>
      <c r="I74" s="333"/>
    </row>
    <row r="75" spans="1:9" ht="18.75" customHeight="1" x14ac:dyDescent="0.15">
      <c r="A75" s="4"/>
      <c r="B75" s="331"/>
      <c r="C75" s="332"/>
      <c r="D75" s="332"/>
      <c r="E75" s="332"/>
      <c r="F75" s="332"/>
      <c r="G75" s="332"/>
      <c r="H75" s="332"/>
      <c r="I75" s="333"/>
    </row>
    <row r="76" spans="1:9" ht="18.75" customHeight="1" x14ac:dyDescent="0.15">
      <c r="A76" s="4"/>
      <c r="B76" s="331"/>
      <c r="C76" s="332"/>
      <c r="D76" s="332"/>
      <c r="E76" s="332"/>
      <c r="F76" s="332"/>
      <c r="G76" s="332"/>
      <c r="H76" s="332"/>
      <c r="I76" s="333"/>
    </row>
    <row r="77" spans="1:9" ht="18.75" customHeight="1" x14ac:dyDescent="0.15">
      <c r="A77" s="4"/>
      <c r="B77" s="334"/>
      <c r="C77" s="335"/>
      <c r="D77" s="335"/>
      <c r="E77" s="335"/>
      <c r="F77" s="335"/>
      <c r="G77" s="335"/>
      <c r="H77" s="335"/>
      <c r="I77" s="336"/>
    </row>
    <row r="78" spans="1:9" ht="7.5" customHeight="1" x14ac:dyDescent="0.15">
      <c r="A78" s="4"/>
      <c r="B78" s="4"/>
      <c r="C78" s="4"/>
      <c r="D78" s="4"/>
      <c r="E78" s="4"/>
      <c r="F78" s="4"/>
      <c r="G78" s="4"/>
      <c r="H78" s="4"/>
      <c r="I78" s="4"/>
    </row>
    <row r="79" spans="1:9" ht="18.75" customHeight="1" x14ac:dyDescent="0.15">
      <c r="A79" s="1" t="s">
        <v>177</v>
      </c>
      <c r="B79" s="1" t="s">
        <v>178</v>
      </c>
    </row>
    <row r="80" spans="1:9" ht="18.75" customHeight="1" x14ac:dyDescent="0.15">
      <c r="A80" s="1"/>
      <c r="B80" s="328" t="s">
        <v>179</v>
      </c>
      <c r="C80" s="329"/>
      <c r="D80" s="329"/>
      <c r="E80" s="329"/>
      <c r="F80" s="329"/>
      <c r="G80" s="329"/>
      <c r="H80" s="329"/>
      <c r="I80" s="337"/>
    </row>
    <row r="81" spans="1:9" ht="18.75" customHeight="1" x14ac:dyDescent="0.15">
      <c r="A81" s="1"/>
      <c r="B81" s="338"/>
      <c r="C81" s="339"/>
      <c r="D81" s="339"/>
      <c r="E81" s="339"/>
      <c r="F81" s="339"/>
      <c r="G81" s="339"/>
      <c r="H81" s="339"/>
      <c r="I81" s="340"/>
    </row>
    <row r="82" spans="1:9" ht="18.75" customHeight="1" x14ac:dyDescent="0.15">
      <c r="A82" s="1"/>
      <c r="B82" s="338"/>
      <c r="C82" s="339"/>
      <c r="D82" s="339"/>
      <c r="E82" s="339"/>
      <c r="F82" s="339"/>
      <c r="G82" s="339"/>
      <c r="H82" s="339"/>
      <c r="I82" s="340"/>
    </row>
    <row r="83" spans="1:9" ht="18.75" customHeight="1" x14ac:dyDescent="0.15">
      <c r="A83" s="1"/>
      <c r="B83" s="338"/>
      <c r="C83" s="339"/>
      <c r="D83" s="339"/>
      <c r="E83" s="339"/>
      <c r="F83" s="339"/>
      <c r="G83" s="339"/>
      <c r="H83" s="339"/>
      <c r="I83" s="340"/>
    </row>
    <row r="84" spans="1:9" ht="18.75" customHeight="1" x14ac:dyDescent="0.15">
      <c r="A84" s="1"/>
      <c r="B84" s="338"/>
      <c r="C84" s="339"/>
      <c r="D84" s="339"/>
      <c r="E84" s="339"/>
      <c r="F84" s="339"/>
      <c r="G84" s="339"/>
      <c r="H84" s="339"/>
      <c r="I84" s="340"/>
    </row>
    <row r="85" spans="1:9" ht="18.75" customHeight="1" x14ac:dyDescent="0.15">
      <c r="A85" s="1"/>
      <c r="B85" s="338"/>
      <c r="C85" s="339"/>
      <c r="D85" s="339"/>
      <c r="E85" s="339"/>
      <c r="F85" s="339"/>
      <c r="G85" s="339"/>
      <c r="H85" s="339"/>
      <c r="I85" s="340"/>
    </row>
    <row r="86" spans="1:9" ht="18.75" customHeight="1" x14ac:dyDescent="0.15">
      <c r="A86" s="1"/>
      <c r="B86" s="338"/>
      <c r="C86" s="339"/>
      <c r="D86" s="339"/>
      <c r="E86" s="339"/>
      <c r="F86" s="339"/>
      <c r="G86" s="339"/>
      <c r="H86" s="339"/>
      <c r="I86" s="340"/>
    </row>
    <row r="87" spans="1:9" ht="18.75" customHeight="1" x14ac:dyDescent="0.15">
      <c r="A87" s="1"/>
      <c r="B87" s="338"/>
      <c r="C87" s="339"/>
      <c r="D87" s="339"/>
      <c r="E87" s="339"/>
      <c r="F87" s="339"/>
      <c r="G87" s="339"/>
      <c r="H87" s="339"/>
      <c r="I87" s="340"/>
    </row>
    <row r="88" spans="1:9" ht="18.75" customHeight="1" x14ac:dyDescent="0.15">
      <c r="A88" s="1"/>
      <c r="B88" s="338"/>
      <c r="C88" s="339"/>
      <c r="D88" s="339"/>
      <c r="E88" s="339"/>
      <c r="F88" s="339"/>
      <c r="G88" s="339"/>
      <c r="H88" s="339"/>
      <c r="I88" s="340"/>
    </row>
    <row r="89" spans="1:9" ht="18.75" customHeight="1" x14ac:dyDescent="0.15">
      <c r="A89" s="1"/>
      <c r="B89" s="338"/>
      <c r="C89" s="339"/>
      <c r="D89" s="339"/>
      <c r="E89" s="339"/>
      <c r="F89" s="339"/>
      <c r="G89" s="339"/>
      <c r="H89" s="339"/>
      <c r="I89" s="340"/>
    </row>
    <row r="90" spans="1:9" ht="18.75" customHeight="1" x14ac:dyDescent="0.15">
      <c r="A90" s="4"/>
      <c r="B90" s="338"/>
      <c r="C90" s="339"/>
      <c r="D90" s="339"/>
      <c r="E90" s="339"/>
      <c r="F90" s="339"/>
      <c r="G90" s="339"/>
      <c r="H90" s="339"/>
      <c r="I90" s="340"/>
    </row>
    <row r="91" spans="1:9" ht="18.75" customHeight="1" x14ac:dyDescent="0.15">
      <c r="A91" s="4"/>
      <c r="B91" s="341"/>
      <c r="C91" s="342"/>
      <c r="D91" s="342"/>
      <c r="E91" s="342"/>
      <c r="F91" s="342"/>
      <c r="G91" s="342"/>
      <c r="H91" s="342"/>
      <c r="I91" s="343"/>
    </row>
    <row r="92" spans="1:9" ht="7.5" customHeight="1" x14ac:dyDescent="0.15">
      <c r="A92" s="4"/>
      <c r="B92" s="4"/>
      <c r="C92" s="4"/>
      <c r="D92" s="4"/>
      <c r="E92" s="4"/>
      <c r="F92" s="4"/>
      <c r="G92" s="4"/>
      <c r="H92" s="4"/>
      <c r="I92" s="4"/>
    </row>
    <row r="93" spans="1:9" ht="18.75" customHeight="1" x14ac:dyDescent="0.15">
      <c r="A93" s="1" t="s">
        <v>180</v>
      </c>
      <c r="B93" s="1" t="s">
        <v>181</v>
      </c>
    </row>
    <row r="94" spans="1:9" ht="18.75" customHeight="1" x14ac:dyDescent="0.15">
      <c r="A94" s="1"/>
      <c r="B94" s="306" t="s">
        <v>182</v>
      </c>
      <c r="C94" s="307"/>
      <c r="D94" s="307"/>
      <c r="E94" s="307"/>
      <c r="F94" s="307"/>
      <c r="G94" s="307"/>
      <c r="H94" s="307"/>
      <c r="I94" s="308"/>
    </row>
    <row r="95" spans="1:9" ht="18.75" customHeight="1" x14ac:dyDescent="0.15">
      <c r="A95" s="1"/>
      <c r="B95" s="312"/>
      <c r="C95" s="313"/>
      <c r="D95" s="313"/>
      <c r="E95" s="313"/>
      <c r="F95" s="313"/>
      <c r="G95" s="313"/>
      <c r="H95" s="313"/>
      <c r="I95" s="311"/>
    </row>
    <row r="96" spans="1:9" ht="18.75" customHeight="1" x14ac:dyDescent="0.15">
      <c r="A96" s="1"/>
      <c r="B96" s="312"/>
      <c r="C96" s="313"/>
      <c r="D96" s="313"/>
      <c r="E96" s="313"/>
      <c r="F96" s="313"/>
      <c r="G96" s="313"/>
      <c r="H96" s="313"/>
      <c r="I96" s="311"/>
    </row>
    <row r="97" spans="1:9" ht="18.75" customHeight="1" x14ac:dyDescent="0.15">
      <c r="A97" s="1"/>
      <c r="B97" s="312"/>
      <c r="C97" s="313"/>
      <c r="D97" s="313"/>
      <c r="E97" s="313"/>
      <c r="F97" s="313"/>
      <c r="G97" s="313"/>
      <c r="H97" s="313"/>
      <c r="I97" s="311"/>
    </row>
    <row r="98" spans="1:9" ht="18.75" customHeight="1" x14ac:dyDescent="0.15">
      <c r="A98" s="1"/>
      <c r="B98" s="312"/>
      <c r="C98" s="313"/>
      <c r="D98" s="313"/>
      <c r="E98" s="313"/>
      <c r="F98" s="313"/>
      <c r="G98" s="313"/>
      <c r="H98" s="313"/>
      <c r="I98" s="311"/>
    </row>
    <row r="99" spans="1:9" ht="18.75" customHeight="1" x14ac:dyDescent="0.15">
      <c r="A99" s="1"/>
      <c r="B99" s="312"/>
      <c r="C99" s="313"/>
      <c r="D99" s="313"/>
      <c r="E99" s="313"/>
      <c r="F99" s="313"/>
      <c r="G99" s="313"/>
      <c r="H99" s="313"/>
      <c r="I99" s="311"/>
    </row>
    <row r="100" spans="1:9" ht="18.75" customHeight="1" x14ac:dyDescent="0.15">
      <c r="A100" s="1"/>
      <c r="B100" s="312"/>
      <c r="C100" s="313"/>
      <c r="D100" s="313"/>
      <c r="E100" s="313"/>
      <c r="F100" s="313"/>
      <c r="G100" s="313"/>
      <c r="H100" s="313"/>
      <c r="I100" s="311"/>
    </row>
    <row r="101" spans="1:9" ht="18.75" customHeight="1" x14ac:dyDescent="0.15">
      <c r="A101" s="1"/>
      <c r="B101" s="312"/>
      <c r="C101" s="313"/>
      <c r="D101" s="313"/>
      <c r="E101" s="313"/>
      <c r="F101" s="313"/>
      <c r="G101" s="313"/>
      <c r="H101" s="313"/>
      <c r="I101" s="311"/>
    </row>
    <row r="102" spans="1:9" ht="18.75" customHeight="1" x14ac:dyDescent="0.15">
      <c r="A102" s="1"/>
      <c r="B102" s="312"/>
      <c r="C102" s="313"/>
      <c r="D102" s="313"/>
      <c r="E102" s="313"/>
      <c r="F102" s="313"/>
      <c r="G102" s="313"/>
      <c r="H102" s="313"/>
      <c r="I102" s="311"/>
    </row>
    <row r="103" spans="1:9" ht="18.75" customHeight="1" x14ac:dyDescent="0.15">
      <c r="A103" s="1"/>
      <c r="B103" s="312"/>
      <c r="C103" s="313"/>
      <c r="D103" s="313"/>
      <c r="E103" s="313"/>
      <c r="F103" s="313"/>
      <c r="G103" s="313"/>
      <c r="H103" s="313"/>
      <c r="I103" s="311"/>
    </row>
    <row r="104" spans="1:9" ht="18.75" customHeight="1" x14ac:dyDescent="0.15">
      <c r="A104" s="1"/>
      <c r="B104" s="312"/>
      <c r="C104" s="313"/>
      <c r="D104" s="313"/>
      <c r="E104" s="313"/>
      <c r="F104" s="313"/>
      <c r="G104" s="313"/>
      <c r="H104" s="313"/>
      <c r="I104" s="311"/>
    </row>
    <row r="105" spans="1:9" ht="18.75" customHeight="1" x14ac:dyDescent="0.15">
      <c r="A105" s="4"/>
      <c r="B105" s="314"/>
      <c r="C105" s="315"/>
      <c r="D105" s="315"/>
      <c r="E105" s="315"/>
      <c r="F105" s="315"/>
      <c r="G105" s="315"/>
      <c r="H105" s="315"/>
      <c r="I105" s="316"/>
    </row>
    <row r="106" spans="1:9" ht="7.5" customHeight="1" x14ac:dyDescent="0.15">
      <c r="A106" s="4"/>
      <c r="B106" s="4"/>
      <c r="C106" s="4"/>
      <c r="D106" s="4"/>
      <c r="E106" s="4"/>
      <c r="F106" s="4"/>
      <c r="G106" s="4"/>
      <c r="H106" s="4"/>
      <c r="I106" s="4"/>
    </row>
    <row r="107" spans="1:9" ht="18.75" customHeight="1" x14ac:dyDescent="0.15">
      <c r="A107" s="1" t="s">
        <v>183</v>
      </c>
      <c r="B107" s="323" t="s">
        <v>184</v>
      </c>
      <c r="C107" s="323"/>
      <c r="D107" s="323"/>
      <c r="E107" s="323"/>
      <c r="F107" s="323"/>
      <c r="G107" s="323"/>
      <c r="H107" s="323"/>
      <c r="I107" s="323"/>
    </row>
    <row r="108" spans="1:9" ht="18.75" customHeight="1" x14ac:dyDescent="0.15">
      <c r="A108" s="4"/>
      <c r="B108" s="306" t="s">
        <v>185</v>
      </c>
      <c r="C108" s="307"/>
      <c r="D108" s="307"/>
      <c r="E108" s="307"/>
      <c r="F108" s="307"/>
      <c r="G108" s="307"/>
      <c r="H108" s="307"/>
      <c r="I108" s="308"/>
    </row>
    <row r="109" spans="1:9" ht="18.75" customHeight="1" x14ac:dyDescent="0.15">
      <c r="A109" s="4"/>
      <c r="B109" s="312"/>
      <c r="C109" s="313"/>
      <c r="D109" s="313"/>
      <c r="E109" s="313"/>
      <c r="F109" s="313"/>
      <c r="G109" s="313"/>
      <c r="H109" s="313"/>
      <c r="I109" s="311"/>
    </row>
    <row r="110" spans="1:9" ht="18.75" customHeight="1" x14ac:dyDescent="0.15">
      <c r="A110" s="4"/>
      <c r="B110" s="312"/>
      <c r="C110" s="313"/>
      <c r="D110" s="313"/>
      <c r="E110" s="313"/>
      <c r="F110" s="313"/>
      <c r="G110" s="313"/>
      <c r="H110" s="313"/>
      <c r="I110" s="311"/>
    </row>
    <row r="111" spans="1:9" ht="18.75" customHeight="1" x14ac:dyDescent="0.15">
      <c r="A111" s="4"/>
      <c r="B111" s="312"/>
      <c r="C111" s="313"/>
      <c r="D111" s="313"/>
      <c r="E111" s="313"/>
      <c r="F111" s="313"/>
      <c r="G111" s="313"/>
      <c r="H111" s="313"/>
      <c r="I111" s="311"/>
    </row>
    <row r="112" spans="1:9" ht="18.75" customHeight="1" x14ac:dyDescent="0.15">
      <c r="A112" s="4"/>
      <c r="B112" s="312"/>
      <c r="C112" s="313"/>
      <c r="D112" s="313"/>
      <c r="E112" s="313"/>
      <c r="F112" s="313"/>
      <c r="G112" s="313"/>
      <c r="H112" s="313"/>
      <c r="I112" s="311"/>
    </row>
    <row r="113" spans="1:9" ht="18.75" customHeight="1" x14ac:dyDescent="0.15">
      <c r="A113" s="4"/>
      <c r="B113" s="312"/>
      <c r="C113" s="313"/>
      <c r="D113" s="313"/>
      <c r="E113" s="313"/>
      <c r="F113" s="313"/>
      <c r="G113" s="313"/>
      <c r="H113" s="313"/>
      <c r="I113" s="311"/>
    </row>
    <row r="114" spans="1:9" ht="18.75" customHeight="1" x14ac:dyDescent="0.15">
      <c r="A114" s="4"/>
      <c r="B114" s="312"/>
      <c r="C114" s="313"/>
      <c r="D114" s="313"/>
      <c r="E114" s="313"/>
      <c r="F114" s="313"/>
      <c r="G114" s="313"/>
      <c r="H114" s="313"/>
      <c r="I114" s="311"/>
    </row>
    <row r="115" spans="1:9" ht="18.75" customHeight="1" x14ac:dyDescent="0.15">
      <c r="A115" s="4"/>
      <c r="B115" s="312"/>
      <c r="C115" s="313"/>
      <c r="D115" s="313"/>
      <c r="E115" s="313"/>
      <c r="F115" s="313"/>
      <c r="G115" s="313"/>
      <c r="H115" s="313"/>
      <c r="I115" s="311"/>
    </row>
    <row r="116" spans="1:9" ht="18.75" customHeight="1" x14ac:dyDescent="0.15">
      <c r="A116" s="4"/>
      <c r="B116" s="312"/>
      <c r="C116" s="313"/>
      <c r="D116" s="313"/>
      <c r="E116" s="313"/>
      <c r="F116" s="313"/>
      <c r="G116" s="313"/>
      <c r="H116" s="313"/>
      <c r="I116" s="311"/>
    </row>
    <row r="117" spans="1:9" ht="18.75" customHeight="1" x14ac:dyDescent="0.15">
      <c r="A117" s="4"/>
      <c r="B117" s="312"/>
      <c r="C117" s="313"/>
      <c r="D117" s="313"/>
      <c r="E117" s="313"/>
      <c r="F117" s="313"/>
      <c r="G117" s="313"/>
      <c r="H117" s="313"/>
      <c r="I117" s="311"/>
    </row>
    <row r="118" spans="1:9" ht="18.75" customHeight="1" x14ac:dyDescent="0.15">
      <c r="A118" s="4"/>
      <c r="B118" s="312"/>
      <c r="C118" s="313"/>
      <c r="D118" s="313"/>
      <c r="E118" s="313"/>
      <c r="F118" s="313"/>
      <c r="G118" s="313"/>
      <c r="H118" s="313"/>
      <c r="I118" s="311"/>
    </row>
    <row r="119" spans="1:9" ht="18.75" customHeight="1" x14ac:dyDescent="0.15">
      <c r="A119" s="4"/>
      <c r="B119" s="314"/>
      <c r="C119" s="315"/>
      <c r="D119" s="315"/>
      <c r="E119" s="315"/>
      <c r="F119" s="315"/>
      <c r="G119" s="315"/>
      <c r="H119" s="315"/>
      <c r="I119" s="316"/>
    </row>
    <row r="120" spans="1:9" ht="7.5" customHeight="1" x14ac:dyDescent="0.15">
      <c r="A120" s="4"/>
      <c r="B120" s="18"/>
      <c r="C120" s="18"/>
      <c r="D120" s="18"/>
      <c r="E120" s="18"/>
      <c r="F120" s="18"/>
      <c r="G120" s="18"/>
      <c r="H120" s="18"/>
      <c r="I120" s="18"/>
    </row>
    <row r="121" spans="1:9" ht="18.75" customHeight="1" x14ac:dyDescent="0.15">
      <c r="A121" s="29"/>
      <c r="B121" s="302"/>
      <c r="C121" s="302"/>
      <c r="D121" s="302"/>
      <c r="E121" s="302"/>
      <c r="F121" s="302"/>
      <c r="G121" s="302"/>
      <c r="H121" s="302"/>
      <c r="I121" s="302"/>
    </row>
    <row r="122" spans="1:9" ht="18.75" customHeight="1" x14ac:dyDescent="0.15">
      <c r="A122" s="29"/>
      <c r="B122" s="302"/>
      <c r="C122" s="302"/>
      <c r="D122" s="302"/>
      <c r="E122" s="302"/>
      <c r="F122" s="302"/>
      <c r="G122" s="302"/>
      <c r="H122" s="302"/>
      <c r="I122" s="302"/>
    </row>
    <row r="123" spans="1:9" ht="18.75" customHeight="1" x14ac:dyDescent="0.15">
      <c r="A123" s="4"/>
      <c r="B123" s="30"/>
      <c r="C123" s="30"/>
      <c r="D123" s="30"/>
      <c r="E123" s="30"/>
      <c r="F123" s="30"/>
      <c r="G123" s="30"/>
      <c r="H123" s="30"/>
      <c r="I123" s="31"/>
    </row>
    <row r="124" spans="1:9" ht="18.75" customHeight="1" x14ac:dyDescent="0.15">
      <c r="A124" s="4"/>
      <c r="B124" s="31"/>
      <c r="C124" s="31"/>
      <c r="D124" s="31"/>
      <c r="E124" s="31"/>
      <c r="F124" s="31"/>
      <c r="G124" s="31"/>
      <c r="H124" s="31"/>
      <c r="I124" s="31"/>
    </row>
    <row r="125" spans="1:9" ht="18.75" customHeight="1" x14ac:dyDescent="0.15">
      <c r="A125" s="4"/>
      <c r="B125" s="31"/>
      <c r="C125" s="31"/>
      <c r="D125" s="31"/>
      <c r="E125" s="31"/>
      <c r="F125" s="31"/>
      <c r="G125" s="31"/>
      <c r="H125" s="31"/>
      <c r="I125" s="31"/>
    </row>
    <row r="126" spans="1:9" ht="18.75" customHeight="1" x14ac:dyDescent="0.15">
      <c r="A126" s="4"/>
      <c r="B126" s="31"/>
      <c r="C126" s="31"/>
      <c r="D126" s="31"/>
      <c r="E126" s="31"/>
      <c r="F126" s="31"/>
      <c r="G126" s="31"/>
      <c r="H126" s="31"/>
      <c r="I126" s="31"/>
    </row>
    <row r="127" spans="1:9" ht="18.75" customHeight="1" x14ac:dyDescent="0.15">
      <c r="A127" s="4"/>
      <c r="B127" s="31"/>
      <c r="C127" s="31"/>
      <c r="D127" s="31"/>
      <c r="E127" s="31"/>
      <c r="F127" s="31"/>
      <c r="G127" s="31"/>
      <c r="H127" s="31"/>
      <c r="I127" s="31"/>
    </row>
    <row r="128" spans="1:9" ht="18.75" customHeight="1" x14ac:dyDescent="0.15">
      <c r="A128" s="4"/>
      <c r="B128" s="31"/>
      <c r="C128" s="31"/>
      <c r="D128" s="31"/>
      <c r="E128" s="31"/>
      <c r="F128" s="31"/>
      <c r="G128" s="31"/>
      <c r="H128" s="31"/>
      <c r="I128" s="31"/>
    </row>
    <row r="129" spans="1:9" ht="18.75" customHeight="1" x14ac:dyDescent="0.15">
      <c r="A129" s="4"/>
      <c r="B129" s="31"/>
      <c r="C129" s="31"/>
      <c r="D129" s="31"/>
      <c r="E129" s="31"/>
      <c r="F129" s="31"/>
      <c r="G129" s="31"/>
      <c r="H129" s="31"/>
      <c r="I129" s="31"/>
    </row>
    <row r="130" spans="1:9" ht="18.75" customHeight="1" x14ac:dyDescent="0.15">
      <c r="A130" s="4"/>
      <c r="B130" s="31"/>
      <c r="C130" s="31"/>
      <c r="D130" s="31"/>
      <c r="E130" s="31"/>
      <c r="F130" s="31"/>
      <c r="G130" s="31"/>
      <c r="H130" s="31"/>
      <c r="I130" s="31"/>
    </row>
    <row r="131" spans="1:9" ht="18.75" customHeight="1" x14ac:dyDescent="0.15">
      <c r="A131" s="4"/>
      <c r="B131" s="31"/>
      <c r="C131" s="31"/>
      <c r="D131" s="31"/>
      <c r="E131" s="31"/>
      <c r="F131" s="31"/>
      <c r="G131" s="31"/>
      <c r="H131" s="31"/>
      <c r="I131" s="31"/>
    </row>
    <row r="132" spans="1:9" ht="18.75" customHeight="1" x14ac:dyDescent="0.15">
      <c r="A132" s="4"/>
      <c r="B132" s="31"/>
      <c r="C132" s="31"/>
      <c r="D132" s="31"/>
      <c r="E132" s="31"/>
      <c r="F132" s="31"/>
      <c r="G132" s="31"/>
      <c r="H132" s="31"/>
      <c r="I132" s="31"/>
    </row>
    <row r="133" spans="1:9" ht="14.25" x14ac:dyDescent="0.15">
      <c r="A133" s="4"/>
      <c r="B133" s="31"/>
      <c r="C133" s="31"/>
      <c r="D133" s="31"/>
      <c r="E133" s="31"/>
      <c r="F133" s="31"/>
      <c r="G133" s="31"/>
      <c r="H133" s="31"/>
      <c r="I133" s="31"/>
    </row>
    <row r="134" spans="1:9" ht="7.5" customHeight="1" x14ac:dyDescent="0.15">
      <c r="A134" s="4"/>
      <c r="B134" s="31"/>
      <c r="C134" s="31"/>
      <c r="D134" s="31"/>
      <c r="E134" s="31"/>
      <c r="F134" s="31"/>
      <c r="G134" s="31"/>
      <c r="H134" s="31"/>
      <c r="I134" s="3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W100" sqref="W10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186</v>
      </c>
      <c r="I1" s="11" t="s">
        <v>187</v>
      </c>
    </row>
    <row r="2" spans="1:9" ht="18.75" customHeight="1" x14ac:dyDescent="0.15">
      <c r="H2" s="11" t="s">
        <v>2</v>
      </c>
      <c r="I2" s="10" t="str">
        <f>'様式１-１　プログラムを構成する授業科目'!C2</f>
        <v>藤田医科大学</v>
      </c>
    </row>
    <row r="3" spans="1:9" ht="18.75" customHeight="1" x14ac:dyDescent="0.15">
      <c r="A3" s="138" t="s">
        <v>188</v>
      </c>
      <c r="B3" s="138"/>
      <c r="C3" s="138"/>
      <c r="D3" s="138"/>
      <c r="E3" s="138"/>
      <c r="F3" s="138"/>
      <c r="G3" s="138"/>
      <c r="H3" s="138"/>
      <c r="I3" s="138"/>
    </row>
    <row r="4" spans="1:9" ht="18.75" customHeight="1" x14ac:dyDescent="0.15">
      <c r="A4" s="5"/>
      <c r="B4" s="5"/>
      <c r="C4" s="5"/>
      <c r="D4" s="5"/>
      <c r="E4" s="5"/>
      <c r="F4" s="5"/>
      <c r="G4" s="5"/>
      <c r="H4" s="5"/>
      <c r="I4" s="5"/>
    </row>
    <row r="5" spans="1:9" ht="18.75" customHeight="1" x14ac:dyDescent="0.15">
      <c r="A5" s="1" t="s">
        <v>139</v>
      </c>
      <c r="B5" s="7" t="s">
        <v>189</v>
      </c>
      <c r="C5" s="5"/>
      <c r="D5" s="5"/>
      <c r="E5" s="5"/>
      <c r="F5" s="5"/>
      <c r="G5" s="5"/>
      <c r="H5" s="5"/>
      <c r="I5" s="5"/>
    </row>
    <row r="6" spans="1:9" ht="26.25" customHeight="1" x14ac:dyDescent="0.15">
      <c r="A6" s="5"/>
      <c r="B6" s="317" t="s">
        <v>153</v>
      </c>
      <c r="C6" s="361"/>
      <c r="D6" s="361"/>
      <c r="E6" s="361"/>
      <c r="F6" s="361"/>
      <c r="G6" s="361"/>
      <c r="H6" s="362"/>
      <c r="I6" s="3"/>
    </row>
    <row r="7" spans="1:9" ht="9" customHeight="1" x14ac:dyDescent="0.15">
      <c r="A7" s="5"/>
      <c r="B7" s="7"/>
      <c r="C7" s="7"/>
      <c r="D7" s="7"/>
      <c r="E7" s="7"/>
      <c r="F7" s="7"/>
      <c r="G7" s="7"/>
      <c r="H7" s="7"/>
      <c r="I7" s="3"/>
    </row>
    <row r="8" spans="1:9" ht="18.75" customHeight="1" x14ac:dyDescent="0.15">
      <c r="A8" s="5"/>
      <c r="B8" s="3"/>
      <c r="C8" s="3"/>
      <c r="D8" s="11" t="s">
        <v>147</v>
      </c>
      <c r="E8" s="12" t="s">
        <v>190</v>
      </c>
      <c r="F8" s="3"/>
      <c r="G8" s="11" t="s">
        <v>149</v>
      </c>
      <c r="H8" s="12" t="s">
        <v>155</v>
      </c>
      <c r="I8" s="3"/>
    </row>
    <row r="9" spans="1:9" ht="7.5" customHeight="1" x14ac:dyDescent="0.15">
      <c r="A9" s="5"/>
      <c r="B9" s="5"/>
      <c r="C9" s="5"/>
      <c r="D9" s="5"/>
      <c r="E9" s="5"/>
      <c r="F9" s="5"/>
      <c r="G9" s="5"/>
      <c r="H9" s="5"/>
      <c r="I9" s="5"/>
    </row>
    <row r="10" spans="1:9" ht="18.75" customHeight="1" x14ac:dyDescent="0.15">
      <c r="A10" s="1" t="s">
        <v>143</v>
      </c>
      <c r="B10" s="1" t="s">
        <v>191</v>
      </c>
      <c r="C10" s="4"/>
      <c r="D10" s="4"/>
      <c r="E10" s="4"/>
      <c r="F10" s="4"/>
      <c r="G10" s="4"/>
      <c r="H10" s="4"/>
      <c r="I10" s="4"/>
    </row>
    <row r="11" spans="1:9" ht="18.75" customHeight="1" x14ac:dyDescent="0.15">
      <c r="B11" s="127" t="s">
        <v>192</v>
      </c>
      <c r="C11" s="128"/>
      <c r="D11" s="129"/>
      <c r="E11" s="128" t="s">
        <v>193</v>
      </c>
      <c r="F11" s="128"/>
      <c r="G11" s="128"/>
      <c r="H11" s="128"/>
      <c r="I11" s="129"/>
    </row>
    <row r="12" spans="1:9" ht="26.25" customHeight="1" x14ac:dyDescent="0.15">
      <c r="B12" s="19" t="s">
        <v>194</v>
      </c>
      <c r="C12" s="26"/>
      <c r="D12" s="20"/>
      <c r="E12" s="27"/>
      <c r="F12" s="27"/>
      <c r="G12" s="27"/>
      <c r="H12" s="27"/>
      <c r="I12" s="20"/>
    </row>
    <row r="13" spans="1:9" ht="210.75" customHeight="1" x14ac:dyDescent="0.15">
      <c r="B13" s="21"/>
      <c r="C13" s="359" t="s">
        <v>195</v>
      </c>
      <c r="D13" s="360"/>
      <c r="E13" s="356" t="s">
        <v>196</v>
      </c>
      <c r="F13" s="357"/>
      <c r="G13" s="357"/>
      <c r="H13" s="357"/>
      <c r="I13" s="358"/>
    </row>
    <row r="14" spans="1:9" ht="210.75" customHeight="1" x14ac:dyDescent="0.15">
      <c r="B14" s="21"/>
      <c r="C14" s="354" t="s">
        <v>197</v>
      </c>
      <c r="D14" s="355"/>
      <c r="E14" s="356" t="s">
        <v>198</v>
      </c>
      <c r="F14" s="357"/>
      <c r="G14" s="357"/>
      <c r="H14" s="357"/>
      <c r="I14" s="358"/>
    </row>
    <row r="15" spans="1:9" ht="210.75" customHeight="1" x14ac:dyDescent="0.15">
      <c r="B15" s="21"/>
      <c r="C15" s="359" t="s">
        <v>199</v>
      </c>
      <c r="D15" s="360"/>
      <c r="E15" s="363" t="s">
        <v>200</v>
      </c>
      <c r="F15" s="364"/>
      <c r="G15" s="364"/>
      <c r="H15" s="364"/>
      <c r="I15" s="365"/>
    </row>
    <row r="16" spans="1:9" ht="210.75" customHeight="1" x14ac:dyDescent="0.15">
      <c r="B16" s="21"/>
      <c r="C16" s="359" t="s">
        <v>201</v>
      </c>
      <c r="D16" s="360"/>
      <c r="E16" s="363" t="s">
        <v>202</v>
      </c>
      <c r="F16" s="364"/>
      <c r="G16" s="364"/>
      <c r="H16" s="364"/>
      <c r="I16" s="365"/>
    </row>
    <row r="17" spans="2:9" ht="210.75" customHeight="1" x14ac:dyDescent="0.15">
      <c r="B17" s="22"/>
      <c r="C17" s="366" t="s">
        <v>203</v>
      </c>
      <c r="D17" s="367"/>
      <c r="E17" s="368" t="s">
        <v>204</v>
      </c>
      <c r="F17" s="369"/>
      <c r="G17" s="369"/>
      <c r="H17" s="369"/>
      <c r="I17" s="370"/>
    </row>
    <row r="18" spans="2:9" ht="24" customHeight="1" x14ac:dyDescent="0.15">
      <c r="B18" s="19" t="s">
        <v>205</v>
      </c>
      <c r="C18" s="23"/>
      <c r="D18" s="24"/>
      <c r="E18" s="25"/>
      <c r="F18" s="25"/>
      <c r="G18" s="25"/>
      <c r="H18" s="25"/>
      <c r="I18" s="28"/>
    </row>
    <row r="19" spans="2:9" ht="218.25" customHeight="1" x14ac:dyDescent="0.15">
      <c r="B19" s="21"/>
      <c r="C19" s="359" t="s">
        <v>206</v>
      </c>
      <c r="D19" s="360"/>
      <c r="E19" s="357" t="s">
        <v>207</v>
      </c>
      <c r="F19" s="357"/>
      <c r="G19" s="357"/>
      <c r="H19" s="357"/>
      <c r="I19" s="358"/>
    </row>
    <row r="20" spans="2:9" ht="218.25" customHeight="1" x14ac:dyDescent="0.15">
      <c r="B20" s="22"/>
      <c r="C20" s="366" t="s">
        <v>208</v>
      </c>
      <c r="D20" s="367"/>
      <c r="E20" s="369" t="s">
        <v>209</v>
      </c>
      <c r="F20" s="369"/>
      <c r="G20" s="369"/>
      <c r="H20" s="369"/>
      <c r="I20" s="370"/>
    </row>
    <row r="21" spans="2:9" ht="218.25" customHeight="1" x14ac:dyDescent="0.15">
      <c r="B21" s="376" t="s">
        <v>210</v>
      </c>
      <c r="C21" s="377"/>
      <c r="D21" s="378"/>
      <c r="E21" s="379" t="s">
        <v>211</v>
      </c>
      <c r="F21" s="379"/>
      <c r="G21" s="379"/>
      <c r="H21" s="379"/>
      <c r="I21" s="380"/>
    </row>
    <row r="22" spans="2:9" ht="218.25" customHeight="1" x14ac:dyDescent="0.15">
      <c r="B22" s="371" t="s">
        <v>212</v>
      </c>
      <c r="C22" s="372"/>
      <c r="D22" s="373"/>
      <c r="E22" s="374" t="s">
        <v>213</v>
      </c>
      <c r="F22" s="374"/>
      <c r="G22" s="374"/>
      <c r="H22" s="374"/>
      <c r="I22" s="37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8"/>
      <c r="C28" s="8"/>
      <c r="D28" s="8"/>
      <c r="E28" s="8"/>
      <c r="F28" s="8"/>
      <c r="G28" s="8"/>
      <c r="H28" s="8"/>
      <c r="I28" s="8"/>
    </row>
    <row r="29" spans="2:9" ht="22.5" customHeight="1" x14ac:dyDescent="0.15">
      <c r="B29" s="8"/>
      <c r="C29" s="8"/>
      <c r="D29" s="8"/>
      <c r="E29" s="8"/>
      <c r="F29" s="8"/>
      <c r="G29" s="8"/>
      <c r="H29" s="8"/>
      <c r="I29" s="8"/>
    </row>
    <row r="30" spans="2:9" ht="22.5" customHeight="1" x14ac:dyDescent="0.15">
      <c r="B30" s="8"/>
      <c r="C30" s="8"/>
      <c r="D30" s="8"/>
      <c r="E30" s="8"/>
      <c r="F30" s="8"/>
      <c r="G30" s="8"/>
      <c r="H30" s="8"/>
      <c r="I30" s="8"/>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ccd769d-2750-46d9-81ea-a824d50f5d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C48FE3E1760A4483D1865F9BD4AA36" ma:contentTypeVersion="13" ma:contentTypeDescription="新しいドキュメントを作成します。" ma:contentTypeScope="" ma:versionID="c31a2f939a1c5ba343f7cb8218b172ae">
  <xsd:schema xmlns:xsd="http://www.w3.org/2001/XMLSchema" xmlns:xs="http://www.w3.org/2001/XMLSchema" xmlns:p="http://schemas.microsoft.com/office/2006/metadata/properties" xmlns:ns3="4ccd769d-2750-46d9-81ea-a824d50f5d1f" xmlns:ns4="5ad4f560-354a-4761-ae70-0c8f15d7a6a9" targetNamespace="http://schemas.microsoft.com/office/2006/metadata/properties" ma:root="true" ma:fieldsID="76bcedca36609219bb6d7d6618da80d3" ns3:_="" ns4:_="">
    <xsd:import namespace="4ccd769d-2750-46d9-81ea-a824d50f5d1f"/>
    <xsd:import namespace="5ad4f560-354a-4761-ae70-0c8f15d7a6a9"/>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cd769d-2750-46d9-81ea-a824d50f5d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d4f560-354a-4761-ae70-0c8f15d7a6a9"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SharingHintHash" ma:index="15"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554A5D-38D6-4A4E-BB92-5EB343EF0699}">
  <ds:schemaRefs>
    <ds:schemaRef ds:uri="http://www.w3.org/XML/1998/namespace"/>
    <ds:schemaRef ds:uri="http://purl.org/dc/dcmitype/"/>
    <ds:schemaRef ds:uri="http://schemas.microsoft.com/office/2006/metadata/properties"/>
    <ds:schemaRef ds:uri="http://schemas.microsoft.com/office/infopath/2007/PartnerControls"/>
    <ds:schemaRef ds:uri="http://purl.org/dc/terms/"/>
    <ds:schemaRef ds:uri="http://schemas.microsoft.com/office/2006/documentManagement/types"/>
    <ds:schemaRef ds:uri="4ccd769d-2750-46d9-81ea-a824d50f5d1f"/>
    <ds:schemaRef ds:uri="http://schemas.openxmlformats.org/package/2006/metadata/core-properties"/>
    <ds:schemaRef ds:uri="5ad4f560-354a-4761-ae70-0c8f15d7a6a9"/>
    <ds:schemaRef ds:uri="http://purl.org/dc/elements/1.1/"/>
  </ds:schemaRefs>
</ds:datastoreItem>
</file>

<file path=customXml/itemProps2.xml><?xml version="1.0" encoding="utf-8"?>
<ds:datastoreItem xmlns:ds="http://schemas.openxmlformats.org/officeDocument/2006/customXml" ds:itemID="{E7EEB017-65B0-4472-AA33-1E30AC648D83}">
  <ds:schemaRefs>
    <ds:schemaRef ds:uri="http://schemas.microsoft.com/sharepoint/v3/contenttype/forms"/>
  </ds:schemaRefs>
</ds:datastoreItem>
</file>

<file path=customXml/itemProps3.xml><?xml version="1.0" encoding="utf-8"?>
<ds:datastoreItem xmlns:ds="http://schemas.openxmlformats.org/officeDocument/2006/customXml" ds:itemID="{B2D93B2C-EFCC-4CB9-8B4B-6ED46933A8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cd769d-2750-46d9-81ea-a824d50f5d1f"/>
    <ds:schemaRef ds:uri="5ad4f560-354a-4761-ae70-0c8f15d7a6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vt:lpstr>
      <vt:lpstr>様式１－2　プログラムを構成する授業科目</vt:lpstr>
      <vt:lpstr>様式１－3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'様式１－2　プログラムを構成する授業科目'!Print_Area</vt:lpstr>
      <vt:lpstr>'様式１－3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GAKUMU-H</dc:creator>
  <cp:keywords/>
  <dc:description/>
  <cp:lastModifiedBy>坂井田 直孝</cp:lastModifiedBy>
  <cp:revision/>
  <cp:lastPrinted>2025-07-11T05:34:40Z</cp:lastPrinted>
  <dcterms:created xsi:type="dcterms:W3CDTF">2011-06-14T05:32:50Z</dcterms:created>
  <dcterms:modified xsi:type="dcterms:W3CDTF">2025-07-11T05:35:48Z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0x01010063C48FE3E1760A4483D1865F9BD4AA36</vt:lpwstr>
  </property>
  <property fmtid="{D5CDD505-2E9C-101B-9397-08002B2CF9AE}" pid="10" name="MediaServiceImageTags">
    <vt:lpwstr/>
  </property>
</Properties>
</file>