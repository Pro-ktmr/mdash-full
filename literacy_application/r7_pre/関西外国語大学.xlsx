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codeName="ThisWorkbook" defaultThemeVersion="124226"/>
  <xr:revisionPtr revIDLastSave="0" documentId="13_ncr:1_{C670E404-5CF3-452B-8633-6BCB7E4FD791}" xr6:coauthVersionLast="36" xr6:coauthVersionMax="47" xr10:uidLastSave="{00000000-0000-0000-0000-000000000000}"/>
  <bookViews>
    <workbookView xWindow="-120" yWindow="-16320" windowWidth="29040" windowHeight="15840" tabRatio="885"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<sst xmlns="http://schemas.openxmlformats.org/spreadsheetml/2006/main" count="217" uniqueCount="180">
  <si>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</si>
  <si>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</si>
  <si>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</si>
  <si>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</si>
  <si>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</si>
  <si>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</si>
  <si>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</si>
  <si>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</si>
  <si>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</si>
  <si>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</si>
  <si>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</si>
  <si>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</si>
  <si>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</si>
  <si>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</si>
  <si>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</si>
  <si>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</si>
  <si>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</si>
  <si>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</si>
  <si>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</si>
  <si>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</si>
  <si>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</si>
  <si>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</si>
  <si>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</si>
  <si>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</si>
  <si>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</si>
  <si>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</si>
  <si>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</si>
  <si>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</si>
  <si>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</si>
  <si>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</si>
  <si>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</si>
  <si>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</si>
  <si>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</si>
  <si>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</si>
  <si>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</si>
  <si>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</si>
  <si>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</si>
  <si>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</si>
  <si>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</si>
  <si>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</si>
  <si>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</si>
  <si>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</si>
  <si>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</si>
  <si>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</si>
  <si>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</si>
  <si>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</si>
  <si>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</si>
  <si>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</si>
  <si>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</si>
  <si>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</si>
  <si>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</si>
  <si>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</si>
  <si>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</si>
  <si>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</si>
  <si>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</si>
  <si>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</si>
  <si>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</si>
  <si>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</si>
  <si>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</si>
  <si>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</si>
  <si>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</si>
  <si>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</si>
  <si>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</si>
  <si>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</si>
  <si>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</si>
  <si>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</si>
  <si>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</si>
  <si>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</si>
  <si>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</si>
  <si>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</si>
  <si>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</si>
  <si>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</si>
  <si>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</si>
  <si>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</si>
  <si>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</si>
  <si>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</si>
  <si>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</si>
  <si>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</si>
  <si>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</si>
  <si>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</si>
  <si>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</si>
  <si>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</si>
  <si>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</si>
  <si>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</si>
  <si>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</si>
  <si>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</si>
  <si>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</si>
  <si>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</si>
  <si>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</si>
  <si>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</si>
  <si>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</si>
  <si>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</si>
  <si>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</si>
  <si>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</si>
  <si>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</si>
  <si>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</si>
  <si>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</si>
  <si>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</si>
  <si>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</si>
  <si>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</si>
  <si>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</si>
  <si>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</si>
  <si>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</si>
  <si>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</si>
  <si>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</si>
  <si>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</si>
  <si>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</si>
  <si>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</si>
  <si>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</si>
  <si>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</si>
  <si>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</si>
  <si>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</si>
  <si>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</si>
  <si>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</si>
  <si>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</si>
  <si>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</si>
  <si>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</si>
  <si>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</si>
  <si>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</si>
  <si>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</si>
  <si>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</si>
  <si>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</si>
  <si>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</si>
  <si>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</si>
  <si>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</si>
  <si>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</si>
  <si>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</si>
  <si>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</si>
  <si>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</si>
  <si>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数理・データサイエンス・AI教育プログラム</t>
    <phoneticPr fontId="1"/>
  </si>
  <si>
    <t>学部・学科によって、修了要件は相違しない</t>
  </si>
  <si>
    <t>令和１０年度以降に履修必須とする計画、又は未定</t>
  </si>
  <si>
    <t>○</t>
  </si>
  <si>
    <t>令和7</t>
    <rPh sb="0" eb="2">
      <t>レイワ</t>
    </rPh>
    <phoneticPr fontId="1"/>
  </si>
  <si>
    <t>外国語学部・英米語学科</t>
    <rPh sb="0" eb="5">
      <t>ガイコクゴガクブ</t>
    </rPh>
    <rPh sb="6" eb="9">
      <t>エイベイゴ</t>
    </rPh>
    <rPh sb="9" eb="11">
      <t>ガッカ</t>
    </rPh>
    <phoneticPr fontId="1"/>
  </si>
  <si>
    <t>外国語学部・スペイン語学科</t>
    <rPh sb="0" eb="5">
      <t>ガイコクゴガクブ</t>
    </rPh>
    <rPh sb="10" eb="11">
      <t>ゴ</t>
    </rPh>
    <rPh sb="11" eb="13">
      <t>ガッカ</t>
    </rPh>
    <phoneticPr fontId="1"/>
  </si>
  <si>
    <t>外国語学部・英語・デジタルコミュニケーション学科</t>
    <rPh sb="0" eb="5">
      <t>ガイコクゴガクブ</t>
    </rPh>
    <rPh sb="6" eb="8">
      <t>エイゴ</t>
    </rPh>
    <rPh sb="22" eb="24">
      <t>ガッカ</t>
    </rPh>
    <phoneticPr fontId="1"/>
  </si>
  <si>
    <t>外国語学部・国際日本学科</t>
    <rPh sb="0" eb="5">
      <t>ガイコクゴガクブ</t>
    </rPh>
    <rPh sb="6" eb="8">
      <t>コクサイ</t>
    </rPh>
    <rPh sb="8" eb="10">
      <t>ニホン</t>
    </rPh>
    <rPh sb="10" eb="12">
      <t>ガッカ</t>
    </rPh>
    <phoneticPr fontId="1"/>
  </si>
  <si>
    <t>国際共生学部・国際共生学科</t>
    <rPh sb="0" eb="2">
      <t>コクサイ</t>
    </rPh>
    <rPh sb="2" eb="4">
      <t>キョウセイ</t>
    </rPh>
    <rPh sb="4" eb="6">
      <t>ガクブ</t>
    </rPh>
    <rPh sb="7" eb="9">
      <t>コクサイ</t>
    </rPh>
    <rPh sb="9" eb="11">
      <t>キョウセイ</t>
    </rPh>
    <rPh sb="11" eb="13">
      <t>ガッカ</t>
    </rPh>
    <phoneticPr fontId="1"/>
  </si>
  <si>
    <t>教務部次長</t>
    <phoneticPr fontId="1"/>
  </si>
  <si>
    <t>数理・データサイエンス・AI教育プログラム 企画推進部会</t>
    <phoneticPr fontId="1"/>
  </si>
  <si>
    <t>数理・データサイエンス・AI教育プログラム 企画推進部会設置要項</t>
    <phoneticPr fontId="1"/>
  </si>
  <si>
    <t>金山 典世</t>
    <phoneticPr fontId="1"/>
  </si>
  <si>
    <t>情報化戦略・推進会議委員長</t>
    <phoneticPr fontId="1"/>
  </si>
  <si>
    <t>関西外国語大学</t>
    <rPh sb="0" eb="7">
      <t>カンサイガイコクゴダイガク</t>
    </rPh>
    <phoneticPr fontId="1"/>
  </si>
  <si>
    <t>本プログラムを終えることで、データサイエンス・AIを日常生活や仕事の場で主体的に使いこなす基礎的な素養が身に付く。さらに、修得した知識とスキルに基づき、人間中心の適切な判断を下しながら、自らの意思でAIがもたらす恩恵を享受・活用できるようになる。
具体的には、以下の内容を習得する。
意義の理解： データサイエンスやAIを学ぶことの重要性
仕組みの理解： データサイエンスやAIによる社会での価値創造の仕組み
協働の方法： AIの長所と短所を踏まえ、人間の判断に役立てる方法
実践スキル： 社会の実際のデータや課題を適切に読み解き、判断するスキル</t>
    <phoneticPr fontId="1"/>
  </si>
  <si>
    <t>倉田　功一</t>
    <phoneticPr fontId="1"/>
  </si>
  <si>
    <t>　プログラムの受講者を対象に授業アンケートを実施し、学生の理解度に関する分析を行っている。 「授業内容を理解できたか」との設問に対し、受講者の90.1%が「理解できた」「やや理解できた」と肯定的に回答しており、学生の学修内容に関する高い理解度を確認している。オンデマンド形式の特性を活かし、受講者が各自のペースで反復学習を行える環境を整備したことや、理解度を確認するための演習を適宜組み込んだ授業設計が、学生の理解度向上につながっている。</t>
    <rPh sb="105" eb="107">
      <t>ガクセイ</t>
    </rPh>
    <rPh sb="113" eb="114">
      <t>カン</t>
    </rPh>
    <rPh sb="116" eb="117">
      <t>タカ</t>
    </rPh>
    <rPh sb="118" eb="121">
      <t>リカイド</t>
    </rPh>
    <rPh sb="122" eb="124">
      <t>カクニン</t>
    </rPh>
    <rPh sb="167" eb="169">
      <t>セイビ</t>
    </rPh>
    <rPh sb="189" eb="190">
      <t>オオ</t>
    </rPh>
    <rPh sb="196" eb="198">
      <t>ジュギョウ</t>
    </rPh>
    <rPh sb="198" eb="200">
      <t>セッケイ</t>
    </rPh>
    <rPh sb="205" eb="208">
      <t>リカイド</t>
    </rPh>
    <rPh sb="208" eb="210">
      <t>コウジョウ</t>
    </rPh>
    <phoneticPr fontId="1"/>
  </si>
  <si>
    <t>　プログラムの受講者を対象に授業アンケートを実施し、後輩学生や他の学生への推奨についての調査をおこなっている。学生の92.1%が「勧めたい」と肯定的に回答しており、プログラムへの高い満足度が示された。この結果をプログラムの広報活動に活用し、今後のさらなる履修促進を行う予定である。</t>
    <rPh sb="44" eb="46">
      <t>チョウサ</t>
    </rPh>
    <rPh sb="71" eb="74">
      <t>コウテイテキ</t>
    </rPh>
    <rPh sb="120" eb="122">
      <t>コンゴ</t>
    </rPh>
    <rPh sb="132" eb="133">
      <t>オコナ</t>
    </rPh>
    <rPh sb="134" eb="136">
      <t>ヨテイ</t>
    </rPh>
    <phoneticPr fontId="1"/>
  </si>
  <si>
    <t>　普及・動機付けの取組として、各学期の履修登録時期に実施するガイダンスにおいて、本プログラムの概要及び現代社会におけるAI・データサイエンスの必要性を全学生へ周知し、学生の認知度向上と履修を促している。 また、学修成果の可視化とキャリア形成支援を目的とし、本プログラム修了者へのデジタルバッジ発行を予定しており、就職活動等における有用性を学生に広く周知し、学修の動機付けを一層強化する。
　プログラム内容の質的向上として、履修者アンケート等において特に評価の高い「データ分析実習」について、その内容を一層充実させる。これにより、より実践的なスキルが習得可能なプログラムへと改編し、学生のニーズに応え、履修意欲の向上を図る予定である。
　また令和8年度以降は、英語・デジタルコミュニケーション学科の学生に対し、当該学科の専門性とデータサイエンスとの親和性を踏まえ、学科担当教員による履修指導を強化する予定である。</t>
    <rPh sb="75" eb="78">
      <t>ゼンガクセイ</t>
    </rPh>
    <rPh sb="95" eb="96">
      <t>ウナガ</t>
    </rPh>
    <rPh sb="106" eb="107">
      <t>オサ</t>
    </rPh>
    <rPh sb="149" eb="151">
      <t>ヨテイ</t>
    </rPh>
    <rPh sb="302" eb="304">
      <t>イヨク</t>
    </rPh>
    <rPh sb="308" eb="309">
      <t>ハカ</t>
    </rPh>
    <rPh sb="310" eb="312">
      <t>ヨテイ</t>
    </rPh>
    <phoneticPr fontId="1"/>
  </si>
  <si>
    <t>　本プログラムは、全学部・全学年の学生を対象として、オンデマンド形式で開講しており、所属や専門分野を問わず、全学生が履修可能な体制を構築している。
　学修コンテンツはLMS（学習管理システム）を活用して提供することにより、時間や場所に捉われない柔軟な学修を可能とし、学生の多様なニーズに対応している。
　個人の端末環境（PC等）を所有しない学生に対しては、学内のPC自習室（コンピューター教室）の利用を案内することで、全ての学生に対する平等な学修機会を保障している。</t>
    <rPh sb="32" eb="34">
      <t>ケイシキ</t>
    </rPh>
    <rPh sb="201" eb="203">
      <t>アンナイ</t>
    </rPh>
    <phoneticPr fontId="1"/>
  </si>
  <si>
    <t>　各学期の履修登録時期に実施するガイダンスにおいて、本プログラムの概要及び現代社会におけるAI・データサイエンスの必要性を全学生へ周知し、学生の認知度向上に取り組んでいる。
　また在学生向けのポータルサイトを活用し、履修登録期間中に本プログラムの目的・意義、及びオンデマンド形式で柔軟な受講が可能である点を掲示し、案内している。
　さらに大学ホームページ上にプログラムの詳細を常時公開し、在学生のみならず保護者や産業界を含む社会全体に対し広く情報発信を行い、プログラムの継続的な認知度向上に努めている。</t>
    <rPh sb="61" eb="64">
      <t>ゼンガクセイ</t>
    </rPh>
    <rPh sb="78" eb="79">
      <t>ト</t>
    </rPh>
    <rPh sb="80" eb="81">
      <t>ク</t>
    </rPh>
    <rPh sb="151" eb="152">
      <t>テン</t>
    </rPh>
    <rPh sb="188" eb="190">
      <t>ジョウジ</t>
    </rPh>
    <rPh sb="233" eb="236">
      <t>ケイゾクテキ</t>
    </rPh>
    <rPh sb="243" eb="244">
      <t>ツト</t>
    </rPh>
    <phoneticPr fontId="1"/>
  </si>
  <si>
    <t>　学生の多様な学習スタイルに対応するため、時間や場所に捉われないオンデマンド型学習環境を提供しており、学生は習熟状況に応じた反復学習が可能である。
　LMSのメッセージ機能やメール等を活用した遠隔での学修指導及び質疑応答体制を整備するなど、きめ細やかな学修サポート体制を構築することで、学生が抱える学修上の不安や疑問を早期に解消し、学生の履修・修得を支援している。</t>
    <rPh sb="7" eb="9">
      <t>ガクシュウ</t>
    </rPh>
    <rPh sb="84" eb="86">
      <t>キノウ</t>
    </rPh>
    <rPh sb="101" eb="102">
      <t>オサ</t>
    </rPh>
    <phoneticPr fontId="1"/>
  </si>
  <si>
    <t>　各学期の履修登録時期に実施するガイダンスにおいて、本プログラムの概要及び現代社会におけるAI・データサイエンスの必要性を全学生へ周知しており、学生の興味・関心とキャリア形成の意識から多数の履修者を集めている。
　今後は学修成果の可視化とキャリア形成支援のさらなる充実を目的とし、本プログラム修了者へのデジタルバッジ発行を予定しており、就職活動等における有用性を学生に広く周知することで、今後の履修者増につながるものと期待される。 
　また数理・データサイエンス・AI教育プログラム 企画推進部会を定期的に実施し、プログラムの継続的な見直し・改善を図ることで、学生の履修を一層推進していく。</t>
    <rPh sb="72" eb="74">
      <t>ガクセイ</t>
    </rPh>
    <rPh sb="75" eb="77">
      <t>キョウミ</t>
    </rPh>
    <rPh sb="78" eb="80">
      <t>カンシン</t>
    </rPh>
    <rPh sb="85" eb="87">
      <t>ケイセイ</t>
    </rPh>
    <rPh sb="88" eb="90">
      <t>イシキ</t>
    </rPh>
    <rPh sb="92" eb="94">
      <t>タスウ</t>
    </rPh>
    <rPh sb="95" eb="98">
      <t>リシュウシャ</t>
    </rPh>
    <rPh sb="99" eb="100">
      <t>アツ</t>
    </rPh>
    <rPh sb="111" eb="112">
      <t>オサ</t>
    </rPh>
    <rPh sb="126" eb="129">
      <t>リシュウシャ</t>
    </rPh>
    <rPh sb="130" eb="132">
      <t>ゾウカ</t>
    </rPh>
    <rPh sb="133" eb="135">
      <t>メザ</t>
    </rPh>
    <rPh sb="169" eb="172">
      <t>テイキテキ</t>
    </rPh>
    <rPh sb="173" eb="175">
      <t>ジッシ</t>
    </rPh>
    <rPh sb="183" eb="186">
      <t>ケイゾクテキ</t>
    </rPh>
    <rPh sb="216" eb="218">
      <t>スイシン</t>
    </rPh>
    <rPh sb="219" eb="220">
      <t>オコナ</t>
    </rPh>
    <rPh sb="267" eb="269">
      <t>ミナオ</t>
    </rPh>
    <rPh sb="271" eb="273">
      <t>カイゼン</t>
    </rPh>
    <rPh sb="274" eb="275">
      <t>ハカ</t>
    </rPh>
    <rPh sb="280" eb="282">
      <t>ガクセイ</t>
    </rPh>
    <rPh sb="283" eb="285">
      <t>リシュウ</t>
    </rPh>
    <rPh sb="286" eb="288">
      <t>イッソウ</t>
    </rPh>
    <rPh sb="288" eb="290">
      <t>スイシン</t>
    </rPh>
    <phoneticPr fontId="1"/>
  </si>
  <si>
    <t>　本学の建学の理念として、「国際社会に貢献する豊かな教養を備えた人材の育成」と「公正な世界観に基づき、時代と社会の要請に応えていく実学」が掲げられており、本プログラムもその一翼を担うとものと認識している。
　プログラムの受講者を対象とした授業アンケートにおいて「就職に有利」「社会で役立つ」といった意見が多数寄せられており、プログラム内容が産業界のニーズと合致していることが示唆されている。
　今後は、学生からの評価に加え、産業界からの客観的な評価や意見を収集・分析し、それを教育プログラムの継続的な改善に反映させるための体制の構築を検討していく。</t>
    <rPh sb="4" eb="6">
      <t>ケンガク</t>
    </rPh>
    <rPh sb="7" eb="9">
      <t>リネン</t>
    </rPh>
    <rPh sb="95" eb="97">
      <t>ニンシキ</t>
    </rPh>
    <rPh sb="267" eb="269">
      <t>ケントウ</t>
    </rPh>
    <phoneticPr fontId="1"/>
  </si>
  <si>
    <t>　令和７年度から実施したため、まだ本プログラムを修了した卒業生を輩出しておらず、卒業後の状況把握には至っていない。今後は、本学のキャリアセンターとも連携し、修了者の進路や企業等からの評価を把握する仕組みを構築する計画である。
　またプログラム修了者への発行を予定しているデジタルバッジについて、就職活動等における具体的な活用状況について調査を実施し、本プログラムの学修成果がキャリア形成に与える影響を多角的に検証していく。</t>
    <rPh sb="1" eb="3">
      <t>レイワ</t>
    </rPh>
    <rPh sb="4" eb="6">
      <t>ネンド</t>
    </rPh>
    <rPh sb="8" eb="10">
      <t>ジッシ</t>
    </rPh>
    <rPh sb="17" eb="18">
      <t>ホン</t>
    </rPh>
    <rPh sb="24" eb="26">
      <t>シュウリョウ</t>
    </rPh>
    <rPh sb="28" eb="31">
      <t>ソツギョウセイ</t>
    </rPh>
    <rPh sb="32" eb="34">
      <t>ハイシュツ</t>
    </rPh>
    <rPh sb="61" eb="63">
      <t>ホンガク</t>
    </rPh>
    <rPh sb="74" eb="76">
      <t>レンケイ</t>
    </rPh>
    <rPh sb="106" eb="108">
      <t>ケイカク</t>
    </rPh>
    <rPh sb="183" eb="184">
      <t>オサ</t>
    </rPh>
    <phoneticPr fontId="1"/>
  </si>
  <si>
    <t>　プログラムの授業設計においては、数理・データサイエンス・AIを学生にとって「身近な」ものとして捉えさせ、学修の楽しさや意義を見出す工夫を行っている。 具体的には、Excelを用いた身近なデータの分析演習や、社会におけるAI活用事例を豊富に取り上げると同時に、常に最新の学術的動向や社会的トピックを反映した内容を扱うことで、学生の知的好奇心を喚起するよう努めている。
　受講者を対象とした授業アンケートでは、93.1％が「授業は最新の内容を扱っている」、91.1％が「学ぶ楽しさ・意義を感じた」、89.1％が「数理・データサイエンス・AIに関する関心が高まった」と回答しており、学生からも高い評価を得ている。
　また学生の90.1％が「今後もデジタルに関する科目を履修し学修したい」と回答しており、本プログラムが学生の自発的な学修への入口となっていることを強く示唆している。</t>
    <rPh sb="66" eb="68">
      <t>クフウ</t>
    </rPh>
    <rPh sb="69" eb="70">
      <t>オコナ</t>
    </rPh>
    <rPh sb="91" eb="93">
      <t>ミジカ</t>
    </rPh>
    <rPh sb="156" eb="157">
      <t>アツカ</t>
    </rPh>
    <rPh sb="245" eb="247">
      <t>カイトウ</t>
    </rPh>
    <rPh sb="280" eb="282">
      <t>カイトウ</t>
    </rPh>
    <rPh sb="289" eb="291">
      <t>ガクセイ</t>
    </rPh>
    <rPh sb="308" eb="310">
      <t>ガクセイ</t>
    </rPh>
    <rPh sb="336" eb="337">
      <t>オサ</t>
    </rPh>
    <rPh sb="342" eb="344">
      <t>カイトウ</t>
    </rPh>
    <phoneticPr fontId="1"/>
  </si>
  <si>
    <t>　LMSのメッセージ機能やメール等を活用した遠隔での学修指導及び質疑応答体制を整備するなど、きめ細やかな学修サポート体制を構築しているため、学生が時間や場所に捉われることなく学修上の疑問を随時解消できる。</t>
    <rPh sb="27" eb="28">
      <t>オサ</t>
    </rPh>
    <rPh sb="87" eb="89">
      <t>ガクシュウ</t>
    </rPh>
    <phoneticPr fontId="1"/>
  </si>
  <si>
    <t>　プログラムの受講者に対しアンケート調査を実施し、履修状況の詳細な分析を行っている。主な履修動機としては「当該学問分野への興味・関心」及び「キャリア形成に資する知識・スキルの習得」が上位を占め、学生の知的好奇心の涵養とキャリア形成支援の両側面から、本プログラムの履修が促進されていることが示唆された。これらの分析結果を基に、今後のプログラム改善に活用する。
　プログラムの単位修得率は66%であり、これは同学期に開講した他のオンデマンド科目（単位修得率48%）と比較し、高い水準を維持している。高い修得率となったのは、最終テスト前に復習期間を設け、既習内容の定着を図る工夫などが挙げられる。
　また、LMS（学習管理システム）では、学生個々の動画視聴状況や課題提出状況といった学習ログの把握が可能となっている。今後は、これらの学習データを詳細に分析・活用し、特に視聴時間が短い動画コンテンツや提出率が低い課題の精査・改善を行うことで、離脱率低減と更なる教育効果の向上を目指す。</t>
    <rPh sb="221" eb="223">
      <t>タンイ</t>
    </rPh>
    <rPh sb="247" eb="248">
      <t>タカ</t>
    </rPh>
    <rPh sb="249" eb="251">
      <t>シュウトク</t>
    </rPh>
    <rPh sb="251" eb="252">
      <t>リツ</t>
    </rPh>
    <rPh sb="282" eb="283">
      <t>ハカ</t>
    </rPh>
    <rPh sb="284" eb="286">
      <t>クフウ</t>
    </rPh>
    <rPh sb="289" eb="290">
      <t>ア</t>
    </rPh>
    <phoneticPr fontId="1"/>
  </si>
  <si>
    <t>情報化戦略・推進会議の下に、数理・データサイエンス・AI教育プログラム企画推進部会を設置し、本部会は数理・データサイエンス・AI教育を推進するため、教育プログラムの策定・実施・改善を継続的に行い、デジタル社会で活躍できる人材の育成促進を目的とする。 
数理・データサイエンス・AI教育プログラム 企画推進部会は、次の各号に定める事項を所管する。 
(1) 数理・データサイエンス・AI教育プログラムの企画推進 
(2) 数理・データサイエンス・AI教育プログラムの自己点検・評価に関する事項 
(3) そのほか、前条の目的を達成するために必要な事項</t>
    <rPh sb="46" eb="48">
      <t>ホンブ</t>
    </rPh>
    <rPh sb="48" eb="49">
      <t>カイ</t>
    </rPh>
    <phoneticPr fontId="1"/>
  </si>
  <si>
    <t>外国語学部　教授　金山　典世
外国語学部　教授　卯木　輝彦
外国語学部　准教授　堂本　絵理
短期大学部　教授　森　常人
学長室室長　遠藤　幸治
事務局長　尾藤　広幸
図書館学術情報センター兼研究支援センター　課長　藤井　尚之
図書館学術情報センター　課長補佐　山本　大嗣
教務部　次長　倉田　功一
教務部兼図書館学術情報センター　係長　仲井　琢哉</t>
    <rPh sb="0" eb="5">
      <t>ガイコクゴガクブ</t>
    </rPh>
    <rPh sb="15" eb="20">
      <t>ガイコクゴガクブ</t>
    </rPh>
    <rPh sb="46" eb="51">
      <t>タンキダイガクブ</t>
    </rPh>
    <rPh sb="113" eb="116">
      <t>キョウムブ</t>
    </rPh>
    <phoneticPr fontId="1"/>
  </si>
  <si>
    <t xml:space="preserve">　受講者アンケートの分析により、本プログラムの学修成果測定を実施している。 「将来活用できる知識・スキルが身についたか」との設問に対し、受講者の93.1%が肯定的な回答であり、極めて高い教育効果が確認された。
　加えて、自由記述においても「Excelの応用的なスキルが向上した」「実践的なデータ分析を学べた」といった具体的な学修成果に関する言及が多数見受けられ、受講者が本プログラムの有効性を強く実感している様子がうかがえる。
　これらの分析結果に基づき、今後は本プログラムの強みである「実践的な学び」の要素をさらに強化・充実させていく方針である。
</t>
    <rPh sb="98" eb="100">
      <t>カクニン</t>
    </rPh>
    <rPh sb="147" eb="149">
      <t>ブンセキ</t>
    </rPh>
    <phoneticPr fontId="1"/>
  </si>
  <si>
    <t xml:space="preserve">　受講者を対象とした授業アンケートでは、学生の94.1%が「授業は分かりやすかった」と回答しており、高い評価を受けている。一方で、自由記述では「双方向性の強化」などの意見も寄せられているため、今後は対面やオンラインでのリアルタイム相談会を設定するなど、教員と学生、あるいは学生同士が交流できる機会を設定することを検討する。
　また演習に関しては、想定する学習環境（Windows PC、Excel）と、学生が実際に使用する個々の環境（Mac OSやExcelのバージョン違いなど）が異なるケースがあり、一部の学生が演習でつまづいている可能性があるため、前提条件の周知やOSによる違いを事前に伝えるなどの対策を講じる想定である。
</t>
    <rPh sb="20" eb="22">
      <t>ガクセイ</t>
    </rPh>
    <rPh sb="149" eb="151">
      <t>セッテイ</t>
    </rPh>
    <rPh sb="241" eb="242">
      <t>コト</t>
    </rPh>
    <rPh sb="257" eb="259">
      <t>エンシュウ</t>
    </rPh>
    <rPh sb="267" eb="270">
      <t>カノウセイ</t>
    </rPh>
    <rPh sb="276" eb="278">
      <t>ゼンテイ</t>
    </rPh>
    <rPh sb="278" eb="280">
      <t>ジョウケン</t>
    </rPh>
    <rPh sb="281" eb="283">
      <t>シュウチ</t>
    </rPh>
    <rPh sb="289" eb="290">
      <t>チガ</t>
    </rPh>
    <rPh sb="292" eb="294">
      <t>ジゼン</t>
    </rPh>
    <rPh sb="295" eb="296">
      <t>ツタ</t>
    </rPh>
    <rPh sb="301" eb="303">
      <t>タイサク</t>
    </rPh>
    <rPh sb="304" eb="305">
      <t>コウ</t>
    </rPh>
    <rPh sb="307" eb="309">
      <t>ソウテイ</t>
    </rPh>
    <phoneticPr fontId="1"/>
  </si>
  <si>
    <t>「数理・データサイエンス・AI教育プログラム」として開講する「総合科目F」の2単位を取得すること</t>
    <phoneticPr fontId="1"/>
  </si>
  <si>
    <t>総合科目F</t>
    <rPh sb="0" eb="2">
      <t>ソウゴウ</t>
    </rPh>
    <rPh sb="2" eb="4">
      <t>カモク</t>
    </rPh>
    <phoneticPr fontId="1"/>
  </si>
  <si>
    <t>英語国際学部・英語国際学科</t>
    <rPh sb="0" eb="2">
      <t>エイゴ</t>
    </rPh>
    <rPh sb="2" eb="4">
      <t>コクサイ</t>
    </rPh>
    <rPh sb="4" eb="6">
      <t>ガクブ</t>
    </rPh>
    <rPh sb="7" eb="9">
      <t>エイゴ</t>
    </rPh>
    <rPh sb="9" eb="13">
      <t>コクサイガッカ</t>
    </rPh>
    <phoneticPr fontId="1"/>
  </si>
  <si>
    <t>英語国際学部・アジア共創学科</t>
    <rPh sb="0" eb="2">
      <t>エイゴ</t>
    </rPh>
    <rPh sb="2" eb="4">
      <t>コクサイ</t>
    </rPh>
    <rPh sb="4" eb="6">
      <t>ガクブ</t>
    </rPh>
    <rPh sb="10" eb="12">
      <t>キョウソウ</t>
    </rPh>
    <rPh sb="12" eb="14">
      <t>ガッカ</t>
    </rPh>
    <phoneticPr fontId="1"/>
  </si>
  <si>
    <t>英語キャリア学部・英語キャリア学科</t>
    <rPh sb="0" eb="2">
      <t>エイゴ</t>
    </rPh>
    <rPh sb="6" eb="8">
      <t>ガクブ</t>
    </rPh>
    <rPh sb="9" eb="11">
      <t>エイゴ</t>
    </rPh>
    <rPh sb="15" eb="17">
      <t>ガッカ</t>
    </rPh>
    <phoneticPr fontId="1"/>
  </si>
  <si>
    <t>英語キャリア学部・英語キャリア学科小学校コース</t>
    <rPh sb="0" eb="2">
      <t>エイゴ</t>
    </rPh>
    <rPh sb="6" eb="8">
      <t>ガクブ</t>
    </rPh>
    <rPh sb="9" eb="11">
      <t>エイゴ</t>
    </rPh>
    <rPh sb="15" eb="17">
      <t>ガッカ</t>
    </rPh>
    <rPh sb="17" eb="20">
      <t>ショウガッコウ</t>
    </rPh>
    <phoneticPr fontId="1"/>
  </si>
  <si>
    <t>・データ表現（棒グラフ、折線グラフ、散布図、ヒートマップ、箱ひげ図）
・データの比較（条件をそろえた比較、処理前後での比較、A/Bテスト）
・相手に的確かつ正確に情報を伝える技術や考え方（スライド作成、プレゼンテーションなど）
・不適切なグラフ表現（チャートジャンク、不必要な視覚的要素）
「総合科目F」（第10回）（第11回）</t>
    <rPh sb="98" eb="100">
      <t>サクセイ</t>
    </rPh>
    <rPh sb="134" eb="137">
      <t>フヒツヨウ</t>
    </rPh>
    <rPh sb="138" eb="141">
      <t>シカクテキ</t>
    </rPh>
    <rPh sb="141" eb="143">
      <t>ヨウソ</t>
    </rPh>
    <phoneticPr fontId="1"/>
  </si>
  <si>
    <t>・データの並び替え、ランキング
・データ解析ツール（スプレッドシート、ＢＩツール）
・表形式のデータ（csv）
「総合科目F」（第12回）（第13回）</t>
    <rPh sb="71" eb="72">
      <t>ダイ</t>
    </rPh>
    <rPh sb="74" eb="75">
      <t>カイ</t>
    </rPh>
    <phoneticPr fontId="1"/>
  </si>
  <si>
    <t>・データの種類（量的変数、質的変数）
・データの分布（ヒストグラム）と代表値（平均値、中央値、最頻値）
・データのばらつき（分散、標準偏差、偏差値）、外れ値
・相関と因果（相関係数、疑似相関、交絡）
「総合科目F」（第7回）（第8回）（第9回）（第12回）（第13回）</t>
    <rPh sb="5" eb="7">
      <t>シュルイ</t>
    </rPh>
    <rPh sb="124" eb="125">
      <t>ダイ</t>
    </rPh>
    <rPh sb="127" eb="128">
      <t>カイ</t>
    </rPh>
    <rPh sb="130" eb="131">
      <t>ダイ</t>
    </rPh>
    <rPh sb="133" eb="134">
      <t>カイ</t>
    </rPh>
    <phoneticPr fontId="1"/>
  </si>
  <si>
    <t>・ビッグデータ、IoT、AI、生成AI
・データ量の増加
・第4次産業革命、Society5.0、データ駆動型社会
・複数技術を組み合わせたAIサービス
「総合科目F」（第1回）（第2回）（第3回）（第4回）</t>
    <rPh sb="79" eb="81">
      <t>ソウゴウ</t>
    </rPh>
    <rPh sb="81" eb="83">
      <t>カモク</t>
    </rPh>
    <rPh sb="86" eb="87">
      <t>ダイ</t>
    </rPh>
    <rPh sb="88" eb="89">
      <t>カイ</t>
    </rPh>
    <phoneticPr fontId="1"/>
  </si>
  <si>
    <t>・調査データ、実験データ、人の行動ログデータ、機械の稼働ログデータ
・1次データ、2次データ、データのメタ化
・構造化データ、非構造化データ（文章、画像/動画、音声/音楽など）
・データ作成（ビッグデータとアノテーション）
・データのオープン化（オープンデータ）
「総合科目F」（第2回）（第7回）（第8回）（第9回）</t>
    <rPh sb="93" eb="95">
      <t>サクセイ</t>
    </rPh>
    <phoneticPr fontId="1"/>
  </si>
  <si>
    <t>・データ解析：予測、グルーピング、パターン発見、最適化、モデル化とシミュレーション、データ同化など
・データ可視化：複合グラフ、2軸グラフ、多次元の可視化、関係性の可視化、地図上の可視化、リアルタイム可視化など
・非構造化データ処理：言語処理、画像/動画処理、音声/音楽処理など
・特化型AIと汎用AI、今のAIで出来ることとないこと
・マルチモーダル（言語、画像、音声など）、生成AIの活用（プロンプトエンジニアリング）
「総合科目F」（第4回）（第5回）（第6回）（第7回）（第8回）（第9回）</t>
    <rPh sb="117" eb="121">
      <t>ゲンゴショリ</t>
    </rPh>
    <rPh sb="125" eb="127">
      <t>ドウガ</t>
    </rPh>
    <rPh sb="127" eb="129">
      <t>ショリ</t>
    </rPh>
    <rPh sb="130" eb="132">
      <t>オンセイ</t>
    </rPh>
    <rPh sb="133" eb="135">
      <t>オンガク</t>
    </rPh>
    <rPh sb="135" eb="137">
      <t>ショリ</t>
    </rPh>
    <phoneticPr fontId="1"/>
  </si>
  <si>
    <t>・データサイエンスのサイクル（課題抽出と定式化、データの取得・管理・加工、探索的データ解析、データ解析と推論、結果の共有・伝達、課題解決に向けた提案）
・教育、芸術、流通、製造、金融、サービス、インフラ、公共、ヘルスケア等におけるデータ・AI利活用事例紹介
「総合科目F」（第5回）（第6回）（第7回）（第8回）（第9回）</t>
    <rPh sb="77" eb="79">
      <t>キョウイク</t>
    </rPh>
    <rPh sb="80" eb="82">
      <t>ゲイジュツ</t>
    </rPh>
    <rPh sb="102" eb="104">
      <t>コウキョウ</t>
    </rPh>
    <rPh sb="110" eb="111">
      <t>ナド</t>
    </rPh>
    <rPh sb="121" eb="124">
      <t>リカツヨウ</t>
    </rPh>
    <rPh sb="124" eb="128">
      <t>ジレイショウカイ</t>
    </rPh>
    <phoneticPr fontId="1"/>
  </si>
  <si>
    <t>・倫理的、法的、社会的課題（ELSI：Ethical , Legal and Ｓｏｃｉａｌ Issues ）
・データの倫理：データのねつ造、改ざん、盗用、プライバシー保護
・AI社会原則（公平性、説明責任、透明性、人間中心の判断）
・データ・AI活用における負の事例紹介
「総合科目F」（第2回）（第14回）（第15回）</t>
    <rPh sb="108" eb="110">
      <t>ニンゲン</t>
    </rPh>
    <rPh sb="110" eb="112">
      <t>チュウシン</t>
    </rPh>
    <rPh sb="113" eb="115">
      <t>ハンダン</t>
    </rPh>
    <rPh sb="134" eb="136">
      <t>ショウカイ</t>
    </rPh>
    <phoneticPr fontId="1"/>
  </si>
  <si>
    <t>・情報セキュリティの3要素（機密性、完全性、可用性）
・匿名加工情報、暗号化と復号、パスワード、アクセス制御
「総合科目F」（第14回）（第15回）</t>
    <rPh sb="28" eb="30">
      <t>トクメイ</t>
    </rPh>
    <rPh sb="30" eb="32">
      <t>カコウ</t>
    </rPh>
    <rPh sb="32" eb="34">
      <t>ジョウホウ</t>
    </rPh>
    <rPh sb="35" eb="38">
      <t>アンゴウカ</t>
    </rPh>
    <rPh sb="39" eb="41">
      <t>フクゴウ</t>
    </rPh>
    <phoneticPr fontId="1"/>
  </si>
  <si>
    <t>・AI最新技術の活用例（深層生成モデル、強化学習、転移学習、生成AIなど）
・AI等を活用した新しいビジネスモデル（シェアリングエコノミー、商品のレコメンデーションなど）
「総合科目F」（第2回）（第3回）（第4回）（第5回）（第6回）</t>
    <rPh sb="12" eb="14">
      <t>シンソウ</t>
    </rPh>
    <rPh sb="14" eb="16">
      <t>セイセイ</t>
    </rPh>
    <rPh sb="20" eb="22">
      <t>キョウカ</t>
    </rPh>
    <rPh sb="70" eb="72">
      <t>ショウヒン</t>
    </rPh>
    <rPh sb="117" eb="118">
      <t>カイ</t>
    </rPh>
    <phoneticPr fontId="1"/>
  </si>
  <si>
    <t>・データ・AI活用領域の広がり（生産、消費、文化活動など）
・研究開発、調達、製造、物流、販売、マーケティング、サービスなど
・仮説検証、知識発見、原因究明、計画策定、判断支援、活動代替、新規生成など
・翻訳・要約・執筆支援
「総合科目F」（第3回）（第4回）（第5回）（第6回）</t>
    <rPh sb="7" eb="9">
      <t>カツヨウ</t>
    </rPh>
    <rPh sb="9" eb="11">
      <t>リョウイキ</t>
    </rPh>
    <rPh sb="12" eb="13">
      <t>ヒロ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</si>
</sst>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4">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0" fontId="2" fillId="0" borderId="44" xfId="0" applyFont="1" applyBorder="1" applyAlignment="1">
      <alignment horizontal="left" vertical="center" shrinkToFit="1"/>
    </xf>
    <xf numFmtId="0" fontId="2" fillId="0" borderId="20" xfId="0" applyFont="1" applyBorder="1" applyAlignment="1">
      <alignment horizontal="left" vertical="center" shrinkToFit="1"/>
    </xf>
    <xf numFmtId="0" fontId="2" fillId="2" borderId="1" xfId="0" applyNumberFormat="1" applyFont="1" applyFill="1" applyBorder="1" applyAlignment="1">
      <alignment horizontal="right" vertical="center"/>
    </xf>
    <xf numFmtId="0" fontId="2" fillId="2" borderId="0" xfId="0" applyFont="1" applyFill="1" applyAlignment="1">
      <alignment vertical="center" wrapTex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tabSelected="1" view="pageBreakPreview" topLeftCell="A62" zoomScaleNormal="100" zoomScaleSheetLayoutView="100" workbookViewId="0">
      <selection activeCell="D67" sqref="D67"/>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31" t="s">
        <v>109</v>
      </c>
      <c r="B1" s="131"/>
      <c r="C1" s="131"/>
      <c r="D1" s="131"/>
      <c r="E1" s="131"/>
      <c r="F1" s="131"/>
      <c r="G1" s="131"/>
      <c r="H1" s="131"/>
      <c r="I1" s="131"/>
      <c r="J1" s="131"/>
      <c r="K1" s="131"/>
      <c r="L1" s="131"/>
      <c r="M1" s="131"/>
      <c r="N1" s="131"/>
      <c r="O1" s="131"/>
      <c r="P1" s="131"/>
      <c r="Q1" s="131"/>
      <c r="R1" s="131"/>
      <c r="S1" s="131"/>
      <c r="T1" s="131"/>
      <c r="U1" s="131"/>
      <c r="V1" s="131"/>
      <c r="W1" s="131"/>
      <c r="X1" s="131"/>
      <c r="Y1" s="131"/>
      <c r="Z1" s="131"/>
    </row>
    <row r="3" spans="1:28" ht="18.600000000000001" customHeight="1" x14ac:dyDescent="0.15">
      <c r="Y3" s="131" t="s">
        <v>12</v>
      </c>
      <c r="Z3" s="131"/>
      <c r="AA3" s="9"/>
      <c r="AB3" s="13"/>
    </row>
    <row r="4" spans="1:28" ht="18.75" customHeight="1" x14ac:dyDescent="0.15">
      <c r="B4" s="136" t="s">
        <v>85</v>
      </c>
      <c r="C4" s="137"/>
      <c r="D4" s="68" t="s">
        <v>144</v>
      </c>
      <c r="P4" s="9"/>
      <c r="Q4" s="41"/>
      <c r="R4" s="41"/>
      <c r="S4" s="41"/>
      <c r="T4" s="41"/>
      <c r="U4" s="41"/>
      <c r="V4" s="41"/>
      <c r="W4" s="41"/>
      <c r="X4" s="41"/>
      <c r="Y4" s="41"/>
      <c r="Z4" s="41"/>
    </row>
    <row r="5" spans="1:28" ht="18.75" customHeight="1" x14ac:dyDescent="0.15">
      <c r="B5" s="136" t="s">
        <v>81</v>
      </c>
      <c r="C5" s="137"/>
      <c r="D5" s="68" t="s">
        <v>129</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5" t="s">
        <v>93</v>
      </c>
      <c r="B7" s="135"/>
      <c r="C7" s="135"/>
      <c r="D7" s="135"/>
      <c r="E7" s="135"/>
      <c r="F7" s="135"/>
      <c r="G7" s="135"/>
      <c r="H7" s="135"/>
      <c r="I7" s="135"/>
      <c r="J7" s="135"/>
      <c r="K7" s="135"/>
      <c r="L7" s="135"/>
      <c r="M7" s="135"/>
      <c r="N7" s="135"/>
      <c r="O7" s="135"/>
      <c r="P7" s="135"/>
      <c r="Q7" s="135"/>
      <c r="R7" s="135"/>
      <c r="S7" s="135"/>
      <c r="T7" s="135"/>
      <c r="U7" s="135"/>
      <c r="V7" s="135"/>
      <c r="W7" s="135"/>
      <c r="X7" s="135"/>
      <c r="Y7" s="135"/>
      <c r="Z7" s="135"/>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32" t="s">
        <v>95</v>
      </c>
      <c r="B9" s="132"/>
      <c r="D9" s="6" t="s">
        <v>130</v>
      </c>
    </row>
    <row r="10" spans="1:28" ht="20.25" customHeight="1" x14ac:dyDescent="0.15">
      <c r="B10" s="12"/>
      <c r="C10" s="12"/>
      <c r="D10" s="12"/>
      <c r="Q10" s="12"/>
      <c r="R10" s="12"/>
      <c r="S10" s="12"/>
      <c r="T10" s="12"/>
      <c r="U10" s="12"/>
      <c r="V10" s="12"/>
      <c r="W10" s="12"/>
      <c r="X10" s="12"/>
      <c r="Y10" s="12"/>
      <c r="Z10" s="12"/>
    </row>
    <row r="11" spans="1:28" ht="20.25" customHeight="1" x14ac:dyDescent="0.15">
      <c r="A11" s="132" t="s">
        <v>90</v>
      </c>
      <c r="B11" s="132"/>
      <c r="D11" s="67"/>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3" t="s">
        <v>96</v>
      </c>
      <c r="B13" s="133"/>
      <c r="C13" s="12"/>
      <c r="D13" s="68" t="s">
        <v>131</v>
      </c>
      <c r="E13" s="41"/>
      <c r="F13" s="41"/>
      <c r="G13" s="41"/>
      <c r="H13" s="41"/>
      <c r="I13" s="41"/>
      <c r="J13" s="41"/>
      <c r="K13" s="41"/>
      <c r="L13" s="41"/>
      <c r="M13" s="41"/>
      <c r="N13" s="41"/>
      <c r="O13" s="41"/>
      <c r="P13" s="41"/>
      <c r="Q13" s="69"/>
      <c r="R13" s="69"/>
      <c r="S13" s="69"/>
      <c r="T13" s="69"/>
      <c r="U13" s="69"/>
      <c r="V13" s="69"/>
      <c r="W13" s="69"/>
      <c r="X13" s="69"/>
      <c r="Y13" s="69"/>
      <c r="Z13" s="69"/>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13.45" customHeight="1" x14ac:dyDescent="0.15">
      <c r="A15" s="134" t="s">
        <v>97</v>
      </c>
      <c r="B15" s="134"/>
      <c r="C15" s="12"/>
      <c r="D15" s="70" t="s">
        <v>163</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1">
        <v>1</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1">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8" t="s">
        <v>117</v>
      </c>
      <c r="G21" s="139"/>
      <c r="H21" s="139"/>
      <c r="I21" s="139"/>
      <c r="J21" s="139"/>
      <c r="K21" s="139"/>
      <c r="L21" s="139"/>
      <c r="M21" s="139"/>
      <c r="N21" s="139"/>
      <c r="O21" s="139"/>
      <c r="P21" s="139"/>
      <c r="Q21" s="139"/>
      <c r="R21" s="139"/>
      <c r="S21" s="139"/>
      <c r="T21" s="139"/>
      <c r="U21" s="139"/>
      <c r="V21" s="139"/>
      <c r="W21" s="139"/>
      <c r="X21" s="139"/>
      <c r="Y21" s="139"/>
      <c r="Z21" s="140"/>
    </row>
    <row r="22" spans="1:26" ht="18" customHeight="1" x14ac:dyDescent="0.15">
      <c r="B22" s="17"/>
      <c r="C22" s="17"/>
      <c r="D22" s="5" t="s">
        <v>48</v>
      </c>
      <c r="E22" s="71" t="s">
        <v>70</v>
      </c>
      <c r="F22" s="72" t="s">
        <v>50</v>
      </c>
      <c r="G22" s="73" t="s">
        <v>61</v>
      </c>
      <c r="H22" s="73" t="s">
        <v>62</v>
      </c>
      <c r="I22" s="73" t="s">
        <v>63</v>
      </c>
      <c r="J22" s="73" t="s">
        <v>64</v>
      </c>
      <c r="K22" s="73" t="s">
        <v>53</v>
      </c>
      <c r="L22" s="73" t="s">
        <v>80</v>
      </c>
      <c r="M22" s="73" t="s">
        <v>65</v>
      </c>
      <c r="N22" s="73" t="s">
        <v>66</v>
      </c>
      <c r="O22" s="73" t="s">
        <v>52</v>
      </c>
      <c r="P22" s="74" t="s">
        <v>54</v>
      </c>
      <c r="Q22" s="75" t="s">
        <v>98</v>
      </c>
      <c r="R22" s="76" t="s">
        <v>99</v>
      </c>
      <c r="S22" s="76" t="s">
        <v>100</v>
      </c>
      <c r="T22" s="76" t="s">
        <v>101</v>
      </c>
      <c r="U22" s="76" t="s">
        <v>102</v>
      </c>
      <c r="V22" s="76" t="s">
        <v>103</v>
      </c>
      <c r="W22" s="76" t="s">
        <v>104</v>
      </c>
      <c r="X22" s="76" t="s">
        <v>105</v>
      </c>
      <c r="Y22" s="76" t="s">
        <v>106</v>
      </c>
      <c r="Z22" s="77" t="s">
        <v>107</v>
      </c>
    </row>
    <row r="23" spans="1:26" ht="18" customHeight="1" x14ac:dyDescent="0.15">
      <c r="B23" s="127" t="s">
        <v>125</v>
      </c>
      <c r="C23" s="128"/>
      <c r="D23" s="78" t="s">
        <v>164</v>
      </c>
      <c r="E23" s="113">
        <v>2</v>
      </c>
      <c r="F23" s="79" t="s">
        <v>132</v>
      </c>
      <c r="G23" s="80" t="s">
        <v>132</v>
      </c>
      <c r="H23" s="80" t="s">
        <v>132</v>
      </c>
      <c r="I23" s="80" t="s">
        <v>132</v>
      </c>
      <c r="J23" s="80" t="s">
        <v>132</v>
      </c>
      <c r="K23" s="80" t="s">
        <v>132</v>
      </c>
      <c r="L23" s="80" t="s">
        <v>132</v>
      </c>
      <c r="M23" s="80" t="s">
        <v>132</v>
      </c>
      <c r="N23" s="80" t="s">
        <v>132</v>
      </c>
      <c r="O23" s="80" t="s">
        <v>132</v>
      </c>
      <c r="P23" s="81" t="s">
        <v>132</v>
      </c>
      <c r="Q23" s="82"/>
      <c r="R23" s="80"/>
      <c r="S23" s="80"/>
      <c r="T23" s="80"/>
      <c r="U23" s="80"/>
      <c r="V23" s="80"/>
      <c r="W23" s="80"/>
      <c r="X23" s="80"/>
      <c r="Y23" s="80"/>
      <c r="Z23" s="80"/>
    </row>
    <row r="24" spans="1:26" ht="18" customHeight="1" x14ac:dyDescent="0.15">
      <c r="B24" s="129"/>
      <c r="C24" s="130"/>
      <c r="D24" s="83"/>
      <c r="E24" s="114"/>
      <c r="F24" s="84"/>
      <c r="G24" s="85"/>
      <c r="H24" s="85"/>
      <c r="I24" s="85"/>
      <c r="J24" s="85"/>
      <c r="K24" s="85"/>
      <c r="L24" s="85"/>
      <c r="M24" s="85"/>
      <c r="N24" s="85"/>
      <c r="O24" s="85"/>
      <c r="P24" s="86"/>
      <c r="Q24" s="87"/>
      <c r="R24" s="85"/>
      <c r="S24" s="85"/>
      <c r="T24" s="85"/>
      <c r="U24" s="85"/>
      <c r="V24" s="85"/>
      <c r="W24" s="85"/>
      <c r="X24" s="85"/>
      <c r="Y24" s="85"/>
      <c r="Z24" s="85"/>
    </row>
    <row r="25" spans="1:26" ht="18" customHeight="1" x14ac:dyDescent="0.15">
      <c r="B25" s="129"/>
      <c r="C25" s="130"/>
      <c r="D25" s="83"/>
      <c r="E25" s="114"/>
      <c r="F25" s="84"/>
      <c r="G25" s="85"/>
      <c r="H25" s="85"/>
      <c r="I25" s="85"/>
      <c r="J25" s="85"/>
      <c r="K25" s="85"/>
      <c r="L25" s="85"/>
      <c r="M25" s="85"/>
      <c r="N25" s="85"/>
      <c r="O25" s="85"/>
      <c r="P25" s="86"/>
      <c r="Q25" s="87"/>
      <c r="R25" s="85"/>
      <c r="S25" s="85"/>
      <c r="T25" s="85"/>
      <c r="U25" s="85"/>
      <c r="V25" s="85"/>
      <c r="W25" s="85"/>
      <c r="X25" s="85"/>
      <c r="Y25" s="85"/>
      <c r="Z25" s="85"/>
    </row>
    <row r="26" spans="1:26" ht="18" customHeight="1" x14ac:dyDescent="0.15">
      <c r="B26" s="129"/>
      <c r="C26" s="130"/>
      <c r="D26" s="83"/>
      <c r="E26" s="114"/>
      <c r="F26" s="84"/>
      <c r="G26" s="85"/>
      <c r="H26" s="85"/>
      <c r="I26" s="85"/>
      <c r="J26" s="85"/>
      <c r="K26" s="85"/>
      <c r="L26" s="85"/>
      <c r="M26" s="85"/>
      <c r="N26" s="85"/>
      <c r="O26" s="85"/>
      <c r="P26" s="86"/>
      <c r="Q26" s="87"/>
      <c r="R26" s="85"/>
      <c r="S26" s="85"/>
      <c r="T26" s="85"/>
      <c r="U26" s="85"/>
      <c r="V26" s="85"/>
      <c r="W26" s="85"/>
      <c r="X26" s="85"/>
      <c r="Y26" s="85"/>
      <c r="Z26" s="85"/>
    </row>
    <row r="27" spans="1:26" ht="18" customHeight="1" x14ac:dyDescent="0.15">
      <c r="B27" s="129"/>
      <c r="C27" s="130"/>
      <c r="D27" s="83"/>
      <c r="E27" s="114"/>
      <c r="F27" s="84"/>
      <c r="G27" s="85"/>
      <c r="H27" s="85"/>
      <c r="I27" s="85"/>
      <c r="J27" s="85"/>
      <c r="K27" s="85"/>
      <c r="L27" s="85"/>
      <c r="M27" s="85"/>
      <c r="N27" s="85"/>
      <c r="O27" s="85"/>
      <c r="P27" s="86"/>
      <c r="Q27" s="87"/>
      <c r="R27" s="85"/>
      <c r="S27" s="85"/>
      <c r="T27" s="85"/>
      <c r="U27" s="85"/>
      <c r="V27" s="85"/>
      <c r="W27" s="85"/>
      <c r="X27" s="85"/>
      <c r="Y27" s="85"/>
      <c r="Z27" s="85"/>
    </row>
    <row r="28" spans="1:26" ht="18" customHeight="1" x14ac:dyDescent="0.15">
      <c r="B28" s="129"/>
      <c r="C28" s="130"/>
      <c r="D28" s="83"/>
      <c r="E28" s="114"/>
      <c r="F28" s="84"/>
      <c r="G28" s="85"/>
      <c r="H28" s="85"/>
      <c r="I28" s="85"/>
      <c r="J28" s="85"/>
      <c r="K28" s="85"/>
      <c r="L28" s="85"/>
      <c r="M28" s="85"/>
      <c r="N28" s="85"/>
      <c r="O28" s="85"/>
      <c r="P28" s="86"/>
      <c r="Q28" s="87"/>
      <c r="R28" s="85"/>
      <c r="S28" s="85"/>
      <c r="T28" s="85"/>
      <c r="U28" s="85"/>
      <c r="V28" s="85"/>
      <c r="W28" s="85"/>
      <c r="X28" s="85"/>
      <c r="Y28" s="85"/>
      <c r="Z28" s="85"/>
    </row>
    <row r="29" spans="1:26" ht="18" customHeight="1" x14ac:dyDescent="0.15">
      <c r="B29" s="129"/>
      <c r="C29" s="130"/>
      <c r="D29" s="83"/>
      <c r="E29" s="114"/>
      <c r="F29" s="84"/>
      <c r="G29" s="85"/>
      <c r="H29" s="85"/>
      <c r="I29" s="85"/>
      <c r="J29" s="85"/>
      <c r="K29" s="85"/>
      <c r="L29" s="85"/>
      <c r="M29" s="85"/>
      <c r="N29" s="85"/>
      <c r="O29" s="85"/>
      <c r="P29" s="86"/>
      <c r="Q29" s="87"/>
      <c r="R29" s="85"/>
      <c r="S29" s="85"/>
      <c r="T29" s="85"/>
      <c r="U29" s="85"/>
      <c r="V29" s="85"/>
      <c r="W29" s="85"/>
      <c r="X29" s="85"/>
      <c r="Y29" s="85"/>
      <c r="Z29" s="85"/>
    </row>
    <row r="30" spans="1:26" ht="18" customHeight="1" x14ac:dyDescent="0.15">
      <c r="B30" s="129"/>
      <c r="C30" s="130"/>
      <c r="D30" s="83"/>
      <c r="E30" s="114"/>
      <c r="F30" s="84"/>
      <c r="G30" s="85"/>
      <c r="H30" s="85"/>
      <c r="I30" s="85"/>
      <c r="J30" s="85"/>
      <c r="K30" s="85"/>
      <c r="L30" s="85"/>
      <c r="M30" s="85"/>
      <c r="N30" s="85"/>
      <c r="O30" s="85"/>
      <c r="P30" s="86"/>
      <c r="Q30" s="87"/>
      <c r="R30" s="85"/>
      <c r="S30" s="85"/>
      <c r="T30" s="85"/>
      <c r="U30" s="85"/>
      <c r="V30" s="85"/>
      <c r="W30" s="85"/>
      <c r="X30" s="85"/>
      <c r="Y30" s="85"/>
      <c r="Z30" s="85"/>
    </row>
    <row r="31" spans="1:26" ht="18" customHeight="1" x14ac:dyDescent="0.15">
      <c r="B31" s="129"/>
      <c r="C31" s="130"/>
      <c r="D31" s="83"/>
      <c r="E31" s="114"/>
      <c r="F31" s="84"/>
      <c r="G31" s="85"/>
      <c r="H31" s="85"/>
      <c r="I31" s="85"/>
      <c r="J31" s="85"/>
      <c r="K31" s="85"/>
      <c r="L31" s="85"/>
      <c r="M31" s="85"/>
      <c r="N31" s="85"/>
      <c r="O31" s="85"/>
      <c r="P31" s="86"/>
      <c r="Q31" s="87"/>
      <c r="R31" s="85"/>
      <c r="S31" s="85"/>
      <c r="T31" s="85"/>
      <c r="U31" s="85"/>
      <c r="V31" s="85"/>
      <c r="W31" s="85"/>
      <c r="X31" s="85"/>
      <c r="Y31" s="85"/>
      <c r="Z31" s="85"/>
    </row>
    <row r="32" spans="1:26" ht="18" customHeight="1" x14ac:dyDescent="0.15">
      <c r="B32" s="129"/>
      <c r="C32" s="130"/>
      <c r="D32" s="88"/>
      <c r="E32" s="115"/>
      <c r="F32" s="89"/>
      <c r="G32" s="90"/>
      <c r="H32" s="90"/>
      <c r="I32" s="90"/>
      <c r="J32" s="90"/>
      <c r="K32" s="90"/>
      <c r="L32" s="90"/>
      <c r="M32" s="90"/>
      <c r="N32" s="90"/>
      <c r="O32" s="90"/>
      <c r="P32" s="91"/>
      <c r="Q32" s="92"/>
      <c r="R32" s="90"/>
      <c r="S32" s="90"/>
      <c r="T32" s="90"/>
      <c r="U32" s="90"/>
      <c r="V32" s="90"/>
      <c r="W32" s="90"/>
      <c r="X32" s="90"/>
      <c r="Y32" s="90"/>
      <c r="Z32" s="90"/>
    </row>
    <row r="33" spans="2:26" ht="18" customHeight="1" x14ac:dyDescent="0.15">
      <c r="B33" s="127" t="s">
        <v>126</v>
      </c>
      <c r="C33" s="128"/>
      <c r="D33" s="93"/>
      <c r="E33" s="116"/>
      <c r="F33" s="94"/>
      <c r="G33" s="95"/>
      <c r="H33" s="95"/>
      <c r="I33" s="95"/>
      <c r="J33" s="95"/>
      <c r="K33" s="95"/>
      <c r="L33" s="95"/>
      <c r="M33" s="95"/>
      <c r="N33" s="95"/>
      <c r="O33" s="95"/>
      <c r="P33" s="96"/>
      <c r="Q33" s="97"/>
      <c r="R33" s="95"/>
      <c r="S33" s="95"/>
      <c r="T33" s="95"/>
      <c r="U33" s="95"/>
      <c r="V33" s="95"/>
      <c r="W33" s="95"/>
      <c r="X33" s="95"/>
      <c r="Y33" s="95"/>
      <c r="Z33" s="95"/>
    </row>
    <row r="34" spans="2:26" ht="18" customHeight="1" x14ac:dyDescent="0.15">
      <c r="B34" s="129"/>
      <c r="C34" s="130"/>
      <c r="D34" s="83"/>
      <c r="E34" s="114"/>
      <c r="F34" s="84"/>
      <c r="G34" s="85"/>
      <c r="H34" s="85"/>
      <c r="I34" s="85"/>
      <c r="J34" s="85"/>
      <c r="K34" s="85"/>
      <c r="L34" s="85"/>
      <c r="M34" s="85"/>
      <c r="N34" s="85"/>
      <c r="O34" s="85"/>
      <c r="P34" s="86"/>
      <c r="Q34" s="87"/>
      <c r="R34" s="85"/>
      <c r="S34" s="85"/>
      <c r="T34" s="85"/>
      <c r="U34" s="85"/>
      <c r="V34" s="85"/>
      <c r="W34" s="85"/>
      <c r="X34" s="85"/>
      <c r="Y34" s="85"/>
      <c r="Z34" s="85"/>
    </row>
    <row r="35" spans="2:26" ht="18" customHeight="1" x14ac:dyDescent="0.15">
      <c r="B35" s="129"/>
      <c r="C35" s="130"/>
      <c r="D35" s="83"/>
      <c r="E35" s="114"/>
      <c r="F35" s="84"/>
      <c r="G35" s="85"/>
      <c r="H35" s="85"/>
      <c r="I35" s="85"/>
      <c r="J35" s="85"/>
      <c r="K35" s="85"/>
      <c r="L35" s="85"/>
      <c r="M35" s="85"/>
      <c r="N35" s="85"/>
      <c r="O35" s="85"/>
      <c r="P35" s="86"/>
      <c r="Q35" s="87"/>
      <c r="R35" s="85"/>
      <c r="S35" s="85"/>
      <c r="T35" s="85"/>
      <c r="U35" s="85"/>
      <c r="V35" s="85"/>
      <c r="W35" s="85"/>
      <c r="X35" s="85"/>
      <c r="Y35" s="85"/>
      <c r="Z35" s="85"/>
    </row>
    <row r="36" spans="2:26" ht="18" customHeight="1" x14ac:dyDescent="0.15">
      <c r="B36" s="129"/>
      <c r="C36" s="130"/>
      <c r="D36" s="83"/>
      <c r="E36" s="114"/>
      <c r="F36" s="84"/>
      <c r="G36" s="85"/>
      <c r="H36" s="85"/>
      <c r="I36" s="85"/>
      <c r="J36" s="85"/>
      <c r="K36" s="85"/>
      <c r="L36" s="85"/>
      <c r="M36" s="85"/>
      <c r="N36" s="85"/>
      <c r="O36" s="85"/>
      <c r="P36" s="86"/>
      <c r="Q36" s="87"/>
      <c r="R36" s="85"/>
      <c r="S36" s="85"/>
      <c r="T36" s="85"/>
      <c r="U36" s="85"/>
      <c r="V36" s="85"/>
      <c r="W36" s="85"/>
      <c r="X36" s="85"/>
      <c r="Y36" s="85"/>
      <c r="Z36" s="85"/>
    </row>
    <row r="37" spans="2:26" ht="18" customHeight="1" x14ac:dyDescent="0.15">
      <c r="B37" s="129"/>
      <c r="C37" s="130"/>
      <c r="D37" s="83"/>
      <c r="E37" s="114"/>
      <c r="F37" s="84"/>
      <c r="G37" s="85"/>
      <c r="H37" s="85"/>
      <c r="I37" s="85"/>
      <c r="J37" s="85"/>
      <c r="K37" s="85"/>
      <c r="L37" s="85"/>
      <c r="M37" s="85"/>
      <c r="N37" s="85"/>
      <c r="O37" s="85"/>
      <c r="P37" s="86"/>
      <c r="Q37" s="87"/>
      <c r="R37" s="85"/>
      <c r="S37" s="85"/>
      <c r="T37" s="85"/>
      <c r="U37" s="85"/>
      <c r="V37" s="85"/>
      <c r="W37" s="85"/>
      <c r="X37" s="85"/>
      <c r="Y37" s="85"/>
      <c r="Z37" s="85"/>
    </row>
    <row r="38" spans="2:26" ht="18" customHeight="1" x14ac:dyDescent="0.15">
      <c r="B38" s="129"/>
      <c r="C38" s="130"/>
      <c r="D38" s="83"/>
      <c r="E38" s="114"/>
      <c r="F38" s="84"/>
      <c r="G38" s="85"/>
      <c r="H38" s="85"/>
      <c r="I38" s="85"/>
      <c r="J38" s="85"/>
      <c r="K38" s="85"/>
      <c r="L38" s="85"/>
      <c r="M38" s="85"/>
      <c r="N38" s="85"/>
      <c r="O38" s="85"/>
      <c r="P38" s="86"/>
      <c r="Q38" s="87"/>
      <c r="R38" s="85"/>
      <c r="S38" s="85"/>
      <c r="T38" s="85"/>
      <c r="U38" s="85"/>
      <c r="V38" s="85"/>
      <c r="W38" s="85"/>
      <c r="X38" s="85"/>
      <c r="Y38" s="85"/>
      <c r="Z38" s="85"/>
    </row>
    <row r="39" spans="2:26" ht="18" customHeight="1" x14ac:dyDescent="0.15">
      <c r="B39" s="129"/>
      <c r="C39" s="130"/>
      <c r="D39" s="83"/>
      <c r="E39" s="114"/>
      <c r="F39" s="84"/>
      <c r="G39" s="85"/>
      <c r="H39" s="85"/>
      <c r="I39" s="85"/>
      <c r="J39" s="85"/>
      <c r="K39" s="85"/>
      <c r="L39" s="85"/>
      <c r="M39" s="85"/>
      <c r="N39" s="85"/>
      <c r="O39" s="85"/>
      <c r="P39" s="86"/>
      <c r="Q39" s="87"/>
      <c r="R39" s="85"/>
      <c r="S39" s="85"/>
      <c r="T39" s="85"/>
      <c r="U39" s="85"/>
      <c r="V39" s="85"/>
      <c r="W39" s="85"/>
      <c r="X39" s="85"/>
      <c r="Y39" s="85"/>
      <c r="Z39" s="85"/>
    </row>
    <row r="40" spans="2:26" ht="18" customHeight="1" x14ac:dyDescent="0.15">
      <c r="B40" s="129"/>
      <c r="C40" s="130"/>
      <c r="D40" s="83"/>
      <c r="E40" s="114"/>
      <c r="F40" s="84"/>
      <c r="G40" s="85"/>
      <c r="H40" s="85"/>
      <c r="I40" s="85"/>
      <c r="J40" s="85"/>
      <c r="K40" s="85"/>
      <c r="L40" s="85"/>
      <c r="M40" s="85"/>
      <c r="N40" s="85"/>
      <c r="O40" s="85"/>
      <c r="P40" s="86"/>
      <c r="Q40" s="87"/>
      <c r="R40" s="85"/>
      <c r="S40" s="85"/>
      <c r="T40" s="85"/>
      <c r="U40" s="85"/>
      <c r="V40" s="85"/>
      <c r="W40" s="85"/>
      <c r="X40" s="85"/>
      <c r="Y40" s="85"/>
      <c r="Z40" s="85"/>
    </row>
    <row r="41" spans="2:26" ht="18" customHeight="1" x14ac:dyDescent="0.15">
      <c r="B41" s="129"/>
      <c r="C41" s="130"/>
      <c r="D41" s="83"/>
      <c r="E41" s="114"/>
      <c r="F41" s="84"/>
      <c r="G41" s="85"/>
      <c r="H41" s="85"/>
      <c r="I41" s="85"/>
      <c r="J41" s="85"/>
      <c r="K41" s="85"/>
      <c r="L41" s="85"/>
      <c r="M41" s="85"/>
      <c r="N41" s="85"/>
      <c r="O41" s="85"/>
      <c r="P41" s="86"/>
      <c r="Q41" s="87"/>
      <c r="R41" s="85"/>
      <c r="S41" s="85"/>
      <c r="T41" s="85"/>
      <c r="U41" s="85"/>
      <c r="V41" s="85"/>
      <c r="W41" s="85"/>
      <c r="X41" s="85"/>
      <c r="Y41" s="85"/>
      <c r="Z41" s="85"/>
    </row>
    <row r="42" spans="2:26" ht="18" customHeight="1" x14ac:dyDescent="0.15">
      <c r="B42" s="141"/>
      <c r="C42" s="142"/>
      <c r="D42" s="88"/>
      <c r="E42" s="117"/>
      <c r="F42" s="89"/>
      <c r="G42" s="90"/>
      <c r="H42" s="90"/>
      <c r="I42" s="90"/>
      <c r="J42" s="90"/>
      <c r="K42" s="90"/>
      <c r="L42" s="90"/>
      <c r="M42" s="90"/>
      <c r="N42" s="90"/>
      <c r="O42" s="90"/>
      <c r="P42" s="91"/>
      <c r="Q42" s="92"/>
      <c r="R42" s="90"/>
      <c r="S42" s="90"/>
      <c r="T42" s="90"/>
      <c r="U42" s="90"/>
      <c r="V42" s="90"/>
      <c r="W42" s="90"/>
      <c r="X42" s="90"/>
      <c r="Y42" s="90"/>
      <c r="Z42" s="90"/>
    </row>
    <row r="43" spans="2:26" ht="18" customHeight="1" x14ac:dyDescent="0.15">
      <c r="B43" s="143" t="s">
        <v>127</v>
      </c>
      <c r="C43" s="144"/>
      <c r="D43" s="83"/>
      <c r="E43" s="114"/>
      <c r="F43" s="84"/>
      <c r="G43" s="85"/>
      <c r="H43" s="85"/>
      <c r="I43" s="85"/>
      <c r="J43" s="85"/>
      <c r="K43" s="85"/>
      <c r="L43" s="85"/>
      <c r="M43" s="85"/>
      <c r="N43" s="85"/>
      <c r="O43" s="85"/>
      <c r="P43" s="86"/>
      <c r="Q43" s="87"/>
      <c r="R43" s="85"/>
      <c r="S43" s="85"/>
      <c r="T43" s="85"/>
      <c r="U43" s="85"/>
      <c r="V43" s="85"/>
      <c r="W43" s="85"/>
      <c r="X43" s="85"/>
      <c r="Y43" s="85"/>
      <c r="Z43" s="85"/>
    </row>
    <row r="44" spans="2:26" ht="18" customHeight="1" x14ac:dyDescent="0.15">
      <c r="B44" s="143"/>
      <c r="C44" s="144"/>
      <c r="D44" s="83"/>
      <c r="E44" s="114"/>
      <c r="F44" s="84"/>
      <c r="G44" s="85"/>
      <c r="H44" s="85"/>
      <c r="I44" s="85"/>
      <c r="J44" s="85"/>
      <c r="K44" s="85"/>
      <c r="L44" s="85"/>
      <c r="M44" s="85"/>
      <c r="N44" s="85"/>
      <c r="O44" s="85"/>
      <c r="P44" s="86"/>
      <c r="Q44" s="87"/>
      <c r="R44" s="85"/>
      <c r="S44" s="85"/>
      <c r="T44" s="85"/>
      <c r="U44" s="85"/>
      <c r="V44" s="85"/>
      <c r="W44" s="85"/>
      <c r="X44" s="85"/>
      <c r="Y44" s="85"/>
      <c r="Z44" s="85"/>
    </row>
    <row r="45" spans="2:26" ht="18" customHeight="1" x14ac:dyDescent="0.15">
      <c r="B45" s="143"/>
      <c r="C45" s="144"/>
      <c r="D45" s="83"/>
      <c r="E45" s="114"/>
      <c r="F45" s="84"/>
      <c r="G45" s="85"/>
      <c r="H45" s="85"/>
      <c r="I45" s="85"/>
      <c r="J45" s="85"/>
      <c r="K45" s="85"/>
      <c r="L45" s="85"/>
      <c r="M45" s="85"/>
      <c r="N45" s="85"/>
      <c r="O45" s="85"/>
      <c r="P45" s="86"/>
      <c r="Q45" s="87"/>
      <c r="R45" s="85"/>
      <c r="S45" s="85"/>
      <c r="T45" s="85"/>
      <c r="U45" s="85"/>
      <c r="V45" s="85"/>
      <c r="W45" s="85"/>
      <c r="X45" s="85"/>
      <c r="Y45" s="85"/>
      <c r="Z45" s="85"/>
    </row>
    <row r="46" spans="2:26" ht="18" customHeight="1" x14ac:dyDescent="0.15">
      <c r="B46" s="143"/>
      <c r="C46" s="144"/>
      <c r="D46" s="83"/>
      <c r="E46" s="114"/>
      <c r="F46" s="84"/>
      <c r="G46" s="85"/>
      <c r="H46" s="85"/>
      <c r="I46" s="85"/>
      <c r="J46" s="85"/>
      <c r="K46" s="85"/>
      <c r="L46" s="85"/>
      <c r="M46" s="85"/>
      <c r="N46" s="85"/>
      <c r="O46" s="85"/>
      <c r="P46" s="86"/>
      <c r="Q46" s="87"/>
      <c r="R46" s="85"/>
      <c r="S46" s="85"/>
      <c r="T46" s="85"/>
      <c r="U46" s="85"/>
      <c r="V46" s="85"/>
      <c r="W46" s="85"/>
      <c r="X46" s="85"/>
      <c r="Y46" s="85"/>
      <c r="Z46" s="85"/>
    </row>
    <row r="47" spans="2:26" ht="18" customHeight="1" x14ac:dyDescent="0.15">
      <c r="B47" s="143"/>
      <c r="C47" s="144"/>
      <c r="D47" s="83"/>
      <c r="E47" s="114"/>
      <c r="F47" s="84"/>
      <c r="G47" s="85"/>
      <c r="H47" s="85"/>
      <c r="I47" s="85"/>
      <c r="J47" s="85"/>
      <c r="K47" s="85"/>
      <c r="L47" s="85"/>
      <c r="M47" s="85"/>
      <c r="N47" s="85"/>
      <c r="O47" s="85"/>
      <c r="P47" s="86"/>
      <c r="Q47" s="87"/>
      <c r="R47" s="85"/>
      <c r="S47" s="85"/>
      <c r="T47" s="85"/>
      <c r="U47" s="85"/>
      <c r="V47" s="85"/>
      <c r="W47" s="85"/>
      <c r="X47" s="85"/>
      <c r="Y47" s="85"/>
      <c r="Z47" s="85"/>
    </row>
    <row r="48" spans="2:26" ht="18" customHeight="1" x14ac:dyDescent="0.15">
      <c r="B48" s="143"/>
      <c r="C48" s="144"/>
      <c r="D48" s="83"/>
      <c r="E48" s="114"/>
      <c r="F48" s="84"/>
      <c r="G48" s="85"/>
      <c r="H48" s="85"/>
      <c r="I48" s="85"/>
      <c r="J48" s="85"/>
      <c r="K48" s="85"/>
      <c r="L48" s="85"/>
      <c r="M48" s="85"/>
      <c r="N48" s="85"/>
      <c r="O48" s="85"/>
      <c r="P48" s="86"/>
      <c r="Q48" s="87"/>
      <c r="R48" s="85"/>
      <c r="S48" s="85"/>
      <c r="T48" s="85"/>
      <c r="U48" s="85"/>
      <c r="V48" s="85"/>
      <c r="W48" s="85"/>
      <c r="X48" s="85"/>
      <c r="Y48" s="85"/>
      <c r="Z48" s="85"/>
    </row>
    <row r="49" spans="1:26" ht="18" customHeight="1" x14ac:dyDescent="0.15">
      <c r="B49" s="143"/>
      <c r="C49" s="144"/>
      <c r="D49" s="83"/>
      <c r="E49" s="114"/>
      <c r="F49" s="84"/>
      <c r="G49" s="85"/>
      <c r="H49" s="85"/>
      <c r="I49" s="85"/>
      <c r="J49" s="85"/>
      <c r="K49" s="85"/>
      <c r="L49" s="85"/>
      <c r="M49" s="85"/>
      <c r="N49" s="85"/>
      <c r="O49" s="85"/>
      <c r="P49" s="86"/>
      <c r="Q49" s="87"/>
      <c r="R49" s="85"/>
      <c r="S49" s="85"/>
      <c r="T49" s="85"/>
      <c r="U49" s="85"/>
      <c r="V49" s="85"/>
      <c r="W49" s="85"/>
      <c r="X49" s="85"/>
      <c r="Y49" s="85"/>
      <c r="Z49" s="85"/>
    </row>
    <row r="50" spans="1:26" ht="18" customHeight="1" x14ac:dyDescent="0.15">
      <c r="B50" s="143"/>
      <c r="C50" s="144"/>
      <c r="D50" s="83"/>
      <c r="E50" s="114"/>
      <c r="F50" s="84"/>
      <c r="G50" s="85"/>
      <c r="H50" s="85"/>
      <c r="I50" s="85"/>
      <c r="J50" s="85"/>
      <c r="K50" s="85"/>
      <c r="L50" s="85"/>
      <c r="M50" s="85"/>
      <c r="N50" s="85"/>
      <c r="O50" s="85"/>
      <c r="P50" s="86"/>
      <c r="Q50" s="87"/>
      <c r="R50" s="85"/>
      <c r="S50" s="85"/>
      <c r="T50" s="85"/>
      <c r="U50" s="85"/>
      <c r="V50" s="85"/>
      <c r="W50" s="85"/>
      <c r="X50" s="85"/>
      <c r="Y50" s="85"/>
      <c r="Z50" s="85"/>
    </row>
    <row r="51" spans="1:26" ht="18" customHeight="1" x14ac:dyDescent="0.15">
      <c r="B51" s="143"/>
      <c r="C51" s="144"/>
      <c r="D51" s="83"/>
      <c r="E51" s="114"/>
      <c r="F51" s="84"/>
      <c r="G51" s="85"/>
      <c r="H51" s="85"/>
      <c r="I51" s="85"/>
      <c r="J51" s="85"/>
      <c r="K51" s="85"/>
      <c r="L51" s="85"/>
      <c r="M51" s="85"/>
      <c r="N51" s="85"/>
      <c r="O51" s="85"/>
      <c r="P51" s="86"/>
      <c r="Q51" s="87"/>
      <c r="R51" s="85"/>
      <c r="S51" s="85"/>
      <c r="T51" s="85"/>
      <c r="U51" s="85"/>
      <c r="V51" s="85"/>
      <c r="W51" s="85"/>
      <c r="X51" s="85"/>
      <c r="Y51" s="85"/>
      <c r="Z51" s="85"/>
    </row>
    <row r="52" spans="1:26" ht="18" customHeight="1" thickBot="1" x14ac:dyDescent="0.2">
      <c r="B52" s="145"/>
      <c r="C52" s="146"/>
      <c r="D52" s="88"/>
      <c r="E52" s="117"/>
      <c r="F52" s="98"/>
      <c r="G52" s="99"/>
      <c r="H52" s="99"/>
      <c r="I52" s="99"/>
      <c r="J52" s="99"/>
      <c r="K52" s="99"/>
      <c r="L52" s="99"/>
      <c r="M52" s="99"/>
      <c r="N52" s="99"/>
      <c r="O52" s="99"/>
      <c r="P52" s="100"/>
      <c r="Q52" s="92"/>
      <c r="R52" s="90"/>
      <c r="S52" s="90"/>
      <c r="T52" s="90"/>
      <c r="U52" s="90"/>
      <c r="V52" s="90"/>
      <c r="W52" s="90"/>
      <c r="X52" s="90"/>
      <c r="Y52" s="90"/>
      <c r="Z52" s="90"/>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50" t="s">
        <v>49</v>
      </c>
      <c r="C55" s="151"/>
      <c r="D55" s="4" t="s">
        <v>128</v>
      </c>
    </row>
    <row r="56" spans="1:26" ht="100.5" customHeight="1" x14ac:dyDescent="0.15">
      <c r="B56" s="147" t="s">
        <v>55</v>
      </c>
      <c r="C56" s="101" t="s">
        <v>50</v>
      </c>
      <c r="D56" s="66" t="s">
        <v>172</v>
      </c>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77.25" customHeight="1" x14ac:dyDescent="0.15">
      <c r="B57" s="148"/>
      <c r="C57" s="103" t="s">
        <v>67</v>
      </c>
      <c r="D57" s="118" t="s">
        <v>178</v>
      </c>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11.75" customHeight="1" x14ac:dyDescent="0.15">
      <c r="B58" s="147" t="s">
        <v>56</v>
      </c>
      <c r="C58" s="105" t="s">
        <v>61</v>
      </c>
      <c r="D58" s="119" t="s">
        <v>173</v>
      </c>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02.75" customHeight="1" x14ac:dyDescent="0.15">
      <c r="B59" s="149"/>
      <c r="C59" s="106" t="s">
        <v>62</v>
      </c>
      <c r="D59" s="120" t="s">
        <v>179</v>
      </c>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43.25" customHeight="1" x14ac:dyDescent="0.15">
      <c r="B60" s="147" t="s">
        <v>57</v>
      </c>
      <c r="C60" s="105" t="s">
        <v>63</v>
      </c>
      <c r="D60" s="66" t="s">
        <v>174</v>
      </c>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104.25" customHeight="1" x14ac:dyDescent="0.15">
      <c r="B61" s="149"/>
      <c r="C61" s="107" t="s">
        <v>64</v>
      </c>
      <c r="D61" s="118" t="s">
        <v>175</v>
      </c>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100.5" customHeight="1" x14ac:dyDescent="0.15">
      <c r="B62" s="147" t="s">
        <v>68</v>
      </c>
      <c r="C62" s="101" t="s">
        <v>52</v>
      </c>
      <c r="D62" s="66" t="s">
        <v>176</v>
      </c>
      <c r="E62" s="104"/>
      <c r="F62" s="104"/>
      <c r="G62" s="104"/>
      <c r="H62" s="104"/>
      <c r="I62" s="104"/>
      <c r="J62" s="104"/>
      <c r="K62" s="104"/>
      <c r="L62" s="104"/>
      <c r="M62" s="104"/>
      <c r="N62" s="104"/>
      <c r="O62" s="104"/>
      <c r="P62" s="104"/>
      <c r="Q62" s="104"/>
      <c r="R62" s="104"/>
      <c r="S62" s="104"/>
      <c r="T62" s="104"/>
      <c r="U62" s="104"/>
      <c r="V62" s="104"/>
      <c r="W62" s="104"/>
      <c r="X62" s="104"/>
      <c r="Y62" s="104"/>
      <c r="Z62" s="104"/>
    </row>
    <row r="63" spans="1:26" ht="75" customHeight="1" x14ac:dyDescent="0.15">
      <c r="B63" s="149"/>
      <c r="C63" s="106" t="s">
        <v>54</v>
      </c>
      <c r="D63" s="118" t="s">
        <v>177</v>
      </c>
      <c r="E63" s="104"/>
      <c r="F63" s="104"/>
      <c r="G63" s="104"/>
      <c r="H63" s="104"/>
      <c r="I63" s="104"/>
      <c r="J63" s="104"/>
      <c r="K63" s="104"/>
      <c r="L63" s="104"/>
      <c r="M63" s="104"/>
      <c r="N63" s="104"/>
      <c r="O63" s="104"/>
      <c r="P63" s="104"/>
      <c r="Q63" s="104"/>
      <c r="R63" s="104"/>
      <c r="S63" s="104"/>
      <c r="T63" s="104"/>
      <c r="U63" s="104"/>
      <c r="V63" s="104"/>
      <c r="W63" s="104"/>
      <c r="X63" s="104"/>
      <c r="Y63" s="104"/>
      <c r="Z63" s="104"/>
    </row>
    <row r="64" spans="1:26" ht="97.5" customHeight="1" x14ac:dyDescent="0.15">
      <c r="B64" s="147" t="s">
        <v>69</v>
      </c>
      <c r="C64" s="105" t="s">
        <v>51</v>
      </c>
      <c r="D64" s="66" t="s">
        <v>171</v>
      </c>
      <c r="E64" s="104"/>
      <c r="F64" s="104"/>
      <c r="G64" s="104"/>
      <c r="H64" s="104"/>
      <c r="I64" s="104"/>
      <c r="J64" s="104"/>
      <c r="K64" s="104"/>
      <c r="L64" s="104"/>
      <c r="M64" s="104"/>
      <c r="N64" s="104"/>
      <c r="O64" s="104"/>
      <c r="P64" s="104"/>
      <c r="Q64" s="104"/>
      <c r="R64" s="104"/>
      <c r="S64" s="104"/>
      <c r="T64" s="104"/>
      <c r="U64" s="104"/>
      <c r="V64" s="104"/>
      <c r="W64" s="104"/>
      <c r="X64" s="104"/>
      <c r="Y64" s="104"/>
      <c r="Z64" s="104"/>
    </row>
    <row r="65" spans="1:26" ht="102" customHeight="1" x14ac:dyDescent="0.15">
      <c r="B65" s="148"/>
      <c r="C65" s="108" t="s">
        <v>65</v>
      </c>
      <c r="D65" s="121" t="s">
        <v>169</v>
      </c>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85.5" customHeight="1" x14ac:dyDescent="0.15">
      <c r="B66" s="149"/>
      <c r="C66" s="107" t="s">
        <v>66</v>
      </c>
      <c r="D66" s="122" t="s">
        <v>170</v>
      </c>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6" customHeight="1" x14ac:dyDescent="0.15"/>
    <row r="68" spans="1:26" ht="18.75" customHeight="1" x14ac:dyDescent="0.15">
      <c r="A68" s="8" t="s">
        <v>116</v>
      </c>
    </row>
    <row r="69" spans="1:26" ht="128.25" x14ac:dyDescent="0.15">
      <c r="B69" s="16"/>
      <c r="C69" s="16"/>
      <c r="D69" s="65" t="s">
        <v>145</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rowBreaks count="2" manualBreakCount="2">
    <brk id="52" max="25" man="1"/>
    <brk id="63"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B18" sqref="B18"/>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5" t="s">
        <v>94</v>
      </c>
      <c r="B2" s="155"/>
      <c r="C2" s="155"/>
      <c r="D2" s="155"/>
      <c r="E2" s="155"/>
      <c r="F2" s="155"/>
      <c r="G2" s="155"/>
      <c r="H2" s="155"/>
      <c r="I2" s="155"/>
      <c r="J2" s="155"/>
      <c r="K2" s="155"/>
      <c r="L2" s="155"/>
      <c r="M2" s="155"/>
      <c r="N2" s="155"/>
      <c r="O2" s="155"/>
      <c r="P2" s="155"/>
      <c r="Q2" s="155"/>
      <c r="R2" s="155"/>
      <c r="S2" s="155"/>
      <c r="T2" s="155"/>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133</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6" t="s">
        <v>43</v>
      </c>
      <c r="C8" s="152" t="s">
        <v>73</v>
      </c>
      <c r="D8" s="153"/>
      <c r="E8" s="158" t="s">
        <v>45</v>
      </c>
      <c r="F8" s="152" t="s">
        <v>38</v>
      </c>
      <c r="G8" s="154" t="s">
        <v>108</v>
      </c>
      <c r="H8" s="154"/>
      <c r="I8" s="154" t="s">
        <v>92</v>
      </c>
      <c r="J8" s="154"/>
      <c r="K8" s="154" t="s">
        <v>86</v>
      </c>
      <c r="L8" s="154"/>
      <c r="M8" s="154" t="s">
        <v>72</v>
      </c>
      <c r="N8" s="154"/>
      <c r="O8" s="154" t="s">
        <v>46</v>
      </c>
      <c r="P8" s="154"/>
      <c r="Q8" s="154" t="s">
        <v>47</v>
      </c>
      <c r="R8" s="165"/>
      <c r="S8" s="161" t="s">
        <v>35</v>
      </c>
      <c r="T8" s="163" t="s">
        <v>32</v>
      </c>
      <c r="V8" s="13"/>
    </row>
    <row r="9" spans="1:22" ht="16.899999999999999" customHeight="1" x14ac:dyDescent="0.15">
      <c r="B9" s="157"/>
      <c r="C9" s="1"/>
      <c r="D9" s="2" t="s">
        <v>111</v>
      </c>
      <c r="E9" s="159"/>
      <c r="F9" s="160"/>
      <c r="G9" s="40" t="s">
        <v>79</v>
      </c>
      <c r="H9" s="40" t="s">
        <v>29</v>
      </c>
      <c r="I9" s="40" t="s">
        <v>79</v>
      </c>
      <c r="J9" s="40" t="s">
        <v>29</v>
      </c>
      <c r="K9" s="40" t="s">
        <v>79</v>
      </c>
      <c r="L9" s="40" t="s">
        <v>29</v>
      </c>
      <c r="M9" s="40" t="s">
        <v>79</v>
      </c>
      <c r="N9" s="40" t="s">
        <v>29</v>
      </c>
      <c r="O9" s="40" t="s">
        <v>79</v>
      </c>
      <c r="P9" s="40" t="s">
        <v>29</v>
      </c>
      <c r="Q9" s="40" t="s">
        <v>79</v>
      </c>
      <c r="R9" s="40" t="s">
        <v>29</v>
      </c>
      <c r="S9" s="162"/>
      <c r="T9" s="164"/>
      <c r="V9" s="13"/>
    </row>
    <row r="10" spans="1:22" ht="18" customHeight="1" x14ac:dyDescent="0.15">
      <c r="A10" s="41"/>
      <c r="B10" s="123" t="s">
        <v>134</v>
      </c>
      <c r="C10" s="57">
        <v>4218</v>
      </c>
      <c r="D10" s="63">
        <v>2779</v>
      </c>
      <c r="E10" s="56">
        <v>930</v>
      </c>
      <c r="F10" s="57">
        <v>3895</v>
      </c>
      <c r="G10" s="57">
        <v>71</v>
      </c>
      <c r="H10" s="57">
        <v>42</v>
      </c>
      <c r="I10" s="57"/>
      <c r="J10" s="57"/>
      <c r="K10" s="57"/>
      <c r="L10" s="57"/>
      <c r="M10" s="57"/>
      <c r="N10" s="57"/>
      <c r="O10" s="57"/>
      <c r="P10" s="57"/>
      <c r="Q10" s="57"/>
      <c r="R10" s="57"/>
      <c r="S10" s="3">
        <f>G10+K10+M10+O10+Q10</f>
        <v>71</v>
      </c>
      <c r="T10" s="42">
        <f>S10/F10</f>
        <v>1.8228498074454428E-2</v>
      </c>
    </row>
    <row r="11" spans="1:22" ht="18" customHeight="1" x14ac:dyDescent="0.15">
      <c r="A11" s="41"/>
      <c r="B11" s="123" t="s">
        <v>135</v>
      </c>
      <c r="C11" s="59">
        <v>1074</v>
      </c>
      <c r="D11" s="61">
        <v>660</v>
      </c>
      <c r="E11" s="58">
        <v>270</v>
      </c>
      <c r="F11" s="59">
        <v>1040</v>
      </c>
      <c r="G11" s="60">
        <v>14</v>
      </c>
      <c r="H11" s="60">
        <v>8</v>
      </c>
      <c r="I11" s="60"/>
      <c r="J11" s="60"/>
      <c r="K11" s="60"/>
      <c r="L11" s="60"/>
      <c r="M11" s="60"/>
      <c r="N11" s="60"/>
      <c r="O11" s="60"/>
      <c r="P11" s="60"/>
      <c r="Q11" s="60"/>
      <c r="R11" s="60"/>
      <c r="S11" s="44">
        <f t="shared" ref="S11:S29" si="0">G11+K11+M11+O11+Q11</f>
        <v>14</v>
      </c>
      <c r="T11" s="45">
        <f t="shared" ref="T11:T27" si="1">S11/F11</f>
        <v>1.3461538461538462E-2</v>
      </c>
    </row>
    <row r="12" spans="1:22" ht="18" customHeight="1" x14ac:dyDescent="0.15">
      <c r="A12" s="41"/>
      <c r="B12" s="123" t="s">
        <v>136</v>
      </c>
      <c r="C12" s="59">
        <v>693</v>
      </c>
      <c r="D12" s="61">
        <v>313</v>
      </c>
      <c r="E12" s="58">
        <v>200</v>
      </c>
      <c r="F12" s="59">
        <v>600</v>
      </c>
      <c r="G12" s="60">
        <v>18</v>
      </c>
      <c r="H12" s="60">
        <v>17</v>
      </c>
      <c r="I12" s="60"/>
      <c r="J12" s="60"/>
      <c r="K12" s="60"/>
      <c r="L12" s="60"/>
      <c r="M12" s="60"/>
      <c r="N12" s="60"/>
      <c r="O12" s="60"/>
      <c r="P12" s="60"/>
      <c r="Q12" s="60"/>
      <c r="R12" s="60"/>
      <c r="S12" s="44">
        <f t="shared" si="0"/>
        <v>18</v>
      </c>
      <c r="T12" s="46">
        <f t="shared" si="1"/>
        <v>0.03</v>
      </c>
    </row>
    <row r="13" spans="1:22" ht="18" customHeight="1" x14ac:dyDescent="0.15">
      <c r="A13" s="41"/>
      <c r="B13" s="123" t="s">
        <v>137</v>
      </c>
      <c r="C13" s="59">
        <v>441</v>
      </c>
      <c r="D13" s="61">
        <v>294</v>
      </c>
      <c r="E13" s="58">
        <v>200</v>
      </c>
      <c r="F13" s="59">
        <v>400</v>
      </c>
      <c r="G13" s="60">
        <v>8</v>
      </c>
      <c r="H13" s="60">
        <v>6</v>
      </c>
      <c r="I13" s="60"/>
      <c r="J13" s="60"/>
      <c r="K13" s="60"/>
      <c r="L13" s="60"/>
      <c r="M13" s="60"/>
      <c r="N13" s="60"/>
      <c r="O13" s="60"/>
      <c r="P13" s="60"/>
      <c r="Q13" s="60"/>
      <c r="R13" s="60"/>
      <c r="S13" s="44">
        <f t="shared" si="0"/>
        <v>8</v>
      </c>
      <c r="T13" s="46">
        <f t="shared" si="1"/>
        <v>0.02</v>
      </c>
    </row>
    <row r="14" spans="1:22" ht="18" customHeight="1" x14ac:dyDescent="0.15">
      <c r="A14" s="41"/>
      <c r="B14" s="123" t="s">
        <v>165</v>
      </c>
      <c r="C14" s="59">
        <v>3013</v>
      </c>
      <c r="D14" s="61">
        <v>2186</v>
      </c>
      <c r="E14" s="58">
        <v>575</v>
      </c>
      <c r="F14" s="59">
        <v>2750</v>
      </c>
      <c r="G14" s="60">
        <v>44</v>
      </c>
      <c r="H14" s="60">
        <v>27</v>
      </c>
      <c r="I14" s="60"/>
      <c r="J14" s="60"/>
      <c r="K14" s="60"/>
      <c r="L14" s="60"/>
      <c r="M14" s="60"/>
      <c r="N14" s="60"/>
      <c r="O14" s="60"/>
      <c r="P14" s="60"/>
      <c r="Q14" s="60"/>
      <c r="R14" s="60"/>
      <c r="S14" s="44">
        <f t="shared" si="0"/>
        <v>44</v>
      </c>
      <c r="T14" s="46">
        <f t="shared" si="1"/>
        <v>1.6E-2</v>
      </c>
    </row>
    <row r="15" spans="1:22" ht="18" customHeight="1" x14ac:dyDescent="0.15">
      <c r="A15" s="41"/>
      <c r="B15" s="123" t="s">
        <v>166</v>
      </c>
      <c r="C15" s="59">
        <v>212</v>
      </c>
      <c r="D15" s="61">
        <v>164</v>
      </c>
      <c r="E15" s="58">
        <v>200</v>
      </c>
      <c r="F15" s="59">
        <v>200</v>
      </c>
      <c r="G15" s="60">
        <v>0</v>
      </c>
      <c r="H15" s="60">
        <v>0</v>
      </c>
      <c r="I15" s="60"/>
      <c r="J15" s="60"/>
      <c r="K15" s="60"/>
      <c r="L15" s="60"/>
      <c r="M15" s="60"/>
      <c r="N15" s="60"/>
      <c r="O15" s="60"/>
      <c r="P15" s="60"/>
      <c r="Q15" s="60"/>
      <c r="R15" s="60"/>
      <c r="S15" s="44">
        <f t="shared" si="0"/>
        <v>0</v>
      </c>
      <c r="T15" s="46">
        <f t="shared" si="1"/>
        <v>0</v>
      </c>
    </row>
    <row r="16" spans="1:22" ht="18" customHeight="1" x14ac:dyDescent="0.15">
      <c r="A16" s="41"/>
      <c r="B16" s="124" t="s">
        <v>167</v>
      </c>
      <c r="C16" s="59">
        <v>539</v>
      </c>
      <c r="D16" s="61">
        <v>338</v>
      </c>
      <c r="E16" s="58">
        <v>120</v>
      </c>
      <c r="F16" s="59">
        <v>480</v>
      </c>
      <c r="G16" s="60">
        <v>12</v>
      </c>
      <c r="H16" s="60">
        <v>10</v>
      </c>
      <c r="I16" s="60"/>
      <c r="J16" s="60"/>
      <c r="K16" s="60"/>
      <c r="L16" s="60"/>
      <c r="M16" s="60"/>
      <c r="N16" s="60"/>
      <c r="O16" s="60"/>
      <c r="P16" s="60"/>
      <c r="Q16" s="60"/>
      <c r="R16" s="60"/>
      <c r="S16" s="44">
        <f t="shared" si="0"/>
        <v>12</v>
      </c>
      <c r="T16" s="46">
        <f t="shared" si="1"/>
        <v>2.5000000000000001E-2</v>
      </c>
    </row>
    <row r="17" spans="1:20" ht="18" customHeight="1" x14ac:dyDescent="0.15">
      <c r="A17" s="41"/>
      <c r="B17" s="124" t="s">
        <v>168</v>
      </c>
      <c r="C17" s="59">
        <v>156</v>
      </c>
      <c r="D17" s="61">
        <v>106</v>
      </c>
      <c r="E17" s="58">
        <v>50</v>
      </c>
      <c r="F17" s="59">
        <v>180</v>
      </c>
      <c r="G17" s="60">
        <v>0</v>
      </c>
      <c r="H17" s="60">
        <v>0</v>
      </c>
      <c r="I17" s="60"/>
      <c r="J17" s="60"/>
      <c r="K17" s="60"/>
      <c r="L17" s="60"/>
      <c r="M17" s="60"/>
      <c r="N17" s="60"/>
      <c r="O17" s="60"/>
      <c r="P17" s="60"/>
      <c r="Q17" s="60"/>
      <c r="R17" s="60"/>
      <c r="S17" s="44">
        <f t="shared" si="0"/>
        <v>0</v>
      </c>
      <c r="T17" s="46">
        <f t="shared" si="1"/>
        <v>0</v>
      </c>
    </row>
    <row r="18" spans="1:20" ht="18" customHeight="1" x14ac:dyDescent="0.15">
      <c r="A18" s="41"/>
      <c r="B18" s="43" t="s">
        <v>138</v>
      </c>
      <c r="C18" s="59">
        <v>260</v>
      </c>
      <c r="D18" s="61">
        <v>162</v>
      </c>
      <c r="E18" s="58">
        <v>100</v>
      </c>
      <c r="F18" s="59">
        <v>270</v>
      </c>
      <c r="G18" s="60">
        <v>0</v>
      </c>
      <c r="H18" s="60">
        <v>0</v>
      </c>
      <c r="I18" s="60"/>
      <c r="J18" s="60"/>
      <c r="K18" s="60"/>
      <c r="L18" s="60"/>
      <c r="M18" s="60"/>
      <c r="N18" s="60"/>
      <c r="O18" s="60"/>
      <c r="P18" s="60"/>
      <c r="Q18" s="60"/>
      <c r="R18" s="60"/>
      <c r="S18" s="44">
        <f t="shared" si="0"/>
        <v>0</v>
      </c>
      <c r="T18" s="46">
        <f t="shared" si="1"/>
        <v>0</v>
      </c>
    </row>
    <row r="19" spans="1:20" ht="18" customHeight="1" x14ac:dyDescent="0.15">
      <c r="A19" s="41"/>
      <c r="B19" s="43"/>
      <c r="C19" s="59"/>
      <c r="D19" s="61"/>
      <c r="E19" s="58"/>
      <c r="F19" s="59"/>
      <c r="G19" s="60"/>
      <c r="H19" s="60"/>
      <c r="I19" s="60"/>
      <c r="J19" s="60"/>
      <c r="K19" s="60"/>
      <c r="L19" s="60"/>
      <c r="M19" s="60"/>
      <c r="N19" s="60"/>
      <c r="O19" s="60"/>
      <c r="P19" s="60"/>
      <c r="Q19" s="60"/>
      <c r="R19" s="60"/>
      <c r="S19" s="44">
        <f t="shared" si="0"/>
        <v>0</v>
      </c>
      <c r="T19" s="46" t="e">
        <f t="shared" si="1"/>
        <v>#DIV/0!</v>
      </c>
    </row>
    <row r="20" spans="1:20" ht="18" customHeight="1" x14ac:dyDescent="0.15">
      <c r="A20" s="41"/>
      <c r="B20" s="43"/>
      <c r="C20" s="59"/>
      <c r="D20" s="61"/>
      <c r="E20" s="58"/>
      <c r="F20" s="59"/>
      <c r="G20" s="60"/>
      <c r="H20" s="60"/>
      <c r="I20" s="60"/>
      <c r="J20" s="60"/>
      <c r="K20" s="60"/>
      <c r="L20" s="60"/>
      <c r="M20" s="60"/>
      <c r="N20" s="60"/>
      <c r="O20" s="60"/>
      <c r="P20" s="60"/>
      <c r="Q20" s="60"/>
      <c r="R20" s="60"/>
      <c r="S20" s="44">
        <f t="shared" si="0"/>
        <v>0</v>
      </c>
      <c r="T20" s="46" t="e">
        <f t="shared" si="1"/>
        <v>#DIV/0!</v>
      </c>
    </row>
    <row r="21" spans="1:20" ht="18" customHeight="1" x14ac:dyDescent="0.15">
      <c r="A21" s="41"/>
      <c r="B21" s="43"/>
      <c r="C21" s="59"/>
      <c r="D21" s="61"/>
      <c r="E21" s="58"/>
      <c r="F21" s="59"/>
      <c r="G21" s="60"/>
      <c r="H21" s="60"/>
      <c r="I21" s="60"/>
      <c r="J21" s="60"/>
      <c r="K21" s="60"/>
      <c r="L21" s="60"/>
      <c r="M21" s="60"/>
      <c r="N21" s="60"/>
      <c r="O21" s="60"/>
      <c r="P21" s="60"/>
      <c r="Q21" s="60"/>
      <c r="R21" s="60"/>
      <c r="S21" s="44">
        <f t="shared" si="0"/>
        <v>0</v>
      </c>
      <c r="T21" s="46" t="e">
        <f t="shared" si="1"/>
        <v>#DIV/0!</v>
      </c>
    </row>
    <row r="22" spans="1:20" ht="18" customHeight="1" x14ac:dyDescent="0.15">
      <c r="A22" s="41"/>
      <c r="B22" s="43"/>
      <c r="C22" s="59"/>
      <c r="D22" s="61"/>
      <c r="E22" s="58"/>
      <c r="F22" s="59"/>
      <c r="G22" s="60"/>
      <c r="H22" s="60"/>
      <c r="I22" s="60"/>
      <c r="J22" s="60"/>
      <c r="K22" s="60"/>
      <c r="L22" s="60"/>
      <c r="M22" s="60"/>
      <c r="N22" s="60"/>
      <c r="O22" s="60"/>
      <c r="P22" s="60"/>
      <c r="Q22" s="60"/>
      <c r="R22" s="60"/>
      <c r="S22" s="44">
        <f t="shared" si="0"/>
        <v>0</v>
      </c>
      <c r="T22" s="46" t="e">
        <f t="shared" si="1"/>
        <v>#DIV/0!</v>
      </c>
    </row>
    <row r="23" spans="1:20" ht="18" customHeight="1" x14ac:dyDescent="0.15">
      <c r="A23" s="41"/>
      <c r="B23" s="43"/>
      <c r="C23" s="59"/>
      <c r="D23" s="61"/>
      <c r="E23" s="58"/>
      <c r="F23" s="59"/>
      <c r="G23" s="60"/>
      <c r="H23" s="60"/>
      <c r="I23" s="60"/>
      <c r="J23" s="60"/>
      <c r="K23" s="60"/>
      <c r="L23" s="60"/>
      <c r="M23" s="60"/>
      <c r="N23" s="60"/>
      <c r="O23" s="60"/>
      <c r="P23" s="60"/>
      <c r="Q23" s="60"/>
      <c r="R23" s="60"/>
      <c r="S23" s="44">
        <f t="shared" si="0"/>
        <v>0</v>
      </c>
      <c r="T23" s="46" t="e">
        <f t="shared" si="1"/>
        <v>#DIV/0!</v>
      </c>
    </row>
    <row r="24" spans="1:20" ht="18" customHeight="1" x14ac:dyDescent="0.15">
      <c r="A24" s="41"/>
      <c r="B24" s="43"/>
      <c r="C24" s="59"/>
      <c r="D24" s="61"/>
      <c r="E24" s="58"/>
      <c r="F24" s="59"/>
      <c r="G24" s="60"/>
      <c r="H24" s="60"/>
      <c r="I24" s="60"/>
      <c r="J24" s="60"/>
      <c r="K24" s="60"/>
      <c r="L24" s="60"/>
      <c r="M24" s="60"/>
      <c r="N24" s="60"/>
      <c r="O24" s="60"/>
      <c r="P24" s="60"/>
      <c r="Q24" s="60"/>
      <c r="R24" s="60"/>
      <c r="S24" s="44">
        <f t="shared" si="0"/>
        <v>0</v>
      </c>
      <c r="T24" s="46" t="e">
        <f t="shared" si="1"/>
        <v>#DIV/0!</v>
      </c>
    </row>
    <row r="25" spans="1:20" ht="18" customHeight="1" x14ac:dyDescent="0.15">
      <c r="A25" s="41"/>
      <c r="B25" s="43"/>
      <c r="C25" s="59"/>
      <c r="D25" s="61"/>
      <c r="E25" s="58"/>
      <c r="F25" s="59"/>
      <c r="G25" s="60"/>
      <c r="H25" s="60"/>
      <c r="I25" s="60"/>
      <c r="J25" s="60"/>
      <c r="K25" s="60"/>
      <c r="L25" s="60"/>
      <c r="M25" s="60"/>
      <c r="N25" s="60"/>
      <c r="O25" s="60"/>
      <c r="P25" s="60"/>
      <c r="Q25" s="60"/>
      <c r="R25" s="60"/>
      <c r="S25" s="44">
        <f t="shared" si="0"/>
        <v>0</v>
      </c>
      <c r="T25" s="46" t="e">
        <f t="shared" si="1"/>
        <v>#DIV/0!</v>
      </c>
    </row>
    <row r="26" spans="1:20" ht="18" customHeight="1" x14ac:dyDescent="0.15">
      <c r="A26" s="41"/>
      <c r="B26" s="43"/>
      <c r="C26" s="59"/>
      <c r="D26" s="61"/>
      <c r="E26" s="58"/>
      <c r="F26" s="59"/>
      <c r="G26" s="60"/>
      <c r="H26" s="60"/>
      <c r="I26" s="60"/>
      <c r="J26" s="60"/>
      <c r="K26" s="60"/>
      <c r="L26" s="60"/>
      <c r="M26" s="60"/>
      <c r="N26" s="60"/>
      <c r="O26" s="60"/>
      <c r="P26" s="60"/>
      <c r="Q26" s="60"/>
      <c r="R26" s="60"/>
      <c r="S26" s="44">
        <f t="shared" si="0"/>
        <v>0</v>
      </c>
      <c r="T26" s="46" t="e">
        <f t="shared" si="1"/>
        <v>#DIV/0!</v>
      </c>
    </row>
    <row r="27" spans="1:20" ht="18" customHeight="1" x14ac:dyDescent="0.15">
      <c r="A27" s="41"/>
      <c r="B27" s="43"/>
      <c r="C27" s="59"/>
      <c r="D27" s="61"/>
      <c r="E27" s="62"/>
      <c r="F27" s="59"/>
      <c r="G27" s="60"/>
      <c r="H27" s="60"/>
      <c r="I27" s="60"/>
      <c r="J27" s="60"/>
      <c r="K27" s="60"/>
      <c r="L27" s="60"/>
      <c r="M27" s="60"/>
      <c r="N27" s="60"/>
      <c r="O27" s="60"/>
      <c r="P27" s="60"/>
      <c r="Q27" s="60"/>
      <c r="R27" s="60"/>
      <c r="S27" s="44">
        <f t="shared" si="0"/>
        <v>0</v>
      </c>
      <c r="T27" s="46" t="e">
        <f t="shared" si="1"/>
        <v>#DIV/0!</v>
      </c>
    </row>
    <row r="28" spans="1:20" ht="18" customHeight="1" x14ac:dyDescent="0.15">
      <c r="A28" s="41"/>
      <c r="B28" s="43"/>
      <c r="C28" s="59"/>
      <c r="D28" s="61"/>
      <c r="E28" s="62"/>
      <c r="F28" s="59"/>
      <c r="G28" s="60"/>
      <c r="H28" s="60"/>
      <c r="I28" s="60"/>
      <c r="J28" s="60"/>
      <c r="K28" s="60"/>
      <c r="L28" s="60"/>
      <c r="M28" s="60"/>
      <c r="N28" s="60"/>
      <c r="O28" s="60"/>
      <c r="P28" s="60"/>
      <c r="Q28" s="60"/>
      <c r="R28" s="60"/>
      <c r="S28" s="44">
        <f t="shared" si="0"/>
        <v>0</v>
      </c>
      <c r="T28" s="46" t="e">
        <f t="shared" ref="T28:T29" si="2">S28/F28</f>
        <v>#DIV/0!</v>
      </c>
    </row>
    <row r="29" spans="1:20" ht="18" customHeight="1" thickBot="1" x14ac:dyDescent="0.2">
      <c r="A29" s="41"/>
      <c r="B29" s="47"/>
      <c r="C29" s="57"/>
      <c r="D29" s="63"/>
      <c r="E29" s="64"/>
      <c r="F29" s="57"/>
      <c r="G29" s="57"/>
      <c r="H29" s="57"/>
      <c r="I29" s="57"/>
      <c r="J29" s="57"/>
      <c r="K29" s="57"/>
      <c r="L29" s="57"/>
      <c r="M29" s="57"/>
      <c r="N29" s="57"/>
      <c r="O29" s="57"/>
      <c r="P29" s="57"/>
      <c r="Q29" s="57"/>
      <c r="R29" s="57"/>
      <c r="S29" s="3">
        <f t="shared" si="0"/>
        <v>0</v>
      </c>
      <c r="T29" s="46" t="e">
        <f t="shared" si="2"/>
        <v>#DIV/0!</v>
      </c>
    </row>
    <row r="30" spans="1:20" ht="18" customHeight="1" thickTop="1" x14ac:dyDescent="0.15">
      <c r="B30" s="48" t="s">
        <v>33</v>
      </c>
      <c r="C30" s="50">
        <f t="shared" ref="C30" si="3">SUM(C10:C29)</f>
        <v>10606</v>
      </c>
      <c r="D30" s="110">
        <f>SUM(D10:D29)</f>
        <v>7002</v>
      </c>
      <c r="E30" s="49">
        <f t="shared" ref="E30:G30" si="4">SUM(E10:E29)</f>
        <v>2645</v>
      </c>
      <c r="F30" s="50">
        <f t="shared" si="4"/>
        <v>9815</v>
      </c>
      <c r="G30" s="50">
        <f t="shared" si="4"/>
        <v>167</v>
      </c>
      <c r="H30" s="50">
        <f t="shared" ref="H30:K30" si="5">SUM(H10:H29)</f>
        <v>110</v>
      </c>
      <c r="I30" s="50">
        <f t="shared" si="5"/>
        <v>0</v>
      </c>
      <c r="J30" s="50">
        <f t="shared" si="5"/>
        <v>0</v>
      </c>
      <c r="K30" s="50">
        <f t="shared" si="5"/>
        <v>0</v>
      </c>
      <c r="L30" s="50">
        <f t="shared" ref="L30:M30" si="6">SUM(L10:L29)</f>
        <v>0</v>
      </c>
      <c r="M30" s="50">
        <f t="shared" si="6"/>
        <v>0</v>
      </c>
      <c r="N30" s="50">
        <f t="shared" ref="N30:S30" si="7">SUM(N10:N29)</f>
        <v>0</v>
      </c>
      <c r="O30" s="50">
        <f t="shared" si="7"/>
        <v>0</v>
      </c>
      <c r="P30" s="50">
        <f t="shared" si="7"/>
        <v>0</v>
      </c>
      <c r="Q30" s="50">
        <f t="shared" si="7"/>
        <v>0</v>
      </c>
      <c r="R30" s="50">
        <f t="shared" si="7"/>
        <v>0</v>
      </c>
      <c r="S30" s="50">
        <f t="shared" si="7"/>
        <v>167</v>
      </c>
      <c r="T30" s="51">
        <f>S30/F30</f>
        <v>1.7014773306164035E-2</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16" zoomScaleNormal="100" zoomScaleSheetLayoutView="100" workbookViewId="0">
      <selection activeCell="C23" sqref="C23:E23"/>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5" t="s">
        <v>36</v>
      </c>
      <c r="B3" s="155"/>
      <c r="C3" s="155"/>
      <c r="D3" s="155"/>
      <c r="E3" s="155"/>
    </row>
    <row r="4" spans="1:5" ht="13.15" customHeight="1" x14ac:dyDescent="0.15">
      <c r="B4" s="12"/>
      <c r="C4" s="12"/>
      <c r="D4" s="12"/>
      <c r="E4" s="12"/>
    </row>
    <row r="5" spans="1:5" ht="18" customHeight="1" x14ac:dyDescent="0.15">
      <c r="A5" s="8" t="s">
        <v>0</v>
      </c>
      <c r="B5" s="133" t="s">
        <v>76</v>
      </c>
      <c r="C5" s="133"/>
      <c r="D5" s="133"/>
      <c r="E5" s="133"/>
    </row>
    <row r="6" spans="1:5" ht="18.600000000000001" customHeight="1" x14ac:dyDescent="0.15">
      <c r="B6" s="29" t="s">
        <v>77</v>
      </c>
      <c r="C6" s="125">
        <v>269</v>
      </c>
      <c r="D6" s="10" t="s">
        <v>1</v>
      </c>
      <c r="E6" s="14"/>
    </row>
    <row r="7" spans="1:5" ht="18.600000000000001" customHeight="1" x14ac:dyDescent="0.15">
      <c r="B7" s="29" t="s">
        <v>2</v>
      </c>
      <c r="C7" s="125">
        <v>201</v>
      </c>
      <c r="D7" s="10" t="s">
        <v>1</v>
      </c>
      <c r="E7" s="14"/>
    </row>
    <row r="8" spans="1:5" ht="18.600000000000001" customHeight="1" x14ac:dyDescent="0.15">
      <c r="B8" s="9"/>
      <c r="C8" s="9"/>
      <c r="D8" s="10"/>
      <c r="E8" s="14"/>
    </row>
    <row r="9" spans="1:5" ht="18" customHeight="1" x14ac:dyDescent="0.15">
      <c r="A9" s="8" t="s">
        <v>3</v>
      </c>
      <c r="B9" s="133" t="s">
        <v>122</v>
      </c>
      <c r="C9" s="133"/>
      <c r="D9" s="133"/>
      <c r="E9" s="133"/>
    </row>
    <row r="10" spans="1:5" ht="18" customHeight="1" x14ac:dyDescent="0.15">
      <c r="A10" s="8"/>
      <c r="B10" s="10"/>
      <c r="C10" s="125">
        <v>3</v>
      </c>
      <c r="D10" s="10" t="s">
        <v>1</v>
      </c>
      <c r="E10" s="10"/>
    </row>
    <row r="11" spans="1:5" ht="9" customHeight="1" x14ac:dyDescent="0.15">
      <c r="B11" s="12"/>
      <c r="C11" s="12"/>
      <c r="D11" s="12"/>
      <c r="E11" s="12"/>
    </row>
    <row r="12" spans="1:5" ht="18" customHeight="1" x14ac:dyDescent="0.15">
      <c r="A12" s="8" t="s">
        <v>4</v>
      </c>
      <c r="B12" s="133" t="s">
        <v>78</v>
      </c>
      <c r="C12" s="133"/>
      <c r="D12" s="133"/>
      <c r="E12" s="133"/>
    </row>
    <row r="13" spans="1:5" ht="18" customHeight="1" x14ac:dyDescent="0.15">
      <c r="C13" s="9" t="s">
        <v>41</v>
      </c>
      <c r="D13" s="68" t="s">
        <v>146</v>
      </c>
      <c r="E13" s="10"/>
    </row>
    <row r="14" spans="1:5" ht="18" customHeight="1" x14ac:dyDescent="0.15">
      <c r="C14" s="9" t="s">
        <v>10</v>
      </c>
      <c r="D14" s="68" t="s">
        <v>139</v>
      </c>
      <c r="E14" s="14"/>
    </row>
    <row r="15" spans="1:5" ht="10.15" customHeight="1" x14ac:dyDescent="0.15">
      <c r="B15" s="9"/>
      <c r="C15" s="10"/>
      <c r="D15" s="14"/>
      <c r="E15" s="14"/>
    </row>
    <row r="16" spans="1:5" ht="18" customHeight="1" x14ac:dyDescent="0.15">
      <c r="A16" s="8" t="s">
        <v>7</v>
      </c>
      <c r="B16" s="133" t="s">
        <v>74</v>
      </c>
      <c r="C16" s="133"/>
      <c r="D16" s="133"/>
      <c r="E16" s="133"/>
    </row>
    <row r="17" spans="1:10" ht="18" customHeight="1" x14ac:dyDescent="0.15">
      <c r="C17" s="9" t="s">
        <v>118</v>
      </c>
      <c r="D17" s="68" t="s">
        <v>140</v>
      </c>
      <c r="E17" s="10"/>
    </row>
    <row r="18" spans="1:10" ht="9" customHeight="1" x14ac:dyDescent="0.15">
      <c r="B18" s="12"/>
      <c r="C18" s="12"/>
      <c r="D18" s="12"/>
      <c r="E18" s="12"/>
    </row>
    <row r="19" spans="1:10" ht="18.75" customHeight="1" x14ac:dyDescent="0.15">
      <c r="A19" s="8" t="s">
        <v>5</v>
      </c>
      <c r="B19" s="132" t="s">
        <v>40</v>
      </c>
      <c r="C19" s="132"/>
      <c r="D19" s="132"/>
      <c r="E19" s="132"/>
    </row>
    <row r="20" spans="1:10" ht="18.75" customHeight="1" x14ac:dyDescent="0.15">
      <c r="A20" s="8"/>
      <c r="C20" s="9" t="s">
        <v>118</v>
      </c>
      <c r="D20" s="68" t="s">
        <v>141</v>
      </c>
      <c r="E20" s="10"/>
    </row>
    <row r="21" spans="1:10" ht="7.5" customHeight="1" x14ac:dyDescent="0.15">
      <c r="B21" s="12"/>
      <c r="C21" s="12"/>
      <c r="D21" s="12"/>
      <c r="E21" s="12"/>
    </row>
    <row r="22" spans="1:10" ht="18.75" customHeight="1" x14ac:dyDescent="0.15">
      <c r="A22" s="8" t="s">
        <v>8</v>
      </c>
      <c r="B22" s="132" t="s">
        <v>25</v>
      </c>
      <c r="C22" s="132"/>
      <c r="D22" s="132"/>
      <c r="E22" s="132"/>
    </row>
    <row r="23" spans="1:10" ht="180" customHeight="1" x14ac:dyDescent="0.15">
      <c r="A23" s="15"/>
      <c r="B23" s="16"/>
      <c r="C23" s="168" t="s">
        <v>159</v>
      </c>
      <c r="D23" s="169"/>
      <c r="E23" s="170"/>
    </row>
    <row r="24" spans="1:10" ht="7.5" customHeight="1" x14ac:dyDescent="0.15">
      <c r="A24" s="15"/>
      <c r="B24" s="15"/>
      <c r="C24" s="15"/>
      <c r="D24" s="15"/>
      <c r="E24" s="15"/>
    </row>
    <row r="25" spans="1:10" ht="18.75" customHeight="1" x14ac:dyDescent="0.15">
      <c r="A25" s="17" t="s">
        <v>6</v>
      </c>
      <c r="B25" s="171" t="s">
        <v>9</v>
      </c>
      <c r="C25" s="172"/>
      <c r="D25" s="172"/>
      <c r="E25" s="172"/>
    </row>
    <row r="26" spans="1:10" ht="180" customHeight="1" x14ac:dyDescent="0.15">
      <c r="A26" s="15"/>
      <c r="B26" s="16"/>
      <c r="C26" s="168" t="s">
        <v>160</v>
      </c>
      <c r="D26" s="169"/>
      <c r="E26" s="170"/>
    </row>
    <row r="27" spans="1:10" ht="7.5" customHeight="1" x14ac:dyDescent="0.15">
      <c r="A27" s="18"/>
      <c r="B27" s="18"/>
      <c r="C27" s="18"/>
      <c r="D27" s="18"/>
      <c r="E27" s="18"/>
    </row>
    <row r="28" spans="1:10" ht="18.75" customHeight="1" x14ac:dyDescent="0.15">
      <c r="A28" s="8" t="s">
        <v>31</v>
      </c>
      <c r="B28" s="132" t="s">
        <v>121</v>
      </c>
      <c r="C28" s="173"/>
      <c r="D28" s="173"/>
      <c r="E28" s="132"/>
    </row>
    <row r="29" spans="1:10" s="12" customFormat="1" ht="18.75" customHeight="1" x14ac:dyDescent="0.15">
      <c r="B29" s="25"/>
      <c r="C29" s="21" t="s">
        <v>123</v>
      </c>
      <c r="D29" s="30">
        <f>IFERROR('様式２ 履修者等数の実績'!T30, "（様式２より自動転記）")</f>
        <v>1.7014773306164035E-2</v>
      </c>
      <c r="E29" s="26"/>
      <c r="F29" s="8"/>
      <c r="I29" s="8"/>
      <c r="J29" s="20"/>
    </row>
    <row r="30" spans="1:10" s="12" customFormat="1" ht="18.75" customHeight="1" x14ac:dyDescent="0.15">
      <c r="B30" s="25"/>
      <c r="C30" s="21" t="s">
        <v>75</v>
      </c>
      <c r="D30" s="30">
        <v>0.1</v>
      </c>
      <c r="E30" s="26"/>
      <c r="F30" s="8"/>
      <c r="I30" s="8"/>
      <c r="J30" s="20"/>
    </row>
    <row r="31" spans="1:10" s="12" customFormat="1" ht="18.75" customHeight="1" x14ac:dyDescent="0.15">
      <c r="B31" s="25"/>
      <c r="C31" s="21" t="s">
        <v>89</v>
      </c>
      <c r="D31" s="30">
        <v>0.2</v>
      </c>
      <c r="E31" s="26"/>
      <c r="F31" s="8"/>
      <c r="I31" s="8"/>
      <c r="J31" s="20"/>
    </row>
    <row r="32" spans="1:10" s="12" customFormat="1" ht="18.75" customHeight="1" x14ac:dyDescent="0.15">
      <c r="B32" s="22"/>
      <c r="C32" s="19" t="s">
        <v>119</v>
      </c>
      <c r="D32" s="30">
        <v>0.35</v>
      </c>
      <c r="E32" s="27"/>
      <c r="F32" s="8"/>
      <c r="I32" s="8"/>
      <c r="J32" s="20"/>
    </row>
    <row r="33" spans="1:11" s="12" customFormat="1" ht="18.75" customHeight="1" x14ac:dyDescent="0.15">
      <c r="B33" s="22"/>
      <c r="C33" s="19" t="s">
        <v>120</v>
      </c>
      <c r="D33" s="30">
        <v>0.5</v>
      </c>
      <c r="E33" s="27"/>
      <c r="F33" s="8"/>
      <c r="I33" s="8"/>
      <c r="J33" s="20"/>
    </row>
    <row r="34" spans="1:11" ht="18.75" customHeight="1" x14ac:dyDescent="0.15">
      <c r="A34" s="8"/>
      <c r="B34" s="167" t="s">
        <v>59</v>
      </c>
      <c r="C34" s="167"/>
      <c r="D34" s="167"/>
      <c r="E34" s="167"/>
      <c r="J34" s="20"/>
      <c r="K34" s="12"/>
    </row>
    <row r="35" spans="1:11" ht="191.45" customHeight="1" x14ac:dyDescent="0.15">
      <c r="A35" s="8"/>
      <c r="B35" s="16"/>
      <c r="C35" s="168" t="s">
        <v>149</v>
      </c>
      <c r="D35" s="169"/>
      <c r="E35" s="170"/>
      <c r="J35" s="20"/>
      <c r="K35" s="12"/>
    </row>
    <row r="36" spans="1:11" ht="7.5" customHeight="1" x14ac:dyDescent="0.15">
      <c r="A36" s="15"/>
      <c r="B36" s="15"/>
      <c r="C36" s="15"/>
      <c r="D36" s="15"/>
      <c r="E36" s="15"/>
    </row>
    <row r="37" spans="1:11" ht="18.75" customHeight="1" x14ac:dyDescent="0.15">
      <c r="A37" s="17" t="s">
        <v>34</v>
      </c>
      <c r="B37" s="132" t="s">
        <v>37</v>
      </c>
      <c r="C37" s="173"/>
      <c r="D37" s="173"/>
      <c r="E37" s="173"/>
    </row>
    <row r="38" spans="1:11" ht="180" customHeight="1" x14ac:dyDescent="0.15">
      <c r="A38" s="18"/>
      <c r="B38" s="16"/>
      <c r="C38" s="168" t="s">
        <v>150</v>
      </c>
      <c r="D38" s="169"/>
      <c r="E38" s="170"/>
    </row>
    <row r="39" spans="1:11" ht="7.5" customHeight="1" x14ac:dyDescent="0.15">
      <c r="A39" s="18"/>
      <c r="B39" s="18"/>
      <c r="C39" s="18"/>
      <c r="D39" s="18"/>
      <c r="E39" s="18"/>
    </row>
    <row r="40" spans="1:11" ht="18.75" customHeight="1" x14ac:dyDescent="0.15">
      <c r="A40" s="8" t="s">
        <v>11</v>
      </c>
      <c r="B40" s="132" t="s">
        <v>39</v>
      </c>
      <c r="C40" s="173"/>
      <c r="D40" s="173"/>
      <c r="E40" s="173"/>
    </row>
    <row r="41" spans="1:11" ht="180" customHeight="1" x14ac:dyDescent="0.15">
      <c r="A41" s="8"/>
      <c r="B41" s="16"/>
      <c r="C41" s="168" t="s">
        <v>151</v>
      </c>
      <c r="D41" s="169"/>
      <c r="E41" s="170"/>
    </row>
    <row r="42" spans="1:11" ht="7.5" customHeight="1" x14ac:dyDescent="0.15">
      <c r="A42" s="18"/>
      <c r="B42" s="18"/>
      <c r="C42" s="18"/>
      <c r="D42" s="18"/>
      <c r="E42" s="18"/>
    </row>
    <row r="43" spans="1:11" ht="18.75" customHeight="1" x14ac:dyDescent="0.15">
      <c r="A43" s="8" t="s">
        <v>42</v>
      </c>
      <c r="B43" s="132" t="s">
        <v>13</v>
      </c>
      <c r="C43" s="173"/>
      <c r="D43" s="173"/>
      <c r="E43" s="173"/>
    </row>
    <row r="44" spans="1:11" ht="180" customHeight="1" x14ac:dyDescent="0.15">
      <c r="A44" s="8"/>
      <c r="B44" s="16"/>
      <c r="C44" s="168" t="s">
        <v>152</v>
      </c>
      <c r="D44" s="169"/>
      <c r="E44" s="170"/>
    </row>
    <row r="45" spans="1:11" ht="7.5" customHeight="1" x14ac:dyDescent="0.15">
      <c r="A45" s="18"/>
      <c r="B45" s="18"/>
      <c r="C45" s="18"/>
      <c r="D45" s="18"/>
      <c r="E45" s="18"/>
    </row>
    <row r="46" spans="1:11" ht="18.75" customHeight="1" x14ac:dyDescent="0.15">
      <c r="A46" s="8" t="s">
        <v>30</v>
      </c>
      <c r="B46" s="132" t="s">
        <v>44</v>
      </c>
      <c r="C46" s="132"/>
      <c r="D46" s="132"/>
      <c r="E46" s="132"/>
    </row>
    <row r="47" spans="1:11" ht="180" customHeight="1" x14ac:dyDescent="0.15">
      <c r="A47" s="18"/>
      <c r="B47" s="16"/>
      <c r="C47" s="168" t="s">
        <v>157</v>
      </c>
      <c r="D47" s="169"/>
      <c r="E47" s="170"/>
    </row>
    <row r="48" spans="1:11" ht="7.5" customHeight="1" x14ac:dyDescent="0.15">
      <c r="A48" s="18"/>
      <c r="B48" s="23"/>
      <c r="C48" s="23"/>
      <c r="D48" s="23"/>
      <c r="E48" s="23"/>
    </row>
    <row r="49" spans="1:5" ht="18.75" customHeight="1" x14ac:dyDescent="0.15">
      <c r="A49" s="8"/>
      <c r="B49" s="166"/>
      <c r="C49" s="166"/>
      <c r="D49" s="166"/>
      <c r="E49" s="166"/>
    </row>
    <row r="50" spans="1:5" ht="18.75" customHeight="1" x14ac:dyDescent="0.15">
      <c r="A50" s="8"/>
      <c r="B50" s="166"/>
      <c r="C50" s="166"/>
      <c r="D50" s="166"/>
      <c r="E50" s="166"/>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F29"/>
  <sheetViews>
    <sheetView showZeros="0" view="pageBreakPreview" topLeftCell="A21" zoomScale="90" zoomScaleNormal="100" zoomScaleSheetLayoutView="90" workbookViewId="0">
      <selection activeCell="D22" sqref="D22"/>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6" ht="18.75" customHeight="1" x14ac:dyDescent="0.15">
      <c r="A1" s="8" t="s">
        <v>60</v>
      </c>
      <c r="E1" s="9" t="s">
        <v>82</v>
      </c>
    </row>
    <row r="2" spans="1:6" ht="18.75" customHeight="1" x14ac:dyDescent="0.15">
      <c r="A2" s="155" t="s">
        <v>28</v>
      </c>
      <c r="B2" s="155"/>
      <c r="C2" s="155"/>
      <c r="D2" s="155"/>
      <c r="E2" s="155"/>
    </row>
    <row r="3" spans="1:6" ht="18.75" customHeight="1" x14ac:dyDescent="0.15">
      <c r="A3" s="11"/>
      <c r="B3" s="11"/>
      <c r="C3" s="11"/>
      <c r="D3" s="11"/>
    </row>
    <row r="4" spans="1:6" ht="18.75" customHeight="1" x14ac:dyDescent="0.15">
      <c r="A4" s="12" t="s">
        <v>0</v>
      </c>
      <c r="B4" s="174" t="s">
        <v>124</v>
      </c>
      <c r="C4" s="174"/>
      <c r="D4" s="112" t="s">
        <v>140</v>
      </c>
    </row>
    <row r="5" spans="1:6" ht="9" customHeight="1" x14ac:dyDescent="0.15">
      <c r="A5" s="11"/>
      <c r="B5" s="10"/>
      <c r="C5" s="10"/>
      <c r="D5" s="10"/>
    </row>
    <row r="6" spans="1:6" ht="18.75" customHeight="1" x14ac:dyDescent="0.15">
      <c r="A6" s="179" t="s">
        <v>41</v>
      </c>
      <c r="B6" s="180"/>
      <c r="C6" s="68" t="s">
        <v>142</v>
      </c>
    </row>
    <row r="7" spans="1:6" ht="18.75" customHeight="1" x14ac:dyDescent="0.15">
      <c r="A7" s="179" t="s">
        <v>10</v>
      </c>
      <c r="B7" s="180"/>
      <c r="C7" s="68" t="s">
        <v>143</v>
      </c>
      <c r="D7" s="10"/>
    </row>
    <row r="8" spans="1:6" ht="7.5" customHeight="1" x14ac:dyDescent="0.15">
      <c r="A8" s="11"/>
      <c r="B8" s="11"/>
      <c r="C8" s="11"/>
      <c r="D8" s="11"/>
    </row>
    <row r="9" spans="1:6" ht="18.75" customHeight="1" x14ac:dyDescent="0.15">
      <c r="A9" s="12" t="s">
        <v>3</v>
      </c>
      <c r="B9" s="8" t="s">
        <v>27</v>
      </c>
      <c r="C9" s="18"/>
      <c r="D9" s="18"/>
    </row>
    <row r="10" spans="1:6" ht="18.75" customHeight="1" x14ac:dyDescent="0.15">
      <c r="B10" s="137" t="s">
        <v>24</v>
      </c>
      <c r="C10" s="178"/>
      <c r="D10" s="31" t="s">
        <v>26</v>
      </c>
    </row>
    <row r="11" spans="1:6" ht="19.149999999999999" customHeight="1" x14ac:dyDescent="0.15">
      <c r="B11" s="181" t="s">
        <v>14</v>
      </c>
      <c r="C11" s="182"/>
      <c r="D11" s="183"/>
    </row>
    <row r="12" spans="1:6" ht="198" customHeight="1" x14ac:dyDescent="0.15">
      <c r="B12" s="33"/>
      <c r="C12" s="34" t="s">
        <v>15</v>
      </c>
      <c r="D12" s="52" t="s">
        <v>158</v>
      </c>
      <c r="F12" s="126"/>
    </row>
    <row r="13" spans="1:6" ht="198" customHeight="1" x14ac:dyDescent="0.15">
      <c r="B13" s="33"/>
      <c r="C13" s="35" t="s">
        <v>16</v>
      </c>
      <c r="D13" s="52" t="s">
        <v>161</v>
      </c>
    </row>
    <row r="14" spans="1:6" ht="198" customHeight="1" x14ac:dyDescent="0.15">
      <c r="B14" s="33"/>
      <c r="C14" s="34" t="s">
        <v>17</v>
      </c>
      <c r="D14" s="52" t="s">
        <v>147</v>
      </c>
    </row>
    <row r="15" spans="1:6" ht="198" customHeight="1" x14ac:dyDescent="0.15">
      <c r="B15" s="33"/>
      <c r="C15" s="34" t="s">
        <v>18</v>
      </c>
      <c r="D15" s="52" t="s">
        <v>148</v>
      </c>
    </row>
    <row r="16" spans="1:6" ht="198" customHeight="1" x14ac:dyDescent="0.15">
      <c r="B16" s="36"/>
      <c r="C16" s="37" t="s">
        <v>19</v>
      </c>
      <c r="D16" s="53" t="s">
        <v>153</v>
      </c>
      <c r="F16" s="126"/>
    </row>
    <row r="17" spans="2:6" ht="19.149999999999999" customHeight="1" x14ac:dyDescent="0.15">
      <c r="B17" s="32" t="s">
        <v>20</v>
      </c>
      <c r="C17" s="38"/>
      <c r="D17" s="39"/>
    </row>
    <row r="18" spans="2:6" ht="198" customHeight="1" x14ac:dyDescent="0.15">
      <c r="B18" s="33"/>
      <c r="C18" s="34" t="s">
        <v>21</v>
      </c>
      <c r="D18" s="52" t="s">
        <v>155</v>
      </c>
    </row>
    <row r="19" spans="2:6" ht="198" customHeight="1" x14ac:dyDescent="0.15">
      <c r="B19" s="36"/>
      <c r="C19" s="37" t="s">
        <v>22</v>
      </c>
      <c r="D19" s="53" t="s">
        <v>154</v>
      </c>
    </row>
    <row r="20" spans="2:6" ht="198" customHeight="1" x14ac:dyDescent="0.15">
      <c r="B20" s="176" t="s">
        <v>23</v>
      </c>
      <c r="C20" s="177"/>
      <c r="D20" s="54" t="s">
        <v>156</v>
      </c>
    </row>
    <row r="21" spans="2:6" ht="198" customHeight="1" x14ac:dyDescent="0.15">
      <c r="B21" s="175" t="s">
        <v>91</v>
      </c>
      <c r="C21" s="172"/>
      <c r="D21" s="55" t="s">
        <v>162</v>
      </c>
      <c r="F21" s="126"/>
    </row>
    <row r="22" spans="2:6" ht="22.5" customHeight="1" x14ac:dyDescent="0.15">
      <c r="B22" s="18"/>
      <c r="C22" s="18"/>
      <c r="D22" s="18"/>
    </row>
    <row r="23" spans="2:6" ht="22.5" customHeight="1" x14ac:dyDescent="0.15">
      <c r="B23" s="18"/>
      <c r="C23" s="18"/>
      <c r="D23" s="18"/>
    </row>
    <row r="24" spans="2:6" ht="22.5" customHeight="1" x14ac:dyDescent="0.15">
      <c r="B24" s="18"/>
      <c r="C24" s="18"/>
      <c r="D24" s="18"/>
    </row>
    <row r="25" spans="2:6" ht="22.5" customHeight="1" x14ac:dyDescent="0.15">
      <c r="B25" s="18"/>
      <c r="C25" s="18"/>
      <c r="D25" s="18"/>
    </row>
    <row r="26" spans="2:6" ht="22.5" customHeight="1" x14ac:dyDescent="0.15">
      <c r="B26" s="18"/>
      <c r="C26" s="18"/>
      <c r="D26" s="18"/>
    </row>
    <row r="27" spans="2:6" ht="22.5" customHeight="1" x14ac:dyDescent="0.15">
      <c r="B27" s="15"/>
      <c r="C27" s="15"/>
      <c r="D27" s="15"/>
    </row>
    <row r="28" spans="2:6" ht="22.5" customHeight="1" x14ac:dyDescent="0.15">
      <c r="B28" s="15"/>
      <c r="C28" s="15"/>
      <c r="D28" s="15"/>
    </row>
    <row r="29" spans="2:6"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8"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2026-01-13T06:19:13Z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