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codeName="ThisWorkbook" defaultThemeVersion="124226"/>
  <xr:revisionPtr revIDLastSave="0" documentId="13_ncr:1_{E24EB267-D96E-4673-A303-8A5CB0C92B0D}" xr6:coauthVersionLast="47" xr6:coauthVersionMax="47" xr10:uidLastSave="{00000000-0000-0000-0000-000000000000}"/>
  <bookViews>
    <workbookView xWindow="31485" yWindow="420" windowWidth="25440" windowHeight="15480" tabRatio="885" activeTab="2"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履修者等数の実績'!$A$1:$T$31</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7" i="40" l="1"/>
  <c r="T17" i="40" s="1"/>
  <c r="S16" i="40"/>
  <c r="T16" i="40" s="1"/>
  <c r="S15" i="40"/>
  <c r="T15" i="40" s="1"/>
  <c r="T14" i="40"/>
  <c r="S14" i="40"/>
  <c r="T13" i="40"/>
  <c r="S13" i="40"/>
  <c r="S12" i="40"/>
  <c r="T12" i="40" s="1"/>
  <c r="S11" i="40"/>
  <c r="T11" i="40" s="1"/>
  <c r="S10" i="40"/>
  <c r="T10" i="40" s="1"/>
  <c r="S18" i="40" l="1"/>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30" i="40" l="1"/>
  <c r="D29" i="41" s="1"/>
</calcChain>
</file>

<file path=xl/sharedStrings.xml><?xml version="1.0" encoding="utf-8"?>
<sst xmlns="http://schemas.openxmlformats.org/spreadsheetml/2006/main" count="220" uniqueCount="182">
  <si>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</si>
  <si>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</si>
  <si>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</si>
  <si>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</si>
  <si>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</si>
  <si>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</si>
  <si>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</si>
  <si>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</si>
  <si>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</si>
  <si>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</si>
  <si>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</si>
  <si>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</si>
  <si>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</si>
  <si>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</si>
  <si>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</si>
  <si>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</si>
  <si>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</si>
  <si>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</si>
  <si>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</si>
  <si>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</si>
  <si>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</si>
  <si>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</si>
  <si>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</si>
  <si>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</si>
  <si>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</si>
  <si>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</si>
  <si>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</si>
  <si>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</si>
  <si>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</si>
  <si>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</si>
  <si>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</si>
  <si>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</si>
  <si>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</si>
  <si>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</si>
  <si>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</si>
  <si>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</si>
  <si>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</si>
  <si>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</si>
  <si>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</si>
  <si>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</si>
  <si>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</si>
  <si>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</si>
  <si>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</si>
  <si>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</si>
  <si>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</si>
  <si>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</si>
  <si>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</si>
  <si>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</si>
  <si>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</si>
  <si>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</si>
  <si>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</si>
  <si>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</si>
  <si>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</si>
  <si>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</si>
  <si>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</si>
  <si>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</si>
  <si>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</si>
  <si>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</si>
  <si>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</si>
  <si>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</si>
  <si>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</si>
  <si>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</si>
  <si>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</si>
  <si>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</si>
  <si>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</si>
  <si>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</si>
  <si>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</si>
  <si>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</si>
  <si>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</si>
  <si>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</si>
  <si>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</si>
  <si>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</si>
  <si>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</si>
  <si>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</si>
  <si>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</si>
  <si>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</si>
  <si>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</si>
  <si>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</si>
  <si>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</si>
  <si>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</si>
  <si>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</si>
  <si>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</si>
  <si>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</si>
  <si>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</si>
  <si>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</si>
  <si>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</si>
  <si>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</si>
  <si>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</si>
  <si>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</si>
  <si>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</si>
  <si>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</si>
  <si>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</si>
  <si>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</si>
  <si>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</si>
  <si>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</si>
  <si>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</si>
  <si>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</si>
  <si>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</si>
  <si>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</si>
  <si>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</si>
  <si>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</si>
  <si>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</si>
  <si>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</si>
  <si>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</si>
  <si>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</si>
  <si>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</si>
  <si>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</si>
  <si>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</si>
  <si>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</si>
  <si>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</si>
  <si>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</si>
  <si>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</si>
  <si>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</si>
  <si>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</si>
  <si>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</si>
  <si>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</si>
  <si>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</si>
  <si>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</si>
  <si>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</si>
  <si>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</si>
  <si>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</si>
  <si>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</si>
  <si>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</si>
  <si>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</si>
  <si>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</si>
  <si>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</si>
  <si>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</si>
  <si>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</si>
  <si>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</si>
  <si>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東北文化学園大学</t>
    <rPh sb="0" eb="8">
      <t>トウホクブンカガクエンダイガク</t>
    </rPh>
    <phoneticPr fontId="1"/>
  </si>
  <si>
    <t>学部・学科によって、修了要件は相違しない</t>
  </si>
  <si>
    <t>令和６年度以前又は令和７年度より、履修することが必須のプログラムとして実施</t>
  </si>
  <si>
    <t>データサイエンス入門</t>
    <phoneticPr fontId="1"/>
  </si>
  <si>
    <t>医療福祉学部リハビリテーション学科</t>
    <rPh sb="0" eb="6">
      <t>イリョウフクシガクブ</t>
    </rPh>
    <rPh sb="15" eb="17">
      <t>ガッカ</t>
    </rPh>
    <phoneticPr fontId="1"/>
  </si>
  <si>
    <t>医療福祉学部看護学科</t>
    <rPh sb="0" eb="6">
      <t>イリョウフクシガクブ</t>
    </rPh>
    <rPh sb="6" eb="10">
      <t>カンゴガッカ</t>
    </rPh>
    <phoneticPr fontId="1"/>
  </si>
  <si>
    <t>現代社会学部現代社会学科</t>
    <rPh sb="0" eb="6">
      <t>ゲンダイシャカイガクブ</t>
    </rPh>
    <rPh sb="6" eb="12">
      <t>ゲンダイシャカイガッカ</t>
    </rPh>
    <phoneticPr fontId="1"/>
  </si>
  <si>
    <t>経営法学部経営法学科</t>
    <rPh sb="0" eb="5">
      <t>ケイエイホウガクブ</t>
    </rPh>
    <rPh sb="5" eb="7">
      <t>ケイエイ</t>
    </rPh>
    <rPh sb="7" eb="10">
      <t>ホウガッカ</t>
    </rPh>
    <phoneticPr fontId="1"/>
  </si>
  <si>
    <t>工学部知能情報システム学科</t>
    <rPh sb="0" eb="3">
      <t>コウガクブ</t>
    </rPh>
    <rPh sb="3" eb="7">
      <t>チノウジョウホウ</t>
    </rPh>
    <rPh sb="11" eb="13">
      <t>ガッカ</t>
    </rPh>
    <phoneticPr fontId="1"/>
  </si>
  <si>
    <t>工学部建築環境学科</t>
    <rPh sb="0" eb="3">
      <t>コウガクブ</t>
    </rPh>
    <rPh sb="3" eb="9">
      <t>ケンチクカンキョウガッカ</t>
    </rPh>
    <phoneticPr fontId="1"/>
  </si>
  <si>
    <t>工学部臨床工学科</t>
    <rPh sb="0" eb="3">
      <t>コウガクブ</t>
    </rPh>
    <rPh sb="3" eb="8">
      <t>リンショウコウガクカ</t>
    </rPh>
    <phoneticPr fontId="1"/>
  </si>
  <si>
    <t>令和7</t>
    <rPh sb="0" eb="2">
      <t>レイワ</t>
    </rPh>
    <phoneticPr fontId="1"/>
  </si>
  <si>
    <t>東北文化学園大学　AI教育プログラム（リテラシーレベル）</t>
    <rPh sb="0" eb="8">
      <t>トウホクブンカガクエンダイガク</t>
    </rPh>
    <rPh sb="11" eb="13">
      <t>キョウイク</t>
    </rPh>
    <phoneticPr fontId="1"/>
  </si>
  <si>
    <t>プログラミング方法論Ⅰ</t>
    <rPh sb="7" eb="10">
      <t>ホウホウロン</t>
    </rPh>
    <phoneticPr fontId="1"/>
  </si>
  <si>
    <t>プログラミング方法論Ⅱ</t>
    <rPh sb="7" eb="10">
      <t>ホウホウロン</t>
    </rPh>
    <phoneticPr fontId="1"/>
  </si>
  <si>
    <t>鈴木　誠</t>
    <rPh sb="0" eb="2">
      <t>スズキ</t>
    </rPh>
    <rPh sb="3" eb="4">
      <t>マコト</t>
    </rPh>
    <phoneticPr fontId="1"/>
  </si>
  <si>
    <t>教務部長</t>
    <rPh sb="0" eb="4">
      <t>キョウムブチョウ</t>
    </rPh>
    <phoneticPr fontId="1"/>
  </si>
  <si>
    <t>東北文化大学教務委員会規程</t>
    <rPh sb="0" eb="6">
      <t>トウホクブンカダイガク</t>
    </rPh>
    <rPh sb="6" eb="11">
      <t>キョウムイインカイ</t>
    </rPh>
    <rPh sb="11" eb="13">
      <t>キテイ</t>
    </rPh>
    <phoneticPr fontId="1"/>
  </si>
  <si>
    <t>教務委員会</t>
    <rPh sb="0" eb="5">
      <t>キョウムイインカイ</t>
    </rPh>
    <phoneticPr fontId="1"/>
  </si>
  <si>
    <t>東北文化学園大学自己点検及び自己評価運営委員会</t>
    <rPh sb="0" eb="2">
      <t>トウホク</t>
    </rPh>
    <rPh sb="2" eb="4">
      <t>ブンカ</t>
    </rPh>
    <rPh sb="4" eb="6">
      <t>ガクエン</t>
    </rPh>
    <rPh sb="6" eb="8">
      <t>ダイガク</t>
    </rPh>
    <rPh sb="8" eb="10">
      <t>ジコ</t>
    </rPh>
    <rPh sb="10" eb="12">
      <t>テンケン</t>
    </rPh>
    <rPh sb="12" eb="13">
      <t>オヨ</t>
    </rPh>
    <rPh sb="14" eb="16">
      <t>ジコ</t>
    </rPh>
    <rPh sb="16" eb="18">
      <t>ヒョウカ</t>
    </rPh>
    <rPh sb="18" eb="20">
      <t>ウンエイ</t>
    </rPh>
    <rPh sb="20" eb="23">
      <t>イインカイ</t>
    </rPh>
    <phoneticPr fontId="1"/>
  </si>
  <si>
    <t>加賀谷　豊</t>
    <rPh sb="0" eb="3">
      <t>カガヤ</t>
    </rPh>
    <rPh sb="4" eb="5">
      <t>ユタカ</t>
    </rPh>
    <phoneticPr fontId="1"/>
  </si>
  <si>
    <t>学長</t>
    <rPh sb="0" eb="2">
      <t>ガクチョウ</t>
    </rPh>
    <phoneticPr fontId="1"/>
  </si>
  <si>
    <t>必須科目2単位を修得すること。</t>
    <rPh sb="0" eb="2">
      <t>ヒッス</t>
    </rPh>
    <rPh sb="2" eb="4">
      <t>カモク</t>
    </rPh>
    <rPh sb="5" eb="7">
      <t>タンイ</t>
    </rPh>
    <rPh sb="8" eb="10">
      <t>シュウトク</t>
    </rPh>
    <phoneticPr fontId="1"/>
  </si>
  <si>
    <t>本教育プログラムの必須科目は、全学共通基礎科目（1年配当・必修）であるため、4年間で全学生が履修する計画である。</t>
    <rPh sb="0" eb="1">
      <t>ホン</t>
    </rPh>
    <rPh sb="1" eb="3">
      <t>キョウイク</t>
    </rPh>
    <rPh sb="9" eb="11">
      <t>ヒッス</t>
    </rPh>
    <rPh sb="11" eb="13">
      <t>カモク</t>
    </rPh>
    <rPh sb="15" eb="17">
      <t>ゼンガク</t>
    </rPh>
    <rPh sb="17" eb="19">
      <t>キョウツウ</t>
    </rPh>
    <rPh sb="19" eb="23">
      <t>キソカモク</t>
    </rPh>
    <rPh sb="25" eb="26">
      <t>ネン</t>
    </rPh>
    <rPh sb="26" eb="28">
      <t>ハイトウ</t>
    </rPh>
    <rPh sb="29" eb="31">
      <t>ヒッシュウ</t>
    </rPh>
    <rPh sb="39" eb="41">
      <t>ネンカン</t>
    </rPh>
    <rPh sb="42" eb="45">
      <t>ゼンガクセイ</t>
    </rPh>
    <rPh sb="46" eb="48">
      <t>リシュウ</t>
    </rPh>
    <rPh sb="50" eb="52">
      <t>ケイカク</t>
    </rPh>
    <phoneticPr fontId="1"/>
  </si>
  <si>
    <t>履修学生の修得状況や、授業評価アンケートの結果等を参考に、授業の内容や実施方法等の見直し・改善を行う予定である。
また、本教育プログラム実施に当たり、本学教員が中心となりMDASHリテラシーレベルに準拠した教科書を出版し、授業で使用している。この教科書は、数理・データサイエンス・AIに関する基礎的な内容を、あらゆる分野で学ぶ学生ができるだけやさしく身につけられることを念頭に書かれたもので、内容・水準を維持・向上しつつ、「分かりやすい」授業とする一助となっている。今後、社会の変化や生成AI等の技術の発展が見られた場合には、教科書の内容を見直すとともに、より教育効果が得られる授業内容や方法について検討を行うことを予定している。</t>
    <rPh sb="0" eb="4">
      <t>リシュウガクセイ</t>
    </rPh>
    <rPh sb="5" eb="7">
      <t>シュウトク</t>
    </rPh>
    <rPh sb="7" eb="9">
      <t>ジョウキョウ</t>
    </rPh>
    <rPh sb="11" eb="13">
      <t>ジュギョウ</t>
    </rPh>
    <rPh sb="13" eb="15">
      <t>ヒョウカ</t>
    </rPh>
    <rPh sb="21" eb="23">
      <t>ケッカ</t>
    </rPh>
    <rPh sb="23" eb="24">
      <t>トウ</t>
    </rPh>
    <rPh sb="25" eb="27">
      <t>サンコウ</t>
    </rPh>
    <rPh sb="29" eb="31">
      <t>ジュギョウ</t>
    </rPh>
    <rPh sb="32" eb="34">
      <t>ナイヨウ</t>
    </rPh>
    <rPh sb="35" eb="37">
      <t>ジッシ</t>
    </rPh>
    <rPh sb="37" eb="39">
      <t>ホウホウ</t>
    </rPh>
    <rPh sb="39" eb="40">
      <t>トウ</t>
    </rPh>
    <rPh sb="41" eb="43">
      <t>ミナオ</t>
    </rPh>
    <rPh sb="45" eb="47">
      <t>カイゼン</t>
    </rPh>
    <rPh sb="48" eb="49">
      <t>オコナ</t>
    </rPh>
    <rPh sb="50" eb="52">
      <t>ヨテイ</t>
    </rPh>
    <rPh sb="60" eb="63">
      <t>ホンキョウイク</t>
    </rPh>
    <rPh sb="68" eb="70">
      <t>ジッシ</t>
    </rPh>
    <rPh sb="71" eb="72">
      <t>ア</t>
    </rPh>
    <rPh sb="75" eb="77">
      <t>ホンガク</t>
    </rPh>
    <rPh sb="77" eb="79">
      <t>キョウイン</t>
    </rPh>
    <rPh sb="80" eb="82">
      <t>チュウシン</t>
    </rPh>
    <rPh sb="99" eb="101">
      <t>ジュンキョ</t>
    </rPh>
    <rPh sb="103" eb="106">
      <t>キョウカショ</t>
    </rPh>
    <rPh sb="107" eb="109">
      <t>シュッパン</t>
    </rPh>
    <rPh sb="111" eb="113">
      <t>ジュギョウ</t>
    </rPh>
    <rPh sb="123" eb="126">
      <t>キョウカショ</t>
    </rPh>
    <rPh sb="128" eb="130">
      <t>スウリ</t>
    </rPh>
    <rPh sb="143" eb="144">
      <t>カン</t>
    </rPh>
    <rPh sb="146" eb="149">
      <t>キソテキ</t>
    </rPh>
    <rPh sb="150" eb="152">
      <t>ナイヨウ</t>
    </rPh>
    <rPh sb="158" eb="160">
      <t>ブンヤ</t>
    </rPh>
    <rPh sb="161" eb="162">
      <t>マナ</t>
    </rPh>
    <rPh sb="163" eb="165">
      <t>ガクセイ</t>
    </rPh>
    <rPh sb="175" eb="176">
      <t>ミ</t>
    </rPh>
    <rPh sb="185" eb="187">
      <t>ネントウ</t>
    </rPh>
    <rPh sb="188" eb="189">
      <t>カ</t>
    </rPh>
    <rPh sb="196" eb="198">
      <t>ナイヨウ</t>
    </rPh>
    <rPh sb="199" eb="201">
      <t>スイジュン</t>
    </rPh>
    <rPh sb="202" eb="204">
      <t>イジ</t>
    </rPh>
    <rPh sb="205" eb="207">
      <t>コウジョウ</t>
    </rPh>
    <rPh sb="212" eb="213">
      <t>ワ</t>
    </rPh>
    <rPh sb="219" eb="221">
      <t>ジュギョウ</t>
    </rPh>
    <rPh sb="224" eb="226">
      <t>イチジョ</t>
    </rPh>
    <rPh sb="243" eb="245">
      <t>コンゴ</t>
    </rPh>
    <rPh sb="246" eb="248">
      <t>シャカイ</t>
    </rPh>
    <rPh sb="249" eb="251">
      <t>ヘンカ</t>
    </rPh>
    <rPh sb="285" eb="286">
      <t>エ</t>
    </rPh>
    <rPh sb="303" eb="304">
      <t>オコナトウギジュツハッテン</t>
    </rPh>
    <phoneticPr fontId="1"/>
  </si>
  <si>
    <t>本学の外部評価委員会において、本学のAI教育の状況等を説明し、外部委員から本教育プログラムの内容や手法について意見を聴取する予定である。
なお、実施時期については、プログラム初年度終了後の令和8年度から定期的に行う予定である。</t>
    <rPh sb="0" eb="2">
      <t>ホンガク</t>
    </rPh>
    <rPh sb="3" eb="5">
      <t>ガイブ</t>
    </rPh>
    <rPh sb="5" eb="7">
      <t>ヒョウカ</t>
    </rPh>
    <rPh sb="7" eb="10">
      <t>イインカイ</t>
    </rPh>
    <rPh sb="15" eb="17">
      <t>ホンガク</t>
    </rPh>
    <rPh sb="20" eb="22">
      <t>キョウイク</t>
    </rPh>
    <rPh sb="23" eb="26">
      <t>ジョウキョウトウ</t>
    </rPh>
    <rPh sb="27" eb="29">
      <t>セツメイ</t>
    </rPh>
    <rPh sb="31" eb="35">
      <t>ガイブイイン</t>
    </rPh>
    <rPh sb="37" eb="40">
      <t>ホンキョウイク</t>
    </rPh>
    <rPh sb="46" eb="48">
      <t>ナイヨウ</t>
    </rPh>
    <rPh sb="49" eb="51">
      <t>シュホウ</t>
    </rPh>
    <rPh sb="55" eb="57">
      <t>イケン</t>
    </rPh>
    <rPh sb="62" eb="64">
      <t>ヨテイ</t>
    </rPh>
    <rPh sb="72" eb="74">
      <t>ジッシ</t>
    </rPh>
    <rPh sb="74" eb="76">
      <t>ジキ</t>
    </rPh>
    <rPh sb="87" eb="90">
      <t>ショネンド</t>
    </rPh>
    <rPh sb="90" eb="92">
      <t>シュウリョウ</t>
    </rPh>
    <rPh sb="92" eb="93">
      <t>ゴ</t>
    </rPh>
    <rPh sb="94" eb="96">
      <t>レイワ</t>
    </rPh>
    <rPh sb="97" eb="98">
      <t>ネン</t>
    </rPh>
    <rPh sb="98" eb="99">
      <t>ド</t>
    </rPh>
    <rPh sb="101" eb="104">
      <t>テイキテキ</t>
    </rPh>
    <rPh sb="105" eb="106">
      <t>オコナ</t>
    </rPh>
    <rPh sb="107" eb="109">
      <t>ヨテイ</t>
    </rPh>
    <phoneticPr fontId="1"/>
  </si>
  <si>
    <t>本教育プログラムは、令和7年度入学者から実施しているため、令和10年度以降、プログラム修了者が卒業した後に進路調査を行い、活躍状況や企業等からの評価を把握できる体制を構築する予定である。</t>
    <rPh sb="0" eb="3">
      <t>ホンキョウイク</t>
    </rPh>
    <rPh sb="10" eb="12">
      <t>レイワ</t>
    </rPh>
    <rPh sb="13" eb="15">
      <t>ネンド</t>
    </rPh>
    <rPh sb="15" eb="18">
      <t>ニュウガクシャ</t>
    </rPh>
    <rPh sb="20" eb="22">
      <t>ジッシ</t>
    </rPh>
    <rPh sb="29" eb="31">
      <t>レイワ</t>
    </rPh>
    <rPh sb="33" eb="35">
      <t>ネンド</t>
    </rPh>
    <rPh sb="35" eb="37">
      <t>イコウ</t>
    </rPh>
    <rPh sb="43" eb="46">
      <t>シュウリョウシャ</t>
    </rPh>
    <rPh sb="47" eb="49">
      <t>ソツギョウ</t>
    </rPh>
    <rPh sb="51" eb="52">
      <t>ノチ</t>
    </rPh>
    <rPh sb="53" eb="54">
      <t>ススム</t>
    </rPh>
    <rPh sb="54" eb="56">
      <t>チョウサ</t>
    </rPh>
    <rPh sb="57" eb="58">
      <t>オコナ</t>
    </rPh>
    <rPh sb="61" eb="63">
      <t>カツヤク</t>
    </rPh>
    <rPh sb="62" eb="64">
      <t>ジョウキョウ</t>
    </rPh>
    <rPh sb="65" eb="68">
      <t>キギョウトウ</t>
    </rPh>
    <rPh sb="71" eb="73">
      <t>ヒョウカ</t>
    </rPh>
    <rPh sb="74" eb="76">
      <t>ハアク</t>
    </rPh>
    <rPh sb="82" eb="84">
      <t>コウチク</t>
    </rPh>
    <rPh sb="86" eb="88">
      <t>ヨテイ</t>
    </rPh>
    <phoneticPr fontId="1"/>
  </si>
  <si>
    <t>本学において数理・データサイエンス・AIを「学ぶ楽しさ」「学ぶことの意義」を理解させるためには、学生が専攻する理学療法学、作業療法学、言語聴覚学、視覚機能学、社会学、社会福祉学、経営法学、工学の各分野での活用事例などを示すことが有効だと考えている。例えば、データ分析等の演習では、各学科・専攻の専門分野に関連するデータを用い、社会で実際に活用されている分析手法を取り入れることで、専門分野の学修と有機的に結びつけ、「学ぶ楽しさ」や「学ぶことの意義」を実感できるよう工夫している。</t>
    <rPh sb="0" eb="2">
      <t>ホンガク</t>
    </rPh>
    <rPh sb="6" eb="8">
      <t>スウリ</t>
    </rPh>
    <rPh sb="22" eb="23">
      <t>マナ</t>
    </rPh>
    <rPh sb="24" eb="25">
      <t>タノ</t>
    </rPh>
    <rPh sb="29" eb="30">
      <t>マナ</t>
    </rPh>
    <rPh sb="34" eb="36">
      <t>イギ</t>
    </rPh>
    <rPh sb="38" eb="40">
      <t>リカイ</t>
    </rPh>
    <rPh sb="48" eb="50">
      <t>ガクセイ</t>
    </rPh>
    <rPh sb="51" eb="53">
      <t>センコウ</t>
    </rPh>
    <rPh sb="55" eb="60">
      <t>リガクリョウホウガク</t>
    </rPh>
    <rPh sb="61" eb="66">
      <t>サギョウリョウホウガク</t>
    </rPh>
    <rPh sb="67" eb="72">
      <t>ゲンゴチョウカクガク</t>
    </rPh>
    <rPh sb="73" eb="78">
      <t>シカクキノウガク</t>
    </rPh>
    <rPh sb="79" eb="82">
      <t>シャカイガク</t>
    </rPh>
    <rPh sb="83" eb="88">
      <t>シャカイフクシガク</t>
    </rPh>
    <rPh sb="102" eb="104">
      <t>カツヨウ</t>
    </rPh>
    <rPh sb="114" eb="116">
      <t>ユウコウ</t>
    </rPh>
    <rPh sb="118" eb="119">
      <t>カンガ</t>
    </rPh>
    <rPh sb="124" eb="125">
      <t>タト</t>
    </rPh>
    <rPh sb="178" eb="180">
      <t>シュホウ</t>
    </rPh>
    <rPh sb="181" eb="182">
      <t>ト</t>
    </rPh>
    <rPh sb="183" eb="184">
      <t>イ</t>
    </rPh>
    <rPh sb="190" eb="194">
      <t>センモンブンヤ</t>
    </rPh>
    <rPh sb="195" eb="197">
      <t>ガクシュウ</t>
    </rPh>
    <rPh sb="198" eb="201">
      <t>ユウキテキ</t>
    </rPh>
    <rPh sb="202" eb="203">
      <t>ムス</t>
    </rPh>
    <rPh sb="232" eb="234">
      <t>クフウ</t>
    </rPh>
    <phoneticPr fontId="1"/>
  </si>
  <si>
    <t>授業評価アンケート結果は、大学ポータルサイト及び大学ホームページで公開されており、後輩学生や他の学生はその評価結果を履修前に確認できるようになっている。</t>
    <rPh sb="0" eb="4">
      <t>ジュギョウヒョウカ</t>
    </rPh>
    <rPh sb="9" eb="11">
      <t>ケッカ</t>
    </rPh>
    <rPh sb="13" eb="15">
      <t>ダイガク</t>
    </rPh>
    <rPh sb="22" eb="23">
      <t>オヨ</t>
    </rPh>
    <rPh sb="24" eb="26">
      <t>ダイガク</t>
    </rPh>
    <rPh sb="33" eb="35">
      <t>コウカイ</t>
    </rPh>
    <rPh sb="41" eb="45">
      <t>コウハイガクセイ</t>
    </rPh>
    <rPh sb="46" eb="47">
      <t>タ</t>
    </rPh>
    <rPh sb="48" eb="50">
      <t>ガクセイ</t>
    </rPh>
    <rPh sb="53" eb="57">
      <t>ヒョウカケッカ</t>
    </rPh>
    <rPh sb="58" eb="61">
      <t>リシュウマエ</t>
    </rPh>
    <rPh sb="62" eb="64">
      <t>カクニン</t>
    </rPh>
    <phoneticPr fontId="1"/>
  </si>
  <si>
    <t>本教育プログラムは、令和7年度入学者から実施しているため、学修成果の点検・評価については、令和7年度終了後に実施する予定である。
本教育プログラム構成科目の授業評価アンケート結果を分析することにより、授業内容に対する学生の理解度を把握する。分析結果は教務委員会及び自己点検・評価運営委員会に報告し、本教育プログラムの点検評価・改善に活用する予定である。
また、本教育プログラムの必須科目の修得は、全学科・専攻の卒業要件となっていることから、卒業を目指すための履修指導は、プログラム修了のための履修指導を兼ねることになるため、全学的な不断の改善が継続的に実施されることになる。</t>
    <rPh sb="29" eb="31">
      <t>ガクシュウ</t>
    </rPh>
    <rPh sb="31" eb="33">
      <t>セイカ</t>
    </rPh>
    <rPh sb="66" eb="69">
      <t>ホンキョウイク</t>
    </rPh>
    <rPh sb="74" eb="76">
      <t>コウセイ</t>
    </rPh>
    <rPh sb="79" eb="83">
      <t>ジュギョウヒョウカ</t>
    </rPh>
    <rPh sb="88" eb="90">
      <t>ケッカ</t>
    </rPh>
    <rPh sb="91" eb="93">
      <t>ブンセキ</t>
    </rPh>
    <rPh sb="101" eb="105">
      <t>ジュギョウナイヨウ</t>
    </rPh>
    <rPh sb="106" eb="107">
      <t>タイ</t>
    </rPh>
    <rPh sb="112" eb="115">
      <t>リカイド</t>
    </rPh>
    <rPh sb="116" eb="118">
      <t>ハアク</t>
    </rPh>
    <rPh sb="121" eb="125">
      <t>ブンセキケッカ</t>
    </rPh>
    <rPh sb="126" eb="131">
      <t>キョウムイインカイ</t>
    </rPh>
    <rPh sb="131" eb="132">
      <t>オヨ</t>
    </rPh>
    <rPh sb="133" eb="137">
      <t>ジコテンケン</t>
    </rPh>
    <rPh sb="138" eb="145">
      <t>ヒョウカウンエイイインカイ</t>
    </rPh>
    <rPh sb="146" eb="148">
      <t>ホウコク</t>
    </rPh>
    <rPh sb="150" eb="151">
      <t>ホン</t>
    </rPh>
    <rPh sb="151" eb="153">
      <t>キョウイク</t>
    </rPh>
    <rPh sb="159" eb="161">
      <t>テンケン</t>
    </rPh>
    <rPh sb="161" eb="163">
      <t>ヒョウカ</t>
    </rPh>
    <rPh sb="164" eb="166">
      <t>カイゼン</t>
    </rPh>
    <rPh sb="167" eb="169">
      <t>カツヨウ</t>
    </rPh>
    <rPh sb="171" eb="173">
      <t>ヨテイ</t>
    </rPh>
    <rPh sb="181" eb="182">
      <t>ホン</t>
    </rPh>
    <rPh sb="182" eb="184">
      <t>キョウイク</t>
    </rPh>
    <rPh sb="190" eb="192">
      <t>ヒッス</t>
    </rPh>
    <rPh sb="192" eb="194">
      <t>カモク</t>
    </rPh>
    <rPh sb="195" eb="197">
      <t>シュウトク</t>
    </rPh>
    <rPh sb="199" eb="202">
      <t>ゼンガッカ</t>
    </rPh>
    <rPh sb="203" eb="205">
      <t>センコウ</t>
    </rPh>
    <rPh sb="206" eb="208">
      <t>ソツギョウ</t>
    </rPh>
    <rPh sb="208" eb="210">
      <t>ヨウケン</t>
    </rPh>
    <rPh sb="221" eb="223">
      <t>ソツギョウ</t>
    </rPh>
    <rPh sb="224" eb="226">
      <t>メザ</t>
    </rPh>
    <rPh sb="230" eb="234">
      <t>リシュウシドウ</t>
    </rPh>
    <rPh sb="241" eb="243">
      <t>シュウリョウ</t>
    </rPh>
    <rPh sb="247" eb="251">
      <t>リシュウシドウ</t>
    </rPh>
    <rPh sb="252" eb="253">
      <t>カ</t>
    </rPh>
    <rPh sb="263" eb="266">
      <t>ゼンガクテキ</t>
    </rPh>
    <rPh sb="267" eb="269">
      <t>フダン</t>
    </rPh>
    <rPh sb="273" eb="276">
      <t>ケイゾクテキ</t>
    </rPh>
    <rPh sb="277" eb="279">
      <t>ジッシ</t>
    </rPh>
    <phoneticPr fontId="1"/>
  </si>
  <si>
    <t>本教育プログラムは、令和7年度入学者から実施しているため、授業評価アンケート等を通じた学生の内容の理解度の点検・評価については、令和7年度終了後に実施する予定である。
本教育プログラム構成科目の授業評価アンケート結果については、教務委員会において分析を行い、必要に応じて理解度向上を図るため、授業内容等の改善に取り組む予定である。</t>
    <rPh sb="29" eb="33">
      <t>ジュギョウヒョウカ</t>
    </rPh>
    <rPh sb="38" eb="39">
      <t>トウ</t>
    </rPh>
    <rPh sb="40" eb="41">
      <t>ツウ</t>
    </rPh>
    <rPh sb="43" eb="45">
      <t>ガクセイ</t>
    </rPh>
    <rPh sb="46" eb="48">
      <t>ナイヨウ</t>
    </rPh>
    <rPh sb="49" eb="52">
      <t>リカイド</t>
    </rPh>
    <rPh sb="85" eb="88">
      <t>ホンキョウイク</t>
    </rPh>
    <rPh sb="93" eb="97">
      <t>コウセイカモク</t>
    </rPh>
    <rPh sb="98" eb="102">
      <t>ジュギョウヒョウカ</t>
    </rPh>
    <rPh sb="107" eb="109">
      <t>ケッカ</t>
    </rPh>
    <rPh sb="115" eb="120">
      <t>キョウムイインカイ</t>
    </rPh>
    <rPh sb="124" eb="126">
      <t>ブンセキ</t>
    </rPh>
    <rPh sb="127" eb="128">
      <t>オコナ</t>
    </rPh>
    <rPh sb="130" eb="132">
      <t>ヒツヨウ</t>
    </rPh>
    <rPh sb="133" eb="134">
      <t>オウ</t>
    </rPh>
    <rPh sb="136" eb="139">
      <t>リカイド</t>
    </rPh>
    <rPh sb="139" eb="141">
      <t>コウジョウ</t>
    </rPh>
    <rPh sb="142" eb="143">
      <t>ハカ</t>
    </rPh>
    <rPh sb="147" eb="152">
      <t>ジュギョウナイヨウトウ</t>
    </rPh>
    <rPh sb="153" eb="155">
      <t>カイゼン</t>
    </rPh>
    <rPh sb="156" eb="157">
      <t>ト</t>
    </rPh>
    <rPh sb="158" eb="159">
      <t>ク</t>
    </rPh>
    <rPh sb="160" eb="162">
      <t>ヨテイ</t>
    </rPh>
    <phoneticPr fontId="1"/>
  </si>
  <si>
    <t>○</t>
  </si>
  <si>
    <r>
      <t xml:space="preserve">・論理的・法的・社会的課題ELSI、個人情報保護、EU一般データ保護規則GDPR、忘れられる権利、オプトアウト）、データ倫理（ねつ造、改ざん、盗用、プライバシー保護）、AI社会原則 </t>
    </r>
    <r>
      <rPr>
        <b/>
        <sz val="12"/>
        <color theme="1"/>
        <rFont val="ＭＳ Ｐゴシック"/>
        <family val="2"/>
        <charset val="128"/>
        <scheme val="minor"/>
      </rPr>
      <t xml:space="preserve">「データサイエンス入門」(第4回)
</t>
    </r>
    <r>
      <rPr>
        <sz val="12"/>
        <color theme="1"/>
        <rFont val="ＭＳ Ｐゴシック"/>
        <family val="2"/>
        <charset val="128"/>
        <scheme val="minor"/>
      </rPr>
      <t>・データAI利活用の負の事例、生成AIの留意事項（偽情報や有害コンテンツ生成氾濫、ハルシネーションによる誤情報生成）</t>
    </r>
    <r>
      <rPr>
        <b/>
        <sz val="12"/>
        <color theme="1"/>
        <rFont val="ＭＳ Ｐゴシック"/>
        <family val="2"/>
        <charset val="128"/>
        <scheme val="minor"/>
      </rPr>
      <t xml:space="preserve">「データサイエンス入門」(第5回)
</t>
    </r>
    <r>
      <rPr>
        <sz val="12"/>
        <color theme="1"/>
        <rFont val="ＭＳ Ｐゴシック"/>
        <family val="2"/>
        <charset val="128"/>
        <scheme val="minor"/>
      </rPr>
      <t>・個人情報保護、オプトアウト、データ倫理（ねつ造、改ざん、盗用、プライバシー保護）</t>
    </r>
    <r>
      <rPr>
        <b/>
        <sz val="12"/>
        <color theme="1"/>
        <rFont val="ＭＳ Ｐゴシック"/>
        <family val="2"/>
        <charset val="128"/>
        <scheme val="minor"/>
      </rPr>
      <t>「データサイエンス入門」(第14回)</t>
    </r>
    <r>
      <rPr>
        <sz val="12"/>
        <color theme="1"/>
        <rFont val="ＭＳ Ｐゴシック"/>
        <family val="3"/>
        <charset val="128"/>
        <scheme val="minor"/>
      </rPr>
      <t xml:space="preserve">
</t>
    </r>
    <rPh sb="180" eb="181">
      <t xml:space="preserve">ダイ5カイ </t>
    </rPh>
    <phoneticPr fontId="1"/>
  </si>
  <si>
    <r>
      <t>（3-2）情報セキュリティの3要素(機密性、完全性、可用性)、匿名加工情報、暗号化と復号、ユーザ認証とパスワード、アクセス制御、悪意ある情報搾取、情報漏洩事例の紹介</t>
    </r>
    <r>
      <rPr>
        <b/>
        <sz val="12"/>
        <color theme="1"/>
        <rFont val="ＭＳ Ｐゴシック"/>
        <family val="2"/>
        <charset val="128"/>
        <scheme val="minor"/>
      </rPr>
      <t xml:space="preserve"> 「データサイエンス入門」(第6回)</t>
    </r>
    <r>
      <rPr>
        <sz val="12"/>
        <color theme="1"/>
        <rFont val="ＭＳ Ｐゴシック"/>
        <family val="3"/>
        <charset val="128"/>
        <scheme val="minor"/>
      </rPr>
      <t xml:space="preserve">
（3-2）個人情報保護、匿名加工情報、情報漏洩事例の紹介</t>
    </r>
    <r>
      <rPr>
        <b/>
        <sz val="12"/>
        <color theme="1"/>
        <rFont val="ＭＳ Ｐゴシック"/>
        <family val="2"/>
        <charset val="128"/>
        <scheme val="minor"/>
      </rPr>
      <t xml:space="preserve"> 「データサイエンス入門」(第14回)</t>
    </r>
    <r>
      <rPr>
        <sz val="12"/>
        <color theme="1"/>
        <rFont val="ＭＳ Ｐゴシック"/>
        <family val="3"/>
        <charset val="128"/>
        <scheme val="minor"/>
      </rPr>
      <t xml:space="preserve">
</t>
    </r>
    <phoneticPr fontId="1"/>
  </si>
  <si>
    <r>
      <t>・データ表現(棒グラフ、折れ線グラフ、散布図、ヒートマップ、箱ひげ図)
データの比較(条件をそろえた比較、処理の前後での比較、A/Bテスト)、相手に的確かつ正確に情報を伝える技術や考え方(スライド作成、プレゼンテーション)</t>
    </r>
    <r>
      <rPr>
        <b/>
        <sz val="12"/>
        <color theme="1"/>
        <rFont val="ＭＳ Ｐゴシック"/>
        <family val="2"/>
        <charset val="128"/>
        <scheme val="minor"/>
      </rPr>
      <t>「データサイエンス入門」(第11回)</t>
    </r>
    <r>
      <rPr>
        <sz val="12"/>
        <color theme="1"/>
        <rFont val="ＭＳ Ｐゴシック"/>
        <family val="3"/>
        <charset val="128"/>
        <scheme val="minor"/>
      </rPr>
      <t xml:space="preserve">
</t>
    </r>
    <phoneticPr fontId="1"/>
  </si>
  <si>
    <r>
      <t>・データ解析ツール(スプレッドシート)</t>
    </r>
    <r>
      <rPr>
        <b/>
        <sz val="12"/>
        <color theme="1"/>
        <rFont val="ＭＳ Ｐゴシック"/>
        <family val="2"/>
        <charset val="128"/>
        <scheme val="minor"/>
      </rPr>
      <t xml:space="preserve"> 「データサイエンス入門」(第９回)
</t>
    </r>
    <r>
      <rPr>
        <sz val="12"/>
        <color theme="1"/>
        <rFont val="ＭＳ Ｐゴシック"/>
        <family val="2"/>
        <charset val="128"/>
        <scheme val="minor"/>
      </rPr>
      <t xml:space="preserve">・データの取得(機械判読可能なデータの作成・表記方法)、データの集計(和、平均)、データの並び替え、ランキング、データ解析ツール(スプレッドシート) </t>
    </r>
    <r>
      <rPr>
        <b/>
        <sz val="12"/>
        <color theme="1"/>
        <rFont val="ＭＳ Ｐゴシック"/>
        <family val="2"/>
        <charset val="128"/>
        <scheme val="minor"/>
      </rPr>
      <t>「データサイエンス入門」(第12回、第13回)</t>
    </r>
    <r>
      <rPr>
        <sz val="12"/>
        <color theme="1"/>
        <rFont val="ＭＳ Ｐゴシック"/>
        <family val="3"/>
        <charset val="128"/>
        <scheme val="minor"/>
      </rPr>
      <t xml:space="preserve">
</t>
    </r>
    <rPh sb="33" eb="34">
      <t xml:space="preserve">ダイ９カイ </t>
    </rPh>
    <rPh sb="126" eb="127">
      <t>_x0000_!_x0001__x0006_~_x0001__x000D_~_x0001__x0014__x0001_䂏湮</t>
    </rPh>
    <phoneticPr fontId="1"/>
  </si>
  <si>
    <r>
      <t>・ビッグデータ、IoT、AI、生成AI、ロボット、データ量の増加、計算機の処理性能の向上、AIの非連続的進化、第4次産業革命、Society5.0、データ駆動型社会</t>
    </r>
    <r>
      <rPr>
        <b/>
        <sz val="12"/>
        <color theme="1"/>
        <rFont val="ＭＳ Ｐゴシック"/>
        <family val="2"/>
        <charset val="128"/>
        <scheme val="minor"/>
      </rPr>
      <t xml:space="preserve">「データサイエンス入門」(第1回)
</t>
    </r>
    <r>
      <rPr>
        <sz val="12"/>
        <color theme="1"/>
        <rFont val="ＭＳ Ｐゴシック"/>
        <family val="3"/>
        <charset val="128"/>
        <scheme val="minor"/>
      </rPr>
      <t xml:space="preserve">
</t>
    </r>
    <rPh sb="91" eb="93">
      <t xml:space="preserve">ニュウモｎ </t>
    </rPh>
    <rPh sb="95" eb="96">
      <t xml:space="preserve">ダイ１カイ </t>
    </rPh>
    <phoneticPr fontId="1"/>
  </si>
  <si>
    <r>
      <t>・AI最新技術の活用例（深層生成モデル、強化学習、転移学習、生成AI）、大規模言語モデルLLM、基盤モデルFM</t>
    </r>
    <r>
      <rPr>
        <b/>
        <sz val="12"/>
        <color theme="1"/>
        <rFont val="ＭＳ Ｐゴシック"/>
        <family val="2"/>
        <charset val="128"/>
        <scheme val="minor"/>
      </rPr>
      <t xml:space="preserve"> 「データサイエンス入門」(第5回)
</t>
    </r>
    <phoneticPr fontId="1"/>
  </si>
  <si>
    <r>
      <t>・調査データ、実験データ、人の行動ログデータ、機械の稼働ログデータなど、1次データ、2次データ、データのメタ化</t>
    </r>
    <r>
      <rPr>
        <b/>
        <sz val="12"/>
        <color theme="1"/>
        <rFont val="ＭＳ Ｐゴシック"/>
        <family val="2"/>
        <charset val="128"/>
        <scheme val="minor"/>
      </rPr>
      <t xml:space="preserve"> 「データサイエンス入門」(第7回)
</t>
    </r>
    <rPh sb="65" eb="67">
      <t xml:space="preserve">ニュウモｎ </t>
    </rPh>
    <rPh sb="69" eb="70">
      <t xml:space="preserve">ダイ７カイ </t>
    </rPh>
    <phoneticPr fontId="1"/>
  </si>
  <si>
    <r>
      <t>・データAI活用の広がり（事業活動として生産、消費、文化活動など/活用目的として仮設検証、知識発見、原因究明、計画策定など）、生成AIの応用（コンテンツ生成、翻訳・執筆支援、コーディング支援など）</t>
    </r>
    <r>
      <rPr>
        <b/>
        <sz val="12"/>
        <color theme="1"/>
        <rFont val="ＭＳ Ｐゴシック"/>
        <family val="2"/>
        <charset val="128"/>
        <scheme val="minor"/>
      </rPr>
      <t xml:space="preserve"> 「データサイエンス入門」(第7回)
</t>
    </r>
    <r>
      <rPr>
        <sz val="12"/>
        <color theme="1"/>
        <rFont val="ＭＳ Ｐゴシック"/>
        <family val="3"/>
        <charset val="128"/>
        <scheme val="minor"/>
      </rPr>
      <t xml:space="preserve">
</t>
    </r>
    <rPh sb="108" eb="110">
      <t xml:space="preserve">ニュウモｎ </t>
    </rPh>
    <rPh sb="112" eb="113">
      <t xml:space="preserve">ダイ７カイ </t>
    </rPh>
    <phoneticPr fontId="1"/>
  </si>
  <si>
    <r>
      <t>・非構造化データ処理、生成AIの活用（プロンプトエンジニアリング）</t>
    </r>
    <r>
      <rPr>
        <b/>
        <sz val="12"/>
        <color theme="1"/>
        <rFont val="ＭＳ Ｐゴシック"/>
        <family val="2"/>
        <charset val="128"/>
        <scheme val="minor"/>
      </rPr>
      <t xml:space="preserve">「データサイエンス入門」（第3回）
</t>
    </r>
    <r>
      <rPr>
        <sz val="12"/>
        <color theme="1"/>
        <rFont val="ＭＳ Ｐゴシック"/>
        <family val="2"/>
        <charset val="128"/>
        <scheme val="minor"/>
      </rPr>
      <t>・データ解析（予測、グルーピング、パターン発見、最適化、モデル化とシミュレーション・データ同化など）、データ可視化（2軸グラフ、複合グラフ、多次元、挙動・軌跡、関係性、地図上、リアルタイム可視化など）</t>
    </r>
    <r>
      <rPr>
        <b/>
        <sz val="12"/>
        <color theme="1"/>
        <rFont val="ＭＳ Ｐゴシック"/>
        <family val="2"/>
        <charset val="128"/>
        <scheme val="minor"/>
      </rPr>
      <t>「データサイエンス入門」(第8回)</t>
    </r>
    <r>
      <rPr>
        <sz val="12"/>
        <color theme="1"/>
        <rFont val="ＭＳ Ｐゴシック"/>
        <family val="3"/>
        <charset val="128"/>
        <scheme val="minor"/>
      </rPr>
      <t xml:space="preserve">
</t>
    </r>
    <phoneticPr fontId="1"/>
  </si>
  <si>
    <r>
      <t>・データの種類(量的変数、質的変数)、データの分布(ヒストグラム)と代表値(平均値、中央値、最頻値)、代表値の性質の違い、データのばらつき(分散、標準偏差、偏差値)、外れ値、相関と因果(相関係数、疑似相関、交絡)、打ち切りや欠測を含むデータ</t>
    </r>
    <r>
      <rPr>
        <b/>
        <sz val="12"/>
        <color theme="1"/>
        <rFont val="ＭＳ Ｐゴシック"/>
        <family val="2"/>
        <charset val="128"/>
        <scheme val="minor"/>
      </rPr>
      <t xml:space="preserve"> 「データサイエンス入門」(第10回)
</t>
    </r>
    <r>
      <rPr>
        <sz val="12"/>
        <color theme="1"/>
        <rFont val="ＭＳ Ｐゴシック"/>
        <family val="3"/>
        <charset val="128"/>
        <scheme val="minor"/>
      </rPr>
      <t xml:space="preserve">
</t>
    </r>
    <phoneticPr fontId="1"/>
  </si>
  <si>
    <t xml:space="preserve">(1) AIによって変化する現実を理解できる。
(2) データ・AIがどのような技術で活用されているかを理解できる。
(3) データを読み取り、理解する方法を修得できる。
(4) データ・AIを活用する際に留意すべきことを理解できる、
</t>
    <rPh sb="79" eb="81">
      <t>シュウトク</t>
    </rPh>
    <phoneticPr fontId="1"/>
  </si>
  <si>
    <r>
      <t>・データAI利活用の事例</t>
    </r>
    <r>
      <rPr>
        <b/>
        <sz val="12"/>
        <color theme="1"/>
        <rFont val="ＭＳ Ｐゴシック"/>
        <family val="2"/>
        <charset val="128"/>
        <scheme val="minor"/>
      </rPr>
      <t xml:space="preserve">「データサイエンス入門」(第1回)
</t>
    </r>
    <r>
      <rPr>
        <sz val="12"/>
        <color theme="1"/>
        <rFont val="ＭＳ Ｐゴシック"/>
        <family val="2"/>
        <charset val="128"/>
        <scheme val="minor"/>
      </rPr>
      <t>・データAI利活用の事例（教育、芸術、金融、ヘルスケア）</t>
    </r>
    <r>
      <rPr>
        <b/>
        <sz val="12"/>
        <color theme="1"/>
        <rFont val="ＭＳ Ｐゴシック"/>
        <family val="2"/>
        <charset val="128"/>
        <scheme val="minor"/>
      </rPr>
      <t xml:space="preserve">「データサイエンス入門」(第3回)
</t>
    </r>
    <r>
      <rPr>
        <sz val="12"/>
        <color theme="1"/>
        <rFont val="ＭＳ Ｐゴシック"/>
        <family val="2"/>
        <charset val="128"/>
        <scheme val="minor"/>
      </rPr>
      <t>・データAI利活用の事例（教育、芸術、金融、ヘルスケア）</t>
    </r>
    <r>
      <rPr>
        <b/>
        <sz val="12"/>
        <color theme="1"/>
        <rFont val="ＭＳ Ｐゴシック"/>
        <family val="2"/>
        <charset val="128"/>
        <scheme val="minor"/>
      </rPr>
      <t xml:space="preserve">「データサイエンス入門」(第14回)
</t>
    </r>
    <r>
      <rPr>
        <sz val="12"/>
        <color theme="1"/>
        <rFont val="ＭＳ Ｐゴシック"/>
        <family val="3"/>
        <charset val="128"/>
        <scheme val="minor"/>
      </rPr>
      <t xml:space="preserve">
</t>
    </r>
    <rPh sb="13" eb="14">
      <t xml:space="preserve">ダイ１カイ </t>
    </rPh>
    <phoneticPr fontId="1"/>
  </si>
  <si>
    <t>【注】令和7年度の「修了者数」が空欄の学科は、現在履修中である。</t>
    <rPh sb="1" eb="2">
      <t>チュウ</t>
    </rPh>
    <rPh sb="3" eb="5">
      <t>レイワ</t>
    </rPh>
    <rPh sb="6" eb="8">
      <t>ネンド</t>
    </rPh>
    <rPh sb="10" eb="13">
      <t>シュウリョウシャ</t>
    </rPh>
    <rPh sb="13" eb="14">
      <t>スウ</t>
    </rPh>
    <rPh sb="16" eb="18">
      <t>クウラン</t>
    </rPh>
    <rPh sb="19" eb="21">
      <t>ガッカ</t>
    </rPh>
    <rPh sb="23" eb="25">
      <t>ゲンザイ</t>
    </rPh>
    <rPh sb="25" eb="28">
      <t>リシュウチュウ</t>
    </rPh>
    <phoneticPr fontId="1"/>
  </si>
  <si>
    <t>全学的な教育課程や授業に関する事項を審議することを目的として、教務委員会を設置している。数理・データサイエンス・AI教育プログラムについても、本委員会が主管となり、各学科・専攻から選出された委員で構成される体制のもと、全学的なプログラムの推進、運営及び改善を行っている。</t>
    <rPh sb="119" eb="121">
      <t>スイシン</t>
    </rPh>
    <rPh sb="124" eb="125">
      <t>オヨ</t>
    </rPh>
    <phoneticPr fontId="1"/>
  </si>
  <si>
    <t>本教育プログラムの必須科目は、全学共通基礎科目（1年配当・必修）であるため、全学生が1年次に履修登録を行うことになる。
また、選択科目については、他学部履修制度により、全学部の学生が履修可能となっている。なお、同制度の詳細については、全学生に配布するハンドブックに記載するとともに、入学時のガイダンスや学生ポータルサイトなどで、学生が本教育プログラムを受講する意義とあわせて周知を図っている。</t>
    <rPh sb="38" eb="41">
      <t>ゼンガクセイ</t>
    </rPh>
    <rPh sb="43" eb="45">
      <t>ネンジ</t>
    </rPh>
    <rPh sb="46" eb="50">
      <t>リシュウトウロク</t>
    </rPh>
    <rPh sb="51" eb="52">
      <t>オコナ</t>
    </rPh>
    <rPh sb="63" eb="65">
      <t>センタク</t>
    </rPh>
    <rPh sb="65" eb="67">
      <t>カモク</t>
    </rPh>
    <rPh sb="73" eb="76">
      <t>タガクブ</t>
    </rPh>
    <rPh sb="76" eb="78">
      <t>リシュウ</t>
    </rPh>
    <rPh sb="78" eb="80">
      <t>セイド</t>
    </rPh>
    <rPh sb="84" eb="87">
      <t>ゼンガクブ</t>
    </rPh>
    <rPh sb="88" eb="90">
      <t>ガクセイ</t>
    </rPh>
    <rPh sb="91" eb="93">
      <t>リシュウ</t>
    </rPh>
    <rPh sb="93" eb="95">
      <t>カノウ</t>
    </rPh>
    <rPh sb="109" eb="111">
      <t>ショウサイ</t>
    </rPh>
    <rPh sb="117" eb="120">
      <t>ゼンガクセイ</t>
    </rPh>
    <rPh sb="121" eb="123">
      <t>ハイフ</t>
    </rPh>
    <rPh sb="132" eb="134">
      <t>キサイ</t>
    </rPh>
    <rPh sb="141" eb="144">
      <t>ニュウガクジ</t>
    </rPh>
    <rPh sb="151" eb="153">
      <t>ガクセイ</t>
    </rPh>
    <rPh sb="164" eb="166">
      <t>ガクセイ</t>
    </rPh>
    <rPh sb="167" eb="170">
      <t>ホンキョウイク</t>
    </rPh>
    <rPh sb="176" eb="178">
      <t>ジュコウ</t>
    </rPh>
    <rPh sb="180" eb="182">
      <t>イギ</t>
    </rPh>
    <rPh sb="187" eb="189">
      <t>シュウチ</t>
    </rPh>
    <rPh sb="190" eb="191">
      <t>ハカ</t>
    </rPh>
    <phoneticPr fontId="1"/>
  </si>
  <si>
    <t>本教育プログラムの必須科目は、全学共通基礎科目（1年配当・必修科目）であるため、全学生が1年次に履修登録を行うことになる。
また、選択科目については、他学部履修制度により、全学部の学生が履修可能となっている。なお、同制度の詳細については、全学生に配布するハンドブックに記載するとともに、入学時のガイダンスや学生ポータルサイトなどで、学生が本教育プログラムを受講する意義とあわせて周知を図っている。</t>
    <phoneticPr fontId="1"/>
  </si>
  <si>
    <t>本教育プログラムの必須科目は、全学共通基礎科目（1年配当・必修）であるため、全学生が1年次に履修登録を行うことになる。
修得率を向上させるためのサポート体制として、授業時間内には必ず質問の時間を設けているほか、授業時間外においても、学生はGoogle Classroomを利用し、いつでも授業担当教員に個別に質問や相談をすることができ、また、授業担当教員は、学生の授業への出席を含む学修状況を把握し、必要に応じて個別に連絡するなどの対応を行っている。</t>
    <rPh sb="144" eb="146">
      <t>ジュギョウ</t>
    </rPh>
    <rPh sb="171" eb="173">
      <t>ジュギョウ</t>
    </rPh>
    <rPh sb="179" eb="181">
      <t>ガクセイ</t>
    </rPh>
    <rPh sb="182" eb="184">
      <t>ジュギョウ</t>
    </rPh>
    <rPh sb="189" eb="190">
      <t>フク</t>
    </rPh>
    <rPh sb="191" eb="195">
      <t>ガクシュウジョウキョウ</t>
    </rPh>
    <rPh sb="196" eb="198">
      <t>ハアク</t>
    </rPh>
    <rPh sb="200" eb="202">
      <t>ヒツヨウ</t>
    </rPh>
    <rPh sb="203" eb="204">
      <t>オウ</t>
    </rPh>
    <rPh sb="206" eb="208">
      <t>コベツ</t>
    </rPh>
    <rPh sb="209" eb="211">
      <t>レンラク</t>
    </rPh>
    <rPh sb="216" eb="218">
      <t>タイオウ</t>
    </rPh>
    <rPh sb="219" eb="220">
      <t>オコナ</t>
    </rPh>
    <phoneticPr fontId="1"/>
  </si>
  <si>
    <t>授業時間内には必ず質問の時間を設けているほか、授業時間外においても、学生はGoogle Classroomを利用して、いつでも授業担当教員に個別に質問や相談をすることができ、授業担当教員も質問等に対して迅速に対応する体制を整備している。</t>
    <rPh sb="63" eb="65">
      <t>ジュギョウ</t>
    </rPh>
    <rPh sb="87" eb="89">
      <t>ジュギョウ</t>
    </rPh>
    <rPh sb="89" eb="91">
      <t>タントウ</t>
    </rPh>
    <rPh sb="91" eb="93">
      <t>キョウイン</t>
    </rPh>
    <rPh sb="94" eb="96">
      <t>シツモン</t>
    </rPh>
    <rPh sb="96" eb="97">
      <t>トウ</t>
    </rPh>
    <rPh sb="98" eb="99">
      <t>タイ</t>
    </rPh>
    <rPh sb="101" eb="103">
      <t>ジンソク</t>
    </rPh>
    <rPh sb="104" eb="106">
      <t>タイオウ</t>
    </rPh>
    <rPh sb="108" eb="110">
      <t>タイセイ</t>
    </rPh>
    <rPh sb="111" eb="113">
      <t>セイビ</t>
    </rPh>
    <phoneticPr fontId="1"/>
  </si>
  <si>
    <t>本教育プログラムの必須科目は、全学共通基礎科目（1年配当・必修科目）であり、全学生が1年次に履修登録を行うことが前提となっているため、4年間で全学生が履修する計画である。
また、選択科目については、2年配当科目であることから、令和8年度に向けてホームページやハンドブックの掲載内容の充実を図り、学年初めのガイダンスや学生ポータルサイトで、学生が本教育プログラムを受講する意義とあわせて周知を行い、履修率の向上を図る予定である。</t>
    <rPh sb="0" eb="1">
      <t>ホン</t>
    </rPh>
    <rPh sb="1" eb="3">
      <t>キョウイク</t>
    </rPh>
    <rPh sb="9" eb="11">
      <t>ヒッス</t>
    </rPh>
    <rPh sb="11" eb="13">
      <t>カモク</t>
    </rPh>
    <rPh sb="15" eb="17">
      <t>ゼンガク</t>
    </rPh>
    <rPh sb="17" eb="19">
      <t>キョウツウ</t>
    </rPh>
    <rPh sb="19" eb="21">
      <t>キソ</t>
    </rPh>
    <rPh sb="21" eb="23">
      <t>カモク</t>
    </rPh>
    <rPh sb="25" eb="26">
      <t>ネン</t>
    </rPh>
    <rPh sb="26" eb="28">
      <t>ハイトウ</t>
    </rPh>
    <rPh sb="29" eb="31">
      <t>ヒッシュウ</t>
    </rPh>
    <rPh sb="31" eb="33">
      <t>カモク</t>
    </rPh>
    <rPh sb="38" eb="39">
      <t>ゼン</t>
    </rPh>
    <rPh sb="39" eb="41">
      <t>ガクセイ</t>
    </rPh>
    <rPh sb="43" eb="45">
      <t>ネンジ</t>
    </rPh>
    <rPh sb="46" eb="48">
      <t>リシュウ</t>
    </rPh>
    <rPh sb="48" eb="50">
      <t>トウロク</t>
    </rPh>
    <rPh sb="51" eb="52">
      <t>オコナ</t>
    </rPh>
    <rPh sb="56" eb="58">
      <t>ゼンテイ</t>
    </rPh>
    <rPh sb="89" eb="91">
      <t>センタク</t>
    </rPh>
    <rPh sb="91" eb="93">
      <t>カモク</t>
    </rPh>
    <rPh sb="100" eb="101">
      <t>ネン</t>
    </rPh>
    <rPh sb="101" eb="103">
      <t>ハイトウ</t>
    </rPh>
    <rPh sb="103" eb="105">
      <t>カモク</t>
    </rPh>
    <rPh sb="113" eb="115">
      <t>レイワ</t>
    </rPh>
    <rPh sb="116" eb="118">
      <t>ネンド</t>
    </rPh>
    <rPh sb="119" eb="120">
      <t>ム</t>
    </rPh>
    <rPh sb="135" eb="137">
      <t>ケイサイ</t>
    </rPh>
    <rPh sb="137" eb="139">
      <t>ナイヨウ</t>
    </rPh>
    <rPh sb="140" eb="142">
      <t>ジュウジツ</t>
    </rPh>
    <rPh sb="143" eb="144">
      <t>ハカ</t>
    </rPh>
    <rPh sb="146" eb="149">
      <t>ガクネンハジ</t>
    </rPh>
    <rPh sb="158" eb="160">
      <t>ガクセイ</t>
    </rPh>
    <rPh sb="194" eb="195">
      <t>オコナ</t>
    </rPh>
    <rPh sb="197" eb="200">
      <t>リシュウリツ</t>
    </rPh>
    <rPh sb="201" eb="203">
      <t>コウジョウ</t>
    </rPh>
    <rPh sb="204" eb="205">
      <t>ハカ</t>
    </rPh>
    <rPh sb="206" eb="208">
      <t>ヨテイ</t>
    </rPh>
    <phoneticPr fontId="1"/>
  </si>
  <si>
    <t>本教育プログラムは、令和7年度入学者から実施しているため、プログラムの履修・修得状況の点検・評価については、令和7年度終了後に実施する予定である。
履修状況については、履修率が18％と高いとは言えない数値を示しているが、これは令和7年度にプログラムが開始されたことによるものである。本教育プログラムの必須科目は全学共通基礎科目（1年配当・必修）であり、全学生が1年次に履修登録を行うことになるため、4年間で全学生が履修する見込みである。</t>
    <rPh sb="0" eb="1">
      <t>ホン</t>
    </rPh>
    <rPh sb="1" eb="3">
      <t>キョウイク</t>
    </rPh>
    <rPh sb="10" eb="12">
      <t>レイワ</t>
    </rPh>
    <rPh sb="13" eb="15">
      <t>ネンド</t>
    </rPh>
    <rPh sb="15" eb="18">
      <t>ニュウガクシャ</t>
    </rPh>
    <rPh sb="20" eb="22">
      <t>ジッシ</t>
    </rPh>
    <rPh sb="35" eb="37">
      <t>リシュウ</t>
    </rPh>
    <rPh sb="38" eb="40">
      <t>シュウトク</t>
    </rPh>
    <rPh sb="40" eb="42">
      <t>ジョウキョウ</t>
    </rPh>
    <rPh sb="43" eb="45">
      <t>テンケン</t>
    </rPh>
    <rPh sb="46" eb="48">
      <t>ヒョウカ</t>
    </rPh>
    <rPh sb="54" eb="56">
      <t>レイワ</t>
    </rPh>
    <rPh sb="57" eb="59">
      <t>ネンド</t>
    </rPh>
    <rPh sb="59" eb="62">
      <t>シュウリョウゴ</t>
    </rPh>
    <rPh sb="63" eb="65">
      <t>ジッシ</t>
    </rPh>
    <rPh sb="67" eb="69">
      <t>ヨテイ</t>
    </rPh>
    <phoneticPr fontId="1"/>
  </si>
  <si>
    <t xml:space="preserve">教務委員長（教務部長、医療福祉学部リハビリテーション学科教授）鈴木　誠
教務委員（医療福祉学部リハビリテーション学科准教授）　村上　賢一
教務委員（医療福祉学部リハビリテーション学科准教授）　北川　公路
教務委員（医療福祉学部リハビリテーション学科教授）　高卓　輝
教務委員（医療福祉学部リハビリテーション学科教授）　坂本　保夫
教務委員（医療福祉学部看護学科教授）　作山　美智子
教務委員（現代社会学部現代社会学科教授）　崔　博憲
教務委員（経営法学部経営法学科准教授）　秋山　まゆみ
教務委員（工学部知能情報システム学科准教授）　神村　伸一
教務委員（工学部建築環境学科准教授）　一條　佑介
教務委員（工学部臨床工学科教授）　工藤　剛実
教務委員（大学事務局教務部教務課長）　星　良治
</t>
    <rPh sb="0" eb="2">
      <t>キョウム</t>
    </rPh>
    <rPh sb="2" eb="5">
      <t>イインチョウ</t>
    </rPh>
    <rPh sb="31" eb="33">
      <t>スズキ</t>
    </rPh>
    <rPh sb="34" eb="35">
      <t>マコト</t>
    </rPh>
    <rPh sb="36" eb="38">
      <t>キョウム</t>
    </rPh>
    <rPh sb="38" eb="40">
      <t>イイン</t>
    </rPh>
    <rPh sb="41" eb="47">
      <t>イリョウフクシガクブ</t>
    </rPh>
    <rPh sb="56" eb="58">
      <t>ガッカ</t>
    </rPh>
    <rPh sb="58" eb="61">
      <t>ジュンキョウジュ</t>
    </rPh>
    <rPh sb="63" eb="65">
      <t>ムラカミ</t>
    </rPh>
    <rPh sb="66" eb="68">
      <t>ケンイチ</t>
    </rPh>
    <rPh sb="69" eb="73">
      <t>キョウムイイン</t>
    </rPh>
    <rPh sb="74" eb="76">
      <t>イリョウ</t>
    </rPh>
    <rPh sb="76" eb="78">
      <t>フクシ</t>
    </rPh>
    <rPh sb="78" eb="80">
      <t>ガクブ</t>
    </rPh>
    <rPh sb="89" eb="91">
      <t>ガッカ</t>
    </rPh>
    <rPh sb="91" eb="94">
      <t>ジュンキョウジュ</t>
    </rPh>
    <rPh sb="96" eb="98">
      <t>キタガワ</t>
    </rPh>
    <rPh sb="232" eb="235">
      <t>ジュンキョウジュ</t>
    </rPh>
    <rPh sb="262" eb="265">
      <t>ジュンキョウジュ</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</si>
</sst>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b/>
      <sz val="12"/>
      <color theme="1"/>
      <name val="ＭＳ Ｐゴシック"/>
      <family val="2"/>
      <charset val="128"/>
      <scheme val="minor"/>
    </font>
    <font>
      <sz val="12"/>
      <color theme="1"/>
      <name val="ＭＳ Ｐゴシック"/>
      <family val="2"/>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97">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38" fontId="12" fillId="2" borderId="5" xfId="2" applyFont="1" applyFill="1" applyBorder="1" applyAlignment="1">
      <alignment horizontal="right" vertical="center" shrinkToFit="1"/>
    </xf>
    <xf numFmtId="38" fontId="12" fillId="2" borderId="42" xfId="2" applyFont="1" applyFill="1" applyBorder="1" applyAlignment="1">
      <alignment horizontal="right" vertical="center" shrinkToFit="1"/>
    </xf>
    <xf numFmtId="0" fontId="13" fillId="2" borderId="1" xfId="0" applyFont="1" applyFill="1" applyBorder="1" applyAlignment="1">
      <alignment horizontal="left" vertical="center" shrinkToFit="1"/>
    </xf>
    <xf numFmtId="0" fontId="13" fillId="2" borderId="1" xfId="0" applyFont="1" applyFill="1" applyBorder="1" applyAlignment="1">
      <alignment horizontal="left" vertical="center"/>
    </xf>
    <xf numFmtId="0" fontId="13" fillId="2" borderId="27" xfId="0" applyFont="1" applyFill="1" applyBorder="1" applyAlignment="1">
      <alignment horizontal="left" vertical="center" shrinkToFit="1"/>
    </xf>
    <xf numFmtId="0" fontId="13" fillId="2" borderId="44" xfId="0" applyFont="1" applyFill="1" applyBorder="1" applyAlignment="1">
      <alignment horizontal="left" vertical="center" shrinkToFit="1"/>
    </xf>
    <xf numFmtId="38" fontId="13" fillId="2" borderId="5" xfId="2" applyFont="1" applyFill="1" applyBorder="1" applyAlignment="1">
      <alignment horizontal="right" vertical="center" shrinkToFit="1"/>
    </xf>
    <xf numFmtId="38" fontId="13" fillId="2" borderId="60" xfId="2" applyFont="1" applyFill="1" applyBorder="1" applyAlignment="1">
      <alignment horizontal="right" vertical="center" shrinkToFit="1"/>
    </xf>
    <xf numFmtId="38" fontId="13" fillId="2" borderId="0" xfId="2" applyFont="1" applyFill="1" applyAlignment="1">
      <alignment horizontal="right" vertical="center" shrinkToFit="1"/>
    </xf>
    <xf numFmtId="0" fontId="13" fillId="2" borderId="20" xfId="0" applyFont="1" applyFill="1" applyBorder="1" applyAlignment="1">
      <alignment horizontal="left" vertical="center" shrinkToFit="1"/>
    </xf>
    <xf numFmtId="38" fontId="13" fillId="2" borderId="18" xfId="2" applyFont="1" applyFill="1" applyBorder="1" applyAlignment="1">
      <alignment horizontal="right" vertical="center" shrinkToFit="1"/>
    </xf>
    <xf numFmtId="38" fontId="13" fillId="2" borderId="61" xfId="2" applyFont="1" applyFill="1" applyBorder="1" applyAlignment="1">
      <alignment horizontal="right" vertical="center" shrinkToFit="1"/>
    </xf>
    <xf numFmtId="38" fontId="13" fillId="2" borderId="19" xfId="2" applyFont="1" applyFill="1" applyBorder="1" applyAlignment="1">
      <alignment horizontal="right" vertical="center" shrinkToFit="1"/>
    </xf>
    <xf numFmtId="38" fontId="13" fillId="2" borderId="42" xfId="2" applyFont="1" applyFill="1" applyBorder="1" applyAlignment="1">
      <alignment horizontal="right" vertical="center" shrinkToFit="1"/>
    </xf>
    <xf numFmtId="0" fontId="2" fillId="2" borderId="1" xfId="0" applyFont="1" applyFill="1" applyBorder="1" applyAlignment="1">
      <alignment horizontal="right" vertical="center"/>
    </xf>
    <xf numFmtId="0" fontId="13" fillId="2" borderId="1" xfId="0" applyFont="1" applyFill="1" applyBorder="1" applyAlignment="1">
      <alignment horizontal="justify" vertical="top" wrapText="1" shrinkToFit="1"/>
    </xf>
    <xf numFmtId="177" fontId="13" fillId="2" borderId="1" xfId="0" applyNumberFormat="1" applyFont="1" applyFill="1" applyBorder="1" applyAlignment="1">
      <alignment horizontal="right" vertical="center"/>
    </xf>
    <xf numFmtId="38" fontId="13" fillId="2" borderId="5" xfId="2" applyFont="1" applyFill="1" applyBorder="1" applyAlignment="1">
      <alignment vertical="center" shrinkToFit="1"/>
    </xf>
    <xf numFmtId="9" fontId="13" fillId="2" borderId="14" xfId="0" applyNumberFormat="1" applyFont="1" applyFill="1" applyBorder="1" applyAlignment="1">
      <alignment vertical="center" shrinkToFit="1"/>
    </xf>
    <xf numFmtId="38" fontId="13" fillId="2" borderId="42" xfId="2" applyFont="1" applyFill="1" applyBorder="1" applyAlignment="1">
      <alignment vertical="center" shrinkToFit="1"/>
    </xf>
    <xf numFmtId="9" fontId="13" fillId="2" borderId="44" xfId="0" applyNumberFormat="1" applyFont="1" applyFill="1" applyBorder="1" applyAlignment="1">
      <alignment vertical="center" shrinkToFit="1"/>
    </xf>
    <xf numFmtId="9" fontId="13" fillId="2" borderId="20" xfId="0" applyNumberFormat="1" applyFont="1" applyFill="1" applyBorder="1" applyAlignment="1">
      <alignment vertical="center" shrinkToFit="1"/>
    </xf>
    <xf numFmtId="0" fontId="13" fillId="2" borderId="0" xfId="0" applyFont="1" applyFill="1" applyAlignment="1">
      <alignment horizontal="center" vertical="center" wrapText="1" shrinkToFit="1"/>
    </xf>
    <xf numFmtId="0" fontId="13" fillId="2" borderId="1" xfId="0" applyFont="1" applyFill="1" applyBorder="1" applyAlignment="1">
      <alignment horizontal="center" vertical="center" shrinkToFit="1"/>
    </xf>
    <xf numFmtId="9" fontId="13" fillId="2" borderId="1" xfId="0" applyNumberFormat="1" applyFont="1" applyFill="1" applyBorder="1" applyAlignment="1">
      <alignment horizontal="right" vertical="center" wrapText="1" shrinkToFit="1"/>
    </xf>
    <xf numFmtId="9" fontId="13" fillId="2" borderId="0" xfId="0" applyNumberFormat="1" applyFont="1" applyFill="1" applyAlignment="1">
      <alignment horizontal="center" vertical="center" shrinkToFit="1"/>
    </xf>
    <xf numFmtId="0" fontId="13" fillId="2" borderId="0" xfId="0" applyFont="1" applyFill="1" applyAlignment="1">
      <alignment horizontal="center" vertical="center" shrinkToFit="1"/>
    </xf>
    <xf numFmtId="9" fontId="13" fillId="2" borderId="1" xfId="0" applyNumberFormat="1" applyFont="1" applyFill="1" applyBorder="1" applyAlignment="1">
      <alignment horizontal="center" vertical="center" shrinkToFit="1"/>
    </xf>
    <xf numFmtId="176" fontId="13" fillId="2" borderId="0" xfId="0" applyNumberFormat="1" applyFont="1" applyFill="1" applyAlignment="1">
      <alignment horizontal="center" vertical="center" shrinkToFit="1"/>
    </xf>
    <xf numFmtId="0" fontId="13" fillId="2" borderId="0" xfId="0" applyFont="1" applyFill="1" applyAlignment="1">
      <alignment vertical="top" wrapText="1"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49" fontId="2" fillId="2" borderId="20" xfId="0" applyNumberFormat="1" applyFont="1" applyFill="1" applyBorder="1" applyAlignment="1">
      <alignment horizontal="left" vertical="top" wrapText="1"/>
    </xf>
    <xf numFmtId="0" fontId="13" fillId="2" borderId="1" xfId="0" applyFont="1" applyFill="1" applyBorder="1" applyAlignment="1">
      <alignment horizontal="left" vertical="top" wrapText="1"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13" fillId="2" borderId="0" xfId="0" applyFont="1" applyFill="1" applyAlignment="1">
      <alignment horizontal="left" vertical="center" shrinkToFit="1"/>
    </xf>
    <xf numFmtId="0" fontId="13" fillId="2" borderId="2" xfId="0" applyFont="1" applyFill="1" applyBorder="1" applyAlignment="1">
      <alignment horizontal="justify" vertical="top" wrapText="1" shrinkToFit="1"/>
    </xf>
    <xf numFmtId="0" fontId="13" fillId="2" borderId="3" xfId="0" applyFont="1" applyFill="1" applyBorder="1" applyAlignment="1">
      <alignment horizontal="justify" vertical="top" wrapText="1" shrinkToFit="1"/>
    </xf>
    <xf numFmtId="0" fontId="13"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zoomScale="85" zoomScaleNormal="85" zoomScaleSheetLayoutView="100" workbookViewId="0">
      <selection activeCell="H63" sqref="H63"/>
    </sheetView>
  </sheetViews>
  <sheetFormatPr defaultColWidth="9" defaultRowHeight="18.75" customHeight="1" x14ac:dyDescent="0.15"/>
  <cols>
    <col min="1" max="1" width="2.5" style="7" customWidth="1"/>
    <col min="2" max="2" width="28.25" style="7" customWidth="1"/>
    <col min="3" max="3" width="6.25" style="7" customWidth="1"/>
    <col min="4" max="4" width="80.625" style="7" customWidth="1"/>
    <col min="5" max="5" width="6.5" style="7" bestFit="1" customWidth="1"/>
    <col min="6" max="26" width="5.625" style="7" customWidth="1"/>
    <col min="27" max="27" width="9" style="7" customWidth="1"/>
    <col min="28" max="16384" width="9" style="7"/>
  </cols>
  <sheetData>
    <row r="1" spans="1:28" ht="18.75" customHeight="1" x14ac:dyDescent="0.15">
      <c r="A1" s="144" t="s">
        <v>109</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3" spans="1:28" ht="18.600000000000001" customHeight="1" x14ac:dyDescent="0.15">
      <c r="Y3" s="144" t="s">
        <v>12</v>
      </c>
      <c r="Z3" s="144"/>
      <c r="AA3" s="8"/>
      <c r="AB3" s="12"/>
    </row>
    <row r="4" spans="1:28" ht="18.75" customHeight="1" x14ac:dyDescent="0.15">
      <c r="B4" s="149" t="s">
        <v>85</v>
      </c>
      <c r="C4" s="150"/>
      <c r="D4" s="107" t="s">
        <v>129</v>
      </c>
      <c r="P4" s="8"/>
      <c r="Q4" s="35"/>
      <c r="R4" s="35"/>
      <c r="S4" s="35"/>
      <c r="T4" s="35"/>
      <c r="U4" s="35"/>
      <c r="V4" s="35"/>
      <c r="W4" s="35"/>
      <c r="X4" s="35"/>
      <c r="Y4" s="35"/>
      <c r="Z4" s="35"/>
    </row>
    <row r="5" spans="1:28" ht="18.75" customHeight="1" x14ac:dyDescent="0.15">
      <c r="B5" s="149" t="s">
        <v>81</v>
      </c>
      <c r="C5" s="150"/>
      <c r="D5" s="107" t="s">
        <v>141</v>
      </c>
      <c r="P5" s="8"/>
      <c r="Q5" s="35"/>
      <c r="R5" s="35"/>
      <c r="S5" s="35"/>
      <c r="T5" s="35"/>
      <c r="U5" s="35"/>
      <c r="V5" s="35"/>
      <c r="W5" s="35"/>
      <c r="X5" s="35"/>
      <c r="Y5" s="35"/>
      <c r="Z5" s="35"/>
    </row>
    <row r="6" spans="1:28" ht="15" customHeight="1" x14ac:dyDescent="0.15">
      <c r="Q6" s="8"/>
      <c r="R6" s="23"/>
      <c r="S6" s="23"/>
      <c r="T6" s="23"/>
      <c r="U6" s="23"/>
      <c r="V6" s="23"/>
      <c r="W6" s="23"/>
      <c r="X6" s="23"/>
      <c r="Y6" s="23"/>
      <c r="Z6" s="23"/>
    </row>
    <row r="7" spans="1:28" ht="18" customHeight="1" x14ac:dyDescent="0.15">
      <c r="A7" s="148" t="s">
        <v>93</v>
      </c>
      <c r="B7" s="148"/>
      <c r="C7" s="148"/>
      <c r="D7" s="148"/>
      <c r="E7" s="148"/>
      <c r="F7" s="148"/>
      <c r="G7" s="148"/>
      <c r="H7" s="148"/>
      <c r="I7" s="148"/>
      <c r="J7" s="148"/>
      <c r="K7" s="148"/>
      <c r="L7" s="148"/>
      <c r="M7" s="148"/>
      <c r="N7" s="148"/>
      <c r="O7" s="148"/>
      <c r="P7" s="148"/>
      <c r="Q7" s="148"/>
      <c r="R7" s="148"/>
      <c r="S7" s="148"/>
      <c r="T7" s="148"/>
      <c r="U7" s="148"/>
      <c r="V7" s="148"/>
      <c r="W7" s="148"/>
      <c r="X7" s="148"/>
      <c r="Y7" s="148"/>
      <c r="Z7" s="148"/>
    </row>
    <row r="8" spans="1:28" ht="18" customHeight="1" x14ac:dyDescent="0.1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8" ht="20.25" customHeight="1" x14ac:dyDescent="0.15">
      <c r="A9" s="145" t="s">
        <v>95</v>
      </c>
      <c r="B9" s="145"/>
      <c r="D9" s="108" t="s">
        <v>130</v>
      </c>
    </row>
    <row r="10" spans="1:28" ht="20.25" customHeight="1" x14ac:dyDescent="0.15">
      <c r="B10" s="11"/>
      <c r="C10" s="11"/>
      <c r="D10" s="11"/>
      <c r="Q10" s="11"/>
      <c r="R10" s="11"/>
      <c r="S10" s="11"/>
      <c r="T10" s="11"/>
      <c r="U10" s="11"/>
      <c r="V10" s="11"/>
      <c r="W10" s="11"/>
      <c r="X10" s="11"/>
      <c r="Y10" s="11"/>
      <c r="Z10" s="11"/>
    </row>
    <row r="11" spans="1:28" ht="20.25" customHeight="1" x14ac:dyDescent="0.15">
      <c r="A11" s="145" t="s">
        <v>90</v>
      </c>
      <c r="B11" s="145"/>
      <c r="D11" s="57"/>
    </row>
    <row r="12" spans="1:28" ht="20.25" customHeight="1" x14ac:dyDescent="0.15">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8" ht="20.25" customHeight="1" x14ac:dyDescent="0.15">
      <c r="A13" s="146" t="s">
        <v>96</v>
      </c>
      <c r="B13" s="146"/>
      <c r="C13" s="11"/>
      <c r="D13" s="107" t="s">
        <v>131</v>
      </c>
      <c r="E13" s="35"/>
      <c r="F13" s="35"/>
      <c r="G13" s="35"/>
      <c r="H13" s="35"/>
      <c r="I13" s="35"/>
      <c r="J13" s="35"/>
      <c r="K13" s="35"/>
      <c r="L13" s="35"/>
      <c r="M13" s="35"/>
      <c r="N13" s="35"/>
      <c r="O13" s="35"/>
      <c r="P13" s="35"/>
      <c r="Q13" s="59"/>
      <c r="R13" s="59"/>
      <c r="S13" s="59"/>
      <c r="T13" s="59"/>
      <c r="U13" s="59"/>
      <c r="V13" s="59"/>
      <c r="W13" s="59"/>
      <c r="X13" s="59"/>
      <c r="Y13" s="59"/>
      <c r="Z13" s="59"/>
    </row>
    <row r="14" spans="1:28" ht="20.25" customHeight="1" x14ac:dyDescent="0.15">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8" ht="132" customHeight="1" x14ac:dyDescent="0.15">
      <c r="A15" s="147" t="s">
        <v>97</v>
      </c>
      <c r="B15" s="147"/>
      <c r="C15" s="11"/>
      <c r="D15" s="120" t="s">
        <v>151</v>
      </c>
      <c r="E15" s="15"/>
      <c r="F15" s="15"/>
      <c r="G15" s="15"/>
      <c r="H15" s="15"/>
      <c r="I15" s="15"/>
      <c r="J15" s="15"/>
      <c r="K15" s="15"/>
      <c r="L15" s="15"/>
      <c r="M15" s="15"/>
      <c r="N15" s="15"/>
      <c r="O15" s="15"/>
      <c r="P15" s="15"/>
      <c r="Q15" s="15"/>
      <c r="R15" s="15"/>
      <c r="S15" s="15"/>
      <c r="T15" s="15"/>
      <c r="U15" s="15"/>
      <c r="V15" s="15"/>
      <c r="W15" s="15"/>
      <c r="X15" s="15"/>
      <c r="Y15" s="15"/>
      <c r="Z15" s="15"/>
    </row>
    <row r="16" spans="1:28" ht="13.15" customHeight="1" x14ac:dyDescent="0.15">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20.25" customHeight="1" x14ac:dyDescent="0.15">
      <c r="A17" s="7" t="s">
        <v>113</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0.15" customHeight="1" x14ac:dyDescent="0.15">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20.25" customHeight="1" x14ac:dyDescent="0.15">
      <c r="B19" s="8" t="s">
        <v>114</v>
      </c>
      <c r="C19" s="121">
        <v>1</v>
      </c>
      <c r="D19" s="9" t="s">
        <v>87</v>
      </c>
      <c r="G19" s="11"/>
      <c r="H19" s="11"/>
      <c r="I19" s="11"/>
      <c r="J19" s="11"/>
      <c r="K19" s="11"/>
      <c r="L19" s="11"/>
      <c r="M19" s="11"/>
      <c r="N19" s="11"/>
      <c r="O19" s="11"/>
      <c r="P19" s="11"/>
      <c r="Q19" s="11"/>
      <c r="R19" s="11"/>
      <c r="S19" s="11"/>
      <c r="T19" s="11"/>
      <c r="U19" s="11"/>
      <c r="V19" s="11"/>
      <c r="W19" s="11"/>
      <c r="X19" s="11"/>
      <c r="Y19" s="11"/>
      <c r="Z19" s="11"/>
    </row>
    <row r="20" spans="1:26" ht="20.25" customHeight="1" x14ac:dyDescent="0.15">
      <c r="B20" s="11"/>
      <c r="C20" s="121">
        <v>2</v>
      </c>
      <c r="D20" s="9" t="s">
        <v>88</v>
      </c>
      <c r="G20" s="11"/>
      <c r="H20" s="11"/>
      <c r="I20" s="11"/>
      <c r="J20" s="11"/>
      <c r="K20" s="11"/>
      <c r="L20" s="11"/>
      <c r="M20" s="11"/>
      <c r="N20" s="11"/>
      <c r="O20" s="11"/>
      <c r="P20" s="11"/>
      <c r="Q20" s="11"/>
      <c r="R20" s="11"/>
      <c r="S20" s="11"/>
      <c r="T20" s="11"/>
      <c r="U20" s="11"/>
      <c r="V20" s="11"/>
      <c r="W20" s="11"/>
      <c r="X20" s="11"/>
      <c r="Y20" s="11"/>
      <c r="Z20" s="11"/>
    </row>
    <row r="21" spans="1:26" ht="20.25" customHeight="1" thickBot="1" x14ac:dyDescent="0.2">
      <c r="F21" s="151" t="s">
        <v>117</v>
      </c>
      <c r="G21" s="152"/>
      <c r="H21" s="152"/>
      <c r="I21" s="152"/>
      <c r="J21" s="152"/>
      <c r="K21" s="152"/>
      <c r="L21" s="152"/>
      <c r="M21" s="152"/>
      <c r="N21" s="152"/>
      <c r="O21" s="152"/>
      <c r="P21" s="152"/>
      <c r="Q21" s="152"/>
      <c r="R21" s="152"/>
      <c r="S21" s="152"/>
      <c r="T21" s="152"/>
      <c r="U21" s="152"/>
      <c r="V21" s="152"/>
      <c r="W21" s="152"/>
      <c r="X21" s="152"/>
      <c r="Y21" s="152"/>
      <c r="Z21" s="153"/>
    </row>
    <row r="22" spans="1:26" ht="18" customHeight="1" x14ac:dyDescent="0.15">
      <c r="B22" s="16"/>
      <c r="C22" s="16"/>
      <c r="D22" s="5" t="s">
        <v>48</v>
      </c>
      <c r="E22" s="60" t="s">
        <v>70</v>
      </c>
      <c r="F22" s="61" t="s">
        <v>50</v>
      </c>
      <c r="G22" s="62" t="s">
        <v>61</v>
      </c>
      <c r="H22" s="62" t="s">
        <v>62</v>
      </c>
      <c r="I22" s="62" t="s">
        <v>63</v>
      </c>
      <c r="J22" s="62" t="s">
        <v>64</v>
      </c>
      <c r="K22" s="62" t="s">
        <v>53</v>
      </c>
      <c r="L22" s="62" t="s">
        <v>80</v>
      </c>
      <c r="M22" s="62" t="s">
        <v>65</v>
      </c>
      <c r="N22" s="62" t="s">
        <v>66</v>
      </c>
      <c r="O22" s="62" t="s">
        <v>52</v>
      </c>
      <c r="P22" s="63" t="s">
        <v>54</v>
      </c>
      <c r="Q22" s="64" t="s">
        <v>98</v>
      </c>
      <c r="R22" s="65" t="s">
        <v>99</v>
      </c>
      <c r="S22" s="65" t="s">
        <v>100</v>
      </c>
      <c r="T22" s="65" t="s">
        <v>101</v>
      </c>
      <c r="U22" s="65" t="s">
        <v>102</v>
      </c>
      <c r="V22" s="65" t="s">
        <v>103</v>
      </c>
      <c r="W22" s="65" t="s">
        <v>104</v>
      </c>
      <c r="X22" s="65" t="s">
        <v>105</v>
      </c>
      <c r="Y22" s="65" t="s">
        <v>106</v>
      </c>
      <c r="Z22" s="66" t="s">
        <v>107</v>
      </c>
    </row>
    <row r="23" spans="1:26" ht="18" customHeight="1" x14ac:dyDescent="0.15">
      <c r="B23" s="140" t="s">
        <v>125</v>
      </c>
      <c r="C23" s="141"/>
      <c r="D23" s="109" t="s">
        <v>132</v>
      </c>
      <c r="E23" s="100">
        <v>2</v>
      </c>
      <c r="F23" s="67" t="s">
        <v>160</v>
      </c>
      <c r="G23" s="68" t="s">
        <v>160</v>
      </c>
      <c r="H23" s="68" t="s">
        <v>160</v>
      </c>
      <c r="I23" s="68" t="s">
        <v>160</v>
      </c>
      <c r="J23" s="68" t="s">
        <v>160</v>
      </c>
      <c r="K23" s="68" t="s">
        <v>160</v>
      </c>
      <c r="L23" s="68" t="s">
        <v>160</v>
      </c>
      <c r="M23" s="68" t="s">
        <v>160</v>
      </c>
      <c r="N23" s="68" t="s">
        <v>160</v>
      </c>
      <c r="O23" s="68" t="s">
        <v>160</v>
      </c>
      <c r="P23" s="69" t="s">
        <v>160</v>
      </c>
      <c r="Q23" s="70"/>
      <c r="R23" s="68"/>
      <c r="S23" s="68"/>
      <c r="T23" s="68"/>
      <c r="U23" s="68"/>
      <c r="V23" s="68"/>
      <c r="W23" s="68"/>
      <c r="X23" s="68"/>
      <c r="Y23" s="68"/>
      <c r="Z23" s="68"/>
    </row>
    <row r="24" spans="1:26" ht="18" customHeight="1" x14ac:dyDescent="0.15">
      <c r="B24" s="142"/>
      <c r="C24" s="143"/>
      <c r="D24" s="71"/>
      <c r="E24" s="101"/>
      <c r="F24" s="72"/>
      <c r="G24" s="73"/>
      <c r="H24" s="73"/>
      <c r="I24" s="73"/>
      <c r="J24" s="73"/>
      <c r="K24" s="73"/>
      <c r="L24" s="73"/>
      <c r="M24" s="73"/>
      <c r="N24" s="73"/>
      <c r="O24" s="73"/>
      <c r="P24" s="74"/>
      <c r="Q24" s="75"/>
      <c r="R24" s="73"/>
      <c r="S24" s="73"/>
      <c r="T24" s="73"/>
      <c r="U24" s="73"/>
      <c r="V24" s="73"/>
      <c r="W24" s="73"/>
      <c r="X24" s="73"/>
      <c r="Y24" s="73"/>
      <c r="Z24" s="73"/>
    </row>
    <row r="25" spans="1:26" ht="18" customHeight="1" x14ac:dyDescent="0.15">
      <c r="B25" s="142"/>
      <c r="C25" s="143"/>
      <c r="D25" s="71"/>
      <c r="E25" s="101"/>
      <c r="F25" s="72"/>
      <c r="G25" s="73"/>
      <c r="H25" s="73"/>
      <c r="I25" s="73"/>
      <c r="J25" s="73"/>
      <c r="K25" s="73"/>
      <c r="L25" s="73"/>
      <c r="M25" s="73"/>
      <c r="N25" s="73"/>
      <c r="O25" s="73"/>
      <c r="P25" s="74"/>
      <c r="Q25" s="75"/>
      <c r="R25" s="73"/>
      <c r="S25" s="73"/>
      <c r="T25" s="73"/>
      <c r="U25" s="73"/>
      <c r="V25" s="73"/>
      <c r="W25" s="73"/>
      <c r="X25" s="73"/>
      <c r="Y25" s="73"/>
      <c r="Z25" s="73"/>
    </row>
    <row r="26" spans="1:26" ht="18" customHeight="1" x14ac:dyDescent="0.15">
      <c r="B26" s="142"/>
      <c r="C26" s="143"/>
      <c r="D26" s="71"/>
      <c r="E26" s="101"/>
      <c r="F26" s="72"/>
      <c r="G26" s="73"/>
      <c r="H26" s="73"/>
      <c r="I26" s="73"/>
      <c r="J26" s="73"/>
      <c r="K26" s="73"/>
      <c r="L26" s="73"/>
      <c r="M26" s="73"/>
      <c r="N26" s="73"/>
      <c r="O26" s="73"/>
      <c r="P26" s="74"/>
      <c r="Q26" s="75"/>
      <c r="R26" s="73"/>
      <c r="S26" s="73"/>
      <c r="T26" s="73"/>
      <c r="U26" s="73"/>
      <c r="V26" s="73"/>
      <c r="W26" s="73"/>
      <c r="X26" s="73"/>
      <c r="Y26" s="73"/>
      <c r="Z26" s="73"/>
    </row>
    <row r="27" spans="1:26" ht="18" customHeight="1" x14ac:dyDescent="0.15">
      <c r="B27" s="142"/>
      <c r="C27" s="143"/>
      <c r="D27" s="71"/>
      <c r="E27" s="101"/>
      <c r="F27" s="72"/>
      <c r="G27" s="73"/>
      <c r="H27" s="73"/>
      <c r="I27" s="73"/>
      <c r="J27" s="73"/>
      <c r="K27" s="73"/>
      <c r="L27" s="73"/>
      <c r="M27" s="73"/>
      <c r="N27" s="73"/>
      <c r="O27" s="73"/>
      <c r="P27" s="74"/>
      <c r="Q27" s="75"/>
      <c r="R27" s="73"/>
      <c r="S27" s="73"/>
      <c r="T27" s="73"/>
      <c r="U27" s="73"/>
      <c r="V27" s="73"/>
      <c r="W27" s="73"/>
      <c r="X27" s="73"/>
      <c r="Y27" s="73"/>
      <c r="Z27" s="73"/>
    </row>
    <row r="28" spans="1:26" ht="18" customHeight="1" x14ac:dyDescent="0.15">
      <c r="B28" s="142"/>
      <c r="C28" s="143"/>
      <c r="D28" s="71"/>
      <c r="E28" s="101"/>
      <c r="F28" s="72"/>
      <c r="G28" s="73"/>
      <c r="H28" s="73"/>
      <c r="I28" s="73"/>
      <c r="J28" s="73"/>
      <c r="K28" s="73"/>
      <c r="L28" s="73"/>
      <c r="M28" s="73"/>
      <c r="N28" s="73"/>
      <c r="O28" s="73"/>
      <c r="P28" s="74"/>
      <c r="Q28" s="75"/>
      <c r="R28" s="73"/>
      <c r="S28" s="73"/>
      <c r="T28" s="73"/>
      <c r="U28" s="73"/>
      <c r="V28" s="73"/>
      <c r="W28" s="73"/>
      <c r="X28" s="73"/>
      <c r="Y28" s="73"/>
      <c r="Z28" s="73"/>
    </row>
    <row r="29" spans="1:26" ht="18" customHeight="1" x14ac:dyDescent="0.15">
      <c r="B29" s="142"/>
      <c r="C29" s="143"/>
      <c r="D29" s="71"/>
      <c r="E29" s="101"/>
      <c r="F29" s="72"/>
      <c r="G29" s="73"/>
      <c r="H29" s="73"/>
      <c r="I29" s="73"/>
      <c r="J29" s="73"/>
      <c r="K29" s="73"/>
      <c r="L29" s="73"/>
      <c r="M29" s="73"/>
      <c r="N29" s="73"/>
      <c r="O29" s="73"/>
      <c r="P29" s="74"/>
      <c r="Q29" s="75"/>
      <c r="R29" s="73"/>
      <c r="S29" s="73"/>
      <c r="T29" s="73"/>
      <c r="U29" s="73"/>
      <c r="V29" s="73"/>
      <c r="W29" s="73"/>
      <c r="X29" s="73"/>
      <c r="Y29" s="73"/>
      <c r="Z29" s="73"/>
    </row>
    <row r="30" spans="1:26" ht="18" customHeight="1" x14ac:dyDescent="0.15">
      <c r="B30" s="142"/>
      <c r="C30" s="143"/>
      <c r="D30" s="71"/>
      <c r="E30" s="101"/>
      <c r="F30" s="72"/>
      <c r="G30" s="73"/>
      <c r="H30" s="73"/>
      <c r="I30" s="73"/>
      <c r="J30" s="73"/>
      <c r="K30" s="73"/>
      <c r="L30" s="73"/>
      <c r="M30" s="73"/>
      <c r="N30" s="73"/>
      <c r="O30" s="73"/>
      <c r="P30" s="74"/>
      <c r="Q30" s="75"/>
      <c r="R30" s="73"/>
      <c r="S30" s="73"/>
      <c r="T30" s="73"/>
      <c r="U30" s="73"/>
      <c r="V30" s="73"/>
      <c r="W30" s="73"/>
      <c r="X30" s="73"/>
      <c r="Y30" s="73"/>
      <c r="Z30" s="73"/>
    </row>
    <row r="31" spans="1:26" ht="18" customHeight="1" x14ac:dyDescent="0.15">
      <c r="B31" s="142"/>
      <c r="C31" s="143"/>
      <c r="D31" s="71"/>
      <c r="E31" s="101"/>
      <c r="F31" s="72"/>
      <c r="G31" s="73"/>
      <c r="H31" s="73"/>
      <c r="I31" s="73"/>
      <c r="J31" s="73"/>
      <c r="K31" s="73"/>
      <c r="L31" s="73"/>
      <c r="M31" s="73"/>
      <c r="N31" s="73"/>
      <c r="O31" s="73"/>
      <c r="P31" s="74"/>
      <c r="Q31" s="75"/>
      <c r="R31" s="73"/>
      <c r="S31" s="73"/>
      <c r="T31" s="73"/>
      <c r="U31" s="73"/>
      <c r="V31" s="73"/>
      <c r="W31" s="73"/>
      <c r="X31" s="73"/>
      <c r="Y31" s="73"/>
      <c r="Z31" s="73"/>
    </row>
    <row r="32" spans="1:26" ht="18" customHeight="1" x14ac:dyDescent="0.15">
      <c r="B32" s="142"/>
      <c r="C32" s="143"/>
      <c r="D32" s="76"/>
      <c r="E32" s="102"/>
      <c r="F32" s="77"/>
      <c r="G32" s="78"/>
      <c r="H32" s="78"/>
      <c r="I32" s="78"/>
      <c r="J32" s="78"/>
      <c r="K32" s="78"/>
      <c r="L32" s="78"/>
      <c r="M32" s="78"/>
      <c r="N32" s="78"/>
      <c r="O32" s="78"/>
      <c r="P32" s="79"/>
      <c r="Q32" s="80"/>
      <c r="R32" s="78"/>
      <c r="S32" s="78"/>
      <c r="T32" s="78"/>
      <c r="U32" s="78"/>
      <c r="V32" s="78"/>
      <c r="W32" s="78"/>
      <c r="X32" s="78"/>
      <c r="Y32" s="78"/>
      <c r="Z32" s="78"/>
    </row>
    <row r="33" spans="2:26" ht="18" customHeight="1" x14ac:dyDescent="0.15">
      <c r="B33" s="140" t="s">
        <v>126</v>
      </c>
      <c r="C33" s="141"/>
      <c r="D33" s="81"/>
      <c r="E33" s="103"/>
      <c r="F33" s="82"/>
      <c r="G33" s="83"/>
      <c r="H33" s="83"/>
      <c r="I33" s="83"/>
      <c r="J33" s="83"/>
      <c r="K33" s="83"/>
      <c r="L33" s="83"/>
      <c r="M33" s="83"/>
      <c r="N33" s="83"/>
      <c r="O33" s="83"/>
      <c r="P33" s="84"/>
      <c r="Q33" s="85"/>
      <c r="R33" s="83"/>
      <c r="S33" s="83"/>
      <c r="T33" s="83"/>
      <c r="U33" s="83"/>
      <c r="V33" s="83"/>
      <c r="W33" s="83"/>
      <c r="X33" s="83"/>
      <c r="Y33" s="83"/>
      <c r="Z33" s="83"/>
    </row>
    <row r="34" spans="2:26" ht="18" customHeight="1" x14ac:dyDescent="0.15">
      <c r="B34" s="142"/>
      <c r="C34" s="143"/>
      <c r="D34" s="71"/>
      <c r="E34" s="101"/>
      <c r="F34" s="72"/>
      <c r="G34" s="73"/>
      <c r="H34" s="73"/>
      <c r="I34" s="73"/>
      <c r="J34" s="73"/>
      <c r="K34" s="73"/>
      <c r="L34" s="73"/>
      <c r="M34" s="73"/>
      <c r="N34" s="73"/>
      <c r="O34" s="73"/>
      <c r="P34" s="74"/>
      <c r="Q34" s="75"/>
      <c r="R34" s="73"/>
      <c r="S34" s="73"/>
      <c r="T34" s="73"/>
      <c r="U34" s="73"/>
      <c r="V34" s="73"/>
      <c r="W34" s="73"/>
      <c r="X34" s="73"/>
      <c r="Y34" s="73"/>
      <c r="Z34" s="73"/>
    </row>
    <row r="35" spans="2:26" ht="18" customHeight="1" x14ac:dyDescent="0.15">
      <c r="B35" s="142"/>
      <c r="C35" s="143"/>
      <c r="D35" s="71"/>
      <c r="E35" s="101"/>
      <c r="F35" s="72"/>
      <c r="G35" s="73"/>
      <c r="H35" s="73"/>
      <c r="I35" s="73"/>
      <c r="J35" s="73"/>
      <c r="K35" s="73"/>
      <c r="L35" s="73"/>
      <c r="M35" s="73"/>
      <c r="N35" s="73"/>
      <c r="O35" s="73"/>
      <c r="P35" s="74"/>
      <c r="Q35" s="75"/>
      <c r="R35" s="73"/>
      <c r="S35" s="73"/>
      <c r="T35" s="73"/>
      <c r="U35" s="73"/>
      <c r="V35" s="73"/>
      <c r="W35" s="73"/>
      <c r="X35" s="73"/>
      <c r="Y35" s="73"/>
      <c r="Z35" s="73"/>
    </row>
    <row r="36" spans="2:26" ht="18" customHeight="1" x14ac:dyDescent="0.15">
      <c r="B36" s="142"/>
      <c r="C36" s="143"/>
      <c r="D36" s="71"/>
      <c r="E36" s="101"/>
      <c r="F36" s="72"/>
      <c r="G36" s="73"/>
      <c r="H36" s="73"/>
      <c r="I36" s="73"/>
      <c r="J36" s="73"/>
      <c r="K36" s="73"/>
      <c r="L36" s="73"/>
      <c r="M36" s="73"/>
      <c r="N36" s="73"/>
      <c r="O36" s="73"/>
      <c r="P36" s="74"/>
      <c r="Q36" s="75"/>
      <c r="R36" s="73"/>
      <c r="S36" s="73"/>
      <c r="T36" s="73"/>
      <c r="U36" s="73"/>
      <c r="V36" s="73"/>
      <c r="W36" s="73"/>
      <c r="X36" s="73"/>
      <c r="Y36" s="73"/>
      <c r="Z36" s="73"/>
    </row>
    <row r="37" spans="2:26" ht="18" customHeight="1" x14ac:dyDescent="0.15">
      <c r="B37" s="142"/>
      <c r="C37" s="143"/>
      <c r="D37" s="71"/>
      <c r="E37" s="101"/>
      <c r="F37" s="72"/>
      <c r="G37" s="73"/>
      <c r="H37" s="73"/>
      <c r="I37" s="73"/>
      <c r="J37" s="73"/>
      <c r="K37" s="73"/>
      <c r="L37" s="73"/>
      <c r="M37" s="73"/>
      <c r="N37" s="73"/>
      <c r="O37" s="73"/>
      <c r="P37" s="74"/>
      <c r="Q37" s="75"/>
      <c r="R37" s="73"/>
      <c r="S37" s="73"/>
      <c r="T37" s="73"/>
      <c r="U37" s="73"/>
      <c r="V37" s="73"/>
      <c r="W37" s="73"/>
      <c r="X37" s="73"/>
      <c r="Y37" s="73"/>
      <c r="Z37" s="73"/>
    </row>
    <row r="38" spans="2:26" ht="18" customHeight="1" x14ac:dyDescent="0.15">
      <c r="B38" s="142"/>
      <c r="C38" s="143"/>
      <c r="D38" s="71"/>
      <c r="E38" s="101"/>
      <c r="F38" s="72"/>
      <c r="G38" s="73"/>
      <c r="H38" s="73"/>
      <c r="I38" s="73"/>
      <c r="J38" s="73"/>
      <c r="K38" s="73"/>
      <c r="L38" s="73"/>
      <c r="M38" s="73"/>
      <c r="N38" s="73"/>
      <c r="O38" s="73"/>
      <c r="P38" s="74"/>
      <c r="Q38" s="75"/>
      <c r="R38" s="73"/>
      <c r="S38" s="73"/>
      <c r="T38" s="73"/>
      <c r="U38" s="73"/>
      <c r="V38" s="73"/>
      <c r="W38" s="73"/>
      <c r="X38" s="73"/>
      <c r="Y38" s="73"/>
      <c r="Z38" s="73"/>
    </row>
    <row r="39" spans="2:26" ht="18" customHeight="1" x14ac:dyDescent="0.15">
      <c r="B39" s="142"/>
      <c r="C39" s="143"/>
      <c r="D39" s="71"/>
      <c r="E39" s="101"/>
      <c r="F39" s="72"/>
      <c r="G39" s="73"/>
      <c r="H39" s="73"/>
      <c r="I39" s="73"/>
      <c r="J39" s="73"/>
      <c r="K39" s="73"/>
      <c r="L39" s="73"/>
      <c r="M39" s="73"/>
      <c r="N39" s="73"/>
      <c r="O39" s="73"/>
      <c r="P39" s="74"/>
      <c r="Q39" s="75"/>
      <c r="R39" s="73"/>
      <c r="S39" s="73"/>
      <c r="T39" s="73"/>
      <c r="U39" s="73"/>
      <c r="V39" s="73"/>
      <c r="W39" s="73"/>
      <c r="X39" s="73"/>
      <c r="Y39" s="73"/>
      <c r="Z39" s="73"/>
    </row>
    <row r="40" spans="2:26" ht="18" customHeight="1" x14ac:dyDescent="0.15">
      <c r="B40" s="142"/>
      <c r="C40" s="143"/>
      <c r="D40" s="71"/>
      <c r="E40" s="101"/>
      <c r="F40" s="72"/>
      <c r="G40" s="73"/>
      <c r="H40" s="73"/>
      <c r="I40" s="73"/>
      <c r="J40" s="73"/>
      <c r="K40" s="73"/>
      <c r="L40" s="73"/>
      <c r="M40" s="73"/>
      <c r="N40" s="73"/>
      <c r="O40" s="73"/>
      <c r="P40" s="74"/>
      <c r="Q40" s="75"/>
      <c r="R40" s="73"/>
      <c r="S40" s="73"/>
      <c r="T40" s="73"/>
      <c r="U40" s="73"/>
      <c r="V40" s="73"/>
      <c r="W40" s="73"/>
      <c r="X40" s="73"/>
      <c r="Y40" s="73"/>
      <c r="Z40" s="73"/>
    </row>
    <row r="41" spans="2:26" ht="18" customHeight="1" x14ac:dyDescent="0.15">
      <c r="B41" s="142"/>
      <c r="C41" s="143"/>
      <c r="D41" s="71"/>
      <c r="E41" s="101"/>
      <c r="F41" s="72"/>
      <c r="G41" s="73"/>
      <c r="H41" s="73"/>
      <c r="I41" s="73"/>
      <c r="J41" s="73"/>
      <c r="K41" s="73"/>
      <c r="L41" s="73"/>
      <c r="M41" s="73"/>
      <c r="N41" s="73"/>
      <c r="O41" s="73"/>
      <c r="P41" s="74"/>
      <c r="Q41" s="75"/>
      <c r="R41" s="73"/>
      <c r="S41" s="73"/>
      <c r="T41" s="73"/>
      <c r="U41" s="73"/>
      <c r="V41" s="73"/>
      <c r="W41" s="73"/>
      <c r="X41" s="73"/>
      <c r="Y41" s="73"/>
      <c r="Z41" s="73"/>
    </row>
    <row r="42" spans="2:26" ht="18" customHeight="1" x14ac:dyDescent="0.15">
      <c r="B42" s="154"/>
      <c r="C42" s="155"/>
      <c r="D42" s="76"/>
      <c r="E42" s="104"/>
      <c r="F42" s="77"/>
      <c r="G42" s="78"/>
      <c r="H42" s="78"/>
      <c r="I42" s="78"/>
      <c r="J42" s="78"/>
      <c r="K42" s="78"/>
      <c r="L42" s="78"/>
      <c r="M42" s="78"/>
      <c r="N42" s="78"/>
      <c r="O42" s="78"/>
      <c r="P42" s="79"/>
      <c r="Q42" s="80"/>
      <c r="R42" s="78"/>
      <c r="S42" s="78"/>
      <c r="T42" s="78"/>
      <c r="U42" s="78"/>
      <c r="V42" s="78"/>
      <c r="W42" s="78"/>
      <c r="X42" s="78"/>
      <c r="Y42" s="78"/>
      <c r="Z42" s="78"/>
    </row>
    <row r="43" spans="2:26" ht="18" customHeight="1" x14ac:dyDescent="0.15">
      <c r="B43" s="156" t="s">
        <v>127</v>
      </c>
      <c r="C43" s="157"/>
      <c r="D43" s="71" t="s">
        <v>142</v>
      </c>
      <c r="E43" s="101">
        <v>2</v>
      </c>
      <c r="F43" s="72"/>
      <c r="G43" s="73"/>
      <c r="H43" s="73"/>
      <c r="I43" s="73"/>
      <c r="J43" s="73"/>
      <c r="K43" s="73"/>
      <c r="L43" s="73"/>
      <c r="M43" s="73"/>
      <c r="N43" s="73"/>
      <c r="O43" s="73"/>
      <c r="P43" s="74"/>
      <c r="Q43" s="75"/>
      <c r="R43" s="73"/>
      <c r="S43" s="73" t="s">
        <v>160</v>
      </c>
      <c r="T43" s="73"/>
      <c r="U43" s="73"/>
      <c r="V43" s="73"/>
      <c r="W43" s="73"/>
      <c r="X43" s="73"/>
      <c r="Y43" s="73"/>
      <c r="Z43" s="73"/>
    </row>
    <row r="44" spans="2:26" ht="18" customHeight="1" x14ac:dyDescent="0.15">
      <c r="B44" s="156"/>
      <c r="C44" s="157"/>
      <c r="D44" s="71" t="s">
        <v>143</v>
      </c>
      <c r="E44" s="101">
        <v>2</v>
      </c>
      <c r="F44" s="72"/>
      <c r="G44" s="73"/>
      <c r="H44" s="73"/>
      <c r="I44" s="73"/>
      <c r="J44" s="73"/>
      <c r="K44" s="73"/>
      <c r="L44" s="73"/>
      <c r="M44" s="73"/>
      <c r="N44" s="73"/>
      <c r="O44" s="73"/>
      <c r="P44" s="74"/>
      <c r="Q44" s="75"/>
      <c r="R44" s="73"/>
      <c r="S44" s="73" t="s">
        <v>160</v>
      </c>
      <c r="T44" s="73"/>
      <c r="U44" s="73"/>
      <c r="V44" s="73"/>
      <c r="W44" s="73"/>
      <c r="X44" s="73"/>
      <c r="Y44" s="73"/>
      <c r="Z44" s="73"/>
    </row>
    <row r="45" spans="2:26" ht="18" customHeight="1" x14ac:dyDescent="0.15">
      <c r="B45" s="156"/>
      <c r="C45" s="157"/>
      <c r="D45" s="71"/>
      <c r="E45" s="101"/>
      <c r="F45" s="72"/>
      <c r="G45" s="73"/>
      <c r="H45" s="73"/>
      <c r="I45" s="73"/>
      <c r="J45" s="73"/>
      <c r="K45" s="73"/>
      <c r="L45" s="73"/>
      <c r="M45" s="73"/>
      <c r="N45" s="73"/>
      <c r="O45" s="73"/>
      <c r="P45" s="74"/>
      <c r="Q45" s="75"/>
      <c r="R45" s="73"/>
      <c r="S45" s="73"/>
      <c r="T45" s="73"/>
      <c r="U45" s="73"/>
      <c r="V45" s="73"/>
      <c r="W45" s="73"/>
      <c r="X45" s="73"/>
      <c r="Y45" s="73"/>
      <c r="Z45" s="73"/>
    </row>
    <row r="46" spans="2:26" ht="18" customHeight="1" x14ac:dyDescent="0.15">
      <c r="B46" s="156"/>
      <c r="C46" s="157"/>
      <c r="D46" s="71"/>
      <c r="E46" s="101"/>
      <c r="F46" s="72"/>
      <c r="G46" s="73"/>
      <c r="H46" s="73"/>
      <c r="I46" s="73"/>
      <c r="J46" s="73"/>
      <c r="K46" s="73"/>
      <c r="L46" s="73"/>
      <c r="M46" s="73"/>
      <c r="N46" s="73"/>
      <c r="O46" s="73"/>
      <c r="P46" s="74"/>
      <c r="Q46" s="75"/>
      <c r="R46" s="73"/>
      <c r="S46" s="73"/>
      <c r="T46" s="73"/>
      <c r="U46" s="73"/>
      <c r="V46" s="73"/>
      <c r="W46" s="73"/>
      <c r="X46" s="73"/>
      <c r="Y46" s="73"/>
      <c r="Z46" s="73"/>
    </row>
    <row r="47" spans="2:26" ht="18" customHeight="1" x14ac:dyDescent="0.15">
      <c r="B47" s="156"/>
      <c r="C47" s="157"/>
      <c r="D47" s="71"/>
      <c r="E47" s="101"/>
      <c r="F47" s="72"/>
      <c r="G47" s="73"/>
      <c r="H47" s="73"/>
      <c r="I47" s="73"/>
      <c r="J47" s="73"/>
      <c r="K47" s="73"/>
      <c r="L47" s="73"/>
      <c r="M47" s="73"/>
      <c r="N47" s="73"/>
      <c r="O47" s="73"/>
      <c r="P47" s="74"/>
      <c r="Q47" s="75"/>
      <c r="R47" s="73"/>
      <c r="S47" s="73"/>
      <c r="T47" s="73"/>
      <c r="U47" s="73"/>
      <c r="V47" s="73"/>
      <c r="W47" s="73"/>
      <c r="X47" s="73"/>
      <c r="Y47" s="73"/>
      <c r="Z47" s="73"/>
    </row>
    <row r="48" spans="2:26" ht="18" customHeight="1" x14ac:dyDescent="0.15">
      <c r="B48" s="156"/>
      <c r="C48" s="157"/>
      <c r="D48" s="71"/>
      <c r="E48" s="101"/>
      <c r="F48" s="72"/>
      <c r="G48" s="73"/>
      <c r="H48" s="73"/>
      <c r="I48" s="73"/>
      <c r="J48" s="73"/>
      <c r="K48" s="73"/>
      <c r="L48" s="73"/>
      <c r="M48" s="73"/>
      <c r="N48" s="73"/>
      <c r="O48" s="73"/>
      <c r="P48" s="74"/>
      <c r="Q48" s="75"/>
      <c r="R48" s="73"/>
      <c r="S48" s="73"/>
      <c r="T48" s="73"/>
      <c r="U48" s="73"/>
      <c r="V48" s="73"/>
      <c r="W48" s="73"/>
      <c r="X48" s="73"/>
      <c r="Y48" s="73"/>
      <c r="Z48" s="73"/>
    </row>
    <row r="49" spans="1:26" ht="18" customHeight="1" x14ac:dyDescent="0.15">
      <c r="B49" s="156"/>
      <c r="C49" s="157"/>
      <c r="D49" s="71"/>
      <c r="E49" s="101"/>
      <c r="F49" s="72"/>
      <c r="G49" s="73"/>
      <c r="H49" s="73"/>
      <c r="I49" s="73"/>
      <c r="J49" s="73"/>
      <c r="K49" s="73"/>
      <c r="L49" s="73"/>
      <c r="M49" s="73"/>
      <c r="N49" s="73"/>
      <c r="O49" s="73"/>
      <c r="P49" s="74"/>
      <c r="Q49" s="75"/>
      <c r="R49" s="73"/>
      <c r="S49" s="73"/>
      <c r="T49" s="73"/>
      <c r="U49" s="73"/>
      <c r="V49" s="73"/>
      <c r="W49" s="73"/>
      <c r="X49" s="73"/>
      <c r="Y49" s="73"/>
      <c r="Z49" s="73"/>
    </row>
    <row r="50" spans="1:26" ht="18" customHeight="1" x14ac:dyDescent="0.15">
      <c r="B50" s="156"/>
      <c r="C50" s="157"/>
      <c r="D50" s="71"/>
      <c r="E50" s="101"/>
      <c r="F50" s="72"/>
      <c r="G50" s="73"/>
      <c r="H50" s="73"/>
      <c r="I50" s="73"/>
      <c r="J50" s="73"/>
      <c r="K50" s="73"/>
      <c r="L50" s="73"/>
      <c r="M50" s="73"/>
      <c r="N50" s="73"/>
      <c r="O50" s="73"/>
      <c r="P50" s="74"/>
      <c r="Q50" s="75"/>
      <c r="R50" s="73"/>
      <c r="S50" s="73"/>
      <c r="T50" s="73"/>
      <c r="U50" s="73"/>
      <c r="V50" s="73"/>
      <c r="W50" s="73"/>
      <c r="X50" s="73"/>
      <c r="Y50" s="73"/>
      <c r="Z50" s="73"/>
    </row>
    <row r="51" spans="1:26" ht="18" customHeight="1" x14ac:dyDescent="0.15">
      <c r="B51" s="156"/>
      <c r="C51" s="157"/>
      <c r="D51" s="71"/>
      <c r="E51" s="101"/>
      <c r="F51" s="72"/>
      <c r="G51" s="73"/>
      <c r="H51" s="73"/>
      <c r="I51" s="73"/>
      <c r="J51" s="73"/>
      <c r="K51" s="73"/>
      <c r="L51" s="73"/>
      <c r="M51" s="73"/>
      <c r="N51" s="73"/>
      <c r="O51" s="73"/>
      <c r="P51" s="74"/>
      <c r="Q51" s="75"/>
      <c r="R51" s="73"/>
      <c r="S51" s="73"/>
      <c r="T51" s="73"/>
      <c r="U51" s="73"/>
      <c r="V51" s="73"/>
      <c r="W51" s="73"/>
      <c r="X51" s="73"/>
      <c r="Y51" s="73"/>
      <c r="Z51" s="73"/>
    </row>
    <row r="52" spans="1:26" ht="18" customHeight="1" thickBot="1" x14ac:dyDescent="0.2">
      <c r="B52" s="158"/>
      <c r="C52" s="159"/>
      <c r="D52" s="76"/>
      <c r="E52" s="104"/>
      <c r="F52" s="86"/>
      <c r="G52" s="87"/>
      <c r="H52" s="87"/>
      <c r="I52" s="87"/>
      <c r="J52" s="87"/>
      <c r="K52" s="87"/>
      <c r="L52" s="87"/>
      <c r="M52" s="87"/>
      <c r="N52" s="87"/>
      <c r="O52" s="87"/>
      <c r="P52" s="88"/>
      <c r="Q52" s="80"/>
      <c r="R52" s="78"/>
      <c r="S52" s="78"/>
      <c r="T52" s="78"/>
      <c r="U52" s="78"/>
      <c r="V52" s="78"/>
      <c r="W52" s="78"/>
      <c r="X52" s="78"/>
      <c r="Y52" s="78"/>
      <c r="Z52" s="78"/>
    </row>
    <row r="53" spans="1:26" ht="18" customHeight="1" x14ac:dyDescent="0.15">
      <c r="A53" s="11"/>
      <c r="B53" s="35"/>
      <c r="C53" s="35"/>
      <c r="D53" s="35"/>
      <c r="E53" s="35"/>
      <c r="F53" s="35"/>
      <c r="G53" s="20"/>
      <c r="H53" s="20"/>
      <c r="I53" s="20"/>
      <c r="J53" s="20"/>
      <c r="K53" s="20"/>
      <c r="L53" s="20"/>
      <c r="M53" s="20"/>
      <c r="N53" s="20"/>
      <c r="O53" s="20"/>
      <c r="P53" s="35"/>
      <c r="Q53" s="35"/>
      <c r="R53" s="35"/>
      <c r="S53" s="35"/>
      <c r="T53" s="35"/>
      <c r="U53" s="35"/>
      <c r="V53" s="35"/>
      <c r="W53" s="20"/>
      <c r="X53" s="20"/>
      <c r="Y53" s="20"/>
      <c r="Z53" s="20"/>
    </row>
    <row r="54" spans="1:26" ht="18.75" customHeight="1" x14ac:dyDescent="0.15">
      <c r="A54" s="7" t="s">
        <v>115</v>
      </c>
    </row>
    <row r="55" spans="1:26" ht="18.75" customHeight="1" x14ac:dyDescent="0.15">
      <c r="B55" s="163" t="s">
        <v>49</v>
      </c>
      <c r="C55" s="164"/>
      <c r="D55" s="4" t="s">
        <v>128</v>
      </c>
    </row>
    <row r="56" spans="1:26" ht="57" x14ac:dyDescent="0.15">
      <c r="B56" s="160" t="s">
        <v>55</v>
      </c>
      <c r="C56" s="89" t="s">
        <v>50</v>
      </c>
      <c r="D56" s="56" t="s">
        <v>165</v>
      </c>
      <c r="E56" s="90"/>
      <c r="F56" s="90"/>
      <c r="G56" s="90"/>
      <c r="H56" s="90"/>
      <c r="I56" s="90"/>
      <c r="J56" s="90"/>
      <c r="K56" s="90"/>
      <c r="L56" s="90"/>
      <c r="M56" s="90"/>
      <c r="N56" s="90"/>
      <c r="O56" s="90"/>
      <c r="P56" s="90"/>
      <c r="Q56" s="90"/>
      <c r="R56" s="90"/>
      <c r="S56" s="90"/>
      <c r="T56" s="90"/>
      <c r="U56" s="90"/>
      <c r="V56" s="90"/>
      <c r="W56" s="90"/>
      <c r="X56" s="90"/>
      <c r="Y56" s="90"/>
      <c r="Z56" s="90"/>
    </row>
    <row r="57" spans="1:26" ht="57" x14ac:dyDescent="0.15">
      <c r="B57" s="161"/>
      <c r="C57" s="91" t="s">
        <v>67</v>
      </c>
      <c r="D57" s="135" t="s">
        <v>166</v>
      </c>
      <c r="E57" s="92"/>
      <c r="F57" s="92"/>
      <c r="G57" s="92"/>
      <c r="H57" s="92"/>
      <c r="I57" s="92"/>
      <c r="J57" s="92"/>
      <c r="K57" s="92"/>
      <c r="L57" s="92"/>
      <c r="M57" s="92"/>
      <c r="N57" s="92"/>
      <c r="O57" s="92"/>
      <c r="P57" s="92"/>
      <c r="Q57" s="92"/>
      <c r="R57" s="92"/>
      <c r="S57" s="92"/>
      <c r="T57" s="92"/>
      <c r="U57" s="92"/>
      <c r="V57" s="92"/>
      <c r="W57" s="92"/>
      <c r="X57" s="92"/>
      <c r="Y57" s="92"/>
      <c r="Z57" s="92"/>
    </row>
    <row r="58" spans="1:26" ht="57" x14ac:dyDescent="0.15">
      <c r="B58" s="160" t="s">
        <v>56</v>
      </c>
      <c r="C58" s="93" t="s">
        <v>61</v>
      </c>
      <c r="D58" s="136" t="s">
        <v>167</v>
      </c>
      <c r="E58" s="92"/>
      <c r="F58" s="92"/>
      <c r="G58" s="92"/>
      <c r="H58" s="92"/>
      <c r="I58" s="92"/>
      <c r="J58" s="92"/>
      <c r="K58" s="92"/>
      <c r="L58" s="92"/>
      <c r="M58" s="92"/>
      <c r="N58" s="92"/>
      <c r="O58" s="92"/>
      <c r="P58" s="92"/>
      <c r="Q58" s="92"/>
      <c r="R58" s="92"/>
      <c r="S58" s="92"/>
      <c r="T58" s="92"/>
      <c r="U58" s="92"/>
      <c r="V58" s="92"/>
      <c r="W58" s="92"/>
      <c r="X58" s="92"/>
      <c r="Y58" s="92"/>
      <c r="Z58" s="92"/>
    </row>
    <row r="59" spans="1:26" ht="71.25" x14ac:dyDescent="0.15">
      <c r="B59" s="162"/>
      <c r="C59" s="94" t="s">
        <v>62</v>
      </c>
      <c r="D59" s="137" t="s">
        <v>168</v>
      </c>
      <c r="E59" s="92"/>
      <c r="F59" s="92"/>
      <c r="G59" s="92"/>
      <c r="H59" s="92"/>
      <c r="I59" s="92"/>
      <c r="J59" s="92"/>
      <c r="K59" s="92"/>
      <c r="L59" s="92"/>
      <c r="M59" s="92"/>
      <c r="N59" s="92"/>
      <c r="O59" s="92"/>
      <c r="P59" s="92"/>
      <c r="Q59" s="92"/>
      <c r="R59" s="92"/>
      <c r="S59" s="92"/>
      <c r="T59" s="92"/>
      <c r="U59" s="92"/>
      <c r="V59" s="92"/>
      <c r="W59" s="92"/>
      <c r="X59" s="92"/>
      <c r="Y59" s="92"/>
      <c r="Z59" s="92"/>
    </row>
    <row r="60" spans="1:26" ht="85.5" x14ac:dyDescent="0.15">
      <c r="B60" s="160" t="s">
        <v>57</v>
      </c>
      <c r="C60" s="93" t="s">
        <v>63</v>
      </c>
      <c r="D60" s="56" t="s">
        <v>169</v>
      </c>
      <c r="E60" s="92"/>
      <c r="F60" s="92"/>
      <c r="G60" s="92"/>
      <c r="H60" s="92"/>
      <c r="I60" s="92"/>
      <c r="J60" s="92"/>
      <c r="K60" s="92"/>
      <c r="L60" s="92"/>
      <c r="M60" s="92"/>
      <c r="N60" s="92"/>
      <c r="O60" s="92"/>
      <c r="P60" s="92"/>
      <c r="Q60" s="92"/>
      <c r="R60" s="92"/>
      <c r="S60" s="92"/>
      <c r="T60" s="92"/>
      <c r="U60" s="92"/>
      <c r="V60" s="92"/>
      <c r="W60" s="92"/>
      <c r="X60" s="92"/>
      <c r="Y60" s="92"/>
      <c r="Z60" s="92"/>
    </row>
    <row r="61" spans="1:26" ht="85.5" x14ac:dyDescent="0.15">
      <c r="B61" s="162"/>
      <c r="C61" s="95" t="s">
        <v>64</v>
      </c>
      <c r="D61" s="135" t="s">
        <v>172</v>
      </c>
      <c r="E61" s="92"/>
      <c r="F61" s="92"/>
      <c r="G61" s="92"/>
      <c r="H61" s="92"/>
      <c r="I61" s="92"/>
      <c r="J61" s="92"/>
      <c r="K61" s="92"/>
      <c r="L61" s="92"/>
      <c r="M61" s="92"/>
      <c r="N61" s="92"/>
      <c r="O61" s="92"/>
      <c r="P61" s="92"/>
      <c r="Q61" s="92"/>
      <c r="R61" s="92"/>
      <c r="S61" s="92"/>
      <c r="T61" s="92"/>
      <c r="U61" s="92"/>
      <c r="V61" s="92"/>
      <c r="W61" s="92"/>
      <c r="X61" s="92"/>
      <c r="Y61" s="92"/>
      <c r="Z61" s="92"/>
    </row>
    <row r="62" spans="1:26" ht="114" x14ac:dyDescent="0.15">
      <c r="B62" s="160" t="s">
        <v>68</v>
      </c>
      <c r="C62" s="89" t="s">
        <v>52</v>
      </c>
      <c r="D62" s="56" t="s">
        <v>161</v>
      </c>
      <c r="E62" s="92"/>
      <c r="F62" s="92"/>
      <c r="G62" s="92"/>
      <c r="H62" s="92"/>
      <c r="I62" s="92"/>
      <c r="J62" s="92"/>
      <c r="K62" s="92"/>
      <c r="L62" s="92"/>
      <c r="M62" s="92"/>
      <c r="N62" s="92"/>
      <c r="O62" s="92"/>
      <c r="P62" s="92"/>
      <c r="Q62" s="92"/>
      <c r="R62" s="92"/>
      <c r="S62" s="92"/>
      <c r="T62" s="92"/>
      <c r="U62" s="92"/>
      <c r="V62" s="92"/>
      <c r="W62" s="92"/>
      <c r="X62" s="92"/>
      <c r="Y62" s="92"/>
      <c r="Z62" s="92"/>
    </row>
    <row r="63" spans="1:26" ht="85.5" x14ac:dyDescent="0.15">
      <c r="B63" s="162"/>
      <c r="C63" s="94" t="s">
        <v>54</v>
      </c>
      <c r="D63" s="135" t="s">
        <v>162</v>
      </c>
      <c r="E63" s="92"/>
      <c r="F63" s="92"/>
      <c r="G63" s="92"/>
      <c r="H63" s="92"/>
      <c r="I63" s="92"/>
      <c r="J63" s="92"/>
      <c r="K63" s="92"/>
      <c r="L63" s="92"/>
      <c r="M63" s="92"/>
      <c r="N63" s="92"/>
      <c r="O63" s="92"/>
      <c r="P63" s="92"/>
      <c r="Q63" s="92"/>
      <c r="R63" s="92"/>
      <c r="S63" s="92"/>
      <c r="T63" s="92"/>
      <c r="U63" s="92"/>
      <c r="V63" s="92"/>
      <c r="W63" s="92"/>
      <c r="X63" s="92"/>
      <c r="Y63" s="92"/>
      <c r="Z63" s="92"/>
    </row>
    <row r="64" spans="1:26" ht="71.25" x14ac:dyDescent="0.15">
      <c r="B64" s="160" t="s">
        <v>69</v>
      </c>
      <c r="C64" s="93" t="s">
        <v>51</v>
      </c>
      <c r="D64" s="56" t="s">
        <v>170</v>
      </c>
      <c r="E64" s="92"/>
      <c r="F64" s="92"/>
      <c r="G64" s="92"/>
      <c r="H64" s="92"/>
      <c r="I64" s="92"/>
      <c r="J64" s="92"/>
      <c r="K64" s="92"/>
      <c r="L64" s="92"/>
      <c r="M64" s="92"/>
      <c r="N64" s="92"/>
      <c r="O64" s="92"/>
      <c r="P64" s="92"/>
      <c r="Q64" s="92"/>
      <c r="R64" s="92"/>
      <c r="S64" s="92"/>
      <c r="T64" s="92"/>
      <c r="U64" s="92"/>
      <c r="V64" s="92"/>
      <c r="W64" s="92"/>
      <c r="X64" s="92"/>
      <c r="Y64" s="92"/>
      <c r="Z64" s="92"/>
    </row>
    <row r="65" spans="1:26" ht="71.25" x14ac:dyDescent="0.15">
      <c r="B65" s="161"/>
      <c r="C65" s="96" t="s">
        <v>65</v>
      </c>
      <c r="D65" s="138" t="s">
        <v>163</v>
      </c>
      <c r="E65" s="97"/>
      <c r="F65" s="97"/>
      <c r="G65" s="97"/>
      <c r="H65" s="97"/>
      <c r="I65" s="97"/>
      <c r="J65" s="97"/>
      <c r="K65" s="97"/>
      <c r="L65" s="97"/>
      <c r="M65" s="97"/>
      <c r="N65" s="97"/>
      <c r="O65" s="97"/>
      <c r="P65" s="97"/>
      <c r="Q65" s="97"/>
      <c r="R65" s="97"/>
      <c r="S65" s="97"/>
      <c r="T65" s="97"/>
      <c r="U65" s="97"/>
      <c r="V65" s="97"/>
      <c r="W65" s="97"/>
      <c r="X65" s="97"/>
      <c r="Y65" s="97"/>
      <c r="Z65" s="97"/>
    </row>
    <row r="66" spans="1:26" ht="71.25" x14ac:dyDescent="0.15">
      <c r="B66" s="162"/>
      <c r="C66" s="95" t="s">
        <v>66</v>
      </c>
      <c r="D66" s="137" t="s">
        <v>164</v>
      </c>
      <c r="E66" s="97"/>
      <c r="F66" s="97"/>
      <c r="G66" s="97"/>
      <c r="H66" s="97"/>
      <c r="I66" s="97"/>
      <c r="J66" s="97"/>
      <c r="K66" s="97"/>
      <c r="L66" s="97"/>
      <c r="M66" s="97"/>
      <c r="N66" s="97"/>
      <c r="O66" s="97"/>
      <c r="P66" s="97"/>
      <c r="Q66" s="97"/>
      <c r="R66" s="97"/>
      <c r="S66" s="97"/>
      <c r="T66" s="97"/>
      <c r="U66" s="97"/>
      <c r="V66" s="97"/>
      <c r="W66" s="97"/>
      <c r="X66" s="97"/>
      <c r="Y66" s="97"/>
      <c r="Z66" s="97"/>
    </row>
    <row r="67" spans="1:26" ht="6" customHeight="1" x14ac:dyDescent="0.15"/>
    <row r="68" spans="1:26" ht="18.75" customHeight="1" x14ac:dyDescent="0.15">
      <c r="A68" s="7" t="s">
        <v>116</v>
      </c>
    </row>
    <row r="69" spans="1:26" ht="71.25" x14ac:dyDescent="0.15">
      <c r="B69" s="15"/>
      <c r="C69" s="15"/>
      <c r="D69" s="139" t="s">
        <v>171</v>
      </c>
      <c r="E69" s="15"/>
      <c r="F69" s="15"/>
      <c r="G69" s="15"/>
      <c r="H69" s="15"/>
      <c r="I69" s="15"/>
      <c r="J69" s="15"/>
      <c r="K69" s="15"/>
      <c r="L69" s="15"/>
      <c r="M69" s="15"/>
      <c r="N69" s="15"/>
      <c r="O69" s="15"/>
      <c r="P69" s="15"/>
      <c r="Q69" s="15"/>
      <c r="R69" s="15"/>
      <c r="S69" s="15"/>
      <c r="T69" s="15"/>
      <c r="U69" s="15"/>
      <c r="V69" s="15"/>
      <c r="W69" s="15"/>
      <c r="X69" s="15"/>
      <c r="Y69" s="15"/>
      <c r="Z69" s="15"/>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1"/>
  <sheetViews>
    <sheetView view="pageBreakPreview" zoomScaleNormal="100" zoomScaleSheetLayoutView="100" workbookViewId="0">
      <selection activeCell="W23" sqref="W23"/>
    </sheetView>
  </sheetViews>
  <sheetFormatPr defaultColWidth="9" defaultRowHeight="18.75" customHeight="1" x14ac:dyDescent="0.15"/>
  <cols>
    <col min="1" max="1" width="2.75" style="7" customWidth="1"/>
    <col min="2" max="2" width="27.875" style="7" customWidth="1"/>
    <col min="3" max="3" width="8" style="7" customWidth="1"/>
    <col min="4" max="4" width="8.25" style="7" customWidth="1"/>
    <col min="5" max="19" width="6.125" style="7" customWidth="1"/>
    <col min="20" max="20" width="6.625" style="7" customWidth="1"/>
    <col min="21" max="16384" width="9" style="7"/>
  </cols>
  <sheetData>
    <row r="1" spans="1:22" ht="18" customHeight="1" x14ac:dyDescent="0.15">
      <c r="T1" s="7" t="s">
        <v>84</v>
      </c>
    </row>
    <row r="2" spans="1:22" ht="18" customHeight="1" x14ac:dyDescent="0.15">
      <c r="A2" s="168" t="s">
        <v>94</v>
      </c>
      <c r="B2" s="168"/>
      <c r="C2" s="168"/>
      <c r="D2" s="168"/>
      <c r="E2" s="168"/>
      <c r="F2" s="168"/>
      <c r="G2" s="168"/>
      <c r="H2" s="168"/>
      <c r="I2" s="168"/>
      <c r="J2" s="168"/>
      <c r="K2" s="168"/>
      <c r="L2" s="168"/>
      <c r="M2" s="168"/>
      <c r="N2" s="168"/>
      <c r="O2" s="168"/>
      <c r="P2" s="168"/>
      <c r="Q2" s="168"/>
      <c r="R2" s="168"/>
      <c r="S2" s="168"/>
      <c r="T2" s="168"/>
    </row>
    <row r="3" spans="1:22" ht="7.5" customHeight="1" x14ac:dyDescent="0.15">
      <c r="A3" s="11"/>
      <c r="B3" s="11"/>
      <c r="C3" s="11"/>
      <c r="D3" s="11"/>
      <c r="E3" s="11"/>
      <c r="F3" s="11"/>
      <c r="G3" s="11"/>
      <c r="H3" s="11"/>
      <c r="I3" s="11"/>
      <c r="J3" s="11"/>
      <c r="K3" s="11"/>
      <c r="L3" s="11"/>
      <c r="M3" s="11"/>
      <c r="N3" s="11"/>
      <c r="O3" s="11"/>
      <c r="P3" s="11"/>
      <c r="Q3" s="11"/>
      <c r="R3" s="11"/>
      <c r="S3" s="11"/>
      <c r="T3" s="11"/>
    </row>
    <row r="4" spans="1:22" ht="18" customHeight="1" x14ac:dyDescent="0.15">
      <c r="A4" s="7" t="s">
        <v>71</v>
      </c>
      <c r="C4" s="19" t="s">
        <v>140</v>
      </c>
      <c r="D4" s="7" t="s">
        <v>112</v>
      </c>
      <c r="E4" s="35"/>
      <c r="F4" s="9"/>
      <c r="G4" s="11"/>
      <c r="H4" s="11"/>
      <c r="I4" s="11"/>
      <c r="J4" s="11"/>
      <c r="K4" s="11"/>
      <c r="L4" s="11"/>
      <c r="M4" s="11"/>
      <c r="N4" s="11"/>
      <c r="O4" s="11"/>
      <c r="P4" s="11"/>
      <c r="Q4" s="11"/>
      <c r="R4" s="11"/>
      <c r="S4" s="35"/>
      <c r="T4" s="35"/>
    </row>
    <row r="5" spans="1:22" ht="7.15" customHeight="1" x14ac:dyDescent="0.15">
      <c r="C5" s="20"/>
      <c r="D5" s="20"/>
      <c r="E5" s="20"/>
      <c r="F5" s="11"/>
      <c r="G5" s="11"/>
      <c r="H5" s="11"/>
      <c r="I5" s="11"/>
      <c r="J5" s="11"/>
      <c r="K5" s="11"/>
      <c r="L5" s="11"/>
      <c r="M5" s="11"/>
      <c r="N5" s="11"/>
      <c r="O5" s="11"/>
      <c r="P5" s="11"/>
      <c r="Q5" s="11"/>
      <c r="R5" s="11"/>
      <c r="S5" s="35"/>
      <c r="T5" s="35"/>
    </row>
    <row r="6" spans="1:22" ht="18" customHeight="1" x14ac:dyDescent="0.15">
      <c r="A6" s="7" t="s">
        <v>110</v>
      </c>
      <c r="B6" s="11"/>
      <c r="C6" s="11"/>
      <c r="D6" s="11"/>
      <c r="E6" s="11"/>
      <c r="F6" s="11"/>
      <c r="G6" s="11"/>
      <c r="H6" s="11"/>
      <c r="I6" s="11"/>
      <c r="J6" s="11"/>
      <c r="K6" s="11"/>
      <c r="L6" s="11"/>
      <c r="M6" s="11"/>
      <c r="N6" s="11"/>
      <c r="O6" s="11"/>
      <c r="P6" s="11"/>
      <c r="Q6" s="11"/>
      <c r="R6" s="11"/>
      <c r="S6" s="11"/>
      <c r="T6" s="11"/>
    </row>
    <row r="7" spans="1:22" ht="6" customHeight="1" x14ac:dyDescent="0.15">
      <c r="B7" s="11"/>
      <c r="C7" s="11"/>
      <c r="D7" s="11"/>
      <c r="E7" s="11"/>
      <c r="F7" s="11"/>
      <c r="G7" s="11"/>
      <c r="H7" s="11"/>
      <c r="I7" s="11"/>
      <c r="J7" s="11"/>
      <c r="K7" s="11"/>
      <c r="L7" s="11"/>
      <c r="M7" s="11"/>
      <c r="N7" s="11"/>
      <c r="O7" s="11"/>
      <c r="P7" s="11"/>
      <c r="Q7" s="11"/>
      <c r="R7" s="11"/>
      <c r="S7" s="11"/>
      <c r="T7" s="11"/>
    </row>
    <row r="8" spans="1:22" ht="18" customHeight="1" x14ac:dyDescent="0.15">
      <c r="B8" s="169" t="s">
        <v>43</v>
      </c>
      <c r="C8" s="165" t="s">
        <v>73</v>
      </c>
      <c r="D8" s="166"/>
      <c r="E8" s="171" t="s">
        <v>45</v>
      </c>
      <c r="F8" s="165" t="s">
        <v>38</v>
      </c>
      <c r="G8" s="167" t="s">
        <v>108</v>
      </c>
      <c r="H8" s="167"/>
      <c r="I8" s="167" t="s">
        <v>92</v>
      </c>
      <c r="J8" s="167"/>
      <c r="K8" s="167" t="s">
        <v>86</v>
      </c>
      <c r="L8" s="167"/>
      <c r="M8" s="167" t="s">
        <v>72</v>
      </c>
      <c r="N8" s="167"/>
      <c r="O8" s="167" t="s">
        <v>46</v>
      </c>
      <c r="P8" s="167"/>
      <c r="Q8" s="167" t="s">
        <v>47</v>
      </c>
      <c r="R8" s="178"/>
      <c r="S8" s="174" t="s">
        <v>35</v>
      </c>
      <c r="T8" s="176" t="s">
        <v>32</v>
      </c>
      <c r="V8" s="12"/>
    </row>
    <row r="9" spans="1:22" ht="16.899999999999999" customHeight="1" x14ac:dyDescent="0.15">
      <c r="B9" s="170"/>
      <c r="C9" s="1"/>
      <c r="D9" s="2" t="s">
        <v>111</v>
      </c>
      <c r="E9" s="172"/>
      <c r="F9" s="173"/>
      <c r="G9" s="34" t="s">
        <v>79</v>
      </c>
      <c r="H9" s="34" t="s">
        <v>29</v>
      </c>
      <c r="I9" s="34" t="s">
        <v>79</v>
      </c>
      <c r="J9" s="34" t="s">
        <v>29</v>
      </c>
      <c r="K9" s="34" t="s">
        <v>79</v>
      </c>
      <c r="L9" s="34" t="s">
        <v>29</v>
      </c>
      <c r="M9" s="34" t="s">
        <v>79</v>
      </c>
      <c r="N9" s="34" t="s">
        <v>29</v>
      </c>
      <c r="O9" s="34" t="s">
        <v>79</v>
      </c>
      <c r="P9" s="34" t="s">
        <v>29</v>
      </c>
      <c r="Q9" s="34" t="s">
        <v>79</v>
      </c>
      <c r="R9" s="34" t="s">
        <v>29</v>
      </c>
      <c r="S9" s="175"/>
      <c r="T9" s="177"/>
      <c r="V9" s="12"/>
    </row>
    <row r="10" spans="1:22" ht="18" customHeight="1" x14ac:dyDescent="0.15">
      <c r="A10" s="35"/>
      <c r="B10" s="110" t="s">
        <v>133</v>
      </c>
      <c r="C10" s="111">
        <v>446</v>
      </c>
      <c r="D10" s="112">
        <v>236</v>
      </c>
      <c r="E10" s="113">
        <v>200</v>
      </c>
      <c r="F10" s="111">
        <v>800</v>
      </c>
      <c r="G10" s="111">
        <v>113</v>
      </c>
      <c r="H10" s="111">
        <v>111</v>
      </c>
      <c r="I10" s="105"/>
      <c r="J10" s="105"/>
      <c r="K10" s="105"/>
      <c r="L10" s="105"/>
      <c r="M10" s="105"/>
      <c r="N10" s="105"/>
      <c r="O10" s="105"/>
      <c r="P10" s="105"/>
      <c r="Q10" s="105"/>
      <c r="R10" s="105"/>
      <c r="S10" s="122">
        <f>G10+I10+K10+M10+O10+Q10</f>
        <v>113</v>
      </c>
      <c r="T10" s="123">
        <f>S10/F10</f>
        <v>0.14124999999999999</v>
      </c>
    </row>
    <row r="11" spans="1:22" ht="18" customHeight="1" x14ac:dyDescent="0.15">
      <c r="A11" s="35"/>
      <c r="B11" s="114" t="s">
        <v>134</v>
      </c>
      <c r="C11" s="115">
        <v>241</v>
      </c>
      <c r="D11" s="116">
        <v>187</v>
      </c>
      <c r="E11" s="117">
        <v>80</v>
      </c>
      <c r="F11" s="115">
        <v>320</v>
      </c>
      <c r="G11" s="118">
        <v>61</v>
      </c>
      <c r="H11" s="118">
        <v>57</v>
      </c>
      <c r="I11" s="106"/>
      <c r="J11" s="106"/>
      <c r="K11" s="106"/>
      <c r="L11" s="106"/>
      <c r="M11" s="106"/>
      <c r="N11" s="106"/>
      <c r="O11" s="106"/>
      <c r="P11" s="106"/>
      <c r="Q11" s="106"/>
      <c r="R11" s="106"/>
      <c r="S11" s="124">
        <f t="shared" ref="S11:S16" si="0">G11+I11+K11+M11+O11+Q11</f>
        <v>61</v>
      </c>
      <c r="T11" s="125">
        <f>S11/F11</f>
        <v>0.19062499999999999</v>
      </c>
    </row>
    <row r="12" spans="1:22" ht="18" customHeight="1" x14ac:dyDescent="0.15">
      <c r="A12" s="35"/>
      <c r="B12" s="114" t="s">
        <v>135</v>
      </c>
      <c r="C12" s="115">
        <v>272</v>
      </c>
      <c r="D12" s="116">
        <v>83</v>
      </c>
      <c r="E12" s="117">
        <v>100</v>
      </c>
      <c r="F12" s="115">
        <v>408</v>
      </c>
      <c r="G12" s="118">
        <v>60</v>
      </c>
      <c r="H12" s="118">
        <v>57</v>
      </c>
      <c r="I12" s="106"/>
      <c r="J12" s="106"/>
      <c r="K12" s="106"/>
      <c r="L12" s="106"/>
      <c r="M12" s="106"/>
      <c r="N12" s="106"/>
      <c r="O12" s="106"/>
      <c r="P12" s="106"/>
      <c r="Q12" s="106"/>
      <c r="R12" s="106"/>
      <c r="S12" s="124">
        <f t="shared" si="0"/>
        <v>60</v>
      </c>
      <c r="T12" s="126">
        <f t="shared" ref="T12:T16" si="1">S12/F12</f>
        <v>0.14705882352941177</v>
      </c>
    </row>
    <row r="13" spans="1:22" ht="18" customHeight="1" x14ac:dyDescent="0.15">
      <c r="A13" s="35"/>
      <c r="B13" s="114" t="s">
        <v>136</v>
      </c>
      <c r="C13" s="115">
        <v>421</v>
      </c>
      <c r="D13" s="116">
        <v>76</v>
      </c>
      <c r="E13" s="117">
        <v>100</v>
      </c>
      <c r="F13" s="115">
        <v>404</v>
      </c>
      <c r="G13" s="118">
        <v>101</v>
      </c>
      <c r="H13" s="118"/>
      <c r="I13" s="106"/>
      <c r="J13" s="106"/>
      <c r="K13" s="106"/>
      <c r="L13" s="106"/>
      <c r="M13" s="106"/>
      <c r="N13" s="106"/>
      <c r="O13" s="106"/>
      <c r="P13" s="106"/>
      <c r="Q13" s="106"/>
      <c r="R13" s="106"/>
      <c r="S13" s="124">
        <f t="shared" si="0"/>
        <v>101</v>
      </c>
      <c r="T13" s="126">
        <f t="shared" si="1"/>
        <v>0.25</v>
      </c>
    </row>
    <row r="14" spans="1:22" ht="18" customHeight="1" x14ac:dyDescent="0.15">
      <c r="A14" s="35"/>
      <c r="B14" s="114" t="s">
        <v>137</v>
      </c>
      <c r="C14" s="115">
        <v>156</v>
      </c>
      <c r="D14" s="116">
        <v>13</v>
      </c>
      <c r="E14" s="117">
        <v>40</v>
      </c>
      <c r="F14" s="115">
        <v>164</v>
      </c>
      <c r="G14" s="118">
        <v>28</v>
      </c>
      <c r="H14" s="118"/>
      <c r="I14" s="106"/>
      <c r="J14" s="106"/>
      <c r="K14" s="106"/>
      <c r="L14" s="106"/>
      <c r="M14" s="106"/>
      <c r="N14" s="106"/>
      <c r="O14" s="106"/>
      <c r="P14" s="106"/>
      <c r="Q14" s="106"/>
      <c r="R14" s="106"/>
      <c r="S14" s="124">
        <f t="shared" si="0"/>
        <v>28</v>
      </c>
      <c r="T14" s="126">
        <f t="shared" si="1"/>
        <v>0.17073170731707318</v>
      </c>
    </row>
    <row r="15" spans="1:22" ht="18" customHeight="1" x14ac:dyDescent="0.15">
      <c r="A15" s="35"/>
      <c r="B15" s="114" t="s">
        <v>138</v>
      </c>
      <c r="C15" s="115">
        <v>127</v>
      </c>
      <c r="D15" s="116">
        <v>28</v>
      </c>
      <c r="E15" s="117">
        <v>40</v>
      </c>
      <c r="F15" s="115">
        <v>164</v>
      </c>
      <c r="G15" s="118">
        <v>28</v>
      </c>
      <c r="H15" s="118"/>
      <c r="I15" s="106"/>
      <c r="J15" s="106"/>
      <c r="K15" s="106"/>
      <c r="L15" s="106"/>
      <c r="M15" s="106"/>
      <c r="N15" s="106"/>
      <c r="O15" s="106"/>
      <c r="P15" s="106"/>
      <c r="Q15" s="106"/>
      <c r="R15" s="106"/>
      <c r="S15" s="124">
        <f t="shared" si="0"/>
        <v>28</v>
      </c>
      <c r="T15" s="126">
        <f t="shared" si="1"/>
        <v>0.17073170731707318</v>
      </c>
    </row>
    <row r="16" spans="1:22" ht="18" customHeight="1" x14ac:dyDescent="0.15">
      <c r="A16" s="35"/>
      <c r="B16" s="114" t="s">
        <v>139</v>
      </c>
      <c r="C16" s="115">
        <v>126</v>
      </c>
      <c r="D16" s="116">
        <v>58</v>
      </c>
      <c r="E16" s="117">
        <v>40</v>
      </c>
      <c r="F16" s="115">
        <v>160</v>
      </c>
      <c r="G16" s="118">
        <v>35</v>
      </c>
      <c r="H16" s="118">
        <v>32</v>
      </c>
      <c r="I16" s="106"/>
      <c r="J16" s="106"/>
      <c r="K16" s="106"/>
      <c r="L16" s="106"/>
      <c r="M16" s="106"/>
      <c r="N16" s="106"/>
      <c r="O16" s="106"/>
      <c r="P16" s="106"/>
      <c r="Q16" s="106"/>
      <c r="R16" s="106"/>
      <c r="S16" s="124">
        <f t="shared" si="0"/>
        <v>35</v>
      </c>
      <c r="T16" s="126">
        <f t="shared" si="1"/>
        <v>0.21875</v>
      </c>
    </row>
    <row r="17" spans="1:20" ht="18" customHeight="1" x14ac:dyDescent="0.15">
      <c r="A17" s="35"/>
      <c r="B17" s="36"/>
      <c r="C17" s="50"/>
      <c r="D17" s="52"/>
      <c r="E17" s="49"/>
      <c r="F17" s="50"/>
      <c r="G17" s="51"/>
      <c r="H17" s="51"/>
      <c r="I17" s="51"/>
      <c r="J17" s="51"/>
      <c r="K17" s="51"/>
      <c r="L17" s="51"/>
      <c r="M17" s="51"/>
      <c r="N17" s="51"/>
      <c r="O17" s="51"/>
      <c r="P17" s="51"/>
      <c r="Q17" s="51"/>
      <c r="R17" s="51"/>
      <c r="S17" s="37">
        <f t="shared" ref="S17:S29" si="2">G17+K17+M17+O17+Q17</f>
        <v>0</v>
      </c>
      <c r="T17" s="38" t="e">
        <f t="shared" ref="T17:T27" si="3">S17/F17</f>
        <v>#DIV/0!</v>
      </c>
    </row>
    <row r="18" spans="1:20" ht="18" customHeight="1" x14ac:dyDescent="0.15">
      <c r="A18" s="35"/>
      <c r="B18" s="36"/>
      <c r="C18" s="50"/>
      <c r="D18" s="52"/>
      <c r="E18" s="49"/>
      <c r="F18" s="50"/>
      <c r="G18" s="51"/>
      <c r="H18" s="51"/>
      <c r="I18" s="51"/>
      <c r="J18" s="51"/>
      <c r="K18" s="51"/>
      <c r="L18" s="51"/>
      <c r="M18" s="51"/>
      <c r="N18" s="51"/>
      <c r="O18" s="51"/>
      <c r="P18" s="51"/>
      <c r="Q18" s="51"/>
      <c r="R18" s="51"/>
      <c r="S18" s="37">
        <f t="shared" si="2"/>
        <v>0</v>
      </c>
      <c r="T18" s="38" t="e">
        <f t="shared" si="3"/>
        <v>#DIV/0!</v>
      </c>
    </row>
    <row r="19" spans="1:20" ht="18" customHeight="1" x14ac:dyDescent="0.15">
      <c r="A19" s="35"/>
      <c r="B19" s="36"/>
      <c r="C19" s="50"/>
      <c r="D19" s="52"/>
      <c r="E19" s="49"/>
      <c r="F19" s="50"/>
      <c r="G19" s="51"/>
      <c r="H19" s="51"/>
      <c r="I19" s="51"/>
      <c r="J19" s="51"/>
      <c r="K19" s="51"/>
      <c r="L19" s="51"/>
      <c r="M19" s="51"/>
      <c r="N19" s="51"/>
      <c r="O19" s="51"/>
      <c r="P19" s="51"/>
      <c r="Q19" s="51"/>
      <c r="R19" s="51"/>
      <c r="S19" s="37">
        <f t="shared" si="2"/>
        <v>0</v>
      </c>
      <c r="T19" s="38" t="e">
        <f t="shared" si="3"/>
        <v>#DIV/0!</v>
      </c>
    </row>
    <row r="20" spans="1:20" ht="18" customHeight="1" x14ac:dyDescent="0.15">
      <c r="A20" s="35"/>
      <c r="B20" s="36"/>
      <c r="C20" s="50"/>
      <c r="D20" s="52"/>
      <c r="E20" s="49"/>
      <c r="F20" s="50"/>
      <c r="G20" s="51"/>
      <c r="H20" s="51"/>
      <c r="I20" s="51"/>
      <c r="J20" s="51"/>
      <c r="K20" s="51"/>
      <c r="L20" s="51"/>
      <c r="M20" s="51"/>
      <c r="N20" s="51"/>
      <c r="O20" s="51"/>
      <c r="P20" s="51"/>
      <c r="Q20" s="51"/>
      <c r="R20" s="51"/>
      <c r="S20" s="37">
        <f t="shared" si="2"/>
        <v>0</v>
      </c>
      <c r="T20" s="38" t="e">
        <f t="shared" si="3"/>
        <v>#DIV/0!</v>
      </c>
    </row>
    <row r="21" spans="1:20" ht="18" customHeight="1" x14ac:dyDescent="0.15">
      <c r="A21" s="35"/>
      <c r="B21" s="36"/>
      <c r="C21" s="50"/>
      <c r="D21" s="52"/>
      <c r="E21" s="49"/>
      <c r="F21" s="50"/>
      <c r="G21" s="51"/>
      <c r="H21" s="51"/>
      <c r="I21" s="51"/>
      <c r="J21" s="51"/>
      <c r="K21" s="51"/>
      <c r="L21" s="51"/>
      <c r="M21" s="51"/>
      <c r="N21" s="51"/>
      <c r="O21" s="51"/>
      <c r="P21" s="51"/>
      <c r="Q21" s="51"/>
      <c r="R21" s="51"/>
      <c r="S21" s="37">
        <f t="shared" si="2"/>
        <v>0</v>
      </c>
      <c r="T21" s="38" t="e">
        <f t="shared" si="3"/>
        <v>#DIV/0!</v>
      </c>
    </row>
    <row r="22" spans="1:20" ht="18" customHeight="1" x14ac:dyDescent="0.15">
      <c r="A22" s="35"/>
      <c r="B22" s="36"/>
      <c r="C22" s="50"/>
      <c r="D22" s="52"/>
      <c r="E22" s="49"/>
      <c r="F22" s="50"/>
      <c r="G22" s="51"/>
      <c r="H22" s="51"/>
      <c r="I22" s="51"/>
      <c r="J22" s="51"/>
      <c r="K22" s="51"/>
      <c r="L22" s="51"/>
      <c r="M22" s="51"/>
      <c r="N22" s="51"/>
      <c r="O22" s="51"/>
      <c r="P22" s="51"/>
      <c r="Q22" s="51"/>
      <c r="R22" s="51"/>
      <c r="S22" s="37">
        <f t="shared" si="2"/>
        <v>0</v>
      </c>
      <c r="T22" s="38" t="e">
        <f t="shared" si="3"/>
        <v>#DIV/0!</v>
      </c>
    </row>
    <row r="23" spans="1:20" ht="18" customHeight="1" x14ac:dyDescent="0.15">
      <c r="A23" s="35"/>
      <c r="B23" s="36"/>
      <c r="C23" s="50"/>
      <c r="D23" s="52"/>
      <c r="E23" s="49"/>
      <c r="F23" s="50"/>
      <c r="G23" s="51"/>
      <c r="H23" s="51"/>
      <c r="I23" s="51"/>
      <c r="J23" s="51"/>
      <c r="K23" s="51"/>
      <c r="L23" s="51"/>
      <c r="M23" s="51"/>
      <c r="N23" s="51"/>
      <c r="O23" s="51"/>
      <c r="P23" s="51"/>
      <c r="Q23" s="51"/>
      <c r="R23" s="51"/>
      <c r="S23" s="37">
        <f t="shared" si="2"/>
        <v>0</v>
      </c>
      <c r="T23" s="38" t="e">
        <f t="shared" si="3"/>
        <v>#DIV/0!</v>
      </c>
    </row>
    <row r="24" spans="1:20" ht="18" customHeight="1" x14ac:dyDescent="0.15">
      <c r="A24" s="35"/>
      <c r="B24" s="36"/>
      <c r="C24" s="50"/>
      <c r="D24" s="52"/>
      <c r="E24" s="49"/>
      <c r="F24" s="50"/>
      <c r="G24" s="51"/>
      <c r="H24" s="51"/>
      <c r="I24" s="51"/>
      <c r="J24" s="51"/>
      <c r="K24" s="51"/>
      <c r="L24" s="51"/>
      <c r="M24" s="51"/>
      <c r="N24" s="51"/>
      <c r="O24" s="51"/>
      <c r="P24" s="51"/>
      <c r="Q24" s="51"/>
      <c r="R24" s="51"/>
      <c r="S24" s="37">
        <f t="shared" si="2"/>
        <v>0</v>
      </c>
      <c r="T24" s="38" t="e">
        <f t="shared" si="3"/>
        <v>#DIV/0!</v>
      </c>
    </row>
    <row r="25" spans="1:20" ht="18" customHeight="1" x14ac:dyDescent="0.15">
      <c r="A25" s="35"/>
      <c r="B25" s="36"/>
      <c r="C25" s="50"/>
      <c r="D25" s="52"/>
      <c r="E25" s="49"/>
      <c r="F25" s="50"/>
      <c r="G25" s="51"/>
      <c r="H25" s="51"/>
      <c r="I25" s="51"/>
      <c r="J25" s="51"/>
      <c r="K25" s="51"/>
      <c r="L25" s="51"/>
      <c r="M25" s="51"/>
      <c r="N25" s="51"/>
      <c r="O25" s="51"/>
      <c r="P25" s="51"/>
      <c r="Q25" s="51"/>
      <c r="R25" s="51"/>
      <c r="S25" s="37">
        <f t="shared" si="2"/>
        <v>0</v>
      </c>
      <c r="T25" s="38" t="e">
        <f t="shared" si="3"/>
        <v>#DIV/0!</v>
      </c>
    </row>
    <row r="26" spans="1:20" ht="18" customHeight="1" x14ac:dyDescent="0.15">
      <c r="A26" s="35"/>
      <c r="B26" s="36"/>
      <c r="C26" s="50"/>
      <c r="D26" s="52"/>
      <c r="E26" s="49"/>
      <c r="F26" s="50"/>
      <c r="G26" s="51"/>
      <c r="H26" s="51"/>
      <c r="I26" s="51"/>
      <c r="J26" s="51"/>
      <c r="K26" s="51"/>
      <c r="L26" s="51"/>
      <c r="M26" s="51"/>
      <c r="N26" s="51"/>
      <c r="O26" s="51"/>
      <c r="P26" s="51"/>
      <c r="Q26" s="51"/>
      <c r="R26" s="51"/>
      <c r="S26" s="37">
        <f t="shared" si="2"/>
        <v>0</v>
      </c>
      <c r="T26" s="38" t="e">
        <f t="shared" si="3"/>
        <v>#DIV/0!</v>
      </c>
    </row>
    <row r="27" spans="1:20" ht="18" customHeight="1" x14ac:dyDescent="0.15">
      <c r="A27" s="35"/>
      <c r="B27" s="36"/>
      <c r="C27" s="50"/>
      <c r="D27" s="52"/>
      <c r="E27" s="53"/>
      <c r="F27" s="50"/>
      <c r="G27" s="51"/>
      <c r="H27" s="51"/>
      <c r="I27" s="51"/>
      <c r="J27" s="51"/>
      <c r="K27" s="51"/>
      <c r="L27" s="51"/>
      <c r="M27" s="51"/>
      <c r="N27" s="51"/>
      <c r="O27" s="51"/>
      <c r="P27" s="51"/>
      <c r="Q27" s="51"/>
      <c r="R27" s="51"/>
      <c r="S27" s="37">
        <f t="shared" si="2"/>
        <v>0</v>
      </c>
      <c r="T27" s="38" t="e">
        <f t="shared" si="3"/>
        <v>#DIV/0!</v>
      </c>
    </row>
    <row r="28" spans="1:20" ht="18" customHeight="1" x14ac:dyDescent="0.15">
      <c r="A28" s="35"/>
      <c r="B28" s="36"/>
      <c r="C28" s="50"/>
      <c r="D28" s="52"/>
      <c r="E28" s="53"/>
      <c r="F28" s="50"/>
      <c r="G28" s="51"/>
      <c r="H28" s="51"/>
      <c r="I28" s="51"/>
      <c r="J28" s="51"/>
      <c r="K28" s="51"/>
      <c r="L28" s="51"/>
      <c r="M28" s="51"/>
      <c r="N28" s="51"/>
      <c r="O28" s="51"/>
      <c r="P28" s="51"/>
      <c r="Q28" s="51"/>
      <c r="R28" s="51"/>
      <c r="S28" s="37">
        <f t="shared" si="2"/>
        <v>0</v>
      </c>
      <c r="T28" s="38" t="e">
        <f t="shared" ref="T28:T29" si="4">S28/F28</f>
        <v>#DIV/0!</v>
      </c>
    </row>
    <row r="29" spans="1:20" ht="18" customHeight="1" thickBot="1" x14ac:dyDescent="0.2">
      <c r="A29" s="35"/>
      <c r="B29" s="39"/>
      <c r="C29" s="48"/>
      <c r="D29" s="54"/>
      <c r="E29" s="55"/>
      <c r="F29" s="48"/>
      <c r="G29" s="48"/>
      <c r="H29" s="48"/>
      <c r="I29" s="48"/>
      <c r="J29" s="48"/>
      <c r="K29" s="48"/>
      <c r="L29" s="48"/>
      <c r="M29" s="48"/>
      <c r="N29" s="48"/>
      <c r="O29" s="48"/>
      <c r="P29" s="48"/>
      <c r="Q29" s="48"/>
      <c r="R29" s="48"/>
      <c r="S29" s="3">
        <f t="shared" si="2"/>
        <v>0</v>
      </c>
      <c r="T29" s="38" t="e">
        <f t="shared" si="4"/>
        <v>#DIV/0!</v>
      </c>
    </row>
    <row r="30" spans="1:20" ht="18" customHeight="1" thickTop="1" x14ac:dyDescent="0.15">
      <c r="B30" s="40" t="s">
        <v>33</v>
      </c>
      <c r="C30" s="42">
        <f t="shared" ref="C30" si="5">SUM(C10:C29)</f>
        <v>1789</v>
      </c>
      <c r="D30" s="98">
        <f>SUM(D10:D29)</f>
        <v>681</v>
      </c>
      <c r="E30" s="41">
        <f t="shared" ref="E30:G30" si="6">SUM(E10:E29)</f>
        <v>600</v>
      </c>
      <c r="F30" s="42">
        <f t="shared" si="6"/>
        <v>2420</v>
      </c>
      <c r="G30" s="42">
        <f t="shared" si="6"/>
        <v>426</v>
      </c>
      <c r="H30" s="42">
        <f t="shared" ref="H30:K30" si="7">SUM(H10:H29)</f>
        <v>257</v>
      </c>
      <c r="I30" s="42">
        <f t="shared" si="7"/>
        <v>0</v>
      </c>
      <c r="J30" s="42">
        <f t="shared" si="7"/>
        <v>0</v>
      </c>
      <c r="K30" s="42">
        <f t="shared" si="7"/>
        <v>0</v>
      </c>
      <c r="L30" s="42">
        <f t="shared" ref="L30:M30" si="8">SUM(L10:L29)</f>
        <v>0</v>
      </c>
      <c r="M30" s="42">
        <f t="shared" si="8"/>
        <v>0</v>
      </c>
      <c r="N30" s="42">
        <f t="shared" ref="N30:S30" si="9">SUM(N10:N29)</f>
        <v>0</v>
      </c>
      <c r="O30" s="42">
        <f t="shared" si="9"/>
        <v>0</v>
      </c>
      <c r="P30" s="42">
        <f t="shared" si="9"/>
        <v>0</v>
      </c>
      <c r="Q30" s="42">
        <f t="shared" si="9"/>
        <v>0</v>
      </c>
      <c r="R30" s="42">
        <f t="shared" si="9"/>
        <v>0</v>
      </c>
      <c r="S30" s="42">
        <f t="shared" si="9"/>
        <v>426</v>
      </c>
      <c r="T30" s="43">
        <f>S30/F30</f>
        <v>0.17603305785123968</v>
      </c>
    </row>
    <row r="31" spans="1:20" ht="18.75" customHeight="1" x14ac:dyDescent="0.15">
      <c r="B31" s="7" t="s">
        <v>173</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tabSelected="1" topLeftCell="A43" zoomScaleNormal="100" zoomScaleSheetLayoutView="100" workbookViewId="0">
      <selection activeCell="H26" sqref="H26"/>
    </sheetView>
  </sheetViews>
  <sheetFormatPr defaultColWidth="11.375" defaultRowHeight="18.75" customHeight="1" x14ac:dyDescent="0.15"/>
  <cols>
    <col min="1" max="1" width="2.75" style="6" customWidth="1"/>
    <col min="2" max="2" width="8" style="7" customWidth="1"/>
    <col min="3" max="3" width="17.125" style="7" bestFit="1" customWidth="1"/>
    <col min="4" max="4" width="41.625" style="7" customWidth="1"/>
    <col min="5" max="5" width="12.125" style="7" customWidth="1"/>
    <col min="6" max="16384" width="11.375" style="7"/>
  </cols>
  <sheetData>
    <row r="1" spans="1:5" ht="18.75" customHeight="1" x14ac:dyDescent="0.15">
      <c r="A1" s="6" t="s">
        <v>58</v>
      </c>
      <c r="E1" s="8" t="s">
        <v>83</v>
      </c>
    </row>
    <row r="2" spans="1:5" ht="10.9" customHeight="1" x14ac:dyDescent="0.15">
      <c r="E2" s="9"/>
    </row>
    <row r="3" spans="1:5" ht="18.600000000000001" customHeight="1" x14ac:dyDescent="0.15">
      <c r="A3" s="168" t="s">
        <v>36</v>
      </c>
      <c r="B3" s="168"/>
      <c r="C3" s="168"/>
      <c r="D3" s="168"/>
      <c r="E3" s="168"/>
    </row>
    <row r="4" spans="1:5" ht="13.15" customHeight="1" x14ac:dyDescent="0.15">
      <c r="B4" s="11"/>
      <c r="C4" s="11"/>
      <c r="D4" s="11"/>
      <c r="E4" s="11"/>
    </row>
    <row r="5" spans="1:5" ht="18" customHeight="1" x14ac:dyDescent="0.15">
      <c r="A5" s="7" t="s">
        <v>0</v>
      </c>
      <c r="B5" s="146" t="s">
        <v>76</v>
      </c>
      <c r="C5" s="146"/>
      <c r="D5" s="146"/>
      <c r="E5" s="146"/>
    </row>
    <row r="6" spans="1:5" ht="18.600000000000001" customHeight="1" x14ac:dyDescent="0.15">
      <c r="B6" s="24" t="s">
        <v>77</v>
      </c>
      <c r="C6" s="119">
        <v>134</v>
      </c>
      <c r="D6" s="9" t="s">
        <v>1</v>
      </c>
      <c r="E6" s="13"/>
    </row>
    <row r="7" spans="1:5" ht="18.600000000000001" customHeight="1" x14ac:dyDescent="0.15">
      <c r="B7" s="24" t="s">
        <v>2</v>
      </c>
      <c r="C7" s="119">
        <v>311</v>
      </c>
      <c r="D7" s="9" t="s">
        <v>1</v>
      </c>
      <c r="E7" s="13"/>
    </row>
    <row r="8" spans="1:5" ht="18.600000000000001" customHeight="1" x14ac:dyDescent="0.15">
      <c r="B8" s="8"/>
      <c r="C8" s="8"/>
      <c r="D8" s="9"/>
      <c r="E8" s="13"/>
    </row>
    <row r="9" spans="1:5" ht="18" customHeight="1" x14ac:dyDescent="0.15">
      <c r="A9" s="7" t="s">
        <v>3</v>
      </c>
      <c r="B9" s="146" t="s">
        <v>122</v>
      </c>
      <c r="C9" s="146"/>
      <c r="D9" s="146"/>
      <c r="E9" s="146"/>
    </row>
    <row r="10" spans="1:5" ht="18" customHeight="1" x14ac:dyDescent="0.15">
      <c r="A10" s="7"/>
      <c r="B10" s="9"/>
      <c r="C10" s="119">
        <v>20</v>
      </c>
      <c r="D10" s="9" t="s">
        <v>1</v>
      </c>
      <c r="E10" s="9"/>
    </row>
    <row r="11" spans="1:5" ht="9" customHeight="1" x14ac:dyDescent="0.15">
      <c r="B11" s="11"/>
      <c r="C11" s="11"/>
      <c r="D11" s="11"/>
      <c r="E11" s="11"/>
    </row>
    <row r="12" spans="1:5" ht="18" customHeight="1" x14ac:dyDescent="0.15">
      <c r="A12" s="7" t="s">
        <v>4</v>
      </c>
      <c r="B12" s="146" t="s">
        <v>78</v>
      </c>
      <c r="C12" s="146"/>
      <c r="D12" s="146"/>
      <c r="E12" s="146"/>
    </row>
    <row r="13" spans="1:5" ht="18" customHeight="1" x14ac:dyDescent="0.15">
      <c r="C13" s="8" t="s">
        <v>41</v>
      </c>
      <c r="D13" s="58" t="s">
        <v>144</v>
      </c>
      <c r="E13" s="9"/>
    </row>
    <row r="14" spans="1:5" ht="18" customHeight="1" x14ac:dyDescent="0.15">
      <c r="C14" s="8" t="s">
        <v>10</v>
      </c>
      <c r="D14" s="58" t="s">
        <v>145</v>
      </c>
      <c r="E14" s="13"/>
    </row>
    <row r="15" spans="1:5" ht="10.15" customHeight="1" x14ac:dyDescent="0.15">
      <c r="B15" s="8"/>
      <c r="C15" s="9"/>
      <c r="D15" s="13"/>
      <c r="E15" s="13"/>
    </row>
    <row r="16" spans="1:5" ht="18" customHeight="1" x14ac:dyDescent="0.15">
      <c r="A16" s="7" t="s">
        <v>7</v>
      </c>
      <c r="B16" s="146" t="s">
        <v>74</v>
      </c>
      <c r="C16" s="146"/>
      <c r="D16" s="146"/>
      <c r="E16" s="146"/>
    </row>
    <row r="17" spans="1:10" ht="18" customHeight="1" x14ac:dyDescent="0.15">
      <c r="C17" s="8" t="s">
        <v>118</v>
      </c>
      <c r="D17" s="107" t="s">
        <v>147</v>
      </c>
      <c r="E17" s="9"/>
    </row>
    <row r="18" spans="1:10" ht="9" customHeight="1" x14ac:dyDescent="0.15">
      <c r="B18" s="11"/>
      <c r="C18" s="11"/>
      <c r="D18" s="11"/>
      <c r="E18" s="11"/>
    </row>
    <row r="19" spans="1:10" ht="18.75" customHeight="1" x14ac:dyDescent="0.15">
      <c r="A19" s="7" t="s">
        <v>5</v>
      </c>
      <c r="B19" s="145" t="s">
        <v>40</v>
      </c>
      <c r="C19" s="145"/>
      <c r="D19" s="145"/>
      <c r="E19" s="145"/>
    </row>
    <row r="20" spans="1:10" ht="18.75" customHeight="1" x14ac:dyDescent="0.15">
      <c r="A20" s="7"/>
      <c r="C20" s="8" t="s">
        <v>118</v>
      </c>
      <c r="D20" s="58" t="s">
        <v>146</v>
      </c>
      <c r="E20" s="9"/>
    </row>
    <row r="21" spans="1:10" ht="7.5" customHeight="1" x14ac:dyDescent="0.15">
      <c r="B21" s="11"/>
      <c r="C21" s="11"/>
      <c r="D21" s="11"/>
      <c r="E21" s="11"/>
    </row>
    <row r="22" spans="1:10" ht="18.75" customHeight="1" x14ac:dyDescent="0.15">
      <c r="A22" s="7" t="s">
        <v>8</v>
      </c>
      <c r="B22" s="145" t="s">
        <v>25</v>
      </c>
      <c r="C22" s="145"/>
      <c r="D22" s="145"/>
      <c r="E22" s="145"/>
    </row>
    <row r="23" spans="1:10" ht="180" customHeight="1" x14ac:dyDescent="0.15">
      <c r="A23" s="14"/>
      <c r="B23" s="15"/>
      <c r="C23" s="181" t="s">
        <v>174</v>
      </c>
      <c r="D23" s="182"/>
      <c r="E23" s="183"/>
    </row>
    <row r="24" spans="1:10" ht="7.5" customHeight="1" x14ac:dyDescent="0.15">
      <c r="A24" s="14"/>
      <c r="B24" s="14"/>
      <c r="C24" s="14"/>
      <c r="D24" s="14"/>
      <c r="E24" s="14"/>
    </row>
    <row r="25" spans="1:10" ht="18.75" customHeight="1" x14ac:dyDescent="0.15">
      <c r="A25" s="16" t="s">
        <v>6</v>
      </c>
      <c r="B25" s="184" t="s">
        <v>9</v>
      </c>
      <c r="C25" s="185"/>
      <c r="D25" s="185"/>
      <c r="E25" s="185"/>
    </row>
    <row r="26" spans="1:10" ht="221.25" customHeight="1" x14ac:dyDescent="0.15">
      <c r="A26" s="14"/>
      <c r="B26" s="15"/>
      <c r="C26" s="181" t="s">
        <v>181</v>
      </c>
      <c r="D26" s="182"/>
      <c r="E26" s="183"/>
    </row>
    <row r="27" spans="1:10" ht="7.5" customHeight="1" x14ac:dyDescent="0.15">
      <c r="A27" s="17"/>
      <c r="B27" s="17"/>
      <c r="C27" s="17"/>
      <c r="D27" s="17"/>
      <c r="E27" s="17"/>
    </row>
    <row r="28" spans="1:10" ht="18.75" customHeight="1" x14ac:dyDescent="0.15">
      <c r="A28" s="7" t="s">
        <v>31</v>
      </c>
      <c r="B28" s="145" t="s">
        <v>121</v>
      </c>
      <c r="C28" s="186"/>
      <c r="D28" s="186"/>
      <c r="E28" s="145"/>
    </row>
    <row r="29" spans="1:10" s="11" customFormat="1" ht="18.75" customHeight="1" x14ac:dyDescent="0.15">
      <c r="B29" s="127"/>
      <c r="C29" s="128" t="s">
        <v>123</v>
      </c>
      <c r="D29" s="129">
        <f>IFERROR('様式２ 履修者等数の実績'!T30, "（様式２より自動転記）")</f>
        <v>0.17603305785123968</v>
      </c>
      <c r="E29" s="130"/>
      <c r="F29" s="7"/>
      <c r="I29" s="7"/>
      <c r="J29" s="18"/>
    </row>
    <row r="30" spans="1:10" s="11" customFormat="1" ht="18.75" customHeight="1" x14ac:dyDescent="0.15">
      <c r="B30" s="127"/>
      <c r="C30" s="128" t="s">
        <v>75</v>
      </c>
      <c r="D30" s="129">
        <v>0.5</v>
      </c>
      <c r="E30" s="130"/>
      <c r="F30" s="7"/>
      <c r="I30" s="7"/>
      <c r="J30" s="18"/>
    </row>
    <row r="31" spans="1:10" s="11" customFormat="1" ht="18.75" customHeight="1" x14ac:dyDescent="0.15">
      <c r="B31" s="127"/>
      <c r="C31" s="128" t="s">
        <v>89</v>
      </c>
      <c r="D31" s="129">
        <v>0.75</v>
      </c>
      <c r="E31" s="130"/>
      <c r="F31" s="7"/>
      <c r="I31" s="7"/>
      <c r="J31" s="18"/>
    </row>
    <row r="32" spans="1:10" s="11" customFormat="1" ht="18.75" customHeight="1" x14ac:dyDescent="0.15">
      <c r="B32" s="131"/>
      <c r="C32" s="132" t="s">
        <v>119</v>
      </c>
      <c r="D32" s="129">
        <v>1</v>
      </c>
      <c r="E32" s="133"/>
      <c r="F32" s="7"/>
      <c r="I32" s="7"/>
      <c r="J32" s="18"/>
    </row>
    <row r="33" spans="1:11" s="11" customFormat="1" ht="18.75" customHeight="1" x14ac:dyDescent="0.15">
      <c r="B33" s="131"/>
      <c r="C33" s="132" t="s">
        <v>120</v>
      </c>
      <c r="D33" s="129">
        <v>1</v>
      </c>
      <c r="E33" s="133"/>
      <c r="F33" s="7"/>
      <c r="I33" s="7"/>
      <c r="J33" s="18"/>
    </row>
    <row r="34" spans="1:11" ht="18.75" customHeight="1" x14ac:dyDescent="0.15">
      <c r="A34" s="7"/>
      <c r="B34" s="180" t="s">
        <v>59</v>
      </c>
      <c r="C34" s="180"/>
      <c r="D34" s="180"/>
      <c r="E34" s="180"/>
      <c r="J34" s="18"/>
      <c r="K34" s="11"/>
    </row>
    <row r="35" spans="1:11" ht="180" customHeight="1" x14ac:dyDescent="0.15">
      <c r="A35" s="7"/>
      <c r="B35" s="134"/>
      <c r="C35" s="181" t="s">
        <v>152</v>
      </c>
      <c r="D35" s="182"/>
      <c r="E35" s="183"/>
      <c r="J35" s="18"/>
      <c r="K35" s="11"/>
    </row>
    <row r="36" spans="1:11" ht="7.5" customHeight="1" x14ac:dyDescent="0.15">
      <c r="A36" s="14"/>
      <c r="B36" s="14"/>
      <c r="C36" s="14"/>
      <c r="D36" s="14"/>
      <c r="E36" s="14"/>
    </row>
    <row r="37" spans="1:11" ht="18.75" customHeight="1" x14ac:dyDescent="0.15">
      <c r="A37" s="16" t="s">
        <v>34</v>
      </c>
      <c r="B37" s="145" t="s">
        <v>37</v>
      </c>
      <c r="C37" s="186"/>
      <c r="D37" s="186"/>
      <c r="E37" s="186"/>
    </row>
    <row r="38" spans="1:11" ht="180" customHeight="1" x14ac:dyDescent="0.15">
      <c r="A38" s="17"/>
      <c r="B38" s="15"/>
      <c r="C38" s="181" t="s">
        <v>175</v>
      </c>
      <c r="D38" s="182"/>
      <c r="E38" s="183"/>
    </row>
    <row r="39" spans="1:11" ht="7.5" customHeight="1" x14ac:dyDescent="0.15">
      <c r="A39" s="17"/>
      <c r="B39" s="17"/>
      <c r="C39" s="17"/>
      <c r="D39" s="17"/>
      <c r="E39" s="17"/>
    </row>
    <row r="40" spans="1:11" ht="18.75" customHeight="1" x14ac:dyDescent="0.15">
      <c r="A40" s="7" t="s">
        <v>11</v>
      </c>
      <c r="B40" s="145" t="s">
        <v>39</v>
      </c>
      <c r="C40" s="186"/>
      <c r="D40" s="186"/>
      <c r="E40" s="186"/>
    </row>
    <row r="41" spans="1:11" ht="180" customHeight="1" x14ac:dyDescent="0.15">
      <c r="A41" s="7"/>
      <c r="B41" s="15"/>
      <c r="C41" s="181" t="s">
        <v>176</v>
      </c>
      <c r="D41" s="182"/>
      <c r="E41" s="183"/>
    </row>
    <row r="42" spans="1:11" ht="7.5" customHeight="1" x14ac:dyDescent="0.15">
      <c r="A42" s="17"/>
      <c r="B42" s="17"/>
      <c r="C42" s="17"/>
      <c r="D42" s="17"/>
      <c r="E42" s="17"/>
    </row>
    <row r="43" spans="1:11" ht="18.75" customHeight="1" x14ac:dyDescent="0.15">
      <c r="A43" s="7" t="s">
        <v>42</v>
      </c>
      <c r="B43" s="145" t="s">
        <v>13</v>
      </c>
      <c r="C43" s="186"/>
      <c r="D43" s="186"/>
      <c r="E43" s="186"/>
    </row>
    <row r="44" spans="1:11" ht="180" customHeight="1" x14ac:dyDescent="0.15">
      <c r="A44" s="7"/>
      <c r="B44" s="15"/>
      <c r="C44" s="181" t="s">
        <v>177</v>
      </c>
      <c r="D44" s="182"/>
      <c r="E44" s="183"/>
    </row>
    <row r="45" spans="1:11" ht="7.5" customHeight="1" x14ac:dyDescent="0.15">
      <c r="A45" s="17"/>
      <c r="B45" s="17"/>
      <c r="C45" s="17"/>
      <c r="D45" s="17"/>
      <c r="E45" s="17"/>
    </row>
    <row r="46" spans="1:11" ht="18.75" customHeight="1" x14ac:dyDescent="0.15">
      <c r="A46" s="7" t="s">
        <v>30</v>
      </c>
      <c r="B46" s="145" t="s">
        <v>44</v>
      </c>
      <c r="C46" s="145"/>
      <c r="D46" s="145"/>
      <c r="E46" s="145"/>
    </row>
    <row r="47" spans="1:11" ht="180" customHeight="1" x14ac:dyDescent="0.15">
      <c r="A47" s="17"/>
      <c r="B47" s="15"/>
      <c r="C47" s="181" t="s">
        <v>178</v>
      </c>
      <c r="D47" s="182"/>
      <c r="E47" s="183"/>
    </row>
    <row r="48" spans="1:11" ht="7.5" customHeight="1" x14ac:dyDescent="0.15">
      <c r="A48" s="17"/>
      <c r="B48" s="21"/>
      <c r="C48" s="21"/>
      <c r="D48" s="21"/>
      <c r="E48" s="21"/>
    </row>
    <row r="49" spans="1:5" ht="18.75" customHeight="1" x14ac:dyDescent="0.15">
      <c r="A49" s="7"/>
      <c r="B49" s="179"/>
      <c r="C49" s="179"/>
      <c r="D49" s="179"/>
      <c r="E49" s="179"/>
    </row>
    <row r="50" spans="1:5" ht="18.75" customHeight="1" x14ac:dyDescent="0.15">
      <c r="A50" s="7"/>
      <c r="B50" s="179"/>
      <c r="C50" s="179"/>
      <c r="D50" s="179"/>
      <c r="E50" s="179"/>
    </row>
    <row r="51" spans="1:5" ht="18.75" customHeight="1" x14ac:dyDescent="0.15">
      <c r="A51" s="17"/>
      <c r="B51" s="15"/>
      <c r="C51" s="15"/>
      <c r="D51" s="15"/>
      <c r="E51" s="22"/>
    </row>
    <row r="52" spans="1:5" ht="18.75" customHeight="1" x14ac:dyDescent="0.15">
      <c r="A52" s="17"/>
      <c r="B52" s="22"/>
      <c r="C52" s="22"/>
      <c r="D52" s="22"/>
      <c r="E52" s="22"/>
    </row>
    <row r="53" spans="1:5" ht="18.75" customHeight="1" x14ac:dyDescent="0.15">
      <c r="A53" s="17"/>
      <c r="B53" s="22"/>
      <c r="C53" s="22"/>
      <c r="D53" s="22"/>
      <c r="E53" s="22"/>
    </row>
    <row r="54" spans="1:5" ht="18.75" customHeight="1" x14ac:dyDescent="0.15">
      <c r="A54" s="17"/>
      <c r="B54" s="22"/>
      <c r="C54" s="22"/>
      <c r="D54" s="22"/>
      <c r="E54" s="22"/>
    </row>
    <row r="55" spans="1:5" ht="18.75" customHeight="1" x14ac:dyDescent="0.15">
      <c r="A55" s="17"/>
      <c r="B55" s="22"/>
      <c r="C55" s="22"/>
      <c r="D55" s="22"/>
      <c r="E55" s="22"/>
    </row>
    <row r="56" spans="1:5" ht="18.75" customHeight="1" x14ac:dyDescent="0.15">
      <c r="A56" s="17"/>
      <c r="B56" s="22"/>
      <c r="C56" s="22"/>
      <c r="D56" s="22"/>
      <c r="E56" s="22"/>
    </row>
    <row r="57" spans="1:5" ht="18.75" customHeight="1" x14ac:dyDescent="0.15">
      <c r="A57" s="17"/>
      <c r="B57" s="22"/>
      <c r="C57" s="22"/>
      <c r="D57" s="22"/>
      <c r="E57" s="22"/>
    </row>
    <row r="58" spans="1:5" ht="18.75" customHeight="1" x14ac:dyDescent="0.15">
      <c r="A58" s="17"/>
      <c r="B58" s="22"/>
      <c r="C58" s="22"/>
      <c r="D58" s="22"/>
      <c r="E58" s="22"/>
    </row>
    <row r="59" spans="1:5" ht="18.75" customHeight="1" x14ac:dyDescent="0.15">
      <c r="A59" s="17"/>
      <c r="B59" s="22"/>
      <c r="C59" s="22"/>
      <c r="D59" s="22"/>
      <c r="E59" s="22"/>
    </row>
    <row r="60" spans="1:5" ht="18.75" customHeight="1" x14ac:dyDescent="0.15">
      <c r="A60" s="17"/>
      <c r="B60" s="22"/>
      <c r="C60" s="22"/>
      <c r="D60" s="22"/>
      <c r="E60" s="22"/>
    </row>
    <row r="61" spans="1:5" ht="14.25" x14ac:dyDescent="0.15">
      <c r="A61" s="17"/>
      <c r="B61" s="22"/>
      <c r="C61" s="22"/>
      <c r="D61" s="22"/>
      <c r="E61" s="22"/>
    </row>
    <row r="62" spans="1:5" ht="7.5" customHeight="1" x14ac:dyDescent="0.15">
      <c r="A62" s="17"/>
      <c r="B62" s="22"/>
      <c r="C62" s="22"/>
      <c r="D62" s="22"/>
      <c r="E62" s="22"/>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r:id="rId1"/>
  <rowBreaks count="2" manualBreakCount="2">
    <brk id="27" max="8" man="1"/>
    <brk id="4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zoomScale="85" zoomScaleNormal="85" zoomScaleSheetLayoutView="90" workbookViewId="0"/>
  </sheetViews>
  <sheetFormatPr defaultColWidth="11.375" defaultRowHeight="22.5" customHeight="1" x14ac:dyDescent="0.15"/>
  <cols>
    <col min="1" max="1" width="5.875" style="7" customWidth="1"/>
    <col min="2" max="2" width="7.25" style="7" customWidth="1"/>
    <col min="3" max="3" width="31.125" style="7" customWidth="1"/>
    <col min="4" max="4" width="77.125" style="7" customWidth="1"/>
    <col min="5" max="5" width="7.625" style="7" bestFit="1" customWidth="1"/>
    <col min="6" max="16384" width="11.375" style="7"/>
  </cols>
  <sheetData>
    <row r="1" spans="1:5" ht="18.75" customHeight="1" x14ac:dyDescent="0.15">
      <c r="A1" s="7" t="s">
        <v>60</v>
      </c>
      <c r="E1" s="8" t="s">
        <v>82</v>
      </c>
    </row>
    <row r="2" spans="1:5" ht="18.75" customHeight="1" x14ac:dyDescent="0.15">
      <c r="A2" s="168" t="s">
        <v>28</v>
      </c>
      <c r="B2" s="168"/>
      <c r="C2" s="168"/>
      <c r="D2" s="168"/>
      <c r="E2" s="168"/>
    </row>
    <row r="3" spans="1:5" ht="18.75" customHeight="1" x14ac:dyDescent="0.15">
      <c r="A3" s="10"/>
      <c r="B3" s="10"/>
      <c r="C3" s="10"/>
      <c r="D3" s="10"/>
    </row>
    <row r="4" spans="1:5" ht="18.75" customHeight="1" x14ac:dyDescent="0.15">
      <c r="A4" s="11" t="s">
        <v>0</v>
      </c>
      <c r="B4" s="187" t="s">
        <v>124</v>
      </c>
      <c r="C4" s="187"/>
      <c r="D4" s="99" t="s">
        <v>148</v>
      </c>
    </row>
    <row r="5" spans="1:5" ht="9" customHeight="1" x14ac:dyDescent="0.15">
      <c r="A5" s="10"/>
      <c r="B5" s="9"/>
      <c r="C5" s="9"/>
      <c r="D5" s="9"/>
    </row>
    <row r="6" spans="1:5" ht="18.75" customHeight="1" x14ac:dyDescent="0.15">
      <c r="A6" s="192" t="s">
        <v>41</v>
      </c>
      <c r="B6" s="193"/>
      <c r="C6" s="58" t="s">
        <v>149</v>
      </c>
    </row>
    <row r="7" spans="1:5" ht="18.75" customHeight="1" x14ac:dyDescent="0.15">
      <c r="A7" s="192" t="s">
        <v>10</v>
      </c>
      <c r="B7" s="193"/>
      <c r="C7" s="58" t="s">
        <v>150</v>
      </c>
      <c r="D7" s="9"/>
    </row>
    <row r="8" spans="1:5" ht="7.5" customHeight="1" x14ac:dyDescent="0.15">
      <c r="A8" s="10"/>
      <c r="B8" s="10"/>
      <c r="C8" s="10"/>
      <c r="D8" s="10"/>
    </row>
    <row r="9" spans="1:5" ht="18.75" customHeight="1" x14ac:dyDescent="0.15">
      <c r="A9" s="11" t="s">
        <v>3</v>
      </c>
      <c r="B9" s="7" t="s">
        <v>27</v>
      </c>
      <c r="C9" s="17"/>
      <c r="D9" s="17"/>
    </row>
    <row r="10" spans="1:5" ht="18.75" customHeight="1" x14ac:dyDescent="0.15">
      <c r="B10" s="150" t="s">
        <v>24</v>
      </c>
      <c r="C10" s="191"/>
      <c r="D10" s="25" t="s">
        <v>26</v>
      </c>
    </row>
    <row r="11" spans="1:5" ht="19.149999999999999" customHeight="1" x14ac:dyDescent="0.15">
      <c r="B11" s="194" t="s">
        <v>14</v>
      </c>
      <c r="C11" s="195"/>
      <c r="D11" s="196"/>
    </row>
    <row r="12" spans="1:5" ht="198" customHeight="1" x14ac:dyDescent="0.15">
      <c r="B12" s="27"/>
      <c r="C12" s="28" t="s">
        <v>15</v>
      </c>
      <c r="D12" s="44" t="s">
        <v>180</v>
      </c>
    </row>
    <row r="13" spans="1:5" ht="198" customHeight="1" x14ac:dyDescent="0.15">
      <c r="B13" s="27"/>
      <c r="C13" s="29" t="s">
        <v>16</v>
      </c>
      <c r="D13" s="44" t="s">
        <v>158</v>
      </c>
    </row>
    <row r="14" spans="1:5" ht="198" customHeight="1" x14ac:dyDescent="0.15">
      <c r="B14" s="27"/>
      <c r="C14" s="28" t="s">
        <v>17</v>
      </c>
      <c r="D14" s="44" t="s">
        <v>159</v>
      </c>
    </row>
    <row r="15" spans="1:5" ht="198" customHeight="1" x14ac:dyDescent="0.15">
      <c r="B15" s="27"/>
      <c r="C15" s="28" t="s">
        <v>18</v>
      </c>
      <c r="D15" s="44" t="s">
        <v>157</v>
      </c>
    </row>
    <row r="16" spans="1:5" ht="198" customHeight="1" x14ac:dyDescent="0.15">
      <c r="B16" s="30"/>
      <c r="C16" s="31" t="s">
        <v>19</v>
      </c>
      <c r="D16" s="45" t="s">
        <v>179</v>
      </c>
    </row>
    <row r="17" spans="2:4" ht="19.149999999999999" customHeight="1" x14ac:dyDescent="0.15">
      <c r="B17" s="26" t="s">
        <v>20</v>
      </c>
      <c r="C17" s="32"/>
      <c r="D17" s="33"/>
    </row>
    <row r="18" spans="2:4" ht="198" customHeight="1" x14ac:dyDescent="0.15">
      <c r="B18" s="27"/>
      <c r="C18" s="28" t="s">
        <v>21</v>
      </c>
      <c r="D18" s="44" t="s">
        <v>155</v>
      </c>
    </row>
    <row r="19" spans="2:4" ht="198" customHeight="1" x14ac:dyDescent="0.15">
      <c r="B19" s="30"/>
      <c r="C19" s="31" t="s">
        <v>22</v>
      </c>
      <c r="D19" s="45" t="s">
        <v>154</v>
      </c>
    </row>
    <row r="20" spans="2:4" ht="198" customHeight="1" x14ac:dyDescent="0.15">
      <c r="B20" s="189" t="s">
        <v>23</v>
      </c>
      <c r="C20" s="190"/>
      <c r="D20" s="46" t="s">
        <v>156</v>
      </c>
    </row>
    <row r="21" spans="2:4" ht="198" customHeight="1" x14ac:dyDescent="0.15">
      <c r="B21" s="188" t="s">
        <v>91</v>
      </c>
      <c r="C21" s="185"/>
      <c r="D21" s="47" t="s">
        <v>153</v>
      </c>
    </row>
    <row r="22" spans="2:4" ht="22.5" customHeight="1" x14ac:dyDescent="0.15">
      <c r="B22" s="17"/>
      <c r="C22" s="17"/>
      <c r="D22" s="17"/>
    </row>
    <row r="23" spans="2:4" ht="22.5" customHeight="1" x14ac:dyDescent="0.15">
      <c r="B23" s="17"/>
      <c r="C23" s="17"/>
      <c r="D23" s="17"/>
    </row>
    <row r="24" spans="2:4" ht="22.5" customHeight="1" x14ac:dyDescent="0.15">
      <c r="B24" s="17"/>
      <c r="C24" s="17"/>
      <c r="D24" s="17"/>
    </row>
    <row r="25" spans="2:4" ht="22.5" customHeight="1" x14ac:dyDescent="0.15">
      <c r="B25" s="17"/>
      <c r="C25" s="17"/>
      <c r="D25" s="17"/>
    </row>
    <row r="26" spans="2:4" ht="22.5" customHeight="1" x14ac:dyDescent="0.15">
      <c r="B26" s="17"/>
      <c r="C26" s="17"/>
      <c r="D26" s="17"/>
    </row>
    <row r="27" spans="2:4" ht="22.5" customHeight="1" x14ac:dyDescent="0.15">
      <c r="B27" s="14"/>
      <c r="C27" s="14"/>
      <c r="D27" s="14"/>
    </row>
    <row r="28" spans="2:4" ht="22.5" customHeight="1" x14ac:dyDescent="0.15">
      <c r="B28" s="14"/>
      <c r="C28" s="14"/>
      <c r="D28" s="14"/>
    </row>
    <row r="29" spans="2:4" ht="22.5" customHeight="1" x14ac:dyDescent="0.15">
      <c r="B29" s="14"/>
      <c r="C29" s="14"/>
      <c r="D29" s="14"/>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2025-10-09T06:43:13Z</dcterms:created>
  <dcterms:modified xsi:type="dcterms:W3CDTF">2025-12-02T00:19:07Z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