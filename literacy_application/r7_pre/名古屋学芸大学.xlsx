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defaultThemeVersion="124226"/>
  <xr:revisionPtr revIDLastSave="0" documentId="13_ncr:1_{F6B52DC7-B761-4BEA-8412-C6980E654EBA}" xr6:coauthVersionLast="47" xr6:coauthVersionMax="47" xr10:uidLastSave="{00000000-0000-0000-0000-000000000000}"/>
  <bookViews>
    <workbookView xWindow="180" yWindow="90" windowWidth="18255" windowHeight="15375" tabRatio="885" activeTab="3"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構成する授業科目'!$A$1:$Z$69</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 i="40" l="1"/>
  <c r="S10" i="40"/>
  <c r="S13" i="40"/>
  <c r="S12" i="40"/>
  <c r="S11" i="40"/>
  <c r="S14" i="40" l="1"/>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tc={07F8707A-A59B-4017-8441-04E75A28A375}</author>
  </authors>
  <commentList>
    <comment ref="I24" authorId="0" shapeId="0" xr:uid="{07F8707A-A59B-4017-8441-04E75A28A37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次長データなし</t>
      </text>
    </comment>
  </commentList>
</comments>
</file>

<file path=xl/sharedStrings.xml><?xml version="1.0" encoding="utf-8"?>
<sst xmlns="http://schemas.openxmlformats.org/spreadsheetml/2006/main" count="215" uniqueCount="175">
  <si>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</si>
  <si>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</si>
  <si>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</si>
  <si>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</si>
  <si>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</si>
  <si>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</si>
  <si>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</si>
  <si>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</si>
  <si>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</si>
  <si>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</si>
  <si>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</si>
  <si>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</si>
  <si>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</si>
  <si>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</si>
  <si>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</si>
  <si>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</si>
  <si>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</si>
  <si>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</si>
  <si>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</si>
  <si>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</si>
  <si>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</si>
  <si>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</si>
  <si>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</si>
  <si>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</si>
  <si>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</si>
  <si>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</si>
  <si>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</si>
  <si>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</si>
  <si>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</si>
  <si>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</si>
  <si>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</si>
  <si>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</si>
  <si>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</si>
  <si>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</si>
  <si>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</si>
  <si>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</si>
  <si>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</si>
  <si>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</si>
  <si>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</si>
  <si>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</si>
  <si>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</si>
  <si>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</si>
  <si>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</si>
  <si>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</si>
  <si>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</si>
  <si>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</si>
  <si>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</si>
  <si>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</si>
  <si>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</si>
  <si>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</si>
  <si>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</si>
  <si>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</si>
  <si>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</si>
  <si>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</si>
  <si>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</si>
  <si>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</si>
  <si>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</si>
  <si>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</si>
  <si>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</si>
  <si>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</si>
  <si>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</si>
  <si>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</si>
  <si>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</si>
  <si>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</si>
  <si>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</si>
  <si>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</si>
  <si>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</si>
  <si>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</si>
  <si>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</si>
  <si>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</si>
  <si>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</si>
  <si>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</si>
  <si>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</si>
  <si>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</si>
  <si>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</si>
  <si>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</si>
  <si>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</si>
  <si>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</si>
  <si>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</si>
  <si>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</si>
  <si>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</si>
  <si>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</si>
  <si>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</si>
  <si>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</si>
  <si>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</si>
  <si>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</si>
  <si>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</si>
  <si>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</si>
  <si>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</si>
  <si>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</si>
  <si>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</si>
  <si>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</si>
  <si>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</si>
  <si>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</si>
  <si>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</si>
  <si>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</si>
  <si>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</si>
  <si>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</si>
  <si>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</si>
  <si>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</si>
  <si>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</si>
  <si>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</si>
  <si>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</si>
  <si>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</si>
  <si>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</si>
  <si>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</si>
  <si>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</si>
  <si>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</si>
  <si>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</si>
  <si>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</si>
  <si>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</si>
  <si>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</si>
  <si>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</si>
  <si>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</si>
  <si>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</si>
  <si>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</si>
  <si>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</si>
  <si>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</si>
  <si>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</si>
  <si>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</si>
  <si>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</si>
  <si>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</si>
  <si>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</si>
  <si>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</si>
  <si>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名古屋学芸大学</t>
    <rPh sb="0" eb="3">
      <t>ナゴヤ</t>
    </rPh>
    <rPh sb="3" eb="5">
      <t>ガクゲイ</t>
    </rPh>
    <rPh sb="5" eb="7">
      <t>ダイガク</t>
    </rPh>
    <phoneticPr fontId="1"/>
  </si>
  <si>
    <t>学部・学科によって、修了要件は相違しない</t>
  </si>
  <si>
    <t>管理栄養学部、メディア造形学部、ヒューマンケア学部、看護学部</t>
    <rPh sb="0" eb="4">
      <t>カンリエイヨウ</t>
    </rPh>
    <rPh sb="4" eb="6">
      <t>ガクブ</t>
    </rPh>
    <rPh sb="11" eb="15">
      <t>ゾウケイガクブ</t>
    </rPh>
    <rPh sb="23" eb="25">
      <t>ガクブ</t>
    </rPh>
    <rPh sb="26" eb="30">
      <t>カンゴガクブ</t>
    </rPh>
    <phoneticPr fontId="1"/>
  </si>
  <si>
    <t>令和１０年度以降に履修必須とする計画、又は未定</t>
  </si>
  <si>
    <t>情報社会の基礎</t>
    <rPh sb="0" eb="4">
      <t>ジョウホウシャカイ</t>
    </rPh>
    <rPh sb="5" eb="7">
      <t>キソ</t>
    </rPh>
    <phoneticPr fontId="1"/>
  </si>
  <si>
    <t>○</t>
  </si>
  <si>
    <t>データ数理演習</t>
    <rPh sb="3" eb="5">
      <t>スウリ</t>
    </rPh>
    <rPh sb="5" eb="7">
      <t>エンシュウ</t>
    </rPh>
    <phoneticPr fontId="1"/>
  </si>
  <si>
    <t>情報社会の基礎（2単位）、データ数理演習（2単位）、2科目（計4単位）を取得すること</t>
    <phoneticPr fontId="1"/>
  </si>
  <si>
    <t>取得について特に手続きなどは必要なく、教養科目として開講しており全学生が受講可能になっている。</t>
    <rPh sb="19" eb="21">
      <t>キョウヨウ</t>
    </rPh>
    <rPh sb="21" eb="23">
      <t>カモク</t>
    </rPh>
    <rPh sb="26" eb="28">
      <t>カイコウ</t>
    </rPh>
    <rPh sb="32" eb="34">
      <t>ゼンガク</t>
    </rPh>
    <rPh sb="34" eb="35">
      <t>セイ</t>
    </rPh>
    <rPh sb="36" eb="38">
      <t>ジュコウ</t>
    </rPh>
    <rPh sb="38" eb="40">
      <t>カノウ</t>
    </rPh>
    <phoneticPr fontId="1"/>
  </si>
  <si>
    <t>令和７</t>
    <rPh sb="0" eb="2">
      <t>レイワ</t>
    </rPh>
    <phoneticPr fontId="1"/>
  </si>
  <si>
    <t>管理栄養学部</t>
    <rPh sb="0" eb="4">
      <t>カンリエイヨウ</t>
    </rPh>
    <rPh sb="4" eb="6">
      <t>ガクブ</t>
    </rPh>
    <phoneticPr fontId="1"/>
  </si>
  <si>
    <t>メディア造形学部</t>
    <rPh sb="4" eb="6">
      <t>ゾウケイ</t>
    </rPh>
    <rPh sb="6" eb="8">
      <t>ガクブ</t>
    </rPh>
    <phoneticPr fontId="1"/>
  </si>
  <si>
    <t>ヒューマンケア学部</t>
    <rPh sb="7" eb="9">
      <t>ガクブ</t>
    </rPh>
    <phoneticPr fontId="1"/>
  </si>
  <si>
    <t>看護学部</t>
    <rPh sb="0" eb="2">
      <t>カンゴ</t>
    </rPh>
    <rPh sb="2" eb="4">
      <t>ガクブ</t>
    </rPh>
    <phoneticPr fontId="1"/>
  </si>
  <si>
    <t>教養教育機構長</t>
    <rPh sb="0" eb="7">
      <t>キョウヨウキョウイクキコウチョウ</t>
    </rPh>
    <phoneticPr fontId="1"/>
  </si>
  <si>
    <t>・ビッグデータ、IoT、AI、生成AI、ロボット「情報社会の基礎（12回）」
・データ量の増加、計算機の処理性能の向上、AIの非連続的進化「情報社会の基礎（12回）」
・第4次産業革命、Society 5.0「情報社会の基礎（12回）」　</t>
    <rPh sb="105" eb="109">
      <t>ジョウホウシャカイ</t>
    </rPh>
    <rPh sb="110" eb="112">
      <t>キソ</t>
    </rPh>
    <rPh sb="115" eb="116">
      <t>カイ</t>
    </rPh>
    <phoneticPr fontId="1"/>
  </si>
  <si>
    <t>・AI最新技術の活用例（深層生成モデル、強化学習、生成AIなど）「情報社会の基礎（14回）」
・AI等を活用した新しいビジネスモデル(商品のレコメンデーションなど)「情報社会の基礎（6回）」</t>
    <rPh sb="83" eb="87">
      <t>ジョウホウシャカイ</t>
    </rPh>
    <rPh sb="88" eb="90">
      <t>キソ</t>
    </rPh>
    <rPh sb="92" eb="93">
      <t>カイ</t>
    </rPh>
    <phoneticPr fontId="1"/>
  </si>
  <si>
    <t>・調査データ、実験データ、人の行動ログデータ、機械の稼働ログデータなど「情報社会の基礎（13回）」
・1次データ、2次データ、データのメタ化「情報社会の基礎（13回）」
・構造化データ、非構造化データ（文章、画像/動画、音声/音楽など）「情報社会の基礎（13回）」
・データ作成「情報社会の基礎（13回）」
・データのオープン化「情報社会の基礎（13回）」</t>
    <phoneticPr fontId="1"/>
  </si>
  <si>
    <t>・データ・AI活用領域の広がり(生産、消費、文化活動など)「情報社会の基礎（12回）」
・研究開発、調達、製造、物流、販売、マーケティング、サービスなど「情報社会の基礎（5回、12回）」</t>
    <rPh sb="77" eb="81">
      <t>ジョウホウシャカイ</t>
    </rPh>
    <rPh sb="82" eb="84">
      <t>キソ</t>
    </rPh>
    <rPh sb="86" eb="87">
      <t>カイ</t>
    </rPh>
    <rPh sb="90" eb="91">
      <t>カイ</t>
    </rPh>
    <phoneticPr fontId="1"/>
  </si>
  <si>
    <t>・データ解析：予測、グルーピング、パターン発見、最適化、モデル化とシミュレーション・データ同化など「情報社会の基礎（13回）」
・データ可視化：複合グラフ、2軸グラフ、多次元の可視化、関係性の可視化、など「情報社会の基礎（13回）」「データ数理演習（2回）」
・非構造化データ処理：言語処理、画像/動画処理、音声/音楽処理など「情報社会の基礎（13回）」</t>
    <phoneticPr fontId="1"/>
  </si>
  <si>
    <t>・倫理的・法的・社会的課題「情報社会の基礎（14回）」
・個人情報保護、EU一般データ保護規則(GDPR)、オプトアウト「情報社会の基礎（14回）」
・データ倫理：データのねつ造、改ざん、盗用、プライバシー保護「情報社会の基礎（13回）」
・AI社会原則（公平性、説明責任、透明性、人間中心の判断）「情報社会の基礎（14回）」
・AIサービスの責任論「情報社会の基礎（14回）」
・データ・AI活用における負の事例紹介「情報社会の基礎（14回）」
・生成AIの留意事項（ハルシネーションによる誤情報の生成、偽情報や有害コンテンツの生成・氾濫 など）「情報社会の基礎（1４回）」</t>
    <phoneticPr fontId="1"/>
  </si>
  <si>
    <t>・データの種類（量的変数、質的変数）「データ数理演習（2回）」
・データの分布(ヒストグラム)と代表値（平均値、中央値、最頻値）「データ数理演習（2回）」
・代表値の性質の違い（実社会では平均値＝最頻値でないことが多い）「データ数理演習（2回）」
・データのばらつき（分散、標準偏差、偏差値）、外れ値「データ数理演習（３回）」
・相関と因果（相関係数、擬似相関、交絡）「データ数理演習（10回）」
・観測データに含まれる誤差の扱い「データ数理演習（２回）」
・母集団と標本抽出（国勢調査、アンケート調査、全数調査、単純無作為抽出）「データ数理演習（6回）」
・クロス集計表「データ数理演習（１回）」
・統計情報の正しい理解（誇張表現に惑わされない）「データ数理演習（４回）」</t>
    <phoneticPr fontId="1"/>
  </si>
  <si>
    <t>・データの取得（機械判読可能なデータの作成・表記方法）「データ数理演習（1回）」
・データの集計（和、平均）「データ数理演習（1回）」
・データの並び替え、ランキング「データ数理演習（1回）」</t>
    <phoneticPr fontId="1"/>
  </si>
  <si>
    <t>堀尾 正典</t>
    <rPh sb="0" eb="2">
      <t>ホリオ</t>
    </rPh>
    <rPh sb="3" eb="5">
      <t>マサノリ</t>
    </rPh>
    <phoneticPr fontId="1"/>
  </si>
  <si>
    <t>教養教育機構長、情報系科目担当主任　堀尾　正典
副機構長　大野　欽司
管理栄養学部 教授　山田　千佳子
メディア映像学部 映像メディア学科 准教授　齋藤　正和
メディア映像学部 デザイン学科 教授　金　昌郁
メディア映像学部 デザイン学科 准教授　山本　あつし
メディア映像学部 ファッション造形学科 講師　錦見　淳子
メディア映像学部 ファッション造形学科（教養教育） 教授　内田　君子
ヒューマンケア学部（教養教育） 教授　鈴木　薫
ヒューマンケア学部 教授　赤嶺　亜紀
ヒューマンケア学部（教養教育） 教授　山本　恭子
看護学部 教授　林　智子
看護学部 教授　永井　邦芳
事務局 局長　機構長補佐　松浦　清彦
教務部教務課 次長　機構長補佐　三浦　正光</t>
    <rPh sb="35" eb="41">
      <t>カンリエイヨウガクブ</t>
    </rPh>
    <rPh sb="42" eb="44">
      <t>キョウジュ</t>
    </rPh>
    <rPh sb="56" eb="58">
      <t>エイゾウ</t>
    </rPh>
    <rPh sb="58" eb="60">
      <t>ガクブ</t>
    </rPh>
    <rPh sb="70" eb="73">
      <t>ジュンキョウジュ</t>
    </rPh>
    <rPh sb="96" eb="98">
      <t>キョウジュ</t>
    </rPh>
    <rPh sb="120" eb="123">
      <t>ジュンキョウジュ</t>
    </rPh>
    <rPh sb="151" eb="153">
      <t>コウシ</t>
    </rPh>
    <rPh sb="186" eb="188">
      <t>キョウジュ</t>
    </rPh>
    <rPh sb="202" eb="204">
      <t>ガクブ</t>
    </rPh>
    <rPh sb="211" eb="213">
      <t>キョウジュ</t>
    </rPh>
    <rPh sb="229" eb="231">
      <t>キョウジュ</t>
    </rPh>
    <rPh sb="254" eb="256">
      <t>キョウジュ</t>
    </rPh>
    <rPh sb="265" eb="267">
      <t>ガクブ</t>
    </rPh>
    <rPh sb="268" eb="270">
      <t>キョウジュ</t>
    </rPh>
    <rPh sb="281" eb="283">
      <t>キョウジュ</t>
    </rPh>
    <rPh sb="309" eb="312">
      <t>キョウムブ</t>
    </rPh>
    <rPh sb="312" eb="315">
      <t>キョウムカ</t>
    </rPh>
    <phoneticPr fontId="1"/>
  </si>
  <si>
    <t>「情報社会の基礎」については遠隔オンデマンド授業を展開しており、履修生が受講する場所や時間を自由に選択できる。</t>
    <rPh sb="1" eb="5">
      <t>ジョウホウシャカイ</t>
    </rPh>
    <rPh sb="6" eb="8">
      <t>キソ</t>
    </rPh>
    <rPh sb="14" eb="16">
      <t>エンカク</t>
    </rPh>
    <rPh sb="22" eb="24">
      <t>ジュギョウ</t>
    </rPh>
    <rPh sb="25" eb="27">
      <t>テンカイ</t>
    </rPh>
    <rPh sb="32" eb="34">
      <t>リシュウ</t>
    </rPh>
    <rPh sb="34" eb="35">
      <t>セイ</t>
    </rPh>
    <rPh sb="36" eb="38">
      <t>ジュコウ</t>
    </rPh>
    <rPh sb="40" eb="42">
      <t>バショ</t>
    </rPh>
    <rPh sb="43" eb="45">
      <t>ジカン</t>
    </rPh>
    <rPh sb="46" eb="48">
      <t>ジユウ</t>
    </rPh>
    <rPh sb="49" eb="51">
      <t>センタク</t>
    </rPh>
    <phoneticPr fontId="1"/>
  </si>
  <si>
    <t>本認定プログラムの履修者、受講生のアンケート結果を把握し、教養教育機構で検討し、本認定プログラムの評価・改善に活用する。</t>
    <rPh sb="0" eb="1">
      <t>ホン</t>
    </rPh>
    <rPh sb="1" eb="3">
      <t>ニンテイ</t>
    </rPh>
    <rPh sb="9" eb="12">
      <t>リシュウシャ</t>
    </rPh>
    <rPh sb="13" eb="16">
      <t>ジュコウセイ</t>
    </rPh>
    <rPh sb="22" eb="24">
      <t>ケッカ</t>
    </rPh>
    <rPh sb="25" eb="27">
      <t>ハアク</t>
    </rPh>
    <rPh sb="29" eb="31">
      <t>キョウヨウ</t>
    </rPh>
    <rPh sb="31" eb="35">
      <t>キョウイクキコウ</t>
    </rPh>
    <rPh sb="36" eb="38">
      <t>ケントウ</t>
    </rPh>
    <rPh sb="40" eb="41">
      <t>ホン</t>
    </rPh>
    <rPh sb="41" eb="43">
      <t>ニンテイ</t>
    </rPh>
    <rPh sb="49" eb="51">
      <t>ヒョウカ</t>
    </rPh>
    <rPh sb="52" eb="54">
      <t>カイゼン</t>
    </rPh>
    <rPh sb="55" eb="57">
      <t>カツヨウ</t>
    </rPh>
    <phoneticPr fontId="1"/>
  </si>
  <si>
    <t>本認定プログラム科目を受講する全学生の受講結果アンケートを集計し、全体の学習についての成功度合いを調査している。この調査は毎年実施しており、過去からの経年データを担当が見て、次年度の改善にもつなげている。</t>
    <rPh sb="0" eb="1">
      <t>ホン</t>
    </rPh>
    <rPh sb="1" eb="3">
      <t>ニンテイ</t>
    </rPh>
    <rPh sb="8" eb="10">
      <t>カモク</t>
    </rPh>
    <rPh sb="11" eb="13">
      <t>ジュコウ</t>
    </rPh>
    <rPh sb="15" eb="18">
      <t>ゼンガクセイ</t>
    </rPh>
    <rPh sb="19" eb="23">
      <t>ジュコウケッカ</t>
    </rPh>
    <rPh sb="29" eb="31">
      <t>シュウケイ</t>
    </rPh>
    <rPh sb="33" eb="35">
      <t>ゼンタイ</t>
    </rPh>
    <rPh sb="36" eb="38">
      <t>ガクシュウ</t>
    </rPh>
    <rPh sb="43" eb="45">
      <t>セイコウ</t>
    </rPh>
    <rPh sb="45" eb="47">
      <t>ドア</t>
    </rPh>
    <rPh sb="49" eb="51">
      <t>チョウサ</t>
    </rPh>
    <rPh sb="58" eb="60">
      <t>チョウサ</t>
    </rPh>
    <rPh sb="61" eb="63">
      <t>マイトシ</t>
    </rPh>
    <rPh sb="63" eb="65">
      <t>ジッシ</t>
    </rPh>
    <rPh sb="70" eb="72">
      <t>カコ</t>
    </rPh>
    <rPh sb="75" eb="77">
      <t>ケイネン</t>
    </rPh>
    <rPh sb="81" eb="83">
      <t>タントウ</t>
    </rPh>
    <rPh sb="84" eb="85">
      <t>ミ</t>
    </rPh>
    <rPh sb="87" eb="90">
      <t>ジネンド</t>
    </rPh>
    <rPh sb="91" eb="93">
      <t>カイゼン</t>
    </rPh>
    <phoneticPr fontId="1"/>
  </si>
  <si>
    <t>本認定プログラム科目（「データ数理演習」）は、令和6年度入学生より管理栄養学部、メディア造形学部、ヒューマンケア学部で履修ができるよう、令和7年度入学生からは全学部で履修できるよう教育課程に選択科目として新設した。令和7年度よりプログラムを開始したため、履修者数にばらつきがあったが、年次を経るにつれて履修者数や履修率ともに増えていくことが予想できる。
学生に本認定プログラムの趣旨や目的を周知することで、履修者数の向上を目指す。</t>
    <rPh sb="0" eb="1">
      <t>ホン</t>
    </rPh>
    <rPh sb="1" eb="3">
      <t>ニンテイ</t>
    </rPh>
    <rPh sb="8" eb="10">
      <t>カモク</t>
    </rPh>
    <rPh sb="15" eb="17">
      <t>スウリ</t>
    </rPh>
    <rPh sb="17" eb="19">
      <t>エンシュウ</t>
    </rPh>
    <rPh sb="23" eb="25">
      <t>レイワ</t>
    </rPh>
    <rPh sb="26" eb="28">
      <t>ネンド</t>
    </rPh>
    <rPh sb="28" eb="31">
      <t>ニュウガクセイ</t>
    </rPh>
    <rPh sb="33" eb="37">
      <t>カンリエイヨウ</t>
    </rPh>
    <rPh sb="37" eb="39">
      <t>ガクブ</t>
    </rPh>
    <rPh sb="44" eb="46">
      <t>ゾウケイ</t>
    </rPh>
    <rPh sb="46" eb="48">
      <t>ガクブ</t>
    </rPh>
    <rPh sb="56" eb="58">
      <t>ガクブ</t>
    </rPh>
    <rPh sb="59" eb="61">
      <t>リシュウ</t>
    </rPh>
    <rPh sb="68" eb="70">
      <t>レイワ</t>
    </rPh>
    <rPh sb="71" eb="73">
      <t>ネンド</t>
    </rPh>
    <rPh sb="73" eb="76">
      <t>ニュウガクセイ</t>
    </rPh>
    <rPh sb="79" eb="82">
      <t>ゼンガクブ</t>
    </rPh>
    <rPh sb="83" eb="85">
      <t>リシュウ</t>
    </rPh>
    <rPh sb="90" eb="92">
      <t>キョウイク</t>
    </rPh>
    <rPh sb="92" eb="94">
      <t>カテイ</t>
    </rPh>
    <rPh sb="95" eb="97">
      <t>センタク</t>
    </rPh>
    <rPh sb="97" eb="99">
      <t>カモク</t>
    </rPh>
    <rPh sb="102" eb="104">
      <t>シンセツ</t>
    </rPh>
    <rPh sb="107" eb="109">
      <t>レイワ</t>
    </rPh>
    <rPh sb="110" eb="112">
      <t>ネンド</t>
    </rPh>
    <rPh sb="120" eb="122">
      <t>カイシ</t>
    </rPh>
    <rPh sb="127" eb="130">
      <t>リシュウシャ</t>
    </rPh>
    <rPh sb="130" eb="131">
      <t>スウ</t>
    </rPh>
    <rPh sb="142" eb="144">
      <t>ネンジ</t>
    </rPh>
    <rPh sb="145" eb="146">
      <t>ヘ</t>
    </rPh>
    <rPh sb="151" eb="154">
      <t>リシュウシャ</t>
    </rPh>
    <rPh sb="154" eb="155">
      <t>スウ</t>
    </rPh>
    <rPh sb="181" eb="183">
      <t>ニンテイ</t>
    </rPh>
    <phoneticPr fontId="1"/>
  </si>
  <si>
    <t>各期の終講時に学生受講結果アンケートを実施し、履修についての理解度を調査している。</t>
    <rPh sb="0" eb="1">
      <t>カク</t>
    </rPh>
    <rPh sb="1" eb="2">
      <t>キ</t>
    </rPh>
    <rPh sb="3" eb="5">
      <t>シュウコウ</t>
    </rPh>
    <rPh sb="5" eb="6">
      <t>ジ</t>
    </rPh>
    <rPh sb="7" eb="9">
      <t>ガクセイ</t>
    </rPh>
    <rPh sb="9" eb="11">
      <t>ジュコウ</t>
    </rPh>
    <rPh sb="11" eb="13">
      <t>ケッカ</t>
    </rPh>
    <rPh sb="19" eb="21">
      <t>ジッシ</t>
    </rPh>
    <rPh sb="23" eb="25">
      <t>リシュウ</t>
    </rPh>
    <rPh sb="30" eb="33">
      <t>リカイド</t>
    </rPh>
    <rPh sb="34" eb="36">
      <t>チョウサ</t>
    </rPh>
    <phoneticPr fontId="1"/>
  </si>
  <si>
    <t>本学のキャリアサポートセンターでは、毎年卒業生が就職した企業にアンケートを行っている。それにより卒業生に関する評価を把握する。</t>
    <rPh sb="0" eb="2">
      <t>ホンガク</t>
    </rPh>
    <rPh sb="18" eb="20">
      <t>マイトシ</t>
    </rPh>
    <rPh sb="20" eb="22">
      <t>ソツギョウ</t>
    </rPh>
    <rPh sb="22" eb="23">
      <t>セイ</t>
    </rPh>
    <rPh sb="24" eb="26">
      <t>シュウショク</t>
    </rPh>
    <rPh sb="28" eb="30">
      <t>キギョウ</t>
    </rPh>
    <rPh sb="37" eb="38">
      <t>オコナ</t>
    </rPh>
    <rPh sb="48" eb="50">
      <t>ソツギョウ</t>
    </rPh>
    <rPh sb="50" eb="51">
      <t>セイ</t>
    </rPh>
    <rPh sb="52" eb="53">
      <t>カン</t>
    </rPh>
    <rPh sb="55" eb="57">
      <t>ヒョウカ</t>
    </rPh>
    <rPh sb="58" eb="60">
      <t>ハアク</t>
    </rPh>
    <phoneticPr fontId="1"/>
  </si>
  <si>
    <t>最大限、平易に、かつ学生が普段馴染み深い事例を基にし、数式的な説明をできるだけ省いて話を進めるよう心掛けている。講義の主目的として、数学的な理解というより、見かけの数字に簡単に納得するのではなく、意味や理由を掘り下げて考えられるようなコンピテンシー育成を目指している。</t>
    <rPh sb="0" eb="3">
      <t>サイダイゲン</t>
    </rPh>
    <rPh sb="4" eb="6">
      <t>ヘイイ</t>
    </rPh>
    <rPh sb="10" eb="12">
      <t>ガクセイ</t>
    </rPh>
    <rPh sb="13" eb="15">
      <t>フダン</t>
    </rPh>
    <rPh sb="15" eb="17">
      <t>ナジ</t>
    </rPh>
    <rPh sb="18" eb="19">
      <t>ブカ</t>
    </rPh>
    <rPh sb="20" eb="22">
      <t>ジレイ</t>
    </rPh>
    <rPh sb="23" eb="24">
      <t>モト</t>
    </rPh>
    <rPh sb="42" eb="43">
      <t>ハナシ</t>
    </rPh>
    <rPh sb="44" eb="45">
      <t>スス</t>
    </rPh>
    <rPh sb="49" eb="51">
      <t>ココロガ</t>
    </rPh>
    <rPh sb="56" eb="58">
      <t>コウギ</t>
    </rPh>
    <rPh sb="59" eb="62">
      <t>シュモクテキ</t>
    </rPh>
    <rPh sb="66" eb="69">
      <t>スウガクテキ</t>
    </rPh>
    <rPh sb="70" eb="72">
      <t>リカイ</t>
    </rPh>
    <rPh sb="78" eb="79">
      <t>ミ</t>
    </rPh>
    <rPh sb="82" eb="84">
      <t>スウジ</t>
    </rPh>
    <rPh sb="85" eb="87">
      <t>カンタン</t>
    </rPh>
    <rPh sb="88" eb="90">
      <t>ナットク</t>
    </rPh>
    <rPh sb="98" eb="100">
      <t>イミ</t>
    </rPh>
    <rPh sb="101" eb="103">
      <t>リユウ</t>
    </rPh>
    <rPh sb="104" eb="105">
      <t>ホ</t>
    </rPh>
    <rPh sb="106" eb="107">
      <t>サ</t>
    </rPh>
    <rPh sb="109" eb="110">
      <t>カンガ</t>
    </rPh>
    <rPh sb="124" eb="126">
      <t>イクセイ</t>
    </rPh>
    <rPh sb="127" eb="129">
      <t>メザ</t>
    </rPh>
    <phoneticPr fontId="1"/>
  </si>
  <si>
    <t>本学では、ディプロマ・ポリシーやカリキュラム・ポリシーを外部評価委員に意見を求める機会が毎年設けられている。その場においてプログラム内容や手法についての意見を聴取する予定である。</t>
    <rPh sb="0" eb="2">
      <t>ホンガク</t>
    </rPh>
    <rPh sb="28" eb="30">
      <t>ガイブ</t>
    </rPh>
    <rPh sb="30" eb="34">
      <t>ヒョウカイイン</t>
    </rPh>
    <rPh sb="35" eb="37">
      <t>イケン</t>
    </rPh>
    <rPh sb="38" eb="39">
      <t>モト</t>
    </rPh>
    <rPh sb="41" eb="43">
      <t>キカイ</t>
    </rPh>
    <rPh sb="44" eb="46">
      <t>マイトシ</t>
    </rPh>
    <rPh sb="46" eb="47">
      <t>モウ</t>
    </rPh>
    <rPh sb="56" eb="57">
      <t>バ</t>
    </rPh>
    <rPh sb="66" eb="68">
      <t>ナイヨウ</t>
    </rPh>
    <rPh sb="69" eb="71">
      <t>シュホウ</t>
    </rPh>
    <rPh sb="76" eb="78">
      <t>イケン</t>
    </rPh>
    <rPh sb="79" eb="81">
      <t>チョウシュ</t>
    </rPh>
    <rPh sb="83" eb="85">
      <t>ヨテイ</t>
    </rPh>
    <phoneticPr fontId="1"/>
  </si>
  <si>
    <t>学生受講結果アンケートや最新の動向などを定期的に精査し、内容の修正や加筆を適宜を行う。</t>
    <rPh sb="0" eb="2">
      <t>ガクセイ</t>
    </rPh>
    <rPh sb="2" eb="4">
      <t>ジュコウ</t>
    </rPh>
    <rPh sb="4" eb="6">
      <t>ケッカ</t>
    </rPh>
    <rPh sb="12" eb="14">
      <t>サイシン</t>
    </rPh>
    <rPh sb="15" eb="17">
      <t>ドウコウ</t>
    </rPh>
    <rPh sb="20" eb="23">
      <t>テイキテキ</t>
    </rPh>
    <rPh sb="24" eb="26">
      <t>セイサ</t>
    </rPh>
    <rPh sb="28" eb="30">
      <t>ナイヨウ</t>
    </rPh>
    <rPh sb="31" eb="33">
      <t>シュウセイ</t>
    </rPh>
    <rPh sb="34" eb="36">
      <t>カヒツ</t>
    </rPh>
    <rPh sb="37" eb="39">
      <t>テキギ</t>
    </rPh>
    <rPh sb="40" eb="41">
      <t>オコナ</t>
    </rPh>
    <phoneticPr fontId="1"/>
  </si>
  <si>
    <t>データ数理・AI教育プログラム</t>
    <rPh sb="3" eb="5">
      <t>スウリ</t>
    </rPh>
    <rPh sb="8" eb="10">
      <t>キョウイク</t>
    </rPh>
    <phoneticPr fontId="1"/>
  </si>
  <si>
    <t>・データサイエンスやAIの基本的な考え方が理解できる
・各種アンケートデータに統計的な意味づけを与えることができる
・数理的な判断を取り入れた意思決定の重要性が理解でき、実生活に応用できる</t>
    <phoneticPr fontId="1"/>
  </si>
  <si>
    <t>推奨度のような値は学生受講結果アンケート項目としてはないが、替わりとして履修満足度を示す「肯定評価」の値を調査しており、学生の学習成功実感を常に把握している。この値と推奨度は正の相関にあると考えられるため、この値を使い評価している（単純な後輩への推奨度では、単に「楽に単位が取れる」といったネガティブな要素でも高くなってしまう可能性があるため）。</t>
    <rPh sb="0" eb="3">
      <t>スイショウド</t>
    </rPh>
    <rPh sb="7" eb="8">
      <t>アタイ</t>
    </rPh>
    <rPh sb="9" eb="11">
      <t>ガクセイ</t>
    </rPh>
    <rPh sb="20" eb="22">
      <t>コウモク</t>
    </rPh>
    <rPh sb="30" eb="31">
      <t>カ</t>
    </rPh>
    <rPh sb="36" eb="38">
      <t>リシュウ</t>
    </rPh>
    <rPh sb="38" eb="41">
      <t>マンゾクド</t>
    </rPh>
    <rPh sb="42" eb="43">
      <t>シメ</t>
    </rPh>
    <rPh sb="45" eb="47">
      <t>コウテイ</t>
    </rPh>
    <rPh sb="47" eb="49">
      <t>ヒョウカ</t>
    </rPh>
    <rPh sb="51" eb="52">
      <t>アタイ</t>
    </rPh>
    <rPh sb="53" eb="55">
      <t>チョウサ</t>
    </rPh>
    <rPh sb="60" eb="62">
      <t>ガクセイ</t>
    </rPh>
    <rPh sb="63" eb="65">
      <t>ガクシュウ</t>
    </rPh>
    <rPh sb="65" eb="69">
      <t>セイコウジッカン</t>
    </rPh>
    <rPh sb="70" eb="71">
      <t>ツネ</t>
    </rPh>
    <rPh sb="72" eb="74">
      <t>ハアク</t>
    </rPh>
    <rPh sb="81" eb="82">
      <t>アタイ</t>
    </rPh>
    <rPh sb="83" eb="86">
      <t>スイショウド</t>
    </rPh>
    <rPh sb="87" eb="88">
      <t>セイ</t>
    </rPh>
    <rPh sb="89" eb="91">
      <t>ソウカン</t>
    </rPh>
    <rPh sb="95" eb="96">
      <t>カンガ</t>
    </rPh>
    <rPh sb="105" eb="106">
      <t>アタイ</t>
    </rPh>
    <rPh sb="107" eb="108">
      <t>ツカ</t>
    </rPh>
    <rPh sb="109" eb="111">
      <t>ヒョウカ</t>
    </rPh>
    <rPh sb="116" eb="118">
      <t>タンジュン</t>
    </rPh>
    <rPh sb="119" eb="121">
      <t>コウハイ</t>
    </rPh>
    <rPh sb="123" eb="126">
      <t>スイショウド</t>
    </rPh>
    <rPh sb="129" eb="130">
      <t>タン</t>
    </rPh>
    <rPh sb="132" eb="133">
      <t>ラク</t>
    </rPh>
    <rPh sb="134" eb="136">
      <t>タンイ</t>
    </rPh>
    <rPh sb="137" eb="138">
      <t>ト</t>
    </rPh>
    <rPh sb="151" eb="153">
      <t>ヨウソ</t>
    </rPh>
    <rPh sb="155" eb="156">
      <t>タカ</t>
    </rPh>
    <rPh sb="163" eb="166">
      <t>カノウセイ</t>
    </rPh>
    <phoneticPr fontId="1"/>
  </si>
  <si>
    <t>LMSやメールにて履修者からの質問を随時受付し、メール及び次回の授業開始時に回答する。
また、本認定プログラム科目を担当する授業担当者の「オフィスアワー」を学生に知らせており、学生は対面での相談も可能である。</t>
    <rPh sb="9" eb="12">
      <t>リシュウシャ</t>
    </rPh>
    <rPh sb="15" eb="17">
      <t>シツモン</t>
    </rPh>
    <rPh sb="18" eb="20">
      <t>_x0000_	_x0003_</t>
    </rPh>
    <rPh sb="47" eb="48">
      <t>_x0006__x000F_</t>
    </rPh>
    <rPh sb="48" eb="50">
      <t>_x0002_
_x0012__x0002_</t>
    </rPh>
    <rPh sb="55" eb="57">
      <t>_x000D_/_x0001_</t>
    </rPh>
    <rPh sb="58" eb="60">
      <t>_x000F_0_x0002__x0013_</t>
    </rPh>
    <rPh sb="62" eb="64">
      <t>7_x0002__x0016_:_x0002_</t>
    </rPh>
    <rPh sb="64" eb="67">
      <t>_x001A_&gt;_x0002__x001F_@_x0003_</t>
    </rPh>
    <rPh sb="78" eb="80">
      <t>%N_x0002_)</t>
    </rPh>
    <rPh sb="81" eb="82">
      <t>P</t>
    </rPh>
    <rPh sb="88" eb="90">
      <t>_x0001_*W_x0002_</t>
    </rPh>
    <rPh sb="91" eb="93">
      <t>.Z_x0002_2</t>
    </rPh>
    <rPh sb="95" eb="97">
      <t>^_x0002_6a</t>
    </rPh>
    <rPh sb="98" eb="100">
      <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</si>
  <si>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</si>
  <si>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</si>
  <si>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</si>
  <si>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</si>
  <si>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</si>
  <si>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・データサイエンスのサイクル（課題抽出と定式化、データの取得・管理・加工、探索的データ解析、データ解析と推論、結果の共有・伝達、課題解決に向けた提案）「情報社会の基礎（14回）」
・教育、芸術、流通、製造、金融、サービス、インフラ、公共、ヘルスケア等におけるデータ・AI利活用事例紹介「情報社会の基礎（14回）」</t>
    <rPh sb="143" eb="147">
      <t>ジョウホウシャカイ</t>
    </rPh>
    <rPh sb="148" eb="150">
      <t>キソ</t>
    </rPh>
    <rPh sb="153" eb="154">
      <t>カイ</t>
    </rPh>
    <phoneticPr fontId="1"/>
  </si>
  <si>
    <t>・データ表現（棒グラフ、折線グラフ、散布図、ヒートマップ、箱ひげ図）「データ数理演習（4回）」
・不適切なグラフ表現（チャートジャンク、不必要な視覚的要素）「データ数理演習（4回）」
・優れた可視化事例の紹介（可視化することによって新たな気づきがあった事例など）「データ数理演習（3回）」</t>
    <phoneticPr fontId="1"/>
  </si>
  <si>
    <t>・情報セキュリティの3要素（機密性、完全性、可用性）「情報社会の基礎（11回）」
・匿名加工情報、暗号化と復号、ユーザ認証と、パスワード、アクセス制御、悪意ある情報搾取「情報社会の基礎（11回）」
・情報漏洩等によるセキュリティ事故の事例紹介「情報社会の基礎（11回）」
・サイバーセキュリティ「情報社会の基礎（11回）」</t>
    <rPh sb="1" eb="3">
      <t>ジョウホウ</t>
    </rPh>
    <rPh sb="148" eb="152">
      <t>ジョウホウシャカイ</t>
    </rPh>
    <rPh sb="153" eb="155">
      <t>キソ</t>
    </rPh>
    <rPh sb="158" eb="159">
      <t>カイ</t>
    </rPh>
    <phoneticPr fontId="1"/>
  </si>
  <si>
    <t>教養教育機構</t>
    <rPh sb="0" eb="2">
      <t>キョウヨウ</t>
    </rPh>
    <rPh sb="2" eb="4">
      <t>キョウイク</t>
    </rPh>
    <rPh sb="4" eb="6">
      <t>キコウ</t>
    </rPh>
    <phoneticPr fontId="1"/>
  </si>
  <si>
    <t>教養教育機構長</t>
    <phoneticPr fontId="1"/>
  </si>
  <si>
    <t>本学の履修要項として学生へ配付している「履修の手引」に本認定プログラムの項目を設け学生へ周知するとともに、学科ガイダンス等で教養教育機構より学生へ本認定プログラムの趣旨や目的を伝え理解を深める。
また、履修者が多い「情報リテラシー」など他科目のオリエンテーション等で授業担当者より本認定プログラムについて説明し、履修を促していく。</t>
    <rPh sb="0" eb="2">
      <t>ホンガク</t>
    </rPh>
    <rPh sb="3" eb="5">
      <t>リシュウ</t>
    </rPh>
    <rPh sb="5" eb="7">
      <t>ヨウコウ</t>
    </rPh>
    <rPh sb="10" eb="12">
      <t>ガクセイ</t>
    </rPh>
    <rPh sb="13" eb="15">
      <t>ハイフ</t>
    </rPh>
    <rPh sb="20" eb="22">
      <t>リシュウ</t>
    </rPh>
    <rPh sb="23" eb="25">
      <t>テビキ</t>
    </rPh>
    <rPh sb="53" eb="55">
      <t>ガッカ</t>
    </rPh>
    <rPh sb="60" eb="61">
      <t>ナド</t>
    </rPh>
    <rPh sb="62" eb="64">
      <t>キョウヨウ</t>
    </rPh>
    <rPh sb="64" eb="66">
      <t>キョウイク</t>
    </rPh>
    <rPh sb="66" eb="68">
      <t>キコウ</t>
    </rPh>
    <rPh sb="70" eb="72">
      <t>ガクセイ</t>
    </rPh>
    <rPh sb="88" eb="89">
      <t>ツタ</t>
    </rPh>
    <rPh sb="90" eb="92">
      <t>リカイ</t>
    </rPh>
    <rPh sb="93" eb="94">
      <t>フカ</t>
    </rPh>
    <rPh sb="101" eb="104">
      <t>リシュウシャ</t>
    </rPh>
    <rPh sb="133" eb="135">
      <t>ジュギョウ</t>
    </rPh>
    <rPh sb="135" eb="138">
      <t>タントウシャ</t>
    </rPh>
    <rPh sb="141" eb="143">
      <t>ニンテイ</t>
    </rPh>
    <rPh sb="159" eb="160">
      <t>ウナガ</t>
    </rPh>
    <phoneticPr fontId="1"/>
  </si>
  <si>
    <t>本認定プログラムについて履修要項（「履修の手引」）に追記し、学生の履修を促す。毎年の受講生を教養教育機構で把握し、必要な場合、委員から履修登録などで周知を徹底する。</t>
    <rPh sb="0" eb="1">
      <t>ホン</t>
    </rPh>
    <rPh sb="1" eb="3">
      <t>ニンテイ</t>
    </rPh>
    <rPh sb="18" eb="20">
      <t>リシュウ</t>
    </rPh>
    <rPh sb="21" eb="23">
      <t>テビ</t>
    </rPh>
    <rPh sb="26" eb="28">
      <t>ツイキ</t>
    </rPh>
    <rPh sb="30" eb="32">
      <t>ガクセイ</t>
    </rPh>
    <rPh sb="33" eb="35">
      <t>リシュウ</t>
    </rPh>
    <rPh sb="36" eb="37">
      <t>ウナガ</t>
    </rPh>
    <rPh sb="39" eb="41">
      <t>マイトシ</t>
    </rPh>
    <rPh sb="42" eb="45">
      <t>ジュコウセイ</t>
    </rPh>
    <rPh sb="46" eb="52">
      <t>キョウヨウキョウイクキコウ</t>
    </rPh>
    <rPh sb="53" eb="55">
      <t>ハアク</t>
    </rPh>
    <rPh sb="57" eb="59">
      <t>ヒツヨウ</t>
    </rPh>
    <rPh sb="60" eb="62">
      <t>バアイ</t>
    </rPh>
    <rPh sb="63" eb="65">
      <t>イイン</t>
    </rPh>
    <rPh sb="67" eb="69">
      <t>リシュウ</t>
    </rPh>
    <rPh sb="69" eb="71">
      <t>トウロク</t>
    </rPh>
    <rPh sb="74" eb="76">
      <t>シュウチ</t>
    </rPh>
    <rPh sb="77" eb="79">
      <t>テッテイ</t>
    </rPh>
    <phoneticPr fontId="1"/>
  </si>
  <si>
    <t>名古屋学芸大学の建学の精神、基本理念、使命・目的及び教育目標に則った教養教育の実施及び充実を目的として、教養教育機構は設置されている。
本認定プログラムは教養教育充実の一環のため、本機構において内容の立案、検討が行われた。本機構は、全教養科目の教育計画や編成、授業運営及び自己点検・評価を担っているため、今後も引き続きこのプログラムの自己点検評価を実施していく。</t>
    <rPh sb="26" eb="28">
      <t>キョウイク</t>
    </rPh>
    <rPh sb="28" eb="30">
      <t>モクヒョウ</t>
    </rPh>
    <rPh sb="31" eb="32">
      <t>ノット</t>
    </rPh>
    <rPh sb="41" eb="42">
      <t>オヨ</t>
    </rPh>
    <rPh sb="43" eb="45">
      <t>ジュウジツ</t>
    </rPh>
    <rPh sb="59" eb="61">
      <t>セッチ</t>
    </rPh>
    <rPh sb="77" eb="81">
      <t>キョウヨウキョウイク</t>
    </rPh>
    <rPh sb="81" eb="83">
      <t>ジュウジツ</t>
    </rPh>
    <rPh sb="84" eb="86">
      <t>イッカン</t>
    </rPh>
    <rPh sb="90" eb="93">
      <t>ホンキコウ</t>
    </rPh>
    <rPh sb="97" eb="99">
      <t>ナイヨウ</t>
    </rPh>
    <rPh sb="106" eb="107">
      <t>オコナ</t>
    </rPh>
    <rPh sb="111" eb="112">
      <t>ホン</t>
    </rPh>
    <rPh sb="116" eb="117">
      <t>ゼン</t>
    </rPh>
    <rPh sb="117" eb="119">
      <t>キョウヨウ</t>
    </rPh>
    <rPh sb="119" eb="121">
      <t>カモク</t>
    </rPh>
    <rPh sb="134" eb="135">
      <t>オヨ</t>
    </rPh>
    <rPh sb="152" eb="154">
      <t>コンゴ</t>
    </rPh>
    <rPh sb="155" eb="156">
      <t>ヒ</t>
    </rPh>
    <rPh sb="157" eb="158">
      <t>ツヅ</t>
    </rPh>
    <rPh sb="167" eb="169">
      <t>ジコ</t>
    </rPh>
    <rPh sb="169" eb="171">
      <t>テンケン</t>
    </rPh>
    <rPh sb="171" eb="173">
      <t>ヒョウカ</t>
    </rPh>
    <rPh sb="174" eb="176">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</si>
</sst>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
      <left/>
      <right/>
      <top style="hair">
        <color auto="1"/>
      </top>
      <bottom style="thin">
        <color auto="1"/>
      </bottom>
      <diagonal/>
    </border>
    <border>
      <left/>
      <right style="dotted">
        <color auto="1"/>
      </right>
      <top style="hair">
        <color auto="1"/>
      </top>
      <bottom style="hair">
        <color auto="1"/>
      </bottom>
      <diagonal/>
    </border>
    <border>
      <left style="thin">
        <color auto="1"/>
      </left>
      <right style="dotted">
        <color auto="1"/>
      </right>
      <top style="thin">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01">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0" fontId="2" fillId="2" borderId="1" xfId="0" applyFont="1" applyFill="1" applyBorder="1" applyAlignment="1">
      <alignment horizontal="right" vertical="center"/>
    </xf>
    <xf numFmtId="38" fontId="12" fillId="2" borderId="5" xfId="2" applyFont="1" applyFill="1" applyBorder="1" applyAlignment="1">
      <alignment horizontal="right" vertical="center" shrinkToFit="1"/>
    </xf>
    <xf numFmtId="38" fontId="12" fillId="2" borderId="42" xfId="2" applyFont="1" applyFill="1" applyBorder="1" applyAlignment="1">
      <alignment horizontal="righ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0" fontId="2" fillId="0" borderId="14" xfId="0" applyFont="1" applyBorder="1" applyAlignment="1">
      <alignment horizontal="right" vertical="center" shrinkToFit="1"/>
    </xf>
    <xf numFmtId="38" fontId="2" fillId="0" borderId="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0" fontId="2" fillId="0" borderId="20" xfId="0" applyFont="1" applyBorder="1" applyAlignment="1">
      <alignment horizontal="right" vertical="center" shrinkToFit="1"/>
    </xf>
    <xf numFmtId="38" fontId="2" fillId="0" borderId="64" xfId="2" applyFont="1" applyBorder="1" applyAlignment="1">
      <alignment vertical="center" shrinkToFit="1"/>
    </xf>
    <xf numFmtId="9" fontId="2" fillId="2" borderId="14" xfId="0" applyNumberFormat="1" applyFont="1" applyFill="1" applyBorder="1" applyAlignment="1">
      <alignment vertical="center" shrinkToFit="1"/>
    </xf>
    <xf numFmtId="9" fontId="2" fillId="2" borderId="44" xfId="0" applyNumberFormat="1" applyFont="1" applyFill="1" applyBorder="1" applyAlignment="1">
      <alignment vertical="center" shrinkToFit="1"/>
    </xf>
    <xf numFmtId="0" fontId="2" fillId="2" borderId="44" xfId="0" applyFont="1" applyFill="1" applyBorder="1" applyAlignment="1">
      <alignment horizontal="left" vertical="center" shrinkToFit="1"/>
    </xf>
    <xf numFmtId="0" fontId="2" fillId="0" borderId="48" xfId="0" applyFont="1" applyBorder="1" applyAlignment="1">
      <alignment horizontal="center" vertical="center" shrinkToFit="1"/>
    </xf>
    <xf numFmtId="0" fontId="2" fillId="0" borderId="14" xfId="0" applyFont="1" applyBorder="1" applyAlignment="1">
      <alignment horizontal="center" vertical="center" shrinkToFit="1"/>
    </xf>
    <xf numFmtId="0" fontId="12" fillId="2" borderId="0" xfId="0" applyFont="1" applyFill="1">
      <alignment vertical="center"/>
    </xf>
    <xf numFmtId="0" fontId="2" fillId="2" borderId="9" xfId="0" applyFont="1" applyFill="1" applyBorder="1" applyAlignment="1">
      <alignment vertical="top" shrinkToFit="1"/>
    </xf>
    <xf numFmtId="38" fontId="2" fillId="0" borderId="65" xfId="2" applyFont="1" applyBorder="1" applyAlignment="1">
      <alignment vertical="center" shrinkToFit="1"/>
    </xf>
    <xf numFmtId="38" fontId="2" fillId="0" borderId="42" xfId="2" applyFont="1" applyBorder="1" applyAlignment="1">
      <alignment vertical="center" shrinkToFi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49" fontId="2" fillId="0" borderId="27" xfId="0" applyNumberFormat="1" applyFont="1" applyBorder="1" applyAlignment="1">
      <alignment horizontal="left" vertical="center" wrapText="1"/>
    </xf>
    <xf numFmtId="49" fontId="2" fillId="0" borderId="29" xfId="0" applyNumberFormat="1" applyFont="1" applyBorder="1" applyAlignment="1">
      <alignment horizontal="left" vertical="center"/>
    </xf>
    <xf numFmtId="49" fontId="2" fillId="0" borderId="28" xfId="0" applyNumberFormat="1" applyFont="1" applyBorder="1" applyAlignment="1">
      <alignment horizontal="left" vertical="center"/>
    </xf>
    <xf numFmtId="49" fontId="2" fillId="0" borderId="30" xfId="0" applyNumberFormat="1" applyFont="1" applyBorder="1" applyAlignment="1">
      <alignment horizontal="left" vertical="center" wrapText="1"/>
    </xf>
    <xf numFmtId="49" fontId="2" fillId="0" borderId="63" xfId="0" applyNumberFormat="1" applyFont="1" applyBorder="1" applyAlignment="1">
      <alignment horizontal="left" vertical="center"/>
    </xf>
    <xf numFmtId="49" fontId="2" fillId="0" borderId="31" xfId="0" applyNumberFormat="1" applyFont="1" applyBorder="1" applyAlignment="1">
      <alignment horizontal="left" vertical="center"/>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xf>
    <xf numFmtId="49" fontId="2" fillId="0" borderId="17" xfId="0" applyNumberFormat="1" applyFont="1" applyBorder="1" applyAlignment="1">
      <alignment horizontal="left" vertical="center"/>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6" xfId="0" applyFont="1" applyFill="1" applyBorder="1">
      <alignment vertical="center"/>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13" fillId="2" borderId="2" xfId="0" applyFont="1" applyFill="1" applyBorder="1" applyAlignment="1">
      <alignment horizontal="justify" vertical="top" wrapText="1" shrinkToFit="1"/>
    </xf>
    <xf numFmtId="0" fontId="13" fillId="2" borderId="3" xfId="0" applyFont="1" applyFill="1" applyBorder="1" applyAlignment="1">
      <alignment horizontal="justify" vertical="top" wrapText="1" shrinkToFit="1"/>
    </xf>
    <xf numFmtId="0" fontId="13"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4" dT="2025-11-12T08:51:04.25" personId="{00000000-0000-0000-0000-000000000000}" id="{07F8707A-A59B-4017-8441-04E75A28A375}">
    <text>次長データなし</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1"/>
  <sheetViews>
    <sheetView showZeros="0" view="pageBreakPreview" zoomScale="70" zoomScaleNormal="100" zoomScaleSheetLayoutView="70" workbookViewId="0">
      <selection activeCell="D62" sqref="D62:U62"/>
    </sheetView>
  </sheetViews>
  <sheetFormatPr defaultColWidth="9" defaultRowHeight="18.75" customHeight="1" x14ac:dyDescent="0.15"/>
  <cols>
    <col min="1" max="1" width="2.5" style="8" customWidth="1"/>
    <col min="2" max="2" width="28.125" style="8" customWidth="1"/>
    <col min="3" max="3" width="6.1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47" t="s">
        <v>104</v>
      </c>
      <c r="B1" s="147"/>
      <c r="C1" s="147"/>
      <c r="D1" s="147"/>
      <c r="E1" s="147"/>
      <c r="F1" s="147"/>
      <c r="G1" s="147"/>
      <c r="H1" s="147"/>
      <c r="I1" s="147"/>
      <c r="J1" s="147"/>
      <c r="K1" s="147"/>
      <c r="L1" s="147"/>
      <c r="M1" s="147"/>
      <c r="N1" s="147"/>
      <c r="O1" s="147"/>
      <c r="P1" s="147"/>
      <c r="Q1" s="147"/>
      <c r="R1" s="147"/>
      <c r="S1" s="147"/>
      <c r="T1" s="147"/>
      <c r="U1" s="147"/>
      <c r="V1" s="147"/>
      <c r="W1" s="147"/>
      <c r="X1" s="147"/>
      <c r="Y1" s="147"/>
      <c r="Z1" s="147"/>
    </row>
    <row r="3" spans="1:28" ht="18.600000000000001" customHeight="1" x14ac:dyDescent="0.15">
      <c r="Y3" s="147" t="s">
        <v>12</v>
      </c>
      <c r="Z3" s="147"/>
      <c r="AA3" s="9"/>
      <c r="AB3" s="13"/>
    </row>
    <row r="4" spans="1:28" ht="18.75" customHeight="1" x14ac:dyDescent="0.15">
      <c r="B4" s="152" t="s">
        <v>82</v>
      </c>
      <c r="C4" s="153"/>
      <c r="D4" s="63" t="s">
        <v>124</v>
      </c>
      <c r="P4" s="9"/>
      <c r="Q4" s="40"/>
      <c r="R4" s="40"/>
      <c r="S4" s="40"/>
      <c r="T4" s="40"/>
      <c r="U4" s="40"/>
      <c r="V4" s="40"/>
      <c r="W4" s="40"/>
      <c r="X4" s="40"/>
      <c r="Y4" s="40"/>
      <c r="Z4" s="40"/>
    </row>
    <row r="5" spans="1:28" ht="18.75" customHeight="1" x14ac:dyDescent="0.15">
      <c r="B5" s="152" t="s">
        <v>78</v>
      </c>
      <c r="C5" s="153"/>
      <c r="D5" s="63" t="s">
        <v>158</v>
      </c>
      <c r="P5" s="9"/>
      <c r="Q5" s="40"/>
      <c r="R5" s="40"/>
      <c r="S5" s="40"/>
      <c r="T5" s="40"/>
      <c r="U5" s="40"/>
      <c r="V5" s="40"/>
      <c r="W5" s="40"/>
      <c r="X5" s="40"/>
      <c r="Y5" s="40"/>
      <c r="Z5" s="40"/>
    </row>
    <row r="6" spans="1:28" ht="15" customHeight="1" x14ac:dyDescent="0.15">
      <c r="Q6" s="9"/>
      <c r="R6" s="28"/>
      <c r="S6" s="28"/>
      <c r="T6" s="28"/>
      <c r="U6" s="28"/>
      <c r="V6" s="28"/>
      <c r="W6" s="28"/>
      <c r="X6" s="28"/>
      <c r="Y6" s="28"/>
      <c r="Z6" s="28"/>
    </row>
    <row r="7" spans="1:28" ht="18" customHeight="1" x14ac:dyDescent="0.15">
      <c r="A7" s="151" t="s">
        <v>88</v>
      </c>
      <c r="B7" s="151"/>
      <c r="C7" s="151"/>
      <c r="D7" s="151"/>
      <c r="E7" s="151"/>
      <c r="F7" s="151"/>
      <c r="G7" s="151"/>
      <c r="H7" s="151"/>
      <c r="I7" s="151"/>
      <c r="J7" s="151"/>
      <c r="K7" s="151"/>
      <c r="L7" s="151"/>
      <c r="M7" s="151"/>
      <c r="N7" s="151"/>
      <c r="O7" s="151"/>
      <c r="P7" s="151"/>
      <c r="Q7" s="151"/>
      <c r="R7" s="151"/>
      <c r="S7" s="151"/>
      <c r="T7" s="151"/>
      <c r="U7" s="151"/>
      <c r="V7" s="151"/>
      <c r="W7" s="151"/>
      <c r="X7" s="151"/>
      <c r="Y7" s="151"/>
      <c r="Z7" s="151"/>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48" t="s">
        <v>90</v>
      </c>
      <c r="B9" s="148"/>
      <c r="D9" s="6" t="s">
        <v>125</v>
      </c>
    </row>
    <row r="10" spans="1:28" ht="20.25" customHeight="1" x14ac:dyDescent="0.15">
      <c r="B10" s="12"/>
      <c r="C10" s="12"/>
      <c r="D10" s="12"/>
      <c r="Q10" s="12"/>
      <c r="R10" s="12"/>
      <c r="S10" s="12"/>
      <c r="T10" s="12"/>
      <c r="U10" s="12"/>
      <c r="V10" s="12"/>
      <c r="W10" s="12"/>
      <c r="X10" s="12"/>
      <c r="Y10" s="12"/>
      <c r="Z10" s="12"/>
    </row>
    <row r="11" spans="1:28" ht="20.25" customHeight="1" x14ac:dyDescent="0.15">
      <c r="A11" s="148" t="s">
        <v>86</v>
      </c>
      <c r="B11" s="148"/>
      <c r="D11" s="62" t="s">
        <v>126</v>
      </c>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49" t="s">
        <v>91</v>
      </c>
      <c r="B13" s="149"/>
      <c r="C13" s="12"/>
      <c r="D13" s="63" t="s">
        <v>127</v>
      </c>
      <c r="E13" s="40"/>
      <c r="F13" s="40"/>
      <c r="G13" s="40"/>
      <c r="H13" s="40"/>
      <c r="I13" s="40"/>
      <c r="J13" s="40"/>
      <c r="K13" s="40"/>
      <c r="L13" s="40"/>
      <c r="M13" s="40"/>
      <c r="N13" s="40"/>
      <c r="O13" s="40"/>
      <c r="P13" s="40"/>
      <c r="Q13" s="64"/>
      <c r="R13" s="64"/>
      <c r="S13" s="64"/>
      <c r="T13" s="64"/>
      <c r="U13" s="64"/>
      <c r="V13" s="64"/>
      <c r="W13" s="64"/>
      <c r="X13" s="64"/>
      <c r="Y13" s="64"/>
      <c r="Z13" s="64"/>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32" customHeight="1" x14ac:dyDescent="0.15">
      <c r="A15" s="150" t="s">
        <v>92</v>
      </c>
      <c r="B15" s="150"/>
      <c r="C15" s="12"/>
      <c r="D15" s="65" t="s">
        <v>131</v>
      </c>
      <c r="E15" s="16"/>
      <c r="F15" s="16"/>
      <c r="G15" s="16"/>
      <c r="H15" s="16"/>
      <c r="I15" s="16"/>
      <c r="J15" s="16"/>
      <c r="K15" s="16"/>
      <c r="L15" s="16"/>
      <c r="M15" s="16"/>
      <c r="N15" s="16"/>
      <c r="O15" s="16"/>
      <c r="P15" s="16"/>
      <c r="Q15" s="16"/>
      <c r="R15" s="16"/>
      <c r="S15" s="16"/>
      <c r="T15" s="16"/>
      <c r="U15" s="16"/>
      <c r="V15" s="16"/>
      <c r="W15" s="16"/>
      <c r="X15" s="16"/>
      <c r="Y15" s="16"/>
      <c r="Z15" s="16"/>
    </row>
    <row r="16" spans="1:28" ht="13.3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108</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3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109</v>
      </c>
      <c r="C19" s="105">
        <v>2</v>
      </c>
      <c r="D19" s="10" t="s">
        <v>83</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05">
        <v>4</v>
      </c>
      <c r="D20" s="10" t="s">
        <v>84</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54" t="s">
        <v>112</v>
      </c>
      <c r="G21" s="155"/>
      <c r="H21" s="155"/>
      <c r="I21" s="155"/>
      <c r="J21" s="155"/>
      <c r="K21" s="155"/>
      <c r="L21" s="155"/>
      <c r="M21" s="155"/>
      <c r="N21" s="155"/>
      <c r="O21" s="155"/>
      <c r="P21" s="155"/>
      <c r="Q21" s="155"/>
      <c r="R21" s="155"/>
      <c r="S21" s="155"/>
      <c r="T21" s="155"/>
      <c r="U21" s="155"/>
      <c r="V21" s="155"/>
      <c r="W21" s="155"/>
      <c r="X21" s="155"/>
      <c r="Y21" s="155"/>
      <c r="Z21" s="156"/>
    </row>
    <row r="22" spans="1:26" ht="18" customHeight="1" x14ac:dyDescent="0.15">
      <c r="B22" s="17"/>
      <c r="C22" s="17"/>
      <c r="D22" s="5" t="s">
        <v>46</v>
      </c>
      <c r="E22" s="66" t="s">
        <v>68</v>
      </c>
      <c r="F22" s="67" t="s">
        <v>48</v>
      </c>
      <c r="G22" s="68" t="s">
        <v>59</v>
      </c>
      <c r="H22" s="68" t="s">
        <v>60</v>
      </c>
      <c r="I22" s="68" t="s">
        <v>61</v>
      </c>
      <c r="J22" s="68" t="s">
        <v>62</v>
      </c>
      <c r="K22" s="68" t="s">
        <v>51</v>
      </c>
      <c r="L22" s="68" t="s">
        <v>77</v>
      </c>
      <c r="M22" s="68" t="s">
        <v>63</v>
      </c>
      <c r="N22" s="68" t="s">
        <v>64</v>
      </c>
      <c r="O22" s="68" t="s">
        <v>50</v>
      </c>
      <c r="P22" s="69" t="s">
        <v>52</v>
      </c>
      <c r="Q22" s="70" t="s">
        <v>93</v>
      </c>
      <c r="R22" s="71" t="s">
        <v>94</v>
      </c>
      <c r="S22" s="71" t="s">
        <v>95</v>
      </c>
      <c r="T22" s="71" t="s">
        <v>96</v>
      </c>
      <c r="U22" s="71" t="s">
        <v>97</v>
      </c>
      <c r="V22" s="71" t="s">
        <v>98</v>
      </c>
      <c r="W22" s="71" t="s">
        <v>99</v>
      </c>
      <c r="X22" s="71" t="s">
        <v>100</v>
      </c>
      <c r="Y22" s="71" t="s">
        <v>101</v>
      </c>
      <c r="Z22" s="72" t="s">
        <v>102</v>
      </c>
    </row>
    <row r="23" spans="1:26" ht="18" customHeight="1" x14ac:dyDescent="0.15">
      <c r="B23" s="132" t="s">
        <v>120</v>
      </c>
      <c r="C23" s="133"/>
      <c r="D23" s="73" t="s">
        <v>128</v>
      </c>
      <c r="E23" s="107">
        <v>2</v>
      </c>
      <c r="F23" s="126" t="s">
        <v>129</v>
      </c>
      <c r="G23" s="127" t="s">
        <v>129</v>
      </c>
      <c r="H23" s="127" t="s">
        <v>129</v>
      </c>
      <c r="I23" s="127" t="s">
        <v>129</v>
      </c>
      <c r="J23" s="127" t="s">
        <v>129</v>
      </c>
      <c r="K23" s="127" t="s">
        <v>129</v>
      </c>
      <c r="L23" s="74"/>
      <c r="M23" s="74"/>
      <c r="N23" s="74"/>
      <c r="O23" s="74" t="s">
        <v>129</v>
      </c>
      <c r="P23" s="75" t="s">
        <v>129</v>
      </c>
      <c r="Q23" s="76"/>
      <c r="R23" s="74"/>
      <c r="S23" s="74"/>
      <c r="T23" s="74"/>
      <c r="U23" s="74"/>
      <c r="V23" s="74"/>
      <c r="W23" s="74"/>
      <c r="X23" s="74"/>
      <c r="Y23" s="74"/>
      <c r="Z23" s="74"/>
    </row>
    <row r="24" spans="1:26" ht="18" customHeight="1" x14ac:dyDescent="0.15">
      <c r="B24" s="134"/>
      <c r="C24" s="135"/>
      <c r="D24" s="77" t="s">
        <v>130</v>
      </c>
      <c r="E24" s="108">
        <v>2</v>
      </c>
      <c r="F24" s="78"/>
      <c r="G24" s="79"/>
      <c r="H24" s="79"/>
      <c r="I24" s="79" t="s">
        <v>129</v>
      </c>
      <c r="J24" s="79"/>
      <c r="K24" s="79"/>
      <c r="L24" s="79" t="s">
        <v>129</v>
      </c>
      <c r="M24" s="79" t="s">
        <v>129</v>
      </c>
      <c r="N24" s="79" t="s">
        <v>129</v>
      </c>
      <c r="O24" s="79"/>
      <c r="P24" s="80"/>
      <c r="Q24" s="81"/>
      <c r="R24" s="79"/>
      <c r="S24" s="79"/>
      <c r="T24" s="79"/>
      <c r="U24" s="79"/>
      <c r="V24" s="79"/>
      <c r="W24" s="79"/>
      <c r="X24" s="79"/>
      <c r="Y24" s="79"/>
      <c r="Z24" s="79"/>
    </row>
    <row r="25" spans="1:26" ht="18" customHeight="1" x14ac:dyDescent="0.15">
      <c r="B25" s="134"/>
      <c r="C25" s="135"/>
      <c r="D25" s="77"/>
      <c r="E25" s="108"/>
      <c r="F25" s="78"/>
      <c r="G25" s="79"/>
      <c r="H25" s="79"/>
      <c r="I25" s="79"/>
      <c r="J25" s="79"/>
      <c r="K25" s="79"/>
      <c r="L25" s="79"/>
      <c r="M25" s="79"/>
      <c r="N25" s="79"/>
      <c r="O25" s="79"/>
      <c r="P25" s="80"/>
      <c r="Q25" s="81"/>
      <c r="R25" s="79"/>
      <c r="S25" s="79"/>
      <c r="T25" s="79"/>
      <c r="U25" s="79"/>
      <c r="V25" s="79"/>
      <c r="W25" s="79"/>
      <c r="X25" s="79"/>
      <c r="Y25" s="79"/>
      <c r="Z25" s="79"/>
    </row>
    <row r="26" spans="1:26" ht="18" customHeight="1" x14ac:dyDescent="0.15">
      <c r="B26" s="134"/>
      <c r="C26" s="135"/>
      <c r="D26" s="77"/>
      <c r="E26" s="108"/>
      <c r="F26" s="78"/>
      <c r="G26" s="79"/>
      <c r="H26" s="79"/>
      <c r="I26" s="79"/>
      <c r="J26" s="79"/>
      <c r="K26" s="79"/>
      <c r="L26" s="79"/>
      <c r="M26" s="79"/>
      <c r="N26" s="79"/>
      <c r="O26" s="79"/>
      <c r="P26" s="80"/>
      <c r="Q26" s="81"/>
      <c r="R26" s="79"/>
      <c r="S26" s="79"/>
      <c r="T26" s="79"/>
      <c r="U26" s="79"/>
      <c r="V26" s="79"/>
      <c r="W26" s="79"/>
      <c r="X26" s="79"/>
      <c r="Y26" s="79"/>
      <c r="Z26" s="79"/>
    </row>
    <row r="27" spans="1:26" ht="18" customHeight="1" x14ac:dyDescent="0.15">
      <c r="B27" s="134"/>
      <c r="C27" s="135"/>
      <c r="D27" s="77"/>
      <c r="E27" s="108"/>
      <c r="F27" s="78"/>
      <c r="G27" s="79"/>
      <c r="H27" s="79"/>
      <c r="I27" s="79"/>
      <c r="J27" s="79"/>
      <c r="K27" s="79"/>
      <c r="L27" s="79"/>
      <c r="M27" s="79"/>
      <c r="N27" s="79"/>
      <c r="O27" s="79"/>
      <c r="P27" s="80"/>
      <c r="Q27" s="81"/>
      <c r="R27" s="79"/>
      <c r="S27" s="79"/>
      <c r="T27" s="79"/>
      <c r="U27" s="79"/>
      <c r="V27" s="79"/>
      <c r="W27" s="79"/>
      <c r="X27" s="79"/>
      <c r="Y27" s="79"/>
      <c r="Z27" s="79"/>
    </row>
    <row r="28" spans="1:26" ht="18" customHeight="1" x14ac:dyDescent="0.15">
      <c r="B28" s="134"/>
      <c r="C28" s="135"/>
      <c r="D28" s="77"/>
      <c r="E28" s="108"/>
      <c r="F28" s="78"/>
      <c r="G28" s="79"/>
      <c r="H28" s="79"/>
      <c r="I28" s="79"/>
      <c r="J28" s="79"/>
      <c r="K28" s="79"/>
      <c r="L28" s="79"/>
      <c r="M28" s="79"/>
      <c r="N28" s="79"/>
      <c r="O28" s="79"/>
      <c r="P28" s="80"/>
      <c r="Q28" s="81"/>
      <c r="R28" s="79"/>
      <c r="S28" s="79"/>
      <c r="T28" s="79"/>
      <c r="U28" s="79"/>
      <c r="V28" s="79"/>
      <c r="W28" s="79"/>
      <c r="X28" s="79"/>
      <c r="Y28" s="79"/>
      <c r="Z28" s="79"/>
    </row>
    <row r="29" spans="1:26" ht="18" customHeight="1" x14ac:dyDescent="0.15">
      <c r="B29" s="134"/>
      <c r="C29" s="135"/>
      <c r="D29" s="77"/>
      <c r="E29" s="108"/>
      <c r="F29" s="78"/>
      <c r="G29" s="79"/>
      <c r="H29" s="79"/>
      <c r="I29" s="79"/>
      <c r="J29" s="79"/>
      <c r="K29" s="79"/>
      <c r="L29" s="79"/>
      <c r="M29" s="79"/>
      <c r="N29" s="79"/>
      <c r="O29" s="79"/>
      <c r="P29" s="80"/>
      <c r="Q29" s="81"/>
      <c r="R29" s="79"/>
      <c r="S29" s="79"/>
      <c r="T29" s="79"/>
      <c r="U29" s="79"/>
      <c r="V29" s="79"/>
      <c r="W29" s="79"/>
      <c r="X29" s="79"/>
      <c r="Y29" s="79"/>
      <c r="Z29" s="79"/>
    </row>
    <row r="30" spans="1:26" ht="18" customHeight="1" x14ac:dyDescent="0.15">
      <c r="B30" s="134"/>
      <c r="C30" s="135"/>
      <c r="D30" s="77"/>
      <c r="E30" s="108"/>
      <c r="F30" s="78"/>
      <c r="G30" s="79"/>
      <c r="H30" s="79"/>
      <c r="I30" s="79"/>
      <c r="J30" s="79"/>
      <c r="K30" s="79"/>
      <c r="L30" s="79"/>
      <c r="M30" s="79"/>
      <c r="N30" s="79"/>
      <c r="O30" s="79"/>
      <c r="P30" s="80"/>
      <c r="Q30" s="81"/>
      <c r="R30" s="79"/>
      <c r="S30" s="79"/>
      <c r="T30" s="79"/>
      <c r="U30" s="79"/>
      <c r="V30" s="79"/>
      <c r="W30" s="79"/>
      <c r="X30" s="79"/>
      <c r="Y30" s="79"/>
      <c r="Z30" s="79"/>
    </row>
    <row r="31" spans="1:26" ht="18" customHeight="1" x14ac:dyDescent="0.15">
      <c r="B31" s="134"/>
      <c r="C31" s="135"/>
      <c r="D31" s="82"/>
      <c r="E31" s="109"/>
      <c r="F31" s="83"/>
      <c r="G31" s="84"/>
      <c r="H31" s="84"/>
      <c r="I31" s="84"/>
      <c r="J31" s="84"/>
      <c r="K31" s="84"/>
      <c r="L31" s="84"/>
      <c r="M31" s="84"/>
      <c r="N31" s="84"/>
      <c r="O31" s="84"/>
      <c r="P31" s="85"/>
      <c r="Q31" s="86"/>
      <c r="R31" s="84"/>
      <c r="S31" s="84"/>
      <c r="T31" s="84"/>
      <c r="U31" s="84"/>
      <c r="V31" s="84"/>
      <c r="W31" s="84"/>
      <c r="X31" s="84"/>
      <c r="Y31" s="84"/>
      <c r="Z31" s="84"/>
    </row>
    <row r="32" spans="1:26" ht="18" customHeight="1" x14ac:dyDescent="0.15">
      <c r="B32" s="132" t="s">
        <v>121</v>
      </c>
      <c r="C32" s="133"/>
      <c r="D32" s="87"/>
      <c r="E32" s="110"/>
      <c r="F32" s="88"/>
      <c r="G32" s="89"/>
      <c r="H32" s="89"/>
      <c r="I32" s="89"/>
      <c r="J32" s="89"/>
      <c r="K32" s="89"/>
      <c r="L32" s="89"/>
      <c r="M32" s="89"/>
      <c r="N32" s="89"/>
      <c r="O32" s="89"/>
      <c r="P32" s="90"/>
      <c r="Q32" s="91"/>
      <c r="R32" s="89"/>
      <c r="S32" s="89"/>
      <c r="T32" s="89"/>
      <c r="U32" s="89"/>
      <c r="V32" s="89"/>
      <c r="W32" s="89"/>
      <c r="X32" s="89"/>
      <c r="Y32" s="89"/>
      <c r="Z32" s="89"/>
    </row>
    <row r="33" spans="2:26" ht="18" customHeight="1" x14ac:dyDescent="0.15">
      <c r="B33" s="134"/>
      <c r="C33" s="135"/>
      <c r="D33" s="77"/>
      <c r="E33" s="108"/>
      <c r="F33" s="78"/>
      <c r="G33" s="79"/>
      <c r="H33" s="79"/>
      <c r="I33" s="79"/>
      <c r="J33" s="79"/>
      <c r="K33" s="79"/>
      <c r="L33" s="79"/>
      <c r="M33" s="79"/>
      <c r="N33" s="79"/>
      <c r="O33" s="79"/>
      <c r="P33" s="80"/>
      <c r="Q33" s="81"/>
      <c r="R33" s="79"/>
      <c r="S33" s="79"/>
      <c r="T33" s="79"/>
      <c r="U33" s="79"/>
      <c r="V33" s="79"/>
      <c r="W33" s="79"/>
      <c r="X33" s="79"/>
      <c r="Y33" s="79"/>
      <c r="Z33" s="79"/>
    </row>
    <row r="34" spans="2:26" ht="18" customHeight="1" x14ac:dyDescent="0.15">
      <c r="B34" s="134"/>
      <c r="C34" s="135"/>
      <c r="D34" s="77"/>
      <c r="E34" s="108"/>
      <c r="F34" s="78"/>
      <c r="G34" s="79"/>
      <c r="H34" s="79"/>
      <c r="I34" s="79"/>
      <c r="J34" s="79"/>
      <c r="K34" s="79"/>
      <c r="L34" s="79"/>
      <c r="M34" s="79"/>
      <c r="N34" s="79"/>
      <c r="O34" s="79"/>
      <c r="P34" s="80"/>
      <c r="Q34" s="81"/>
      <c r="R34" s="79"/>
      <c r="S34" s="79"/>
      <c r="T34" s="79"/>
      <c r="U34" s="79"/>
      <c r="V34" s="79"/>
      <c r="W34" s="79"/>
      <c r="X34" s="79"/>
      <c r="Y34" s="79"/>
      <c r="Z34" s="79"/>
    </row>
    <row r="35" spans="2:26" ht="18" customHeight="1" x14ac:dyDescent="0.15">
      <c r="B35" s="134"/>
      <c r="C35" s="135"/>
      <c r="D35" s="77"/>
      <c r="E35" s="108"/>
      <c r="F35" s="78"/>
      <c r="G35" s="79"/>
      <c r="H35" s="79"/>
      <c r="I35" s="79"/>
      <c r="J35" s="79"/>
      <c r="K35" s="79"/>
      <c r="L35" s="79"/>
      <c r="M35" s="79"/>
      <c r="N35" s="79"/>
      <c r="O35" s="79"/>
      <c r="P35" s="80"/>
      <c r="Q35" s="81"/>
      <c r="R35" s="79"/>
      <c r="S35" s="79"/>
      <c r="T35" s="79"/>
      <c r="U35" s="79"/>
      <c r="V35" s="79"/>
      <c r="W35" s="79"/>
      <c r="X35" s="79"/>
      <c r="Y35" s="79"/>
      <c r="Z35" s="79"/>
    </row>
    <row r="36" spans="2:26" ht="18" customHeight="1" x14ac:dyDescent="0.15">
      <c r="B36" s="134"/>
      <c r="C36" s="135"/>
      <c r="D36" s="77"/>
      <c r="E36" s="108"/>
      <c r="F36" s="78"/>
      <c r="G36" s="79"/>
      <c r="H36" s="79"/>
      <c r="I36" s="79"/>
      <c r="J36" s="79"/>
      <c r="K36" s="79"/>
      <c r="L36" s="79"/>
      <c r="M36" s="79"/>
      <c r="N36" s="79"/>
      <c r="O36" s="79"/>
      <c r="P36" s="80"/>
      <c r="Q36" s="81"/>
      <c r="R36" s="79"/>
      <c r="S36" s="79"/>
      <c r="T36" s="79"/>
      <c r="U36" s="79"/>
      <c r="V36" s="79"/>
      <c r="W36" s="79"/>
      <c r="X36" s="79"/>
      <c r="Y36" s="79"/>
      <c r="Z36" s="79"/>
    </row>
    <row r="37" spans="2:26" ht="18" customHeight="1" x14ac:dyDescent="0.15">
      <c r="B37" s="134"/>
      <c r="C37" s="135"/>
      <c r="D37" s="77"/>
      <c r="E37" s="108"/>
      <c r="F37" s="78"/>
      <c r="G37" s="79"/>
      <c r="H37" s="79"/>
      <c r="I37" s="79"/>
      <c r="J37" s="79"/>
      <c r="K37" s="79"/>
      <c r="L37" s="79"/>
      <c r="M37" s="79"/>
      <c r="N37" s="79"/>
      <c r="O37" s="79"/>
      <c r="P37" s="80"/>
      <c r="Q37" s="81"/>
      <c r="R37" s="79"/>
      <c r="S37" s="79"/>
      <c r="T37" s="79"/>
      <c r="U37" s="79"/>
      <c r="V37" s="79"/>
      <c r="W37" s="79"/>
      <c r="X37" s="79"/>
      <c r="Y37" s="79"/>
      <c r="Z37" s="79"/>
    </row>
    <row r="38" spans="2:26" ht="18" customHeight="1" x14ac:dyDescent="0.15">
      <c r="B38" s="134"/>
      <c r="C38" s="135"/>
      <c r="D38" s="77"/>
      <c r="E38" s="108"/>
      <c r="F38" s="78"/>
      <c r="G38" s="79"/>
      <c r="H38" s="79"/>
      <c r="I38" s="79"/>
      <c r="J38" s="79"/>
      <c r="K38" s="79"/>
      <c r="L38" s="79"/>
      <c r="M38" s="79"/>
      <c r="N38" s="79"/>
      <c r="O38" s="79"/>
      <c r="P38" s="80"/>
      <c r="Q38" s="81"/>
      <c r="R38" s="79"/>
      <c r="S38" s="79"/>
      <c r="T38" s="79"/>
      <c r="U38" s="79"/>
      <c r="V38" s="79"/>
      <c r="W38" s="79"/>
      <c r="X38" s="79"/>
      <c r="Y38" s="79"/>
      <c r="Z38" s="79"/>
    </row>
    <row r="39" spans="2:26" ht="18" customHeight="1" x14ac:dyDescent="0.15">
      <c r="B39" s="134"/>
      <c r="C39" s="135"/>
      <c r="D39" s="77"/>
      <c r="E39" s="108"/>
      <c r="F39" s="78"/>
      <c r="G39" s="79"/>
      <c r="H39" s="79"/>
      <c r="I39" s="79"/>
      <c r="J39" s="79"/>
      <c r="K39" s="79"/>
      <c r="L39" s="79"/>
      <c r="M39" s="79"/>
      <c r="N39" s="79"/>
      <c r="O39" s="79"/>
      <c r="P39" s="80"/>
      <c r="Q39" s="81"/>
      <c r="R39" s="79"/>
      <c r="S39" s="79"/>
      <c r="T39" s="79"/>
      <c r="U39" s="79"/>
      <c r="V39" s="79"/>
      <c r="W39" s="79"/>
      <c r="X39" s="79"/>
      <c r="Y39" s="79"/>
      <c r="Z39" s="79"/>
    </row>
    <row r="40" spans="2:26" ht="18" customHeight="1" x14ac:dyDescent="0.15">
      <c r="B40" s="134"/>
      <c r="C40" s="135"/>
      <c r="D40" s="77"/>
      <c r="E40" s="108"/>
      <c r="F40" s="78"/>
      <c r="G40" s="79"/>
      <c r="H40" s="79"/>
      <c r="I40" s="79"/>
      <c r="J40" s="79"/>
      <c r="K40" s="79"/>
      <c r="L40" s="79"/>
      <c r="M40" s="79"/>
      <c r="N40" s="79"/>
      <c r="O40" s="79"/>
      <c r="P40" s="80"/>
      <c r="Q40" s="81"/>
      <c r="R40" s="79"/>
      <c r="S40" s="79"/>
      <c r="T40" s="79"/>
      <c r="U40" s="79"/>
      <c r="V40" s="79"/>
      <c r="W40" s="79"/>
      <c r="X40" s="79"/>
      <c r="Y40" s="79"/>
      <c r="Z40" s="79"/>
    </row>
    <row r="41" spans="2:26" ht="18" customHeight="1" x14ac:dyDescent="0.15">
      <c r="B41" s="136"/>
      <c r="C41" s="137"/>
      <c r="D41" s="82"/>
      <c r="E41" s="111"/>
      <c r="F41" s="83"/>
      <c r="G41" s="84"/>
      <c r="H41" s="84"/>
      <c r="I41" s="84"/>
      <c r="J41" s="84"/>
      <c r="K41" s="84"/>
      <c r="L41" s="84"/>
      <c r="M41" s="84"/>
      <c r="N41" s="84"/>
      <c r="O41" s="84"/>
      <c r="P41" s="85"/>
      <c r="Q41" s="86"/>
      <c r="R41" s="84"/>
      <c r="S41" s="84"/>
      <c r="T41" s="84"/>
      <c r="U41" s="84"/>
      <c r="V41" s="84"/>
      <c r="W41" s="84"/>
      <c r="X41" s="84"/>
      <c r="Y41" s="84"/>
      <c r="Z41" s="84"/>
    </row>
    <row r="42" spans="2:26" ht="18" customHeight="1" x14ac:dyDescent="0.15">
      <c r="B42" s="138" t="s">
        <v>122</v>
      </c>
      <c r="C42" s="139"/>
      <c r="D42" s="77"/>
      <c r="E42" s="108"/>
      <c r="F42" s="78"/>
      <c r="G42" s="79"/>
      <c r="H42" s="79"/>
      <c r="I42" s="79"/>
      <c r="J42" s="79"/>
      <c r="K42" s="79"/>
      <c r="L42" s="79"/>
      <c r="M42" s="79"/>
      <c r="N42" s="79"/>
      <c r="O42" s="79"/>
      <c r="P42" s="80"/>
      <c r="Q42" s="81"/>
      <c r="R42" s="79"/>
      <c r="S42" s="79"/>
      <c r="T42" s="79"/>
      <c r="U42" s="79"/>
      <c r="V42" s="79"/>
      <c r="W42" s="79"/>
      <c r="X42" s="79"/>
      <c r="Y42" s="79"/>
      <c r="Z42" s="79"/>
    </row>
    <row r="43" spans="2:26" ht="18" customHeight="1" x14ac:dyDescent="0.15">
      <c r="B43" s="138"/>
      <c r="C43" s="139"/>
      <c r="D43" s="77"/>
      <c r="E43" s="108"/>
      <c r="F43" s="78"/>
      <c r="G43" s="79"/>
      <c r="H43" s="79"/>
      <c r="I43" s="79"/>
      <c r="J43" s="79"/>
      <c r="K43" s="79"/>
      <c r="L43" s="79"/>
      <c r="M43" s="79"/>
      <c r="N43" s="79"/>
      <c r="O43" s="79"/>
      <c r="P43" s="80"/>
      <c r="Q43" s="81"/>
      <c r="R43" s="79"/>
      <c r="S43" s="79"/>
      <c r="T43" s="79"/>
      <c r="U43" s="79"/>
      <c r="V43" s="79"/>
      <c r="W43" s="79"/>
      <c r="X43" s="79"/>
      <c r="Y43" s="79"/>
      <c r="Z43" s="79"/>
    </row>
    <row r="44" spans="2:26" ht="18" customHeight="1" x14ac:dyDescent="0.15">
      <c r="B44" s="138"/>
      <c r="C44" s="139"/>
      <c r="D44" s="77"/>
      <c r="E44" s="108"/>
      <c r="F44" s="78"/>
      <c r="G44" s="79"/>
      <c r="H44" s="79"/>
      <c r="I44" s="79"/>
      <c r="J44" s="79"/>
      <c r="K44" s="79"/>
      <c r="L44" s="79"/>
      <c r="M44" s="79"/>
      <c r="N44" s="79"/>
      <c r="O44" s="79"/>
      <c r="P44" s="80"/>
      <c r="Q44" s="81"/>
      <c r="R44" s="79"/>
      <c r="S44" s="79"/>
      <c r="T44" s="79"/>
      <c r="U44" s="79"/>
      <c r="V44" s="79"/>
      <c r="W44" s="79"/>
      <c r="X44" s="79"/>
      <c r="Y44" s="79"/>
      <c r="Z44" s="79"/>
    </row>
    <row r="45" spans="2:26" ht="18" customHeight="1" x14ac:dyDescent="0.15">
      <c r="B45" s="138"/>
      <c r="C45" s="139"/>
      <c r="D45" s="77"/>
      <c r="E45" s="108"/>
      <c r="F45" s="78"/>
      <c r="G45" s="79"/>
      <c r="H45" s="79"/>
      <c r="I45" s="79"/>
      <c r="J45" s="79"/>
      <c r="K45" s="79"/>
      <c r="L45" s="79"/>
      <c r="M45" s="79"/>
      <c r="N45" s="79"/>
      <c r="O45" s="79"/>
      <c r="P45" s="80"/>
      <c r="Q45" s="81"/>
      <c r="R45" s="79"/>
      <c r="S45" s="79"/>
      <c r="T45" s="79"/>
      <c r="U45" s="79"/>
      <c r="V45" s="79"/>
      <c r="W45" s="79"/>
      <c r="X45" s="79"/>
      <c r="Y45" s="79"/>
      <c r="Z45" s="79"/>
    </row>
    <row r="46" spans="2:26" ht="18" customHeight="1" x14ac:dyDescent="0.15">
      <c r="B46" s="138"/>
      <c r="C46" s="139"/>
      <c r="D46" s="77"/>
      <c r="E46" s="108"/>
      <c r="F46" s="78"/>
      <c r="G46" s="79"/>
      <c r="H46" s="79"/>
      <c r="I46" s="79"/>
      <c r="J46" s="79"/>
      <c r="K46" s="79"/>
      <c r="L46" s="79"/>
      <c r="M46" s="79"/>
      <c r="N46" s="79"/>
      <c r="O46" s="79"/>
      <c r="P46" s="80"/>
      <c r="Q46" s="81"/>
      <c r="R46" s="79"/>
      <c r="S46" s="79"/>
      <c r="T46" s="79"/>
      <c r="U46" s="79"/>
      <c r="V46" s="79"/>
      <c r="W46" s="79"/>
      <c r="X46" s="79"/>
      <c r="Y46" s="79"/>
      <c r="Z46" s="79"/>
    </row>
    <row r="47" spans="2:26" ht="18" customHeight="1" x14ac:dyDescent="0.15">
      <c r="B47" s="138"/>
      <c r="C47" s="139"/>
      <c r="D47" s="77"/>
      <c r="E47" s="108"/>
      <c r="F47" s="78"/>
      <c r="G47" s="79"/>
      <c r="H47" s="79"/>
      <c r="I47" s="79"/>
      <c r="J47" s="79"/>
      <c r="K47" s="79"/>
      <c r="L47" s="79"/>
      <c r="M47" s="79"/>
      <c r="N47" s="79"/>
      <c r="O47" s="79"/>
      <c r="P47" s="80"/>
      <c r="Q47" s="81"/>
      <c r="R47" s="79"/>
      <c r="S47" s="79"/>
      <c r="T47" s="79"/>
      <c r="U47" s="79"/>
      <c r="V47" s="79"/>
      <c r="W47" s="79"/>
      <c r="X47" s="79"/>
      <c r="Y47" s="79"/>
      <c r="Z47" s="79"/>
    </row>
    <row r="48" spans="2:26" ht="18" customHeight="1" x14ac:dyDescent="0.15">
      <c r="B48" s="138"/>
      <c r="C48" s="139"/>
      <c r="D48" s="77"/>
      <c r="E48" s="108"/>
      <c r="F48" s="78"/>
      <c r="G48" s="79"/>
      <c r="H48" s="79"/>
      <c r="I48" s="79"/>
      <c r="J48" s="79"/>
      <c r="K48" s="79"/>
      <c r="L48" s="79"/>
      <c r="M48" s="79"/>
      <c r="N48" s="79"/>
      <c r="O48" s="79"/>
      <c r="P48" s="80"/>
      <c r="Q48" s="81"/>
      <c r="R48" s="79"/>
      <c r="S48" s="79"/>
      <c r="T48" s="79"/>
      <c r="U48" s="79"/>
      <c r="V48" s="79"/>
      <c r="W48" s="79"/>
      <c r="X48" s="79"/>
      <c r="Y48" s="79"/>
      <c r="Z48" s="79"/>
    </row>
    <row r="49" spans="1:26" ht="18" customHeight="1" x14ac:dyDescent="0.15">
      <c r="B49" s="138"/>
      <c r="C49" s="139"/>
      <c r="D49" s="77"/>
      <c r="E49" s="108"/>
      <c r="F49" s="78"/>
      <c r="G49" s="79"/>
      <c r="H49" s="79"/>
      <c r="I49" s="79"/>
      <c r="J49" s="79"/>
      <c r="K49" s="79"/>
      <c r="L49" s="79"/>
      <c r="M49" s="79"/>
      <c r="N49" s="79"/>
      <c r="O49" s="79"/>
      <c r="P49" s="80"/>
      <c r="Q49" s="81"/>
      <c r="R49" s="79"/>
      <c r="S49" s="79"/>
      <c r="T49" s="79"/>
      <c r="U49" s="79"/>
      <c r="V49" s="79"/>
      <c r="W49" s="79"/>
      <c r="X49" s="79"/>
      <c r="Y49" s="79"/>
      <c r="Z49" s="79"/>
    </row>
    <row r="50" spans="1:26" ht="18" customHeight="1" x14ac:dyDescent="0.15">
      <c r="B50" s="138"/>
      <c r="C50" s="139"/>
      <c r="D50" s="77"/>
      <c r="E50" s="108"/>
      <c r="F50" s="78"/>
      <c r="G50" s="79"/>
      <c r="H50" s="79"/>
      <c r="I50" s="79"/>
      <c r="J50" s="79"/>
      <c r="K50" s="79"/>
      <c r="L50" s="79"/>
      <c r="M50" s="79"/>
      <c r="N50" s="79"/>
      <c r="O50" s="79"/>
      <c r="P50" s="80"/>
      <c r="Q50" s="81"/>
      <c r="R50" s="79"/>
      <c r="S50" s="79"/>
      <c r="T50" s="79"/>
      <c r="U50" s="79"/>
      <c r="V50" s="79"/>
      <c r="W50" s="79"/>
      <c r="X50" s="79"/>
      <c r="Y50" s="79"/>
      <c r="Z50" s="79"/>
    </row>
    <row r="51" spans="1:26" ht="3" customHeight="1" thickBot="1" x14ac:dyDescent="0.2">
      <c r="B51" s="140"/>
      <c r="C51" s="141"/>
      <c r="D51" s="82"/>
      <c r="E51" s="111"/>
      <c r="F51" s="92"/>
      <c r="G51" s="93"/>
      <c r="H51" s="93"/>
      <c r="I51" s="93"/>
      <c r="J51" s="93"/>
      <c r="K51" s="93"/>
      <c r="L51" s="93"/>
      <c r="M51" s="93"/>
      <c r="N51" s="93"/>
      <c r="O51" s="93"/>
      <c r="P51" s="94"/>
      <c r="Q51" s="86"/>
      <c r="R51" s="84"/>
      <c r="S51" s="84"/>
      <c r="T51" s="84"/>
      <c r="U51" s="84"/>
      <c r="V51" s="84"/>
      <c r="W51" s="84"/>
      <c r="X51" s="84"/>
      <c r="Y51" s="84"/>
      <c r="Z51" s="84"/>
    </row>
    <row r="52" spans="1:26" ht="18" customHeight="1" x14ac:dyDescent="0.15">
      <c r="A52" s="12"/>
      <c r="B52" s="40"/>
      <c r="C52" s="40"/>
      <c r="D52" s="40"/>
      <c r="E52" s="40"/>
      <c r="F52" s="40"/>
      <c r="G52" s="22"/>
      <c r="H52" s="22"/>
      <c r="I52" s="22"/>
      <c r="J52" s="22"/>
      <c r="K52" s="22"/>
      <c r="L52" s="22"/>
      <c r="M52" s="22"/>
      <c r="N52" s="22"/>
      <c r="O52" s="22"/>
      <c r="P52" s="40"/>
      <c r="Q52" s="40"/>
      <c r="R52" s="40"/>
      <c r="S52" s="40"/>
      <c r="T52" s="40"/>
      <c r="U52" s="40"/>
      <c r="V52" s="40"/>
      <c r="W52" s="22"/>
      <c r="X52" s="22"/>
      <c r="Y52" s="22"/>
      <c r="Z52" s="22"/>
    </row>
    <row r="53" spans="1:26" ht="18.75" customHeight="1" x14ac:dyDescent="0.15">
      <c r="A53" s="8" t="s">
        <v>110</v>
      </c>
    </row>
    <row r="54" spans="1:26" ht="18.75" customHeight="1" x14ac:dyDescent="0.15">
      <c r="B54" s="145" t="s">
        <v>47</v>
      </c>
      <c r="C54" s="146"/>
      <c r="D54" s="4" t="s">
        <v>123</v>
      </c>
    </row>
    <row r="55" spans="1:26" ht="60" customHeight="1" x14ac:dyDescent="0.15">
      <c r="B55" s="142" t="s">
        <v>53</v>
      </c>
      <c r="C55" s="95" t="s">
        <v>48</v>
      </c>
      <c r="D55" s="157" t="s">
        <v>139</v>
      </c>
      <c r="E55" s="158"/>
      <c r="F55" s="158"/>
      <c r="G55" s="158"/>
      <c r="H55" s="158"/>
      <c r="I55" s="158"/>
      <c r="J55" s="158"/>
      <c r="K55" s="158"/>
      <c r="L55" s="158"/>
      <c r="M55" s="158"/>
      <c r="N55" s="158"/>
      <c r="O55" s="158"/>
      <c r="P55" s="158"/>
      <c r="Q55" s="158"/>
      <c r="R55" s="158"/>
      <c r="S55" s="158"/>
      <c r="T55" s="158"/>
      <c r="U55" s="159"/>
      <c r="V55" s="96"/>
      <c r="W55" s="96"/>
      <c r="X55" s="96"/>
      <c r="Y55" s="96"/>
      <c r="Z55" s="96"/>
    </row>
    <row r="56" spans="1:26" ht="51.75" customHeight="1" x14ac:dyDescent="0.15">
      <c r="B56" s="143"/>
      <c r="C56" s="97" t="s">
        <v>65</v>
      </c>
      <c r="D56" s="160" t="s">
        <v>140</v>
      </c>
      <c r="E56" s="161"/>
      <c r="F56" s="161"/>
      <c r="G56" s="161"/>
      <c r="H56" s="161"/>
      <c r="I56" s="161"/>
      <c r="J56" s="161"/>
      <c r="K56" s="161"/>
      <c r="L56" s="161"/>
      <c r="M56" s="161"/>
      <c r="N56" s="161"/>
      <c r="O56" s="161"/>
      <c r="P56" s="161"/>
      <c r="Q56" s="161"/>
      <c r="R56" s="161"/>
      <c r="S56" s="161"/>
      <c r="T56" s="161"/>
      <c r="U56" s="162"/>
      <c r="V56" s="98"/>
      <c r="W56" s="98"/>
      <c r="X56" s="98"/>
      <c r="Y56" s="98"/>
      <c r="Z56" s="98"/>
    </row>
    <row r="57" spans="1:26" ht="87.75" customHeight="1" x14ac:dyDescent="0.15">
      <c r="B57" s="142" t="s">
        <v>54</v>
      </c>
      <c r="C57" s="99" t="s">
        <v>59</v>
      </c>
      <c r="D57" s="157" t="s">
        <v>141</v>
      </c>
      <c r="E57" s="158"/>
      <c r="F57" s="158"/>
      <c r="G57" s="158"/>
      <c r="H57" s="158"/>
      <c r="I57" s="158"/>
      <c r="J57" s="158"/>
      <c r="K57" s="158"/>
      <c r="L57" s="158"/>
      <c r="M57" s="158"/>
      <c r="N57" s="158"/>
      <c r="O57" s="158"/>
      <c r="P57" s="158"/>
      <c r="Q57" s="158"/>
      <c r="R57" s="158"/>
      <c r="S57" s="158"/>
      <c r="T57" s="158"/>
      <c r="U57" s="159"/>
      <c r="V57" s="98"/>
      <c r="W57" s="98"/>
      <c r="X57" s="98"/>
      <c r="Y57" s="98"/>
      <c r="Z57" s="98"/>
    </row>
    <row r="58" spans="1:26" ht="54" customHeight="1" x14ac:dyDescent="0.15">
      <c r="B58" s="144"/>
      <c r="C58" s="100" t="s">
        <v>60</v>
      </c>
      <c r="D58" s="160" t="s">
        <v>142</v>
      </c>
      <c r="E58" s="161"/>
      <c r="F58" s="161"/>
      <c r="G58" s="161"/>
      <c r="H58" s="161"/>
      <c r="I58" s="161"/>
      <c r="J58" s="161"/>
      <c r="K58" s="161"/>
      <c r="L58" s="161"/>
      <c r="M58" s="161"/>
      <c r="N58" s="161"/>
      <c r="O58" s="161"/>
      <c r="P58" s="161"/>
      <c r="Q58" s="161"/>
      <c r="R58" s="161"/>
      <c r="S58" s="161"/>
      <c r="T58" s="161"/>
      <c r="U58" s="162"/>
      <c r="V58" s="98"/>
      <c r="W58" s="98"/>
      <c r="X58" s="98"/>
      <c r="Y58" s="98"/>
      <c r="Z58" s="98"/>
    </row>
    <row r="59" spans="1:26" ht="57.75" customHeight="1" x14ac:dyDescent="0.15">
      <c r="B59" s="142" t="s">
        <v>55</v>
      </c>
      <c r="C59" s="99" t="s">
        <v>61</v>
      </c>
      <c r="D59" s="157" t="s">
        <v>143</v>
      </c>
      <c r="E59" s="158"/>
      <c r="F59" s="158"/>
      <c r="G59" s="158"/>
      <c r="H59" s="158"/>
      <c r="I59" s="158"/>
      <c r="J59" s="158"/>
      <c r="K59" s="158"/>
      <c r="L59" s="158"/>
      <c r="M59" s="158"/>
      <c r="N59" s="158"/>
      <c r="O59" s="158"/>
      <c r="P59" s="158"/>
      <c r="Q59" s="158"/>
      <c r="R59" s="158"/>
      <c r="S59" s="158"/>
      <c r="T59" s="158"/>
      <c r="U59" s="159"/>
      <c r="V59" s="98"/>
      <c r="W59" s="98"/>
      <c r="X59" s="98"/>
      <c r="Y59" s="98"/>
      <c r="Z59" s="98"/>
    </row>
    <row r="60" spans="1:26" ht="51.75" customHeight="1" x14ac:dyDescent="0.15">
      <c r="B60" s="144"/>
      <c r="C60" s="101" t="s">
        <v>62</v>
      </c>
      <c r="D60" s="160" t="s">
        <v>167</v>
      </c>
      <c r="E60" s="161"/>
      <c r="F60" s="161"/>
      <c r="G60" s="161"/>
      <c r="H60" s="161"/>
      <c r="I60" s="161"/>
      <c r="J60" s="161"/>
      <c r="K60" s="161"/>
      <c r="L60" s="161"/>
      <c r="M60" s="161"/>
      <c r="N60" s="161"/>
      <c r="O60" s="161"/>
      <c r="P60" s="161"/>
      <c r="Q60" s="161"/>
      <c r="R60" s="161"/>
      <c r="S60" s="161"/>
      <c r="T60" s="161"/>
      <c r="U60" s="162"/>
      <c r="V60" s="98"/>
      <c r="W60" s="98"/>
      <c r="X60" s="98"/>
      <c r="Y60" s="98"/>
      <c r="Z60" s="98"/>
    </row>
    <row r="61" spans="1:26" ht="121.5" customHeight="1" x14ac:dyDescent="0.15">
      <c r="B61" s="142" t="s">
        <v>66</v>
      </c>
      <c r="C61" s="95" t="s">
        <v>50</v>
      </c>
      <c r="D61" s="157" t="s">
        <v>144</v>
      </c>
      <c r="E61" s="158"/>
      <c r="F61" s="158"/>
      <c r="G61" s="158"/>
      <c r="H61" s="158"/>
      <c r="I61" s="158"/>
      <c r="J61" s="158"/>
      <c r="K61" s="158"/>
      <c r="L61" s="158"/>
      <c r="M61" s="158"/>
      <c r="N61" s="158"/>
      <c r="O61" s="158"/>
      <c r="P61" s="158"/>
      <c r="Q61" s="158"/>
      <c r="R61" s="158"/>
      <c r="S61" s="158"/>
      <c r="T61" s="158"/>
      <c r="U61" s="159"/>
      <c r="V61" s="98"/>
      <c r="W61" s="98"/>
      <c r="X61" s="98"/>
      <c r="Y61" s="98"/>
      <c r="Z61" s="98"/>
    </row>
    <row r="62" spans="1:26" ht="78" customHeight="1" x14ac:dyDescent="0.15">
      <c r="B62" s="144"/>
      <c r="C62" s="100" t="s">
        <v>52</v>
      </c>
      <c r="D62" s="160" t="s">
        <v>169</v>
      </c>
      <c r="E62" s="161"/>
      <c r="F62" s="161"/>
      <c r="G62" s="161"/>
      <c r="H62" s="161"/>
      <c r="I62" s="161"/>
      <c r="J62" s="161"/>
      <c r="K62" s="161"/>
      <c r="L62" s="161"/>
      <c r="M62" s="161"/>
      <c r="N62" s="161"/>
      <c r="O62" s="161"/>
      <c r="P62" s="161"/>
      <c r="Q62" s="161"/>
      <c r="R62" s="161"/>
      <c r="S62" s="161"/>
      <c r="T62" s="161"/>
      <c r="U62" s="162"/>
      <c r="V62" s="98"/>
      <c r="W62" s="98"/>
      <c r="X62" s="98"/>
      <c r="Y62" s="98"/>
      <c r="Z62" s="98"/>
    </row>
    <row r="63" spans="1:26" ht="159.75" customHeight="1" x14ac:dyDescent="0.15">
      <c r="B63" s="142" t="s">
        <v>67</v>
      </c>
      <c r="C63" s="99" t="s">
        <v>49</v>
      </c>
      <c r="D63" s="157" t="s">
        <v>145</v>
      </c>
      <c r="E63" s="158"/>
      <c r="F63" s="158"/>
      <c r="G63" s="158"/>
      <c r="H63" s="158"/>
      <c r="I63" s="158"/>
      <c r="J63" s="158"/>
      <c r="K63" s="158"/>
      <c r="L63" s="158"/>
      <c r="M63" s="158"/>
      <c r="N63" s="158"/>
      <c r="O63" s="158"/>
      <c r="P63" s="158"/>
      <c r="Q63" s="158"/>
      <c r="R63" s="158"/>
      <c r="S63" s="158"/>
      <c r="T63" s="158"/>
      <c r="U63" s="159"/>
      <c r="V63" s="98"/>
      <c r="W63" s="98"/>
      <c r="X63" s="98"/>
      <c r="Y63" s="98"/>
      <c r="Z63" s="98"/>
    </row>
    <row r="64" spans="1:26" ht="70.5" customHeight="1" x14ac:dyDescent="0.15">
      <c r="B64" s="143"/>
      <c r="C64" s="102" t="s">
        <v>63</v>
      </c>
      <c r="D64" s="163" t="s">
        <v>168</v>
      </c>
      <c r="E64" s="164"/>
      <c r="F64" s="164"/>
      <c r="G64" s="164"/>
      <c r="H64" s="164"/>
      <c r="I64" s="164"/>
      <c r="J64" s="164"/>
      <c r="K64" s="164"/>
      <c r="L64" s="164"/>
      <c r="M64" s="164"/>
      <c r="N64" s="164"/>
      <c r="O64" s="164"/>
      <c r="P64" s="164"/>
      <c r="Q64" s="164"/>
      <c r="R64" s="164"/>
      <c r="S64" s="164"/>
      <c r="T64" s="164"/>
      <c r="U64" s="165"/>
      <c r="V64" s="103"/>
      <c r="W64" s="103"/>
      <c r="X64" s="103"/>
      <c r="Y64" s="103"/>
      <c r="Z64" s="103"/>
    </row>
    <row r="65" spans="1:26" ht="78" customHeight="1" x14ac:dyDescent="0.15">
      <c r="B65" s="144"/>
      <c r="C65" s="101" t="s">
        <v>64</v>
      </c>
      <c r="D65" s="160" t="s">
        <v>146</v>
      </c>
      <c r="E65" s="161"/>
      <c r="F65" s="161"/>
      <c r="G65" s="161"/>
      <c r="H65" s="161"/>
      <c r="I65" s="161"/>
      <c r="J65" s="161"/>
      <c r="K65" s="161"/>
      <c r="L65" s="161"/>
      <c r="M65" s="161"/>
      <c r="N65" s="161"/>
      <c r="O65" s="161"/>
      <c r="P65" s="161"/>
      <c r="Q65" s="161"/>
      <c r="R65" s="161"/>
      <c r="S65" s="161"/>
      <c r="T65" s="161"/>
      <c r="U65" s="162"/>
      <c r="V65" s="103"/>
      <c r="W65" s="103"/>
      <c r="X65" s="103"/>
      <c r="Y65" s="103"/>
      <c r="Z65" s="103"/>
    </row>
    <row r="66" spans="1:26" ht="6" customHeight="1" x14ac:dyDescent="0.15"/>
    <row r="67" spans="1:26" ht="18.75" customHeight="1" x14ac:dyDescent="0.15">
      <c r="A67" s="8" t="s">
        <v>111</v>
      </c>
    </row>
    <row r="68" spans="1:26" ht="81.75" customHeight="1" x14ac:dyDescent="0.15">
      <c r="B68" s="16"/>
      <c r="C68" s="16"/>
      <c r="D68" s="61" t="s">
        <v>159</v>
      </c>
      <c r="E68" s="16"/>
      <c r="F68" s="16"/>
      <c r="G68" s="16"/>
      <c r="H68" s="16"/>
      <c r="I68" s="16"/>
      <c r="J68" s="16"/>
      <c r="K68" s="16"/>
      <c r="L68" s="16"/>
      <c r="M68" s="16"/>
      <c r="N68" s="16"/>
      <c r="O68" s="16"/>
      <c r="P68" s="16"/>
      <c r="Q68" s="16"/>
      <c r="R68" s="16"/>
      <c r="S68" s="16"/>
      <c r="T68" s="16"/>
      <c r="U68" s="16"/>
      <c r="V68" s="16"/>
      <c r="W68" s="16"/>
      <c r="X68" s="16"/>
      <c r="Y68" s="16"/>
      <c r="Z68" s="16"/>
    </row>
    <row r="71" spans="1:26" ht="18" customHeight="1" x14ac:dyDescent="0.15"/>
  </sheetData>
  <mergeCells count="30">
    <mergeCell ref="D65:U65"/>
    <mergeCell ref="D60:U60"/>
    <mergeCell ref="D61:U61"/>
    <mergeCell ref="D62:U62"/>
    <mergeCell ref="D63:U63"/>
    <mergeCell ref="D64:U64"/>
    <mergeCell ref="D55:U55"/>
    <mergeCell ref="D56:U56"/>
    <mergeCell ref="D57:U57"/>
    <mergeCell ref="D58:U58"/>
    <mergeCell ref="D59:U59"/>
    <mergeCell ref="B23:C31"/>
    <mergeCell ref="A1:Z1"/>
    <mergeCell ref="A9:B9"/>
    <mergeCell ref="A11:B11"/>
    <mergeCell ref="A13:B13"/>
    <mergeCell ref="A15:B15"/>
    <mergeCell ref="Y3:Z3"/>
    <mergeCell ref="A7:Z7"/>
    <mergeCell ref="B4:C4"/>
    <mergeCell ref="B5:C5"/>
    <mergeCell ref="F21:Z21"/>
    <mergeCell ref="B32:C41"/>
    <mergeCell ref="B42:C51"/>
    <mergeCell ref="B63:B65"/>
    <mergeCell ref="B61:B62"/>
    <mergeCell ref="B54:C54"/>
    <mergeCell ref="B59:B60"/>
    <mergeCell ref="B55:B56"/>
    <mergeCell ref="B57:B58"/>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2:O52 W52:Z5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 type="list" allowBlank="1" showInputMessage="1" showErrorMessage="1" sqref="F23:Z51" xr:uid="{4C0986EB-3601-4249-85F7-B678A400A117}">
      <formula1>"○"</formula1>
    </dataValidation>
  </dataValidations>
  <printOptions horizontalCentered="1"/>
  <pageMargins left="0.78740157480314965" right="0.78740157480314965" top="0.78740157480314965" bottom="0.19685039370078741" header="0.31496062992125984" footer="0.19685039370078741"/>
  <pageSetup paperSize="9" scale="54" fitToHeight="0" orientation="landscape" r:id="rId1"/>
  <rowBreaks count="1" manualBreakCount="1">
    <brk id="51"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K24" sqref="K24"/>
    </sheetView>
  </sheetViews>
  <sheetFormatPr defaultColWidth="9" defaultRowHeight="18.75" customHeight="1" x14ac:dyDescent="0.15"/>
  <cols>
    <col min="1" max="1" width="2.875" style="8" customWidth="1"/>
    <col min="2" max="2" width="27.875" style="8" customWidth="1"/>
    <col min="3" max="3" width="8" style="8" customWidth="1"/>
    <col min="4" max="4" width="8.125" style="8" customWidth="1"/>
    <col min="5" max="19" width="6.125" style="8" customWidth="1"/>
    <col min="20" max="20" width="6.625" style="8" customWidth="1"/>
    <col min="21" max="16384" width="9" style="8"/>
  </cols>
  <sheetData>
    <row r="1" spans="1:22" ht="18" customHeight="1" x14ac:dyDescent="0.15">
      <c r="T1" s="8" t="s">
        <v>81</v>
      </c>
    </row>
    <row r="2" spans="1:22" ht="18" customHeight="1" x14ac:dyDescent="0.15">
      <c r="A2" s="169" t="s">
        <v>89</v>
      </c>
      <c r="B2" s="169"/>
      <c r="C2" s="169"/>
      <c r="D2" s="169"/>
      <c r="E2" s="169"/>
      <c r="F2" s="169"/>
      <c r="G2" s="169"/>
      <c r="H2" s="169"/>
      <c r="I2" s="169"/>
      <c r="J2" s="169"/>
      <c r="K2" s="169"/>
      <c r="L2" s="169"/>
      <c r="M2" s="169"/>
      <c r="N2" s="169"/>
      <c r="O2" s="169"/>
      <c r="P2" s="169"/>
      <c r="Q2" s="169"/>
      <c r="R2" s="169"/>
      <c r="S2" s="169"/>
      <c r="T2" s="169"/>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69</v>
      </c>
      <c r="C4" s="21" t="s">
        <v>133</v>
      </c>
      <c r="D4" s="8" t="s">
        <v>107</v>
      </c>
      <c r="E4" s="40"/>
      <c r="F4" s="10"/>
      <c r="G4" s="12"/>
      <c r="H4" s="12"/>
      <c r="I4" s="12"/>
      <c r="J4" s="12"/>
      <c r="K4" s="12"/>
      <c r="L4" s="12"/>
      <c r="M4" s="12"/>
      <c r="N4" s="12"/>
      <c r="O4" s="12"/>
      <c r="P4" s="12"/>
      <c r="Q4" s="12"/>
      <c r="R4" s="12"/>
      <c r="S4" s="40"/>
      <c r="T4" s="40"/>
    </row>
    <row r="5" spans="1:22" ht="7.35" customHeight="1" x14ac:dyDescent="0.15">
      <c r="C5" s="22"/>
      <c r="D5" s="22"/>
      <c r="E5" s="22"/>
      <c r="F5" s="12"/>
      <c r="G5" s="12"/>
      <c r="H5" s="12"/>
      <c r="I5" s="12"/>
      <c r="J5" s="12"/>
      <c r="K5" s="12"/>
      <c r="L5" s="12"/>
      <c r="M5" s="12"/>
      <c r="N5" s="12"/>
      <c r="O5" s="12"/>
      <c r="P5" s="12"/>
      <c r="Q5" s="12"/>
      <c r="R5" s="12"/>
      <c r="S5" s="40"/>
      <c r="T5" s="40"/>
    </row>
    <row r="6" spans="1:22" ht="18" customHeight="1" x14ac:dyDescent="0.15">
      <c r="A6" s="8" t="s">
        <v>105</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70" t="s">
        <v>43</v>
      </c>
      <c r="C8" s="166" t="s">
        <v>70</v>
      </c>
      <c r="D8" s="167"/>
      <c r="E8" s="172" t="s">
        <v>45</v>
      </c>
      <c r="F8" s="166" t="s">
        <v>38</v>
      </c>
      <c r="G8" s="168" t="s">
        <v>103</v>
      </c>
      <c r="H8" s="168"/>
      <c r="I8" s="168" t="s">
        <v>162</v>
      </c>
      <c r="J8" s="168"/>
      <c r="K8" s="168" t="s">
        <v>163</v>
      </c>
      <c r="L8" s="168"/>
      <c r="M8" s="168" t="s">
        <v>164</v>
      </c>
      <c r="N8" s="168"/>
      <c r="O8" s="168" t="s">
        <v>165</v>
      </c>
      <c r="P8" s="168"/>
      <c r="Q8" s="168" t="s">
        <v>166</v>
      </c>
      <c r="R8" s="179"/>
      <c r="S8" s="175" t="s">
        <v>35</v>
      </c>
      <c r="T8" s="177" t="s">
        <v>32</v>
      </c>
      <c r="V8" s="13"/>
    </row>
    <row r="9" spans="1:22" ht="17.100000000000001" customHeight="1" x14ac:dyDescent="0.15">
      <c r="B9" s="171"/>
      <c r="C9" s="1"/>
      <c r="D9" s="2" t="s">
        <v>106</v>
      </c>
      <c r="E9" s="173"/>
      <c r="F9" s="174"/>
      <c r="G9" s="39" t="s">
        <v>76</v>
      </c>
      <c r="H9" s="39" t="s">
        <v>29</v>
      </c>
      <c r="I9" s="39" t="s">
        <v>76</v>
      </c>
      <c r="J9" s="39" t="s">
        <v>29</v>
      </c>
      <c r="K9" s="39" t="s">
        <v>76</v>
      </c>
      <c r="L9" s="39" t="s">
        <v>29</v>
      </c>
      <c r="M9" s="39" t="s">
        <v>76</v>
      </c>
      <c r="N9" s="39" t="s">
        <v>29</v>
      </c>
      <c r="O9" s="39" t="s">
        <v>76</v>
      </c>
      <c r="P9" s="39" t="s">
        <v>29</v>
      </c>
      <c r="Q9" s="39" t="s">
        <v>76</v>
      </c>
      <c r="R9" s="39" t="s">
        <v>29</v>
      </c>
      <c r="S9" s="176"/>
      <c r="T9" s="178"/>
      <c r="V9" s="13"/>
    </row>
    <row r="10" spans="1:22" ht="18" customHeight="1" x14ac:dyDescent="0.15">
      <c r="A10" s="40"/>
      <c r="B10" s="125" t="s">
        <v>134</v>
      </c>
      <c r="C10" s="130">
        <v>689</v>
      </c>
      <c r="D10" s="60">
        <v>639</v>
      </c>
      <c r="E10" s="115">
        <v>160</v>
      </c>
      <c r="F10" s="116">
        <v>640</v>
      </c>
      <c r="G10" s="117">
        <v>133</v>
      </c>
      <c r="H10" s="118">
        <v>3</v>
      </c>
      <c r="I10" s="113"/>
      <c r="J10" s="113"/>
      <c r="K10" s="113"/>
      <c r="L10" s="113"/>
      <c r="M10" s="113"/>
      <c r="N10" s="113"/>
      <c r="O10" s="113"/>
      <c r="P10" s="113"/>
      <c r="Q10" s="113"/>
      <c r="R10" s="113"/>
      <c r="S10" s="3">
        <f>G10+I10+K10+M10+O10+Q10</f>
        <v>133</v>
      </c>
      <c r="T10" s="123">
        <f>S10/F10</f>
        <v>0.20781250000000001</v>
      </c>
    </row>
    <row r="11" spans="1:22" ht="18" customHeight="1" x14ac:dyDescent="0.15">
      <c r="A11" s="40"/>
      <c r="B11" s="41" t="s">
        <v>135</v>
      </c>
      <c r="C11" s="131">
        <v>1168</v>
      </c>
      <c r="D11" s="58">
        <v>878</v>
      </c>
      <c r="E11" s="119">
        <v>270</v>
      </c>
      <c r="F11" s="120">
        <v>1080</v>
      </c>
      <c r="G11" s="121">
        <v>229</v>
      </c>
      <c r="H11" s="122">
        <v>1</v>
      </c>
      <c r="I11" s="114"/>
      <c r="J11" s="114"/>
      <c r="K11" s="114"/>
      <c r="L11" s="114"/>
      <c r="M11" s="114"/>
      <c r="N11" s="114"/>
      <c r="O11" s="114"/>
      <c r="P11" s="114"/>
      <c r="Q11" s="114"/>
      <c r="R11" s="114"/>
      <c r="S11" s="42">
        <f>G11+I11+K11+M11+O11+Q11</f>
        <v>229</v>
      </c>
      <c r="T11" s="124">
        <f t="shared" ref="T11:T27" si="0">S11/F11</f>
        <v>0.21203703703703702</v>
      </c>
    </row>
    <row r="12" spans="1:22" ht="18" customHeight="1" x14ac:dyDescent="0.15">
      <c r="A12" s="40"/>
      <c r="B12" s="41" t="s">
        <v>136</v>
      </c>
      <c r="C12" s="131">
        <v>874</v>
      </c>
      <c r="D12" s="58">
        <v>842</v>
      </c>
      <c r="E12" s="119">
        <v>220</v>
      </c>
      <c r="F12" s="120">
        <v>880</v>
      </c>
      <c r="G12" s="121">
        <v>42</v>
      </c>
      <c r="H12" s="122">
        <v>0</v>
      </c>
      <c r="I12" s="114"/>
      <c r="J12" s="114"/>
      <c r="K12" s="114"/>
      <c r="L12" s="114"/>
      <c r="M12" s="114"/>
      <c r="N12" s="114"/>
      <c r="O12" s="114"/>
      <c r="P12" s="114"/>
      <c r="Q12" s="114"/>
      <c r="R12" s="114"/>
      <c r="S12" s="42">
        <f t="shared" ref="S12" si="1">G12+I12+K12+M12+O12+Q12</f>
        <v>42</v>
      </c>
      <c r="T12" s="43">
        <f t="shared" si="0"/>
        <v>4.7727272727272729E-2</v>
      </c>
    </row>
    <row r="13" spans="1:22" ht="18" customHeight="1" x14ac:dyDescent="0.15">
      <c r="A13" s="40"/>
      <c r="B13" s="41" t="s">
        <v>137</v>
      </c>
      <c r="C13" s="131">
        <v>429</v>
      </c>
      <c r="D13" s="58">
        <v>403</v>
      </c>
      <c r="E13" s="119">
        <v>100</v>
      </c>
      <c r="F13" s="120">
        <v>400</v>
      </c>
      <c r="G13" s="121">
        <v>11</v>
      </c>
      <c r="H13" s="122">
        <v>0</v>
      </c>
      <c r="I13" s="114"/>
      <c r="J13" s="114"/>
      <c r="K13" s="114"/>
      <c r="L13" s="114"/>
      <c r="M13" s="114"/>
      <c r="N13" s="114"/>
      <c r="O13" s="114"/>
      <c r="P13" s="114"/>
      <c r="Q13" s="114"/>
      <c r="R13" s="114"/>
      <c r="S13" s="42">
        <f>G13+I13+K13+M13+O13+Q13</f>
        <v>11</v>
      </c>
      <c r="T13" s="43">
        <f t="shared" si="0"/>
        <v>2.75E-2</v>
      </c>
    </row>
    <row r="14" spans="1:22" ht="18" customHeight="1" x14ac:dyDescent="0.15">
      <c r="A14" s="40"/>
      <c r="B14" s="41"/>
      <c r="C14" s="55"/>
      <c r="D14" s="57"/>
      <c r="E14" s="54"/>
      <c r="F14" s="55"/>
      <c r="G14" s="56"/>
      <c r="H14" s="56"/>
      <c r="I14" s="56"/>
      <c r="J14" s="56"/>
      <c r="K14" s="56"/>
      <c r="L14" s="56"/>
      <c r="M14" s="56"/>
      <c r="N14" s="56"/>
      <c r="O14" s="56"/>
      <c r="P14" s="56"/>
      <c r="Q14" s="56"/>
      <c r="R14" s="56"/>
      <c r="S14" s="42">
        <f t="shared" ref="S14:S29" si="2">G14+K14+M14+O14+Q14</f>
        <v>0</v>
      </c>
      <c r="T14" s="43" t="e">
        <f t="shared" si="0"/>
        <v>#DIV/0!</v>
      </c>
    </row>
    <row r="15" spans="1:22" ht="18" customHeight="1" x14ac:dyDescent="0.15">
      <c r="A15" s="40"/>
      <c r="B15" s="41"/>
      <c r="C15" s="55"/>
      <c r="D15" s="57"/>
      <c r="E15" s="54"/>
      <c r="F15" s="55"/>
      <c r="G15" s="56"/>
      <c r="H15" s="56"/>
      <c r="I15" s="56"/>
      <c r="J15" s="56"/>
      <c r="K15" s="56"/>
      <c r="L15" s="56"/>
      <c r="M15" s="56"/>
      <c r="N15" s="56"/>
      <c r="O15" s="56"/>
      <c r="P15" s="56"/>
      <c r="Q15" s="56"/>
      <c r="R15" s="56"/>
      <c r="S15" s="42">
        <f t="shared" si="2"/>
        <v>0</v>
      </c>
      <c r="T15" s="43" t="e">
        <f t="shared" si="0"/>
        <v>#DIV/0!</v>
      </c>
    </row>
    <row r="16" spans="1:22" ht="18" customHeight="1" x14ac:dyDescent="0.15">
      <c r="A16" s="40"/>
      <c r="B16" s="41"/>
      <c r="C16" s="55"/>
      <c r="D16" s="57"/>
      <c r="E16" s="54"/>
      <c r="F16" s="55"/>
      <c r="G16" s="56"/>
      <c r="H16" s="56"/>
      <c r="I16" s="56"/>
      <c r="J16" s="56"/>
      <c r="K16" s="56"/>
      <c r="L16" s="56"/>
      <c r="M16" s="56"/>
      <c r="N16" s="56"/>
      <c r="O16" s="56"/>
      <c r="P16" s="56"/>
      <c r="Q16" s="56"/>
      <c r="R16" s="56"/>
      <c r="S16" s="42">
        <f t="shared" si="2"/>
        <v>0</v>
      </c>
      <c r="T16" s="43" t="e">
        <f t="shared" si="0"/>
        <v>#DIV/0!</v>
      </c>
    </row>
    <row r="17" spans="1:20" ht="18" customHeight="1" x14ac:dyDescent="0.15">
      <c r="A17" s="40"/>
      <c r="B17" s="41"/>
      <c r="C17" s="55"/>
      <c r="D17" s="57"/>
      <c r="E17" s="54"/>
      <c r="F17" s="55"/>
      <c r="G17" s="56"/>
      <c r="H17" s="56"/>
      <c r="I17" s="56"/>
      <c r="J17" s="56"/>
      <c r="K17" s="56"/>
      <c r="L17" s="56"/>
      <c r="M17" s="56"/>
      <c r="N17" s="56"/>
      <c r="O17" s="56"/>
      <c r="P17" s="56"/>
      <c r="Q17" s="56"/>
      <c r="R17" s="56"/>
      <c r="S17" s="42">
        <f t="shared" si="2"/>
        <v>0</v>
      </c>
      <c r="T17" s="43" t="e">
        <f t="shared" si="0"/>
        <v>#DIV/0!</v>
      </c>
    </row>
    <row r="18" spans="1:20" ht="18" customHeight="1" x14ac:dyDescent="0.15">
      <c r="A18" s="40"/>
      <c r="B18" s="41"/>
      <c r="C18" s="55"/>
      <c r="D18" s="57"/>
      <c r="E18" s="54"/>
      <c r="F18" s="55"/>
      <c r="G18" s="56"/>
      <c r="H18" s="56"/>
      <c r="I18" s="56"/>
      <c r="J18" s="56"/>
      <c r="K18" s="56"/>
      <c r="L18" s="56"/>
      <c r="M18" s="56"/>
      <c r="N18" s="56"/>
      <c r="O18" s="56"/>
      <c r="P18" s="56"/>
      <c r="Q18" s="56"/>
      <c r="R18" s="56"/>
      <c r="S18" s="42">
        <f t="shared" si="2"/>
        <v>0</v>
      </c>
      <c r="T18" s="43" t="e">
        <f t="shared" si="0"/>
        <v>#DIV/0!</v>
      </c>
    </row>
    <row r="19" spans="1:20" ht="18" customHeight="1" x14ac:dyDescent="0.15">
      <c r="A19" s="40"/>
      <c r="B19" s="41"/>
      <c r="C19" s="55"/>
      <c r="D19" s="57"/>
      <c r="E19" s="54"/>
      <c r="F19" s="55"/>
      <c r="G19" s="56"/>
      <c r="H19" s="56"/>
      <c r="I19" s="56"/>
      <c r="J19" s="56"/>
      <c r="K19" s="56"/>
      <c r="L19" s="56"/>
      <c r="M19" s="56"/>
      <c r="N19" s="56"/>
      <c r="O19" s="56"/>
      <c r="P19" s="56"/>
      <c r="Q19" s="56"/>
      <c r="R19" s="56"/>
      <c r="S19" s="42">
        <f t="shared" si="2"/>
        <v>0</v>
      </c>
      <c r="T19" s="43" t="e">
        <f t="shared" si="0"/>
        <v>#DIV/0!</v>
      </c>
    </row>
    <row r="20" spans="1:20" ht="18" customHeight="1" x14ac:dyDescent="0.15">
      <c r="A20" s="40"/>
      <c r="B20" s="41"/>
      <c r="C20" s="55"/>
      <c r="D20" s="57"/>
      <c r="E20" s="54"/>
      <c r="F20" s="55"/>
      <c r="G20" s="56"/>
      <c r="H20" s="56"/>
      <c r="I20" s="56"/>
      <c r="J20" s="56"/>
      <c r="K20" s="56"/>
      <c r="L20" s="56"/>
      <c r="M20" s="56"/>
      <c r="N20" s="56"/>
      <c r="O20" s="56"/>
      <c r="P20" s="56"/>
      <c r="Q20" s="56"/>
      <c r="R20" s="56"/>
      <c r="S20" s="42">
        <f t="shared" si="2"/>
        <v>0</v>
      </c>
      <c r="T20" s="43" t="e">
        <f t="shared" si="0"/>
        <v>#DIV/0!</v>
      </c>
    </row>
    <row r="21" spans="1:20" ht="18" customHeight="1" x14ac:dyDescent="0.15">
      <c r="A21" s="40"/>
      <c r="B21" s="41"/>
      <c r="C21" s="55"/>
      <c r="D21" s="57"/>
      <c r="E21" s="54"/>
      <c r="F21" s="55"/>
      <c r="G21" s="56"/>
      <c r="H21" s="56"/>
      <c r="I21" s="56"/>
      <c r="J21" s="56"/>
      <c r="K21" s="56"/>
      <c r="L21" s="56"/>
      <c r="M21" s="56"/>
      <c r="N21" s="56"/>
      <c r="O21" s="56"/>
      <c r="P21" s="56"/>
      <c r="Q21" s="56"/>
      <c r="R21" s="56"/>
      <c r="S21" s="42">
        <f t="shared" si="2"/>
        <v>0</v>
      </c>
      <c r="T21" s="43" t="e">
        <f t="shared" si="0"/>
        <v>#DIV/0!</v>
      </c>
    </row>
    <row r="22" spans="1:20" ht="18" customHeight="1" x14ac:dyDescent="0.15">
      <c r="A22" s="40"/>
      <c r="B22" s="41"/>
      <c r="C22" s="55"/>
      <c r="D22" s="57"/>
      <c r="E22" s="54"/>
      <c r="F22" s="55"/>
      <c r="G22" s="56"/>
      <c r="H22" s="56"/>
      <c r="I22" s="56"/>
      <c r="J22" s="56"/>
      <c r="K22" s="56"/>
      <c r="L22" s="56"/>
      <c r="M22" s="56"/>
      <c r="N22" s="56"/>
      <c r="O22" s="56"/>
      <c r="P22" s="56"/>
      <c r="Q22" s="56"/>
      <c r="R22" s="56"/>
      <c r="S22" s="42">
        <f t="shared" si="2"/>
        <v>0</v>
      </c>
      <c r="T22" s="43" t="e">
        <f t="shared" si="0"/>
        <v>#DIV/0!</v>
      </c>
    </row>
    <row r="23" spans="1:20" ht="18" customHeight="1" x14ac:dyDescent="0.15">
      <c r="A23" s="40"/>
      <c r="B23" s="41"/>
      <c r="C23" s="55"/>
      <c r="D23" s="57"/>
      <c r="E23" s="54"/>
      <c r="F23" s="55"/>
      <c r="G23" s="56"/>
      <c r="H23" s="56"/>
      <c r="I23" s="56"/>
      <c r="J23" s="56"/>
      <c r="K23" s="56"/>
      <c r="L23" s="56"/>
      <c r="M23" s="56"/>
      <c r="N23" s="56"/>
      <c r="O23" s="56"/>
      <c r="P23" s="56"/>
      <c r="Q23" s="56"/>
      <c r="R23" s="56"/>
      <c r="S23" s="42">
        <f t="shared" si="2"/>
        <v>0</v>
      </c>
      <c r="T23" s="43" t="e">
        <f t="shared" si="0"/>
        <v>#DIV/0!</v>
      </c>
    </row>
    <row r="24" spans="1:20" ht="18" customHeight="1" x14ac:dyDescent="0.15">
      <c r="A24" s="40"/>
      <c r="B24" s="41"/>
      <c r="C24" s="55"/>
      <c r="D24" s="57"/>
      <c r="E24" s="54"/>
      <c r="F24" s="55"/>
      <c r="G24" s="56"/>
      <c r="H24" s="56"/>
      <c r="I24" s="56"/>
      <c r="J24" s="56"/>
      <c r="K24" s="56"/>
      <c r="L24" s="56"/>
      <c r="M24" s="56"/>
      <c r="N24" s="56"/>
      <c r="O24" s="56"/>
      <c r="P24" s="56"/>
      <c r="Q24" s="56"/>
      <c r="R24" s="56"/>
      <c r="S24" s="42">
        <f t="shared" si="2"/>
        <v>0</v>
      </c>
      <c r="T24" s="43" t="e">
        <f t="shared" si="0"/>
        <v>#DIV/0!</v>
      </c>
    </row>
    <row r="25" spans="1:20" ht="18" customHeight="1" x14ac:dyDescent="0.15">
      <c r="A25" s="40"/>
      <c r="B25" s="41"/>
      <c r="C25" s="55"/>
      <c r="D25" s="57"/>
      <c r="E25" s="54"/>
      <c r="F25" s="55"/>
      <c r="G25" s="56"/>
      <c r="H25" s="56"/>
      <c r="I25" s="56"/>
      <c r="J25" s="56"/>
      <c r="K25" s="56"/>
      <c r="L25" s="56"/>
      <c r="M25" s="56"/>
      <c r="N25" s="56"/>
      <c r="O25" s="56"/>
      <c r="P25" s="56"/>
      <c r="Q25" s="56"/>
      <c r="R25" s="56"/>
      <c r="S25" s="42">
        <f t="shared" si="2"/>
        <v>0</v>
      </c>
      <c r="T25" s="43" t="e">
        <f t="shared" si="0"/>
        <v>#DIV/0!</v>
      </c>
    </row>
    <row r="26" spans="1:20" ht="18" customHeight="1" x14ac:dyDescent="0.15">
      <c r="A26" s="40"/>
      <c r="B26" s="41"/>
      <c r="C26" s="55"/>
      <c r="D26" s="57"/>
      <c r="E26" s="54"/>
      <c r="F26" s="55"/>
      <c r="G26" s="56"/>
      <c r="H26" s="56"/>
      <c r="I26" s="56"/>
      <c r="J26" s="56"/>
      <c r="K26" s="56"/>
      <c r="L26" s="56"/>
      <c r="M26" s="56"/>
      <c r="N26" s="56"/>
      <c r="O26" s="56"/>
      <c r="P26" s="56"/>
      <c r="Q26" s="56"/>
      <c r="R26" s="56"/>
      <c r="S26" s="42">
        <f t="shared" si="2"/>
        <v>0</v>
      </c>
      <c r="T26" s="43" t="e">
        <f t="shared" si="0"/>
        <v>#DIV/0!</v>
      </c>
    </row>
    <row r="27" spans="1:20" ht="18" customHeight="1" x14ac:dyDescent="0.15">
      <c r="A27" s="40"/>
      <c r="B27" s="41"/>
      <c r="C27" s="55"/>
      <c r="D27" s="57"/>
      <c r="E27" s="58"/>
      <c r="F27" s="55"/>
      <c r="G27" s="56"/>
      <c r="H27" s="56"/>
      <c r="I27" s="56"/>
      <c r="J27" s="56"/>
      <c r="K27" s="56"/>
      <c r="L27" s="56"/>
      <c r="M27" s="56"/>
      <c r="N27" s="56"/>
      <c r="O27" s="56"/>
      <c r="P27" s="56"/>
      <c r="Q27" s="56"/>
      <c r="R27" s="56"/>
      <c r="S27" s="42">
        <f t="shared" si="2"/>
        <v>0</v>
      </c>
      <c r="T27" s="43" t="e">
        <f t="shared" si="0"/>
        <v>#DIV/0!</v>
      </c>
    </row>
    <row r="28" spans="1:20" ht="18" customHeight="1" x14ac:dyDescent="0.15">
      <c r="A28" s="40"/>
      <c r="B28" s="41"/>
      <c r="C28" s="55"/>
      <c r="D28" s="57"/>
      <c r="E28" s="58"/>
      <c r="F28" s="55"/>
      <c r="G28" s="56"/>
      <c r="H28" s="56"/>
      <c r="I28" s="56"/>
      <c r="J28" s="56"/>
      <c r="K28" s="56"/>
      <c r="L28" s="56"/>
      <c r="M28" s="56"/>
      <c r="N28" s="56"/>
      <c r="O28" s="56"/>
      <c r="P28" s="56"/>
      <c r="Q28" s="56"/>
      <c r="R28" s="56"/>
      <c r="S28" s="42">
        <f t="shared" si="2"/>
        <v>0</v>
      </c>
      <c r="T28" s="43" t="e">
        <f t="shared" ref="T28:T29" si="3">S28/F28</f>
        <v>#DIV/0!</v>
      </c>
    </row>
    <row r="29" spans="1:20" ht="18" customHeight="1" thickBot="1" x14ac:dyDescent="0.2">
      <c r="A29" s="40"/>
      <c r="B29" s="44"/>
      <c r="C29" s="53"/>
      <c r="D29" s="59"/>
      <c r="E29" s="60"/>
      <c r="F29" s="53"/>
      <c r="G29" s="53"/>
      <c r="H29" s="53"/>
      <c r="I29" s="53"/>
      <c r="J29" s="53"/>
      <c r="K29" s="53"/>
      <c r="L29" s="53"/>
      <c r="M29" s="53"/>
      <c r="N29" s="53"/>
      <c r="O29" s="53"/>
      <c r="P29" s="53"/>
      <c r="Q29" s="53"/>
      <c r="R29" s="53"/>
      <c r="S29" s="3">
        <f t="shared" si="2"/>
        <v>0</v>
      </c>
      <c r="T29" s="43" t="e">
        <f t="shared" si="3"/>
        <v>#DIV/0!</v>
      </c>
    </row>
    <row r="30" spans="1:20" ht="18" customHeight="1" thickTop="1" x14ac:dyDescent="0.15">
      <c r="B30" s="45" t="s">
        <v>33</v>
      </c>
      <c r="C30" s="47">
        <f t="shared" ref="C30" si="4">SUM(C10:C29)</f>
        <v>3160</v>
      </c>
      <c r="D30" s="104">
        <f>SUM(D10:D29)</f>
        <v>2762</v>
      </c>
      <c r="E30" s="46">
        <f t="shared" ref="E30:G30" si="5">SUM(E10:E29)</f>
        <v>750</v>
      </c>
      <c r="F30" s="47">
        <f t="shared" si="5"/>
        <v>3000</v>
      </c>
      <c r="G30" s="47">
        <f t="shared" si="5"/>
        <v>415</v>
      </c>
      <c r="H30" s="47">
        <f t="shared" ref="H30:K30" si="6">SUM(H10:H29)</f>
        <v>4</v>
      </c>
      <c r="I30" s="47">
        <f t="shared" si="6"/>
        <v>0</v>
      </c>
      <c r="J30" s="47">
        <f t="shared" si="6"/>
        <v>0</v>
      </c>
      <c r="K30" s="47">
        <f t="shared" si="6"/>
        <v>0</v>
      </c>
      <c r="L30" s="47">
        <f t="shared" ref="L30:M30" si="7">SUM(L10:L29)</f>
        <v>0</v>
      </c>
      <c r="M30" s="47">
        <f t="shared" si="7"/>
        <v>0</v>
      </c>
      <c r="N30" s="47">
        <f t="shared" ref="N30:S30" si="8">SUM(N10:N29)</f>
        <v>0</v>
      </c>
      <c r="O30" s="47">
        <f t="shared" si="8"/>
        <v>0</v>
      </c>
      <c r="P30" s="47">
        <f t="shared" si="8"/>
        <v>0</v>
      </c>
      <c r="Q30" s="47">
        <f t="shared" si="8"/>
        <v>0</v>
      </c>
      <c r="R30" s="47">
        <f t="shared" si="8"/>
        <v>0</v>
      </c>
      <c r="S30" s="47">
        <f t="shared" si="8"/>
        <v>415</v>
      </c>
      <c r="T30" s="48">
        <f>S30/F30</f>
        <v>0.13833333333333334</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C10:R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8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zoomScaleNormal="100" zoomScaleSheetLayoutView="100" workbookViewId="0">
      <selection activeCell="J7" sqref="J7"/>
    </sheetView>
  </sheetViews>
  <sheetFormatPr defaultColWidth="11.375" defaultRowHeight="18.75" customHeight="1" x14ac:dyDescent="0.15"/>
  <cols>
    <col min="1" max="1" width="2.875" style="7" customWidth="1"/>
    <col min="2" max="2" width="8" style="8" customWidth="1"/>
    <col min="3" max="3" width="17.125" style="8" bestFit="1" customWidth="1"/>
    <col min="4" max="4" width="41.625" style="8" customWidth="1"/>
    <col min="5" max="5" width="12.125" style="8" customWidth="1"/>
    <col min="6" max="16384" width="11.375" style="8"/>
  </cols>
  <sheetData>
    <row r="1" spans="1:10" ht="18.75" customHeight="1" x14ac:dyDescent="0.15">
      <c r="A1" s="7" t="s">
        <v>56</v>
      </c>
      <c r="E1" s="9" t="s">
        <v>80</v>
      </c>
    </row>
    <row r="2" spans="1:10" ht="10.7" customHeight="1" x14ac:dyDescent="0.15">
      <c r="E2" s="10"/>
    </row>
    <row r="3" spans="1:10" ht="18.600000000000001" customHeight="1" x14ac:dyDescent="0.15">
      <c r="A3" s="169" t="s">
        <v>36</v>
      </c>
      <c r="B3" s="169"/>
      <c r="C3" s="169"/>
      <c r="D3" s="169"/>
      <c r="E3" s="169"/>
    </row>
    <row r="4" spans="1:10" ht="13.35" customHeight="1" x14ac:dyDescent="0.15">
      <c r="B4" s="12"/>
      <c r="C4" s="12"/>
      <c r="D4" s="12"/>
      <c r="E4" s="12"/>
    </row>
    <row r="5" spans="1:10" ht="18" customHeight="1" x14ac:dyDescent="0.15">
      <c r="A5" s="8" t="s">
        <v>0</v>
      </c>
      <c r="B5" s="149" t="s">
        <v>73</v>
      </c>
      <c r="C5" s="149"/>
      <c r="D5" s="149"/>
      <c r="E5" s="149"/>
    </row>
    <row r="6" spans="1:10" ht="18.600000000000001" customHeight="1" x14ac:dyDescent="0.15">
      <c r="B6" s="29" t="s">
        <v>74</v>
      </c>
      <c r="C6" s="112">
        <v>185</v>
      </c>
      <c r="D6" s="10" t="s">
        <v>1</v>
      </c>
      <c r="E6" s="14"/>
      <c r="J6" s="128"/>
    </row>
    <row r="7" spans="1:10" ht="18.600000000000001" customHeight="1" x14ac:dyDescent="0.15">
      <c r="B7" s="29" t="s">
        <v>2</v>
      </c>
      <c r="C7" s="112">
        <v>259</v>
      </c>
      <c r="D7" s="10" t="s">
        <v>1</v>
      </c>
      <c r="E7" s="14"/>
    </row>
    <row r="8" spans="1:10" ht="18.600000000000001" customHeight="1" x14ac:dyDescent="0.15">
      <c r="B8" s="9"/>
      <c r="C8" s="9"/>
      <c r="D8" s="10"/>
      <c r="E8" s="14"/>
    </row>
    <row r="9" spans="1:10" ht="18" customHeight="1" x14ac:dyDescent="0.15">
      <c r="A9" s="8" t="s">
        <v>3</v>
      </c>
      <c r="B9" s="149" t="s">
        <v>117</v>
      </c>
      <c r="C9" s="149"/>
      <c r="D9" s="149"/>
      <c r="E9" s="149"/>
    </row>
    <row r="10" spans="1:10" ht="18" customHeight="1" x14ac:dyDescent="0.15">
      <c r="A10" s="8"/>
      <c r="B10" s="10"/>
      <c r="C10" s="112">
        <v>3</v>
      </c>
      <c r="D10" s="10" t="s">
        <v>1</v>
      </c>
      <c r="E10" s="10"/>
    </row>
    <row r="11" spans="1:10" ht="9" customHeight="1" x14ac:dyDescent="0.15">
      <c r="B11" s="12"/>
      <c r="C11" s="12"/>
      <c r="D11" s="12"/>
      <c r="E11" s="12"/>
    </row>
    <row r="12" spans="1:10" ht="18" customHeight="1" x14ac:dyDescent="0.15">
      <c r="A12" s="8" t="s">
        <v>4</v>
      </c>
      <c r="B12" s="149" t="s">
        <v>75</v>
      </c>
      <c r="C12" s="149"/>
      <c r="D12" s="149"/>
      <c r="E12" s="149"/>
    </row>
    <row r="13" spans="1:10" ht="18" customHeight="1" x14ac:dyDescent="0.15">
      <c r="C13" s="9" t="s">
        <v>41</v>
      </c>
      <c r="D13" s="63" t="s">
        <v>147</v>
      </c>
      <c r="E13" s="10"/>
    </row>
    <row r="14" spans="1:10" ht="18" customHeight="1" x14ac:dyDescent="0.15">
      <c r="C14" s="9" t="s">
        <v>10</v>
      </c>
      <c r="D14" s="63" t="s">
        <v>138</v>
      </c>
      <c r="E14" s="14"/>
    </row>
    <row r="15" spans="1:10" ht="10.35" customHeight="1" x14ac:dyDescent="0.15">
      <c r="B15" s="9"/>
      <c r="C15" s="10"/>
      <c r="D15" s="14"/>
      <c r="E15" s="14"/>
    </row>
    <row r="16" spans="1:10" ht="18" customHeight="1" x14ac:dyDescent="0.15">
      <c r="A16" s="8" t="s">
        <v>7</v>
      </c>
      <c r="B16" s="149" t="s">
        <v>71</v>
      </c>
      <c r="C16" s="149"/>
      <c r="D16" s="149"/>
      <c r="E16" s="149"/>
    </row>
    <row r="17" spans="1:10" ht="18" customHeight="1" x14ac:dyDescent="0.15">
      <c r="C17" s="9" t="s">
        <v>113</v>
      </c>
      <c r="D17" s="63" t="s">
        <v>170</v>
      </c>
      <c r="E17" s="10"/>
      <c r="F17" s="128"/>
    </row>
    <row r="18" spans="1:10" ht="9" customHeight="1" x14ac:dyDescent="0.15">
      <c r="B18" s="12"/>
      <c r="C18" s="12"/>
      <c r="D18" s="12"/>
      <c r="E18" s="12"/>
    </row>
    <row r="19" spans="1:10" ht="18.75" customHeight="1" x14ac:dyDescent="0.15">
      <c r="A19" s="8" t="s">
        <v>5</v>
      </c>
      <c r="B19" s="148" t="s">
        <v>40</v>
      </c>
      <c r="C19" s="148"/>
      <c r="D19" s="148"/>
      <c r="E19" s="148"/>
    </row>
    <row r="20" spans="1:10" ht="18.75" customHeight="1" x14ac:dyDescent="0.15">
      <c r="A20" s="8"/>
      <c r="C20" s="9" t="s">
        <v>113</v>
      </c>
      <c r="D20" s="63" t="s">
        <v>170</v>
      </c>
      <c r="E20" s="10"/>
      <c r="F20" s="128"/>
    </row>
    <row r="21" spans="1:10" ht="7.5" customHeight="1" x14ac:dyDescent="0.15">
      <c r="B21" s="12"/>
      <c r="C21" s="12"/>
      <c r="D21" s="12"/>
      <c r="E21" s="12"/>
    </row>
    <row r="22" spans="1:10" ht="18.75" customHeight="1" x14ac:dyDescent="0.15">
      <c r="A22" s="8" t="s">
        <v>8</v>
      </c>
      <c r="B22" s="148" t="s">
        <v>25</v>
      </c>
      <c r="C22" s="148"/>
      <c r="D22" s="148"/>
      <c r="E22" s="148"/>
    </row>
    <row r="23" spans="1:10" ht="180" customHeight="1" x14ac:dyDescent="0.15">
      <c r="A23" s="15"/>
      <c r="B23" s="16"/>
      <c r="C23" s="186" t="s">
        <v>174</v>
      </c>
      <c r="D23" s="187"/>
      <c r="E23" s="188"/>
    </row>
    <row r="24" spans="1:10" ht="7.5" customHeight="1" x14ac:dyDescent="0.15">
      <c r="A24" s="15"/>
      <c r="B24" s="15"/>
      <c r="C24" s="15"/>
      <c r="D24" s="15"/>
      <c r="E24" s="15"/>
    </row>
    <row r="25" spans="1:10" ht="18.75" customHeight="1" x14ac:dyDescent="0.15">
      <c r="A25" s="17" t="s">
        <v>6</v>
      </c>
      <c r="B25" s="189" t="s">
        <v>9</v>
      </c>
      <c r="C25" s="190"/>
      <c r="D25" s="190"/>
      <c r="E25" s="190"/>
    </row>
    <row r="26" spans="1:10" ht="239.25" customHeight="1" x14ac:dyDescent="0.15">
      <c r="A26" s="15"/>
      <c r="B26" s="16"/>
      <c r="C26" s="181" t="s">
        <v>148</v>
      </c>
      <c r="D26" s="182"/>
      <c r="E26" s="183"/>
    </row>
    <row r="27" spans="1:10" ht="7.5" customHeight="1" x14ac:dyDescent="0.15">
      <c r="A27" s="18"/>
      <c r="B27" s="18"/>
      <c r="C27" s="18"/>
      <c r="D27" s="18"/>
      <c r="E27" s="18"/>
    </row>
    <row r="28" spans="1:10" ht="18.75" customHeight="1" x14ac:dyDescent="0.15">
      <c r="A28" s="8" t="s">
        <v>31</v>
      </c>
      <c r="B28" s="148" t="s">
        <v>116</v>
      </c>
      <c r="C28" s="180"/>
      <c r="D28" s="180"/>
      <c r="E28" s="148"/>
    </row>
    <row r="29" spans="1:10" s="12" customFormat="1" ht="18.75" customHeight="1" x14ac:dyDescent="0.15">
      <c r="B29" s="25"/>
      <c r="C29" s="21" t="s">
        <v>118</v>
      </c>
      <c r="D29" s="30">
        <f>IFERROR('様式２ 履修者等数の実績'!T30, "（様式２より自動転記）")</f>
        <v>0.13833333333333334</v>
      </c>
      <c r="E29" s="26"/>
      <c r="F29" s="8"/>
      <c r="I29" s="8"/>
      <c r="J29" s="20"/>
    </row>
    <row r="30" spans="1:10" s="12" customFormat="1" ht="18.75" customHeight="1" x14ac:dyDescent="0.15">
      <c r="B30" s="25"/>
      <c r="C30" s="21" t="s">
        <v>72</v>
      </c>
      <c r="D30" s="30">
        <v>0.16</v>
      </c>
      <c r="E30" s="26"/>
      <c r="F30" s="8"/>
      <c r="I30" s="8"/>
      <c r="J30" s="20"/>
    </row>
    <row r="31" spans="1:10" s="12" customFormat="1" ht="18.75" customHeight="1" x14ac:dyDescent="0.15">
      <c r="B31" s="25"/>
      <c r="C31" s="21" t="s">
        <v>85</v>
      </c>
      <c r="D31" s="30">
        <v>0.18</v>
      </c>
      <c r="E31" s="26"/>
      <c r="F31" s="8"/>
      <c r="I31" s="8"/>
      <c r="J31" s="20"/>
    </row>
    <row r="32" spans="1:10" s="12" customFormat="1" ht="18.75" customHeight="1" x14ac:dyDescent="0.15">
      <c r="B32" s="22"/>
      <c r="C32" s="19" t="s">
        <v>114</v>
      </c>
      <c r="D32" s="30">
        <v>0.19</v>
      </c>
      <c r="E32" s="27"/>
      <c r="F32" s="8"/>
      <c r="I32" s="8"/>
      <c r="J32" s="20"/>
    </row>
    <row r="33" spans="1:11" s="12" customFormat="1" ht="18.75" customHeight="1" x14ac:dyDescent="0.15">
      <c r="B33" s="22"/>
      <c r="C33" s="19" t="s">
        <v>115</v>
      </c>
      <c r="D33" s="30">
        <v>0.2</v>
      </c>
      <c r="E33" s="27"/>
      <c r="F33" s="8"/>
      <c r="I33" s="8"/>
      <c r="J33" s="20"/>
    </row>
    <row r="34" spans="1:11" ht="18.75" customHeight="1" x14ac:dyDescent="0.15">
      <c r="A34" s="8"/>
      <c r="B34" s="185" t="s">
        <v>57</v>
      </c>
      <c r="C34" s="185"/>
      <c r="D34" s="185"/>
      <c r="E34" s="185"/>
      <c r="J34" s="20"/>
      <c r="K34" s="12"/>
    </row>
    <row r="35" spans="1:11" ht="180" customHeight="1" x14ac:dyDescent="0.15">
      <c r="A35" s="8"/>
      <c r="B35" s="16"/>
      <c r="C35" s="181" t="s">
        <v>152</v>
      </c>
      <c r="D35" s="182"/>
      <c r="E35" s="183"/>
      <c r="J35" s="20"/>
      <c r="K35" s="12"/>
    </row>
    <row r="36" spans="1:11" ht="7.5" customHeight="1" x14ac:dyDescent="0.15">
      <c r="A36" s="15"/>
      <c r="B36" s="15"/>
      <c r="C36" s="15"/>
      <c r="D36" s="15"/>
      <c r="E36" s="15"/>
    </row>
    <row r="37" spans="1:11" ht="18.75" customHeight="1" x14ac:dyDescent="0.15">
      <c r="A37" s="17" t="s">
        <v>34</v>
      </c>
      <c r="B37" s="148" t="s">
        <v>37</v>
      </c>
      <c r="C37" s="180"/>
      <c r="D37" s="180"/>
      <c r="E37" s="180"/>
    </row>
    <row r="38" spans="1:11" ht="180" customHeight="1" x14ac:dyDescent="0.15">
      <c r="A38" s="18"/>
      <c r="B38" s="16"/>
      <c r="C38" s="181" t="s">
        <v>132</v>
      </c>
      <c r="D38" s="182"/>
      <c r="E38" s="183"/>
    </row>
    <row r="39" spans="1:11" ht="7.5" customHeight="1" x14ac:dyDescent="0.15">
      <c r="A39" s="18"/>
      <c r="B39" s="18"/>
      <c r="C39" s="18"/>
      <c r="D39" s="18"/>
      <c r="E39" s="18"/>
    </row>
    <row r="40" spans="1:11" ht="18.75" customHeight="1" x14ac:dyDescent="0.15">
      <c r="A40" s="8" t="s">
        <v>11</v>
      </c>
      <c r="B40" s="148" t="s">
        <v>39</v>
      </c>
      <c r="C40" s="180"/>
      <c r="D40" s="180"/>
      <c r="E40" s="180"/>
    </row>
    <row r="41" spans="1:11" ht="180" customHeight="1" x14ac:dyDescent="0.15">
      <c r="A41" s="8"/>
      <c r="B41" s="16"/>
      <c r="C41" s="181" t="s">
        <v>172</v>
      </c>
      <c r="D41" s="182"/>
      <c r="E41" s="183"/>
    </row>
    <row r="42" spans="1:11" ht="7.5" customHeight="1" x14ac:dyDescent="0.15">
      <c r="A42" s="18"/>
      <c r="B42" s="18"/>
      <c r="C42" s="18"/>
      <c r="D42" s="18"/>
      <c r="E42" s="18"/>
    </row>
    <row r="43" spans="1:11" ht="18.75" customHeight="1" x14ac:dyDescent="0.15">
      <c r="A43" s="8" t="s">
        <v>42</v>
      </c>
      <c r="B43" s="148" t="s">
        <v>13</v>
      </c>
      <c r="C43" s="180"/>
      <c r="D43" s="180"/>
      <c r="E43" s="180"/>
    </row>
    <row r="44" spans="1:11" ht="180" customHeight="1" x14ac:dyDescent="0.15">
      <c r="A44" s="8"/>
      <c r="B44" s="16"/>
      <c r="C44" s="181" t="s">
        <v>149</v>
      </c>
      <c r="D44" s="182"/>
      <c r="E44" s="183"/>
    </row>
    <row r="45" spans="1:11" ht="7.5" customHeight="1" x14ac:dyDescent="0.15">
      <c r="A45" s="18"/>
      <c r="B45" s="18"/>
      <c r="C45" s="18"/>
      <c r="D45" s="18"/>
      <c r="E45" s="18"/>
    </row>
    <row r="46" spans="1:11" ht="18.75" customHeight="1" x14ac:dyDescent="0.15">
      <c r="A46" s="8" t="s">
        <v>30</v>
      </c>
      <c r="B46" s="148" t="s">
        <v>44</v>
      </c>
      <c r="C46" s="148"/>
      <c r="D46" s="148"/>
      <c r="E46" s="148"/>
    </row>
    <row r="47" spans="1:11" ht="180" customHeight="1" x14ac:dyDescent="0.15">
      <c r="A47" s="18"/>
      <c r="B47" s="16"/>
      <c r="C47" s="181" t="s">
        <v>161</v>
      </c>
      <c r="D47" s="182"/>
      <c r="E47" s="183"/>
    </row>
    <row r="48" spans="1:11" ht="7.5" customHeight="1" x14ac:dyDescent="0.15">
      <c r="A48" s="18"/>
      <c r="B48" s="23"/>
      <c r="C48" s="23"/>
      <c r="D48" s="23"/>
      <c r="E48" s="23"/>
    </row>
    <row r="49" spans="1:5" ht="18.75" customHeight="1" x14ac:dyDescent="0.15">
      <c r="A49" s="8"/>
      <c r="B49" s="184"/>
      <c r="C49" s="184"/>
      <c r="D49" s="184"/>
      <c r="E49" s="184"/>
    </row>
    <row r="50" spans="1:5" ht="18.75" customHeight="1" x14ac:dyDescent="0.15">
      <c r="A50" s="8"/>
      <c r="B50" s="184"/>
      <c r="C50" s="184"/>
      <c r="D50" s="184"/>
      <c r="E50" s="184"/>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 ref="B40:E40"/>
    <mergeCell ref="B43:E43"/>
    <mergeCell ref="C26:E26"/>
    <mergeCell ref="C35:E35"/>
    <mergeCell ref="C38:E38"/>
    <mergeCell ref="C41:E41"/>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tabSelected="1" view="pageBreakPreview" zoomScale="90" zoomScaleNormal="100" zoomScaleSheetLayoutView="90" workbookViewId="0">
      <selection activeCell="D16" sqref="D16"/>
    </sheetView>
  </sheetViews>
  <sheetFormatPr defaultColWidth="11.375" defaultRowHeight="22.5" customHeight="1" x14ac:dyDescent="0.15"/>
  <cols>
    <col min="1" max="1" width="5.875" style="8" customWidth="1"/>
    <col min="2" max="2" width="7.1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58</v>
      </c>
      <c r="E1" s="9" t="s">
        <v>79</v>
      </c>
    </row>
    <row r="2" spans="1:5" ht="18.75" customHeight="1" x14ac:dyDescent="0.15">
      <c r="A2" s="169" t="s">
        <v>28</v>
      </c>
      <c r="B2" s="169"/>
      <c r="C2" s="169"/>
      <c r="D2" s="169"/>
      <c r="E2" s="169"/>
    </row>
    <row r="3" spans="1:5" ht="18.75" customHeight="1" x14ac:dyDescent="0.15">
      <c r="A3" s="11"/>
      <c r="B3" s="11"/>
      <c r="C3" s="11"/>
      <c r="D3" s="11"/>
    </row>
    <row r="4" spans="1:5" ht="18.75" customHeight="1" x14ac:dyDescent="0.15">
      <c r="A4" s="12" t="s">
        <v>0</v>
      </c>
      <c r="B4" s="191" t="s">
        <v>119</v>
      </c>
      <c r="C4" s="191"/>
      <c r="D4" s="106" t="s">
        <v>170</v>
      </c>
    </row>
    <row r="5" spans="1:5" ht="9" customHeight="1" x14ac:dyDescent="0.15">
      <c r="A5" s="11"/>
      <c r="B5" s="10"/>
      <c r="C5" s="10"/>
      <c r="D5" s="10"/>
    </row>
    <row r="6" spans="1:5" ht="18.75" customHeight="1" x14ac:dyDescent="0.15">
      <c r="A6" s="196" t="s">
        <v>41</v>
      </c>
      <c r="B6" s="197"/>
      <c r="C6" s="63" t="s">
        <v>147</v>
      </c>
    </row>
    <row r="7" spans="1:5" ht="18.75" customHeight="1" x14ac:dyDescent="0.15">
      <c r="A7" s="196" t="s">
        <v>10</v>
      </c>
      <c r="B7" s="197"/>
      <c r="C7" s="63" t="s">
        <v>171</v>
      </c>
      <c r="D7" s="10"/>
    </row>
    <row r="8" spans="1:5" ht="7.5" customHeight="1" x14ac:dyDescent="0.15">
      <c r="A8" s="11"/>
      <c r="B8" s="11"/>
      <c r="C8" s="11"/>
      <c r="D8" s="11"/>
    </row>
    <row r="9" spans="1:5" ht="18.75" customHeight="1" x14ac:dyDescent="0.15">
      <c r="A9" s="12" t="s">
        <v>3</v>
      </c>
      <c r="B9" s="8" t="s">
        <v>27</v>
      </c>
      <c r="C9" s="18"/>
      <c r="D9" s="18"/>
    </row>
    <row r="10" spans="1:5" ht="18.75" customHeight="1" x14ac:dyDescent="0.15">
      <c r="B10" s="153" t="s">
        <v>24</v>
      </c>
      <c r="C10" s="195"/>
      <c r="D10" s="31" t="s">
        <v>26</v>
      </c>
    </row>
    <row r="11" spans="1:5" ht="19.350000000000001" customHeight="1" x14ac:dyDescent="0.15">
      <c r="B11" s="198" t="s">
        <v>14</v>
      </c>
      <c r="C11" s="199"/>
      <c r="D11" s="200"/>
    </row>
    <row r="12" spans="1:5" ht="198" customHeight="1" x14ac:dyDescent="0.15">
      <c r="B12" s="33"/>
      <c r="C12" s="34" t="s">
        <v>15</v>
      </c>
      <c r="D12" s="49" t="s">
        <v>150</v>
      </c>
    </row>
    <row r="13" spans="1:5" ht="198" customHeight="1" x14ac:dyDescent="0.15">
      <c r="B13" s="33"/>
      <c r="C13" s="35" t="s">
        <v>16</v>
      </c>
      <c r="D13" s="49" t="s">
        <v>151</v>
      </c>
    </row>
    <row r="14" spans="1:5" ht="198" customHeight="1" x14ac:dyDescent="0.15">
      <c r="B14" s="33"/>
      <c r="C14" s="34" t="s">
        <v>17</v>
      </c>
      <c r="D14" s="49" t="s">
        <v>153</v>
      </c>
    </row>
    <row r="15" spans="1:5" ht="198" customHeight="1" x14ac:dyDescent="0.15">
      <c r="B15" s="33"/>
      <c r="C15" s="34" t="s">
        <v>18</v>
      </c>
      <c r="D15" s="49" t="s">
        <v>160</v>
      </c>
    </row>
    <row r="16" spans="1:5" ht="198" customHeight="1" x14ac:dyDescent="0.15">
      <c r="B16" s="36"/>
      <c r="C16" s="37" t="s">
        <v>19</v>
      </c>
      <c r="D16" s="50" t="s">
        <v>173</v>
      </c>
    </row>
    <row r="17" spans="2:4" ht="19.350000000000001" customHeight="1" x14ac:dyDescent="0.15">
      <c r="B17" s="32" t="s">
        <v>20</v>
      </c>
      <c r="C17" s="38"/>
      <c r="D17" s="129"/>
    </row>
    <row r="18" spans="2:4" ht="198" customHeight="1" x14ac:dyDescent="0.15">
      <c r="B18" s="33"/>
      <c r="C18" s="34" t="s">
        <v>21</v>
      </c>
      <c r="D18" s="49" t="s">
        <v>154</v>
      </c>
    </row>
    <row r="19" spans="2:4" ht="198" customHeight="1" x14ac:dyDescent="0.15">
      <c r="B19" s="36"/>
      <c r="C19" s="37" t="s">
        <v>22</v>
      </c>
      <c r="D19" s="50" t="s">
        <v>156</v>
      </c>
    </row>
    <row r="20" spans="2:4" ht="198" customHeight="1" x14ac:dyDescent="0.15">
      <c r="B20" s="193" t="s">
        <v>23</v>
      </c>
      <c r="C20" s="194"/>
      <c r="D20" s="51" t="s">
        <v>155</v>
      </c>
    </row>
    <row r="21" spans="2:4" ht="198" customHeight="1" x14ac:dyDescent="0.15">
      <c r="B21" s="192" t="s">
        <v>87</v>
      </c>
      <c r="C21" s="190"/>
      <c r="D21" s="52" t="s">
        <v>157</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8"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2025-10-09T06:43:13Z</dcterms:created>
  <dcterms:modified xsi:type="dcterms:W3CDTF">2025-12-03T00:28:49Z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