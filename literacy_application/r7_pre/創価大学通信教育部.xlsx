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870ABAC0-0003-449F-8B91-CA10CFFDF894}" xr6:coauthVersionLast="47" xr6:coauthVersionMax="47" xr10:uidLastSave="{00000000-0000-0000-0000-000000000000}"/>
  <bookViews>
    <workbookView xWindow="-120" yWindow="-120" windowWidth="29040" windowHeight="15720" tabRatio="885" activeTab="3"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<sst xmlns="http://schemas.openxmlformats.org/spreadsheetml/2006/main" count="213" uniqueCount="176">
  <si>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</si>
  <si>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</si>
  <si>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</si>
  <si>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</si>
  <si>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</si>
  <si>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</si>
  <si>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</si>
  <si>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</si>
  <si>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</si>
  <si>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</si>
  <si>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</si>
  <si>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</si>
  <si>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</si>
  <si>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</si>
  <si>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</si>
  <si>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</si>
  <si>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</si>
  <si>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</si>
  <si>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</si>
  <si>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</si>
  <si>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</si>
  <si>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</si>
  <si>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</si>
  <si>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</si>
  <si>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</si>
  <si>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</si>
  <si>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</si>
  <si>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</si>
  <si>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</si>
  <si>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</si>
  <si>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</si>
  <si>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</si>
  <si>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</si>
  <si>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</si>
  <si>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</si>
  <si>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</si>
  <si>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</si>
  <si>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</si>
  <si>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</si>
  <si>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</si>
  <si>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</si>
  <si>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</si>
  <si>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</si>
  <si>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</si>
  <si>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</si>
  <si>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</si>
  <si>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</si>
  <si>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</si>
  <si>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</si>
  <si>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</si>
  <si>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</si>
  <si>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</si>
  <si>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</si>
  <si>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</si>
  <si>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</si>
  <si>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</si>
  <si>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</si>
  <si>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</si>
  <si>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</si>
  <si>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</si>
  <si>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</si>
  <si>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</si>
  <si>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</si>
  <si>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</si>
  <si>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</si>
  <si>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</si>
  <si>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</si>
  <si>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</si>
  <si>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</si>
  <si>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</si>
  <si>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</si>
  <si>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</si>
  <si>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</si>
  <si>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</si>
  <si>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</si>
  <si>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</si>
  <si>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</si>
  <si>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</si>
  <si>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</si>
  <si>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</si>
  <si>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</si>
  <si>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</si>
  <si>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</si>
  <si>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</si>
  <si>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</si>
  <si>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</si>
  <si>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</si>
  <si>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</si>
  <si>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</si>
  <si>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</si>
  <si>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</si>
  <si>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</si>
  <si>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</si>
  <si>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</si>
  <si>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</si>
  <si>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</si>
  <si>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</si>
  <si>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</si>
  <si>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</si>
  <si>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</si>
  <si>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</si>
  <si>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</si>
  <si>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</si>
  <si>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</si>
  <si>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</si>
  <si>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</si>
  <si>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</si>
  <si>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</si>
  <si>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</si>
  <si>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</si>
  <si>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</si>
  <si>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</si>
  <si>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</si>
  <si>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</si>
  <si>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</si>
  <si>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</si>
  <si>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</si>
  <si>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</si>
  <si>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</si>
  <si>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</si>
  <si>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</si>
  <si>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</si>
  <si>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</si>
  <si>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</si>
  <si>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</si>
  <si>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</si>
  <si>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</si>
  <si>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</si>
  <si>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</si>
  <si>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データサイエンス入門</t>
    <rPh sb="8" eb="10">
      <t>ニュウモン</t>
    </rPh>
    <phoneticPr fontId="1"/>
  </si>
  <si>
    <t>学部・学科によって、修了要件は相違しない</t>
  </si>
  <si>
    <t>データサイエンス入門Ⅰ</t>
    <rPh sb="8" eb="10">
      <t>ニュウモン</t>
    </rPh>
    <phoneticPr fontId="1"/>
  </si>
  <si>
    <t>データサイエンス入門Ⅱ</t>
    <rPh sb="8" eb="10">
      <t>ニュウモン</t>
    </rPh>
    <phoneticPr fontId="1"/>
  </si>
  <si>
    <t>令和７</t>
    <rPh sb="0" eb="2">
      <t>レイワ</t>
    </rPh>
    <phoneticPr fontId="1"/>
  </si>
  <si>
    <t>法学部</t>
    <rPh sb="0" eb="3">
      <t>ホウガクブ</t>
    </rPh>
    <phoneticPr fontId="1"/>
  </si>
  <si>
    <t>経済学部</t>
    <rPh sb="0" eb="2">
      <t>ケイザイ</t>
    </rPh>
    <rPh sb="2" eb="4">
      <t>ガクブ</t>
    </rPh>
    <phoneticPr fontId="1"/>
  </si>
  <si>
    <t>文学部</t>
    <rPh sb="0" eb="3">
      <t>ブンガクブ</t>
    </rPh>
    <phoneticPr fontId="1"/>
  </si>
  <si>
    <t>教育学部</t>
    <rPh sb="0" eb="2">
      <t>キョウイク</t>
    </rPh>
    <rPh sb="2" eb="4">
      <t>ガクブ</t>
    </rPh>
    <phoneticPr fontId="1"/>
  </si>
  <si>
    <t>令和６年度以前又は令和７年度より、履修することが必須のプログラムとして実施</t>
  </si>
  <si>
    <t>○</t>
  </si>
  <si>
    <t>・ビッグデータ、IoT、AI、生成AI、ロボット「データサイエンス入門Ⅰ」
・データ量の増加、計算機の処理性能の向上、AIの非連続的進化「データサイエンス入門Ⅰ」
・第4次産業革命、Society 5.0、データ駆動型社会「データサイエンス入門Ⅰ」
・複数技術を組み合わせたAIサービス「データサイエンス入門Ⅰ」
・人間の知的活動とAIの関係性「データサイエンス入門Ⅰ」
・データを起点としたものの見方、人間の知的活動を起点としたものの見方「データサイエンス入門Ⅰ」</t>
    <rPh sb="33" eb="35">
      <t>ニュウモン</t>
    </rPh>
    <phoneticPr fontId="1"/>
  </si>
  <si>
    <t>・AI最新技術の活用例（深層生成モデル、強化学習、転移学習、生成AIなど）「データサイエンス入門Ⅰ」
・AI等を活用した新しいビジネスモデル(シェアリングエコノミー、商品のレコメンデーションなど)「データサイエンス入門Ⅰ」
・基盤モデル、大規模言語モデル、拡散モデル「データサイエンス入門Ⅰ」</t>
    <phoneticPr fontId="1"/>
  </si>
  <si>
    <t>・調査データ、実験データ、人の行動ログデータ、機械の稼働ログデータなど「データサイエンス入門Ⅰ」
・1次データ、2次データ、データのメタ化「データサイエンス入門Ⅰ」
・構造化データ、非構造化データ（文章、画像/動画、音声/音楽など）「データサイエンス入門Ⅰ」
・データ作成（ビッグデータとアノテーション）「データサイエンス入門Ⅰ」
・データのオープン化（オープンデータ）「データサイエンス入門Ⅰ」</t>
    <phoneticPr fontId="1"/>
  </si>
  <si>
    <t>・データ・AI活用領域の広がり(生産、消費、文化活動など)「データサイエンス入門Ⅰ」
・研究開発、調達、製造、物流、販売、マーケティング、サービスなど「データサイエンス入門Ⅰ」
・仮説検証、知識発見、原因究明、計画策定、判断支援、活動代替、新規生成など「データサイエンス入門Ⅰ」
・対話、コンテンツ生成、翻訳・要約・執筆支援、コーディング支援など生成AIの応用「データサイエンス入門Ⅰ」</t>
    <phoneticPr fontId="1"/>
  </si>
  <si>
    <t>・データ解析：予測、グルーピング、パターン発見、最適化、モデル化とシミュレーション・データ同化など「データサイエンス入門Ⅰ」
・データ可視化：複合グラフ、2軸グラフ、多次元の可視化、関係性の可視化、地図上の可視化、
挙動・軌跡の可視化、リアルタイム可視化など「データサイエンス入門Ⅰ」
・非構造化データ処理：言語処理、画像/動画処理、音声/音楽処理など「データサイエンス入門Ⅰ」
・特化型AIと汎用AI、今のAIで出来ることと出来ないこと、AIとビッグデータ「データサイエンス入門Ⅰ」
・認識技術、ルールベース、自動化技術「データサイエンス入門Ⅰ」
・マルチモーダル（言語、画像、音声など）、生成AIの活用（プロンプトエンジニアリング）「データサイエンス入門Ⅰ」</t>
    <phoneticPr fontId="1"/>
  </si>
  <si>
    <t>・データサイエンスのサイクル（課題抽出と定式化、データの取得・管理・加工、
探索的データ解析、データ解析と推論、結果の共有・伝達、課題解決に向けた提案）「データサイエンス入門Ⅰ」
・教育、芸術、流通、製造、金融、サービス、インフラ、公共、ヘルスケア等におけるデータ・AI利活用事例紹介「データサイエンス入門Ⅰ」</t>
    <phoneticPr fontId="1"/>
  </si>
  <si>
    <t>・倫理的・法的・社会的課題（ELSI：Ethical, Legal and Social Issues）「データサイエンス入門Ⅰ」
・個人情報保護、EU一般データ保護規則(GDPR)、忘れられる権利、オプトアウト「データサイエンス入門Ⅰ」
・データ倫理：データのねつ造、改ざん、盗用、プライバシー保護「データサイエンス入門Ⅰ」
・AI社会原則（公平性、説明責任、透明性、人間中心の判断）「データサイエンス入門Ⅰ」
・データバイアス、アルゴリズムバイアス「データサイエンス入門Ⅰ」
・AIサービスの責任論「データサイエンス入門Ⅰ」
・データガバナンス「データサイエンス入門Ⅰ」
・データ・AI活用における負の事例紹介「データサイエンス入門Ⅰ」
・生成AIの留意事項（ハルシネーションによる誤情報の生成、偽情報や有害コンテンツの生成・
氾濫など）「データサイエンス入門Ⅰ」</t>
    <phoneticPr fontId="1"/>
  </si>
  <si>
    <t>・情報セキュリティの3要素（機密性、完全性、可用性）「データサイエンス入門Ⅰ」
・匿名加工情報、暗号化と復号、ユーザ認証と、パスワード、アクセス制御、悪意ある情報搾
取「データサイエンス入門Ⅰ」
・サイバーセキュリティ「データサイエンス入門Ⅰ」</t>
    <phoneticPr fontId="1"/>
  </si>
  <si>
    <t>・データの種類（量的変数、質的変数）「データサイエンス入門Ⅱ」
・データの分布(ヒストグラム)と代表値（平均値、中央値、最頻値）「データサイエンス入門Ⅱ」
・代表値の性質の違い（実社会では平均値＝最頻値でないことが多い）「データサイエンス入門Ⅱ」
・データのばらつき（分散、標準偏差、偏差値）、外れ値「データサイエンス入門Ⅱ」
・相関と因果（相関係数、擬似相関、交絡）「データサイエンス入門Ⅱ」
・観測データに含まれる誤差の扱い「データサイエンス入門Ⅱ」
・打ち切りや欠測を含むデータ、層別の必要なデータ「データサイエンス入門Ⅱ」
・母集団と標本抽出（国勢調査、アンケート調査、全数調査、単純無作為抽出、層別抽出、多段抽出）「データサイエンス入門Ⅱ」
・クロス集計表、分割表、相関係数行列、散布図行列「データサイエンス入門Ⅱ」
・統計情報の正しい理解（誇張表現に惑わされない）「データサイエンス入門Ⅱ」</t>
    <phoneticPr fontId="1"/>
  </si>
  <si>
    <t>・データ表現（棒グラフ、折線グラフ、散布図、ヒートマップ、箱ひげ図）「データサイエンス入門Ⅱ」
・データの比較（条件をそろえた比較、処理の前後での比較、A/Bテスト)「データサイエンス入門Ⅱ」
・不適切なグラフ表現（チャートジャンク、不必要な視覚的要素）「データサイエンス入門Ⅱ」</t>
    <phoneticPr fontId="1"/>
  </si>
  <si>
    <t>・データの取得（機械判読可能なデータの作成・表記方法）「データサイエンス入門Ⅱ」
・データの集計（和、平均）「データサイエンス入門Ⅱ」</t>
    <phoneticPr fontId="1"/>
  </si>
  <si>
    <t>プログラムを構成する2科目はオンデマンド形式で実施する科目となっており、履修者は随時、学生用のポータルサイトから担当教員に質問を行えるようになっている。</t>
    <rPh sb="6" eb="8">
      <t>コウセイ</t>
    </rPh>
    <rPh sb="11" eb="13">
      <t>カモク</t>
    </rPh>
    <rPh sb="20" eb="22">
      <t>ケイシキ</t>
    </rPh>
    <rPh sb="23" eb="25">
      <t>ジッシ</t>
    </rPh>
    <rPh sb="27" eb="29">
      <t>カモク</t>
    </rPh>
    <rPh sb="36" eb="38">
      <t>リシュウ</t>
    </rPh>
    <rPh sb="38" eb="39">
      <t>シャ</t>
    </rPh>
    <rPh sb="40" eb="42">
      <t>ズイジ</t>
    </rPh>
    <rPh sb="43" eb="46">
      <t>ガクセイヨウ</t>
    </rPh>
    <rPh sb="56" eb="60">
      <t>タントウキョウイン</t>
    </rPh>
    <rPh sb="61" eb="63">
      <t>シツモン</t>
    </rPh>
    <rPh sb="64" eb="65">
      <t>オコナ</t>
    </rPh>
    <phoneticPr fontId="1"/>
  </si>
  <si>
    <t>各科目のオンデマンド授業の終了後に授業アンケートを実施しており、今後の自己点検・評価に活用する。</t>
    <rPh sb="0" eb="3">
      <t>カクカモク</t>
    </rPh>
    <rPh sb="10" eb="12">
      <t>ジュギョウ</t>
    </rPh>
    <rPh sb="13" eb="16">
      <t>シュウリョウゴ</t>
    </rPh>
    <rPh sb="17" eb="19">
      <t>ジュギョウ</t>
    </rPh>
    <rPh sb="25" eb="27">
      <t>ジッシ</t>
    </rPh>
    <rPh sb="32" eb="34">
      <t>コンゴ</t>
    </rPh>
    <rPh sb="35" eb="39">
      <t>ジコテンケン</t>
    </rPh>
    <rPh sb="40" eb="42">
      <t>ヒョウカ</t>
    </rPh>
    <rPh sb="43" eb="45">
      <t>カツヨウ</t>
    </rPh>
    <phoneticPr fontId="1"/>
  </si>
  <si>
    <t>プログラム修了者のうち、卒業生に対してアンケートを実施し、今後の自己点検・評価に活用する。</t>
    <rPh sb="12" eb="14">
      <t>ソツギョウ</t>
    </rPh>
    <rPh sb="14" eb="15">
      <t>セイ</t>
    </rPh>
    <rPh sb="16" eb="17">
      <t>タイ</t>
    </rPh>
    <phoneticPr fontId="1"/>
  </si>
  <si>
    <t>2026年度以降、毎年1回、前年度のプログラムの履修・修得状況を報告し、その評価結果をプログラムの改善にフィードバックする。</t>
    <rPh sb="4" eb="8">
      <t>ネンドイコウ</t>
    </rPh>
    <rPh sb="9" eb="11">
      <t>マイトシ</t>
    </rPh>
    <rPh sb="12" eb="13">
      <t>カイ</t>
    </rPh>
    <rPh sb="14" eb="17">
      <t>ゼンネンド</t>
    </rPh>
    <rPh sb="24" eb="26">
      <t>リシュウ</t>
    </rPh>
    <rPh sb="27" eb="31">
      <t>シュウトクジョウキョウ</t>
    </rPh>
    <rPh sb="32" eb="34">
      <t>ホウコク</t>
    </rPh>
    <rPh sb="38" eb="42">
      <t>ヒョウカケッカ</t>
    </rPh>
    <rPh sb="49" eb="51">
      <t>カイゼン</t>
    </rPh>
    <phoneticPr fontId="1"/>
  </si>
  <si>
    <t>通信教育の特性を生かして、事前収録の動画等を活用したオンデマンド形式のメディア授業で実施しており、より多くの学生が受講できるようにしている。</t>
    <rPh sb="0" eb="4">
      <t>ツウシンキョウイク</t>
    </rPh>
    <rPh sb="5" eb="7">
      <t>トクセイ</t>
    </rPh>
    <rPh sb="8" eb="9">
      <t>イ</t>
    </rPh>
    <rPh sb="13" eb="17">
      <t>ジゼンシュウロク</t>
    </rPh>
    <rPh sb="18" eb="20">
      <t>ドウガ</t>
    </rPh>
    <rPh sb="20" eb="21">
      <t>トウ</t>
    </rPh>
    <rPh sb="22" eb="24">
      <t>カツヨウ</t>
    </rPh>
    <rPh sb="32" eb="34">
      <t>ケイシキ</t>
    </rPh>
    <rPh sb="39" eb="41">
      <t>ジュギョウ</t>
    </rPh>
    <rPh sb="42" eb="44">
      <t>ジッシ</t>
    </rPh>
    <rPh sb="51" eb="52">
      <t>オオ</t>
    </rPh>
    <rPh sb="54" eb="56">
      <t>ガクセイ</t>
    </rPh>
    <rPh sb="57" eb="59">
      <t>ジュコウ</t>
    </rPh>
    <phoneticPr fontId="1"/>
  </si>
  <si>
    <t>パソコンやExcelなどの操作方法が不明な場合に、電話でサポートを受けられるICTサポートデスクを整備している。また、在学期間中は学生にMicrosoft Office 365のライセンスを付与しており、追加の費用負担なくExcelを利用できるようにしている。</t>
    <rPh sb="13" eb="17">
      <t>ソウサホウホウ</t>
    </rPh>
    <rPh sb="18" eb="20">
      <t>フメイ</t>
    </rPh>
    <rPh sb="21" eb="23">
      <t>バアイ</t>
    </rPh>
    <rPh sb="25" eb="27">
      <t>デンワ</t>
    </rPh>
    <rPh sb="33" eb="34">
      <t>ウ</t>
    </rPh>
    <rPh sb="49" eb="51">
      <t>セイビ</t>
    </rPh>
    <rPh sb="59" eb="61">
      <t>ザイガク</t>
    </rPh>
    <rPh sb="61" eb="63">
      <t>キカン</t>
    </rPh>
    <rPh sb="63" eb="64">
      <t>チュウ</t>
    </rPh>
    <rPh sb="65" eb="67">
      <t>ガクセイ</t>
    </rPh>
    <rPh sb="95" eb="97">
      <t>フヨ</t>
    </rPh>
    <rPh sb="117" eb="119">
      <t>リヨウ</t>
    </rPh>
    <phoneticPr fontId="1"/>
  </si>
  <si>
    <t>データサイエンス教育推進センター長</t>
    <rPh sb="8" eb="12">
      <t>キョウイクスイシン</t>
    </rPh>
    <rPh sb="16" eb="17">
      <t>チョウ</t>
    </rPh>
    <phoneticPr fontId="1"/>
  </si>
  <si>
    <t>浅井　学</t>
    <rPh sb="0" eb="2">
      <t>アサイ</t>
    </rPh>
    <rPh sb="3" eb="4">
      <t>マナ</t>
    </rPh>
    <phoneticPr fontId="1"/>
  </si>
  <si>
    <t>データサイエンス教育推進センター規程</t>
    <rPh sb="16" eb="18">
      <t>キテイ</t>
    </rPh>
    <phoneticPr fontId="1"/>
  </si>
  <si>
    <t>プログラム修了者に推奨度アンケートを実施し、今後の自己点検・評価に活用する。</t>
    <rPh sb="5" eb="8">
      <t>シュウリョウシャ</t>
    </rPh>
    <rPh sb="9" eb="12">
      <t>スイショウド</t>
    </rPh>
    <rPh sb="18" eb="20">
      <t>ジッシ</t>
    </rPh>
    <phoneticPr fontId="1"/>
  </si>
  <si>
    <t>データサイエンス教育推進センター</t>
    <rPh sb="8" eb="12">
      <t>キョウイクスイシン</t>
    </rPh>
    <phoneticPr fontId="1"/>
  </si>
  <si>
    <t>データサイエンス教育推進センター長</t>
    <rPh sb="8" eb="10">
      <t>キョウイク</t>
    </rPh>
    <rPh sb="10" eb="12">
      <t>スイシン</t>
    </rPh>
    <rPh sb="16" eb="17">
      <t>チョウ</t>
    </rPh>
    <phoneticPr fontId="1"/>
  </si>
  <si>
    <t>プログラム修了者に到達目標に対する達成実感に関するアンケートを実施し、評価のための参考資料とする。</t>
    <rPh sb="9" eb="13">
      <t>トウタツモクヒョウ</t>
    </rPh>
    <rPh sb="14" eb="15">
      <t>タイ</t>
    </rPh>
    <rPh sb="17" eb="21">
      <t>タッセイジッカン</t>
    </rPh>
    <rPh sb="22" eb="23">
      <t>カン</t>
    </rPh>
    <rPh sb="31" eb="33">
      <t>ジッシ</t>
    </rPh>
    <rPh sb="35" eb="37">
      <t>ヒョウカ</t>
    </rPh>
    <rPh sb="41" eb="45">
      <t>サンコウシリョウ</t>
    </rPh>
    <phoneticPr fontId="1"/>
  </si>
  <si>
    <t>通信教育は3年次編入生が多く、データサイエンス入門Ⅰが必修でないために本プログラムを履修しない学生が一定数いることを踏まえつつ、本申請書様式３の、履修者数・履修率の向上に向けた計画と実際の状況を比較し、改善に向けて検討する。</t>
    <rPh sb="0" eb="4">
      <t>ツウシンキョウイク</t>
    </rPh>
    <rPh sb="6" eb="11">
      <t>ネンジヘンニュウセイ</t>
    </rPh>
    <rPh sb="12" eb="13">
      <t>オオ</t>
    </rPh>
    <rPh sb="23" eb="25">
      <t>ニュウモン</t>
    </rPh>
    <rPh sb="27" eb="29">
      <t>ヒッシュウ</t>
    </rPh>
    <rPh sb="35" eb="36">
      <t>ホン</t>
    </rPh>
    <rPh sb="42" eb="44">
      <t>リシュウ</t>
    </rPh>
    <rPh sb="47" eb="49">
      <t>ガクセイ</t>
    </rPh>
    <rPh sb="50" eb="53">
      <t>イッテイスウ</t>
    </rPh>
    <rPh sb="58" eb="59">
      <t>フ</t>
    </rPh>
    <rPh sb="64" eb="68">
      <t>ホンシンセイショ</t>
    </rPh>
    <rPh sb="68" eb="70">
      <t>ヨウシキ</t>
    </rPh>
    <rPh sb="73" eb="77">
      <t>リシュウシャスウ</t>
    </rPh>
    <rPh sb="78" eb="81">
      <t>リシュウリツ</t>
    </rPh>
    <rPh sb="82" eb="84">
      <t>コウジョウ</t>
    </rPh>
    <rPh sb="85" eb="86">
      <t>ム</t>
    </rPh>
    <rPh sb="88" eb="90">
      <t>ケイカク</t>
    </rPh>
    <rPh sb="91" eb="93">
      <t>ジッサイ</t>
    </rPh>
    <rPh sb="94" eb="96">
      <t>ジョウキョウ</t>
    </rPh>
    <rPh sb="97" eb="99">
      <t>ヒカク</t>
    </rPh>
    <rPh sb="101" eb="103">
      <t>カイゼン</t>
    </rPh>
    <rPh sb="104" eb="105">
      <t>ム</t>
    </rPh>
    <rPh sb="107" eb="109">
      <t>ケントウ</t>
    </rPh>
    <phoneticPr fontId="1"/>
  </si>
  <si>
    <t>授業アンケートに授業内容の満足度、理解度、改善点に関する自由記述の項目を設けており、その回答内容を踏まえて改善を図る。</t>
    <rPh sb="0" eb="2">
      <t>ジュギョウ</t>
    </rPh>
    <rPh sb="8" eb="12">
      <t>ジュギョウナイヨウ</t>
    </rPh>
    <rPh sb="13" eb="16">
      <t>マンゾクド</t>
    </rPh>
    <rPh sb="17" eb="20">
      <t>リカイド</t>
    </rPh>
    <rPh sb="21" eb="24">
      <t>カイゼンテン</t>
    </rPh>
    <rPh sb="25" eb="26">
      <t>カン</t>
    </rPh>
    <rPh sb="28" eb="32">
      <t>ジユウキジュツ</t>
    </rPh>
    <rPh sb="33" eb="35">
      <t>コウモク</t>
    </rPh>
    <rPh sb="36" eb="37">
      <t>モウ</t>
    </rPh>
    <rPh sb="44" eb="48">
      <t>カイトウナイヨウ</t>
    </rPh>
    <rPh sb="49" eb="50">
      <t>フ</t>
    </rPh>
    <rPh sb="53" eb="55">
      <t>カイゼン</t>
    </rPh>
    <rPh sb="56" eb="57">
      <t>ハカ</t>
    </rPh>
    <phoneticPr fontId="1"/>
  </si>
  <si>
    <t>データサイエンス教育推進センター</t>
    <phoneticPr fontId="1"/>
  </si>
  <si>
    <t>・データ・AIが現代社会にどのような影響を与えているかを認識し、説明できる（1-1、1-2、1-3、1-4、1-5、1-6）
・目的に応じ、適切な記述統計量を選択・算出し、説明できる（2-1、2-2、2-3）
・不適切に作成された数字やグラフに惑わされずに、適切に解釈できる（2-1、2-2）
・データの特徴を把握し、解決すべき問題を発見し、定義できる（2-1）
・データや数字からわかることとわからないことを峻別できる（2-1、2-2）
・データ・AIに関する倫理的・法的・文化的な観点について認識し、説明できる（3-1）
・倫理的、法的、社会的な議論において、多様な考えを相対化し、自分の主張を位置付けることができる（3-1、3-2）
※（　）内はモデルカリキュラムとの対応を示している</t>
    <rPh sb="324" eb="325">
      <t>ナイ</t>
    </rPh>
    <rPh sb="337" eb="339">
      <t>タイオウ</t>
    </rPh>
    <rPh sb="340" eb="341">
      <t>シメ</t>
    </rPh>
    <phoneticPr fontId="1"/>
  </si>
  <si>
    <t>創価大学　通信教育部</t>
    <rPh sb="0" eb="4">
      <t>ソウカダイガク</t>
    </rPh>
    <rPh sb="5" eb="10">
      <t>ツウシンキョウイクブ</t>
    </rPh>
    <phoneticPr fontId="1"/>
  </si>
  <si>
    <t>学生が履修登録や普段の学習を行うポータルサイト等にて、プログラムの周知を行う予定である。
またプログラムを構成する科目のうち、データサイエンス入門Ⅰを通信教育部の１年次入学生は全学部必修としており、プログラム履修率の向上につなげている。</t>
    <rPh sb="0" eb="2">
      <t>ガクセイ</t>
    </rPh>
    <rPh sb="3" eb="7">
      <t>リシュウトウロク</t>
    </rPh>
    <rPh sb="8" eb="10">
      <t>フダン</t>
    </rPh>
    <rPh sb="11" eb="13">
      <t>ガクシュウ</t>
    </rPh>
    <rPh sb="14" eb="15">
      <t>オコナ</t>
    </rPh>
    <rPh sb="23" eb="24">
      <t>トウ</t>
    </rPh>
    <rPh sb="33" eb="35">
      <t>シュウチ</t>
    </rPh>
    <rPh sb="36" eb="37">
      <t>オコナ</t>
    </rPh>
    <rPh sb="38" eb="40">
      <t>ヨテイ</t>
    </rPh>
    <rPh sb="75" eb="80">
      <t>ツウシンキョウイクブ</t>
    </rPh>
    <rPh sb="104" eb="107">
      <t>リシュウリツ</t>
    </rPh>
    <rPh sb="108" eb="110">
      <t>コウジョウ</t>
    </rPh>
    <phoneticPr fontId="1"/>
  </si>
  <si>
    <t>授業内容は通学課程の「データサイエンス入門」に相当するものとなっており、通学課程に寄せられた意見を、通信教育部にも並行して展開する。</t>
    <rPh sb="0" eb="4">
      <t>ジュギョウナイヨウ</t>
    </rPh>
    <rPh sb="5" eb="9">
      <t>ツウガクカテイ</t>
    </rPh>
    <rPh sb="19" eb="21">
      <t>ニュウモン</t>
    </rPh>
    <rPh sb="23" eb="25">
      <t>ソウトウ</t>
    </rPh>
    <rPh sb="36" eb="40">
      <t>ツウガクカテイ</t>
    </rPh>
    <rPh sb="41" eb="42">
      <t>ヨ</t>
    </rPh>
    <rPh sb="46" eb="48">
      <t>イケン</t>
    </rPh>
    <rPh sb="50" eb="55">
      <t>ツウシンキョウイクブ</t>
    </rPh>
    <rPh sb="57" eb="59">
      <t>ヘイコウ</t>
    </rPh>
    <rPh sb="61" eb="63">
      <t>テンカイ</t>
    </rPh>
    <phoneticPr fontId="1"/>
  </si>
  <si>
    <t>授業アンケートに授業内容の満足度、理解度、改善点に関する自由記述の項目を設けており、その回答内容を踏まえて改善を図る。
また授業内容は通学課程の「データサイエンス入門」に相当するものとなっており、通学課程における授業改善の内容も、通信教育部にも並行して展開する。</t>
    <rPh sb="106" eb="110">
      <t>ジュギョウカイゼン</t>
    </rPh>
    <rPh sb="111" eb="113">
      <t>ナイヨウ</t>
    </rPh>
    <rPh sb="115" eb="120">
      <t>ツウシンキョウイクブ</t>
    </rPh>
    <phoneticPr fontId="1"/>
  </si>
  <si>
    <t>データサイエンス入門Ⅰ（1単位）とデータサイエンス入門Ⅱ（1単位）の2科目を修得すること</t>
    <rPh sb="8" eb="10">
      <t>ニュウモン</t>
    </rPh>
    <rPh sb="13" eb="15">
      <t>タンイ</t>
    </rPh>
    <rPh sb="25" eb="27">
      <t>ニュウモン</t>
    </rPh>
    <rPh sb="30" eb="32">
      <t>タンイ</t>
    </rPh>
    <rPh sb="35" eb="37">
      <t>カモク</t>
    </rPh>
    <rPh sb="38" eb="40">
      <t>シュウトク</t>
    </rPh>
    <phoneticPr fontId="1"/>
  </si>
  <si>
    <t>創価大学における数理・データサイエンス分野の教育をより一層充実させることで、数理・データサイエンス・AIのスキルを用いて、社会の諸問題の解決に貢献し、データから価値を創造する人材育成の支援 を目的としてセンターを設置。本センターではデータサイエンス副専攻を含む本学の数理・データサイエンス教育分野の授業科目ならびに教育プログラムの点検、評価、改善・充実とその支援に取り組んでいる。</t>
    <phoneticPr fontId="1"/>
  </si>
  <si>
    <t>データサイエンス教育推進センター長　浅井学（経済学部経済学科　教授）
経済学研究科経済学専攻　教授　久保川達也
糖鎖生命システム融合研究所　教授　篠宮紀彦
糖鎖生命システム融合研究所　准教授　藤原和夫
理工学部共生創造理工学科　准教授　久米川宣一
理工学部情報システム工学科　准教授　笠松大佑
経営学部経営学科　教授　望月雅光
教育学部教育学科　教授　舟生日出男
文学部人間学科　教授　小林和夫
学士課程教育機構　講師　服部南見
経済学部経済学科　教授　西田哲史
教務部　部長　杉本政人
総合学習支援オフィス学習支援課　課長　斎藤康夫
総合学習支援オフィス学習支援課　係長　森原亨
通信教育部事務室教務課　副課長　実政光久</t>
    <rPh sb="8" eb="12">
      <t>キョウイクスイシン</t>
    </rPh>
    <rPh sb="16" eb="17">
      <t>チョウ</t>
    </rPh>
    <rPh sb="18" eb="21">
      <t>アサイマナブ</t>
    </rPh>
    <rPh sb="35" eb="41">
      <t>ケイザイガクケンキュウカ</t>
    </rPh>
    <rPh sb="41" eb="46">
      <t>ケイザイガクセンコウ</t>
    </rPh>
    <rPh sb="47" eb="49">
      <t>キョウジュ</t>
    </rPh>
    <rPh sb="50" eb="55">
      <t>クボカワタツヤ</t>
    </rPh>
    <rPh sb="56" eb="58">
      <t>トウサ</t>
    </rPh>
    <rPh sb="58" eb="60">
      <t>セイメイ</t>
    </rPh>
    <rPh sb="64" eb="69">
      <t>ユウゴウケンキュウショ</t>
    </rPh>
    <rPh sb="70" eb="72">
      <t>キョウジュ</t>
    </rPh>
    <rPh sb="78" eb="82">
      <t>トウサセイメイ</t>
    </rPh>
    <rPh sb="86" eb="91">
      <t>ユウゴウケンキュウショ</t>
    </rPh>
    <rPh sb="92" eb="95">
      <t>ジュンキョウジュ</t>
    </rPh>
    <rPh sb="96" eb="100">
      <t>フジワラカズオ</t>
    </rPh>
    <rPh sb="101" eb="113">
      <t>リコウガクブキョウセイソウゾウリコウガッカ</t>
    </rPh>
    <rPh sb="114" eb="117">
      <t>ジュンキョウジュ</t>
    </rPh>
    <rPh sb="134" eb="137">
      <t>コウガクカ</t>
    </rPh>
    <rPh sb="138" eb="141">
      <t>ジュンキョウジュ</t>
    </rPh>
    <rPh sb="147" eb="155">
      <t>ケイエイガクブケイエイガッカ</t>
    </rPh>
    <rPh sb="156" eb="158">
      <t>キョウジュ</t>
    </rPh>
    <rPh sb="159" eb="163">
      <t>モチヅキマサミツ</t>
    </rPh>
    <rPh sb="164" eb="172">
      <t>キョウイクガクブキョウイクガッカ</t>
    </rPh>
    <rPh sb="176" eb="178">
      <t>フナオイ</t>
    </rPh>
    <rPh sb="182" eb="189">
      <t>ブンガクブニンゲンガッカ</t>
    </rPh>
    <rPh sb="190" eb="192">
      <t>キョウジュ</t>
    </rPh>
    <rPh sb="193" eb="197">
      <t>コバヤシカズオ</t>
    </rPh>
    <rPh sb="198" eb="206">
      <t>ガクシカテイキョウイクキコウ</t>
    </rPh>
    <rPh sb="207" eb="209">
      <t>コウシ</t>
    </rPh>
    <rPh sb="215" eb="223">
      <t>ケイザイガクブケイザイガッカ</t>
    </rPh>
    <rPh sb="224" eb="226">
      <t>キョウジュ</t>
    </rPh>
    <rPh sb="227" eb="229">
      <t>ニシダ</t>
    </rPh>
    <rPh sb="229" eb="231">
      <t>テツシ</t>
    </rPh>
    <rPh sb="232" eb="235">
      <t>キョウムブ</t>
    </rPh>
    <rPh sb="236" eb="238">
      <t>ブチョウ</t>
    </rPh>
    <rPh sb="239" eb="241">
      <t>スギモト</t>
    </rPh>
    <rPh sb="241" eb="243">
      <t>マサト</t>
    </rPh>
    <rPh sb="244" eb="250">
      <t>ソウゴウガクシュウシエン</t>
    </rPh>
    <rPh sb="254" eb="259">
      <t>ガクシュウシエンカ</t>
    </rPh>
    <rPh sb="260" eb="262">
      <t>カチョウ</t>
    </rPh>
    <rPh sb="263" eb="265">
      <t>サイトウ</t>
    </rPh>
    <rPh sb="265" eb="267">
      <t>ヤスオ</t>
    </rPh>
    <rPh sb="268" eb="274">
      <t>ソウゴウガクシュウシエン</t>
    </rPh>
    <rPh sb="278" eb="283">
      <t>ガクシュウシエンカ</t>
    </rPh>
    <rPh sb="284" eb="286">
      <t>カカリチョウ</t>
    </rPh>
    <rPh sb="287" eb="289">
      <t>モリハラ</t>
    </rPh>
    <rPh sb="289" eb="290">
      <t>トオル</t>
    </rPh>
    <phoneticPr fontId="1"/>
  </si>
  <si>
    <t>2024年度から、プログラムを構成する科目のうちデータサイエンス入門Ⅰを通信教育部の１年次入学生は全学部必修としており、履修率の向上につなげている。
なお通信教育課程においては、収容定員の充足率自体が低く、例年程度の入学者数を前提とした場合、本制度における履修率（履修者数/収容定員数）は13%程度となると見込まれる。</t>
    <rPh sb="4" eb="6">
      <t>ネンド</t>
    </rPh>
    <rPh sb="36" eb="41">
      <t>ツウシンキョウイクブ</t>
    </rPh>
    <rPh sb="60" eb="63">
      <t>リシュウリツ</t>
    </rPh>
    <rPh sb="64" eb="66">
      <t>コウジョウ</t>
    </rPh>
    <rPh sb="77" eb="83">
      <t>ツウシンキョウイクカテイ</t>
    </rPh>
    <rPh sb="89" eb="93">
      <t>シュウヨウテイイン</t>
    </rPh>
    <rPh sb="94" eb="99">
      <t>ジュウソクリツジタイ</t>
    </rPh>
    <rPh sb="100" eb="101">
      <t>ヒク</t>
    </rPh>
    <rPh sb="103" eb="105">
      <t>レイネン</t>
    </rPh>
    <rPh sb="105" eb="107">
      <t>テイド</t>
    </rPh>
    <rPh sb="108" eb="112">
      <t>ニュウガクシャスウ</t>
    </rPh>
    <rPh sb="113" eb="115">
      <t>ゼンテイ</t>
    </rPh>
    <rPh sb="118" eb="120">
      <t>バアイ</t>
    </rPh>
    <rPh sb="121" eb="124">
      <t>ホンセイド</t>
    </rPh>
    <rPh sb="128" eb="131">
      <t>リシュウリツ</t>
    </rPh>
    <rPh sb="132" eb="136">
      <t>リシュウシャスウ</t>
    </rPh>
    <rPh sb="137" eb="142">
      <t>シュウヨウテイインスウ</t>
    </rPh>
    <rPh sb="147" eb="149">
      <t>テイド</t>
    </rPh>
    <rPh sb="153" eb="155">
      <t>ミコ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</si>
</sst>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6">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44" xfId="0" applyFont="1" applyFill="1" applyBorder="1" applyAlignment="1">
      <alignment horizontal="lef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38" fontId="2" fillId="0" borderId="18" xfId="2" applyFont="1" applyFill="1" applyBorder="1" applyAlignment="1">
      <alignment horizontal="right" vertical="center" shrinkToFit="1"/>
    </xf>
    <xf numFmtId="38" fontId="2" fillId="0" borderId="61" xfId="2" applyFont="1" applyFill="1" applyBorder="1" applyAlignment="1">
      <alignment horizontal="right" vertical="center" shrinkToFit="1"/>
    </xf>
    <xf numFmtId="38" fontId="2" fillId="0" borderId="19" xfId="2" applyFont="1" applyFill="1" applyBorder="1" applyAlignment="1">
      <alignment horizontal="right" vertical="center" shrinkToFit="1"/>
    </xf>
    <xf numFmtId="49" fontId="2" fillId="2" borderId="20" xfId="0" applyNumberFormat="1" applyFont="1" applyFill="1" applyBorder="1" applyAlignment="1">
      <alignment horizontal="left" vertical="center" wrapText="1"/>
    </xf>
    <xf numFmtId="49" fontId="2" fillId="2" borderId="13" xfId="0" applyNumberFormat="1" applyFont="1" applyFill="1" applyBorder="1" applyAlignment="1">
      <alignment horizontal="left" vertical="center" wrapText="1"/>
    </xf>
    <xf numFmtId="49" fontId="2" fillId="2" borderId="15" xfId="0" applyNumberFormat="1" applyFont="1" applyFill="1" applyBorder="1" applyAlignment="1">
      <alignment horizontal="left" vertical="center" wrapText="1"/>
    </xf>
    <xf numFmtId="49" fontId="2" fillId="2" borderId="32" xfId="0" applyNumberFormat="1" applyFont="1" applyFill="1" applyBorder="1" applyAlignment="1">
      <alignment horizontal="left" vertical="center" wrapText="1"/>
    </xf>
    <xf numFmtId="49" fontId="2" fillId="2" borderId="14" xfId="0" applyNumberFormat="1" applyFont="1" applyFill="1" applyBorder="1" applyAlignment="1">
      <alignment horizontal="left" vertical="center" wrapText="1"/>
    </xf>
    <xf numFmtId="0" fontId="2" fillId="2" borderId="1" xfId="0" applyFont="1" applyFill="1" applyBorder="1" applyAlignment="1">
      <alignment horizontal="right" vertical="center"/>
    </xf>
    <xf numFmtId="38" fontId="2" fillId="0" borderId="5" xfId="2" applyFont="1" applyFill="1" applyBorder="1" applyAlignment="1">
      <alignment horizontal="right" vertical="center" shrinkToFit="1"/>
    </xf>
    <xf numFmtId="38" fontId="2" fillId="0" borderId="60" xfId="2" applyFont="1" applyFill="1" applyBorder="1" applyAlignment="1">
      <alignment horizontal="right" vertical="center" shrinkToFit="1"/>
    </xf>
    <xf numFmtId="38" fontId="2" fillId="0" borderId="0" xfId="2" applyFont="1" applyFill="1" applyAlignment="1">
      <alignment horizontal="right" vertical="center"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6" xfId="0" applyFont="1" applyFill="1" applyBorder="1">
      <alignment vertical="center"/>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zoomScale="70" zoomScaleNormal="100" zoomScaleSheetLayoutView="70" workbookViewId="0">
      <selection activeCell="D66" sqref="D66"/>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44" t="s">
        <v>109</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3" spans="1:28" ht="18.600000000000001" customHeight="1" x14ac:dyDescent="0.15">
      <c r="Y3" s="144" t="s">
        <v>12</v>
      </c>
      <c r="Z3" s="144"/>
      <c r="AA3" s="9"/>
      <c r="AB3" s="13"/>
    </row>
    <row r="4" spans="1:28" ht="18.75" customHeight="1" x14ac:dyDescent="0.15">
      <c r="B4" s="149" t="s">
        <v>85</v>
      </c>
      <c r="C4" s="150"/>
      <c r="D4" s="67" t="s">
        <v>168</v>
      </c>
      <c r="P4" s="9"/>
      <c r="Q4" s="41"/>
      <c r="R4" s="41"/>
      <c r="S4" s="41"/>
      <c r="T4" s="41"/>
      <c r="U4" s="41"/>
      <c r="V4" s="41"/>
      <c r="W4" s="41"/>
      <c r="X4" s="41"/>
      <c r="Y4" s="41"/>
      <c r="Z4" s="41"/>
    </row>
    <row r="5" spans="1:28" ht="18.75" customHeight="1" x14ac:dyDescent="0.15">
      <c r="B5" s="149" t="s">
        <v>81</v>
      </c>
      <c r="C5" s="150"/>
      <c r="D5" s="67" t="s">
        <v>129</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48" t="s">
        <v>93</v>
      </c>
      <c r="B7" s="148"/>
      <c r="C7" s="148"/>
      <c r="D7" s="148"/>
      <c r="E7" s="148"/>
      <c r="F7" s="148"/>
      <c r="G7" s="148"/>
      <c r="H7" s="148"/>
      <c r="I7" s="148"/>
      <c r="J7" s="148"/>
      <c r="K7" s="148"/>
      <c r="L7" s="148"/>
      <c r="M7" s="148"/>
      <c r="N7" s="148"/>
      <c r="O7" s="148"/>
      <c r="P7" s="148"/>
      <c r="Q7" s="148"/>
      <c r="R7" s="148"/>
      <c r="S7" s="148"/>
      <c r="T7" s="148"/>
      <c r="U7" s="148"/>
      <c r="V7" s="148"/>
      <c r="W7" s="148"/>
      <c r="X7" s="148"/>
      <c r="Y7" s="148"/>
      <c r="Z7" s="148"/>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45" t="s">
        <v>95</v>
      </c>
      <c r="B9" s="145"/>
      <c r="D9" s="6" t="s">
        <v>130</v>
      </c>
    </row>
    <row r="10" spans="1:28" ht="20.25" customHeight="1" x14ac:dyDescent="0.15">
      <c r="B10" s="12"/>
      <c r="C10" s="12"/>
      <c r="D10" s="12"/>
      <c r="Q10" s="12"/>
      <c r="R10" s="12"/>
      <c r="S10" s="12"/>
      <c r="T10" s="12"/>
      <c r="U10" s="12"/>
      <c r="V10" s="12"/>
      <c r="W10" s="12"/>
      <c r="X10" s="12"/>
      <c r="Y10" s="12"/>
      <c r="Z10" s="12"/>
    </row>
    <row r="11" spans="1:28" ht="20.25" customHeight="1" x14ac:dyDescent="0.15">
      <c r="A11" s="145" t="s">
        <v>90</v>
      </c>
      <c r="B11" s="145"/>
      <c r="D11" s="66"/>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46" t="s">
        <v>96</v>
      </c>
      <c r="B13" s="146"/>
      <c r="C13" s="12"/>
      <c r="D13" s="67" t="s">
        <v>138</v>
      </c>
      <c r="E13" s="41"/>
      <c r="F13" s="41"/>
      <c r="G13" s="41"/>
      <c r="H13" s="41"/>
      <c r="I13" s="41"/>
      <c r="J13" s="41"/>
      <c r="K13" s="41"/>
      <c r="L13" s="41"/>
      <c r="M13" s="41"/>
      <c r="N13" s="41"/>
      <c r="O13" s="41"/>
      <c r="P13" s="41"/>
      <c r="Q13" s="68"/>
      <c r="R13" s="68"/>
      <c r="S13" s="68"/>
      <c r="T13" s="68"/>
      <c r="U13" s="68"/>
      <c r="V13" s="68"/>
      <c r="W13" s="68"/>
      <c r="X13" s="68"/>
      <c r="Y13" s="68"/>
      <c r="Z13" s="68"/>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22.25" customHeight="1" x14ac:dyDescent="0.15">
      <c r="A15" s="147" t="s">
        <v>97</v>
      </c>
      <c r="B15" s="147"/>
      <c r="C15" s="12"/>
      <c r="D15" s="69" t="s">
        <v>172</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113</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114</v>
      </c>
      <c r="C19" s="110">
        <v>2</v>
      </c>
      <c r="D19" s="10" t="s">
        <v>87</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0">
        <v>2</v>
      </c>
      <c r="D20" s="10" t="s">
        <v>88</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51" t="s">
        <v>117</v>
      </c>
      <c r="G21" s="152"/>
      <c r="H21" s="152"/>
      <c r="I21" s="152"/>
      <c r="J21" s="152"/>
      <c r="K21" s="152"/>
      <c r="L21" s="152"/>
      <c r="M21" s="152"/>
      <c r="N21" s="152"/>
      <c r="O21" s="152"/>
      <c r="P21" s="152"/>
      <c r="Q21" s="152"/>
      <c r="R21" s="152"/>
      <c r="S21" s="152"/>
      <c r="T21" s="152"/>
      <c r="U21" s="152"/>
      <c r="V21" s="152"/>
      <c r="W21" s="152"/>
      <c r="X21" s="152"/>
      <c r="Y21" s="152"/>
      <c r="Z21" s="153"/>
    </row>
    <row r="22" spans="1:26" ht="18" customHeight="1" x14ac:dyDescent="0.15">
      <c r="B22" s="17"/>
      <c r="C22" s="17"/>
      <c r="D22" s="5" t="s">
        <v>48</v>
      </c>
      <c r="E22" s="70" t="s">
        <v>70</v>
      </c>
      <c r="F22" s="71" t="s">
        <v>50</v>
      </c>
      <c r="G22" s="72" t="s">
        <v>61</v>
      </c>
      <c r="H22" s="72" t="s">
        <v>62</v>
      </c>
      <c r="I22" s="72" t="s">
        <v>63</v>
      </c>
      <c r="J22" s="72" t="s">
        <v>64</v>
      </c>
      <c r="K22" s="72" t="s">
        <v>53</v>
      </c>
      <c r="L22" s="72" t="s">
        <v>80</v>
      </c>
      <c r="M22" s="72" t="s">
        <v>65</v>
      </c>
      <c r="N22" s="72" t="s">
        <v>66</v>
      </c>
      <c r="O22" s="72" t="s">
        <v>52</v>
      </c>
      <c r="P22" s="73" t="s">
        <v>54</v>
      </c>
      <c r="Q22" s="74" t="s">
        <v>98</v>
      </c>
      <c r="R22" s="75" t="s">
        <v>99</v>
      </c>
      <c r="S22" s="75" t="s">
        <v>100</v>
      </c>
      <c r="T22" s="75" t="s">
        <v>101</v>
      </c>
      <c r="U22" s="75" t="s">
        <v>102</v>
      </c>
      <c r="V22" s="75" t="s">
        <v>103</v>
      </c>
      <c r="W22" s="75" t="s">
        <v>104</v>
      </c>
      <c r="X22" s="75" t="s">
        <v>105</v>
      </c>
      <c r="Y22" s="75" t="s">
        <v>106</v>
      </c>
      <c r="Z22" s="76" t="s">
        <v>107</v>
      </c>
    </row>
    <row r="23" spans="1:26" ht="18" customHeight="1" x14ac:dyDescent="0.15">
      <c r="B23" s="129" t="s">
        <v>125</v>
      </c>
      <c r="C23" s="130"/>
      <c r="D23" s="77" t="s">
        <v>131</v>
      </c>
      <c r="E23" s="112">
        <v>1</v>
      </c>
      <c r="F23" s="78" t="s">
        <v>139</v>
      </c>
      <c r="G23" s="79" t="s">
        <v>139</v>
      </c>
      <c r="H23" s="79" t="s">
        <v>139</v>
      </c>
      <c r="I23" s="79" t="s">
        <v>139</v>
      </c>
      <c r="J23" s="79" t="s">
        <v>139</v>
      </c>
      <c r="K23" s="79" t="s">
        <v>139</v>
      </c>
      <c r="L23" s="79"/>
      <c r="M23" s="79"/>
      <c r="N23" s="79"/>
      <c r="O23" s="79" t="s">
        <v>139</v>
      </c>
      <c r="P23" s="80" t="s">
        <v>139</v>
      </c>
      <c r="Q23" s="81"/>
      <c r="R23" s="79"/>
      <c r="S23" s="79"/>
      <c r="T23" s="79"/>
      <c r="U23" s="79"/>
      <c r="V23" s="79"/>
      <c r="W23" s="79"/>
      <c r="X23" s="79"/>
      <c r="Y23" s="79"/>
      <c r="Z23" s="79"/>
    </row>
    <row r="24" spans="1:26" ht="18" customHeight="1" x14ac:dyDescent="0.15">
      <c r="B24" s="131"/>
      <c r="C24" s="132"/>
      <c r="D24" s="82" t="s">
        <v>132</v>
      </c>
      <c r="E24" s="113">
        <v>1</v>
      </c>
      <c r="F24" s="83"/>
      <c r="G24" s="84"/>
      <c r="H24" s="84"/>
      <c r="I24" s="84"/>
      <c r="J24" s="84"/>
      <c r="K24" s="84"/>
      <c r="L24" s="84" t="s">
        <v>139</v>
      </c>
      <c r="M24" s="84" t="s">
        <v>139</v>
      </c>
      <c r="N24" s="84" t="s">
        <v>139</v>
      </c>
      <c r="O24" s="84"/>
      <c r="P24" s="85"/>
      <c r="Q24" s="86"/>
      <c r="R24" s="84"/>
      <c r="S24" s="84"/>
      <c r="T24" s="84"/>
      <c r="U24" s="84"/>
      <c r="V24" s="84"/>
      <c r="W24" s="84"/>
      <c r="X24" s="84"/>
      <c r="Y24" s="84"/>
      <c r="Z24" s="84"/>
    </row>
    <row r="25" spans="1:26" ht="18" customHeight="1" x14ac:dyDescent="0.15">
      <c r="B25" s="131"/>
      <c r="C25" s="132"/>
      <c r="D25" s="82"/>
      <c r="E25" s="113"/>
      <c r="F25" s="83"/>
      <c r="G25" s="84"/>
      <c r="H25" s="84"/>
      <c r="I25" s="84"/>
      <c r="J25" s="84"/>
      <c r="K25" s="84"/>
      <c r="L25" s="84"/>
      <c r="M25" s="84"/>
      <c r="N25" s="84"/>
      <c r="O25" s="84"/>
      <c r="P25" s="85"/>
      <c r="Q25" s="86"/>
      <c r="R25" s="84"/>
      <c r="S25" s="84"/>
      <c r="T25" s="84"/>
      <c r="U25" s="84"/>
      <c r="V25" s="84"/>
      <c r="W25" s="84"/>
      <c r="X25" s="84"/>
      <c r="Y25" s="84"/>
      <c r="Z25" s="84"/>
    </row>
    <row r="26" spans="1:26" ht="18" customHeight="1" x14ac:dyDescent="0.15">
      <c r="B26" s="131"/>
      <c r="C26" s="132"/>
      <c r="D26" s="82"/>
      <c r="E26" s="113"/>
      <c r="F26" s="83"/>
      <c r="G26" s="84"/>
      <c r="H26" s="84"/>
      <c r="I26" s="84"/>
      <c r="J26" s="84"/>
      <c r="K26" s="84"/>
      <c r="L26" s="84"/>
      <c r="M26" s="84"/>
      <c r="N26" s="84"/>
      <c r="O26" s="84"/>
      <c r="P26" s="85"/>
      <c r="Q26" s="86"/>
      <c r="R26" s="84"/>
      <c r="S26" s="84"/>
      <c r="T26" s="84"/>
      <c r="U26" s="84"/>
      <c r="V26" s="84"/>
      <c r="W26" s="84"/>
      <c r="X26" s="84"/>
      <c r="Y26" s="84"/>
      <c r="Z26" s="84"/>
    </row>
    <row r="27" spans="1:26" ht="18" customHeight="1" x14ac:dyDescent="0.15">
      <c r="B27" s="131"/>
      <c r="C27" s="132"/>
      <c r="D27" s="82"/>
      <c r="E27" s="113"/>
      <c r="F27" s="83"/>
      <c r="G27" s="84"/>
      <c r="H27" s="84"/>
      <c r="I27" s="84"/>
      <c r="J27" s="84"/>
      <c r="K27" s="84"/>
      <c r="L27" s="84"/>
      <c r="M27" s="84"/>
      <c r="N27" s="84"/>
      <c r="O27" s="84"/>
      <c r="P27" s="85"/>
      <c r="Q27" s="86"/>
      <c r="R27" s="84"/>
      <c r="S27" s="84"/>
      <c r="T27" s="84"/>
      <c r="U27" s="84"/>
      <c r="V27" s="84"/>
      <c r="W27" s="84"/>
      <c r="X27" s="84"/>
      <c r="Y27" s="84"/>
      <c r="Z27" s="84"/>
    </row>
    <row r="28" spans="1:26" ht="18" customHeight="1" x14ac:dyDescent="0.15">
      <c r="B28" s="131"/>
      <c r="C28" s="132"/>
      <c r="D28" s="82"/>
      <c r="E28" s="113"/>
      <c r="F28" s="83"/>
      <c r="G28" s="84"/>
      <c r="H28" s="84"/>
      <c r="I28" s="84"/>
      <c r="J28" s="84"/>
      <c r="K28" s="84"/>
      <c r="L28" s="84"/>
      <c r="M28" s="84"/>
      <c r="N28" s="84"/>
      <c r="O28" s="84"/>
      <c r="P28" s="85"/>
      <c r="Q28" s="86"/>
      <c r="R28" s="84"/>
      <c r="S28" s="84"/>
      <c r="T28" s="84"/>
      <c r="U28" s="84"/>
      <c r="V28" s="84"/>
      <c r="W28" s="84"/>
      <c r="X28" s="84"/>
      <c r="Y28" s="84"/>
      <c r="Z28" s="84"/>
    </row>
    <row r="29" spans="1:26" ht="18" customHeight="1" x14ac:dyDescent="0.15">
      <c r="B29" s="131"/>
      <c r="C29" s="132"/>
      <c r="D29" s="82"/>
      <c r="E29" s="113"/>
      <c r="F29" s="83"/>
      <c r="G29" s="84"/>
      <c r="H29" s="84"/>
      <c r="I29" s="84"/>
      <c r="J29" s="84"/>
      <c r="K29" s="84"/>
      <c r="L29" s="84"/>
      <c r="M29" s="84"/>
      <c r="N29" s="84"/>
      <c r="O29" s="84"/>
      <c r="P29" s="85"/>
      <c r="Q29" s="86"/>
      <c r="R29" s="84"/>
      <c r="S29" s="84"/>
      <c r="T29" s="84"/>
      <c r="U29" s="84"/>
      <c r="V29" s="84"/>
      <c r="W29" s="84"/>
      <c r="X29" s="84"/>
      <c r="Y29" s="84"/>
      <c r="Z29" s="84"/>
    </row>
    <row r="30" spans="1:26" ht="18" customHeight="1" x14ac:dyDescent="0.15">
      <c r="B30" s="131"/>
      <c r="C30" s="132"/>
      <c r="D30" s="82"/>
      <c r="E30" s="113"/>
      <c r="F30" s="83"/>
      <c r="G30" s="84"/>
      <c r="H30" s="84"/>
      <c r="I30" s="84"/>
      <c r="J30" s="84"/>
      <c r="K30" s="84"/>
      <c r="L30" s="84"/>
      <c r="M30" s="84"/>
      <c r="N30" s="84"/>
      <c r="O30" s="84"/>
      <c r="P30" s="85"/>
      <c r="Q30" s="86"/>
      <c r="R30" s="84"/>
      <c r="S30" s="84"/>
      <c r="T30" s="84"/>
      <c r="U30" s="84"/>
      <c r="V30" s="84"/>
      <c r="W30" s="84"/>
      <c r="X30" s="84"/>
      <c r="Y30" s="84"/>
      <c r="Z30" s="84"/>
    </row>
    <row r="31" spans="1:26" ht="18" customHeight="1" x14ac:dyDescent="0.15">
      <c r="B31" s="131"/>
      <c r="C31" s="132"/>
      <c r="D31" s="82"/>
      <c r="E31" s="113"/>
      <c r="F31" s="83"/>
      <c r="G31" s="84"/>
      <c r="H31" s="84"/>
      <c r="I31" s="84"/>
      <c r="J31" s="84"/>
      <c r="K31" s="84"/>
      <c r="L31" s="84"/>
      <c r="M31" s="84"/>
      <c r="N31" s="84"/>
      <c r="O31" s="84"/>
      <c r="P31" s="85"/>
      <c r="Q31" s="86"/>
      <c r="R31" s="84"/>
      <c r="S31" s="84"/>
      <c r="T31" s="84"/>
      <c r="U31" s="84"/>
      <c r="V31" s="84"/>
      <c r="W31" s="84"/>
      <c r="X31" s="84"/>
      <c r="Y31" s="84"/>
      <c r="Z31" s="84"/>
    </row>
    <row r="32" spans="1:26" ht="18" customHeight="1" x14ac:dyDescent="0.15">
      <c r="B32" s="131"/>
      <c r="C32" s="132"/>
      <c r="D32" s="87"/>
      <c r="E32" s="114"/>
      <c r="F32" s="88"/>
      <c r="G32" s="89"/>
      <c r="H32" s="89"/>
      <c r="I32" s="89"/>
      <c r="J32" s="89"/>
      <c r="K32" s="89"/>
      <c r="L32" s="89"/>
      <c r="M32" s="89"/>
      <c r="N32" s="89"/>
      <c r="O32" s="89"/>
      <c r="P32" s="90"/>
      <c r="Q32" s="91"/>
      <c r="R32" s="89"/>
      <c r="S32" s="89"/>
      <c r="T32" s="89"/>
      <c r="U32" s="89"/>
      <c r="V32" s="89"/>
      <c r="W32" s="89"/>
      <c r="X32" s="89"/>
      <c r="Y32" s="89"/>
      <c r="Z32" s="89"/>
    </row>
    <row r="33" spans="2:26" ht="18" customHeight="1" x14ac:dyDescent="0.15">
      <c r="B33" s="129" t="s">
        <v>126</v>
      </c>
      <c r="C33" s="130"/>
      <c r="D33" s="92"/>
      <c r="E33" s="115"/>
      <c r="F33" s="93"/>
      <c r="G33" s="94"/>
      <c r="H33" s="94"/>
      <c r="I33" s="94"/>
      <c r="J33" s="94"/>
      <c r="K33" s="94"/>
      <c r="L33" s="94"/>
      <c r="M33" s="94"/>
      <c r="N33" s="94"/>
      <c r="O33" s="94"/>
      <c r="P33" s="95"/>
      <c r="Q33" s="96"/>
      <c r="R33" s="94"/>
      <c r="S33" s="94"/>
      <c r="T33" s="94"/>
      <c r="U33" s="94"/>
      <c r="V33" s="94"/>
      <c r="W33" s="94"/>
      <c r="X33" s="94"/>
      <c r="Y33" s="94"/>
      <c r="Z33" s="94"/>
    </row>
    <row r="34" spans="2:26" ht="18" customHeight="1" x14ac:dyDescent="0.15">
      <c r="B34" s="131"/>
      <c r="C34" s="132"/>
      <c r="D34" s="82"/>
      <c r="E34" s="113"/>
      <c r="F34" s="83"/>
      <c r="G34" s="84"/>
      <c r="H34" s="84"/>
      <c r="I34" s="84"/>
      <c r="J34" s="84"/>
      <c r="K34" s="84"/>
      <c r="L34" s="84"/>
      <c r="M34" s="84"/>
      <c r="N34" s="84"/>
      <c r="O34" s="84"/>
      <c r="P34" s="85"/>
      <c r="Q34" s="86"/>
      <c r="R34" s="84"/>
      <c r="S34" s="84"/>
      <c r="T34" s="84"/>
      <c r="U34" s="84"/>
      <c r="V34" s="84"/>
      <c r="W34" s="84"/>
      <c r="X34" s="84"/>
      <c r="Y34" s="84"/>
      <c r="Z34" s="84"/>
    </row>
    <row r="35" spans="2:26" ht="18" customHeight="1" x14ac:dyDescent="0.15">
      <c r="B35" s="131"/>
      <c r="C35" s="132"/>
      <c r="D35" s="82"/>
      <c r="E35" s="113"/>
      <c r="F35" s="83"/>
      <c r="G35" s="84"/>
      <c r="H35" s="84"/>
      <c r="I35" s="84"/>
      <c r="J35" s="84"/>
      <c r="K35" s="84"/>
      <c r="L35" s="84"/>
      <c r="M35" s="84"/>
      <c r="N35" s="84"/>
      <c r="O35" s="84"/>
      <c r="P35" s="85"/>
      <c r="Q35" s="86"/>
      <c r="R35" s="84"/>
      <c r="S35" s="84"/>
      <c r="T35" s="84"/>
      <c r="U35" s="84"/>
      <c r="V35" s="84"/>
      <c r="W35" s="84"/>
      <c r="X35" s="84"/>
      <c r="Y35" s="84"/>
      <c r="Z35" s="84"/>
    </row>
    <row r="36" spans="2:26" ht="18" customHeight="1" x14ac:dyDescent="0.15">
      <c r="B36" s="131"/>
      <c r="C36" s="132"/>
      <c r="D36" s="82"/>
      <c r="E36" s="113"/>
      <c r="F36" s="83"/>
      <c r="G36" s="84"/>
      <c r="H36" s="84"/>
      <c r="I36" s="84"/>
      <c r="J36" s="84"/>
      <c r="K36" s="84"/>
      <c r="L36" s="84"/>
      <c r="M36" s="84"/>
      <c r="N36" s="84"/>
      <c r="O36" s="84"/>
      <c r="P36" s="85"/>
      <c r="Q36" s="86"/>
      <c r="R36" s="84"/>
      <c r="S36" s="84"/>
      <c r="T36" s="84"/>
      <c r="U36" s="84"/>
      <c r="V36" s="84"/>
      <c r="W36" s="84"/>
      <c r="X36" s="84"/>
      <c r="Y36" s="84"/>
      <c r="Z36" s="84"/>
    </row>
    <row r="37" spans="2:26" ht="18" customHeight="1" x14ac:dyDescent="0.15">
      <c r="B37" s="131"/>
      <c r="C37" s="132"/>
      <c r="D37" s="82"/>
      <c r="E37" s="113"/>
      <c r="F37" s="83"/>
      <c r="G37" s="84"/>
      <c r="H37" s="84"/>
      <c r="I37" s="84"/>
      <c r="J37" s="84"/>
      <c r="K37" s="84"/>
      <c r="L37" s="84"/>
      <c r="M37" s="84"/>
      <c r="N37" s="84"/>
      <c r="O37" s="84"/>
      <c r="P37" s="85"/>
      <c r="Q37" s="86"/>
      <c r="R37" s="84"/>
      <c r="S37" s="84"/>
      <c r="T37" s="84"/>
      <c r="U37" s="84"/>
      <c r="V37" s="84"/>
      <c r="W37" s="84"/>
      <c r="X37" s="84"/>
      <c r="Y37" s="84"/>
      <c r="Z37" s="84"/>
    </row>
    <row r="38" spans="2:26" ht="18" customHeight="1" x14ac:dyDescent="0.15">
      <c r="B38" s="131"/>
      <c r="C38" s="132"/>
      <c r="D38" s="82"/>
      <c r="E38" s="113"/>
      <c r="F38" s="83"/>
      <c r="G38" s="84"/>
      <c r="H38" s="84"/>
      <c r="I38" s="84"/>
      <c r="J38" s="84"/>
      <c r="K38" s="84"/>
      <c r="L38" s="84"/>
      <c r="M38" s="84"/>
      <c r="N38" s="84"/>
      <c r="O38" s="84"/>
      <c r="P38" s="85"/>
      <c r="Q38" s="86"/>
      <c r="R38" s="84"/>
      <c r="S38" s="84"/>
      <c r="T38" s="84"/>
      <c r="U38" s="84"/>
      <c r="V38" s="84"/>
      <c r="W38" s="84"/>
      <c r="X38" s="84"/>
      <c r="Y38" s="84"/>
      <c r="Z38" s="84"/>
    </row>
    <row r="39" spans="2:26" ht="18" customHeight="1" x14ac:dyDescent="0.15">
      <c r="B39" s="131"/>
      <c r="C39" s="132"/>
      <c r="D39" s="82"/>
      <c r="E39" s="113"/>
      <c r="F39" s="83"/>
      <c r="G39" s="84"/>
      <c r="H39" s="84"/>
      <c r="I39" s="84"/>
      <c r="J39" s="84"/>
      <c r="K39" s="84"/>
      <c r="L39" s="84"/>
      <c r="M39" s="84"/>
      <c r="N39" s="84"/>
      <c r="O39" s="84"/>
      <c r="P39" s="85"/>
      <c r="Q39" s="86"/>
      <c r="R39" s="84"/>
      <c r="S39" s="84"/>
      <c r="T39" s="84"/>
      <c r="U39" s="84"/>
      <c r="V39" s="84"/>
      <c r="W39" s="84"/>
      <c r="X39" s="84"/>
      <c r="Y39" s="84"/>
      <c r="Z39" s="84"/>
    </row>
    <row r="40" spans="2:26" ht="18" customHeight="1" x14ac:dyDescent="0.15">
      <c r="B40" s="131"/>
      <c r="C40" s="132"/>
      <c r="D40" s="82"/>
      <c r="E40" s="113"/>
      <c r="F40" s="83"/>
      <c r="G40" s="84"/>
      <c r="H40" s="84"/>
      <c r="I40" s="84"/>
      <c r="J40" s="84"/>
      <c r="K40" s="84"/>
      <c r="L40" s="84"/>
      <c r="M40" s="84"/>
      <c r="N40" s="84"/>
      <c r="O40" s="84"/>
      <c r="P40" s="85"/>
      <c r="Q40" s="86"/>
      <c r="R40" s="84"/>
      <c r="S40" s="84"/>
      <c r="T40" s="84"/>
      <c r="U40" s="84"/>
      <c r="V40" s="84"/>
      <c r="W40" s="84"/>
      <c r="X40" s="84"/>
      <c r="Y40" s="84"/>
      <c r="Z40" s="84"/>
    </row>
    <row r="41" spans="2:26" ht="18" customHeight="1" x14ac:dyDescent="0.15">
      <c r="B41" s="131"/>
      <c r="C41" s="132"/>
      <c r="D41" s="82"/>
      <c r="E41" s="113"/>
      <c r="F41" s="83"/>
      <c r="G41" s="84"/>
      <c r="H41" s="84"/>
      <c r="I41" s="84"/>
      <c r="J41" s="84"/>
      <c r="K41" s="84"/>
      <c r="L41" s="84"/>
      <c r="M41" s="84"/>
      <c r="N41" s="84"/>
      <c r="O41" s="84"/>
      <c r="P41" s="85"/>
      <c r="Q41" s="86"/>
      <c r="R41" s="84"/>
      <c r="S41" s="84"/>
      <c r="T41" s="84"/>
      <c r="U41" s="84"/>
      <c r="V41" s="84"/>
      <c r="W41" s="84"/>
      <c r="X41" s="84"/>
      <c r="Y41" s="84"/>
      <c r="Z41" s="84"/>
    </row>
    <row r="42" spans="2:26" ht="18" customHeight="1" x14ac:dyDescent="0.15">
      <c r="B42" s="133"/>
      <c r="C42" s="134"/>
      <c r="D42" s="87"/>
      <c r="E42" s="116"/>
      <c r="F42" s="88"/>
      <c r="G42" s="89"/>
      <c r="H42" s="89"/>
      <c r="I42" s="89"/>
      <c r="J42" s="89"/>
      <c r="K42" s="89"/>
      <c r="L42" s="89"/>
      <c r="M42" s="89"/>
      <c r="N42" s="89"/>
      <c r="O42" s="89"/>
      <c r="P42" s="90"/>
      <c r="Q42" s="91"/>
      <c r="R42" s="89"/>
      <c r="S42" s="89"/>
      <c r="T42" s="89"/>
      <c r="U42" s="89"/>
      <c r="V42" s="89"/>
      <c r="W42" s="89"/>
      <c r="X42" s="89"/>
      <c r="Y42" s="89"/>
      <c r="Z42" s="89"/>
    </row>
    <row r="43" spans="2:26" ht="18" customHeight="1" x14ac:dyDescent="0.15">
      <c r="B43" s="135" t="s">
        <v>127</v>
      </c>
      <c r="C43" s="136"/>
      <c r="D43" s="82"/>
      <c r="E43" s="113"/>
      <c r="F43" s="83"/>
      <c r="G43" s="84"/>
      <c r="H43" s="84"/>
      <c r="I43" s="84"/>
      <c r="J43" s="84"/>
      <c r="K43" s="84"/>
      <c r="L43" s="84"/>
      <c r="M43" s="84"/>
      <c r="N43" s="84"/>
      <c r="O43" s="84"/>
      <c r="P43" s="85"/>
      <c r="Q43" s="86"/>
      <c r="R43" s="84"/>
      <c r="S43" s="84"/>
      <c r="T43" s="84"/>
      <c r="U43" s="84"/>
      <c r="V43" s="84"/>
      <c r="W43" s="84"/>
      <c r="X43" s="84"/>
      <c r="Y43" s="84"/>
      <c r="Z43" s="84"/>
    </row>
    <row r="44" spans="2:26" ht="18" customHeight="1" x14ac:dyDescent="0.15">
      <c r="B44" s="135"/>
      <c r="C44" s="136"/>
      <c r="D44" s="82"/>
      <c r="E44" s="113"/>
      <c r="F44" s="83"/>
      <c r="G44" s="84"/>
      <c r="H44" s="84"/>
      <c r="I44" s="84"/>
      <c r="J44" s="84"/>
      <c r="K44" s="84"/>
      <c r="L44" s="84"/>
      <c r="M44" s="84"/>
      <c r="N44" s="84"/>
      <c r="O44" s="84"/>
      <c r="P44" s="85"/>
      <c r="Q44" s="86"/>
      <c r="R44" s="84"/>
      <c r="S44" s="84"/>
      <c r="T44" s="84"/>
      <c r="U44" s="84"/>
      <c r="V44" s="84"/>
      <c r="W44" s="84"/>
      <c r="X44" s="84"/>
      <c r="Y44" s="84"/>
      <c r="Z44" s="84"/>
    </row>
    <row r="45" spans="2:26" ht="18" customHeight="1" x14ac:dyDescent="0.15">
      <c r="B45" s="135"/>
      <c r="C45" s="136"/>
      <c r="D45" s="82"/>
      <c r="E45" s="113"/>
      <c r="F45" s="83"/>
      <c r="G45" s="84"/>
      <c r="H45" s="84"/>
      <c r="I45" s="84"/>
      <c r="J45" s="84"/>
      <c r="K45" s="84"/>
      <c r="L45" s="84"/>
      <c r="M45" s="84"/>
      <c r="N45" s="84"/>
      <c r="O45" s="84"/>
      <c r="P45" s="85"/>
      <c r="Q45" s="86"/>
      <c r="R45" s="84"/>
      <c r="S45" s="84"/>
      <c r="T45" s="84"/>
      <c r="U45" s="84"/>
      <c r="V45" s="84"/>
      <c r="W45" s="84"/>
      <c r="X45" s="84"/>
      <c r="Y45" s="84"/>
      <c r="Z45" s="84"/>
    </row>
    <row r="46" spans="2:26" ht="18" customHeight="1" x14ac:dyDescent="0.15">
      <c r="B46" s="135"/>
      <c r="C46" s="136"/>
      <c r="D46" s="82"/>
      <c r="E46" s="113"/>
      <c r="F46" s="83"/>
      <c r="G46" s="84"/>
      <c r="H46" s="84"/>
      <c r="I46" s="84"/>
      <c r="J46" s="84"/>
      <c r="K46" s="84"/>
      <c r="L46" s="84"/>
      <c r="M46" s="84"/>
      <c r="N46" s="84"/>
      <c r="O46" s="84"/>
      <c r="P46" s="85"/>
      <c r="Q46" s="86"/>
      <c r="R46" s="84"/>
      <c r="S46" s="84"/>
      <c r="T46" s="84"/>
      <c r="U46" s="84"/>
      <c r="V46" s="84"/>
      <c r="W46" s="84"/>
      <c r="X46" s="84"/>
      <c r="Y46" s="84"/>
      <c r="Z46" s="84"/>
    </row>
    <row r="47" spans="2:26" ht="18" customHeight="1" x14ac:dyDescent="0.15">
      <c r="B47" s="135"/>
      <c r="C47" s="136"/>
      <c r="D47" s="82"/>
      <c r="E47" s="113"/>
      <c r="F47" s="83"/>
      <c r="G47" s="84"/>
      <c r="H47" s="84"/>
      <c r="I47" s="84"/>
      <c r="J47" s="84"/>
      <c r="K47" s="84"/>
      <c r="L47" s="84"/>
      <c r="M47" s="84"/>
      <c r="N47" s="84"/>
      <c r="O47" s="84"/>
      <c r="P47" s="85"/>
      <c r="Q47" s="86"/>
      <c r="R47" s="84"/>
      <c r="S47" s="84"/>
      <c r="T47" s="84"/>
      <c r="U47" s="84"/>
      <c r="V47" s="84"/>
      <c r="W47" s="84"/>
      <c r="X47" s="84"/>
      <c r="Y47" s="84"/>
      <c r="Z47" s="84"/>
    </row>
    <row r="48" spans="2:26" ht="18" customHeight="1" x14ac:dyDescent="0.15">
      <c r="B48" s="135"/>
      <c r="C48" s="136"/>
      <c r="D48" s="82"/>
      <c r="E48" s="113"/>
      <c r="F48" s="83"/>
      <c r="G48" s="84"/>
      <c r="H48" s="84"/>
      <c r="I48" s="84"/>
      <c r="J48" s="84"/>
      <c r="K48" s="84"/>
      <c r="L48" s="84"/>
      <c r="M48" s="84"/>
      <c r="N48" s="84"/>
      <c r="O48" s="84"/>
      <c r="P48" s="85"/>
      <c r="Q48" s="86"/>
      <c r="R48" s="84"/>
      <c r="S48" s="84"/>
      <c r="T48" s="84"/>
      <c r="U48" s="84"/>
      <c r="V48" s="84"/>
      <c r="W48" s="84"/>
      <c r="X48" s="84"/>
      <c r="Y48" s="84"/>
      <c r="Z48" s="84"/>
    </row>
    <row r="49" spans="1:26" ht="18" customHeight="1" x14ac:dyDescent="0.15">
      <c r="B49" s="135"/>
      <c r="C49" s="136"/>
      <c r="D49" s="82"/>
      <c r="E49" s="113"/>
      <c r="F49" s="83"/>
      <c r="G49" s="84"/>
      <c r="H49" s="84"/>
      <c r="I49" s="84"/>
      <c r="J49" s="84"/>
      <c r="K49" s="84"/>
      <c r="L49" s="84"/>
      <c r="M49" s="84"/>
      <c r="N49" s="84"/>
      <c r="O49" s="84"/>
      <c r="P49" s="85"/>
      <c r="Q49" s="86"/>
      <c r="R49" s="84"/>
      <c r="S49" s="84"/>
      <c r="T49" s="84"/>
      <c r="U49" s="84"/>
      <c r="V49" s="84"/>
      <c r="W49" s="84"/>
      <c r="X49" s="84"/>
      <c r="Y49" s="84"/>
      <c r="Z49" s="84"/>
    </row>
    <row r="50" spans="1:26" ht="18" customHeight="1" x14ac:dyDescent="0.15">
      <c r="B50" s="135"/>
      <c r="C50" s="136"/>
      <c r="D50" s="82"/>
      <c r="E50" s="113"/>
      <c r="F50" s="83"/>
      <c r="G50" s="84"/>
      <c r="H50" s="84"/>
      <c r="I50" s="84"/>
      <c r="J50" s="84"/>
      <c r="K50" s="84"/>
      <c r="L50" s="84"/>
      <c r="M50" s="84"/>
      <c r="N50" s="84"/>
      <c r="O50" s="84"/>
      <c r="P50" s="85"/>
      <c r="Q50" s="86"/>
      <c r="R50" s="84"/>
      <c r="S50" s="84"/>
      <c r="T50" s="84"/>
      <c r="U50" s="84"/>
      <c r="V50" s="84"/>
      <c r="W50" s="84"/>
      <c r="X50" s="84"/>
      <c r="Y50" s="84"/>
      <c r="Z50" s="84"/>
    </row>
    <row r="51" spans="1:26" ht="18" customHeight="1" x14ac:dyDescent="0.15">
      <c r="B51" s="135"/>
      <c r="C51" s="136"/>
      <c r="D51" s="82"/>
      <c r="E51" s="113"/>
      <c r="F51" s="83"/>
      <c r="G51" s="84"/>
      <c r="H51" s="84"/>
      <c r="I51" s="84"/>
      <c r="J51" s="84"/>
      <c r="K51" s="84"/>
      <c r="L51" s="84"/>
      <c r="M51" s="84"/>
      <c r="N51" s="84"/>
      <c r="O51" s="84"/>
      <c r="P51" s="85"/>
      <c r="Q51" s="86"/>
      <c r="R51" s="84"/>
      <c r="S51" s="84"/>
      <c r="T51" s="84"/>
      <c r="U51" s="84"/>
      <c r="V51" s="84"/>
      <c r="W51" s="84"/>
      <c r="X51" s="84"/>
      <c r="Y51" s="84"/>
      <c r="Z51" s="84"/>
    </row>
    <row r="52" spans="1:26" ht="18" customHeight="1" thickBot="1" x14ac:dyDescent="0.2">
      <c r="B52" s="137"/>
      <c r="C52" s="138"/>
      <c r="D52" s="87"/>
      <c r="E52" s="116"/>
      <c r="F52" s="97"/>
      <c r="G52" s="98"/>
      <c r="H52" s="98"/>
      <c r="I52" s="98"/>
      <c r="J52" s="98"/>
      <c r="K52" s="98"/>
      <c r="L52" s="98"/>
      <c r="M52" s="98"/>
      <c r="N52" s="98"/>
      <c r="O52" s="98"/>
      <c r="P52" s="99"/>
      <c r="Q52" s="91"/>
      <c r="R52" s="89"/>
      <c r="S52" s="89"/>
      <c r="T52" s="89"/>
      <c r="U52" s="89"/>
      <c r="V52" s="89"/>
      <c r="W52" s="89"/>
      <c r="X52" s="89"/>
      <c r="Y52" s="89"/>
      <c r="Z52" s="89"/>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115</v>
      </c>
    </row>
    <row r="55" spans="1:26" ht="18.75" customHeight="1" x14ac:dyDescent="0.15">
      <c r="B55" s="142" t="s">
        <v>49</v>
      </c>
      <c r="C55" s="143"/>
      <c r="D55" s="4" t="s">
        <v>128</v>
      </c>
    </row>
    <row r="56" spans="1:26" ht="153" customHeight="1" x14ac:dyDescent="0.15">
      <c r="B56" s="139" t="s">
        <v>55</v>
      </c>
      <c r="C56" s="100" t="s">
        <v>50</v>
      </c>
      <c r="D56" s="122" t="s">
        <v>140</v>
      </c>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ht="117.75" customHeight="1" x14ac:dyDescent="0.15">
      <c r="B57" s="140"/>
      <c r="C57" s="102" t="s">
        <v>67</v>
      </c>
      <c r="D57" s="123" t="s">
        <v>141</v>
      </c>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19.25" customHeight="1" x14ac:dyDescent="0.15">
      <c r="B58" s="139" t="s">
        <v>56</v>
      </c>
      <c r="C58" s="104" t="s">
        <v>61</v>
      </c>
      <c r="D58" s="124" t="s">
        <v>142</v>
      </c>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24.5" customHeight="1" x14ac:dyDescent="0.15">
      <c r="B59" s="141"/>
      <c r="C59" s="105" t="s">
        <v>62</v>
      </c>
      <c r="D59" s="121" t="s">
        <v>143</v>
      </c>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97.25" customHeight="1" x14ac:dyDescent="0.15">
      <c r="B60" s="139" t="s">
        <v>57</v>
      </c>
      <c r="C60" s="104" t="s">
        <v>63</v>
      </c>
      <c r="D60" s="122" t="s">
        <v>144</v>
      </c>
      <c r="E60" s="103"/>
      <c r="F60" s="103"/>
      <c r="G60" s="103"/>
      <c r="H60" s="103"/>
      <c r="I60" s="103"/>
      <c r="J60" s="103"/>
      <c r="K60" s="103"/>
      <c r="L60" s="103"/>
      <c r="M60" s="103"/>
      <c r="N60" s="103"/>
      <c r="O60" s="103"/>
      <c r="P60" s="103"/>
      <c r="Q60" s="103"/>
      <c r="R60" s="103"/>
      <c r="S60" s="103"/>
      <c r="T60" s="103"/>
      <c r="U60" s="103"/>
      <c r="V60" s="103"/>
      <c r="W60" s="103"/>
      <c r="X60" s="103"/>
      <c r="Y60" s="103"/>
      <c r="Z60" s="103"/>
    </row>
    <row r="61" spans="1:26" ht="96" customHeight="1" x14ac:dyDescent="0.15">
      <c r="B61" s="141"/>
      <c r="C61" s="106" t="s">
        <v>64</v>
      </c>
      <c r="D61" s="123" t="s">
        <v>145</v>
      </c>
      <c r="E61" s="103"/>
      <c r="F61" s="103"/>
      <c r="G61" s="103"/>
      <c r="H61" s="103"/>
      <c r="I61" s="103"/>
      <c r="J61" s="103"/>
      <c r="K61" s="103"/>
      <c r="L61" s="103"/>
      <c r="M61" s="103"/>
      <c r="N61" s="103"/>
      <c r="O61" s="103"/>
      <c r="P61" s="103"/>
      <c r="Q61" s="103"/>
      <c r="R61" s="103"/>
      <c r="S61" s="103"/>
      <c r="T61" s="103"/>
      <c r="U61" s="103"/>
      <c r="V61" s="103"/>
      <c r="W61" s="103"/>
      <c r="X61" s="103"/>
      <c r="Y61" s="103"/>
      <c r="Z61" s="103"/>
    </row>
    <row r="62" spans="1:26" ht="229.5" customHeight="1" x14ac:dyDescent="0.15">
      <c r="B62" s="139" t="s">
        <v>68</v>
      </c>
      <c r="C62" s="100" t="s">
        <v>52</v>
      </c>
      <c r="D62" s="122" t="s">
        <v>146</v>
      </c>
      <c r="E62" s="103"/>
      <c r="F62" s="103"/>
      <c r="G62" s="103"/>
      <c r="H62" s="103"/>
      <c r="I62" s="103"/>
      <c r="J62" s="103"/>
      <c r="K62" s="103"/>
      <c r="L62" s="103"/>
      <c r="M62" s="103"/>
      <c r="N62" s="103"/>
      <c r="O62" s="103"/>
      <c r="P62" s="103"/>
      <c r="Q62" s="103"/>
      <c r="R62" s="103"/>
      <c r="S62" s="103"/>
      <c r="T62" s="103"/>
      <c r="U62" s="103"/>
      <c r="V62" s="103"/>
      <c r="W62" s="103"/>
      <c r="X62" s="103"/>
      <c r="Y62" s="103"/>
      <c r="Z62" s="103"/>
    </row>
    <row r="63" spans="1:26" ht="79.900000000000006" customHeight="1" x14ac:dyDescent="0.15">
      <c r="B63" s="141"/>
      <c r="C63" s="105" t="s">
        <v>54</v>
      </c>
      <c r="D63" s="123" t="s">
        <v>147</v>
      </c>
      <c r="E63" s="103"/>
      <c r="F63" s="103"/>
      <c r="G63" s="103"/>
      <c r="H63" s="103"/>
      <c r="I63" s="103"/>
      <c r="J63" s="103"/>
      <c r="K63" s="103"/>
      <c r="L63" s="103"/>
      <c r="M63" s="103"/>
      <c r="N63" s="103"/>
      <c r="O63" s="103"/>
      <c r="P63" s="103"/>
      <c r="Q63" s="103"/>
      <c r="R63" s="103"/>
      <c r="S63" s="103"/>
      <c r="T63" s="103"/>
      <c r="U63" s="103"/>
      <c r="V63" s="103"/>
      <c r="W63" s="103"/>
      <c r="X63" s="103"/>
      <c r="Y63" s="103"/>
      <c r="Z63" s="103"/>
    </row>
    <row r="64" spans="1:26" ht="218.25" customHeight="1" x14ac:dyDescent="0.15">
      <c r="B64" s="139" t="s">
        <v>69</v>
      </c>
      <c r="C64" s="104" t="s">
        <v>51</v>
      </c>
      <c r="D64" s="122" t="s">
        <v>148</v>
      </c>
      <c r="E64" s="103"/>
      <c r="F64" s="103"/>
      <c r="G64" s="103"/>
      <c r="H64" s="103"/>
      <c r="I64" s="103"/>
      <c r="J64" s="103"/>
      <c r="K64" s="103"/>
      <c r="L64" s="103"/>
      <c r="M64" s="103"/>
      <c r="N64" s="103"/>
      <c r="O64" s="103"/>
      <c r="P64" s="103"/>
      <c r="Q64" s="103"/>
      <c r="R64" s="103"/>
      <c r="S64" s="103"/>
      <c r="T64" s="103"/>
      <c r="U64" s="103"/>
      <c r="V64" s="103"/>
      <c r="W64" s="103"/>
      <c r="X64" s="103"/>
      <c r="Y64" s="103"/>
      <c r="Z64" s="103"/>
    </row>
    <row r="65" spans="1:26" ht="117.75" customHeight="1" x14ac:dyDescent="0.15">
      <c r="B65" s="140"/>
      <c r="C65" s="107" t="s">
        <v>65</v>
      </c>
      <c r="D65" s="120" t="s">
        <v>149</v>
      </c>
      <c r="E65" s="108"/>
      <c r="F65" s="108"/>
      <c r="G65" s="108"/>
      <c r="H65" s="108"/>
      <c r="I65" s="108"/>
      <c r="J65" s="108"/>
      <c r="K65" s="108"/>
      <c r="L65" s="108"/>
      <c r="M65" s="108"/>
      <c r="N65" s="108"/>
      <c r="O65" s="108"/>
      <c r="P65" s="108"/>
      <c r="Q65" s="108"/>
      <c r="R65" s="108"/>
      <c r="S65" s="108"/>
      <c r="T65" s="108"/>
      <c r="U65" s="108"/>
      <c r="V65" s="108"/>
      <c r="W65" s="108"/>
      <c r="X65" s="108"/>
      <c r="Y65" s="108"/>
      <c r="Z65" s="108"/>
    </row>
    <row r="66" spans="1:26" ht="79.900000000000006" customHeight="1" x14ac:dyDescent="0.15">
      <c r="B66" s="141"/>
      <c r="C66" s="106" t="s">
        <v>66</v>
      </c>
      <c r="D66" s="121" t="s">
        <v>150</v>
      </c>
      <c r="E66" s="108"/>
      <c r="F66" s="108"/>
      <c r="G66" s="108"/>
      <c r="H66" s="108"/>
      <c r="I66" s="108"/>
      <c r="J66" s="108"/>
      <c r="K66" s="108"/>
      <c r="L66" s="108"/>
      <c r="M66" s="108"/>
      <c r="N66" s="108"/>
      <c r="O66" s="108"/>
      <c r="P66" s="108"/>
      <c r="Q66" s="108"/>
      <c r="R66" s="108"/>
      <c r="S66" s="108"/>
      <c r="T66" s="108"/>
      <c r="U66" s="108"/>
      <c r="V66" s="108"/>
      <c r="W66" s="108"/>
      <c r="X66" s="108"/>
      <c r="Y66" s="108"/>
      <c r="Z66" s="108"/>
    </row>
    <row r="67" spans="1:26" ht="6" customHeight="1" x14ac:dyDescent="0.15"/>
    <row r="68" spans="1:26" ht="18.75" customHeight="1" x14ac:dyDescent="0.15">
      <c r="A68" s="8" t="s">
        <v>116</v>
      </c>
    </row>
    <row r="69" spans="1:26" ht="161.25" customHeight="1" x14ac:dyDescent="0.15">
      <c r="B69" s="16"/>
      <c r="C69" s="16"/>
      <c r="D69" s="65" t="s">
        <v>167</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23:C32"/>
    <mergeCell ref="A1:Z1"/>
    <mergeCell ref="A9:B9"/>
    <mergeCell ref="A11:B11"/>
    <mergeCell ref="A13:B13"/>
    <mergeCell ref="A15:B15"/>
    <mergeCell ref="Y3:Z3"/>
    <mergeCell ref="A7:Z7"/>
    <mergeCell ref="B4:C4"/>
    <mergeCell ref="B5:C5"/>
    <mergeCell ref="F21:Z21"/>
    <mergeCell ref="B33:C42"/>
    <mergeCell ref="B43:C52"/>
    <mergeCell ref="B64:B66"/>
    <mergeCell ref="B62:B63"/>
    <mergeCell ref="B55:C55"/>
    <mergeCell ref="B60:B61"/>
    <mergeCell ref="B56:B57"/>
    <mergeCell ref="B58:B59"/>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rowBreaks count="1" manualBreakCount="1">
    <brk id="52" max="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view="pageBreakPreview" zoomScaleNormal="100" zoomScaleSheetLayoutView="100" workbookViewId="0">
      <selection activeCell="T13" sqref="T13"/>
    </sheetView>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84</v>
      </c>
    </row>
    <row r="2" spans="1:22" ht="18" customHeight="1" x14ac:dyDescent="0.15">
      <c r="A2" s="157" t="s">
        <v>94</v>
      </c>
      <c r="B2" s="157"/>
      <c r="C2" s="157"/>
      <c r="D2" s="157"/>
      <c r="E2" s="157"/>
      <c r="F2" s="157"/>
      <c r="G2" s="157"/>
      <c r="H2" s="157"/>
      <c r="I2" s="157"/>
      <c r="J2" s="157"/>
      <c r="K2" s="157"/>
      <c r="L2" s="157"/>
      <c r="M2" s="157"/>
      <c r="N2" s="157"/>
      <c r="O2" s="157"/>
      <c r="P2" s="157"/>
      <c r="Q2" s="157"/>
      <c r="R2" s="157"/>
      <c r="S2" s="157"/>
      <c r="T2" s="157"/>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71</v>
      </c>
      <c r="C4" s="21" t="s">
        <v>133</v>
      </c>
      <c r="D4" s="8" t="s">
        <v>112</v>
      </c>
      <c r="E4" s="41"/>
      <c r="F4" s="10"/>
      <c r="G4" s="12"/>
      <c r="H4" s="12"/>
      <c r="I4" s="12"/>
      <c r="J4" s="12"/>
      <c r="K4" s="12"/>
      <c r="L4" s="12"/>
      <c r="M4" s="12"/>
      <c r="N4" s="12"/>
      <c r="O4" s="12"/>
      <c r="P4" s="12"/>
      <c r="Q4" s="12"/>
      <c r="R4" s="12"/>
      <c r="S4" s="41"/>
      <c r="T4" s="41"/>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110</v>
      </c>
      <c r="B6" s="12"/>
      <c r="C6" s="12"/>
      <c r="D6" s="12"/>
      <c r="E6" s="12"/>
      <c r="F6" s="12"/>
      <c r="G6" s="12"/>
      <c r="H6" s="12"/>
      <c r="I6" s="12"/>
      <c r="J6" s="12"/>
      <c r="K6" s="12"/>
      <c r="L6" s="12"/>
      <c r="M6" s="12"/>
      <c r="N6" s="12"/>
      <c r="O6" s="12"/>
      <c r="P6" s="12"/>
      <c r="Q6" s="12"/>
      <c r="R6" s="12"/>
      <c r="S6" s="12"/>
      <c r="T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8" t="s">
        <v>43</v>
      </c>
      <c r="C8" s="154" t="s">
        <v>73</v>
      </c>
      <c r="D8" s="155"/>
      <c r="E8" s="160" t="s">
        <v>45</v>
      </c>
      <c r="F8" s="154" t="s">
        <v>38</v>
      </c>
      <c r="G8" s="156" t="s">
        <v>108</v>
      </c>
      <c r="H8" s="156"/>
      <c r="I8" s="156" t="s">
        <v>92</v>
      </c>
      <c r="J8" s="156"/>
      <c r="K8" s="156" t="s">
        <v>86</v>
      </c>
      <c r="L8" s="156"/>
      <c r="M8" s="156" t="s">
        <v>72</v>
      </c>
      <c r="N8" s="156"/>
      <c r="O8" s="156" t="s">
        <v>46</v>
      </c>
      <c r="P8" s="156"/>
      <c r="Q8" s="156" t="s">
        <v>47</v>
      </c>
      <c r="R8" s="167"/>
      <c r="S8" s="163" t="s">
        <v>35</v>
      </c>
      <c r="T8" s="165" t="s">
        <v>32</v>
      </c>
      <c r="V8" s="13"/>
    </row>
    <row r="9" spans="1:22" ht="16.899999999999999" customHeight="1" x14ac:dyDescent="0.15">
      <c r="B9" s="159"/>
      <c r="C9" s="1"/>
      <c r="D9" s="2" t="s">
        <v>111</v>
      </c>
      <c r="E9" s="161"/>
      <c r="F9" s="162"/>
      <c r="G9" s="40" t="s">
        <v>79</v>
      </c>
      <c r="H9" s="40" t="s">
        <v>29</v>
      </c>
      <c r="I9" s="40" t="s">
        <v>79</v>
      </c>
      <c r="J9" s="40" t="s">
        <v>29</v>
      </c>
      <c r="K9" s="40" t="s">
        <v>79</v>
      </c>
      <c r="L9" s="40" t="s">
        <v>29</v>
      </c>
      <c r="M9" s="40" t="s">
        <v>79</v>
      </c>
      <c r="N9" s="40" t="s">
        <v>29</v>
      </c>
      <c r="O9" s="40" t="s">
        <v>79</v>
      </c>
      <c r="P9" s="40" t="s">
        <v>29</v>
      </c>
      <c r="Q9" s="40" t="s">
        <v>79</v>
      </c>
      <c r="R9" s="40" t="s">
        <v>29</v>
      </c>
      <c r="S9" s="164"/>
      <c r="T9" s="166"/>
      <c r="V9" s="13"/>
    </row>
    <row r="10" spans="1:22" ht="18" customHeight="1" x14ac:dyDescent="0.15">
      <c r="A10" s="41"/>
      <c r="B10" s="42" t="s">
        <v>134</v>
      </c>
      <c r="C10" s="126">
        <v>693</v>
      </c>
      <c r="D10" s="127">
        <v>359</v>
      </c>
      <c r="E10" s="128">
        <v>1000</v>
      </c>
      <c r="F10" s="126">
        <v>4200</v>
      </c>
      <c r="G10" s="57">
        <v>146</v>
      </c>
      <c r="H10" s="57">
        <v>5</v>
      </c>
      <c r="I10" s="57">
        <v>0</v>
      </c>
      <c r="J10" s="57">
        <v>0</v>
      </c>
      <c r="K10" s="57">
        <v>0</v>
      </c>
      <c r="L10" s="57">
        <v>0</v>
      </c>
      <c r="M10" s="57">
        <v>0</v>
      </c>
      <c r="N10" s="57">
        <v>0</v>
      </c>
      <c r="O10" s="57">
        <v>0</v>
      </c>
      <c r="P10" s="57">
        <v>0</v>
      </c>
      <c r="Q10" s="57">
        <v>0</v>
      </c>
      <c r="R10" s="57">
        <v>0</v>
      </c>
      <c r="S10" s="3">
        <f>G10+K10+M10+O10+Q10</f>
        <v>146</v>
      </c>
      <c r="T10" s="43">
        <f>S10/F10</f>
        <v>3.4761904761904765E-2</v>
      </c>
    </row>
    <row r="11" spans="1:22" ht="18" customHeight="1" x14ac:dyDescent="0.15">
      <c r="A11" s="41"/>
      <c r="B11" s="44" t="s">
        <v>135</v>
      </c>
      <c r="C11" s="117">
        <v>615</v>
      </c>
      <c r="D11" s="118">
        <v>239</v>
      </c>
      <c r="E11" s="119">
        <v>1000</v>
      </c>
      <c r="F11" s="117">
        <v>4200</v>
      </c>
      <c r="G11" s="60">
        <v>144</v>
      </c>
      <c r="H11" s="60">
        <v>9</v>
      </c>
      <c r="I11" s="60">
        <v>0</v>
      </c>
      <c r="J11" s="60">
        <v>0</v>
      </c>
      <c r="K11" s="60">
        <v>0</v>
      </c>
      <c r="L11" s="60">
        <v>0</v>
      </c>
      <c r="M11" s="60">
        <v>0</v>
      </c>
      <c r="N11" s="60">
        <v>0</v>
      </c>
      <c r="O11" s="60">
        <v>0</v>
      </c>
      <c r="P11" s="60">
        <v>0</v>
      </c>
      <c r="Q11" s="60">
        <v>0</v>
      </c>
      <c r="R11" s="60">
        <v>0</v>
      </c>
      <c r="S11" s="45">
        <f t="shared" ref="S11:S29" si="0">G11+K11+M11+O11+Q11</f>
        <v>144</v>
      </c>
      <c r="T11" s="46">
        <f t="shared" ref="T11:T27" si="1">S11/F11</f>
        <v>3.4285714285714287E-2</v>
      </c>
    </row>
    <row r="12" spans="1:22" ht="18" customHeight="1" x14ac:dyDescent="0.15">
      <c r="A12" s="41"/>
      <c r="B12" s="44" t="s">
        <v>136</v>
      </c>
      <c r="C12" s="117">
        <v>1783</v>
      </c>
      <c r="D12" s="118">
        <v>1201</v>
      </c>
      <c r="E12" s="119">
        <v>750</v>
      </c>
      <c r="F12" s="117">
        <v>3200</v>
      </c>
      <c r="G12" s="60">
        <v>386</v>
      </c>
      <c r="H12" s="60">
        <v>25</v>
      </c>
      <c r="I12" s="60">
        <v>0</v>
      </c>
      <c r="J12" s="60">
        <v>0</v>
      </c>
      <c r="K12" s="60">
        <v>0</v>
      </c>
      <c r="L12" s="60">
        <v>0</v>
      </c>
      <c r="M12" s="60">
        <v>0</v>
      </c>
      <c r="N12" s="60">
        <v>0</v>
      </c>
      <c r="O12" s="60">
        <v>0</v>
      </c>
      <c r="P12" s="60">
        <v>0</v>
      </c>
      <c r="Q12" s="60">
        <v>0</v>
      </c>
      <c r="R12" s="60">
        <v>0</v>
      </c>
      <c r="S12" s="45">
        <f t="shared" si="0"/>
        <v>386</v>
      </c>
      <c r="T12" s="47">
        <f t="shared" si="1"/>
        <v>0.120625</v>
      </c>
    </row>
    <row r="13" spans="1:22" ht="18" customHeight="1" x14ac:dyDescent="0.15">
      <c r="A13" s="41"/>
      <c r="B13" s="44" t="s">
        <v>137</v>
      </c>
      <c r="C13" s="117">
        <v>1414</v>
      </c>
      <c r="D13" s="118">
        <v>1014</v>
      </c>
      <c r="E13" s="119">
        <v>650</v>
      </c>
      <c r="F13" s="117">
        <v>2600</v>
      </c>
      <c r="G13" s="60">
        <v>257</v>
      </c>
      <c r="H13" s="60">
        <v>9</v>
      </c>
      <c r="I13" s="60">
        <v>0</v>
      </c>
      <c r="J13" s="60">
        <v>0</v>
      </c>
      <c r="K13" s="60">
        <v>0</v>
      </c>
      <c r="L13" s="60">
        <v>0</v>
      </c>
      <c r="M13" s="60">
        <v>0</v>
      </c>
      <c r="N13" s="60">
        <v>0</v>
      </c>
      <c r="O13" s="60">
        <v>0</v>
      </c>
      <c r="P13" s="60">
        <v>0</v>
      </c>
      <c r="Q13" s="60">
        <v>0</v>
      </c>
      <c r="R13" s="60">
        <v>0</v>
      </c>
      <c r="S13" s="45">
        <f t="shared" si="0"/>
        <v>257</v>
      </c>
      <c r="T13" s="47">
        <f t="shared" si="1"/>
        <v>9.8846153846153847E-2</v>
      </c>
    </row>
    <row r="14" spans="1:22" ht="18" customHeight="1" x14ac:dyDescent="0.15">
      <c r="A14" s="41"/>
      <c r="B14" s="44"/>
      <c r="C14" s="117"/>
      <c r="D14" s="118"/>
      <c r="E14" s="119"/>
      <c r="F14" s="117"/>
      <c r="G14" s="60"/>
      <c r="H14" s="60"/>
      <c r="I14" s="60"/>
      <c r="J14" s="60"/>
      <c r="K14" s="60"/>
      <c r="L14" s="60"/>
      <c r="M14" s="60"/>
      <c r="N14" s="60"/>
      <c r="O14" s="60"/>
      <c r="P14" s="60"/>
      <c r="Q14" s="60"/>
      <c r="R14" s="60"/>
      <c r="S14" s="45">
        <f t="shared" si="0"/>
        <v>0</v>
      </c>
      <c r="T14" s="47" t="e">
        <f t="shared" si="1"/>
        <v>#DIV/0!</v>
      </c>
    </row>
    <row r="15" spans="1:22" ht="18" customHeight="1" x14ac:dyDescent="0.15">
      <c r="A15" s="41"/>
      <c r="B15" s="44"/>
      <c r="C15" s="59"/>
      <c r="D15" s="61"/>
      <c r="E15" s="58"/>
      <c r="F15" s="59"/>
      <c r="G15" s="60"/>
      <c r="H15" s="60"/>
      <c r="I15" s="60"/>
      <c r="J15" s="60"/>
      <c r="K15" s="60"/>
      <c r="L15" s="60"/>
      <c r="M15" s="60"/>
      <c r="N15" s="60"/>
      <c r="O15" s="60"/>
      <c r="P15" s="60"/>
      <c r="Q15" s="60"/>
      <c r="R15" s="60"/>
      <c r="S15" s="45">
        <f t="shared" si="0"/>
        <v>0</v>
      </c>
      <c r="T15" s="47" t="e">
        <f t="shared" si="1"/>
        <v>#DIV/0!</v>
      </c>
    </row>
    <row r="16" spans="1:22" ht="18" customHeight="1" x14ac:dyDescent="0.15">
      <c r="A16" s="41"/>
      <c r="B16" s="44"/>
      <c r="C16" s="59"/>
      <c r="D16" s="61"/>
      <c r="E16" s="58"/>
      <c r="F16" s="59"/>
      <c r="G16" s="60"/>
      <c r="H16" s="60"/>
      <c r="I16" s="60"/>
      <c r="J16" s="60"/>
      <c r="K16" s="60"/>
      <c r="L16" s="60"/>
      <c r="M16" s="60"/>
      <c r="N16" s="60"/>
      <c r="O16" s="60"/>
      <c r="P16" s="60"/>
      <c r="Q16" s="60"/>
      <c r="R16" s="60"/>
      <c r="S16" s="45">
        <f t="shared" si="0"/>
        <v>0</v>
      </c>
      <c r="T16" s="47" t="e">
        <f t="shared" si="1"/>
        <v>#DIV/0!</v>
      </c>
    </row>
    <row r="17" spans="1:20" ht="18" customHeight="1" x14ac:dyDescent="0.15">
      <c r="A17" s="41"/>
      <c r="B17" s="44"/>
      <c r="C17" s="59"/>
      <c r="D17" s="61"/>
      <c r="E17" s="58"/>
      <c r="F17" s="59"/>
      <c r="G17" s="60"/>
      <c r="H17" s="60"/>
      <c r="I17" s="60"/>
      <c r="J17" s="60"/>
      <c r="K17" s="60"/>
      <c r="L17" s="60"/>
      <c r="M17" s="60"/>
      <c r="N17" s="60"/>
      <c r="O17" s="60"/>
      <c r="P17" s="60"/>
      <c r="Q17" s="60"/>
      <c r="R17" s="60"/>
      <c r="S17" s="45">
        <f t="shared" si="0"/>
        <v>0</v>
      </c>
      <c r="T17" s="47" t="e">
        <f t="shared" si="1"/>
        <v>#DIV/0!</v>
      </c>
    </row>
    <row r="18" spans="1:20" ht="18" customHeight="1" x14ac:dyDescent="0.15">
      <c r="A18" s="41"/>
      <c r="B18" s="44"/>
      <c r="C18" s="59"/>
      <c r="D18" s="61"/>
      <c r="E18" s="58"/>
      <c r="F18" s="59"/>
      <c r="G18" s="60"/>
      <c r="H18" s="60"/>
      <c r="I18" s="60"/>
      <c r="J18" s="60"/>
      <c r="K18" s="60"/>
      <c r="L18" s="60"/>
      <c r="M18" s="60"/>
      <c r="N18" s="60"/>
      <c r="O18" s="60"/>
      <c r="P18" s="60"/>
      <c r="Q18" s="60"/>
      <c r="R18" s="60"/>
      <c r="S18" s="45">
        <f t="shared" si="0"/>
        <v>0</v>
      </c>
      <c r="T18" s="47" t="e">
        <f t="shared" si="1"/>
        <v>#DIV/0!</v>
      </c>
    </row>
    <row r="19" spans="1:20" ht="18" customHeight="1" x14ac:dyDescent="0.15">
      <c r="A19" s="41"/>
      <c r="B19" s="44"/>
      <c r="C19" s="59"/>
      <c r="D19" s="61"/>
      <c r="E19" s="58"/>
      <c r="F19" s="59"/>
      <c r="G19" s="60"/>
      <c r="H19" s="60"/>
      <c r="I19" s="60"/>
      <c r="J19" s="60"/>
      <c r="K19" s="60"/>
      <c r="L19" s="60"/>
      <c r="M19" s="60"/>
      <c r="N19" s="60"/>
      <c r="O19" s="60"/>
      <c r="P19" s="60"/>
      <c r="Q19" s="60"/>
      <c r="R19" s="60"/>
      <c r="S19" s="45">
        <f t="shared" si="0"/>
        <v>0</v>
      </c>
      <c r="T19" s="47" t="e">
        <f t="shared" si="1"/>
        <v>#DIV/0!</v>
      </c>
    </row>
    <row r="20" spans="1:20" ht="18" customHeight="1" x14ac:dyDescent="0.15">
      <c r="A20" s="41"/>
      <c r="B20" s="44"/>
      <c r="C20" s="59"/>
      <c r="D20" s="61"/>
      <c r="E20" s="58"/>
      <c r="F20" s="59"/>
      <c r="G20" s="60"/>
      <c r="H20" s="60"/>
      <c r="I20" s="60"/>
      <c r="J20" s="60"/>
      <c r="K20" s="60"/>
      <c r="L20" s="60"/>
      <c r="M20" s="60"/>
      <c r="N20" s="60"/>
      <c r="O20" s="60"/>
      <c r="P20" s="60"/>
      <c r="Q20" s="60"/>
      <c r="R20" s="60"/>
      <c r="S20" s="45">
        <f t="shared" si="0"/>
        <v>0</v>
      </c>
      <c r="T20" s="47" t="e">
        <f t="shared" si="1"/>
        <v>#DIV/0!</v>
      </c>
    </row>
    <row r="21" spans="1:20" ht="18" customHeight="1" x14ac:dyDescent="0.15">
      <c r="A21" s="41"/>
      <c r="B21" s="44"/>
      <c r="C21" s="59"/>
      <c r="D21" s="61"/>
      <c r="E21" s="58"/>
      <c r="F21" s="59"/>
      <c r="G21" s="60"/>
      <c r="H21" s="60"/>
      <c r="I21" s="60"/>
      <c r="J21" s="60"/>
      <c r="K21" s="60"/>
      <c r="L21" s="60"/>
      <c r="M21" s="60"/>
      <c r="N21" s="60"/>
      <c r="O21" s="60"/>
      <c r="P21" s="60"/>
      <c r="Q21" s="60"/>
      <c r="R21" s="60"/>
      <c r="S21" s="45">
        <f t="shared" si="0"/>
        <v>0</v>
      </c>
      <c r="T21" s="47" t="e">
        <f t="shared" si="1"/>
        <v>#DIV/0!</v>
      </c>
    </row>
    <row r="22" spans="1:20" ht="18" customHeight="1" x14ac:dyDescent="0.15">
      <c r="A22" s="41"/>
      <c r="B22" s="44"/>
      <c r="C22" s="59"/>
      <c r="D22" s="61"/>
      <c r="E22" s="58"/>
      <c r="F22" s="59"/>
      <c r="G22" s="60"/>
      <c r="H22" s="60"/>
      <c r="I22" s="60"/>
      <c r="J22" s="60"/>
      <c r="K22" s="60"/>
      <c r="L22" s="60"/>
      <c r="M22" s="60"/>
      <c r="N22" s="60"/>
      <c r="O22" s="60"/>
      <c r="P22" s="60"/>
      <c r="Q22" s="60"/>
      <c r="R22" s="60"/>
      <c r="S22" s="45">
        <f t="shared" si="0"/>
        <v>0</v>
      </c>
      <c r="T22" s="47" t="e">
        <f t="shared" si="1"/>
        <v>#DIV/0!</v>
      </c>
    </row>
    <row r="23" spans="1:20" ht="18" customHeight="1" x14ac:dyDescent="0.15">
      <c r="A23" s="41"/>
      <c r="B23" s="44"/>
      <c r="C23" s="59"/>
      <c r="D23" s="61"/>
      <c r="E23" s="58"/>
      <c r="F23" s="59"/>
      <c r="G23" s="60"/>
      <c r="H23" s="60"/>
      <c r="I23" s="60"/>
      <c r="J23" s="60"/>
      <c r="K23" s="60"/>
      <c r="L23" s="60"/>
      <c r="M23" s="60"/>
      <c r="N23" s="60"/>
      <c r="O23" s="60"/>
      <c r="P23" s="60"/>
      <c r="Q23" s="60"/>
      <c r="R23" s="60"/>
      <c r="S23" s="45">
        <f t="shared" si="0"/>
        <v>0</v>
      </c>
      <c r="T23" s="47" t="e">
        <f t="shared" si="1"/>
        <v>#DIV/0!</v>
      </c>
    </row>
    <row r="24" spans="1:20" ht="18" customHeight="1" x14ac:dyDescent="0.15">
      <c r="A24" s="41"/>
      <c r="B24" s="44"/>
      <c r="C24" s="59"/>
      <c r="D24" s="61"/>
      <c r="E24" s="58"/>
      <c r="F24" s="59"/>
      <c r="G24" s="60"/>
      <c r="H24" s="60"/>
      <c r="I24" s="60"/>
      <c r="J24" s="60"/>
      <c r="K24" s="60"/>
      <c r="L24" s="60"/>
      <c r="M24" s="60"/>
      <c r="N24" s="60"/>
      <c r="O24" s="60"/>
      <c r="P24" s="60"/>
      <c r="Q24" s="60"/>
      <c r="R24" s="60"/>
      <c r="S24" s="45">
        <f t="shared" si="0"/>
        <v>0</v>
      </c>
      <c r="T24" s="47" t="e">
        <f t="shared" si="1"/>
        <v>#DIV/0!</v>
      </c>
    </row>
    <row r="25" spans="1:20" ht="18" customHeight="1" x14ac:dyDescent="0.15">
      <c r="A25" s="41"/>
      <c r="B25" s="44"/>
      <c r="C25" s="59"/>
      <c r="D25" s="61"/>
      <c r="E25" s="58"/>
      <c r="F25" s="59"/>
      <c r="G25" s="60"/>
      <c r="H25" s="60"/>
      <c r="I25" s="60"/>
      <c r="J25" s="60"/>
      <c r="K25" s="60"/>
      <c r="L25" s="60"/>
      <c r="M25" s="60"/>
      <c r="N25" s="60"/>
      <c r="O25" s="60"/>
      <c r="P25" s="60"/>
      <c r="Q25" s="60"/>
      <c r="R25" s="60"/>
      <c r="S25" s="45">
        <f t="shared" si="0"/>
        <v>0</v>
      </c>
      <c r="T25" s="47" t="e">
        <f t="shared" si="1"/>
        <v>#DIV/0!</v>
      </c>
    </row>
    <row r="26" spans="1:20" ht="18" customHeight="1" x14ac:dyDescent="0.15">
      <c r="A26" s="41"/>
      <c r="B26" s="44"/>
      <c r="C26" s="59"/>
      <c r="D26" s="61"/>
      <c r="E26" s="58"/>
      <c r="F26" s="59"/>
      <c r="G26" s="60"/>
      <c r="H26" s="60"/>
      <c r="I26" s="60"/>
      <c r="J26" s="60"/>
      <c r="K26" s="60"/>
      <c r="L26" s="60"/>
      <c r="M26" s="60"/>
      <c r="N26" s="60"/>
      <c r="O26" s="60"/>
      <c r="P26" s="60"/>
      <c r="Q26" s="60"/>
      <c r="R26" s="60"/>
      <c r="S26" s="45">
        <f t="shared" si="0"/>
        <v>0</v>
      </c>
      <c r="T26" s="47" t="e">
        <f t="shared" si="1"/>
        <v>#DIV/0!</v>
      </c>
    </row>
    <row r="27" spans="1:20" ht="18" customHeight="1" x14ac:dyDescent="0.15">
      <c r="A27" s="41"/>
      <c r="B27" s="44"/>
      <c r="C27" s="59"/>
      <c r="D27" s="61"/>
      <c r="E27" s="62"/>
      <c r="F27" s="59"/>
      <c r="G27" s="60"/>
      <c r="H27" s="60"/>
      <c r="I27" s="60"/>
      <c r="J27" s="60"/>
      <c r="K27" s="60"/>
      <c r="L27" s="60"/>
      <c r="M27" s="60"/>
      <c r="N27" s="60"/>
      <c r="O27" s="60"/>
      <c r="P27" s="60"/>
      <c r="Q27" s="60"/>
      <c r="R27" s="60"/>
      <c r="S27" s="45">
        <f t="shared" si="0"/>
        <v>0</v>
      </c>
      <c r="T27" s="47" t="e">
        <f t="shared" si="1"/>
        <v>#DIV/0!</v>
      </c>
    </row>
    <row r="28" spans="1:20" ht="18" customHeight="1" x14ac:dyDescent="0.15">
      <c r="A28" s="41"/>
      <c r="B28" s="44"/>
      <c r="C28" s="59"/>
      <c r="D28" s="61"/>
      <c r="E28" s="62"/>
      <c r="F28" s="59"/>
      <c r="G28" s="60"/>
      <c r="H28" s="60"/>
      <c r="I28" s="60"/>
      <c r="J28" s="60"/>
      <c r="K28" s="60"/>
      <c r="L28" s="60"/>
      <c r="M28" s="60"/>
      <c r="N28" s="60"/>
      <c r="O28" s="60"/>
      <c r="P28" s="60"/>
      <c r="Q28" s="60"/>
      <c r="R28" s="60"/>
      <c r="S28" s="45">
        <f t="shared" si="0"/>
        <v>0</v>
      </c>
      <c r="T28" s="47" t="e">
        <f t="shared" ref="T28:T29" si="2">S28/F28</f>
        <v>#DIV/0!</v>
      </c>
    </row>
    <row r="29" spans="1:20" ht="18" customHeight="1" thickBot="1" x14ac:dyDescent="0.2">
      <c r="A29" s="41"/>
      <c r="B29" s="48"/>
      <c r="C29" s="57"/>
      <c r="D29" s="63"/>
      <c r="E29" s="64"/>
      <c r="F29" s="57"/>
      <c r="G29" s="57"/>
      <c r="H29" s="57"/>
      <c r="I29" s="57"/>
      <c r="J29" s="57"/>
      <c r="K29" s="57"/>
      <c r="L29" s="57"/>
      <c r="M29" s="57"/>
      <c r="N29" s="57"/>
      <c r="O29" s="57"/>
      <c r="P29" s="57"/>
      <c r="Q29" s="57"/>
      <c r="R29" s="57"/>
      <c r="S29" s="3">
        <f t="shared" si="0"/>
        <v>0</v>
      </c>
      <c r="T29" s="47" t="e">
        <f t="shared" si="2"/>
        <v>#DIV/0!</v>
      </c>
    </row>
    <row r="30" spans="1:20" ht="18" customHeight="1" thickTop="1" x14ac:dyDescent="0.15">
      <c r="B30" s="49" t="s">
        <v>33</v>
      </c>
      <c r="C30" s="51">
        <f t="shared" ref="C30" si="3">SUM(C10:C29)</f>
        <v>4505</v>
      </c>
      <c r="D30" s="109">
        <f>SUM(D10:D29)</f>
        <v>2813</v>
      </c>
      <c r="E30" s="50">
        <f t="shared" ref="E30:G30" si="4">SUM(E10:E29)</f>
        <v>3400</v>
      </c>
      <c r="F30" s="51">
        <f t="shared" si="4"/>
        <v>14200</v>
      </c>
      <c r="G30" s="51">
        <f t="shared" si="4"/>
        <v>933</v>
      </c>
      <c r="H30" s="51">
        <f t="shared" ref="H30:K30" si="5">SUM(H10:H29)</f>
        <v>48</v>
      </c>
      <c r="I30" s="51">
        <f t="shared" si="5"/>
        <v>0</v>
      </c>
      <c r="J30" s="51">
        <f t="shared" si="5"/>
        <v>0</v>
      </c>
      <c r="K30" s="51">
        <f t="shared" si="5"/>
        <v>0</v>
      </c>
      <c r="L30" s="51">
        <f t="shared" ref="L30:M30" si="6">SUM(L10:L29)</f>
        <v>0</v>
      </c>
      <c r="M30" s="51">
        <f t="shared" si="6"/>
        <v>0</v>
      </c>
      <c r="N30" s="51">
        <f t="shared" ref="N30:S30" si="7">SUM(N10:N29)</f>
        <v>0</v>
      </c>
      <c r="O30" s="51">
        <f t="shared" si="7"/>
        <v>0</v>
      </c>
      <c r="P30" s="51">
        <f t="shared" si="7"/>
        <v>0</v>
      </c>
      <c r="Q30" s="51">
        <f t="shared" si="7"/>
        <v>0</v>
      </c>
      <c r="R30" s="51">
        <f t="shared" si="7"/>
        <v>0</v>
      </c>
      <c r="S30" s="51">
        <f t="shared" si="7"/>
        <v>933</v>
      </c>
      <c r="T30" s="52">
        <f>S30/F30</f>
        <v>6.5704225352112677E-2</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G10:R29 C10:F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topLeftCell="A38" zoomScaleNormal="100" zoomScaleSheetLayoutView="100" workbookViewId="0">
      <selection activeCell="C36" sqref="C36"/>
    </sheetView>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58</v>
      </c>
      <c r="E1" s="9" t="s">
        <v>83</v>
      </c>
    </row>
    <row r="2" spans="1:5" ht="10.9" customHeight="1" x14ac:dyDescent="0.15">
      <c r="E2" s="10"/>
    </row>
    <row r="3" spans="1:5" ht="18.600000000000001" customHeight="1" x14ac:dyDescent="0.15">
      <c r="A3" s="157" t="s">
        <v>36</v>
      </c>
      <c r="B3" s="157"/>
      <c r="C3" s="157"/>
      <c r="D3" s="157"/>
      <c r="E3" s="157"/>
    </row>
    <row r="4" spans="1:5" ht="13.15" customHeight="1" x14ac:dyDescent="0.15">
      <c r="B4" s="12"/>
      <c r="C4" s="12"/>
      <c r="D4" s="12"/>
      <c r="E4" s="12"/>
    </row>
    <row r="5" spans="1:5" ht="18" customHeight="1" x14ac:dyDescent="0.15">
      <c r="A5" s="8" t="s">
        <v>0</v>
      </c>
      <c r="B5" s="146" t="s">
        <v>76</v>
      </c>
      <c r="C5" s="146"/>
      <c r="D5" s="146"/>
      <c r="E5" s="146"/>
    </row>
    <row r="6" spans="1:5" ht="18.600000000000001" customHeight="1" x14ac:dyDescent="0.15">
      <c r="B6" s="29" t="s">
        <v>77</v>
      </c>
      <c r="C6" s="125">
        <v>325</v>
      </c>
      <c r="D6" s="10" t="s">
        <v>1</v>
      </c>
      <c r="E6" s="14"/>
    </row>
    <row r="7" spans="1:5" ht="18.600000000000001" customHeight="1" x14ac:dyDescent="0.15">
      <c r="B7" s="29" t="s">
        <v>2</v>
      </c>
      <c r="C7" s="125">
        <v>242</v>
      </c>
      <c r="D7" s="10" t="s">
        <v>1</v>
      </c>
      <c r="E7" s="14"/>
    </row>
    <row r="8" spans="1:5" ht="18.600000000000001" customHeight="1" x14ac:dyDescent="0.15">
      <c r="B8" s="9"/>
      <c r="C8" s="9"/>
      <c r="D8" s="10"/>
      <c r="E8" s="14"/>
    </row>
    <row r="9" spans="1:5" ht="18" customHeight="1" x14ac:dyDescent="0.15">
      <c r="A9" s="8" t="s">
        <v>3</v>
      </c>
      <c r="B9" s="146" t="s">
        <v>122</v>
      </c>
      <c r="C9" s="146"/>
      <c r="D9" s="146"/>
      <c r="E9" s="146"/>
    </row>
    <row r="10" spans="1:5" ht="18" customHeight="1" x14ac:dyDescent="0.15">
      <c r="A10" s="8"/>
      <c r="B10" s="10"/>
      <c r="C10" s="125">
        <v>1</v>
      </c>
      <c r="D10" s="10" t="s">
        <v>1</v>
      </c>
      <c r="E10" s="10"/>
    </row>
    <row r="11" spans="1:5" ht="9" customHeight="1" x14ac:dyDescent="0.15">
      <c r="B11" s="12"/>
      <c r="C11" s="12"/>
      <c r="D11" s="12"/>
      <c r="E11" s="12"/>
    </row>
    <row r="12" spans="1:5" ht="18" customHeight="1" x14ac:dyDescent="0.15">
      <c r="A12" s="8" t="s">
        <v>4</v>
      </c>
      <c r="B12" s="146" t="s">
        <v>78</v>
      </c>
      <c r="C12" s="146"/>
      <c r="D12" s="146"/>
      <c r="E12" s="146"/>
    </row>
    <row r="13" spans="1:5" ht="18" customHeight="1" x14ac:dyDescent="0.15">
      <c r="C13" s="9" t="s">
        <v>41</v>
      </c>
      <c r="D13" s="67" t="s">
        <v>158</v>
      </c>
      <c r="E13" s="10"/>
    </row>
    <row r="14" spans="1:5" ht="18" customHeight="1" x14ac:dyDescent="0.15">
      <c r="C14" s="9" t="s">
        <v>10</v>
      </c>
      <c r="D14" s="67" t="s">
        <v>157</v>
      </c>
      <c r="E14" s="14"/>
    </row>
    <row r="15" spans="1:5" ht="10.15" customHeight="1" x14ac:dyDescent="0.15">
      <c r="B15" s="9"/>
      <c r="C15" s="10"/>
      <c r="D15" s="14"/>
      <c r="E15" s="14"/>
    </row>
    <row r="16" spans="1:5" ht="18" customHeight="1" x14ac:dyDescent="0.15">
      <c r="A16" s="8" t="s">
        <v>7</v>
      </c>
      <c r="B16" s="146" t="s">
        <v>74</v>
      </c>
      <c r="C16" s="146"/>
      <c r="D16" s="146"/>
      <c r="E16" s="146"/>
    </row>
    <row r="17" spans="1:10" ht="18" customHeight="1" x14ac:dyDescent="0.15">
      <c r="C17" s="9" t="s">
        <v>118</v>
      </c>
      <c r="D17" s="67" t="s">
        <v>166</v>
      </c>
      <c r="E17" s="10"/>
    </row>
    <row r="18" spans="1:10" ht="9" customHeight="1" x14ac:dyDescent="0.15">
      <c r="B18" s="12"/>
      <c r="C18" s="12"/>
      <c r="D18" s="12"/>
      <c r="E18" s="12"/>
    </row>
    <row r="19" spans="1:10" ht="18.75" customHeight="1" x14ac:dyDescent="0.15">
      <c r="A19" s="8" t="s">
        <v>5</v>
      </c>
      <c r="B19" s="145" t="s">
        <v>40</v>
      </c>
      <c r="C19" s="145"/>
      <c r="D19" s="145"/>
      <c r="E19" s="145"/>
    </row>
    <row r="20" spans="1:10" ht="18.75" customHeight="1" x14ac:dyDescent="0.15">
      <c r="A20" s="8"/>
      <c r="C20" s="9" t="s">
        <v>118</v>
      </c>
      <c r="D20" s="67" t="s">
        <v>159</v>
      </c>
      <c r="E20" s="10"/>
    </row>
    <row r="21" spans="1:10" ht="7.5" customHeight="1" x14ac:dyDescent="0.15">
      <c r="B21" s="12"/>
      <c r="C21" s="12"/>
      <c r="D21" s="12"/>
      <c r="E21" s="12"/>
    </row>
    <row r="22" spans="1:10" ht="18.75" customHeight="1" x14ac:dyDescent="0.15">
      <c r="A22" s="8" t="s">
        <v>8</v>
      </c>
      <c r="B22" s="145" t="s">
        <v>25</v>
      </c>
      <c r="C22" s="145"/>
      <c r="D22" s="145"/>
      <c r="E22" s="145"/>
    </row>
    <row r="23" spans="1:10" ht="180" customHeight="1" x14ac:dyDescent="0.15">
      <c r="A23" s="15"/>
      <c r="B23" s="16"/>
      <c r="C23" s="169" t="s">
        <v>173</v>
      </c>
      <c r="D23" s="170"/>
      <c r="E23" s="171"/>
    </row>
    <row r="24" spans="1:10" ht="7.5" customHeight="1" x14ac:dyDescent="0.15">
      <c r="A24" s="15"/>
      <c r="B24" s="15"/>
      <c r="C24" s="15"/>
      <c r="D24" s="15"/>
      <c r="E24" s="15"/>
    </row>
    <row r="25" spans="1:10" ht="18.75" customHeight="1" x14ac:dyDescent="0.15">
      <c r="A25" s="17" t="s">
        <v>6</v>
      </c>
      <c r="B25" s="174" t="s">
        <v>9</v>
      </c>
      <c r="C25" s="175"/>
      <c r="D25" s="175"/>
      <c r="E25" s="175"/>
    </row>
    <row r="26" spans="1:10" ht="231.75" customHeight="1" x14ac:dyDescent="0.15">
      <c r="A26" s="15"/>
      <c r="B26" s="16"/>
      <c r="C26" s="169" t="s">
        <v>174</v>
      </c>
      <c r="D26" s="170"/>
      <c r="E26" s="171"/>
    </row>
    <row r="27" spans="1:10" ht="7.5" customHeight="1" x14ac:dyDescent="0.15">
      <c r="A27" s="18"/>
      <c r="B27" s="18"/>
      <c r="C27" s="18"/>
      <c r="D27" s="18"/>
      <c r="E27" s="18"/>
    </row>
    <row r="28" spans="1:10" ht="18.75" customHeight="1" x14ac:dyDescent="0.15">
      <c r="A28" s="8" t="s">
        <v>31</v>
      </c>
      <c r="B28" s="145" t="s">
        <v>121</v>
      </c>
      <c r="C28" s="168"/>
      <c r="D28" s="168"/>
      <c r="E28" s="145"/>
    </row>
    <row r="29" spans="1:10" s="12" customFormat="1" ht="18.75" customHeight="1" x14ac:dyDescent="0.15">
      <c r="B29" s="25"/>
      <c r="C29" s="21" t="s">
        <v>123</v>
      </c>
      <c r="D29" s="30">
        <f>IFERROR('様式２ 履修者等数の実績'!T30, "（様式２より自動転記）")</f>
        <v>6.5704225352112677E-2</v>
      </c>
      <c r="E29" s="26"/>
      <c r="F29" s="8"/>
      <c r="I29" s="8"/>
      <c r="J29" s="20"/>
    </row>
    <row r="30" spans="1:10" s="12" customFormat="1" ht="18.75" customHeight="1" x14ac:dyDescent="0.15">
      <c r="B30" s="25"/>
      <c r="C30" s="21" t="s">
        <v>75</v>
      </c>
      <c r="D30" s="30">
        <v>0.09</v>
      </c>
      <c r="E30" s="26"/>
      <c r="F30" s="8"/>
      <c r="I30" s="8"/>
      <c r="J30" s="20"/>
    </row>
    <row r="31" spans="1:10" s="12" customFormat="1" ht="18.75" customHeight="1" x14ac:dyDescent="0.15">
      <c r="B31" s="25"/>
      <c r="C31" s="21" t="s">
        <v>89</v>
      </c>
      <c r="D31" s="30">
        <v>0.11</v>
      </c>
      <c r="E31" s="26"/>
      <c r="F31" s="8"/>
      <c r="I31" s="8"/>
      <c r="J31" s="20"/>
    </row>
    <row r="32" spans="1:10" s="12" customFormat="1" ht="18.75" customHeight="1" x14ac:dyDescent="0.15">
      <c r="B32" s="22"/>
      <c r="C32" s="19" t="s">
        <v>119</v>
      </c>
      <c r="D32" s="30">
        <v>0.12</v>
      </c>
      <c r="E32" s="27"/>
      <c r="F32" s="8"/>
      <c r="I32" s="8"/>
      <c r="J32" s="20"/>
    </row>
    <row r="33" spans="1:11" s="12" customFormat="1" ht="18.75" customHeight="1" x14ac:dyDescent="0.15">
      <c r="B33" s="22"/>
      <c r="C33" s="19" t="s">
        <v>120</v>
      </c>
      <c r="D33" s="30">
        <v>0.13</v>
      </c>
      <c r="E33" s="27"/>
      <c r="F33" s="8"/>
      <c r="I33" s="8"/>
      <c r="J33" s="20"/>
    </row>
    <row r="34" spans="1:11" ht="18.75" customHeight="1" x14ac:dyDescent="0.15">
      <c r="A34" s="8"/>
      <c r="B34" s="173" t="s">
        <v>59</v>
      </c>
      <c r="C34" s="173"/>
      <c r="D34" s="173"/>
      <c r="E34" s="173"/>
      <c r="J34" s="20"/>
      <c r="K34" s="12"/>
    </row>
    <row r="35" spans="1:11" ht="180" customHeight="1" x14ac:dyDescent="0.15">
      <c r="A35" s="8"/>
      <c r="B35" s="16"/>
      <c r="C35" s="169" t="s">
        <v>175</v>
      </c>
      <c r="D35" s="170"/>
      <c r="E35" s="171"/>
      <c r="J35" s="20"/>
      <c r="K35" s="12"/>
    </row>
    <row r="36" spans="1:11" ht="7.5" customHeight="1" x14ac:dyDescent="0.15">
      <c r="A36" s="15"/>
      <c r="B36" s="15"/>
      <c r="C36" s="15"/>
      <c r="D36" s="15"/>
      <c r="E36" s="15"/>
    </row>
    <row r="37" spans="1:11" ht="18.75" customHeight="1" x14ac:dyDescent="0.15">
      <c r="A37" s="17" t="s">
        <v>34</v>
      </c>
      <c r="B37" s="145" t="s">
        <v>37</v>
      </c>
      <c r="C37" s="168"/>
      <c r="D37" s="168"/>
      <c r="E37" s="168"/>
    </row>
    <row r="38" spans="1:11" ht="180" customHeight="1" x14ac:dyDescent="0.15">
      <c r="A38" s="18"/>
      <c r="B38" s="16"/>
      <c r="C38" s="169" t="s">
        <v>155</v>
      </c>
      <c r="D38" s="170"/>
      <c r="E38" s="171"/>
    </row>
    <row r="39" spans="1:11" ht="7.5" customHeight="1" x14ac:dyDescent="0.15">
      <c r="A39" s="18"/>
      <c r="B39" s="18"/>
      <c r="C39" s="18"/>
      <c r="D39" s="18"/>
      <c r="E39" s="18"/>
    </row>
    <row r="40" spans="1:11" ht="18.75" customHeight="1" x14ac:dyDescent="0.15">
      <c r="A40" s="8" t="s">
        <v>11</v>
      </c>
      <c r="B40" s="145" t="s">
        <v>39</v>
      </c>
      <c r="C40" s="168"/>
      <c r="D40" s="168"/>
      <c r="E40" s="168"/>
    </row>
    <row r="41" spans="1:11" ht="180" customHeight="1" x14ac:dyDescent="0.15">
      <c r="A41" s="8"/>
      <c r="B41" s="16"/>
      <c r="C41" s="169" t="s">
        <v>169</v>
      </c>
      <c r="D41" s="170"/>
      <c r="E41" s="171"/>
    </row>
    <row r="42" spans="1:11" ht="7.5" customHeight="1" x14ac:dyDescent="0.15">
      <c r="A42" s="18"/>
      <c r="B42" s="18"/>
      <c r="C42" s="18"/>
      <c r="D42" s="18"/>
      <c r="E42" s="18"/>
    </row>
    <row r="43" spans="1:11" ht="18.75" customHeight="1" x14ac:dyDescent="0.15">
      <c r="A43" s="8" t="s">
        <v>42</v>
      </c>
      <c r="B43" s="145" t="s">
        <v>13</v>
      </c>
      <c r="C43" s="168"/>
      <c r="D43" s="168"/>
      <c r="E43" s="168"/>
    </row>
    <row r="44" spans="1:11" ht="180" customHeight="1" x14ac:dyDescent="0.15">
      <c r="A44" s="8"/>
      <c r="B44" s="16"/>
      <c r="C44" s="169" t="s">
        <v>156</v>
      </c>
      <c r="D44" s="170"/>
      <c r="E44" s="171"/>
    </row>
    <row r="45" spans="1:11" ht="7.5" customHeight="1" x14ac:dyDescent="0.15">
      <c r="A45" s="18"/>
      <c r="B45" s="18"/>
      <c r="C45" s="18"/>
      <c r="D45" s="18"/>
      <c r="E45" s="18"/>
    </row>
    <row r="46" spans="1:11" ht="18.75" customHeight="1" x14ac:dyDescent="0.15">
      <c r="A46" s="8" t="s">
        <v>30</v>
      </c>
      <c r="B46" s="145" t="s">
        <v>44</v>
      </c>
      <c r="C46" s="145"/>
      <c r="D46" s="145"/>
      <c r="E46" s="145"/>
    </row>
    <row r="47" spans="1:11" ht="180" customHeight="1" x14ac:dyDescent="0.15">
      <c r="A47" s="18"/>
      <c r="B47" s="16"/>
      <c r="C47" s="169" t="s">
        <v>151</v>
      </c>
      <c r="D47" s="170"/>
      <c r="E47" s="171"/>
    </row>
    <row r="48" spans="1:11" ht="7.5" customHeight="1" x14ac:dyDescent="0.15">
      <c r="A48" s="18"/>
      <c r="B48" s="23"/>
      <c r="C48" s="23"/>
      <c r="D48" s="23"/>
      <c r="E48" s="23"/>
    </row>
    <row r="49" spans="1:5" ht="18.75" customHeight="1" x14ac:dyDescent="0.15">
      <c r="A49" s="8"/>
      <c r="B49" s="172"/>
      <c r="C49" s="172"/>
      <c r="D49" s="172"/>
      <c r="E49" s="172"/>
    </row>
    <row r="50" spans="1:5" ht="18.75" customHeight="1" x14ac:dyDescent="0.15">
      <c r="A50" s="8"/>
      <c r="B50" s="172"/>
      <c r="C50" s="172"/>
      <c r="D50" s="172"/>
      <c r="E50" s="172"/>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 ref="B40:E40"/>
    <mergeCell ref="B43:E43"/>
    <mergeCell ref="C26:E26"/>
    <mergeCell ref="C35:E35"/>
    <mergeCell ref="C38:E38"/>
    <mergeCell ref="C41:E41"/>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tabSelected="1" view="pageBreakPreview" topLeftCell="A13" zoomScale="90" zoomScaleNormal="100" zoomScaleSheetLayoutView="90" workbookViewId="0">
      <selection activeCell="D15" sqref="D15"/>
    </sheetView>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60</v>
      </c>
      <c r="E1" s="9" t="s">
        <v>82</v>
      </c>
    </row>
    <row r="2" spans="1:5" ht="18.75" customHeight="1" x14ac:dyDescent="0.15">
      <c r="A2" s="157" t="s">
        <v>28</v>
      </c>
      <c r="B2" s="157"/>
      <c r="C2" s="157"/>
      <c r="D2" s="157"/>
      <c r="E2" s="157"/>
    </row>
    <row r="3" spans="1:5" ht="18.75" customHeight="1" x14ac:dyDescent="0.15">
      <c r="A3" s="11"/>
      <c r="B3" s="11"/>
      <c r="C3" s="11"/>
      <c r="D3" s="11"/>
    </row>
    <row r="4" spans="1:5" ht="18.75" customHeight="1" x14ac:dyDescent="0.15">
      <c r="A4" s="12" t="s">
        <v>0</v>
      </c>
      <c r="B4" s="176" t="s">
        <v>124</v>
      </c>
      <c r="C4" s="176"/>
      <c r="D4" s="111" t="s">
        <v>161</v>
      </c>
    </row>
    <row r="5" spans="1:5" ht="9" customHeight="1" x14ac:dyDescent="0.15">
      <c r="A5" s="11"/>
      <c r="B5" s="10"/>
      <c r="C5" s="10"/>
      <c r="D5" s="10"/>
    </row>
    <row r="6" spans="1:5" ht="18.75" customHeight="1" x14ac:dyDescent="0.15">
      <c r="A6" s="181" t="s">
        <v>41</v>
      </c>
      <c r="B6" s="182"/>
      <c r="C6" s="67" t="s">
        <v>158</v>
      </c>
    </row>
    <row r="7" spans="1:5" ht="18.75" customHeight="1" x14ac:dyDescent="0.15">
      <c r="A7" s="181" t="s">
        <v>10</v>
      </c>
      <c r="B7" s="182"/>
      <c r="C7" s="67" t="s">
        <v>162</v>
      </c>
      <c r="D7" s="10"/>
    </row>
    <row r="8" spans="1:5" ht="7.5" customHeight="1" x14ac:dyDescent="0.15">
      <c r="A8" s="11"/>
      <c r="B8" s="11"/>
      <c r="C8" s="11"/>
      <c r="D8" s="11"/>
    </row>
    <row r="9" spans="1:5" ht="18.75" customHeight="1" x14ac:dyDescent="0.15">
      <c r="A9" s="12" t="s">
        <v>3</v>
      </c>
      <c r="B9" s="8" t="s">
        <v>27</v>
      </c>
      <c r="C9" s="18"/>
      <c r="D9" s="18"/>
    </row>
    <row r="10" spans="1:5" ht="18.75" customHeight="1" x14ac:dyDescent="0.15">
      <c r="B10" s="150" t="s">
        <v>24</v>
      </c>
      <c r="C10" s="180"/>
      <c r="D10" s="31" t="s">
        <v>26</v>
      </c>
    </row>
    <row r="11" spans="1:5" ht="19.149999999999999" customHeight="1" x14ac:dyDescent="0.15">
      <c r="B11" s="183" t="s">
        <v>14</v>
      </c>
      <c r="C11" s="184"/>
      <c r="D11" s="185"/>
    </row>
    <row r="12" spans="1:5" ht="198" customHeight="1" x14ac:dyDescent="0.15">
      <c r="B12" s="33"/>
      <c r="C12" s="34" t="s">
        <v>15</v>
      </c>
      <c r="D12" s="53" t="s">
        <v>154</v>
      </c>
    </row>
    <row r="13" spans="1:5" ht="198" customHeight="1" x14ac:dyDescent="0.15">
      <c r="B13" s="33"/>
      <c r="C13" s="35" t="s">
        <v>16</v>
      </c>
      <c r="D13" s="53" t="s">
        <v>163</v>
      </c>
    </row>
    <row r="14" spans="1:5" ht="198" customHeight="1" x14ac:dyDescent="0.15">
      <c r="B14" s="33"/>
      <c r="C14" s="34" t="s">
        <v>17</v>
      </c>
      <c r="D14" s="53" t="s">
        <v>152</v>
      </c>
    </row>
    <row r="15" spans="1:5" ht="198" customHeight="1" x14ac:dyDescent="0.15">
      <c r="B15" s="33"/>
      <c r="C15" s="34" t="s">
        <v>18</v>
      </c>
      <c r="D15" s="53" t="s">
        <v>160</v>
      </c>
    </row>
    <row r="16" spans="1:5" ht="198" customHeight="1" x14ac:dyDescent="0.15">
      <c r="B16" s="36"/>
      <c r="C16" s="37" t="s">
        <v>19</v>
      </c>
      <c r="D16" s="54" t="s">
        <v>164</v>
      </c>
    </row>
    <row r="17" spans="2:4" ht="19.149999999999999" customHeight="1" x14ac:dyDescent="0.15">
      <c r="B17" s="32" t="s">
        <v>20</v>
      </c>
      <c r="C17" s="38"/>
      <c r="D17" s="39"/>
    </row>
    <row r="18" spans="2:4" ht="198" customHeight="1" x14ac:dyDescent="0.15">
      <c r="B18" s="33"/>
      <c r="C18" s="34" t="s">
        <v>21</v>
      </c>
      <c r="D18" s="53" t="s">
        <v>153</v>
      </c>
    </row>
    <row r="19" spans="2:4" ht="198" customHeight="1" x14ac:dyDescent="0.15">
      <c r="B19" s="36"/>
      <c r="C19" s="37" t="s">
        <v>22</v>
      </c>
      <c r="D19" s="54" t="s">
        <v>170</v>
      </c>
    </row>
    <row r="20" spans="2:4" ht="198" customHeight="1" x14ac:dyDescent="0.15">
      <c r="B20" s="178" t="s">
        <v>23</v>
      </c>
      <c r="C20" s="179"/>
      <c r="D20" s="55" t="s">
        <v>165</v>
      </c>
    </row>
    <row r="21" spans="2:4" ht="198" customHeight="1" x14ac:dyDescent="0.15">
      <c r="B21" s="177" t="s">
        <v>91</v>
      </c>
      <c r="C21" s="175"/>
      <c r="D21" s="56" t="s">
        <v>171</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2025-12-02T00:37:28Z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