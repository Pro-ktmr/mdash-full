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defaultThemeVersion="124226"/>
  <xr:revisionPtr revIDLastSave="0" documentId="13_ncr:1_{F7C84EE0-D992-4549-83CC-738D7D5199B6}" xr6:coauthVersionLast="47" xr6:coauthVersionMax="47" xr10:uidLastSave="{00000000-0000-0000-0000-000000000000}"/>
  <bookViews>
    <workbookView xWindow="-120" yWindow="-120" windowWidth="29040" windowHeight="15720" tabRatio="885" activeTab="3"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構成する授業科目'!$A$1:$Z$68</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 i="40" l="1"/>
  <c r="S11" i="40"/>
  <c r="S12" i="40"/>
  <c r="S13" i="40"/>
  <c r="S14" i="40"/>
  <c r="S15" i="40"/>
  <c r="S16" i="40"/>
  <c r="S17" i="40"/>
  <c r="S18" i="40"/>
  <c r="S19" i="40"/>
  <c r="S20" i="40"/>
  <c r="S21" i="40"/>
  <c r="S22" i="40"/>
  <c r="S23" i="40"/>
  <c r="S24" i="40"/>
  <c r="S25" i="40"/>
  <c r="S26" i="40"/>
  <c r="S27" i="40"/>
  <c r="S28" i="40"/>
  <c r="S29" i="40"/>
  <c r="S10" i="40"/>
  <c r="T28" i="40"/>
  <c r="T29" i="40"/>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<sst xmlns="http://schemas.openxmlformats.org/spreadsheetml/2006/main" count="219" uniqueCount="173">
  <si>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</si>
  <si>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</si>
  <si>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</si>
  <si>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</si>
  <si>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</si>
  <si>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</si>
  <si>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</si>
  <si>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</si>
  <si>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</si>
  <si>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</si>
  <si>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</si>
  <si>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</si>
  <si>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</si>
  <si>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</si>
  <si>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</si>
  <si>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</si>
  <si>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</si>
  <si>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</si>
  <si>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</si>
  <si>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</si>
  <si>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</si>
  <si>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</si>
  <si>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</si>
  <si>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</si>
  <si>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</si>
  <si>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</si>
  <si>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</si>
  <si>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</si>
  <si>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</si>
  <si>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</si>
  <si>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</si>
  <si>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</si>
  <si>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</si>
  <si>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</si>
  <si>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</si>
  <si>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</si>
  <si>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</si>
  <si>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</si>
  <si>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</si>
  <si>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</si>
  <si>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</si>
  <si>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</si>
  <si>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</si>
  <si>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</si>
  <si>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</si>
  <si>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</si>
  <si>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</si>
  <si>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</si>
  <si>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</si>
  <si>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</si>
  <si>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</si>
  <si>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</si>
  <si>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</si>
  <si>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</si>
  <si>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</si>
  <si>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</si>
  <si>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</si>
  <si>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</si>
  <si>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</si>
  <si>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</si>
  <si>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</si>
  <si>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</si>
  <si>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</si>
  <si>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</si>
  <si>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</si>
  <si>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</si>
  <si>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</si>
  <si>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</si>
  <si>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</si>
  <si>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</si>
  <si>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</si>
  <si>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</si>
  <si>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</si>
  <si>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</si>
  <si>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</si>
  <si>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</si>
  <si>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</si>
  <si>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</si>
  <si>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</si>
  <si>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</si>
  <si>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</si>
  <si>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</si>
  <si>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</si>
  <si>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</si>
  <si>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</si>
  <si>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</si>
  <si>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</si>
  <si>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</si>
  <si>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</si>
  <si>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</si>
  <si>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</si>
  <si>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</si>
  <si>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</si>
  <si>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</si>
  <si>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</si>
  <si>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</si>
  <si>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</si>
  <si>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</si>
  <si>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</si>
  <si>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</si>
  <si>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</si>
  <si>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</si>
  <si>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</si>
  <si>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</si>
  <si>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</si>
  <si>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</si>
  <si>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</si>
  <si>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</si>
  <si>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</si>
  <si>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</si>
  <si>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</si>
  <si>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</si>
  <si>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</si>
  <si>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</si>
  <si>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</si>
  <si>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</si>
  <si>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</si>
  <si>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</si>
  <si>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</si>
  <si>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</si>
  <si>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</si>
  <si>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</si>
  <si>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</si>
  <si>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</si>
  <si>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</si>
  <si>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</si>
  <si>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</si>
  <si>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</si>
  <si>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</si>
  <si>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（第1回）ビッグデータ、IoT、AI
データ・AIによって、社会および日常生活が大きく変化している現状について知る。
（第3回）社会で起きている変化
Society5.0、5G、データ駆動型社会といったキーワードをもとに、現在の高度情報化社会について考える。</t>
    <phoneticPr fontId="1"/>
  </si>
  <si>
    <t>（第2回）人間の知的活動とAI
AIの歴史と現状について知る。
（第6回）データ・AI活用の現場
企業や自治体、医療分野等におけるAI技術の活用事例を知り、AIがどのように私たちの生活と関わっているかを知る。</t>
    <phoneticPr fontId="1"/>
  </si>
  <si>
    <t xml:space="preserve">（第4回）社会で活用されているデータ
１次データ、２次データ、メタデータ、非構造化データなどをキーワードとして、データが私たちの生活でどのように活用されているのかを知る。																	</t>
    <phoneticPr fontId="1"/>
  </si>
  <si>
    <t>（第5回）データとAIの活用領域
データ・AIは様々な領域で広く活用されていることを実例を交えて学び、それぞれの目的ごとに多種多様な成果が得られていることを知る。</t>
    <phoneticPr fontId="1"/>
  </si>
  <si>
    <t>（第7回）データ・AIを実現する手法
・予測、パターン認識、シミュレーションなど、さまざまなデータ解析の種類を知る
・画像・動画処理や音声・音楽処理などの非構造化データの扱い方を知る。
・機械学習の概要を知り、AIが出来ること、出来ないことについて考察する。</t>
    <phoneticPr fontId="1"/>
  </si>
  <si>
    <t xml:space="preserve">（第6回）データ・AI活用の現場
企業や自治体、医療分野等におけるAI技術の活用事例を知り、AIがどのように私たちの生活と関わっているかを知る。																	</t>
    <phoneticPr fontId="1"/>
  </si>
  <si>
    <t xml:space="preserve">（第12回）データ・AIを扱う上での留意事項
個人情報の保護、GDPR、ELSI、人間中心のAI社会原則などをキーワードとしてAI時代における倫理的、法的、社会的な課題についてその現状を知り、私たちが留意する点について考察する。														</t>
    <phoneticPr fontId="1"/>
  </si>
  <si>
    <t xml:space="preserve">（第13回）情報セキュリティ
・機密性、完全性、可用性をキーワードにデータを守るための原則を学ぶ。
・情報漏洩やデータの損失による問題と、それらに情報セキュリティ対策の重要性について学ぶ。
（第14回）情報倫理
・データ倫理の基礎とSociety5.0におけるデータ倫理の重要性について学ぶ。
・データ・AI活用における負の事例を知り、AIが引き起こす可能性がある問題について考察する。														</t>
    <phoneticPr fontId="1"/>
  </si>
  <si>
    <t xml:space="preserve">（第8回）統計学の基礎
代表値、データの分布、記述統計学の基礎を学ぶ
（第9回）データの種類と表現
・質的データ、量的データほか、様々なデータ分類について知り、それらの性質によってデータの扱い方が異なることを知る。
・様々なデータを集計、可視化するための基本を学ぶ。
（第10回）データを読む
多種多様なデータの傾向や特徴から得られる情報を正確に解釈するための基礎を学ぶ。																	</t>
    <phoneticPr fontId="1"/>
  </si>
  <si>
    <t xml:space="preserve">（第11回）データを説明する
時系列データ、文章データ、データの可視化について学び、第3者に正しく伝わるデータ表現について演習を通して学ぶ。															</t>
    <phoneticPr fontId="1"/>
  </si>
  <si>
    <t xml:space="preserve">（第10回）統計情報の正しい理解
私たちが参照できるデータを知り、様々なデータベース（オープン統計データ）から何が読み取れるのかを体験学習を通して学ぶ。																	</t>
    <phoneticPr fontId="1"/>
  </si>
  <si>
    <t>データサイエンスの基礎</t>
    <phoneticPr fontId="1"/>
  </si>
  <si>
    <t>○</t>
  </si>
  <si>
    <t>今後は、オリエンテーション等の機会を活用して本プログラムの内容および意義を定期的に周知し、履修率の向上を図る予定である。
また、本プログラム修了者に対しては修了証を授与し、学修成果を可視化することで、学生の達成感を高めるとともに、就職活動等における活用を促すことを計画している。
これらの取組を通じて、学生の履修意欲の喚起および履修者数の増加が期待される。</t>
    <rPh sb="7" eb="9">
      <t xml:space="preserve">シュウチシ </t>
    </rPh>
    <rPh sb="20" eb="21">
      <t xml:space="preserve">トウ </t>
    </rPh>
    <rPh sb="21" eb="24">
      <t xml:space="preserve">テイキテキニ </t>
    </rPh>
    <rPh sb="29" eb="34">
      <t xml:space="preserve">リシュウリツコウジョウ </t>
    </rPh>
    <rPh sb="35" eb="37">
      <t xml:space="preserve">メザシタイ </t>
    </rPh>
    <rPh sb="43" eb="44">
      <t xml:space="preserve">ホン </t>
    </rPh>
    <rPh sb="49" eb="52">
      <t xml:space="preserve">シュウリョウシャ </t>
    </rPh>
    <rPh sb="53" eb="54">
      <t xml:space="preserve">タイシ </t>
    </rPh>
    <rPh sb="56" eb="59">
      <t xml:space="preserve">シュウリョウショウ </t>
    </rPh>
    <rPh sb="60" eb="62">
      <t xml:space="preserve">ジュヨ </t>
    </rPh>
    <rPh sb="70" eb="74">
      <t xml:space="preserve">ガクシュウセイカ </t>
    </rPh>
    <rPh sb="75" eb="78">
      <t xml:space="preserve">カシカ </t>
    </rPh>
    <rPh sb="80" eb="84">
      <t xml:space="preserve">シュウショクカツドウ </t>
    </rPh>
    <rPh sb="85" eb="87">
      <t xml:space="preserve">カツヨウ </t>
    </rPh>
    <rPh sb="92" eb="93">
      <t xml:space="preserve">トリクミ </t>
    </rPh>
    <rPh sb="97" eb="98">
      <t xml:space="preserve">トオシテ </t>
    </rPh>
    <rPh sb="100" eb="105">
      <t xml:space="preserve">リシュウシャコウジョウ </t>
    </rPh>
    <rPh sb="106" eb="108">
      <t xml:space="preserve">メザシ </t>
    </rPh>
    <phoneticPr fontId="1"/>
  </si>
  <si>
    <t>本プログラムの到達目標は、シラバスにおいて「様々なデータを正しく読み、表現することができる」こと、および「AIの概要を理解し、データが社会でどのように活用されているのかを説明することができる」と明示している。
これらの目標に対する習熟度については、各回の授業において確認のための小テストや演習を実施するとともに、簡易なアンケートを通じて学生の理解度および講義内容の適切性を分析し、その結果を次回の講義内容に反映してきた。また、小テストおよびレポート課題については、次回の授業で解説を行い、理解の定着を図るよう努めた。
成績評価の基準は、各回の小テストおよびレポート課題を60%、学期末の総合レポート課題を40%として総合的に評価した。学期末のレポート課題は、各回の内容をふまえた総合演習として位置付けている。
講義終了後に実施した授業アンケートにおいて、「授業の内容は理解できた」との設問に対して、96%の受講者が肯定的回答（「強くそう思う」「ややそう思う」）を示した。
以上の結果から、学生は概ね到達目標を達成しており、本講義の教育効果は十分に認められると判断される。</t>
    <phoneticPr fontId="1"/>
  </si>
  <si>
    <t>講義終了後、受講者全員を対象として無記名式の授業アンケートを実施したところ、9名から回答（回答率24.3%）を得た。
調査項目は、①学習意欲、②指導の適切性、③理解度、④満足度の4項目である。
「この授業の目標を達成するために真剣に授業に臨んだか」との設問に対しては、肯定的回答（「強くそう思う」「ややそう思う」）が100％であった。
また、「授業の内容は理解できた」との設問では、肯定的回答が89％であった。
これらの結果から、受講者の学習意欲および講義内容の理解度はいずれも高く、授業目標は概ね達成されたと判断される。</t>
    <phoneticPr fontId="1"/>
  </si>
  <si>
    <t>授業アンケートにおける「この授業に満足しているか」との設問に対して、全受講者（100%）が肯定的回答（「強くそう思う」「ややそう思う」）を示した。
この結果は学内の授業評価システムを通じて全学生に公開されており、翌年度以降の履修希望者の増加にも寄与したと考えられる。
以上のことから、本講義は受講者の満足度が高く、後輩学生に対しても履修を推奨できる授業であったと評価される。</t>
    <phoneticPr fontId="1"/>
  </si>
  <si>
    <t xml:space="preserve">・AIの概要と、AIとデータが社会でどのように活用されているのかを説明できる。
・様々なデータを正しく読み、表現するための基礎的な技能を修得する。
</t>
    <phoneticPr fontId="1"/>
  </si>
  <si>
    <t>静岡福祉大学</t>
    <rPh sb="0" eb="2">
      <t>シズオカ</t>
    </rPh>
    <rPh sb="2" eb="6">
      <t>フクシダイガク</t>
    </rPh>
    <phoneticPr fontId="1"/>
  </si>
  <si>
    <t>静岡福祉大学数理・データサイエンス・AI教育プログラム（リテラシー）</t>
    <rPh sb="0" eb="2">
      <t>シズオカ</t>
    </rPh>
    <rPh sb="2" eb="6">
      <t>フクシダイガク</t>
    </rPh>
    <rPh sb="6" eb="8">
      <t>スウリ</t>
    </rPh>
    <rPh sb="20" eb="22">
      <t>キョウイク</t>
    </rPh>
    <phoneticPr fontId="1"/>
  </si>
  <si>
    <t>学部・学科によって、修了要件は相違しない</t>
  </si>
  <si>
    <t>令和１０年度以降に履修必須とする計画、又は未定</t>
  </si>
  <si>
    <t>プログラムを構成する全学共通基礎科目「データサイエンスの基礎（２単位）」の単位を取得すること。</t>
    <rPh sb="6" eb="8">
      <t>コウセイ</t>
    </rPh>
    <rPh sb="10" eb="12">
      <t>ゼンガク</t>
    </rPh>
    <rPh sb="12" eb="14">
      <t>キョウツウ</t>
    </rPh>
    <rPh sb="14" eb="16">
      <t>キソ</t>
    </rPh>
    <rPh sb="16" eb="18">
      <t>カモク</t>
    </rPh>
    <rPh sb="28" eb="30">
      <t>キソ</t>
    </rPh>
    <rPh sb="32" eb="34">
      <t>タンイ</t>
    </rPh>
    <rPh sb="37" eb="39">
      <t>タンイ</t>
    </rPh>
    <rPh sb="40" eb="42">
      <t>シュトク</t>
    </rPh>
    <phoneticPr fontId="1"/>
  </si>
  <si>
    <t>令和5</t>
    <rPh sb="0" eb="2">
      <t>レイワ</t>
    </rPh>
    <phoneticPr fontId="1"/>
  </si>
  <si>
    <t>社会福祉学部</t>
    <rPh sb="0" eb="6">
      <t>シャカイフクシガクブ</t>
    </rPh>
    <phoneticPr fontId="1"/>
  </si>
  <si>
    <t>子ども学部</t>
    <rPh sb="0" eb="1">
      <t>コ</t>
    </rPh>
    <rPh sb="3" eb="5">
      <t>ガクブ</t>
    </rPh>
    <phoneticPr fontId="1"/>
  </si>
  <si>
    <t>楢木博之</t>
    <rPh sb="0" eb="2">
      <t>ナラキ</t>
    </rPh>
    <rPh sb="2" eb="4">
      <t>ヒロユキ</t>
    </rPh>
    <phoneticPr fontId="1"/>
  </si>
  <si>
    <t>教務部長</t>
    <rPh sb="0" eb="4">
      <t>キョウムブチョウ</t>
    </rPh>
    <phoneticPr fontId="1"/>
  </si>
  <si>
    <t>静岡福祉大学数理・データサイエンス・AI教育プログラム運営委員会</t>
    <rPh sb="0" eb="2">
      <t>シズオカ</t>
    </rPh>
    <rPh sb="2" eb="6">
      <t>フクシダイガク</t>
    </rPh>
    <rPh sb="6" eb="8">
      <t>スウリ</t>
    </rPh>
    <rPh sb="20" eb="22">
      <t>キョウイク</t>
    </rPh>
    <rPh sb="27" eb="32">
      <t>ウンエイイインカイ</t>
    </rPh>
    <phoneticPr fontId="1"/>
  </si>
  <si>
    <t>静岡福祉大学数理・データサイエンス・AI教育プログラム運営規程</t>
    <rPh sb="0" eb="2">
      <t>シズオカ</t>
    </rPh>
    <rPh sb="2" eb="6">
      <t>フクシダイガク</t>
    </rPh>
    <rPh sb="6" eb="8">
      <t>スウリ</t>
    </rPh>
    <rPh sb="20" eb="22">
      <t>キョウイク</t>
    </rPh>
    <rPh sb="27" eb="29">
      <t>ウンエイ</t>
    </rPh>
    <rPh sb="29" eb="31">
      <t>キテイ</t>
    </rPh>
    <phoneticPr fontId="1"/>
  </si>
  <si>
    <t>静岡福祉大学における数理・データサイエンス・AI教育プログラムの運営、評価及び改善を図る。</t>
    <rPh sb="0" eb="6">
      <t>シズオカフクシダイガク</t>
    </rPh>
    <rPh sb="10" eb="12">
      <t>スウリ</t>
    </rPh>
    <rPh sb="24" eb="26">
      <t>キョウイク</t>
    </rPh>
    <rPh sb="32" eb="34">
      <t>ウンエイ</t>
    </rPh>
    <rPh sb="35" eb="37">
      <t>ヒョウカ</t>
    </rPh>
    <rPh sb="37" eb="38">
      <t>オヨ</t>
    </rPh>
    <rPh sb="39" eb="41">
      <t>カイゼン</t>
    </rPh>
    <rPh sb="42" eb="43">
      <t>ハカ</t>
    </rPh>
    <phoneticPr fontId="1"/>
  </si>
  <si>
    <t>教務部長（委員長）
社会福祉学部代表教員
子ども学部代表教員
教務課職員
必要に応じて、地域連携推進センター教員、外部有識者（福祉施設、自治体、教育機関等）</t>
    <rPh sb="0" eb="4">
      <t>キョウムブチョウ</t>
    </rPh>
    <rPh sb="5" eb="8">
      <t>イインチョウ</t>
    </rPh>
    <rPh sb="10" eb="16">
      <t>シャカイフクシガクブ</t>
    </rPh>
    <rPh sb="16" eb="20">
      <t>ダイヒョウキョウイン</t>
    </rPh>
    <rPh sb="21" eb="22">
      <t>コ</t>
    </rPh>
    <rPh sb="24" eb="26">
      <t>ガクブ</t>
    </rPh>
    <rPh sb="26" eb="28">
      <t>ダイヒョウ</t>
    </rPh>
    <rPh sb="28" eb="30">
      <t>キョウイン</t>
    </rPh>
    <rPh sb="31" eb="34">
      <t>キョウムカ</t>
    </rPh>
    <rPh sb="34" eb="36">
      <t>ショクイン</t>
    </rPh>
    <rPh sb="37" eb="39">
      <t>ヒツヨウ</t>
    </rPh>
    <rPh sb="40" eb="41">
      <t>オウ</t>
    </rPh>
    <rPh sb="44" eb="48">
      <t>チイキレンケイ</t>
    </rPh>
    <rPh sb="48" eb="50">
      <t>スイシン</t>
    </rPh>
    <rPh sb="54" eb="56">
      <t>キョウイン</t>
    </rPh>
    <rPh sb="57" eb="59">
      <t>ガイブ</t>
    </rPh>
    <rPh sb="59" eb="62">
      <t>ユウシキシャ</t>
    </rPh>
    <rPh sb="63" eb="67">
      <t>フクシシセツ</t>
    </rPh>
    <rPh sb="68" eb="71">
      <t>ジチタイ</t>
    </rPh>
    <rPh sb="72" eb="74">
      <t>キョウイク</t>
    </rPh>
    <rPh sb="74" eb="76">
      <t>キカン</t>
    </rPh>
    <rPh sb="76" eb="77">
      <t>ナド</t>
    </rPh>
    <phoneticPr fontId="1"/>
  </si>
  <si>
    <t>静岡福祉大学数理・データサイエンス・AI教育プログラム運営委員会</t>
    <rPh sb="0" eb="2">
      <t>シズオカ</t>
    </rPh>
    <rPh sb="2" eb="6">
      <t>フクシダイガク</t>
    </rPh>
    <rPh sb="6" eb="8">
      <t>スウリ</t>
    </rPh>
    <rPh sb="20" eb="22">
      <t>キョウイク</t>
    </rPh>
    <rPh sb="27" eb="29">
      <t>ウンエイ</t>
    </rPh>
    <rPh sb="29" eb="32">
      <t>イインカイ</t>
    </rPh>
    <phoneticPr fontId="1"/>
  </si>
  <si>
    <t>教務部長</t>
    <rPh sb="0" eb="2">
      <t>キョウム</t>
    </rPh>
    <rPh sb="2" eb="4">
      <t>ブチョウ</t>
    </rPh>
    <phoneticPr fontId="1"/>
  </si>
  <si>
    <t>本科目は「全学共通基礎科目」の「データサイエンスの基礎」として位置づけている。現在は選択科目として位置付けているが、今後は履修推奨科目、そして選択必修科目として位置づけることも検討していく。また、今後はカリキュラムの見直しを行う際に、科目の増加、応用基礎レベルの導入も合わせて検討していく。</t>
    <phoneticPr fontId="1"/>
  </si>
  <si>
    <t>本プログラムの科目は、全学部が履修可能な共通基礎科目として位置づけている。そのため全学部の学生が履修することが可能となっている。今後、学生が該当科目を履修するよう、本プログラムの周知を図っていく。</t>
    <rPh sb="0" eb="1">
      <t>ホン</t>
    </rPh>
    <rPh sb="7" eb="9">
      <t>カモク</t>
    </rPh>
    <rPh sb="11" eb="14">
      <t>ゼンガクブ</t>
    </rPh>
    <rPh sb="15" eb="19">
      <t>リシュウカノウ</t>
    </rPh>
    <rPh sb="20" eb="24">
      <t>キョウツウキソ</t>
    </rPh>
    <rPh sb="24" eb="26">
      <t>カモク</t>
    </rPh>
    <rPh sb="29" eb="31">
      <t>イチ</t>
    </rPh>
    <rPh sb="41" eb="44">
      <t>ゼンガクブ</t>
    </rPh>
    <rPh sb="45" eb="47">
      <t>ガクセイ</t>
    </rPh>
    <rPh sb="48" eb="50">
      <t>リシュウ</t>
    </rPh>
    <rPh sb="55" eb="57">
      <t>カノウ</t>
    </rPh>
    <rPh sb="64" eb="66">
      <t>コンゴ</t>
    </rPh>
    <rPh sb="67" eb="69">
      <t>ガクセイ</t>
    </rPh>
    <rPh sb="70" eb="72">
      <t>ガイトウ</t>
    </rPh>
    <rPh sb="72" eb="74">
      <t>カモク</t>
    </rPh>
    <rPh sb="75" eb="77">
      <t>リシュウ</t>
    </rPh>
    <rPh sb="82" eb="83">
      <t>ホン</t>
    </rPh>
    <rPh sb="89" eb="91">
      <t>シュウチ</t>
    </rPh>
    <rPh sb="92" eb="93">
      <t>ハカ</t>
    </rPh>
    <phoneticPr fontId="1"/>
  </si>
  <si>
    <t>教授会等にて、教職員に認定制度の趣旨と本学の取り組みを周知し、学生への履修指導に繋げていく。学生への周知は、年度初めの「オリエンテーション」の場で、認定制度の趣旨、修得するための方法等を伝える機会を作っていく。</t>
    <phoneticPr fontId="1"/>
  </si>
  <si>
    <t>前期に周知を行い、後期に履修できるように該当科目を配置している。また１年時に履修しやすくするよう専門科目と重ならないように時間割を作成している。</t>
    <rPh sb="0" eb="2">
      <t>ゼンキ</t>
    </rPh>
    <rPh sb="3" eb="5">
      <t>シュウチ</t>
    </rPh>
    <rPh sb="6" eb="7">
      <t>オコナ</t>
    </rPh>
    <rPh sb="9" eb="11">
      <t>コウキ</t>
    </rPh>
    <rPh sb="12" eb="14">
      <t>リシュウ</t>
    </rPh>
    <rPh sb="20" eb="24">
      <t>ガイトウカモク</t>
    </rPh>
    <rPh sb="25" eb="27">
      <t>ハイチ</t>
    </rPh>
    <rPh sb="35" eb="36">
      <t>ネン</t>
    </rPh>
    <rPh sb="36" eb="37">
      <t>ジ</t>
    </rPh>
    <rPh sb="38" eb="40">
      <t>リシュウ</t>
    </rPh>
    <rPh sb="48" eb="52">
      <t>センモンカモク</t>
    </rPh>
    <rPh sb="53" eb="54">
      <t>カサ</t>
    </rPh>
    <rPh sb="61" eb="64">
      <t>ジカンワリ</t>
    </rPh>
    <rPh sb="65" eb="67">
      <t>サクセイ</t>
    </rPh>
    <phoneticPr fontId="1"/>
  </si>
  <si>
    <t>2024年度における「データサイエンスの基礎」科目は、社会福祉学部および子ども学部の学生37名が履修した。選択科目であるため履修者数は多くはないが、大学全体としては標準的な水準である。
単位取得状況については、27名（73%）がC以上の成績で単位を取得しており、成績評価および単位認定は概ね適切に実施されたと判断される。</t>
    <rPh sb="4" eb="6">
      <t xml:space="preserve">ネンド </t>
    </rPh>
    <rPh sb="20" eb="26">
      <t xml:space="preserve">シャカイフクシガクブ </t>
    </rPh>
    <rPh sb="27" eb="28">
      <t xml:space="preserve">コドモ </t>
    </rPh>
    <rPh sb="30" eb="32">
      <t xml:space="preserve">ガクブ </t>
    </rPh>
    <rPh sb="37" eb="39">
      <t xml:space="preserve">リシュウシ </t>
    </rPh>
    <rPh sb="50" eb="52">
      <t xml:space="preserve">タンイヲ </t>
    </rPh>
    <rPh sb="53" eb="55">
      <t xml:space="preserve">シュトク </t>
    </rPh>
    <rPh sb="60" eb="64">
      <t xml:space="preserve">センタクカモク </t>
    </rPh>
    <rPh sb="68" eb="71">
      <t xml:space="preserve">リシュウシャ </t>
    </rPh>
    <rPh sb="72" eb="73">
      <t xml:space="preserve">スウ </t>
    </rPh>
    <rPh sb="77" eb="78">
      <t xml:space="preserve">オオクハナイガ </t>
    </rPh>
    <rPh sb="78" eb="84">
      <t xml:space="preserve">タンイシュトクジョウキョウ </t>
    </rPh>
    <rPh sb="95" eb="97">
      <t xml:space="preserve">ダイガク </t>
    </rPh>
    <rPh sb="100" eb="102">
      <t xml:space="preserve">イジョウ </t>
    </rPh>
    <rPh sb="103" eb="105">
      <t xml:space="preserve">セイセキ </t>
    </rPh>
    <rPh sb="112" eb="113">
      <t xml:space="preserve">リシュウシャ </t>
    </rPh>
    <rPh sb="116" eb="117">
      <t xml:space="preserve">オオムネ </t>
    </rPh>
    <rPh sb="118" eb="120">
      <t xml:space="preserve">テキセツナ </t>
    </rPh>
    <rPh sb="121" eb="123">
      <t xml:space="preserve">セイセキヒョウカク </t>
    </rPh>
    <rPh sb="123" eb="125">
      <t xml:space="preserve">ヒョウカ </t>
    </rPh>
    <rPh sb="126" eb="130">
      <t xml:space="preserve">タンイニンテイ </t>
    </rPh>
    <rPh sb="131" eb="132">
      <t xml:space="preserve">オコナワレタ </t>
    </rPh>
    <rPh sb="136" eb="138">
      <t xml:space="preserve">ハンダン </t>
    </rPh>
    <phoneticPr fontId="1"/>
  </si>
  <si>
    <t>本科目を設置して、まだ卒業生が出ていないので修了者の進路は決定していない。本学の卒業生が就職する福祉、医療、教育等の分野では、DX化が課題となっているので、事業所等からはそれに対応できる人材育成への期待がある。</t>
    <rPh sb="0" eb="3">
      <t>ホンカモク</t>
    </rPh>
    <rPh sb="4" eb="6">
      <t>セッチ</t>
    </rPh>
    <rPh sb="11" eb="14">
      <t>ソツギョウセイ</t>
    </rPh>
    <rPh sb="15" eb="16">
      <t>デ</t>
    </rPh>
    <rPh sb="22" eb="25">
      <t>シュウリョウシャ</t>
    </rPh>
    <rPh sb="26" eb="28">
      <t>シンロ</t>
    </rPh>
    <rPh sb="29" eb="31">
      <t>ケッテイ</t>
    </rPh>
    <rPh sb="37" eb="39">
      <t>ホンガク</t>
    </rPh>
    <rPh sb="40" eb="43">
      <t>ソツギョウセイ</t>
    </rPh>
    <rPh sb="44" eb="46">
      <t>シュウショク</t>
    </rPh>
    <rPh sb="48" eb="50">
      <t>フクシ</t>
    </rPh>
    <rPh sb="51" eb="53">
      <t>イリョウ</t>
    </rPh>
    <rPh sb="54" eb="56">
      <t>キョウイク</t>
    </rPh>
    <rPh sb="56" eb="57">
      <t>トウ</t>
    </rPh>
    <rPh sb="58" eb="60">
      <t>ブンヤ</t>
    </rPh>
    <rPh sb="65" eb="66">
      <t>カ</t>
    </rPh>
    <rPh sb="67" eb="69">
      <t>カダイ</t>
    </rPh>
    <rPh sb="78" eb="82">
      <t>ジギョウショトウ</t>
    </rPh>
    <rPh sb="88" eb="90">
      <t>タイオウ</t>
    </rPh>
    <rPh sb="93" eb="95">
      <t>ジンザイ</t>
    </rPh>
    <rPh sb="95" eb="97">
      <t>イクセイ</t>
    </rPh>
    <rPh sb="99" eb="101">
      <t>キタイ</t>
    </rPh>
    <phoneticPr fontId="1"/>
  </si>
  <si>
    <t>現在の状況に合わせて毎年度教育内容の見直しを行っていく。また受講生、就職先の事業所等にアンケートを行い、それぞれのニーズを把握し、教育内容を見直していく。</t>
    <rPh sb="0" eb="2">
      <t>ゲンザイ</t>
    </rPh>
    <rPh sb="3" eb="5">
      <t>ジョウキョウ</t>
    </rPh>
    <rPh sb="6" eb="7">
      <t>ア</t>
    </rPh>
    <rPh sb="10" eb="13">
      <t>マイネンド</t>
    </rPh>
    <rPh sb="13" eb="17">
      <t>キョウイクナイヨウ</t>
    </rPh>
    <rPh sb="18" eb="20">
      <t>ミナオ</t>
    </rPh>
    <rPh sb="22" eb="23">
      <t>オコナ</t>
    </rPh>
    <rPh sb="30" eb="33">
      <t>ジュコウセイ</t>
    </rPh>
    <rPh sb="34" eb="37">
      <t>シュウショクサキ</t>
    </rPh>
    <rPh sb="38" eb="41">
      <t>ジギョウショ</t>
    </rPh>
    <rPh sb="41" eb="42">
      <t>トウ</t>
    </rPh>
    <rPh sb="49" eb="50">
      <t>オコナ</t>
    </rPh>
    <rPh sb="61" eb="63">
      <t>ハアク</t>
    </rPh>
    <rPh sb="65" eb="69">
      <t>キョウイクナイヨウ</t>
    </rPh>
    <rPh sb="70" eb="72">
      <t>ミナオ</t>
    </rPh>
    <phoneticPr fontId="1"/>
  </si>
  <si>
    <t>授業内では、毎回の授業でミニレポートに質問欄を設けていて、質問等があれば次の授業で解説・補足を行っている。授業外ではオフィスアワーにて質問等を受け付けている。</t>
    <rPh sb="0" eb="3">
      <t>ジュギョウナイ</t>
    </rPh>
    <rPh sb="6" eb="8">
      <t>マイカイ</t>
    </rPh>
    <rPh sb="9" eb="11">
      <t>ジュギョウ</t>
    </rPh>
    <rPh sb="19" eb="21">
      <t>シツモン</t>
    </rPh>
    <rPh sb="21" eb="22">
      <t>ラン</t>
    </rPh>
    <rPh sb="23" eb="24">
      <t>モウ</t>
    </rPh>
    <rPh sb="29" eb="32">
      <t>シツモントウ</t>
    </rPh>
    <rPh sb="36" eb="37">
      <t>ツギ</t>
    </rPh>
    <rPh sb="38" eb="40">
      <t>ジュギョウ</t>
    </rPh>
    <rPh sb="41" eb="43">
      <t>カイセツ</t>
    </rPh>
    <rPh sb="44" eb="46">
      <t>ホソク</t>
    </rPh>
    <rPh sb="47" eb="48">
      <t>オコナ</t>
    </rPh>
    <rPh sb="53" eb="55">
      <t>ジュギョウ</t>
    </rPh>
    <rPh sb="55" eb="56">
      <t>ガイ</t>
    </rPh>
    <rPh sb="67" eb="69">
      <t>シツモン</t>
    </rPh>
    <rPh sb="69" eb="70">
      <t>トウ</t>
    </rPh>
    <rPh sb="71" eb="72">
      <t>ウ</t>
    </rPh>
    <rPh sb="73" eb="74">
      <t>ツ</t>
    </rPh>
    <phoneticPr fontId="1"/>
  </si>
  <si>
    <t>ＤＸ化に対応できる人材を育成していくために、本学卒業生が働いている事業所等からの要望を聞き、カリキュラムに反映させていく。</t>
    <rPh sb="2" eb="3">
      <t>カ</t>
    </rPh>
    <rPh sb="4" eb="6">
      <t>タイオウ</t>
    </rPh>
    <rPh sb="9" eb="11">
      <t>ジンザイ</t>
    </rPh>
    <rPh sb="12" eb="14">
      <t>イクセイ</t>
    </rPh>
    <rPh sb="22" eb="24">
      <t>ホンガク</t>
    </rPh>
    <rPh sb="24" eb="27">
      <t>ソツギョウセイ</t>
    </rPh>
    <rPh sb="28" eb="29">
      <t>ハタラ</t>
    </rPh>
    <rPh sb="33" eb="36">
      <t>ジギョウショ</t>
    </rPh>
    <rPh sb="36" eb="37">
      <t>トウ</t>
    </rPh>
    <rPh sb="40" eb="42">
      <t>ヨウボウ</t>
    </rPh>
    <rPh sb="43" eb="44">
      <t>キ</t>
    </rPh>
    <rPh sb="53" eb="55">
      <t>ハンエイ</t>
    </rPh>
    <phoneticPr fontId="1"/>
  </si>
  <si>
    <t>福祉・医療・教育・企業等のいろいろな現場で、データ等をどのように活用しているのかなどの話を聞く機会を作る。また受講生がデータを分析していくという体験する機会を増やしていく。そして授業で学んだことを、現場で実践できるようにしていく。</t>
    <rPh sb="25" eb="26">
      <t>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</si>
</sst>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2">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49" fontId="2" fillId="2" borderId="32" xfId="0" applyNumberFormat="1" applyFont="1" applyFill="1" applyBorder="1" applyAlignment="1">
      <alignment horizontal="left" vertical="top" wrapText="1"/>
    </xf>
    <xf numFmtId="49" fontId="2" fillId="2" borderId="14" xfId="0" applyNumberFormat="1" applyFont="1" applyFill="1" applyBorder="1" applyAlignment="1">
      <alignment horizontal="left" vertical="top" wrapText="1"/>
    </xf>
    <xf numFmtId="49" fontId="2" fillId="2" borderId="13" xfId="0" applyNumberFormat="1" applyFont="1" applyFill="1" applyBorder="1" applyAlignment="1">
      <alignment horizontal="left" vertical="top" wrapText="1"/>
    </xf>
    <xf numFmtId="49" fontId="2" fillId="2" borderId="20" xfId="0" applyNumberFormat="1" applyFont="1" applyFill="1" applyBorder="1" applyAlignment="1">
      <alignment horizontal="left" vertical="center" wrapText="1"/>
    </xf>
    <xf numFmtId="49" fontId="2" fillId="2" borderId="13" xfId="0" applyNumberFormat="1" applyFont="1" applyFill="1" applyBorder="1" applyAlignment="1">
      <alignment horizontal="left" vertical="center" wrapText="1"/>
    </xf>
    <xf numFmtId="178" fontId="2" fillId="2" borderId="1" xfId="0" applyNumberFormat="1" applyFont="1" applyFill="1" applyBorder="1" applyAlignment="1">
      <alignment horizontal="right" vertical="center"/>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lignment vertical="center"/>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0"/>
  <sheetViews>
    <sheetView showZeros="0" view="pageBreakPreview" zoomScale="73" zoomScaleNormal="100" zoomScaleSheetLayoutView="73" workbookViewId="0">
      <selection activeCell="D64" sqref="D64"/>
    </sheetView>
  </sheetViews>
  <sheetFormatPr defaultColWidth="9" defaultRowHeight="18.75" customHeight="1" x14ac:dyDescent="0.15"/>
  <cols>
    <col min="1" max="1" width="2.5" style="8" customWidth="1"/>
    <col min="2" max="2" width="28.125" style="8" customWidth="1"/>
    <col min="3" max="3" width="6.1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29" t="s">
        <v>109</v>
      </c>
      <c r="B1" s="129"/>
      <c r="C1" s="129"/>
      <c r="D1" s="129"/>
      <c r="E1" s="129"/>
      <c r="F1" s="129"/>
      <c r="G1" s="129"/>
      <c r="H1" s="129"/>
      <c r="I1" s="129"/>
      <c r="J1" s="129"/>
      <c r="K1" s="129"/>
      <c r="L1" s="129"/>
      <c r="M1" s="129"/>
      <c r="N1" s="129"/>
      <c r="O1" s="129"/>
      <c r="P1" s="129"/>
      <c r="Q1" s="129"/>
      <c r="R1" s="129"/>
      <c r="S1" s="129"/>
      <c r="T1" s="129"/>
      <c r="U1" s="129"/>
      <c r="V1" s="129"/>
      <c r="W1" s="129"/>
      <c r="X1" s="129"/>
      <c r="Y1" s="129"/>
      <c r="Z1" s="129"/>
    </row>
    <row r="3" spans="1:28" ht="18.399999999999999" customHeight="1" x14ac:dyDescent="0.15">
      <c r="Y3" s="129" t="s">
        <v>12</v>
      </c>
      <c r="Z3" s="129"/>
      <c r="AA3" s="9"/>
      <c r="AB3" s="13"/>
    </row>
    <row r="4" spans="1:28" ht="18.75" customHeight="1" x14ac:dyDescent="0.15">
      <c r="B4" s="134" t="s">
        <v>85</v>
      </c>
      <c r="C4" s="135"/>
      <c r="D4" s="69" t="s">
        <v>147</v>
      </c>
      <c r="P4" s="9"/>
      <c r="Q4" s="41"/>
      <c r="R4" s="41"/>
      <c r="S4" s="41"/>
      <c r="T4" s="41"/>
      <c r="U4" s="41"/>
      <c r="V4" s="41"/>
      <c r="W4" s="41"/>
      <c r="X4" s="41"/>
      <c r="Y4" s="41"/>
      <c r="Z4" s="41"/>
    </row>
    <row r="5" spans="1:28" ht="18.75" customHeight="1" x14ac:dyDescent="0.15">
      <c r="B5" s="134" t="s">
        <v>81</v>
      </c>
      <c r="C5" s="135"/>
      <c r="D5" s="69" t="s">
        <v>148</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33" t="s">
        <v>93</v>
      </c>
      <c r="B7" s="133"/>
      <c r="C7" s="133"/>
      <c r="D7" s="133"/>
      <c r="E7" s="133"/>
      <c r="F7" s="133"/>
      <c r="G7" s="133"/>
      <c r="H7" s="133"/>
      <c r="I7" s="133"/>
      <c r="J7" s="133"/>
      <c r="K7" s="133"/>
      <c r="L7" s="133"/>
      <c r="M7" s="133"/>
      <c r="N7" s="133"/>
      <c r="O7" s="133"/>
      <c r="P7" s="133"/>
      <c r="Q7" s="133"/>
      <c r="R7" s="133"/>
      <c r="S7" s="133"/>
      <c r="T7" s="133"/>
      <c r="U7" s="133"/>
      <c r="V7" s="133"/>
      <c r="W7" s="133"/>
      <c r="X7" s="133"/>
      <c r="Y7" s="133"/>
      <c r="Z7" s="133"/>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30" t="s">
        <v>95</v>
      </c>
      <c r="B9" s="130"/>
      <c r="D9" s="6" t="s">
        <v>149</v>
      </c>
    </row>
    <row r="10" spans="1:28" ht="20.25" customHeight="1" x14ac:dyDescent="0.15">
      <c r="B10" s="12"/>
      <c r="C10" s="12"/>
      <c r="D10" s="12"/>
      <c r="Q10" s="12"/>
      <c r="R10" s="12"/>
      <c r="S10" s="12"/>
      <c r="T10" s="12"/>
      <c r="U10" s="12"/>
      <c r="V10" s="12"/>
      <c r="W10" s="12"/>
      <c r="X10" s="12"/>
      <c r="Y10" s="12"/>
      <c r="Z10" s="12"/>
    </row>
    <row r="11" spans="1:28" ht="20.25" customHeight="1" x14ac:dyDescent="0.15">
      <c r="A11" s="130" t="s">
        <v>90</v>
      </c>
      <c r="B11" s="130"/>
      <c r="D11" s="68"/>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31" t="s">
        <v>96</v>
      </c>
      <c r="B13" s="131"/>
      <c r="C13" s="12"/>
      <c r="D13" s="69" t="s">
        <v>150</v>
      </c>
      <c r="E13" s="41"/>
      <c r="F13" s="41"/>
      <c r="G13" s="41"/>
      <c r="H13" s="41"/>
      <c r="I13" s="41"/>
      <c r="J13" s="41"/>
      <c r="K13" s="41"/>
      <c r="L13" s="41"/>
      <c r="M13" s="41"/>
      <c r="N13" s="41"/>
      <c r="O13" s="41"/>
      <c r="P13" s="41"/>
      <c r="Q13" s="70"/>
      <c r="R13" s="70"/>
      <c r="S13" s="70"/>
      <c r="T13" s="70"/>
      <c r="U13" s="70"/>
      <c r="V13" s="70"/>
      <c r="W13" s="70"/>
      <c r="X13" s="70"/>
      <c r="Y13" s="70"/>
      <c r="Z13" s="70"/>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32" customHeight="1" x14ac:dyDescent="0.15">
      <c r="A15" s="132" t="s">
        <v>97</v>
      </c>
      <c r="B15" s="132"/>
      <c r="C15" s="12"/>
      <c r="D15" s="71" t="s">
        <v>151</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114</v>
      </c>
      <c r="C19" s="112">
        <v>1</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12">
        <v>2</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36" t="s">
        <v>117</v>
      </c>
      <c r="G21" s="137"/>
      <c r="H21" s="137"/>
      <c r="I21" s="137"/>
      <c r="J21" s="137"/>
      <c r="K21" s="137"/>
      <c r="L21" s="137"/>
      <c r="M21" s="137"/>
      <c r="N21" s="137"/>
      <c r="O21" s="137"/>
      <c r="P21" s="137"/>
      <c r="Q21" s="137"/>
      <c r="R21" s="137"/>
      <c r="S21" s="137"/>
      <c r="T21" s="137"/>
      <c r="U21" s="137"/>
      <c r="V21" s="137"/>
      <c r="W21" s="137"/>
      <c r="X21" s="137"/>
      <c r="Y21" s="137"/>
      <c r="Z21" s="138"/>
    </row>
    <row r="22" spans="1:26" ht="18" customHeight="1" x14ac:dyDescent="0.15">
      <c r="B22" s="17"/>
      <c r="C22" s="17"/>
      <c r="D22" s="5" t="s">
        <v>48</v>
      </c>
      <c r="E22" s="72" t="s">
        <v>70</v>
      </c>
      <c r="F22" s="73" t="s">
        <v>50</v>
      </c>
      <c r="G22" s="74" t="s">
        <v>61</v>
      </c>
      <c r="H22" s="74" t="s">
        <v>62</v>
      </c>
      <c r="I22" s="74" t="s">
        <v>63</v>
      </c>
      <c r="J22" s="74" t="s">
        <v>64</v>
      </c>
      <c r="K22" s="74" t="s">
        <v>53</v>
      </c>
      <c r="L22" s="74" t="s">
        <v>80</v>
      </c>
      <c r="M22" s="74" t="s">
        <v>65</v>
      </c>
      <c r="N22" s="74" t="s">
        <v>66</v>
      </c>
      <c r="O22" s="74" t="s">
        <v>52</v>
      </c>
      <c r="P22" s="75" t="s">
        <v>54</v>
      </c>
      <c r="Q22" s="76" t="s">
        <v>98</v>
      </c>
      <c r="R22" s="77" t="s">
        <v>99</v>
      </c>
      <c r="S22" s="77" t="s">
        <v>100</v>
      </c>
      <c r="T22" s="77" t="s">
        <v>101</v>
      </c>
      <c r="U22" s="77" t="s">
        <v>102</v>
      </c>
      <c r="V22" s="77" t="s">
        <v>103</v>
      </c>
      <c r="W22" s="77" t="s">
        <v>104</v>
      </c>
      <c r="X22" s="77" t="s">
        <v>105</v>
      </c>
      <c r="Y22" s="77" t="s">
        <v>106</v>
      </c>
      <c r="Z22" s="78" t="s">
        <v>107</v>
      </c>
    </row>
    <row r="23" spans="1:26" ht="18" customHeight="1" x14ac:dyDescent="0.15">
      <c r="B23" s="125" t="s">
        <v>125</v>
      </c>
      <c r="C23" s="126"/>
      <c r="D23" s="79" t="s">
        <v>140</v>
      </c>
      <c r="E23" s="114">
        <v>2</v>
      </c>
      <c r="F23" s="80" t="s">
        <v>141</v>
      </c>
      <c r="G23" s="81" t="s">
        <v>141</v>
      </c>
      <c r="H23" s="81" t="s">
        <v>141</v>
      </c>
      <c r="I23" s="81" t="s">
        <v>141</v>
      </c>
      <c r="J23" s="81" t="s">
        <v>141</v>
      </c>
      <c r="K23" s="81" t="s">
        <v>141</v>
      </c>
      <c r="L23" s="81" t="s">
        <v>141</v>
      </c>
      <c r="M23" s="81" t="s">
        <v>141</v>
      </c>
      <c r="N23" s="81" t="s">
        <v>141</v>
      </c>
      <c r="O23" s="81" t="s">
        <v>141</v>
      </c>
      <c r="P23" s="82" t="s">
        <v>141</v>
      </c>
      <c r="Q23" s="83" t="s">
        <v>141</v>
      </c>
      <c r="R23" s="81" t="s">
        <v>141</v>
      </c>
      <c r="S23" s="81" t="s">
        <v>141</v>
      </c>
      <c r="T23" s="81" t="s">
        <v>141</v>
      </c>
      <c r="U23" s="81" t="s">
        <v>141</v>
      </c>
      <c r="V23" s="81" t="s">
        <v>141</v>
      </c>
      <c r="W23" s="81" t="s">
        <v>141</v>
      </c>
      <c r="X23" s="81" t="s">
        <v>141</v>
      </c>
      <c r="Y23" s="81" t="s">
        <v>141</v>
      </c>
      <c r="Z23" s="81"/>
    </row>
    <row r="24" spans="1:26" ht="18" customHeight="1" x14ac:dyDescent="0.15">
      <c r="B24" s="127"/>
      <c r="C24" s="128"/>
      <c r="D24" s="84"/>
      <c r="E24" s="115"/>
      <c r="F24" s="85"/>
      <c r="G24" s="86"/>
      <c r="H24" s="86"/>
      <c r="I24" s="86"/>
      <c r="J24" s="86"/>
      <c r="K24" s="86"/>
      <c r="L24" s="86"/>
      <c r="M24" s="86"/>
      <c r="N24" s="86"/>
      <c r="O24" s="86"/>
      <c r="P24" s="87"/>
      <c r="Q24" s="88"/>
      <c r="R24" s="86"/>
      <c r="S24" s="86"/>
      <c r="T24" s="86"/>
      <c r="U24" s="86"/>
      <c r="V24" s="86"/>
      <c r="W24" s="86"/>
      <c r="X24" s="86"/>
      <c r="Y24" s="86"/>
      <c r="Z24" s="86"/>
    </row>
    <row r="25" spans="1:26" ht="18" customHeight="1" x14ac:dyDescent="0.15">
      <c r="B25" s="127"/>
      <c r="C25" s="128"/>
      <c r="D25" s="84"/>
      <c r="E25" s="115"/>
      <c r="F25" s="85"/>
      <c r="G25" s="86"/>
      <c r="H25" s="86"/>
      <c r="I25" s="86"/>
      <c r="J25" s="86"/>
      <c r="K25" s="86"/>
      <c r="L25" s="86"/>
      <c r="M25" s="86"/>
      <c r="N25" s="86"/>
      <c r="O25" s="86"/>
      <c r="P25" s="87"/>
      <c r="Q25" s="88"/>
      <c r="R25" s="86"/>
      <c r="S25" s="86"/>
      <c r="T25" s="86"/>
      <c r="U25" s="86"/>
      <c r="V25" s="86"/>
      <c r="W25" s="86"/>
      <c r="X25" s="86"/>
      <c r="Y25" s="86"/>
      <c r="Z25" s="86"/>
    </row>
    <row r="26" spans="1:26" ht="18" customHeight="1" x14ac:dyDescent="0.15">
      <c r="B26" s="127"/>
      <c r="C26" s="128"/>
      <c r="D26" s="84"/>
      <c r="E26" s="115"/>
      <c r="F26" s="85"/>
      <c r="G26" s="86"/>
      <c r="H26" s="86"/>
      <c r="I26" s="86"/>
      <c r="J26" s="86"/>
      <c r="K26" s="86"/>
      <c r="L26" s="86"/>
      <c r="M26" s="86"/>
      <c r="N26" s="86"/>
      <c r="O26" s="86"/>
      <c r="P26" s="87"/>
      <c r="Q26" s="88"/>
      <c r="R26" s="86"/>
      <c r="S26" s="86"/>
      <c r="T26" s="86"/>
      <c r="U26" s="86"/>
      <c r="V26" s="86"/>
      <c r="W26" s="86"/>
      <c r="X26" s="86"/>
      <c r="Y26" s="86"/>
      <c r="Z26" s="86"/>
    </row>
    <row r="27" spans="1:26" ht="18" customHeight="1" x14ac:dyDescent="0.15">
      <c r="B27" s="127"/>
      <c r="C27" s="128"/>
      <c r="D27" s="84"/>
      <c r="E27" s="115"/>
      <c r="F27" s="85"/>
      <c r="G27" s="86"/>
      <c r="H27" s="86"/>
      <c r="I27" s="86"/>
      <c r="J27" s="86"/>
      <c r="K27" s="86"/>
      <c r="L27" s="86"/>
      <c r="M27" s="86"/>
      <c r="N27" s="86"/>
      <c r="O27" s="86"/>
      <c r="P27" s="87"/>
      <c r="Q27" s="88"/>
      <c r="R27" s="86"/>
      <c r="S27" s="86"/>
      <c r="T27" s="86"/>
      <c r="U27" s="86"/>
      <c r="V27" s="86"/>
      <c r="W27" s="86"/>
      <c r="X27" s="86"/>
      <c r="Y27" s="86"/>
      <c r="Z27" s="86"/>
    </row>
    <row r="28" spans="1:26" ht="18" customHeight="1" x14ac:dyDescent="0.15">
      <c r="B28" s="127"/>
      <c r="C28" s="128"/>
      <c r="D28" s="84"/>
      <c r="E28" s="115"/>
      <c r="F28" s="85"/>
      <c r="G28" s="86"/>
      <c r="H28" s="86"/>
      <c r="I28" s="86"/>
      <c r="J28" s="86"/>
      <c r="K28" s="86"/>
      <c r="L28" s="86"/>
      <c r="M28" s="86"/>
      <c r="N28" s="86"/>
      <c r="O28" s="86"/>
      <c r="P28" s="87"/>
      <c r="Q28" s="88"/>
      <c r="R28" s="86"/>
      <c r="S28" s="86"/>
      <c r="T28" s="86"/>
      <c r="U28" s="86"/>
      <c r="V28" s="86"/>
      <c r="W28" s="86"/>
      <c r="X28" s="86"/>
      <c r="Y28" s="86"/>
      <c r="Z28" s="86"/>
    </row>
    <row r="29" spans="1:26" ht="18" customHeight="1" x14ac:dyDescent="0.15">
      <c r="B29" s="127"/>
      <c r="C29" s="128"/>
      <c r="D29" s="84"/>
      <c r="E29" s="115"/>
      <c r="F29" s="85"/>
      <c r="G29" s="86"/>
      <c r="H29" s="86"/>
      <c r="I29" s="86"/>
      <c r="J29" s="86"/>
      <c r="K29" s="86"/>
      <c r="L29" s="86"/>
      <c r="M29" s="86"/>
      <c r="N29" s="86"/>
      <c r="O29" s="86"/>
      <c r="P29" s="87"/>
      <c r="Q29" s="88"/>
      <c r="R29" s="86"/>
      <c r="S29" s="86"/>
      <c r="T29" s="86"/>
      <c r="U29" s="86"/>
      <c r="V29" s="86"/>
      <c r="W29" s="86"/>
      <c r="X29" s="86"/>
      <c r="Y29" s="86"/>
      <c r="Z29" s="86"/>
    </row>
    <row r="30" spans="1:26" ht="18" customHeight="1" x14ac:dyDescent="0.15">
      <c r="B30" s="127"/>
      <c r="C30" s="128"/>
      <c r="D30" s="84"/>
      <c r="E30" s="115"/>
      <c r="F30" s="85"/>
      <c r="G30" s="86"/>
      <c r="H30" s="86"/>
      <c r="I30" s="86"/>
      <c r="J30" s="86"/>
      <c r="K30" s="86"/>
      <c r="L30" s="86"/>
      <c r="M30" s="86"/>
      <c r="N30" s="86"/>
      <c r="O30" s="86"/>
      <c r="P30" s="87"/>
      <c r="Q30" s="88"/>
      <c r="R30" s="86"/>
      <c r="S30" s="86"/>
      <c r="T30" s="86"/>
      <c r="U30" s="86"/>
      <c r="V30" s="86"/>
      <c r="W30" s="86"/>
      <c r="X30" s="86"/>
      <c r="Y30" s="86"/>
      <c r="Z30" s="86"/>
    </row>
    <row r="31" spans="1:26" ht="18" customHeight="1" x14ac:dyDescent="0.15">
      <c r="B31" s="127"/>
      <c r="C31" s="128"/>
      <c r="D31" s="89"/>
      <c r="E31" s="116"/>
      <c r="F31" s="90"/>
      <c r="G31" s="91"/>
      <c r="H31" s="91"/>
      <c r="I31" s="91"/>
      <c r="J31" s="91"/>
      <c r="K31" s="91"/>
      <c r="L31" s="91"/>
      <c r="M31" s="91"/>
      <c r="N31" s="91"/>
      <c r="O31" s="91"/>
      <c r="P31" s="92"/>
      <c r="Q31" s="93"/>
      <c r="R31" s="91"/>
      <c r="S31" s="91"/>
      <c r="T31" s="91"/>
      <c r="U31" s="91"/>
      <c r="V31" s="91"/>
      <c r="W31" s="91"/>
      <c r="X31" s="91"/>
      <c r="Y31" s="91"/>
      <c r="Z31" s="91"/>
    </row>
    <row r="32" spans="1:26" ht="18" customHeight="1" x14ac:dyDescent="0.15">
      <c r="B32" s="125" t="s">
        <v>126</v>
      </c>
      <c r="C32" s="126"/>
      <c r="D32" s="94"/>
      <c r="E32" s="117"/>
      <c r="F32" s="95"/>
      <c r="G32" s="96"/>
      <c r="H32" s="96"/>
      <c r="I32" s="96"/>
      <c r="J32" s="96"/>
      <c r="K32" s="96"/>
      <c r="L32" s="96"/>
      <c r="M32" s="96"/>
      <c r="N32" s="96"/>
      <c r="O32" s="96"/>
      <c r="P32" s="97"/>
      <c r="Q32" s="98"/>
      <c r="R32" s="96"/>
      <c r="S32" s="96"/>
      <c r="T32" s="96"/>
      <c r="U32" s="96"/>
      <c r="V32" s="96"/>
      <c r="W32" s="96"/>
      <c r="X32" s="96"/>
      <c r="Y32" s="96"/>
      <c r="Z32" s="96"/>
    </row>
    <row r="33" spans="2:26" ht="18" customHeight="1" x14ac:dyDescent="0.15">
      <c r="B33" s="127"/>
      <c r="C33" s="128"/>
      <c r="D33" s="84"/>
      <c r="E33" s="115"/>
      <c r="F33" s="85"/>
      <c r="G33" s="86"/>
      <c r="H33" s="86"/>
      <c r="I33" s="86"/>
      <c r="J33" s="86"/>
      <c r="K33" s="86"/>
      <c r="L33" s="86"/>
      <c r="M33" s="86"/>
      <c r="N33" s="86"/>
      <c r="O33" s="86"/>
      <c r="P33" s="87"/>
      <c r="Q33" s="88"/>
      <c r="R33" s="86"/>
      <c r="S33" s="86"/>
      <c r="T33" s="86"/>
      <c r="U33" s="86"/>
      <c r="V33" s="86"/>
      <c r="W33" s="86"/>
      <c r="X33" s="86"/>
      <c r="Y33" s="86"/>
      <c r="Z33" s="86"/>
    </row>
    <row r="34" spans="2:26" ht="18" customHeight="1" x14ac:dyDescent="0.15">
      <c r="B34" s="127"/>
      <c r="C34" s="128"/>
      <c r="D34" s="84"/>
      <c r="E34" s="115"/>
      <c r="F34" s="85"/>
      <c r="G34" s="86"/>
      <c r="H34" s="86"/>
      <c r="I34" s="86"/>
      <c r="J34" s="86"/>
      <c r="K34" s="86"/>
      <c r="L34" s="86"/>
      <c r="M34" s="86"/>
      <c r="N34" s="86"/>
      <c r="O34" s="86"/>
      <c r="P34" s="87"/>
      <c r="Q34" s="88"/>
      <c r="R34" s="86"/>
      <c r="S34" s="86"/>
      <c r="T34" s="86"/>
      <c r="U34" s="86"/>
      <c r="V34" s="86"/>
      <c r="W34" s="86"/>
      <c r="X34" s="86"/>
      <c r="Y34" s="86"/>
      <c r="Z34" s="86"/>
    </row>
    <row r="35" spans="2:26" ht="18" customHeight="1" x14ac:dyDescent="0.15">
      <c r="B35" s="127"/>
      <c r="C35" s="128"/>
      <c r="D35" s="84"/>
      <c r="E35" s="115"/>
      <c r="F35" s="85"/>
      <c r="G35" s="86"/>
      <c r="H35" s="86"/>
      <c r="I35" s="86"/>
      <c r="J35" s="86"/>
      <c r="K35" s="86"/>
      <c r="L35" s="86"/>
      <c r="M35" s="86"/>
      <c r="N35" s="86"/>
      <c r="O35" s="86"/>
      <c r="P35" s="87"/>
      <c r="Q35" s="88"/>
      <c r="R35" s="86"/>
      <c r="S35" s="86"/>
      <c r="T35" s="86"/>
      <c r="U35" s="86"/>
      <c r="V35" s="86"/>
      <c r="W35" s="86"/>
      <c r="X35" s="86"/>
      <c r="Y35" s="86"/>
      <c r="Z35" s="86"/>
    </row>
    <row r="36" spans="2:26" ht="18" customHeight="1" x14ac:dyDescent="0.15">
      <c r="B36" s="127"/>
      <c r="C36" s="128"/>
      <c r="D36" s="84"/>
      <c r="E36" s="115"/>
      <c r="F36" s="85"/>
      <c r="G36" s="86"/>
      <c r="H36" s="86"/>
      <c r="I36" s="86"/>
      <c r="J36" s="86"/>
      <c r="K36" s="86"/>
      <c r="L36" s="86"/>
      <c r="M36" s="86"/>
      <c r="N36" s="86"/>
      <c r="O36" s="86"/>
      <c r="P36" s="87"/>
      <c r="Q36" s="88"/>
      <c r="R36" s="86"/>
      <c r="S36" s="86"/>
      <c r="T36" s="86"/>
      <c r="U36" s="86"/>
      <c r="V36" s="86"/>
      <c r="W36" s="86"/>
      <c r="X36" s="86"/>
      <c r="Y36" s="86"/>
      <c r="Z36" s="86"/>
    </row>
    <row r="37" spans="2:26" ht="18" customHeight="1" x14ac:dyDescent="0.15">
      <c r="B37" s="127"/>
      <c r="C37" s="128"/>
      <c r="D37" s="84"/>
      <c r="E37" s="115"/>
      <c r="F37" s="85"/>
      <c r="G37" s="86"/>
      <c r="H37" s="86"/>
      <c r="I37" s="86"/>
      <c r="J37" s="86"/>
      <c r="K37" s="86"/>
      <c r="L37" s="86"/>
      <c r="M37" s="86"/>
      <c r="N37" s="86"/>
      <c r="O37" s="86"/>
      <c r="P37" s="87"/>
      <c r="Q37" s="88"/>
      <c r="R37" s="86"/>
      <c r="S37" s="86"/>
      <c r="T37" s="86"/>
      <c r="U37" s="86"/>
      <c r="V37" s="86"/>
      <c r="W37" s="86"/>
      <c r="X37" s="86"/>
      <c r="Y37" s="86"/>
      <c r="Z37" s="86"/>
    </row>
    <row r="38" spans="2:26" ht="18" customHeight="1" x14ac:dyDescent="0.15">
      <c r="B38" s="127"/>
      <c r="C38" s="128"/>
      <c r="D38" s="84"/>
      <c r="E38" s="115"/>
      <c r="F38" s="85"/>
      <c r="G38" s="86"/>
      <c r="H38" s="86"/>
      <c r="I38" s="86"/>
      <c r="J38" s="86"/>
      <c r="K38" s="86"/>
      <c r="L38" s="86"/>
      <c r="M38" s="86"/>
      <c r="N38" s="86"/>
      <c r="O38" s="86"/>
      <c r="P38" s="87"/>
      <c r="Q38" s="88"/>
      <c r="R38" s="86"/>
      <c r="S38" s="86"/>
      <c r="T38" s="86"/>
      <c r="U38" s="86"/>
      <c r="V38" s="86"/>
      <c r="W38" s="86"/>
      <c r="X38" s="86"/>
      <c r="Y38" s="86"/>
      <c r="Z38" s="86"/>
    </row>
    <row r="39" spans="2:26" ht="18" customHeight="1" x14ac:dyDescent="0.15">
      <c r="B39" s="127"/>
      <c r="C39" s="128"/>
      <c r="D39" s="84"/>
      <c r="E39" s="115"/>
      <c r="F39" s="85"/>
      <c r="G39" s="86"/>
      <c r="H39" s="86"/>
      <c r="I39" s="86"/>
      <c r="J39" s="86"/>
      <c r="K39" s="86"/>
      <c r="L39" s="86"/>
      <c r="M39" s="86"/>
      <c r="N39" s="86"/>
      <c r="O39" s="86"/>
      <c r="P39" s="87"/>
      <c r="Q39" s="88"/>
      <c r="R39" s="86"/>
      <c r="S39" s="86"/>
      <c r="T39" s="86"/>
      <c r="U39" s="86"/>
      <c r="V39" s="86"/>
      <c r="W39" s="86"/>
      <c r="X39" s="86"/>
      <c r="Y39" s="86"/>
      <c r="Z39" s="86"/>
    </row>
    <row r="40" spans="2:26" ht="18" customHeight="1" x14ac:dyDescent="0.15">
      <c r="B40" s="139"/>
      <c r="C40" s="140"/>
      <c r="D40" s="89"/>
      <c r="E40" s="118"/>
      <c r="F40" s="90"/>
      <c r="G40" s="91"/>
      <c r="H40" s="91"/>
      <c r="I40" s="91"/>
      <c r="J40" s="91"/>
      <c r="K40" s="91"/>
      <c r="L40" s="91"/>
      <c r="M40" s="91"/>
      <c r="N40" s="91"/>
      <c r="O40" s="91"/>
      <c r="P40" s="92"/>
      <c r="Q40" s="93"/>
      <c r="R40" s="91"/>
      <c r="S40" s="91"/>
      <c r="T40" s="91"/>
      <c r="U40" s="91"/>
      <c r="V40" s="91"/>
      <c r="W40" s="91"/>
      <c r="X40" s="91"/>
      <c r="Y40" s="91"/>
      <c r="Z40" s="91"/>
    </row>
    <row r="41" spans="2:26" ht="18" customHeight="1" x14ac:dyDescent="0.15">
      <c r="B41" s="141" t="s">
        <v>127</v>
      </c>
      <c r="C41" s="142"/>
      <c r="D41" s="84"/>
      <c r="E41" s="115"/>
      <c r="F41" s="85"/>
      <c r="G41" s="86"/>
      <c r="H41" s="86"/>
      <c r="I41" s="86"/>
      <c r="J41" s="86"/>
      <c r="K41" s="86"/>
      <c r="L41" s="86"/>
      <c r="M41" s="86"/>
      <c r="N41" s="86"/>
      <c r="O41" s="86"/>
      <c r="P41" s="87"/>
      <c r="Q41" s="88"/>
      <c r="R41" s="86"/>
      <c r="S41" s="86"/>
      <c r="T41" s="86"/>
      <c r="U41" s="86"/>
      <c r="V41" s="86"/>
      <c r="W41" s="86"/>
      <c r="X41" s="86"/>
      <c r="Y41" s="86"/>
      <c r="Z41" s="86"/>
    </row>
    <row r="42" spans="2:26" ht="18" customHeight="1" x14ac:dyDescent="0.15">
      <c r="B42" s="141"/>
      <c r="C42" s="142"/>
      <c r="D42" s="84"/>
      <c r="E42" s="115"/>
      <c r="F42" s="85"/>
      <c r="G42" s="86"/>
      <c r="H42" s="86"/>
      <c r="I42" s="86"/>
      <c r="J42" s="86"/>
      <c r="K42" s="86"/>
      <c r="L42" s="86"/>
      <c r="M42" s="86"/>
      <c r="N42" s="86"/>
      <c r="O42" s="86"/>
      <c r="P42" s="87"/>
      <c r="Q42" s="88"/>
      <c r="R42" s="86"/>
      <c r="S42" s="86"/>
      <c r="T42" s="86"/>
      <c r="U42" s="86"/>
      <c r="V42" s="86"/>
      <c r="W42" s="86"/>
      <c r="X42" s="86"/>
      <c r="Y42" s="86"/>
      <c r="Z42" s="86"/>
    </row>
    <row r="43" spans="2:26" ht="18" customHeight="1" x14ac:dyDescent="0.15">
      <c r="B43" s="141"/>
      <c r="C43" s="142"/>
      <c r="D43" s="84"/>
      <c r="E43" s="115"/>
      <c r="F43" s="85"/>
      <c r="G43" s="86"/>
      <c r="H43" s="86"/>
      <c r="I43" s="86"/>
      <c r="J43" s="86"/>
      <c r="K43" s="86"/>
      <c r="L43" s="86"/>
      <c r="M43" s="86"/>
      <c r="N43" s="86"/>
      <c r="O43" s="86"/>
      <c r="P43" s="87"/>
      <c r="Q43" s="88"/>
      <c r="R43" s="86"/>
      <c r="S43" s="86"/>
      <c r="T43" s="86"/>
      <c r="U43" s="86"/>
      <c r="V43" s="86"/>
      <c r="W43" s="86"/>
      <c r="X43" s="86"/>
      <c r="Y43" s="86"/>
      <c r="Z43" s="86"/>
    </row>
    <row r="44" spans="2:26" ht="18" customHeight="1" x14ac:dyDescent="0.15">
      <c r="B44" s="141"/>
      <c r="C44" s="142"/>
      <c r="D44" s="84"/>
      <c r="E44" s="115"/>
      <c r="F44" s="85"/>
      <c r="G44" s="86"/>
      <c r="H44" s="86"/>
      <c r="I44" s="86"/>
      <c r="J44" s="86"/>
      <c r="K44" s="86"/>
      <c r="L44" s="86"/>
      <c r="M44" s="86"/>
      <c r="N44" s="86"/>
      <c r="O44" s="86"/>
      <c r="P44" s="87"/>
      <c r="Q44" s="88"/>
      <c r="R44" s="86"/>
      <c r="S44" s="86"/>
      <c r="T44" s="86"/>
      <c r="U44" s="86"/>
      <c r="V44" s="86"/>
      <c r="W44" s="86"/>
      <c r="X44" s="86"/>
      <c r="Y44" s="86"/>
      <c r="Z44" s="86"/>
    </row>
    <row r="45" spans="2:26" ht="18" customHeight="1" x14ac:dyDescent="0.15">
      <c r="B45" s="141"/>
      <c r="C45" s="142"/>
      <c r="D45" s="84"/>
      <c r="E45" s="115"/>
      <c r="F45" s="85"/>
      <c r="G45" s="86"/>
      <c r="H45" s="86"/>
      <c r="I45" s="86"/>
      <c r="J45" s="86"/>
      <c r="K45" s="86"/>
      <c r="L45" s="86"/>
      <c r="M45" s="86"/>
      <c r="N45" s="86"/>
      <c r="O45" s="86"/>
      <c r="P45" s="87"/>
      <c r="Q45" s="88"/>
      <c r="R45" s="86"/>
      <c r="S45" s="86"/>
      <c r="T45" s="86"/>
      <c r="U45" s="86"/>
      <c r="V45" s="86"/>
      <c r="W45" s="86"/>
      <c r="X45" s="86"/>
      <c r="Y45" s="86"/>
      <c r="Z45" s="86"/>
    </row>
    <row r="46" spans="2:26" ht="18" customHeight="1" x14ac:dyDescent="0.15">
      <c r="B46" s="141"/>
      <c r="C46" s="142"/>
      <c r="D46" s="84"/>
      <c r="E46" s="115"/>
      <c r="F46" s="85"/>
      <c r="G46" s="86"/>
      <c r="H46" s="86"/>
      <c r="I46" s="86"/>
      <c r="J46" s="86"/>
      <c r="K46" s="86"/>
      <c r="L46" s="86"/>
      <c r="M46" s="86"/>
      <c r="N46" s="86"/>
      <c r="O46" s="86"/>
      <c r="P46" s="87"/>
      <c r="Q46" s="88"/>
      <c r="R46" s="86"/>
      <c r="S46" s="86"/>
      <c r="T46" s="86"/>
      <c r="U46" s="86"/>
      <c r="V46" s="86"/>
      <c r="W46" s="86"/>
      <c r="X46" s="86"/>
      <c r="Y46" s="86"/>
      <c r="Z46" s="86"/>
    </row>
    <row r="47" spans="2:26" ht="18" customHeight="1" x14ac:dyDescent="0.15">
      <c r="B47" s="141"/>
      <c r="C47" s="142"/>
      <c r="D47" s="84"/>
      <c r="E47" s="115"/>
      <c r="F47" s="85"/>
      <c r="G47" s="86"/>
      <c r="H47" s="86"/>
      <c r="I47" s="86"/>
      <c r="J47" s="86"/>
      <c r="K47" s="86"/>
      <c r="L47" s="86"/>
      <c r="M47" s="86"/>
      <c r="N47" s="86"/>
      <c r="O47" s="86"/>
      <c r="P47" s="87"/>
      <c r="Q47" s="88"/>
      <c r="R47" s="86"/>
      <c r="S47" s="86"/>
      <c r="T47" s="86"/>
      <c r="U47" s="86"/>
      <c r="V47" s="86"/>
      <c r="W47" s="86"/>
      <c r="X47" s="86"/>
      <c r="Y47" s="86"/>
      <c r="Z47" s="86"/>
    </row>
    <row r="48" spans="2:26" ht="18" customHeight="1" x14ac:dyDescent="0.15">
      <c r="B48" s="141"/>
      <c r="C48" s="142"/>
      <c r="D48" s="84"/>
      <c r="E48" s="115"/>
      <c r="F48" s="85"/>
      <c r="G48" s="86"/>
      <c r="H48" s="86"/>
      <c r="I48" s="86"/>
      <c r="J48" s="86"/>
      <c r="K48" s="86"/>
      <c r="L48" s="86"/>
      <c r="M48" s="86"/>
      <c r="N48" s="86"/>
      <c r="O48" s="86"/>
      <c r="P48" s="87"/>
      <c r="Q48" s="88"/>
      <c r="R48" s="86"/>
      <c r="S48" s="86"/>
      <c r="T48" s="86"/>
      <c r="U48" s="86"/>
      <c r="V48" s="86"/>
      <c r="W48" s="86"/>
      <c r="X48" s="86"/>
      <c r="Y48" s="86"/>
      <c r="Z48" s="86"/>
    </row>
    <row r="49" spans="1:26" ht="18" customHeight="1" x14ac:dyDescent="0.15">
      <c r="B49" s="141"/>
      <c r="C49" s="142"/>
      <c r="D49" s="84"/>
      <c r="E49" s="115"/>
      <c r="F49" s="85"/>
      <c r="G49" s="86"/>
      <c r="H49" s="86"/>
      <c r="I49" s="86"/>
      <c r="J49" s="86"/>
      <c r="K49" s="86"/>
      <c r="L49" s="86"/>
      <c r="M49" s="86"/>
      <c r="N49" s="86"/>
      <c r="O49" s="86"/>
      <c r="P49" s="87"/>
      <c r="Q49" s="88"/>
      <c r="R49" s="86"/>
      <c r="S49" s="86"/>
      <c r="T49" s="86"/>
      <c r="U49" s="86"/>
      <c r="V49" s="86"/>
      <c r="W49" s="86"/>
      <c r="X49" s="86"/>
      <c r="Y49" s="86"/>
      <c r="Z49" s="86"/>
    </row>
    <row r="50" spans="1:26" ht="18" customHeight="1" thickBot="1" x14ac:dyDescent="0.2">
      <c r="B50" s="143"/>
      <c r="C50" s="144"/>
      <c r="D50" s="89"/>
      <c r="E50" s="118"/>
      <c r="F50" s="99"/>
      <c r="G50" s="100"/>
      <c r="H50" s="100"/>
      <c r="I50" s="100"/>
      <c r="J50" s="100"/>
      <c r="K50" s="100"/>
      <c r="L50" s="100"/>
      <c r="M50" s="100"/>
      <c r="N50" s="100"/>
      <c r="O50" s="100"/>
      <c r="P50" s="101"/>
      <c r="Q50" s="93"/>
      <c r="R50" s="91"/>
      <c r="S50" s="91"/>
      <c r="T50" s="91"/>
      <c r="U50" s="91"/>
      <c r="V50" s="91"/>
      <c r="W50" s="91"/>
      <c r="X50" s="91"/>
      <c r="Y50" s="91"/>
      <c r="Z50" s="91"/>
    </row>
    <row r="51" spans="1:26" ht="18" customHeight="1" x14ac:dyDescent="0.15">
      <c r="A51" s="12"/>
      <c r="B51" s="41"/>
      <c r="C51" s="41"/>
      <c r="D51" s="41"/>
      <c r="E51" s="41"/>
      <c r="F51" s="41"/>
      <c r="G51" s="22"/>
      <c r="H51" s="22"/>
      <c r="I51" s="22"/>
      <c r="J51" s="22"/>
      <c r="K51" s="22"/>
      <c r="L51" s="22"/>
      <c r="M51" s="22"/>
      <c r="N51" s="22"/>
      <c r="O51" s="22"/>
      <c r="P51" s="41"/>
      <c r="Q51" s="41"/>
      <c r="R51" s="41"/>
      <c r="S51" s="41"/>
      <c r="T51" s="41"/>
      <c r="U51" s="41"/>
      <c r="V51" s="41"/>
      <c r="W51" s="22"/>
      <c r="X51" s="22"/>
      <c r="Y51" s="22"/>
      <c r="Z51" s="22"/>
    </row>
    <row r="52" spans="1:26" ht="18.75" customHeight="1" x14ac:dyDescent="0.15">
      <c r="A52" s="8" t="s">
        <v>115</v>
      </c>
    </row>
    <row r="53" spans="1:26" ht="18.75" customHeight="1" x14ac:dyDescent="0.15">
      <c r="B53" s="148" t="s">
        <v>49</v>
      </c>
      <c r="C53" s="149"/>
      <c r="D53" s="4" t="s">
        <v>128</v>
      </c>
    </row>
    <row r="54" spans="1:26" ht="76.900000000000006" customHeight="1" x14ac:dyDescent="0.15">
      <c r="B54" s="145" t="s">
        <v>55</v>
      </c>
      <c r="C54" s="102" t="s">
        <v>50</v>
      </c>
      <c r="D54" s="67" t="s">
        <v>129</v>
      </c>
      <c r="E54" s="103"/>
      <c r="F54" s="103"/>
      <c r="G54" s="103"/>
      <c r="H54" s="103"/>
      <c r="I54" s="103"/>
      <c r="J54" s="103"/>
      <c r="K54" s="103"/>
      <c r="L54" s="103"/>
      <c r="M54" s="103"/>
      <c r="N54" s="103"/>
      <c r="O54" s="103"/>
      <c r="P54" s="103"/>
      <c r="Q54" s="103"/>
      <c r="R54" s="103"/>
      <c r="S54" s="103"/>
      <c r="T54" s="103"/>
      <c r="U54" s="103"/>
      <c r="V54" s="103"/>
      <c r="W54" s="103"/>
      <c r="X54" s="103"/>
      <c r="Y54" s="103"/>
      <c r="Z54" s="103"/>
    </row>
    <row r="55" spans="1:26" ht="82.9" customHeight="1" x14ac:dyDescent="0.15">
      <c r="B55" s="146"/>
      <c r="C55" s="104" t="s">
        <v>67</v>
      </c>
      <c r="D55" s="119" t="s">
        <v>130</v>
      </c>
      <c r="E55" s="105"/>
      <c r="F55" s="105"/>
      <c r="G55" s="105"/>
      <c r="H55" s="105"/>
      <c r="I55" s="105"/>
      <c r="J55" s="105"/>
      <c r="K55" s="105"/>
      <c r="L55" s="105"/>
      <c r="M55" s="105"/>
      <c r="N55" s="105"/>
      <c r="O55" s="105"/>
      <c r="P55" s="105"/>
      <c r="Q55" s="105"/>
      <c r="R55" s="105"/>
      <c r="S55" s="105"/>
      <c r="T55" s="105"/>
      <c r="U55" s="105"/>
      <c r="V55" s="105"/>
      <c r="W55" s="105"/>
      <c r="X55" s="105"/>
      <c r="Y55" s="105"/>
      <c r="Z55" s="105"/>
    </row>
    <row r="56" spans="1:26" ht="47.45" customHeight="1" x14ac:dyDescent="0.15">
      <c r="B56" s="145" t="s">
        <v>56</v>
      </c>
      <c r="C56" s="106" t="s">
        <v>61</v>
      </c>
      <c r="D56" s="120" t="s">
        <v>131</v>
      </c>
      <c r="E56" s="105"/>
      <c r="F56" s="105"/>
      <c r="G56" s="105"/>
      <c r="H56" s="105"/>
      <c r="I56" s="105"/>
      <c r="J56" s="105"/>
      <c r="K56" s="105"/>
      <c r="L56" s="105"/>
      <c r="M56" s="105"/>
      <c r="N56" s="105"/>
      <c r="O56" s="105"/>
      <c r="P56" s="105"/>
      <c r="Q56" s="105"/>
      <c r="R56" s="105"/>
      <c r="S56" s="105"/>
      <c r="T56" s="105"/>
      <c r="U56" s="105"/>
      <c r="V56" s="105"/>
      <c r="W56" s="105"/>
      <c r="X56" s="105"/>
      <c r="Y56" s="105"/>
      <c r="Z56" s="105"/>
    </row>
    <row r="57" spans="1:26" ht="52.9" customHeight="1" x14ac:dyDescent="0.15">
      <c r="B57" s="147"/>
      <c r="C57" s="107" t="s">
        <v>62</v>
      </c>
      <c r="D57" s="121" t="s">
        <v>132</v>
      </c>
      <c r="E57" s="105"/>
      <c r="F57" s="105"/>
      <c r="G57" s="105"/>
      <c r="H57" s="105"/>
      <c r="I57" s="105"/>
      <c r="J57" s="105"/>
      <c r="K57" s="105"/>
      <c r="L57" s="105"/>
      <c r="M57" s="105"/>
      <c r="N57" s="105"/>
      <c r="O57" s="105"/>
      <c r="P57" s="105"/>
      <c r="Q57" s="105"/>
      <c r="R57" s="105"/>
      <c r="S57" s="105"/>
      <c r="T57" s="105"/>
      <c r="U57" s="105"/>
      <c r="V57" s="105"/>
      <c r="W57" s="105"/>
      <c r="X57" s="105"/>
      <c r="Y57" s="105"/>
      <c r="Z57" s="105"/>
    </row>
    <row r="58" spans="1:26" ht="60.6" customHeight="1" x14ac:dyDescent="0.15">
      <c r="B58" s="145" t="s">
        <v>57</v>
      </c>
      <c r="C58" s="106" t="s">
        <v>63</v>
      </c>
      <c r="D58" s="67" t="s">
        <v>133</v>
      </c>
      <c r="E58" s="105"/>
      <c r="F58" s="105"/>
      <c r="G58" s="105"/>
      <c r="H58" s="105"/>
      <c r="I58" s="105"/>
      <c r="J58" s="105"/>
      <c r="K58" s="105"/>
      <c r="L58" s="105"/>
      <c r="M58" s="105"/>
      <c r="N58" s="105"/>
      <c r="O58" s="105"/>
      <c r="P58" s="105"/>
      <c r="Q58" s="105"/>
      <c r="R58" s="105"/>
      <c r="S58" s="105"/>
      <c r="T58" s="105"/>
      <c r="U58" s="105"/>
      <c r="V58" s="105"/>
      <c r="W58" s="105"/>
      <c r="X58" s="105"/>
      <c r="Y58" s="105"/>
      <c r="Z58" s="105"/>
    </row>
    <row r="59" spans="1:26" ht="60.6" customHeight="1" x14ac:dyDescent="0.15">
      <c r="B59" s="147"/>
      <c r="C59" s="108" t="s">
        <v>64</v>
      </c>
      <c r="D59" s="119" t="s">
        <v>134</v>
      </c>
      <c r="E59" s="105"/>
      <c r="F59" s="105"/>
      <c r="G59" s="105"/>
      <c r="H59" s="105"/>
      <c r="I59" s="105"/>
      <c r="J59" s="105"/>
      <c r="K59" s="105"/>
      <c r="L59" s="105"/>
      <c r="M59" s="105"/>
      <c r="N59" s="105"/>
      <c r="O59" s="105"/>
      <c r="P59" s="105"/>
      <c r="Q59" s="105"/>
      <c r="R59" s="105"/>
      <c r="S59" s="105"/>
      <c r="T59" s="105"/>
      <c r="U59" s="105"/>
      <c r="V59" s="105"/>
      <c r="W59" s="105"/>
      <c r="X59" s="105"/>
      <c r="Y59" s="105"/>
      <c r="Z59" s="105"/>
    </row>
    <row r="60" spans="1:26" ht="66" customHeight="1" x14ac:dyDescent="0.15">
      <c r="B60" s="145" t="s">
        <v>68</v>
      </c>
      <c r="C60" s="102" t="s">
        <v>52</v>
      </c>
      <c r="D60" s="67" t="s">
        <v>135</v>
      </c>
      <c r="E60" s="105"/>
      <c r="F60" s="105"/>
      <c r="G60" s="105"/>
      <c r="H60" s="105"/>
      <c r="I60" s="105"/>
      <c r="J60" s="105"/>
      <c r="K60" s="105"/>
      <c r="L60" s="105"/>
      <c r="M60" s="105"/>
      <c r="N60" s="105"/>
      <c r="O60" s="105"/>
      <c r="P60" s="105"/>
      <c r="Q60" s="105"/>
      <c r="R60" s="105"/>
      <c r="S60" s="105"/>
      <c r="T60" s="105"/>
      <c r="U60" s="105"/>
      <c r="V60" s="105"/>
      <c r="W60" s="105"/>
      <c r="X60" s="105"/>
      <c r="Y60" s="105"/>
      <c r="Z60" s="105"/>
    </row>
    <row r="61" spans="1:26" ht="122.45" customHeight="1" x14ac:dyDescent="0.15">
      <c r="B61" s="147"/>
      <c r="C61" s="107" t="s">
        <v>54</v>
      </c>
      <c r="D61" s="119" t="s">
        <v>136</v>
      </c>
      <c r="E61" s="105"/>
      <c r="F61" s="105"/>
      <c r="G61" s="105"/>
      <c r="H61" s="105"/>
      <c r="I61" s="105"/>
      <c r="J61" s="105"/>
      <c r="K61" s="105"/>
      <c r="L61" s="105"/>
      <c r="M61" s="105"/>
      <c r="N61" s="105"/>
      <c r="O61" s="105"/>
      <c r="P61" s="105"/>
      <c r="Q61" s="105"/>
      <c r="R61" s="105"/>
      <c r="S61" s="105"/>
      <c r="T61" s="105"/>
      <c r="U61" s="105"/>
      <c r="V61" s="105"/>
      <c r="W61" s="105"/>
      <c r="X61" s="105"/>
      <c r="Y61" s="105"/>
      <c r="Z61" s="105"/>
    </row>
    <row r="62" spans="1:26" ht="136.9" customHeight="1" x14ac:dyDescent="0.15">
      <c r="B62" s="145" t="s">
        <v>69</v>
      </c>
      <c r="C62" s="106" t="s">
        <v>51</v>
      </c>
      <c r="D62" s="67" t="s">
        <v>137</v>
      </c>
      <c r="E62" s="105"/>
      <c r="F62" s="105"/>
      <c r="G62" s="105"/>
      <c r="H62" s="105"/>
      <c r="I62" s="105"/>
      <c r="J62" s="105"/>
      <c r="K62" s="105"/>
      <c r="L62" s="105"/>
      <c r="M62" s="105"/>
      <c r="N62" s="105"/>
      <c r="O62" s="105"/>
      <c r="P62" s="105"/>
      <c r="Q62" s="105"/>
      <c r="R62" s="105"/>
      <c r="S62" s="105"/>
      <c r="T62" s="105"/>
      <c r="U62" s="105"/>
      <c r="V62" s="105"/>
      <c r="W62" s="105"/>
      <c r="X62" s="105"/>
      <c r="Y62" s="105"/>
      <c r="Z62" s="105"/>
    </row>
    <row r="63" spans="1:26" ht="56.45" customHeight="1" x14ac:dyDescent="0.15">
      <c r="B63" s="146"/>
      <c r="C63" s="109" t="s">
        <v>65</v>
      </c>
      <c r="D63" s="122" t="s">
        <v>138</v>
      </c>
      <c r="E63" s="110"/>
      <c r="F63" s="110"/>
      <c r="G63" s="110"/>
      <c r="H63" s="110"/>
      <c r="I63" s="110"/>
      <c r="J63" s="110"/>
      <c r="K63" s="110"/>
      <c r="L63" s="110"/>
      <c r="M63" s="110"/>
      <c r="N63" s="110"/>
      <c r="O63" s="110"/>
      <c r="P63" s="110"/>
      <c r="Q63" s="110"/>
      <c r="R63" s="110"/>
      <c r="S63" s="110"/>
      <c r="T63" s="110"/>
      <c r="U63" s="110"/>
      <c r="V63" s="110"/>
      <c r="W63" s="110"/>
      <c r="X63" s="110"/>
      <c r="Y63" s="110"/>
      <c r="Z63" s="110"/>
    </row>
    <row r="64" spans="1:26" ht="54.6" customHeight="1" x14ac:dyDescent="0.15">
      <c r="B64" s="147"/>
      <c r="C64" s="108" t="s">
        <v>66</v>
      </c>
      <c r="D64" s="123" t="s">
        <v>139</v>
      </c>
      <c r="E64" s="110"/>
      <c r="F64" s="110"/>
      <c r="G64" s="110"/>
      <c r="H64" s="110"/>
      <c r="I64" s="110"/>
      <c r="J64" s="110"/>
      <c r="K64" s="110"/>
      <c r="L64" s="110"/>
      <c r="M64" s="110"/>
      <c r="N64" s="110"/>
      <c r="O64" s="110"/>
      <c r="P64" s="110"/>
      <c r="Q64" s="110"/>
      <c r="R64" s="110"/>
      <c r="S64" s="110"/>
      <c r="T64" s="110"/>
      <c r="U64" s="110"/>
      <c r="V64" s="110"/>
      <c r="W64" s="110"/>
      <c r="X64" s="110"/>
      <c r="Y64" s="110"/>
      <c r="Z64" s="110"/>
    </row>
    <row r="65" spans="1:26" ht="6" customHeight="1" x14ac:dyDescent="0.15"/>
    <row r="66" spans="1:26" ht="18.75" customHeight="1" x14ac:dyDescent="0.15">
      <c r="A66" s="8" t="s">
        <v>116</v>
      </c>
    </row>
    <row r="67" spans="1:26" ht="40.9" customHeight="1" x14ac:dyDescent="0.15">
      <c r="B67" s="16"/>
      <c r="C67" s="16"/>
      <c r="D67" s="66" t="s">
        <v>146</v>
      </c>
      <c r="E67" s="16"/>
      <c r="F67" s="16"/>
      <c r="G67" s="16"/>
      <c r="H67" s="16"/>
      <c r="I67" s="16"/>
      <c r="J67" s="16"/>
      <c r="K67" s="16"/>
      <c r="L67" s="16"/>
      <c r="M67" s="16"/>
      <c r="N67" s="16"/>
      <c r="O67" s="16"/>
      <c r="P67" s="16"/>
      <c r="Q67" s="16"/>
      <c r="R67" s="16"/>
      <c r="S67" s="16"/>
      <c r="T67" s="16"/>
      <c r="U67" s="16"/>
      <c r="V67" s="16"/>
      <c r="W67" s="16"/>
      <c r="X67" s="16"/>
      <c r="Y67" s="16"/>
      <c r="Z67" s="16"/>
    </row>
    <row r="70" spans="1:26" ht="18" customHeight="1" x14ac:dyDescent="0.15"/>
  </sheetData>
  <mergeCells count="19">
    <mergeCell ref="B32:C40"/>
    <mergeCell ref="B41:C50"/>
    <mergeCell ref="B62:B64"/>
    <mergeCell ref="B60:B61"/>
    <mergeCell ref="B53:C53"/>
    <mergeCell ref="B58:B59"/>
    <mergeCell ref="B54:B55"/>
    <mergeCell ref="B56:B57"/>
    <mergeCell ref="B23:C31"/>
    <mergeCell ref="A1:Z1"/>
    <mergeCell ref="A9:B9"/>
    <mergeCell ref="A11:B11"/>
    <mergeCell ref="A13:B13"/>
    <mergeCell ref="A15:B15"/>
    <mergeCell ref="Y3:Z3"/>
    <mergeCell ref="A7:Z7"/>
    <mergeCell ref="B4:C4"/>
    <mergeCell ref="B5:C5"/>
    <mergeCell ref="F21:Z21"/>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1:O51 W51:Z5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 type="list" allowBlank="1" showInputMessage="1" showErrorMessage="1" sqref="F23:Z50" xr:uid="{4C0986EB-3601-4249-85F7-B678A400A117}">
      <formula1>"○"</formula1>
    </dataValidation>
  </dataValidations>
  <printOptions horizontalCentered="1"/>
  <pageMargins left="0.78740157480314965" right="0.78740157480314965" top="0.78740157480314965" bottom="0.19685039370078741" header="0.31496062992125984" footer="0.19685039370078741"/>
  <pageSetup paperSize="9" scale="53" fitToHeight="0" orientation="landscape" r:id="rId1"/>
  <rowBreaks count="1" manualBreakCount="1">
    <brk id="50"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U14" sqref="U14"/>
    </sheetView>
  </sheetViews>
  <sheetFormatPr defaultColWidth="9" defaultRowHeight="18.75" customHeight="1" x14ac:dyDescent="0.15"/>
  <cols>
    <col min="1" max="1" width="2.75" style="8" customWidth="1"/>
    <col min="2" max="2" width="27.75" style="8" customWidth="1"/>
    <col min="3" max="3" width="8" style="8" customWidth="1"/>
    <col min="4" max="4" width="8.125" style="8" customWidth="1"/>
    <col min="5" max="19" width="6.125" style="8" customWidth="1"/>
    <col min="20" max="20" width="6.625" style="8" customWidth="1"/>
    <col min="21" max="16384" width="9" style="8"/>
  </cols>
  <sheetData>
    <row r="1" spans="1:22" ht="18" customHeight="1" x14ac:dyDescent="0.15">
      <c r="T1" s="8" t="s">
        <v>84</v>
      </c>
    </row>
    <row r="2" spans="1:22" ht="18" customHeight="1" x14ac:dyDescent="0.15">
      <c r="A2" s="153" t="s">
        <v>94</v>
      </c>
      <c r="B2" s="153"/>
      <c r="C2" s="153"/>
      <c r="D2" s="153"/>
      <c r="E2" s="153"/>
      <c r="F2" s="153"/>
      <c r="G2" s="153"/>
      <c r="H2" s="153"/>
      <c r="I2" s="153"/>
      <c r="J2" s="153"/>
      <c r="K2" s="153"/>
      <c r="L2" s="153"/>
      <c r="M2" s="153"/>
      <c r="N2" s="153"/>
      <c r="O2" s="153"/>
      <c r="P2" s="153"/>
      <c r="Q2" s="153"/>
      <c r="R2" s="153"/>
      <c r="S2" s="153"/>
      <c r="T2" s="153"/>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71</v>
      </c>
      <c r="C4" s="21" t="s">
        <v>152</v>
      </c>
      <c r="D4" s="8" t="s">
        <v>112</v>
      </c>
      <c r="E4" s="41"/>
      <c r="F4" s="10"/>
      <c r="G4" s="12"/>
      <c r="H4" s="12"/>
      <c r="I4" s="12"/>
      <c r="J4" s="12"/>
      <c r="K4" s="12"/>
      <c r="L4" s="12"/>
      <c r="M4" s="12"/>
      <c r="N4" s="12"/>
      <c r="O4" s="12"/>
      <c r="P4" s="12"/>
      <c r="Q4" s="12"/>
      <c r="R4" s="12"/>
      <c r="S4" s="41"/>
      <c r="T4" s="41"/>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110</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4" t="s">
        <v>43</v>
      </c>
      <c r="C8" s="150" t="s">
        <v>73</v>
      </c>
      <c r="D8" s="151"/>
      <c r="E8" s="156" t="s">
        <v>45</v>
      </c>
      <c r="F8" s="150" t="s">
        <v>38</v>
      </c>
      <c r="G8" s="152" t="s">
        <v>108</v>
      </c>
      <c r="H8" s="152"/>
      <c r="I8" s="152" t="s">
        <v>92</v>
      </c>
      <c r="J8" s="152"/>
      <c r="K8" s="152" t="s">
        <v>86</v>
      </c>
      <c r="L8" s="152"/>
      <c r="M8" s="152" t="s">
        <v>72</v>
      </c>
      <c r="N8" s="152"/>
      <c r="O8" s="152" t="s">
        <v>46</v>
      </c>
      <c r="P8" s="152"/>
      <c r="Q8" s="152" t="s">
        <v>47</v>
      </c>
      <c r="R8" s="163"/>
      <c r="S8" s="159" t="s">
        <v>35</v>
      </c>
      <c r="T8" s="161" t="s">
        <v>32</v>
      </c>
      <c r="V8" s="13"/>
    </row>
    <row r="9" spans="1:22" ht="16.899999999999999" customHeight="1" x14ac:dyDescent="0.15">
      <c r="B9" s="155"/>
      <c r="C9" s="1"/>
      <c r="D9" s="2" t="s">
        <v>111</v>
      </c>
      <c r="E9" s="157"/>
      <c r="F9" s="158"/>
      <c r="G9" s="40" t="s">
        <v>79</v>
      </c>
      <c r="H9" s="40" t="s">
        <v>29</v>
      </c>
      <c r="I9" s="40" t="s">
        <v>79</v>
      </c>
      <c r="J9" s="40" t="s">
        <v>29</v>
      </c>
      <c r="K9" s="40" t="s">
        <v>79</v>
      </c>
      <c r="L9" s="40" t="s">
        <v>29</v>
      </c>
      <c r="M9" s="40" t="s">
        <v>79</v>
      </c>
      <c r="N9" s="40" t="s">
        <v>29</v>
      </c>
      <c r="O9" s="40" t="s">
        <v>79</v>
      </c>
      <c r="P9" s="40" t="s">
        <v>29</v>
      </c>
      <c r="Q9" s="40" t="s">
        <v>79</v>
      </c>
      <c r="R9" s="40" t="s">
        <v>29</v>
      </c>
      <c r="S9" s="160"/>
      <c r="T9" s="162"/>
      <c r="V9" s="13"/>
    </row>
    <row r="10" spans="1:22" ht="18" customHeight="1" x14ac:dyDescent="0.15">
      <c r="A10" s="41"/>
      <c r="B10" s="42" t="s">
        <v>153</v>
      </c>
      <c r="C10" s="58">
        <v>464</v>
      </c>
      <c r="D10" s="64">
        <v>256</v>
      </c>
      <c r="E10" s="57">
        <v>160</v>
      </c>
      <c r="F10" s="58">
        <v>660</v>
      </c>
      <c r="G10" s="58">
        <v>54</v>
      </c>
      <c r="H10" s="58"/>
      <c r="I10" s="58">
        <v>32</v>
      </c>
      <c r="J10" s="58">
        <v>22</v>
      </c>
      <c r="K10" s="58">
        <v>4</v>
      </c>
      <c r="L10" s="58">
        <v>3</v>
      </c>
      <c r="M10" s="58"/>
      <c r="N10" s="58"/>
      <c r="O10" s="58"/>
      <c r="P10" s="58"/>
      <c r="Q10" s="58"/>
      <c r="R10" s="58"/>
      <c r="S10" s="3">
        <f>G10+I10+K10+M10+O10+Q10</f>
        <v>90</v>
      </c>
      <c r="T10" s="43">
        <f>S10/F10</f>
        <v>0.13636363636363635</v>
      </c>
    </row>
    <row r="11" spans="1:22" ht="18" customHeight="1" x14ac:dyDescent="0.15">
      <c r="A11" s="41"/>
      <c r="B11" s="44" t="s">
        <v>154</v>
      </c>
      <c r="C11" s="60">
        <v>149</v>
      </c>
      <c r="D11" s="62">
        <v>92</v>
      </c>
      <c r="E11" s="59">
        <v>70</v>
      </c>
      <c r="F11" s="60">
        <v>280</v>
      </c>
      <c r="G11" s="61">
        <v>20</v>
      </c>
      <c r="H11" s="61"/>
      <c r="I11" s="61">
        <v>5</v>
      </c>
      <c r="J11" s="61">
        <v>5</v>
      </c>
      <c r="K11" s="61">
        <v>0</v>
      </c>
      <c r="L11" s="61">
        <v>0</v>
      </c>
      <c r="M11" s="61"/>
      <c r="N11" s="61"/>
      <c r="O11" s="61"/>
      <c r="P11" s="61"/>
      <c r="Q11" s="61"/>
      <c r="R11" s="61"/>
      <c r="S11" s="45">
        <f t="shared" ref="S11:S29" si="0">G11+I11+K11+M11+O11+Q11</f>
        <v>25</v>
      </c>
      <c r="T11" s="46">
        <f t="shared" ref="T11:T27" si="1">S11/F11</f>
        <v>8.9285714285714288E-2</v>
      </c>
    </row>
    <row r="12" spans="1:22" ht="18" customHeight="1" x14ac:dyDescent="0.15">
      <c r="A12" s="41"/>
      <c r="B12" s="44"/>
      <c r="C12" s="60"/>
      <c r="D12" s="62"/>
      <c r="E12" s="59"/>
      <c r="F12" s="60"/>
      <c r="G12" s="61"/>
      <c r="H12" s="61"/>
      <c r="I12" s="61"/>
      <c r="J12" s="61"/>
      <c r="K12" s="61"/>
      <c r="L12" s="61"/>
      <c r="M12" s="61"/>
      <c r="N12" s="61"/>
      <c r="O12" s="61"/>
      <c r="P12" s="61"/>
      <c r="Q12" s="61"/>
      <c r="R12" s="61"/>
      <c r="S12" s="45">
        <f t="shared" si="0"/>
        <v>0</v>
      </c>
      <c r="T12" s="47" t="e">
        <f t="shared" si="1"/>
        <v>#DIV/0!</v>
      </c>
    </row>
    <row r="13" spans="1:22" ht="18" customHeight="1" x14ac:dyDescent="0.15">
      <c r="A13" s="41"/>
      <c r="B13" s="44"/>
      <c r="C13" s="60"/>
      <c r="D13" s="62"/>
      <c r="E13" s="59"/>
      <c r="F13" s="60"/>
      <c r="G13" s="61"/>
      <c r="H13" s="61"/>
      <c r="I13" s="61"/>
      <c r="J13" s="61"/>
      <c r="K13" s="61"/>
      <c r="L13" s="61"/>
      <c r="M13" s="61"/>
      <c r="N13" s="61"/>
      <c r="O13" s="61"/>
      <c r="P13" s="61"/>
      <c r="Q13" s="61"/>
      <c r="R13" s="61"/>
      <c r="S13" s="45">
        <f t="shared" si="0"/>
        <v>0</v>
      </c>
      <c r="T13" s="47" t="e">
        <f t="shared" si="1"/>
        <v>#DIV/0!</v>
      </c>
    </row>
    <row r="14" spans="1:22" ht="18" customHeight="1" x14ac:dyDescent="0.15">
      <c r="A14" s="41"/>
      <c r="B14" s="44"/>
      <c r="C14" s="60"/>
      <c r="D14" s="62"/>
      <c r="E14" s="59"/>
      <c r="F14" s="60"/>
      <c r="G14" s="61"/>
      <c r="H14" s="61"/>
      <c r="I14" s="61"/>
      <c r="J14" s="61"/>
      <c r="K14" s="61"/>
      <c r="L14" s="61"/>
      <c r="M14" s="61"/>
      <c r="N14" s="61"/>
      <c r="O14" s="61"/>
      <c r="P14" s="61"/>
      <c r="Q14" s="61"/>
      <c r="R14" s="61"/>
      <c r="S14" s="45">
        <f t="shared" si="0"/>
        <v>0</v>
      </c>
      <c r="T14" s="47" t="e">
        <f t="shared" si="1"/>
        <v>#DIV/0!</v>
      </c>
    </row>
    <row r="15" spans="1:22" ht="18" customHeight="1" x14ac:dyDescent="0.15">
      <c r="A15" s="41"/>
      <c r="B15" s="44"/>
      <c r="C15" s="60"/>
      <c r="D15" s="62"/>
      <c r="E15" s="59"/>
      <c r="F15" s="60"/>
      <c r="G15" s="61"/>
      <c r="H15" s="61"/>
      <c r="I15" s="61"/>
      <c r="J15" s="61"/>
      <c r="K15" s="61"/>
      <c r="L15" s="61"/>
      <c r="M15" s="61"/>
      <c r="N15" s="61"/>
      <c r="O15" s="61"/>
      <c r="P15" s="61"/>
      <c r="Q15" s="61"/>
      <c r="R15" s="61"/>
      <c r="S15" s="45">
        <f t="shared" si="0"/>
        <v>0</v>
      </c>
      <c r="T15" s="47" t="e">
        <f t="shared" si="1"/>
        <v>#DIV/0!</v>
      </c>
    </row>
    <row r="16" spans="1:22" ht="18" customHeight="1" x14ac:dyDescent="0.15">
      <c r="A16" s="41"/>
      <c r="B16" s="44"/>
      <c r="C16" s="60"/>
      <c r="D16" s="62"/>
      <c r="E16" s="59"/>
      <c r="F16" s="60"/>
      <c r="G16" s="61"/>
      <c r="H16" s="61"/>
      <c r="I16" s="61"/>
      <c r="J16" s="61"/>
      <c r="K16" s="61"/>
      <c r="L16" s="61"/>
      <c r="M16" s="61"/>
      <c r="N16" s="61"/>
      <c r="O16" s="61"/>
      <c r="P16" s="61"/>
      <c r="Q16" s="61"/>
      <c r="R16" s="61"/>
      <c r="S16" s="45">
        <f t="shared" si="0"/>
        <v>0</v>
      </c>
      <c r="T16" s="47" t="e">
        <f t="shared" si="1"/>
        <v>#DIV/0!</v>
      </c>
    </row>
    <row r="17" spans="1:20" ht="18" customHeight="1" x14ac:dyDescent="0.15">
      <c r="A17" s="41"/>
      <c r="B17" s="44"/>
      <c r="C17" s="60"/>
      <c r="D17" s="62"/>
      <c r="E17" s="59"/>
      <c r="F17" s="60"/>
      <c r="G17" s="61"/>
      <c r="H17" s="61"/>
      <c r="I17" s="61"/>
      <c r="J17" s="61"/>
      <c r="K17" s="61"/>
      <c r="L17" s="61"/>
      <c r="M17" s="61"/>
      <c r="N17" s="61"/>
      <c r="O17" s="61"/>
      <c r="P17" s="61"/>
      <c r="Q17" s="61"/>
      <c r="R17" s="61"/>
      <c r="S17" s="45">
        <f t="shared" si="0"/>
        <v>0</v>
      </c>
      <c r="T17" s="47" t="e">
        <f t="shared" si="1"/>
        <v>#DIV/0!</v>
      </c>
    </row>
    <row r="18" spans="1:20" ht="18" customHeight="1" x14ac:dyDescent="0.15">
      <c r="A18" s="41"/>
      <c r="B18" s="44"/>
      <c r="C18" s="60"/>
      <c r="D18" s="62"/>
      <c r="E18" s="59"/>
      <c r="F18" s="60"/>
      <c r="G18" s="61"/>
      <c r="H18" s="61"/>
      <c r="I18" s="61"/>
      <c r="J18" s="61"/>
      <c r="K18" s="61"/>
      <c r="L18" s="61"/>
      <c r="M18" s="61"/>
      <c r="N18" s="61"/>
      <c r="O18" s="61"/>
      <c r="P18" s="61"/>
      <c r="Q18" s="61"/>
      <c r="R18" s="61"/>
      <c r="S18" s="45">
        <f t="shared" si="0"/>
        <v>0</v>
      </c>
      <c r="T18" s="47" t="e">
        <f t="shared" si="1"/>
        <v>#DIV/0!</v>
      </c>
    </row>
    <row r="19" spans="1:20" ht="18" customHeight="1" x14ac:dyDescent="0.15">
      <c r="A19" s="41"/>
      <c r="B19" s="44"/>
      <c r="C19" s="60"/>
      <c r="D19" s="62"/>
      <c r="E19" s="59"/>
      <c r="F19" s="60"/>
      <c r="G19" s="61"/>
      <c r="H19" s="61"/>
      <c r="I19" s="61"/>
      <c r="J19" s="61"/>
      <c r="K19" s="61"/>
      <c r="L19" s="61"/>
      <c r="M19" s="61"/>
      <c r="N19" s="61"/>
      <c r="O19" s="61"/>
      <c r="P19" s="61"/>
      <c r="Q19" s="61"/>
      <c r="R19" s="61"/>
      <c r="S19" s="45">
        <f t="shared" si="0"/>
        <v>0</v>
      </c>
      <c r="T19" s="47" t="e">
        <f t="shared" si="1"/>
        <v>#DIV/0!</v>
      </c>
    </row>
    <row r="20" spans="1:20" ht="18" customHeight="1" x14ac:dyDescent="0.15">
      <c r="A20" s="41"/>
      <c r="B20" s="44"/>
      <c r="C20" s="60"/>
      <c r="D20" s="62"/>
      <c r="E20" s="59"/>
      <c r="F20" s="60"/>
      <c r="G20" s="61"/>
      <c r="H20" s="61"/>
      <c r="I20" s="61"/>
      <c r="J20" s="61"/>
      <c r="K20" s="61"/>
      <c r="L20" s="61"/>
      <c r="M20" s="61"/>
      <c r="N20" s="61"/>
      <c r="O20" s="61"/>
      <c r="P20" s="61"/>
      <c r="Q20" s="61"/>
      <c r="R20" s="61"/>
      <c r="S20" s="45">
        <f t="shared" si="0"/>
        <v>0</v>
      </c>
      <c r="T20" s="47" t="e">
        <f t="shared" si="1"/>
        <v>#DIV/0!</v>
      </c>
    </row>
    <row r="21" spans="1:20" ht="18" customHeight="1" x14ac:dyDescent="0.15">
      <c r="A21" s="41"/>
      <c r="B21" s="44"/>
      <c r="C21" s="60"/>
      <c r="D21" s="62"/>
      <c r="E21" s="59"/>
      <c r="F21" s="60"/>
      <c r="G21" s="61"/>
      <c r="H21" s="61"/>
      <c r="I21" s="61"/>
      <c r="J21" s="61"/>
      <c r="K21" s="61"/>
      <c r="L21" s="61"/>
      <c r="M21" s="61"/>
      <c r="N21" s="61"/>
      <c r="O21" s="61"/>
      <c r="P21" s="61"/>
      <c r="Q21" s="61"/>
      <c r="R21" s="61"/>
      <c r="S21" s="45">
        <f t="shared" si="0"/>
        <v>0</v>
      </c>
      <c r="T21" s="47" t="e">
        <f t="shared" si="1"/>
        <v>#DIV/0!</v>
      </c>
    </row>
    <row r="22" spans="1:20" ht="18" customHeight="1" x14ac:dyDescent="0.15">
      <c r="A22" s="41"/>
      <c r="B22" s="44"/>
      <c r="C22" s="60"/>
      <c r="D22" s="62"/>
      <c r="E22" s="59"/>
      <c r="F22" s="60"/>
      <c r="G22" s="61"/>
      <c r="H22" s="61"/>
      <c r="I22" s="61"/>
      <c r="J22" s="61"/>
      <c r="K22" s="61"/>
      <c r="L22" s="61"/>
      <c r="M22" s="61"/>
      <c r="N22" s="61"/>
      <c r="O22" s="61"/>
      <c r="P22" s="61"/>
      <c r="Q22" s="61"/>
      <c r="R22" s="61"/>
      <c r="S22" s="45">
        <f t="shared" si="0"/>
        <v>0</v>
      </c>
      <c r="T22" s="47" t="e">
        <f t="shared" si="1"/>
        <v>#DIV/0!</v>
      </c>
    </row>
    <row r="23" spans="1:20" ht="18" customHeight="1" x14ac:dyDescent="0.15">
      <c r="A23" s="41"/>
      <c r="B23" s="44"/>
      <c r="C23" s="60"/>
      <c r="D23" s="62"/>
      <c r="E23" s="59"/>
      <c r="F23" s="60"/>
      <c r="G23" s="61"/>
      <c r="H23" s="61"/>
      <c r="I23" s="61"/>
      <c r="J23" s="61"/>
      <c r="K23" s="61"/>
      <c r="L23" s="61"/>
      <c r="M23" s="61"/>
      <c r="N23" s="61"/>
      <c r="O23" s="61"/>
      <c r="P23" s="61"/>
      <c r="Q23" s="61"/>
      <c r="R23" s="61"/>
      <c r="S23" s="45">
        <f t="shared" si="0"/>
        <v>0</v>
      </c>
      <c r="T23" s="47" t="e">
        <f t="shared" si="1"/>
        <v>#DIV/0!</v>
      </c>
    </row>
    <row r="24" spans="1:20" ht="18" customHeight="1" x14ac:dyDescent="0.15">
      <c r="A24" s="41"/>
      <c r="B24" s="44"/>
      <c r="C24" s="60"/>
      <c r="D24" s="62"/>
      <c r="E24" s="59"/>
      <c r="F24" s="60"/>
      <c r="G24" s="61"/>
      <c r="H24" s="61"/>
      <c r="I24" s="61"/>
      <c r="J24" s="61"/>
      <c r="K24" s="61"/>
      <c r="L24" s="61"/>
      <c r="M24" s="61"/>
      <c r="N24" s="61"/>
      <c r="O24" s="61"/>
      <c r="P24" s="61"/>
      <c r="Q24" s="61"/>
      <c r="R24" s="61"/>
      <c r="S24" s="45">
        <f t="shared" si="0"/>
        <v>0</v>
      </c>
      <c r="T24" s="47" t="e">
        <f t="shared" si="1"/>
        <v>#DIV/0!</v>
      </c>
    </row>
    <row r="25" spans="1:20" ht="18" customHeight="1" x14ac:dyDescent="0.15">
      <c r="A25" s="41"/>
      <c r="B25" s="44"/>
      <c r="C25" s="60"/>
      <c r="D25" s="62"/>
      <c r="E25" s="59"/>
      <c r="F25" s="60"/>
      <c r="G25" s="61"/>
      <c r="H25" s="61"/>
      <c r="I25" s="61"/>
      <c r="J25" s="61"/>
      <c r="K25" s="61"/>
      <c r="L25" s="61"/>
      <c r="M25" s="61"/>
      <c r="N25" s="61"/>
      <c r="O25" s="61"/>
      <c r="P25" s="61"/>
      <c r="Q25" s="61"/>
      <c r="R25" s="61"/>
      <c r="S25" s="45">
        <f t="shared" si="0"/>
        <v>0</v>
      </c>
      <c r="T25" s="47" t="e">
        <f t="shared" si="1"/>
        <v>#DIV/0!</v>
      </c>
    </row>
    <row r="26" spans="1:20" ht="18" customHeight="1" x14ac:dyDescent="0.15">
      <c r="A26" s="41"/>
      <c r="B26" s="44"/>
      <c r="C26" s="60"/>
      <c r="D26" s="62"/>
      <c r="E26" s="59"/>
      <c r="F26" s="60"/>
      <c r="G26" s="61"/>
      <c r="H26" s="61"/>
      <c r="I26" s="61"/>
      <c r="J26" s="61"/>
      <c r="K26" s="61"/>
      <c r="L26" s="61"/>
      <c r="M26" s="61"/>
      <c r="N26" s="61"/>
      <c r="O26" s="61"/>
      <c r="P26" s="61"/>
      <c r="Q26" s="61"/>
      <c r="R26" s="61"/>
      <c r="S26" s="45">
        <f t="shared" si="0"/>
        <v>0</v>
      </c>
      <c r="T26" s="47" t="e">
        <f t="shared" si="1"/>
        <v>#DIV/0!</v>
      </c>
    </row>
    <row r="27" spans="1:20" ht="18" customHeight="1" x14ac:dyDescent="0.15">
      <c r="A27" s="41"/>
      <c r="B27" s="44"/>
      <c r="C27" s="60"/>
      <c r="D27" s="62"/>
      <c r="E27" s="63"/>
      <c r="F27" s="60"/>
      <c r="G27" s="61"/>
      <c r="H27" s="61"/>
      <c r="I27" s="61"/>
      <c r="J27" s="61"/>
      <c r="K27" s="61"/>
      <c r="L27" s="61"/>
      <c r="M27" s="61"/>
      <c r="N27" s="61"/>
      <c r="O27" s="61"/>
      <c r="P27" s="61"/>
      <c r="Q27" s="61"/>
      <c r="R27" s="61"/>
      <c r="S27" s="45">
        <f t="shared" si="0"/>
        <v>0</v>
      </c>
      <c r="T27" s="47" t="e">
        <f t="shared" si="1"/>
        <v>#DIV/0!</v>
      </c>
    </row>
    <row r="28" spans="1:20" ht="18" customHeight="1" x14ac:dyDescent="0.15">
      <c r="A28" s="41"/>
      <c r="B28" s="44"/>
      <c r="C28" s="60"/>
      <c r="D28" s="62"/>
      <c r="E28" s="63"/>
      <c r="F28" s="60"/>
      <c r="G28" s="61"/>
      <c r="H28" s="61"/>
      <c r="I28" s="61"/>
      <c r="J28" s="61"/>
      <c r="K28" s="61"/>
      <c r="L28" s="61"/>
      <c r="M28" s="61"/>
      <c r="N28" s="61"/>
      <c r="O28" s="61"/>
      <c r="P28" s="61"/>
      <c r="Q28" s="61"/>
      <c r="R28" s="61"/>
      <c r="S28" s="45">
        <f t="shared" si="0"/>
        <v>0</v>
      </c>
      <c r="T28" s="47" t="e">
        <f t="shared" ref="T28:T29" si="2">S28/F28</f>
        <v>#DIV/0!</v>
      </c>
    </row>
    <row r="29" spans="1:20" ht="18" customHeight="1" thickBot="1" x14ac:dyDescent="0.2">
      <c r="A29" s="41"/>
      <c r="B29" s="48"/>
      <c r="C29" s="58"/>
      <c r="D29" s="64"/>
      <c r="E29" s="65"/>
      <c r="F29" s="58"/>
      <c r="G29" s="58"/>
      <c r="H29" s="58"/>
      <c r="I29" s="58"/>
      <c r="J29" s="58"/>
      <c r="K29" s="58"/>
      <c r="L29" s="58"/>
      <c r="M29" s="58"/>
      <c r="N29" s="58"/>
      <c r="O29" s="58"/>
      <c r="P29" s="58"/>
      <c r="Q29" s="58"/>
      <c r="R29" s="58"/>
      <c r="S29" s="3">
        <f t="shared" si="0"/>
        <v>0</v>
      </c>
      <c r="T29" s="47" t="e">
        <f t="shared" si="2"/>
        <v>#DIV/0!</v>
      </c>
    </row>
    <row r="30" spans="1:20" ht="18" customHeight="1" thickTop="1" x14ac:dyDescent="0.15">
      <c r="B30" s="49" t="s">
        <v>33</v>
      </c>
      <c r="C30" s="51">
        <f t="shared" ref="C30" si="3">SUM(C10:C29)</f>
        <v>613</v>
      </c>
      <c r="D30" s="111">
        <f>SUM(D10:D29)</f>
        <v>348</v>
      </c>
      <c r="E30" s="50">
        <f t="shared" ref="E30:G30" si="4">SUM(E10:E29)</f>
        <v>230</v>
      </c>
      <c r="F30" s="51">
        <f t="shared" si="4"/>
        <v>940</v>
      </c>
      <c r="G30" s="51">
        <f t="shared" si="4"/>
        <v>74</v>
      </c>
      <c r="H30" s="51">
        <f t="shared" ref="H30:K30" si="5">SUM(H10:H29)</f>
        <v>0</v>
      </c>
      <c r="I30" s="51">
        <f t="shared" si="5"/>
        <v>37</v>
      </c>
      <c r="J30" s="51">
        <f t="shared" si="5"/>
        <v>27</v>
      </c>
      <c r="K30" s="51">
        <f t="shared" si="5"/>
        <v>4</v>
      </c>
      <c r="L30" s="51">
        <f t="shared" ref="L30:M30" si="6">SUM(L10:L29)</f>
        <v>3</v>
      </c>
      <c r="M30" s="51">
        <f t="shared" si="6"/>
        <v>0</v>
      </c>
      <c r="N30" s="51">
        <f t="shared" ref="N30:S30" si="7">SUM(N10:N29)</f>
        <v>0</v>
      </c>
      <c r="O30" s="51">
        <f t="shared" si="7"/>
        <v>0</v>
      </c>
      <c r="P30" s="51">
        <f t="shared" si="7"/>
        <v>0</v>
      </c>
      <c r="Q30" s="51">
        <f t="shared" si="7"/>
        <v>0</v>
      </c>
      <c r="R30" s="51">
        <f t="shared" si="7"/>
        <v>0</v>
      </c>
      <c r="S30" s="51">
        <f t="shared" si="7"/>
        <v>115</v>
      </c>
      <c r="T30" s="52">
        <f>S30/F30</f>
        <v>0.12234042553191489</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C10:R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8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topLeftCell="A42" zoomScaleNormal="100" zoomScaleSheetLayoutView="100" workbookViewId="0">
      <selection activeCell="B47" sqref="B47"/>
    </sheetView>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16384" width="11.375" style="8"/>
  </cols>
  <sheetData>
    <row r="1" spans="1:5" ht="18.75" customHeight="1" x14ac:dyDescent="0.15">
      <c r="A1" s="7" t="s">
        <v>58</v>
      </c>
      <c r="E1" s="9" t="s">
        <v>83</v>
      </c>
    </row>
    <row r="2" spans="1:5" ht="10.9" customHeight="1" x14ac:dyDescent="0.15">
      <c r="E2" s="10"/>
    </row>
    <row r="3" spans="1:5" ht="18.399999999999999" customHeight="1" x14ac:dyDescent="0.15">
      <c r="A3" s="153" t="s">
        <v>36</v>
      </c>
      <c r="B3" s="153"/>
      <c r="C3" s="153"/>
      <c r="D3" s="153"/>
      <c r="E3" s="153"/>
    </row>
    <row r="4" spans="1:5" ht="13.15" customHeight="1" x14ac:dyDescent="0.15">
      <c r="B4" s="12"/>
      <c r="C4" s="12"/>
      <c r="D4" s="12"/>
      <c r="E4" s="12"/>
    </row>
    <row r="5" spans="1:5" ht="18" customHeight="1" x14ac:dyDescent="0.15">
      <c r="A5" s="8" t="s">
        <v>0</v>
      </c>
      <c r="B5" s="131" t="s">
        <v>76</v>
      </c>
      <c r="C5" s="131"/>
      <c r="D5" s="131"/>
      <c r="E5" s="131"/>
    </row>
    <row r="6" spans="1:5" ht="18.399999999999999" customHeight="1" x14ac:dyDescent="0.15">
      <c r="B6" s="29" t="s">
        <v>77</v>
      </c>
      <c r="C6" s="124">
        <v>43</v>
      </c>
      <c r="D6" s="10" t="s">
        <v>1</v>
      </c>
      <c r="E6" s="14"/>
    </row>
    <row r="7" spans="1:5" ht="18.399999999999999" customHeight="1" x14ac:dyDescent="0.15">
      <c r="B7" s="29" t="s">
        <v>2</v>
      </c>
      <c r="C7" s="124">
        <v>55</v>
      </c>
      <c r="D7" s="10" t="s">
        <v>1</v>
      </c>
      <c r="E7" s="14"/>
    </row>
    <row r="8" spans="1:5" ht="18.399999999999999" customHeight="1" x14ac:dyDescent="0.15">
      <c r="B8" s="9"/>
      <c r="C8" s="9"/>
      <c r="D8" s="10"/>
      <c r="E8" s="14"/>
    </row>
    <row r="9" spans="1:5" ht="18" customHeight="1" x14ac:dyDescent="0.15">
      <c r="A9" s="8" t="s">
        <v>3</v>
      </c>
      <c r="B9" s="131" t="s">
        <v>122</v>
      </c>
      <c r="C9" s="131"/>
      <c r="D9" s="131"/>
      <c r="E9" s="131"/>
    </row>
    <row r="10" spans="1:5" ht="18" customHeight="1" x14ac:dyDescent="0.15">
      <c r="A10" s="8"/>
      <c r="B10" s="10"/>
      <c r="C10" s="124">
        <v>1</v>
      </c>
      <c r="D10" s="10" t="s">
        <v>1</v>
      </c>
      <c r="E10" s="10"/>
    </row>
    <row r="11" spans="1:5" ht="9" customHeight="1" x14ac:dyDescent="0.15">
      <c r="B11" s="12"/>
      <c r="C11" s="12"/>
      <c r="D11" s="12"/>
      <c r="E11" s="12"/>
    </row>
    <row r="12" spans="1:5" ht="18" customHeight="1" x14ac:dyDescent="0.15">
      <c r="A12" s="8" t="s">
        <v>4</v>
      </c>
      <c r="B12" s="131" t="s">
        <v>78</v>
      </c>
      <c r="C12" s="131"/>
      <c r="D12" s="131"/>
      <c r="E12" s="131"/>
    </row>
    <row r="13" spans="1:5" ht="18" customHeight="1" x14ac:dyDescent="0.15">
      <c r="C13" s="9" t="s">
        <v>41</v>
      </c>
      <c r="D13" s="69" t="s">
        <v>155</v>
      </c>
      <c r="E13" s="10"/>
    </row>
    <row r="14" spans="1:5" ht="18" customHeight="1" x14ac:dyDescent="0.15">
      <c r="C14" s="9" t="s">
        <v>10</v>
      </c>
      <c r="D14" s="69" t="s">
        <v>156</v>
      </c>
      <c r="E14" s="14"/>
    </row>
    <row r="15" spans="1:5" ht="10.15" customHeight="1" x14ac:dyDescent="0.15">
      <c r="B15" s="9"/>
      <c r="C15" s="10"/>
      <c r="D15" s="14"/>
      <c r="E15" s="14"/>
    </row>
    <row r="16" spans="1:5" ht="18" customHeight="1" x14ac:dyDescent="0.15">
      <c r="A16" s="8" t="s">
        <v>7</v>
      </c>
      <c r="B16" s="131" t="s">
        <v>74</v>
      </c>
      <c r="C16" s="131"/>
      <c r="D16" s="131"/>
      <c r="E16" s="131"/>
    </row>
    <row r="17" spans="1:10" ht="18" customHeight="1" x14ac:dyDescent="0.15">
      <c r="C17" s="9" t="s">
        <v>118</v>
      </c>
      <c r="D17" s="69" t="s">
        <v>157</v>
      </c>
      <c r="E17" s="10"/>
    </row>
    <row r="18" spans="1:10" ht="9" customHeight="1" x14ac:dyDescent="0.15">
      <c r="B18" s="12"/>
      <c r="C18" s="12"/>
      <c r="D18" s="12"/>
      <c r="E18" s="12"/>
    </row>
    <row r="19" spans="1:10" ht="18.75" customHeight="1" x14ac:dyDescent="0.15">
      <c r="A19" s="8" t="s">
        <v>5</v>
      </c>
      <c r="B19" s="130" t="s">
        <v>40</v>
      </c>
      <c r="C19" s="130"/>
      <c r="D19" s="130"/>
      <c r="E19" s="130"/>
    </row>
    <row r="20" spans="1:10" ht="18.75" customHeight="1" x14ac:dyDescent="0.15">
      <c r="A20" s="8"/>
      <c r="C20" s="9" t="s">
        <v>118</v>
      </c>
      <c r="D20" s="69" t="s">
        <v>158</v>
      </c>
      <c r="E20" s="10"/>
    </row>
    <row r="21" spans="1:10" ht="7.5" customHeight="1" x14ac:dyDescent="0.15">
      <c r="B21" s="12"/>
      <c r="C21" s="12"/>
      <c r="D21" s="12"/>
      <c r="E21" s="12"/>
    </row>
    <row r="22" spans="1:10" ht="18.75" customHeight="1" x14ac:dyDescent="0.15">
      <c r="A22" s="8" t="s">
        <v>8</v>
      </c>
      <c r="B22" s="130" t="s">
        <v>25</v>
      </c>
      <c r="C22" s="130"/>
      <c r="D22" s="130"/>
      <c r="E22" s="130"/>
    </row>
    <row r="23" spans="1:10" ht="180" customHeight="1" x14ac:dyDescent="0.15">
      <c r="A23" s="15"/>
      <c r="B23" s="16"/>
      <c r="C23" s="166" t="s">
        <v>159</v>
      </c>
      <c r="D23" s="167"/>
      <c r="E23" s="168"/>
    </row>
    <row r="24" spans="1:10" ht="7.5" customHeight="1" x14ac:dyDescent="0.15">
      <c r="A24" s="15"/>
      <c r="B24" s="15"/>
      <c r="C24" s="15"/>
      <c r="D24" s="15"/>
      <c r="E24" s="15"/>
    </row>
    <row r="25" spans="1:10" ht="18.75" customHeight="1" x14ac:dyDescent="0.15">
      <c r="A25" s="17" t="s">
        <v>6</v>
      </c>
      <c r="B25" s="169" t="s">
        <v>9</v>
      </c>
      <c r="C25" s="170"/>
      <c r="D25" s="170"/>
      <c r="E25" s="170"/>
    </row>
    <row r="26" spans="1:10" ht="180" customHeight="1" x14ac:dyDescent="0.15">
      <c r="A26" s="15"/>
      <c r="B26" s="16"/>
      <c r="C26" s="166" t="s">
        <v>160</v>
      </c>
      <c r="D26" s="167"/>
      <c r="E26" s="168"/>
    </row>
    <row r="27" spans="1:10" ht="7.5" customHeight="1" x14ac:dyDescent="0.15">
      <c r="A27" s="18"/>
      <c r="B27" s="18"/>
      <c r="C27" s="18"/>
      <c r="D27" s="18"/>
      <c r="E27" s="18"/>
    </row>
    <row r="28" spans="1:10" ht="18.75" customHeight="1" x14ac:dyDescent="0.15">
      <c r="A28" s="8" t="s">
        <v>31</v>
      </c>
      <c r="B28" s="130" t="s">
        <v>121</v>
      </c>
      <c r="C28" s="171"/>
      <c r="D28" s="171"/>
      <c r="E28" s="130"/>
    </row>
    <row r="29" spans="1:10" s="12" customFormat="1" ht="18.75" customHeight="1" x14ac:dyDescent="0.15">
      <c r="B29" s="25"/>
      <c r="C29" s="21" t="s">
        <v>123</v>
      </c>
      <c r="D29" s="30">
        <f>IFERROR('様式２ 履修者等数の実績'!T30, "（様式２より自動転記）")</f>
        <v>0.12234042553191489</v>
      </c>
      <c r="E29" s="26"/>
      <c r="F29" s="8"/>
      <c r="I29" s="8"/>
      <c r="J29" s="20"/>
    </row>
    <row r="30" spans="1:10" s="12" customFormat="1" ht="18.75" customHeight="1" x14ac:dyDescent="0.15">
      <c r="B30" s="25"/>
      <c r="C30" s="21" t="s">
        <v>75</v>
      </c>
      <c r="D30" s="30">
        <v>0.3</v>
      </c>
      <c r="E30" s="26"/>
      <c r="F30" s="8"/>
      <c r="I30" s="8"/>
      <c r="J30" s="20"/>
    </row>
    <row r="31" spans="1:10" s="12" customFormat="1" ht="18.75" customHeight="1" x14ac:dyDescent="0.15">
      <c r="B31" s="25"/>
      <c r="C31" s="21" t="s">
        <v>89</v>
      </c>
      <c r="D31" s="30">
        <v>0.5</v>
      </c>
      <c r="E31" s="26"/>
      <c r="F31" s="8"/>
      <c r="I31" s="8"/>
      <c r="J31" s="20"/>
    </row>
    <row r="32" spans="1:10" s="12" customFormat="1" ht="18.75" customHeight="1" x14ac:dyDescent="0.15">
      <c r="B32" s="22"/>
      <c r="C32" s="19" t="s">
        <v>119</v>
      </c>
      <c r="D32" s="30">
        <v>0.75</v>
      </c>
      <c r="E32" s="27"/>
      <c r="F32" s="8"/>
      <c r="I32" s="8"/>
      <c r="J32" s="20"/>
    </row>
    <row r="33" spans="1:11" s="12" customFormat="1" ht="18.75" customHeight="1" x14ac:dyDescent="0.15">
      <c r="B33" s="22"/>
      <c r="C33" s="19" t="s">
        <v>120</v>
      </c>
      <c r="D33" s="30">
        <v>1</v>
      </c>
      <c r="E33" s="27"/>
      <c r="F33" s="8"/>
      <c r="I33" s="8"/>
      <c r="J33" s="20"/>
    </row>
    <row r="34" spans="1:11" ht="18.75" customHeight="1" x14ac:dyDescent="0.15">
      <c r="A34" s="8"/>
      <c r="B34" s="165" t="s">
        <v>59</v>
      </c>
      <c r="C34" s="165"/>
      <c r="D34" s="165"/>
      <c r="E34" s="165"/>
      <c r="J34" s="20"/>
      <c r="K34" s="12"/>
    </row>
    <row r="35" spans="1:11" ht="180" customHeight="1" x14ac:dyDescent="0.15">
      <c r="A35" s="8"/>
      <c r="B35" s="16"/>
      <c r="C35" s="166" t="s">
        <v>163</v>
      </c>
      <c r="D35" s="167"/>
      <c r="E35" s="168"/>
      <c r="J35" s="20"/>
      <c r="K35" s="12"/>
    </row>
    <row r="36" spans="1:11" ht="7.5" customHeight="1" x14ac:dyDescent="0.15">
      <c r="A36" s="15"/>
      <c r="B36" s="15"/>
      <c r="C36" s="15"/>
      <c r="D36" s="15"/>
      <c r="E36" s="15"/>
    </row>
    <row r="37" spans="1:11" ht="18.75" customHeight="1" x14ac:dyDescent="0.15">
      <c r="A37" s="17" t="s">
        <v>34</v>
      </c>
      <c r="B37" s="130" t="s">
        <v>37</v>
      </c>
      <c r="C37" s="171"/>
      <c r="D37" s="171"/>
      <c r="E37" s="171"/>
    </row>
    <row r="38" spans="1:11" ht="180" customHeight="1" x14ac:dyDescent="0.15">
      <c r="A38" s="18"/>
      <c r="B38" s="16"/>
      <c r="C38" s="166" t="s">
        <v>164</v>
      </c>
      <c r="D38" s="167"/>
      <c r="E38" s="168"/>
    </row>
    <row r="39" spans="1:11" ht="7.5" customHeight="1" x14ac:dyDescent="0.15">
      <c r="A39" s="18"/>
      <c r="B39" s="18"/>
      <c r="C39" s="18"/>
      <c r="D39" s="18"/>
      <c r="E39" s="18"/>
    </row>
    <row r="40" spans="1:11" ht="18.75" customHeight="1" x14ac:dyDescent="0.15">
      <c r="A40" s="8" t="s">
        <v>11</v>
      </c>
      <c r="B40" s="130" t="s">
        <v>39</v>
      </c>
      <c r="C40" s="171"/>
      <c r="D40" s="171"/>
      <c r="E40" s="171"/>
    </row>
    <row r="41" spans="1:11" ht="180" customHeight="1" x14ac:dyDescent="0.15">
      <c r="A41" s="8"/>
      <c r="B41" s="16"/>
      <c r="C41" s="166" t="s">
        <v>165</v>
      </c>
      <c r="D41" s="167"/>
      <c r="E41" s="168"/>
    </row>
    <row r="42" spans="1:11" ht="7.5" customHeight="1" x14ac:dyDescent="0.15">
      <c r="A42" s="18"/>
      <c r="B42" s="18"/>
      <c r="C42" s="18"/>
      <c r="D42" s="18"/>
      <c r="E42" s="18"/>
    </row>
    <row r="43" spans="1:11" ht="18.75" customHeight="1" x14ac:dyDescent="0.15">
      <c r="A43" s="8" t="s">
        <v>42</v>
      </c>
      <c r="B43" s="130" t="s">
        <v>13</v>
      </c>
      <c r="C43" s="171"/>
      <c r="D43" s="171"/>
      <c r="E43" s="171"/>
    </row>
    <row r="44" spans="1:11" ht="180" customHeight="1" x14ac:dyDescent="0.15">
      <c r="A44" s="8"/>
      <c r="B44" s="16"/>
      <c r="C44" s="166" t="s">
        <v>166</v>
      </c>
      <c r="D44" s="167"/>
      <c r="E44" s="168"/>
    </row>
    <row r="45" spans="1:11" ht="7.5" customHeight="1" x14ac:dyDescent="0.15">
      <c r="A45" s="18"/>
      <c r="B45" s="18"/>
      <c r="C45" s="18"/>
      <c r="D45" s="18"/>
      <c r="E45" s="18"/>
    </row>
    <row r="46" spans="1:11" ht="18.75" customHeight="1" x14ac:dyDescent="0.15">
      <c r="A46" s="8" t="s">
        <v>30</v>
      </c>
      <c r="B46" s="130" t="s">
        <v>44</v>
      </c>
      <c r="C46" s="130"/>
      <c r="D46" s="130"/>
      <c r="E46" s="130"/>
    </row>
    <row r="47" spans="1:11" ht="180" customHeight="1" x14ac:dyDescent="0.15">
      <c r="A47" s="18"/>
      <c r="B47" s="16"/>
      <c r="C47" s="166" t="s">
        <v>170</v>
      </c>
      <c r="D47" s="167"/>
      <c r="E47" s="168"/>
    </row>
    <row r="48" spans="1:11" ht="7.5" customHeight="1" x14ac:dyDescent="0.15">
      <c r="A48" s="18"/>
      <c r="B48" s="23"/>
      <c r="C48" s="23"/>
      <c r="D48" s="23"/>
      <c r="E48" s="23"/>
    </row>
    <row r="49" spans="1:5" ht="18.75" customHeight="1" x14ac:dyDescent="0.15">
      <c r="A49" s="8"/>
      <c r="B49" s="164"/>
      <c r="C49" s="164"/>
      <c r="D49" s="164"/>
      <c r="E49" s="164"/>
    </row>
    <row r="50" spans="1:5" ht="18.75" customHeight="1" x14ac:dyDescent="0.15">
      <c r="A50" s="8"/>
      <c r="B50" s="164"/>
      <c r="C50" s="164"/>
      <c r="D50" s="164"/>
      <c r="E50" s="164"/>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tabSelected="1" view="pageBreakPreview" zoomScaleNormal="100" zoomScaleSheetLayoutView="100" workbookViewId="0">
      <selection activeCell="C3" sqref="C3"/>
    </sheetView>
  </sheetViews>
  <sheetFormatPr defaultColWidth="11.375" defaultRowHeight="22.5" customHeight="1" x14ac:dyDescent="0.15"/>
  <cols>
    <col min="1" max="1" width="5.75" style="8" customWidth="1"/>
    <col min="2" max="2" width="7.1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60</v>
      </c>
      <c r="E1" s="9" t="s">
        <v>82</v>
      </c>
    </row>
    <row r="2" spans="1:5" ht="18.75" customHeight="1" x14ac:dyDescent="0.15">
      <c r="A2" s="153" t="s">
        <v>28</v>
      </c>
      <c r="B2" s="153"/>
      <c r="C2" s="153"/>
      <c r="D2" s="153"/>
      <c r="E2" s="153"/>
    </row>
    <row r="3" spans="1:5" ht="18.75" customHeight="1" x14ac:dyDescent="0.15">
      <c r="A3" s="11"/>
      <c r="B3" s="11"/>
      <c r="C3" s="11"/>
      <c r="D3" s="11"/>
    </row>
    <row r="4" spans="1:5" ht="18.75" customHeight="1" x14ac:dyDescent="0.15">
      <c r="A4" s="12" t="s">
        <v>0</v>
      </c>
      <c r="B4" s="172" t="s">
        <v>124</v>
      </c>
      <c r="C4" s="172"/>
      <c r="D4" s="113" t="s">
        <v>161</v>
      </c>
    </row>
    <row r="5" spans="1:5" ht="9" customHeight="1" x14ac:dyDescent="0.15">
      <c r="A5" s="11"/>
      <c r="B5" s="10"/>
      <c r="C5" s="10"/>
      <c r="D5" s="10"/>
    </row>
    <row r="6" spans="1:5" ht="18.75" customHeight="1" x14ac:dyDescent="0.15">
      <c r="A6" s="177" t="s">
        <v>41</v>
      </c>
      <c r="B6" s="178"/>
      <c r="C6" s="69" t="s">
        <v>155</v>
      </c>
    </row>
    <row r="7" spans="1:5" ht="18.75" customHeight="1" x14ac:dyDescent="0.15">
      <c r="A7" s="177" t="s">
        <v>10</v>
      </c>
      <c r="B7" s="178"/>
      <c r="C7" s="69" t="s">
        <v>162</v>
      </c>
      <c r="D7" s="10"/>
    </row>
    <row r="8" spans="1:5" ht="7.5" customHeight="1" x14ac:dyDescent="0.15">
      <c r="A8" s="11"/>
      <c r="B8" s="11"/>
      <c r="C8" s="11"/>
      <c r="D8" s="11"/>
    </row>
    <row r="9" spans="1:5" ht="18.75" customHeight="1" x14ac:dyDescent="0.15">
      <c r="A9" s="12" t="s">
        <v>3</v>
      </c>
      <c r="B9" s="8" t="s">
        <v>27</v>
      </c>
      <c r="C9" s="18"/>
      <c r="D9" s="18"/>
    </row>
    <row r="10" spans="1:5" ht="18.75" customHeight="1" x14ac:dyDescent="0.15">
      <c r="B10" s="135" t="s">
        <v>24</v>
      </c>
      <c r="C10" s="176"/>
      <c r="D10" s="31" t="s">
        <v>26</v>
      </c>
    </row>
    <row r="11" spans="1:5" ht="19.149999999999999" customHeight="1" x14ac:dyDescent="0.15">
      <c r="B11" s="179" t="s">
        <v>14</v>
      </c>
      <c r="C11" s="180"/>
      <c r="D11" s="181"/>
    </row>
    <row r="12" spans="1:5" ht="103.9" customHeight="1" x14ac:dyDescent="0.15">
      <c r="B12" s="33"/>
      <c r="C12" s="34" t="s">
        <v>15</v>
      </c>
      <c r="D12" s="53" t="s">
        <v>167</v>
      </c>
    </row>
    <row r="13" spans="1:5" ht="245.45" customHeight="1" x14ac:dyDescent="0.15">
      <c r="B13" s="33"/>
      <c r="C13" s="35" t="s">
        <v>16</v>
      </c>
      <c r="D13" s="53" t="s">
        <v>143</v>
      </c>
    </row>
    <row r="14" spans="1:5" ht="198" customHeight="1" x14ac:dyDescent="0.15">
      <c r="B14" s="33"/>
      <c r="C14" s="34" t="s">
        <v>17</v>
      </c>
      <c r="D14" s="53" t="s">
        <v>144</v>
      </c>
    </row>
    <row r="15" spans="1:5" ht="198" customHeight="1" x14ac:dyDescent="0.15">
      <c r="B15" s="33"/>
      <c r="C15" s="34" t="s">
        <v>18</v>
      </c>
      <c r="D15" s="53" t="s">
        <v>145</v>
      </c>
    </row>
    <row r="16" spans="1:5" ht="198" customHeight="1" x14ac:dyDescent="0.15">
      <c r="B16" s="36"/>
      <c r="C16" s="37" t="s">
        <v>19</v>
      </c>
      <c r="D16" s="54" t="s">
        <v>142</v>
      </c>
    </row>
    <row r="17" spans="2:4" ht="19.149999999999999" customHeight="1" x14ac:dyDescent="0.15">
      <c r="B17" s="32" t="s">
        <v>20</v>
      </c>
      <c r="C17" s="38"/>
      <c r="D17" s="39"/>
    </row>
    <row r="18" spans="2:4" ht="198" customHeight="1" x14ac:dyDescent="0.15">
      <c r="B18" s="33"/>
      <c r="C18" s="34" t="s">
        <v>21</v>
      </c>
      <c r="D18" s="53" t="s">
        <v>168</v>
      </c>
    </row>
    <row r="19" spans="2:4" ht="198" customHeight="1" x14ac:dyDescent="0.15">
      <c r="B19" s="36"/>
      <c r="C19" s="37" t="s">
        <v>22</v>
      </c>
      <c r="D19" s="54" t="s">
        <v>171</v>
      </c>
    </row>
    <row r="20" spans="2:4" ht="198" customHeight="1" x14ac:dyDescent="0.15">
      <c r="B20" s="174" t="s">
        <v>23</v>
      </c>
      <c r="C20" s="175"/>
      <c r="D20" s="55" t="s">
        <v>172</v>
      </c>
    </row>
    <row r="21" spans="2:4" ht="198" customHeight="1" x14ac:dyDescent="0.15">
      <c r="B21" s="173" t="s">
        <v>91</v>
      </c>
      <c r="C21" s="170"/>
      <c r="D21" s="56" t="s">
        <v>169</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6"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2025-10-09T06:43:13Z</dcterms:created>
  <dcterms:modified xsi:type="dcterms:W3CDTF">2025-11-28T10:44:21Z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