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filterPrivacy="1" codeName="ThisWorkbook" defaultThemeVersion="124226"/>
  <xr:revisionPtr revIDLastSave="0" documentId="13_ncr:1_{2C9EEE44-508B-43BA-8C3E-04F18234C130}" xr6:coauthVersionLast="47" xr6:coauthVersionMax="47" xr10:uidLastSave="{00000000-0000-0000-0000-000000000000}"/>
  <bookViews>
    <workbookView xWindow="-120" yWindow="-120" windowWidth="29040" windowHeight="15720" tabRatio="885" activeTab="1" xr2:uid="{00000000-000D-0000-FFFF-FFFF00000000}"/>
  </bookViews>
  <sheets>
    <sheet name="様式１　構成する授業科目" sheetId="39" r:id="rId1"/>
    <sheet name="様式２ 履修者等数の実績" sheetId="40" r:id="rId2"/>
    <sheet name="様式３ 教育の質・履修者数を向上させる体制・計画" sheetId="41" r:id="rId3"/>
    <sheet name="様式４　自己点検・評価" sheetId="42" r:id="rId4"/>
  </sheets>
  <definedNames>
    <definedName name="_xlnm._FilterDatabase" localSheetId="0" hidden="1">'様式１　構成する授業科目'!#REF!</definedName>
    <definedName name="_xlnm._FilterDatabase" localSheetId="1" hidden="1">'様式２ 履修者等数の実績'!#REF!</definedName>
    <definedName name="_xlnm.Print_Area" localSheetId="0">'様式１　構成する授業科目'!$A$1:$Z$70</definedName>
    <definedName name="_xlnm.Print_Area" localSheetId="1">'様式２ 履修者等数の実績'!$A$1:$T$30</definedName>
    <definedName name="_xlnm.Print_Area" localSheetId="2">'様式３ 教育の質・履修者数を向上させる体制・計画'!$A$1:$E$47</definedName>
    <definedName name="_xlnm.Print_Area" localSheetId="3">'様式４　自己点検・評価'!$A$1:$E$21</definedName>
    <definedName name="_xlnm.Print_Titles" localSheetId="3">'様式４　自己点検・評価'!$10:$10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0" i="40" l="1"/>
  <c r="T10" i="40" s="1"/>
  <c r="S11" i="40"/>
  <c r="S12" i="40"/>
  <c r="S13" i="40"/>
  <c r="S14" i="40"/>
  <c r="S15" i="40"/>
  <c r="S16" i="40"/>
  <c r="S17" i="40"/>
  <c r="S18" i="40"/>
  <c r="S19" i="40"/>
  <c r="S20" i="40"/>
  <c r="S21" i="40"/>
  <c r="S22" i="40"/>
  <c r="S23" i="40"/>
  <c r="S24" i="40"/>
  <c r="S25" i="40"/>
  <c r="S26" i="40"/>
  <c r="S27" i="40"/>
  <c r="S28" i="40"/>
  <c r="T28" i="40" s="1"/>
  <c r="S29" i="40"/>
  <c r="T29" i="40" s="1"/>
  <c r="S30" i="40" l="1"/>
  <c r="D30" i="40"/>
  <c r="C30" i="40"/>
  <c r="I30" i="40" l="1"/>
  <c r="J30" i="40"/>
  <c r="L30" i="40" l="1"/>
  <c r="P30" i="40"/>
  <c r="R30" i="40"/>
  <c r="Q30" i="40"/>
  <c r="O30" i="40"/>
  <c r="M30" i="40"/>
  <c r="N30" i="40"/>
  <c r="K30" i="40"/>
  <c r="H30" i="40" l="1"/>
  <c r="G30" i="40" l="1"/>
  <c r="F30" i="40"/>
  <c r="E30" i="40"/>
  <c r="T27" i="40"/>
  <c r="T26" i="40"/>
  <c r="T25" i="40"/>
  <c r="T24" i="40"/>
  <c r="T23" i="40"/>
  <c r="T22" i="40"/>
  <c r="T21" i="40"/>
  <c r="T20" i="40"/>
  <c r="T19" i="40"/>
  <c r="T18" i="40"/>
  <c r="T17" i="40"/>
  <c r="T16" i="40"/>
  <c r="T15" i="40"/>
  <c r="T14" i="40"/>
  <c r="T13" i="40"/>
  <c r="T12" i="40"/>
  <c r="T11" i="40"/>
  <c r="T30" i="40" l="1"/>
  <c r="D29" i="41" s="1"/>
</calcChain>
</file>

<file path=xl/sharedStrings.xml><?xml version="1.0" encoding="utf-8"?>
<sst xmlns="http://schemas.openxmlformats.org/spreadsheetml/2006/main" count="219" uniqueCount="175">
  <si>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</si>
  <si>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</si>
  <si>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</si>
  <si>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</si>
  <si>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</si>
  <si>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</si>
  <si>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</si>
  <si>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</si>
  <si>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</si>
  <si>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</si>
  <si>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</si>
  <si>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</si>
  <si>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</si>
  <si>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</si>
  <si>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</si>
  <si>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</si>
  <si>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</si>
  <si>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</si>
  <si>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</si>
  <si>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学外からの視点</t>
    <rPh sb="0" eb="2">
      <t>ガクガイ</t>
    </rPh>
    <rPh sb="5" eb="7">
      <t>シテン</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</si>
  <si>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</si>
  <si>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</si>
  <si>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</si>
  <si>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</si>
  <si>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</si>
  <si>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</si>
  <si>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</si>
  <si>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</si>
  <si>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</si>
  <si>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</si>
  <si>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</si>
  <si>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</si>
  <si>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</si>
  <si>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</si>
  <si>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</si>
  <si>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</si>
  <si>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</si>
  <si>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</si>
  <si>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</si>
  <si>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</si>
  <si>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</si>
  <si>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</si>
  <si>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</si>
  <si>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</si>
  <si>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</si>
  <si>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</si>
  <si>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</si>
  <si>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1-1</t>
    <phoneticPr fontId="1"/>
  </si>
  <si>
    <t>2-1</t>
    <phoneticPr fontId="1"/>
  </si>
  <si>
    <t>3-1</t>
    <phoneticPr fontId="1"/>
  </si>
  <si>
    <t>1-6</t>
  </si>
  <si>
    <t>3-2</t>
    <phoneticPr fontId="1"/>
  </si>
  <si>
    <t>　　　　　　　　　　　　　　　　　　　　　　　　　　　　　　　　　　　　　　　　　　　　　　　　　　　　　　　　　　　　　　　　　　　　　　　　　　　　　　　　　　　　　　　　　　　　　　　　　　　　　　　　　　　　　　　　　　　　　　　　　　　　　　　　　　　　　　　　　　　　　　　　　　　　　　　　　　　　　　　　　　　　　　　　　　　　　　　　　　　　　　　　　　　　　　　　　　　　　　　　　　　　　　　　　　　　　　　　　　　　　　　　　　　　　　　　　　　　　　　　　　　　　　　　　　　　　　　　　　　　　　　　　　　　　　　　　　　　　　　　　　　　　　　　　　　　　　　　　　　　　　　　　　　　　　　　　　　　　　　　　　　　　　　　　　　　　　　　　　　　　　　　　　　　　　　　　　　　　　　　　　　　　　　　　　　　　　　　　　　　　　　　　　　　　　　　　　　　　　　　　　　　　　　　　　　　　　　　　　　　　　　　　　　　　　　　　　　　　　　　　　　　　　　　　　　　　　　　　　　　　　　　　　　　　　　　　　　　　　　　　　　　　　　　　　　　　　　　　　　　　　　　　　　　　　　　　　　　　　　　　　　　　　　　　　　　　　　　　　　　　　　　　　　　　　　　　　　　　　　　　　　　　　　　　　　　　　　　　　　　　　　　　　　　　　　　　　　　　　　　　　　　　　　　　　　　　　　　　　　　　　　　　　　　　　　　　　　　　　　　　　　　　　　　　　　　　　　　　　　　　　　　　　　　　　　　　　　　　　　　　　　　　　　　　　　　　　　　　　　　　　　　　　　　　　　　　　　　　　　　　　　　　　　　　　　　　　</t>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</si>
  <si>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</si>
  <si>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</si>
  <si>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</si>
  <si>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</si>
  <si>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</si>
  <si>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</si>
  <si>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</si>
  <si>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</si>
  <si>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</si>
  <si>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単位数</t>
    <rPh sb="0" eb="3">
      <t>タンイスウ</t>
    </rPh>
    <phoneticPr fontId="1"/>
  </si>
  <si>
    <t>①プログラム開設年度</t>
    <rPh sb="6" eb="8">
      <t>カイセツ</t>
    </rPh>
    <rPh sb="8" eb="10">
      <t>ネンド</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</si>
  <si>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</si>
  <si>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</si>
  <si>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</si>
  <si>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</si>
  <si>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</si>
  <si>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</si>
  <si>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プログラムの運営責任者</t>
    <rPh sb="6" eb="8">
      <t>ウンエイ</t>
    </rPh>
    <rPh sb="8" eb="11">
      <t>セキニンシャ</t>
    </rPh>
    <phoneticPr fontId="1"/>
  </si>
  <si>
    <t>履修者数</t>
    <rPh sb="0" eb="3">
      <t>リシュウシャ</t>
    </rPh>
    <rPh sb="3" eb="4">
      <t>スウ</t>
    </rPh>
    <phoneticPr fontId="1"/>
  </si>
  <si>
    <t>2-1</t>
  </si>
  <si>
    <t>プログラム名</t>
    <rPh sb="5" eb="6">
      <t>メイ</t>
    </rPh>
    <phoneticPr fontId="1"/>
  </si>
  <si>
    <t>様式４</t>
    <phoneticPr fontId="1"/>
  </si>
  <si>
    <t>様式３</t>
    <phoneticPr fontId="1"/>
  </si>
  <si>
    <t>様式２</t>
    <phoneticPr fontId="1"/>
  </si>
  <si>
    <t>大学等名</t>
    <rPh sb="0" eb="2">
      <t>ダイガク</t>
    </rPh>
    <rPh sb="2" eb="3">
      <t>トウ</t>
    </rPh>
    <rPh sb="3" eb="4">
      <t>メイ</t>
    </rPh>
    <phoneticPr fontId="1"/>
  </si>
  <si>
    <t>令和5年度</t>
    <rPh sb="0" eb="2">
      <t>レイワ</t>
    </rPh>
    <rPh sb="3" eb="5">
      <t>ネンド</t>
    </rPh>
    <phoneticPr fontId="1"/>
  </si>
  <si>
    <t>科目</t>
    <rPh sb="0" eb="2">
      <t>カモク</t>
    </rPh>
    <phoneticPr fontId="1"/>
  </si>
  <si>
    <t>単位</t>
    <rPh sb="0" eb="2">
      <t>タンイ</t>
    </rPh>
    <phoneticPr fontId="1"/>
  </si>
  <si>
    <t>令和９年度予定</t>
    <rPh sb="0" eb="2">
      <t>レイワ</t>
    </rPh>
    <rPh sb="3" eb="5">
      <t>ネンド</t>
    </rPh>
    <rPh sb="5" eb="7">
      <t>ヨテイ</t>
    </rPh>
    <phoneticPr fontId="1"/>
  </si>
  <si>
    <t>② 対象となる学部・学科名称</t>
    <phoneticPr fontId="1"/>
  </si>
  <si>
    <t>令和6年度</t>
    <rPh sb="0" eb="2">
      <t>レイワ</t>
    </rPh>
    <rPh sb="3" eb="5">
      <t>ネンド</t>
    </rPh>
    <phoneticPr fontId="1"/>
  </si>
  <si>
    <t>リテラシーレベルのプログラムを構成する授業科目について</t>
    <phoneticPr fontId="1"/>
  </si>
  <si>
    <t>リテラシーレベルのプログラムの履修者数等の実績について</t>
    <phoneticPr fontId="1"/>
  </si>
  <si>
    <t>① 教育プログラムの修了要件</t>
    <phoneticPr fontId="1"/>
  </si>
  <si>
    <t>③ プログラム履修必須の有無</t>
    <rPh sb="7" eb="9">
      <t>リシュウ</t>
    </rPh>
    <rPh sb="9" eb="11">
      <t>ヒッス</t>
    </rPh>
    <rPh sb="12" eb="14">
      <t>ウム</t>
    </rPh>
    <phoneticPr fontId="1"/>
  </si>
  <si>
    <t>④ 修了要件</t>
    <phoneticPr fontId="1"/>
  </si>
  <si>
    <t>4-1</t>
    <phoneticPr fontId="1"/>
  </si>
  <si>
    <t>4-2</t>
  </si>
  <si>
    <t>4-3</t>
  </si>
  <si>
    <t>4-4</t>
  </si>
  <si>
    <t>4-5</t>
  </si>
  <si>
    <t>4-6</t>
  </si>
  <si>
    <t>4-7</t>
  </si>
  <si>
    <t>4-8</t>
  </si>
  <si>
    <t>4-9</t>
  </si>
  <si>
    <t>その他</t>
    <rPh sb="2" eb="3">
      <t>タ</t>
    </rPh>
    <phoneticPr fontId="1"/>
  </si>
  <si>
    <t>令和7年度</t>
    <rPh sb="0" eb="2">
      <t>レイワ</t>
    </rPh>
    <rPh sb="3" eb="5">
      <t>ネンド</t>
    </rPh>
    <phoneticPr fontId="1"/>
  </si>
  <si>
    <t>数理・データサイエンス・AI教育プログラム認定制度【リテラシーレベル】令和７年度申請用</t>
    <phoneticPr fontId="1"/>
  </si>
  <si>
    <t>②履修者・修了者の実績（「学生数」「入学定員」「収容定員」は令和７年５月１日時点で記載）</t>
    <rPh sb="1" eb="3">
      <t>リシュウ</t>
    </rPh>
    <rPh sb="3" eb="4">
      <t>シャ</t>
    </rPh>
    <rPh sb="5" eb="8">
      <t>シュウリョウシャ</t>
    </rPh>
    <rPh sb="9" eb="11">
      <t>ジッセキ</t>
    </rPh>
    <phoneticPr fontId="1"/>
  </si>
  <si>
    <t>うち女性</t>
    <rPh sb="2" eb="4">
      <t>ジョセイ</t>
    </rPh>
    <phoneticPr fontId="1"/>
  </si>
  <si>
    <t>年度（和暦）</t>
    <phoneticPr fontId="1"/>
  </si>
  <si>
    <t>⑤プログラム構成科目</t>
    <rPh sb="8" eb="10">
      <t>カモク</t>
    </rPh>
    <phoneticPr fontId="1"/>
  </si>
  <si>
    <t>必要最低科目数・単位数</t>
    <phoneticPr fontId="1"/>
  </si>
  <si>
    <t>⑥ プログラムを構成する授業の内容</t>
    <phoneticPr fontId="1"/>
  </si>
  <si>
    <t>⑦プログラムの学修成果（学生等が身に付けられる能力等）</t>
    <phoneticPr fontId="1"/>
  </si>
  <si>
    <t>モデルカリキュラム対応状況</t>
    <rPh sb="9" eb="11">
      <t>タイオウ</t>
    </rPh>
    <rPh sb="11" eb="13">
      <t>ジョウキョウ</t>
    </rPh>
    <phoneticPr fontId="1"/>
  </si>
  <si>
    <t>（名称）</t>
    <rPh sb="1" eb="3">
      <t>メイショウ</t>
    </rPh>
    <phoneticPr fontId="1"/>
  </si>
  <si>
    <t>令和10年度予定</t>
    <rPh sb="0" eb="2">
      <t>レイワ</t>
    </rPh>
    <rPh sb="4" eb="6">
      <t>ネンド</t>
    </rPh>
    <rPh sb="6" eb="8">
      <t>ヨテイ</t>
    </rPh>
    <phoneticPr fontId="1"/>
  </si>
  <si>
    <t>令和11年度予定</t>
    <rPh sb="0" eb="2">
      <t>レイワ</t>
    </rPh>
    <rPh sb="4" eb="6">
      <t>ネンド</t>
    </rPh>
    <rPh sb="6" eb="8">
      <t>ヨテイ</t>
    </rPh>
    <phoneticPr fontId="1"/>
  </si>
  <si>
    <t xml:space="preserve">履修者数・履修率の向上に向けた計画 </t>
    <rPh sb="5" eb="7">
      <t>リシュウ</t>
    </rPh>
    <rPh sb="7" eb="8">
      <t>リツ</t>
    </rPh>
    <phoneticPr fontId="1"/>
  </si>
  <si>
    <t>プログラムの授業を教えている教員数（令和７年度）</t>
    <rPh sb="6" eb="8">
      <t>ジュギョウ</t>
    </rPh>
    <rPh sb="9" eb="10">
      <t>オシ</t>
    </rPh>
    <rPh sb="14" eb="17">
      <t>キョウインスウ</t>
    </rPh>
    <rPh sb="18" eb="20">
      <t>レイワ</t>
    </rPh>
    <rPh sb="21" eb="23">
      <t>ネンド</t>
    </rPh>
    <phoneticPr fontId="1"/>
  </si>
  <si>
    <t>令和７年度履修率</t>
    <rPh sb="0" eb="2">
      <t>レイワ</t>
    </rPh>
    <rPh sb="3" eb="5">
      <t>ネンド</t>
    </rPh>
    <rPh sb="5" eb="8">
      <t>リシュウリツ</t>
    </rPh>
    <phoneticPr fontId="1"/>
  </si>
  <si>
    <t>プログラムの自己点検・評価を行う体制</t>
    <phoneticPr fontId="1"/>
  </si>
  <si>
    <r>
      <rPr>
        <b/>
        <sz val="12"/>
        <color theme="1"/>
        <rFont val="ＭＳ Ｐゴシック"/>
        <family val="3"/>
        <charset val="128"/>
        <scheme val="minor"/>
      </rPr>
      <t>（１）必須科目</t>
    </r>
    <r>
      <rPr>
        <sz val="12"/>
        <color theme="1"/>
        <rFont val="ＭＳ Ｐゴシック"/>
        <family val="3"/>
        <charset val="128"/>
        <scheme val="minor"/>
      </rPr>
      <t>（プログラムを修了するために必ず履修しなければならない科目）
※卒業要件上の必修科目とは必ずしもイコールではない</t>
    </r>
    <rPh sb="3" eb="5">
      <t>ヒッス</t>
    </rPh>
    <rPh sb="5" eb="7">
      <t>カモク</t>
    </rPh>
    <rPh sb="14" eb="16">
      <t>シュウリョウ</t>
    </rPh>
    <rPh sb="21" eb="22">
      <t>カナラ</t>
    </rPh>
    <rPh sb="23" eb="25">
      <t>リシュウ</t>
    </rPh>
    <rPh sb="34" eb="36">
      <t>カモク</t>
    </rPh>
    <rPh sb="40" eb="42">
      <t>ソツギョウ</t>
    </rPh>
    <rPh sb="42" eb="44">
      <t>ヨウケン</t>
    </rPh>
    <rPh sb="44" eb="45">
      <t>ジョウ</t>
    </rPh>
    <rPh sb="46" eb="48">
      <t>ヒッシュウ</t>
    </rPh>
    <rPh sb="48" eb="50">
      <t>カモク</t>
    </rPh>
    <rPh sb="52" eb="53">
      <t>カナラ</t>
    </rPh>
    <phoneticPr fontId="1"/>
  </si>
  <si>
    <r>
      <rPr>
        <b/>
        <sz val="12"/>
        <color theme="1"/>
        <rFont val="ＭＳ Ｐゴシック"/>
        <family val="3"/>
        <charset val="128"/>
        <scheme val="minor"/>
      </rPr>
      <t>（２）選択必須科目</t>
    </r>
    <r>
      <rPr>
        <sz val="12"/>
        <color theme="1"/>
        <rFont val="ＭＳ Ｐゴシック"/>
        <family val="3"/>
        <charset val="128"/>
        <scheme val="minor"/>
      </rPr>
      <t>（プログラムを修了するために一定の条件のもと履修しなければならない科目）</t>
    </r>
    <rPh sb="3" eb="5">
      <t>センタク</t>
    </rPh>
    <rPh sb="5" eb="7">
      <t>ヒッス</t>
    </rPh>
    <rPh sb="7" eb="9">
      <t>カモク</t>
    </rPh>
    <rPh sb="16" eb="18">
      <t>シュウリョウ</t>
    </rPh>
    <rPh sb="23" eb="25">
      <t>イッテイ</t>
    </rPh>
    <rPh sb="26" eb="28">
      <t>ジョウケン</t>
    </rPh>
    <rPh sb="31" eb="33">
      <t>リシュウ</t>
    </rPh>
    <rPh sb="42" eb="44">
      <t>カモク</t>
    </rPh>
    <phoneticPr fontId="1"/>
  </si>
  <si>
    <r>
      <t>（３）選択科目</t>
    </r>
    <r>
      <rPr>
        <sz val="12"/>
        <color theme="1"/>
        <rFont val="ＭＳ Ｐゴシック"/>
        <family val="3"/>
        <charset val="128"/>
        <scheme val="minor"/>
      </rPr>
      <t>（プログラムを構成する科目のうち「必須科目」「選択必須科目」のいずれにも該当しない科目）</t>
    </r>
    <rPh sb="3" eb="5">
      <t>センタク</t>
    </rPh>
    <rPh sb="5" eb="7">
      <t>カモク</t>
    </rPh>
    <phoneticPr fontId="1"/>
  </si>
  <si>
    <t>授業に含まれているスキルセットのキーワード</t>
    <rPh sb="0" eb="2">
      <t>ジュギョウ</t>
    </rPh>
    <rPh sb="3" eb="4">
      <t>フク</t>
    </rPh>
    <phoneticPr fontId="1"/>
  </si>
  <si>
    <t>聖カタリナ大学</t>
    <rPh sb="0" eb="1">
      <t>セイ</t>
    </rPh>
    <rPh sb="5" eb="7">
      <t>ダイガク</t>
    </rPh>
    <phoneticPr fontId="1"/>
  </si>
  <si>
    <t>○</t>
  </si>
  <si>
    <t>「情報I」の既習事項を踏まえた復習・深化学修を通じて，現代社会における数理・データサイエンス・AIの利活用状況についての知識を得るとともに，基礎的なデータ整理・分析方法やグループディスカッション，プレゼンテーションなどの実体験を伴った技術を修得する。また，それら知識・技術を活用する際の留意事項を理解する。これらの学修を通して，日常生活や仕事といった社会生活の場で，自らの意志をもって数理・データサイエンス・AI（生成AI含む）の技術を活用し，恩恵を得られる素養を身につける。</t>
    <phoneticPr fontId="1"/>
  </si>
  <si>
    <t>令和7</t>
    <rPh sb="0" eb="2">
      <t>レイワ</t>
    </rPh>
    <phoneticPr fontId="1"/>
  </si>
  <si>
    <t>坂原明</t>
    <rPh sb="0" eb="2">
      <t>サカハラ</t>
    </rPh>
    <rPh sb="2" eb="3">
      <t>アキラ</t>
    </rPh>
    <phoneticPr fontId="1"/>
  </si>
  <si>
    <t>聖カタリナ大学・聖カタリナ大学短期大学部情報教育センター数理・データサイエンス・AI教育プログラム専門部会</t>
    <phoneticPr fontId="1"/>
  </si>
  <si>
    <t>教授</t>
    <rPh sb="0" eb="2">
      <t>キョウジュ</t>
    </rPh>
    <phoneticPr fontId="1"/>
  </si>
  <si>
    <t>聖カタリナ大学・聖カタリナ大学短期大学部情報教育センター数理・データサイエンス・AI教育プログラム専門部会設置要綱</t>
    <phoneticPr fontId="1"/>
  </si>
  <si>
    <t>本学の数理・データサイエンス・AI教育プログラム（リテラシーレベル）の運営に携わる構成員は以下の通りである。
健康社会学部現代人間学科　教授　田村昌彦
健康社会学部現代人間学科　准教授　黒田卓哉
健康社会学部現代人間学科　助教　島村真理子
健康社会学部健康スポーツ学科　教授　皆川孝昭
看護学部看護学科　講師　齋藤希望
短期大学部保育学科　助教　荒西伸吾
健康社会学部健康スポーツ学科　看護学部看護学科　兼任教員　高山小百合
会計課　池田哲
教務課　砂野佑介
事務部局　稲田有伊子</t>
    <phoneticPr fontId="1"/>
  </si>
  <si>
    <t>令和１０年度以降に履修必須とする計画，又は未定</t>
  </si>
  <si>
    <t>（１）現在進行中の社会変化（第４次産業革命，Society 5.0，データ駆動型社会等）に深く寄与しているものであり，それが自らの生活と密接に結びついている</t>
  </si>
  <si>
    <t>・ビッグデータ，IoT，AI，生成AI，ロボット　「IT基礎講座」（1～15回目）　「情報リテラシーII」（1，2回目）
・データ量の増加，計算機の処理性能の向上，AIの非連続的進化　「IT基礎講座」（2，8，15回目）「情報リテラシーII」（1，2回目）
・第4次産業革命，Society 5.0，データ駆動型社会　「IT基礎講座」（2，15回目）「情報リテラシーII」（1，2回目）
・複数技術を組み合わせたAIサービス　「IT基礎講座」（3，9，11，13回目）　「情報リテラシーII」（2回目）
・人間の知的活動とAIの関係性　「IT基礎講座」（1，14回目）　「情報リテラシーII」（2回目）
・データを起点としたものの見方，人間の知的活動を起点としたものの見方　「IT基礎講座」（1～6，9～11，13～15回）「情報リテラシーII」（1，2，5～12，14，15回目）</t>
  </si>
  <si>
    <t>・AI最新技術の活用例（深層生成モデル，強化学習，転移学習，生成AIなど）　「IT基礎講座」（1，8，10，14回目）「情報リテラシーII」（2回目）
・AI等を活用した新しいビジネスモデル(シェアリングエコノミー，商品のレコメンデーションなど)　「IT基礎講座」（3，8，14回目）「情報リテラシーII」（2回目）</t>
  </si>
  <si>
    <t>（２）「社会で活用されているデータ」や「データの活用領域」は非常に広範囲であって，日常生活や社会の課題を解決する有用なツールになり得るもの</t>
  </si>
  <si>
    <t>・調査データ，実験データ，人の行動ログデータ，機械の稼働ログデータなど　「IT基礎講座」（7，8回目）
・1次データ，2次データ，データのメタ化　「IT基礎講座」（7回目）「情報リテラシーII」（4回目）
・構造化データ，非構造化データ（文章，画像/動画，音声/音楽など）　「IT基礎講座」（7，8回目）
・データ作成（ビッグデータとアノテーション）　「IT基礎講座」（11回目）「情報リテラシーII」（4回目）
・データのオープン化（オープンデータ）　「IT基礎講座」（2，3，7，9～11，13，15回目）「情報リテラシーII」（2回目）</t>
  </si>
  <si>
    <t>・データ・AI活用領域の広がり(生産，消費，文化活動など)　「IT基礎講座」（3，7，9～13回目）
・研究開発，調達，製造，物流，販売，マーケティング，サービスなど　「IT基礎講座」（3，9～11，13回目）
・仮説検証，知識発見，原因究明，計画策定，判断支援，活動代替，新規生成など　「IT基礎講座」（3，9～11，13回目）
・対話，コンテンツ生成，翻訳・要約・執筆支援，コーディング支援など生成AIの応用　「IT基礎講座」（3，9～11，13回目）</t>
  </si>
  <si>
    <t>（３）様々なデータ利活用の現場におけるデータ利活用事例が示され，様々な適用領域（流通，製造，金融，サービス，インフラ，公共，ヘルスケア等）の知見と組み合わせることで価値を創出するもの</t>
  </si>
  <si>
    <t>・データ解析：予測，グルーピング，パターン発見，最適化，モデル化とシミュレーション・データ同化など　「IT基礎講座」（8回目）
・データ可視化：複合グラフ，2軸グラフ，多次元の可視化，関係性の可視化，地図上の可視化，挙動・軌跡の可視化，リアルタイム可視化など　「IT基礎講座」（8回目）
・非構造化データ処理：言語処理，画像/動画処理，音声/音楽処理など　「IT基礎講座」（8回目）
・特化型AIと汎用AI，今のAIで出来ることと出来ないこと，AIとビッグデータ　「IT基礎講座」（1，14回目）
・認識技術，ルールベース，自動化技術　「IT基礎講座」（8回目）
・マルチモーダル（言語，画像，音声など），生成AIの活用（プロンプトエンジニアリング）　「IT基礎講座」（10，15回目）</t>
  </si>
  <si>
    <t>・データサイエンスのサイクル（課題抽出と定式化，データの取得・管理・加工，探索的データ解析，データ解析と推論，結果の共有・伝達，課題解決に向けた提案）　「IT基礎講座」（3，7，9～11，13回目）
・教育，芸術，流通，製造，金融，サービス，インフラ，公共，ヘルスケア等におけるデータ・AI利活用事例紹介　「IT基礎講座」（3，7，9～11，13回目）</t>
  </si>
  <si>
    <t>（４）活用に当たっての様々な留意事項（ELSI，個人情報，データ倫理，ＡＩ社会原則等）を考慮し，情報セキュリティや情報漏洩等，データを守る上での留意事項への理解をする</t>
  </si>
  <si>
    <t>・倫理的・法的・社会的課題（ELSI：Ethical, Legal and Social Issues）　「IT基礎講座」（12回目）「情報リテラシーII」（2回目）
・個人情報保護，EU一般データ保護規則(GDPR)，忘れられる権利，オプトアウト　「IT基礎講座」（12回目）「情報リテラシーII」（13回目）
・データ倫理：データのねつ造，改ざん，盗用，プライバシー保護　「IT基礎講座」（12回目）「情報リテラシーII」（2回目）
・AI社会原則（公平性，説明責任，透明性，人間中心の判断）　「IT基礎講座」（12回目）「情報リテラシーII」（2回目）
・データバイアス，アルゴリズムバイアス　「IT基礎講座」（12回目）
・AIサービスの責任論　「IT基礎講座」（12回目）
・データガバナンス　「IT基礎講座」（12回目）
・データ・AI活用における負の事例紹介　「IT基礎講座」（12回目）「情報リテラシーII」（2回目）
・生成AIの留意事項（ハルシネーションによる誤情報の生成，偽情報や有害コンテンツの生成・氾濫など）　「IT基礎講座」（1，10，12，14回目）</t>
  </si>
  <si>
    <t>・情報セキュリティの3要素（機密性，完全性，可用性）　「IT基礎講座」（12回目）
・匿名加工情報，暗号化と復号，ユーザ認証と，パスワード，アクセス制御，悪意ある情報搾取・情報漏洩等によるセキュリティ事故の事例紹介　「IT基礎講座」（12回目）「情報リテラシーII」（13回目）
・サイバーセキュリティ　「IT基礎講座」（12回目）「情報リテラシーII」（13回目）</t>
  </si>
  <si>
    <t>（５）実データ・実課題（学術データ等を含む）を用いた演習など，社会での実例を題材として，「データを読む，説明する，扱う」といった数理・データサイエンス・ＡＩの基本的な活用法に関するもの</t>
  </si>
  <si>
    <t>・データの種類（量的変数，質的変数）　「IT基礎講座」（4～6回目）「情報リテラシーII」（4～8回目）
・データの分布(ヒストグラム)と代表値（平均値，中央値，最頻値）　「IT基礎講座」（4～6回目）「情報リテラシーII」（7～10回目）
・代表値の性質の違い（実社会では平均値＝最頻値でないことが多い）　「IT基礎講座」（4～6回目）「情報リテラシーII」（7回目）
・データのばらつき（分散，標準偏差，偏差値），外れ値　「IT基礎講座」（4～6回目）「情報リテラシーII」（8～10回目）
・相関と因果（相関係数，擬似相関，交絡）　「IT基礎講座」（4～6回目）「情報リテラシーII」（10回目）
・観測データに含まれる誤差の扱い　「IT基礎講座」（4～6回目）「情報リテラシーII」（8，9回目）
・打ち切りや欠測を含むデータ，層別の必要なデータ　「IT基礎講座」（5回目）
・母集団と標本抽出（国勢調査，アンケート調査，全数調査，単純無作為抽出，層別抽出，多段抽出）　「IT基礎講座」（4～6回目）「情報リテラシーII」（4回目）
・クロス集計表，分割表，相関係数行列，散布図行列　「IT基礎講座」（4～6回目）「情報リテラシーII」（6，10回目）
・統計情報の正しい理解（誇張表現に惑わされない）　「IT基礎講座」（4～6回目）「情報リテラシーII」（5，6，9回目）</t>
  </si>
  <si>
    <t>・データ表現（棒グラフ，折線グラフ，散布図，ヒートマップ，箱ひげ図）　「IT基礎講座」（4～6，8回目）「情報リテラシーII」（3，5～10回目）
・データの比較（条件をそろえた比較，処理の前後での比較，A/Bテスト) 　「IT基礎講座」（12回目）「情報リテラシーII」（5，6回目）
・不適切なグラフ表現（チャートジャンク，不必要な視覚的要素）　「IT基礎講座」（4～6回目）「情報リテラシーII」（3，5，10回目）
・優れた可視化事例の紹介（可視化することによって新たな気づきがあった事例など）　「IT基礎講座」（4～6回目）「情報リテラシーII」（3，10回目）
・相手に的確かつ正確に情報を伝える技術や考え方（スライド作成，プレゼンテーションなど）　「情報リテラシーII」（3，11，12，14回目）</t>
  </si>
  <si>
    <t>・データの取得（機械判読可能なデータの作成・表記方法）　「情報リテラシーII」（5～10回目）
・データの集計（和，平均）　「情報リテラシーII」（5～10回目）
・データの並び替え，ランキング　「情報リテラシーII」（5回目）
・データ解析ツール（スプレッドシート，BIツール）　「情報リテラシーII」（6回目）</t>
  </si>
  <si>
    <t>授業時間内外で学習指導，質問を受け付ける具体的な仕組み</t>
    <rPh sb="20" eb="23">
      <t>グタイテキ</t>
    </rPh>
    <phoneticPr fontId="1"/>
  </si>
  <si>
    <t>田村昌彦</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</si>
  <si>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</si>
  <si>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</si>
  <si>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</si>
  <si>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聖カタリナ大学数理・データサイエンス・AI教育プログラム（リテラシーレベル）</t>
    <rPh sb="0" eb="1">
      <t>セイ</t>
    </rPh>
    <rPh sb="5" eb="7">
      <t>ダイガク</t>
    </rPh>
    <rPh sb="7" eb="9">
      <t>スウリ</t>
    </rPh>
    <rPh sb="21" eb="23">
      <t>キョウイク</t>
    </rPh>
    <phoneticPr fontId="1"/>
  </si>
  <si>
    <t>学長</t>
    <rPh sb="0" eb="2">
      <t>ガクチョウ</t>
    </rPh>
    <phoneticPr fontId="1"/>
  </si>
  <si>
    <t>　聖カタリナ大学における本プログラムの推進を継続的かつ効果的に行うとともに，その内容の改善・進化を図り，自己点検および評価を組織的に行うことを目的とする。これにより，全学的な教育水準の維持と向上を図りながら，数理・データサイエンス・AIリテラシー教育を持続的に発展させる体制を整備している。さらに，社会動向の変化や関連技術の進展を踏まえ，教育内容の定期的な見直しや外部有識者等との連携も視野に入れた運営を図る。これらを通じて，自らの意志をもって数理・データサイエンス・AIの技術を活用し，恩恵を得られる素養を学生が身につけられるように支援する。
　なお，本専門部会の上部組織である聖カタリナ大学・聖カタリナ大学短期大学部情報教育センターは，本学における情報教育研究・情報リテラシー教育・学術情報サービス・情報通信および情報事務に必要な情報処理機能を提供し，教育研究および大学運営を総合的に支援している。</t>
    <phoneticPr fontId="1"/>
  </si>
  <si>
    <t>　本プログラムのうち，情報リテラシーIIについては全学部・全学科における必修科目として位置づけられているため，全ての学生が受講する科目となっている。IT基礎講座については，全学の学生が自由に履修可能な共通基礎科目として開講されており，どの学年であっても受講可能であるため，各学生の履修状況に合わせて都合の良い年次に受講できることで，できる限り多くの学生が履修しやすい形となっている。
　また，各学年における各学期開始時の履修ガイダンスや本学ホームページに掲載された本プログラムの解説ページを通じて，本プログラムで養われる能力やその重要性と有用性を明確に伝えている。これにより，学生のその後の社会生活における活用可能性を想像してもらうことで，IT基礎講座の履修意欲の向上を図る。また，全学部・全学科の1年次に受講する情報リテラシーIIにおいて，IT基礎講座の本プログラムにおける位置づけを，1年次に受講しなかった学生に周知することで，次年度以降の履修を促す。</t>
    <rPh sb="227" eb="229">
      <t>ケイサイ</t>
    </rPh>
    <rPh sb="395" eb="397">
      <t>ネンジ</t>
    </rPh>
    <rPh sb="398" eb="400">
      <t>ジュコウ</t>
    </rPh>
    <rPh sb="405" eb="407">
      <t>ガクセイ</t>
    </rPh>
    <rPh sb="416" eb="419">
      <t>ジネンド</t>
    </rPh>
    <rPh sb="419" eb="421">
      <t>イコウ</t>
    </rPh>
    <phoneticPr fontId="1"/>
  </si>
  <si>
    <t>　情報リテラシーIIは必修科目であるため，必ず履修の上，修得が求められる。学生の修得を促進するために，授業内で解説する内容や，グループワークの実施方法などについては，各科目担当による精査・改善を適宜行う。特にディスカッションやプレゼンテーションの実施においては，学生が取り組みやすい課題設定などを考案し，その改善を検討していく。
　IT基礎講座においては，ビデオ会議システムを活用したリアルタイムでの遠隔授業形式で実施するため，その円滑な実施および学生の受講のために，講義が行われる会場と，その講義の様子を遠隔で受ける会場の双方に教員を配置するといった指導体制を取る。その実施にあたっての改善についても，適宜検討していく。
　また，両科目ともに本学のLMS上に資料や課題を公開することで，多くの学生がいつでも講義に関する情報の閲覧が可能な環境を構築している。</t>
    <rPh sb="237" eb="238">
      <t>オコナ</t>
    </rPh>
    <phoneticPr fontId="1"/>
  </si>
  <si>
    <t>　本プログラムにおける情報リテラシーII，およびIT基礎講座の両科目ともに，授業前後での講師への質問を受け付けるといった基本的な取り組みだけでなく，授業時間内での小レポートやコメントシート記入の時間を設けることとし，その中での講師への質問を可能とする。また，授業内容への質問や相談があれば，オフィスアワーでの訪問やメールでの連絡などを通じて，授業時間外であっても担当教員からのサポートを得ることを推奨する。くわえて，本学におけるLMSにおいて，授業資料および課題の公開やアンケートの実施，教員からのフィードバックなども可能である。
　特にIT基礎講座においては，地域のIT分野の企業より講師をお招きし，産学連携体制を重視した授業展開を行う。協力いただいた外部の特別講師からの学生へのフィードバックも，授業内およびLMSを通じて行うことで，本プログラムにおける学びが社会活動につながるように図っている。</t>
    <phoneticPr fontId="1"/>
  </si>
  <si>
    <t>IT基礎講座（IT基礎講座【現人】，IT基礎講座【健スポ】，IT基礎講座【看護】）</t>
    <rPh sb="2" eb="4">
      <t>キソ</t>
    </rPh>
    <rPh sb="4" eb="6">
      <t>コウザ</t>
    </rPh>
    <rPh sb="9" eb="11">
      <t>キソ</t>
    </rPh>
    <rPh sb="11" eb="13">
      <t>コウザ</t>
    </rPh>
    <rPh sb="14" eb="15">
      <t>ゲン</t>
    </rPh>
    <rPh sb="15" eb="16">
      <t>ジン</t>
    </rPh>
    <rPh sb="20" eb="22">
      <t>キソ</t>
    </rPh>
    <rPh sb="22" eb="24">
      <t>コウザ</t>
    </rPh>
    <rPh sb="25" eb="26">
      <t>ケン</t>
    </rPh>
    <rPh sb="32" eb="34">
      <t>キソ</t>
    </rPh>
    <rPh sb="34" eb="36">
      <t>コウザ</t>
    </rPh>
    <rPh sb="37" eb="39">
      <t>カンゴ</t>
    </rPh>
    <phoneticPr fontId="1"/>
  </si>
  <si>
    <t>情報リテラシーII（情報リテラシーII【現人】，情報リテラシーII【健スポA】，情報リテラシーII【健スポB】，情報リテラシーII（A），情報リテラシーII（B））</t>
    <rPh sb="0" eb="2">
      <t>ジョウホウ</t>
    </rPh>
    <rPh sb="10" eb="12">
      <t>ジョウホウ</t>
    </rPh>
    <rPh sb="20" eb="21">
      <t>ゲン</t>
    </rPh>
    <rPh sb="21" eb="22">
      <t>ジン</t>
    </rPh>
    <rPh sb="24" eb="26">
      <t>ジョウホウ</t>
    </rPh>
    <rPh sb="34" eb="35">
      <t>ケン</t>
    </rPh>
    <rPh sb="40" eb="42">
      <t>ジョウホウ</t>
    </rPh>
    <rPh sb="50" eb="51">
      <t>ケン</t>
    </rPh>
    <rPh sb="56" eb="58">
      <t>ジョウホウ</t>
    </rPh>
    <rPh sb="69" eb="71">
      <t>ジョウホウ</t>
    </rPh>
    <phoneticPr fontId="1"/>
  </si>
  <si>
    <t>　目標を実現するために，情報リテラシーIIおよびIT基礎講座の教育方法の工夫や授業時間内外での学習サポート体制の充実，さらに学生への周知活動の強化を計画的に推進するよう試みる。
　両科目における教育方法の工夫としては，学生が主体的に参加しやすいアクティブラーニングの形式を検討するとともに，成績評価に用いる課題の指導体制およびサポート体制を整備し，授業時間内外において教員に指導や学修支援を求めやすい体制となるよう改善を図る。特に，全学生が確実に履修する必修科目である情報リテラシーIIについては，学生が円滑に本科目を修得できるよう，学修支援体制をより向上させるための改善検討を進めていく。一方で，IT基礎講座については，立地が離れた別キャンパスでの同時受講を円滑に行うため，Webを介したビデオ会議システムを活用した遠隔授業形式の導入を進める。
　また，学生への周知については，全学的な履修ガイダンスなどの機会や本学ホームページ上での本プログラムの解説を通じて，本プログラムで養われる能力やその重要性と有用性を明確に伝えることで履修意欲を向上させ，特にIT基礎講座への履修を促す。</t>
    <rPh sb="47" eb="49">
      <t>ガクシュウ</t>
    </rPh>
    <rPh sb="190" eb="192">
      <t>ガクシュウ</t>
    </rPh>
    <rPh sb="223" eb="225">
      <t>リシュウ</t>
    </rPh>
    <rPh sb="267" eb="269">
      <t>ガクシュウ</t>
    </rPh>
    <phoneticPr fontId="1"/>
  </si>
  <si>
    <t>　情報リテラシーIIは全学部・全学科における必修科目として位置づけられているため，全ての学生が確実に受講できる体制がすでに構築されている。
　IT基礎講座については，全学の学生が自由に履修可能な共通基礎科目として開講されている。主たる講師が実際に講義を行う会場は，現代人間学科および健康スポーツ学科が設置されている聖カタリナ大学北条キャンパスであるが，看護学科が設置されている聖カタリナ大学松山市駅キャンパスに通学する学生も受講しやすいようにビデオ会議システムを活用したリアルタイムでの遠隔授業形式を導入する。なお，松山市駅キャンパスでは，北条キャンパスとは別の教員がリアルタイム遠隔授業形式の運用を行う。令和7年度においては，松山市駅キャンパスに受講生のいた履修登録期間前の初回のみ，松山市駅キャンパスにおけるリアルタイム遠隔授業形式を実施し，その実行可能性を確認している。</t>
    <rPh sb="270" eb="272">
      <t>ホウジョウ</t>
    </rPh>
    <phoneticPr fontId="1"/>
  </si>
  <si>
    <t>　情報リテラシーIIにおいては，授業の進行状況に合わせた課題を課すことにくわえ，実際にデータを分析し，その結果をプレゼンテーションの形式で発表される課題を課す。これらの取り組みや成果を評価することで，特にデータを読み，説明するといった，その扱いについて学修成果を評価できる。
　また，IT基礎講座においては，各回に小レポートを課すことで学生の学修成果を評価する。IT基礎講座では社会においてデータサイエンスやITがどのように活用されているかを教える科目であるため，各回の小レポートによって特に日常生活や社会の課題を解決する技術への理解について学修成果を評価できる。</t>
    <rPh sb="40" eb="42">
      <t>ジッサイ</t>
    </rPh>
    <rPh sb="271" eb="273">
      <t>ガクシュウ</t>
    </rPh>
    <phoneticPr fontId="1"/>
  </si>
  <si>
    <t>　本学教務課と連携して，プログラムの履修・修得状況を管理する体制を整えている。具体的には，学習管理システムである「UNIVERSAL PASSPORT」を活用して，受講者ごとの出席状況・課題進捗状況・単位修得状況を確認できる。具体的には，本システム上で講義資料および課題の公開や授業改善アンケートの実施が可能である。
　さらに，各学生の講義への出席状況や課題の進捗状況，あるいは授業改善アンケートの結果などを，本学情報教育センター数理・データサイエンス・AI教育プログラム専門部会をはじめとした関係教員間で共有できる。これらを活用することで，本プログラムの履修・修得状況を点検・評価することが可能である。</t>
  </si>
  <si>
    <t>　本学教務課と連携して，情報リテラシーIIにおいてもIT基礎講座においても，受講生全員に対し授業改善アンケートを実施しており，情報リテラシーIIおよびIT基礎講座それぞれへの理解度および満足度を測定できる。授業改善アンケートでは，定量的評価を目的とした多肢選択式項目に加え，自由記述項目も設けており，学生の本プログラムにおける理解の程度を確認することも可能である。
　その結果を，本学情報教育センター数理・データサイエンス・AI教育プログラム専門部会をはじめとした関係教員間で共有し，分析・検証することで，学生の内容の理解度をより向上させるための改善体制を整えている。</t>
  </si>
  <si>
    <t>　情報リテラシーIIおよびIT基礎講座，各科目の期末において，本学の学習管理システムである「UNIVERSAL PASSPORT」を用いて，他学生への推奨度を問うアンケートを設け，各科目の他学生への推奨度を測定する。また，各科目の授業改善アンケートや，各授業回における課題の中に見られる，本プログラムの有益な点についての意見や感想などの記載も活用する。
　それらの結果については，できる限り多くの学生の履修につなげるための周知の取り組みに活かす資料にするとともに，各科目をより学生にとって有意義な授業とするための改善に活かす資料とする体制を整えている。</t>
  </si>
  <si>
    <t>　本プログラムにおける情報リテラシーIIについては，必修科目であるため全学生が確実に受講できる体制がすでに構築されている。そのため，学生が円滑に本科目を修得できるよう，学修支援体制をより改善するための検討を進めていく。
　IT基礎講座については，担当教員による授業改善の検討会を実施するなどして授業内容の改善を進め，履修ガイダンスや本学ホームページ上での周知などを通じて履修者数・履修率向上を図る。
　これらについては，履修者数や授業改善アンケートの回答を指標として，本学情報教育センター数理・データサイエンス・AI教育プログラム専門部会をはじめとした関係教員間で分析・検証する体制を整えている。</t>
  </si>
  <si>
    <t>　本学情報教育センター数理・データサイエンス・AI教育プログラム専門部会にて，本プログラムの修了認定者の名簿を適切に管理する体制を整備している。また，本学就職委員会と連携して，修了者の進路先を把握し，卒業後の進路・社会での活躍状況の実態を可能な範囲で調査する。さらに，本学就職課が卒後1年の時点で卒業生および卒業生の進路先を対象として行っている調査を活用し，本プログラムを修了した卒業生における採用状況や業務状況，企業による評価を可能な範囲で把握する。
　それらのデータを，本学情報教育センター数理・データサイエンス・AI教育プログラム専門部会をはじめとした関係教員間で分析・検証する体制を整えている。</t>
    <rPh sb="79" eb="82">
      <t>イインカイ</t>
    </rPh>
    <phoneticPr fontId="1"/>
  </si>
  <si>
    <t>　本プログラムにおけるIT基礎講座においては，愛媛県内の数理・データサイエンス・AIに関連した実務に携わる企業の方に協力いただき，外部講師として講義いただいている。これら協力者と本学情報教育センター数理・データサイエンス・AI教育プログラム専門部会のメンバーとで年に6回程度，懇談の場を設けている。また，愛媛県庁の産業人材について管轄する部署とも連携し，地域におけるIT人材の育成についての情報や意見を交換する機会も設けている。
　これらの体制を通じて，地域における本学の教育プログラムの意義，カリキュラムの改良，具体的な教授内容・方法などを話し合い，産学連携体制を重視した教育プログラムの改善を図っている。</t>
    <rPh sb="56" eb="57">
      <t>カタ</t>
    </rPh>
    <rPh sb="72" eb="74">
      <t>コウギ</t>
    </rPh>
    <rPh sb="131" eb="132">
      <t>ネン</t>
    </rPh>
    <rPh sb="134" eb="135">
      <t>カイ</t>
    </rPh>
    <rPh sb="135" eb="137">
      <t>テイド</t>
    </rPh>
    <rPh sb="208" eb="209">
      <t>モウ</t>
    </rPh>
    <phoneticPr fontId="1"/>
  </si>
  <si>
    <t>　情報リテラシーIIにおいては，グループでのデータ分析・プレゼンテーションの実施を取り入れることで，学生同士の相互交流といった，学ぶ楽しさを感じ得る方法を取り入れている。
　IT基礎講座においては，数理・データサイエンス・AIに関連した実務に携わる企業の方による最先端の実践や，社会情勢について解説いただくことによって，現代社会におけるそれら技術を学ぶ意義を強く伝えられるよう意図している。
　これら取り組みについて，学生による授業改善アンケートや課題への回答内容などを活用し，本学情報教育センター数理・データサイエンス・AI教育プログラム専門部会をはじめとした関係教員間にて評価し，改善につなげている。</t>
    <rPh sb="127" eb="128">
      <t>カタ</t>
    </rPh>
    <phoneticPr fontId="1"/>
  </si>
  <si>
    <t>　各年度の授業実施前に科目担当教員や授業に関わる学外の協力者との打ち合わせを通じて、最新の社会状況の把握に努め，教育内容に反映させている。特にIT基礎講座においては、愛媛県内の数理・データサイエンス・AIに関連した実務に携わる企業の方の協力を得ており、これら外部講師による具体的な活用事例やそれを活かす企業人のロールモデルを示すことで、より具体的に数理・データサイエンス・AIを社会で活かすことを理解できるよう図っている。
　これら取り組みへの評価は，学生による授業改善アンケートや課題への回答内容などを活用する体制を整えており，各年度の授業内容を最新とし，その水準を維持・向上させるための改善を図っている。</t>
    <rPh sb="18" eb="20">
      <t>ジュギョウ</t>
    </rPh>
    <rPh sb="116" eb="117">
      <t>カタ</t>
    </rPh>
    <phoneticPr fontId="1"/>
  </si>
  <si>
    <t>必須科目2科目（「IT基礎講座」（2単位）および「情報リテラシーII」（1単位））の計3単位の単位を修得すること。なお，当該2科目は各学科およびクラス指定のものを受講すること。各科目の内容は同一である。
IT基礎講座（IT基礎講座【現人】，IT基礎講座【健スポ】，IT基礎講座【看護】）
情報リテラシーII（情報リテラシーII【現人】，情報リテラシーII【健スポA】，情報リテラシーII【健スポB】，情報リテラシーII（A），情報リテラシーII（B））</t>
    <rPh sb="37" eb="39">
      <t>タンイ</t>
    </rPh>
    <phoneticPr fontId="1"/>
  </si>
  <si>
    <t>学部・学科によって、修了要件は相違しない</t>
  </si>
  <si>
    <t>健康社会学部・現代人間学科</t>
    <rPh sb="0" eb="6">
      <t>ケンコウシャカイガクブ</t>
    </rPh>
    <rPh sb="7" eb="13">
      <t>ゲンダイニンゲンガッカ</t>
    </rPh>
    <phoneticPr fontId="1"/>
  </si>
  <si>
    <t>健康社会学部・健康スポーツ学科</t>
    <rPh sb="0" eb="6">
      <t>ケンコウシャカイガクブ</t>
    </rPh>
    <rPh sb="7" eb="9">
      <t>ケンコウ</t>
    </rPh>
    <rPh sb="13" eb="15">
      <t>ガッカ</t>
    </rPh>
    <phoneticPr fontId="1"/>
  </si>
  <si>
    <t>看護学部看護学科</t>
    <rPh sb="0" eb="4">
      <t>カンゴガクブ</t>
    </rPh>
    <rPh sb="4" eb="8">
      <t>カンゴガッカ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</si>
</sst>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b/>
      <sz val="12"/>
      <color theme="1"/>
      <name val="ＭＳ Ｐゴシック"/>
      <family val="3"/>
      <charset val="128"/>
      <scheme val="minor"/>
    </font>
    <font>
      <b/>
      <sz val="18"/>
      <color theme="1"/>
      <name val="ＭＳ Ｐゴシック"/>
      <family val="3"/>
      <charset val="128"/>
      <scheme val="minor"/>
    </font>
    <font>
      <b/>
      <sz val="9"/>
      <color theme="1"/>
      <name val="ＭＳ Ｐゴシック"/>
      <family val="3"/>
      <charset val="128"/>
      <scheme val="minor"/>
    </font>
    <font>
      <sz val="12"/>
      <color rgb="FFFF0000"/>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hair">
        <color auto="1"/>
      </bottom>
      <diagonal/>
    </border>
    <border>
      <left style="thin">
        <color auto="1"/>
      </left>
      <right style="medium">
        <color indexed="64"/>
      </right>
      <top style="thin">
        <color auto="1"/>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thin">
        <color auto="1"/>
      </bottom>
      <diagonal/>
    </border>
    <border>
      <left style="thin">
        <color auto="1"/>
      </left>
      <right style="medium">
        <color indexed="64"/>
      </right>
      <top style="hair">
        <color auto="1"/>
      </top>
      <bottom style="thin">
        <color auto="1"/>
      </bottom>
      <diagonal/>
    </border>
    <border>
      <left style="medium">
        <color indexed="64"/>
      </left>
      <right style="thin">
        <color auto="1"/>
      </right>
      <top/>
      <bottom style="hair">
        <color auto="1"/>
      </bottom>
      <diagonal/>
    </border>
    <border>
      <left style="thin">
        <color auto="1"/>
      </left>
      <right style="medium">
        <color indexed="64"/>
      </right>
      <top/>
      <bottom style="hair">
        <color auto="1"/>
      </bottom>
      <diagonal/>
    </border>
    <border>
      <left style="medium">
        <color indexed="64"/>
      </left>
      <right style="thin">
        <color auto="1"/>
      </right>
      <top style="hair">
        <color auto="1"/>
      </top>
      <bottom style="medium">
        <color indexed="64"/>
      </bottom>
      <diagonal/>
    </border>
    <border>
      <left style="thin">
        <color auto="1"/>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dotted">
        <color auto="1"/>
      </left>
      <right style="thin">
        <color auto="1"/>
      </right>
      <top style="dotted">
        <color auto="1"/>
      </top>
      <bottom style="thin">
        <color auto="1"/>
      </bottom>
      <diagonal/>
    </border>
    <border>
      <left style="dotted">
        <color auto="1"/>
      </left>
      <right style="thin">
        <color auto="1"/>
      </right>
      <top/>
      <bottom/>
      <diagonal/>
    </border>
    <border>
      <left style="dotted">
        <color auto="1"/>
      </left>
      <right style="thin">
        <color auto="1"/>
      </right>
      <top style="hair">
        <color auto="1"/>
      </top>
      <bottom style="hair">
        <color auto="1"/>
      </bottom>
      <diagonal/>
    </border>
    <border>
      <left style="dotted">
        <color auto="1"/>
      </left>
      <right/>
      <top style="double">
        <color auto="1"/>
      </top>
      <bottom style="thin">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183">
    <xf numFmtId="0" fontId="0" fillId="0" borderId="0" xfId="0">
      <alignment vertical="center"/>
    </xf>
    <xf numFmtId="0" fontId="7" fillId="2" borderId="11" xfId="0" applyFont="1" applyFill="1" applyBorder="1" applyAlignment="1">
      <alignment vertical="center" wrapText="1"/>
    </xf>
    <xf numFmtId="0" fontId="3" fillId="2" borderId="59" xfId="0" applyFont="1" applyFill="1" applyBorder="1" applyAlignment="1">
      <alignment vertical="center" wrapText="1"/>
    </xf>
    <xf numFmtId="38" fontId="2" fillId="2" borderId="5" xfId="2" applyFont="1" applyFill="1" applyBorder="1" applyAlignment="1">
      <alignment vertical="center" shrinkToFi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left" vertical="center"/>
    </xf>
    <xf numFmtId="0" fontId="3" fillId="2" borderId="0" xfId="0" applyFont="1" applyFill="1">
      <alignment vertical="center"/>
    </xf>
    <xf numFmtId="0" fontId="2" fillId="2" borderId="0" xfId="0" applyFont="1" applyFill="1">
      <alignment vertical="center"/>
    </xf>
    <xf numFmtId="0" fontId="2" fillId="2" borderId="0" xfId="0" applyFont="1" applyFill="1" applyAlignment="1">
      <alignment horizontal="right" vertical="center"/>
    </xf>
    <xf numFmtId="0" fontId="2" fillId="2" borderId="0" xfId="0" applyFont="1" applyFill="1" applyAlignment="1">
      <alignment horizontal="left" vertical="center"/>
    </xf>
    <xf numFmtId="0" fontId="6"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alignment vertical="center"/>
    </xf>
    <xf numFmtId="0" fontId="5" fillId="2" borderId="0" xfId="0" applyFont="1" applyFill="1" applyAlignment="1">
      <alignment horizontal="left" vertical="center"/>
    </xf>
    <xf numFmtId="0" fontId="2" fillId="2" borderId="0" xfId="0" applyFont="1" applyFill="1" applyAlignment="1">
      <alignment vertical="top" wrapText="1"/>
    </xf>
    <xf numFmtId="0" fontId="2" fillId="2" borderId="0" xfId="0" applyFont="1" applyFill="1" applyAlignment="1">
      <alignment vertical="top" wrapText="1" shrinkToFit="1"/>
    </xf>
    <xf numFmtId="0" fontId="2" fillId="2" borderId="0" xfId="0" applyFont="1" applyFill="1" applyAlignment="1">
      <alignment vertical="center" wrapText="1"/>
    </xf>
    <xf numFmtId="0" fontId="3" fillId="2" borderId="0" xfId="0" applyFont="1" applyFill="1" applyAlignment="1">
      <alignment vertical="top" wrapText="1"/>
    </xf>
    <xf numFmtId="9" fontId="2" fillId="2" borderId="1" xfId="0" applyNumberFormat="1" applyFont="1" applyFill="1" applyBorder="1" applyAlignment="1">
      <alignment horizontal="center" vertical="center" shrinkToFit="1"/>
    </xf>
    <xf numFmtId="9" fontId="2" fillId="2" borderId="0" xfId="1" applyFont="1" applyFill="1" applyAlignment="1">
      <alignment horizontal="center" vertical="center"/>
    </xf>
    <xf numFmtId="0" fontId="2" fillId="2" borderId="1" xfId="0" applyFont="1" applyFill="1" applyBorder="1" applyAlignment="1">
      <alignment horizontal="center" vertical="center" shrinkToFit="1"/>
    </xf>
    <xf numFmtId="0" fontId="2" fillId="2" borderId="0" xfId="0" applyFont="1" applyFill="1" applyAlignment="1">
      <alignment horizontal="center" vertical="center" shrinkToFit="1"/>
    </xf>
    <xf numFmtId="0" fontId="3" fillId="2" borderId="0" xfId="0" applyFont="1" applyFill="1" applyAlignment="1">
      <alignment vertical="top" shrinkToFit="1"/>
    </xf>
    <xf numFmtId="0" fontId="2" fillId="2" borderId="0" xfId="0" applyFont="1" applyFill="1" applyAlignment="1">
      <alignment vertical="top" shrinkToFit="1"/>
    </xf>
    <xf numFmtId="0" fontId="2" fillId="2" borderId="0" xfId="0" applyFont="1" applyFill="1" applyAlignment="1">
      <alignment horizontal="center" vertical="center" wrapText="1" shrinkToFit="1"/>
    </xf>
    <xf numFmtId="9" fontId="2" fillId="2" borderId="0" xfId="0" applyNumberFormat="1" applyFont="1" applyFill="1" applyAlignment="1">
      <alignment horizontal="center" vertical="center" shrinkToFit="1"/>
    </xf>
    <xf numFmtId="176" fontId="2" fillId="2" borderId="0" xfId="0" applyNumberFormat="1" applyFont="1" applyFill="1" applyAlignment="1">
      <alignment horizontal="center" vertical="center" shrinkToFit="1"/>
    </xf>
    <xf numFmtId="0" fontId="2" fillId="2" borderId="0" xfId="0" applyFont="1" applyFill="1" applyAlignment="1">
      <alignment horizontal="left" vertical="center" shrinkToFit="1"/>
    </xf>
    <xf numFmtId="0" fontId="2" fillId="2" borderId="0" xfId="0" applyFont="1" applyFill="1" applyAlignment="1">
      <alignment horizontal="right" vertical="center" shrinkToFit="1"/>
    </xf>
    <xf numFmtId="9" fontId="2" fillId="2" borderId="1" xfId="0" applyNumberFormat="1" applyFont="1" applyFill="1" applyBorder="1" applyAlignment="1">
      <alignment horizontal="right" vertical="center" wrapText="1" shrinkToFit="1"/>
    </xf>
    <xf numFmtId="0" fontId="2" fillId="2" borderId="4" xfId="0" applyFont="1" applyFill="1" applyBorder="1" applyAlignment="1">
      <alignment horizontal="center" vertical="center"/>
    </xf>
    <xf numFmtId="0" fontId="2" fillId="2" borderId="7" xfId="0" applyFont="1" applyFill="1" applyBorder="1">
      <alignment vertical="center"/>
    </xf>
    <xf numFmtId="0" fontId="3" fillId="2" borderId="5" xfId="0" applyFont="1" applyFill="1" applyBorder="1" applyAlignment="1">
      <alignment vertical="top" wrapText="1"/>
    </xf>
    <xf numFmtId="0" fontId="2" fillId="2" borderId="16" xfId="0" applyFont="1" applyFill="1" applyBorder="1" applyAlignment="1">
      <alignment vertical="center" wrapText="1"/>
    </xf>
    <xf numFmtId="0" fontId="2" fillId="2" borderId="16" xfId="0" applyFont="1" applyFill="1" applyBorder="1">
      <alignment vertical="center"/>
    </xf>
    <xf numFmtId="0" fontId="3" fillId="2" borderId="11" xfId="0" applyFont="1" applyFill="1" applyBorder="1" applyAlignment="1">
      <alignment vertical="top" wrapText="1"/>
    </xf>
    <xf numFmtId="0" fontId="2" fillId="2" borderId="43" xfId="0" applyFont="1" applyFill="1" applyBorder="1" applyAlignment="1">
      <alignment vertical="center" wrapText="1"/>
    </xf>
    <xf numFmtId="0" fontId="3" fillId="2" borderId="29" xfId="0" applyFont="1" applyFill="1" applyBorder="1" applyAlignment="1">
      <alignment vertical="top" wrapText="1"/>
    </xf>
    <xf numFmtId="0" fontId="3" fillId="2" borderId="9" xfId="0" applyFont="1" applyFill="1" applyBorder="1" applyAlignment="1">
      <alignment vertical="top" shrinkToFit="1"/>
    </xf>
    <xf numFmtId="0" fontId="8" fillId="2" borderId="30" xfId="0" applyFont="1" applyFill="1" applyBorder="1" applyAlignment="1">
      <alignment horizontal="center" vertical="center"/>
    </xf>
    <xf numFmtId="0" fontId="2" fillId="2" borderId="0" xfId="0" applyFont="1" applyFill="1" applyAlignment="1">
      <alignment vertical="center" shrinkToFit="1"/>
    </xf>
    <xf numFmtId="9" fontId="2" fillId="2" borderId="14" xfId="0" applyNumberFormat="1" applyFont="1" applyFill="1" applyBorder="1" applyAlignment="1">
      <alignment vertical="center" shrinkToFit="1"/>
    </xf>
    <xf numFmtId="0" fontId="2" fillId="2" borderId="20" xfId="0" applyFont="1" applyFill="1" applyBorder="1" applyAlignment="1">
      <alignment horizontal="left" vertical="center" shrinkToFit="1"/>
    </xf>
    <xf numFmtId="38" fontId="2" fillId="2" borderId="42" xfId="2" applyFont="1" applyFill="1" applyBorder="1" applyAlignment="1">
      <alignment vertical="center" shrinkToFit="1"/>
    </xf>
    <xf numFmtId="9" fontId="2" fillId="2" borderId="44" xfId="0" applyNumberFormat="1" applyFont="1" applyFill="1" applyBorder="1" applyAlignment="1">
      <alignment vertical="center" shrinkToFit="1"/>
    </xf>
    <xf numFmtId="9" fontId="2" fillId="2" borderId="20" xfId="0" applyNumberFormat="1" applyFont="1" applyFill="1" applyBorder="1" applyAlignment="1">
      <alignment vertical="center" shrinkToFit="1"/>
    </xf>
    <xf numFmtId="0" fontId="2" fillId="2" borderId="21" xfId="0" applyFont="1" applyFill="1" applyBorder="1" applyAlignment="1">
      <alignment horizontal="left" vertical="center" shrinkToFit="1"/>
    </xf>
    <xf numFmtId="0" fontId="2" fillId="2" borderId="23" xfId="0" applyFont="1" applyFill="1" applyBorder="1" applyAlignment="1">
      <alignment horizontal="center" vertical="center" shrinkToFit="1"/>
    </xf>
    <xf numFmtId="38" fontId="2" fillId="2" borderId="23" xfId="2" applyFont="1" applyFill="1" applyBorder="1" applyAlignment="1">
      <alignment vertical="center" shrinkToFit="1"/>
    </xf>
    <xf numFmtId="38" fontId="2" fillId="2" borderId="22" xfId="2" applyFont="1" applyFill="1" applyBorder="1" applyAlignment="1">
      <alignment vertical="center" shrinkToFit="1"/>
    </xf>
    <xf numFmtId="9" fontId="2" fillId="2" borderId="23" xfId="0" applyNumberFormat="1" applyFont="1" applyFill="1" applyBorder="1" applyAlignment="1">
      <alignment vertical="center" shrinkToFit="1"/>
    </xf>
    <xf numFmtId="0" fontId="2" fillId="2" borderId="20" xfId="0" applyFont="1" applyFill="1" applyBorder="1" applyAlignment="1">
      <alignment horizontal="justify" vertical="top" wrapText="1" shrinkToFit="1"/>
    </xf>
    <xf numFmtId="0" fontId="2" fillId="2" borderId="32" xfId="0" applyFont="1" applyFill="1" applyBorder="1" applyAlignment="1">
      <alignment horizontal="justify" vertical="top" wrapText="1" shrinkToFit="1"/>
    </xf>
    <xf numFmtId="0" fontId="2" fillId="2" borderId="44" xfId="0" applyFont="1" applyFill="1" applyBorder="1" applyAlignment="1">
      <alignment horizontal="justify" vertical="top" wrapText="1" shrinkToFit="1"/>
    </xf>
    <xf numFmtId="0" fontId="2" fillId="2" borderId="13" xfId="0" applyFont="1" applyFill="1" applyBorder="1" applyAlignment="1">
      <alignment horizontal="justify" vertical="top" wrapText="1" shrinkToFit="1"/>
    </xf>
    <xf numFmtId="38" fontId="2" fillId="2" borderId="0" xfId="2" applyFont="1" applyFill="1" applyAlignment="1">
      <alignment horizontal="right" vertical="center" shrinkToFit="1"/>
    </xf>
    <xf numFmtId="38" fontId="2" fillId="2" borderId="5" xfId="2" applyFont="1" applyFill="1" applyBorder="1" applyAlignment="1">
      <alignment horizontal="right" vertical="center" shrinkToFit="1"/>
    </xf>
    <xf numFmtId="38" fontId="2" fillId="2" borderId="19" xfId="2" applyFont="1" applyFill="1" applyBorder="1" applyAlignment="1">
      <alignment horizontal="right" vertical="center" shrinkToFit="1"/>
    </xf>
    <xf numFmtId="38" fontId="2" fillId="2" borderId="18" xfId="2" applyFont="1" applyFill="1" applyBorder="1" applyAlignment="1">
      <alignment horizontal="right" vertical="center" shrinkToFit="1"/>
    </xf>
    <xf numFmtId="38" fontId="2" fillId="2" borderId="42" xfId="2" applyFont="1" applyFill="1" applyBorder="1" applyAlignment="1">
      <alignment horizontal="right" vertical="center" shrinkToFit="1"/>
    </xf>
    <xf numFmtId="38" fontId="2" fillId="2" borderId="61" xfId="2" applyFont="1" applyFill="1" applyBorder="1" applyAlignment="1">
      <alignment horizontal="right" vertical="center" shrinkToFit="1"/>
    </xf>
    <xf numFmtId="38" fontId="2" fillId="2" borderId="17" xfId="2" applyFont="1" applyFill="1" applyBorder="1" applyAlignment="1">
      <alignment horizontal="right" vertical="center" shrinkToFit="1"/>
    </xf>
    <xf numFmtId="38" fontId="2" fillId="2" borderId="60" xfId="2" applyFont="1" applyFill="1" applyBorder="1" applyAlignment="1">
      <alignment horizontal="right" vertical="center" shrinkToFit="1"/>
    </xf>
    <xf numFmtId="38" fontId="2" fillId="2" borderId="10" xfId="2" applyFont="1" applyFill="1" applyBorder="1" applyAlignment="1">
      <alignment horizontal="right" vertical="center" shrinkToFit="1"/>
    </xf>
    <xf numFmtId="0" fontId="2" fillId="2" borderId="1" xfId="0" applyFont="1" applyFill="1" applyBorder="1" applyAlignment="1">
      <alignment horizontal="left" vertical="top" wrapText="1" shrinkToFit="1"/>
    </xf>
    <xf numFmtId="49" fontId="2" fillId="2" borderId="15" xfId="0" applyNumberFormat="1" applyFont="1" applyFill="1" applyBorder="1" applyAlignment="1">
      <alignment horizontal="left" vertical="top" wrapText="1"/>
    </xf>
    <xf numFmtId="0" fontId="2" fillId="2" borderId="1" xfId="0" applyFont="1" applyFill="1" applyBorder="1" applyAlignment="1">
      <alignment horizontal="left" vertical="center" wrapText="1"/>
    </xf>
    <xf numFmtId="0" fontId="2" fillId="2" borderId="1" xfId="0" applyFont="1" applyFill="1" applyBorder="1" applyAlignment="1">
      <alignment horizontal="left" vertical="center" shrinkToFit="1"/>
    </xf>
    <xf numFmtId="0" fontId="5" fillId="2" borderId="0" xfId="0" applyFont="1" applyFill="1" applyAlignment="1">
      <alignment horizontal="center" vertical="center"/>
    </xf>
    <xf numFmtId="0" fontId="2" fillId="2" borderId="1" xfId="0" applyFont="1" applyFill="1" applyBorder="1" applyAlignment="1">
      <alignment horizontal="justify" vertical="top" wrapText="1" shrinkToFit="1"/>
    </xf>
    <xf numFmtId="0" fontId="3" fillId="2" borderId="2" xfId="0" applyFont="1" applyFill="1" applyBorder="1" applyAlignment="1">
      <alignment horizontal="center" vertical="center" shrinkToFit="1"/>
    </xf>
    <xf numFmtId="49" fontId="11" fillId="2" borderId="45" xfId="0" applyNumberFormat="1" applyFont="1" applyFill="1" applyBorder="1" applyAlignment="1">
      <alignment horizontal="center" vertical="center"/>
    </xf>
    <xf numFmtId="49" fontId="11" fillId="2" borderId="46" xfId="0" applyNumberFormat="1" applyFont="1" applyFill="1" applyBorder="1" applyAlignment="1">
      <alignment horizontal="center" vertical="center"/>
    </xf>
    <xf numFmtId="49" fontId="11" fillId="2" borderId="47"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shrinkToFit="1"/>
    </xf>
    <xf numFmtId="0" fontId="2" fillId="2" borderId="27" xfId="0" applyFont="1" applyFill="1" applyBorder="1" applyAlignment="1">
      <alignment horizontal="left" vertical="center" shrinkToFit="1"/>
    </xf>
    <xf numFmtId="0" fontId="2" fillId="2" borderId="48" xfId="0" applyFont="1" applyFill="1" applyBorder="1" applyAlignment="1">
      <alignment horizontal="center" vertical="center" shrinkToFit="1"/>
    </xf>
    <xf numFmtId="0" fontId="2" fillId="2" borderId="14" xfId="0" applyFont="1" applyFill="1" applyBorder="1" applyAlignment="1">
      <alignment horizontal="center" vertical="center" shrinkToFit="1"/>
    </xf>
    <xf numFmtId="0" fontId="2" fillId="2" borderId="49" xfId="0" applyFont="1" applyFill="1" applyBorder="1" applyAlignment="1">
      <alignment horizontal="center" vertical="center" shrinkToFit="1"/>
    </xf>
    <xf numFmtId="0" fontId="2" fillId="2" borderId="28" xfId="0" applyFont="1" applyFill="1" applyBorder="1" applyAlignment="1">
      <alignment horizontal="center" vertical="center" shrinkToFit="1"/>
    </xf>
    <xf numFmtId="0" fontId="2" fillId="2" borderId="18" xfId="0" applyFont="1" applyFill="1" applyBorder="1" applyAlignment="1">
      <alignment horizontal="left" vertical="center" shrinkToFit="1"/>
    </xf>
    <xf numFmtId="0" fontId="2" fillId="2" borderId="50" xfId="0" applyFont="1" applyFill="1" applyBorder="1" applyAlignment="1">
      <alignment horizontal="center" vertical="center" shrinkToFit="1"/>
    </xf>
    <xf numFmtId="0" fontId="2" fillId="2" borderId="20" xfId="0" applyFont="1" applyFill="1" applyBorder="1" applyAlignment="1">
      <alignment horizontal="center" vertical="center" shrinkToFit="1"/>
    </xf>
    <xf numFmtId="0" fontId="2" fillId="2" borderId="51" xfId="0" applyFont="1" applyFill="1" applyBorder="1" applyAlignment="1">
      <alignment horizontal="center" vertical="center" shrinkToFit="1"/>
    </xf>
    <xf numFmtId="0" fontId="2" fillId="2" borderId="17" xfId="0" applyFont="1" applyFill="1" applyBorder="1" applyAlignment="1">
      <alignment horizontal="center" vertical="center" shrinkToFit="1"/>
    </xf>
    <xf numFmtId="0" fontId="2" fillId="2" borderId="30" xfId="0" applyFont="1" applyFill="1" applyBorder="1" applyAlignment="1">
      <alignment horizontal="left" vertical="center" shrinkToFit="1"/>
    </xf>
    <xf numFmtId="0" fontId="2" fillId="2" borderId="52" xfId="0" applyFont="1" applyFill="1" applyBorder="1" applyAlignment="1">
      <alignment horizontal="center" vertical="center" shrinkToFit="1"/>
    </xf>
    <xf numFmtId="0" fontId="2" fillId="2" borderId="32" xfId="0" applyFont="1" applyFill="1" applyBorder="1" applyAlignment="1">
      <alignment horizontal="center" vertical="center" shrinkToFit="1"/>
    </xf>
    <xf numFmtId="0" fontId="2" fillId="2" borderId="53" xfId="0" applyFont="1" applyFill="1" applyBorder="1" applyAlignment="1">
      <alignment horizontal="center" vertical="center" shrinkToFit="1"/>
    </xf>
    <xf numFmtId="0" fontId="2" fillId="2" borderId="31" xfId="0" applyFont="1" applyFill="1" applyBorder="1" applyAlignment="1">
      <alignment horizontal="center" vertical="center" shrinkToFit="1"/>
    </xf>
    <xf numFmtId="0" fontId="2" fillId="2" borderId="33" xfId="0" applyFont="1" applyFill="1" applyBorder="1" applyAlignment="1">
      <alignment horizontal="left" vertical="center" shrinkToFit="1"/>
    </xf>
    <xf numFmtId="0" fontId="2" fillId="2" borderId="54" xfId="0" applyFont="1" applyFill="1" applyBorder="1" applyAlignment="1">
      <alignment horizontal="center" vertical="center" shrinkToFit="1"/>
    </xf>
    <xf numFmtId="0" fontId="2" fillId="2" borderId="44" xfId="0" applyFont="1" applyFill="1" applyBorder="1" applyAlignment="1">
      <alignment horizontal="center" vertical="center" shrinkToFit="1"/>
    </xf>
    <xf numFmtId="0" fontId="2" fillId="2" borderId="55" xfId="0" applyFont="1" applyFill="1" applyBorder="1" applyAlignment="1">
      <alignment horizontal="center" vertical="center" shrinkToFit="1"/>
    </xf>
    <xf numFmtId="0" fontId="2" fillId="2" borderId="35" xfId="0" applyFont="1" applyFill="1" applyBorder="1" applyAlignment="1">
      <alignment horizontal="center" vertical="center" shrinkToFit="1"/>
    </xf>
    <xf numFmtId="0" fontId="2" fillId="2" borderId="56" xfId="0" applyFont="1" applyFill="1" applyBorder="1" applyAlignment="1">
      <alignment horizontal="center" vertical="center" shrinkToFit="1"/>
    </xf>
    <xf numFmtId="0" fontId="2" fillId="2" borderId="57" xfId="0" applyFont="1" applyFill="1" applyBorder="1" applyAlignment="1">
      <alignment horizontal="center" vertical="center" shrinkToFit="1"/>
    </xf>
    <xf numFmtId="0" fontId="2" fillId="2" borderId="58" xfId="0" applyFont="1" applyFill="1" applyBorder="1" applyAlignment="1">
      <alignment horizontal="center" vertical="center" shrinkToFit="1"/>
    </xf>
    <xf numFmtId="49" fontId="2" fillId="2" borderId="40" xfId="0" applyNumberFormat="1" applyFont="1" applyFill="1" applyBorder="1" applyAlignment="1">
      <alignment horizontal="center" vertical="center"/>
    </xf>
    <xf numFmtId="49" fontId="2" fillId="2" borderId="0" xfId="0" applyNumberFormat="1" applyFont="1" applyFill="1" applyAlignment="1">
      <alignment vertical="top"/>
    </xf>
    <xf numFmtId="49" fontId="2" fillId="2" borderId="41" xfId="0" applyNumberFormat="1" applyFont="1" applyFill="1" applyBorder="1" applyAlignment="1">
      <alignment horizontal="center" vertical="center"/>
    </xf>
    <xf numFmtId="49" fontId="3" fillId="2" borderId="0" xfId="0" applyNumberFormat="1" applyFont="1" applyFill="1" applyAlignment="1">
      <alignment vertical="top"/>
    </xf>
    <xf numFmtId="49" fontId="2" fillId="2" borderId="36" xfId="0" applyNumberFormat="1" applyFont="1" applyFill="1" applyBorder="1" applyAlignment="1">
      <alignment horizontal="center" vertical="center"/>
    </xf>
    <xf numFmtId="49" fontId="2" fillId="2" borderId="24" xfId="0" applyNumberFormat="1" applyFont="1" applyFill="1" applyBorder="1" applyAlignment="1">
      <alignment horizontal="center" vertical="center"/>
    </xf>
    <xf numFmtId="49" fontId="2" fillId="2" borderId="39" xfId="0" applyNumberFormat="1" applyFont="1" applyFill="1" applyBorder="1" applyAlignment="1">
      <alignment horizontal="center" vertical="center"/>
    </xf>
    <xf numFmtId="49" fontId="2" fillId="2" borderId="26" xfId="0" applyNumberFormat="1" applyFont="1" applyFill="1" applyBorder="1" applyAlignment="1">
      <alignment horizontal="center" vertical="center"/>
    </xf>
    <xf numFmtId="49" fontId="3" fillId="2" borderId="0" xfId="0" applyNumberFormat="1" applyFont="1" applyFill="1">
      <alignment vertical="center"/>
    </xf>
    <xf numFmtId="38" fontId="2" fillId="2" borderId="62" xfId="2" applyFont="1" applyFill="1" applyBorder="1" applyAlignment="1">
      <alignment vertical="center" shrinkToFit="1"/>
    </xf>
    <xf numFmtId="177" fontId="2" fillId="2" borderId="1" xfId="0" applyNumberFormat="1" applyFont="1" applyFill="1" applyBorder="1" applyAlignment="1">
      <alignment horizontal="right" vertical="center"/>
    </xf>
    <xf numFmtId="0" fontId="6" fillId="2" borderId="1" xfId="0" applyFont="1" applyFill="1" applyBorder="1" applyAlignment="1">
      <alignment horizontal="left" vertical="center" shrinkToFit="1"/>
    </xf>
    <xf numFmtId="177" fontId="2" fillId="2" borderId="27" xfId="0" applyNumberFormat="1" applyFont="1" applyFill="1" applyBorder="1" applyAlignment="1">
      <alignment horizontal="center" vertical="center" shrinkToFit="1"/>
    </xf>
    <xf numFmtId="177" fontId="2" fillId="2" borderId="18" xfId="0" applyNumberFormat="1" applyFont="1" applyFill="1" applyBorder="1" applyAlignment="1">
      <alignment horizontal="center" vertical="center" shrinkToFit="1"/>
    </xf>
    <xf numFmtId="177" fontId="2" fillId="2" borderId="30" xfId="0" applyNumberFormat="1" applyFont="1" applyFill="1" applyBorder="1" applyAlignment="1">
      <alignment horizontal="center" vertical="center" shrinkToFit="1"/>
    </xf>
    <xf numFmtId="177" fontId="2" fillId="2" borderId="33" xfId="0" applyNumberFormat="1" applyFont="1" applyFill="1" applyBorder="1" applyAlignment="1">
      <alignment horizontal="center" vertical="center" shrinkToFit="1"/>
    </xf>
    <xf numFmtId="177" fontId="2" fillId="2" borderId="11" xfId="0" applyNumberFormat="1" applyFont="1" applyFill="1" applyBorder="1" applyAlignment="1">
      <alignment horizontal="center" vertical="center" shrinkToFit="1"/>
    </xf>
    <xf numFmtId="49" fontId="2" fillId="2" borderId="32" xfId="0" applyNumberFormat="1" applyFont="1" applyFill="1" applyBorder="1" applyAlignment="1">
      <alignment horizontal="left" vertical="top" wrapText="1"/>
    </xf>
    <xf numFmtId="49" fontId="2" fillId="2" borderId="14" xfId="0" applyNumberFormat="1" applyFont="1" applyFill="1" applyBorder="1" applyAlignment="1">
      <alignment horizontal="left" vertical="top" wrapText="1"/>
    </xf>
    <xf numFmtId="49" fontId="2" fillId="2" borderId="13" xfId="0" applyNumberFormat="1" applyFont="1" applyFill="1" applyBorder="1" applyAlignment="1">
      <alignment horizontal="left" vertical="top" wrapText="1"/>
    </xf>
    <xf numFmtId="0" fontId="2" fillId="2" borderId="1" xfId="0" applyFont="1" applyFill="1" applyBorder="1" applyAlignment="1">
      <alignment horizontal="right" vertical="center"/>
    </xf>
    <xf numFmtId="49" fontId="2" fillId="2" borderId="20" xfId="0" applyNumberFormat="1" applyFont="1" applyFill="1" applyBorder="1" applyAlignment="1">
      <alignment horizontal="left" vertical="top" wrapText="1"/>
    </xf>
    <xf numFmtId="0" fontId="12" fillId="2" borderId="0" xfId="0" applyFont="1" applyFill="1" applyAlignment="1">
      <alignment horizontal="right" vertical="center"/>
    </xf>
    <xf numFmtId="0" fontId="5" fillId="2" borderId="44" xfId="0" applyFont="1" applyFill="1" applyBorder="1" applyAlignment="1">
      <alignment horizontal="left" vertical="center" shrinkToFit="1"/>
    </xf>
    <xf numFmtId="0" fontId="5" fillId="2" borderId="20" xfId="0" applyFont="1" applyFill="1" applyBorder="1" applyAlignment="1">
      <alignment horizontal="left" vertical="center" shrinkToFit="1"/>
    </xf>
    <xf numFmtId="0" fontId="2" fillId="2" borderId="7" xfId="0" applyFont="1" applyFill="1" applyBorder="1" applyAlignment="1">
      <alignment horizontal="justify" vertical="top" wrapText="1"/>
    </xf>
    <xf numFmtId="0" fontId="2" fillId="2" borderId="9" xfId="0" applyFont="1" applyFill="1" applyBorder="1" applyAlignment="1">
      <alignment horizontal="justify" vertical="top" wrapText="1"/>
    </xf>
    <xf numFmtId="0" fontId="2" fillId="2" borderId="5" xfId="0" applyFont="1" applyFill="1" applyBorder="1" applyAlignment="1">
      <alignment horizontal="justify" vertical="top" wrapText="1"/>
    </xf>
    <xf numFmtId="0" fontId="2" fillId="2" borderId="10" xfId="0" applyFont="1" applyFill="1" applyBorder="1" applyAlignment="1">
      <alignment horizontal="justify" vertical="top" wrapText="1"/>
    </xf>
    <xf numFmtId="0" fontId="2" fillId="2" borderId="0" xfId="0" applyFont="1" applyFill="1" applyAlignment="1">
      <alignment horizontal="center" vertical="center"/>
    </xf>
    <xf numFmtId="0" fontId="2" fillId="2" borderId="0" xfId="0" applyFont="1" applyFill="1">
      <alignment vertical="center"/>
    </xf>
    <xf numFmtId="0" fontId="2" fillId="2" borderId="0" xfId="0" applyFont="1" applyFill="1" applyAlignment="1">
      <alignment horizontal="left" vertical="center"/>
    </xf>
    <xf numFmtId="0" fontId="2" fillId="2" borderId="0" xfId="0" applyFont="1" applyFill="1" applyAlignment="1">
      <alignment vertical="top"/>
    </xf>
    <xf numFmtId="0" fontId="10"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1" xfId="0" applyFont="1" applyFill="1" applyBorder="1" applyAlignment="1">
      <alignment horizontal="justify" vertical="top" wrapText="1"/>
    </xf>
    <xf numFmtId="0" fontId="2" fillId="2" borderId="12" xfId="0" applyFont="1" applyFill="1" applyBorder="1" applyAlignment="1">
      <alignment horizontal="justify" vertical="top" wrapText="1"/>
    </xf>
    <xf numFmtId="0" fontId="9" fillId="2" borderId="5" xfId="0" applyFont="1" applyFill="1" applyBorder="1" applyAlignment="1">
      <alignment horizontal="justify" vertical="top" wrapText="1"/>
    </xf>
    <xf numFmtId="0" fontId="9" fillId="2" borderId="10" xfId="0" applyFont="1" applyFill="1" applyBorder="1" applyAlignment="1">
      <alignment horizontal="justify" vertical="top" wrapText="1"/>
    </xf>
    <xf numFmtId="0" fontId="9" fillId="2" borderId="11" xfId="0" applyFont="1" applyFill="1" applyBorder="1" applyAlignment="1">
      <alignment horizontal="justify" vertical="top" wrapText="1"/>
    </xf>
    <xf numFmtId="0" fontId="9" fillId="2" borderId="12" xfId="0" applyFont="1" applyFill="1" applyBorder="1" applyAlignment="1">
      <alignment horizontal="justify" vertical="top" wrapText="1"/>
    </xf>
    <xf numFmtId="0" fontId="2" fillId="2" borderId="37" xfId="0" applyFont="1" applyFill="1" applyBorder="1" applyAlignment="1">
      <alignment horizontal="justify" vertical="center" wrapText="1"/>
    </xf>
    <xf numFmtId="0" fontId="2" fillId="2" borderId="25" xfId="0" applyFont="1" applyFill="1" applyBorder="1" applyAlignment="1">
      <alignment horizontal="justify" vertical="center" wrapText="1"/>
    </xf>
    <xf numFmtId="0" fontId="2" fillId="2" borderId="38" xfId="0" applyFont="1" applyFill="1" applyBorder="1" applyAlignment="1">
      <alignment horizontal="justify" vertical="center" wrapText="1"/>
    </xf>
    <xf numFmtId="0" fontId="2" fillId="2" borderId="2" xfId="0" applyFont="1" applyFill="1" applyBorder="1" applyAlignment="1">
      <alignment horizontal="center" vertical="center" shrinkToFit="1"/>
    </xf>
    <xf numFmtId="0" fontId="2" fillId="2" borderId="4" xfId="0" applyFont="1" applyFill="1" applyBorder="1" applyAlignment="1">
      <alignment horizontal="center" vertical="center" shrinkToFit="1"/>
    </xf>
    <xf numFmtId="0" fontId="7" fillId="2" borderId="7"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2" fillId="2" borderId="14" xfId="0" applyFont="1" applyFill="1" applyBorder="1" applyAlignment="1">
      <alignment horizontal="center" vertical="center"/>
    </xf>
    <xf numFmtId="0" fontId="6" fillId="2" borderId="0" xfId="0" applyFont="1" applyFill="1" applyAlignment="1">
      <alignment horizontal="center" vertical="center"/>
    </xf>
    <xf numFmtId="0" fontId="2" fillId="2" borderId="15" xfId="0" applyFont="1" applyFill="1" applyBorder="1" applyAlignment="1">
      <alignment horizontal="center" vertical="center"/>
    </xf>
    <xf numFmtId="0" fontId="2" fillId="2" borderId="13"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7" fillId="2" borderId="9" xfId="0" applyFont="1" applyFill="1" applyBorder="1" applyAlignment="1">
      <alignment horizontal="center" vertical="center"/>
    </xf>
    <xf numFmtId="0" fontId="7" fillId="2" borderId="12"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0" xfId="0" applyFont="1" applyFill="1" applyAlignment="1">
      <alignment horizontal="left" vertical="center" wrapText="1"/>
    </xf>
    <xf numFmtId="0" fontId="2" fillId="2" borderId="0" xfId="0" applyFont="1" applyFill="1" applyAlignment="1">
      <alignment horizontal="left" vertical="center" shrinkToFit="1"/>
    </xf>
    <xf numFmtId="0" fontId="2" fillId="2" borderId="2" xfId="0" applyFont="1" applyFill="1" applyBorder="1" applyAlignment="1">
      <alignment horizontal="justify" vertical="top" wrapText="1" shrinkToFit="1"/>
    </xf>
    <xf numFmtId="0" fontId="2" fillId="2" borderId="3" xfId="0" applyFont="1" applyFill="1" applyBorder="1" applyAlignment="1">
      <alignment horizontal="justify" vertical="top" wrapText="1" shrinkToFit="1"/>
    </xf>
    <xf numFmtId="0" fontId="2" fillId="2" borderId="4" xfId="0" applyFont="1" applyFill="1" applyBorder="1" applyAlignment="1">
      <alignment horizontal="justify" vertical="top" wrapText="1" shrinkToFit="1"/>
    </xf>
    <xf numFmtId="0" fontId="2" fillId="2" borderId="0" xfId="0" applyFont="1" applyFill="1" applyAlignment="1">
      <alignment vertical="center" wrapText="1"/>
    </xf>
    <xf numFmtId="0" fontId="2" fillId="2" borderId="6" xfId="0" applyFont="1" applyFill="1" applyBorder="1" applyAlignment="1">
      <alignment vertical="center" wrapText="1"/>
    </xf>
    <xf numFmtId="0" fontId="2" fillId="2" borderId="6" xfId="0" applyFont="1" applyFill="1" applyBorder="1">
      <alignment vertical="center"/>
    </xf>
    <xf numFmtId="0" fontId="2" fillId="2" borderId="0" xfId="0" applyFont="1" applyFill="1" applyAlignment="1">
      <alignment horizontal="center" vertical="center" shrinkToFit="1"/>
    </xf>
    <xf numFmtId="0" fontId="2" fillId="2" borderId="11" xfId="0" applyFont="1" applyFill="1" applyBorder="1" applyAlignment="1">
      <alignment vertical="center" wrapText="1"/>
    </xf>
    <xf numFmtId="0" fontId="2" fillId="2" borderId="33" xfId="0" applyFont="1" applyFill="1" applyBorder="1" applyAlignment="1">
      <alignment vertical="center" wrapText="1"/>
    </xf>
    <xf numFmtId="0" fontId="2" fillId="2" borderId="34" xfId="0" applyFont="1" applyFill="1" applyBorder="1" applyAlignment="1">
      <alignment vertical="center" wrapText="1"/>
    </xf>
    <xf numFmtId="0" fontId="2" fillId="2" borderId="3" xfId="0" applyFont="1" applyFill="1" applyBorder="1" applyAlignment="1">
      <alignment horizontal="center" vertical="center"/>
    </xf>
    <xf numFmtId="0" fontId="2" fillId="2" borderId="0" xfId="0" applyFont="1" applyFill="1" applyAlignment="1">
      <alignment horizontal="right" vertical="center" shrinkToFit="1"/>
    </xf>
    <xf numFmtId="0" fontId="2" fillId="2" borderId="10" xfId="0" applyFont="1" applyFill="1" applyBorder="1" applyAlignment="1">
      <alignment horizontal="right" vertical="center" shrinkToFit="1"/>
    </xf>
    <xf numFmtId="0" fontId="2" fillId="2" borderId="7" xfId="0" applyFont="1" applyFill="1" applyBorder="1">
      <alignment vertical="center"/>
    </xf>
    <xf numFmtId="0" fontId="2" fillId="2" borderId="8" xfId="0" applyFont="1" applyFill="1" applyBorder="1">
      <alignment vertical="center"/>
    </xf>
    <xf numFmtId="0" fontId="2" fillId="2" borderId="9" xfId="0" applyFont="1" applyFill="1" applyBorder="1">
      <alignment vertical="center"/>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strike val="0"/>
      </font>
      <fill>
        <patternFill>
          <bgColor theme="0" tint="-0.34998626667073579"/>
        </patternFill>
      </fill>
    </dxf>
    <dxf>
      <font>
        <strike val="0"/>
      </font>
      <fill>
        <patternFill>
          <bgColor theme="1"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codeName="Sheet1">
    <pageSetUpPr fitToPage="1"/>
  </sheetPr>
  <dimension ref="A1:AB72"/>
  <sheetViews>
    <sheetView showZeros="0" view="pageBreakPreview" zoomScaleNormal="100" zoomScaleSheetLayoutView="100" workbookViewId="0">
      <selection sqref="A1:Z1"/>
    </sheetView>
  </sheetViews>
  <sheetFormatPr defaultColWidth="9" defaultRowHeight="18.75" customHeight="1" x14ac:dyDescent="0.15"/>
  <cols>
    <col min="1" max="1" width="2.5" style="8" customWidth="1"/>
    <col min="2" max="2" width="28.25" style="8" customWidth="1"/>
    <col min="3" max="3" width="6.25" style="8" customWidth="1"/>
    <col min="4" max="4" width="80.625" style="8" customWidth="1"/>
    <col min="5" max="5" width="6.5" style="8" bestFit="1" customWidth="1"/>
    <col min="6" max="26" width="5.625" style="8" customWidth="1"/>
    <col min="27" max="27" width="9" style="8" customWidth="1"/>
    <col min="28" max="16384" width="9" style="8"/>
  </cols>
  <sheetData>
    <row r="1" spans="1:28" ht="18.75" customHeight="1" x14ac:dyDescent="0.15">
      <c r="A1" s="130" t="s">
        <v>100</v>
      </c>
      <c r="B1" s="130"/>
      <c r="C1" s="130"/>
      <c r="D1" s="130"/>
      <c r="E1" s="130"/>
      <c r="F1" s="130"/>
      <c r="G1" s="130"/>
      <c r="H1" s="130"/>
      <c r="I1" s="130"/>
      <c r="J1" s="130"/>
      <c r="K1" s="130"/>
      <c r="L1" s="130"/>
      <c r="M1" s="130"/>
      <c r="N1" s="130"/>
      <c r="O1" s="130"/>
      <c r="P1" s="130"/>
      <c r="Q1" s="130"/>
      <c r="R1" s="130"/>
      <c r="S1" s="130"/>
      <c r="T1" s="130"/>
      <c r="U1" s="130"/>
      <c r="V1" s="130"/>
      <c r="W1" s="130"/>
      <c r="X1" s="130"/>
      <c r="Y1" s="130"/>
      <c r="Z1" s="130"/>
    </row>
    <row r="3" spans="1:28" ht="18.600000000000001" customHeight="1" x14ac:dyDescent="0.15">
      <c r="Y3" s="130" t="s">
        <v>12</v>
      </c>
      <c r="Z3" s="130"/>
      <c r="AA3" s="9"/>
      <c r="AB3" s="13"/>
    </row>
    <row r="4" spans="1:28" ht="18.75" customHeight="1" x14ac:dyDescent="0.15">
      <c r="B4" s="135" t="s">
        <v>77</v>
      </c>
      <c r="C4" s="136"/>
      <c r="D4" s="68" t="s">
        <v>120</v>
      </c>
      <c r="P4" s="9"/>
      <c r="Q4" s="41"/>
      <c r="R4" s="41"/>
      <c r="S4" s="41"/>
      <c r="T4" s="41"/>
      <c r="U4" s="41"/>
      <c r="V4" s="41"/>
      <c r="W4" s="41"/>
      <c r="X4" s="41"/>
      <c r="Y4" s="41"/>
      <c r="Z4" s="41"/>
    </row>
    <row r="5" spans="1:28" ht="18.75" customHeight="1" x14ac:dyDescent="0.15">
      <c r="B5" s="135" t="s">
        <v>73</v>
      </c>
      <c r="C5" s="136"/>
      <c r="D5" s="68" t="s">
        <v>151</v>
      </c>
      <c r="P5" s="9"/>
      <c r="Q5" s="41"/>
      <c r="R5" s="41"/>
      <c r="S5" s="41"/>
      <c r="T5" s="41"/>
      <c r="U5" s="41"/>
      <c r="V5" s="41"/>
      <c r="W5" s="41"/>
      <c r="X5" s="41"/>
      <c r="Y5" s="41"/>
      <c r="Z5" s="41"/>
    </row>
    <row r="6" spans="1:28" ht="15" customHeight="1" x14ac:dyDescent="0.15">
      <c r="Q6" s="9"/>
      <c r="R6" s="28"/>
      <c r="S6" s="28"/>
      <c r="T6" s="28"/>
      <c r="U6" s="28"/>
      <c r="V6" s="28"/>
      <c r="W6" s="28"/>
      <c r="X6" s="28"/>
      <c r="Y6" s="28"/>
      <c r="Z6" s="28"/>
    </row>
    <row r="7" spans="1:28" ht="18" customHeight="1" x14ac:dyDescent="0.15">
      <c r="A7" s="134" t="s">
        <v>84</v>
      </c>
      <c r="B7" s="134"/>
      <c r="C7" s="134"/>
      <c r="D7" s="134"/>
      <c r="E7" s="134"/>
      <c r="F7" s="134"/>
      <c r="G7" s="134"/>
      <c r="H7" s="134"/>
      <c r="I7" s="134"/>
      <c r="J7" s="134"/>
      <c r="K7" s="134"/>
      <c r="L7" s="134"/>
      <c r="M7" s="134"/>
      <c r="N7" s="134"/>
      <c r="O7" s="134"/>
      <c r="P7" s="134"/>
      <c r="Q7" s="134"/>
      <c r="R7" s="134"/>
      <c r="S7" s="134"/>
      <c r="T7" s="134"/>
      <c r="U7" s="134"/>
      <c r="V7" s="134"/>
      <c r="W7" s="134"/>
      <c r="X7" s="134"/>
      <c r="Y7" s="134"/>
      <c r="Z7" s="134"/>
    </row>
    <row r="8" spans="1:28" ht="18" customHeight="1" x14ac:dyDescent="0.15">
      <c r="A8" s="11"/>
      <c r="B8" s="11"/>
      <c r="C8" s="11"/>
      <c r="D8" s="11"/>
      <c r="E8" s="11"/>
      <c r="F8" s="11"/>
      <c r="G8" s="11"/>
      <c r="H8" s="11"/>
      <c r="I8" s="11"/>
      <c r="J8" s="11"/>
      <c r="K8" s="11"/>
      <c r="L8" s="11"/>
      <c r="M8" s="11"/>
      <c r="N8" s="11"/>
      <c r="O8" s="11"/>
      <c r="P8" s="11"/>
      <c r="Q8" s="11"/>
      <c r="R8" s="11"/>
      <c r="S8" s="11"/>
      <c r="T8" s="11"/>
      <c r="U8" s="11"/>
      <c r="V8" s="11"/>
      <c r="W8" s="11"/>
      <c r="X8" s="11"/>
      <c r="Y8" s="11"/>
      <c r="Z8" s="11"/>
    </row>
    <row r="9" spans="1:28" ht="20.25" customHeight="1" x14ac:dyDescent="0.15">
      <c r="A9" s="131" t="s">
        <v>86</v>
      </c>
      <c r="B9" s="131"/>
      <c r="D9" s="6" t="s">
        <v>171</v>
      </c>
    </row>
    <row r="10" spans="1:28" ht="20.25" customHeight="1" x14ac:dyDescent="0.15">
      <c r="B10" s="12"/>
      <c r="C10" s="12"/>
      <c r="D10" s="12"/>
      <c r="Q10" s="12"/>
      <c r="R10" s="12"/>
      <c r="S10" s="12"/>
      <c r="T10" s="12"/>
      <c r="U10" s="12"/>
      <c r="V10" s="12"/>
      <c r="W10" s="12"/>
      <c r="X10" s="12"/>
      <c r="Y10" s="12"/>
      <c r="Z10" s="12"/>
    </row>
    <row r="11" spans="1:28" ht="20.25" customHeight="1" x14ac:dyDescent="0.15">
      <c r="A11" s="131" t="s">
        <v>82</v>
      </c>
      <c r="B11" s="131"/>
      <c r="D11" s="67"/>
    </row>
    <row r="12" spans="1:28" ht="20.25" customHeight="1" x14ac:dyDescent="0.15">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8" ht="20.25" customHeight="1" x14ac:dyDescent="0.15">
      <c r="A13" s="132" t="s">
        <v>87</v>
      </c>
      <c r="B13" s="132"/>
      <c r="C13" s="12"/>
      <c r="D13" s="68" t="s">
        <v>129</v>
      </c>
      <c r="E13" s="41"/>
      <c r="F13" s="41"/>
      <c r="G13" s="41"/>
      <c r="H13" s="41"/>
      <c r="I13" s="41"/>
      <c r="J13" s="41"/>
      <c r="K13" s="41"/>
      <c r="L13" s="41"/>
      <c r="M13" s="41"/>
      <c r="N13" s="41"/>
      <c r="O13" s="41"/>
      <c r="P13" s="41"/>
      <c r="Q13" s="69"/>
      <c r="R13" s="69"/>
      <c r="S13" s="69"/>
      <c r="T13" s="69"/>
      <c r="U13" s="69"/>
      <c r="V13" s="69"/>
      <c r="W13" s="69"/>
      <c r="X13" s="69"/>
      <c r="Y13" s="69"/>
      <c r="Z13" s="69"/>
    </row>
    <row r="14" spans="1:28" ht="20.25" customHeight="1" x14ac:dyDescent="0.15">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8" ht="132" customHeight="1" x14ac:dyDescent="0.15">
      <c r="A15" s="133" t="s">
        <v>88</v>
      </c>
      <c r="B15" s="133"/>
      <c r="C15" s="12"/>
      <c r="D15" s="70" t="s">
        <v>170</v>
      </c>
      <c r="E15" s="16"/>
      <c r="F15" s="16"/>
      <c r="G15" s="16"/>
      <c r="H15" s="16"/>
      <c r="I15" s="16"/>
      <c r="J15" s="16"/>
      <c r="K15" s="16"/>
      <c r="L15" s="16"/>
      <c r="M15" s="16"/>
      <c r="N15" s="16"/>
      <c r="O15" s="16"/>
      <c r="P15" s="16"/>
      <c r="Q15" s="16"/>
      <c r="R15" s="16"/>
      <c r="S15" s="16"/>
      <c r="T15" s="16"/>
      <c r="U15" s="16"/>
      <c r="V15" s="16"/>
      <c r="W15" s="16"/>
      <c r="X15" s="16"/>
      <c r="Y15" s="16"/>
      <c r="Z15" s="16"/>
    </row>
    <row r="16" spans="1:28" ht="13.15" customHeight="1" x14ac:dyDescent="0.15">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ht="20.25" customHeight="1" x14ac:dyDescent="0.15">
      <c r="A17" s="8" t="s">
        <v>104</v>
      </c>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ht="10.15" customHeight="1" x14ac:dyDescent="0.15">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ht="20.25" customHeight="1" x14ac:dyDescent="0.15">
      <c r="B19" s="9" t="s">
        <v>105</v>
      </c>
      <c r="C19" s="111">
        <v>2</v>
      </c>
      <c r="D19" s="10" t="s">
        <v>79</v>
      </c>
      <c r="G19" s="12"/>
      <c r="H19" s="12"/>
      <c r="I19" s="12"/>
      <c r="J19" s="12"/>
      <c r="K19" s="12"/>
      <c r="L19" s="12"/>
      <c r="M19" s="12"/>
      <c r="N19" s="12"/>
      <c r="O19" s="12"/>
      <c r="P19" s="12"/>
      <c r="Q19" s="12"/>
      <c r="R19" s="12"/>
      <c r="S19" s="12"/>
      <c r="T19" s="12"/>
      <c r="U19" s="12"/>
      <c r="V19" s="12"/>
      <c r="W19" s="12"/>
      <c r="X19" s="12"/>
      <c r="Y19" s="12"/>
      <c r="Z19" s="12"/>
    </row>
    <row r="20" spans="1:26" ht="20.25" customHeight="1" x14ac:dyDescent="0.15">
      <c r="B20" s="12"/>
      <c r="C20" s="111">
        <v>3</v>
      </c>
      <c r="D20" s="10" t="s">
        <v>80</v>
      </c>
      <c r="G20" s="12"/>
      <c r="H20" s="12"/>
      <c r="I20" s="12"/>
      <c r="J20" s="12"/>
      <c r="K20" s="12"/>
      <c r="L20" s="12"/>
      <c r="M20" s="12"/>
      <c r="N20" s="12"/>
      <c r="O20" s="12"/>
      <c r="P20" s="12"/>
      <c r="Q20" s="12"/>
      <c r="R20" s="12"/>
      <c r="S20" s="12"/>
      <c r="T20" s="12"/>
      <c r="U20" s="12"/>
      <c r="V20" s="12"/>
      <c r="W20" s="12"/>
      <c r="X20" s="12"/>
      <c r="Y20" s="12"/>
      <c r="Z20" s="12"/>
    </row>
    <row r="21" spans="1:26" ht="20.25" customHeight="1" thickBot="1" x14ac:dyDescent="0.2">
      <c r="F21" s="137" t="s">
        <v>108</v>
      </c>
      <c r="G21" s="138"/>
      <c r="H21" s="138"/>
      <c r="I21" s="138"/>
      <c r="J21" s="138"/>
      <c r="K21" s="138"/>
      <c r="L21" s="138"/>
      <c r="M21" s="138"/>
      <c r="N21" s="138"/>
      <c r="O21" s="138"/>
      <c r="P21" s="138"/>
      <c r="Q21" s="138"/>
      <c r="R21" s="138"/>
      <c r="S21" s="138"/>
      <c r="T21" s="138"/>
      <c r="U21" s="138"/>
      <c r="V21" s="138"/>
      <c r="W21" s="138"/>
      <c r="X21" s="138"/>
      <c r="Y21" s="138"/>
      <c r="Z21" s="139"/>
    </row>
    <row r="22" spans="1:26" ht="18" customHeight="1" x14ac:dyDescent="0.15">
      <c r="B22" s="17"/>
      <c r="C22" s="17"/>
      <c r="D22" s="5" t="s">
        <v>45</v>
      </c>
      <c r="E22" s="71" t="s">
        <v>62</v>
      </c>
      <c r="F22" s="72" t="s">
        <v>47</v>
      </c>
      <c r="G22" s="73" t="s">
        <v>55</v>
      </c>
      <c r="H22" s="73" t="s">
        <v>56</v>
      </c>
      <c r="I22" s="73" t="s">
        <v>57</v>
      </c>
      <c r="J22" s="73" t="s">
        <v>58</v>
      </c>
      <c r="K22" s="73" t="s">
        <v>50</v>
      </c>
      <c r="L22" s="73" t="s">
        <v>72</v>
      </c>
      <c r="M22" s="73" t="s">
        <v>59</v>
      </c>
      <c r="N22" s="73" t="s">
        <v>60</v>
      </c>
      <c r="O22" s="73" t="s">
        <v>49</v>
      </c>
      <c r="P22" s="74" t="s">
        <v>51</v>
      </c>
      <c r="Q22" s="75" t="s">
        <v>89</v>
      </c>
      <c r="R22" s="76" t="s">
        <v>90</v>
      </c>
      <c r="S22" s="76" t="s">
        <v>91</v>
      </c>
      <c r="T22" s="76" t="s">
        <v>92</v>
      </c>
      <c r="U22" s="76" t="s">
        <v>93</v>
      </c>
      <c r="V22" s="76" t="s">
        <v>94</v>
      </c>
      <c r="W22" s="76" t="s">
        <v>95</v>
      </c>
      <c r="X22" s="76" t="s">
        <v>96</v>
      </c>
      <c r="Y22" s="76" t="s">
        <v>97</v>
      </c>
      <c r="Z22" s="77" t="s">
        <v>98</v>
      </c>
    </row>
    <row r="23" spans="1:26" ht="18" customHeight="1" x14ac:dyDescent="0.15">
      <c r="B23" s="126" t="s">
        <v>116</v>
      </c>
      <c r="C23" s="127"/>
      <c r="D23" s="78" t="s">
        <v>157</v>
      </c>
      <c r="E23" s="113">
        <v>2</v>
      </c>
      <c r="F23" s="79" t="s">
        <v>121</v>
      </c>
      <c r="G23" s="80" t="s">
        <v>121</v>
      </c>
      <c r="H23" s="80" t="s">
        <v>121</v>
      </c>
      <c r="I23" s="80" t="s">
        <v>121</v>
      </c>
      <c r="J23" s="80" t="s">
        <v>121</v>
      </c>
      <c r="K23" s="80" t="s">
        <v>121</v>
      </c>
      <c r="L23" s="80" t="s">
        <v>121</v>
      </c>
      <c r="M23" s="80" t="s">
        <v>121</v>
      </c>
      <c r="N23" s="80"/>
      <c r="O23" s="80" t="s">
        <v>121</v>
      </c>
      <c r="P23" s="81" t="s">
        <v>121</v>
      </c>
      <c r="Q23" s="82"/>
      <c r="R23" s="80"/>
      <c r="S23" s="80"/>
      <c r="T23" s="80"/>
      <c r="U23" s="80"/>
      <c r="V23" s="80"/>
      <c r="W23" s="80"/>
      <c r="X23" s="80"/>
      <c r="Y23" s="80"/>
      <c r="Z23" s="80"/>
    </row>
    <row r="24" spans="1:26" ht="18" customHeight="1" x14ac:dyDescent="0.15">
      <c r="B24" s="128"/>
      <c r="C24" s="129"/>
      <c r="D24" s="83" t="s">
        <v>158</v>
      </c>
      <c r="E24" s="114">
        <v>1</v>
      </c>
      <c r="F24" s="84" t="s">
        <v>121</v>
      </c>
      <c r="G24" s="85" t="s">
        <v>121</v>
      </c>
      <c r="H24" s="85"/>
      <c r="I24" s="85"/>
      <c r="J24" s="85"/>
      <c r="K24" s="85" t="s">
        <v>121</v>
      </c>
      <c r="L24" s="85" t="s">
        <v>121</v>
      </c>
      <c r="M24" s="85" t="s">
        <v>121</v>
      </c>
      <c r="N24" s="85" t="s">
        <v>121</v>
      </c>
      <c r="O24" s="85" t="s">
        <v>121</v>
      </c>
      <c r="P24" s="86" t="s">
        <v>121</v>
      </c>
      <c r="Q24" s="87"/>
      <c r="R24" s="85"/>
      <c r="S24" s="85"/>
      <c r="T24" s="85"/>
      <c r="U24" s="85"/>
      <c r="V24" s="85"/>
      <c r="W24" s="85"/>
      <c r="X24" s="85"/>
      <c r="Y24" s="85"/>
      <c r="Z24" s="85"/>
    </row>
    <row r="25" spans="1:26" ht="18" customHeight="1" x14ac:dyDescent="0.15">
      <c r="B25" s="128"/>
      <c r="C25" s="129"/>
      <c r="D25" s="83"/>
      <c r="E25" s="114"/>
      <c r="F25" s="84"/>
      <c r="G25" s="85"/>
      <c r="H25" s="85"/>
      <c r="I25" s="85"/>
      <c r="J25" s="85"/>
      <c r="K25" s="85"/>
      <c r="L25" s="85"/>
      <c r="M25" s="85"/>
      <c r="N25" s="85"/>
      <c r="O25" s="85"/>
      <c r="P25" s="86"/>
      <c r="Q25" s="87"/>
      <c r="R25" s="85"/>
      <c r="S25" s="85"/>
      <c r="T25" s="85"/>
      <c r="U25" s="85"/>
      <c r="V25" s="85"/>
      <c r="W25" s="85"/>
      <c r="X25" s="85"/>
      <c r="Y25" s="85"/>
      <c r="Z25" s="85"/>
    </row>
    <row r="26" spans="1:26" ht="18" customHeight="1" x14ac:dyDescent="0.15">
      <c r="B26" s="128"/>
      <c r="C26" s="129"/>
      <c r="D26" s="83"/>
      <c r="E26" s="114"/>
      <c r="F26" s="84"/>
      <c r="G26" s="85"/>
      <c r="H26" s="85"/>
      <c r="I26" s="85"/>
      <c r="J26" s="85"/>
      <c r="K26" s="85"/>
      <c r="L26" s="85"/>
      <c r="M26" s="85"/>
      <c r="N26" s="85"/>
      <c r="O26" s="85"/>
      <c r="P26" s="86"/>
      <c r="Q26" s="87"/>
      <c r="R26" s="85"/>
      <c r="S26" s="85"/>
      <c r="T26" s="85"/>
      <c r="U26" s="85"/>
      <c r="V26" s="85"/>
      <c r="W26" s="85"/>
      <c r="X26" s="85"/>
      <c r="Y26" s="85"/>
      <c r="Z26" s="85"/>
    </row>
    <row r="27" spans="1:26" ht="18" customHeight="1" x14ac:dyDescent="0.15">
      <c r="B27" s="128"/>
      <c r="C27" s="129"/>
      <c r="D27" s="83"/>
      <c r="E27" s="114"/>
      <c r="F27" s="84"/>
      <c r="G27" s="85"/>
      <c r="H27" s="85"/>
      <c r="I27" s="85"/>
      <c r="J27" s="85"/>
      <c r="K27" s="85"/>
      <c r="L27" s="85"/>
      <c r="M27" s="85"/>
      <c r="N27" s="85"/>
      <c r="O27" s="85"/>
      <c r="P27" s="86"/>
      <c r="Q27" s="87"/>
      <c r="R27" s="85"/>
      <c r="S27" s="85"/>
      <c r="T27" s="85"/>
      <c r="U27" s="85"/>
      <c r="V27" s="85"/>
      <c r="W27" s="85"/>
      <c r="X27" s="85"/>
      <c r="Y27" s="85"/>
      <c r="Z27" s="85"/>
    </row>
    <row r="28" spans="1:26" ht="18" customHeight="1" x14ac:dyDescent="0.15">
      <c r="B28" s="128"/>
      <c r="C28" s="129"/>
      <c r="D28" s="83"/>
      <c r="E28" s="114"/>
      <c r="F28" s="84"/>
      <c r="G28" s="85"/>
      <c r="H28" s="85"/>
      <c r="I28" s="85"/>
      <c r="J28" s="85"/>
      <c r="K28" s="85"/>
      <c r="L28" s="85"/>
      <c r="M28" s="85"/>
      <c r="N28" s="85"/>
      <c r="O28" s="85"/>
      <c r="P28" s="86"/>
      <c r="Q28" s="87"/>
      <c r="R28" s="85"/>
      <c r="S28" s="85"/>
      <c r="T28" s="85"/>
      <c r="U28" s="85"/>
      <c r="V28" s="85"/>
      <c r="W28" s="85"/>
      <c r="X28" s="85"/>
      <c r="Y28" s="85"/>
      <c r="Z28" s="85"/>
    </row>
    <row r="29" spans="1:26" ht="18" customHeight="1" x14ac:dyDescent="0.15">
      <c r="B29" s="128"/>
      <c r="C29" s="129"/>
      <c r="D29" s="83"/>
      <c r="E29" s="114"/>
      <c r="F29" s="84"/>
      <c r="G29" s="85"/>
      <c r="H29" s="85"/>
      <c r="I29" s="85"/>
      <c r="J29" s="85"/>
      <c r="K29" s="85"/>
      <c r="L29" s="85"/>
      <c r="M29" s="85"/>
      <c r="N29" s="85"/>
      <c r="O29" s="85"/>
      <c r="P29" s="86"/>
      <c r="Q29" s="87"/>
      <c r="R29" s="85"/>
      <c r="S29" s="85"/>
      <c r="T29" s="85"/>
      <c r="U29" s="85"/>
      <c r="V29" s="85"/>
      <c r="W29" s="85"/>
      <c r="X29" s="85"/>
      <c r="Y29" s="85"/>
      <c r="Z29" s="85"/>
    </row>
    <row r="30" spans="1:26" ht="18" customHeight="1" x14ac:dyDescent="0.15">
      <c r="B30" s="128"/>
      <c r="C30" s="129"/>
      <c r="D30" s="83"/>
      <c r="E30" s="114"/>
      <c r="F30" s="84"/>
      <c r="G30" s="85"/>
      <c r="H30" s="85"/>
      <c r="I30" s="85"/>
      <c r="J30" s="85"/>
      <c r="K30" s="85"/>
      <c r="L30" s="85"/>
      <c r="M30" s="85"/>
      <c r="N30" s="85"/>
      <c r="O30" s="85"/>
      <c r="P30" s="86"/>
      <c r="Q30" s="87"/>
      <c r="R30" s="85"/>
      <c r="S30" s="85"/>
      <c r="T30" s="85"/>
      <c r="U30" s="85"/>
      <c r="V30" s="85"/>
      <c r="W30" s="85"/>
      <c r="X30" s="85"/>
      <c r="Y30" s="85"/>
      <c r="Z30" s="85"/>
    </row>
    <row r="31" spans="1:26" ht="18" customHeight="1" x14ac:dyDescent="0.15">
      <c r="B31" s="128"/>
      <c r="C31" s="129"/>
      <c r="D31" s="83"/>
      <c r="E31" s="114"/>
      <c r="F31" s="84"/>
      <c r="G31" s="85"/>
      <c r="H31" s="85"/>
      <c r="I31" s="85"/>
      <c r="J31" s="85"/>
      <c r="K31" s="85"/>
      <c r="L31" s="85"/>
      <c r="M31" s="85"/>
      <c r="N31" s="85"/>
      <c r="O31" s="85"/>
      <c r="P31" s="86"/>
      <c r="Q31" s="87"/>
      <c r="R31" s="85"/>
      <c r="S31" s="85"/>
      <c r="T31" s="85"/>
      <c r="U31" s="85"/>
      <c r="V31" s="85"/>
      <c r="W31" s="85"/>
      <c r="X31" s="85"/>
      <c r="Y31" s="85"/>
      <c r="Z31" s="85"/>
    </row>
    <row r="32" spans="1:26" ht="18" customHeight="1" x14ac:dyDescent="0.15">
      <c r="B32" s="128"/>
      <c r="C32" s="129"/>
      <c r="D32" s="88"/>
      <c r="E32" s="115"/>
      <c r="F32" s="89"/>
      <c r="G32" s="90"/>
      <c r="H32" s="90"/>
      <c r="I32" s="90"/>
      <c r="J32" s="90"/>
      <c r="K32" s="90"/>
      <c r="L32" s="90"/>
      <c r="M32" s="90"/>
      <c r="N32" s="90"/>
      <c r="O32" s="90"/>
      <c r="P32" s="91"/>
      <c r="Q32" s="92"/>
      <c r="R32" s="90"/>
      <c r="S32" s="90"/>
      <c r="T32" s="90"/>
      <c r="U32" s="90"/>
      <c r="V32" s="90"/>
      <c r="W32" s="90"/>
      <c r="X32" s="90"/>
      <c r="Y32" s="90"/>
      <c r="Z32" s="90"/>
    </row>
    <row r="33" spans="2:26" ht="18" customHeight="1" x14ac:dyDescent="0.15">
      <c r="B33" s="126" t="s">
        <v>117</v>
      </c>
      <c r="C33" s="127"/>
      <c r="D33" s="93"/>
      <c r="E33" s="116"/>
      <c r="F33" s="94"/>
      <c r="G33" s="95"/>
      <c r="H33" s="95"/>
      <c r="I33" s="95"/>
      <c r="J33" s="95"/>
      <c r="K33" s="95"/>
      <c r="L33" s="95"/>
      <c r="M33" s="95"/>
      <c r="N33" s="95"/>
      <c r="O33" s="95"/>
      <c r="P33" s="96"/>
      <c r="Q33" s="97"/>
      <c r="R33" s="95"/>
      <c r="S33" s="95"/>
      <c r="T33" s="95"/>
      <c r="U33" s="95"/>
      <c r="V33" s="95"/>
      <c r="W33" s="95"/>
      <c r="X33" s="95"/>
      <c r="Y33" s="95"/>
      <c r="Z33" s="95"/>
    </row>
    <row r="34" spans="2:26" ht="18" customHeight="1" x14ac:dyDescent="0.15">
      <c r="B34" s="128"/>
      <c r="C34" s="129"/>
      <c r="D34" s="83"/>
      <c r="E34" s="114"/>
      <c r="F34" s="84"/>
      <c r="G34" s="85"/>
      <c r="H34" s="85"/>
      <c r="I34" s="85"/>
      <c r="J34" s="85"/>
      <c r="K34" s="85"/>
      <c r="L34" s="85"/>
      <c r="M34" s="85"/>
      <c r="N34" s="85"/>
      <c r="O34" s="85"/>
      <c r="P34" s="86"/>
      <c r="Q34" s="87"/>
      <c r="R34" s="85"/>
      <c r="S34" s="85"/>
      <c r="T34" s="85"/>
      <c r="U34" s="85"/>
      <c r="V34" s="85"/>
      <c r="W34" s="85"/>
      <c r="X34" s="85"/>
      <c r="Y34" s="85"/>
      <c r="Z34" s="85"/>
    </row>
    <row r="35" spans="2:26" ht="18" customHeight="1" x14ac:dyDescent="0.15">
      <c r="B35" s="128"/>
      <c r="C35" s="129"/>
      <c r="D35" s="83"/>
      <c r="E35" s="114"/>
      <c r="F35" s="84"/>
      <c r="G35" s="85"/>
      <c r="H35" s="85"/>
      <c r="I35" s="85"/>
      <c r="J35" s="85"/>
      <c r="K35" s="85"/>
      <c r="L35" s="85"/>
      <c r="M35" s="85"/>
      <c r="N35" s="85"/>
      <c r="O35" s="85"/>
      <c r="P35" s="86"/>
      <c r="Q35" s="87"/>
      <c r="R35" s="85"/>
      <c r="S35" s="85"/>
      <c r="T35" s="85"/>
      <c r="U35" s="85"/>
      <c r="V35" s="85"/>
      <c r="W35" s="85"/>
      <c r="X35" s="85"/>
      <c r="Y35" s="85"/>
      <c r="Z35" s="85"/>
    </row>
    <row r="36" spans="2:26" ht="18" customHeight="1" x14ac:dyDescent="0.15">
      <c r="B36" s="128"/>
      <c r="C36" s="129"/>
      <c r="D36" s="83"/>
      <c r="E36" s="114"/>
      <c r="F36" s="84"/>
      <c r="G36" s="85"/>
      <c r="H36" s="85"/>
      <c r="I36" s="85"/>
      <c r="J36" s="85"/>
      <c r="K36" s="85"/>
      <c r="L36" s="85"/>
      <c r="M36" s="85"/>
      <c r="N36" s="85"/>
      <c r="O36" s="85"/>
      <c r="P36" s="86"/>
      <c r="Q36" s="87"/>
      <c r="R36" s="85"/>
      <c r="S36" s="85"/>
      <c r="T36" s="85"/>
      <c r="U36" s="85"/>
      <c r="V36" s="85"/>
      <c r="W36" s="85"/>
      <c r="X36" s="85"/>
      <c r="Y36" s="85"/>
      <c r="Z36" s="85"/>
    </row>
    <row r="37" spans="2:26" ht="18" customHeight="1" x14ac:dyDescent="0.15">
      <c r="B37" s="128"/>
      <c r="C37" s="129"/>
      <c r="D37" s="83"/>
      <c r="E37" s="114"/>
      <c r="F37" s="84"/>
      <c r="G37" s="85"/>
      <c r="H37" s="85"/>
      <c r="I37" s="85"/>
      <c r="J37" s="85"/>
      <c r="K37" s="85"/>
      <c r="L37" s="85"/>
      <c r="M37" s="85"/>
      <c r="N37" s="85"/>
      <c r="O37" s="85"/>
      <c r="P37" s="86"/>
      <c r="Q37" s="87"/>
      <c r="R37" s="85"/>
      <c r="S37" s="85"/>
      <c r="T37" s="85"/>
      <c r="U37" s="85"/>
      <c r="V37" s="85"/>
      <c r="W37" s="85"/>
      <c r="X37" s="85"/>
      <c r="Y37" s="85"/>
      <c r="Z37" s="85"/>
    </row>
    <row r="38" spans="2:26" ht="18" customHeight="1" x14ac:dyDescent="0.15">
      <c r="B38" s="128"/>
      <c r="C38" s="129"/>
      <c r="D38" s="83"/>
      <c r="E38" s="114"/>
      <c r="F38" s="84"/>
      <c r="G38" s="85"/>
      <c r="H38" s="85"/>
      <c r="I38" s="85"/>
      <c r="J38" s="85"/>
      <c r="K38" s="85"/>
      <c r="L38" s="85"/>
      <c r="M38" s="85"/>
      <c r="N38" s="85"/>
      <c r="O38" s="85"/>
      <c r="P38" s="86"/>
      <c r="Q38" s="87"/>
      <c r="R38" s="85"/>
      <c r="S38" s="85"/>
      <c r="T38" s="85"/>
      <c r="U38" s="85"/>
      <c r="V38" s="85"/>
      <c r="W38" s="85"/>
      <c r="X38" s="85"/>
      <c r="Y38" s="85"/>
      <c r="Z38" s="85"/>
    </row>
    <row r="39" spans="2:26" ht="18" customHeight="1" x14ac:dyDescent="0.15">
      <c r="B39" s="128"/>
      <c r="C39" s="129"/>
      <c r="D39" s="83"/>
      <c r="E39" s="114"/>
      <c r="F39" s="84"/>
      <c r="G39" s="85"/>
      <c r="H39" s="85"/>
      <c r="I39" s="85"/>
      <c r="J39" s="85"/>
      <c r="K39" s="85"/>
      <c r="L39" s="85"/>
      <c r="M39" s="85"/>
      <c r="N39" s="85"/>
      <c r="O39" s="85"/>
      <c r="P39" s="86"/>
      <c r="Q39" s="87"/>
      <c r="R39" s="85"/>
      <c r="S39" s="85"/>
      <c r="T39" s="85"/>
      <c r="U39" s="85"/>
      <c r="V39" s="85"/>
      <c r="W39" s="85"/>
      <c r="X39" s="85"/>
      <c r="Y39" s="85"/>
      <c r="Z39" s="85"/>
    </row>
    <row r="40" spans="2:26" ht="18" customHeight="1" x14ac:dyDescent="0.15">
      <c r="B40" s="128"/>
      <c r="C40" s="129"/>
      <c r="D40" s="83"/>
      <c r="E40" s="114"/>
      <c r="F40" s="84"/>
      <c r="G40" s="85"/>
      <c r="H40" s="85"/>
      <c r="I40" s="85"/>
      <c r="J40" s="85"/>
      <c r="K40" s="85"/>
      <c r="L40" s="85"/>
      <c r="M40" s="85"/>
      <c r="N40" s="85"/>
      <c r="O40" s="85"/>
      <c r="P40" s="86"/>
      <c r="Q40" s="87"/>
      <c r="R40" s="85"/>
      <c r="S40" s="85"/>
      <c r="T40" s="85"/>
      <c r="U40" s="85"/>
      <c r="V40" s="85"/>
      <c r="W40" s="85"/>
      <c r="X40" s="85"/>
      <c r="Y40" s="85"/>
      <c r="Z40" s="85"/>
    </row>
    <row r="41" spans="2:26" ht="18" customHeight="1" x14ac:dyDescent="0.15">
      <c r="B41" s="128"/>
      <c r="C41" s="129"/>
      <c r="D41" s="83"/>
      <c r="E41" s="114"/>
      <c r="F41" s="84"/>
      <c r="G41" s="85"/>
      <c r="H41" s="85"/>
      <c r="I41" s="85"/>
      <c r="J41" s="85"/>
      <c r="K41" s="85"/>
      <c r="L41" s="85"/>
      <c r="M41" s="85"/>
      <c r="N41" s="85"/>
      <c r="O41" s="85"/>
      <c r="P41" s="86"/>
      <c r="Q41" s="87"/>
      <c r="R41" s="85"/>
      <c r="S41" s="85"/>
      <c r="T41" s="85"/>
      <c r="U41" s="85"/>
      <c r="V41" s="85"/>
      <c r="W41" s="85"/>
      <c r="X41" s="85"/>
      <c r="Y41" s="85"/>
      <c r="Z41" s="85"/>
    </row>
    <row r="42" spans="2:26" ht="18" customHeight="1" x14ac:dyDescent="0.15">
      <c r="B42" s="140"/>
      <c r="C42" s="141"/>
      <c r="D42" s="88"/>
      <c r="E42" s="117"/>
      <c r="F42" s="89"/>
      <c r="G42" s="90"/>
      <c r="H42" s="90"/>
      <c r="I42" s="90"/>
      <c r="J42" s="90"/>
      <c r="K42" s="90"/>
      <c r="L42" s="90"/>
      <c r="M42" s="90"/>
      <c r="N42" s="90"/>
      <c r="O42" s="90"/>
      <c r="P42" s="91"/>
      <c r="Q42" s="92"/>
      <c r="R42" s="90"/>
      <c r="S42" s="90"/>
      <c r="T42" s="90"/>
      <c r="U42" s="90"/>
      <c r="V42" s="90"/>
      <c r="W42" s="90"/>
      <c r="X42" s="90"/>
      <c r="Y42" s="90"/>
      <c r="Z42" s="90"/>
    </row>
    <row r="43" spans="2:26" ht="18" customHeight="1" x14ac:dyDescent="0.15">
      <c r="B43" s="142" t="s">
        <v>118</v>
      </c>
      <c r="C43" s="143"/>
      <c r="D43" s="83"/>
      <c r="E43" s="114"/>
      <c r="F43" s="84"/>
      <c r="G43" s="85"/>
      <c r="H43" s="85"/>
      <c r="I43" s="85"/>
      <c r="J43" s="85"/>
      <c r="K43" s="85"/>
      <c r="L43" s="85"/>
      <c r="M43" s="85"/>
      <c r="N43" s="85"/>
      <c r="O43" s="85"/>
      <c r="P43" s="86"/>
      <c r="Q43" s="87"/>
      <c r="R43" s="85"/>
      <c r="S43" s="85"/>
      <c r="T43" s="85"/>
      <c r="U43" s="85"/>
      <c r="V43" s="85"/>
      <c r="W43" s="85"/>
      <c r="X43" s="85"/>
      <c r="Y43" s="85"/>
      <c r="Z43" s="85"/>
    </row>
    <row r="44" spans="2:26" ht="18" customHeight="1" x14ac:dyDescent="0.15">
      <c r="B44" s="142"/>
      <c r="C44" s="143"/>
      <c r="D44" s="83"/>
      <c r="E44" s="114"/>
      <c r="F44" s="84"/>
      <c r="G44" s="85"/>
      <c r="H44" s="85"/>
      <c r="I44" s="85"/>
      <c r="J44" s="85"/>
      <c r="K44" s="85"/>
      <c r="L44" s="85"/>
      <c r="M44" s="85"/>
      <c r="N44" s="85"/>
      <c r="O44" s="85"/>
      <c r="P44" s="86"/>
      <c r="Q44" s="87"/>
      <c r="R44" s="85"/>
      <c r="S44" s="85"/>
      <c r="T44" s="85"/>
      <c r="U44" s="85"/>
      <c r="V44" s="85"/>
      <c r="W44" s="85"/>
      <c r="X44" s="85"/>
      <c r="Y44" s="85"/>
      <c r="Z44" s="85"/>
    </row>
    <row r="45" spans="2:26" ht="18" customHeight="1" x14ac:dyDescent="0.15">
      <c r="B45" s="142"/>
      <c r="C45" s="143"/>
      <c r="D45" s="83"/>
      <c r="E45" s="114"/>
      <c r="F45" s="84"/>
      <c r="G45" s="85"/>
      <c r="H45" s="85"/>
      <c r="I45" s="85"/>
      <c r="J45" s="85"/>
      <c r="K45" s="85"/>
      <c r="L45" s="85"/>
      <c r="M45" s="85"/>
      <c r="N45" s="85"/>
      <c r="O45" s="85"/>
      <c r="P45" s="86"/>
      <c r="Q45" s="87"/>
      <c r="R45" s="85"/>
      <c r="S45" s="85"/>
      <c r="T45" s="85"/>
      <c r="U45" s="85"/>
      <c r="V45" s="85"/>
      <c r="W45" s="85"/>
      <c r="X45" s="85"/>
      <c r="Y45" s="85"/>
      <c r="Z45" s="85"/>
    </row>
    <row r="46" spans="2:26" ht="18" customHeight="1" x14ac:dyDescent="0.15">
      <c r="B46" s="142"/>
      <c r="C46" s="143"/>
      <c r="D46" s="83"/>
      <c r="E46" s="114"/>
      <c r="F46" s="84"/>
      <c r="G46" s="85"/>
      <c r="H46" s="85"/>
      <c r="I46" s="85"/>
      <c r="J46" s="85"/>
      <c r="K46" s="85"/>
      <c r="L46" s="85"/>
      <c r="M46" s="85"/>
      <c r="N46" s="85"/>
      <c r="O46" s="85"/>
      <c r="P46" s="86"/>
      <c r="Q46" s="87"/>
      <c r="R46" s="85"/>
      <c r="S46" s="85"/>
      <c r="T46" s="85"/>
      <c r="U46" s="85"/>
      <c r="V46" s="85"/>
      <c r="W46" s="85"/>
      <c r="X46" s="85"/>
      <c r="Y46" s="85"/>
      <c r="Z46" s="85"/>
    </row>
    <row r="47" spans="2:26" ht="18" customHeight="1" x14ac:dyDescent="0.15">
      <c r="B47" s="142"/>
      <c r="C47" s="143"/>
      <c r="D47" s="83"/>
      <c r="E47" s="114"/>
      <c r="F47" s="84"/>
      <c r="G47" s="85"/>
      <c r="H47" s="85"/>
      <c r="I47" s="85"/>
      <c r="J47" s="85"/>
      <c r="K47" s="85"/>
      <c r="L47" s="85"/>
      <c r="M47" s="85"/>
      <c r="N47" s="85"/>
      <c r="O47" s="85"/>
      <c r="P47" s="86"/>
      <c r="Q47" s="87"/>
      <c r="R47" s="85"/>
      <c r="S47" s="85"/>
      <c r="T47" s="85"/>
      <c r="U47" s="85"/>
      <c r="V47" s="85"/>
      <c r="W47" s="85"/>
      <c r="X47" s="85"/>
      <c r="Y47" s="85"/>
      <c r="Z47" s="85"/>
    </row>
    <row r="48" spans="2:26" ht="18" customHeight="1" x14ac:dyDescent="0.15">
      <c r="B48" s="142"/>
      <c r="C48" s="143"/>
      <c r="D48" s="83"/>
      <c r="E48" s="114"/>
      <c r="F48" s="84"/>
      <c r="G48" s="85"/>
      <c r="H48" s="85"/>
      <c r="I48" s="85"/>
      <c r="J48" s="85"/>
      <c r="K48" s="85"/>
      <c r="L48" s="85"/>
      <c r="M48" s="85"/>
      <c r="N48" s="85"/>
      <c r="O48" s="85"/>
      <c r="P48" s="86"/>
      <c r="Q48" s="87"/>
      <c r="R48" s="85"/>
      <c r="S48" s="85"/>
      <c r="T48" s="85"/>
      <c r="U48" s="85"/>
      <c r="V48" s="85"/>
      <c r="W48" s="85"/>
      <c r="X48" s="85"/>
      <c r="Y48" s="85"/>
      <c r="Z48" s="85"/>
    </row>
    <row r="49" spans="1:26" ht="18" customHeight="1" x14ac:dyDescent="0.15">
      <c r="B49" s="142"/>
      <c r="C49" s="143"/>
      <c r="D49" s="83"/>
      <c r="E49" s="114"/>
      <c r="F49" s="84"/>
      <c r="G49" s="85"/>
      <c r="H49" s="85"/>
      <c r="I49" s="85"/>
      <c r="J49" s="85"/>
      <c r="K49" s="85"/>
      <c r="L49" s="85"/>
      <c r="M49" s="85"/>
      <c r="N49" s="85"/>
      <c r="O49" s="85"/>
      <c r="P49" s="86"/>
      <c r="Q49" s="87"/>
      <c r="R49" s="85"/>
      <c r="S49" s="85"/>
      <c r="T49" s="85"/>
      <c r="U49" s="85"/>
      <c r="V49" s="85"/>
      <c r="W49" s="85"/>
      <c r="X49" s="85"/>
      <c r="Y49" s="85"/>
      <c r="Z49" s="85"/>
    </row>
    <row r="50" spans="1:26" ht="18" customHeight="1" x14ac:dyDescent="0.15">
      <c r="B50" s="142"/>
      <c r="C50" s="143"/>
      <c r="D50" s="83"/>
      <c r="E50" s="114"/>
      <c r="F50" s="84"/>
      <c r="G50" s="85"/>
      <c r="H50" s="85"/>
      <c r="I50" s="85"/>
      <c r="J50" s="85"/>
      <c r="K50" s="85"/>
      <c r="L50" s="85"/>
      <c r="M50" s="85"/>
      <c r="N50" s="85"/>
      <c r="O50" s="85"/>
      <c r="P50" s="86"/>
      <c r="Q50" s="87"/>
      <c r="R50" s="85"/>
      <c r="S50" s="85"/>
      <c r="T50" s="85"/>
      <c r="U50" s="85"/>
      <c r="V50" s="85"/>
      <c r="W50" s="85"/>
      <c r="X50" s="85"/>
      <c r="Y50" s="85"/>
      <c r="Z50" s="85"/>
    </row>
    <row r="51" spans="1:26" ht="18" customHeight="1" x14ac:dyDescent="0.15">
      <c r="B51" s="142"/>
      <c r="C51" s="143"/>
      <c r="D51" s="83"/>
      <c r="E51" s="114"/>
      <c r="F51" s="84"/>
      <c r="G51" s="85"/>
      <c r="H51" s="85"/>
      <c r="I51" s="85"/>
      <c r="J51" s="85"/>
      <c r="K51" s="85"/>
      <c r="L51" s="85"/>
      <c r="M51" s="85"/>
      <c r="N51" s="85"/>
      <c r="O51" s="85"/>
      <c r="P51" s="86"/>
      <c r="Q51" s="87"/>
      <c r="R51" s="85"/>
      <c r="S51" s="85"/>
      <c r="T51" s="85"/>
      <c r="U51" s="85"/>
      <c r="V51" s="85"/>
      <c r="W51" s="85"/>
      <c r="X51" s="85"/>
      <c r="Y51" s="85"/>
      <c r="Z51" s="85"/>
    </row>
    <row r="52" spans="1:26" ht="18" customHeight="1" thickBot="1" x14ac:dyDescent="0.2">
      <c r="B52" s="144"/>
      <c r="C52" s="145"/>
      <c r="D52" s="88"/>
      <c r="E52" s="117"/>
      <c r="F52" s="98"/>
      <c r="G52" s="99"/>
      <c r="H52" s="99"/>
      <c r="I52" s="99"/>
      <c r="J52" s="99"/>
      <c r="K52" s="99"/>
      <c r="L52" s="99"/>
      <c r="M52" s="99"/>
      <c r="N52" s="99"/>
      <c r="O52" s="99"/>
      <c r="P52" s="100"/>
      <c r="Q52" s="92"/>
      <c r="R52" s="90"/>
      <c r="S52" s="90"/>
      <c r="T52" s="90"/>
      <c r="U52" s="90"/>
      <c r="V52" s="90"/>
      <c r="W52" s="90"/>
      <c r="X52" s="90"/>
      <c r="Y52" s="90"/>
      <c r="Z52" s="90"/>
    </row>
    <row r="53" spans="1:26" ht="18" customHeight="1" x14ac:dyDescent="0.15">
      <c r="A53" s="12"/>
      <c r="B53" s="41"/>
      <c r="C53" s="41"/>
      <c r="D53" s="41"/>
      <c r="E53" s="41"/>
      <c r="F53" s="41"/>
      <c r="G53" s="22"/>
      <c r="H53" s="22"/>
      <c r="I53" s="22"/>
      <c r="J53" s="22"/>
      <c r="K53" s="22"/>
      <c r="L53" s="22"/>
      <c r="M53" s="22"/>
      <c r="N53" s="22"/>
      <c r="O53" s="22"/>
      <c r="P53" s="41"/>
      <c r="Q53" s="41"/>
      <c r="R53" s="41"/>
      <c r="S53" s="41"/>
      <c r="T53" s="41"/>
      <c r="U53" s="41"/>
      <c r="V53" s="41"/>
      <c r="W53" s="22"/>
      <c r="X53" s="22"/>
      <c r="Y53" s="22"/>
      <c r="Z53" s="22"/>
    </row>
    <row r="54" spans="1:26" ht="18.75" customHeight="1" x14ac:dyDescent="0.15">
      <c r="A54" s="8" t="s">
        <v>106</v>
      </c>
    </row>
    <row r="55" spans="1:26" ht="18.75" customHeight="1" x14ac:dyDescent="0.15">
      <c r="B55" s="149" t="s">
        <v>46</v>
      </c>
      <c r="C55" s="150"/>
      <c r="D55" s="4" t="s">
        <v>119</v>
      </c>
    </row>
    <row r="56" spans="1:26" ht="173.25" customHeight="1" x14ac:dyDescent="0.15">
      <c r="B56" s="146" t="s">
        <v>130</v>
      </c>
      <c r="C56" s="101" t="s">
        <v>47</v>
      </c>
      <c r="D56" s="66" t="s">
        <v>131</v>
      </c>
      <c r="E56" s="102"/>
      <c r="F56" s="102"/>
      <c r="G56" s="102"/>
      <c r="H56" s="102"/>
      <c r="I56" s="102"/>
      <c r="J56" s="102"/>
      <c r="K56" s="102"/>
      <c r="L56" s="102"/>
      <c r="M56" s="102"/>
      <c r="N56" s="102"/>
      <c r="O56" s="102"/>
      <c r="P56" s="102"/>
      <c r="Q56" s="102"/>
      <c r="R56" s="102"/>
      <c r="S56" s="102"/>
      <c r="T56" s="102"/>
      <c r="U56" s="102"/>
      <c r="V56" s="102"/>
      <c r="W56" s="102"/>
      <c r="X56" s="102"/>
      <c r="Y56" s="102"/>
      <c r="Z56" s="102"/>
    </row>
    <row r="57" spans="1:26" ht="72" customHeight="1" x14ac:dyDescent="0.15">
      <c r="B57" s="147"/>
      <c r="C57" s="103" t="s">
        <v>61</v>
      </c>
      <c r="D57" s="118" t="s">
        <v>132</v>
      </c>
      <c r="E57" s="104"/>
      <c r="F57" s="104"/>
      <c r="G57" s="104"/>
      <c r="H57" s="104"/>
      <c r="I57" s="104"/>
      <c r="J57" s="104"/>
      <c r="K57" s="104"/>
      <c r="L57" s="104"/>
      <c r="M57" s="104"/>
      <c r="N57" s="104"/>
      <c r="O57" s="104"/>
      <c r="P57" s="104"/>
      <c r="Q57" s="104"/>
      <c r="R57" s="104"/>
      <c r="S57" s="104"/>
      <c r="T57" s="104"/>
      <c r="U57" s="104"/>
      <c r="V57" s="104"/>
      <c r="W57" s="104"/>
      <c r="X57" s="104"/>
      <c r="Y57" s="104"/>
      <c r="Z57" s="104"/>
    </row>
    <row r="58" spans="1:26" ht="150" customHeight="1" x14ac:dyDescent="0.15">
      <c r="B58" s="146" t="s">
        <v>133</v>
      </c>
      <c r="C58" s="105" t="s">
        <v>55</v>
      </c>
      <c r="D58" s="119" t="s">
        <v>134</v>
      </c>
      <c r="E58" s="104"/>
      <c r="F58" s="104"/>
      <c r="G58" s="104"/>
      <c r="H58" s="104"/>
      <c r="I58" s="104"/>
      <c r="J58" s="104"/>
      <c r="K58" s="104"/>
      <c r="L58" s="104"/>
      <c r="M58" s="104"/>
      <c r="N58" s="104"/>
      <c r="O58" s="104"/>
      <c r="P58" s="104"/>
      <c r="Q58" s="104"/>
      <c r="R58" s="104"/>
      <c r="S58" s="104"/>
      <c r="T58" s="104"/>
      <c r="U58" s="104"/>
      <c r="V58" s="104"/>
      <c r="W58" s="104"/>
      <c r="X58" s="104"/>
      <c r="Y58" s="104"/>
      <c r="Z58" s="104"/>
    </row>
    <row r="59" spans="1:26" ht="130.5" customHeight="1" x14ac:dyDescent="0.15">
      <c r="B59" s="148"/>
      <c r="C59" s="106" t="s">
        <v>56</v>
      </c>
      <c r="D59" s="120" t="s">
        <v>135</v>
      </c>
      <c r="E59" s="104"/>
      <c r="F59" s="104"/>
      <c r="G59" s="104"/>
      <c r="H59" s="104"/>
      <c r="I59" s="104"/>
      <c r="J59" s="104"/>
      <c r="K59" s="104"/>
      <c r="L59" s="104"/>
      <c r="M59" s="104"/>
      <c r="N59" s="104"/>
      <c r="O59" s="104"/>
      <c r="P59" s="104"/>
      <c r="Q59" s="104"/>
      <c r="R59" s="104"/>
      <c r="S59" s="104"/>
      <c r="T59" s="104"/>
      <c r="U59" s="104"/>
      <c r="V59" s="104"/>
      <c r="W59" s="104"/>
      <c r="X59" s="104"/>
      <c r="Y59" s="104"/>
      <c r="Z59" s="104"/>
    </row>
    <row r="60" spans="1:26" ht="177" customHeight="1" x14ac:dyDescent="0.15">
      <c r="B60" s="146" t="s">
        <v>136</v>
      </c>
      <c r="C60" s="105" t="s">
        <v>57</v>
      </c>
      <c r="D60" s="66" t="s">
        <v>137</v>
      </c>
      <c r="E60" s="104"/>
      <c r="F60" s="104"/>
      <c r="G60" s="104"/>
      <c r="H60" s="104"/>
      <c r="I60" s="104"/>
      <c r="J60" s="104"/>
      <c r="K60" s="104"/>
      <c r="L60" s="104"/>
      <c r="M60" s="104"/>
      <c r="N60" s="104"/>
      <c r="O60" s="104"/>
      <c r="P60" s="104"/>
      <c r="Q60" s="104"/>
      <c r="R60" s="104"/>
      <c r="S60" s="104"/>
      <c r="T60" s="104"/>
      <c r="U60" s="104"/>
      <c r="V60" s="104"/>
      <c r="W60" s="104"/>
      <c r="X60" s="104"/>
      <c r="Y60" s="104"/>
      <c r="Z60" s="104"/>
    </row>
    <row r="61" spans="1:26" ht="87" customHeight="1" x14ac:dyDescent="0.15">
      <c r="B61" s="148"/>
      <c r="C61" s="107" t="s">
        <v>58</v>
      </c>
      <c r="D61" s="118" t="s">
        <v>138</v>
      </c>
      <c r="E61" s="104"/>
      <c r="F61" s="104"/>
      <c r="G61" s="104"/>
      <c r="H61" s="104"/>
      <c r="I61" s="104"/>
      <c r="J61" s="104"/>
      <c r="K61" s="104"/>
      <c r="L61" s="104"/>
      <c r="M61" s="104"/>
      <c r="N61" s="104"/>
      <c r="O61" s="104"/>
      <c r="P61" s="104"/>
      <c r="Q61" s="104"/>
      <c r="R61" s="104"/>
      <c r="S61" s="104"/>
      <c r="T61" s="104"/>
      <c r="U61" s="104"/>
      <c r="V61" s="104"/>
      <c r="W61" s="104"/>
      <c r="X61" s="104"/>
      <c r="Y61" s="104"/>
      <c r="Z61" s="104"/>
    </row>
    <row r="62" spans="1:26" ht="234.75" customHeight="1" x14ac:dyDescent="0.15">
      <c r="B62" s="146" t="s">
        <v>139</v>
      </c>
      <c r="C62" s="101" t="s">
        <v>49</v>
      </c>
      <c r="D62" s="66" t="s">
        <v>140</v>
      </c>
      <c r="E62" s="104"/>
      <c r="F62" s="104"/>
      <c r="G62" s="104"/>
      <c r="H62" s="104"/>
      <c r="I62" s="104"/>
      <c r="J62" s="104"/>
      <c r="K62" s="104"/>
      <c r="L62" s="104"/>
      <c r="M62" s="104"/>
      <c r="N62" s="104"/>
      <c r="O62" s="104"/>
      <c r="P62" s="104"/>
      <c r="Q62" s="104"/>
      <c r="R62" s="104"/>
      <c r="S62" s="104"/>
      <c r="T62" s="104"/>
      <c r="U62" s="104"/>
      <c r="V62" s="104"/>
      <c r="W62" s="104"/>
      <c r="X62" s="104"/>
      <c r="Y62" s="104"/>
      <c r="Z62" s="104"/>
    </row>
    <row r="63" spans="1:26" ht="84.75" customHeight="1" x14ac:dyDescent="0.15">
      <c r="B63" s="148"/>
      <c r="C63" s="106" t="s">
        <v>51</v>
      </c>
      <c r="D63" s="118" t="s">
        <v>141</v>
      </c>
      <c r="E63" s="104"/>
      <c r="F63" s="104"/>
      <c r="G63" s="104"/>
      <c r="H63" s="104"/>
      <c r="I63" s="104"/>
      <c r="J63" s="104"/>
      <c r="K63" s="104"/>
      <c r="L63" s="104"/>
      <c r="M63" s="104"/>
      <c r="N63" s="104"/>
      <c r="O63" s="104"/>
      <c r="P63" s="104"/>
      <c r="Q63" s="104"/>
      <c r="R63" s="104"/>
      <c r="S63" s="104"/>
      <c r="T63" s="104"/>
      <c r="U63" s="104"/>
      <c r="V63" s="104"/>
      <c r="W63" s="104"/>
      <c r="X63" s="104"/>
      <c r="Y63" s="104"/>
      <c r="Z63" s="104"/>
    </row>
    <row r="64" spans="1:26" ht="294" customHeight="1" x14ac:dyDescent="0.15">
      <c r="B64" s="146" t="s">
        <v>142</v>
      </c>
      <c r="C64" s="105" t="s">
        <v>48</v>
      </c>
      <c r="D64" s="66" t="s">
        <v>143</v>
      </c>
      <c r="E64" s="104"/>
      <c r="F64" s="104"/>
      <c r="G64" s="104"/>
      <c r="H64" s="104"/>
      <c r="I64" s="104"/>
      <c r="J64" s="104"/>
      <c r="K64" s="104"/>
      <c r="L64" s="104"/>
      <c r="M64" s="104"/>
      <c r="N64" s="104"/>
      <c r="O64" s="104"/>
      <c r="P64" s="104"/>
      <c r="Q64" s="104"/>
      <c r="R64" s="104"/>
      <c r="S64" s="104"/>
      <c r="T64" s="104"/>
      <c r="U64" s="104"/>
      <c r="V64" s="104"/>
      <c r="W64" s="104"/>
      <c r="X64" s="104"/>
      <c r="Y64" s="104"/>
      <c r="Z64" s="104"/>
    </row>
    <row r="65" spans="1:26" ht="161.25" customHeight="1" x14ac:dyDescent="0.15">
      <c r="B65" s="147"/>
      <c r="C65" s="108" t="s">
        <v>59</v>
      </c>
      <c r="D65" s="122" t="s">
        <v>144</v>
      </c>
      <c r="E65" s="109"/>
      <c r="F65" s="109"/>
      <c r="G65" s="109"/>
      <c r="H65" s="109"/>
      <c r="I65" s="109"/>
      <c r="J65" s="109"/>
      <c r="K65" s="109"/>
      <c r="L65" s="109"/>
      <c r="M65" s="109"/>
      <c r="N65" s="109"/>
      <c r="O65" s="109"/>
      <c r="P65" s="109"/>
      <c r="Q65" s="109"/>
      <c r="R65" s="109"/>
      <c r="S65" s="109"/>
      <c r="T65" s="109"/>
      <c r="U65" s="109"/>
      <c r="V65" s="109"/>
      <c r="W65" s="109"/>
      <c r="X65" s="109"/>
      <c r="Y65" s="109"/>
      <c r="Z65" s="109"/>
    </row>
    <row r="66" spans="1:26" ht="89.25" customHeight="1" x14ac:dyDescent="0.15">
      <c r="B66" s="148"/>
      <c r="C66" s="107" t="s">
        <v>60</v>
      </c>
      <c r="D66" s="120" t="s">
        <v>145</v>
      </c>
      <c r="E66" s="109"/>
      <c r="F66" s="109"/>
      <c r="G66" s="109"/>
      <c r="H66" s="109"/>
      <c r="I66" s="109"/>
      <c r="J66" s="109"/>
      <c r="K66" s="109"/>
      <c r="L66" s="109"/>
      <c r="M66" s="109"/>
      <c r="N66" s="109"/>
      <c r="O66" s="109"/>
      <c r="P66" s="109"/>
      <c r="Q66" s="109"/>
      <c r="R66" s="109"/>
      <c r="S66" s="109"/>
      <c r="T66" s="109"/>
      <c r="U66" s="109"/>
      <c r="V66" s="109"/>
      <c r="W66" s="109"/>
      <c r="X66" s="109"/>
      <c r="Y66" s="109"/>
      <c r="Z66" s="109"/>
    </row>
    <row r="67" spans="1:26" ht="6" customHeight="1" x14ac:dyDescent="0.15"/>
    <row r="68" spans="1:26" ht="18.75" customHeight="1" x14ac:dyDescent="0.15">
      <c r="A68" s="8" t="s">
        <v>107</v>
      </c>
    </row>
    <row r="69" spans="1:26" ht="103.5" customHeight="1" x14ac:dyDescent="0.15">
      <c r="B69" s="16"/>
      <c r="C69" s="16"/>
      <c r="D69" s="65" t="s">
        <v>122</v>
      </c>
      <c r="E69" s="16"/>
      <c r="F69" s="16"/>
      <c r="G69" s="16"/>
      <c r="H69" s="16"/>
      <c r="I69" s="16"/>
      <c r="J69" s="16"/>
      <c r="K69" s="16"/>
      <c r="L69" s="16"/>
      <c r="M69" s="16"/>
      <c r="N69" s="16"/>
      <c r="O69" s="16"/>
      <c r="P69" s="16"/>
      <c r="Q69" s="16"/>
      <c r="R69" s="16"/>
      <c r="S69" s="16"/>
      <c r="T69" s="16"/>
      <c r="U69" s="16"/>
      <c r="V69" s="16"/>
      <c r="W69" s="16"/>
      <c r="X69" s="16"/>
      <c r="Y69" s="16"/>
      <c r="Z69" s="16"/>
    </row>
    <row r="72" spans="1:26" ht="18" customHeight="1" x14ac:dyDescent="0.15"/>
  </sheetData>
  <mergeCells count="19">
    <mergeCell ref="B33:C42"/>
    <mergeCell ref="B43:C52"/>
    <mergeCell ref="B64:B66"/>
    <mergeCell ref="B62:B63"/>
    <mergeCell ref="B55:C55"/>
    <mergeCell ref="B60:B61"/>
    <mergeCell ref="B56:B57"/>
    <mergeCell ref="B58:B59"/>
    <mergeCell ref="B23:C32"/>
    <mergeCell ref="A1:Z1"/>
    <mergeCell ref="A9:B9"/>
    <mergeCell ref="A11:B11"/>
    <mergeCell ref="A13:B13"/>
    <mergeCell ref="A15:B15"/>
    <mergeCell ref="Y3:Z3"/>
    <mergeCell ref="A7:Z7"/>
    <mergeCell ref="B4:C4"/>
    <mergeCell ref="B5:C5"/>
    <mergeCell ref="F21:Z21"/>
  </mergeCells>
  <phoneticPr fontId="1"/>
  <conditionalFormatting sqref="D11">
    <cfRule type="expression" dxfId="2" priority="1">
      <formula>$D$9="学部・学科によって、修了要件は相違しない"</formula>
    </cfRule>
    <cfRule type="containsText" dxfId="1" priority="2" operator="containsText" text="学部・学科によって、修了要件は相違しない">
      <formula>NOT(ISERROR(SEARCH("学部・学科によって、修了要件は相違しない",D11)))</formula>
    </cfRule>
    <cfRule type="expression" dxfId="0" priority="4">
      <formula>#REF!="学部・学科によって、修了要件は相違しない"</formula>
    </cfRule>
  </conditionalFormatting>
  <dataValidations count="4">
    <dataValidation type="list" allowBlank="1" showInputMessage="1" showErrorMessage="1" sqref="F23:Z52" xr:uid="{4C0986EB-3601-4249-85F7-B678A400A117}">
      <formula1>"○"</formula1>
    </dataValidation>
    <dataValidation type="list" allowBlank="1" showInputMessage="1" showErrorMessage="1" sqref="D9" xr:uid="{3BE3AE6D-51B7-499C-81A5-AF534E0EA538}">
      <formula1>"学部・学科によって、修了要件は相違する,学部・学科によって、修了要件は相違しない"</formula1>
    </dataValidation>
    <dataValidation type="list" allowBlank="1" showInputMessage="1" showErrorMessage="1" sqref="G53:O53 W53:Z53"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D13" xr:uid="{99CE3D4B-7350-4196-8E9D-1B518C6B7357}">
      <formula1>"令和６年度以前又は令和７年度より、履修することが必須のプログラムとして実施, 令和９年度までに履修必須とする計画, 令和１０年度以降に履修必須とする計画、又は未定"</formula1>
    </dataValidation>
  </dataValidations>
  <printOptions horizontalCentered="1"/>
  <pageMargins left="0.78740157480314965" right="0.78740157480314965" top="0.78740157480314965" bottom="0.19685039370078741" header="0.31496062992125984" footer="0.19685039370078741"/>
  <pageSetup paperSize="9" scale="54" fitToHeight="0" orientation="landscape"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codeName="Sheet2">
    <pageSetUpPr fitToPage="1"/>
  </sheetPr>
  <dimension ref="A1:V30"/>
  <sheetViews>
    <sheetView tabSelected="1" view="pageBreakPreview" zoomScaleNormal="100" zoomScaleSheetLayoutView="100" workbookViewId="0"/>
  </sheetViews>
  <sheetFormatPr defaultColWidth="9" defaultRowHeight="18.75" customHeight="1" x14ac:dyDescent="0.15"/>
  <cols>
    <col min="1" max="1" width="2.75" style="8" customWidth="1"/>
    <col min="2" max="2" width="27.875" style="8" customWidth="1"/>
    <col min="3" max="3" width="8" style="8" customWidth="1"/>
    <col min="4" max="4" width="8.25" style="8" customWidth="1"/>
    <col min="5" max="19" width="6.125" style="8" customWidth="1"/>
    <col min="20" max="20" width="6.625" style="8" customWidth="1"/>
    <col min="21" max="16384" width="9" style="8"/>
  </cols>
  <sheetData>
    <row r="1" spans="1:22" ht="18" customHeight="1" x14ac:dyDescent="0.15">
      <c r="T1" s="8" t="s">
        <v>76</v>
      </c>
    </row>
    <row r="2" spans="1:22" ht="18" customHeight="1" x14ac:dyDescent="0.15">
      <c r="A2" s="154" t="s">
        <v>85</v>
      </c>
      <c r="B2" s="154"/>
      <c r="C2" s="154"/>
      <c r="D2" s="154"/>
      <c r="E2" s="154"/>
      <c r="F2" s="154"/>
      <c r="G2" s="154"/>
      <c r="H2" s="154"/>
      <c r="I2" s="154"/>
      <c r="J2" s="154"/>
      <c r="K2" s="154"/>
      <c r="L2" s="154"/>
      <c r="M2" s="154"/>
      <c r="N2" s="154"/>
      <c r="O2" s="154"/>
      <c r="P2" s="154"/>
      <c r="Q2" s="154"/>
      <c r="R2" s="154"/>
      <c r="S2" s="154"/>
      <c r="T2" s="154"/>
    </row>
    <row r="3" spans="1:22" ht="7.5" customHeight="1" x14ac:dyDescent="0.15">
      <c r="A3" s="12"/>
      <c r="B3" s="12"/>
      <c r="C3" s="12"/>
      <c r="D3" s="12"/>
      <c r="E3" s="12"/>
      <c r="F3" s="12"/>
      <c r="G3" s="12"/>
      <c r="H3" s="12"/>
      <c r="I3" s="12"/>
      <c r="J3" s="12"/>
      <c r="K3" s="12"/>
      <c r="L3" s="12"/>
      <c r="M3" s="12"/>
      <c r="N3" s="12"/>
      <c r="O3" s="12"/>
      <c r="P3" s="12"/>
      <c r="Q3" s="12"/>
      <c r="R3" s="12"/>
      <c r="S3" s="12"/>
      <c r="T3" s="12"/>
    </row>
    <row r="4" spans="1:22" ht="18" customHeight="1" x14ac:dyDescent="0.15">
      <c r="A4" s="8" t="s">
        <v>63</v>
      </c>
      <c r="C4" s="21" t="s">
        <v>123</v>
      </c>
      <c r="D4" s="8" t="s">
        <v>103</v>
      </c>
      <c r="E4" s="41"/>
      <c r="F4" s="10"/>
      <c r="G4" s="12"/>
      <c r="H4" s="12"/>
      <c r="I4" s="12"/>
      <c r="J4" s="12"/>
      <c r="K4" s="12"/>
      <c r="L4" s="12"/>
      <c r="M4" s="12"/>
      <c r="N4" s="12"/>
      <c r="O4" s="12"/>
      <c r="P4" s="12"/>
      <c r="Q4" s="12"/>
      <c r="R4" s="12"/>
      <c r="S4" s="41"/>
      <c r="T4" s="123"/>
    </row>
    <row r="5" spans="1:22" ht="7.15" customHeight="1" x14ac:dyDescent="0.15">
      <c r="C5" s="22"/>
      <c r="D5" s="22"/>
      <c r="E5" s="22"/>
      <c r="F5" s="12"/>
      <c r="G5" s="12"/>
      <c r="H5" s="12"/>
      <c r="I5" s="12"/>
      <c r="J5" s="12"/>
      <c r="K5" s="12"/>
      <c r="L5" s="12"/>
      <c r="M5" s="12"/>
      <c r="N5" s="12"/>
      <c r="O5" s="12"/>
      <c r="P5" s="12"/>
      <c r="Q5" s="12"/>
      <c r="R5" s="12"/>
      <c r="S5" s="41"/>
      <c r="T5" s="41"/>
    </row>
    <row r="6" spans="1:22" ht="18" customHeight="1" x14ac:dyDescent="0.15">
      <c r="A6" s="8" t="s">
        <v>101</v>
      </c>
      <c r="B6" s="12"/>
      <c r="C6" s="12"/>
      <c r="D6" s="12"/>
      <c r="E6" s="12"/>
      <c r="F6" s="12"/>
      <c r="G6" s="12"/>
      <c r="H6" s="12"/>
      <c r="I6" s="12"/>
      <c r="J6" s="12"/>
      <c r="K6" s="12"/>
      <c r="L6" s="12"/>
      <c r="M6" s="12"/>
      <c r="N6" s="12"/>
      <c r="O6" s="12"/>
      <c r="P6" s="12"/>
      <c r="Q6" s="12"/>
      <c r="R6" s="12"/>
      <c r="S6" s="12"/>
    </row>
    <row r="7" spans="1:22" ht="6" customHeight="1" x14ac:dyDescent="0.15">
      <c r="B7" s="12"/>
      <c r="C7" s="12"/>
      <c r="D7" s="12"/>
      <c r="E7" s="12"/>
      <c r="F7" s="12"/>
      <c r="G7" s="12"/>
      <c r="H7" s="12"/>
      <c r="I7" s="12"/>
      <c r="J7" s="12"/>
      <c r="K7" s="12"/>
      <c r="L7" s="12"/>
      <c r="M7" s="12"/>
      <c r="N7" s="12"/>
      <c r="O7" s="12"/>
      <c r="P7" s="12"/>
      <c r="Q7" s="12"/>
      <c r="R7" s="12"/>
      <c r="S7" s="12"/>
      <c r="T7" s="12"/>
    </row>
    <row r="8" spans="1:22" ht="18" customHeight="1" x14ac:dyDescent="0.15">
      <c r="B8" s="155" t="s">
        <v>41</v>
      </c>
      <c r="C8" s="151" t="s">
        <v>65</v>
      </c>
      <c r="D8" s="152"/>
      <c r="E8" s="157" t="s">
        <v>42</v>
      </c>
      <c r="F8" s="151" t="s">
        <v>36</v>
      </c>
      <c r="G8" s="153" t="s">
        <v>99</v>
      </c>
      <c r="H8" s="153"/>
      <c r="I8" s="153" t="s">
        <v>83</v>
      </c>
      <c r="J8" s="153"/>
      <c r="K8" s="153" t="s">
        <v>78</v>
      </c>
      <c r="L8" s="153"/>
      <c r="M8" s="153" t="s">
        <v>64</v>
      </c>
      <c r="N8" s="153"/>
      <c r="O8" s="153" t="s">
        <v>43</v>
      </c>
      <c r="P8" s="153"/>
      <c r="Q8" s="153" t="s">
        <v>44</v>
      </c>
      <c r="R8" s="164"/>
      <c r="S8" s="160" t="s">
        <v>33</v>
      </c>
      <c r="T8" s="162" t="s">
        <v>30</v>
      </c>
      <c r="V8" s="13"/>
    </row>
    <row r="9" spans="1:22" ht="16.899999999999999" customHeight="1" x14ac:dyDescent="0.15">
      <c r="B9" s="156"/>
      <c r="C9" s="1"/>
      <c r="D9" s="2" t="s">
        <v>102</v>
      </c>
      <c r="E9" s="158"/>
      <c r="F9" s="159"/>
      <c r="G9" s="40" t="s">
        <v>71</v>
      </c>
      <c r="H9" s="40" t="s">
        <v>27</v>
      </c>
      <c r="I9" s="40" t="s">
        <v>71</v>
      </c>
      <c r="J9" s="40" t="s">
        <v>27</v>
      </c>
      <c r="K9" s="40" t="s">
        <v>71</v>
      </c>
      <c r="L9" s="40" t="s">
        <v>27</v>
      </c>
      <c r="M9" s="40" t="s">
        <v>71</v>
      </c>
      <c r="N9" s="40" t="s">
        <v>27</v>
      </c>
      <c r="O9" s="40" t="s">
        <v>71</v>
      </c>
      <c r="P9" s="40" t="s">
        <v>27</v>
      </c>
      <c r="Q9" s="40" t="s">
        <v>71</v>
      </c>
      <c r="R9" s="40" t="s">
        <v>27</v>
      </c>
      <c r="S9" s="161"/>
      <c r="T9" s="163"/>
      <c r="V9" s="13"/>
    </row>
    <row r="10" spans="1:22" ht="18" customHeight="1" x14ac:dyDescent="0.15">
      <c r="A10" s="41"/>
      <c r="B10" s="124" t="s">
        <v>172</v>
      </c>
      <c r="C10" s="57">
        <v>40</v>
      </c>
      <c r="D10" s="63">
        <v>13</v>
      </c>
      <c r="E10" s="56">
        <v>70</v>
      </c>
      <c r="F10" s="57">
        <v>70</v>
      </c>
      <c r="G10" s="57">
        <v>40</v>
      </c>
      <c r="H10" s="57">
        <v>0</v>
      </c>
      <c r="I10" s="57"/>
      <c r="J10" s="57"/>
      <c r="K10" s="57"/>
      <c r="L10" s="57"/>
      <c r="M10" s="57"/>
      <c r="N10" s="57"/>
      <c r="O10" s="57"/>
      <c r="P10" s="57"/>
      <c r="Q10" s="57"/>
      <c r="R10" s="57"/>
      <c r="S10" s="3">
        <f>G10+K10+M10+O10+Q10</f>
        <v>40</v>
      </c>
      <c r="T10" s="42">
        <f>S10/F10</f>
        <v>0.5714285714285714</v>
      </c>
    </row>
    <row r="11" spans="1:22" ht="18" customHeight="1" x14ac:dyDescent="0.15">
      <c r="A11" s="41"/>
      <c r="B11" s="125" t="s">
        <v>173</v>
      </c>
      <c r="C11" s="59">
        <v>49</v>
      </c>
      <c r="D11" s="61">
        <v>9</v>
      </c>
      <c r="E11" s="58">
        <v>70</v>
      </c>
      <c r="F11" s="59">
        <v>70</v>
      </c>
      <c r="G11" s="60">
        <v>49</v>
      </c>
      <c r="H11" s="60">
        <v>0</v>
      </c>
      <c r="I11" s="60"/>
      <c r="J11" s="60"/>
      <c r="K11" s="60"/>
      <c r="L11" s="60"/>
      <c r="M11" s="60"/>
      <c r="N11" s="60"/>
      <c r="O11" s="60"/>
      <c r="P11" s="60"/>
      <c r="Q11" s="60"/>
      <c r="R11" s="60"/>
      <c r="S11" s="44">
        <f t="shared" ref="S11:S29" si="0">G11+K11+M11+O11+Q11</f>
        <v>49</v>
      </c>
      <c r="T11" s="45">
        <f t="shared" ref="T11:T27" si="1">S11/F11</f>
        <v>0.7</v>
      </c>
    </row>
    <row r="12" spans="1:22" ht="18" customHeight="1" x14ac:dyDescent="0.15">
      <c r="A12" s="41"/>
      <c r="B12" s="125" t="s">
        <v>174</v>
      </c>
      <c r="C12" s="59">
        <v>64</v>
      </c>
      <c r="D12" s="61">
        <v>54</v>
      </c>
      <c r="E12" s="58">
        <v>80</v>
      </c>
      <c r="F12" s="59">
        <v>80</v>
      </c>
      <c r="G12" s="60">
        <v>64</v>
      </c>
      <c r="H12" s="60">
        <v>0</v>
      </c>
      <c r="I12" s="60"/>
      <c r="J12" s="60"/>
      <c r="K12" s="60"/>
      <c r="L12" s="60"/>
      <c r="M12" s="60"/>
      <c r="N12" s="60"/>
      <c r="O12" s="60"/>
      <c r="P12" s="60"/>
      <c r="Q12" s="60"/>
      <c r="R12" s="60"/>
      <c r="S12" s="44">
        <f t="shared" si="0"/>
        <v>64</v>
      </c>
      <c r="T12" s="46">
        <f t="shared" si="1"/>
        <v>0.8</v>
      </c>
    </row>
    <row r="13" spans="1:22" ht="18" customHeight="1" x14ac:dyDescent="0.15">
      <c r="A13" s="41"/>
      <c r="B13" s="43"/>
      <c r="C13" s="59"/>
      <c r="D13" s="61"/>
      <c r="E13" s="58"/>
      <c r="F13" s="59"/>
      <c r="G13" s="60"/>
      <c r="H13" s="60"/>
      <c r="I13" s="60"/>
      <c r="J13" s="60"/>
      <c r="K13" s="60"/>
      <c r="L13" s="60"/>
      <c r="M13" s="60"/>
      <c r="N13" s="60"/>
      <c r="O13" s="60"/>
      <c r="P13" s="60"/>
      <c r="Q13" s="60"/>
      <c r="R13" s="60"/>
      <c r="S13" s="44">
        <f t="shared" si="0"/>
        <v>0</v>
      </c>
      <c r="T13" s="46" t="e">
        <f t="shared" si="1"/>
        <v>#DIV/0!</v>
      </c>
    </row>
    <row r="14" spans="1:22" ht="18" customHeight="1" x14ac:dyDescent="0.15">
      <c r="A14" s="41"/>
      <c r="B14" s="43"/>
      <c r="C14" s="59"/>
      <c r="D14" s="61"/>
      <c r="E14" s="58"/>
      <c r="F14" s="59"/>
      <c r="G14" s="60"/>
      <c r="H14" s="60"/>
      <c r="I14" s="60"/>
      <c r="J14" s="60"/>
      <c r="K14" s="60"/>
      <c r="L14" s="60"/>
      <c r="M14" s="60"/>
      <c r="N14" s="60"/>
      <c r="O14" s="60"/>
      <c r="P14" s="60"/>
      <c r="Q14" s="60"/>
      <c r="R14" s="60"/>
      <c r="S14" s="44">
        <f t="shared" si="0"/>
        <v>0</v>
      </c>
      <c r="T14" s="46" t="e">
        <f t="shared" si="1"/>
        <v>#DIV/0!</v>
      </c>
    </row>
    <row r="15" spans="1:22" ht="18" customHeight="1" x14ac:dyDescent="0.15">
      <c r="A15" s="41"/>
      <c r="B15" s="43"/>
      <c r="C15" s="59"/>
      <c r="D15" s="61"/>
      <c r="E15" s="58"/>
      <c r="F15" s="59"/>
      <c r="G15" s="60"/>
      <c r="H15" s="60"/>
      <c r="I15" s="60"/>
      <c r="J15" s="60"/>
      <c r="K15" s="60"/>
      <c r="L15" s="60"/>
      <c r="M15" s="60"/>
      <c r="N15" s="60"/>
      <c r="O15" s="60"/>
      <c r="P15" s="60"/>
      <c r="Q15" s="60"/>
      <c r="R15" s="60"/>
      <c r="S15" s="44">
        <f t="shared" si="0"/>
        <v>0</v>
      </c>
      <c r="T15" s="46" t="e">
        <f t="shared" si="1"/>
        <v>#DIV/0!</v>
      </c>
    </row>
    <row r="16" spans="1:22" ht="18" customHeight="1" x14ac:dyDescent="0.15">
      <c r="A16" s="41"/>
      <c r="B16" s="43"/>
      <c r="C16" s="59"/>
      <c r="D16" s="61"/>
      <c r="E16" s="58"/>
      <c r="F16" s="59"/>
      <c r="G16" s="60"/>
      <c r="H16" s="60"/>
      <c r="I16" s="60"/>
      <c r="J16" s="60"/>
      <c r="K16" s="60"/>
      <c r="L16" s="60"/>
      <c r="M16" s="60"/>
      <c r="N16" s="60"/>
      <c r="O16" s="60"/>
      <c r="P16" s="60"/>
      <c r="Q16" s="60"/>
      <c r="R16" s="60"/>
      <c r="S16" s="44">
        <f t="shared" si="0"/>
        <v>0</v>
      </c>
      <c r="T16" s="46" t="e">
        <f t="shared" si="1"/>
        <v>#DIV/0!</v>
      </c>
    </row>
    <row r="17" spans="1:20" ht="18" customHeight="1" x14ac:dyDescent="0.15">
      <c r="A17" s="41"/>
      <c r="B17" s="43"/>
      <c r="C17" s="59"/>
      <c r="D17" s="61"/>
      <c r="E17" s="58"/>
      <c r="F17" s="59"/>
      <c r="G17" s="60"/>
      <c r="H17" s="60"/>
      <c r="I17" s="60"/>
      <c r="J17" s="60"/>
      <c r="K17" s="60"/>
      <c r="L17" s="60"/>
      <c r="M17" s="60"/>
      <c r="N17" s="60"/>
      <c r="O17" s="60"/>
      <c r="P17" s="60"/>
      <c r="Q17" s="60"/>
      <c r="R17" s="60"/>
      <c r="S17" s="44">
        <f t="shared" si="0"/>
        <v>0</v>
      </c>
      <c r="T17" s="46" t="e">
        <f t="shared" si="1"/>
        <v>#DIV/0!</v>
      </c>
    </row>
    <row r="18" spans="1:20" ht="18" customHeight="1" x14ac:dyDescent="0.15">
      <c r="A18" s="41"/>
      <c r="B18" s="43"/>
      <c r="C18" s="59"/>
      <c r="D18" s="61"/>
      <c r="E18" s="58"/>
      <c r="F18" s="59"/>
      <c r="G18" s="60"/>
      <c r="H18" s="60"/>
      <c r="I18" s="60"/>
      <c r="J18" s="60"/>
      <c r="K18" s="60"/>
      <c r="L18" s="60"/>
      <c r="M18" s="60"/>
      <c r="N18" s="60"/>
      <c r="O18" s="60"/>
      <c r="P18" s="60"/>
      <c r="Q18" s="60"/>
      <c r="R18" s="60"/>
      <c r="S18" s="44">
        <f t="shared" si="0"/>
        <v>0</v>
      </c>
      <c r="T18" s="46" t="e">
        <f t="shared" si="1"/>
        <v>#DIV/0!</v>
      </c>
    </row>
    <row r="19" spans="1:20" ht="18" customHeight="1" x14ac:dyDescent="0.15">
      <c r="A19" s="41"/>
      <c r="B19" s="43"/>
      <c r="C19" s="59"/>
      <c r="D19" s="61"/>
      <c r="E19" s="58"/>
      <c r="F19" s="59"/>
      <c r="G19" s="60"/>
      <c r="H19" s="60"/>
      <c r="I19" s="60"/>
      <c r="J19" s="60"/>
      <c r="K19" s="60"/>
      <c r="L19" s="60"/>
      <c r="M19" s="60"/>
      <c r="N19" s="60"/>
      <c r="O19" s="60"/>
      <c r="P19" s="60"/>
      <c r="Q19" s="60"/>
      <c r="R19" s="60"/>
      <c r="S19" s="44">
        <f t="shared" si="0"/>
        <v>0</v>
      </c>
      <c r="T19" s="46" t="e">
        <f t="shared" si="1"/>
        <v>#DIV/0!</v>
      </c>
    </row>
    <row r="20" spans="1:20" ht="18" customHeight="1" x14ac:dyDescent="0.15">
      <c r="A20" s="41"/>
      <c r="B20" s="43"/>
      <c r="C20" s="59"/>
      <c r="D20" s="61"/>
      <c r="E20" s="58"/>
      <c r="F20" s="59"/>
      <c r="G20" s="60"/>
      <c r="H20" s="60"/>
      <c r="I20" s="60"/>
      <c r="J20" s="60"/>
      <c r="K20" s="60"/>
      <c r="L20" s="60"/>
      <c r="M20" s="60"/>
      <c r="N20" s="60"/>
      <c r="O20" s="60"/>
      <c r="P20" s="60"/>
      <c r="Q20" s="60"/>
      <c r="R20" s="60"/>
      <c r="S20" s="44">
        <f t="shared" si="0"/>
        <v>0</v>
      </c>
      <c r="T20" s="46" t="e">
        <f t="shared" si="1"/>
        <v>#DIV/0!</v>
      </c>
    </row>
    <row r="21" spans="1:20" ht="18" customHeight="1" x14ac:dyDescent="0.15">
      <c r="A21" s="41"/>
      <c r="B21" s="43"/>
      <c r="C21" s="59"/>
      <c r="D21" s="61"/>
      <c r="E21" s="58"/>
      <c r="F21" s="59"/>
      <c r="G21" s="60"/>
      <c r="H21" s="60"/>
      <c r="I21" s="60"/>
      <c r="J21" s="60"/>
      <c r="K21" s="60"/>
      <c r="L21" s="60"/>
      <c r="M21" s="60"/>
      <c r="N21" s="60"/>
      <c r="O21" s="60"/>
      <c r="P21" s="60"/>
      <c r="Q21" s="60"/>
      <c r="R21" s="60"/>
      <c r="S21" s="44">
        <f t="shared" si="0"/>
        <v>0</v>
      </c>
      <c r="T21" s="46" t="e">
        <f t="shared" si="1"/>
        <v>#DIV/0!</v>
      </c>
    </row>
    <row r="22" spans="1:20" ht="18" customHeight="1" x14ac:dyDescent="0.15">
      <c r="A22" s="41"/>
      <c r="B22" s="43"/>
      <c r="C22" s="59"/>
      <c r="D22" s="61"/>
      <c r="E22" s="58"/>
      <c r="F22" s="59"/>
      <c r="G22" s="60"/>
      <c r="H22" s="60"/>
      <c r="I22" s="60"/>
      <c r="J22" s="60"/>
      <c r="K22" s="60"/>
      <c r="L22" s="60"/>
      <c r="M22" s="60"/>
      <c r="N22" s="60"/>
      <c r="O22" s="60"/>
      <c r="P22" s="60"/>
      <c r="Q22" s="60"/>
      <c r="R22" s="60"/>
      <c r="S22" s="44">
        <f t="shared" si="0"/>
        <v>0</v>
      </c>
      <c r="T22" s="46" t="e">
        <f t="shared" si="1"/>
        <v>#DIV/0!</v>
      </c>
    </row>
    <row r="23" spans="1:20" ht="18" customHeight="1" x14ac:dyDescent="0.15">
      <c r="A23" s="41"/>
      <c r="B23" s="43"/>
      <c r="C23" s="59"/>
      <c r="D23" s="61"/>
      <c r="E23" s="58"/>
      <c r="F23" s="59"/>
      <c r="G23" s="60"/>
      <c r="H23" s="60"/>
      <c r="I23" s="60"/>
      <c r="J23" s="60"/>
      <c r="K23" s="60"/>
      <c r="L23" s="60"/>
      <c r="M23" s="60"/>
      <c r="N23" s="60"/>
      <c r="O23" s="60"/>
      <c r="P23" s="60"/>
      <c r="Q23" s="60"/>
      <c r="R23" s="60"/>
      <c r="S23" s="44">
        <f t="shared" si="0"/>
        <v>0</v>
      </c>
      <c r="T23" s="46" t="e">
        <f t="shared" si="1"/>
        <v>#DIV/0!</v>
      </c>
    </row>
    <row r="24" spans="1:20" ht="18" customHeight="1" x14ac:dyDescent="0.15">
      <c r="A24" s="41"/>
      <c r="B24" s="43"/>
      <c r="C24" s="59"/>
      <c r="D24" s="61"/>
      <c r="E24" s="58"/>
      <c r="F24" s="59"/>
      <c r="G24" s="60"/>
      <c r="H24" s="60"/>
      <c r="I24" s="60"/>
      <c r="J24" s="60"/>
      <c r="K24" s="60"/>
      <c r="L24" s="60"/>
      <c r="M24" s="60"/>
      <c r="N24" s="60"/>
      <c r="O24" s="60"/>
      <c r="P24" s="60"/>
      <c r="Q24" s="60"/>
      <c r="R24" s="60"/>
      <c r="S24" s="44">
        <f t="shared" si="0"/>
        <v>0</v>
      </c>
      <c r="T24" s="46" t="e">
        <f t="shared" si="1"/>
        <v>#DIV/0!</v>
      </c>
    </row>
    <row r="25" spans="1:20" ht="18" customHeight="1" x14ac:dyDescent="0.15">
      <c r="A25" s="41"/>
      <c r="B25" s="43"/>
      <c r="C25" s="59"/>
      <c r="D25" s="61"/>
      <c r="E25" s="58"/>
      <c r="F25" s="59"/>
      <c r="G25" s="60"/>
      <c r="H25" s="60"/>
      <c r="I25" s="60"/>
      <c r="J25" s="60"/>
      <c r="K25" s="60"/>
      <c r="L25" s="60"/>
      <c r="M25" s="60"/>
      <c r="N25" s="60"/>
      <c r="O25" s="60"/>
      <c r="P25" s="60"/>
      <c r="Q25" s="60"/>
      <c r="R25" s="60"/>
      <c r="S25" s="44">
        <f t="shared" si="0"/>
        <v>0</v>
      </c>
      <c r="T25" s="46" t="e">
        <f t="shared" si="1"/>
        <v>#DIV/0!</v>
      </c>
    </row>
    <row r="26" spans="1:20" ht="18" customHeight="1" x14ac:dyDescent="0.15">
      <c r="A26" s="41"/>
      <c r="B26" s="43"/>
      <c r="C26" s="59"/>
      <c r="D26" s="61"/>
      <c r="E26" s="58"/>
      <c r="F26" s="59"/>
      <c r="G26" s="60"/>
      <c r="H26" s="60"/>
      <c r="I26" s="60"/>
      <c r="J26" s="60"/>
      <c r="K26" s="60"/>
      <c r="L26" s="60"/>
      <c r="M26" s="60"/>
      <c r="N26" s="60"/>
      <c r="O26" s="60"/>
      <c r="P26" s="60"/>
      <c r="Q26" s="60"/>
      <c r="R26" s="60"/>
      <c r="S26" s="44">
        <f t="shared" si="0"/>
        <v>0</v>
      </c>
      <c r="T26" s="46" t="e">
        <f t="shared" si="1"/>
        <v>#DIV/0!</v>
      </c>
    </row>
    <row r="27" spans="1:20" ht="18" customHeight="1" x14ac:dyDescent="0.15">
      <c r="A27" s="41"/>
      <c r="B27" s="43"/>
      <c r="C27" s="59"/>
      <c r="D27" s="61"/>
      <c r="E27" s="62"/>
      <c r="F27" s="59"/>
      <c r="G27" s="60"/>
      <c r="H27" s="60"/>
      <c r="I27" s="60"/>
      <c r="J27" s="60"/>
      <c r="K27" s="60"/>
      <c r="L27" s="60"/>
      <c r="M27" s="60"/>
      <c r="N27" s="60"/>
      <c r="O27" s="60"/>
      <c r="P27" s="60"/>
      <c r="Q27" s="60"/>
      <c r="R27" s="60"/>
      <c r="S27" s="44">
        <f t="shared" si="0"/>
        <v>0</v>
      </c>
      <c r="T27" s="46" t="e">
        <f t="shared" si="1"/>
        <v>#DIV/0!</v>
      </c>
    </row>
    <row r="28" spans="1:20" ht="18" customHeight="1" x14ac:dyDescent="0.15">
      <c r="A28" s="41"/>
      <c r="B28" s="43"/>
      <c r="C28" s="59"/>
      <c r="D28" s="61"/>
      <c r="E28" s="62"/>
      <c r="F28" s="59"/>
      <c r="G28" s="60"/>
      <c r="H28" s="60"/>
      <c r="I28" s="60"/>
      <c r="J28" s="60"/>
      <c r="K28" s="60"/>
      <c r="L28" s="60"/>
      <c r="M28" s="60"/>
      <c r="N28" s="60"/>
      <c r="O28" s="60"/>
      <c r="P28" s="60"/>
      <c r="Q28" s="60"/>
      <c r="R28" s="60"/>
      <c r="S28" s="44">
        <f t="shared" si="0"/>
        <v>0</v>
      </c>
      <c r="T28" s="46" t="e">
        <f t="shared" ref="T28:T29" si="2">S28/F28</f>
        <v>#DIV/0!</v>
      </c>
    </row>
    <row r="29" spans="1:20" ht="18" customHeight="1" thickBot="1" x14ac:dyDescent="0.2">
      <c r="A29" s="41"/>
      <c r="B29" s="47"/>
      <c r="C29" s="57"/>
      <c r="D29" s="63"/>
      <c r="E29" s="64"/>
      <c r="F29" s="57"/>
      <c r="G29" s="57"/>
      <c r="H29" s="57"/>
      <c r="I29" s="57"/>
      <c r="J29" s="57"/>
      <c r="K29" s="57"/>
      <c r="L29" s="57"/>
      <c r="M29" s="57"/>
      <c r="N29" s="57"/>
      <c r="O29" s="57"/>
      <c r="P29" s="57"/>
      <c r="Q29" s="57"/>
      <c r="R29" s="57"/>
      <c r="S29" s="3">
        <f t="shared" si="0"/>
        <v>0</v>
      </c>
      <c r="T29" s="46" t="e">
        <f t="shared" si="2"/>
        <v>#DIV/0!</v>
      </c>
    </row>
    <row r="30" spans="1:20" ht="18" customHeight="1" thickTop="1" x14ac:dyDescent="0.15">
      <c r="B30" s="48" t="s">
        <v>31</v>
      </c>
      <c r="C30" s="50">
        <f t="shared" ref="C30" si="3">SUM(C10:C29)</f>
        <v>153</v>
      </c>
      <c r="D30" s="110">
        <f>SUM(D10:D29)</f>
        <v>76</v>
      </c>
      <c r="E30" s="49">
        <f t="shared" ref="E30:G30" si="4">SUM(E10:E29)</f>
        <v>220</v>
      </c>
      <c r="F30" s="50">
        <f t="shared" si="4"/>
        <v>220</v>
      </c>
      <c r="G30" s="50">
        <f t="shared" si="4"/>
        <v>153</v>
      </c>
      <c r="H30" s="50">
        <f t="shared" ref="H30:K30" si="5">SUM(H10:H29)</f>
        <v>0</v>
      </c>
      <c r="I30" s="50">
        <f t="shared" si="5"/>
        <v>0</v>
      </c>
      <c r="J30" s="50">
        <f t="shared" si="5"/>
        <v>0</v>
      </c>
      <c r="K30" s="50">
        <f t="shared" si="5"/>
        <v>0</v>
      </c>
      <c r="L30" s="50">
        <f t="shared" ref="L30:M30" si="6">SUM(L10:L29)</f>
        <v>0</v>
      </c>
      <c r="M30" s="50">
        <f t="shared" si="6"/>
        <v>0</v>
      </c>
      <c r="N30" s="50">
        <f t="shared" ref="N30:S30" si="7">SUM(N10:N29)</f>
        <v>0</v>
      </c>
      <c r="O30" s="50">
        <f t="shared" si="7"/>
        <v>0</v>
      </c>
      <c r="P30" s="50">
        <f t="shared" si="7"/>
        <v>0</v>
      </c>
      <c r="Q30" s="50">
        <f t="shared" si="7"/>
        <v>0</v>
      </c>
      <c r="R30" s="50">
        <f t="shared" si="7"/>
        <v>0</v>
      </c>
      <c r="S30" s="50">
        <f t="shared" si="7"/>
        <v>153</v>
      </c>
      <c r="T30" s="51">
        <f>S30/F30</f>
        <v>0.69545454545454544</v>
      </c>
    </row>
  </sheetData>
  <mergeCells count="13">
    <mergeCell ref="C8:D8"/>
    <mergeCell ref="K8:L8"/>
    <mergeCell ref="M8:N8"/>
    <mergeCell ref="O8:P8"/>
    <mergeCell ref="A2:T2"/>
    <mergeCell ref="B8:B9"/>
    <mergeCell ref="E8:E9"/>
    <mergeCell ref="F8:F9"/>
    <mergeCell ref="G8:H8"/>
    <mergeCell ref="S8:S9"/>
    <mergeCell ref="T8:T9"/>
    <mergeCell ref="Q8:R8"/>
    <mergeCell ref="I8:J8"/>
  </mergeCells>
  <phoneticPr fontId="1"/>
  <conditionalFormatting sqref="C4:E5">
    <cfRule type="cellIs" priority="1" operator="equal">
      <formula>0</formula>
    </cfRule>
  </conditionalFormatting>
  <dataValidations count="1">
    <dataValidation type="whole" allowBlank="1" showInputMessage="1" showErrorMessage="1" sqref="C10:R29" xr:uid="{4571889F-8C75-42AE-91BB-1A587F9E70D1}">
      <formula1>0</formula1>
      <formula2>99999</formula2>
    </dataValidation>
  </dataValidations>
  <printOptions horizontalCentered="1"/>
  <pageMargins left="0.78740157480314965" right="0.78740157480314965" top="0.78740157480314965" bottom="0.59055118110236227" header="0.31496062992125984" footer="0.31496062992125984"/>
  <pageSetup paperSize="9" scale="90" fitToHeight="0" orientation="landscape"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codeName="Sheet3">
    <pageSetUpPr fitToPage="1"/>
  </sheetPr>
  <dimension ref="A1:K62"/>
  <sheetViews>
    <sheetView showZeros="0" view="pageBreakPreview" zoomScaleNormal="100" zoomScaleSheetLayoutView="100" workbookViewId="0"/>
  </sheetViews>
  <sheetFormatPr defaultColWidth="11.375" defaultRowHeight="18.75" customHeight="1" x14ac:dyDescent="0.15"/>
  <cols>
    <col min="1" max="1" width="2.75" style="7" customWidth="1"/>
    <col min="2" max="2" width="8" style="8" customWidth="1"/>
    <col min="3" max="3" width="17.125" style="8" bestFit="1" customWidth="1"/>
    <col min="4" max="4" width="41.625" style="8" customWidth="1"/>
    <col min="5" max="5" width="12.125" style="8" customWidth="1"/>
    <col min="6" max="16384" width="11.375" style="8"/>
  </cols>
  <sheetData>
    <row r="1" spans="1:5" ht="18.75" customHeight="1" x14ac:dyDescent="0.15">
      <c r="A1" s="7" t="s">
        <v>52</v>
      </c>
      <c r="E1" s="9" t="s">
        <v>75</v>
      </c>
    </row>
    <row r="2" spans="1:5" ht="10.9" customHeight="1" x14ac:dyDescent="0.15">
      <c r="E2" s="10"/>
    </row>
    <row r="3" spans="1:5" ht="18.600000000000001" customHeight="1" x14ac:dyDescent="0.15">
      <c r="A3" s="154" t="s">
        <v>34</v>
      </c>
      <c r="B3" s="154"/>
      <c r="C3" s="154"/>
      <c r="D3" s="154"/>
      <c r="E3" s="154"/>
    </row>
    <row r="4" spans="1:5" ht="13.15" customHeight="1" x14ac:dyDescent="0.15">
      <c r="B4" s="12"/>
      <c r="C4" s="12"/>
      <c r="D4" s="12"/>
      <c r="E4" s="12"/>
    </row>
    <row r="5" spans="1:5" ht="18" customHeight="1" x14ac:dyDescent="0.15">
      <c r="A5" s="8" t="s">
        <v>0</v>
      </c>
      <c r="B5" s="132" t="s">
        <v>68</v>
      </c>
      <c r="C5" s="132"/>
      <c r="D5" s="132"/>
      <c r="E5" s="132"/>
    </row>
    <row r="6" spans="1:5" ht="18.600000000000001" customHeight="1" x14ac:dyDescent="0.15">
      <c r="B6" s="29" t="s">
        <v>69</v>
      </c>
      <c r="C6" s="121">
        <v>53</v>
      </c>
      <c r="D6" s="10" t="s">
        <v>1</v>
      </c>
      <c r="E6" s="14"/>
    </row>
    <row r="7" spans="1:5" ht="18.600000000000001" customHeight="1" x14ac:dyDescent="0.15">
      <c r="B7" s="29" t="s">
        <v>2</v>
      </c>
      <c r="C7" s="121">
        <v>98</v>
      </c>
      <c r="D7" s="10" t="s">
        <v>1</v>
      </c>
      <c r="E7" s="14"/>
    </row>
    <row r="8" spans="1:5" ht="18.600000000000001" customHeight="1" x14ac:dyDescent="0.15">
      <c r="B8" s="9"/>
      <c r="C8" s="9"/>
      <c r="D8" s="10"/>
      <c r="E8" s="14"/>
    </row>
    <row r="9" spans="1:5" ht="18" customHeight="1" x14ac:dyDescent="0.15">
      <c r="A9" s="8" t="s">
        <v>3</v>
      </c>
      <c r="B9" s="132" t="s">
        <v>113</v>
      </c>
      <c r="C9" s="132"/>
      <c r="D9" s="132"/>
      <c r="E9" s="132"/>
    </row>
    <row r="10" spans="1:5" ht="18" customHeight="1" x14ac:dyDescent="0.15">
      <c r="A10" s="8"/>
      <c r="B10" s="10"/>
      <c r="C10" s="121">
        <v>3</v>
      </c>
      <c r="D10" s="10" t="s">
        <v>1</v>
      </c>
      <c r="E10" s="10"/>
    </row>
    <row r="11" spans="1:5" ht="9" customHeight="1" x14ac:dyDescent="0.15">
      <c r="B11" s="12"/>
      <c r="C11" s="12"/>
      <c r="D11" s="12"/>
      <c r="E11" s="12"/>
    </row>
    <row r="12" spans="1:5" ht="18" customHeight="1" x14ac:dyDescent="0.15">
      <c r="A12" s="8" t="s">
        <v>4</v>
      </c>
      <c r="B12" s="132" t="s">
        <v>70</v>
      </c>
      <c r="C12" s="132"/>
      <c r="D12" s="132"/>
      <c r="E12" s="132"/>
    </row>
    <row r="13" spans="1:5" ht="18" customHeight="1" x14ac:dyDescent="0.15">
      <c r="C13" s="9" t="s">
        <v>39</v>
      </c>
      <c r="D13" s="68" t="s">
        <v>124</v>
      </c>
      <c r="E13" s="10"/>
    </row>
    <row r="14" spans="1:5" ht="18" customHeight="1" x14ac:dyDescent="0.15">
      <c r="C14" s="9" t="s">
        <v>10</v>
      </c>
      <c r="D14" s="68" t="s">
        <v>152</v>
      </c>
      <c r="E14" s="14"/>
    </row>
    <row r="15" spans="1:5" ht="10.15" customHeight="1" x14ac:dyDescent="0.15">
      <c r="B15" s="9"/>
      <c r="C15" s="10"/>
      <c r="D15" s="14"/>
      <c r="E15" s="14"/>
    </row>
    <row r="16" spans="1:5" ht="18" customHeight="1" x14ac:dyDescent="0.15">
      <c r="A16" s="8" t="s">
        <v>7</v>
      </c>
      <c r="B16" s="132" t="s">
        <v>66</v>
      </c>
      <c r="C16" s="132"/>
      <c r="D16" s="132"/>
      <c r="E16" s="132"/>
    </row>
    <row r="17" spans="1:10" ht="18" customHeight="1" x14ac:dyDescent="0.15">
      <c r="C17" s="9" t="s">
        <v>109</v>
      </c>
      <c r="D17" s="68" t="s">
        <v>125</v>
      </c>
      <c r="E17" s="10"/>
    </row>
    <row r="18" spans="1:10" ht="9" customHeight="1" x14ac:dyDescent="0.15">
      <c r="B18" s="12"/>
      <c r="C18" s="12"/>
      <c r="D18" s="12"/>
      <c r="E18" s="12"/>
    </row>
    <row r="19" spans="1:10" ht="18.75" customHeight="1" x14ac:dyDescent="0.15">
      <c r="A19" s="8" t="s">
        <v>5</v>
      </c>
      <c r="B19" s="131" t="s">
        <v>38</v>
      </c>
      <c r="C19" s="131"/>
      <c r="D19" s="131"/>
      <c r="E19" s="131"/>
    </row>
    <row r="20" spans="1:10" ht="18.75" customHeight="1" x14ac:dyDescent="0.15">
      <c r="A20" s="8"/>
      <c r="C20" s="9" t="s">
        <v>109</v>
      </c>
      <c r="D20" s="68" t="s">
        <v>127</v>
      </c>
      <c r="E20" s="10"/>
    </row>
    <row r="21" spans="1:10" ht="7.5" customHeight="1" x14ac:dyDescent="0.15">
      <c r="B21" s="12"/>
      <c r="C21" s="12"/>
      <c r="D21" s="12"/>
      <c r="E21" s="12"/>
    </row>
    <row r="22" spans="1:10" ht="18.75" customHeight="1" x14ac:dyDescent="0.15">
      <c r="A22" s="8" t="s">
        <v>8</v>
      </c>
      <c r="B22" s="131" t="s">
        <v>23</v>
      </c>
      <c r="C22" s="131"/>
      <c r="D22" s="131"/>
      <c r="E22" s="131"/>
    </row>
    <row r="23" spans="1:10" ht="192" customHeight="1" x14ac:dyDescent="0.15">
      <c r="A23" s="15"/>
      <c r="B23" s="16"/>
      <c r="C23" s="167" t="s">
        <v>153</v>
      </c>
      <c r="D23" s="168"/>
      <c r="E23" s="169"/>
    </row>
    <row r="24" spans="1:10" ht="7.5" customHeight="1" x14ac:dyDescent="0.15">
      <c r="A24" s="15"/>
      <c r="B24" s="15"/>
      <c r="C24" s="15"/>
      <c r="D24" s="15"/>
      <c r="E24" s="15"/>
    </row>
    <row r="25" spans="1:10" ht="18.75" customHeight="1" x14ac:dyDescent="0.15">
      <c r="A25" s="17" t="s">
        <v>6</v>
      </c>
      <c r="B25" s="170" t="s">
        <v>9</v>
      </c>
      <c r="C25" s="171"/>
      <c r="D25" s="171"/>
      <c r="E25" s="171"/>
    </row>
    <row r="26" spans="1:10" ht="202.5" customHeight="1" x14ac:dyDescent="0.15">
      <c r="A26" s="15"/>
      <c r="B26" s="16"/>
      <c r="C26" s="167" t="s">
        <v>128</v>
      </c>
      <c r="D26" s="168"/>
      <c r="E26" s="169"/>
    </row>
    <row r="27" spans="1:10" ht="7.5" customHeight="1" x14ac:dyDescent="0.15">
      <c r="A27" s="18"/>
      <c r="B27" s="18"/>
      <c r="C27" s="18"/>
      <c r="D27" s="18"/>
      <c r="E27" s="18"/>
    </row>
    <row r="28" spans="1:10" ht="18.75" customHeight="1" x14ac:dyDescent="0.15">
      <c r="A28" s="8" t="s">
        <v>29</v>
      </c>
      <c r="B28" s="131" t="s">
        <v>112</v>
      </c>
      <c r="C28" s="172"/>
      <c r="D28" s="172"/>
      <c r="E28" s="131"/>
    </row>
    <row r="29" spans="1:10" s="12" customFormat="1" ht="18.75" customHeight="1" x14ac:dyDescent="0.15">
      <c r="B29" s="25"/>
      <c r="C29" s="21" t="s">
        <v>114</v>
      </c>
      <c r="D29" s="30">
        <f>IFERROR('様式２ 履修者等数の実績'!T30, "（様式２より自動転記）")</f>
        <v>0.69545454545454544</v>
      </c>
      <c r="E29" s="26"/>
      <c r="F29" s="8"/>
      <c r="I29" s="8"/>
      <c r="J29" s="20"/>
    </row>
    <row r="30" spans="1:10" s="12" customFormat="1" ht="18.75" customHeight="1" x14ac:dyDescent="0.15">
      <c r="B30" s="25"/>
      <c r="C30" s="21" t="s">
        <v>67</v>
      </c>
      <c r="D30" s="30">
        <v>0.25</v>
      </c>
      <c r="E30" s="26"/>
      <c r="F30" s="8"/>
      <c r="I30" s="8"/>
      <c r="J30" s="20"/>
    </row>
    <row r="31" spans="1:10" s="12" customFormat="1" ht="18.75" customHeight="1" x14ac:dyDescent="0.15">
      <c r="B31" s="25"/>
      <c r="C31" s="21" t="s">
        <v>81</v>
      </c>
      <c r="D31" s="30">
        <v>0.33</v>
      </c>
      <c r="E31" s="26"/>
      <c r="F31" s="8"/>
      <c r="I31" s="8"/>
      <c r="J31" s="20"/>
    </row>
    <row r="32" spans="1:10" s="12" customFormat="1" ht="18.75" customHeight="1" x14ac:dyDescent="0.15">
      <c r="B32" s="22"/>
      <c r="C32" s="19" t="s">
        <v>110</v>
      </c>
      <c r="D32" s="30">
        <v>0.4</v>
      </c>
      <c r="E32" s="27"/>
      <c r="F32" s="8"/>
      <c r="I32" s="8"/>
      <c r="J32" s="20"/>
    </row>
    <row r="33" spans="1:11" s="12" customFormat="1" ht="18.75" customHeight="1" x14ac:dyDescent="0.15">
      <c r="B33" s="22"/>
      <c r="C33" s="19" t="s">
        <v>111</v>
      </c>
      <c r="D33" s="30">
        <v>0.5</v>
      </c>
      <c r="E33" s="27"/>
      <c r="F33" s="8"/>
      <c r="I33" s="8"/>
      <c r="J33" s="20"/>
    </row>
    <row r="34" spans="1:11" ht="18.75" customHeight="1" x14ac:dyDescent="0.15">
      <c r="A34" s="8"/>
      <c r="B34" s="166" t="s">
        <v>53</v>
      </c>
      <c r="C34" s="166"/>
      <c r="D34" s="166"/>
      <c r="E34" s="166"/>
      <c r="J34" s="20"/>
      <c r="K34" s="12"/>
    </row>
    <row r="35" spans="1:11" ht="236.25" customHeight="1" x14ac:dyDescent="0.15">
      <c r="A35" s="8"/>
      <c r="B35" s="16"/>
      <c r="C35" s="167" t="s">
        <v>159</v>
      </c>
      <c r="D35" s="168"/>
      <c r="E35" s="169"/>
      <c r="J35" s="20"/>
      <c r="K35" s="12"/>
    </row>
    <row r="36" spans="1:11" ht="7.5" customHeight="1" x14ac:dyDescent="0.15">
      <c r="A36" s="15"/>
      <c r="B36" s="15"/>
      <c r="C36" s="15"/>
      <c r="D36" s="15"/>
      <c r="E36" s="15"/>
    </row>
    <row r="37" spans="1:11" ht="18.75" customHeight="1" x14ac:dyDescent="0.15">
      <c r="A37" s="17" t="s">
        <v>32</v>
      </c>
      <c r="B37" s="131" t="s">
        <v>35</v>
      </c>
      <c r="C37" s="172"/>
      <c r="D37" s="172"/>
      <c r="E37" s="172"/>
    </row>
    <row r="38" spans="1:11" ht="180" customHeight="1" x14ac:dyDescent="0.15">
      <c r="A38" s="18"/>
      <c r="B38" s="16"/>
      <c r="C38" s="167" t="s">
        <v>160</v>
      </c>
      <c r="D38" s="168"/>
      <c r="E38" s="169"/>
    </row>
    <row r="39" spans="1:11" ht="7.5" customHeight="1" x14ac:dyDescent="0.15">
      <c r="A39" s="18"/>
      <c r="B39" s="18"/>
      <c r="C39" s="18"/>
      <c r="D39" s="18"/>
      <c r="E39" s="18"/>
    </row>
    <row r="40" spans="1:11" ht="18.75" customHeight="1" x14ac:dyDescent="0.15">
      <c r="A40" s="8" t="s">
        <v>11</v>
      </c>
      <c r="B40" s="131" t="s">
        <v>37</v>
      </c>
      <c r="C40" s="172"/>
      <c r="D40" s="172"/>
      <c r="E40" s="172"/>
    </row>
    <row r="41" spans="1:11" ht="193.5" customHeight="1" x14ac:dyDescent="0.15">
      <c r="A41" s="8"/>
      <c r="B41" s="16"/>
      <c r="C41" s="167" t="s">
        <v>154</v>
      </c>
      <c r="D41" s="168"/>
      <c r="E41" s="169"/>
    </row>
    <row r="42" spans="1:11" ht="7.5" customHeight="1" x14ac:dyDescent="0.15">
      <c r="A42" s="18"/>
      <c r="B42" s="18"/>
      <c r="C42" s="18"/>
      <c r="D42" s="18"/>
      <c r="E42" s="18"/>
    </row>
    <row r="43" spans="1:11" ht="18.75" customHeight="1" x14ac:dyDescent="0.15">
      <c r="A43" s="8" t="s">
        <v>40</v>
      </c>
      <c r="B43" s="131" t="s">
        <v>13</v>
      </c>
      <c r="C43" s="172"/>
      <c r="D43" s="172"/>
      <c r="E43" s="172"/>
    </row>
    <row r="44" spans="1:11" ht="180" customHeight="1" x14ac:dyDescent="0.15">
      <c r="A44" s="8"/>
      <c r="B44" s="16"/>
      <c r="C44" s="167" t="s">
        <v>155</v>
      </c>
      <c r="D44" s="168"/>
      <c r="E44" s="169"/>
    </row>
    <row r="45" spans="1:11" ht="7.5" customHeight="1" x14ac:dyDescent="0.15">
      <c r="A45" s="18"/>
      <c r="B45" s="18"/>
      <c r="C45" s="18"/>
      <c r="D45" s="18"/>
      <c r="E45" s="18"/>
    </row>
    <row r="46" spans="1:11" ht="18.75" customHeight="1" x14ac:dyDescent="0.15">
      <c r="A46" s="8" t="s">
        <v>28</v>
      </c>
      <c r="B46" s="131" t="s">
        <v>146</v>
      </c>
      <c r="C46" s="131"/>
      <c r="D46" s="131"/>
      <c r="E46" s="131"/>
    </row>
    <row r="47" spans="1:11" ht="180" customHeight="1" x14ac:dyDescent="0.15">
      <c r="A47" s="18"/>
      <c r="B47" s="16"/>
      <c r="C47" s="167" t="s">
        <v>156</v>
      </c>
      <c r="D47" s="168"/>
      <c r="E47" s="169"/>
    </row>
    <row r="48" spans="1:11" ht="7.5" customHeight="1" x14ac:dyDescent="0.15">
      <c r="A48" s="18"/>
      <c r="B48" s="23"/>
      <c r="C48" s="23"/>
      <c r="D48" s="23"/>
      <c r="E48" s="23"/>
    </row>
    <row r="49" spans="1:5" ht="18.75" customHeight="1" x14ac:dyDescent="0.15">
      <c r="A49" s="8"/>
      <c r="B49" s="165"/>
      <c r="C49" s="165"/>
      <c r="D49" s="165"/>
      <c r="E49" s="165"/>
    </row>
    <row r="50" spans="1:5" ht="18.75" customHeight="1" x14ac:dyDescent="0.15">
      <c r="A50" s="8"/>
      <c r="B50" s="165"/>
      <c r="C50" s="165"/>
      <c r="D50" s="165"/>
      <c r="E50" s="165"/>
    </row>
    <row r="51" spans="1:5" ht="18.75" customHeight="1" x14ac:dyDescent="0.15">
      <c r="A51" s="18"/>
      <c r="B51" s="16"/>
      <c r="C51" s="16"/>
      <c r="D51" s="16"/>
      <c r="E51" s="24"/>
    </row>
    <row r="52" spans="1:5" ht="18.75" customHeight="1" x14ac:dyDescent="0.15">
      <c r="A52" s="18"/>
      <c r="B52" s="24"/>
      <c r="C52" s="24"/>
      <c r="D52" s="24"/>
      <c r="E52" s="24"/>
    </row>
    <row r="53" spans="1:5" ht="18.75" customHeight="1" x14ac:dyDescent="0.15">
      <c r="A53" s="18"/>
      <c r="B53" s="24"/>
      <c r="C53" s="24"/>
      <c r="D53" s="24"/>
      <c r="E53" s="24"/>
    </row>
    <row r="54" spans="1:5" ht="18.75" customHeight="1" x14ac:dyDescent="0.15">
      <c r="A54" s="18"/>
      <c r="B54" s="24"/>
      <c r="C54" s="24"/>
      <c r="D54" s="24"/>
      <c r="E54" s="24"/>
    </row>
    <row r="55" spans="1:5" ht="18.75" customHeight="1" x14ac:dyDescent="0.15">
      <c r="A55" s="18"/>
      <c r="B55" s="24"/>
      <c r="C55" s="24"/>
      <c r="D55" s="24"/>
      <c r="E55" s="24"/>
    </row>
    <row r="56" spans="1:5" ht="18.75" customHeight="1" x14ac:dyDescent="0.15">
      <c r="A56" s="18"/>
      <c r="B56" s="24"/>
      <c r="C56" s="24"/>
      <c r="D56" s="24"/>
      <c r="E56" s="24"/>
    </row>
    <row r="57" spans="1:5" ht="18.75" customHeight="1" x14ac:dyDescent="0.15">
      <c r="A57" s="18"/>
      <c r="B57" s="24"/>
      <c r="C57" s="24"/>
      <c r="D57" s="24"/>
      <c r="E57" s="24"/>
    </row>
    <row r="58" spans="1:5" ht="18.75" customHeight="1" x14ac:dyDescent="0.15">
      <c r="A58" s="18"/>
      <c r="B58" s="24"/>
      <c r="C58" s="24"/>
      <c r="D58" s="24"/>
      <c r="E58" s="24"/>
    </row>
    <row r="59" spans="1:5" ht="18.75" customHeight="1" x14ac:dyDescent="0.15">
      <c r="A59" s="18"/>
      <c r="B59" s="24"/>
      <c r="C59" s="24"/>
      <c r="D59" s="24"/>
      <c r="E59" s="24"/>
    </row>
    <row r="60" spans="1:5" ht="18.75" customHeight="1" x14ac:dyDescent="0.15">
      <c r="A60" s="18"/>
      <c r="B60" s="24"/>
      <c r="C60" s="24"/>
      <c r="D60" s="24"/>
      <c r="E60" s="24"/>
    </row>
    <row r="61" spans="1:5" ht="14.25" x14ac:dyDescent="0.15">
      <c r="A61" s="18"/>
      <c r="B61" s="24"/>
      <c r="C61" s="24"/>
      <c r="D61" s="24"/>
      <c r="E61" s="24"/>
    </row>
    <row r="62" spans="1:5" ht="7.5" customHeight="1" x14ac:dyDescent="0.15">
      <c r="A62" s="18"/>
      <c r="B62" s="24"/>
      <c r="C62" s="24"/>
      <c r="D62" s="24"/>
      <c r="E62" s="24"/>
    </row>
  </sheetData>
  <mergeCells count="22">
    <mergeCell ref="B40:E40"/>
    <mergeCell ref="B43:E43"/>
    <mergeCell ref="C26:E26"/>
    <mergeCell ref="C35:E35"/>
    <mergeCell ref="C38:E38"/>
    <mergeCell ref="C41:E41"/>
    <mergeCell ref="B49:E50"/>
    <mergeCell ref="A3:E3"/>
    <mergeCell ref="B46:E46"/>
    <mergeCell ref="B34:E34"/>
    <mergeCell ref="C23:E23"/>
    <mergeCell ref="B22:E22"/>
    <mergeCell ref="B5:E5"/>
    <mergeCell ref="B9:E9"/>
    <mergeCell ref="B12:E12"/>
    <mergeCell ref="B16:E16"/>
    <mergeCell ref="B19:E19"/>
    <mergeCell ref="C44:E44"/>
    <mergeCell ref="C47:E47"/>
    <mergeCell ref="B25:E25"/>
    <mergeCell ref="B28:E28"/>
    <mergeCell ref="B37:E37"/>
  </mergeCells>
  <phoneticPr fontId="1"/>
  <dataValidations count="1">
    <dataValidation type="whole" allowBlank="1" showInputMessage="1" showErrorMessage="1" sqref="C6:C7 C10" xr:uid="{C20E7A5C-3EF3-4A55-9291-CF0F3C682841}">
      <formula1>0</formula1>
      <formula2>99999</formula2>
    </dataValidation>
  </dataValidations>
  <printOptions horizontalCentered="1"/>
  <pageMargins left="0.59055118110236227" right="0.59055118110236227" top="0.78740157480314965" bottom="0.39370078740157483" header="0.31496062992125984" footer="0.19685039370078741"/>
  <pageSetup paperSize="9" fitToHeight="0" orientation="portrait" horizontalDpi="4294967293" r:id="rId1"/>
  <rowBreaks count="2" manualBreakCount="2">
    <brk id="26" max="4" man="1"/>
    <brk id="39"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codeName="Sheet4">
    <pageSetUpPr fitToPage="1"/>
  </sheetPr>
  <dimension ref="A1:E29"/>
  <sheetViews>
    <sheetView showZeros="0" view="pageBreakPreview" zoomScale="90" zoomScaleNormal="100" zoomScaleSheetLayoutView="90" workbookViewId="0"/>
  </sheetViews>
  <sheetFormatPr defaultColWidth="11.375" defaultRowHeight="22.5" customHeight="1" x14ac:dyDescent="0.15"/>
  <cols>
    <col min="1" max="1" width="5.875" style="8" customWidth="1"/>
    <col min="2" max="2" width="7.25" style="8" customWidth="1"/>
    <col min="3" max="3" width="31.125" style="8" customWidth="1"/>
    <col min="4" max="4" width="77.125" style="8" customWidth="1"/>
    <col min="5" max="5" width="7.625" style="8" bestFit="1" customWidth="1"/>
    <col min="6" max="16384" width="11.375" style="8"/>
  </cols>
  <sheetData>
    <row r="1" spans="1:5" ht="18.75" customHeight="1" x14ac:dyDescent="0.15">
      <c r="A1" s="8" t="s">
        <v>54</v>
      </c>
      <c r="E1" s="9" t="s">
        <v>74</v>
      </c>
    </row>
    <row r="2" spans="1:5" ht="18.75" customHeight="1" x14ac:dyDescent="0.15">
      <c r="A2" s="154" t="s">
        <v>26</v>
      </c>
      <c r="B2" s="154"/>
      <c r="C2" s="154"/>
      <c r="D2" s="154"/>
      <c r="E2" s="154"/>
    </row>
    <row r="3" spans="1:5" ht="18.75" customHeight="1" x14ac:dyDescent="0.15">
      <c r="A3" s="11"/>
      <c r="B3" s="11"/>
      <c r="C3" s="11"/>
      <c r="D3" s="11"/>
    </row>
    <row r="4" spans="1:5" ht="18.75" customHeight="1" x14ac:dyDescent="0.15">
      <c r="A4" s="12" t="s">
        <v>0</v>
      </c>
      <c r="B4" s="173" t="s">
        <v>115</v>
      </c>
      <c r="C4" s="173"/>
      <c r="D4" s="112" t="s">
        <v>125</v>
      </c>
    </row>
    <row r="5" spans="1:5" ht="9" customHeight="1" x14ac:dyDescent="0.15">
      <c r="A5" s="11"/>
      <c r="B5" s="10"/>
      <c r="C5" s="10"/>
      <c r="D5" s="10"/>
    </row>
    <row r="6" spans="1:5" ht="18.75" customHeight="1" x14ac:dyDescent="0.15">
      <c r="A6" s="178" t="s">
        <v>39</v>
      </c>
      <c r="B6" s="179"/>
      <c r="C6" s="68" t="s">
        <v>147</v>
      </c>
    </row>
    <row r="7" spans="1:5" ht="18.75" customHeight="1" x14ac:dyDescent="0.15">
      <c r="A7" s="178" t="s">
        <v>10</v>
      </c>
      <c r="B7" s="179"/>
      <c r="C7" s="68" t="s">
        <v>126</v>
      </c>
      <c r="D7" s="10"/>
    </row>
    <row r="8" spans="1:5" ht="7.5" customHeight="1" x14ac:dyDescent="0.15">
      <c r="A8" s="11"/>
      <c r="B8" s="11"/>
      <c r="C8" s="11"/>
      <c r="D8" s="11"/>
    </row>
    <row r="9" spans="1:5" ht="18.75" customHeight="1" x14ac:dyDescent="0.15">
      <c r="A9" s="12" t="s">
        <v>3</v>
      </c>
      <c r="B9" s="8" t="s">
        <v>25</v>
      </c>
      <c r="C9" s="18"/>
      <c r="D9" s="18"/>
    </row>
    <row r="10" spans="1:5" ht="18.75" customHeight="1" x14ac:dyDescent="0.15">
      <c r="B10" s="136" t="s">
        <v>22</v>
      </c>
      <c r="C10" s="177"/>
      <c r="D10" s="31" t="s">
        <v>24</v>
      </c>
    </row>
    <row r="11" spans="1:5" ht="19.149999999999999" customHeight="1" x14ac:dyDescent="0.15">
      <c r="B11" s="180" t="s">
        <v>14</v>
      </c>
      <c r="C11" s="181"/>
      <c r="D11" s="182"/>
    </row>
    <row r="12" spans="1:5" ht="144.75" customHeight="1" x14ac:dyDescent="0.15">
      <c r="B12" s="33"/>
      <c r="C12" s="34" t="s">
        <v>15</v>
      </c>
      <c r="D12" s="52" t="s">
        <v>162</v>
      </c>
    </row>
    <row r="13" spans="1:5" ht="143.25" customHeight="1" x14ac:dyDescent="0.15">
      <c r="B13" s="33"/>
      <c r="C13" s="35" t="s">
        <v>16</v>
      </c>
      <c r="D13" s="52" t="s">
        <v>161</v>
      </c>
    </row>
    <row r="14" spans="1:5" ht="143.25" customHeight="1" x14ac:dyDescent="0.15">
      <c r="B14" s="33"/>
      <c r="C14" s="34" t="s">
        <v>17</v>
      </c>
      <c r="D14" s="52" t="s">
        <v>163</v>
      </c>
    </row>
    <row r="15" spans="1:5" ht="129" customHeight="1" x14ac:dyDescent="0.15">
      <c r="B15" s="33"/>
      <c r="C15" s="34" t="s">
        <v>18</v>
      </c>
      <c r="D15" s="52" t="s">
        <v>164</v>
      </c>
    </row>
    <row r="16" spans="1:5" ht="162.75" customHeight="1" x14ac:dyDescent="0.15">
      <c r="B16" s="36"/>
      <c r="C16" s="37" t="s">
        <v>148</v>
      </c>
      <c r="D16" s="53" t="s">
        <v>165</v>
      </c>
    </row>
    <row r="17" spans="2:4" ht="19.149999999999999" customHeight="1" x14ac:dyDescent="0.15">
      <c r="B17" s="32" t="s">
        <v>19</v>
      </c>
      <c r="C17" s="38"/>
      <c r="D17" s="39"/>
    </row>
    <row r="18" spans="2:4" ht="143.25" customHeight="1" x14ac:dyDescent="0.15">
      <c r="B18" s="33"/>
      <c r="C18" s="34" t="s">
        <v>149</v>
      </c>
      <c r="D18" s="52" t="s">
        <v>166</v>
      </c>
    </row>
    <row r="19" spans="2:4" ht="142.5" customHeight="1" x14ac:dyDescent="0.15">
      <c r="B19" s="36"/>
      <c r="C19" s="37" t="s">
        <v>20</v>
      </c>
      <c r="D19" s="53" t="s">
        <v>167</v>
      </c>
    </row>
    <row r="20" spans="2:4" ht="142.5" customHeight="1" x14ac:dyDescent="0.15">
      <c r="B20" s="175" t="s">
        <v>21</v>
      </c>
      <c r="C20" s="176"/>
      <c r="D20" s="54" t="s">
        <v>168</v>
      </c>
    </row>
    <row r="21" spans="2:4" ht="146.25" customHeight="1" x14ac:dyDescent="0.15">
      <c r="B21" s="174" t="s">
        <v>150</v>
      </c>
      <c r="C21" s="171"/>
      <c r="D21" s="55" t="s">
        <v>169</v>
      </c>
    </row>
    <row r="22" spans="2:4" ht="22.5" customHeight="1" x14ac:dyDescent="0.15">
      <c r="B22" s="18"/>
      <c r="C22" s="18"/>
      <c r="D22" s="18"/>
    </row>
    <row r="23" spans="2:4" ht="22.5" customHeight="1" x14ac:dyDescent="0.15">
      <c r="B23" s="18"/>
      <c r="C23" s="18"/>
      <c r="D23" s="18"/>
    </row>
    <row r="24" spans="2:4" ht="22.5" customHeight="1" x14ac:dyDescent="0.15">
      <c r="B24" s="18"/>
      <c r="C24" s="18"/>
      <c r="D24" s="18"/>
    </row>
    <row r="25" spans="2:4" ht="22.5" customHeight="1" x14ac:dyDescent="0.15">
      <c r="B25" s="18"/>
      <c r="C25" s="18"/>
      <c r="D25" s="18"/>
    </row>
    <row r="26" spans="2:4" ht="22.5" customHeight="1" x14ac:dyDescent="0.15">
      <c r="B26" s="18"/>
      <c r="C26" s="18"/>
      <c r="D26" s="18"/>
    </row>
    <row r="27" spans="2:4" ht="22.5" customHeight="1" x14ac:dyDescent="0.15">
      <c r="B27" s="15"/>
      <c r="C27" s="15"/>
      <c r="D27" s="15"/>
    </row>
    <row r="28" spans="2:4" ht="22.5" customHeight="1" x14ac:dyDescent="0.15">
      <c r="B28" s="15"/>
      <c r="C28" s="15"/>
      <c r="D28" s="15"/>
    </row>
    <row r="29" spans="2:4" ht="22.5" customHeight="1" x14ac:dyDescent="0.15">
      <c r="B29" s="15"/>
      <c r="C29" s="15"/>
      <c r="D29" s="15"/>
    </row>
  </sheetData>
  <mergeCells count="8">
    <mergeCell ref="A2:E2"/>
    <mergeCell ref="B4:C4"/>
    <mergeCell ref="B21:C21"/>
    <mergeCell ref="B20:C20"/>
    <mergeCell ref="B10:C10"/>
    <mergeCell ref="A6:B6"/>
    <mergeCell ref="A7:B7"/>
    <mergeCell ref="B11:D11"/>
  </mergeCells>
  <phoneticPr fontId="1"/>
  <printOptions horizontalCentered="1"/>
  <pageMargins left="0.78740157480314965" right="0.78740157480314965" top="0.78740157480314965" bottom="0.59055118110236227" header="0.31496062992125984" footer="0.31496062992125984"/>
  <pageSetup paperSize="9" scale="67" fitToHeight="0" orientation="portrait" r:id="rId1"/>
  <rowBreaks count="1" manualBreakCount="1">
    <brk id="16"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構成する授業科目</vt:lpstr>
      <vt:lpstr>様式２ 履修者等数の実績</vt:lpstr>
      <vt:lpstr>様式３ 教育の質・履修者数を向上させる体制・計画</vt:lpstr>
      <vt:lpstr>様式４　自己点検・評価</vt:lpstr>
      <vt:lpstr>'様式１　構成する授業科目'!Print_Area</vt:lpstr>
      <vt:lpstr>'様式２ 履修者等数の実績'!Print_Area</vt:lpstr>
      <vt:lpstr>'様式３ 教育の質・履修者数を向上させる体制・計画'!Print_Area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2025-10-09T06:43:13Z</dcterms:created>
  <dcterms:modified xsi:type="dcterms:W3CDTF">2026-01-20T07:48:55Z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2025-10-09T06:43:26Z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3a091721-34b5-418c-aac0-afbae51c0c5b</vt:lpwstr>
  </property>
  <property fmtid="{D5CDD505-2E9C-101B-9397-08002B2CF9AE}" pid="8" name="MSIP_Label_d899a617-f30e-4fb8-b81c-fb6d0b94ac5b_ContentBits">
    <vt:lpwstr>0</vt:lpwstr>
  </property>
  <property fmtid="{D5CDD505-2E9C-101B-9397-08002B2CF9AE}" pid="9" name="MSIP_Label_d899a617-f30e-4fb8-b81c-fb6d0b94ac5b_Tag">
    <vt:lpwstr>10, 3, 0, 1</vt:lpwstr>
  </property>
</Properties>
</file>