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様式１　構成する授業科目" sheetId="1" r:id="rId4"/>
    <sheet state="visible" name="様式２ 履修者等数の実績" sheetId="2" r:id="rId5"/>
    <sheet state="visible" name="様式３ 教育の質・履修者数を向上させる体制・計画" sheetId="3" r:id="rId6"/>
    <sheet state="visible" name="様式４　自己点検・評価" sheetId="4" r:id="rId7"/>
  </sheets>
  <definedNames/>
  <calcPr/>
  <extLst>
    <ext uri="GoogleSheetsCustomDataVersion2">
      <go:sheetsCustomData xmlns:go="http://customooxmlschemas.google.com/" r:id="rId8" roundtripDataChecksum="ItG+zvznDlxZztjuDSro0bKC3/IPC4h4bGyPeSpcPsg="/>
    </ext>
  </extLst>
</workbook>
</file>

<file path=xl/sharedStrings.xml><?xml version="1.0" encoding="utf-8"?>
<sst xmlns="http://schemas.openxmlformats.org/spreadsheetml/2006/main" count="226" uniqueCount="173">
  <si>
    <t>数理・データサイエンス・AI教育プログラム認定制度【リテラシーレベル】令和７年度申請用</t>
  </si>
  <si>
    <t>様式１</t>
  </si>
  <si>
    <t>大学等名</t>
  </si>
  <si>
    <t>ZEN大学</t>
  </si>
  <si>
    <t>プログラム名</t>
  </si>
  <si>
    <t>数理・データサイエンス・AI教育プログラム</t>
  </si>
  <si>
    <t>リテラシーレベルのプログラムを構成する授業科目について</t>
  </si>
  <si>
    <t>① 教育プログラムの修了要件</t>
  </si>
  <si>
    <t>学部・学科によって、修了要件は相違しない</t>
  </si>
  <si>
    <t>② 対象となる学部・学科名称</t>
  </si>
  <si>
    <t>③ プログラム履修必須の有無</t>
  </si>
  <si>
    <t>令和６年度以前又は令和７年度より、履修することが必須のプログラムとして実施</t>
  </si>
  <si>
    <t>④ 修了要件</t>
  </si>
  <si>
    <t>現代社会と数学の2単位を修得すること
ITリテラシーの2単位を修得すること
人工知能活用実践の2単位を修得すること</t>
  </si>
  <si>
    <t>⑤プログラム構成科目</t>
  </si>
  <si>
    <t>必要最低科目数・単位数</t>
  </si>
  <si>
    <t>科目</t>
  </si>
  <si>
    <t>単位</t>
  </si>
  <si>
    <t>モデルカリキュラム対応状況</t>
  </si>
  <si>
    <t>授業科目</t>
  </si>
  <si>
    <t>単位数</t>
  </si>
  <si>
    <t>1-1</t>
  </si>
  <si>
    <t>1-2</t>
  </si>
  <si>
    <t>1-3</t>
  </si>
  <si>
    <t>1-4</t>
  </si>
  <si>
    <t>1-5</t>
  </si>
  <si>
    <t>1-6</t>
  </si>
  <si>
    <t>2-1</t>
  </si>
  <si>
    <t>2-2</t>
  </si>
  <si>
    <t>2-3</t>
  </si>
  <si>
    <t>3-1</t>
  </si>
  <si>
    <t>3-2</t>
  </si>
  <si>
    <t>4-1</t>
  </si>
  <si>
    <t>4-2</t>
  </si>
  <si>
    <t>4-3</t>
  </si>
  <si>
    <t>4-4</t>
  </si>
  <si>
    <t>4-5</t>
  </si>
  <si>
    <t>4-6</t>
  </si>
  <si>
    <t>4-7</t>
  </si>
  <si>
    <t>4-8</t>
  </si>
  <si>
    <t>4-9</t>
  </si>
  <si>
    <t>その他</t>
  </si>
  <si>
    <r>
      <rPr>
        <rFont val="ＭＳ Ｐゴシック"/>
        <b/>
        <color theme="1"/>
        <sz val="12.0"/>
      </rPr>
      <t>（１）必須科目</t>
    </r>
    <r>
      <rPr>
        <rFont val="ＭＳ Ｐゴシック"/>
        <color theme="1"/>
        <sz val="12.0"/>
      </rPr>
      <t>（プログラムを修了するために必ず履修しなければならない科目）
※卒業要件上の必修科目とは必ずしもイコールではない</t>
    </r>
  </si>
  <si>
    <t>現代社会と数学</t>
  </si>
  <si>
    <t>○</t>
  </si>
  <si>
    <t>ITリテラシー</t>
  </si>
  <si>
    <t>人工知能活用実践</t>
  </si>
  <si>
    <r>
      <rPr>
        <rFont val="ＭＳ Ｐゴシック"/>
        <b/>
        <color theme="1"/>
        <sz val="12.0"/>
      </rPr>
      <t>（２）選択必須科目</t>
    </r>
    <r>
      <rPr>
        <rFont val="ＭＳ Ｐゴシック"/>
        <color theme="1"/>
        <sz val="12.0"/>
      </rPr>
      <t>（プログラムを修了するために一定の条件のもと履修しなければならない科目）</t>
    </r>
  </si>
  <si>
    <r>
      <rPr>
        <rFont val="MS PGothic"/>
        <b/>
        <color theme="1"/>
        <sz val="12.0"/>
      </rPr>
      <t>（３）選択科目</t>
    </r>
    <r>
      <rPr>
        <rFont val="ＭＳ Ｐゴシック"/>
        <b val="0"/>
        <color theme="1"/>
        <sz val="12.0"/>
      </rPr>
      <t>（プログラムを構成する科目のうち「必須科目」「選択必須科目」のいずれにも該当しない科目）</t>
    </r>
  </si>
  <si>
    <t>⑥ プログラムを構成する授業の内容</t>
  </si>
  <si>
    <t>授業に含まれている内容・要素</t>
  </si>
  <si>
    <t>授業に含まれているスキルセットのキーワード</t>
  </si>
  <si>
    <t>（１）現在進行中の社会変化（第４次産業革命、Society 5.0、データ駆動型社会等）に深く寄与しているものであり、それが自らの生活と密接に結びついている</t>
  </si>
  <si>
    <t>・ビッグデータ、AI、生成AI 「現代社会と数学」（８回目）
・IoT 、ロボット「ITリテラシー」（１回目）
・データ量の増加、計算機の処理性能の向上、AIの非連続的進化 「現代社会と数学」（８回目）
・Society 5.0 「ITリテラシー」（１回目）
・複数技術を組み合わせたAIサービス 「人工知能活用実践」（６回目）
・人間の知的活動とAIの関係性 「人工知能活用実践」（１回目）
・データを起点としたものの見方、人間の知的活動を起点としたものの見方 「ITリテラシー」（３回目）</t>
  </si>
  <si>
    <t>・AI最新技術の活用例（深層生成モデル、強化学習、転移学習、生成AIなど） 「人工知能活用実践」（４回目）、「現代社会と数学」（８回目）、「ITリテラシー」（３回目）
・AI等を活用した新しいビジネスモデル(シェアリングエコノミー、商品のレコメンデーションなど) 「人工知能活用実践」（１回目）
・基盤モデル、大規模言語モデル、拡散モデル 「人工知能活用実践」（２回目、６回目、15回目）</t>
  </si>
  <si>
    <t>（２）「社会で活用されているデータ」や「データの活用領域」は非常に広範囲であって、日常生活や社会の課題を解決する有用なツールになり得るもの</t>
  </si>
  <si>
    <t>・調査データ、実験データ 「人工知能活用実践」（15回目）
・人の行動ログデータ、機械の稼働ログデータ 「ITリテラシー」（３回目）
・1次データ、2次データ 「人工知能活用実践」（15回目）
・メタデータ 「ITリテラシー」（３回目）
・構造化データ、非構造化データ（文章、画像/動画、音声/音楽など）  「人工知能活用実践」（６回目）、「ITリテラシー」（３回目）
・データ作成（ビッグデータとアノテーション） 「ITリテラシー」（３回目）
・データのオープン化（オープンデータ） 「人工知能活用実践」（９回目）</t>
  </si>
  <si>
    <t>・データ・AI活用領域の広がり(生産、消費、文化活動など) 「人工知能活用実践」（１回目）
・研究開発、調達、製造、物流、マーケティング、サービス 「人工知能活用実践」（１回目）
・仮説検証 、知識発見「ITリテラシー」（３回目）
・計画策定、判断支援、活動代替、新規生成  「人工知能活用実践」（１回目）
・対話、コンテンツ生成、翻訳・要約・執筆支援、コーディング支援など生成AIの応用 「人工知能活用実践」（１回目）</t>
  </si>
  <si>
    <t>（３）様々なデータ利活用の現場におけるデータ利活用事例が示され、様々な適用領域（流通、製造、金融、サービス、インフラ、公共、ヘルスケア等）の知見と組み合わせることで価値を創出するもの</t>
  </si>
  <si>
    <t>・データ解析：予測、パターン発見、最適化、モデル化とシミュレーション・データ同化 「ITリテラシー」（３回目）、「現代社会と数学」（１回目、３回目）
・データ可視化：複合グラフ、2軸グラフ、多次元の可視化、関係性の可視化、地図上の可視化 「人工知能活用実践」（15回目）
・非構造化データ処理：言語処理、画像/動画処理、音声/音楽処理など「ITリテラシー」（４回目）、「人工知能活用実践」（６回目）
・特化型AIと汎用AI、今のAIで出来ることと出来ないこと 「人工知能活用実践」（１回目）
・AIとビッグデータ 「現代社会と数学」（８回目）
・認識技術、ルールベース、自動化技術 「ITリテラシー」（３回目）
・マルチモーダル（言語、画像、音声 など）  「人工知能活用実践」（６回目）
・生成AIの活用（プロンプトエンジニアリング） 「人工知能活用実践」（２回目）</t>
  </si>
  <si>
    <t>・データサイエンスのサイクル（課題抽出と定式化、データの取得・管理・加工、探索的データ解析、データ解析と推論、結果の共有・伝達、課題解決に向けた提案） 「人工知能活用実践」（９回目、10回目）
・教育、芸術、流通、製造、金融、サービス、インフラ、公共、ヘルスケア等におけるデータ・AI利活用事例紹介「人工知能活用実践」（４回目）</t>
  </si>
  <si>
    <t>（４）活用に当たっての様々な留意事項（ELSI、個人情報、データ倫理、ＡＩ社会原則等）を考慮し、情報セキュリティや情報漏洩等、データを守る上での留意事項への理解をする</t>
  </si>
  <si>
    <t>・倫理的・法的・社会的課題（ELSI：Ethical, Legal and Social Issues） 「人工知能活用実践」（15回目）
・個人情報保護、EU一般データ保護規則(GDPR)、忘れられる権利、オプトアウト 「人工知能活用実践」（15回目）
・データ倫理：データのねつ造、改ざん、盗用、プライバシー保護 「人工知能活用実践」（15回目）
・AI社会原則（公平性、説明責任、透明性、人間中心の判断） 「人工知能活用実践」（15回目）
・データバイアス、アルゴリズムバイアス  「人工知能活用実践」（15回目）
・AIサービスの責任論  「人工知能活用実践」（15回目）
・データガバナンス 「人工知能活用実践」（15回目）
・データ・AI活用における負の事例紹介 「ITリテラシー」（３回目）
・生成AIの留意事項（ハルシネーションによる誤情報の生成、偽情報や有害コンテンツの生成・氾濫 など）  「人工知能活用実践」（１回目）</t>
  </si>
  <si>
    <t>・情報セキュリティの3要素（機密性、完全性、可用性） 「ITリテラシー」（10回目） 
・ユーザ認証とパスワード、アクセス制御、悪意ある情報搾取 「ITリテラシー」（２回目）
・暗号化と復号 「ITリテラシー」（10回目）、「現代社会と数学」（７回目）
・情報漏洩等によるセキュリティ事故の事例紹介 「ITリテラシー」（２回目）
・サイバーセキュリティ 「ITリテラシー」（10回目）</t>
  </si>
  <si>
    <t>（５）実データ・実課題（学術データ等を含む）を用いた演習など、社会での実例を題材として、「データを読む、説明する、扱う」といった数理・データサイエンス・ＡＩの基本的な活用法に関するもの</t>
  </si>
  <si>
    <t>・データの種類（量的変数、質的変数） 「ITリテラシー」（３回目）
・データの分布(ヒストグラム)と代表値（平均値、中央値、最頻値）「ITリテラシー」（３回目）、「現代社会と数学」（８回目）
・代表値の性質の違い（実社会では平均値＝最頻値でないことが多い） 「ITリテラシー」（３回目）
・データのばらつき（分散、標準偏差、偏差値）、外れ値 「ITリテラシー」（３回目）
・相関と因果（相関係数、擬似相関、交絡） 「ITリテラシー」（３回目）、「現代社会と数学」（８回目）
・層別の必要なデータ 「現代社会と数学」（10回目）
・母集団と標本抽出（国勢調査、アンケート調査、全数調査、単純無作為抽出、層別抽出、多段抽出） 「ITリテラシー」（３回目）
・統計情報の正しい理解（誇張表現に惑わされない） 「現代社会と数学」（１回目）</t>
  </si>
  <si>
    <t>・データ表現（棒グラフ、折線グラフ、散布図） 「現代社会と数学」（８回目）
・処理の前後での比較 「人工知能活用実践」（15回目）
・A/Bテスト 「ITリテラシー」（３回目）
・不適切なグラフ表現 「人工知能活用実践」（15回目）
・優れた可視化事例の紹介（可視化することによって新たな気づきがあった事例など） 「現代社会と数学」（８回目）
・相手に的確かつ正確に情報を伝える技術や考え方（スライド作成、プレゼンテーションなど）「人工知能活用実践」（13回目、14回目）</t>
  </si>
  <si>
    <t>・データの取得（機械判読可能なデータの作成・表記方法） 「人工知能活用実践」（９回目）
・データの集計（和、平均）  「現代社会と数学」（10回目）
・データの並び替え、ランキング 「現代社会と数学」（10回目）
・データ解析ツール（スプレッドシート、BIツール）  「現代社会と数学」（10回目）
・表形式のデータ（csv） 「人工知能活用実践」（９回目）</t>
  </si>
  <si>
    <t>⑦プログラムの学修成果（学生等が身に付けられる能力等）</t>
  </si>
  <si>
    <t>本プログラムでは、学生がAIやデータサイエンスを理解し、AIを「つかう」人材として、社会やビジネスの課題解決に活用できる基礎的能力を体系的に修得することができる。
1. 情報リテラシー力：ICTを安全かつ効果的に活用し、情報の収集・整理・発信を適切に行う力
2. 数学的思考力・データ理解力：現代社会の課題を数理的に分析・解釈する力を養う。基本統計量やグラフを正しく解釈できる力
3. AI活用能力：AIを「つかう」ことにフォーカスをおき、生成AIを目的に応じて活用できる力を修得するとともに、その利用に伴う倫理的・社会的な側面への配慮を行う姿勢</t>
  </si>
  <si>
    <t>様式２</t>
  </si>
  <si>
    <t>リテラシーレベルのプログラムの履修者数等の実績について</t>
  </si>
  <si>
    <t>①プログラム開設年度</t>
  </si>
  <si>
    <t>令和7</t>
  </si>
  <si>
    <t>年度（和暦）</t>
  </si>
  <si>
    <t>②履修者・修了者の実績（「学生数」「入学定員」「収容定員」は令和７年５月１日時点で記載）</t>
  </si>
  <si>
    <t>学部・学科名称</t>
  </si>
  <si>
    <t>学生数</t>
  </si>
  <si>
    <t>入学
定員</t>
  </si>
  <si>
    <t>収容
定員</t>
  </si>
  <si>
    <t>令和7年度</t>
  </si>
  <si>
    <t>令和6年度</t>
  </si>
  <si>
    <t>令和5年度</t>
  </si>
  <si>
    <t>令和4年度</t>
  </si>
  <si>
    <t>令和3年度</t>
  </si>
  <si>
    <t>令和2年度</t>
  </si>
  <si>
    <t>履修者数
合計</t>
  </si>
  <si>
    <t>履修率</t>
  </si>
  <si>
    <t>うち女性</t>
  </si>
  <si>
    <t>履修者数</t>
  </si>
  <si>
    <t>修了者数</t>
  </si>
  <si>
    <t>知能情報社会学部</t>
  </si>
  <si>
    <t>合　計</t>
  </si>
  <si>
    <t xml:space="preserve">　　　　　　　　　　　　　　　　　　　　　　　　　　　　　　　　　　　　　　　　　　　　　　　　　　　　　　　　　　　　　　　　　　　　　　　　　　　　　　　　　　　　　　　　　　　　　　　　　　　　　　　　　　　　　　　　　　　　　　　　　　　　　　　　　　　　　　　　　　　　　　　　　　　　　　　　　　　　　　　　　　　　　　　　　　　　　　　　　　　　　　　　　　　　　　　　　　　　　　　　　　　　　　　　　　　　　　　　　　　　　　　　　　　　　　　　　　　　　　　　　　　　　　　　　　　　　　　　　　　　　　　　　　　　　　　　　　　　　　　　　　　　　　　　　　　　　　　　　　　　　　　　　　　　　　　　　　　　　　　　　　　　　　　　　　　　　　　　　　　　　　　　　　　　　　　　　　　　　　　　　　　　　　　　　　　　　　　　　　　　　　　　　　　　　　　　　　　　　　　　　　　　　　　　　　　　　　　　　　　　　　　　　　　　　　　　　　　　　　　　　　　　　　　　　　　　　　　　　　　　　　　　　　　　　　　　　　　　　　　　　　　　　　　　　　　　　　　　　　　　　　　　　　　　　　　　　　　　　　　　　　　　　　　　　　　　　　　　　　　　　　　　　　　　　　　　　　　　　　　　　　　　　　　　　　　　　　　　　　　　　　　　　　　　　　　　　　　　　　　　　　　　　　　　　　　　　　　　　　　　　　　　　　　　　　　　　　　　　　　　　　　　　　　　　　　　　　　　　　　　　　　　　　　　　　　　　　　　　　　　　　　　　　　　　　　　　　　　　　　　　　　　　　　　　　　　　　　　　　　　　　　　　　　　　　　　　　</t>
  </si>
  <si>
    <t>様式３</t>
  </si>
  <si>
    <t>教育の質・履修者数を向上させるための体制・計画について</t>
  </si>
  <si>
    <t>①</t>
  </si>
  <si>
    <t>全学の教員数</t>
  </si>
  <si>
    <t>(常勤）</t>
  </si>
  <si>
    <t>人</t>
  </si>
  <si>
    <t>（非常勤）</t>
  </si>
  <si>
    <t>②</t>
  </si>
  <si>
    <t>プログラムの授業を教えている教員数（令和７年度）</t>
  </si>
  <si>
    <t>③</t>
  </si>
  <si>
    <t>プログラムの運営責任者</t>
  </si>
  <si>
    <t>（責任者名）</t>
  </si>
  <si>
    <t>渡邉 聡</t>
  </si>
  <si>
    <t>（役職名）</t>
  </si>
  <si>
    <t>知能情報社会学部長</t>
  </si>
  <si>
    <t>④</t>
  </si>
  <si>
    <t>プログラムを改善・進化させるための体制（委員会・組織等）</t>
  </si>
  <si>
    <t>（名称）</t>
  </si>
  <si>
    <t>FD・SD委員会</t>
  </si>
  <si>
    <t>⑤</t>
  </si>
  <si>
    <t>プログラムを改善・進化させるための体制を定める規則名称</t>
  </si>
  <si>
    <t>「数理・データサイエンス・AI教育プログラム」実施要項</t>
  </si>
  <si>
    <t>⑥</t>
  </si>
  <si>
    <t>体制の目的</t>
  </si>
  <si>
    <t>本体制は、授業内容および教育方法の継続的な改善を行うとともに、日々進展するAIやデータサイエンス分野の最新の知識・技術を適切に教育課程へ取り入れることを目的とする。これにより、学生が社会で活用可能な知識・技能を修得できるよう、教育の質の向上とプログラムの進化を図る。</t>
  </si>
  <si>
    <t>⑦</t>
  </si>
  <si>
    <t>具体的な構成員</t>
  </si>
  <si>
    <t xml:space="preserve">委員長　渡邉聡（知能情報社会学部長・教授）
委員　作道直幸（准教授）
委員　平田まり（法人本部長）
委員　台野郁朗（事務部門副本部長）
委員　藤森志保（学事部門副本部長）
</t>
  </si>
  <si>
    <t>⑧</t>
  </si>
  <si>
    <t xml:space="preserve">履修者数・履修率の向上に向けた計画 </t>
  </si>
  <si>
    <t>令和７年度履修率</t>
  </si>
  <si>
    <t>令和８年度予定</t>
  </si>
  <si>
    <t>令和９年度予定</t>
  </si>
  <si>
    <t>令和10年度予定</t>
  </si>
  <si>
    <t>令和11年度予定</t>
  </si>
  <si>
    <t>具体的な計画</t>
  </si>
  <si>
    <t>令和7年度は開学初年度であり、前期のみの実績値であるため履修率は8%となっている。しかし、本申請科目は卒業要件である必修科目であるため、後期および次年度以降の再履修を含め、最終的には全学生が履修する計画である。
令和8年度以降は、学生の年次進行に伴い、1年次に未履修であった学生や再履修者が加わること、および学内アドバイザーによる履修指導（履修推奨）を徹底することで、各年度の履修者数が積み上がり、履修率（累積）は着実に向上していく。
具体的には、令和8年度には32%を見込み、以降は年次進行に合わせて年間約16%ずつの着実な増加を計画している。令和9年度以降は学習支援体制をさらに強化し、令和10年度には目標である64% を達成、完成年度である令和11年度には80%以上の履修率（実質的な全学生の修得）を目指す。</t>
  </si>
  <si>
    <t>⑨</t>
  </si>
  <si>
    <t>学部・学科に関係なく希望する学生全員が受講可能となるような必要な体制・取組等</t>
  </si>
  <si>
    <r>
      <rPr>
        <rFont val="MS PGothic"/>
        <color rgb="FF000000"/>
        <sz val="12.0"/>
      </rPr>
      <t>本プログラムを構成する3科目は全学共通の必修科目として位置づけられており、学部・学科を問わず全ての学生が卒業までに必ず履修する体制となっている。そのため、希望する学生全員が受講可能であることが制度上担保されている。
また、各科目の履修についてもオンライン配信の授業である特性上、</t>
    </r>
    <r>
      <rPr>
        <rFont val="MS PGothic"/>
        <color rgb="FF000000"/>
        <sz val="12.0"/>
      </rPr>
      <t>履修者数の上限等を設定しておらず、また年に2回開講していることから、</t>
    </r>
    <r>
      <rPr>
        <rFont val="MS PGothic"/>
        <color rgb="FF000000"/>
        <sz val="12.0"/>
      </rPr>
      <t>受講機会が制限されることはなく、</t>
    </r>
    <r>
      <rPr>
        <rFont val="MS PGothic"/>
        <color rgb="FF000000"/>
        <sz val="12.0"/>
      </rPr>
      <t>希望する全員が受講可能な状態となる。</t>
    </r>
  </si>
  <si>
    <t>⑩</t>
  </si>
  <si>
    <t>できる限り多くの学生が履修できるような具体的な周知方法・取組</t>
  </si>
  <si>
    <t>本プログラムを構成する科目は「導入科目」として全学共通の必修科目に位置づけられているため、全学生が卒業までに必ず履修することとなっている。「導入科目」は本学における学びの全体像と学修を進めるための方法を教える科目と、本学が扱うあらゆる学問領域における学修の出発点となる科目として設定されていることから、入学後早い段階で履修するよう、履修モデルを使用し学生に提示している。加えて、新入生オリエンテーションや入学当初に実施する履修ガイダンス、シラバス・大学ポータルサイトを通じて必修科目であることを明確に周知し、学生が早期の段階で確実に履修できるよう取組みを行っている。</t>
  </si>
  <si>
    <t>⑪</t>
  </si>
  <si>
    <t>できる限り多くの学生が履修・修得できるようなサポート体制</t>
  </si>
  <si>
    <t>本学では、学生が確実に履修・修得できるよう、クラス・コーチを設けている。クラス・コーチは各学生の履修状況、単位修得状況、授業進捗状況を定期的に確認し、必要に応じて個別に連絡を行い、学修のつまずきや履修漏れを防止している。また、履修計画や学習方法に関する相談にも応じ、全学生が円滑に学修を進められるよう支援体制を整えている。これにより、履修率および単位修得率の向上につながっている。</t>
  </si>
  <si>
    <t>⑫</t>
  </si>
  <si>
    <t>授業時間内外で学習指導、質問を受け付ける具体的な仕組み</t>
  </si>
  <si>
    <t>本学の授業は独自のLMSである「ZEN Study」を通じて受講する仕組みとなっており、学生は授業内容に関する質問を「ZEN Study」上で行うことができる。
投稿された質問と回答はすべての受講生に公開されるため、学生は自身の疑問がすでに解決済みかを事前に確認できる仕組みとなっている。
また、アカデミック・アドバイザーやティーチング・アシスタントが原則24時間以内に回答を行う体制を整えており、学習上の不明点が長期間放置されることを防いでいる。これにより、非同期型授業における弱点を補完し、円滑な学習の進行と単位修得を支援している。</t>
  </si>
  <si>
    <t xml:space="preserve">　　　　　　　　　　　　　　　　　　　　　　　　　　　　　　　　　　　　　　　　　　　　　　　　　　　　　　　　　　　　　　　　　　　　　　　　　</t>
  </si>
  <si>
    <t>様式４</t>
  </si>
  <si>
    <t>自己点検・評価について</t>
  </si>
  <si>
    <t>プログラムの自己点検・評価を行う体制</t>
  </si>
  <si>
    <t>自己点検・外部評価委員会</t>
  </si>
  <si>
    <t>若山 正人</t>
  </si>
  <si>
    <t>自己点検・外部評価委員会委員長</t>
  </si>
  <si>
    <t>自己点検・評価体制における意見等</t>
  </si>
  <si>
    <t>自己点検・評価の視点</t>
  </si>
  <si>
    <t>自己点検・評価体制における意見・結果・改善に向けた取組等</t>
  </si>
  <si>
    <t>学内からの視点</t>
  </si>
  <si>
    <t>プログラムの履修・修得状況</t>
  </si>
  <si>
    <t>本プログラムの履修・修得状況については、履修・成績に関するシステムを通じて把握し、これらをもとに、毎学期終了後にとりまとめ履修者数・単位修得率・未修得者の属性等を集計・分析し、FDSD委員会において共有する。結果に基づき、クラスコーチやアカデミックアドバイザーによるフォロー体制を強化するなど、次の履修指導・学修支援の改善につなげる。上記が適切に運用されているかを自己点検・外部評価委員会が確認し、必要に応じて体制の見直しを行う。
令和7年度の春学期の履修・修得状況の報告は未了であるが、単純集計の結果、本プログラムを構成する3科目を全て履修している人数は1,123名であり、そのうち673名が本プログラムを修了している。</t>
  </si>
  <si>
    <t>学修成果</t>
  </si>
  <si>
    <t>各科目では、学修目標に対応した評価基準を明確化し、定期試験、成果物やレポート等を組み合わせて評価を行う。評価結果の分布をFDSD推進委員会で検証し、学修到達目標に対する達成状況や評価方法の妥当性を点検する。必要に応じて課題内容等を見直し、学生の学修成果が適切に向上するよう継続的に改善を図る。上記体制が適切に運用されているかを自己点検・外部評価委員会が確認し、必要に応じて体制の見直しを行う。
令和7年度春学期の本プログラムを構成する3科目のそれぞれの履修者と単位修得状況について、「ITリテラシー」の履修者は3,922名で単位修得率は76%、「現代社会と数学」の履修者は1,555名で単位修得率は74%、「人工知能活用実践」の履修者は2,507名で単位修得率は65%である(補足資料1)。</t>
  </si>
  <si>
    <t>学生アンケート等を通じた学生の内容の理解度</t>
  </si>
  <si>
    <t>毎クオーター毎に授業評価アンケートを実施し、内容の理解度や難易度に関する情報を収集している。
授業評価アンケート結果は教員個人にフィードバックするとともに、授業制作を行う教育開発部教育開発課およびFD・SD推進委員会で全体傾向を分析し、他の授業と比較している。改善の余地があるとされた授業については、説明方法や教材の改善、補助資料や確認テストの追加など具体的な改善策を講じる。また、次年度以降も同様の指標を継続的に追跡し、改善の効果検証を行う。上記体制が適切に運用されているかを自己点検・外部評価委員会が確認し、必要に応じて体制の見直しを行う。
令和7年度春学期の本プログラムを構成する3科目のそれぞれの授業評価アンケートの結果は補足資料を参照(補足資料2)。</t>
  </si>
  <si>
    <t>学生アンケート等を通じた後輩等他の学生への推奨度</t>
  </si>
  <si>
    <t>毎クオーター毎に実施する授業評価アンケートにおいて本プログラム科目の満足度や推奨度を継続的に調査し、その結果を授業改善の指標として活用する。
推奨度が相対的に低い科目・項目については、自由記述欄の意見をもとに、授業運営、課題量、評価方法、使用ツールなどの見直しを行う。改善後の推奨度の変化をモニタリングすることで、学生から「勧めたい」と思われるプログラムとなるよう継続的に改善を行う。
令和7年度春学期の本プログラムを構成する3科目のそれぞれの授業評価アンケートの結果は補足資料を参照(補足資料2)。</t>
  </si>
  <si>
    <t>全学的な履修者数、履修率向上に向けた計画の達成・進捗状況</t>
  </si>
  <si>
    <t>本プログラムを構成する科目については全て必修科目であるため、学生は本学を卒業するまでに必ず全ての科目を履修、単位修得する必要がある。
令和7年度春学期においては、履修に関するガイダンス、クラスガイダンス等の機会を通じ、早期での履修を促進しており、本プログラムを構成する3科目全てを履修している割合は令和7年度入学者においては28％（収容定員の8％）となっている。なお、「ITリテラシー」については3,922名（97.9％）が履修しており、秋学期に残る2科目を履修している学生もいることから、計画達成を見込むことができる。</t>
  </si>
  <si>
    <t>学外からの視点</t>
  </si>
  <si>
    <t>教育プログラム修了者の進路、活躍状況、企業等の評価</t>
  </si>
  <si>
    <t xml:space="preserve">本学は令和7年4月に開学したばかりであるため、現時点においては卒業生はおらず、進路、活躍状況、企業等の評価を確認できる状況ではない。
完成年度に向けては、キャリア・アドバイザーおよびキャリアサポートセンターと連携し、本プログラム修了者である卒業生の進路データを継続的に収集・整理するとともに、卒業生アンケート・進路先へのヒアリング等を通じて、社会・職場における数理・データサイエンス・AIの活用状況を把握する仕組みを設ける。この情報をカリキュラムや授業内容の見直しに生かす。
</t>
  </si>
  <si>
    <t>産業界からの視点を含めた教育プログラム内容・手法等への意見</t>
  </si>
  <si>
    <r>
      <rPr>
        <rFont val="MS PGothic"/>
        <color rgb="FF000000"/>
        <sz val="12.0"/>
      </rPr>
      <t>現時点では実施していないが、今後、課外活動での連携先、</t>
    </r>
    <r>
      <rPr>
        <rFont val="MS PGothic"/>
        <color rgb="FF000000"/>
        <sz val="12.0"/>
      </rPr>
      <t>インターンシップ受入企業や採用企業等へのヒアリングを実施し、本プログラムで育成した能力に対する評価や追加的に求められる能力を把握する仕組みを設ける。</t>
    </r>
  </si>
  <si>
    <t>数理・データサイエンス・ＡＩを「学ぶ楽しさ」「学ぶことの意義」を理解させること</t>
  </si>
  <si>
    <t>各科目において、理論にとどまらず、身近なデータや社会課題を題材とした演習・事例紹介を積極的に導入し、自分ごととして数理・データサイエンス・AIの意義を実感できる授業構成とする。
「人工知能活用実践」では、AIツールを用いた創作や問題解決の演習を継続的に拡充し、学生が成果物の発表や共有を行える場を設ける。
「ITリテラシー」「現代社会と数学」では、社会制度・ビジネス・人文科学など多様な分野の具体例を取り上げ、数理・データサイエンス・AIが社会・生活の中で果たす役割を理解させる。
これらの取り組みを通じ、「学ぶ楽しさ」「学ぶことの意義」を学生に認識させ、これらの成果を授業評価アンケートを用いて継続的に把握する。</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</si>
  <si>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</si>
  <si>
    <t>本プログラムでは、学生にとって「分かりやすい」授業とするために、以下の取組を継続的に行う。
・「人工知能活用実践」では、ライブ映像科目の特性を生かし、最新の生成AIや関連技術の動向を適宜取り上げるとともに、講義後にアーカイブ配信をZENStudy上に掲載し、復習しやすい環境を整える。
・「ITリテラシー」では、教員と聞き手役による対話形式や図解・デモンストレーションを計画的に取り入れ、専門用語や抽象概念を平易な言葉に置き換えて説明する工夫を継続する。
・「現代社会と数学」では、数学に苦手意識を持つ学生を想定した構成とし、導入部で日常的な例やストーリーを用いる。
これらの授業改善の取組について、授業評価アンケート結果や成績分布をもとに効果を検証し、FD・SD推進委員会において具体的な授業改善の方針を検討する。</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</si>
</sst>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_);[Red]\(0\)"/>
    <numFmt numFmtId="165" formatCode="#,##0_ "/>
  </numFmts>
  <fonts count="12">
    <font>
      <sz val="11.0"/>
      <color theme="1"/>
      <name val="Calibri"/>
      <scheme val="minor"/>
    </font>
    <font>
      <sz val="12.0"/>
      <color theme="1"/>
      <name val="MS PGothic"/>
    </font>
    <font/>
    <font>
      <sz val="11.0"/>
      <color theme="1"/>
      <name val="MS PGothic"/>
    </font>
    <font>
      <b/>
      <sz val="18.0"/>
      <color theme="1"/>
      <name val="MS PGothic"/>
    </font>
    <font>
      <sz val="14.0"/>
      <color theme="1"/>
      <name val="MS PGothic"/>
    </font>
    <font>
      <sz val="9.0"/>
      <color theme="1"/>
      <name val="MS PGothic"/>
    </font>
    <font>
      <b/>
      <sz val="9.0"/>
      <color theme="1"/>
      <name val="MS PGothic"/>
    </font>
    <font>
      <b/>
      <sz val="12.0"/>
      <color theme="1"/>
      <name val="MS PGothic"/>
    </font>
    <font>
      <sz val="10.0"/>
      <color theme="1"/>
      <name val="MS PGothic"/>
    </font>
    <font>
      <sz val="7.0"/>
      <color theme="1"/>
      <name val="MS PGothic"/>
    </font>
    <font>
      <sz val="12.0"/>
      <color rgb="FF000000"/>
      <name val="MS PGothic"/>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113">
    <border/>
    <border>
      <left/>
      <top/>
      <bottom/>
    </border>
    <border>
      <top/>
      <bottom/>
    </border>
    <border>
      <right/>
      <top/>
      <bottom/>
    </border>
    <border>
      <left/>
      <right/>
      <top/>
      <bottom/>
    </border>
    <border>
      <left style="thin">
        <color rgb="FF000000"/>
      </left>
      <top style="thin">
        <color rgb="FF000000"/>
      </top>
      <bottom style="thin">
        <color rgb="FF000000"/>
      </bottom>
    </border>
    <border>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top style="thin">
        <color rgb="FF000000"/>
      </top>
      <bottom style="hair">
        <color rgb="FF000000"/>
      </bottom>
    </border>
    <border>
      <left style="medium">
        <color rgb="FF000000"/>
      </left>
      <right style="thin">
        <color rgb="FF000000"/>
      </right>
      <top style="thin">
        <color rgb="FF000000"/>
      </top>
      <bottom style="hair">
        <color rgb="FF000000"/>
      </bottom>
    </border>
    <border>
      <left style="thin">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right style="thin">
        <color rgb="FF000000"/>
      </right>
      <top style="thin">
        <color rgb="FF000000"/>
      </top>
      <bottom style="hair">
        <color rgb="FF000000"/>
      </bottom>
    </border>
    <border>
      <left style="thin">
        <color rgb="FF000000"/>
      </left>
    </border>
    <border>
      <right style="thin">
        <color rgb="FF000000"/>
      </right>
    </border>
    <border>
      <left style="thin">
        <color rgb="FF000000"/>
      </left>
      <right/>
      <top style="hair">
        <color rgb="FF000000"/>
      </top>
      <bottom style="hair">
        <color rgb="FF000000"/>
      </bottom>
    </border>
    <border>
      <left style="medium">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medium">
        <color rgb="FF000000"/>
      </right>
      <top style="hair">
        <color rgb="FF000000"/>
      </top>
      <bottom style="hair">
        <color rgb="FF000000"/>
      </bottom>
    </border>
    <border>
      <left/>
      <right style="thin">
        <color rgb="FF000000"/>
      </right>
      <top style="hair">
        <color rgb="FF000000"/>
      </top>
      <bottom style="hair">
        <color rgb="FF000000"/>
      </bottom>
    </border>
    <border>
      <left style="thin">
        <color rgb="FF000000"/>
      </left>
      <bottom/>
    </border>
    <border>
      <right style="thin">
        <color rgb="FF000000"/>
      </right>
      <bottom/>
    </border>
    <border>
      <left style="thin">
        <color rgb="FF000000"/>
      </left>
      <right/>
      <top style="hair">
        <color rgb="FF000000"/>
      </top>
      <bottom style="thin">
        <color rgb="FF000000"/>
      </bottom>
    </border>
    <border>
      <left style="medium">
        <color rgb="FF000000"/>
      </left>
      <right style="thin">
        <color rgb="FF000000"/>
      </right>
      <top style="hair">
        <color rgb="FF000000"/>
      </top>
      <bottom style="thin">
        <color rgb="FF000000"/>
      </bottom>
    </border>
    <border>
      <left style="thin">
        <color rgb="FF000000"/>
      </left>
      <right style="thin">
        <color rgb="FF000000"/>
      </right>
      <top style="hair">
        <color rgb="FF000000"/>
      </top>
      <bottom style="thin">
        <color rgb="FF000000"/>
      </bottom>
    </border>
    <border>
      <left style="thin">
        <color rgb="FF000000"/>
      </left>
      <right style="medium">
        <color rgb="FF000000"/>
      </right>
      <top style="hair">
        <color rgb="FF000000"/>
      </top>
      <bottom style="thin">
        <color rgb="FF000000"/>
      </bottom>
    </border>
    <border>
      <left/>
      <right style="thin">
        <color rgb="FF000000"/>
      </right>
      <top style="hair">
        <color rgb="FF000000"/>
      </top>
      <bottom style="thin">
        <color rgb="FF000000"/>
      </bottom>
    </border>
    <border>
      <left style="thin">
        <color rgb="FF000000"/>
      </left>
      <right/>
      <top/>
      <bottom style="hair">
        <color rgb="FF000000"/>
      </bottom>
    </border>
    <border>
      <left style="medium">
        <color rgb="FF000000"/>
      </left>
      <right style="thin">
        <color rgb="FF000000"/>
      </right>
      <top/>
      <bottom style="hair">
        <color rgb="FF000000"/>
      </bottom>
    </border>
    <border>
      <left style="thin">
        <color rgb="FF000000"/>
      </left>
      <right style="thin">
        <color rgb="FF000000"/>
      </right>
      <top/>
      <bottom style="hair">
        <color rgb="FF000000"/>
      </bottom>
    </border>
    <border>
      <left style="thin">
        <color rgb="FF000000"/>
      </left>
      <right style="medium">
        <color rgb="FF000000"/>
      </right>
      <top/>
      <bottom style="hair">
        <color rgb="FF000000"/>
      </bottom>
    </border>
    <border>
      <left/>
      <right style="thin">
        <color rgb="FF000000"/>
      </right>
      <top/>
      <bottom style="hair">
        <color rgb="FF000000"/>
      </bottom>
    </border>
    <border>
      <left style="thin">
        <color rgb="FF000000"/>
      </left>
      <bottom style="thin">
        <color rgb="FF000000"/>
      </bottom>
    </border>
    <border>
      <right style="thin">
        <color rgb="FF000000"/>
      </right>
      <bottom style="thin">
        <color rgb="FF000000"/>
      </bottom>
    </border>
    <border>
      <left style="thin">
        <color rgb="FF000000"/>
      </left>
      <right/>
      <top/>
      <bottom style="thin">
        <color rgb="FF000000"/>
      </bottom>
    </border>
    <border>
      <left style="thin">
        <color rgb="FF000000"/>
      </left>
      <top/>
    </border>
    <border>
      <right style="thin">
        <color rgb="FF000000"/>
      </right>
      <top/>
    </border>
    <border>
      <left style="medium">
        <color rgb="FF000000"/>
      </left>
      <right style="thin">
        <color rgb="FF000000"/>
      </right>
      <top style="hair">
        <color rgb="FF000000"/>
      </top>
      <bottom style="medium">
        <color rgb="FF000000"/>
      </bottom>
    </border>
    <border>
      <left style="thin">
        <color rgb="FF000000"/>
      </left>
      <right style="thin">
        <color rgb="FF000000"/>
      </right>
      <top style="hair">
        <color rgb="FF000000"/>
      </top>
      <bottom style="medium">
        <color rgb="FF000000"/>
      </bottom>
    </border>
    <border>
      <left style="thin">
        <color rgb="FF000000"/>
      </left>
      <right style="medium">
        <color rgb="FF000000"/>
      </right>
      <top style="hair">
        <color rgb="FF000000"/>
      </top>
      <bottom style="medium">
        <color rgb="FF000000"/>
      </bottom>
    </border>
    <border>
      <right style="thin">
        <color rgb="FF000000"/>
      </right>
      <top style="thin">
        <color rgb="FF000000"/>
      </top>
      <bottom style="thin">
        <color rgb="FF000000"/>
      </bottom>
    </border>
    <border>
      <left style="thin">
        <color rgb="FF000000"/>
      </left>
      <right style="hair">
        <color rgb="FF000000"/>
      </right>
      <top style="thin">
        <color rgb="FF000000"/>
      </top>
    </border>
    <border>
      <left style="hair">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hair">
        <color rgb="FF000000"/>
      </right>
      <bottom/>
    </border>
    <border>
      <left style="hair">
        <color rgb="FF000000"/>
      </left>
      <right style="thin">
        <color rgb="FF000000"/>
      </right>
      <top style="hair">
        <color rgb="FF000000"/>
      </top>
      <bottom/>
    </border>
    <border>
      <left style="hair">
        <color rgb="FF000000"/>
      </left>
      <right style="thin">
        <color rgb="FF000000"/>
      </right>
      <top style="thin">
        <color rgb="FF000000"/>
      </top>
      <bottom style="hair">
        <color rgb="FF000000"/>
      </bottom>
    </border>
    <border>
      <left style="thin">
        <color rgb="FF000000"/>
      </left>
      <right style="hair">
        <color rgb="FF000000"/>
      </right>
      <bottom style="thin">
        <color rgb="FF000000"/>
      </bottom>
    </border>
    <border>
      <left style="hair">
        <color rgb="FF000000"/>
      </left>
      <right style="thin">
        <color rgb="FF000000"/>
      </right>
      <top style="hair">
        <color rgb="FF000000"/>
      </top>
      <bottom style="thin">
        <color rgb="FF000000"/>
      </bottom>
    </border>
    <border>
      <left style="thin">
        <color rgb="FF000000"/>
      </left>
      <right style="thin">
        <color rgb="FF000000"/>
      </right>
      <top/>
      <bottom style="thin">
        <color rgb="FF000000"/>
      </bottom>
    </border>
    <border>
      <left style="hair">
        <color rgb="FF000000"/>
      </left>
      <right style="thin">
        <color rgb="FF000000"/>
      </right>
      <top/>
      <bottom style="thin">
        <color rgb="FF000000"/>
      </bottom>
    </border>
    <border>
      <left style="thin">
        <color rgb="FF000000"/>
      </left>
      <right style="hair">
        <color rgb="FF000000"/>
      </right>
    </border>
    <border>
      <left style="hair">
        <color rgb="FF000000"/>
      </left>
      <right style="thin">
        <color rgb="FF000000"/>
      </right>
      <top style="hair">
        <color rgb="FF000000"/>
      </top>
      <bottom style="hair">
        <color rgb="FF000000"/>
      </bottom>
    </border>
    <border>
      <left style="thin">
        <color rgb="FF000000"/>
      </left>
      <right style="thin">
        <color rgb="FF000000"/>
      </right>
      <top style="thin">
        <color rgb="FF000000"/>
      </top>
    </border>
    <border>
      <left/>
      <right/>
      <top style="thin">
        <color rgb="FF000000"/>
      </top>
    </border>
    <border>
      <left style="thin">
        <color rgb="FF000000"/>
      </left>
      <right/>
      <top style="thin">
        <color rgb="FF000000"/>
      </top>
    </border>
    <border>
      <left style="thin">
        <color rgb="FF000000"/>
      </left>
      <top style="thin">
        <color rgb="FF000000"/>
      </top>
      <bottom style="hair">
        <color rgb="FF000000"/>
      </bottom>
    </border>
    <border>
      <right style="thin">
        <color rgb="FF000000"/>
      </right>
      <top style="thin">
        <color rgb="FF000000"/>
      </top>
      <bottom style="hair">
        <color rgb="FF000000"/>
      </bottom>
    </border>
    <border>
      <right/>
      <top style="thin">
        <color rgb="FF000000"/>
      </top>
      <bottom style="hair">
        <color rgb="FF000000"/>
      </bottom>
    </border>
    <border>
      <left/>
      <right style="thin">
        <color rgb="FF000000"/>
      </right>
      <top style="thin">
        <color rgb="FF000000"/>
      </top>
    </border>
    <border>
      <left style="thin">
        <color rgb="FF000000"/>
      </left>
      <right style="thin">
        <color rgb="FF000000"/>
      </right>
      <bottom style="thin">
        <color rgb="FF000000"/>
      </bottom>
    </border>
    <border>
      <left style="dotted">
        <color rgb="FF000000"/>
      </left>
      <right style="thin">
        <color rgb="FF000000"/>
      </right>
      <top style="dotted">
        <color rgb="FF000000"/>
      </top>
      <bottom style="thin">
        <color rgb="FF000000"/>
      </bottom>
    </border>
    <border>
      <left/>
      <right/>
      <bottom style="thin">
        <color rgb="FF000000"/>
      </bottom>
    </border>
    <border>
      <left style="thin">
        <color rgb="FF000000"/>
      </left>
      <right/>
      <bottom style="thin">
        <color rgb="FF000000"/>
      </bottom>
    </border>
    <border>
      <left/>
      <right style="thin">
        <color rgb="FF000000"/>
      </right>
      <bottom style="thin">
        <color rgb="FF000000"/>
      </bottom>
    </border>
    <border>
      <left style="dotted">
        <color rgb="FF000000"/>
      </left>
      <right style="thin">
        <color rgb="FF000000"/>
      </right>
      <top/>
      <bottom style="hair">
        <color rgb="FF000000"/>
      </bottom>
    </border>
    <border>
      <left/>
      <right/>
      <top/>
      <bottom style="hair">
        <color rgb="FF000000"/>
      </bottom>
    </border>
    <border>
      <left style="thin">
        <color rgb="FF000000"/>
      </left>
      <right/>
      <bottom style="hair">
        <color rgb="FF000000"/>
      </bottom>
    </border>
    <border>
      <left style="dotted">
        <color rgb="FF000000"/>
      </left>
      <right style="thin">
        <color rgb="FF000000"/>
      </right>
      <bottom style="hair">
        <color rgb="FF000000"/>
      </bottom>
    </border>
    <border>
      <left/>
      <right/>
      <bottom style="hair">
        <color rgb="FF000000"/>
      </bottom>
    </border>
    <border>
      <left style="thin">
        <color rgb="FF000000"/>
      </left>
      <right style="dotted">
        <color rgb="FF000000"/>
      </right>
      <bottom style="hair">
        <color rgb="FF000000"/>
      </bottom>
    </border>
    <border>
      <left style="thin">
        <color rgb="FF000000"/>
      </left>
      <right style="thin">
        <color rgb="FF000000"/>
      </right>
      <bottom style="hair">
        <color rgb="FF000000"/>
      </bottom>
    </border>
    <border>
      <left style="dotted">
        <color rgb="FF000000"/>
      </left>
      <right style="thin">
        <color rgb="FF000000"/>
      </right>
      <top style="hair">
        <color rgb="FF000000"/>
      </top>
      <bottom style="hair">
        <color rgb="FF000000"/>
      </bottom>
    </border>
    <border>
      <left/>
      <right/>
      <top style="hair">
        <color rgb="FF000000"/>
      </top>
      <bottom style="hair">
        <color rgb="FF000000"/>
      </bottom>
    </border>
    <border>
      <left style="thin">
        <color rgb="FF000000"/>
      </left>
      <right style="dotted">
        <color rgb="FF000000"/>
      </right>
      <top style="hair">
        <color rgb="FF000000"/>
      </top>
      <bottom style="hair">
        <color rgb="FF000000"/>
      </bottom>
    </border>
    <border>
      <left style="thin">
        <color rgb="FF000000"/>
      </left>
      <right style="thin">
        <color rgb="FF000000"/>
      </right>
      <top style="hair">
        <color rgb="FF000000"/>
      </top>
      <bottom style="double">
        <color rgb="FF000000"/>
      </bottom>
    </border>
    <border>
      <left style="thin">
        <color rgb="FF000000"/>
      </left>
      <right/>
      <top/>
      <bottom/>
    </border>
    <border>
      <left style="dotted">
        <color rgb="FF000000"/>
      </left>
      <right style="thin">
        <color rgb="FF000000"/>
      </right>
      <top/>
      <bottom/>
    </border>
    <border>
      <left/>
      <right style="thin">
        <color rgb="FF000000"/>
      </right>
      <top/>
      <bottom/>
    </border>
    <border>
      <left style="thin">
        <color rgb="FF000000"/>
      </left>
      <right style="thin">
        <color rgb="FF000000"/>
      </right>
      <top style="double">
        <color rgb="FF000000"/>
      </top>
      <bottom style="thin">
        <color rgb="FF000000"/>
      </bottom>
    </border>
    <border>
      <left style="thin">
        <color rgb="FF000000"/>
      </left>
      <right/>
      <top style="double">
        <color rgb="FF000000"/>
      </top>
      <bottom style="thin">
        <color rgb="FF000000"/>
      </bottom>
    </border>
    <border>
      <left style="dotted">
        <color rgb="FF000000"/>
      </left>
      <right/>
      <top style="double">
        <color rgb="FF000000"/>
      </top>
      <bottom style="thin">
        <color rgb="FF000000"/>
      </bottom>
    </border>
    <border>
      <top style="thin">
        <color rgb="FF000000"/>
      </top>
      <bottom style="thin">
        <color rgb="FF000000"/>
      </bottom>
    </border>
    <border>
      <left/>
      <top/>
      <bottom style="thin">
        <color rgb="FF000000"/>
      </bottom>
    </border>
    <border>
      <top/>
      <bottom style="thin">
        <color rgb="FF000000"/>
      </bottom>
    </border>
    <border>
      <right/>
      <top/>
      <bottom style="thin">
        <color rgb="FF000000"/>
      </bottom>
    </border>
    <border>
      <left/>
      <top/>
    </border>
    <border>
      <top/>
    </border>
    <border>
      <right/>
      <top/>
    </border>
    <border>
      <left/>
      <bottom/>
    </border>
    <border>
      <bottom/>
    </border>
    <border>
      <right/>
      <bottom/>
    </border>
    <border>
      <right style="thin">
        <color rgb="FF000000"/>
      </right>
      <top/>
      <bottom/>
    </border>
    <border>
      <top style="thin">
        <color rgb="FF000000"/>
      </top>
    </border>
    <border>
      <right/>
      <top style="hair">
        <color rgb="FF000000"/>
      </top>
      <bottom style="hair">
        <color rgb="FF000000"/>
      </bottom>
    </border>
    <border>
      <left style="hair">
        <color rgb="FF000000"/>
      </left>
      <right/>
      <top style="hair">
        <color rgb="FF000000"/>
      </top>
      <bottom style="hair">
        <color rgb="FF000000"/>
      </bottom>
    </border>
    <border>
      <left style="thin">
        <color rgb="FF000000"/>
      </left>
      <top/>
      <bottom/>
    </border>
    <border>
      <left style="thin">
        <color rgb="FF000000"/>
      </left>
      <top/>
      <bottom style="thin">
        <color rgb="FF000000"/>
      </bottom>
    </border>
    <border>
      <left style="hair">
        <color rgb="FF000000"/>
      </left>
      <right/>
      <top style="hair">
        <color rgb="FF000000"/>
      </top>
      <bottom style="thin">
        <color rgb="FF000000"/>
      </bottom>
    </border>
    <border>
      <left style="thin">
        <color rgb="FF000000"/>
      </left>
      <right/>
      <top style="thin">
        <color rgb="FF000000"/>
      </top>
      <bottom/>
    </border>
    <border>
      <left/>
      <right/>
      <top style="thin">
        <color rgb="FF000000"/>
      </top>
      <bottom style="hair">
        <color rgb="FF000000"/>
      </bottom>
    </border>
    <border>
      <left style="thin">
        <color rgb="FF000000"/>
      </left>
      <top/>
      <bottom style="hair">
        <color rgb="FF000000"/>
      </bottom>
    </border>
    <border>
      <right/>
      <top/>
      <bottom style="hair">
        <color rgb="FF000000"/>
      </bottom>
    </border>
  </borders>
  <cellStyleXfs count="1">
    <xf borderId="0" fillId="0" fontId="0" numFmtId="0" applyAlignment="1" applyFont="1"/>
  </cellStyleXfs>
  <cellXfs count="215">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2" fillId="0" fontId="2" numFmtId="0" xfId="0" applyAlignment="1" applyBorder="1" applyFont="1">
      <alignment vertical="center"/>
    </xf>
    <xf borderId="3" fillId="0" fontId="2" numFmtId="0" xfId="0" applyAlignment="1" applyBorder="1" applyFont="1">
      <alignment vertical="center"/>
    </xf>
    <xf borderId="4" fillId="2" fontId="1" numFmtId="0" xfId="0" applyAlignment="1" applyBorder="1" applyFont="1">
      <alignment vertical="center"/>
    </xf>
    <xf borderId="4" fillId="2" fontId="1" numFmtId="0" xfId="0" applyAlignment="1" applyBorder="1" applyFont="1">
      <alignment horizontal="right" vertical="center"/>
    </xf>
    <xf borderId="4" fillId="2" fontId="3" numFmtId="0" xfId="0" applyAlignment="1" applyBorder="1" applyFont="1">
      <alignment vertical="center"/>
    </xf>
    <xf borderId="5" fillId="2" fontId="1" numFmtId="0" xfId="0" applyAlignment="1" applyBorder="1" applyFont="1">
      <alignment horizontal="center" vertical="center"/>
    </xf>
    <xf borderId="6" fillId="0" fontId="2" numFmtId="0" xfId="0" applyAlignment="1" applyBorder="1" applyFont="1">
      <alignment vertical="center"/>
    </xf>
    <xf borderId="7" fillId="2" fontId="1" numFmtId="0" xfId="0" applyAlignment="1" applyBorder="1" applyFont="1">
      <alignment horizontal="left" readingOrder="0" shrinkToFit="1" vertical="center" wrapText="0"/>
    </xf>
    <xf borderId="4" fillId="2" fontId="1" numFmtId="0" xfId="0" applyAlignment="1" applyBorder="1" applyFont="1">
      <alignment shrinkToFit="1" vertical="center" wrapText="0"/>
    </xf>
    <xf borderId="4" fillId="2" fontId="1" numFmtId="0" xfId="0" applyAlignment="1" applyBorder="1" applyFont="1">
      <alignment horizontal="left" shrinkToFit="1" vertical="center" wrapText="0"/>
    </xf>
    <xf borderId="1" fillId="2" fontId="4" numFmtId="0" xfId="0" applyAlignment="1" applyBorder="1" applyFont="1">
      <alignment horizontal="center" vertical="center"/>
    </xf>
    <xf borderId="4" fillId="2" fontId="5" numFmtId="0" xfId="0" applyAlignment="1" applyBorder="1" applyFont="1">
      <alignment horizontal="center" vertical="center"/>
    </xf>
    <xf borderId="1" fillId="2" fontId="1" numFmtId="0" xfId="0" applyAlignment="1" applyBorder="1" applyFont="1">
      <alignment vertical="center"/>
    </xf>
    <xf borderId="7" fillId="2" fontId="1" numFmtId="0" xfId="0" applyAlignment="1" applyBorder="1" applyFont="1">
      <alignment horizontal="left" readingOrder="0" vertical="center"/>
    </xf>
    <xf borderId="4" fillId="2" fontId="1" numFmtId="0" xfId="0" applyAlignment="1" applyBorder="1" applyFont="1">
      <alignment horizontal="center" vertical="center"/>
    </xf>
    <xf borderId="7" fillId="2" fontId="1" numFmtId="0" xfId="0" applyAlignment="1" applyBorder="1" applyFont="1">
      <alignment horizontal="left" shrinkToFit="0" vertical="center" wrapText="1"/>
    </xf>
    <xf borderId="1" fillId="2" fontId="1" numFmtId="0" xfId="0" applyAlignment="1" applyBorder="1" applyFont="1">
      <alignment horizontal="left" vertical="center"/>
    </xf>
    <xf borderId="4" fillId="2" fontId="3" numFmtId="0" xfId="0" applyAlignment="1" applyBorder="1" applyFont="1">
      <alignment horizontal="center" vertical="center"/>
    </xf>
    <xf borderId="1" fillId="2" fontId="1" numFmtId="0" xfId="0" applyAlignment="1" applyBorder="1" applyFont="1">
      <alignment vertical="top"/>
    </xf>
    <xf borderId="7" fillId="2" fontId="1" numFmtId="0" xfId="0" applyAlignment="1" applyBorder="1" applyFont="1">
      <alignment horizontal="left" readingOrder="0" shrinkToFit="1" vertical="top" wrapText="0"/>
    </xf>
    <xf borderId="4" fillId="2" fontId="1" numFmtId="0" xfId="0" applyAlignment="1" applyBorder="1" applyFont="1">
      <alignment shrinkToFit="1" vertical="top" wrapText="0"/>
    </xf>
    <xf borderId="7" fillId="2" fontId="1" numFmtId="164" xfId="0" applyAlignment="1" applyBorder="1" applyFont="1" applyNumberFormat="1">
      <alignment horizontal="right" readingOrder="0" vertical="center"/>
    </xf>
    <xf borderId="4" fillId="2" fontId="1" numFmtId="0" xfId="0" applyAlignment="1" applyBorder="1" applyFont="1">
      <alignment horizontal="left" vertical="center"/>
    </xf>
    <xf borderId="8" fillId="2" fontId="1" numFmtId="0" xfId="0" applyAlignment="1" applyBorder="1" applyFont="1">
      <alignment horizontal="center" vertical="center"/>
    </xf>
    <xf borderId="9" fillId="0" fontId="2" numFmtId="0" xfId="0" applyAlignment="1" applyBorder="1" applyFont="1">
      <alignment vertical="center"/>
    </xf>
    <xf borderId="10" fillId="0" fontId="2" numFmtId="0" xfId="0" applyAlignment="1" applyBorder="1" applyFont="1">
      <alignment vertical="center"/>
    </xf>
    <xf borderId="4" fillId="2" fontId="1" numFmtId="0" xfId="0" applyAlignment="1" applyBorder="1" applyFont="1">
      <alignment shrinkToFit="0" vertical="center" wrapText="1"/>
    </xf>
    <xf borderId="11" fillId="2" fontId="1" numFmtId="0" xfId="0" applyAlignment="1" applyBorder="1" applyFont="1">
      <alignment horizontal="center" vertical="center"/>
    </xf>
    <xf borderId="11" fillId="2" fontId="6" numFmtId="0" xfId="0" applyAlignment="1" applyBorder="1" applyFont="1">
      <alignment horizontal="center" shrinkToFit="1" vertical="center" wrapText="0"/>
    </xf>
    <xf borderId="12" fillId="2" fontId="7" numFmtId="49" xfId="0" applyAlignment="1" applyBorder="1" applyFont="1" applyNumberFormat="1">
      <alignment horizontal="center" vertical="center"/>
    </xf>
    <xf borderId="13" fillId="2" fontId="7" numFmtId="49" xfId="0" applyAlignment="1" applyBorder="1" applyFont="1" applyNumberFormat="1">
      <alignment horizontal="center" vertical="center"/>
    </xf>
    <xf borderId="14" fillId="2" fontId="7" numFmtId="49" xfId="0" applyAlignment="1" applyBorder="1" applyFont="1" applyNumberFormat="1">
      <alignment horizontal="center" vertical="center"/>
    </xf>
    <xf borderId="15" fillId="2" fontId="6" numFmtId="49" xfId="0" applyAlignment="1" applyBorder="1" applyFont="1" applyNumberFormat="1">
      <alignment horizontal="center" vertical="center"/>
    </xf>
    <xf borderId="7" fillId="2" fontId="6" numFmtId="49" xfId="0" applyAlignment="1" applyBorder="1" applyFont="1" applyNumberFormat="1">
      <alignment horizontal="center" vertical="center"/>
    </xf>
    <xf borderId="7" fillId="2" fontId="6" numFmtId="49" xfId="0" applyAlignment="1" applyBorder="1" applyFont="1" applyNumberFormat="1">
      <alignment horizontal="center" shrinkToFit="1" vertical="center" wrapText="0"/>
    </xf>
    <xf borderId="16" fillId="2" fontId="1" numFmtId="0" xfId="0" applyAlignment="1" applyBorder="1" applyFont="1">
      <alignment horizontal="left" shrinkToFit="0" vertical="top" wrapText="1"/>
    </xf>
    <xf borderId="17" fillId="0" fontId="2" numFmtId="0" xfId="0" applyAlignment="1" applyBorder="1" applyFont="1">
      <alignment vertical="center"/>
    </xf>
    <xf borderId="18" fillId="2" fontId="1" numFmtId="0" xfId="0" applyAlignment="1" applyBorder="1" applyFont="1">
      <alignment horizontal="left" readingOrder="0" shrinkToFit="1" vertical="center" wrapText="0"/>
    </xf>
    <xf borderId="18" fillId="2" fontId="1" numFmtId="164" xfId="0" applyAlignment="1" applyBorder="1" applyFont="1" applyNumberFormat="1">
      <alignment horizontal="center" readingOrder="0" shrinkToFit="1" vertical="center" wrapText="0"/>
    </xf>
    <xf borderId="19" fillId="2" fontId="1" numFmtId="0" xfId="0" applyAlignment="1" applyBorder="1" applyFont="1">
      <alignment horizontal="center" readingOrder="0" shrinkToFit="1" vertical="center" wrapText="0"/>
    </xf>
    <xf borderId="20" fillId="2" fontId="1" numFmtId="0" xfId="0" applyAlignment="1" applyBorder="1" applyFont="1">
      <alignment horizontal="center" readingOrder="0" shrinkToFit="1" vertical="center" wrapText="0"/>
    </xf>
    <xf borderId="20" fillId="2" fontId="1" numFmtId="0" xfId="0" applyAlignment="1" applyBorder="1" applyFont="1">
      <alignment horizontal="center" shrinkToFit="1" vertical="center" wrapText="0"/>
    </xf>
    <xf borderId="21" fillId="2" fontId="1" numFmtId="0" xfId="0" applyAlignment="1" applyBorder="1" applyFont="1">
      <alignment horizontal="center" readingOrder="0" shrinkToFit="1" vertical="center" wrapText="0"/>
    </xf>
    <xf borderId="22" fillId="2" fontId="1" numFmtId="0" xfId="0" applyAlignment="1" applyBorder="1" applyFont="1">
      <alignment horizontal="center" shrinkToFit="1" vertical="center" wrapText="0"/>
    </xf>
    <xf borderId="23" fillId="0" fontId="2" numFmtId="0" xfId="0" applyAlignment="1" applyBorder="1" applyFont="1">
      <alignment vertical="center"/>
    </xf>
    <xf borderId="24" fillId="0" fontId="2" numFmtId="0" xfId="0" applyAlignment="1" applyBorder="1" applyFont="1">
      <alignment vertical="center"/>
    </xf>
    <xf borderId="25" fillId="2" fontId="1" numFmtId="0" xfId="0" applyAlignment="1" applyBorder="1" applyFont="1">
      <alignment horizontal="left" readingOrder="0" shrinkToFit="1" vertical="center" wrapText="0"/>
    </xf>
    <xf borderId="25" fillId="2" fontId="1" numFmtId="164" xfId="0" applyAlignment="1" applyBorder="1" applyFont="1" applyNumberFormat="1">
      <alignment horizontal="center" readingOrder="0" shrinkToFit="1" vertical="center" wrapText="0"/>
    </xf>
    <xf borderId="26" fillId="2" fontId="1" numFmtId="0" xfId="0" applyAlignment="1" applyBorder="1" applyFont="1">
      <alignment horizontal="center" readingOrder="0" shrinkToFit="1" vertical="center" wrapText="0"/>
    </xf>
    <xf borderId="27" fillId="2" fontId="1" numFmtId="0" xfId="0" applyAlignment="1" applyBorder="1" applyFont="1">
      <alignment horizontal="center" readingOrder="0" shrinkToFit="1" vertical="center" wrapText="0"/>
    </xf>
    <xf borderId="27" fillId="2" fontId="1" numFmtId="0" xfId="0" applyAlignment="1" applyBorder="1" applyFont="1">
      <alignment horizontal="center" shrinkToFit="1" vertical="center" wrapText="0"/>
    </xf>
    <xf borderId="28" fillId="2" fontId="1" numFmtId="0" xfId="0" applyAlignment="1" applyBorder="1" applyFont="1">
      <alignment horizontal="center" readingOrder="0" shrinkToFit="1" vertical="center" wrapText="0"/>
    </xf>
    <xf borderId="29" fillId="2" fontId="1" numFmtId="0" xfId="0" applyAlignment="1" applyBorder="1" applyFont="1">
      <alignment horizontal="center" shrinkToFit="1" vertical="center" wrapText="0"/>
    </xf>
    <xf borderId="28" fillId="2" fontId="1" numFmtId="0" xfId="0" applyAlignment="1" applyBorder="1" applyFont="1">
      <alignment horizontal="center" shrinkToFit="1" vertical="center" wrapText="0"/>
    </xf>
    <xf borderId="25" fillId="2" fontId="1" numFmtId="0" xfId="0" applyAlignment="1" applyBorder="1" applyFont="1">
      <alignment horizontal="left" shrinkToFit="1" vertical="center" wrapText="0"/>
    </xf>
    <xf borderId="25" fillId="2" fontId="1" numFmtId="164" xfId="0" applyAlignment="1" applyBorder="1" applyFont="1" applyNumberFormat="1">
      <alignment horizontal="center" shrinkToFit="1" vertical="center" wrapText="0"/>
    </xf>
    <xf borderId="26" fillId="2" fontId="1" numFmtId="0" xfId="0" applyAlignment="1" applyBorder="1" applyFont="1">
      <alignment horizontal="center" shrinkToFit="1" vertical="center" wrapText="0"/>
    </xf>
    <xf borderId="30" fillId="0" fontId="2" numFmtId="0" xfId="0" applyAlignment="1" applyBorder="1" applyFont="1">
      <alignment vertical="center"/>
    </xf>
    <xf borderId="31" fillId="0" fontId="2" numFmtId="0" xfId="0" applyAlignment="1" applyBorder="1" applyFont="1">
      <alignment vertical="center"/>
    </xf>
    <xf borderId="32" fillId="2" fontId="1" numFmtId="0" xfId="0" applyAlignment="1" applyBorder="1" applyFont="1">
      <alignment horizontal="left" shrinkToFit="1" vertical="center" wrapText="0"/>
    </xf>
    <xf borderId="32" fillId="2" fontId="1" numFmtId="164" xfId="0" applyAlignment="1" applyBorder="1" applyFont="1" applyNumberFormat="1">
      <alignment horizontal="center" shrinkToFit="1" vertical="center" wrapText="0"/>
    </xf>
    <xf borderId="33" fillId="2" fontId="1" numFmtId="0" xfId="0" applyAlignment="1" applyBorder="1" applyFont="1">
      <alignment horizontal="center" shrinkToFit="1" vertical="center" wrapText="0"/>
    </xf>
    <xf borderId="34" fillId="2" fontId="1" numFmtId="0" xfId="0" applyAlignment="1" applyBorder="1" applyFont="1">
      <alignment horizontal="center" shrinkToFit="1" vertical="center" wrapText="0"/>
    </xf>
    <xf borderId="35" fillId="2" fontId="1" numFmtId="0" xfId="0" applyAlignment="1" applyBorder="1" applyFont="1">
      <alignment horizontal="center" shrinkToFit="1" vertical="center" wrapText="0"/>
    </xf>
    <xf borderId="36" fillId="2" fontId="1" numFmtId="0" xfId="0" applyAlignment="1" applyBorder="1" applyFont="1">
      <alignment horizontal="center" shrinkToFit="1" vertical="center" wrapText="0"/>
    </xf>
    <xf borderId="37" fillId="2" fontId="1" numFmtId="0" xfId="0" applyAlignment="1" applyBorder="1" applyFont="1">
      <alignment horizontal="left" shrinkToFit="1" vertical="center" wrapText="0"/>
    </xf>
    <xf borderId="37" fillId="2" fontId="1" numFmtId="164" xfId="0" applyAlignment="1" applyBorder="1" applyFont="1" applyNumberFormat="1">
      <alignment horizontal="center" shrinkToFit="1" vertical="center" wrapText="0"/>
    </xf>
    <xf borderId="38" fillId="2" fontId="1" numFmtId="0" xfId="0" applyAlignment="1" applyBorder="1" applyFont="1">
      <alignment horizontal="center" shrinkToFit="1" vertical="center" wrapText="0"/>
    </xf>
    <xf borderId="39" fillId="2" fontId="1" numFmtId="0" xfId="0" applyAlignment="1" applyBorder="1" applyFont="1">
      <alignment horizontal="center" shrinkToFit="1" vertical="center" wrapText="0"/>
    </xf>
    <xf borderId="40" fillId="2" fontId="1" numFmtId="0" xfId="0" applyAlignment="1" applyBorder="1" applyFont="1">
      <alignment horizontal="center" shrinkToFit="1" vertical="center" wrapText="0"/>
    </xf>
    <xf borderId="41" fillId="2" fontId="1" numFmtId="0" xfId="0" applyAlignment="1" applyBorder="1" applyFont="1">
      <alignment horizontal="center" shrinkToFit="1" vertical="center" wrapText="0"/>
    </xf>
    <xf borderId="42" fillId="0" fontId="2" numFmtId="0" xfId="0" applyAlignment="1" applyBorder="1" applyFont="1">
      <alignment vertical="center"/>
    </xf>
    <xf borderId="43" fillId="0" fontId="2" numFmtId="0" xfId="0" applyAlignment="1" applyBorder="1" applyFont="1">
      <alignment vertical="center"/>
    </xf>
    <xf borderId="44" fillId="2" fontId="1" numFmtId="164" xfId="0" applyAlignment="1" applyBorder="1" applyFont="1" applyNumberFormat="1">
      <alignment horizontal="center" shrinkToFit="1" vertical="center" wrapText="0"/>
    </xf>
    <xf borderId="45" fillId="2" fontId="8" numFmtId="0" xfId="0" applyAlignment="1" applyBorder="1" applyFont="1">
      <alignment horizontal="left" shrinkToFit="0" vertical="top" wrapText="1"/>
    </xf>
    <xf borderId="46" fillId="0" fontId="2" numFmtId="0" xfId="0" applyAlignment="1" applyBorder="1" applyFont="1">
      <alignment vertical="center"/>
    </xf>
    <xf borderId="47" fillId="2" fontId="1" numFmtId="0" xfId="0" applyAlignment="1" applyBorder="1" applyFont="1">
      <alignment horizontal="center" shrinkToFit="1" vertical="center" wrapText="0"/>
    </xf>
    <xf borderId="48" fillId="2" fontId="1" numFmtId="0" xfId="0" applyAlignment="1" applyBorder="1" applyFont="1">
      <alignment horizontal="center" shrinkToFit="1" vertical="center" wrapText="0"/>
    </xf>
    <xf borderId="49" fillId="2" fontId="1" numFmtId="0" xfId="0" applyAlignment="1" applyBorder="1" applyFont="1">
      <alignment horizontal="center" shrinkToFit="1" vertical="center" wrapText="0"/>
    </xf>
    <xf borderId="4" fillId="2" fontId="1" numFmtId="0" xfId="0" applyAlignment="1" applyBorder="1" applyFont="1">
      <alignment horizontal="center" shrinkToFit="1" vertical="center" wrapText="0"/>
    </xf>
    <xf borderId="5" fillId="2" fontId="1" numFmtId="0" xfId="0" applyAlignment="1" applyBorder="1" applyFont="1">
      <alignment horizontal="center" shrinkToFit="1" vertical="center" wrapText="0"/>
    </xf>
    <xf borderId="50" fillId="0" fontId="2" numFmtId="0" xfId="0" applyAlignment="1" applyBorder="1" applyFont="1">
      <alignment vertical="center"/>
    </xf>
    <xf borderId="7" fillId="2" fontId="1" numFmtId="0" xfId="0" applyAlignment="1" applyBorder="1" applyFont="1">
      <alignment horizontal="center" vertical="center"/>
    </xf>
    <xf borderId="51" fillId="2" fontId="1" numFmtId="0" xfId="0" applyAlignment="1" applyBorder="1" applyFont="1">
      <alignment horizontal="left" shrinkToFit="0" vertical="center" wrapText="1"/>
    </xf>
    <xf borderId="52" fillId="2" fontId="1" numFmtId="49" xfId="0" applyAlignment="1" applyBorder="1" applyFont="1" applyNumberFormat="1">
      <alignment horizontal="center" vertical="center"/>
    </xf>
    <xf borderId="53" fillId="2" fontId="1" numFmtId="49" xfId="0" applyAlignment="1" applyBorder="1" applyFont="1" applyNumberFormat="1">
      <alignment horizontal="left" readingOrder="0" shrinkToFit="0" vertical="top" wrapText="1"/>
    </xf>
    <xf borderId="4" fillId="2" fontId="1" numFmtId="49" xfId="0" applyAlignment="1" applyBorder="1" applyFont="1" applyNumberFormat="1">
      <alignment vertical="top"/>
    </xf>
    <xf borderId="54" fillId="0" fontId="2" numFmtId="0" xfId="0" applyAlignment="1" applyBorder="1" applyFont="1">
      <alignment vertical="center"/>
    </xf>
    <xf borderId="55" fillId="2" fontId="1" numFmtId="49" xfId="0" applyAlignment="1" applyBorder="1" applyFont="1" applyNumberFormat="1">
      <alignment horizontal="center" vertical="center"/>
    </xf>
    <xf borderId="34" fillId="2" fontId="1" numFmtId="49" xfId="0" applyAlignment="1" applyBorder="1" applyFont="1" applyNumberFormat="1">
      <alignment horizontal="left" readingOrder="0" shrinkToFit="0" vertical="top" wrapText="1"/>
    </xf>
    <xf borderId="4" fillId="2" fontId="6" numFmtId="49" xfId="0" applyAlignment="1" applyBorder="1" applyFont="1" applyNumberFormat="1">
      <alignment vertical="top"/>
    </xf>
    <xf borderId="56" fillId="2" fontId="1" numFmtId="49" xfId="0" applyAlignment="1" applyBorder="1" applyFont="1" applyNumberFormat="1">
      <alignment horizontal="center" vertical="center"/>
    </xf>
    <xf borderId="20" fillId="2" fontId="1" numFmtId="49" xfId="0" applyAlignment="1" applyBorder="1" applyFont="1" applyNumberFormat="1">
      <alignment horizontal="left" readingOrder="0" shrinkToFit="0" vertical="top" wrapText="1"/>
    </xf>
    <xf borderId="57" fillId="0" fontId="2" numFmtId="0" xfId="0" applyAlignment="1" applyBorder="1" applyFont="1">
      <alignment vertical="center"/>
    </xf>
    <xf borderId="58" fillId="2" fontId="1" numFmtId="49" xfId="0" applyAlignment="1" applyBorder="1" applyFont="1" applyNumberFormat="1">
      <alignment horizontal="center" vertical="center"/>
    </xf>
    <xf borderId="59" fillId="2" fontId="1" numFmtId="49" xfId="0" applyAlignment="1" applyBorder="1" applyFont="1" applyNumberFormat="1">
      <alignment horizontal="left" readingOrder="0" shrinkToFit="0" vertical="top" wrapText="1"/>
    </xf>
    <xf borderId="60" fillId="2" fontId="1" numFmtId="49" xfId="0" applyAlignment="1" applyBorder="1" applyFont="1" applyNumberFormat="1">
      <alignment horizontal="center" vertical="center"/>
    </xf>
    <xf borderId="61" fillId="0" fontId="2" numFmtId="0" xfId="0" applyAlignment="1" applyBorder="1" applyFont="1">
      <alignment vertical="center"/>
    </xf>
    <xf borderId="62" fillId="2" fontId="1" numFmtId="49" xfId="0" applyAlignment="1" applyBorder="1" applyFont="1" applyNumberFormat="1">
      <alignment horizontal="center" vertical="center"/>
    </xf>
    <xf borderId="27" fillId="2" fontId="1" numFmtId="49" xfId="0" applyAlignment="1" applyBorder="1" applyFont="1" applyNumberFormat="1">
      <alignment horizontal="left" readingOrder="0" shrinkToFit="0" vertical="center" wrapText="1"/>
    </xf>
    <xf borderId="4" fillId="2" fontId="6" numFmtId="49" xfId="0" applyAlignment="1" applyBorder="1" applyFont="1" applyNumberFormat="1">
      <alignment vertical="center"/>
    </xf>
    <xf borderId="59" fillId="2" fontId="1" numFmtId="49" xfId="0" applyAlignment="1" applyBorder="1" applyFont="1" applyNumberFormat="1">
      <alignment horizontal="left" readingOrder="0" shrinkToFit="0" vertical="center" wrapText="1"/>
    </xf>
    <xf borderId="7" fillId="2" fontId="1" numFmtId="0" xfId="0" applyAlignment="1" applyBorder="1" applyFont="1">
      <alignment horizontal="left" readingOrder="0" shrinkToFit="0" vertical="top" wrapText="1"/>
    </xf>
    <xf borderId="1" fillId="2" fontId="5" numFmtId="0" xfId="0" applyAlignment="1" applyBorder="1" applyFont="1">
      <alignment horizontal="center" vertical="center"/>
    </xf>
    <xf borderId="7" fillId="2" fontId="1" numFmtId="0" xfId="0" applyAlignment="1" applyBorder="1" applyFont="1">
      <alignment horizontal="center" readingOrder="0" shrinkToFit="1" vertical="center" wrapText="0"/>
    </xf>
    <xf borderId="63" fillId="2" fontId="1" numFmtId="0" xfId="0" applyAlignment="1" applyBorder="1" applyFont="1">
      <alignment horizontal="center" vertical="center"/>
    </xf>
    <xf borderId="8" fillId="2" fontId="9" numFmtId="0" xfId="0" applyAlignment="1" applyBorder="1" applyFont="1">
      <alignment horizontal="center" shrinkToFit="0" vertical="center" wrapText="1"/>
    </xf>
    <xf borderId="64" fillId="2" fontId="9" numFmtId="0" xfId="0" applyAlignment="1" applyBorder="1" applyFont="1">
      <alignment horizontal="center" shrinkToFit="0" vertical="center" wrapText="1"/>
    </xf>
    <xf borderId="65" fillId="2" fontId="9" numFmtId="0" xfId="0" applyAlignment="1" applyBorder="1" applyFont="1">
      <alignment horizontal="center" shrinkToFit="0" vertical="center" wrapText="1"/>
    </xf>
    <xf borderId="66" fillId="2" fontId="1" numFmtId="0" xfId="0" applyAlignment="1" applyBorder="1" applyFont="1">
      <alignment horizontal="center" vertical="center"/>
    </xf>
    <xf borderId="67" fillId="0" fontId="2" numFmtId="0" xfId="0" applyAlignment="1" applyBorder="1" applyFont="1">
      <alignment vertical="center"/>
    </xf>
    <xf borderId="68" fillId="0" fontId="2" numFmtId="0" xfId="0" applyAlignment="1" applyBorder="1" applyFont="1">
      <alignment vertical="center"/>
    </xf>
    <xf borderId="63" fillId="2" fontId="10" numFmtId="0" xfId="0" applyAlignment="1" applyBorder="1" applyFont="1">
      <alignment horizontal="center" shrinkToFit="0" vertical="center" wrapText="1"/>
    </xf>
    <xf borderId="69" fillId="2" fontId="9" numFmtId="0" xfId="0" applyAlignment="1" applyBorder="1" applyFont="1">
      <alignment horizontal="center" vertical="center"/>
    </xf>
    <xf borderId="70" fillId="0" fontId="2" numFmtId="0" xfId="0" applyAlignment="1" applyBorder="1" applyFont="1">
      <alignment vertical="center"/>
    </xf>
    <xf borderId="44" fillId="2" fontId="9" numFmtId="0" xfId="0" applyAlignment="1" applyBorder="1" applyFont="1">
      <alignment shrinkToFit="0" vertical="center" wrapText="1"/>
    </xf>
    <xf borderId="71" fillId="2" fontId="6" numFmtId="0" xfId="0" applyAlignment="1" applyBorder="1" applyFont="1">
      <alignment shrinkToFit="0" vertical="center" wrapText="1"/>
    </xf>
    <xf borderId="72" fillId="0" fontId="2" numFmtId="0" xfId="0" applyAlignment="1" applyBorder="1" applyFont="1">
      <alignment vertical="center"/>
    </xf>
    <xf borderId="73" fillId="0" fontId="2" numFmtId="0" xfId="0" applyAlignment="1" applyBorder="1" applyFont="1">
      <alignment vertical="center"/>
    </xf>
    <xf borderId="32" fillId="2" fontId="10" numFmtId="0" xfId="0" applyAlignment="1" applyBorder="1" applyFont="1">
      <alignment horizontal="center" vertical="center"/>
    </xf>
    <xf borderId="74" fillId="0" fontId="2" numFmtId="0" xfId="0" applyAlignment="1" applyBorder="1" applyFont="1">
      <alignment vertical="center"/>
    </xf>
    <xf borderId="39" fillId="2" fontId="1" numFmtId="0" xfId="0" applyAlignment="1" applyBorder="1" applyFont="1">
      <alignment horizontal="left" readingOrder="0" shrinkToFit="1" vertical="center" wrapText="0"/>
    </xf>
    <xf borderId="37" fillId="3" fontId="1" numFmtId="38" xfId="0" applyAlignment="1" applyBorder="1" applyFill="1" applyFont="1" applyNumberFormat="1">
      <alignment horizontal="right" readingOrder="0" shrinkToFit="1" vertical="center" wrapText="0"/>
    </xf>
    <xf borderId="75" fillId="3" fontId="1" numFmtId="38" xfId="0" applyAlignment="1" applyBorder="1" applyFont="1" applyNumberFormat="1">
      <alignment horizontal="right" readingOrder="0" shrinkToFit="1" vertical="center" wrapText="0"/>
    </xf>
    <xf borderId="76" fillId="3" fontId="1" numFmtId="38" xfId="0" applyAlignment="1" applyBorder="1" applyFont="1" applyNumberFormat="1">
      <alignment horizontal="right" readingOrder="0" shrinkToFit="1" vertical="center" wrapText="0"/>
    </xf>
    <xf borderId="37" fillId="3" fontId="1" numFmtId="38" xfId="0" applyAlignment="1" applyBorder="1" applyFont="1" applyNumberFormat="1">
      <alignment horizontal="right" shrinkToFit="1" vertical="center" wrapText="0"/>
    </xf>
    <xf borderId="37" fillId="2" fontId="1" numFmtId="38" xfId="0" applyAlignment="1" applyBorder="1" applyFont="1" applyNumberFormat="1">
      <alignment horizontal="right" shrinkToFit="1" vertical="center" wrapText="0"/>
    </xf>
    <xf borderId="37" fillId="2" fontId="1" numFmtId="38" xfId="0" applyAlignment="1" applyBorder="1" applyFont="1" applyNumberFormat="1">
      <alignment shrinkToFit="1" vertical="center" wrapText="0"/>
    </xf>
    <xf borderId="20" fillId="2" fontId="1" numFmtId="9" xfId="0" applyAlignment="1" applyBorder="1" applyFont="1" applyNumberFormat="1">
      <alignment shrinkToFit="1" vertical="center" wrapText="0"/>
    </xf>
    <xf borderId="27" fillId="2" fontId="1" numFmtId="0" xfId="0" applyAlignment="1" applyBorder="1" applyFont="1">
      <alignment horizontal="left" shrinkToFit="1" vertical="center" wrapText="0"/>
    </xf>
    <xf borderId="77" fillId="2" fontId="1" numFmtId="38" xfId="0" applyAlignment="1" applyBorder="1" applyFont="1" applyNumberFormat="1">
      <alignment horizontal="right" shrinkToFit="1" vertical="center" wrapText="0"/>
    </xf>
    <xf borderId="78" fillId="2" fontId="1" numFmtId="38" xfId="0" applyAlignment="1" applyBorder="1" applyFont="1" applyNumberFormat="1">
      <alignment horizontal="right" shrinkToFit="1" vertical="center" wrapText="0"/>
    </xf>
    <xf borderId="79" fillId="2" fontId="1" numFmtId="38" xfId="0" applyAlignment="1" applyBorder="1" applyFont="1" applyNumberFormat="1">
      <alignment horizontal="right" shrinkToFit="1" vertical="center" wrapText="0"/>
    </xf>
    <xf borderId="80" fillId="2" fontId="1" numFmtId="38" xfId="0" applyAlignment="1" applyBorder="1" applyFont="1" applyNumberFormat="1">
      <alignment horizontal="right" shrinkToFit="1" vertical="center" wrapText="0"/>
    </xf>
    <xf borderId="80" fillId="2" fontId="1" numFmtId="38" xfId="0" applyAlignment="1" applyBorder="1" applyFont="1" applyNumberFormat="1">
      <alignment shrinkToFit="1" vertical="center" wrapText="0"/>
    </xf>
    <xf borderId="81" fillId="2" fontId="1" numFmtId="9" xfId="0" applyAlignment="1" applyBorder="1" applyFont="1" applyNumberFormat="1">
      <alignment shrinkToFit="1" vertical="center" wrapText="0"/>
    </xf>
    <xf borderId="25" fillId="2" fontId="1" numFmtId="38" xfId="0" applyAlignment="1" applyBorder="1" applyFont="1" applyNumberFormat="1">
      <alignment horizontal="right" shrinkToFit="1" vertical="center" wrapText="0"/>
    </xf>
    <xf borderId="82" fillId="2" fontId="1" numFmtId="38" xfId="0" applyAlignment="1" applyBorder="1" applyFont="1" applyNumberFormat="1">
      <alignment horizontal="right" shrinkToFit="1" vertical="center" wrapText="0"/>
    </xf>
    <xf borderId="83" fillId="2" fontId="1" numFmtId="38" xfId="0" applyAlignment="1" applyBorder="1" applyFont="1" applyNumberFormat="1">
      <alignment horizontal="right" shrinkToFit="1" vertical="center" wrapText="0"/>
    </xf>
    <xf borderId="84" fillId="2" fontId="1" numFmtId="38" xfId="0" applyAlignment="1" applyBorder="1" applyFont="1" applyNumberFormat="1">
      <alignment horizontal="right" shrinkToFit="1" vertical="center" wrapText="0"/>
    </xf>
    <xf borderId="84" fillId="2" fontId="1" numFmtId="38" xfId="0" applyAlignment="1" applyBorder="1" applyFont="1" applyNumberFormat="1">
      <alignment shrinkToFit="1" vertical="center" wrapText="0"/>
    </xf>
    <xf borderId="27" fillId="2" fontId="1" numFmtId="9" xfId="0" applyAlignment="1" applyBorder="1" applyFont="1" applyNumberFormat="1">
      <alignment shrinkToFit="1" vertical="center" wrapText="0"/>
    </xf>
    <xf borderId="83" fillId="2" fontId="1" numFmtId="10" xfId="0" applyAlignment="1" applyBorder="1" applyFont="1" applyNumberFormat="1">
      <alignment horizontal="right" shrinkToFit="1" vertical="center" wrapText="0"/>
    </xf>
    <xf borderId="29" fillId="2" fontId="1" numFmtId="38" xfId="0" applyAlignment="1" applyBorder="1" applyFont="1" applyNumberFormat="1">
      <alignment horizontal="right" shrinkToFit="1" vertical="center" wrapText="0"/>
    </xf>
    <xf borderId="85" fillId="2" fontId="1" numFmtId="0" xfId="0" applyAlignment="1" applyBorder="1" applyFont="1">
      <alignment horizontal="left" shrinkToFit="1" vertical="center" wrapText="0"/>
    </xf>
    <xf borderId="86" fillId="2" fontId="1" numFmtId="38" xfId="0" applyAlignment="1" applyBorder="1" applyFont="1" applyNumberFormat="1">
      <alignment horizontal="right" shrinkToFit="1" vertical="center" wrapText="0"/>
    </xf>
    <xf borderId="87" fillId="2" fontId="1" numFmtId="38" xfId="0" applyAlignment="1" applyBorder="1" applyFont="1" applyNumberFormat="1">
      <alignment horizontal="right" shrinkToFit="1" vertical="center" wrapText="0"/>
    </xf>
    <xf borderId="88" fillId="2" fontId="1" numFmtId="38" xfId="0" applyAlignment="1" applyBorder="1" applyFont="1" applyNumberFormat="1">
      <alignment horizontal="right" shrinkToFit="1" vertical="center" wrapText="0"/>
    </xf>
    <xf borderId="86" fillId="2" fontId="1" numFmtId="38" xfId="0" applyAlignment="1" applyBorder="1" applyFont="1" applyNumberFormat="1">
      <alignment shrinkToFit="1" vertical="center" wrapText="0"/>
    </xf>
    <xf borderId="89" fillId="2" fontId="1" numFmtId="0" xfId="0" applyAlignment="1" applyBorder="1" applyFont="1">
      <alignment horizontal="center" shrinkToFit="1" vertical="center" wrapText="0"/>
    </xf>
    <xf borderId="90" fillId="2" fontId="1" numFmtId="38" xfId="0" applyAlignment="1" applyBorder="1" applyFont="1" applyNumberFormat="1">
      <alignment shrinkToFit="1" vertical="center" wrapText="0"/>
    </xf>
    <xf borderId="91" fillId="2" fontId="1" numFmtId="38" xfId="0" applyAlignment="1" applyBorder="1" applyFont="1" applyNumberFormat="1">
      <alignment shrinkToFit="1" vertical="center" wrapText="0"/>
    </xf>
    <xf borderId="89" fillId="2" fontId="1" numFmtId="38" xfId="0" applyAlignment="1" applyBorder="1" applyFont="1" applyNumberFormat="1">
      <alignment shrinkToFit="1" vertical="center" wrapText="0"/>
    </xf>
    <xf borderId="89" fillId="2" fontId="1" numFmtId="9" xfId="0" applyAlignment="1" applyBorder="1" applyFont="1" applyNumberFormat="1">
      <alignment shrinkToFit="1" vertical="center" wrapText="0"/>
    </xf>
    <xf borderId="4" fillId="2" fontId="6" numFmtId="0" xfId="0" applyAlignment="1" applyBorder="1" applyFont="1">
      <alignment vertical="center"/>
    </xf>
    <xf borderId="4" fillId="2" fontId="1" numFmtId="0" xfId="0" applyAlignment="1" applyBorder="1" applyFont="1">
      <alignment horizontal="right" shrinkToFit="1" vertical="center" wrapText="0"/>
    </xf>
    <xf borderId="7" fillId="2" fontId="1" numFmtId="3" xfId="0" applyAlignment="1" applyBorder="1" applyFont="1" applyNumberFormat="1">
      <alignment horizontal="right" readingOrder="0" vertical="center"/>
    </xf>
    <xf borderId="4" fillId="2" fontId="3" numFmtId="0" xfId="0" applyAlignment="1" applyBorder="1" applyFont="1">
      <alignment horizontal="left" vertical="center"/>
    </xf>
    <xf borderId="7" fillId="3" fontId="1" numFmtId="0" xfId="0" applyAlignment="1" applyBorder="1" applyFont="1">
      <alignment horizontal="left" readingOrder="0" shrinkToFit="1" vertical="center" wrapText="0"/>
    </xf>
    <xf borderId="7" fillId="3" fontId="11" numFmtId="0" xfId="0" applyAlignment="1" applyBorder="1" applyFont="1">
      <alignment horizontal="left" readingOrder="0" shrinkToFit="1" vertical="center" wrapText="0"/>
    </xf>
    <xf borderId="4" fillId="2" fontId="1" numFmtId="0" xfId="0" applyAlignment="1" applyBorder="1" applyFont="1">
      <alignment shrinkToFit="0" vertical="top" wrapText="1"/>
    </xf>
    <xf borderId="5" fillId="2" fontId="1" numFmtId="0" xfId="0" applyAlignment="1" applyBorder="1" applyFont="1">
      <alignment horizontal="left" readingOrder="0" shrinkToFit="0" vertical="top" wrapText="1"/>
    </xf>
    <xf borderId="92" fillId="0" fontId="2" numFmtId="0" xfId="0" applyAlignment="1" applyBorder="1" applyFont="1">
      <alignment vertical="center"/>
    </xf>
    <xf borderId="93" fillId="2" fontId="1" numFmtId="0" xfId="0" applyAlignment="1" applyBorder="1" applyFont="1">
      <alignment shrinkToFit="0" vertical="center" wrapText="1"/>
    </xf>
    <xf borderId="94" fillId="0" fontId="2" numFmtId="0" xfId="0" applyAlignment="1" applyBorder="1" applyFont="1">
      <alignment vertical="center"/>
    </xf>
    <xf borderId="95" fillId="0" fontId="2" numFmtId="0" xfId="0" applyAlignment="1" applyBorder="1" applyFont="1">
      <alignment vertical="center"/>
    </xf>
    <xf borderId="4" fillId="2" fontId="6" numFmtId="0" xfId="0" applyAlignment="1" applyBorder="1" applyFont="1">
      <alignment shrinkToFit="0" vertical="top" wrapText="1"/>
    </xf>
    <xf borderId="7" fillId="2" fontId="1" numFmtId="0" xfId="0" applyAlignment="1" applyBorder="1" applyFont="1">
      <alignment horizontal="center" shrinkToFit="1" vertical="center" wrapText="0"/>
    </xf>
    <xf borderId="7" fillId="2" fontId="1" numFmtId="9" xfId="0" applyAlignment="1" applyBorder="1" applyFont="1" applyNumberFormat="1">
      <alignment horizontal="right" shrinkToFit="1" vertical="center" wrapText="0"/>
    </xf>
    <xf borderId="4" fillId="2" fontId="1" numFmtId="9" xfId="0" applyAlignment="1" applyBorder="1" applyFont="1" applyNumberFormat="1">
      <alignment horizontal="center" shrinkToFit="1" vertical="center" wrapText="0"/>
    </xf>
    <xf borderId="4" fillId="2" fontId="1" numFmtId="9" xfId="0" applyAlignment="1" applyBorder="1" applyFont="1" applyNumberFormat="1">
      <alignment horizontal="center" vertical="center"/>
    </xf>
    <xf borderId="7" fillId="3" fontId="1" numFmtId="9" xfId="0" applyAlignment="1" applyBorder="1" applyFont="1" applyNumberFormat="1">
      <alignment horizontal="right" readingOrder="0" shrinkToFit="1" vertical="center" wrapText="0"/>
    </xf>
    <xf borderId="4" fillId="3" fontId="1" numFmtId="9" xfId="0" applyAlignment="1" applyBorder="1" applyFont="1" applyNumberFormat="1">
      <alignment horizontal="center" shrinkToFit="1" vertical="center" wrapText="0"/>
    </xf>
    <xf borderId="7" fillId="2" fontId="1" numFmtId="9" xfId="0" applyAlignment="1" applyBorder="1" applyFont="1" applyNumberFormat="1">
      <alignment horizontal="center" shrinkToFit="1" vertical="center" wrapText="0"/>
    </xf>
    <xf borderId="4" fillId="3" fontId="1" numFmtId="165" xfId="0" applyAlignment="1" applyBorder="1" applyFont="1" applyNumberFormat="1">
      <alignment horizontal="center" shrinkToFit="1" vertical="center" wrapText="0"/>
    </xf>
    <xf borderId="1" fillId="2" fontId="1" numFmtId="0" xfId="0" applyAlignment="1" applyBorder="1" applyFont="1">
      <alignment horizontal="left" shrinkToFit="1" vertical="center" wrapText="0"/>
    </xf>
    <xf borderId="5" fillId="3" fontId="1" numFmtId="0" xfId="0" applyAlignment="1" applyBorder="1" applyFont="1">
      <alignment horizontal="left" readingOrder="0" shrinkToFit="0" vertical="top" wrapText="1"/>
    </xf>
    <xf borderId="93" fillId="2" fontId="1" numFmtId="0" xfId="0" applyAlignment="1" applyBorder="1" applyFont="1">
      <alignment vertical="center"/>
    </xf>
    <xf borderId="5" fillId="2" fontId="11" numFmtId="0" xfId="0" applyAlignment="1" applyBorder="1" applyFont="1">
      <alignment horizontal="left" readingOrder="0" shrinkToFit="0" vertical="top" wrapText="1"/>
    </xf>
    <xf borderId="4" fillId="2" fontId="6" numFmtId="0" xfId="0" applyAlignment="1" applyBorder="1" applyFont="1">
      <alignment shrinkToFit="1" vertical="top" wrapText="0"/>
    </xf>
    <xf borderId="96" fillId="2" fontId="1" numFmtId="0" xfId="0" applyAlignment="1" applyBorder="1" applyFont="1">
      <alignment horizontal="left" shrinkToFit="0" vertical="center" wrapText="1"/>
    </xf>
    <xf borderId="97" fillId="0" fontId="2" numFmtId="0" xfId="0" applyAlignment="1" applyBorder="1" applyFont="1">
      <alignment vertical="center"/>
    </xf>
    <xf borderId="98" fillId="0" fontId="2" numFmtId="0" xfId="0" applyAlignment="1" applyBorder="1" applyFont="1">
      <alignment vertical="center"/>
    </xf>
    <xf borderId="99" fillId="0" fontId="2" numFmtId="0" xfId="0" applyAlignment="1" applyBorder="1" applyFont="1">
      <alignment vertical="center"/>
    </xf>
    <xf borderId="100" fillId="0" fontId="2" numFmtId="0" xfId="0" applyAlignment="1" applyBorder="1" applyFont="1">
      <alignment vertical="center"/>
    </xf>
    <xf borderId="101" fillId="0" fontId="2" numFmtId="0" xfId="0" applyAlignment="1" applyBorder="1" applyFont="1">
      <alignment vertical="center"/>
    </xf>
    <xf borderId="1" fillId="2" fontId="1" numFmtId="0" xfId="0" applyAlignment="1" applyBorder="1" applyFont="1">
      <alignment horizontal="center" shrinkToFit="1" vertical="center" wrapText="0"/>
    </xf>
    <xf borderId="7" fillId="2" fontId="5" numFmtId="0" xfId="0" applyAlignment="1" applyBorder="1" applyFont="1">
      <alignment horizontal="left" readingOrder="0" shrinkToFit="1" vertical="center" wrapText="0"/>
    </xf>
    <xf borderId="1" fillId="2" fontId="1" numFmtId="0" xfId="0" applyAlignment="1" applyBorder="1" applyFont="1">
      <alignment horizontal="right" shrinkToFit="1" vertical="center" wrapText="0"/>
    </xf>
    <xf borderId="102" fillId="0" fontId="2" numFmtId="0" xfId="0" applyAlignment="1" applyBorder="1" applyFont="1">
      <alignment vertical="center"/>
    </xf>
    <xf borderId="15" fillId="2" fontId="1" numFmtId="0" xfId="0" applyAlignment="1" applyBorder="1" applyFont="1">
      <alignment horizontal="center" vertical="center"/>
    </xf>
    <xf borderId="16" fillId="2" fontId="1" numFmtId="0" xfId="0" applyAlignment="1" applyBorder="1" applyFont="1">
      <alignment vertical="center"/>
    </xf>
    <xf borderId="103" fillId="0" fontId="2" numFmtId="0" xfId="0" applyAlignment="1" applyBorder="1" applyFont="1">
      <alignment vertical="center"/>
    </xf>
    <xf borderId="61" fillId="2" fontId="6" numFmtId="0" xfId="0" applyAlignment="1" applyBorder="1" applyFont="1">
      <alignment shrinkToFit="0" vertical="top" wrapText="1"/>
    </xf>
    <xf borderId="104" fillId="2" fontId="1" numFmtId="0" xfId="0" applyAlignment="1" applyBorder="1" applyFont="1">
      <alignment shrinkToFit="0" vertical="center" wrapText="1"/>
    </xf>
    <xf borderId="27" fillId="2" fontId="11" numFmtId="0" xfId="0" applyAlignment="1" applyBorder="1" applyFont="1">
      <alignment horizontal="left" readingOrder="0" shrinkToFit="0" vertical="top" wrapText="1"/>
    </xf>
    <xf borderId="30" fillId="2" fontId="6" numFmtId="0" xfId="0" applyAlignment="1" applyBorder="1" applyFont="1">
      <alignment shrinkToFit="0" vertical="top" wrapText="1"/>
    </xf>
    <xf borderId="105" fillId="2" fontId="1" numFmtId="0" xfId="0" applyAlignment="1" applyBorder="1" applyFont="1">
      <alignment vertical="center"/>
    </xf>
    <xf borderId="106" fillId="2" fontId="6" numFmtId="0" xfId="0" applyAlignment="1" applyBorder="1" applyFont="1">
      <alignment shrinkToFit="0" vertical="top" wrapText="1"/>
    </xf>
    <xf borderId="105" fillId="2" fontId="1" numFmtId="0" xfId="0" applyAlignment="1" applyBorder="1" applyFont="1">
      <alignment shrinkToFit="0" vertical="center" wrapText="1"/>
    </xf>
    <xf borderId="107" fillId="2" fontId="6" numFmtId="0" xfId="0" applyAlignment="1" applyBorder="1" applyFont="1">
      <alignment shrinkToFit="0" vertical="top" wrapText="1"/>
    </xf>
    <xf borderId="108" fillId="2" fontId="1" numFmtId="0" xfId="0" applyAlignment="1" applyBorder="1" applyFont="1">
      <alignment shrinkToFit="0" vertical="center" wrapText="1"/>
    </xf>
    <xf borderId="34" fillId="2" fontId="11" numFmtId="0" xfId="0" applyAlignment="1" applyBorder="1" applyFont="1">
      <alignment horizontal="left" readingOrder="0" shrinkToFit="0" vertical="top" wrapText="1"/>
    </xf>
    <xf borderId="109" fillId="2" fontId="1" numFmtId="0" xfId="0" applyAlignment="1" applyBorder="1" applyFont="1">
      <alignment vertical="center"/>
    </xf>
    <xf borderId="110" fillId="2" fontId="6" numFmtId="0" xfId="0" applyAlignment="1" applyBorder="1" applyFont="1">
      <alignment shrinkToFit="0" vertical="top" wrapText="1"/>
    </xf>
    <xf borderId="22" fillId="2" fontId="6" numFmtId="0" xfId="0" applyAlignment="1" applyBorder="1" applyFont="1">
      <alignment shrinkToFit="1" vertical="top" wrapText="0"/>
    </xf>
    <xf borderId="27" fillId="3" fontId="1" numFmtId="0" xfId="0" applyAlignment="1" applyBorder="1" applyFont="1">
      <alignment horizontal="left" readingOrder="0" shrinkToFit="0" vertical="top" wrapText="1"/>
    </xf>
    <xf borderId="34" fillId="3" fontId="11" numFmtId="0" xfId="0" applyAlignment="1" applyBorder="1" applyFont="1">
      <alignment horizontal="left" readingOrder="0" shrinkToFit="0" vertical="top" wrapText="1"/>
    </xf>
    <xf borderId="111" fillId="2" fontId="1" numFmtId="0" xfId="0" applyAlignment="1" applyBorder="1" applyFont="1">
      <alignment shrinkToFit="0" vertical="center" wrapText="1"/>
    </xf>
    <xf borderId="112" fillId="0" fontId="2" numFmtId="0" xfId="0" applyAlignment="1" applyBorder="1" applyFont="1">
      <alignment vertical="center"/>
    </xf>
    <xf borderId="39" fillId="2" fontId="1" numFmtId="0" xfId="0" applyAlignment="1" applyBorder="1" applyFont="1">
      <alignment horizontal="left" readingOrder="0" shrinkToFit="0" vertical="top" wrapText="1"/>
    </xf>
    <xf borderId="107" fillId="2" fontId="1" numFmtId="0" xfId="0" applyAlignment="1" applyBorder="1" applyFont="1">
      <alignment shrinkToFit="0" vertical="center" wrapText="1"/>
    </xf>
    <xf borderId="59" fillId="2" fontId="1" numFmtId="0" xfId="0" applyAlignment="1" applyBorder="1" applyFont="1">
      <alignment horizontal="left" readingOrder="0" shrinkToFit="0" vertical="top" wrapText="1"/>
    </xf>
  </cellXfs>
  <cellStyles count="1">
    <cellStyle xfId="0" name="Normal" builtinId="0"/>
  </cellStyles>
  <dxfs count="4">
    <dxf>
      <font/>
      <fill>
        <patternFill patternType="solid">
          <fgColor rgb="FF7F7F7F"/>
          <bgColor rgb="FF7F7F7F"/>
        </patternFill>
      </fill>
      <border/>
    </dxf>
    <dxf>
      <font/>
      <fill>
        <patternFill patternType="solid">
          <fgColor rgb="FFA5A5A5"/>
          <bgColor rgb="FFA5A5A5"/>
        </patternFill>
      </fill>
      <border/>
    </dxf>
    <dxf>
      <font>
        <color rgb="FFA5A5A5"/>
      </font>
      <fill>
        <patternFill patternType="solid">
          <fgColor rgb="FFA5A5A5"/>
          <bgColor rgb="FFA5A5A5"/>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43"/>
    <col customWidth="1" min="2" max="2" width="28.29"/>
    <col customWidth="1" min="3" max="3" width="6.29"/>
    <col customWidth="1" min="4" max="4" width="124.71"/>
    <col customWidth="1" min="5" max="5" width="6.43"/>
    <col customWidth="1" min="6" max="26" width="5.71"/>
    <col customWidth="1" min="27" max="28" width="9.0"/>
  </cols>
  <sheetData>
    <row r="1" ht="18.75" customHeight="1">
      <c r="A1" s="1" t="s">
        <v>0</v>
      </c>
      <c r="B1" s="2"/>
      <c r="C1" s="2"/>
      <c r="D1" s="2"/>
      <c r="E1" s="2"/>
      <c r="F1" s="2"/>
      <c r="G1" s="2"/>
      <c r="H1" s="2"/>
      <c r="I1" s="2"/>
      <c r="J1" s="2"/>
      <c r="K1" s="2"/>
      <c r="L1" s="2"/>
      <c r="M1" s="2"/>
      <c r="N1" s="2"/>
      <c r="O1" s="2"/>
      <c r="P1" s="2"/>
      <c r="Q1" s="2"/>
      <c r="R1" s="2"/>
      <c r="S1" s="2"/>
      <c r="T1" s="2"/>
      <c r="U1" s="2"/>
      <c r="V1" s="2"/>
      <c r="W1" s="2"/>
      <c r="X1" s="2"/>
      <c r="Y1" s="2"/>
      <c r="Z1" s="3"/>
      <c r="AA1" s="4"/>
      <c r="AB1" s="4"/>
    </row>
    <row r="2" ht="18.75" customHeight="1">
      <c r="A2" s="4"/>
      <c r="B2" s="4"/>
      <c r="C2" s="4"/>
      <c r="D2" s="4"/>
      <c r="E2" s="4"/>
      <c r="F2" s="4"/>
      <c r="G2" s="4"/>
      <c r="H2" s="4"/>
      <c r="I2" s="4"/>
      <c r="J2" s="4"/>
      <c r="K2" s="4"/>
      <c r="L2" s="4"/>
      <c r="M2" s="4"/>
      <c r="N2" s="4"/>
      <c r="O2" s="4"/>
      <c r="P2" s="4"/>
      <c r="Q2" s="4"/>
      <c r="R2" s="4"/>
      <c r="S2" s="4"/>
      <c r="T2" s="4"/>
      <c r="U2" s="4"/>
      <c r="V2" s="4"/>
      <c r="W2" s="4"/>
      <c r="X2" s="4"/>
      <c r="Y2" s="4"/>
      <c r="Z2" s="4"/>
      <c r="AA2" s="4"/>
      <c r="AB2" s="4"/>
    </row>
    <row r="3" ht="18.0" customHeight="1">
      <c r="A3" s="4"/>
      <c r="B3" s="4"/>
      <c r="C3" s="4"/>
      <c r="D3" s="4"/>
      <c r="E3" s="4"/>
      <c r="F3" s="4"/>
      <c r="G3" s="4"/>
      <c r="H3" s="4"/>
      <c r="I3" s="4"/>
      <c r="J3" s="4"/>
      <c r="K3" s="4"/>
      <c r="L3" s="4"/>
      <c r="M3" s="4"/>
      <c r="N3" s="4"/>
      <c r="O3" s="4"/>
      <c r="P3" s="4"/>
      <c r="Q3" s="4"/>
      <c r="R3" s="4"/>
      <c r="S3" s="4"/>
      <c r="T3" s="4"/>
      <c r="U3" s="4"/>
      <c r="V3" s="4"/>
      <c r="W3" s="4"/>
      <c r="X3" s="4"/>
      <c r="Y3" s="1" t="s">
        <v>1</v>
      </c>
      <c r="Z3" s="3"/>
      <c r="AA3" s="5"/>
      <c r="AB3" s="6"/>
    </row>
    <row r="4" ht="18.75" customHeight="1">
      <c r="A4" s="4"/>
      <c r="B4" s="7" t="s">
        <v>2</v>
      </c>
      <c r="C4" s="8"/>
      <c r="D4" s="9" t="s">
        <v>3</v>
      </c>
      <c r="E4" s="4"/>
      <c r="F4" s="4"/>
      <c r="G4" s="4"/>
      <c r="H4" s="4"/>
      <c r="I4" s="4"/>
      <c r="J4" s="4"/>
      <c r="K4" s="4"/>
      <c r="L4" s="4"/>
      <c r="M4" s="4"/>
      <c r="N4" s="4"/>
      <c r="O4" s="4"/>
      <c r="P4" s="5"/>
      <c r="Q4" s="10"/>
      <c r="R4" s="10"/>
      <c r="S4" s="10"/>
      <c r="T4" s="10"/>
      <c r="U4" s="10"/>
      <c r="V4" s="10"/>
      <c r="W4" s="10"/>
      <c r="X4" s="10"/>
      <c r="Y4" s="10"/>
      <c r="Z4" s="10"/>
      <c r="AA4" s="4"/>
      <c r="AB4" s="4"/>
    </row>
    <row r="5" ht="18.75" customHeight="1">
      <c r="A5" s="4"/>
      <c r="B5" s="7" t="s">
        <v>4</v>
      </c>
      <c r="C5" s="8"/>
      <c r="D5" s="9" t="s">
        <v>5</v>
      </c>
      <c r="E5" s="4"/>
      <c r="F5" s="4"/>
      <c r="G5" s="4"/>
      <c r="H5" s="4"/>
      <c r="I5" s="4"/>
      <c r="J5" s="4"/>
      <c r="K5" s="4"/>
      <c r="L5" s="4"/>
      <c r="M5" s="4"/>
      <c r="N5" s="4"/>
      <c r="O5" s="4"/>
      <c r="P5" s="5"/>
      <c r="Q5" s="10"/>
      <c r="R5" s="10"/>
      <c r="S5" s="10"/>
      <c r="T5" s="10"/>
      <c r="U5" s="10"/>
      <c r="V5" s="10"/>
      <c r="W5" s="10"/>
      <c r="X5" s="10"/>
      <c r="Y5" s="10"/>
      <c r="Z5" s="10"/>
      <c r="AA5" s="4"/>
      <c r="AB5" s="4"/>
    </row>
    <row r="6" ht="15.0" customHeight="1">
      <c r="A6" s="4"/>
      <c r="B6" s="4"/>
      <c r="C6" s="4"/>
      <c r="D6" s="4"/>
      <c r="E6" s="4"/>
      <c r="F6" s="4"/>
      <c r="G6" s="4"/>
      <c r="H6" s="4"/>
      <c r="I6" s="4"/>
      <c r="J6" s="4"/>
      <c r="K6" s="4"/>
      <c r="L6" s="4"/>
      <c r="M6" s="4"/>
      <c r="N6" s="4"/>
      <c r="O6" s="4"/>
      <c r="P6" s="4"/>
      <c r="Q6" s="5"/>
      <c r="R6" s="11"/>
      <c r="S6" s="11"/>
      <c r="T6" s="11"/>
      <c r="U6" s="11"/>
      <c r="V6" s="11"/>
      <c r="W6" s="11"/>
      <c r="X6" s="11"/>
      <c r="Y6" s="11"/>
      <c r="Z6" s="11"/>
      <c r="AA6" s="4"/>
      <c r="AB6" s="4"/>
    </row>
    <row r="7" ht="18.0" customHeight="1">
      <c r="A7" s="12" t="s">
        <v>6</v>
      </c>
      <c r="B7" s="2"/>
      <c r="C7" s="2"/>
      <c r="D7" s="2"/>
      <c r="E7" s="2"/>
      <c r="F7" s="2"/>
      <c r="G7" s="2"/>
      <c r="H7" s="2"/>
      <c r="I7" s="2"/>
      <c r="J7" s="2"/>
      <c r="K7" s="2"/>
      <c r="L7" s="2"/>
      <c r="M7" s="2"/>
      <c r="N7" s="2"/>
      <c r="O7" s="2"/>
      <c r="P7" s="2"/>
      <c r="Q7" s="2"/>
      <c r="R7" s="2"/>
      <c r="S7" s="2"/>
      <c r="T7" s="2"/>
      <c r="U7" s="2"/>
      <c r="V7" s="2"/>
      <c r="W7" s="2"/>
      <c r="X7" s="2"/>
      <c r="Y7" s="2"/>
      <c r="Z7" s="3"/>
      <c r="AA7" s="4"/>
      <c r="AB7" s="4"/>
    </row>
    <row r="8" ht="18.0" customHeight="1">
      <c r="A8" s="13"/>
      <c r="B8" s="13"/>
      <c r="C8" s="13"/>
      <c r="D8" s="13"/>
      <c r="E8" s="13"/>
      <c r="F8" s="13"/>
      <c r="G8" s="13"/>
      <c r="H8" s="13"/>
      <c r="I8" s="13"/>
      <c r="J8" s="13"/>
      <c r="K8" s="13"/>
      <c r="L8" s="13"/>
      <c r="M8" s="13"/>
      <c r="N8" s="13"/>
      <c r="O8" s="13"/>
      <c r="P8" s="13"/>
      <c r="Q8" s="13"/>
      <c r="R8" s="13"/>
      <c r="S8" s="13"/>
      <c r="T8" s="13"/>
      <c r="U8" s="13"/>
      <c r="V8" s="13"/>
      <c r="W8" s="13"/>
      <c r="X8" s="13"/>
      <c r="Y8" s="13"/>
      <c r="Z8" s="13"/>
      <c r="AA8" s="4"/>
      <c r="AB8" s="4"/>
    </row>
    <row r="9" ht="20.25" customHeight="1">
      <c r="A9" s="14" t="s">
        <v>7</v>
      </c>
      <c r="B9" s="3"/>
      <c r="C9" s="4"/>
      <c r="D9" s="15" t="s">
        <v>8</v>
      </c>
      <c r="E9" s="4"/>
      <c r="F9" s="4"/>
      <c r="G9" s="4"/>
      <c r="H9" s="4"/>
      <c r="I9" s="4"/>
      <c r="J9" s="4"/>
      <c r="K9" s="4"/>
      <c r="L9" s="4"/>
      <c r="M9" s="4"/>
      <c r="N9" s="4"/>
      <c r="O9" s="4"/>
      <c r="P9" s="4"/>
      <c r="Q9" s="4"/>
      <c r="R9" s="4"/>
      <c r="S9" s="4"/>
      <c r="T9" s="4"/>
      <c r="U9" s="4"/>
      <c r="V9" s="4"/>
      <c r="W9" s="4"/>
      <c r="X9" s="4"/>
      <c r="Y9" s="4"/>
      <c r="Z9" s="4"/>
      <c r="AA9" s="4"/>
      <c r="AB9" s="4"/>
    </row>
    <row r="10" ht="20.25" customHeight="1">
      <c r="A10" s="4"/>
      <c r="B10" s="16"/>
      <c r="C10" s="16"/>
      <c r="D10" s="16"/>
      <c r="E10" s="4"/>
      <c r="F10" s="4"/>
      <c r="G10" s="4"/>
      <c r="H10" s="4"/>
      <c r="I10" s="4"/>
      <c r="J10" s="4"/>
      <c r="K10" s="4"/>
      <c r="L10" s="4"/>
      <c r="M10" s="4"/>
      <c r="N10" s="4"/>
      <c r="O10" s="4"/>
      <c r="P10" s="4"/>
      <c r="Q10" s="16"/>
      <c r="R10" s="16"/>
      <c r="S10" s="16"/>
      <c r="T10" s="16"/>
      <c r="U10" s="16"/>
      <c r="V10" s="16"/>
      <c r="W10" s="16"/>
      <c r="X10" s="16"/>
      <c r="Y10" s="16"/>
      <c r="Z10" s="16"/>
      <c r="AA10" s="4"/>
      <c r="AB10" s="4"/>
    </row>
    <row r="11" ht="20.25" customHeight="1">
      <c r="A11" s="14" t="s">
        <v>9</v>
      </c>
      <c r="B11" s="3"/>
      <c r="C11" s="4"/>
      <c r="D11" s="17"/>
      <c r="E11" s="4"/>
      <c r="F11" s="4"/>
      <c r="G11" s="4"/>
      <c r="H11" s="4"/>
      <c r="I11" s="4"/>
      <c r="J11" s="4"/>
      <c r="K11" s="4"/>
      <c r="L11" s="4"/>
      <c r="M11" s="4"/>
      <c r="N11" s="4"/>
      <c r="O11" s="4"/>
      <c r="P11" s="4"/>
      <c r="Q11" s="4"/>
      <c r="R11" s="4"/>
      <c r="S11" s="4"/>
      <c r="T11" s="4"/>
      <c r="U11" s="4"/>
      <c r="V11" s="4"/>
      <c r="W11" s="4"/>
      <c r="X11" s="4"/>
      <c r="Y11" s="4"/>
      <c r="Z11" s="4"/>
      <c r="AA11" s="4"/>
      <c r="AB11" s="4"/>
    </row>
    <row r="12" ht="20.25" customHeight="1">
      <c r="A12" s="4"/>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4"/>
      <c r="AB12" s="4"/>
    </row>
    <row r="13" ht="20.25" customHeight="1">
      <c r="A13" s="18" t="s">
        <v>10</v>
      </c>
      <c r="B13" s="3"/>
      <c r="C13" s="16"/>
      <c r="D13" s="9" t="s">
        <v>11</v>
      </c>
      <c r="E13" s="10"/>
      <c r="F13" s="10"/>
      <c r="G13" s="10"/>
      <c r="H13" s="10"/>
      <c r="I13" s="10"/>
      <c r="J13" s="10"/>
      <c r="K13" s="10"/>
      <c r="L13" s="10"/>
      <c r="M13" s="10"/>
      <c r="N13" s="10"/>
      <c r="O13" s="10"/>
      <c r="P13" s="10"/>
      <c r="Q13" s="19"/>
      <c r="R13" s="19"/>
      <c r="S13" s="19"/>
      <c r="T13" s="19"/>
      <c r="U13" s="19"/>
      <c r="V13" s="19"/>
      <c r="W13" s="19"/>
      <c r="X13" s="19"/>
      <c r="Y13" s="19"/>
      <c r="Z13" s="19"/>
      <c r="AA13" s="4"/>
      <c r="AB13" s="4"/>
    </row>
    <row r="14" ht="20.25" customHeight="1">
      <c r="A14" s="4"/>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4"/>
      <c r="AB14" s="4"/>
    </row>
    <row r="15" ht="132.0" customHeight="1">
      <c r="A15" s="20" t="s">
        <v>12</v>
      </c>
      <c r="B15" s="3"/>
      <c r="C15" s="16"/>
      <c r="D15" s="21" t="s">
        <v>13</v>
      </c>
      <c r="E15" s="22"/>
      <c r="F15" s="22"/>
      <c r="G15" s="22"/>
      <c r="H15" s="22"/>
      <c r="I15" s="22"/>
      <c r="J15" s="22"/>
      <c r="K15" s="22"/>
      <c r="L15" s="22"/>
      <c r="M15" s="22"/>
      <c r="N15" s="22"/>
      <c r="O15" s="22"/>
      <c r="P15" s="22"/>
      <c r="Q15" s="22"/>
      <c r="R15" s="22"/>
      <c r="S15" s="22"/>
      <c r="T15" s="22"/>
      <c r="U15" s="22"/>
      <c r="V15" s="22"/>
      <c r="W15" s="22"/>
      <c r="X15" s="22"/>
      <c r="Y15" s="22"/>
      <c r="Z15" s="22"/>
      <c r="AA15" s="4"/>
      <c r="AB15" s="4"/>
    </row>
    <row r="16" ht="12.75" customHeight="1">
      <c r="A16" s="4"/>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4"/>
      <c r="AB16" s="4"/>
    </row>
    <row r="17" ht="20.25" customHeight="1">
      <c r="A17" s="4" t="s">
        <v>14</v>
      </c>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4"/>
      <c r="AB17" s="4"/>
    </row>
    <row r="18" ht="9.75" customHeight="1">
      <c r="A18" s="4"/>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4"/>
      <c r="AB18" s="4"/>
    </row>
    <row r="19" ht="20.25" customHeight="1">
      <c r="A19" s="4"/>
      <c r="B19" s="5" t="s">
        <v>15</v>
      </c>
      <c r="C19" s="23">
        <v>3.0</v>
      </c>
      <c r="D19" s="24" t="s">
        <v>16</v>
      </c>
      <c r="E19" s="4"/>
      <c r="F19" s="4"/>
      <c r="G19" s="16"/>
      <c r="H19" s="16"/>
      <c r="I19" s="16"/>
      <c r="J19" s="16"/>
      <c r="K19" s="16"/>
      <c r="L19" s="16"/>
      <c r="M19" s="16"/>
      <c r="N19" s="16"/>
      <c r="O19" s="16"/>
      <c r="P19" s="16"/>
      <c r="Q19" s="16"/>
      <c r="R19" s="16"/>
      <c r="S19" s="16"/>
      <c r="T19" s="16"/>
      <c r="U19" s="16"/>
      <c r="V19" s="16"/>
      <c r="W19" s="16"/>
      <c r="X19" s="16"/>
      <c r="Y19" s="16"/>
      <c r="Z19" s="16"/>
      <c r="AA19" s="4"/>
      <c r="AB19" s="4"/>
    </row>
    <row r="20" ht="20.25" customHeight="1">
      <c r="A20" s="4"/>
      <c r="B20" s="16"/>
      <c r="C20" s="23">
        <v>6.0</v>
      </c>
      <c r="D20" s="24" t="s">
        <v>17</v>
      </c>
      <c r="E20" s="4"/>
      <c r="F20" s="4"/>
      <c r="G20" s="16"/>
      <c r="H20" s="16"/>
      <c r="I20" s="16"/>
      <c r="J20" s="16"/>
      <c r="K20" s="16"/>
      <c r="L20" s="16"/>
      <c r="M20" s="16"/>
      <c r="N20" s="16"/>
      <c r="O20" s="16"/>
      <c r="P20" s="16"/>
      <c r="Q20" s="16"/>
      <c r="R20" s="16"/>
      <c r="S20" s="16"/>
      <c r="T20" s="16"/>
      <c r="U20" s="16"/>
      <c r="V20" s="16"/>
      <c r="W20" s="16"/>
      <c r="X20" s="16"/>
      <c r="Y20" s="16"/>
      <c r="Z20" s="16"/>
      <c r="AA20" s="4"/>
      <c r="AB20" s="4"/>
    </row>
    <row r="21" ht="20.25" customHeight="1">
      <c r="A21" s="4"/>
      <c r="B21" s="4"/>
      <c r="C21" s="4"/>
      <c r="D21" s="4"/>
      <c r="E21" s="4"/>
      <c r="F21" s="25" t="s">
        <v>18</v>
      </c>
      <c r="G21" s="26"/>
      <c r="H21" s="26"/>
      <c r="I21" s="26"/>
      <c r="J21" s="26"/>
      <c r="K21" s="26"/>
      <c r="L21" s="26"/>
      <c r="M21" s="26"/>
      <c r="N21" s="26"/>
      <c r="O21" s="26"/>
      <c r="P21" s="26"/>
      <c r="Q21" s="26"/>
      <c r="R21" s="26"/>
      <c r="S21" s="26"/>
      <c r="T21" s="26"/>
      <c r="U21" s="26"/>
      <c r="V21" s="26"/>
      <c r="W21" s="26"/>
      <c r="X21" s="26"/>
      <c r="Y21" s="26"/>
      <c r="Z21" s="27"/>
      <c r="AA21" s="4"/>
      <c r="AB21" s="4"/>
    </row>
    <row r="22" ht="18.0" customHeight="1">
      <c r="A22" s="4"/>
      <c r="B22" s="28"/>
      <c r="C22" s="28"/>
      <c r="D22" s="29" t="s">
        <v>19</v>
      </c>
      <c r="E22" s="30" t="s">
        <v>20</v>
      </c>
      <c r="F22" s="31" t="s">
        <v>21</v>
      </c>
      <c r="G22" s="32" t="s">
        <v>22</v>
      </c>
      <c r="H22" s="32" t="s">
        <v>23</v>
      </c>
      <c r="I22" s="32" t="s">
        <v>24</v>
      </c>
      <c r="J22" s="32" t="s">
        <v>25</v>
      </c>
      <c r="K22" s="32" t="s">
        <v>26</v>
      </c>
      <c r="L22" s="32" t="s">
        <v>27</v>
      </c>
      <c r="M22" s="32" t="s">
        <v>28</v>
      </c>
      <c r="N22" s="32" t="s">
        <v>29</v>
      </c>
      <c r="O22" s="32" t="s">
        <v>30</v>
      </c>
      <c r="P22" s="33" t="s">
        <v>31</v>
      </c>
      <c r="Q22" s="34" t="s">
        <v>32</v>
      </c>
      <c r="R22" s="35" t="s">
        <v>33</v>
      </c>
      <c r="S22" s="35" t="s">
        <v>34</v>
      </c>
      <c r="T22" s="35" t="s">
        <v>35</v>
      </c>
      <c r="U22" s="35" t="s">
        <v>36</v>
      </c>
      <c r="V22" s="35" t="s">
        <v>37</v>
      </c>
      <c r="W22" s="35" t="s">
        <v>38</v>
      </c>
      <c r="X22" s="35" t="s">
        <v>39</v>
      </c>
      <c r="Y22" s="35" t="s">
        <v>40</v>
      </c>
      <c r="Z22" s="36" t="s">
        <v>41</v>
      </c>
      <c r="AA22" s="4"/>
      <c r="AB22" s="4"/>
    </row>
    <row r="23" ht="18.0" customHeight="1">
      <c r="A23" s="4"/>
      <c r="B23" s="37" t="s">
        <v>42</v>
      </c>
      <c r="C23" s="38"/>
      <c r="D23" s="39" t="s">
        <v>43</v>
      </c>
      <c r="E23" s="40">
        <v>2.0</v>
      </c>
      <c r="F23" s="41" t="s">
        <v>44</v>
      </c>
      <c r="G23" s="42"/>
      <c r="H23" s="43"/>
      <c r="I23" s="42" t="s">
        <v>44</v>
      </c>
      <c r="J23" s="43"/>
      <c r="K23" s="42" t="s">
        <v>44</v>
      </c>
      <c r="L23" s="42" t="s">
        <v>44</v>
      </c>
      <c r="M23" s="42" t="s">
        <v>44</v>
      </c>
      <c r="N23" s="42" t="s">
        <v>44</v>
      </c>
      <c r="O23" s="43"/>
      <c r="P23" s="44" t="s">
        <v>44</v>
      </c>
      <c r="Q23" s="45"/>
      <c r="R23" s="43"/>
      <c r="S23" s="43"/>
      <c r="T23" s="43"/>
      <c r="U23" s="43"/>
      <c r="V23" s="43"/>
      <c r="W23" s="43"/>
      <c r="X23" s="43"/>
      <c r="Y23" s="43"/>
      <c r="Z23" s="43"/>
      <c r="AA23" s="4"/>
      <c r="AB23" s="4"/>
    </row>
    <row r="24" ht="18.0" customHeight="1">
      <c r="A24" s="4"/>
      <c r="B24" s="46"/>
      <c r="C24" s="47"/>
      <c r="D24" s="48" t="s">
        <v>45</v>
      </c>
      <c r="E24" s="49">
        <v>2.0</v>
      </c>
      <c r="F24" s="50" t="s">
        <v>44</v>
      </c>
      <c r="G24" s="51" t="s">
        <v>44</v>
      </c>
      <c r="H24" s="51" t="s">
        <v>44</v>
      </c>
      <c r="I24" s="51" t="s">
        <v>44</v>
      </c>
      <c r="J24" s="52"/>
      <c r="K24" s="51" t="s">
        <v>44</v>
      </c>
      <c r="L24" s="51" t="s">
        <v>44</v>
      </c>
      <c r="M24" s="51" t="s">
        <v>44</v>
      </c>
      <c r="N24" s="51" t="s">
        <v>44</v>
      </c>
      <c r="O24" s="51" t="s">
        <v>44</v>
      </c>
      <c r="P24" s="53" t="s">
        <v>44</v>
      </c>
      <c r="Q24" s="54"/>
      <c r="R24" s="52"/>
      <c r="S24" s="52"/>
      <c r="T24" s="52"/>
      <c r="U24" s="52"/>
      <c r="V24" s="52"/>
      <c r="W24" s="52"/>
      <c r="X24" s="52"/>
      <c r="Y24" s="52"/>
      <c r="Z24" s="52"/>
      <c r="AA24" s="4"/>
      <c r="AB24" s="4"/>
    </row>
    <row r="25" ht="18.0" customHeight="1">
      <c r="A25" s="4"/>
      <c r="B25" s="46"/>
      <c r="C25" s="47"/>
      <c r="D25" s="48" t="s">
        <v>46</v>
      </c>
      <c r="E25" s="49">
        <v>2.0</v>
      </c>
      <c r="F25" s="50" t="s">
        <v>44</v>
      </c>
      <c r="G25" s="51" t="s">
        <v>44</v>
      </c>
      <c r="H25" s="51" t="s">
        <v>44</v>
      </c>
      <c r="I25" s="51" t="s">
        <v>44</v>
      </c>
      <c r="J25" s="51" t="s">
        <v>44</v>
      </c>
      <c r="K25" s="51" t="s">
        <v>44</v>
      </c>
      <c r="L25" s="52"/>
      <c r="M25" s="51" t="s">
        <v>44</v>
      </c>
      <c r="N25" s="51" t="s">
        <v>44</v>
      </c>
      <c r="O25" s="51" t="s">
        <v>44</v>
      </c>
      <c r="P25" s="55"/>
      <c r="Q25" s="54"/>
      <c r="R25" s="52"/>
      <c r="S25" s="52"/>
      <c r="T25" s="52"/>
      <c r="U25" s="52"/>
      <c r="V25" s="52"/>
      <c r="W25" s="52"/>
      <c r="X25" s="52"/>
      <c r="Y25" s="52"/>
      <c r="Z25" s="52"/>
      <c r="AA25" s="4"/>
      <c r="AB25" s="4"/>
    </row>
    <row r="26" ht="18.0" customHeight="1">
      <c r="A26" s="4"/>
      <c r="B26" s="46"/>
      <c r="C26" s="47"/>
      <c r="D26" s="56"/>
      <c r="E26" s="57"/>
      <c r="F26" s="58"/>
      <c r="G26" s="52"/>
      <c r="H26" s="52"/>
      <c r="I26" s="52"/>
      <c r="J26" s="52"/>
      <c r="K26" s="52"/>
      <c r="L26" s="52"/>
      <c r="M26" s="52"/>
      <c r="N26" s="52"/>
      <c r="O26" s="52"/>
      <c r="P26" s="55"/>
      <c r="Q26" s="54"/>
      <c r="R26" s="52"/>
      <c r="S26" s="52"/>
      <c r="T26" s="52"/>
      <c r="U26" s="52"/>
      <c r="V26" s="52"/>
      <c r="W26" s="52"/>
      <c r="X26" s="52"/>
      <c r="Y26" s="52"/>
      <c r="Z26" s="52"/>
      <c r="AA26" s="4"/>
      <c r="AB26" s="4"/>
    </row>
    <row r="27" ht="18.0" customHeight="1">
      <c r="A27" s="4"/>
      <c r="B27" s="46"/>
      <c r="C27" s="47"/>
      <c r="D27" s="56"/>
      <c r="E27" s="57"/>
      <c r="F27" s="58"/>
      <c r="G27" s="52"/>
      <c r="H27" s="52"/>
      <c r="I27" s="52"/>
      <c r="J27" s="52"/>
      <c r="K27" s="52"/>
      <c r="L27" s="52"/>
      <c r="M27" s="52"/>
      <c r="N27" s="52"/>
      <c r="O27" s="52"/>
      <c r="P27" s="55"/>
      <c r="Q27" s="54"/>
      <c r="R27" s="52"/>
      <c r="S27" s="52"/>
      <c r="T27" s="52"/>
      <c r="U27" s="52"/>
      <c r="V27" s="52"/>
      <c r="W27" s="52"/>
      <c r="X27" s="52"/>
      <c r="Y27" s="52"/>
      <c r="Z27" s="52"/>
      <c r="AA27" s="4"/>
      <c r="AB27" s="4"/>
    </row>
    <row r="28" ht="18.0" customHeight="1">
      <c r="A28" s="4"/>
      <c r="B28" s="46"/>
      <c r="C28" s="47"/>
      <c r="D28" s="56"/>
      <c r="E28" s="57"/>
      <c r="F28" s="58"/>
      <c r="G28" s="52"/>
      <c r="H28" s="52"/>
      <c r="I28" s="52"/>
      <c r="J28" s="52"/>
      <c r="K28" s="52"/>
      <c r="L28" s="52"/>
      <c r="M28" s="52"/>
      <c r="N28" s="52"/>
      <c r="O28" s="52"/>
      <c r="P28" s="55"/>
      <c r="Q28" s="54"/>
      <c r="R28" s="52"/>
      <c r="S28" s="52"/>
      <c r="T28" s="52"/>
      <c r="U28" s="52"/>
      <c r="V28" s="52"/>
      <c r="W28" s="52"/>
      <c r="X28" s="52"/>
      <c r="Y28" s="52"/>
      <c r="Z28" s="52"/>
      <c r="AA28" s="4"/>
      <c r="AB28" s="4"/>
    </row>
    <row r="29" ht="18.0" customHeight="1">
      <c r="A29" s="4"/>
      <c r="B29" s="46"/>
      <c r="C29" s="47"/>
      <c r="D29" s="56"/>
      <c r="E29" s="57"/>
      <c r="F29" s="58"/>
      <c r="G29" s="52"/>
      <c r="H29" s="52"/>
      <c r="I29" s="52"/>
      <c r="J29" s="52"/>
      <c r="K29" s="52"/>
      <c r="L29" s="52"/>
      <c r="M29" s="52"/>
      <c r="N29" s="52"/>
      <c r="O29" s="52"/>
      <c r="P29" s="55"/>
      <c r="Q29" s="54"/>
      <c r="R29" s="52"/>
      <c r="S29" s="52"/>
      <c r="T29" s="52"/>
      <c r="U29" s="52"/>
      <c r="V29" s="52"/>
      <c r="W29" s="52"/>
      <c r="X29" s="52"/>
      <c r="Y29" s="52"/>
      <c r="Z29" s="52"/>
      <c r="AA29" s="4"/>
      <c r="AB29" s="4"/>
    </row>
    <row r="30" ht="18.0" customHeight="1">
      <c r="A30" s="4"/>
      <c r="B30" s="46"/>
      <c r="C30" s="47"/>
      <c r="D30" s="56"/>
      <c r="E30" s="57"/>
      <c r="F30" s="58"/>
      <c r="G30" s="52"/>
      <c r="H30" s="52"/>
      <c r="I30" s="52"/>
      <c r="J30" s="52"/>
      <c r="K30" s="52"/>
      <c r="L30" s="52"/>
      <c r="M30" s="52"/>
      <c r="N30" s="52"/>
      <c r="O30" s="52"/>
      <c r="P30" s="55"/>
      <c r="Q30" s="54"/>
      <c r="R30" s="52"/>
      <c r="S30" s="52"/>
      <c r="T30" s="52"/>
      <c r="U30" s="52"/>
      <c r="V30" s="52"/>
      <c r="W30" s="52"/>
      <c r="X30" s="52"/>
      <c r="Y30" s="52"/>
      <c r="Z30" s="52"/>
      <c r="AA30" s="4"/>
      <c r="AB30" s="4"/>
    </row>
    <row r="31" ht="18.0" customHeight="1">
      <c r="A31" s="4"/>
      <c r="B31" s="46"/>
      <c r="C31" s="47"/>
      <c r="D31" s="56"/>
      <c r="E31" s="57"/>
      <c r="F31" s="58"/>
      <c r="G31" s="52"/>
      <c r="H31" s="52"/>
      <c r="I31" s="52"/>
      <c r="J31" s="52"/>
      <c r="K31" s="52"/>
      <c r="L31" s="52"/>
      <c r="M31" s="52"/>
      <c r="N31" s="52"/>
      <c r="O31" s="52"/>
      <c r="P31" s="55"/>
      <c r="Q31" s="54"/>
      <c r="R31" s="52"/>
      <c r="S31" s="52"/>
      <c r="T31" s="52"/>
      <c r="U31" s="52"/>
      <c r="V31" s="52"/>
      <c r="W31" s="52"/>
      <c r="X31" s="52"/>
      <c r="Y31" s="52"/>
      <c r="Z31" s="52"/>
      <c r="AA31" s="4"/>
      <c r="AB31" s="4"/>
    </row>
    <row r="32" ht="18.0" customHeight="1">
      <c r="A32" s="4"/>
      <c r="B32" s="59"/>
      <c r="C32" s="60"/>
      <c r="D32" s="61"/>
      <c r="E32" s="62"/>
      <c r="F32" s="63"/>
      <c r="G32" s="64"/>
      <c r="H32" s="64"/>
      <c r="I32" s="64"/>
      <c r="J32" s="64"/>
      <c r="K32" s="64"/>
      <c r="L32" s="64"/>
      <c r="M32" s="64"/>
      <c r="N32" s="64"/>
      <c r="O32" s="64"/>
      <c r="P32" s="65"/>
      <c r="Q32" s="66"/>
      <c r="R32" s="64"/>
      <c r="S32" s="64"/>
      <c r="T32" s="64"/>
      <c r="U32" s="64"/>
      <c r="V32" s="64"/>
      <c r="W32" s="64"/>
      <c r="X32" s="64"/>
      <c r="Y32" s="64"/>
      <c r="Z32" s="64"/>
      <c r="AA32" s="4"/>
      <c r="AB32" s="4"/>
    </row>
    <row r="33" ht="18.0" customHeight="1">
      <c r="A33" s="4"/>
      <c r="B33" s="37" t="s">
        <v>47</v>
      </c>
      <c r="C33" s="38"/>
      <c r="D33" s="67"/>
      <c r="E33" s="68"/>
      <c r="F33" s="69"/>
      <c r="G33" s="70"/>
      <c r="H33" s="70"/>
      <c r="I33" s="70"/>
      <c r="J33" s="70"/>
      <c r="K33" s="70"/>
      <c r="L33" s="70"/>
      <c r="M33" s="70"/>
      <c r="N33" s="70"/>
      <c r="O33" s="70"/>
      <c r="P33" s="71"/>
      <c r="Q33" s="72"/>
      <c r="R33" s="70"/>
      <c r="S33" s="70"/>
      <c r="T33" s="70"/>
      <c r="U33" s="70"/>
      <c r="V33" s="70"/>
      <c r="W33" s="70"/>
      <c r="X33" s="70"/>
      <c r="Y33" s="70"/>
      <c r="Z33" s="70"/>
      <c r="AA33" s="4"/>
      <c r="AB33" s="4"/>
    </row>
    <row r="34" ht="18.0" customHeight="1">
      <c r="A34" s="4"/>
      <c r="B34" s="46"/>
      <c r="C34" s="47"/>
      <c r="D34" s="56"/>
      <c r="E34" s="57"/>
      <c r="F34" s="58"/>
      <c r="G34" s="52"/>
      <c r="H34" s="52"/>
      <c r="I34" s="52"/>
      <c r="J34" s="52"/>
      <c r="K34" s="52"/>
      <c r="L34" s="52"/>
      <c r="M34" s="52"/>
      <c r="N34" s="52"/>
      <c r="O34" s="52"/>
      <c r="P34" s="55"/>
      <c r="Q34" s="54"/>
      <c r="R34" s="52"/>
      <c r="S34" s="52"/>
      <c r="T34" s="52"/>
      <c r="U34" s="52"/>
      <c r="V34" s="52"/>
      <c r="W34" s="52"/>
      <c r="X34" s="52"/>
      <c r="Y34" s="52"/>
      <c r="Z34" s="52"/>
      <c r="AA34" s="4"/>
      <c r="AB34" s="4"/>
    </row>
    <row r="35" ht="18.0" customHeight="1">
      <c r="A35" s="4"/>
      <c r="B35" s="46"/>
      <c r="C35" s="47"/>
      <c r="D35" s="56"/>
      <c r="E35" s="57"/>
      <c r="F35" s="58"/>
      <c r="G35" s="52"/>
      <c r="H35" s="52"/>
      <c r="I35" s="52"/>
      <c r="J35" s="52"/>
      <c r="K35" s="52"/>
      <c r="L35" s="52"/>
      <c r="M35" s="52"/>
      <c r="N35" s="52"/>
      <c r="O35" s="52"/>
      <c r="P35" s="55"/>
      <c r="Q35" s="54"/>
      <c r="R35" s="52"/>
      <c r="S35" s="52"/>
      <c r="T35" s="52"/>
      <c r="U35" s="52"/>
      <c r="V35" s="52"/>
      <c r="W35" s="52"/>
      <c r="X35" s="52"/>
      <c r="Y35" s="52"/>
      <c r="Z35" s="52"/>
      <c r="AA35" s="4"/>
      <c r="AB35" s="4"/>
    </row>
    <row r="36" ht="18.0" customHeight="1">
      <c r="A36" s="4"/>
      <c r="B36" s="46"/>
      <c r="C36" s="47"/>
      <c r="D36" s="56"/>
      <c r="E36" s="57"/>
      <c r="F36" s="58"/>
      <c r="G36" s="52"/>
      <c r="H36" s="52"/>
      <c r="I36" s="52"/>
      <c r="J36" s="52"/>
      <c r="K36" s="52"/>
      <c r="L36" s="52"/>
      <c r="M36" s="52"/>
      <c r="N36" s="52"/>
      <c r="O36" s="52"/>
      <c r="P36" s="55"/>
      <c r="Q36" s="54"/>
      <c r="R36" s="52"/>
      <c r="S36" s="52"/>
      <c r="T36" s="52"/>
      <c r="U36" s="52"/>
      <c r="V36" s="52"/>
      <c r="W36" s="52"/>
      <c r="X36" s="52"/>
      <c r="Y36" s="52"/>
      <c r="Z36" s="52"/>
      <c r="AA36" s="4"/>
      <c r="AB36" s="4"/>
    </row>
    <row r="37" ht="18.0" customHeight="1">
      <c r="A37" s="4"/>
      <c r="B37" s="46"/>
      <c r="C37" s="47"/>
      <c r="D37" s="56"/>
      <c r="E37" s="57"/>
      <c r="F37" s="58"/>
      <c r="G37" s="52"/>
      <c r="H37" s="52"/>
      <c r="I37" s="52"/>
      <c r="J37" s="52"/>
      <c r="K37" s="52"/>
      <c r="L37" s="52"/>
      <c r="M37" s="52"/>
      <c r="N37" s="52"/>
      <c r="O37" s="52"/>
      <c r="P37" s="55"/>
      <c r="Q37" s="54"/>
      <c r="R37" s="52"/>
      <c r="S37" s="52"/>
      <c r="T37" s="52"/>
      <c r="U37" s="52"/>
      <c r="V37" s="52"/>
      <c r="W37" s="52"/>
      <c r="X37" s="52"/>
      <c r="Y37" s="52"/>
      <c r="Z37" s="52"/>
      <c r="AA37" s="4"/>
      <c r="AB37" s="4"/>
    </row>
    <row r="38" ht="18.0" customHeight="1">
      <c r="A38" s="4"/>
      <c r="B38" s="46"/>
      <c r="C38" s="47"/>
      <c r="D38" s="56"/>
      <c r="E38" s="57"/>
      <c r="F38" s="58"/>
      <c r="G38" s="52"/>
      <c r="H38" s="52"/>
      <c r="I38" s="52"/>
      <c r="J38" s="52"/>
      <c r="K38" s="52"/>
      <c r="L38" s="52"/>
      <c r="M38" s="52"/>
      <c r="N38" s="52"/>
      <c r="O38" s="52"/>
      <c r="P38" s="55"/>
      <c r="Q38" s="54"/>
      <c r="R38" s="52"/>
      <c r="S38" s="52"/>
      <c r="T38" s="52"/>
      <c r="U38" s="52"/>
      <c r="V38" s="52"/>
      <c r="W38" s="52"/>
      <c r="X38" s="52"/>
      <c r="Y38" s="52"/>
      <c r="Z38" s="52"/>
      <c r="AA38" s="4"/>
      <c r="AB38" s="4"/>
    </row>
    <row r="39" ht="18.0" customHeight="1">
      <c r="A39" s="4"/>
      <c r="B39" s="46"/>
      <c r="C39" s="47"/>
      <c r="D39" s="56"/>
      <c r="E39" s="57"/>
      <c r="F39" s="58"/>
      <c r="G39" s="52"/>
      <c r="H39" s="52"/>
      <c r="I39" s="52"/>
      <c r="J39" s="52"/>
      <c r="K39" s="52"/>
      <c r="L39" s="52"/>
      <c r="M39" s="52"/>
      <c r="N39" s="52"/>
      <c r="O39" s="52"/>
      <c r="P39" s="55"/>
      <c r="Q39" s="54"/>
      <c r="R39" s="52"/>
      <c r="S39" s="52"/>
      <c r="T39" s="52"/>
      <c r="U39" s="52"/>
      <c r="V39" s="52"/>
      <c r="W39" s="52"/>
      <c r="X39" s="52"/>
      <c r="Y39" s="52"/>
      <c r="Z39" s="52"/>
      <c r="AA39" s="4"/>
      <c r="AB39" s="4"/>
    </row>
    <row r="40" ht="18.0" customHeight="1">
      <c r="A40" s="4"/>
      <c r="B40" s="46"/>
      <c r="C40" s="47"/>
      <c r="D40" s="56"/>
      <c r="E40" s="57"/>
      <c r="F40" s="58"/>
      <c r="G40" s="52"/>
      <c r="H40" s="52"/>
      <c r="I40" s="52"/>
      <c r="J40" s="52"/>
      <c r="K40" s="52"/>
      <c r="L40" s="52"/>
      <c r="M40" s="52"/>
      <c r="N40" s="52"/>
      <c r="O40" s="52"/>
      <c r="P40" s="55"/>
      <c r="Q40" s="54"/>
      <c r="R40" s="52"/>
      <c r="S40" s="52"/>
      <c r="T40" s="52"/>
      <c r="U40" s="52"/>
      <c r="V40" s="52"/>
      <c r="W40" s="52"/>
      <c r="X40" s="52"/>
      <c r="Y40" s="52"/>
      <c r="Z40" s="52"/>
      <c r="AA40" s="4"/>
      <c r="AB40" s="4"/>
    </row>
    <row r="41" ht="18.0" customHeight="1">
      <c r="A41" s="4"/>
      <c r="B41" s="46"/>
      <c r="C41" s="47"/>
      <c r="D41" s="56"/>
      <c r="E41" s="57"/>
      <c r="F41" s="58"/>
      <c r="G41" s="52"/>
      <c r="H41" s="52"/>
      <c r="I41" s="52"/>
      <c r="J41" s="52"/>
      <c r="K41" s="52"/>
      <c r="L41" s="52"/>
      <c r="M41" s="52"/>
      <c r="N41" s="52"/>
      <c r="O41" s="52"/>
      <c r="P41" s="55"/>
      <c r="Q41" s="54"/>
      <c r="R41" s="52"/>
      <c r="S41" s="52"/>
      <c r="T41" s="52"/>
      <c r="U41" s="52"/>
      <c r="V41" s="52"/>
      <c r="W41" s="52"/>
      <c r="X41" s="52"/>
      <c r="Y41" s="52"/>
      <c r="Z41" s="52"/>
      <c r="AA41" s="4"/>
      <c r="AB41" s="4"/>
    </row>
    <row r="42" ht="18.0" customHeight="1">
      <c r="A42" s="4"/>
      <c r="B42" s="73"/>
      <c r="C42" s="74"/>
      <c r="D42" s="61"/>
      <c r="E42" s="75"/>
      <c r="F42" s="63"/>
      <c r="G42" s="64"/>
      <c r="H42" s="64"/>
      <c r="I42" s="64"/>
      <c r="J42" s="64"/>
      <c r="K42" s="64"/>
      <c r="L42" s="64"/>
      <c r="M42" s="64"/>
      <c r="N42" s="64"/>
      <c r="O42" s="64"/>
      <c r="P42" s="65"/>
      <c r="Q42" s="66"/>
      <c r="R42" s="64"/>
      <c r="S42" s="64"/>
      <c r="T42" s="64"/>
      <c r="U42" s="64"/>
      <c r="V42" s="64"/>
      <c r="W42" s="64"/>
      <c r="X42" s="64"/>
      <c r="Y42" s="64"/>
      <c r="Z42" s="64"/>
      <c r="AA42" s="4"/>
      <c r="AB42" s="4"/>
    </row>
    <row r="43" ht="18.0" customHeight="1">
      <c r="A43" s="4"/>
      <c r="B43" s="76" t="s">
        <v>48</v>
      </c>
      <c r="C43" s="77"/>
      <c r="D43" s="56"/>
      <c r="E43" s="57"/>
      <c r="F43" s="58"/>
      <c r="G43" s="52"/>
      <c r="H43" s="52"/>
      <c r="I43" s="52"/>
      <c r="J43" s="52"/>
      <c r="K43" s="52"/>
      <c r="L43" s="52"/>
      <c r="M43" s="52"/>
      <c r="N43" s="52"/>
      <c r="O43" s="52"/>
      <c r="P43" s="55"/>
      <c r="Q43" s="54"/>
      <c r="R43" s="52"/>
      <c r="S43" s="52"/>
      <c r="T43" s="52"/>
      <c r="U43" s="52"/>
      <c r="V43" s="52"/>
      <c r="W43" s="52"/>
      <c r="X43" s="52"/>
      <c r="Y43" s="52"/>
      <c r="Z43" s="52"/>
      <c r="AA43" s="4"/>
      <c r="AB43" s="4"/>
    </row>
    <row r="44" ht="18.0" customHeight="1">
      <c r="A44" s="4"/>
      <c r="B44" s="46"/>
      <c r="C44" s="47"/>
      <c r="D44" s="56"/>
      <c r="E44" s="57"/>
      <c r="F44" s="58"/>
      <c r="G44" s="52"/>
      <c r="H44" s="52"/>
      <c r="I44" s="52"/>
      <c r="J44" s="52"/>
      <c r="K44" s="52"/>
      <c r="L44" s="52"/>
      <c r="M44" s="52"/>
      <c r="N44" s="52"/>
      <c r="O44" s="52"/>
      <c r="P44" s="55"/>
      <c r="Q44" s="54"/>
      <c r="R44" s="52"/>
      <c r="S44" s="52"/>
      <c r="T44" s="52"/>
      <c r="U44" s="52"/>
      <c r="V44" s="52"/>
      <c r="W44" s="52"/>
      <c r="X44" s="52"/>
      <c r="Y44" s="52"/>
      <c r="Z44" s="52"/>
      <c r="AA44" s="4"/>
      <c r="AB44" s="4"/>
    </row>
    <row r="45" ht="18.0" customHeight="1">
      <c r="A45" s="4"/>
      <c r="B45" s="46"/>
      <c r="C45" s="47"/>
      <c r="D45" s="56"/>
      <c r="E45" s="57"/>
      <c r="F45" s="58"/>
      <c r="G45" s="52"/>
      <c r="H45" s="52"/>
      <c r="I45" s="52"/>
      <c r="J45" s="52"/>
      <c r="K45" s="52"/>
      <c r="L45" s="52"/>
      <c r="M45" s="52"/>
      <c r="N45" s="52"/>
      <c r="O45" s="52"/>
      <c r="P45" s="55"/>
      <c r="Q45" s="54"/>
      <c r="R45" s="52"/>
      <c r="S45" s="52"/>
      <c r="T45" s="52"/>
      <c r="U45" s="52"/>
      <c r="V45" s="52"/>
      <c r="W45" s="52"/>
      <c r="X45" s="52"/>
      <c r="Y45" s="52"/>
      <c r="Z45" s="52"/>
      <c r="AA45" s="4"/>
      <c r="AB45" s="4"/>
    </row>
    <row r="46" ht="18.0" customHeight="1">
      <c r="A46" s="4"/>
      <c r="B46" s="46"/>
      <c r="C46" s="47"/>
      <c r="D46" s="56"/>
      <c r="E46" s="57"/>
      <c r="F46" s="58"/>
      <c r="G46" s="52"/>
      <c r="H46" s="52"/>
      <c r="I46" s="52"/>
      <c r="J46" s="52"/>
      <c r="K46" s="52"/>
      <c r="L46" s="52"/>
      <c r="M46" s="52"/>
      <c r="N46" s="52"/>
      <c r="O46" s="52"/>
      <c r="P46" s="55"/>
      <c r="Q46" s="54"/>
      <c r="R46" s="52"/>
      <c r="S46" s="52"/>
      <c r="T46" s="52"/>
      <c r="U46" s="52"/>
      <c r="V46" s="52"/>
      <c r="W46" s="52"/>
      <c r="X46" s="52"/>
      <c r="Y46" s="52"/>
      <c r="Z46" s="52"/>
      <c r="AA46" s="4"/>
      <c r="AB46" s="4"/>
    </row>
    <row r="47" ht="18.0" customHeight="1">
      <c r="A47" s="4"/>
      <c r="B47" s="46"/>
      <c r="C47" s="47"/>
      <c r="D47" s="56"/>
      <c r="E47" s="57"/>
      <c r="F47" s="58"/>
      <c r="G47" s="52"/>
      <c r="H47" s="52"/>
      <c r="I47" s="52"/>
      <c r="J47" s="52"/>
      <c r="K47" s="52"/>
      <c r="L47" s="52"/>
      <c r="M47" s="52"/>
      <c r="N47" s="52"/>
      <c r="O47" s="52"/>
      <c r="P47" s="55"/>
      <c r="Q47" s="54"/>
      <c r="R47" s="52"/>
      <c r="S47" s="52"/>
      <c r="T47" s="52"/>
      <c r="U47" s="52"/>
      <c r="V47" s="52"/>
      <c r="W47" s="52"/>
      <c r="X47" s="52"/>
      <c r="Y47" s="52"/>
      <c r="Z47" s="52"/>
      <c r="AA47" s="4"/>
      <c r="AB47" s="4"/>
    </row>
    <row r="48" ht="18.0" customHeight="1">
      <c r="A48" s="4"/>
      <c r="B48" s="46"/>
      <c r="C48" s="47"/>
      <c r="D48" s="56"/>
      <c r="E48" s="57"/>
      <c r="F48" s="58"/>
      <c r="G48" s="52"/>
      <c r="H48" s="52"/>
      <c r="I48" s="52"/>
      <c r="J48" s="52"/>
      <c r="K48" s="52"/>
      <c r="L48" s="52"/>
      <c r="M48" s="52"/>
      <c r="N48" s="52"/>
      <c r="O48" s="52"/>
      <c r="P48" s="55"/>
      <c r="Q48" s="54"/>
      <c r="R48" s="52"/>
      <c r="S48" s="52"/>
      <c r="T48" s="52"/>
      <c r="U48" s="52"/>
      <c r="V48" s="52"/>
      <c r="W48" s="52"/>
      <c r="X48" s="52"/>
      <c r="Y48" s="52"/>
      <c r="Z48" s="52"/>
      <c r="AA48" s="4"/>
      <c r="AB48" s="4"/>
    </row>
    <row r="49" ht="18.0" customHeight="1">
      <c r="A49" s="4"/>
      <c r="B49" s="46"/>
      <c r="C49" s="47"/>
      <c r="D49" s="56"/>
      <c r="E49" s="57"/>
      <c r="F49" s="58"/>
      <c r="G49" s="52"/>
      <c r="H49" s="52"/>
      <c r="I49" s="52"/>
      <c r="J49" s="52"/>
      <c r="K49" s="52"/>
      <c r="L49" s="52"/>
      <c r="M49" s="52"/>
      <c r="N49" s="52"/>
      <c r="O49" s="52"/>
      <c r="P49" s="55"/>
      <c r="Q49" s="54"/>
      <c r="R49" s="52"/>
      <c r="S49" s="52"/>
      <c r="T49" s="52"/>
      <c r="U49" s="52"/>
      <c r="V49" s="52"/>
      <c r="W49" s="52"/>
      <c r="X49" s="52"/>
      <c r="Y49" s="52"/>
      <c r="Z49" s="52"/>
      <c r="AA49" s="4"/>
      <c r="AB49" s="4"/>
    </row>
    <row r="50" ht="18.0" customHeight="1">
      <c r="A50" s="4"/>
      <c r="B50" s="46"/>
      <c r="C50" s="47"/>
      <c r="D50" s="56"/>
      <c r="E50" s="57"/>
      <c r="F50" s="58"/>
      <c r="G50" s="52"/>
      <c r="H50" s="52"/>
      <c r="I50" s="52"/>
      <c r="J50" s="52"/>
      <c r="K50" s="52"/>
      <c r="L50" s="52"/>
      <c r="M50" s="52"/>
      <c r="N50" s="52"/>
      <c r="O50" s="52"/>
      <c r="P50" s="55"/>
      <c r="Q50" s="54"/>
      <c r="R50" s="52"/>
      <c r="S50" s="52"/>
      <c r="T50" s="52"/>
      <c r="U50" s="52"/>
      <c r="V50" s="52"/>
      <c r="W50" s="52"/>
      <c r="X50" s="52"/>
      <c r="Y50" s="52"/>
      <c r="Z50" s="52"/>
      <c r="AA50" s="4"/>
      <c r="AB50" s="4"/>
    </row>
    <row r="51" ht="18.0" customHeight="1">
      <c r="A51" s="4"/>
      <c r="B51" s="46"/>
      <c r="C51" s="47"/>
      <c r="D51" s="56"/>
      <c r="E51" s="57"/>
      <c r="F51" s="58"/>
      <c r="G51" s="52"/>
      <c r="H51" s="52"/>
      <c r="I51" s="52"/>
      <c r="J51" s="52"/>
      <c r="K51" s="52"/>
      <c r="L51" s="52"/>
      <c r="M51" s="52"/>
      <c r="N51" s="52"/>
      <c r="O51" s="52"/>
      <c r="P51" s="55"/>
      <c r="Q51" s="54"/>
      <c r="R51" s="52"/>
      <c r="S51" s="52"/>
      <c r="T51" s="52"/>
      <c r="U51" s="52"/>
      <c r="V51" s="52"/>
      <c r="W51" s="52"/>
      <c r="X51" s="52"/>
      <c r="Y51" s="52"/>
      <c r="Z51" s="52"/>
      <c r="AA51" s="4"/>
      <c r="AB51" s="4"/>
    </row>
    <row r="52" ht="18.0" customHeight="1">
      <c r="A52" s="4"/>
      <c r="B52" s="73"/>
      <c r="C52" s="74"/>
      <c r="D52" s="61"/>
      <c r="E52" s="75"/>
      <c r="F52" s="78"/>
      <c r="G52" s="79"/>
      <c r="H52" s="79"/>
      <c r="I52" s="79"/>
      <c r="J52" s="79"/>
      <c r="K52" s="79"/>
      <c r="L52" s="79"/>
      <c r="M52" s="79"/>
      <c r="N52" s="79"/>
      <c r="O52" s="79"/>
      <c r="P52" s="80"/>
      <c r="Q52" s="66"/>
      <c r="R52" s="64"/>
      <c r="S52" s="64"/>
      <c r="T52" s="64"/>
      <c r="U52" s="64"/>
      <c r="V52" s="64"/>
      <c r="W52" s="64"/>
      <c r="X52" s="64"/>
      <c r="Y52" s="64"/>
      <c r="Z52" s="64"/>
      <c r="AA52" s="4"/>
      <c r="AB52" s="4"/>
    </row>
    <row r="53" ht="18.0" customHeight="1">
      <c r="A53" s="16"/>
      <c r="B53" s="10"/>
      <c r="C53" s="10"/>
      <c r="D53" s="10"/>
      <c r="E53" s="10"/>
      <c r="F53" s="10"/>
      <c r="G53" s="81"/>
      <c r="H53" s="81"/>
      <c r="I53" s="81"/>
      <c r="J53" s="81"/>
      <c r="K53" s="81"/>
      <c r="L53" s="81"/>
      <c r="M53" s="81"/>
      <c r="N53" s="81"/>
      <c r="O53" s="81"/>
      <c r="P53" s="10"/>
      <c r="Q53" s="10"/>
      <c r="R53" s="10"/>
      <c r="S53" s="10"/>
      <c r="T53" s="10"/>
      <c r="U53" s="10"/>
      <c r="V53" s="10"/>
      <c r="W53" s="81"/>
      <c r="X53" s="81"/>
      <c r="Y53" s="81"/>
      <c r="Z53" s="81"/>
      <c r="AA53" s="4"/>
      <c r="AB53" s="4"/>
    </row>
    <row r="54" ht="18.75" customHeight="1">
      <c r="A54" s="4" t="s">
        <v>49</v>
      </c>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ht="18.75" customHeight="1">
      <c r="A55" s="4"/>
      <c r="B55" s="82" t="s">
        <v>50</v>
      </c>
      <c r="C55" s="83"/>
      <c r="D55" s="84" t="s">
        <v>51</v>
      </c>
      <c r="E55" s="4"/>
      <c r="F55" s="4"/>
      <c r="G55" s="4"/>
      <c r="H55" s="4"/>
      <c r="I55" s="4"/>
      <c r="J55" s="4"/>
      <c r="K55" s="4"/>
      <c r="L55" s="4"/>
      <c r="M55" s="4"/>
      <c r="N55" s="4"/>
      <c r="O55" s="4"/>
      <c r="P55" s="4"/>
      <c r="Q55" s="4"/>
      <c r="R55" s="4"/>
      <c r="S55" s="4"/>
      <c r="T55" s="4"/>
      <c r="U55" s="4"/>
      <c r="V55" s="4"/>
      <c r="W55" s="4"/>
      <c r="X55" s="4"/>
      <c r="Y55" s="4"/>
      <c r="Z55" s="4"/>
      <c r="AA55" s="4"/>
      <c r="AB55" s="4"/>
    </row>
    <row r="56" ht="166.5" customHeight="1">
      <c r="A56" s="4"/>
      <c r="B56" s="85" t="s">
        <v>52</v>
      </c>
      <c r="C56" s="86" t="s">
        <v>21</v>
      </c>
      <c r="D56" s="87" t="s">
        <v>53</v>
      </c>
      <c r="E56" s="88"/>
      <c r="F56" s="88"/>
      <c r="G56" s="88"/>
      <c r="H56" s="88"/>
      <c r="I56" s="88"/>
      <c r="J56" s="88"/>
      <c r="K56" s="88"/>
      <c r="L56" s="88"/>
      <c r="M56" s="88"/>
      <c r="N56" s="88"/>
      <c r="O56" s="88"/>
      <c r="P56" s="88"/>
      <c r="Q56" s="88"/>
      <c r="R56" s="88"/>
      <c r="S56" s="88"/>
      <c r="T56" s="88"/>
      <c r="U56" s="88"/>
      <c r="V56" s="88"/>
      <c r="W56" s="88"/>
      <c r="X56" s="88"/>
      <c r="Y56" s="88"/>
      <c r="Z56" s="88"/>
      <c r="AA56" s="4"/>
      <c r="AB56" s="4"/>
    </row>
    <row r="57" ht="166.5" customHeight="1">
      <c r="A57" s="4"/>
      <c r="B57" s="89"/>
      <c r="C57" s="90" t="s">
        <v>26</v>
      </c>
      <c r="D57" s="91" t="s">
        <v>54</v>
      </c>
      <c r="E57" s="92"/>
      <c r="F57" s="92"/>
      <c r="G57" s="92"/>
      <c r="H57" s="92"/>
      <c r="I57" s="92"/>
      <c r="J57" s="92"/>
      <c r="K57" s="92"/>
      <c r="L57" s="92"/>
      <c r="M57" s="92"/>
      <c r="N57" s="92"/>
      <c r="O57" s="92"/>
      <c r="P57" s="92"/>
      <c r="Q57" s="92"/>
      <c r="R57" s="92"/>
      <c r="S57" s="92"/>
      <c r="T57" s="92"/>
      <c r="U57" s="92"/>
      <c r="V57" s="92"/>
      <c r="W57" s="92"/>
      <c r="X57" s="92"/>
      <c r="Y57" s="92"/>
      <c r="Z57" s="92"/>
      <c r="AA57" s="4"/>
      <c r="AB57" s="4"/>
    </row>
    <row r="58" ht="166.5" customHeight="1">
      <c r="A58" s="4"/>
      <c r="B58" s="85" t="s">
        <v>55</v>
      </c>
      <c r="C58" s="93" t="s">
        <v>22</v>
      </c>
      <c r="D58" s="94" t="s">
        <v>56</v>
      </c>
      <c r="E58" s="92"/>
      <c r="F58" s="92"/>
      <c r="G58" s="92"/>
      <c r="H58" s="92"/>
      <c r="I58" s="92"/>
      <c r="J58" s="92"/>
      <c r="K58" s="92"/>
      <c r="L58" s="92"/>
      <c r="M58" s="92"/>
      <c r="N58" s="92"/>
      <c r="O58" s="92"/>
      <c r="P58" s="92"/>
      <c r="Q58" s="92"/>
      <c r="R58" s="92"/>
      <c r="S58" s="92"/>
      <c r="T58" s="92"/>
      <c r="U58" s="92"/>
      <c r="V58" s="92"/>
      <c r="W58" s="92"/>
      <c r="X58" s="92"/>
      <c r="Y58" s="92"/>
      <c r="Z58" s="92"/>
      <c r="AA58" s="4"/>
      <c r="AB58" s="4"/>
    </row>
    <row r="59" ht="166.5" customHeight="1">
      <c r="A59" s="4"/>
      <c r="B59" s="95"/>
      <c r="C59" s="96" t="s">
        <v>23</v>
      </c>
      <c r="D59" s="97" t="s">
        <v>57</v>
      </c>
      <c r="E59" s="92"/>
      <c r="F59" s="92"/>
      <c r="G59" s="92"/>
      <c r="H59" s="92"/>
      <c r="I59" s="92"/>
      <c r="J59" s="92"/>
      <c r="K59" s="92"/>
      <c r="L59" s="92"/>
      <c r="M59" s="92"/>
      <c r="N59" s="92"/>
      <c r="O59" s="92"/>
      <c r="P59" s="92"/>
      <c r="Q59" s="92"/>
      <c r="R59" s="92"/>
      <c r="S59" s="92"/>
      <c r="T59" s="92"/>
      <c r="U59" s="92"/>
      <c r="V59" s="92"/>
      <c r="W59" s="92"/>
      <c r="X59" s="92"/>
      <c r="Y59" s="92"/>
      <c r="Z59" s="92"/>
      <c r="AA59" s="4"/>
      <c r="AB59" s="4"/>
    </row>
    <row r="60">
      <c r="A60" s="4"/>
      <c r="B60" s="85" t="s">
        <v>58</v>
      </c>
      <c r="C60" s="93" t="s">
        <v>24</v>
      </c>
      <c r="D60" s="87" t="s">
        <v>59</v>
      </c>
      <c r="E60" s="92"/>
      <c r="F60" s="92"/>
      <c r="G60" s="92"/>
      <c r="H60" s="92"/>
      <c r="I60" s="92"/>
      <c r="J60" s="92"/>
      <c r="K60" s="92"/>
      <c r="L60" s="92"/>
      <c r="M60" s="92"/>
      <c r="N60" s="92"/>
      <c r="O60" s="92"/>
      <c r="P60" s="92"/>
      <c r="Q60" s="92"/>
      <c r="R60" s="92"/>
      <c r="S60" s="92"/>
      <c r="T60" s="92"/>
      <c r="U60" s="92"/>
      <c r="V60" s="92"/>
      <c r="W60" s="92"/>
      <c r="X60" s="92"/>
      <c r="Y60" s="92"/>
      <c r="Z60" s="92"/>
      <c r="AA60" s="4"/>
      <c r="AB60" s="4"/>
    </row>
    <row r="61" ht="166.5" customHeight="1">
      <c r="A61" s="4"/>
      <c r="B61" s="95"/>
      <c r="C61" s="98" t="s">
        <v>25</v>
      </c>
      <c r="D61" s="91" t="s">
        <v>60</v>
      </c>
      <c r="E61" s="92"/>
      <c r="F61" s="92"/>
      <c r="G61" s="92"/>
      <c r="H61" s="92"/>
      <c r="I61" s="92"/>
      <c r="J61" s="92"/>
      <c r="K61" s="92"/>
      <c r="L61" s="92"/>
      <c r="M61" s="92"/>
      <c r="N61" s="92"/>
      <c r="O61" s="92"/>
      <c r="P61" s="92"/>
      <c r="Q61" s="92"/>
      <c r="R61" s="92"/>
      <c r="S61" s="92"/>
      <c r="T61" s="92"/>
      <c r="U61" s="92"/>
      <c r="V61" s="92"/>
      <c r="W61" s="92"/>
      <c r="X61" s="92"/>
      <c r="Y61" s="92"/>
      <c r="Z61" s="92"/>
      <c r="AA61" s="4"/>
      <c r="AB61" s="4"/>
    </row>
    <row r="62" ht="166.5" customHeight="1">
      <c r="A62" s="4"/>
      <c r="B62" s="85" t="s">
        <v>61</v>
      </c>
      <c r="C62" s="86" t="s">
        <v>30</v>
      </c>
      <c r="D62" s="87" t="s">
        <v>62</v>
      </c>
      <c r="E62" s="92"/>
      <c r="F62" s="92"/>
      <c r="G62" s="92"/>
      <c r="H62" s="92"/>
      <c r="I62" s="92"/>
      <c r="J62" s="92"/>
      <c r="K62" s="92"/>
      <c r="L62" s="92"/>
      <c r="M62" s="92"/>
      <c r="N62" s="92"/>
      <c r="O62" s="92"/>
      <c r="P62" s="92"/>
      <c r="Q62" s="92"/>
      <c r="R62" s="92"/>
      <c r="S62" s="92"/>
      <c r="T62" s="92"/>
      <c r="U62" s="92"/>
      <c r="V62" s="92"/>
      <c r="W62" s="92"/>
      <c r="X62" s="92"/>
      <c r="Y62" s="92"/>
      <c r="Z62" s="92"/>
      <c r="AA62" s="4"/>
      <c r="AB62" s="4"/>
    </row>
    <row r="63" ht="166.5" customHeight="1">
      <c r="A63" s="4"/>
      <c r="B63" s="95"/>
      <c r="C63" s="96" t="s">
        <v>31</v>
      </c>
      <c r="D63" s="91" t="s">
        <v>63</v>
      </c>
      <c r="E63" s="92"/>
      <c r="F63" s="92"/>
      <c r="G63" s="92"/>
      <c r="H63" s="92"/>
      <c r="I63" s="92"/>
      <c r="J63" s="92"/>
      <c r="K63" s="92"/>
      <c r="L63" s="92"/>
      <c r="M63" s="92"/>
      <c r="N63" s="92"/>
      <c r="O63" s="92"/>
      <c r="P63" s="92"/>
      <c r="Q63" s="92"/>
      <c r="R63" s="92"/>
      <c r="S63" s="92"/>
      <c r="T63" s="92"/>
      <c r="U63" s="92"/>
      <c r="V63" s="92"/>
      <c r="W63" s="92"/>
      <c r="X63" s="92"/>
      <c r="Y63" s="92"/>
      <c r="Z63" s="92"/>
      <c r="AA63" s="4"/>
      <c r="AB63" s="4"/>
    </row>
    <row r="64">
      <c r="A64" s="4"/>
      <c r="B64" s="85" t="s">
        <v>64</v>
      </c>
      <c r="C64" s="93" t="s">
        <v>27</v>
      </c>
      <c r="D64" s="87" t="s">
        <v>65</v>
      </c>
      <c r="E64" s="92"/>
      <c r="F64" s="92"/>
      <c r="G64" s="92"/>
      <c r="H64" s="92"/>
      <c r="I64" s="92"/>
      <c r="J64" s="92"/>
      <c r="K64" s="92"/>
      <c r="L64" s="92"/>
      <c r="M64" s="92"/>
      <c r="N64" s="92"/>
      <c r="O64" s="92"/>
      <c r="P64" s="92"/>
      <c r="Q64" s="92"/>
      <c r="R64" s="92"/>
      <c r="S64" s="92"/>
      <c r="T64" s="92"/>
      <c r="U64" s="92"/>
      <c r="V64" s="92"/>
      <c r="W64" s="92"/>
      <c r="X64" s="92"/>
      <c r="Y64" s="92"/>
      <c r="Z64" s="92"/>
      <c r="AA64" s="4"/>
      <c r="AB64" s="4"/>
    </row>
    <row r="65" ht="166.5" customHeight="1">
      <c r="A65" s="4"/>
      <c r="B65" s="99"/>
      <c r="C65" s="100" t="s">
        <v>28</v>
      </c>
      <c r="D65" s="101" t="s">
        <v>66</v>
      </c>
      <c r="E65" s="102"/>
      <c r="F65" s="102"/>
      <c r="G65" s="102"/>
      <c r="H65" s="102"/>
      <c r="I65" s="102"/>
      <c r="J65" s="102"/>
      <c r="K65" s="102"/>
      <c r="L65" s="102"/>
      <c r="M65" s="102"/>
      <c r="N65" s="102"/>
      <c r="O65" s="102"/>
      <c r="P65" s="102"/>
      <c r="Q65" s="102"/>
      <c r="R65" s="102"/>
      <c r="S65" s="102"/>
      <c r="T65" s="102"/>
      <c r="U65" s="102"/>
      <c r="V65" s="102"/>
      <c r="W65" s="102"/>
      <c r="X65" s="102"/>
      <c r="Y65" s="102"/>
      <c r="Z65" s="102"/>
      <c r="AA65" s="4"/>
      <c r="AB65" s="4"/>
    </row>
    <row r="66" ht="166.5" customHeight="1">
      <c r="A66" s="4"/>
      <c r="B66" s="95"/>
      <c r="C66" s="98" t="s">
        <v>29</v>
      </c>
      <c r="D66" s="103" t="s">
        <v>67</v>
      </c>
      <c r="E66" s="102"/>
      <c r="F66" s="102"/>
      <c r="G66" s="102"/>
      <c r="H66" s="102"/>
      <c r="I66" s="102"/>
      <c r="J66" s="102"/>
      <c r="K66" s="102"/>
      <c r="L66" s="102"/>
      <c r="M66" s="102"/>
      <c r="N66" s="102"/>
      <c r="O66" s="102"/>
      <c r="P66" s="102"/>
      <c r="Q66" s="102"/>
      <c r="R66" s="102"/>
      <c r="S66" s="102"/>
      <c r="T66" s="102"/>
      <c r="U66" s="102"/>
      <c r="V66" s="102"/>
      <c r="W66" s="102"/>
      <c r="X66" s="102"/>
      <c r="Y66" s="102"/>
      <c r="Z66" s="102"/>
      <c r="AA66" s="4"/>
      <c r="AB66" s="4"/>
    </row>
    <row r="67" ht="6.0"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row>
    <row r="68" ht="18.75" customHeight="1">
      <c r="A68" s="4" t="s">
        <v>68</v>
      </c>
      <c r="B68" s="4"/>
      <c r="C68" s="4"/>
      <c r="D68" s="4"/>
      <c r="E68" s="4"/>
      <c r="F68" s="4"/>
      <c r="G68" s="4"/>
      <c r="H68" s="4"/>
      <c r="I68" s="4"/>
      <c r="J68" s="4"/>
      <c r="K68" s="4"/>
      <c r="L68" s="4"/>
      <c r="M68" s="4"/>
      <c r="N68" s="4"/>
      <c r="O68" s="4"/>
      <c r="P68" s="4"/>
      <c r="Q68" s="4"/>
      <c r="R68" s="4"/>
      <c r="S68" s="4"/>
      <c r="T68" s="4"/>
      <c r="U68" s="4"/>
      <c r="V68" s="4"/>
      <c r="W68" s="4"/>
      <c r="X68" s="4"/>
      <c r="Y68" s="4"/>
      <c r="Z68" s="4"/>
      <c r="AA68" s="4"/>
      <c r="AB68" s="4"/>
    </row>
    <row r="69">
      <c r="A69" s="4"/>
      <c r="B69" s="22"/>
      <c r="C69" s="22"/>
      <c r="D69" s="104" t="s">
        <v>69</v>
      </c>
      <c r="E69" s="22"/>
      <c r="F69" s="22"/>
      <c r="G69" s="22"/>
      <c r="H69" s="22"/>
      <c r="I69" s="22"/>
      <c r="J69" s="22"/>
      <c r="K69" s="22"/>
      <c r="L69" s="22"/>
      <c r="M69" s="22"/>
      <c r="N69" s="22"/>
      <c r="O69" s="22"/>
      <c r="P69" s="22"/>
      <c r="Q69" s="22"/>
      <c r="R69" s="22"/>
      <c r="S69" s="22"/>
      <c r="T69" s="22"/>
      <c r="U69" s="22"/>
      <c r="V69" s="22"/>
      <c r="W69" s="22"/>
      <c r="X69" s="22"/>
      <c r="Y69" s="22"/>
      <c r="Z69" s="22"/>
      <c r="AA69" s="4"/>
      <c r="AB69" s="4"/>
    </row>
    <row r="70" ht="18.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row>
    <row r="71" ht="18.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row>
    <row r="72" ht="18.0"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row>
    <row r="73" ht="18.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row>
    <row r="74" ht="18.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row>
    <row r="75" ht="18.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row>
    <row r="76" ht="18.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row>
    <row r="77" ht="18.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row>
    <row r="78" ht="18.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row>
    <row r="79" ht="18.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row>
    <row r="80" ht="18.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row>
    <row r="81" ht="18.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row>
    <row r="82" ht="18.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row>
    <row r="83" ht="18.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row>
    <row r="84" ht="18.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row>
    <row r="85" ht="18.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row>
    <row r="86" ht="18.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row>
    <row r="87" ht="18.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row>
    <row r="88" ht="18.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row>
    <row r="89" ht="18.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row>
    <row r="90" ht="18.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row>
    <row r="91" ht="18.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row>
    <row r="92" ht="18.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row>
    <row r="93" ht="18.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row>
    <row r="94" ht="18.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row>
    <row r="95" ht="18.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row>
    <row r="96" ht="18.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row>
    <row r="97" ht="18.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row>
    <row r="98" ht="18.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row>
    <row r="99" ht="18.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row>
    <row r="100" ht="18.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ht="18.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ht="18.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ht="18.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ht="18.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ht="18.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ht="18.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ht="18.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ht="18.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ht="18.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ht="18.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ht="18.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ht="18.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ht="18.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ht="18.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ht="18.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ht="18.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ht="18.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ht="18.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ht="18.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ht="18.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ht="18.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ht="18.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ht="18.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ht="18.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ht="18.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ht="18.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ht="18.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ht="18.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ht="18.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ht="18.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ht="18.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ht="18.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ht="18.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ht="18.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ht="18.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ht="18.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ht="18.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ht="18.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ht="18.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ht="18.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ht="18.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ht="18.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ht="18.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ht="18.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ht="18.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ht="18.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ht="18.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ht="18.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ht="18.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ht="18.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ht="18.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ht="18.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ht="18.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ht="18.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ht="18.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ht="18.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ht="18.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ht="18.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ht="18.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ht="18.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ht="18.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ht="18.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ht="18.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ht="18.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ht="18.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ht="18.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ht="18.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ht="18.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ht="18.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ht="18.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ht="18.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ht="18.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ht="18.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ht="18.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ht="18.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ht="18.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ht="18.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ht="18.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ht="18.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ht="18.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ht="18.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ht="18.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ht="18.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ht="18.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ht="18.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ht="18.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ht="18.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ht="18.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ht="18.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ht="18.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ht="18.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ht="18.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ht="18.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ht="18.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ht="18.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ht="18.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ht="18.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ht="18.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ht="18.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ht="18.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ht="18.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ht="18.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ht="18.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ht="18.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ht="18.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ht="18.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ht="18.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ht="18.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ht="18.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ht="18.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ht="18.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ht="18.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ht="18.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ht="18.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ht="18.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ht="18.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ht="18.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ht="18.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ht="18.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ht="18.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ht="18.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ht="18.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ht="18.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ht="18.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ht="18.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ht="18.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ht="18.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ht="18.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ht="18.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ht="18.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ht="18.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ht="18.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ht="18.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ht="18.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ht="18.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ht="18.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ht="18.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ht="18.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ht="18.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ht="18.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ht="18.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ht="18.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ht="18.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ht="18.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ht="18.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ht="18.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ht="18.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ht="18.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ht="18.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ht="18.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ht="18.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ht="18.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ht="18.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ht="18.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ht="18.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ht="18.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ht="18.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ht="18.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ht="18.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ht="18.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ht="18.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ht="18.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ht="18.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ht="18.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ht="18.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ht="18.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ht="18.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ht="18.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ht="18.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ht="18.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ht="18.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ht="18.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ht="18.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ht="18.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ht="18.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ht="18.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ht="18.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ht="18.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ht="18.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ht="18.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ht="18.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ht="18.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ht="18.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ht="18.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ht="18.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ht="18.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ht="18.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ht="18.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ht="18.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ht="18.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ht="18.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ht="18.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ht="18.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ht="18.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ht="18.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ht="18.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ht="18.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ht="18.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ht="18.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ht="18.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8.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8.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8.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8.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8.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8.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8.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8.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8.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8.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8.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8.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8.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8.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8.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8.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8.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8.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8.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8.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8.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8.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8.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8.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8.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8.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8.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8.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8.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8.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8.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8.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8.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8.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8.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8.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8.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8.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8.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8.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8.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8.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8.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8.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8.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8.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8.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8.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8.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8.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8.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8.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8.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8.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8.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8.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8.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8.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8.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8.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8.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8.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8.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8.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8.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8.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8.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8.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8.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8.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8.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8.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8.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8.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8.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8.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8.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8.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8.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8.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8.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8.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8.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8.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8.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8.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8.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8.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8.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8.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8.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8.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8.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8.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8.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8.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8.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8.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8.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8.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8.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8.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8.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8.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8.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8.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8.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8.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8.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8.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8.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8.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8.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8.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8.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8.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8.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8.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8.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8.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8.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8.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8.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8.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8.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8.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8.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8.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8.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8.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8.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8.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8.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8.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8.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8.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8.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8.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8.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8.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8.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8.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8.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8.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8.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8.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8.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8.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8.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8.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8.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8.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8.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8.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8.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8.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8.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8.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8.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8.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8.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8.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8.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8.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8.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8.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8.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8.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8.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8.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8.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8.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8.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8.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8.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8.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8.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8.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8.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8.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8.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8.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8.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8.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8.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8.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8.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8.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8.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8.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8.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8.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8.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8.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8.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8.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8.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8.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8.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8.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8.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8.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8.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8.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8.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8.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8.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8.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8.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8.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8.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8.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8.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8.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8.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8.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8.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8.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8.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8.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8.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8.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8.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8.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8.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8.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8.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8.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8.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8.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8.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8.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8.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8.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8.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8.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8.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8.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8.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8.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8.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8.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8.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8.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8.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8.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8.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8.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8.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8.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8.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8.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8.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8.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8.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8.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8.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8.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8.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8.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8.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8.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8.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8.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8.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8.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8.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8.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8.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8.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8.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8.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8.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8.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8.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8.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8.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8.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8.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8.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8.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8.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8.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8.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8.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8.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8.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8.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8.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8.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8.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8.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8.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8.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8.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8.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8.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8.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8.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8.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8.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8.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8.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8.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8.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8.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8.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8.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8.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8.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8.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8.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8.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8.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8.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8.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8.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8.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8.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8.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8.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8.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8.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8.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8.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8.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8.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8.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8.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8.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8.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8.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8.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8.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8.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8.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8.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8.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8.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8.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8.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8.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8.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8.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8.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8.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8.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8.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8.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8.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8.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8.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8.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8.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8.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8.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8.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8.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8.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8.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8.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8.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8.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8.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8.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8.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8.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8.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8.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8.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8.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8.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8.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8.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8.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8.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8.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8.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8.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8.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8.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8.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8.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8.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8.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8.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8.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8.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8.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8.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8.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8.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8.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8.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8.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8.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8.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8.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8.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8.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8.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8.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8.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8.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8.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8.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8.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8.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8.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8.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8.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8.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8.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8.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8.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8.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8.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8.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8.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8.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8.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8.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8.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8.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8.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8.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8.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8.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8.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8.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8.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8.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8.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8.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8.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8.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8.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8.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8.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8.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8.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8.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8.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8.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8.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8.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8.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8.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8.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8.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8.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8.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8.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8.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8.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8.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8.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8.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8.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8.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8.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8.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8.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8.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8.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8.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8.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8.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8.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8.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8.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8.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8.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8.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8.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8.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8.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8.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8.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8.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8.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8.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8.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8.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8.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8.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8.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8.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8.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8.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8.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8.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8.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8.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8.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8.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8.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8.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8.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8.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8.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8.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8.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8.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8.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8.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8.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8.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8.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8.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8.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8.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8.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8.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8.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8.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8.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8.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8.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8.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8.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8.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8.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8.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8.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8.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8.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8.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8.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8.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8.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8.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8.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8.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8.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8.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8.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8.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8.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8.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8.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8.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8.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8.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8.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8.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8.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8.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8.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8.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8.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8.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8.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8.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8.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8.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8.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8.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8.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8.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8.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8.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8.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8.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8.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8.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8.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8.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8.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8.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8.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8.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8.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8.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8.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8.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8.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8.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8.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8.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8.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8.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8.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8.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8.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8.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8.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8.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8.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8.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8.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8.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8.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8.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8.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8.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8.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8.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8.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8.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8.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8.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8.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8.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8.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8.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8.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8.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8.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8.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8.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8.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8.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8.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8.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8.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8.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8.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8.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8.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8.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8.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8.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8.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8.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8.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8.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8.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8.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8.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8.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8.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8.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8.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8.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8.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8.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8.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8.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8.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8.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8.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8.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8.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8.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8.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8.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8.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8.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8.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8.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8.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8.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8.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8.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8.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8.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8.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8.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8.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8.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8.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8.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8.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8.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8.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8.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8.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8.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8.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8.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8.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8.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8.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8.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8.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8.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8.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8.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8.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8.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8.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8.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8.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8.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8.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8.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8.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8.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8.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8.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8.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8.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8.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8.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8.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8.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8.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8.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8.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19">
    <mergeCell ref="A1:Z1"/>
    <mergeCell ref="Y3:Z3"/>
    <mergeCell ref="B4:C4"/>
    <mergeCell ref="B5:C5"/>
    <mergeCell ref="A7:Z7"/>
    <mergeCell ref="A9:B9"/>
    <mergeCell ref="A11:B11"/>
    <mergeCell ref="B56:B57"/>
    <mergeCell ref="B58:B59"/>
    <mergeCell ref="B60:B61"/>
    <mergeCell ref="B62:B63"/>
    <mergeCell ref="B64:B66"/>
    <mergeCell ref="A13:B13"/>
    <mergeCell ref="A15:B15"/>
    <mergeCell ref="F21:Z21"/>
    <mergeCell ref="B23:C32"/>
    <mergeCell ref="B33:C42"/>
    <mergeCell ref="B43:C52"/>
    <mergeCell ref="B55:C55"/>
  </mergeCells>
  <conditionalFormatting sqref="D11">
    <cfRule type="expression" dxfId="0" priority="1">
      <formula>$D$9="学部・学科によって、修了要件は相違しない"</formula>
    </cfRule>
  </conditionalFormatting>
  <conditionalFormatting sqref="D11">
    <cfRule type="containsText" dxfId="1" priority="2" operator="containsText" text="学部・学科によって、修了要件は相違しない">
      <formula>NOT(ISERROR(SEARCH(("学部・学科によって、修了要件は相違しない"),(D11))))</formula>
    </cfRule>
  </conditionalFormatting>
  <conditionalFormatting sqref="D11">
    <cfRule type="expression" dxfId="2" priority="3">
      <formula>#REF!="学部・学科によって、修了要件は相違しない"</formula>
    </cfRule>
  </conditionalFormatting>
  <dataValidations>
    <dataValidation type="list" allowBlank="1" showErrorMessage="1" sqref="D13">
      <formula1>"令和６年度以前又は令和７年度より、履修することが必須のプログラムとして実施,令和９年度までに履修必須とする計画,令和１０年度以降に履修必須とする計画、又は未定"</formula1>
    </dataValidation>
    <dataValidation type="list" allowBlank="1" showErrorMessage="1" sqref="D9">
      <formula1>"学部・学科によって、修了要件は相違する,学部・学科によって、修了要件は相違しない"</formula1>
    </dataValidation>
    <dataValidation type="list" allowBlank="1" showErrorMessage="1" sqref="G53:O53 W53:Z5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F23:Z52">
      <formula1>"○"</formula1>
    </dataValidation>
  </dataValidations>
  <printOptions horizontalCentered="1"/>
  <pageMargins bottom="0.1968503937007874" footer="0.0" header="0.0" left="0.7874015748031497" right="0.7874015748031497" top="0.7874015748031497"/>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71"/>
    <col customWidth="1" min="2" max="2" width="27.86"/>
    <col customWidth="1" min="3" max="3" width="8.0"/>
    <col customWidth="1" min="4" max="4" width="8.29"/>
    <col customWidth="1" min="5" max="5" width="8.14"/>
    <col customWidth="1" min="6" max="6" width="8.71"/>
    <col customWidth="1" min="7" max="7" width="7.57"/>
    <col customWidth="1" min="8" max="19" width="6.14"/>
    <col customWidth="1" min="20" max="20" width="6.71"/>
    <col customWidth="1" min="21" max="26" width="9.0"/>
  </cols>
  <sheetData>
    <row r="1" ht="18.0" customHeight="1">
      <c r="A1" s="4"/>
      <c r="B1" s="4"/>
      <c r="C1" s="4"/>
      <c r="D1" s="4"/>
      <c r="E1" s="4"/>
      <c r="F1" s="4"/>
      <c r="G1" s="4"/>
      <c r="H1" s="4"/>
      <c r="I1" s="4"/>
      <c r="J1" s="4"/>
      <c r="K1" s="4"/>
      <c r="L1" s="4"/>
      <c r="M1" s="4"/>
      <c r="N1" s="4"/>
      <c r="O1" s="4"/>
      <c r="P1" s="4"/>
      <c r="Q1" s="4"/>
      <c r="R1" s="4"/>
      <c r="S1" s="4"/>
      <c r="T1" s="4" t="s">
        <v>70</v>
      </c>
      <c r="U1" s="4"/>
      <c r="V1" s="4"/>
      <c r="W1" s="4"/>
      <c r="X1" s="4"/>
      <c r="Y1" s="4"/>
      <c r="Z1" s="4"/>
    </row>
    <row r="2" ht="18.0" customHeight="1">
      <c r="A2" s="105" t="s">
        <v>71</v>
      </c>
      <c r="B2" s="2"/>
      <c r="C2" s="2"/>
      <c r="D2" s="2"/>
      <c r="E2" s="2"/>
      <c r="F2" s="2"/>
      <c r="G2" s="2"/>
      <c r="H2" s="2"/>
      <c r="I2" s="2"/>
      <c r="J2" s="2"/>
      <c r="K2" s="2"/>
      <c r="L2" s="2"/>
      <c r="M2" s="2"/>
      <c r="N2" s="2"/>
      <c r="O2" s="2"/>
      <c r="P2" s="2"/>
      <c r="Q2" s="2"/>
      <c r="R2" s="2"/>
      <c r="S2" s="2"/>
      <c r="T2" s="3"/>
      <c r="U2" s="4"/>
      <c r="V2" s="4"/>
      <c r="W2" s="4"/>
      <c r="X2" s="4"/>
      <c r="Y2" s="4"/>
      <c r="Z2" s="4"/>
    </row>
    <row r="3" ht="7.5" customHeight="1">
      <c r="A3" s="16"/>
      <c r="B3" s="16"/>
      <c r="C3" s="16"/>
      <c r="D3" s="16"/>
      <c r="E3" s="16"/>
      <c r="F3" s="16"/>
      <c r="G3" s="16"/>
      <c r="H3" s="16"/>
      <c r="I3" s="16"/>
      <c r="J3" s="16"/>
      <c r="K3" s="16"/>
      <c r="L3" s="16"/>
      <c r="M3" s="16"/>
      <c r="N3" s="16"/>
      <c r="O3" s="16"/>
      <c r="P3" s="16"/>
      <c r="Q3" s="16"/>
      <c r="R3" s="16"/>
      <c r="S3" s="16"/>
      <c r="T3" s="16"/>
      <c r="U3" s="4"/>
      <c r="V3" s="4"/>
      <c r="W3" s="4"/>
      <c r="X3" s="4"/>
      <c r="Y3" s="4"/>
      <c r="Z3" s="4"/>
    </row>
    <row r="4" ht="18.0" customHeight="1">
      <c r="A4" s="4" t="s">
        <v>72</v>
      </c>
      <c r="B4" s="4"/>
      <c r="C4" s="106" t="s">
        <v>73</v>
      </c>
      <c r="D4" s="4" t="s">
        <v>74</v>
      </c>
      <c r="E4" s="10"/>
      <c r="F4" s="24"/>
      <c r="G4" s="16"/>
      <c r="H4" s="16"/>
      <c r="I4" s="16"/>
      <c r="J4" s="16"/>
      <c r="K4" s="16"/>
      <c r="L4" s="16"/>
      <c r="M4" s="16"/>
      <c r="N4" s="16"/>
      <c r="O4" s="16"/>
      <c r="P4" s="16"/>
      <c r="Q4" s="16"/>
      <c r="R4" s="16"/>
      <c r="S4" s="10"/>
      <c r="T4" s="10"/>
      <c r="U4" s="4"/>
      <c r="V4" s="4"/>
      <c r="W4" s="4"/>
      <c r="X4" s="4"/>
      <c r="Y4" s="4"/>
      <c r="Z4" s="4"/>
    </row>
    <row r="5" ht="6.75" customHeight="1">
      <c r="A5" s="4"/>
      <c r="B5" s="4"/>
      <c r="C5" s="81"/>
      <c r="D5" s="81"/>
      <c r="E5" s="81"/>
      <c r="F5" s="16"/>
      <c r="G5" s="16"/>
      <c r="H5" s="16"/>
      <c r="I5" s="16"/>
      <c r="J5" s="16"/>
      <c r="K5" s="16"/>
      <c r="L5" s="16"/>
      <c r="M5" s="16"/>
      <c r="N5" s="16"/>
      <c r="O5" s="16"/>
      <c r="P5" s="16"/>
      <c r="Q5" s="16"/>
      <c r="R5" s="16"/>
      <c r="S5" s="10"/>
      <c r="T5" s="10"/>
      <c r="U5" s="4"/>
      <c r="V5" s="4"/>
      <c r="W5" s="4"/>
      <c r="X5" s="4"/>
      <c r="Y5" s="4"/>
      <c r="Z5" s="4"/>
    </row>
    <row r="6" ht="18.0" customHeight="1">
      <c r="A6" s="4" t="s">
        <v>75</v>
      </c>
      <c r="B6" s="16"/>
      <c r="C6" s="16"/>
      <c r="D6" s="16"/>
      <c r="E6" s="16"/>
      <c r="F6" s="16"/>
      <c r="G6" s="16"/>
      <c r="H6" s="16"/>
      <c r="I6" s="16"/>
      <c r="J6" s="16"/>
      <c r="K6" s="16"/>
      <c r="L6" s="16"/>
      <c r="M6" s="16"/>
      <c r="N6" s="16"/>
      <c r="O6" s="16"/>
      <c r="P6" s="16"/>
      <c r="Q6" s="16"/>
      <c r="R6" s="16"/>
      <c r="S6" s="16"/>
      <c r="T6" s="16"/>
      <c r="U6" s="4"/>
      <c r="V6" s="4"/>
      <c r="W6" s="4"/>
      <c r="X6" s="4"/>
      <c r="Y6" s="4"/>
      <c r="Z6" s="4"/>
    </row>
    <row r="7" ht="6.0" customHeight="1">
      <c r="A7" s="4"/>
      <c r="B7" s="16"/>
      <c r="C7" s="16"/>
      <c r="D7" s="16"/>
      <c r="E7" s="16"/>
      <c r="F7" s="16"/>
      <c r="G7" s="16"/>
      <c r="H7" s="16"/>
      <c r="I7" s="16"/>
      <c r="J7" s="16"/>
      <c r="K7" s="16"/>
      <c r="L7" s="16"/>
      <c r="M7" s="16"/>
      <c r="N7" s="16"/>
      <c r="O7" s="16"/>
      <c r="P7" s="16"/>
      <c r="Q7" s="16"/>
      <c r="R7" s="16"/>
      <c r="S7" s="16"/>
      <c r="T7" s="16"/>
      <c r="U7" s="4"/>
      <c r="V7" s="4"/>
      <c r="W7" s="4"/>
      <c r="X7" s="4"/>
      <c r="Y7" s="4"/>
      <c r="Z7" s="4"/>
    </row>
    <row r="8" ht="18.0" customHeight="1">
      <c r="A8" s="4"/>
      <c r="B8" s="107" t="s">
        <v>76</v>
      </c>
      <c r="C8" s="108" t="s">
        <v>77</v>
      </c>
      <c r="D8" s="27"/>
      <c r="E8" s="109" t="s">
        <v>78</v>
      </c>
      <c r="F8" s="110" t="s">
        <v>79</v>
      </c>
      <c r="G8" s="111" t="s">
        <v>80</v>
      </c>
      <c r="H8" s="112"/>
      <c r="I8" s="111" t="s">
        <v>81</v>
      </c>
      <c r="J8" s="112"/>
      <c r="K8" s="111" t="s">
        <v>82</v>
      </c>
      <c r="L8" s="112"/>
      <c r="M8" s="111" t="s">
        <v>83</v>
      </c>
      <c r="N8" s="112"/>
      <c r="O8" s="111" t="s">
        <v>84</v>
      </c>
      <c r="P8" s="112"/>
      <c r="Q8" s="111" t="s">
        <v>85</v>
      </c>
      <c r="R8" s="113"/>
      <c r="S8" s="114" t="s">
        <v>86</v>
      </c>
      <c r="T8" s="115" t="s">
        <v>87</v>
      </c>
      <c r="U8" s="4"/>
      <c r="V8" s="6"/>
      <c r="W8" s="4"/>
      <c r="X8" s="4"/>
      <c r="Y8" s="4"/>
      <c r="Z8" s="4"/>
    </row>
    <row r="9" ht="16.5" customHeight="1">
      <c r="A9" s="4"/>
      <c r="B9" s="116"/>
      <c r="C9" s="117"/>
      <c r="D9" s="118" t="s">
        <v>88</v>
      </c>
      <c r="E9" s="119"/>
      <c r="F9" s="120"/>
      <c r="G9" s="121" t="s">
        <v>89</v>
      </c>
      <c r="H9" s="121" t="s">
        <v>90</v>
      </c>
      <c r="I9" s="121" t="s">
        <v>89</v>
      </c>
      <c r="J9" s="121" t="s">
        <v>90</v>
      </c>
      <c r="K9" s="121" t="s">
        <v>89</v>
      </c>
      <c r="L9" s="121" t="s">
        <v>90</v>
      </c>
      <c r="M9" s="121" t="s">
        <v>89</v>
      </c>
      <c r="N9" s="121" t="s">
        <v>90</v>
      </c>
      <c r="O9" s="121" t="s">
        <v>89</v>
      </c>
      <c r="P9" s="121" t="s">
        <v>90</v>
      </c>
      <c r="Q9" s="121" t="s">
        <v>89</v>
      </c>
      <c r="R9" s="121" t="s">
        <v>90</v>
      </c>
      <c r="S9" s="116"/>
      <c r="T9" s="122"/>
      <c r="U9" s="4"/>
      <c r="V9" s="6"/>
      <c r="W9" s="4"/>
      <c r="X9" s="4"/>
      <c r="Y9" s="4"/>
      <c r="Z9" s="4"/>
    </row>
    <row r="10" ht="18.0" customHeight="1">
      <c r="A10" s="10"/>
      <c r="B10" s="123" t="s">
        <v>91</v>
      </c>
      <c r="C10" s="124">
        <v>4004.0</v>
      </c>
      <c r="D10" s="125">
        <v>1361.0</v>
      </c>
      <c r="E10" s="126">
        <v>3500.0</v>
      </c>
      <c r="F10" s="127">
        <f>E10*4</f>
        <v>14000</v>
      </c>
      <c r="G10" s="124">
        <v>1123.0</v>
      </c>
      <c r="H10" s="124">
        <v>673.0</v>
      </c>
      <c r="I10" s="128"/>
      <c r="J10" s="128"/>
      <c r="K10" s="128"/>
      <c r="L10" s="128"/>
      <c r="M10" s="128"/>
      <c r="N10" s="128"/>
      <c r="O10" s="128"/>
      <c r="P10" s="128"/>
      <c r="Q10" s="128"/>
      <c r="R10" s="128"/>
      <c r="S10" s="129">
        <f t="shared" ref="S10:S29" si="1">G10+K10+M10+O10+Q10</f>
        <v>1123</v>
      </c>
      <c r="T10" s="130">
        <f t="shared" ref="T10:T30" si="2">S10/F10</f>
        <v>0.08021428571</v>
      </c>
      <c r="U10" s="4"/>
      <c r="V10" s="4"/>
      <c r="W10" s="4"/>
      <c r="X10" s="4"/>
      <c r="Y10" s="4"/>
      <c r="Z10" s="4"/>
    </row>
    <row r="11" ht="18.0" customHeight="1">
      <c r="A11" s="10"/>
      <c r="B11" s="131"/>
      <c r="C11" s="132"/>
      <c r="D11" s="133"/>
      <c r="E11" s="134"/>
      <c r="F11" s="132"/>
      <c r="G11" s="135"/>
      <c r="H11" s="135"/>
      <c r="I11" s="135"/>
      <c r="J11" s="135"/>
      <c r="K11" s="135"/>
      <c r="L11" s="135"/>
      <c r="M11" s="135"/>
      <c r="N11" s="135"/>
      <c r="O11" s="135"/>
      <c r="P11" s="135"/>
      <c r="Q11" s="135"/>
      <c r="R11" s="135"/>
      <c r="S11" s="136">
        <f t="shared" si="1"/>
        <v>0</v>
      </c>
      <c r="T11" s="137" t="str">
        <f t="shared" si="2"/>
        <v>#DIV/0!</v>
      </c>
      <c r="U11" s="4"/>
      <c r="V11" s="4"/>
      <c r="W11" s="4"/>
      <c r="X11" s="4"/>
      <c r="Y11" s="4"/>
      <c r="Z11" s="4"/>
    </row>
    <row r="12" ht="18.0" customHeight="1">
      <c r="A12" s="10"/>
      <c r="B12" s="131"/>
      <c r="C12" s="138"/>
      <c r="D12" s="139"/>
      <c r="E12" s="140"/>
      <c r="F12" s="138"/>
      <c r="G12" s="141"/>
      <c r="H12" s="141"/>
      <c r="I12" s="141"/>
      <c r="J12" s="141"/>
      <c r="K12" s="141"/>
      <c r="L12" s="141"/>
      <c r="M12" s="141"/>
      <c r="N12" s="141"/>
      <c r="O12" s="141"/>
      <c r="P12" s="141"/>
      <c r="Q12" s="141"/>
      <c r="R12" s="141"/>
      <c r="S12" s="142">
        <f t="shared" si="1"/>
        <v>0</v>
      </c>
      <c r="T12" s="143" t="str">
        <f t="shared" si="2"/>
        <v>#DIV/0!</v>
      </c>
      <c r="U12" s="4"/>
      <c r="V12" s="4"/>
      <c r="W12" s="4"/>
      <c r="X12" s="4"/>
      <c r="Y12" s="4"/>
      <c r="Z12" s="4"/>
    </row>
    <row r="13" ht="18.0" customHeight="1">
      <c r="A13" s="10"/>
      <c r="B13" s="131"/>
      <c r="C13" s="138"/>
      <c r="D13" s="139"/>
      <c r="E13" s="140"/>
      <c r="F13" s="138"/>
      <c r="G13" s="141"/>
      <c r="H13" s="141"/>
      <c r="I13" s="141"/>
      <c r="J13" s="141"/>
      <c r="K13" s="141"/>
      <c r="L13" s="141"/>
      <c r="M13" s="141"/>
      <c r="N13" s="141"/>
      <c r="O13" s="141"/>
      <c r="P13" s="141"/>
      <c r="Q13" s="141"/>
      <c r="R13" s="141"/>
      <c r="S13" s="142">
        <f t="shared" si="1"/>
        <v>0</v>
      </c>
      <c r="T13" s="143" t="str">
        <f t="shared" si="2"/>
        <v>#DIV/0!</v>
      </c>
      <c r="U13" s="4"/>
      <c r="V13" s="4"/>
      <c r="W13" s="4"/>
      <c r="X13" s="4"/>
      <c r="Y13" s="4"/>
      <c r="Z13" s="4"/>
    </row>
    <row r="14" ht="18.0" customHeight="1">
      <c r="A14" s="10"/>
      <c r="B14" s="131"/>
      <c r="C14" s="138"/>
      <c r="D14" s="139"/>
      <c r="E14" s="140"/>
      <c r="F14" s="138"/>
      <c r="G14" s="141"/>
      <c r="H14" s="141"/>
      <c r="I14" s="141"/>
      <c r="J14" s="141"/>
      <c r="K14" s="141"/>
      <c r="L14" s="141"/>
      <c r="M14" s="141"/>
      <c r="N14" s="141"/>
      <c r="O14" s="141"/>
      <c r="P14" s="141"/>
      <c r="Q14" s="141"/>
      <c r="R14" s="141"/>
      <c r="S14" s="142">
        <f t="shared" si="1"/>
        <v>0</v>
      </c>
      <c r="T14" s="143" t="str">
        <f t="shared" si="2"/>
        <v>#DIV/0!</v>
      </c>
      <c r="U14" s="4"/>
      <c r="V14" s="4"/>
      <c r="W14" s="4"/>
      <c r="X14" s="4"/>
      <c r="Y14" s="4"/>
      <c r="Z14" s="4"/>
    </row>
    <row r="15" ht="18.0" customHeight="1">
      <c r="A15" s="10"/>
      <c r="B15" s="131"/>
      <c r="C15" s="138"/>
      <c r="D15" s="139"/>
      <c r="E15" s="140"/>
      <c r="F15" s="138"/>
      <c r="G15" s="141"/>
      <c r="H15" s="141"/>
      <c r="I15" s="141"/>
      <c r="J15" s="141"/>
      <c r="K15" s="141"/>
      <c r="L15" s="141"/>
      <c r="M15" s="141"/>
      <c r="N15" s="141"/>
      <c r="O15" s="141"/>
      <c r="P15" s="141"/>
      <c r="Q15" s="141"/>
      <c r="R15" s="141"/>
      <c r="S15" s="142">
        <f t="shared" si="1"/>
        <v>0</v>
      </c>
      <c r="T15" s="143" t="str">
        <f t="shared" si="2"/>
        <v>#DIV/0!</v>
      </c>
      <c r="U15" s="4"/>
      <c r="V15" s="4"/>
      <c r="W15" s="4"/>
      <c r="X15" s="4"/>
      <c r="Y15" s="4"/>
      <c r="Z15" s="4"/>
    </row>
    <row r="16" ht="18.0" customHeight="1">
      <c r="A16" s="10"/>
      <c r="B16" s="131"/>
      <c r="C16" s="138"/>
      <c r="D16" s="139"/>
      <c r="E16" s="144"/>
      <c r="F16" s="138"/>
      <c r="G16" s="141"/>
      <c r="H16" s="141"/>
      <c r="I16" s="141"/>
      <c r="J16" s="141"/>
      <c r="K16" s="141"/>
      <c r="L16" s="141"/>
      <c r="M16" s="141"/>
      <c r="N16" s="141"/>
      <c r="O16" s="141"/>
      <c r="P16" s="141"/>
      <c r="Q16" s="141"/>
      <c r="R16" s="141"/>
      <c r="S16" s="142">
        <f t="shared" si="1"/>
        <v>0</v>
      </c>
      <c r="T16" s="143" t="str">
        <f t="shared" si="2"/>
        <v>#DIV/0!</v>
      </c>
      <c r="U16" s="4"/>
      <c r="V16" s="4"/>
      <c r="W16" s="4"/>
      <c r="X16" s="4"/>
      <c r="Y16" s="4"/>
      <c r="Z16" s="4"/>
    </row>
    <row r="17" ht="18.0" customHeight="1">
      <c r="A17" s="10"/>
      <c r="B17" s="131"/>
      <c r="C17" s="138"/>
      <c r="D17" s="139"/>
      <c r="E17" s="140"/>
      <c r="F17" s="138"/>
      <c r="G17" s="141"/>
      <c r="H17" s="141"/>
      <c r="I17" s="141"/>
      <c r="J17" s="141"/>
      <c r="K17" s="141"/>
      <c r="L17" s="141"/>
      <c r="M17" s="141"/>
      <c r="N17" s="141"/>
      <c r="O17" s="141"/>
      <c r="P17" s="141"/>
      <c r="Q17" s="141"/>
      <c r="R17" s="141"/>
      <c r="S17" s="142">
        <f t="shared" si="1"/>
        <v>0</v>
      </c>
      <c r="T17" s="143" t="str">
        <f t="shared" si="2"/>
        <v>#DIV/0!</v>
      </c>
      <c r="U17" s="4"/>
      <c r="V17" s="4"/>
      <c r="W17" s="4"/>
      <c r="X17" s="4"/>
      <c r="Y17" s="4"/>
      <c r="Z17" s="4"/>
    </row>
    <row r="18" ht="18.0" customHeight="1">
      <c r="A18" s="10"/>
      <c r="B18" s="131"/>
      <c r="C18" s="138"/>
      <c r="D18" s="139"/>
      <c r="E18" s="140"/>
      <c r="F18" s="138"/>
      <c r="G18" s="141"/>
      <c r="H18" s="141"/>
      <c r="I18" s="141"/>
      <c r="J18" s="141"/>
      <c r="K18" s="141"/>
      <c r="L18" s="141"/>
      <c r="M18" s="141"/>
      <c r="N18" s="141"/>
      <c r="O18" s="141"/>
      <c r="P18" s="141"/>
      <c r="Q18" s="141"/>
      <c r="R18" s="141"/>
      <c r="S18" s="142">
        <f t="shared" si="1"/>
        <v>0</v>
      </c>
      <c r="T18" s="143" t="str">
        <f t="shared" si="2"/>
        <v>#DIV/0!</v>
      </c>
      <c r="U18" s="4"/>
      <c r="V18" s="4"/>
      <c r="W18" s="4"/>
      <c r="X18" s="4"/>
      <c r="Y18" s="4"/>
      <c r="Z18" s="4"/>
    </row>
    <row r="19" ht="18.0" customHeight="1">
      <c r="A19" s="10"/>
      <c r="B19" s="131"/>
      <c r="C19" s="138"/>
      <c r="D19" s="139"/>
      <c r="E19" s="140"/>
      <c r="F19" s="138"/>
      <c r="G19" s="141"/>
      <c r="H19" s="141"/>
      <c r="I19" s="141"/>
      <c r="J19" s="141"/>
      <c r="K19" s="141"/>
      <c r="L19" s="141"/>
      <c r="M19" s="141"/>
      <c r="N19" s="141"/>
      <c r="O19" s="141"/>
      <c r="P19" s="141"/>
      <c r="Q19" s="141"/>
      <c r="R19" s="141"/>
      <c r="S19" s="142">
        <f t="shared" si="1"/>
        <v>0</v>
      </c>
      <c r="T19" s="143" t="str">
        <f t="shared" si="2"/>
        <v>#DIV/0!</v>
      </c>
      <c r="U19" s="4"/>
      <c r="V19" s="4"/>
      <c r="W19" s="4"/>
      <c r="X19" s="4"/>
      <c r="Y19" s="4"/>
      <c r="Z19" s="4"/>
    </row>
    <row r="20" ht="18.0" customHeight="1">
      <c r="A20" s="10"/>
      <c r="B20" s="131"/>
      <c r="C20" s="138"/>
      <c r="D20" s="139"/>
      <c r="E20" s="140"/>
      <c r="F20" s="138"/>
      <c r="G20" s="141"/>
      <c r="H20" s="141"/>
      <c r="I20" s="141"/>
      <c r="J20" s="141"/>
      <c r="K20" s="141"/>
      <c r="L20" s="141"/>
      <c r="M20" s="141"/>
      <c r="N20" s="141"/>
      <c r="O20" s="141"/>
      <c r="P20" s="141"/>
      <c r="Q20" s="141"/>
      <c r="R20" s="141"/>
      <c r="S20" s="142">
        <f t="shared" si="1"/>
        <v>0</v>
      </c>
      <c r="T20" s="143" t="str">
        <f t="shared" si="2"/>
        <v>#DIV/0!</v>
      </c>
      <c r="U20" s="4"/>
      <c r="V20" s="4"/>
      <c r="W20" s="4"/>
      <c r="X20" s="4"/>
      <c r="Y20" s="4"/>
      <c r="Z20" s="4"/>
    </row>
    <row r="21" ht="18.0" customHeight="1">
      <c r="A21" s="10"/>
      <c r="B21" s="131"/>
      <c r="C21" s="138"/>
      <c r="D21" s="139"/>
      <c r="E21" s="140"/>
      <c r="F21" s="138"/>
      <c r="G21" s="141"/>
      <c r="H21" s="141"/>
      <c r="I21" s="141"/>
      <c r="J21" s="141"/>
      <c r="K21" s="141"/>
      <c r="L21" s="141"/>
      <c r="M21" s="141"/>
      <c r="N21" s="141"/>
      <c r="O21" s="141"/>
      <c r="P21" s="141"/>
      <c r="Q21" s="141"/>
      <c r="R21" s="141"/>
      <c r="S21" s="142">
        <f t="shared" si="1"/>
        <v>0</v>
      </c>
      <c r="T21" s="143" t="str">
        <f t="shared" si="2"/>
        <v>#DIV/0!</v>
      </c>
      <c r="U21" s="4"/>
      <c r="V21" s="4"/>
      <c r="W21" s="4"/>
      <c r="X21" s="4"/>
      <c r="Y21" s="4"/>
      <c r="Z21" s="4"/>
    </row>
    <row r="22" ht="18.0" customHeight="1">
      <c r="A22" s="10"/>
      <c r="B22" s="131"/>
      <c r="C22" s="138"/>
      <c r="D22" s="139"/>
      <c r="E22" s="140"/>
      <c r="F22" s="138"/>
      <c r="G22" s="141"/>
      <c r="H22" s="141"/>
      <c r="I22" s="141"/>
      <c r="J22" s="141"/>
      <c r="K22" s="141"/>
      <c r="L22" s="141"/>
      <c r="M22" s="141"/>
      <c r="N22" s="141"/>
      <c r="O22" s="141"/>
      <c r="P22" s="141"/>
      <c r="Q22" s="141"/>
      <c r="R22" s="141"/>
      <c r="S22" s="142">
        <f t="shared" si="1"/>
        <v>0</v>
      </c>
      <c r="T22" s="143" t="str">
        <f t="shared" si="2"/>
        <v>#DIV/0!</v>
      </c>
      <c r="U22" s="4"/>
      <c r="V22" s="4"/>
      <c r="W22" s="4"/>
      <c r="X22" s="4"/>
      <c r="Y22" s="4"/>
      <c r="Z22" s="4"/>
    </row>
    <row r="23" ht="18.0" customHeight="1">
      <c r="A23" s="10"/>
      <c r="B23" s="131"/>
      <c r="C23" s="138"/>
      <c r="D23" s="139"/>
      <c r="E23" s="140"/>
      <c r="F23" s="138"/>
      <c r="G23" s="141"/>
      <c r="H23" s="141"/>
      <c r="I23" s="141"/>
      <c r="J23" s="141"/>
      <c r="K23" s="141"/>
      <c r="L23" s="141"/>
      <c r="M23" s="141"/>
      <c r="N23" s="141"/>
      <c r="O23" s="141"/>
      <c r="P23" s="141"/>
      <c r="Q23" s="141"/>
      <c r="R23" s="141"/>
      <c r="S23" s="142">
        <f t="shared" si="1"/>
        <v>0</v>
      </c>
      <c r="T23" s="143" t="str">
        <f t="shared" si="2"/>
        <v>#DIV/0!</v>
      </c>
      <c r="U23" s="4"/>
      <c r="V23" s="4"/>
      <c r="W23" s="4"/>
      <c r="X23" s="4"/>
      <c r="Y23" s="4"/>
      <c r="Z23" s="4"/>
    </row>
    <row r="24" ht="18.0" customHeight="1">
      <c r="A24" s="10"/>
      <c r="B24" s="131"/>
      <c r="C24" s="138"/>
      <c r="D24" s="139"/>
      <c r="E24" s="140"/>
      <c r="F24" s="138"/>
      <c r="G24" s="141"/>
      <c r="H24" s="141"/>
      <c r="I24" s="141"/>
      <c r="J24" s="141"/>
      <c r="K24" s="141"/>
      <c r="L24" s="141"/>
      <c r="M24" s="141"/>
      <c r="N24" s="141"/>
      <c r="O24" s="141"/>
      <c r="P24" s="141"/>
      <c r="Q24" s="141"/>
      <c r="R24" s="141"/>
      <c r="S24" s="142">
        <f t="shared" si="1"/>
        <v>0</v>
      </c>
      <c r="T24" s="143" t="str">
        <f t="shared" si="2"/>
        <v>#DIV/0!</v>
      </c>
      <c r="U24" s="4"/>
      <c r="V24" s="4"/>
      <c r="W24" s="4"/>
      <c r="X24" s="4"/>
      <c r="Y24" s="4"/>
      <c r="Z24" s="4"/>
    </row>
    <row r="25" ht="18.0" customHeight="1">
      <c r="A25" s="10"/>
      <c r="B25" s="131"/>
      <c r="C25" s="138"/>
      <c r="D25" s="139"/>
      <c r="E25" s="140"/>
      <c r="F25" s="138"/>
      <c r="G25" s="141"/>
      <c r="H25" s="141"/>
      <c r="I25" s="141"/>
      <c r="J25" s="141"/>
      <c r="K25" s="141"/>
      <c r="L25" s="141"/>
      <c r="M25" s="141"/>
      <c r="N25" s="141"/>
      <c r="O25" s="141"/>
      <c r="P25" s="141"/>
      <c r="Q25" s="141"/>
      <c r="R25" s="141"/>
      <c r="S25" s="142">
        <f t="shared" si="1"/>
        <v>0</v>
      </c>
      <c r="T25" s="143" t="str">
        <f t="shared" si="2"/>
        <v>#DIV/0!</v>
      </c>
      <c r="U25" s="4"/>
      <c r="V25" s="4"/>
      <c r="W25" s="4"/>
      <c r="X25" s="4"/>
      <c r="Y25" s="4"/>
      <c r="Z25" s="4"/>
    </row>
    <row r="26" ht="18.0" customHeight="1">
      <c r="A26" s="10"/>
      <c r="B26" s="131"/>
      <c r="C26" s="138"/>
      <c r="D26" s="139"/>
      <c r="E26" s="140"/>
      <c r="F26" s="138"/>
      <c r="G26" s="141"/>
      <c r="H26" s="141"/>
      <c r="I26" s="141"/>
      <c r="J26" s="141"/>
      <c r="K26" s="141"/>
      <c r="L26" s="141"/>
      <c r="M26" s="141"/>
      <c r="N26" s="141"/>
      <c r="O26" s="141"/>
      <c r="P26" s="141"/>
      <c r="Q26" s="141"/>
      <c r="R26" s="141"/>
      <c r="S26" s="142">
        <f t="shared" si="1"/>
        <v>0</v>
      </c>
      <c r="T26" s="143" t="str">
        <f t="shared" si="2"/>
        <v>#DIV/0!</v>
      </c>
      <c r="U26" s="4"/>
      <c r="V26" s="4"/>
      <c r="W26" s="4"/>
      <c r="X26" s="4"/>
      <c r="Y26" s="4"/>
      <c r="Z26" s="4"/>
    </row>
    <row r="27" ht="18.0" customHeight="1">
      <c r="A27" s="10"/>
      <c r="B27" s="131"/>
      <c r="C27" s="138"/>
      <c r="D27" s="139"/>
      <c r="E27" s="145"/>
      <c r="F27" s="138"/>
      <c r="G27" s="141"/>
      <c r="H27" s="141"/>
      <c r="I27" s="141"/>
      <c r="J27" s="141"/>
      <c r="K27" s="141"/>
      <c r="L27" s="141"/>
      <c r="M27" s="141"/>
      <c r="N27" s="141"/>
      <c r="O27" s="141"/>
      <c r="P27" s="141"/>
      <c r="Q27" s="141"/>
      <c r="R27" s="141"/>
      <c r="S27" s="142">
        <f t="shared" si="1"/>
        <v>0</v>
      </c>
      <c r="T27" s="143" t="str">
        <f t="shared" si="2"/>
        <v>#DIV/0!</v>
      </c>
      <c r="U27" s="4"/>
      <c r="V27" s="4"/>
      <c r="W27" s="4"/>
      <c r="X27" s="4"/>
      <c r="Y27" s="4"/>
      <c r="Z27" s="4"/>
    </row>
    <row r="28" ht="18.0" customHeight="1">
      <c r="A28" s="10"/>
      <c r="B28" s="131"/>
      <c r="C28" s="138"/>
      <c r="D28" s="139"/>
      <c r="E28" s="145"/>
      <c r="F28" s="138"/>
      <c r="G28" s="141"/>
      <c r="H28" s="141"/>
      <c r="I28" s="141"/>
      <c r="J28" s="141"/>
      <c r="K28" s="141"/>
      <c r="L28" s="141"/>
      <c r="M28" s="141"/>
      <c r="N28" s="141"/>
      <c r="O28" s="141"/>
      <c r="P28" s="141"/>
      <c r="Q28" s="141"/>
      <c r="R28" s="141"/>
      <c r="S28" s="142">
        <f t="shared" si="1"/>
        <v>0</v>
      </c>
      <c r="T28" s="143" t="str">
        <f t="shared" si="2"/>
        <v>#DIV/0!</v>
      </c>
      <c r="U28" s="4"/>
      <c r="V28" s="4"/>
      <c r="W28" s="4"/>
      <c r="X28" s="4"/>
      <c r="Y28" s="4"/>
      <c r="Z28" s="4"/>
    </row>
    <row r="29" ht="18.0" customHeight="1">
      <c r="A29" s="10"/>
      <c r="B29" s="146"/>
      <c r="C29" s="147"/>
      <c r="D29" s="148"/>
      <c r="E29" s="149"/>
      <c r="F29" s="147"/>
      <c r="G29" s="147"/>
      <c r="H29" s="147"/>
      <c r="I29" s="147"/>
      <c r="J29" s="147"/>
      <c r="K29" s="147"/>
      <c r="L29" s="147"/>
      <c r="M29" s="147"/>
      <c r="N29" s="147"/>
      <c r="O29" s="147"/>
      <c r="P29" s="147"/>
      <c r="Q29" s="147"/>
      <c r="R29" s="147"/>
      <c r="S29" s="150">
        <f t="shared" si="1"/>
        <v>0</v>
      </c>
      <c r="T29" s="143" t="str">
        <f t="shared" si="2"/>
        <v>#DIV/0!</v>
      </c>
      <c r="U29" s="4"/>
      <c r="V29" s="4"/>
      <c r="W29" s="4"/>
      <c r="X29" s="4"/>
      <c r="Y29" s="4"/>
      <c r="Z29" s="4"/>
    </row>
    <row r="30" ht="18.0" customHeight="1">
      <c r="A30" s="4"/>
      <c r="B30" s="151" t="s">
        <v>92</v>
      </c>
      <c r="C30" s="152">
        <f t="shared" ref="C30:S30" si="3">SUM(C10:C29)</f>
        <v>4004</v>
      </c>
      <c r="D30" s="153">
        <f t="shared" si="3"/>
        <v>1361</v>
      </c>
      <c r="E30" s="154">
        <f t="shared" si="3"/>
        <v>3500</v>
      </c>
      <c r="F30" s="152">
        <f t="shared" si="3"/>
        <v>14000</v>
      </c>
      <c r="G30" s="152">
        <f t="shared" si="3"/>
        <v>1123</v>
      </c>
      <c r="H30" s="152">
        <f t="shared" si="3"/>
        <v>673</v>
      </c>
      <c r="I30" s="152">
        <f t="shared" si="3"/>
        <v>0</v>
      </c>
      <c r="J30" s="152">
        <f t="shared" si="3"/>
        <v>0</v>
      </c>
      <c r="K30" s="152">
        <f t="shared" si="3"/>
        <v>0</v>
      </c>
      <c r="L30" s="152">
        <f t="shared" si="3"/>
        <v>0</v>
      </c>
      <c r="M30" s="152">
        <f t="shared" si="3"/>
        <v>0</v>
      </c>
      <c r="N30" s="152">
        <f t="shared" si="3"/>
        <v>0</v>
      </c>
      <c r="O30" s="152">
        <f t="shared" si="3"/>
        <v>0</v>
      </c>
      <c r="P30" s="152">
        <f t="shared" si="3"/>
        <v>0</v>
      </c>
      <c r="Q30" s="152">
        <f t="shared" si="3"/>
        <v>0</v>
      </c>
      <c r="R30" s="152">
        <f t="shared" si="3"/>
        <v>0</v>
      </c>
      <c r="S30" s="152">
        <f t="shared" si="3"/>
        <v>1123</v>
      </c>
      <c r="T30" s="155">
        <f t="shared" si="2"/>
        <v>0.08021428571</v>
      </c>
      <c r="U30" s="4"/>
      <c r="V30" s="4"/>
      <c r="W30" s="4"/>
      <c r="X30" s="4"/>
      <c r="Y30" s="4"/>
      <c r="Z30" s="4"/>
    </row>
    <row r="31" ht="18.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8.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8.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8.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8.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8.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8.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8.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8.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8.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8.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8.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8.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8.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8.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8.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8.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8.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8.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8.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8.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8.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8.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8.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8.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8.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8.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8.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8.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8.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8.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8.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8.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8.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8.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8.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8.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8.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8.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8.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8.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8.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8.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8.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8.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8.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8.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8.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8.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8.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8.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8.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8.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8.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8.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8.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8.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8.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8.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8.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8.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8.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8.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8.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8.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8.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8.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8.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8.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8.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8.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8.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8.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8.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8.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8.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8.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8.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8.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8.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8.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8.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8.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8.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8.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8.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8.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8.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8.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8.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8.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8.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8.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8.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8.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8.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8.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8.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8.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8.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8.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8.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8.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8.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8.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8.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8.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8.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8.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8.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8.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8.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8.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8.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8.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8.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8.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8.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8.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8.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8.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8.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8.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8.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8.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8.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8.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8.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8.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8.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8.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8.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8.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8.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8.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8.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8.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8.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8.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8.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8.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8.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8.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8.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8.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8.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8.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8.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8.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8.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8.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8.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8.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8.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8.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8.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8.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8.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8.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8.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8.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8.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8.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8.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8.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8.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8.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8.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8.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8.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8.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8.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8.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8.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8.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8.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8.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8.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8.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8.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8.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8.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8.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8.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8.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8.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8.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8.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8.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8.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8.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8.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8.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8.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8.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8.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8.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8.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8.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8.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8.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8.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8.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8.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8.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8.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8.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8.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8.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8.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8.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8.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8.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8.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8.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8.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8.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8.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8.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8.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8.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8.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8.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8.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8.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8.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8.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8.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8.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8.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8.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8.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8.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8.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8.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8.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8.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8.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8.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8.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8.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8.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8.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8.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8.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8.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8.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8.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8.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8.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8.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8.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8.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8.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8.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8.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8.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8.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8.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8.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8.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8.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8.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8.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8.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8.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8.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8.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8.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8.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8.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8.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8.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8.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8.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8.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8.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8.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8.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8.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8.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8.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8.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8.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8.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8.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8.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8.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8.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8.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8.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8.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8.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8.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8.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8.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8.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8.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8.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8.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8.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8.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8.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8.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8.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8.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8.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8.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8.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8.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8.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8.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8.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8.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8.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8.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8.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8.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8.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8.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8.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8.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8.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8.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8.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8.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8.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8.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8.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8.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8.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8.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8.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8.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8.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8.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8.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8.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8.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8.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8.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8.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8.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8.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8.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8.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8.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8.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8.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8.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8.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8.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8.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8.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8.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8.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8.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8.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8.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8.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8.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8.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8.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8.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8.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8.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8.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8.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8.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8.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8.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8.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8.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8.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8.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8.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8.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8.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8.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8.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8.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8.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8.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8.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8.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8.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8.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8.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8.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8.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8.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8.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8.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8.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8.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8.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8.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8.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8.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8.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8.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8.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8.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8.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8.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8.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8.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8.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8.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8.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8.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8.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8.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8.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8.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8.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8.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8.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8.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8.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8.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8.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8.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8.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8.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8.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8.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8.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8.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8.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8.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8.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8.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8.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8.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8.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8.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8.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8.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8.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8.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8.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8.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8.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8.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8.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8.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8.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8.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8.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8.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8.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8.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8.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8.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8.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8.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8.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8.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8.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8.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8.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8.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8.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8.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8.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8.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8.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8.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8.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8.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8.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8.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8.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8.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8.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8.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8.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8.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8.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8.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8.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8.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8.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8.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8.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8.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8.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8.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8.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8.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8.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8.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8.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8.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8.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8.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8.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8.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8.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8.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8.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8.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8.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8.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8.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8.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8.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8.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8.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8.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8.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8.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8.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8.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8.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8.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8.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8.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8.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8.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8.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8.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8.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8.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8.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8.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8.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8.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8.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8.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8.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8.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8.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8.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8.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8.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8.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8.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8.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8.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8.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8.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8.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8.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8.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8.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8.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8.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8.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8.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8.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8.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8.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8.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8.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8.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8.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8.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8.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8.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8.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8.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8.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8.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8.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8.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8.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8.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8.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8.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8.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8.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8.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8.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8.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8.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8.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8.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8.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8.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8.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8.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8.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8.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8.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8.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8.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8.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8.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8.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8.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8.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8.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8.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8.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8.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8.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8.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8.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8.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8.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8.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8.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8.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8.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8.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8.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8.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8.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8.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8.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8.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8.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8.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8.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8.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8.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8.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8.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8.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8.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8.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8.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8.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8.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8.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8.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8.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8.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8.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8.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8.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8.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8.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8.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8.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8.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8.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8.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8.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8.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8.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8.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8.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8.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8.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8.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8.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8.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8.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8.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8.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8.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8.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8.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8.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8.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8.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8.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8.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8.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8.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8.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8.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8.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8.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8.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8.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8.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8.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8.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8.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8.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8.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8.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8.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8.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8.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8.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8.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8.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8.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8.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8.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8.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8.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8.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8.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8.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8.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8.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8.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8.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8.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8.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8.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8.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8.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8.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8.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8.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8.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8.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8.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8.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8.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8.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8.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8.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8.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8.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8.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8.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8.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8.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8.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8.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8.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8.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8.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8.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8.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8.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8.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8.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8.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8.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8.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8.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8.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8.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8.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8.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8.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8.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8.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8.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8.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8.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8.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8.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8.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8.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8.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8.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8.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8.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8.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8.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8.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8.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8.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8.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8.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8.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8.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8.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8.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8.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8.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8.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8.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8.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8.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8.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8.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8.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8.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8.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8.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8.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8.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8.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8.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8.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8.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8.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8.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8.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8.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8.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8.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8.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8.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8.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8.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8.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8.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8.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8.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8.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8.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8.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8.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8.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8.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8.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8.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8.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8.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8.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8.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8.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8.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8.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8.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8.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8.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8.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8.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8.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8.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8.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8.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8.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8.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8.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8.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8.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8.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8.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8.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8.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8.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8.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8.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8.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8.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8.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8.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8.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8.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8.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8.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8.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8.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8.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8.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8.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8.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8.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8.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8.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8.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8.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8.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8.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8.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8.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8.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8.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8.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8.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8.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8.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8.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8.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8.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8.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8.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8.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8.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8.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8.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8.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8.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8.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8.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8.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8.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8.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8.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8.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8.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8.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8.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8.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8.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8.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8.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8.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8.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8.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8.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8.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8.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8.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8.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8.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8.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8.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8.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8.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8.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8.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8.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8.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8.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8.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8.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8.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8.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8.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8.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8.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8.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8.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8.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8.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8.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8.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8.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8.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8.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8.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8.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8.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8.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8.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8.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8.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8.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8.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8.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8.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8.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8.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8.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8.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8.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8.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8.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8.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8.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8.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8.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8.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8.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8.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8.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8.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8.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8.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8.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8.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8.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8.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8.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8.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8.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8.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8.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8.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8.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8.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8.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8.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8.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8.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8.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8.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8.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8.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8.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8.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8.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8.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8.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8.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3">
    <mergeCell ref="K8:L8"/>
    <mergeCell ref="M8:N8"/>
    <mergeCell ref="O8:P8"/>
    <mergeCell ref="Q8:R8"/>
    <mergeCell ref="S8:S9"/>
    <mergeCell ref="T8:T9"/>
    <mergeCell ref="A2:T2"/>
    <mergeCell ref="B8:B9"/>
    <mergeCell ref="C8:D8"/>
    <mergeCell ref="E8:E9"/>
    <mergeCell ref="F8:F9"/>
    <mergeCell ref="G8:H8"/>
    <mergeCell ref="I8:J8"/>
  </mergeCells>
  <conditionalFormatting sqref="C4:E5">
    <cfRule type="cellIs" dxfId="3" priority="1" operator="equal">
      <formula>0</formula>
    </cfRule>
  </conditionalFormatting>
  <dataValidations>
    <dataValidation type="decimal" allowBlank="1" showErrorMessage="1" sqref="C10:R29">
      <formula1>0.0</formula1>
      <formula2>99999.0</formula2>
    </dataValidation>
  </dataValidations>
  <printOptions horizontalCentered="1"/>
  <pageMargins bottom="0.5905511811023623" footer="0.0" header="0.0" left="0.7874015748031497" right="0.7874015748031497" top="0.7874015748031497"/>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71"/>
    <col customWidth="1" min="2" max="2" width="8.0"/>
    <col customWidth="1" min="3" max="3" width="17.14"/>
    <col customWidth="1" min="4" max="4" width="41.71"/>
    <col customWidth="1" min="5" max="5" width="12.14"/>
    <col customWidth="1" min="6" max="26" width="11.29"/>
  </cols>
  <sheetData>
    <row r="1" ht="18.75" customHeight="1">
      <c r="A1" s="156" t="s">
        <v>93</v>
      </c>
      <c r="B1" s="4"/>
      <c r="C1" s="4"/>
      <c r="D1" s="4"/>
      <c r="E1" s="5" t="s">
        <v>94</v>
      </c>
      <c r="F1" s="4"/>
      <c r="G1" s="4"/>
      <c r="H1" s="4"/>
      <c r="I1" s="4"/>
      <c r="J1" s="4"/>
      <c r="K1" s="4"/>
      <c r="L1" s="4"/>
      <c r="M1" s="4"/>
      <c r="N1" s="4"/>
      <c r="O1" s="4"/>
      <c r="P1" s="4"/>
      <c r="Q1" s="4"/>
      <c r="R1" s="4"/>
      <c r="S1" s="4"/>
      <c r="T1" s="4"/>
      <c r="U1" s="4"/>
      <c r="V1" s="4"/>
      <c r="W1" s="4"/>
      <c r="X1" s="4"/>
      <c r="Y1" s="4"/>
      <c r="Z1" s="4"/>
    </row>
    <row r="2" ht="10.5" customHeight="1">
      <c r="A2" s="156"/>
      <c r="B2" s="4"/>
      <c r="C2" s="4"/>
      <c r="D2" s="4"/>
      <c r="E2" s="24"/>
      <c r="F2" s="4"/>
      <c r="G2" s="4"/>
      <c r="H2" s="4"/>
      <c r="I2" s="4"/>
      <c r="J2" s="4"/>
      <c r="K2" s="4"/>
      <c r="L2" s="4"/>
      <c r="M2" s="4"/>
      <c r="N2" s="4"/>
      <c r="O2" s="4"/>
      <c r="P2" s="4"/>
      <c r="Q2" s="4"/>
      <c r="R2" s="4"/>
      <c r="S2" s="4"/>
      <c r="T2" s="4"/>
      <c r="U2" s="4"/>
      <c r="V2" s="4"/>
      <c r="W2" s="4"/>
      <c r="X2" s="4"/>
      <c r="Y2" s="4"/>
      <c r="Z2" s="4"/>
    </row>
    <row r="3" ht="18.0" customHeight="1">
      <c r="A3" s="105" t="s">
        <v>95</v>
      </c>
      <c r="B3" s="2"/>
      <c r="C3" s="2"/>
      <c r="D3" s="2"/>
      <c r="E3" s="3"/>
      <c r="F3" s="4"/>
      <c r="G3" s="4"/>
      <c r="H3" s="4"/>
      <c r="I3" s="4"/>
      <c r="J3" s="4"/>
      <c r="K3" s="4"/>
      <c r="L3" s="4"/>
      <c r="M3" s="4"/>
      <c r="N3" s="4"/>
      <c r="O3" s="4"/>
      <c r="P3" s="4"/>
      <c r="Q3" s="4"/>
      <c r="R3" s="4"/>
      <c r="S3" s="4"/>
      <c r="T3" s="4"/>
      <c r="U3" s="4"/>
      <c r="V3" s="4"/>
      <c r="W3" s="4"/>
      <c r="X3" s="4"/>
      <c r="Y3" s="4"/>
      <c r="Z3" s="4"/>
    </row>
    <row r="4" ht="12.75" customHeight="1">
      <c r="A4" s="156"/>
      <c r="B4" s="16"/>
      <c r="C4" s="16"/>
      <c r="D4" s="16"/>
      <c r="E4" s="16"/>
      <c r="F4" s="4"/>
      <c r="G4" s="4"/>
      <c r="H4" s="4"/>
      <c r="I4" s="4"/>
      <c r="J4" s="4"/>
      <c r="K4" s="4"/>
      <c r="L4" s="4"/>
      <c r="M4" s="4"/>
      <c r="N4" s="4"/>
      <c r="O4" s="4"/>
      <c r="P4" s="4"/>
      <c r="Q4" s="4"/>
      <c r="R4" s="4"/>
      <c r="S4" s="4"/>
      <c r="T4" s="4"/>
      <c r="U4" s="4"/>
      <c r="V4" s="4"/>
      <c r="W4" s="4"/>
      <c r="X4" s="4"/>
      <c r="Y4" s="4"/>
      <c r="Z4" s="4"/>
    </row>
    <row r="5" ht="18.0" customHeight="1">
      <c r="A5" s="4" t="s">
        <v>96</v>
      </c>
      <c r="B5" s="18" t="s">
        <v>97</v>
      </c>
      <c r="C5" s="2"/>
      <c r="D5" s="2"/>
      <c r="E5" s="3"/>
      <c r="F5" s="4"/>
      <c r="G5" s="4"/>
      <c r="H5" s="4"/>
      <c r="I5" s="4"/>
      <c r="J5" s="4"/>
      <c r="K5" s="4"/>
      <c r="L5" s="4"/>
      <c r="M5" s="4"/>
      <c r="N5" s="4"/>
      <c r="O5" s="4"/>
      <c r="P5" s="4"/>
      <c r="Q5" s="4"/>
      <c r="R5" s="4"/>
      <c r="S5" s="4"/>
      <c r="T5" s="4"/>
      <c r="U5" s="4"/>
      <c r="V5" s="4"/>
      <c r="W5" s="4"/>
      <c r="X5" s="4"/>
      <c r="Y5" s="4"/>
      <c r="Z5" s="4"/>
    </row>
    <row r="6" ht="18.0" customHeight="1">
      <c r="A6" s="156"/>
      <c r="B6" s="157" t="s">
        <v>98</v>
      </c>
      <c r="C6" s="158">
        <v>35.0</v>
      </c>
      <c r="D6" s="24" t="s">
        <v>99</v>
      </c>
      <c r="E6" s="159"/>
      <c r="F6" s="4"/>
      <c r="G6" s="4"/>
      <c r="H6" s="4"/>
      <c r="I6" s="4"/>
      <c r="J6" s="4"/>
      <c r="K6" s="4"/>
      <c r="L6" s="4"/>
      <c r="M6" s="4"/>
      <c r="N6" s="4"/>
      <c r="O6" s="4"/>
      <c r="P6" s="4"/>
      <c r="Q6" s="4"/>
      <c r="R6" s="4"/>
      <c r="S6" s="4"/>
      <c r="T6" s="4"/>
      <c r="U6" s="4"/>
      <c r="V6" s="4"/>
      <c r="W6" s="4"/>
      <c r="X6" s="4"/>
      <c r="Y6" s="4"/>
      <c r="Z6" s="4"/>
    </row>
    <row r="7" ht="18.0" customHeight="1">
      <c r="A7" s="156"/>
      <c r="B7" s="157" t="s">
        <v>100</v>
      </c>
      <c r="C7" s="158">
        <v>41.0</v>
      </c>
      <c r="D7" s="24" t="s">
        <v>99</v>
      </c>
      <c r="E7" s="159"/>
      <c r="F7" s="4"/>
      <c r="G7" s="4"/>
      <c r="H7" s="4"/>
      <c r="I7" s="4"/>
      <c r="J7" s="4"/>
      <c r="K7" s="4"/>
      <c r="L7" s="4"/>
      <c r="M7" s="4"/>
      <c r="N7" s="4"/>
      <c r="O7" s="4"/>
      <c r="P7" s="4"/>
      <c r="Q7" s="4"/>
      <c r="R7" s="4"/>
      <c r="S7" s="4"/>
      <c r="T7" s="4"/>
      <c r="U7" s="4"/>
      <c r="V7" s="4"/>
      <c r="W7" s="4"/>
      <c r="X7" s="4"/>
      <c r="Y7" s="4"/>
      <c r="Z7" s="4"/>
    </row>
    <row r="8" ht="18.0" customHeight="1">
      <c r="A8" s="156"/>
      <c r="B8" s="5"/>
      <c r="C8" s="5"/>
      <c r="D8" s="24"/>
      <c r="E8" s="159"/>
      <c r="F8" s="4"/>
      <c r="G8" s="4"/>
      <c r="H8" s="4"/>
      <c r="I8" s="4"/>
      <c r="J8" s="4"/>
      <c r="K8" s="4"/>
      <c r="L8" s="4"/>
      <c r="M8" s="4"/>
      <c r="N8" s="4"/>
      <c r="O8" s="4"/>
      <c r="P8" s="4"/>
      <c r="Q8" s="4"/>
      <c r="R8" s="4"/>
      <c r="S8" s="4"/>
      <c r="T8" s="4"/>
      <c r="U8" s="4"/>
      <c r="V8" s="4"/>
      <c r="W8" s="4"/>
      <c r="X8" s="4"/>
      <c r="Y8" s="4"/>
      <c r="Z8" s="4"/>
    </row>
    <row r="9" ht="18.0" customHeight="1">
      <c r="A9" s="4" t="s">
        <v>101</v>
      </c>
      <c r="B9" s="18" t="s">
        <v>102</v>
      </c>
      <c r="C9" s="2"/>
      <c r="D9" s="2"/>
      <c r="E9" s="3"/>
      <c r="F9" s="4"/>
      <c r="G9" s="4"/>
      <c r="H9" s="4"/>
      <c r="I9" s="4"/>
      <c r="J9" s="4"/>
      <c r="K9" s="4"/>
      <c r="L9" s="4"/>
      <c r="M9" s="4"/>
      <c r="N9" s="4"/>
      <c r="O9" s="4"/>
      <c r="P9" s="4"/>
      <c r="Q9" s="4"/>
      <c r="R9" s="4"/>
      <c r="S9" s="4"/>
      <c r="T9" s="4"/>
      <c r="U9" s="4"/>
      <c r="V9" s="4"/>
      <c r="W9" s="4"/>
      <c r="X9" s="4"/>
      <c r="Y9" s="4"/>
      <c r="Z9" s="4"/>
    </row>
    <row r="10" ht="18.0" customHeight="1">
      <c r="A10" s="4"/>
      <c r="B10" s="24"/>
      <c r="C10" s="158">
        <v>4.0</v>
      </c>
      <c r="D10" s="24" t="s">
        <v>99</v>
      </c>
      <c r="E10" s="24"/>
      <c r="F10" s="4"/>
      <c r="G10" s="4"/>
      <c r="H10" s="4"/>
      <c r="I10" s="4"/>
      <c r="J10" s="4"/>
      <c r="K10" s="4"/>
      <c r="L10" s="4"/>
      <c r="M10" s="4"/>
      <c r="N10" s="4"/>
      <c r="O10" s="4"/>
      <c r="P10" s="4"/>
      <c r="Q10" s="4"/>
      <c r="R10" s="4"/>
      <c r="S10" s="4"/>
      <c r="T10" s="4"/>
      <c r="U10" s="4"/>
      <c r="V10" s="4"/>
      <c r="W10" s="4"/>
      <c r="X10" s="4"/>
      <c r="Y10" s="4"/>
      <c r="Z10" s="4"/>
    </row>
    <row r="11" ht="9.0" customHeight="1">
      <c r="A11" s="156"/>
      <c r="B11" s="16"/>
      <c r="C11" s="16"/>
      <c r="D11" s="16"/>
      <c r="E11" s="16"/>
      <c r="F11" s="4"/>
      <c r="G11" s="4"/>
      <c r="H11" s="4"/>
      <c r="I11" s="4"/>
      <c r="J11" s="4"/>
      <c r="K11" s="4"/>
      <c r="L11" s="4"/>
      <c r="M11" s="4"/>
      <c r="N11" s="4"/>
      <c r="O11" s="4"/>
      <c r="P11" s="4"/>
      <c r="Q11" s="4"/>
      <c r="R11" s="4"/>
      <c r="S11" s="4"/>
      <c r="T11" s="4"/>
      <c r="U11" s="4"/>
      <c r="V11" s="4"/>
      <c r="W11" s="4"/>
      <c r="X11" s="4"/>
      <c r="Y11" s="4"/>
      <c r="Z11" s="4"/>
    </row>
    <row r="12" ht="18.0" customHeight="1">
      <c r="A12" s="4" t="s">
        <v>103</v>
      </c>
      <c r="B12" s="18" t="s">
        <v>104</v>
      </c>
      <c r="C12" s="2"/>
      <c r="D12" s="2"/>
      <c r="E12" s="3"/>
      <c r="F12" s="4"/>
      <c r="G12" s="4"/>
      <c r="H12" s="4"/>
      <c r="I12" s="4"/>
      <c r="J12" s="4"/>
      <c r="K12" s="4"/>
      <c r="L12" s="4"/>
      <c r="M12" s="4"/>
      <c r="N12" s="4"/>
      <c r="O12" s="4"/>
      <c r="P12" s="4"/>
      <c r="Q12" s="4"/>
      <c r="R12" s="4"/>
      <c r="S12" s="4"/>
      <c r="T12" s="4"/>
      <c r="U12" s="4"/>
      <c r="V12" s="4"/>
      <c r="W12" s="4"/>
      <c r="X12" s="4"/>
      <c r="Y12" s="4"/>
      <c r="Z12" s="4"/>
    </row>
    <row r="13" ht="18.0" customHeight="1">
      <c r="A13" s="156"/>
      <c r="B13" s="4"/>
      <c r="C13" s="5" t="s">
        <v>105</v>
      </c>
      <c r="D13" s="9" t="s">
        <v>106</v>
      </c>
      <c r="E13" s="24"/>
      <c r="F13" s="4"/>
      <c r="G13" s="4"/>
      <c r="H13" s="4"/>
      <c r="I13" s="4"/>
      <c r="J13" s="4"/>
      <c r="K13" s="4"/>
      <c r="L13" s="4"/>
      <c r="M13" s="4"/>
      <c r="N13" s="4"/>
      <c r="O13" s="4"/>
      <c r="P13" s="4"/>
      <c r="Q13" s="4"/>
      <c r="R13" s="4"/>
      <c r="S13" s="4"/>
      <c r="T13" s="4"/>
      <c r="U13" s="4"/>
      <c r="V13" s="4"/>
      <c r="W13" s="4"/>
      <c r="X13" s="4"/>
      <c r="Y13" s="4"/>
      <c r="Z13" s="4"/>
    </row>
    <row r="14" ht="18.0" customHeight="1">
      <c r="A14" s="156"/>
      <c r="B14" s="4"/>
      <c r="C14" s="5" t="s">
        <v>107</v>
      </c>
      <c r="D14" s="9" t="s">
        <v>108</v>
      </c>
      <c r="E14" s="159"/>
      <c r="F14" s="4"/>
      <c r="G14" s="4"/>
      <c r="H14" s="4"/>
      <c r="I14" s="4"/>
      <c r="J14" s="4"/>
      <c r="K14" s="4"/>
      <c r="L14" s="4"/>
      <c r="M14" s="4"/>
      <c r="N14" s="4"/>
      <c r="O14" s="4"/>
      <c r="P14" s="4"/>
      <c r="Q14" s="4"/>
      <c r="R14" s="4"/>
      <c r="S14" s="4"/>
      <c r="T14" s="4"/>
      <c r="U14" s="4"/>
      <c r="V14" s="4"/>
      <c r="W14" s="4"/>
      <c r="X14" s="4"/>
      <c r="Y14" s="4"/>
      <c r="Z14" s="4"/>
    </row>
    <row r="15" ht="9.75" customHeight="1">
      <c r="A15" s="156"/>
      <c r="B15" s="5"/>
      <c r="C15" s="24"/>
      <c r="D15" s="159"/>
      <c r="E15" s="159"/>
      <c r="F15" s="4"/>
      <c r="G15" s="4"/>
      <c r="H15" s="4"/>
      <c r="I15" s="4"/>
      <c r="J15" s="4"/>
      <c r="K15" s="4"/>
      <c r="L15" s="4"/>
      <c r="M15" s="4"/>
      <c r="N15" s="4"/>
      <c r="O15" s="4"/>
      <c r="P15" s="4"/>
      <c r="Q15" s="4"/>
      <c r="R15" s="4"/>
      <c r="S15" s="4"/>
      <c r="T15" s="4"/>
      <c r="U15" s="4"/>
      <c r="V15" s="4"/>
      <c r="W15" s="4"/>
      <c r="X15" s="4"/>
      <c r="Y15" s="4"/>
      <c r="Z15" s="4"/>
    </row>
    <row r="16" ht="18.0" customHeight="1">
      <c r="A16" s="4" t="s">
        <v>109</v>
      </c>
      <c r="B16" s="18" t="s">
        <v>110</v>
      </c>
      <c r="C16" s="2"/>
      <c r="D16" s="2"/>
      <c r="E16" s="3"/>
      <c r="F16" s="4"/>
      <c r="G16" s="4"/>
      <c r="H16" s="4"/>
      <c r="I16" s="4"/>
      <c r="J16" s="4"/>
      <c r="K16" s="4"/>
      <c r="L16" s="4"/>
      <c r="M16" s="4"/>
      <c r="N16" s="4"/>
      <c r="O16" s="4"/>
      <c r="P16" s="4"/>
      <c r="Q16" s="4"/>
      <c r="R16" s="4"/>
      <c r="S16" s="4"/>
      <c r="T16" s="4"/>
      <c r="U16" s="4"/>
      <c r="V16" s="4"/>
      <c r="W16" s="4"/>
      <c r="X16" s="4"/>
      <c r="Y16" s="4"/>
      <c r="Z16" s="4"/>
    </row>
    <row r="17" ht="18.0" customHeight="1">
      <c r="A17" s="156"/>
      <c r="B17" s="4"/>
      <c r="C17" s="5" t="s">
        <v>111</v>
      </c>
      <c r="D17" s="160" t="s">
        <v>112</v>
      </c>
      <c r="E17" s="24"/>
      <c r="F17" s="4"/>
      <c r="G17" s="4"/>
      <c r="H17" s="4"/>
      <c r="I17" s="4"/>
      <c r="J17" s="4"/>
      <c r="K17" s="4"/>
      <c r="L17" s="4"/>
      <c r="M17" s="4"/>
      <c r="N17" s="4"/>
      <c r="O17" s="4"/>
      <c r="P17" s="4"/>
      <c r="Q17" s="4"/>
      <c r="R17" s="4"/>
      <c r="S17" s="4"/>
      <c r="T17" s="4"/>
      <c r="U17" s="4"/>
      <c r="V17" s="4"/>
      <c r="W17" s="4"/>
      <c r="X17" s="4"/>
      <c r="Y17" s="4"/>
      <c r="Z17" s="4"/>
    </row>
    <row r="18" ht="9.0" customHeight="1">
      <c r="A18" s="156"/>
      <c r="B18" s="16"/>
      <c r="C18" s="16"/>
      <c r="D18" s="16"/>
      <c r="E18" s="16"/>
      <c r="F18" s="4"/>
      <c r="G18" s="4"/>
      <c r="H18" s="4"/>
      <c r="I18" s="4"/>
      <c r="J18" s="4"/>
      <c r="K18" s="4"/>
      <c r="L18" s="4"/>
      <c r="M18" s="4"/>
      <c r="N18" s="4"/>
      <c r="O18" s="4"/>
      <c r="P18" s="4"/>
      <c r="Q18" s="4"/>
      <c r="R18" s="4"/>
      <c r="S18" s="4"/>
      <c r="T18" s="4"/>
      <c r="U18" s="4"/>
      <c r="V18" s="4"/>
      <c r="W18" s="4"/>
      <c r="X18" s="4"/>
      <c r="Y18" s="4"/>
      <c r="Z18" s="4"/>
    </row>
    <row r="19" ht="18.75" customHeight="1">
      <c r="A19" s="4" t="s">
        <v>113</v>
      </c>
      <c r="B19" s="14" t="s">
        <v>114</v>
      </c>
      <c r="C19" s="2"/>
      <c r="D19" s="2"/>
      <c r="E19" s="3"/>
      <c r="F19" s="4"/>
      <c r="G19" s="4"/>
      <c r="H19" s="4"/>
      <c r="I19" s="4"/>
      <c r="J19" s="4"/>
      <c r="K19" s="4"/>
      <c r="L19" s="4"/>
      <c r="M19" s="4"/>
      <c r="N19" s="4"/>
      <c r="O19" s="4"/>
      <c r="P19" s="4"/>
      <c r="Q19" s="4"/>
      <c r="R19" s="4"/>
      <c r="S19" s="4"/>
      <c r="T19" s="4"/>
      <c r="U19" s="4"/>
      <c r="V19" s="4"/>
      <c r="W19" s="4"/>
      <c r="X19" s="4"/>
      <c r="Y19" s="4"/>
      <c r="Z19" s="4"/>
    </row>
    <row r="20" ht="18.75" customHeight="1">
      <c r="A20" s="4"/>
      <c r="B20" s="4"/>
      <c r="C20" s="5" t="s">
        <v>111</v>
      </c>
      <c r="D20" s="161" t="s">
        <v>115</v>
      </c>
      <c r="E20" s="24"/>
      <c r="F20" s="4"/>
      <c r="G20" s="4"/>
      <c r="H20" s="4"/>
      <c r="I20" s="4"/>
      <c r="J20" s="4"/>
      <c r="K20" s="4"/>
      <c r="L20" s="4"/>
      <c r="M20" s="4"/>
      <c r="N20" s="4"/>
      <c r="O20" s="4"/>
      <c r="P20" s="4"/>
      <c r="Q20" s="4"/>
      <c r="R20" s="4"/>
      <c r="S20" s="4"/>
      <c r="T20" s="4"/>
      <c r="U20" s="4"/>
      <c r="V20" s="4"/>
      <c r="W20" s="4"/>
      <c r="X20" s="4"/>
      <c r="Y20" s="4"/>
      <c r="Z20" s="4"/>
    </row>
    <row r="21" ht="7.5" customHeight="1">
      <c r="A21" s="156"/>
      <c r="B21" s="16"/>
      <c r="C21" s="16"/>
      <c r="D21" s="16"/>
      <c r="E21" s="16"/>
      <c r="F21" s="4"/>
      <c r="G21" s="4"/>
      <c r="H21" s="4"/>
      <c r="I21" s="4"/>
      <c r="J21" s="4"/>
      <c r="K21" s="4"/>
      <c r="L21" s="4"/>
      <c r="M21" s="4"/>
      <c r="N21" s="4"/>
      <c r="O21" s="4"/>
      <c r="P21" s="4"/>
      <c r="Q21" s="4"/>
      <c r="R21" s="4"/>
      <c r="S21" s="4"/>
      <c r="T21" s="4"/>
      <c r="U21" s="4"/>
      <c r="V21" s="4"/>
      <c r="W21" s="4"/>
      <c r="X21" s="4"/>
      <c r="Y21" s="4"/>
      <c r="Z21" s="4"/>
    </row>
    <row r="22" ht="18.75" customHeight="1">
      <c r="A22" s="4" t="s">
        <v>116</v>
      </c>
      <c r="B22" s="14" t="s">
        <v>117</v>
      </c>
      <c r="C22" s="2"/>
      <c r="D22" s="2"/>
      <c r="E22" s="3"/>
      <c r="F22" s="4"/>
      <c r="G22" s="4"/>
      <c r="H22" s="4"/>
      <c r="I22" s="4"/>
      <c r="J22" s="4"/>
      <c r="K22" s="4"/>
      <c r="L22" s="4"/>
      <c r="M22" s="4"/>
      <c r="N22" s="4"/>
      <c r="O22" s="4"/>
      <c r="P22" s="4"/>
      <c r="Q22" s="4"/>
      <c r="R22" s="4"/>
      <c r="S22" s="4"/>
      <c r="T22" s="4"/>
      <c r="U22" s="4"/>
      <c r="V22" s="4"/>
      <c r="W22" s="4"/>
      <c r="X22" s="4"/>
      <c r="Y22" s="4"/>
      <c r="Z22" s="4"/>
    </row>
    <row r="23" ht="180.0" customHeight="1">
      <c r="A23" s="162"/>
      <c r="B23" s="22"/>
      <c r="C23" s="163" t="s">
        <v>118</v>
      </c>
      <c r="D23" s="164"/>
      <c r="E23" s="83"/>
      <c r="F23" s="4"/>
      <c r="G23" s="4"/>
      <c r="H23" s="4"/>
      <c r="I23" s="4"/>
      <c r="J23" s="4"/>
      <c r="K23" s="4"/>
      <c r="L23" s="4"/>
      <c r="M23" s="4"/>
      <c r="N23" s="4"/>
      <c r="O23" s="4"/>
      <c r="P23" s="4"/>
      <c r="Q23" s="4"/>
      <c r="R23" s="4"/>
      <c r="S23" s="4"/>
      <c r="T23" s="4"/>
      <c r="U23" s="4"/>
      <c r="V23" s="4"/>
      <c r="W23" s="4"/>
      <c r="X23" s="4"/>
      <c r="Y23" s="4"/>
      <c r="Z23" s="4"/>
    </row>
    <row r="24" ht="7.5" customHeight="1">
      <c r="A24" s="162"/>
      <c r="B24" s="162"/>
      <c r="C24" s="162"/>
      <c r="D24" s="162"/>
      <c r="E24" s="162"/>
      <c r="F24" s="4"/>
      <c r="G24" s="4"/>
      <c r="H24" s="4"/>
      <c r="I24" s="4"/>
      <c r="J24" s="4"/>
      <c r="K24" s="4"/>
      <c r="L24" s="4"/>
      <c r="M24" s="4"/>
      <c r="N24" s="4"/>
      <c r="O24" s="4"/>
      <c r="P24" s="4"/>
      <c r="Q24" s="4"/>
      <c r="R24" s="4"/>
      <c r="S24" s="4"/>
      <c r="T24" s="4"/>
      <c r="U24" s="4"/>
      <c r="V24" s="4"/>
      <c r="W24" s="4"/>
      <c r="X24" s="4"/>
      <c r="Y24" s="4"/>
      <c r="Z24" s="4"/>
    </row>
    <row r="25" ht="18.75" customHeight="1">
      <c r="A25" s="28" t="s">
        <v>119</v>
      </c>
      <c r="B25" s="165" t="s">
        <v>120</v>
      </c>
      <c r="C25" s="166"/>
      <c r="D25" s="166"/>
      <c r="E25" s="167"/>
      <c r="F25" s="4"/>
      <c r="G25" s="4"/>
      <c r="H25" s="4"/>
      <c r="I25" s="4"/>
      <c r="J25" s="4"/>
      <c r="K25" s="4"/>
      <c r="L25" s="4"/>
      <c r="M25" s="4"/>
      <c r="N25" s="4"/>
      <c r="O25" s="4"/>
      <c r="P25" s="4"/>
      <c r="Q25" s="4"/>
      <c r="R25" s="4"/>
      <c r="S25" s="4"/>
      <c r="T25" s="4"/>
      <c r="U25" s="4"/>
      <c r="V25" s="4"/>
      <c r="W25" s="4"/>
      <c r="X25" s="4"/>
      <c r="Y25" s="4"/>
      <c r="Z25" s="4"/>
    </row>
    <row r="26" ht="180.0" customHeight="1">
      <c r="A26" s="162"/>
      <c r="B26" s="22"/>
      <c r="C26" s="163" t="s">
        <v>121</v>
      </c>
      <c r="D26" s="164"/>
      <c r="E26" s="83"/>
      <c r="F26" s="4"/>
      <c r="G26" s="4"/>
      <c r="H26" s="4"/>
      <c r="I26" s="4"/>
      <c r="J26" s="4"/>
      <c r="K26" s="4"/>
      <c r="L26" s="4"/>
      <c r="M26" s="4"/>
      <c r="N26" s="4"/>
      <c r="O26" s="4"/>
      <c r="P26" s="4"/>
      <c r="Q26" s="4"/>
      <c r="R26" s="4"/>
      <c r="S26" s="4"/>
      <c r="T26" s="4"/>
      <c r="U26" s="4"/>
      <c r="V26" s="4"/>
      <c r="W26" s="4"/>
      <c r="X26" s="4"/>
      <c r="Y26" s="4"/>
      <c r="Z26" s="4"/>
    </row>
    <row r="27" ht="7.5" customHeight="1">
      <c r="A27" s="168"/>
      <c r="B27" s="168"/>
      <c r="C27" s="168"/>
      <c r="D27" s="168"/>
      <c r="E27" s="168"/>
      <c r="F27" s="4"/>
      <c r="G27" s="4"/>
      <c r="H27" s="4"/>
      <c r="I27" s="4"/>
      <c r="J27" s="4"/>
      <c r="K27" s="4"/>
      <c r="L27" s="4"/>
      <c r="M27" s="4"/>
      <c r="N27" s="4"/>
      <c r="O27" s="4"/>
      <c r="P27" s="4"/>
      <c r="Q27" s="4"/>
      <c r="R27" s="4"/>
      <c r="S27" s="4"/>
      <c r="T27" s="4"/>
      <c r="U27" s="4"/>
      <c r="V27" s="4"/>
      <c r="W27" s="4"/>
      <c r="X27" s="4"/>
      <c r="Y27" s="4"/>
      <c r="Z27" s="4"/>
    </row>
    <row r="28" ht="18.75" customHeight="1">
      <c r="A28" s="4" t="s">
        <v>122</v>
      </c>
      <c r="B28" s="14" t="s">
        <v>123</v>
      </c>
      <c r="C28" s="2"/>
      <c r="D28" s="2"/>
      <c r="E28" s="3"/>
      <c r="F28" s="4"/>
      <c r="G28" s="4"/>
      <c r="H28" s="4"/>
      <c r="I28" s="4"/>
      <c r="J28" s="4"/>
      <c r="K28" s="4"/>
      <c r="L28" s="4"/>
      <c r="M28" s="4"/>
      <c r="N28" s="4"/>
      <c r="O28" s="4"/>
      <c r="P28" s="4"/>
      <c r="Q28" s="4"/>
      <c r="R28" s="4"/>
      <c r="S28" s="4"/>
      <c r="T28" s="4"/>
      <c r="U28" s="4"/>
      <c r="V28" s="4"/>
      <c r="W28" s="4"/>
      <c r="X28" s="4"/>
      <c r="Y28" s="4"/>
      <c r="Z28" s="4"/>
    </row>
    <row r="29" ht="18.75" customHeight="1">
      <c r="A29" s="16"/>
      <c r="B29" s="81"/>
      <c r="C29" s="169" t="s">
        <v>124</v>
      </c>
      <c r="D29" s="170">
        <f>IFERROR('様式２ 履修者等数の実績'!T30, "（様式２より自動転記）")</f>
        <v>0.08021428571</v>
      </c>
      <c r="E29" s="171"/>
      <c r="F29" s="4"/>
      <c r="G29" s="16"/>
      <c r="H29" s="16"/>
      <c r="I29" s="4"/>
      <c r="J29" s="172"/>
      <c r="K29" s="16"/>
      <c r="L29" s="16"/>
      <c r="M29" s="16"/>
      <c r="N29" s="16"/>
      <c r="O29" s="16"/>
      <c r="P29" s="16"/>
      <c r="Q29" s="16"/>
      <c r="R29" s="16"/>
      <c r="S29" s="16"/>
      <c r="T29" s="16"/>
      <c r="U29" s="16"/>
      <c r="V29" s="16"/>
      <c r="W29" s="16"/>
      <c r="X29" s="16"/>
      <c r="Y29" s="16"/>
      <c r="Z29" s="16"/>
    </row>
    <row r="30" ht="18.75" customHeight="1">
      <c r="A30" s="16"/>
      <c r="B30" s="81"/>
      <c r="C30" s="169" t="s">
        <v>125</v>
      </c>
      <c r="D30" s="173">
        <v>0.32</v>
      </c>
      <c r="E30" s="174"/>
      <c r="F30" s="4"/>
      <c r="G30" s="16"/>
      <c r="H30" s="16"/>
      <c r="I30" s="4"/>
      <c r="J30" s="172"/>
      <c r="K30" s="16"/>
      <c r="L30" s="16"/>
      <c r="M30" s="16"/>
      <c r="N30" s="16"/>
      <c r="O30" s="16"/>
      <c r="P30" s="16"/>
      <c r="Q30" s="16"/>
      <c r="R30" s="16"/>
      <c r="S30" s="16"/>
      <c r="T30" s="16"/>
      <c r="U30" s="16"/>
      <c r="V30" s="16"/>
      <c r="W30" s="16"/>
      <c r="X30" s="16"/>
      <c r="Y30" s="16"/>
      <c r="Z30" s="16"/>
    </row>
    <row r="31" ht="18.75" customHeight="1">
      <c r="A31" s="16"/>
      <c r="B31" s="81"/>
      <c r="C31" s="169" t="s">
        <v>126</v>
      </c>
      <c r="D31" s="173">
        <v>0.48</v>
      </c>
      <c r="E31" s="174"/>
      <c r="F31" s="4"/>
      <c r="G31" s="16"/>
      <c r="H31" s="16"/>
      <c r="I31" s="4"/>
      <c r="J31" s="172"/>
      <c r="K31" s="16"/>
      <c r="L31" s="16"/>
      <c r="M31" s="16"/>
      <c r="N31" s="16"/>
      <c r="O31" s="16"/>
      <c r="P31" s="16"/>
      <c r="Q31" s="16"/>
      <c r="R31" s="16"/>
      <c r="S31" s="16"/>
      <c r="T31" s="16"/>
      <c r="U31" s="16"/>
      <c r="V31" s="16"/>
      <c r="W31" s="16"/>
      <c r="X31" s="16"/>
      <c r="Y31" s="16"/>
      <c r="Z31" s="16"/>
    </row>
    <row r="32" ht="18.75" customHeight="1">
      <c r="A32" s="16"/>
      <c r="B32" s="81"/>
      <c r="C32" s="175" t="s">
        <v>127</v>
      </c>
      <c r="D32" s="173">
        <v>0.64</v>
      </c>
      <c r="E32" s="176"/>
      <c r="F32" s="4"/>
      <c r="G32" s="16"/>
      <c r="H32" s="16"/>
      <c r="I32" s="4"/>
      <c r="J32" s="172"/>
      <c r="K32" s="16"/>
      <c r="L32" s="16"/>
      <c r="M32" s="16"/>
      <c r="N32" s="16"/>
      <c r="O32" s="16"/>
      <c r="P32" s="16"/>
      <c r="Q32" s="16"/>
      <c r="R32" s="16"/>
      <c r="S32" s="16"/>
      <c r="T32" s="16"/>
      <c r="U32" s="16"/>
      <c r="V32" s="16"/>
      <c r="W32" s="16"/>
      <c r="X32" s="16"/>
      <c r="Y32" s="16"/>
      <c r="Z32" s="16"/>
    </row>
    <row r="33" ht="18.75" customHeight="1">
      <c r="A33" s="16"/>
      <c r="B33" s="81"/>
      <c r="C33" s="175" t="s">
        <v>128</v>
      </c>
      <c r="D33" s="173">
        <v>0.8</v>
      </c>
      <c r="E33" s="176"/>
      <c r="F33" s="4"/>
      <c r="G33" s="16"/>
      <c r="H33" s="16"/>
      <c r="I33" s="4"/>
      <c r="J33" s="172"/>
      <c r="K33" s="16"/>
      <c r="L33" s="16"/>
      <c r="M33" s="16"/>
      <c r="N33" s="16"/>
      <c r="O33" s="16"/>
      <c r="P33" s="16"/>
      <c r="Q33" s="16"/>
      <c r="R33" s="16"/>
      <c r="S33" s="16"/>
      <c r="T33" s="16"/>
      <c r="U33" s="16"/>
      <c r="V33" s="16"/>
      <c r="W33" s="16"/>
      <c r="X33" s="16"/>
      <c r="Y33" s="16"/>
      <c r="Z33" s="16"/>
    </row>
    <row r="34" ht="18.75" customHeight="1">
      <c r="A34" s="4"/>
      <c r="B34" s="177" t="s">
        <v>129</v>
      </c>
      <c r="C34" s="2"/>
      <c r="D34" s="2"/>
      <c r="E34" s="3"/>
      <c r="F34" s="4"/>
      <c r="G34" s="4"/>
      <c r="H34" s="4"/>
      <c r="I34" s="4"/>
      <c r="J34" s="172"/>
      <c r="K34" s="16"/>
      <c r="L34" s="4"/>
      <c r="M34" s="4"/>
      <c r="N34" s="4"/>
      <c r="O34" s="4"/>
      <c r="P34" s="4"/>
      <c r="Q34" s="4"/>
      <c r="R34" s="4"/>
      <c r="S34" s="4"/>
      <c r="T34" s="4"/>
      <c r="U34" s="4"/>
      <c r="V34" s="4"/>
      <c r="W34" s="4"/>
      <c r="X34" s="4"/>
      <c r="Y34" s="4"/>
      <c r="Z34" s="4"/>
    </row>
    <row r="35" ht="203.25" customHeight="1">
      <c r="A35" s="4"/>
      <c r="B35" s="22"/>
      <c r="C35" s="178" t="s">
        <v>130</v>
      </c>
      <c r="D35" s="164"/>
      <c r="E35" s="83"/>
      <c r="F35" s="4"/>
      <c r="G35" s="4"/>
      <c r="H35" s="4"/>
      <c r="I35" s="4"/>
      <c r="J35" s="172"/>
      <c r="K35" s="16"/>
      <c r="L35" s="4"/>
      <c r="M35" s="4"/>
      <c r="N35" s="4"/>
      <c r="O35" s="4"/>
      <c r="P35" s="4"/>
      <c r="Q35" s="4"/>
      <c r="R35" s="4"/>
      <c r="S35" s="4"/>
      <c r="T35" s="4"/>
      <c r="U35" s="4"/>
      <c r="V35" s="4"/>
      <c r="W35" s="4"/>
      <c r="X35" s="4"/>
      <c r="Y35" s="4"/>
      <c r="Z35" s="4"/>
    </row>
    <row r="36" ht="7.5" customHeight="1">
      <c r="A36" s="162"/>
      <c r="B36" s="162"/>
      <c r="C36" s="162"/>
      <c r="D36" s="162"/>
      <c r="E36" s="162"/>
      <c r="F36" s="4"/>
      <c r="G36" s="4"/>
      <c r="H36" s="4"/>
      <c r="I36" s="4"/>
      <c r="J36" s="4"/>
      <c r="K36" s="4"/>
      <c r="L36" s="4"/>
      <c r="M36" s="4"/>
      <c r="N36" s="4"/>
      <c r="O36" s="4"/>
      <c r="P36" s="4"/>
      <c r="Q36" s="4"/>
      <c r="R36" s="4"/>
      <c r="S36" s="4"/>
      <c r="T36" s="4"/>
      <c r="U36" s="4"/>
      <c r="V36" s="4"/>
      <c r="W36" s="4"/>
      <c r="X36" s="4"/>
      <c r="Y36" s="4"/>
      <c r="Z36" s="4"/>
    </row>
    <row r="37" ht="18.75" customHeight="1">
      <c r="A37" s="28" t="s">
        <v>131</v>
      </c>
      <c r="B37" s="179" t="s">
        <v>132</v>
      </c>
      <c r="C37" s="166"/>
      <c r="D37" s="166"/>
      <c r="E37" s="167"/>
      <c r="F37" s="4"/>
      <c r="G37" s="4"/>
      <c r="H37" s="4"/>
      <c r="I37" s="4"/>
      <c r="J37" s="4"/>
      <c r="K37" s="4"/>
      <c r="L37" s="4"/>
      <c r="M37" s="4"/>
      <c r="N37" s="4"/>
      <c r="O37" s="4"/>
      <c r="P37" s="4"/>
      <c r="Q37" s="4"/>
      <c r="R37" s="4"/>
      <c r="S37" s="4"/>
      <c r="T37" s="4"/>
      <c r="U37" s="4"/>
      <c r="V37" s="4"/>
      <c r="W37" s="4"/>
      <c r="X37" s="4"/>
      <c r="Y37" s="4"/>
      <c r="Z37" s="4"/>
    </row>
    <row r="38" ht="180.0" customHeight="1">
      <c r="A38" s="168"/>
      <c r="B38" s="22"/>
      <c r="C38" s="180" t="s">
        <v>133</v>
      </c>
      <c r="D38" s="164"/>
      <c r="E38" s="83"/>
      <c r="F38" s="4"/>
      <c r="G38" s="4"/>
      <c r="H38" s="4"/>
      <c r="I38" s="4"/>
      <c r="J38" s="4"/>
      <c r="K38" s="4"/>
      <c r="L38" s="4"/>
      <c r="M38" s="4"/>
      <c r="N38" s="4"/>
      <c r="O38" s="4"/>
      <c r="P38" s="4"/>
      <c r="Q38" s="4"/>
      <c r="R38" s="4"/>
      <c r="S38" s="4"/>
      <c r="T38" s="4"/>
      <c r="U38" s="4"/>
      <c r="V38" s="4"/>
      <c r="W38" s="4"/>
      <c r="X38" s="4"/>
      <c r="Y38" s="4"/>
      <c r="Z38" s="4"/>
    </row>
    <row r="39" ht="7.5" customHeight="1">
      <c r="A39" s="168"/>
      <c r="B39" s="168"/>
      <c r="C39" s="168"/>
      <c r="D39" s="168"/>
      <c r="E39" s="168"/>
      <c r="F39" s="4"/>
      <c r="G39" s="4"/>
      <c r="H39" s="4"/>
      <c r="I39" s="4"/>
      <c r="J39" s="4"/>
      <c r="K39" s="4"/>
      <c r="L39" s="4"/>
      <c r="M39" s="4"/>
      <c r="N39" s="4"/>
      <c r="O39" s="4"/>
      <c r="P39" s="4"/>
      <c r="Q39" s="4"/>
      <c r="R39" s="4"/>
      <c r="S39" s="4"/>
      <c r="T39" s="4"/>
      <c r="U39" s="4"/>
      <c r="V39" s="4"/>
      <c r="W39" s="4"/>
      <c r="X39" s="4"/>
      <c r="Y39" s="4"/>
      <c r="Z39" s="4"/>
    </row>
    <row r="40" ht="18.75" customHeight="1">
      <c r="A40" s="4" t="s">
        <v>134</v>
      </c>
      <c r="B40" s="179" t="s">
        <v>135</v>
      </c>
      <c r="C40" s="166"/>
      <c r="D40" s="166"/>
      <c r="E40" s="167"/>
      <c r="F40" s="4"/>
      <c r="G40" s="4"/>
      <c r="H40" s="4"/>
      <c r="I40" s="4"/>
      <c r="J40" s="4"/>
      <c r="K40" s="4"/>
      <c r="L40" s="4"/>
      <c r="M40" s="4"/>
      <c r="N40" s="4"/>
      <c r="O40" s="4"/>
      <c r="P40" s="4"/>
      <c r="Q40" s="4"/>
      <c r="R40" s="4"/>
      <c r="S40" s="4"/>
      <c r="T40" s="4"/>
      <c r="U40" s="4"/>
      <c r="V40" s="4"/>
      <c r="W40" s="4"/>
      <c r="X40" s="4"/>
      <c r="Y40" s="4"/>
      <c r="Z40" s="4"/>
    </row>
    <row r="41" ht="180.0" customHeight="1">
      <c r="A41" s="4"/>
      <c r="B41" s="22"/>
      <c r="C41" s="180" t="s">
        <v>136</v>
      </c>
      <c r="D41" s="164"/>
      <c r="E41" s="83"/>
      <c r="F41" s="4"/>
      <c r="G41" s="4"/>
      <c r="H41" s="4"/>
      <c r="I41" s="4"/>
      <c r="J41" s="4"/>
      <c r="K41" s="4"/>
      <c r="L41" s="4"/>
      <c r="M41" s="4"/>
      <c r="N41" s="4"/>
      <c r="O41" s="4"/>
      <c r="P41" s="4"/>
      <c r="Q41" s="4"/>
      <c r="R41" s="4"/>
      <c r="S41" s="4"/>
      <c r="T41" s="4"/>
      <c r="U41" s="4"/>
      <c r="V41" s="4"/>
      <c r="W41" s="4"/>
      <c r="X41" s="4"/>
      <c r="Y41" s="4"/>
      <c r="Z41" s="4"/>
    </row>
    <row r="42" ht="7.5" customHeight="1">
      <c r="A42" s="168"/>
      <c r="B42" s="168"/>
      <c r="C42" s="168"/>
      <c r="D42" s="168"/>
      <c r="E42" s="168"/>
      <c r="F42" s="4"/>
      <c r="G42" s="4"/>
      <c r="H42" s="4"/>
      <c r="I42" s="4"/>
      <c r="J42" s="4"/>
      <c r="K42" s="4"/>
      <c r="L42" s="4"/>
      <c r="M42" s="4"/>
      <c r="N42" s="4"/>
      <c r="O42" s="4"/>
      <c r="P42" s="4"/>
      <c r="Q42" s="4"/>
      <c r="R42" s="4"/>
      <c r="S42" s="4"/>
      <c r="T42" s="4"/>
      <c r="U42" s="4"/>
      <c r="V42" s="4"/>
      <c r="W42" s="4"/>
      <c r="X42" s="4"/>
      <c r="Y42" s="4"/>
      <c r="Z42" s="4"/>
    </row>
    <row r="43" ht="18.75" customHeight="1">
      <c r="A43" s="4" t="s">
        <v>137</v>
      </c>
      <c r="B43" s="179" t="s">
        <v>138</v>
      </c>
      <c r="C43" s="166"/>
      <c r="D43" s="166"/>
      <c r="E43" s="167"/>
      <c r="F43" s="4"/>
      <c r="G43" s="4"/>
      <c r="H43" s="4"/>
      <c r="I43" s="4"/>
      <c r="J43" s="4"/>
      <c r="K43" s="4"/>
      <c r="L43" s="4"/>
      <c r="M43" s="4"/>
      <c r="N43" s="4"/>
      <c r="O43" s="4"/>
      <c r="P43" s="4"/>
      <c r="Q43" s="4"/>
      <c r="R43" s="4"/>
      <c r="S43" s="4"/>
      <c r="T43" s="4"/>
      <c r="U43" s="4"/>
      <c r="V43" s="4"/>
      <c r="W43" s="4"/>
      <c r="X43" s="4"/>
      <c r="Y43" s="4"/>
      <c r="Z43" s="4"/>
    </row>
    <row r="44" ht="180.0" customHeight="1">
      <c r="A44" s="4"/>
      <c r="B44" s="22"/>
      <c r="C44" s="180" t="s">
        <v>139</v>
      </c>
      <c r="D44" s="164"/>
      <c r="E44" s="83"/>
      <c r="F44" s="4"/>
      <c r="G44" s="4"/>
      <c r="H44" s="4"/>
      <c r="I44" s="4"/>
      <c r="J44" s="4"/>
      <c r="K44" s="4"/>
      <c r="L44" s="4"/>
      <c r="M44" s="4"/>
      <c r="N44" s="4"/>
      <c r="O44" s="4"/>
      <c r="P44" s="4"/>
      <c r="Q44" s="4"/>
      <c r="R44" s="4"/>
      <c r="S44" s="4"/>
      <c r="T44" s="4"/>
      <c r="U44" s="4"/>
      <c r="V44" s="4"/>
      <c r="W44" s="4"/>
      <c r="X44" s="4"/>
      <c r="Y44" s="4"/>
      <c r="Z44" s="4"/>
    </row>
    <row r="45" ht="7.5" customHeight="1">
      <c r="A45" s="168"/>
      <c r="B45" s="168"/>
      <c r="C45" s="168"/>
      <c r="D45" s="168"/>
      <c r="E45" s="168"/>
      <c r="F45" s="4"/>
      <c r="G45" s="4"/>
      <c r="H45" s="4"/>
      <c r="I45" s="4"/>
      <c r="J45" s="4"/>
      <c r="K45" s="4"/>
      <c r="L45" s="4"/>
      <c r="M45" s="4"/>
      <c r="N45" s="4"/>
      <c r="O45" s="4"/>
      <c r="P45" s="4"/>
      <c r="Q45" s="4"/>
      <c r="R45" s="4"/>
      <c r="S45" s="4"/>
      <c r="T45" s="4"/>
      <c r="U45" s="4"/>
      <c r="V45" s="4"/>
      <c r="W45" s="4"/>
      <c r="X45" s="4"/>
      <c r="Y45" s="4"/>
      <c r="Z45" s="4"/>
    </row>
    <row r="46" ht="18.75" customHeight="1">
      <c r="A46" s="4" t="s">
        <v>140</v>
      </c>
      <c r="B46" s="14" t="s">
        <v>141</v>
      </c>
      <c r="C46" s="2"/>
      <c r="D46" s="2"/>
      <c r="E46" s="3"/>
      <c r="F46" s="4"/>
      <c r="G46" s="4"/>
      <c r="H46" s="4"/>
      <c r="I46" s="4"/>
      <c r="J46" s="4"/>
      <c r="K46" s="4"/>
      <c r="L46" s="4"/>
      <c r="M46" s="4"/>
      <c r="N46" s="4"/>
      <c r="O46" s="4"/>
      <c r="P46" s="4"/>
      <c r="Q46" s="4"/>
      <c r="R46" s="4"/>
      <c r="S46" s="4"/>
      <c r="T46" s="4"/>
      <c r="U46" s="4"/>
      <c r="V46" s="4"/>
      <c r="W46" s="4"/>
      <c r="X46" s="4"/>
      <c r="Y46" s="4"/>
      <c r="Z46" s="4"/>
    </row>
    <row r="47" ht="180.0" customHeight="1">
      <c r="A47" s="168"/>
      <c r="B47" s="22"/>
      <c r="C47" s="180" t="s">
        <v>142</v>
      </c>
      <c r="D47" s="164"/>
      <c r="E47" s="83"/>
      <c r="F47" s="4"/>
      <c r="G47" s="4"/>
      <c r="H47" s="4"/>
      <c r="I47" s="4"/>
      <c r="J47" s="4"/>
      <c r="K47" s="4"/>
      <c r="L47" s="4"/>
      <c r="M47" s="4"/>
      <c r="N47" s="4"/>
      <c r="O47" s="4"/>
      <c r="P47" s="4"/>
      <c r="Q47" s="4"/>
      <c r="R47" s="4"/>
      <c r="S47" s="4"/>
      <c r="T47" s="4"/>
      <c r="U47" s="4"/>
      <c r="V47" s="4"/>
      <c r="W47" s="4"/>
      <c r="X47" s="4"/>
      <c r="Y47" s="4"/>
      <c r="Z47" s="4"/>
    </row>
    <row r="48" ht="7.5" customHeight="1">
      <c r="A48" s="168"/>
      <c r="B48" s="181"/>
      <c r="C48" s="181"/>
      <c r="D48" s="181"/>
      <c r="E48" s="181"/>
      <c r="F48" s="4"/>
      <c r="G48" s="4"/>
      <c r="H48" s="4"/>
      <c r="I48" s="4"/>
      <c r="J48" s="4"/>
      <c r="K48" s="4"/>
      <c r="L48" s="4"/>
      <c r="M48" s="4"/>
      <c r="N48" s="4"/>
      <c r="O48" s="4"/>
      <c r="P48" s="4"/>
      <c r="Q48" s="4"/>
      <c r="R48" s="4"/>
      <c r="S48" s="4"/>
      <c r="T48" s="4"/>
      <c r="U48" s="4"/>
      <c r="V48" s="4"/>
      <c r="W48" s="4"/>
      <c r="X48" s="4"/>
      <c r="Y48" s="4"/>
      <c r="Z48" s="4"/>
    </row>
    <row r="49" ht="18.75" customHeight="1">
      <c r="A49" s="4"/>
      <c r="B49" s="182"/>
      <c r="C49" s="183"/>
      <c r="D49" s="183"/>
      <c r="E49" s="184"/>
      <c r="F49" s="4"/>
      <c r="G49" s="4"/>
      <c r="H49" s="4"/>
      <c r="I49" s="4"/>
      <c r="J49" s="4"/>
      <c r="K49" s="4"/>
      <c r="L49" s="4"/>
      <c r="M49" s="4"/>
      <c r="N49" s="4"/>
      <c r="O49" s="4"/>
      <c r="P49" s="4"/>
      <c r="Q49" s="4"/>
      <c r="R49" s="4"/>
      <c r="S49" s="4"/>
      <c r="T49" s="4"/>
      <c r="U49" s="4"/>
      <c r="V49" s="4"/>
      <c r="W49" s="4"/>
      <c r="X49" s="4"/>
      <c r="Y49" s="4"/>
      <c r="Z49" s="4"/>
    </row>
    <row r="50" ht="18.75" customHeight="1">
      <c r="A50" s="4"/>
      <c r="B50" s="185"/>
      <c r="C50" s="186"/>
      <c r="D50" s="186"/>
      <c r="E50" s="187"/>
      <c r="F50" s="4"/>
      <c r="G50" s="4"/>
      <c r="H50" s="4"/>
      <c r="I50" s="4"/>
      <c r="J50" s="4"/>
      <c r="K50" s="4"/>
      <c r="L50" s="4"/>
      <c r="M50" s="4"/>
      <c r="N50" s="4"/>
      <c r="O50" s="4"/>
      <c r="P50" s="4"/>
      <c r="Q50" s="4"/>
      <c r="R50" s="4"/>
      <c r="S50" s="4"/>
      <c r="T50" s="4"/>
      <c r="U50" s="4"/>
      <c r="V50" s="4"/>
      <c r="W50" s="4"/>
      <c r="X50" s="4"/>
      <c r="Y50" s="4"/>
      <c r="Z50" s="4"/>
    </row>
    <row r="51" ht="18.75" customHeight="1">
      <c r="A51" s="168"/>
      <c r="B51" s="22"/>
      <c r="C51" s="22"/>
      <c r="D51" s="22"/>
      <c r="E51" s="22"/>
      <c r="F51" s="4"/>
      <c r="G51" s="4"/>
      <c r="H51" s="4"/>
      <c r="I51" s="4"/>
      <c r="J51" s="4"/>
      <c r="K51" s="4"/>
      <c r="L51" s="4"/>
      <c r="M51" s="4"/>
      <c r="N51" s="4"/>
      <c r="O51" s="4"/>
      <c r="P51" s="4"/>
      <c r="Q51" s="4"/>
      <c r="R51" s="4"/>
      <c r="S51" s="4"/>
      <c r="T51" s="4"/>
      <c r="U51" s="4"/>
      <c r="V51" s="4"/>
      <c r="W51" s="4"/>
      <c r="X51" s="4"/>
      <c r="Y51" s="4"/>
      <c r="Z51" s="4"/>
    </row>
    <row r="52" ht="18.75" customHeight="1">
      <c r="A52" s="168"/>
      <c r="B52" s="22"/>
      <c r="C52" s="22"/>
      <c r="D52" s="22"/>
      <c r="E52" s="22"/>
      <c r="F52" s="4"/>
      <c r="G52" s="4"/>
      <c r="H52" s="4"/>
      <c r="I52" s="4"/>
      <c r="J52" s="4"/>
      <c r="K52" s="4"/>
      <c r="L52" s="4"/>
      <c r="M52" s="4"/>
      <c r="N52" s="4"/>
      <c r="O52" s="4"/>
      <c r="P52" s="4"/>
      <c r="Q52" s="4"/>
      <c r="R52" s="4"/>
      <c r="S52" s="4"/>
      <c r="T52" s="4"/>
      <c r="U52" s="4"/>
      <c r="V52" s="4"/>
      <c r="W52" s="4"/>
      <c r="X52" s="4"/>
      <c r="Y52" s="4"/>
      <c r="Z52" s="4"/>
    </row>
    <row r="53" ht="18.75" customHeight="1">
      <c r="A53" s="168"/>
      <c r="B53" s="22"/>
      <c r="C53" s="22"/>
      <c r="D53" s="22"/>
      <c r="E53" s="22"/>
      <c r="F53" s="4"/>
      <c r="G53" s="4"/>
      <c r="H53" s="4"/>
      <c r="I53" s="4"/>
      <c r="J53" s="4"/>
      <c r="K53" s="4"/>
      <c r="L53" s="4"/>
      <c r="M53" s="4"/>
      <c r="N53" s="4"/>
      <c r="O53" s="4"/>
      <c r="P53" s="4"/>
      <c r="Q53" s="4"/>
      <c r="R53" s="4"/>
      <c r="S53" s="4"/>
      <c r="T53" s="4"/>
      <c r="U53" s="4"/>
      <c r="V53" s="4"/>
      <c r="W53" s="4"/>
      <c r="X53" s="4"/>
      <c r="Y53" s="4"/>
      <c r="Z53" s="4"/>
    </row>
    <row r="54" ht="18.75" customHeight="1">
      <c r="A54" s="168"/>
      <c r="B54" s="22"/>
      <c r="C54" s="22"/>
      <c r="D54" s="22"/>
      <c r="E54" s="22"/>
      <c r="F54" s="4"/>
      <c r="G54" s="4"/>
      <c r="H54" s="4"/>
      <c r="I54" s="4"/>
      <c r="J54" s="4"/>
      <c r="K54" s="4"/>
      <c r="L54" s="4"/>
      <c r="M54" s="4"/>
      <c r="N54" s="4"/>
      <c r="O54" s="4"/>
      <c r="P54" s="4"/>
      <c r="Q54" s="4"/>
      <c r="R54" s="4"/>
      <c r="S54" s="4"/>
      <c r="T54" s="4"/>
      <c r="U54" s="4"/>
      <c r="V54" s="4"/>
      <c r="W54" s="4"/>
      <c r="X54" s="4"/>
      <c r="Y54" s="4"/>
      <c r="Z54" s="4"/>
    </row>
    <row r="55" ht="18.75" customHeight="1">
      <c r="A55" s="168"/>
      <c r="B55" s="22"/>
      <c r="C55" s="22"/>
      <c r="D55" s="22"/>
      <c r="E55" s="22"/>
      <c r="F55" s="4"/>
      <c r="G55" s="4"/>
      <c r="H55" s="4"/>
      <c r="I55" s="4"/>
      <c r="J55" s="4"/>
      <c r="K55" s="4"/>
      <c r="L55" s="4"/>
      <c r="M55" s="4"/>
      <c r="N55" s="4"/>
      <c r="O55" s="4"/>
      <c r="P55" s="4"/>
      <c r="Q55" s="4"/>
      <c r="R55" s="4"/>
      <c r="S55" s="4"/>
      <c r="T55" s="4"/>
      <c r="U55" s="4"/>
      <c r="V55" s="4"/>
      <c r="W55" s="4"/>
      <c r="X55" s="4"/>
      <c r="Y55" s="4"/>
      <c r="Z55" s="4"/>
    </row>
    <row r="56" ht="18.75" customHeight="1">
      <c r="A56" s="168"/>
      <c r="B56" s="22"/>
      <c r="C56" s="22"/>
      <c r="D56" s="22"/>
      <c r="E56" s="22"/>
      <c r="F56" s="4"/>
      <c r="G56" s="4"/>
      <c r="H56" s="4"/>
      <c r="I56" s="4"/>
      <c r="J56" s="4"/>
      <c r="K56" s="4"/>
      <c r="L56" s="4"/>
      <c r="M56" s="4"/>
      <c r="N56" s="4"/>
      <c r="O56" s="4"/>
      <c r="P56" s="4"/>
      <c r="Q56" s="4"/>
      <c r="R56" s="4"/>
      <c r="S56" s="4"/>
      <c r="T56" s="4"/>
      <c r="U56" s="4"/>
      <c r="V56" s="4"/>
      <c r="W56" s="4"/>
      <c r="X56" s="4"/>
      <c r="Y56" s="4"/>
      <c r="Z56" s="4"/>
    </row>
    <row r="57" ht="18.75" customHeight="1">
      <c r="A57" s="168"/>
      <c r="B57" s="22"/>
      <c r="C57" s="22"/>
      <c r="D57" s="22"/>
      <c r="E57" s="22"/>
      <c r="F57" s="4"/>
      <c r="G57" s="4"/>
      <c r="H57" s="4"/>
      <c r="I57" s="4"/>
      <c r="J57" s="4"/>
      <c r="K57" s="4"/>
      <c r="L57" s="4"/>
      <c r="M57" s="4"/>
      <c r="N57" s="4"/>
      <c r="O57" s="4"/>
      <c r="P57" s="4"/>
      <c r="Q57" s="4"/>
      <c r="R57" s="4"/>
      <c r="S57" s="4"/>
      <c r="T57" s="4"/>
      <c r="U57" s="4"/>
      <c r="V57" s="4"/>
      <c r="W57" s="4"/>
      <c r="X57" s="4"/>
      <c r="Y57" s="4"/>
      <c r="Z57" s="4"/>
    </row>
    <row r="58" ht="18.75" customHeight="1">
      <c r="A58" s="168"/>
      <c r="B58" s="22"/>
      <c r="C58" s="22"/>
      <c r="D58" s="22"/>
      <c r="E58" s="22"/>
      <c r="F58" s="4"/>
      <c r="G58" s="4"/>
      <c r="H58" s="4"/>
      <c r="I58" s="4"/>
      <c r="J58" s="4"/>
      <c r="K58" s="4"/>
      <c r="L58" s="4"/>
      <c r="M58" s="4"/>
      <c r="N58" s="4"/>
      <c r="O58" s="4"/>
      <c r="P58" s="4"/>
      <c r="Q58" s="4"/>
      <c r="R58" s="4"/>
      <c r="S58" s="4"/>
      <c r="T58" s="4"/>
      <c r="U58" s="4"/>
      <c r="V58" s="4"/>
      <c r="W58" s="4"/>
      <c r="X58" s="4"/>
      <c r="Y58" s="4"/>
      <c r="Z58" s="4"/>
    </row>
    <row r="59" ht="18.75" customHeight="1">
      <c r="A59" s="168"/>
      <c r="B59" s="22"/>
      <c r="C59" s="22"/>
      <c r="D59" s="22"/>
      <c r="E59" s="22"/>
      <c r="F59" s="4"/>
      <c r="G59" s="4"/>
      <c r="H59" s="4"/>
      <c r="I59" s="4"/>
      <c r="J59" s="4"/>
      <c r="K59" s="4"/>
      <c r="L59" s="4"/>
      <c r="M59" s="4"/>
      <c r="N59" s="4"/>
      <c r="O59" s="4"/>
      <c r="P59" s="4"/>
      <c r="Q59" s="4"/>
      <c r="R59" s="4"/>
      <c r="S59" s="4"/>
      <c r="T59" s="4"/>
      <c r="U59" s="4"/>
      <c r="V59" s="4"/>
      <c r="W59" s="4"/>
      <c r="X59" s="4"/>
      <c r="Y59" s="4"/>
      <c r="Z59" s="4"/>
    </row>
    <row r="60" ht="18.75" customHeight="1">
      <c r="A60" s="168"/>
      <c r="B60" s="22"/>
      <c r="C60" s="22"/>
      <c r="D60" s="22"/>
      <c r="E60" s="22"/>
      <c r="F60" s="4"/>
      <c r="G60" s="4"/>
      <c r="H60" s="4"/>
      <c r="I60" s="4"/>
      <c r="J60" s="4"/>
      <c r="K60" s="4"/>
      <c r="L60" s="4"/>
      <c r="M60" s="4"/>
      <c r="N60" s="4"/>
      <c r="O60" s="4"/>
      <c r="P60" s="4"/>
      <c r="Q60" s="4"/>
      <c r="R60" s="4"/>
      <c r="S60" s="4"/>
      <c r="T60" s="4"/>
      <c r="U60" s="4"/>
      <c r="V60" s="4"/>
      <c r="W60" s="4"/>
      <c r="X60" s="4"/>
      <c r="Y60" s="4"/>
      <c r="Z60" s="4"/>
    </row>
    <row r="61" ht="18.75" customHeight="1">
      <c r="A61" s="168"/>
      <c r="B61" s="22"/>
      <c r="C61" s="22"/>
      <c r="D61" s="22"/>
      <c r="E61" s="22"/>
      <c r="F61" s="4"/>
      <c r="G61" s="4"/>
      <c r="H61" s="4"/>
      <c r="I61" s="4"/>
      <c r="J61" s="4"/>
      <c r="K61" s="4"/>
      <c r="L61" s="4"/>
      <c r="M61" s="4"/>
      <c r="N61" s="4"/>
      <c r="O61" s="4"/>
      <c r="P61" s="4"/>
      <c r="Q61" s="4"/>
      <c r="R61" s="4"/>
      <c r="S61" s="4"/>
      <c r="T61" s="4"/>
      <c r="U61" s="4"/>
      <c r="V61" s="4"/>
      <c r="W61" s="4"/>
      <c r="X61" s="4"/>
      <c r="Y61" s="4"/>
      <c r="Z61" s="4"/>
    </row>
    <row r="62" ht="7.5" customHeight="1">
      <c r="A62" s="168"/>
      <c r="B62" s="22"/>
      <c r="C62" s="22"/>
      <c r="D62" s="22"/>
      <c r="E62" s="22"/>
      <c r="F62" s="4"/>
      <c r="G62" s="4"/>
      <c r="H62" s="4"/>
      <c r="I62" s="4"/>
      <c r="J62" s="4"/>
      <c r="K62" s="4"/>
      <c r="L62" s="4"/>
      <c r="M62" s="4"/>
      <c r="N62" s="4"/>
      <c r="O62" s="4"/>
      <c r="P62" s="4"/>
      <c r="Q62" s="4"/>
      <c r="R62" s="4"/>
      <c r="S62" s="4"/>
      <c r="T62" s="4"/>
      <c r="U62" s="4"/>
      <c r="V62" s="4"/>
      <c r="W62" s="4"/>
      <c r="X62" s="4"/>
      <c r="Y62" s="4"/>
      <c r="Z62" s="4"/>
    </row>
    <row r="63" ht="18.75" customHeight="1">
      <c r="A63" s="156"/>
      <c r="B63" s="4"/>
      <c r="C63" s="4"/>
      <c r="D63" s="4"/>
      <c r="E63" s="4"/>
      <c r="F63" s="4"/>
      <c r="G63" s="4"/>
      <c r="H63" s="4"/>
      <c r="I63" s="4"/>
      <c r="J63" s="4"/>
      <c r="K63" s="4"/>
      <c r="L63" s="4"/>
      <c r="M63" s="4"/>
      <c r="N63" s="4"/>
      <c r="O63" s="4"/>
      <c r="P63" s="4"/>
      <c r="Q63" s="4"/>
      <c r="R63" s="4"/>
      <c r="S63" s="4"/>
      <c r="T63" s="4"/>
      <c r="U63" s="4"/>
      <c r="V63" s="4"/>
      <c r="W63" s="4"/>
      <c r="X63" s="4"/>
      <c r="Y63" s="4"/>
      <c r="Z63" s="4"/>
    </row>
    <row r="64" ht="18.75" customHeight="1">
      <c r="A64" s="156"/>
      <c r="B64" s="4"/>
      <c r="C64" s="4"/>
      <c r="D64" s="4"/>
      <c r="E64" s="4"/>
      <c r="F64" s="4"/>
      <c r="G64" s="4"/>
      <c r="H64" s="4"/>
      <c r="I64" s="4"/>
      <c r="J64" s="4"/>
      <c r="K64" s="4"/>
      <c r="L64" s="4"/>
      <c r="M64" s="4"/>
      <c r="N64" s="4"/>
      <c r="O64" s="4"/>
      <c r="P64" s="4"/>
      <c r="Q64" s="4"/>
      <c r="R64" s="4"/>
      <c r="S64" s="4"/>
      <c r="T64" s="4"/>
      <c r="U64" s="4"/>
      <c r="V64" s="4"/>
      <c r="W64" s="4"/>
      <c r="X64" s="4"/>
      <c r="Y64" s="4"/>
      <c r="Z64" s="4"/>
    </row>
    <row r="65" ht="18.75" customHeight="1">
      <c r="A65" s="156"/>
      <c r="B65" s="4"/>
      <c r="C65" s="4"/>
      <c r="D65" s="4"/>
      <c r="E65" s="4"/>
      <c r="F65" s="4"/>
      <c r="G65" s="4"/>
      <c r="H65" s="4"/>
      <c r="I65" s="4"/>
      <c r="J65" s="4"/>
      <c r="K65" s="4"/>
      <c r="L65" s="4"/>
      <c r="M65" s="4"/>
      <c r="N65" s="4"/>
      <c r="O65" s="4"/>
      <c r="P65" s="4"/>
      <c r="Q65" s="4"/>
      <c r="R65" s="4"/>
      <c r="S65" s="4"/>
      <c r="T65" s="4"/>
      <c r="U65" s="4"/>
      <c r="V65" s="4"/>
      <c r="W65" s="4"/>
      <c r="X65" s="4"/>
      <c r="Y65" s="4"/>
      <c r="Z65" s="4"/>
    </row>
    <row r="66" ht="18.75" customHeight="1">
      <c r="A66" s="156"/>
      <c r="B66" s="4"/>
      <c r="C66" s="4"/>
      <c r="D66" s="4"/>
      <c r="E66" s="4"/>
      <c r="F66" s="4"/>
      <c r="G66" s="4"/>
      <c r="H66" s="4"/>
      <c r="I66" s="4"/>
      <c r="J66" s="4"/>
      <c r="K66" s="4"/>
      <c r="L66" s="4"/>
      <c r="M66" s="4"/>
      <c r="N66" s="4"/>
      <c r="O66" s="4"/>
      <c r="P66" s="4"/>
      <c r="Q66" s="4"/>
      <c r="R66" s="4"/>
      <c r="S66" s="4"/>
      <c r="T66" s="4"/>
      <c r="U66" s="4"/>
      <c r="V66" s="4"/>
      <c r="W66" s="4"/>
      <c r="X66" s="4"/>
      <c r="Y66" s="4"/>
      <c r="Z66" s="4"/>
    </row>
    <row r="67" ht="18.75" customHeight="1">
      <c r="A67" s="156"/>
      <c r="B67" s="4"/>
      <c r="C67" s="4"/>
      <c r="D67" s="4"/>
      <c r="E67" s="4"/>
      <c r="F67" s="4"/>
      <c r="G67" s="4"/>
      <c r="H67" s="4"/>
      <c r="I67" s="4"/>
      <c r="J67" s="4"/>
      <c r="K67" s="4"/>
      <c r="L67" s="4"/>
      <c r="M67" s="4"/>
      <c r="N67" s="4"/>
      <c r="O67" s="4"/>
      <c r="P67" s="4"/>
      <c r="Q67" s="4"/>
      <c r="R67" s="4"/>
      <c r="S67" s="4"/>
      <c r="T67" s="4"/>
      <c r="U67" s="4"/>
      <c r="V67" s="4"/>
      <c r="W67" s="4"/>
      <c r="X67" s="4"/>
      <c r="Y67" s="4"/>
      <c r="Z67" s="4"/>
    </row>
    <row r="68" ht="18.75" customHeight="1">
      <c r="A68" s="156"/>
      <c r="B68" s="4"/>
      <c r="C68" s="4"/>
      <c r="D68" s="4"/>
      <c r="E68" s="4"/>
      <c r="F68" s="4"/>
      <c r="G68" s="4"/>
      <c r="H68" s="4"/>
      <c r="I68" s="4"/>
      <c r="J68" s="4"/>
      <c r="K68" s="4"/>
      <c r="L68" s="4"/>
      <c r="M68" s="4"/>
      <c r="N68" s="4"/>
      <c r="O68" s="4"/>
      <c r="P68" s="4"/>
      <c r="Q68" s="4"/>
      <c r="R68" s="4"/>
      <c r="S68" s="4"/>
      <c r="T68" s="4"/>
      <c r="U68" s="4"/>
      <c r="V68" s="4"/>
      <c r="W68" s="4"/>
      <c r="X68" s="4"/>
      <c r="Y68" s="4"/>
      <c r="Z68" s="4"/>
    </row>
    <row r="69" ht="18.75" customHeight="1">
      <c r="A69" s="156"/>
      <c r="B69" s="4"/>
      <c r="C69" s="4"/>
      <c r="D69" s="4"/>
      <c r="E69" s="4"/>
      <c r="F69" s="4"/>
      <c r="G69" s="4"/>
      <c r="H69" s="4"/>
      <c r="I69" s="4"/>
      <c r="J69" s="4"/>
      <c r="K69" s="4"/>
      <c r="L69" s="4"/>
      <c r="M69" s="4"/>
      <c r="N69" s="4"/>
      <c r="O69" s="4"/>
      <c r="P69" s="4"/>
      <c r="Q69" s="4"/>
      <c r="R69" s="4"/>
      <c r="S69" s="4"/>
      <c r="T69" s="4"/>
      <c r="U69" s="4"/>
      <c r="V69" s="4"/>
      <c r="W69" s="4"/>
      <c r="X69" s="4"/>
      <c r="Y69" s="4"/>
      <c r="Z69" s="4"/>
    </row>
    <row r="70" ht="18.75" customHeight="1">
      <c r="A70" s="156"/>
      <c r="B70" s="4"/>
      <c r="C70" s="4"/>
      <c r="D70" s="4"/>
      <c r="E70" s="4"/>
      <c r="F70" s="4"/>
      <c r="G70" s="4"/>
      <c r="H70" s="4"/>
      <c r="I70" s="4"/>
      <c r="J70" s="4"/>
      <c r="K70" s="4"/>
      <c r="L70" s="4"/>
      <c r="M70" s="4"/>
      <c r="N70" s="4"/>
      <c r="O70" s="4"/>
      <c r="P70" s="4"/>
      <c r="Q70" s="4"/>
      <c r="R70" s="4"/>
      <c r="S70" s="4"/>
      <c r="T70" s="4"/>
      <c r="U70" s="4"/>
      <c r="V70" s="4"/>
      <c r="W70" s="4"/>
      <c r="X70" s="4"/>
      <c r="Y70" s="4"/>
      <c r="Z70" s="4"/>
    </row>
    <row r="71" ht="18.75" customHeight="1">
      <c r="A71" s="156"/>
      <c r="B71" s="4"/>
      <c r="C71" s="4"/>
      <c r="D71" s="4"/>
      <c r="E71" s="4"/>
      <c r="F71" s="4"/>
      <c r="G71" s="4"/>
      <c r="H71" s="4"/>
      <c r="I71" s="4"/>
      <c r="J71" s="4"/>
      <c r="K71" s="4"/>
      <c r="L71" s="4"/>
      <c r="M71" s="4"/>
      <c r="N71" s="4"/>
      <c r="O71" s="4"/>
      <c r="P71" s="4"/>
      <c r="Q71" s="4"/>
      <c r="R71" s="4"/>
      <c r="S71" s="4"/>
      <c r="T71" s="4"/>
      <c r="U71" s="4"/>
      <c r="V71" s="4"/>
      <c r="W71" s="4"/>
      <c r="X71" s="4"/>
      <c r="Y71" s="4"/>
      <c r="Z71" s="4"/>
    </row>
    <row r="72" ht="18.75" customHeight="1">
      <c r="A72" s="156"/>
      <c r="B72" s="4"/>
      <c r="C72" s="4"/>
      <c r="D72" s="4"/>
      <c r="E72" s="4"/>
      <c r="F72" s="4"/>
      <c r="G72" s="4"/>
      <c r="H72" s="4"/>
      <c r="I72" s="4"/>
      <c r="J72" s="4"/>
      <c r="K72" s="4"/>
      <c r="L72" s="4"/>
      <c r="M72" s="4"/>
      <c r="N72" s="4"/>
      <c r="O72" s="4"/>
      <c r="P72" s="4"/>
      <c r="Q72" s="4"/>
      <c r="R72" s="4"/>
      <c r="S72" s="4"/>
      <c r="T72" s="4"/>
      <c r="U72" s="4"/>
      <c r="V72" s="4"/>
      <c r="W72" s="4"/>
      <c r="X72" s="4"/>
      <c r="Y72" s="4"/>
      <c r="Z72" s="4"/>
    </row>
    <row r="73" ht="18.75" customHeight="1">
      <c r="A73" s="156"/>
      <c r="B73" s="4"/>
      <c r="C73" s="4"/>
      <c r="D73" s="4"/>
      <c r="E73" s="4"/>
      <c r="F73" s="4"/>
      <c r="G73" s="4"/>
      <c r="H73" s="4"/>
      <c r="I73" s="4"/>
      <c r="J73" s="4"/>
      <c r="K73" s="4"/>
      <c r="L73" s="4"/>
      <c r="M73" s="4"/>
      <c r="N73" s="4"/>
      <c r="O73" s="4"/>
      <c r="P73" s="4"/>
      <c r="Q73" s="4"/>
      <c r="R73" s="4"/>
      <c r="S73" s="4"/>
      <c r="T73" s="4"/>
      <c r="U73" s="4"/>
      <c r="V73" s="4"/>
      <c r="W73" s="4"/>
      <c r="X73" s="4"/>
      <c r="Y73" s="4"/>
      <c r="Z73" s="4"/>
    </row>
    <row r="74" ht="18.75" customHeight="1">
      <c r="A74" s="156"/>
      <c r="B74" s="4"/>
      <c r="C74" s="4"/>
      <c r="D74" s="4"/>
      <c r="E74" s="4"/>
      <c r="F74" s="4"/>
      <c r="G74" s="4"/>
      <c r="H74" s="4"/>
      <c r="I74" s="4"/>
      <c r="J74" s="4"/>
      <c r="K74" s="4"/>
      <c r="L74" s="4"/>
      <c r="M74" s="4"/>
      <c r="N74" s="4"/>
      <c r="O74" s="4"/>
      <c r="P74" s="4"/>
      <c r="Q74" s="4"/>
      <c r="R74" s="4"/>
      <c r="S74" s="4"/>
      <c r="T74" s="4"/>
      <c r="U74" s="4"/>
      <c r="V74" s="4"/>
      <c r="W74" s="4"/>
      <c r="X74" s="4"/>
      <c r="Y74" s="4"/>
      <c r="Z74" s="4"/>
    </row>
    <row r="75" ht="18.75" customHeight="1">
      <c r="A75" s="156"/>
      <c r="B75" s="4"/>
      <c r="C75" s="4"/>
      <c r="D75" s="4"/>
      <c r="E75" s="4"/>
      <c r="F75" s="4"/>
      <c r="G75" s="4"/>
      <c r="H75" s="4"/>
      <c r="I75" s="4"/>
      <c r="J75" s="4"/>
      <c r="K75" s="4"/>
      <c r="L75" s="4"/>
      <c r="M75" s="4"/>
      <c r="N75" s="4"/>
      <c r="O75" s="4"/>
      <c r="P75" s="4"/>
      <c r="Q75" s="4"/>
      <c r="R75" s="4"/>
      <c r="S75" s="4"/>
      <c r="T75" s="4"/>
      <c r="U75" s="4"/>
      <c r="V75" s="4"/>
      <c r="W75" s="4"/>
      <c r="X75" s="4"/>
      <c r="Y75" s="4"/>
      <c r="Z75" s="4"/>
    </row>
    <row r="76" ht="18.75" customHeight="1">
      <c r="A76" s="156"/>
      <c r="B76" s="4"/>
      <c r="C76" s="4"/>
      <c r="D76" s="4"/>
      <c r="E76" s="4"/>
      <c r="F76" s="4"/>
      <c r="G76" s="4"/>
      <c r="H76" s="4"/>
      <c r="I76" s="4"/>
      <c r="J76" s="4"/>
      <c r="K76" s="4"/>
      <c r="L76" s="4"/>
      <c r="M76" s="4"/>
      <c r="N76" s="4"/>
      <c r="O76" s="4"/>
      <c r="P76" s="4"/>
      <c r="Q76" s="4"/>
      <c r="R76" s="4"/>
      <c r="S76" s="4"/>
      <c r="T76" s="4"/>
      <c r="U76" s="4"/>
      <c r="V76" s="4"/>
      <c r="W76" s="4"/>
      <c r="X76" s="4"/>
      <c r="Y76" s="4"/>
      <c r="Z76" s="4"/>
    </row>
    <row r="77" ht="18.75" customHeight="1">
      <c r="A77" s="156"/>
      <c r="B77" s="4"/>
      <c r="C77" s="4"/>
      <c r="D77" s="4"/>
      <c r="E77" s="4"/>
      <c r="F77" s="4"/>
      <c r="G77" s="4"/>
      <c r="H77" s="4"/>
      <c r="I77" s="4"/>
      <c r="J77" s="4"/>
      <c r="K77" s="4"/>
      <c r="L77" s="4"/>
      <c r="M77" s="4"/>
      <c r="N77" s="4"/>
      <c r="O77" s="4"/>
      <c r="P77" s="4"/>
      <c r="Q77" s="4"/>
      <c r="R77" s="4"/>
      <c r="S77" s="4"/>
      <c r="T77" s="4"/>
      <c r="U77" s="4"/>
      <c r="V77" s="4"/>
      <c r="W77" s="4"/>
      <c r="X77" s="4"/>
      <c r="Y77" s="4"/>
      <c r="Z77" s="4"/>
    </row>
    <row r="78" ht="18.75" customHeight="1">
      <c r="A78" s="156"/>
      <c r="B78" s="4"/>
      <c r="C78" s="4"/>
      <c r="D78" s="4"/>
      <c r="E78" s="4"/>
      <c r="F78" s="4"/>
      <c r="G78" s="4"/>
      <c r="H78" s="4"/>
      <c r="I78" s="4"/>
      <c r="J78" s="4"/>
      <c r="K78" s="4"/>
      <c r="L78" s="4"/>
      <c r="M78" s="4"/>
      <c r="N78" s="4"/>
      <c r="O78" s="4"/>
      <c r="P78" s="4"/>
      <c r="Q78" s="4"/>
      <c r="R78" s="4"/>
      <c r="S78" s="4"/>
      <c r="T78" s="4"/>
      <c r="U78" s="4"/>
      <c r="V78" s="4"/>
      <c r="W78" s="4"/>
      <c r="X78" s="4"/>
      <c r="Y78" s="4"/>
      <c r="Z78" s="4"/>
    </row>
    <row r="79" ht="18.75" customHeight="1">
      <c r="A79" s="156"/>
      <c r="B79" s="4"/>
      <c r="C79" s="4"/>
      <c r="D79" s="4"/>
      <c r="E79" s="4"/>
      <c r="F79" s="4"/>
      <c r="G79" s="4"/>
      <c r="H79" s="4"/>
      <c r="I79" s="4"/>
      <c r="J79" s="4"/>
      <c r="K79" s="4"/>
      <c r="L79" s="4"/>
      <c r="M79" s="4"/>
      <c r="N79" s="4"/>
      <c r="O79" s="4"/>
      <c r="P79" s="4"/>
      <c r="Q79" s="4"/>
      <c r="R79" s="4"/>
      <c r="S79" s="4"/>
      <c r="T79" s="4"/>
      <c r="U79" s="4"/>
      <c r="V79" s="4"/>
      <c r="W79" s="4"/>
      <c r="X79" s="4"/>
      <c r="Y79" s="4"/>
      <c r="Z79" s="4"/>
    </row>
    <row r="80" ht="18.75" customHeight="1">
      <c r="A80" s="156"/>
      <c r="B80" s="4"/>
      <c r="C80" s="4"/>
      <c r="D80" s="4"/>
      <c r="E80" s="4"/>
      <c r="F80" s="4"/>
      <c r="G80" s="4"/>
      <c r="H80" s="4"/>
      <c r="I80" s="4"/>
      <c r="J80" s="4"/>
      <c r="K80" s="4"/>
      <c r="L80" s="4"/>
      <c r="M80" s="4"/>
      <c r="N80" s="4"/>
      <c r="O80" s="4"/>
      <c r="P80" s="4"/>
      <c r="Q80" s="4"/>
      <c r="R80" s="4"/>
      <c r="S80" s="4"/>
      <c r="T80" s="4"/>
      <c r="U80" s="4"/>
      <c r="V80" s="4"/>
      <c r="W80" s="4"/>
      <c r="X80" s="4"/>
      <c r="Y80" s="4"/>
      <c r="Z80" s="4"/>
    </row>
    <row r="81" ht="18.75" customHeight="1">
      <c r="A81" s="156"/>
      <c r="B81" s="4"/>
      <c r="C81" s="4"/>
      <c r="D81" s="4"/>
      <c r="E81" s="4"/>
      <c r="F81" s="4"/>
      <c r="G81" s="4"/>
      <c r="H81" s="4"/>
      <c r="I81" s="4"/>
      <c r="J81" s="4"/>
      <c r="K81" s="4"/>
      <c r="L81" s="4"/>
      <c r="M81" s="4"/>
      <c r="N81" s="4"/>
      <c r="O81" s="4"/>
      <c r="P81" s="4"/>
      <c r="Q81" s="4"/>
      <c r="R81" s="4"/>
      <c r="S81" s="4"/>
      <c r="T81" s="4"/>
      <c r="U81" s="4"/>
      <c r="V81" s="4"/>
      <c r="W81" s="4"/>
      <c r="X81" s="4"/>
      <c r="Y81" s="4"/>
      <c r="Z81" s="4"/>
    </row>
    <row r="82" ht="18.75" customHeight="1">
      <c r="A82" s="156"/>
      <c r="B82" s="4"/>
      <c r="C82" s="4"/>
      <c r="D82" s="4"/>
      <c r="E82" s="4"/>
      <c r="F82" s="4"/>
      <c r="G82" s="4"/>
      <c r="H82" s="4"/>
      <c r="I82" s="4"/>
      <c r="J82" s="4"/>
      <c r="K82" s="4"/>
      <c r="L82" s="4"/>
      <c r="M82" s="4"/>
      <c r="N82" s="4"/>
      <c r="O82" s="4"/>
      <c r="P82" s="4"/>
      <c r="Q82" s="4"/>
      <c r="R82" s="4"/>
      <c r="S82" s="4"/>
      <c r="T82" s="4"/>
      <c r="U82" s="4"/>
      <c r="V82" s="4"/>
      <c r="W82" s="4"/>
      <c r="X82" s="4"/>
      <c r="Y82" s="4"/>
      <c r="Z82" s="4"/>
    </row>
    <row r="83" ht="18.75" customHeight="1">
      <c r="A83" s="156"/>
      <c r="B83" s="4"/>
      <c r="C83" s="4"/>
      <c r="D83" s="4"/>
      <c r="E83" s="4"/>
      <c r="F83" s="4"/>
      <c r="G83" s="4"/>
      <c r="H83" s="4"/>
      <c r="I83" s="4"/>
      <c r="J83" s="4"/>
      <c r="K83" s="4"/>
      <c r="L83" s="4"/>
      <c r="M83" s="4"/>
      <c r="N83" s="4"/>
      <c r="O83" s="4"/>
      <c r="P83" s="4"/>
      <c r="Q83" s="4"/>
      <c r="R83" s="4"/>
      <c r="S83" s="4"/>
      <c r="T83" s="4"/>
      <c r="U83" s="4"/>
      <c r="V83" s="4"/>
      <c r="W83" s="4"/>
      <c r="X83" s="4"/>
      <c r="Y83" s="4"/>
      <c r="Z83" s="4"/>
    </row>
    <row r="84" ht="18.75" customHeight="1">
      <c r="A84" s="156"/>
      <c r="B84" s="4"/>
      <c r="C84" s="4"/>
      <c r="D84" s="4"/>
      <c r="E84" s="4"/>
      <c r="F84" s="4"/>
      <c r="G84" s="4"/>
      <c r="H84" s="4"/>
      <c r="I84" s="4"/>
      <c r="J84" s="4"/>
      <c r="K84" s="4"/>
      <c r="L84" s="4"/>
      <c r="M84" s="4"/>
      <c r="N84" s="4"/>
      <c r="O84" s="4"/>
      <c r="P84" s="4"/>
      <c r="Q84" s="4"/>
      <c r="R84" s="4"/>
      <c r="S84" s="4"/>
      <c r="T84" s="4"/>
      <c r="U84" s="4"/>
      <c r="V84" s="4"/>
      <c r="W84" s="4"/>
      <c r="X84" s="4"/>
      <c r="Y84" s="4"/>
      <c r="Z84" s="4"/>
    </row>
    <row r="85" ht="18.75" customHeight="1">
      <c r="A85" s="156"/>
      <c r="B85" s="4"/>
      <c r="C85" s="4"/>
      <c r="D85" s="4"/>
      <c r="E85" s="4"/>
      <c r="F85" s="4"/>
      <c r="G85" s="4"/>
      <c r="H85" s="4"/>
      <c r="I85" s="4"/>
      <c r="J85" s="4"/>
      <c r="K85" s="4"/>
      <c r="L85" s="4"/>
      <c r="M85" s="4"/>
      <c r="N85" s="4"/>
      <c r="O85" s="4"/>
      <c r="P85" s="4"/>
      <c r="Q85" s="4"/>
      <c r="R85" s="4"/>
      <c r="S85" s="4"/>
      <c r="T85" s="4"/>
      <c r="U85" s="4"/>
      <c r="V85" s="4"/>
      <c r="W85" s="4"/>
      <c r="X85" s="4"/>
      <c r="Y85" s="4"/>
      <c r="Z85" s="4"/>
    </row>
    <row r="86" ht="18.75" customHeight="1">
      <c r="A86" s="156"/>
      <c r="B86" s="4"/>
      <c r="C86" s="4"/>
      <c r="D86" s="4"/>
      <c r="E86" s="4"/>
      <c r="F86" s="4"/>
      <c r="G86" s="4"/>
      <c r="H86" s="4"/>
      <c r="I86" s="4"/>
      <c r="J86" s="4"/>
      <c r="K86" s="4"/>
      <c r="L86" s="4"/>
      <c r="M86" s="4"/>
      <c r="N86" s="4"/>
      <c r="O86" s="4"/>
      <c r="P86" s="4"/>
      <c r="Q86" s="4"/>
      <c r="R86" s="4"/>
      <c r="S86" s="4"/>
      <c r="T86" s="4"/>
      <c r="U86" s="4"/>
      <c r="V86" s="4"/>
      <c r="W86" s="4"/>
      <c r="X86" s="4"/>
      <c r="Y86" s="4"/>
      <c r="Z86" s="4"/>
    </row>
    <row r="87" ht="18.75" customHeight="1">
      <c r="A87" s="156"/>
      <c r="B87" s="4"/>
      <c r="C87" s="4"/>
      <c r="D87" s="4"/>
      <c r="E87" s="4"/>
      <c r="F87" s="4"/>
      <c r="G87" s="4"/>
      <c r="H87" s="4"/>
      <c r="I87" s="4"/>
      <c r="J87" s="4"/>
      <c r="K87" s="4"/>
      <c r="L87" s="4"/>
      <c r="M87" s="4"/>
      <c r="N87" s="4"/>
      <c r="O87" s="4"/>
      <c r="P87" s="4"/>
      <c r="Q87" s="4"/>
      <c r="R87" s="4"/>
      <c r="S87" s="4"/>
      <c r="T87" s="4"/>
      <c r="U87" s="4"/>
      <c r="V87" s="4"/>
      <c r="W87" s="4"/>
      <c r="X87" s="4"/>
      <c r="Y87" s="4"/>
      <c r="Z87" s="4"/>
    </row>
    <row r="88" ht="18.75" customHeight="1">
      <c r="A88" s="156"/>
      <c r="B88" s="4"/>
      <c r="C88" s="4"/>
      <c r="D88" s="4"/>
      <c r="E88" s="4"/>
      <c r="F88" s="4"/>
      <c r="G88" s="4"/>
      <c r="H88" s="4"/>
      <c r="I88" s="4"/>
      <c r="J88" s="4"/>
      <c r="K88" s="4"/>
      <c r="L88" s="4"/>
      <c r="M88" s="4"/>
      <c r="N88" s="4"/>
      <c r="O88" s="4"/>
      <c r="P88" s="4"/>
      <c r="Q88" s="4"/>
      <c r="R88" s="4"/>
      <c r="S88" s="4"/>
      <c r="T88" s="4"/>
      <c r="U88" s="4"/>
      <c r="V88" s="4"/>
      <c r="W88" s="4"/>
      <c r="X88" s="4"/>
      <c r="Y88" s="4"/>
      <c r="Z88" s="4"/>
    </row>
    <row r="89" ht="18.75" customHeight="1">
      <c r="A89" s="156"/>
      <c r="B89" s="4"/>
      <c r="C89" s="4"/>
      <c r="D89" s="4"/>
      <c r="E89" s="4"/>
      <c r="F89" s="4"/>
      <c r="G89" s="4"/>
      <c r="H89" s="4"/>
      <c r="I89" s="4"/>
      <c r="J89" s="4"/>
      <c r="K89" s="4"/>
      <c r="L89" s="4"/>
      <c r="M89" s="4"/>
      <c r="N89" s="4"/>
      <c r="O89" s="4"/>
      <c r="P89" s="4"/>
      <c r="Q89" s="4"/>
      <c r="R89" s="4"/>
      <c r="S89" s="4"/>
      <c r="T89" s="4"/>
      <c r="U89" s="4"/>
      <c r="V89" s="4"/>
      <c r="W89" s="4"/>
      <c r="X89" s="4"/>
      <c r="Y89" s="4"/>
      <c r="Z89" s="4"/>
    </row>
    <row r="90" ht="18.75" customHeight="1">
      <c r="A90" s="156"/>
      <c r="B90" s="4"/>
      <c r="C90" s="4"/>
      <c r="D90" s="4"/>
      <c r="E90" s="4"/>
      <c r="F90" s="4"/>
      <c r="G90" s="4"/>
      <c r="H90" s="4"/>
      <c r="I90" s="4"/>
      <c r="J90" s="4"/>
      <c r="K90" s="4"/>
      <c r="L90" s="4"/>
      <c r="M90" s="4"/>
      <c r="N90" s="4"/>
      <c r="O90" s="4"/>
      <c r="P90" s="4"/>
      <c r="Q90" s="4"/>
      <c r="R90" s="4"/>
      <c r="S90" s="4"/>
      <c r="T90" s="4"/>
      <c r="U90" s="4"/>
      <c r="V90" s="4"/>
      <c r="W90" s="4"/>
      <c r="X90" s="4"/>
      <c r="Y90" s="4"/>
      <c r="Z90" s="4"/>
    </row>
    <row r="91" ht="18.75" customHeight="1">
      <c r="A91" s="156"/>
      <c r="B91" s="4"/>
      <c r="C91" s="4"/>
      <c r="D91" s="4"/>
      <c r="E91" s="4"/>
      <c r="F91" s="4"/>
      <c r="G91" s="4"/>
      <c r="H91" s="4"/>
      <c r="I91" s="4"/>
      <c r="J91" s="4"/>
      <c r="K91" s="4"/>
      <c r="L91" s="4"/>
      <c r="M91" s="4"/>
      <c r="N91" s="4"/>
      <c r="O91" s="4"/>
      <c r="P91" s="4"/>
      <c r="Q91" s="4"/>
      <c r="R91" s="4"/>
      <c r="S91" s="4"/>
      <c r="T91" s="4"/>
      <c r="U91" s="4"/>
      <c r="V91" s="4"/>
      <c r="W91" s="4"/>
      <c r="X91" s="4"/>
      <c r="Y91" s="4"/>
      <c r="Z91" s="4"/>
    </row>
    <row r="92" ht="18.75" customHeight="1">
      <c r="A92" s="156"/>
      <c r="B92" s="4"/>
      <c r="C92" s="4"/>
      <c r="D92" s="4"/>
      <c r="E92" s="4"/>
      <c r="F92" s="4"/>
      <c r="G92" s="4"/>
      <c r="H92" s="4"/>
      <c r="I92" s="4"/>
      <c r="J92" s="4"/>
      <c r="K92" s="4"/>
      <c r="L92" s="4"/>
      <c r="M92" s="4"/>
      <c r="N92" s="4"/>
      <c r="O92" s="4"/>
      <c r="P92" s="4"/>
      <c r="Q92" s="4"/>
      <c r="R92" s="4"/>
      <c r="S92" s="4"/>
      <c r="T92" s="4"/>
      <c r="U92" s="4"/>
      <c r="V92" s="4"/>
      <c r="W92" s="4"/>
      <c r="X92" s="4"/>
      <c r="Y92" s="4"/>
      <c r="Z92" s="4"/>
    </row>
    <row r="93" ht="18.75" customHeight="1">
      <c r="A93" s="156"/>
      <c r="B93" s="4"/>
      <c r="C93" s="4"/>
      <c r="D93" s="4"/>
      <c r="E93" s="4"/>
      <c r="F93" s="4"/>
      <c r="G93" s="4"/>
      <c r="H93" s="4"/>
      <c r="I93" s="4"/>
      <c r="J93" s="4"/>
      <c r="K93" s="4"/>
      <c r="L93" s="4"/>
      <c r="M93" s="4"/>
      <c r="N93" s="4"/>
      <c r="O93" s="4"/>
      <c r="P93" s="4"/>
      <c r="Q93" s="4"/>
      <c r="R93" s="4"/>
      <c r="S93" s="4"/>
      <c r="T93" s="4"/>
      <c r="U93" s="4"/>
      <c r="V93" s="4"/>
      <c r="W93" s="4"/>
      <c r="X93" s="4"/>
      <c r="Y93" s="4"/>
      <c r="Z93" s="4"/>
    </row>
    <row r="94" ht="18.75" customHeight="1">
      <c r="A94" s="156"/>
      <c r="B94" s="4"/>
      <c r="C94" s="4"/>
      <c r="D94" s="4"/>
      <c r="E94" s="4"/>
      <c r="F94" s="4"/>
      <c r="G94" s="4"/>
      <c r="H94" s="4"/>
      <c r="I94" s="4"/>
      <c r="J94" s="4"/>
      <c r="K94" s="4"/>
      <c r="L94" s="4"/>
      <c r="M94" s="4"/>
      <c r="N94" s="4"/>
      <c r="O94" s="4"/>
      <c r="P94" s="4"/>
      <c r="Q94" s="4"/>
      <c r="R94" s="4"/>
      <c r="S94" s="4"/>
      <c r="T94" s="4"/>
      <c r="U94" s="4"/>
      <c r="V94" s="4"/>
      <c r="W94" s="4"/>
      <c r="X94" s="4"/>
      <c r="Y94" s="4"/>
      <c r="Z94" s="4"/>
    </row>
    <row r="95" ht="18.75" customHeight="1">
      <c r="A95" s="156"/>
      <c r="B95" s="4"/>
      <c r="C95" s="4"/>
      <c r="D95" s="4"/>
      <c r="E95" s="4"/>
      <c r="F95" s="4"/>
      <c r="G95" s="4"/>
      <c r="H95" s="4"/>
      <c r="I95" s="4"/>
      <c r="J95" s="4"/>
      <c r="K95" s="4"/>
      <c r="L95" s="4"/>
      <c r="M95" s="4"/>
      <c r="N95" s="4"/>
      <c r="O95" s="4"/>
      <c r="P95" s="4"/>
      <c r="Q95" s="4"/>
      <c r="R95" s="4"/>
      <c r="S95" s="4"/>
      <c r="T95" s="4"/>
      <c r="U95" s="4"/>
      <c r="V95" s="4"/>
      <c r="W95" s="4"/>
      <c r="X95" s="4"/>
      <c r="Y95" s="4"/>
      <c r="Z95" s="4"/>
    </row>
    <row r="96" ht="18.75" customHeight="1">
      <c r="A96" s="156"/>
      <c r="B96" s="4"/>
      <c r="C96" s="4"/>
      <c r="D96" s="4"/>
      <c r="E96" s="4"/>
      <c r="F96" s="4"/>
      <c r="G96" s="4"/>
      <c r="H96" s="4"/>
      <c r="I96" s="4"/>
      <c r="J96" s="4"/>
      <c r="K96" s="4"/>
      <c r="L96" s="4"/>
      <c r="M96" s="4"/>
      <c r="N96" s="4"/>
      <c r="O96" s="4"/>
      <c r="P96" s="4"/>
      <c r="Q96" s="4"/>
      <c r="R96" s="4"/>
      <c r="S96" s="4"/>
      <c r="T96" s="4"/>
      <c r="U96" s="4"/>
      <c r="V96" s="4"/>
      <c r="W96" s="4"/>
      <c r="X96" s="4"/>
      <c r="Y96" s="4"/>
      <c r="Z96" s="4"/>
    </row>
    <row r="97" ht="18.75" customHeight="1">
      <c r="A97" s="156"/>
      <c r="B97" s="4"/>
      <c r="C97" s="4"/>
      <c r="D97" s="4"/>
      <c r="E97" s="4"/>
      <c r="F97" s="4"/>
      <c r="G97" s="4"/>
      <c r="H97" s="4"/>
      <c r="I97" s="4"/>
      <c r="J97" s="4"/>
      <c r="K97" s="4"/>
      <c r="L97" s="4"/>
      <c r="M97" s="4"/>
      <c r="N97" s="4"/>
      <c r="O97" s="4"/>
      <c r="P97" s="4"/>
      <c r="Q97" s="4"/>
      <c r="R97" s="4"/>
      <c r="S97" s="4"/>
      <c r="T97" s="4"/>
      <c r="U97" s="4"/>
      <c r="V97" s="4"/>
      <c r="W97" s="4"/>
      <c r="X97" s="4"/>
      <c r="Y97" s="4"/>
      <c r="Z97" s="4"/>
    </row>
    <row r="98" ht="18.75" customHeight="1">
      <c r="A98" s="156"/>
      <c r="B98" s="4"/>
      <c r="C98" s="4"/>
      <c r="D98" s="4"/>
      <c r="E98" s="4"/>
      <c r="F98" s="4"/>
      <c r="G98" s="4"/>
      <c r="H98" s="4"/>
      <c r="I98" s="4"/>
      <c r="J98" s="4"/>
      <c r="K98" s="4"/>
      <c r="L98" s="4"/>
      <c r="M98" s="4"/>
      <c r="N98" s="4"/>
      <c r="O98" s="4"/>
      <c r="P98" s="4"/>
      <c r="Q98" s="4"/>
      <c r="R98" s="4"/>
      <c r="S98" s="4"/>
      <c r="T98" s="4"/>
      <c r="U98" s="4"/>
      <c r="V98" s="4"/>
      <c r="W98" s="4"/>
      <c r="X98" s="4"/>
      <c r="Y98" s="4"/>
      <c r="Z98" s="4"/>
    </row>
    <row r="99" ht="18.75" customHeight="1">
      <c r="A99" s="156"/>
      <c r="B99" s="4"/>
      <c r="C99" s="4"/>
      <c r="D99" s="4"/>
      <c r="E99" s="4"/>
      <c r="F99" s="4"/>
      <c r="G99" s="4"/>
      <c r="H99" s="4"/>
      <c r="I99" s="4"/>
      <c r="J99" s="4"/>
      <c r="K99" s="4"/>
      <c r="L99" s="4"/>
      <c r="M99" s="4"/>
      <c r="N99" s="4"/>
      <c r="O99" s="4"/>
      <c r="P99" s="4"/>
      <c r="Q99" s="4"/>
      <c r="R99" s="4"/>
      <c r="S99" s="4"/>
      <c r="T99" s="4"/>
      <c r="U99" s="4"/>
      <c r="V99" s="4"/>
      <c r="W99" s="4"/>
      <c r="X99" s="4"/>
      <c r="Y99" s="4"/>
      <c r="Z99" s="4"/>
    </row>
    <row r="100" ht="18.75" customHeight="1">
      <c r="A100" s="156"/>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8.75" customHeight="1">
      <c r="A101" s="156"/>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8.75" customHeight="1">
      <c r="A102" s="156"/>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8.75" customHeight="1">
      <c r="A103" s="156"/>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8.75" customHeight="1">
      <c r="A104" s="156"/>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8.75" customHeight="1">
      <c r="A105" s="156"/>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8.75" customHeight="1">
      <c r="A106" s="156"/>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8.75" customHeight="1">
      <c r="A107" s="156"/>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8.75" customHeight="1">
      <c r="A108" s="156"/>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8.75" customHeight="1">
      <c r="A109" s="156"/>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8.75" customHeight="1">
      <c r="A110" s="156"/>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8.75" customHeight="1">
      <c r="A111" s="156"/>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8.75" customHeight="1">
      <c r="A112" s="156"/>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8.75" customHeight="1">
      <c r="A113" s="156"/>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8.75" customHeight="1">
      <c r="A114" s="156"/>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8.75" customHeight="1">
      <c r="A115" s="156"/>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8.75" customHeight="1">
      <c r="A116" s="156"/>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8.75" customHeight="1">
      <c r="A117" s="156"/>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8.75" customHeight="1">
      <c r="A118" s="156"/>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8.75" customHeight="1">
      <c r="A119" s="156"/>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8.75" customHeight="1">
      <c r="A120" s="156"/>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8.75" customHeight="1">
      <c r="A121" s="156"/>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8.75" customHeight="1">
      <c r="A122" s="156"/>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8.75" customHeight="1">
      <c r="A123" s="156"/>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8.75" customHeight="1">
      <c r="A124" s="156"/>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8.75" customHeight="1">
      <c r="A125" s="156"/>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8.75" customHeight="1">
      <c r="A126" s="156"/>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8.75" customHeight="1">
      <c r="A127" s="156"/>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8.75" customHeight="1">
      <c r="A128" s="156"/>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8.75" customHeight="1">
      <c r="A129" s="156"/>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8.75" customHeight="1">
      <c r="A130" s="156"/>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8.75" customHeight="1">
      <c r="A131" s="156"/>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8.75" customHeight="1">
      <c r="A132" s="156"/>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8.75" customHeight="1">
      <c r="A133" s="156"/>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8.75" customHeight="1">
      <c r="A134" s="156"/>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8.75" customHeight="1">
      <c r="A135" s="156"/>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8.75" customHeight="1">
      <c r="A136" s="156"/>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8.75" customHeight="1">
      <c r="A137" s="156"/>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8.75" customHeight="1">
      <c r="A138" s="156"/>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8.75" customHeight="1">
      <c r="A139" s="156"/>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8.75" customHeight="1">
      <c r="A140" s="156"/>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8.75" customHeight="1">
      <c r="A141" s="156"/>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8.75" customHeight="1">
      <c r="A142" s="156"/>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8.75" customHeight="1">
      <c r="A143" s="156"/>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8.75" customHeight="1">
      <c r="A144" s="156"/>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8.75" customHeight="1">
      <c r="A145" s="156"/>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8.75" customHeight="1">
      <c r="A146" s="156"/>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8.75" customHeight="1">
      <c r="A147" s="156"/>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8.75" customHeight="1">
      <c r="A148" s="156"/>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8.75" customHeight="1">
      <c r="A149" s="156"/>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8.75" customHeight="1">
      <c r="A150" s="156"/>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8.75" customHeight="1">
      <c r="A151" s="156"/>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8.75" customHeight="1">
      <c r="A152" s="156"/>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8.75" customHeight="1">
      <c r="A153" s="156"/>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8.75" customHeight="1">
      <c r="A154" s="156"/>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8.75" customHeight="1">
      <c r="A155" s="156"/>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8.75" customHeight="1">
      <c r="A156" s="156"/>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8.75" customHeight="1">
      <c r="A157" s="156"/>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8.75" customHeight="1">
      <c r="A158" s="156"/>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8.75" customHeight="1">
      <c r="A159" s="156"/>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8.75" customHeight="1">
      <c r="A160" s="156"/>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8.75" customHeight="1">
      <c r="A161" s="156"/>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8.75" customHeight="1">
      <c r="A162" s="156"/>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8.75" customHeight="1">
      <c r="A163" s="156"/>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8.75" customHeight="1">
      <c r="A164" s="156"/>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8.75" customHeight="1">
      <c r="A165" s="156"/>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8.75" customHeight="1">
      <c r="A166" s="156"/>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8.75" customHeight="1">
      <c r="A167" s="156"/>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8.75" customHeight="1">
      <c r="A168" s="156"/>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8.75" customHeight="1">
      <c r="A169" s="156"/>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8.75" customHeight="1">
      <c r="A170" s="156"/>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8.75" customHeight="1">
      <c r="A171" s="156"/>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8.75" customHeight="1">
      <c r="A172" s="156"/>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8.75" customHeight="1">
      <c r="A173" s="156"/>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8.75" customHeight="1">
      <c r="A174" s="156"/>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8.75" customHeight="1">
      <c r="A175" s="156"/>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8.75" customHeight="1">
      <c r="A176" s="156"/>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8.75" customHeight="1">
      <c r="A177" s="156"/>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8.75" customHeight="1">
      <c r="A178" s="156"/>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8.75" customHeight="1">
      <c r="A179" s="156"/>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8.75" customHeight="1">
      <c r="A180" s="156"/>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8.75" customHeight="1">
      <c r="A181" s="156"/>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8.75" customHeight="1">
      <c r="A182" s="156"/>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8.75" customHeight="1">
      <c r="A183" s="156"/>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8.75" customHeight="1">
      <c r="A184" s="156"/>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8.75" customHeight="1">
      <c r="A185" s="156"/>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8.75" customHeight="1">
      <c r="A186" s="156"/>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8.75" customHeight="1">
      <c r="A187" s="156"/>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8.75" customHeight="1">
      <c r="A188" s="156"/>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8.75" customHeight="1">
      <c r="A189" s="156"/>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8.75" customHeight="1">
      <c r="A190" s="156"/>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8.75" customHeight="1">
      <c r="A191" s="156"/>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8.75" customHeight="1">
      <c r="A192" s="156"/>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8.75" customHeight="1">
      <c r="A193" s="156"/>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8.75" customHeight="1">
      <c r="A194" s="156"/>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8.75" customHeight="1">
      <c r="A195" s="156"/>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8.75" customHeight="1">
      <c r="A196" s="156"/>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8.75" customHeight="1">
      <c r="A197" s="156"/>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8.75" customHeight="1">
      <c r="A198" s="156"/>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8.75" customHeight="1">
      <c r="A199" s="156"/>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8.75" customHeight="1">
      <c r="A200" s="156"/>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8.75" customHeight="1">
      <c r="A201" s="156"/>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8.75" customHeight="1">
      <c r="A202" s="156"/>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8.75" customHeight="1">
      <c r="A203" s="156"/>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8.75" customHeight="1">
      <c r="A204" s="156"/>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8.75" customHeight="1">
      <c r="A205" s="156"/>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8.75" customHeight="1">
      <c r="A206" s="156"/>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8.75" customHeight="1">
      <c r="A207" s="156"/>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8.75" customHeight="1">
      <c r="A208" s="156"/>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8.75" customHeight="1">
      <c r="A209" s="156"/>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8.75" customHeight="1">
      <c r="A210" s="156"/>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8.75" customHeight="1">
      <c r="A211" s="156"/>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8.75" customHeight="1">
      <c r="A212" s="156"/>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8.75" customHeight="1">
      <c r="A213" s="156"/>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8.75" customHeight="1">
      <c r="A214" s="156"/>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8.75" customHeight="1">
      <c r="A215" s="156"/>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8.75" customHeight="1">
      <c r="A216" s="156"/>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8.75" customHeight="1">
      <c r="A217" s="156"/>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8.75" customHeight="1">
      <c r="A218" s="156"/>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8.75" customHeight="1">
      <c r="A219" s="156"/>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8.75" customHeight="1">
      <c r="A220" s="156"/>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8.75" customHeight="1">
      <c r="A221" s="156"/>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8.75" customHeight="1">
      <c r="A222" s="156"/>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8.75" customHeight="1">
      <c r="A223" s="156"/>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8.75" customHeight="1">
      <c r="A224" s="156"/>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8.75" customHeight="1">
      <c r="A225" s="156"/>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8.75" customHeight="1">
      <c r="A226" s="156"/>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8.75" customHeight="1">
      <c r="A227" s="156"/>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8.75" customHeight="1">
      <c r="A228" s="156"/>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8.75" customHeight="1">
      <c r="A229" s="156"/>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8.75" customHeight="1">
      <c r="A230" s="156"/>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8.75" customHeight="1">
      <c r="A231" s="156"/>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8.75" customHeight="1">
      <c r="A232" s="156"/>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8.75" customHeight="1">
      <c r="A233" s="156"/>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8.75" customHeight="1">
      <c r="A234" s="156"/>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8.75" customHeight="1">
      <c r="A235" s="156"/>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8.75" customHeight="1">
      <c r="A236" s="156"/>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8.75" customHeight="1">
      <c r="A237" s="156"/>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8.75" customHeight="1">
      <c r="A238" s="156"/>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8.75" customHeight="1">
      <c r="A239" s="156"/>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8.75" customHeight="1">
      <c r="A240" s="156"/>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8.75" customHeight="1">
      <c r="A241" s="156"/>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8.75" customHeight="1">
      <c r="A242" s="156"/>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8.75" customHeight="1">
      <c r="A243" s="156"/>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8.75" customHeight="1">
      <c r="A244" s="156"/>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8.75" customHeight="1">
      <c r="A245" s="156"/>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8.75" customHeight="1">
      <c r="A246" s="156"/>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8.75" customHeight="1">
      <c r="A247" s="156"/>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8.75" customHeight="1">
      <c r="A248" s="156"/>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8.75" customHeight="1">
      <c r="A249" s="156"/>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8.75" customHeight="1">
      <c r="A250" s="156"/>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8.75" customHeight="1">
      <c r="A251" s="156"/>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8.75" customHeight="1">
      <c r="A252" s="156"/>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8.75" customHeight="1">
      <c r="A253" s="156"/>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8.75" customHeight="1">
      <c r="A254" s="156"/>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8.75" customHeight="1">
      <c r="A255" s="156"/>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8.75" customHeight="1">
      <c r="A256" s="156"/>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8.75" customHeight="1">
      <c r="A257" s="156"/>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8.75" customHeight="1">
      <c r="A258" s="156"/>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8.75" customHeight="1">
      <c r="A259" s="156"/>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8.75" customHeight="1">
      <c r="A260" s="156"/>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8.75" customHeight="1">
      <c r="A261" s="156"/>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8.75" customHeight="1">
      <c r="A262" s="156"/>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8.75" customHeight="1">
      <c r="A263" s="156"/>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8.75" customHeight="1">
      <c r="A264" s="156"/>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8.75" customHeight="1">
      <c r="A265" s="156"/>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8.75" customHeight="1">
      <c r="A266" s="156"/>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8.75" customHeight="1">
      <c r="A267" s="156"/>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8.75" customHeight="1">
      <c r="A268" s="156"/>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8.75" customHeight="1">
      <c r="A269" s="156"/>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8.75" customHeight="1">
      <c r="A270" s="156"/>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8.75" customHeight="1">
      <c r="A271" s="156"/>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8.75" customHeight="1">
      <c r="A272" s="156"/>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8.75" customHeight="1">
      <c r="A273" s="156"/>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8.75" customHeight="1">
      <c r="A274" s="156"/>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8.75" customHeight="1">
      <c r="A275" s="156"/>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8.75" customHeight="1">
      <c r="A276" s="156"/>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8.75" customHeight="1">
      <c r="A277" s="156"/>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8.75" customHeight="1">
      <c r="A278" s="156"/>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8.75" customHeight="1">
      <c r="A279" s="156"/>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8.75" customHeight="1">
      <c r="A280" s="156"/>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8.75" customHeight="1">
      <c r="A281" s="156"/>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8.75" customHeight="1">
      <c r="A282" s="156"/>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8.75" customHeight="1">
      <c r="A283" s="156"/>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8.75" customHeight="1">
      <c r="A284" s="156"/>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8.75" customHeight="1">
      <c r="A285" s="156"/>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8.75" customHeight="1">
      <c r="A286" s="156"/>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8.75" customHeight="1">
      <c r="A287" s="156"/>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8.75" customHeight="1">
      <c r="A288" s="156"/>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8.75" customHeight="1">
      <c r="A289" s="156"/>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8.75" customHeight="1">
      <c r="A290" s="156"/>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8.75" customHeight="1">
      <c r="A291" s="156"/>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8.75" customHeight="1">
      <c r="A292" s="156"/>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8.75" customHeight="1">
      <c r="A293" s="156"/>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8.75" customHeight="1">
      <c r="A294" s="156"/>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8.75" customHeight="1">
      <c r="A295" s="156"/>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8.75" customHeight="1">
      <c r="A296" s="156"/>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8.75" customHeight="1">
      <c r="A297" s="156"/>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8.75" customHeight="1">
      <c r="A298" s="156"/>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8.75" customHeight="1">
      <c r="A299" s="156"/>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8.75" customHeight="1">
      <c r="A300" s="156"/>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8.75" customHeight="1">
      <c r="A301" s="156"/>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8.75" customHeight="1">
      <c r="A302" s="156"/>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8.75" customHeight="1">
      <c r="A303" s="156"/>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8.75" customHeight="1">
      <c r="A304" s="156"/>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8.75" customHeight="1">
      <c r="A305" s="156"/>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8.75" customHeight="1">
      <c r="A306" s="156"/>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8.75" customHeight="1">
      <c r="A307" s="156"/>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8.75" customHeight="1">
      <c r="A308" s="156"/>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8.75" customHeight="1">
      <c r="A309" s="156"/>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8.75" customHeight="1">
      <c r="A310" s="156"/>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8.75" customHeight="1">
      <c r="A311" s="156"/>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8.75" customHeight="1">
      <c r="A312" s="156"/>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8.75" customHeight="1">
      <c r="A313" s="156"/>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8.75" customHeight="1">
      <c r="A314" s="156"/>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8.75" customHeight="1">
      <c r="A315" s="156"/>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8.75" customHeight="1">
      <c r="A316" s="156"/>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8.75" customHeight="1">
      <c r="A317" s="156"/>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8.75" customHeight="1">
      <c r="A318" s="156"/>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8.75" customHeight="1">
      <c r="A319" s="156"/>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8.75" customHeight="1">
      <c r="A320" s="156"/>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8.75" customHeight="1">
      <c r="A321" s="156"/>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8.75" customHeight="1">
      <c r="A322" s="156"/>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8.75" customHeight="1">
      <c r="A323" s="156"/>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8.75" customHeight="1">
      <c r="A324" s="156"/>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8.75" customHeight="1">
      <c r="A325" s="156"/>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8.75" customHeight="1">
      <c r="A326" s="156"/>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8.75" customHeight="1">
      <c r="A327" s="156"/>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8.75" customHeight="1">
      <c r="A328" s="156"/>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8.75" customHeight="1">
      <c r="A329" s="156"/>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8.75" customHeight="1">
      <c r="A330" s="156"/>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8.75" customHeight="1">
      <c r="A331" s="156"/>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8.75" customHeight="1">
      <c r="A332" s="156"/>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8.75" customHeight="1">
      <c r="A333" s="156"/>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8.75" customHeight="1">
      <c r="A334" s="156"/>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8.75" customHeight="1">
      <c r="A335" s="156"/>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8.75" customHeight="1">
      <c r="A336" s="156"/>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8.75" customHeight="1">
      <c r="A337" s="156"/>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8.75" customHeight="1">
      <c r="A338" s="156"/>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8.75" customHeight="1">
      <c r="A339" s="156"/>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8.75" customHeight="1">
      <c r="A340" s="156"/>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8.75" customHeight="1">
      <c r="A341" s="156"/>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8.75" customHeight="1">
      <c r="A342" s="156"/>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8.75" customHeight="1">
      <c r="A343" s="156"/>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8.75" customHeight="1">
      <c r="A344" s="156"/>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8.75" customHeight="1">
      <c r="A345" s="156"/>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8.75" customHeight="1">
      <c r="A346" s="156"/>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8.75" customHeight="1">
      <c r="A347" s="156"/>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8.75" customHeight="1">
      <c r="A348" s="156"/>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8.75" customHeight="1">
      <c r="A349" s="156"/>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8.75" customHeight="1">
      <c r="A350" s="156"/>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8.75" customHeight="1">
      <c r="A351" s="156"/>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8.75" customHeight="1">
      <c r="A352" s="156"/>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8.75" customHeight="1">
      <c r="A353" s="156"/>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8.75" customHeight="1">
      <c r="A354" s="156"/>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8.75" customHeight="1">
      <c r="A355" s="156"/>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8.75" customHeight="1">
      <c r="A356" s="156"/>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8.75" customHeight="1">
      <c r="A357" s="156"/>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8.75" customHeight="1">
      <c r="A358" s="156"/>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8.75" customHeight="1">
      <c r="A359" s="156"/>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8.75" customHeight="1">
      <c r="A360" s="156"/>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8.75" customHeight="1">
      <c r="A361" s="156"/>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8.75" customHeight="1">
      <c r="A362" s="156"/>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8.75" customHeight="1">
      <c r="A363" s="156"/>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8.75" customHeight="1">
      <c r="A364" s="156"/>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8.75" customHeight="1">
      <c r="A365" s="156"/>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8.75" customHeight="1">
      <c r="A366" s="156"/>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8.75" customHeight="1">
      <c r="A367" s="156"/>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8.75" customHeight="1">
      <c r="A368" s="156"/>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8.75" customHeight="1">
      <c r="A369" s="156"/>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8.75" customHeight="1">
      <c r="A370" s="156"/>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8.75" customHeight="1">
      <c r="A371" s="156"/>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8.75" customHeight="1">
      <c r="A372" s="156"/>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8.75" customHeight="1">
      <c r="A373" s="156"/>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8.75" customHeight="1">
      <c r="A374" s="156"/>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8.75" customHeight="1">
      <c r="A375" s="156"/>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8.75" customHeight="1">
      <c r="A376" s="156"/>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8.75" customHeight="1">
      <c r="A377" s="156"/>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8.75" customHeight="1">
      <c r="A378" s="156"/>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8.75" customHeight="1">
      <c r="A379" s="156"/>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8.75" customHeight="1">
      <c r="A380" s="156"/>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8.75" customHeight="1">
      <c r="A381" s="156"/>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8.75" customHeight="1">
      <c r="A382" s="156"/>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8.75" customHeight="1">
      <c r="A383" s="156"/>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8.75" customHeight="1">
      <c r="A384" s="156"/>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8.75" customHeight="1">
      <c r="A385" s="156"/>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8.75" customHeight="1">
      <c r="A386" s="156"/>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8.75" customHeight="1">
      <c r="A387" s="156"/>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8.75" customHeight="1">
      <c r="A388" s="156"/>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8.75" customHeight="1">
      <c r="A389" s="156"/>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8.75" customHeight="1">
      <c r="A390" s="156"/>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8.75" customHeight="1">
      <c r="A391" s="156"/>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8.75" customHeight="1">
      <c r="A392" s="156"/>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8.75" customHeight="1">
      <c r="A393" s="156"/>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8.75" customHeight="1">
      <c r="A394" s="156"/>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8.75" customHeight="1">
      <c r="A395" s="156"/>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8.75" customHeight="1">
      <c r="A396" s="156"/>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8.75" customHeight="1">
      <c r="A397" s="156"/>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8.75" customHeight="1">
      <c r="A398" s="156"/>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8.75" customHeight="1">
      <c r="A399" s="156"/>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8.75" customHeight="1">
      <c r="A400" s="156"/>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8.75" customHeight="1">
      <c r="A401" s="156"/>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8.75" customHeight="1">
      <c r="A402" s="156"/>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8.75" customHeight="1">
      <c r="A403" s="156"/>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8.75" customHeight="1">
      <c r="A404" s="156"/>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8.75" customHeight="1">
      <c r="A405" s="156"/>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8.75" customHeight="1">
      <c r="A406" s="156"/>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8.75" customHeight="1">
      <c r="A407" s="156"/>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8.75" customHeight="1">
      <c r="A408" s="156"/>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8.75" customHeight="1">
      <c r="A409" s="156"/>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8.75" customHeight="1">
      <c r="A410" s="156"/>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8.75" customHeight="1">
      <c r="A411" s="156"/>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8.75" customHeight="1">
      <c r="A412" s="156"/>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8.75" customHeight="1">
      <c r="A413" s="156"/>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8.75" customHeight="1">
      <c r="A414" s="156"/>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8.75" customHeight="1">
      <c r="A415" s="156"/>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8.75" customHeight="1">
      <c r="A416" s="156"/>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8.75" customHeight="1">
      <c r="A417" s="156"/>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8.75" customHeight="1">
      <c r="A418" s="156"/>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8.75" customHeight="1">
      <c r="A419" s="156"/>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8.75" customHeight="1">
      <c r="A420" s="156"/>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8.75" customHeight="1">
      <c r="A421" s="156"/>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8.75" customHeight="1">
      <c r="A422" s="156"/>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8.75" customHeight="1">
      <c r="A423" s="156"/>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8.75" customHeight="1">
      <c r="A424" s="156"/>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8.75" customHeight="1">
      <c r="A425" s="156"/>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8.75" customHeight="1">
      <c r="A426" s="156"/>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8.75" customHeight="1">
      <c r="A427" s="156"/>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8.75" customHeight="1">
      <c r="A428" s="156"/>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8.75" customHeight="1">
      <c r="A429" s="156"/>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8.75" customHeight="1">
      <c r="A430" s="156"/>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8.75" customHeight="1">
      <c r="A431" s="156"/>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8.75" customHeight="1">
      <c r="A432" s="156"/>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8.75" customHeight="1">
      <c r="A433" s="156"/>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8.75" customHeight="1">
      <c r="A434" s="156"/>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8.75" customHeight="1">
      <c r="A435" s="156"/>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8.75" customHeight="1">
      <c r="A436" s="156"/>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8.75" customHeight="1">
      <c r="A437" s="156"/>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8.75" customHeight="1">
      <c r="A438" s="156"/>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8.75" customHeight="1">
      <c r="A439" s="156"/>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8.75" customHeight="1">
      <c r="A440" s="156"/>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8.75" customHeight="1">
      <c r="A441" s="156"/>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8.75" customHeight="1">
      <c r="A442" s="156"/>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8.75" customHeight="1">
      <c r="A443" s="156"/>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8.75" customHeight="1">
      <c r="A444" s="156"/>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8.75" customHeight="1">
      <c r="A445" s="156"/>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8.75" customHeight="1">
      <c r="A446" s="156"/>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8.75" customHeight="1">
      <c r="A447" s="156"/>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8.75" customHeight="1">
      <c r="A448" s="156"/>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8.75" customHeight="1">
      <c r="A449" s="156"/>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8.75" customHeight="1">
      <c r="A450" s="156"/>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8.75" customHeight="1">
      <c r="A451" s="156"/>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8.75" customHeight="1">
      <c r="A452" s="156"/>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8.75" customHeight="1">
      <c r="A453" s="156"/>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8.75" customHeight="1">
      <c r="A454" s="156"/>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8.75" customHeight="1">
      <c r="A455" s="156"/>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8.75" customHeight="1">
      <c r="A456" s="156"/>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8.75" customHeight="1">
      <c r="A457" s="156"/>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8.75" customHeight="1">
      <c r="A458" s="156"/>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8.75" customHeight="1">
      <c r="A459" s="156"/>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8.75" customHeight="1">
      <c r="A460" s="156"/>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8.75" customHeight="1">
      <c r="A461" s="156"/>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8.75" customHeight="1">
      <c r="A462" s="156"/>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8.75" customHeight="1">
      <c r="A463" s="156"/>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8.75" customHeight="1">
      <c r="A464" s="156"/>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8.75" customHeight="1">
      <c r="A465" s="156"/>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8.75" customHeight="1">
      <c r="A466" s="156"/>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8.75" customHeight="1">
      <c r="A467" s="156"/>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8.75" customHeight="1">
      <c r="A468" s="156"/>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8.75" customHeight="1">
      <c r="A469" s="156"/>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8.75" customHeight="1">
      <c r="A470" s="156"/>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8.75" customHeight="1">
      <c r="A471" s="156"/>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8.75" customHeight="1">
      <c r="A472" s="156"/>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8.75" customHeight="1">
      <c r="A473" s="156"/>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8.75" customHeight="1">
      <c r="A474" s="156"/>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8.75" customHeight="1">
      <c r="A475" s="156"/>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8.75" customHeight="1">
      <c r="A476" s="156"/>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8.75" customHeight="1">
      <c r="A477" s="156"/>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8.75" customHeight="1">
      <c r="A478" s="156"/>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8.75" customHeight="1">
      <c r="A479" s="156"/>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8.75" customHeight="1">
      <c r="A480" s="156"/>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8.75" customHeight="1">
      <c r="A481" s="156"/>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8.75" customHeight="1">
      <c r="A482" s="156"/>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8.75" customHeight="1">
      <c r="A483" s="156"/>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8.75" customHeight="1">
      <c r="A484" s="156"/>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8.75" customHeight="1">
      <c r="A485" s="156"/>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8.75" customHeight="1">
      <c r="A486" s="156"/>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8.75" customHeight="1">
      <c r="A487" s="156"/>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8.75" customHeight="1">
      <c r="A488" s="156"/>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8.75" customHeight="1">
      <c r="A489" s="156"/>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8.75" customHeight="1">
      <c r="A490" s="156"/>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8.75" customHeight="1">
      <c r="A491" s="156"/>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8.75" customHeight="1">
      <c r="A492" s="156"/>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8.75" customHeight="1">
      <c r="A493" s="156"/>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8.75" customHeight="1">
      <c r="A494" s="156"/>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8.75" customHeight="1">
      <c r="A495" s="156"/>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8.75" customHeight="1">
      <c r="A496" s="156"/>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8.75" customHeight="1">
      <c r="A497" s="156"/>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8.75" customHeight="1">
      <c r="A498" s="156"/>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8.75" customHeight="1">
      <c r="A499" s="156"/>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8.75" customHeight="1">
      <c r="A500" s="156"/>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8.75" customHeight="1">
      <c r="A501" s="156"/>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8.75" customHeight="1">
      <c r="A502" s="156"/>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8.75" customHeight="1">
      <c r="A503" s="156"/>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8.75" customHeight="1">
      <c r="A504" s="156"/>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8.75" customHeight="1">
      <c r="A505" s="156"/>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8.75" customHeight="1">
      <c r="A506" s="156"/>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8.75" customHeight="1">
      <c r="A507" s="156"/>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8.75" customHeight="1">
      <c r="A508" s="156"/>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8.75" customHeight="1">
      <c r="A509" s="156"/>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8.75" customHeight="1">
      <c r="A510" s="156"/>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8.75" customHeight="1">
      <c r="A511" s="156"/>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8.75" customHeight="1">
      <c r="A512" s="156"/>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8.75" customHeight="1">
      <c r="A513" s="156"/>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8.75" customHeight="1">
      <c r="A514" s="156"/>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8.75" customHeight="1">
      <c r="A515" s="156"/>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8.75" customHeight="1">
      <c r="A516" s="156"/>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8.75" customHeight="1">
      <c r="A517" s="156"/>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8.75" customHeight="1">
      <c r="A518" s="156"/>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8.75" customHeight="1">
      <c r="A519" s="156"/>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8.75" customHeight="1">
      <c r="A520" s="156"/>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8.75" customHeight="1">
      <c r="A521" s="156"/>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8.75" customHeight="1">
      <c r="A522" s="156"/>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8.75" customHeight="1">
      <c r="A523" s="156"/>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8.75" customHeight="1">
      <c r="A524" s="156"/>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8.75" customHeight="1">
      <c r="A525" s="156"/>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8.75" customHeight="1">
      <c r="A526" s="156"/>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8.75" customHeight="1">
      <c r="A527" s="156"/>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8.75" customHeight="1">
      <c r="A528" s="156"/>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8.75" customHeight="1">
      <c r="A529" s="156"/>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8.75" customHeight="1">
      <c r="A530" s="156"/>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8.75" customHeight="1">
      <c r="A531" s="156"/>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8.75" customHeight="1">
      <c r="A532" s="156"/>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8.75" customHeight="1">
      <c r="A533" s="156"/>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8.75" customHeight="1">
      <c r="A534" s="156"/>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8.75" customHeight="1">
      <c r="A535" s="156"/>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8.75" customHeight="1">
      <c r="A536" s="156"/>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8.75" customHeight="1">
      <c r="A537" s="156"/>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8.75" customHeight="1">
      <c r="A538" s="156"/>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8.75" customHeight="1">
      <c r="A539" s="156"/>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8.75" customHeight="1">
      <c r="A540" s="156"/>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8.75" customHeight="1">
      <c r="A541" s="156"/>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8.75" customHeight="1">
      <c r="A542" s="156"/>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8.75" customHeight="1">
      <c r="A543" s="156"/>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8.75" customHeight="1">
      <c r="A544" s="156"/>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8.75" customHeight="1">
      <c r="A545" s="156"/>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8.75" customHeight="1">
      <c r="A546" s="156"/>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8.75" customHeight="1">
      <c r="A547" s="156"/>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8.75" customHeight="1">
      <c r="A548" s="156"/>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8.75" customHeight="1">
      <c r="A549" s="156"/>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8.75" customHeight="1">
      <c r="A550" s="156"/>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8.75" customHeight="1">
      <c r="A551" s="156"/>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8.75" customHeight="1">
      <c r="A552" s="156"/>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8.75" customHeight="1">
      <c r="A553" s="156"/>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8.75" customHeight="1">
      <c r="A554" s="156"/>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8.75" customHeight="1">
      <c r="A555" s="156"/>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8.75" customHeight="1">
      <c r="A556" s="156"/>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8.75" customHeight="1">
      <c r="A557" s="156"/>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8.75" customHeight="1">
      <c r="A558" s="156"/>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8.75" customHeight="1">
      <c r="A559" s="156"/>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8.75" customHeight="1">
      <c r="A560" s="156"/>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8.75" customHeight="1">
      <c r="A561" s="156"/>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8.75" customHeight="1">
      <c r="A562" s="156"/>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8.75" customHeight="1">
      <c r="A563" s="156"/>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8.75" customHeight="1">
      <c r="A564" s="156"/>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8.75" customHeight="1">
      <c r="A565" s="156"/>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8.75" customHeight="1">
      <c r="A566" s="156"/>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8.75" customHeight="1">
      <c r="A567" s="156"/>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8.75" customHeight="1">
      <c r="A568" s="156"/>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8.75" customHeight="1">
      <c r="A569" s="156"/>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8.75" customHeight="1">
      <c r="A570" s="156"/>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8.75" customHeight="1">
      <c r="A571" s="156"/>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8.75" customHeight="1">
      <c r="A572" s="156"/>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8.75" customHeight="1">
      <c r="A573" s="156"/>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8.75" customHeight="1">
      <c r="A574" s="156"/>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8.75" customHeight="1">
      <c r="A575" s="156"/>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8.75" customHeight="1">
      <c r="A576" s="156"/>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8.75" customHeight="1">
      <c r="A577" s="156"/>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8.75" customHeight="1">
      <c r="A578" s="156"/>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8.75" customHeight="1">
      <c r="A579" s="156"/>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8.75" customHeight="1">
      <c r="A580" s="156"/>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8.75" customHeight="1">
      <c r="A581" s="156"/>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8.75" customHeight="1">
      <c r="A582" s="156"/>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8.75" customHeight="1">
      <c r="A583" s="156"/>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8.75" customHeight="1">
      <c r="A584" s="156"/>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8.75" customHeight="1">
      <c r="A585" s="156"/>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8.75" customHeight="1">
      <c r="A586" s="156"/>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8.75" customHeight="1">
      <c r="A587" s="156"/>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8.75" customHeight="1">
      <c r="A588" s="156"/>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8.75" customHeight="1">
      <c r="A589" s="156"/>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8.75" customHeight="1">
      <c r="A590" s="156"/>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8.75" customHeight="1">
      <c r="A591" s="156"/>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8.75" customHeight="1">
      <c r="A592" s="156"/>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8.75" customHeight="1">
      <c r="A593" s="156"/>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8.75" customHeight="1">
      <c r="A594" s="156"/>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8.75" customHeight="1">
      <c r="A595" s="156"/>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8.75" customHeight="1">
      <c r="A596" s="156"/>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8.75" customHeight="1">
      <c r="A597" s="156"/>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8.75" customHeight="1">
      <c r="A598" s="156"/>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8.75" customHeight="1">
      <c r="A599" s="156"/>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8.75" customHeight="1">
      <c r="A600" s="156"/>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8.75" customHeight="1">
      <c r="A601" s="156"/>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8.75" customHeight="1">
      <c r="A602" s="156"/>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8.75" customHeight="1">
      <c r="A603" s="156"/>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8.75" customHeight="1">
      <c r="A604" s="156"/>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8.75" customHeight="1">
      <c r="A605" s="156"/>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8.75" customHeight="1">
      <c r="A606" s="156"/>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8.75" customHeight="1">
      <c r="A607" s="156"/>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8.75" customHeight="1">
      <c r="A608" s="156"/>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8.75" customHeight="1">
      <c r="A609" s="156"/>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8.75" customHeight="1">
      <c r="A610" s="156"/>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8.75" customHeight="1">
      <c r="A611" s="156"/>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8.75" customHeight="1">
      <c r="A612" s="156"/>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8.75" customHeight="1">
      <c r="A613" s="156"/>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8.75" customHeight="1">
      <c r="A614" s="156"/>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8.75" customHeight="1">
      <c r="A615" s="156"/>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8.75" customHeight="1">
      <c r="A616" s="156"/>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8.75" customHeight="1">
      <c r="A617" s="156"/>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8.75" customHeight="1">
      <c r="A618" s="156"/>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8.75" customHeight="1">
      <c r="A619" s="156"/>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8.75" customHeight="1">
      <c r="A620" s="156"/>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8.75" customHeight="1">
      <c r="A621" s="156"/>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8.75" customHeight="1">
      <c r="A622" s="156"/>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8.75" customHeight="1">
      <c r="A623" s="156"/>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8.75" customHeight="1">
      <c r="A624" s="156"/>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8.75" customHeight="1">
      <c r="A625" s="156"/>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8.75" customHeight="1">
      <c r="A626" s="156"/>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8.75" customHeight="1">
      <c r="A627" s="156"/>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8.75" customHeight="1">
      <c r="A628" s="156"/>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8.75" customHeight="1">
      <c r="A629" s="156"/>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8.75" customHeight="1">
      <c r="A630" s="156"/>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8.75" customHeight="1">
      <c r="A631" s="156"/>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8.75" customHeight="1">
      <c r="A632" s="156"/>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8.75" customHeight="1">
      <c r="A633" s="156"/>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8.75" customHeight="1">
      <c r="A634" s="156"/>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8.75" customHeight="1">
      <c r="A635" s="156"/>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8.75" customHeight="1">
      <c r="A636" s="156"/>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8.75" customHeight="1">
      <c r="A637" s="156"/>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8.75" customHeight="1">
      <c r="A638" s="156"/>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8.75" customHeight="1">
      <c r="A639" s="156"/>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8.75" customHeight="1">
      <c r="A640" s="156"/>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8.75" customHeight="1">
      <c r="A641" s="156"/>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8.75" customHeight="1">
      <c r="A642" s="156"/>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8.75" customHeight="1">
      <c r="A643" s="156"/>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8.75" customHeight="1">
      <c r="A644" s="156"/>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8.75" customHeight="1">
      <c r="A645" s="156"/>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8.75" customHeight="1">
      <c r="A646" s="156"/>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8.75" customHeight="1">
      <c r="A647" s="156"/>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8.75" customHeight="1">
      <c r="A648" s="156"/>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8.75" customHeight="1">
      <c r="A649" s="156"/>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8.75" customHeight="1">
      <c r="A650" s="156"/>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8.75" customHeight="1">
      <c r="A651" s="156"/>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8.75" customHeight="1">
      <c r="A652" s="156"/>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8.75" customHeight="1">
      <c r="A653" s="156"/>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8.75" customHeight="1">
      <c r="A654" s="156"/>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8.75" customHeight="1">
      <c r="A655" s="156"/>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8.75" customHeight="1">
      <c r="A656" s="156"/>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8.75" customHeight="1">
      <c r="A657" s="156"/>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8.75" customHeight="1">
      <c r="A658" s="156"/>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8.75" customHeight="1">
      <c r="A659" s="156"/>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8.75" customHeight="1">
      <c r="A660" s="156"/>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8.75" customHeight="1">
      <c r="A661" s="156"/>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8.75" customHeight="1">
      <c r="A662" s="156"/>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8.75" customHeight="1">
      <c r="A663" s="156"/>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8.75" customHeight="1">
      <c r="A664" s="156"/>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8.75" customHeight="1">
      <c r="A665" s="156"/>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8.75" customHeight="1">
      <c r="A666" s="156"/>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8.75" customHeight="1">
      <c r="A667" s="156"/>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8.75" customHeight="1">
      <c r="A668" s="156"/>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8.75" customHeight="1">
      <c r="A669" s="156"/>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8.75" customHeight="1">
      <c r="A670" s="156"/>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8.75" customHeight="1">
      <c r="A671" s="156"/>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8.75" customHeight="1">
      <c r="A672" s="156"/>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8.75" customHeight="1">
      <c r="A673" s="156"/>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8.75" customHeight="1">
      <c r="A674" s="156"/>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8.75" customHeight="1">
      <c r="A675" s="156"/>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8.75" customHeight="1">
      <c r="A676" s="156"/>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8.75" customHeight="1">
      <c r="A677" s="156"/>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8.75" customHeight="1">
      <c r="A678" s="156"/>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8.75" customHeight="1">
      <c r="A679" s="156"/>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8.75" customHeight="1">
      <c r="A680" s="156"/>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8.75" customHeight="1">
      <c r="A681" s="156"/>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8.75" customHeight="1">
      <c r="A682" s="156"/>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8.75" customHeight="1">
      <c r="A683" s="156"/>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8.75" customHeight="1">
      <c r="A684" s="156"/>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8.75" customHeight="1">
      <c r="A685" s="156"/>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8.75" customHeight="1">
      <c r="A686" s="156"/>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8.75" customHeight="1">
      <c r="A687" s="156"/>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8.75" customHeight="1">
      <c r="A688" s="156"/>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8.75" customHeight="1">
      <c r="A689" s="156"/>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8.75" customHeight="1">
      <c r="A690" s="156"/>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8.75" customHeight="1">
      <c r="A691" s="156"/>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8.75" customHeight="1">
      <c r="A692" s="156"/>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8.75" customHeight="1">
      <c r="A693" s="156"/>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8.75" customHeight="1">
      <c r="A694" s="156"/>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8.75" customHeight="1">
      <c r="A695" s="156"/>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8.75" customHeight="1">
      <c r="A696" s="156"/>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8.75" customHeight="1">
      <c r="A697" s="156"/>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8.75" customHeight="1">
      <c r="A698" s="156"/>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8.75" customHeight="1">
      <c r="A699" s="156"/>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8.75" customHeight="1">
      <c r="A700" s="156"/>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8.75" customHeight="1">
      <c r="A701" s="156"/>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8.75" customHeight="1">
      <c r="A702" s="156"/>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8.75" customHeight="1">
      <c r="A703" s="156"/>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8.75" customHeight="1">
      <c r="A704" s="156"/>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8.75" customHeight="1">
      <c r="A705" s="156"/>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8.75" customHeight="1">
      <c r="A706" s="156"/>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8.75" customHeight="1">
      <c r="A707" s="156"/>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8.75" customHeight="1">
      <c r="A708" s="156"/>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8.75" customHeight="1">
      <c r="A709" s="156"/>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8.75" customHeight="1">
      <c r="A710" s="156"/>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8.75" customHeight="1">
      <c r="A711" s="156"/>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8.75" customHeight="1">
      <c r="A712" s="156"/>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8.75" customHeight="1">
      <c r="A713" s="156"/>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8.75" customHeight="1">
      <c r="A714" s="156"/>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8.75" customHeight="1">
      <c r="A715" s="156"/>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8.75" customHeight="1">
      <c r="A716" s="156"/>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8.75" customHeight="1">
      <c r="A717" s="156"/>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8.75" customHeight="1">
      <c r="A718" s="156"/>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8.75" customHeight="1">
      <c r="A719" s="156"/>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8.75" customHeight="1">
      <c r="A720" s="156"/>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8.75" customHeight="1">
      <c r="A721" s="156"/>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8.75" customHeight="1">
      <c r="A722" s="156"/>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8.75" customHeight="1">
      <c r="A723" s="156"/>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8.75" customHeight="1">
      <c r="A724" s="156"/>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8.75" customHeight="1">
      <c r="A725" s="156"/>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8.75" customHeight="1">
      <c r="A726" s="156"/>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8.75" customHeight="1">
      <c r="A727" s="156"/>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8.75" customHeight="1">
      <c r="A728" s="156"/>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8.75" customHeight="1">
      <c r="A729" s="156"/>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8.75" customHeight="1">
      <c r="A730" s="156"/>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8.75" customHeight="1">
      <c r="A731" s="156"/>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8.75" customHeight="1">
      <c r="A732" s="156"/>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8.75" customHeight="1">
      <c r="A733" s="156"/>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8.75" customHeight="1">
      <c r="A734" s="156"/>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8.75" customHeight="1">
      <c r="A735" s="156"/>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8.75" customHeight="1">
      <c r="A736" s="156"/>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8.75" customHeight="1">
      <c r="A737" s="156"/>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8.75" customHeight="1">
      <c r="A738" s="156"/>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8.75" customHeight="1">
      <c r="A739" s="156"/>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8.75" customHeight="1">
      <c r="A740" s="156"/>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8.75" customHeight="1">
      <c r="A741" s="156"/>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8.75" customHeight="1">
      <c r="A742" s="156"/>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8.75" customHeight="1">
      <c r="A743" s="156"/>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8.75" customHeight="1">
      <c r="A744" s="156"/>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8.75" customHeight="1">
      <c r="A745" s="156"/>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8.75" customHeight="1">
      <c r="A746" s="156"/>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8.75" customHeight="1">
      <c r="A747" s="156"/>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8.75" customHeight="1">
      <c r="A748" s="156"/>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8.75" customHeight="1">
      <c r="A749" s="156"/>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8.75" customHeight="1">
      <c r="A750" s="156"/>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8.75" customHeight="1">
      <c r="A751" s="156"/>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8.75" customHeight="1">
      <c r="A752" s="156"/>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8.75" customHeight="1">
      <c r="A753" s="156"/>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8.75" customHeight="1">
      <c r="A754" s="156"/>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8.75" customHeight="1">
      <c r="A755" s="156"/>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8.75" customHeight="1">
      <c r="A756" s="156"/>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8.75" customHeight="1">
      <c r="A757" s="156"/>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8.75" customHeight="1">
      <c r="A758" s="156"/>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8.75" customHeight="1">
      <c r="A759" s="156"/>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8.75" customHeight="1">
      <c r="A760" s="156"/>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8.75" customHeight="1">
      <c r="A761" s="156"/>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8.75" customHeight="1">
      <c r="A762" s="156"/>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8.75" customHeight="1">
      <c r="A763" s="156"/>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8.75" customHeight="1">
      <c r="A764" s="156"/>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8.75" customHeight="1">
      <c r="A765" s="156"/>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8.75" customHeight="1">
      <c r="A766" s="156"/>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8.75" customHeight="1">
      <c r="A767" s="156"/>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8.75" customHeight="1">
      <c r="A768" s="156"/>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8.75" customHeight="1">
      <c r="A769" s="156"/>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8.75" customHeight="1">
      <c r="A770" s="156"/>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8.75" customHeight="1">
      <c r="A771" s="156"/>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8.75" customHeight="1">
      <c r="A772" s="156"/>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8.75" customHeight="1">
      <c r="A773" s="156"/>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8.75" customHeight="1">
      <c r="A774" s="156"/>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8.75" customHeight="1">
      <c r="A775" s="156"/>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8.75" customHeight="1">
      <c r="A776" s="156"/>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8.75" customHeight="1">
      <c r="A777" s="156"/>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8.75" customHeight="1">
      <c r="A778" s="156"/>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8.75" customHeight="1">
      <c r="A779" s="156"/>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8.75" customHeight="1">
      <c r="A780" s="156"/>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8.75" customHeight="1">
      <c r="A781" s="156"/>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8.75" customHeight="1">
      <c r="A782" s="156"/>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8.75" customHeight="1">
      <c r="A783" s="156"/>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8.75" customHeight="1">
      <c r="A784" s="156"/>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8.75" customHeight="1">
      <c r="A785" s="156"/>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8.75" customHeight="1">
      <c r="A786" s="156"/>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8.75" customHeight="1">
      <c r="A787" s="156"/>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8.75" customHeight="1">
      <c r="A788" s="156"/>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8.75" customHeight="1">
      <c r="A789" s="156"/>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8.75" customHeight="1">
      <c r="A790" s="156"/>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8.75" customHeight="1">
      <c r="A791" s="156"/>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8.75" customHeight="1">
      <c r="A792" s="156"/>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8.75" customHeight="1">
      <c r="A793" s="156"/>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8.75" customHeight="1">
      <c r="A794" s="156"/>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8.75" customHeight="1">
      <c r="A795" s="156"/>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8.75" customHeight="1">
      <c r="A796" s="156"/>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8.75" customHeight="1">
      <c r="A797" s="156"/>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8.75" customHeight="1">
      <c r="A798" s="156"/>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8.75" customHeight="1">
      <c r="A799" s="156"/>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8.75" customHeight="1">
      <c r="A800" s="156"/>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8.75" customHeight="1">
      <c r="A801" s="156"/>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8.75" customHeight="1">
      <c r="A802" s="156"/>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8.75" customHeight="1">
      <c r="A803" s="156"/>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8.75" customHeight="1">
      <c r="A804" s="156"/>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8.75" customHeight="1">
      <c r="A805" s="156"/>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8.75" customHeight="1">
      <c r="A806" s="156"/>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8.75" customHeight="1">
      <c r="A807" s="156"/>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8.75" customHeight="1">
      <c r="A808" s="156"/>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8.75" customHeight="1">
      <c r="A809" s="156"/>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8.75" customHeight="1">
      <c r="A810" s="156"/>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8.75" customHeight="1">
      <c r="A811" s="156"/>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8.75" customHeight="1">
      <c r="A812" s="156"/>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8.75" customHeight="1">
      <c r="A813" s="156"/>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8.75" customHeight="1">
      <c r="A814" s="156"/>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8.75" customHeight="1">
      <c r="A815" s="156"/>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8.75" customHeight="1">
      <c r="A816" s="156"/>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8.75" customHeight="1">
      <c r="A817" s="156"/>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8.75" customHeight="1">
      <c r="A818" s="156"/>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8.75" customHeight="1">
      <c r="A819" s="156"/>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8.75" customHeight="1">
      <c r="A820" s="156"/>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8.75" customHeight="1">
      <c r="A821" s="156"/>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8.75" customHeight="1">
      <c r="A822" s="156"/>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8.75" customHeight="1">
      <c r="A823" s="156"/>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8.75" customHeight="1">
      <c r="A824" s="156"/>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8.75" customHeight="1">
      <c r="A825" s="156"/>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8.75" customHeight="1">
      <c r="A826" s="156"/>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8.75" customHeight="1">
      <c r="A827" s="156"/>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8.75" customHeight="1">
      <c r="A828" s="156"/>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8.75" customHeight="1">
      <c r="A829" s="156"/>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8.75" customHeight="1">
      <c r="A830" s="156"/>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8.75" customHeight="1">
      <c r="A831" s="156"/>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8.75" customHeight="1">
      <c r="A832" s="156"/>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8.75" customHeight="1">
      <c r="A833" s="156"/>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8.75" customHeight="1">
      <c r="A834" s="156"/>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8.75" customHeight="1">
      <c r="A835" s="156"/>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8.75" customHeight="1">
      <c r="A836" s="156"/>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8.75" customHeight="1">
      <c r="A837" s="156"/>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8.75" customHeight="1">
      <c r="A838" s="156"/>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8.75" customHeight="1">
      <c r="A839" s="156"/>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8.75" customHeight="1">
      <c r="A840" s="156"/>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8.75" customHeight="1">
      <c r="A841" s="156"/>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8.75" customHeight="1">
      <c r="A842" s="156"/>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8.75" customHeight="1">
      <c r="A843" s="156"/>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8.75" customHeight="1">
      <c r="A844" s="156"/>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8.75" customHeight="1">
      <c r="A845" s="156"/>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8.75" customHeight="1">
      <c r="A846" s="156"/>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8.75" customHeight="1">
      <c r="A847" s="156"/>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8.75" customHeight="1">
      <c r="A848" s="156"/>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8.75" customHeight="1">
      <c r="A849" s="156"/>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8.75" customHeight="1">
      <c r="A850" s="156"/>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8.75" customHeight="1">
      <c r="A851" s="156"/>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8.75" customHeight="1">
      <c r="A852" s="156"/>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8.75" customHeight="1">
      <c r="A853" s="156"/>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8.75" customHeight="1">
      <c r="A854" s="156"/>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8.75" customHeight="1">
      <c r="A855" s="156"/>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8.75" customHeight="1">
      <c r="A856" s="156"/>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8.75" customHeight="1">
      <c r="A857" s="156"/>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8.75" customHeight="1">
      <c r="A858" s="156"/>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8.75" customHeight="1">
      <c r="A859" s="156"/>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8.75" customHeight="1">
      <c r="A860" s="156"/>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8.75" customHeight="1">
      <c r="A861" s="156"/>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8.75" customHeight="1">
      <c r="A862" s="156"/>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8.75" customHeight="1">
      <c r="A863" s="156"/>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8.75" customHeight="1">
      <c r="A864" s="156"/>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8.75" customHeight="1">
      <c r="A865" s="156"/>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8.75" customHeight="1">
      <c r="A866" s="156"/>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8.75" customHeight="1">
      <c r="A867" s="156"/>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8.75" customHeight="1">
      <c r="A868" s="156"/>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8.75" customHeight="1">
      <c r="A869" s="156"/>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8.75" customHeight="1">
      <c r="A870" s="156"/>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8.75" customHeight="1">
      <c r="A871" s="156"/>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8.75" customHeight="1">
      <c r="A872" s="156"/>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8.75" customHeight="1">
      <c r="A873" s="156"/>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8.75" customHeight="1">
      <c r="A874" s="156"/>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8.75" customHeight="1">
      <c r="A875" s="156"/>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8.75" customHeight="1">
      <c r="A876" s="156"/>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8.75" customHeight="1">
      <c r="A877" s="156"/>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8.75" customHeight="1">
      <c r="A878" s="156"/>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8.75" customHeight="1">
      <c r="A879" s="156"/>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8.75" customHeight="1">
      <c r="A880" s="156"/>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8.75" customHeight="1">
      <c r="A881" s="156"/>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8.75" customHeight="1">
      <c r="A882" s="156"/>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8.75" customHeight="1">
      <c r="A883" s="156"/>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8.75" customHeight="1">
      <c r="A884" s="156"/>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8.75" customHeight="1">
      <c r="A885" s="156"/>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8.75" customHeight="1">
      <c r="A886" s="156"/>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8.75" customHeight="1">
      <c r="A887" s="156"/>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8.75" customHeight="1">
      <c r="A888" s="156"/>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8.75" customHeight="1">
      <c r="A889" s="156"/>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8.75" customHeight="1">
      <c r="A890" s="156"/>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8.75" customHeight="1">
      <c r="A891" s="156"/>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8.75" customHeight="1">
      <c r="A892" s="156"/>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8.75" customHeight="1">
      <c r="A893" s="156"/>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8.75" customHeight="1">
      <c r="A894" s="156"/>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8.75" customHeight="1">
      <c r="A895" s="156"/>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8.75" customHeight="1">
      <c r="A896" s="156"/>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8.75" customHeight="1">
      <c r="A897" s="156"/>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8.75" customHeight="1">
      <c r="A898" s="156"/>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8.75" customHeight="1">
      <c r="A899" s="156"/>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8.75" customHeight="1">
      <c r="A900" s="156"/>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8.75" customHeight="1">
      <c r="A901" s="156"/>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8.75" customHeight="1">
      <c r="A902" s="156"/>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8.75" customHeight="1">
      <c r="A903" s="156"/>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8.75" customHeight="1">
      <c r="A904" s="156"/>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8.75" customHeight="1">
      <c r="A905" s="156"/>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8.75" customHeight="1">
      <c r="A906" s="156"/>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8.75" customHeight="1">
      <c r="A907" s="156"/>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8.75" customHeight="1">
      <c r="A908" s="156"/>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8.75" customHeight="1">
      <c r="A909" s="156"/>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8.75" customHeight="1">
      <c r="A910" s="156"/>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8.75" customHeight="1">
      <c r="A911" s="156"/>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8.75" customHeight="1">
      <c r="A912" s="156"/>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8.75" customHeight="1">
      <c r="A913" s="156"/>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8.75" customHeight="1">
      <c r="A914" s="156"/>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8.75" customHeight="1">
      <c r="A915" s="156"/>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8.75" customHeight="1">
      <c r="A916" s="156"/>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8.75" customHeight="1">
      <c r="A917" s="156"/>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8.75" customHeight="1">
      <c r="A918" s="156"/>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8.75" customHeight="1">
      <c r="A919" s="156"/>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8.75" customHeight="1">
      <c r="A920" s="156"/>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8.75" customHeight="1">
      <c r="A921" s="156"/>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8.75" customHeight="1">
      <c r="A922" s="156"/>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8.75" customHeight="1">
      <c r="A923" s="156"/>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8.75" customHeight="1">
      <c r="A924" s="156"/>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8.75" customHeight="1">
      <c r="A925" s="156"/>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8.75" customHeight="1">
      <c r="A926" s="156"/>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8.75" customHeight="1">
      <c r="A927" s="156"/>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8.75" customHeight="1">
      <c r="A928" s="156"/>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8.75" customHeight="1">
      <c r="A929" s="156"/>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8.75" customHeight="1">
      <c r="A930" s="156"/>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8.75" customHeight="1">
      <c r="A931" s="156"/>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8.75" customHeight="1">
      <c r="A932" s="156"/>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8.75" customHeight="1">
      <c r="A933" s="156"/>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8.75" customHeight="1">
      <c r="A934" s="156"/>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8.75" customHeight="1">
      <c r="A935" s="156"/>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8.75" customHeight="1">
      <c r="A936" s="156"/>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8.75" customHeight="1">
      <c r="A937" s="156"/>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8.75" customHeight="1">
      <c r="A938" s="156"/>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8.75" customHeight="1">
      <c r="A939" s="156"/>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8.75" customHeight="1">
      <c r="A940" s="156"/>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8.75" customHeight="1">
      <c r="A941" s="156"/>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8.75" customHeight="1">
      <c r="A942" s="156"/>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8.75" customHeight="1">
      <c r="A943" s="156"/>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8.75" customHeight="1">
      <c r="A944" s="156"/>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8.75" customHeight="1">
      <c r="A945" s="156"/>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8.75" customHeight="1">
      <c r="A946" s="156"/>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8.75" customHeight="1">
      <c r="A947" s="156"/>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8.75" customHeight="1">
      <c r="A948" s="156"/>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8.75" customHeight="1">
      <c r="A949" s="156"/>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8.75" customHeight="1">
      <c r="A950" s="156"/>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8.75" customHeight="1">
      <c r="A951" s="156"/>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8.75" customHeight="1">
      <c r="A952" s="156"/>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8.75" customHeight="1">
      <c r="A953" s="156"/>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8.75" customHeight="1">
      <c r="A954" s="156"/>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8.75" customHeight="1">
      <c r="A955" s="156"/>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8.75" customHeight="1">
      <c r="A956" s="156"/>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8.75" customHeight="1">
      <c r="A957" s="156"/>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8.75" customHeight="1">
      <c r="A958" s="156"/>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8.75" customHeight="1">
      <c r="A959" s="156"/>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8.75" customHeight="1">
      <c r="A960" s="156"/>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8.75" customHeight="1">
      <c r="A961" s="156"/>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8.75" customHeight="1">
      <c r="A962" s="156"/>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8.75" customHeight="1">
      <c r="A963" s="156"/>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8.75" customHeight="1">
      <c r="A964" s="156"/>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8.75" customHeight="1">
      <c r="A965" s="156"/>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8.75" customHeight="1">
      <c r="A966" s="156"/>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8.75" customHeight="1">
      <c r="A967" s="156"/>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8.75" customHeight="1">
      <c r="A968" s="156"/>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8.75" customHeight="1">
      <c r="A969" s="156"/>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8.75" customHeight="1">
      <c r="A970" s="156"/>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8.75" customHeight="1">
      <c r="A971" s="156"/>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8.75" customHeight="1">
      <c r="A972" s="156"/>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8.75" customHeight="1">
      <c r="A973" s="156"/>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8.75" customHeight="1">
      <c r="A974" s="156"/>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8.75" customHeight="1">
      <c r="A975" s="156"/>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8.75" customHeight="1">
      <c r="A976" s="156"/>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8.75" customHeight="1">
      <c r="A977" s="156"/>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8.75" customHeight="1">
      <c r="A978" s="156"/>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8.75" customHeight="1">
      <c r="A979" s="156"/>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8.75" customHeight="1">
      <c r="A980" s="156"/>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8.75" customHeight="1">
      <c r="A981" s="156"/>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8.75" customHeight="1">
      <c r="A982" s="156"/>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8.75" customHeight="1">
      <c r="A983" s="156"/>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8.75" customHeight="1">
      <c r="A984" s="156"/>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8.75" customHeight="1">
      <c r="A985" s="156"/>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8.75" customHeight="1">
      <c r="A986" s="156"/>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8.75" customHeight="1">
      <c r="A987" s="156"/>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8.75" customHeight="1">
      <c r="A988" s="156"/>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8.75" customHeight="1">
      <c r="A989" s="156"/>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8.75" customHeight="1">
      <c r="A990" s="156"/>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8.75" customHeight="1">
      <c r="A991" s="156"/>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8.75" customHeight="1">
      <c r="A992" s="156"/>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8.75" customHeight="1">
      <c r="A993" s="156"/>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8.75" customHeight="1">
      <c r="A994" s="156"/>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8.75" customHeight="1">
      <c r="A995" s="156"/>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8.75" customHeight="1">
      <c r="A996" s="156"/>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8.75" customHeight="1">
      <c r="A997" s="156"/>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8.75" customHeight="1">
      <c r="A998" s="156"/>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8.75" customHeight="1">
      <c r="A999" s="156"/>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8.75" customHeight="1">
      <c r="A1000" s="156"/>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2">
    <mergeCell ref="A3:E3"/>
    <mergeCell ref="B5:E5"/>
    <mergeCell ref="B9:E9"/>
    <mergeCell ref="B12:E12"/>
    <mergeCell ref="B16:E16"/>
    <mergeCell ref="B19:E19"/>
    <mergeCell ref="B22:E22"/>
    <mergeCell ref="C38:E38"/>
    <mergeCell ref="B40:E40"/>
    <mergeCell ref="C41:E41"/>
    <mergeCell ref="B43:E43"/>
    <mergeCell ref="C44:E44"/>
    <mergeCell ref="B46:E46"/>
    <mergeCell ref="C47:E47"/>
    <mergeCell ref="B49:E50"/>
    <mergeCell ref="C23:E23"/>
    <mergeCell ref="B25:E25"/>
    <mergeCell ref="C26:E26"/>
    <mergeCell ref="B28:E28"/>
    <mergeCell ref="B34:E34"/>
    <mergeCell ref="C35:E35"/>
    <mergeCell ref="B37:E37"/>
  </mergeCells>
  <dataValidations>
    <dataValidation type="decimal" allowBlank="1" showErrorMessage="1" sqref="C6:C7 C10">
      <formula1>0.0</formula1>
      <formula2>99999.0</formula2>
    </dataValidation>
  </dataValidations>
  <printOptions horizontalCentered="1"/>
  <pageMargins bottom="0.3937007874015748" footer="0.0" header="0.0" left="0.5905511811023623" right="0.5905511811023623" top="0.7874015748031497"/>
  <pageSetup fitToHeight="0"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86"/>
    <col customWidth="1" min="2" max="2" width="7.29"/>
    <col customWidth="1" min="3" max="3" width="31.14"/>
    <col customWidth="1" min="4" max="4" width="77.14"/>
    <col customWidth="1" min="5" max="5" width="7.71"/>
    <col customWidth="1" min="6" max="26" width="11.29"/>
  </cols>
  <sheetData>
    <row r="1" ht="18.75" customHeight="1">
      <c r="A1" s="4" t="s">
        <v>143</v>
      </c>
      <c r="B1" s="4"/>
      <c r="C1" s="4"/>
      <c r="D1" s="4"/>
      <c r="E1" s="5" t="s">
        <v>144</v>
      </c>
      <c r="F1" s="4"/>
      <c r="G1" s="4"/>
      <c r="H1" s="4"/>
      <c r="I1" s="4"/>
      <c r="J1" s="4"/>
      <c r="K1" s="4"/>
      <c r="L1" s="4"/>
      <c r="M1" s="4"/>
      <c r="N1" s="4"/>
      <c r="O1" s="4"/>
      <c r="P1" s="4"/>
      <c r="Q1" s="4"/>
      <c r="R1" s="4"/>
      <c r="S1" s="4"/>
      <c r="T1" s="4"/>
      <c r="U1" s="4"/>
      <c r="V1" s="4"/>
      <c r="W1" s="4"/>
      <c r="X1" s="4"/>
      <c r="Y1" s="4"/>
      <c r="Z1" s="4"/>
    </row>
    <row r="2" ht="18.75" customHeight="1">
      <c r="A2" s="105" t="s">
        <v>145</v>
      </c>
      <c r="B2" s="2"/>
      <c r="C2" s="2"/>
      <c r="D2" s="2"/>
      <c r="E2" s="3"/>
      <c r="F2" s="4"/>
      <c r="G2" s="4"/>
      <c r="H2" s="4"/>
      <c r="I2" s="4"/>
      <c r="J2" s="4"/>
      <c r="K2" s="4"/>
      <c r="L2" s="4"/>
      <c r="M2" s="4"/>
      <c r="N2" s="4"/>
      <c r="O2" s="4"/>
      <c r="P2" s="4"/>
      <c r="Q2" s="4"/>
      <c r="R2" s="4"/>
      <c r="S2" s="4"/>
      <c r="T2" s="4"/>
      <c r="U2" s="4"/>
      <c r="V2" s="4"/>
      <c r="W2" s="4"/>
      <c r="X2" s="4"/>
      <c r="Y2" s="4"/>
      <c r="Z2" s="4"/>
    </row>
    <row r="3" ht="18.75" customHeight="1">
      <c r="A3" s="13"/>
      <c r="B3" s="13"/>
      <c r="C3" s="13"/>
      <c r="D3" s="13"/>
      <c r="E3" s="4"/>
      <c r="F3" s="4"/>
      <c r="G3" s="4"/>
      <c r="H3" s="4"/>
      <c r="I3" s="4"/>
      <c r="J3" s="4"/>
      <c r="K3" s="4"/>
      <c r="L3" s="4"/>
      <c r="M3" s="4"/>
      <c r="N3" s="4"/>
      <c r="O3" s="4"/>
      <c r="P3" s="4"/>
      <c r="Q3" s="4"/>
      <c r="R3" s="4"/>
      <c r="S3" s="4"/>
      <c r="T3" s="4"/>
      <c r="U3" s="4"/>
      <c r="V3" s="4"/>
      <c r="W3" s="4"/>
      <c r="X3" s="4"/>
      <c r="Y3" s="4"/>
      <c r="Z3" s="4"/>
    </row>
    <row r="4" ht="18.75" customHeight="1">
      <c r="A4" s="16" t="s">
        <v>96</v>
      </c>
      <c r="B4" s="188" t="s">
        <v>146</v>
      </c>
      <c r="C4" s="3"/>
      <c r="D4" s="189" t="s">
        <v>147</v>
      </c>
      <c r="E4" s="4"/>
      <c r="F4" s="4"/>
      <c r="G4" s="4"/>
      <c r="H4" s="4"/>
      <c r="I4" s="4"/>
      <c r="J4" s="4"/>
      <c r="K4" s="4"/>
      <c r="L4" s="4"/>
      <c r="M4" s="4"/>
      <c r="N4" s="4"/>
      <c r="O4" s="4"/>
      <c r="P4" s="4"/>
      <c r="Q4" s="4"/>
      <c r="R4" s="4"/>
      <c r="S4" s="4"/>
      <c r="T4" s="4"/>
      <c r="U4" s="4"/>
      <c r="V4" s="4"/>
      <c r="W4" s="4"/>
      <c r="X4" s="4"/>
      <c r="Y4" s="4"/>
      <c r="Z4" s="4"/>
    </row>
    <row r="5" ht="9.0" customHeight="1">
      <c r="A5" s="13"/>
      <c r="B5" s="24"/>
      <c r="C5" s="24"/>
      <c r="D5" s="24"/>
      <c r="E5" s="4"/>
      <c r="F5" s="4"/>
      <c r="G5" s="4"/>
      <c r="H5" s="4"/>
      <c r="I5" s="4"/>
      <c r="J5" s="4"/>
      <c r="K5" s="4"/>
      <c r="L5" s="4"/>
      <c r="M5" s="4"/>
      <c r="N5" s="4"/>
      <c r="O5" s="4"/>
      <c r="P5" s="4"/>
      <c r="Q5" s="4"/>
      <c r="R5" s="4"/>
      <c r="S5" s="4"/>
      <c r="T5" s="4"/>
      <c r="U5" s="4"/>
      <c r="V5" s="4"/>
      <c r="W5" s="4"/>
      <c r="X5" s="4"/>
      <c r="Y5" s="4"/>
      <c r="Z5" s="4"/>
    </row>
    <row r="6" ht="18.75" customHeight="1">
      <c r="A6" s="190" t="s">
        <v>105</v>
      </c>
      <c r="B6" s="191"/>
      <c r="C6" s="160" t="s">
        <v>148</v>
      </c>
      <c r="D6" s="4"/>
      <c r="E6" s="4"/>
      <c r="F6" s="4"/>
      <c r="G6" s="4"/>
      <c r="H6" s="4"/>
      <c r="I6" s="4"/>
      <c r="J6" s="4"/>
      <c r="K6" s="4"/>
      <c r="L6" s="4"/>
      <c r="M6" s="4"/>
      <c r="N6" s="4"/>
      <c r="O6" s="4"/>
      <c r="P6" s="4"/>
      <c r="Q6" s="4"/>
      <c r="R6" s="4"/>
      <c r="S6" s="4"/>
      <c r="T6" s="4"/>
      <c r="U6" s="4"/>
      <c r="V6" s="4"/>
      <c r="W6" s="4"/>
      <c r="X6" s="4"/>
      <c r="Y6" s="4"/>
      <c r="Z6" s="4"/>
    </row>
    <row r="7" ht="18.75" customHeight="1">
      <c r="A7" s="190" t="s">
        <v>107</v>
      </c>
      <c r="B7" s="191"/>
      <c r="C7" s="160" t="s">
        <v>149</v>
      </c>
      <c r="D7" s="24"/>
      <c r="E7" s="4"/>
      <c r="F7" s="4"/>
      <c r="G7" s="4"/>
      <c r="H7" s="4"/>
      <c r="I7" s="4"/>
      <c r="J7" s="4"/>
      <c r="K7" s="4"/>
      <c r="L7" s="4"/>
      <c r="M7" s="4"/>
      <c r="N7" s="4"/>
      <c r="O7" s="4"/>
      <c r="P7" s="4"/>
      <c r="Q7" s="4"/>
      <c r="R7" s="4"/>
      <c r="S7" s="4"/>
      <c r="T7" s="4"/>
      <c r="U7" s="4"/>
      <c r="V7" s="4"/>
      <c r="W7" s="4"/>
      <c r="X7" s="4"/>
      <c r="Y7" s="4"/>
      <c r="Z7" s="4"/>
    </row>
    <row r="8" ht="7.5" customHeight="1">
      <c r="A8" s="13"/>
      <c r="B8" s="13"/>
      <c r="C8" s="13"/>
      <c r="D8" s="13"/>
      <c r="E8" s="4"/>
      <c r="F8" s="4"/>
      <c r="G8" s="4"/>
      <c r="H8" s="4"/>
      <c r="I8" s="4"/>
      <c r="J8" s="4"/>
      <c r="K8" s="4"/>
      <c r="L8" s="4"/>
      <c r="M8" s="4"/>
      <c r="N8" s="4"/>
      <c r="O8" s="4"/>
      <c r="P8" s="4"/>
      <c r="Q8" s="4"/>
      <c r="R8" s="4"/>
      <c r="S8" s="4"/>
      <c r="T8" s="4"/>
      <c r="U8" s="4"/>
      <c r="V8" s="4"/>
      <c r="W8" s="4"/>
      <c r="X8" s="4"/>
      <c r="Y8" s="4"/>
      <c r="Z8" s="4"/>
    </row>
    <row r="9" ht="18.75" customHeight="1">
      <c r="A9" s="16" t="s">
        <v>101</v>
      </c>
      <c r="B9" s="4" t="s">
        <v>150</v>
      </c>
      <c r="C9" s="168"/>
      <c r="D9" s="168"/>
      <c r="E9" s="4"/>
      <c r="F9" s="4"/>
      <c r="G9" s="4"/>
      <c r="H9" s="4"/>
      <c r="I9" s="4"/>
      <c r="J9" s="4"/>
      <c r="K9" s="4"/>
      <c r="L9" s="4"/>
      <c r="M9" s="4"/>
      <c r="N9" s="4"/>
      <c r="O9" s="4"/>
      <c r="P9" s="4"/>
      <c r="Q9" s="4"/>
      <c r="R9" s="4"/>
      <c r="S9" s="4"/>
      <c r="T9" s="4"/>
      <c r="U9" s="4"/>
      <c r="V9" s="4"/>
      <c r="W9" s="4"/>
      <c r="X9" s="4"/>
      <c r="Y9" s="4"/>
      <c r="Z9" s="4"/>
    </row>
    <row r="10" ht="18.75" customHeight="1">
      <c r="A10" s="4"/>
      <c r="B10" s="7" t="s">
        <v>151</v>
      </c>
      <c r="C10" s="8"/>
      <c r="D10" s="192" t="s">
        <v>152</v>
      </c>
      <c r="E10" s="4"/>
      <c r="F10" s="4"/>
      <c r="G10" s="4"/>
      <c r="H10" s="4"/>
      <c r="I10" s="4"/>
      <c r="J10" s="4"/>
      <c r="K10" s="4"/>
      <c r="L10" s="4"/>
      <c r="M10" s="4"/>
      <c r="N10" s="4"/>
      <c r="O10" s="4"/>
      <c r="P10" s="4"/>
      <c r="Q10" s="4"/>
      <c r="R10" s="4"/>
      <c r="S10" s="4"/>
      <c r="T10" s="4"/>
      <c r="U10" s="4"/>
      <c r="V10" s="4"/>
      <c r="W10" s="4"/>
      <c r="X10" s="4"/>
      <c r="Y10" s="4"/>
      <c r="Z10" s="4"/>
    </row>
    <row r="11" ht="25.5" customHeight="1">
      <c r="A11" s="4"/>
      <c r="B11" s="193" t="s">
        <v>153</v>
      </c>
      <c r="C11" s="194"/>
      <c r="D11" s="38"/>
      <c r="E11" s="4"/>
      <c r="F11" s="4"/>
      <c r="G11" s="4"/>
      <c r="H11" s="4"/>
      <c r="I11" s="4"/>
      <c r="J11" s="4"/>
      <c r="K11" s="4"/>
      <c r="L11" s="4"/>
      <c r="M11" s="4"/>
      <c r="N11" s="4"/>
      <c r="O11" s="4"/>
      <c r="P11" s="4"/>
      <c r="Q11" s="4"/>
      <c r="R11" s="4"/>
      <c r="S11" s="4"/>
      <c r="T11" s="4"/>
      <c r="U11" s="4"/>
      <c r="V11" s="4"/>
      <c r="W11" s="4"/>
      <c r="X11" s="4"/>
      <c r="Y11" s="4"/>
      <c r="Z11" s="4"/>
    </row>
    <row r="12" ht="198.0" customHeight="1">
      <c r="A12" s="14"/>
      <c r="B12" s="195"/>
      <c r="C12" s="196" t="s">
        <v>154</v>
      </c>
      <c r="D12" s="197" t="s">
        <v>155</v>
      </c>
      <c r="E12" s="4"/>
      <c r="F12" s="4"/>
      <c r="G12" s="4"/>
      <c r="H12" s="4"/>
      <c r="I12" s="4"/>
      <c r="J12" s="4"/>
      <c r="K12" s="4"/>
      <c r="L12" s="4"/>
      <c r="M12" s="4"/>
      <c r="N12" s="4"/>
      <c r="O12" s="4"/>
      <c r="P12" s="4"/>
      <c r="Q12" s="4"/>
      <c r="R12" s="4"/>
      <c r="S12" s="4"/>
      <c r="T12" s="4"/>
      <c r="U12" s="4"/>
      <c r="V12" s="4"/>
      <c r="W12" s="4"/>
      <c r="X12" s="4"/>
      <c r="Y12" s="4"/>
      <c r="Z12" s="4"/>
    </row>
    <row r="13" ht="198.0" customHeight="1">
      <c r="A13" s="4"/>
      <c r="B13" s="198"/>
      <c r="C13" s="199" t="s">
        <v>156</v>
      </c>
      <c r="D13" s="197" t="s">
        <v>157</v>
      </c>
      <c r="E13" s="4"/>
      <c r="F13" s="4"/>
      <c r="G13" s="4"/>
      <c r="H13" s="4"/>
      <c r="I13" s="4"/>
      <c r="J13" s="4"/>
      <c r="K13" s="4"/>
      <c r="L13" s="4"/>
      <c r="M13" s="4"/>
      <c r="N13" s="4"/>
      <c r="O13" s="4"/>
      <c r="P13" s="4"/>
      <c r="Q13" s="4"/>
      <c r="R13" s="4"/>
      <c r="S13" s="4"/>
      <c r="T13" s="4"/>
      <c r="U13" s="4"/>
      <c r="V13" s="4"/>
      <c r="W13" s="4"/>
      <c r="X13" s="4"/>
      <c r="Y13" s="4"/>
      <c r="Z13" s="4"/>
    </row>
    <row r="14" ht="198.0" customHeight="1">
      <c r="A14" s="4"/>
      <c r="B14" s="200"/>
      <c r="C14" s="201" t="s">
        <v>158</v>
      </c>
      <c r="D14" s="197" t="s">
        <v>159</v>
      </c>
      <c r="E14" s="4"/>
      <c r="F14" s="4"/>
      <c r="G14" s="4"/>
      <c r="H14" s="4"/>
      <c r="I14" s="4"/>
      <c r="J14" s="4"/>
      <c r="K14" s="4"/>
      <c r="L14" s="4"/>
      <c r="M14" s="4"/>
      <c r="N14" s="4"/>
      <c r="O14" s="4"/>
      <c r="P14" s="4"/>
      <c r="Q14" s="4"/>
      <c r="R14" s="4"/>
      <c r="S14" s="4"/>
      <c r="T14" s="4"/>
      <c r="U14" s="4"/>
      <c r="V14" s="4"/>
      <c r="W14" s="4"/>
      <c r="X14" s="4"/>
      <c r="Y14" s="4"/>
      <c r="Z14" s="4"/>
    </row>
    <row r="15" ht="198.0" customHeight="1">
      <c r="A15" s="4"/>
      <c r="B15" s="200"/>
      <c r="C15" s="201" t="s">
        <v>160</v>
      </c>
      <c r="D15" s="197" t="s">
        <v>161</v>
      </c>
      <c r="E15" s="4"/>
      <c r="F15" s="4"/>
      <c r="G15" s="4"/>
      <c r="H15" s="4"/>
      <c r="I15" s="4"/>
      <c r="J15" s="4"/>
      <c r="K15" s="4"/>
      <c r="L15" s="4"/>
      <c r="M15" s="4"/>
      <c r="N15" s="4"/>
      <c r="O15" s="4"/>
      <c r="P15" s="4"/>
      <c r="Q15" s="4"/>
      <c r="R15" s="4"/>
      <c r="S15" s="4"/>
      <c r="T15" s="4"/>
      <c r="U15" s="4"/>
      <c r="V15" s="4"/>
      <c r="W15" s="4"/>
      <c r="X15" s="4"/>
      <c r="Y15" s="4"/>
      <c r="Z15" s="4"/>
    </row>
    <row r="16" ht="198.0" customHeight="1">
      <c r="A16" s="4"/>
      <c r="B16" s="202"/>
      <c r="C16" s="203" t="s">
        <v>162</v>
      </c>
      <c r="D16" s="204" t="s">
        <v>163</v>
      </c>
      <c r="E16" s="4"/>
      <c r="F16" s="4"/>
      <c r="G16" s="4"/>
      <c r="H16" s="4"/>
      <c r="I16" s="4"/>
      <c r="J16" s="4"/>
      <c r="K16" s="4"/>
      <c r="L16" s="4"/>
      <c r="M16" s="4"/>
      <c r="N16" s="4"/>
      <c r="O16" s="4"/>
      <c r="P16" s="4"/>
      <c r="Q16" s="4"/>
      <c r="R16" s="4"/>
      <c r="S16" s="4"/>
      <c r="T16" s="4"/>
      <c r="U16" s="4"/>
      <c r="V16" s="4"/>
      <c r="W16" s="4"/>
      <c r="X16" s="4"/>
      <c r="Y16" s="4"/>
      <c r="Z16" s="4"/>
    </row>
    <row r="17" ht="18.75" customHeight="1">
      <c r="A17" s="4"/>
      <c r="B17" s="205" t="s">
        <v>164</v>
      </c>
      <c r="C17" s="206"/>
      <c r="D17" s="207"/>
      <c r="E17" s="4"/>
      <c r="F17" s="4"/>
      <c r="G17" s="4"/>
      <c r="H17" s="4"/>
      <c r="I17" s="4"/>
      <c r="J17" s="4"/>
      <c r="K17" s="4"/>
      <c r="L17" s="4"/>
      <c r="M17" s="4"/>
      <c r="N17" s="4"/>
      <c r="O17" s="4"/>
      <c r="P17" s="4"/>
      <c r="Q17" s="4"/>
      <c r="R17" s="4"/>
      <c r="S17" s="4"/>
      <c r="T17" s="4"/>
      <c r="U17" s="4"/>
      <c r="V17" s="4"/>
      <c r="W17" s="4"/>
      <c r="X17" s="4"/>
      <c r="Y17" s="4"/>
      <c r="Z17" s="4"/>
    </row>
    <row r="18" ht="198.0" customHeight="1">
      <c r="A18" s="4"/>
      <c r="B18" s="200"/>
      <c r="C18" s="201" t="s">
        <v>165</v>
      </c>
      <c r="D18" s="208" t="s">
        <v>166</v>
      </c>
      <c r="E18" s="4"/>
      <c r="F18" s="4"/>
      <c r="G18" s="4"/>
      <c r="H18" s="4"/>
      <c r="I18" s="4"/>
      <c r="J18" s="4"/>
      <c r="K18" s="4"/>
      <c r="L18" s="4"/>
      <c r="M18" s="4"/>
      <c r="N18" s="4"/>
      <c r="O18" s="4"/>
      <c r="P18" s="4"/>
      <c r="Q18" s="4"/>
      <c r="R18" s="4"/>
      <c r="S18" s="4"/>
      <c r="T18" s="4"/>
      <c r="U18" s="4"/>
      <c r="V18" s="4"/>
      <c r="W18" s="4"/>
      <c r="X18" s="4"/>
      <c r="Y18" s="4"/>
      <c r="Z18" s="4"/>
    </row>
    <row r="19" ht="198.0" customHeight="1">
      <c r="A19" s="4"/>
      <c r="B19" s="202"/>
      <c r="C19" s="203" t="s">
        <v>167</v>
      </c>
      <c r="D19" s="209" t="s">
        <v>168</v>
      </c>
      <c r="E19" s="4"/>
      <c r="F19" s="4"/>
      <c r="G19" s="4"/>
      <c r="H19" s="4"/>
      <c r="I19" s="4"/>
      <c r="J19" s="4"/>
      <c r="K19" s="4"/>
      <c r="L19" s="4"/>
      <c r="M19" s="4"/>
      <c r="N19" s="4"/>
      <c r="O19" s="4"/>
      <c r="P19" s="4"/>
      <c r="Q19" s="4"/>
      <c r="R19" s="4"/>
      <c r="S19" s="4"/>
      <c r="T19" s="4"/>
      <c r="U19" s="4"/>
      <c r="V19" s="4"/>
      <c r="W19" s="4"/>
      <c r="X19" s="4"/>
      <c r="Y19" s="4"/>
      <c r="Z19" s="4"/>
    </row>
    <row r="20" ht="198.0" customHeight="1">
      <c r="A20" s="4"/>
      <c r="B20" s="210" t="s">
        <v>169</v>
      </c>
      <c r="C20" s="211"/>
      <c r="D20" s="212" t="s">
        <v>170</v>
      </c>
      <c r="E20" s="4"/>
      <c r="F20" s="4"/>
      <c r="G20" s="4"/>
      <c r="H20" s="4"/>
      <c r="I20" s="4"/>
      <c r="J20" s="4"/>
      <c r="K20" s="4"/>
      <c r="L20" s="4"/>
      <c r="M20" s="4"/>
      <c r="N20" s="4"/>
      <c r="O20" s="4"/>
      <c r="P20" s="4"/>
      <c r="Q20" s="4"/>
      <c r="R20" s="4"/>
      <c r="S20" s="4"/>
      <c r="T20" s="4"/>
      <c r="U20" s="4"/>
      <c r="V20" s="4"/>
      <c r="W20" s="4"/>
      <c r="X20" s="4"/>
      <c r="Y20" s="4"/>
      <c r="Z20" s="4"/>
    </row>
    <row r="21" ht="198.0" customHeight="1">
      <c r="A21" s="4"/>
      <c r="B21" s="213" t="s">
        <v>171</v>
      </c>
      <c r="C21" s="167"/>
      <c r="D21" s="214" t="s">
        <v>172</v>
      </c>
      <c r="E21" s="4"/>
      <c r="F21" s="4"/>
      <c r="G21" s="4"/>
      <c r="H21" s="4"/>
      <c r="I21" s="4"/>
      <c r="J21" s="4"/>
      <c r="K21" s="4"/>
      <c r="L21" s="4"/>
      <c r="M21" s="4"/>
      <c r="N21" s="4"/>
      <c r="O21" s="4"/>
      <c r="P21" s="4"/>
      <c r="Q21" s="4"/>
      <c r="R21" s="4"/>
      <c r="S21" s="4"/>
      <c r="T21" s="4"/>
      <c r="U21" s="4"/>
      <c r="V21" s="4"/>
      <c r="W21" s="4"/>
      <c r="X21" s="4"/>
      <c r="Y21" s="4"/>
      <c r="Z21" s="4"/>
    </row>
    <row r="22" ht="22.5" customHeight="1">
      <c r="A22" s="4"/>
      <c r="B22" s="168"/>
      <c r="C22" s="168"/>
      <c r="D22" s="168"/>
      <c r="E22" s="4"/>
      <c r="F22" s="4"/>
      <c r="G22" s="4"/>
      <c r="H22" s="4"/>
      <c r="I22" s="4"/>
      <c r="J22" s="4"/>
      <c r="K22" s="4"/>
      <c r="L22" s="4"/>
      <c r="M22" s="4"/>
      <c r="N22" s="4"/>
      <c r="O22" s="4"/>
      <c r="P22" s="4"/>
      <c r="Q22" s="4"/>
      <c r="R22" s="4"/>
      <c r="S22" s="4"/>
      <c r="T22" s="4"/>
      <c r="U22" s="4"/>
      <c r="V22" s="4"/>
      <c r="W22" s="4"/>
      <c r="X22" s="4"/>
      <c r="Y22" s="4"/>
      <c r="Z22" s="4"/>
    </row>
    <row r="23" ht="22.5" customHeight="1">
      <c r="A23" s="4"/>
      <c r="B23" s="168"/>
      <c r="C23" s="168"/>
      <c r="D23" s="168"/>
      <c r="E23" s="4"/>
      <c r="F23" s="4"/>
      <c r="G23" s="4"/>
      <c r="H23" s="4"/>
      <c r="I23" s="4"/>
      <c r="J23" s="4"/>
      <c r="K23" s="4"/>
      <c r="L23" s="4"/>
      <c r="M23" s="4"/>
      <c r="N23" s="4"/>
      <c r="O23" s="4"/>
      <c r="P23" s="4"/>
      <c r="Q23" s="4"/>
      <c r="R23" s="4"/>
      <c r="S23" s="4"/>
      <c r="T23" s="4"/>
      <c r="U23" s="4"/>
      <c r="V23" s="4"/>
      <c r="W23" s="4"/>
      <c r="X23" s="4"/>
      <c r="Y23" s="4"/>
      <c r="Z23" s="4"/>
    </row>
    <row r="24" ht="22.5" customHeight="1">
      <c r="A24" s="4"/>
      <c r="B24" s="168"/>
      <c r="C24" s="168"/>
      <c r="D24" s="168"/>
      <c r="E24" s="4"/>
      <c r="F24" s="4"/>
      <c r="G24" s="4"/>
      <c r="H24" s="4"/>
      <c r="I24" s="4"/>
      <c r="J24" s="4"/>
      <c r="K24" s="4"/>
      <c r="L24" s="4"/>
      <c r="M24" s="4"/>
      <c r="N24" s="4"/>
      <c r="O24" s="4"/>
      <c r="P24" s="4"/>
      <c r="Q24" s="4"/>
      <c r="R24" s="4"/>
      <c r="S24" s="4"/>
      <c r="T24" s="4"/>
      <c r="U24" s="4"/>
      <c r="V24" s="4"/>
      <c r="W24" s="4"/>
      <c r="X24" s="4"/>
      <c r="Y24" s="4"/>
      <c r="Z24" s="4"/>
    </row>
    <row r="25" ht="22.5" customHeight="1">
      <c r="A25" s="4"/>
      <c r="B25" s="168"/>
      <c r="C25" s="168"/>
      <c r="D25" s="168"/>
      <c r="E25" s="4"/>
      <c r="F25" s="4"/>
      <c r="G25" s="4"/>
      <c r="H25" s="4"/>
      <c r="I25" s="4"/>
      <c r="J25" s="4"/>
      <c r="K25" s="4"/>
      <c r="L25" s="4"/>
      <c r="M25" s="4"/>
      <c r="N25" s="4"/>
      <c r="O25" s="4"/>
      <c r="P25" s="4"/>
      <c r="Q25" s="4"/>
      <c r="R25" s="4"/>
      <c r="S25" s="4"/>
      <c r="T25" s="4"/>
      <c r="U25" s="4"/>
      <c r="V25" s="4"/>
      <c r="W25" s="4"/>
      <c r="X25" s="4"/>
      <c r="Y25" s="4"/>
      <c r="Z25" s="4"/>
    </row>
    <row r="26" ht="22.5" customHeight="1">
      <c r="A26" s="4"/>
      <c r="B26" s="168"/>
      <c r="C26" s="168"/>
      <c r="D26" s="168"/>
      <c r="E26" s="4"/>
      <c r="F26" s="4"/>
      <c r="G26" s="4"/>
      <c r="H26" s="4"/>
      <c r="I26" s="4"/>
      <c r="J26" s="4"/>
      <c r="K26" s="4"/>
      <c r="L26" s="4"/>
      <c r="M26" s="4"/>
      <c r="N26" s="4"/>
      <c r="O26" s="4"/>
      <c r="P26" s="4"/>
      <c r="Q26" s="4"/>
      <c r="R26" s="4"/>
      <c r="S26" s="4"/>
      <c r="T26" s="4"/>
      <c r="U26" s="4"/>
      <c r="V26" s="4"/>
      <c r="W26" s="4"/>
      <c r="X26" s="4"/>
      <c r="Y26" s="4"/>
      <c r="Z26" s="4"/>
    </row>
    <row r="27" ht="22.5" customHeight="1">
      <c r="A27" s="4"/>
      <c r="B27" s="162"/>
      <c r="C27" s="162"/>
      <c r="D27" s="162"/>
      <c r="E27" s="4"/>
      <c r="F27" s="4"/>
      <c r="G27" s="4"/>
      <c r="H27" s="4"/>
      <c r="I27" s="4"/>
      <c r="J27" s="4"/>
      <c r="K27" s="4"/>
      <c r="L27" s="4"/>
      <c r="M27" s="4"/>
      <c r="N27" s="4"/>
      <c r="O27" s="4"/>
      <c r="P27" s="4"/>
      <c r="Q27" s="4"/>
      <c r="R27" s="4"/>
      <c r="S27" s="4"/>
      <c r="T27" s="4"/>
      <c r="U27" s="4"/>
      <c r="V27" s="4"/>
      <c r="W27" s="4"/>
      <c r="X27" s="4"/>
      <c r="Y27" s="4"/>
      <c r="Z27" s="4"/>
    </row>
    <row r="28" ht="22.5" customHeight="1">
      <c r="A28" s="4"/>
      <c r="B28" s="162"/>
      <c r="C28" s="162"/>
      <c r="D28" s="162"/>
      <c r="E28" s="4"/>
      <c r="F28" s="4"/>
      <c r="G28" s="4"/>
      <c r="H28" s="4"/>
      <c r="I28" s="4"/>
      <c r="J28" s="4"/>
      <c r="K28" s="4"/>
      <c r="L28" s="4"/>
      <c r="M28" s="4"/>
      <c r="N28" s="4"/>
      <c r="O28" s="4"/>
      <c r="P28" s="4"/>
      <c r="Q28" s="4"/>
      <c r="R28" s="4"/>
      <c r="S28" s="4"/>
      <c r="T28" s="4"/>
      <c r="U28" s="4"/>
      <c r="V28" s="4"/>
      <c r="W28" s="4"/>
      <c r="X28" s="4"/>
      <c r="Y28" s="4"/>
      <c r="Z28" s="4"/>
    </row>
    <row r="29" ht="22.5" customHeight="1">
      <c r="A29" s="4"/>
      <c r="B29" s="162"/>
      <c r="C29" s="162"/>
      <c r="D29" s="162"/>
      <c r="E29" s="4"/>
      <c r="F29" s="4"/>
      <c r="G29" s="4"/>
      <c r="H29" s="4"/>
      <c r="I29" s="4"/>
      <c r="J29" s="4"/>
      <c r="K29" s="4"/>
      <c r="L29" s="4"/>
      <c r="M29" s="4"/>
      <c r="N29" s="4"/>
      <c r="O29" s="4"/>
      <c r="P29" s="4"/>
      <c r="Q29" s="4"/>
      <c r="R29" s="4"/>
      <c r="S29" s="4"/>
      <c r="T29" s="4"/>
      <c r="U29" s="4"/>
      <c r="V29" s="4"/>
      <c r="W29" s="4"/>
      <c r="X29" s="4"/>
      <c r="Y29" s="4"/>
      <c r="Z29" s="4"/>
    </row>
    <row r="30" ht="2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2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2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2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2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2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2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2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2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2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2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2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2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2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2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2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2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2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2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2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2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2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2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2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2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2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2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2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2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2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2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2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2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2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2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2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2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2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2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2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2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2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2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2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2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2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2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2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2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2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2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2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2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2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2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2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2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2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2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2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2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2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2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2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2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2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2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2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2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2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2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2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2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2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2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2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2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2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2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2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2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2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2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2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2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2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2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2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2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2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2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2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2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2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2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2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2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2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2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2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2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2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2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2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2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2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2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2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2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2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2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2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2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2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2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2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2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2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2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2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2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2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2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2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2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2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2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2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2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2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2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2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2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2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2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2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2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2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2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2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2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2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2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2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2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2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2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2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2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2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2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2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2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2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2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2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2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2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2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2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2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2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2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2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2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2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2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2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2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2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2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2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2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2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2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2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2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2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2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2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2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2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2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2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2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2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2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2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2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2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2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2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2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2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2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2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2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2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2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2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2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2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2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2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2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2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2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2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2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2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2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2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2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2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2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2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2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2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2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2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2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2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2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2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2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2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2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2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2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2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2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2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2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2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2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2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2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2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2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2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2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2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2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2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2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2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2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2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2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2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2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2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2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2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2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2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2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2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2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2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2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2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2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2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2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2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2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2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2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2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2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2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2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2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2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2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2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2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2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2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2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2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2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2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2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2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2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2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2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2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2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2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2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2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2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2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2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2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2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2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2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2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2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2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2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2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2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2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2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2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2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2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2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2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2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2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2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2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2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2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2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2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2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2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2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2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2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2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2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2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2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2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2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2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2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2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2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2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2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2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2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2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2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2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2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2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2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2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2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2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2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2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2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2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2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2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2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2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2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2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2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2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2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2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2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2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2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2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2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2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2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2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2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2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2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2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2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2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2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2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2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2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2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2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2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2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2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2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2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2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2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2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2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2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2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2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2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2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2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2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2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2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2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2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2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2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2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2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2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2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2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2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2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2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2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2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2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2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2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2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2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2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2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2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2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2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2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2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2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2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2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2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2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2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2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2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2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2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2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2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2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2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2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2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2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2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2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2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2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2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2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2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2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2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2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2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2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2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2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2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2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2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2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2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2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2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2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2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2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2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2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2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2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2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2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2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2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2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2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2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2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2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2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2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2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2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2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2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2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2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2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2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2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2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2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2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2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2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2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2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2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2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2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2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2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2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2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2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2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2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2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2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2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2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2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2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2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2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2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2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2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2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2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2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2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2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2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2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2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2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2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2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2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2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2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2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2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2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2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2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2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2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2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2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2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2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2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2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2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2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2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2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2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2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2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2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2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2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2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2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2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2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2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2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2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2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2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2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2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2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2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2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2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2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2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2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2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2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2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2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2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2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2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2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2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2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2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2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2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2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2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2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2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2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2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2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2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2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2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2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2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2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2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2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2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2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2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2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2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2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2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2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2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2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2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2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2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2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2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2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2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2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2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2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2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2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2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2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2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2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2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2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2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2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2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2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2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2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2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2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2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2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2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2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2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2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2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2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2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2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2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2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2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2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2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2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2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2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2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2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2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2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2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2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2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2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2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2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2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2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2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2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2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2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2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2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2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2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2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2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2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2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2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2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2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2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2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2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2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2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2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2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2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2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2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2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2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2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2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2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2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2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2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2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2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2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2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2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2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2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2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2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2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2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2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2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2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2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2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2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2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2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2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2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2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2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2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2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2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2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2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2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2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2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2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2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2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2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2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2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2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2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2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2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2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2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2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2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2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2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2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2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2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2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2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2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2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2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2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2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2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2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2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2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2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2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2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2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2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2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2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2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2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2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2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2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2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2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2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2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2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2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2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2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2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2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2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2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2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2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2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2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2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2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2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2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2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2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2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2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2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2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2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2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2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2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2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2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2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2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2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2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2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2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2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2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2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2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2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2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2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2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2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2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2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2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2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2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2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2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2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2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2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2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2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2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2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2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2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2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2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2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2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2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2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2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2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2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2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2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2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2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2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2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2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2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2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2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2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2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2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2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2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2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2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2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2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2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2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2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2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2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2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2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2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2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2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2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2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2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2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2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2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2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2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2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2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2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2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2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2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2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2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2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2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2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2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2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2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2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2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2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2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2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2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2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2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2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2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2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2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2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2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2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2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2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2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2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2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2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2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2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2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2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2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2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2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2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2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2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2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2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2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2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2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2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2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2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2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2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2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2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2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2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2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2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2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2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2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2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2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2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2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2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2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2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2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2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2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2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2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2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2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2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2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2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2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2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2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2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2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8">
    <mergeCell ref="A2:E2"/>
    <mergeCell ref="B4:C4"/>
    <mergeCell ref="A6:B6"/>
    <mergeCell ref="A7:B7"/>
    <mergeCell ref="B10:C10"/>
    <mergeCell ref="B11:D11"/>
    <mergeCell ref="B20:C20"/>
    <mergeCell ref="B21:C21"/>
  </mergeCells>
  <printOptions horizontalCentered="1"/>
  <pageMargins bottom="0.5905511811023623" footer="0.0" header="0.0" left="0.7874015748031497" right="0.7874015748031497" top="0.7874015748031497"/>
  <pageSetup fitToHeight="0"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2025-10-09T06:43:13Z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2025-10-09T06:43:26Z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3a091721-34b5-418c-aac0-afbae51c0c5b</vt:lpwstr>
  </property>
  <property fmtid="{D5CDD505-2E9C-101B-9397-08002B2CF9AE}" pid="8" name="MSIP_Label_d899a617-f30e-4fb8-b81c-fb6d0b94ac5b_ContentBits">
    <vt:lpwstr>0</vt:lpwstr>
  </property>
  <property fmtid="{D5CDD505-2E9C-101B-9397-08002B2CF9AE}" pid="9" name="MSIP_Label_d899a617-f30e-4fb8-b81c-fb6d0b94ac5b_Tag">
    <vt:lpwstr>10, 3, 0, 1</vt:lpwstr>
  </property>
</Properties>
</file>