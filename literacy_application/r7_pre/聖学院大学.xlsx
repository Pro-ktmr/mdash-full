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filterPrivacy="1" codeName="ThisWorkbook" defaultThemeVersion="124226"/>
  <xr:revisionPtr revIDLastSave="5" documentId="13_ncr:1_{CA19C06C-9A14-423A-9CB2-0C0C37146658}" xr6:coauthVersionLast="47" xr6:coauthVersionMax="47" xr10:uidLastSave="{D43E7906-F8E0-41CD-8470-9FE9ADA740EF}"/>
  <bookViews>
    <workbookView xWindow="-108" yWindow="-108" windowWidth="23256" windowHeight="12456" tabRatio="885" xr2:uid="{00000000-000D-0000-FFFF-FFFF00000000}"/>
  </bookViews>
  <sheets>
    <sheet name="様式１　構成する授業科目" sheetId="39" r:id="rId1"/>
    <sheet name="様式２ 履修者等数の実績" sheetId="40" r:id="rId2"/>
    <sheet name="様式３ 教育の質・履修者数を向上させる体制・計画" sheetId="41" r:id="rId3"/>
    <sheet name="様式４　自己点検・評価" sheetId="42" r:id="rId4"/>
  </sheets>
  <definedNames>
    <definedName name="_xlnm._FilterDatabase" localSheetId="0" hidden="1">'様式１　構成する授業科目'!#REF!</definedName>
    <definedName name="_xlnm._FilterDatabase" localSheetId="1" hidden="1">'様式２ 履修者等数の実績'!#REF!</definedName>
    <definedName name="_xlnm.Print_Area" localSheetId="0">'様式１　構成する授業科目'!$A$1:$Z$69</definedName>
    <definedName name="_xlnm.Print_Area" localSheetId="1">'様式２ 履修者等数の実績'!$A$1:$T$30</definedName>
    <definedName name="_xlnm.Print_Area" localSheetId="2">'様式３ 教育の質・履修者数を向上させる体制・計画'!$A$1:$E$47</definedName>
    <definedName name="_xlnm.Print_Area" localSheetId="3">'様式４　自己点検・評価'!$A$1:$E$21</definedName>
    <definedName name="_xlnm.Print_Titles" localSheetId="3">'様式４　自己点検・評価'!$10:$10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 i="40" l="1"/>
  <c r="T10" i="40" s="1"/>
  <c r="S11" i="40"/>
  <c r="S12" i="40"/>
  <c r="S13" i="40"/>
  <c r="S14" i="40"/>
  <c r="S15" i="40"/>
  <c r="S16" i="40"/>
  <c r="S17" i="40"/>
  <c r="S18" i="40"/>
  <c r="S19" i="40"/>
  <c r="S20" i="40"/>
  <c r="S21" i="40"/>
  <c r="S22" i="40"/>
  <c r="S23" i="40"/>
  <c r="S24" i="40"/>
  <c r="S25" i="40"/>
  <c r="S26" i="40"/>
  <c r="S27" i="40"/>
  <c r="S28" i="40"/>
  <c r="T28" i="40" s="1"/>
  <c r="S29" i="40"/>
  <c r="T29" i="40" s="1"/>
  <c r="S30" i="40" l="1"/>
  <c r="D30" i="40"/>
  <c r="C30" i="40"/>
  <c r="I30" i="40" l="1"/>
  <c r="J30" i="40"/>
  <c r="L30" i="40" l="1"/>
  <c r="P30" i="40"/>
  <c r="R30" i="40"/>
  <c r="Q30" i="40"/>
  <c r="O30" i="40"/>
  <c r="M30" i="40"/>
  <c r="N30" i="40"/>
  <c r="K30" i="40"/>
  <c r="H30" i="40" l="1"/>
  <c r="G30" i="40" l="1"/>
  <c r="F30" i="40"/>
  <c r="E30" i="40"/>
  <c r="T27" i="40"/>
  <c r="T26" i="40"/>
  <c r="T25" i="40"/>
  <c r="T24" i="40"/>
  <c r="T23" i="40"/>
  <c r="T22" i="40"/>
  <c r="T21" i="40"/>
  <c r="T20" i="40"/>
  <c r="T19" i="40"/>
  <c r="T18" i="40"/>
  <c r="T17" i="40"/>
  <c r="T16" i="40"/>
  <c r="T15" i="40"/>
  <c r="T14" i="40"/>
  <c r="T13" i="40"/>
  <c r="T12" i="40"/>
  <c r="T11" i="40"/>
  <c r="T30" i="40" l="1"/>
  <c r="D29" i="41" s="1"/>
</calcChain>
</file>

<file path=xl/sharedStrings.xml><?xml version="1.0" encoding="utf-8"?>
<sst xmlns="http://schemas.openxmlformats.org/spreadsheetml/2006/main" count="228" uniqueCount="180">
  <si>
    <t>数理・データサイエンス・AI教育プログラム認定制度【リテラシーレベル】令和７年度申請用</t>
    <phoneticPr fontId="1"/>
  </si>
  <si>
    <t>様式１</t>
    <rPh sb="0" eb="2">
      <t>ヨウシキ</t>
    </rPh>
    <phoneticPr fontId="1"/>
  </si>
  <si>
    <t>大学等名</t>
    <rPh sb="0" eb="2">
      <t>ダイガク</t>
    </rPh>
    <rPh sb="2" eb="3">
      <t>トウ</t>
    </rPh>
    <rPh sb="3" eb="4">
      <t>メイ</t>
    </rPh>
    <phoneticPr fontId="1"/>
  </si>
  <si>
    <t>聖学院大学</t>
    <rPh sb="0" eb="3">
      <t>セイガクイン</t>
    </rPh>
    <rPh sb="3" eb="5">
      <t>ダイガク</t>
    </rPh>
    <phoneticPr fontId="1"/>
  </si>
  <si>
    <t>プログラム名</t>
    <rPh sb="5" eb="6">
      <t>メイ</t>
    </rPh>
    <phoneticPr fontId="1"/>
  </si>
  <si>
    <t>聖学院AI・データサイエンスプログラム（リテラシーレベル）</t>
    <phoneticPr fontId="1"/>
  </si>
  <si>
    <t>リテラシーレベルのプログラムを構成する授業科目について</t>
    <phoneticPr fontId="1"/>
  </si>
  <si>
    <t>① 教育プログラムの修了要件</t>
    <phoneticPr fontId="1"/>
  </si>
  <si>
    <t>学部・学科によって、修了要件は相違しない</t>
  </si>
  <si>
    <t>② 対象となる学部・学科名称</t>
    <phoneticPr fontId="1"/>
  </si>
  <si>
    <t>③ プログラム履修必須の有無</t>
    <rPh sb="7" eb="9">
      <t>リシュウ</t>
    </rPh>
    <rPh sb="9" eb="11">
      <t>ヒッス</t>
    </rPh>
    <rPh sb="12" eb="14">
      <t>ウム</t>
    </rPh>
    <phoneticPr fontId="1"/>
  </si>
  <si>
    <t>令和９年度までに履修必須とする計画</t>
  </si>
  <si>
    <t>④ 修了要件</t>
    <phoneticPr fontId="1"/>
  </si>
  <si>
    <t>「AIと情報リテラシー」および「データサイエンス入門Ａ」の２科目４単位を修得すること。</t>
    <rPh sb="30" eb="32">
      <t>カモク</t>
    </rPh>
    <rPh sb="33" eb="35">
      <t>タンイ</t>
    </rPh>
    <rPh sb="36" eb="38">
      <t>シュウトク</t>
    </rPh>
    <phoneticPr fontId="1"/>
  </si>
  <si>
    <t>⑤プログラム構成科目</t>
    <rPh sb="8" eb="10">
      <t>カモク</t>
    </rPh>
    <phoneticPr fontId="1"/>
  </si>
  <si>
    <t>必要最低科目数・単位数</t>
    <phoneticPr fontId="1"/>
  </si>
  <si>
    <t>科目</t>
    <rPh sb="0" eb="2">
      <t>カモク</t>
    </rPh>
    <phoneticPr fontId="1"/>
  </si>
  <si>
    <t>単位</t>
    <rPh sb="0" eb="2">
      <t>タンイ</t>
    </rPh>
    <phoneticPr fontId="1"/>
  </si>
  <si>
    <t>モデルカリキュラム対応状況</t>
    <rPh sb="9" eb="11">
      <t>タイオウ</t>
    </rPh>
    <rPh sb="11" eb="13">
      <t>ジョウキョウ</t>
    </rPh>
    <phoneticPr fontId="1"/>
  </si>
  <si>
    <t>授業科目</t>
    <rPh sb="0" eb="2">
      <t>ジュギョウ</t>
    </rPh>
    <rPh sb="2" eb="4">
      <t>カモク</t>
    </rPh>
    <phoneticPr fontId="1"/>
  </si>
  <si>
    <t>単位数</t>
    <rPh sb="0" eb="3">
      <t>タンイスウ</t>
    </rPh>
    <phoneticPr fontId="1"/>
  </si>
  <si>
    <t>1-1</t>
    <phoneticPr fontId="1"/>
  </si>
  <si>
    <t>1-2</t>
    <phoneticPr fontId="1"/>
  </si>
  <si>
    <t>1-3</t>
    <phoneticPr fontId="1"/>
  </si>
  <si>
    <t>1-4</t>
    <phoneticPr fontId="1"/>
  </si>
  <si>
    <t>1-5</t>
    <phoneticPr fontId="1"/>
  </si>
  <si>
    <t>1-6</t>
  </si>
  <si>
    <t>2-1</t>
  </si>
  <si>
    <t>2-2</t>
    <phoneticPr fontId="1"/>
  </si>
  <si>
    <t>2-3</t>
    <phoneticPr fontId="1"/>
  </si>
  <si>
    <t>3-1</t>
    <phoneticPr fontId="1"/>
  </si>
  <si>
    <t>3-2</t>
    <phoneticPr fontId="1"/>
  </si>
  <si>
    <t>4-1</t>
    <phoneticPr fontId="1"/>
  </si>
  <si>
    <t>4-2</t>
  </si>
  <si>
    <t>4-3</t>
  </si>
  <si>
    <t>4-4</t>
  </si>
  <si>
    <t>4-5</t>
  </si>
  <si>
    <t>4-6</t>
  </si>
  <si>
    <t>4-7</t>
  </si>
  <si>
    <t>4-8</t>
  </si>
  <si>
    <t>4-9</t>
  </si>
  <si>
    <t>その他</t>
    <rPh sb="2" eb="3">
      <t>タ</t>
    </rPh>
    <phoneticPr fontId="1"/>
  </si>
  <si>
    <r>
      <rPr>
        <b/>
        <sz val="12"/>
        <color theme="1"/>
        <rFont val="ＭＳ Ｐゴシック"/>
        <family val="3"/>
        <charset val="128"/>
        <scheme val="minor"/>
      </rPr>
      <t>（１）必須科目</t>
    </r>
    <r>
      <rPr>
        <sz val="12"/>
        <color theme="1"/>
        <rFont val="ＭＳ Ｐゴシック"/>
        <family val="3"/>
        <charset val="128"/>
        <scheme val="minor"/>
      </rPr>
      <t>（プログラムを修了するために必ず履修しなければならない科目）
※卒業要件上の必修科目とは必ずしもイコールではない</t>
    </r>
    <rPh sb="3" eb="5">
      <t>ヒッス</t>
    </rPh>
    <rPh sb="5" eb="7">
      <t>カモク</t>
    </rPh>
    <rPh sb="14" eb="16">
      <t>シュウリョウ</t>
    </rPh>
    <rPh sb="21" eb="22">
      <t>カナラ</t>
    </rPh>
    <rPh sb="23" eb="25">
      <t>リシュウ</t>
    </rPh>
    <rPh sb="34" eb="36">
      <t>カモク</t>
    </rPh>
    <rPh sb="40" eb="42">
      <t>ソツギョウ</t>
    </rPh>
    <rPh sb="42" eb="44">
      <t>ヨウケン</t>
    </rPh>
    <rPh sb="44" eb="45">
      <t>ジョウ</t>
    </rPh>
    <rPh sb="46" eb="48">
      <t>ヒッシュウ</t>
    </rPh>
    <rPh sb="48" eb="50">
      <t>カモク</t>
    </rPh>
    <rPh sb="52" eb="53">
      <t>カナラ</t>
    </rPh>
    <phoneticPr fontId="1"/>
  </si>
  <si>
    <t>AIと情報リテラシー</t>
    <rPh sb="3" eb="5">
      <t>ジョウホウ</t>
    </rPh>
    <phoneticPr fontId="1"/>
  </si>
  <si>
    <t>○</t>
  </si>
  <si>
    <t>データサイエンス入門Ａ</t>
    <rPh sb="8" eb="10">
      <t>ニュウモン</t>
    </rPh>
    <phoneticPr fontId="1"/>
  </si>
  <si>
    <r>
      <rPr>
        <b/>
        <sz val="12"/>
        <color theme="1"/>
        <rFont val="ＭＳ Ｐゴシック"/>
        <family val="3"/>
        <charset val="128"/>
        <scheme val="minor"/>
      </rPr>
      <t>（２）選択必須科目</t>
    </r>
    <r>
      <rPr>
        <sz val="12"/>
        <color theme="1"/>
        <rFont val="ＭＳ Ｐゴシック"/>
        <family val="3"/>
        <charset val="128"/>
        <scheme val="minor"/>
      </rPr>
      <t>（プログラムを修了するために一定の条件のもと履修しなければならない科目）</t>
    </r>
    <rPh sb="3" eb="5">
      <t>センタク</t>
    </rPh>
    <rPh sb="5" eb="7">
      <t>ヒッス</t>
    </rPh>
    <rPh sb="7" eb="9">
      <t>カモク</t>
    </rPh>
    <rPh sb="16" eb="18">
      <t>シュウリョウ</t>
    </rPh>
    <rPh sb="23" eb="25">
      <t>イッテイ</t>
    </rPh>
    <rPh sb="26" eb="28">
      <t>ジョウケン</t>
    </rPh>
    <rPh sb="31" eb="33">
      <t>リシュウ</t>
    </rPh>
    <rPh sb="42" eb="44">
      <t>カモク</t>
    </rPh>
    <phoneticPr fontId="1"/>
  </si>
  <si>
    <r>
      <t>（３）選択科目</t>
    </r>
    <r>
      <rPr>
        <sz val="12"/>
        <color theme="1"/>
        <rFont val="ＭＳ Ｐゴシック"/>
        <family val="3"/>
        <charset val="128"/>
        <scheme val="minor"/>
      </rPr>
      <t>（プログラムを構成する科目のうち「必須科目」「選択必須科目」のいずれにも該当しない科目）</t>
    </r>
    <rPh sb="3" eb="5">
      <t>センタク</t>
    </rPh>
    <rPh sb="5" eb="7">
      <t>カモク</t>
    </rPh>
    <phoneticPr fontId="1"/>
  </si>
  <si>
    <t>⑥ プログラムを構成する授業の内容</t>
    <phoneticPr fontId="1"/>
  </si>
  <si>
    <t>授業に含まれている内容・要素</t>
    <phoneticPr fontId="1"/>
  </si>
  <si>
    <t>授業に含まれているスキルセットのキーワード</t>
    <rPh sb="0" eb="2">
      <t>ジュギョウ</t>
    </rPh>
    <rPh sb="3" eb="4">
      <t>フク</t>
    </rPh>
    <phoneticPr fontId="1"/>
  </si>
  <si>
    <t>（１）現在進行中の社会変化（第４次産業革命、Society 5.0、データ駆動型社会等）に深く寄与しているものであり、それが自らの生活と密接に結びついている</t>
    <phoneticPr fontId="1"/>
  </si>
  <si>
    <t>社会で起きている変化
（「データサイエンス入門A」1回目講義）
（「AIと情報リテラシー」1回目、2回目、15回目講義）
・ビッグデータ、IoT、AI、生成AI、ロボット
・データ量の増加、計算機の処理性能の向上、AIの非連続的進化
・第4次産業革命、Society 5.0、データ駆動型社会
・複数技術を組み合わせたAIサービス
・人間の知的活動とAIの関係性</t>
    <phoneticPr fontId="1"/>
  </si>
  <si>
    <t>1-6</t>
    <phoneticPr fontId="1"/>
  </si>
  <si>
    <t>データ・AI利活用の最新動向
（「AIと情報リテラシー」1回目、3回目、4回目、5回目、6回目講義）
・AI最新技術の活用例（深層生成モデル、強化学習、転移学習、生成AIなど）
・AI等を活用した新しいビジネスモデル(シェアリングエコノミー、商品のレコメンデーションなど)
・基盤モデル、大規模言語モデル、拡散モデル</t>
  </si>
  <si>
    <t>（２）「社会で活用されているデータ」や「データの活用領域」は非常に広範囲であって、日常生活や社会の課題を解決する有用なツールになり得るもの</t>
    <phoneticPr fontId="1"/>
  </si>
  <si>
    <t>社会で活用されているデータ
（「データサイエンス入門A」1回目、2回目講義）
・調査データ、実験データ、行動ログデータ、機械の稼働ログデータ
・1次データ、2次データ
・構造化データ、非構造化データ
・データ作成とビッグデータ
・データのオープン化</t>
    <phoneticPr fontId="1"/>
  </si>
  <si>
    <t>データ・AIの活用領域
（「データサイエンス入門A」1回目、2回目講義）
（「AIと情報リテラシー」1回目～6回目講義、7回目～15回目実習）
・データ・AI活用領域の広がり(生産、消費、文化活動など)
・研究開発、調達、製造、物流、販売、マーケティング、サービスなど
・仮説検証、知識発見、原因究明、計画策定、判断支援、活動代替、新規生成など
・対話、コンテンツ生成、翻訳・要約・執筆支援、コーディング支援など生成AIの応用</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</si>
  <si>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</si>
  <si>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データ・AI利活用のための技術
（「データサイエンス入門A」3回目～6回目実習）
（「AIと情報リテラシー」1回目～6回目講義、7回目～15回目実習）
・データ解析：予測、グルーピング、パターン発見、最適化、モデル化とシミュレーション・データ同化など
・データ可視化：複合グラフ、2軸グラフ、多次元の可視化、関係性の可視化、地図上の可視化、
挙動・軌跡の可視化、リアルタイム可視化など
・非構造化データ処理：言語処理、画像/動画処理、音声/音楽処理など
・特化型AIと汎用AI、今のAIで出来ることと出来ないこと、AIとビッグデータ
・認識技術、ルールベース、自動化技術
・マルチモーダル（言語、画像、音声 など）、生成AIの活用（プロンプトエンジニアリング）</t>
    <rPh sb="37" eb="39">
      <t>ジッシュウ</t>
    </rPh>
    <rPh sb="61" eb="63">
      <t>コウギ</t>
    </rPh>
    <phoneticPr fontId="1"/>
  </si>
  <si>
    <t>データ・AI利活用の現場
（「データサイエンス入門A」1回目、2回目講義）
（「AIと情報リテラシー」7回目～15回目実習）
・データサイエンスのサイクル（課題抽出と定式化、データの取得・管理・加工、
探索的データ解析、データ解析と推論、結果の共有・伝達、課題解決に向けた提案）
・教育、芸術、流通、製造、金融、サービス、インフラ、公共、ヘルスケア等におけるデータ・AI利活用、事例紹介</t>
    <phoneticPr fontId="1"/>
  </si>
  <si>
    <t>（４）活用に当たっての様々な留意事項（ELSI、個人情報、データ倫理、ＡＩ社会原則等）を考慮し、情報セキュリティや情報漏洩等、データを守る上での留意事項への理解をする</t>
    <phoneticPr fontId="1"/>
  </si>
  <si>
    <t>データ・AIを扱う上での留意事項
（「AIと情報リテラシー」1回目講義、7回目～15回目実習）
・倫理的・法的・社会的課題（ELSI：Ethical, Legal and Social Issues）
・個人情報保護、EU一般データ保護規則(GDPR)、忘れられる権利、オプトアウト
・データ倫理：データのねつ造、改ざん、盗用、プライバシー保護
・AI社会原則（公平性、説明責任、透明性、人間中心の判断）
・データバイアス、アルゴリズムバイアス
・AIサービスの責任論
・データガバナンス
・データ・AI活用における負の事例紹介
・生成AIの留意事項（ハルシネーションによる誤情報の生成、偽情報や有害コンテンツの生成・
氾濫 など）</t>
    <phoneticPr fontId="1"/>
  </si>
  <si>
    <t>データを守る上での留意事項
（「データサイエンス入門A」1回目講義）
（「AIと情報リテラシー」1回目講義、15回目実習）
情報セキュリティの3要素（機密性、完全性、可用性）
・匿名加工情報、暗号化と復号、ユーザ認証と、パスワード、アクセス制御、悪意ある情報搾
取・情報漏洩等によるセキュリティ事故の事例紹介
・サイバーセキュリティ</t>
    <rPh sb="31" eb="33">
      <t>コウギ</t>
    </rPh>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</si>
  <si>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</si>
  <si>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</si>
  <si>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データを読む
（「データサイエンス入門A」3回目～6回実習）
・データの種類（量的変数、質的変数）
・データの分布(ヒストグラム)と代表値（平均値、中央値、最頻値）
・代表値の性質の違い（実社会では平均値＝最頻値でないことが多い）
・データのばらつき（分散、標準偏差、偏差値）、外れ値
・相関と因果（相関係数、擬似相関、交絡）</t>
    <phoneticPr fontId="1"/>
  </si>
  <si>
    <t>データを説明する
（「データサイエンス入門A」3回目～6回実習）
・データ表現（棒グラフ、折線グラフ、散布図、ヒートマップ、箱ひげ図）
・データの比較
・不適切なグラフ表現（チャートジャンク、不必要な視覚的要素）
・優れた可視化事例の紹介（可視化することによって新たな気づきがあった事例など）
・相手に的確かつ正確に情報を伝える技術や考え方</t>
    <phoneticPr fontId="1"/>
  </si>
  <si>
    <t>データを扱う
（「データサイエンス入門A」3回目～6回実習）
・データの取得（機械判読可能なデータの作成・表記方法）
・データの集計（和、平均）
・データの並び替え、ランキング
・データ解析ツール（スプレッドシート、BIツール）
・表形式のデータ（csv）</t>
    <phoneticPr fontId="1"/>
  </si>
  <si>
    <t>⑦プログラムの学修成果（学生等が身に付けられる能力等）</t>
    <phoneticPr fontId="1"/>
  </si>
  <si>
    <t>1．データおよびAIの活用に際して求められる倫理的・法的な観点について理解を深め、個人情報の保護に関する基本的な配慮と責任を持って行動できる力。
2．AIに関する基礎的かつ正確な知識を習得し、AI技術がもたらす社会的変化に対して臨機応変かつ主体的に対応できる力。
3．データサイエンスの基礎的知識とスキルを習得し、データを適切に読み解く力および、その内容を正確に伝達する力。</t>
    <phoneticPr fontId="1"/>
  </si>
  <si>
    <t>様式２</t>
    <phoneticPr fontId="1"/>
  </si>
  <si>
    <t>リテラシーレベルのプログラムの履修者数等の実績について</t>
    <phoneticPr fontId="1"/>
  </si>
  <si>
    <t>①プログラム開設年度</t>
    <rPh sb="6" eb="8">
      <t>カイセツ</t>
    </rPh>
    <rPh sb="8" eb="10">
      <t>ネンド</t>
    </rPh>
    <phoneticPr fontId="1"/>
  </si>
  <si>
    <t>令和7</t>
    <rPh sb="0" eb="2">
      <t>レイワ</t>
    </rPh>
    <phoneticPr fontId="1"/>
  </si>
  <si>
    <t>年度（和暦）</t>
    <phoneticPr fontId="1"/>
  </si>
  <si>
    <t>②履修者・修了者の実績（「学生数」「入学定員」「収容定員」は令和７年５月１日時点で記載）</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</si>
  <si>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</si>
  <si>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</si>
  <si>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</si>
  <si>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</si>
  <si>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令和7年度</t>
    <rPh sb="0" eb="2">
      <t>レイワ</t>
    </rPh>
    <rPh sb="3" eb="5">
      <t>ネンド</t>
    </rPh>
    <phoneticPr fontId="1"/>
  </si>
  <si>
    <t>令和6年度</t>
    <rPh sb="0" eb="2">
      <t>レイワ</t>
    </rPh>
    <rPh sb="3" eb="5">
      <t>ネンド</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</si>
  <si>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</si>
  <si>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</si>
  <si>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</si>
  <si>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</si>
  <si>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</si>
  <si>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</si>
  <si>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うち女性</t>
    <rPh sb="2" eb="4">
      <t>ジョセイ</t>
    </rPh>
    <phoneticPr fontId="1"/>
  </si>
  <si>
    <t>履修者数</t>
    <rPh sb="0" eb="3">
      <t>リシュウシャ</t>
    </rPh>
    <rPh sb="3" eb="4">
      <t>スウ</t>
    </rPh>
    <phoneticPr fontId="1"/>
  </si>
  <si>
    <t>修了者数</t>
    <rPh sb="0" eb="3">
      <t>シュウリョウシャ</t>
    </rPh>
    <rPh sb="3" eb="4">
      <t>スウ</t>
    </rPh>
    <phoneticPr fontId="1"/>
  </si>
  <si>
    <t>政治経済学科</t>
    <rPh sb="0" eb="2">
      <t>セイジ</t>
    </rPh>
    <rPh sb="2" eb="4">
      <t>ケイザイ</t>
    </rPh>
    <rPh sb="4" eb="6">
      <t>ガッカ</t>
    </rPh>
    <phoneticPr fontId="1"/>
  </si>
  <si>
    <t>欧米文化学科</t>
    <rPh sb="0" eb="2">
      <t>オウベイ</t>
    </rPh>
    <rPh sb="2" eb="4">
      <t>ブンカ</t>
    </rPh>
    <rPh sb="4" eb="6">
      <t>ガッカ</t>
    </rPh>
    <phoneticPr fontId="1"/>
  </si>
  <si>
    <t>日本文化学科</t>
    <rPh sb="0" eb="2">
      <t>ニホン</t>
    </rPh>
    <rPh sb="2" eb="4">
      <t>ブンカ</t>
    </rPh>
    <rPh sb="4" eb="6">
      <t>ガッカ</t>
    </rPh>
    <phoneticPr fontId="1"/>
  </si>
  <si>
    <t>子ども教育学科</t>
    <rPh sb="0" eb="1">
      <t>コ</t>
    </rPh>
    <rPh sb="3" eb="5">
      <t>キョウイク</t>
    </rPh>
    <rPh sb="5" eb="7">
      <t>ガッカ</t>
    </rPh>
    <phoneticPr fontId="1"/>
  </si>
  <si>
    <t>心理福祉学科</t>
    <rPh sb="0" eb="2">
      <t>シンリ</t>
    </rPh>
    <rPh sb="2" eb="4">
      <t>フクシ</t>
    </rPh>
    <rPh sb="4" eb="6">
      <t>ガッカ</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</si>
  <si>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</si>
  <si>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</si>
  <si>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</si>
  <si>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</si>
  <si>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</si>
  <si>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</si>
  <si>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</si>
  <si>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人</t>
    <rPh sb="0" eb="1">
      <t>ニン</t>
    </rPh>
    <phoneticPr fontId="1"/>
  </si>
  <si>
    <t>（非常勤）</t>
    <rPh sb="1" eb="4">
      <t>ヒジョウキン</t>
    </rPh>
    <phoneticPr fontId="1"/>
  </si>
  <si>
    <t>②</t>
    <phoneticPr fontId="1"/>
  </si>
  <si>
    <t>プログラムの授業を教えている教員数（令和７年度）</t>
    <rPh sb="6" eb="8">
      <t>ジュギョウ</t>
    </rPh>
    <rPh sb="9" eb="10">
      <t>オシ</t>
    </rPh>
    <rPh sb="14" eb="17">
      <t>キョウインスウ</t>
    </rPh>
    <rPh sb="18" eb="20">
      <t>レイワ</t>
    </rPh>
    <rPh sb="21" eb="23">
      <t>ネンド</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</si>
  <si>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</si>
  <si>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</si>
  <si>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</si>
  <si>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伊豆田　義人</t>
    <phoneticPr fontId="1"/>
  </si>
  <si>
    <t>（役職名）</t>
    <rPh sb="1" eb="4">
      <t>ヤクショクメイ</t>
    </rPh>
    <phoneticPr fontId="1"/>
  </si>
  <si>
    <t>教授</t>
    <phoneticPr fontId="1"/>
  </si>
  <si>
    <t>④</t>
    <phoneticPr fontId="1"/>
  </si>
  <si>
    <t>プログラムを改善・進化させるための体制（委員会・組織等）</t>
    <phoneticPr fontId="1"/>
  </si>
  <si>
    <t>（名称）</t>
    <rPh sb="1" eb="3">
      <t>メイショウ</t>
    </rPh>
    <phoneticPr fontId="1"/>
  </si>
  <si>
    <t>基礎総合教育部会、ＡＩ・データサイエンス教育委員会</t>
    <rPh sb="20" eb="22">
      <t>キョウイク</t>
    </rPh>
    <rPh sb="22" eb="24">
      <t>イイン</t>
    </rPh>
    <rPh sb="24" eb="25">
      <t>カイ</t>
    </rPh>
    <phoneticPr fontId="1"/>
  </si>
  <si>
    <t>⑤</t>
    <phoneticPr fontId="1"/>
  </si>
  <si>
    <t>プログラムを改善・進化させるための体制を定める規則名称</t>
    <phoneticPr fontId="1"/>
  </si>
  <si>
    <t>基礎総合教育部会内規、ＡＩ・データサイエンス教育委員会内規</t>
    <rPh sb="0" eb="2">
      <t>キソ</t>
    </rPh>
    <rPh sb="2" eb="4">
      <t>ソウゴウ</t>
    </rPh>
    <rPh sb="4" eb="6">
      <t>キョウイク</t>
    </rPh>
    <rPh sb="6" eb="8">
      <t>ブカイ</t>
    </rPh>
    <rPh sb="8" eb="10">
      <t>ナイキ</t>
    </rPh>
    <rPh sb="27" eb="29">
      <t>ナイキ</t>
    </rPh>
    <phoneticPr fontId="1"/>
  </si>
  <si>
    <t>、</t>
    <phoneticPr fontId="1"/>
  </si>
  <si>
    <t>⑥</t>
    <phoneticPr fontId="1"/>
  </si>
  <si>
    <t>体制の目的</t>
    <rPh sb="0" eb="2">
      <t>タイセイ</t>
    </rPh>
    <rPh sb="3" eb="5">
      <t>モクテキ</t>
    </rPh>
    <phoneticPr fontId="1"/>
  </si>
  <si>
    <t>　全学共通カリキュラムの編成、教員配置等を円滑に行うことを目的に「基礎総合教育部会」を設置。さらに、本部会の下部組織として、課程専門委員会である「ＡＩ・データサイエンス教育（以下「委員会」いう」）を設置している。
　当該委員会は、データサイエンス教育の円滑な運営を図るため、データサイエンス教育のカリキュラムの編成、課程担当教員の配置、自己点検・評価、その他データサイエンス教育に関する事項を審議し、実施計画と実施状況の総合的なマネジメンを行うことを目的とし、
上記目的を達成するため、「聖学院ＡＩ・データサイエンスプログラム（リテラシーレベル）」においては、以下に掲げる業務を行う。
①当該プログラムを構成する授業科目の運営、改善等に関する事項を検討する。
②当該プログラムの点検及び評価を行い、その結果を公表する。</t>
    <phoneticPr fontId="1"/>
  </si>
  <si>
    <t>⑦</t>
    <phoneticPr fontId="1"/>
  </si>
  <si>
    <t>具体的な構成員</t>
    <rPh sb="0" eb="3">
      <t>グタイテキ</t>
    </rPh>
    <rPh sb="4" eb="7">
      <t>コウセイイン</t>
    </rPh>
    <phoneticPr fontId="1"/>
  </si>
  <si>
    <t>岡村佳代（基礎総合教育部長、留学生センター所長、基礎総合教育部 教授）
吉川臨太郎（基礎総合教育副部長、基礎総合教育部 特任講師）
伊豆田義人（IR室副室長、基礎総合教育部 教授）
塩﨑亮（FD・SD委員長、社会教育・図書館情報委員長、基礎総合教育部 教授）
松永直人（学生生活部長、基礎総合教育部 准教授）
井上兼生（教職センター所長、教職委員長、人文学部日本文化学科 特任教授）
中川英幸(英語教育委員長、基礎総合教育部 特任講師）
齊藤伸（ラーニングセンター所長、基礎総合教育部 特任講師）
木村美里（基礎総合教育部 特任講師）
西村由美（基礎総合教育部 特任講師）
森清（学長特別補佐(教育改革)、FD・SD委員長(SD担当)、学務部長）
飯田純（学務部教育委支援課マネージャー）</t>
    <phoneticPr fontId="1"/>
  </si>
  <si>
    <t>⑧</t>
    <phoneticPr fontId="1"/>
  </si>
  <si>
    <t xml:space="preserve">履修者数・履修率の向上に向けた計画 </t>
  </si>
  <si>
    <t>令和７年度履修率</t>
    <rPh sb="0" eb="2">
      <t>レイワ</t>
    </rPh>
    <rPh sb="3" eb="5">
      <t>ネンド</t>
    </rPh>
    <rPh sb="5" eb="8">
      <t>リシュウリツ</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</si>
  <si>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</si>
  <si>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</si>
  <si>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令和10年度予定</t>
    <rPh sb="0" eb="2">
      <t>レイワ</t>
    </rPh>
    <rPh sb="4" eb="6">
      <t>ネンド</t>
    </rPh>
    <rPh sb="6" eb="8">
      <t>ヨテイ</t>
    </rPh>
    <phoneticPr fontId="1"/>
  </si>
  <si>
    <t>令和11年度予定</t>
    <rPh sb="0" eb="2">
      <t>レイワ</t>
    </rPh>
    <rPh sb="4" eb="6">
      <t>ネンド</t>
    </rPh>
    <rPh sb="6" eb="8">
      <t>ヨテイ</t>
    </rPh>
    <phoneticPr fontId="1"/>
  </si>
  <si>
    <t>具体的な計画</t>
    <rPh sb="0" eb="3">
      <t>グタイテキ</t>
    </rPh>
    <rPh sb="4" eb="6">
      <t>ケイカク</t>
    </rPh>
    <phoneticPr fontId="1"/>
  </si>
  <si>
    <t>　本プログラムを構成する科目は、全学共通教育課程「聖学院エッセンシャルズ群（通称）」として設置している。現時点では全学部・学科の学生が履修できる卒業要件上の選択科目であるが、履修者数・履修率向上のため、全学共通カリキュラム全体の開講科目の見直しと教育環境の整備を段階的に行い、以下の通り、令和９年度より必修科目として開設することを計画している。
【令和８年度】
什器入替による授業収容定員の増員と開講クラス増設により履修者数の増加を図る。
【令和９年度以降】
令和９年度以降の入学者より、当該プログラムを構成する科目を必修科目とする。</t>
    <rPh sb="20" eb="22">
      <t>キョウイク</t>
    </rPh>
    <rPh sb="22" eb="24">
      <t>カテイ</t>
    </rPh>
    <rPh sb="25" eb="28">
      <t>セイガクイン</t>
    </rPh>
    <rPh sb="36" eb="37">
      <t>グン</t>
    </rPh>
    <rPh sb="38" eb="40">
      <t>ツウショウ</t>
    </rPh>
    <rPh sb="45" eb="47">
      <t>セッチ</t>
    </rPh>
    <rPh sb="72" eb="74">
      <t>ソツギョウ</t>
    </rPh>
    <rPh sb="74" eb="76">
      <t>ヨウケン</t>
    </rPh>
    <rPh sb="76" eb="77">
      <t>ジョウ</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</si>
  <si>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</si>
  <si>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</si>
  <si>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　本学では、BYOD（Bring Your Own Device）を推奨しており、入学時にノートPCの購入を促している。
　令和７年度はプログラム開設年度ということもあり、プログラムを構成する科目の履修者数がPC教室の収容定員内であったため全員受講可能であったが、令和８年度からは履修者の増加が見込まれるため、PC教室の什器を入れ替え収容定員の増加を予定している。また令和９年度からは開講クラスの増設を予定している。</t>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</si>
  <si>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</si>
  <si>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</si>
  <si>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　全学部・全学科必修の初年次科目での授業や大学ポータルサイト、メールなどで周知を行っている。また、本学のWebサイトに本プログラムの専用ページを設置している。</t>
    <rPh sb="1" eb="4">
      <t>ゼンガクブ</t>
    </rPh>
    <rPh sb="5" eb="6">
      <t>ゼン</t>
    </rPh>
    <rPh sb="6" eb="8">
      <t>ガッカ</t>
    </rPh>
    <rPh sb="8" eb="10">
      <t>ヒッシュウ</t>
    </rPh>
    <rPh sb="18" eb="20">
      <t>ジュギョウ</t>
    </rPh>
    <rPh sb="21" eb="23">
      <t>ダイガク</t>
    </rPh>
    <rPh sb="37" eb="39">
      <t>シュウチ</t>
    </rPh>
    <rPh sb="40" eb="41">
      <t>オコナ</t>
    </rPh>
    <rPh sb="49" eb="51">
      <t>ホンガク</t>
    </rPh>
    <rPh sb="66" eb="68">
      <t>センヨウ</t>
    </rPh>
    <rPh sb="72" eb="74">
      <t>セッチ</t>
    </rPh>
    <phoneticPr fontId="1"/>
  </si>
  <si>
    <t>⑪</t>
    <phoneticPr fontId="1"/>
  </si>
  <si>
    <t>できる限り多くの学生が履修・修得できるようなサポート体制</t>
    <rPh sb="26" eb="28">
      <t>タイセイ</t>
    </rPh>
    <phoneticPr fontId="1"/>
  </si>
  <si>
    <t>　本学では、できる限り多くの学生が履修・修得できるよう、以下のようなサポート体制を整備している。
・教室棟や図書館棟をはじめ、全て建物にWi-Fi環境を整備。
・パソコン教室を授業の空き時間に学生の自由利用に開放。
・ノートパソコンの学内貸出。
　その他、学生の学修をサポートするラーニングセンターを設置。常駐スタッフから個別指導を受けることもできる。また、センター内にはラーニングコモンズの機能も備え、ノートPCも常設しており、個人やグループで学修する環境も整っている。</t>
    <rPh sb="1" eb="3">
      <t>ホンガク</t>
    </rPh>
    <rPh sb="28" eb="30">
      <t>イカ</t>
    </rPh>
    <rPh sb="38" eb="40">
      <t>タイセイ</t>
    </rPh>
    <rPh sb="41" eb="43">
      <t>セイビ</t>
    </rPh>
    <rPh sb="51" eb="53">
      <t>キョウシツ</t>
    </rPh>
    <rPh sb="53" eb="54">
      <t>ムネ</t>
    </rPh>
    <rPh sb="55" eb="58">
      <t>トショカン</t>
    </rPh>
    <rPh sb="58" eb="59">
      <t>ムネ</t>
    </rPh>
    <rPh sb="64" eb="65">
      <t>スベ</t>
    </rPh>
    <rPh sb="66" eb="68">
      <t>タテモノ</t>
    </rPh>
    <rPh sb="74" eb="76">
      <t>カンキョウ</t>
    </rPh>
    <rPh sb="77" eb="79">
      <t>セイビ</t>
    </rPh>
    <rPh sb="86" eb="88">
      <t>キョウシツ</t>
    </rPh>
    <rPh sb="89" eb="91">
      <t>ジュギョウ</t>
    </rPh>
    <rPh sb="92" eb="93">
      <t>ア</t>
    </rPh>
    <rPh sb="94" eb="96">
      <t>ジカン</t>
    </rPh>
    <rPh sb="97" eb="99">
      <t>ガクセイ</t>
    </rPh>
    <rPh sb="100" eb="102">
      <t>ジユウ</t>
    </rPh>
    <rPh sb="102" eb="104">
      <t>リヨウ</t>
    </rPh>
    <rPh sb="105" eb="107">
      <t>カイホウ</t>
    </rPh>
    <rPh sb="118" eb="120">
      <t>ガクナイ</t>
    </rPh>
    <rPh sb="120" eb="122">
      <t>カシダシ</t>
    </rPh>
    <rPh sb="128" eb="129">
      <t>ホカ</t>
    </rPh>
    <phoneticPr fontId="1"/>
  </si>
  <si>
    <t>を</t>
    <phoneticPr fontId="1"/>
  </si>
  <si>
    <t>⑫</t>
    <phoneticPr fontId="1"/>
  </si>
  <si>
    <t>授業時間内外で学習指導、質問を受け付ける具体的な仕組み</t>
    <rPh sb="20" eb="23">
      <t>グタイテキ</t>
    </rPh>
    <phoneticPr fontId="1"/>
  </si>
  <si>
    <t>　授業担当者は週に１コマ（90分）以上のオフィスアワーを設定している。受講生は必要に応じて学習指導、質問を受けることができる。
またLMS（授業ポータルサイト）のQ&amp;A機能により担当者に質問できる他、Microsoft Teamsのチャット機能により、対面で質問・相談できない学生のオンラインによる指導も可能となっている。
　その他、ラーニングセンターでは個別指導の他、ＰＣの使い方や学習に関する相談を受け付ける環境も整っている。</t>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</si>
  <si>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</si>
  <si>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</si>
  <si>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</si>
  <si>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t>
    <phoneticPr fontId="1"/>
  </si>
  <si>
    <t>内部質保証推進IR委員会、全学評価委員会</t>
    <rPh sb="0" eb="2">
      <t>ナイブ</t>
    </rPh>
    <rPh sb="2" eb="3">
      <t>シツ</t>
    </rPh>
    <rPh sb="3" eb="5">
      <t>ホショウ</t>
    </rPh>
    <rPh sb="5" eb="7">
      <t>スイシン</t>
    </rPh>
    <rPh sb="9" eb="12">
      <t>イインカイ</t>
    </rPh>
    <rPh sb="13" eb="15">
      <t>ゼンガク</t>
    </rPh>
    <rPh sb="15" eb="17">
      <t>ヒョウカ</t>
    </rPh>
    <rPh sb="17" eb="19">
      <t>イイン</t>
    </rPh>
    <rPh sb="19" eb="20">
      <t>カイ</t>
    </rPh>
    <phoneticPr fontId="1"/>
  </si>
  <si>
    <t>小池　茂子</t>
    <rPh sb="0" eb="2">
      <t>コイケ</t>
    </rPh>
    <rPh sb="3" eb="5">
      <t>シゲコ</t>
    </rPh>
    <phoneticPr fontId="1"/>
  </si>
  <si>
    <t>学長</t>
    <rPh sb="0" eb="2">
      <t>ガクチョウ</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</si>
  <si>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</si>
  <si>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</si>
  <si>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</si>
  <si>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</si>
  <si>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</si>
  <si>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　本プログラムは「AIと情報リテラシー」と「データサイエンス入門A」の二つの科目で構成されている。いずれも令和7年度に開設された科目であり、担当専任教員の着任に合わせて開講したため、履修者数は比較的少数にとどまっている。しかし、春学期と同一内容で開講される秋学期の「AIと情報リテラシー」の登録者数が2倍以上となっていることから、今後は履修率の向上が期待される。
　本学では、内部質保証推進IR委員会と全学評価委員会によるプログラムの自己点検・評価を実施する体制を整備している。教育支援課との情報共有により、履修登録状況や単位修得状況を正確に把握し、各年度における履修・修得状況の確認と分析を行うことができる。
　さらに、基礎総合教育部会およびAI・データサイエンス教育委員会を中心に、評価結果に基づく改善策を検討・実施し、進化させる体制を構築しており、プログラムの履修率向上と質的改善を継続的に図ることができる。</t>
  </si>
  <si>
    <t>学修成果</t>
    <rPh sb="0" eb="2">
      <t>ガクシュウ</t>
    </rPh>
    <rPh sb="2" eb="4">
      <t>セイカ</t>
    </rPh>
    <phoneticPr fontId="1"/>
  </si>
  <si>
    <t>　本プログラム対象の授業では、Microsoft Teamsや授業ポータルサイト「UNIPA」で作成した授業用グループを活用し、各回の授業資料や課題を配布している。また、「チャット」機能を用いて学生と個別にやり取りを行い、課題を回収することで、提出状況や理解度を把握している。提出状況や理解度が芳しくない学生には、個別サポートを実施し、学修の定着を図っている。これにより、学生の理解度と到達目標の達成状況を確認しながら授業を進めることができる。
　また、教育支援課では「授業評価アンケート」の集計結果や成績評価の状況を分析し、基礎総合教育部会およびAI・データサイエンス教育委員会で構成される「プログラム改善体制」と連携しながら、次年度以降の授業改善を計画・実施できる。</t>
    <rPh sb="31" eb="33">
      <t>ジュギョウ</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</si>
  <si>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</si>
  <si>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　毎学期、授業評価アンケートを実施しているが、対象は開講科目の一部であり、「AIと情報リテラシー」と「データサイエンス入門A」は令和7年度春学期の調査には含まれていなかった。ただし、令和7年度秋学期には「AIと情報リテラシー」が調査対象となり、今後は本プログラムを構成する2科目について継続的にアンケートを実施する予定である。
　授業評価アンケートでは、「教員の説明はわかりやすかった」「授業の難易度は自分に合っていた」「この授業には意欲的に取り組んだ」など、授業内容の理解度に関する質問を設定している。さらに自由記述欄を設けているため、学生の理解度や学修状況をより詳細に把握できる。</t>
  </si>
  <si>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</si>
  <si>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　大学総務課が実施する「授業評価アンケート」やIR室が実施する「大学生活に関するアンケート」には、後輩や他の学生への推奨度に関する質問項目は設けられていない。先に述べたとおり、本プログラムの科目は令和7年度の授業評価には含まれていなかったが、「授業評価アンケート」には「この授業には意欲的に取り組んだ」や「自由記述欄」などの質問項目があり、学生の知的関心や達成感を把握することができる。
　なお、令和9年度には本プログラムの2科目を必修科目とする予定であり、履修率の向上と学修意欲の定着が期待される。</t>
  </si>
  <si>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</si>
  <si>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　専任教員の着任に合わせて令和7年度に初めて開講したため、履修者数や履修率の具体的な目標は設定していなかったが、他の情報系科目の平均受講者数である20名程度を想定していた。特に「AIと情報リテラシー」は新設科目であり、従来の情報系科目と名称や内容が一部異なっていたため、周知が十分に行き届かず、履修者数は伸び悩んだ。
　本学は人文社会学系の大学であり、データサイエンスやAIに対して苦手意識を持つ学生が一定数存在すると考えられる。そのため、当該プログラムを学ぶ意義や授業内容を丁寧に説明し、学生の理解を深めることで、より多くの学生が興味を持ち履修するよう積極的に促していく。実際、春学期と同一内容で秋学期に開講した「AIと情報リテラシー」では、登録者数が倍増しており、履修率の向上が期待できる。なお，令和9年度には本プログラムの2科目を必修科目とする予定である。</t>
  </si>
  <si>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</si>
  <si>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</si>
  <si>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　本プログラムは令和7年度入学生から開始したため、現時点では修了し卒業した学生はおらず、令和11年3月卒業生が初めての修了者となる予定である。
　今後は、就職支援部門と連携し、プログラム修了者の進路を継続的に把握するとともに、本学IR室が実施する「卒業生就職先アンケート」を通じて、企業からの評価を収集・分析し、プログラム改善に活用する。</t>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</si>
  <si>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</si>
  <si>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　上で述べた、本学のIR室が実施する「卒業生就職先アンケート」には「本学の卒業生をご採用いただいた企業の方にお伺いします。本学の卒業生は、以下の能力が身についていると思われますか。」という設問があり、「数量的スキル」「情報リテラシー」「問題解決力」「これまでに得た知識・技能・態度等を総合的に活用し、課題を解決する」を評価してもらっているため、そのデータをもとに授業の改善ができる。</t>
    <rPh sb="1" eb="2">
      <t>ウエ</t>
    </rPh>
    <rPh sb="3" eb="4">
      <t>ノ</t>
    </rPh>
    <rPh sb="39" eb="40">
      <t>セイ</t>
    </rPh>
    <rPh sb="43" eb="44">
      <t>ヨウ</t>
    </rPh>
    <rPh sb="52" eb="53">
      <t>カタ</t>
    </rPh>
    <rPh sb="66" eb="67">
      <t>セイ</t>
    </rPh>
    <rPh sb="73" eb="74">
      <t>チカラ</t>
    </rPh>
    <rPh sb="75" eb="76">
      <t>ミ</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</si>
  <si>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</si>
  <si>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　「AIと情報リテラシー」の授業は、講義と演習の二部構成で実施している。講義では、人文社会学系の学生に配慮し、AIの歴史や基本概念、文書生成AIや画像生成AIの仕組みを紹介している。また、AI分野の背景にある脳科学や神経心理学など「人間に関する科学」の話題を取り入れることで、興味や好奇心を喚起し、学修意欲を高める工夫を行っている。
　演習では、生成AIの活用方法とその可能性を具体的に示し、教育、福祉、ビジネス、行政、研究、日常生活、娯楽など多様な場面での応用事例を確認しながら、豊かな社会の構築におけるAIの役割を考える機会を提供している。
　「データサイエンス入門A」では、ExcelやRなどのデータ分析ツールを用い、実社会のデータや課題を取り上げることで、データ駆動社会が直面する問題を理解させるとともに、学生の身近なところで数理・データサイエンス・AIのスキルが必要であることに気づかせる工夫をしている。</t>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</si>
  <si>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</si>
  <si>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　本学は人文社会学系であるため、AIやICT、数学の高度な専門内容を重視したカリキュラムの実施は困難である。そのため、本プログラムを構成する「AIと情報リテラシー」および「データサイエンス入門A」では、担当教員が作成した授業資料を配布し、授業テキストとして活用している。
　授業資料では、社会や企業で求められる基本的な知識とスキルの習得を目的とし、座学では身近な事例を多く取り上げ、定性的な説明を通じて数理・データサイエンス・AI分野の本質的な概念をわかりやすく解説している。演習資料では、パソコンやソフトの操作手順をステップごとに画像で示し、繰り返し学習することで自然に技能を習得できるよう工夫している。
　さらに、ラーニングセンターと情報センターによる支援体制を整備し、パソコン操作に不安を持つ学生へのサポートを充実させている。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</si>
</sst>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0_);[Red]\(0\)"/>
    <numFmt numFmtId="178" formatCode="#,##0_);[Red]\(#,##0\)"/>
  </numFmts>
  <fonts count="13">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b/>
      <sz val="12"/>
      <color theme="1"/>
      <name val="ＭＳ Ｐゴシック"/>
      <family val="3"/>
      <charset val="128"/>
      <scheme val="minor"/>
    </font>
    <font>
      <b/>
      <sz val="18"/>
      <color theme="1"/>
      <name val="ＭＳ Ｐゴシック"/>
      <family val="3"/>
      <charset val="128"/>
      <scheme val="minor"/>
    </font>
    <font>
      <b/>
      <sz val="9"/>
      <color theme="1"/>
      <name val="ＭＳ Ｐゴシック"/>
      <family val="3"/>
      <charset val="128"/>
      <scheme val="minor"/>
    </font>
    <font>
      <sz val="9"/>
      <color rgb="FF000000"/>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6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hair">
        <color auto="1"/>
      </bottom>
      <diagonal/>
    </border>
    <border>
      <left style="thin">
        <color auto="1"/>
      </left>
      <right style="medium">
        <color indexed="64"/>
      </right>
      <top style="thin">
        <color auto="1"/>
      </top>
      <bottom style="hair">
        <color auto="1"/>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thin">
        <color auto="1"/>
      </bottom>
      <diagonal/>
    </border>
    <border>
      <left style="thin">
        <color auto="1"/>
      </left>
      <right style="medium">
        <color indexed="64"/>
      </right>
      <top style="hair">
        <color auto="1"/>
      </top>
      <bottom style="thin">
        <color auto="1"/>
      </bottom>
      <diagonal/>
    </border>
    <border>
      <left style="medium">
        <color indexed="64"/>
      </left>
      <right style="thin">
        <color auto="1"/>
      </right>
      <top/>
      <bottom style="hair">
        <color auto="1"/>
      </bottom>
      <diagonal/>
    </border>
    <border>
      <left style="thin">
        <color auto="1"/>
      </left>
      <right style="medium">
        <color indexed="64"/>
      </right>
      <top/>
      <bottom style="hair">
        <color auto="1"/>
      </bottom>
      <diagonal/>
    </border>
    <border>
      <left style="medium">
        <color indexed="64"/>
      </left>
      <right style="thin">
        <color auto="1"/>
      </right>
      <top style="hair">
        <color auto="1"/>
      </top>
      <bottom style="medium">
        <color indexed="64"/>
      </bottom>
      <diagonal/>
    </border>
    <border>
      <left style="thin">
        <color auto="1"/>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dotted">
        <color auto="1"/>
      </left>
      <right style="thin">
        <color auto="1"/>
      </right>
      <top style="dotted">
        <color auto="1"/>
      </top>
      <bottom style="thin">
        <color auto="1"/>
      </bottom>
      <diagonal/>
    </border>
    <border>
      <left style="dotted">
        <color auto="1"/>
      </left>
      <right style="thin">
        <color auto="1"/>
      </right>
      <top/>
      <bottom/>
      <diagonal/>
    </border>
    <border>
      <left style="dotted">
        <color auto="1"/>
      </left>
      <right style="thin">
        <color auto="1"/>
      </right>
      <top style="hair">
        <color auto="1"/>
      </top>
      <bottom style="hair">
        <color auto="1"/>
      </bottom>
      <diagonal/>
    </border>
    <border>
      <left style="dotted">
        <color auto="1"/>
      </left>
      <right/>
      <top style="double">
        <color auto="1"/>
      </top>
      <bottom style="thin">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187">
    <xf numFmtId="0" fontId="0" fillId="0" borderId="0" xfId="0">
      <alignment vertical="center"/>
    </xf>
    <xf numFmtId="0" fontId="7" fillId="2" borderId="11" xfId="0" applyFont="1" applyFill="1" applyBorder="1" applyAlignment="1">
      <alignment vertical="center" wrapText="1"/>
    </xf>
    <xf numFmtId="0" fontId="3" fillId="2" borderId="59" xfId="0" applyFont="1" applyFill="1" applyBorder="1" applyAlignment="1">
      <alignment vertical="center" wrapText="1"/>
    </xf>
    <xf numFmtId="38" fontId="2" fillId="2" borderId="5" xfId="2" applyFont="1" applyFill="1" applyBorder="1" applyAlignment="1">
      <alignment vertical="center" shrinkToFi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 xfId="0" applyFont="1" applyFill="1" applyBorder="1" applyAlignment="1">
      <alignment horizontal="left" vertical="center"/>
    </xf>
    <xf numFmtId="0" fontId="3" fillId="2" borderId="0" xfId="0" applyFont="1" applyFill="1">
      <alignment vertical="center"/>
    </xf>
    <xf numFmtId="0" fontId="2" fillId="2" borderId="0" xfId="0" applyFont="1" applyFill="1">
      <alignment vertical="center"/>
    </xf>
    <xf numFmtId="0" fontId="2" fillId="2" borderId="0" xfId="0" applyFont="1" applyFill="1" applyAlignment="1">
      <alignment horizontal="right" vertical="center"/>
    </xf>
    <xf numFmtId="0" fontId="2" fillId="2" borderId="0" xfId="0" applyFont="1" applyFill="1" applyAlignment="1">
      <alignment horizontal="left" vertical="center"/>
    </xf>
    <xf numFmtId="0" fontId="6" fillId="2" borderId="0" xfId="0" applyFont="1" applyFill="1" applyAlignment="1">
      <alignment horizontal="center" vertical="center"/>
    </xf>
    <xf numFmtId="0" fontId="2" fillId="2" borderId="0" xfId="0" applyFont="1" applyFill="1" applyAlignment="1">
      <alignment horizontal="center" vertical="center"/>
    </xf>
    <xf numFmtId="0" fontId="5" fillId="2" borderId="0" xfId="0" applyFont="1" applyFill="1">
      <alignment vertical="center"/>
    </xf>
    <xf numFmtId="0" fontId="5" fillId="2" borderId="0" xfId="0" applyFont="1" applyFill="1" applyAlignment="1">
      <alignment horizontal="left" vertical="center"/>
    </xf>
    <xf numFmtId="0" fontId="2" fillId="2" borderId="0" xfId="0" applyFont="1" applyFill="1" applyAlignment="1">
      <alignment vertical="top" wrapText="1"/>
    </xf>
    <xf numFmtId="0" fontId="2" fillId="2" borderId="0" xfId="0" applyFont="1" applyFill="1" applyAlignment="1">
      <alignment vertical="top" wrapText="1" shrinkToFit="1"/>
    </xf>
    <xf numFmtId="0" fontId="2" fillId="2" borderId="0" xfId="0" applyFont="1" applyFill="1" applyAlignment="1">
      <alignment vertical="center" wrapText="1"/>
    </xf>
    <xf numFmtId="0" fontId="3" fillId="2" borderId="0" xfId="0" applyFont="1" applyFill="1" applyAlignment="1">
      <alignment vertical="top" wrapText="1"/>
    </xf>
    <xf numFmtId="9" fontId="2" fillId="2" borderId="1" xfId="0" applyNumberFormat="1" applyFont="1" applyFill="1" applyBorder="1" applyAlignment="1">
      <alignment horizontal="center" vertical="center" shrinkToFit="1"/>
    </xf>
    <xf numFmtId="9" fontId="2" fillId="2" borderId="0" xfId="1" applyFont="1" applyFill="1" applyAlignment="1">
      <alignment horizontal="center" vertical="center"/>
    </xf>
    <xf numFmtId="0" fontId="2" fillId="2" borderId="1" xfId="0" applyFont="1" applyFill="1" applyBorder="1" applyAlignment="1">
      <alignment horizontal="center" vertical="center" shrinkToFit="1"/>
    </xf>
    <xf numFmtId="0" fontId="2" fillId="2" borderId="0" xfId="0" applyFont="1" applyFill="1" applyAlignment="1">
      <alignment horizontal="center" vertical="center" shrinkToFit="1"/>
    </xf>
    <xf numFmtId="0" fontId="3" fillId="2" borderId="0" xfId="0" applyFont="1" applyFill="1" applyAlignment="1">
      <alignment vertical="top" shrinkToFit="1"/>
    </xf>
    <xf numFmtId="0" fontId="2" fillId="2" borderId="0" xfId="0" applyFont="1" applyFill="1" applyAlignment="1">
      <alignment vertical="top" shrinkToFit="1"/>
    </xf>
    <xf numFmtId="0" fontId="2" fillId="2" borderId="0" xfId="0" applyFont="1" applyFill="1" applyAlignment="1">
      <alignment horizontal="center" vertical="center" wrapText="1" shrinkToFit="1"/>
    </xf>
    <xf numFmtId="9" fontId="2" fillId="2" borderId="0" xfId="0" applyNumberFormat="1" applyFont="1" applyFill="1" applyAlignment="1">
      <alignment horizontal="center" vertical="center" shrinkToFit="1"/>
    </xf>
    <xf numFmtId="176" fontId="2" fillId="2" borderId="0" xfId="0" applyNumberFormat="1" applyFont="1" applyFill="1" applyAlignment="1">
      <alignment horizontal="center" vertical="center" shrinkToFit="1"/>
    </xf>
    <xf numFmtId="0" fontId="2" fillId="2" borderId="0" xfId="0" applyFont="1" applyFill="1" applyAlignment="1">
      <alignment horizontal="left" vertical="center" shrinkToFit="1"/>
    </xf>
    <xf numFmtId="0" fontId="2" fillId="2" borderId="0" xfId="0" applyFont="1" applyFill="1" applyAlignment="1">
      <alignment horizontal="right" vertical="center" shrinkToFit="1"/>
    </xf>
    <xf numFmtId="9" fontId="2" fillId="2" borderId="1" xfId="0" applyNumberFormat="1" applyFont="1" applyFill="1" applyBorder="1" applyAlignment="1">
      <alignment horizontal="right" vertical="center" wrapText="1" shrinkToFit="1"/>
    </xf>
    <xf numFmtId="0" fontId="2" fillId="2" borderId="4" xfId="0" applyFont="1" applyFill="1" applyBorder="1" applyAlignment="1">
      <alignment horizontal="center" vertical="center"/>
    </xf>
    <xf numFmtId="0" fontId="2" fillId="2" borderId="7" xfId="0" applyFont="1" applyFill="1" applyBorder="1">
      <alignment vertical="center"/>
    </xf>
    <xf numFmtId="0" fontId="3" fillId="2" borderId="5" xfId="0" applyFont="1" applyFill="1" applyBorder="1" applyAlignment="1">
      <alignment vertical="top" wrapText="1"/>
    </xf>
    <xf numFmtId="0" fontId="2" fillId="2" borderId="16" xfId="0" applyFont="1" applyFill="1" applyBorder="1" applyAlignment="1">
      <alignment vertical="center" wrapText="1"/>
    </xf>
    <xf numFmtId="0" fontId="2" fillId="2" borderId="16" xfId="0" applyFont="1" applyFill="1" applyBorder="1">
      <alignment vertical="center"/>
    </xf>
    <xf numFmtId="0" fontId="3" fillId="2" borderId="11" xfId="0" applyFont="1" applyFill="1" applyBorder="1" applyAlignment="1">
      <alignment vertical="top" wrapText="1"/>
    </xf>
    <xf numFmtId="0" fontId="2" fillId="2" borderId="43" xfId="0" applyFont="1" applyFill="1" applyBorder="1" applyAlignment="1">
      <alignment vertical="center" wrapText="1"/>
    </xf>
    <xf numFmtId="0" fontId="3" fillId="2" borderId="29" xfId="0" applyFont="1" applyFill="1" applyBorder="1" applyAlignment="1">
      <alignment vertical="top" wrapText="1"/>
    </xf>
    <xf numFmtId="0" fontId="3" fillId="2" borderId="9" xfId="0" applyFont="1" applyFill="1" applyBorder="1" applyAlignment="1">
      <alignment vertical="top" shrinkToFit="1"/>
    </xf>
    <xf numFmtId="0" fontId="8" fillId="2" borderId="30" xfId="0" applyFont="1" applyFill="1" applyBorder="1" applyAlignment="1">
      <alignment horizontal="center" vertical="center"/>
    </xf>
    <xf numFmtId="0" fontId="2" fillId="2" borderId="0" xfId="0" applyFont="1" applyFill="1" applyAlignment="1">
      <alignment vertical="center" shrinkToFit="1"/>
    </xf>
    <xf numFmtId="0" fontId="2" fillId="2" borderId="44" xfId="0" applyFont="1" applyFill="1" applyBorder="1" applyAlignment="1">
      <alignment horizontal="left" vertical="center" shrinkToFit="1"/>
    </xf>
    <xf numFmtId="9" fontId="2" fillId="2" borderId="14" xfId="0" applyNumberFormat="1" applyFont="1" applyFill="1" applyBorder="1" applyAlignment="1">
      <alignment vertical="center" shrinkToFit="1"/>
    </xf>
    <xf numFmtId="0" fontId="2" fillId="2" borderId="20" xfId="0" applyFont="1" applyFill="1" applyBorder="1" applyAlignment="1">
      <alignment horizontal="left" vertical="center" shrinkToFit="1"/>
    </xf>
    <xf numFmtId="38" fontId="2" fillId="2" borderId="42" xfId="2" applyFont="1" applyFill="1" applyBorder="1" applyAlignment="1">
      <alignment vertical="center" shrinkToFit="1"/>
    </xf>
    <xf numFmtId="9" fontId="2" fillId="2" borderId="44" xfId="0" applyNumberFormat="1" applyFont="1" applyFill="1" applyBorder="1" applyAlignment="1">
      <alignment vertical="center" shrinkToFit="1"/>
    </xf>
    <xf numFmtId="9" fontId="2" fillId="2" borderId="20" xfId="0" applyNumberFormat="1" applyFont="1" applyFill="1" applyBorder="1" applyAlignment="1">
      <alignment vertical="center" shrinkToFit="1"/>
    </xf>
    <xf numFmtId="0" fontId="2" fillId="2" borderId="21" xfId="0" applyFont="1" applyFill="1" applyBorder="1" applyAlignment="1">
      <alignment horizontal="left" vertical="center" shrinkToFit="1"/>
    </xf>
    <xf numFmtId="0" fontId="2" fillId="2" borderId="23" xfId="0" applyFont="1" applyFill="1" applyBorder="1" applyAlignment="1">
      <alignment horizontal="center" vertical="center" shrinkToFit="1"/>
    </xf>
    <xf numFmtId="38" fontId="2" fillId="2" borderId="23" xfId="2" applyFont="1" applyFill="1" applyBorder="1" applyAlignment="1">
      <alignment vertical="center" shrinkToFit="1"/>
    </xf>
    <xf numFmtId="38" fontId="2" fillId="2" borderId="22" xfId="2" applyFont="1" applyFill="1" applyBorder="1" applyAlignment="1">
      <alignment vertical="center" shrinkToFit="1"/>
    </xf>
    <xf numFmtId="9" fontId="2" fillId="2" borderId="23" xfId="0" applyNumberFormat="1" applyFont="1" applyFill="1" applyBorder="1" applyAlignment="1">
      <alignment vertical="center" shrinkToFit="1"/>
    </xf>
    <xf numFmtId="0" fontId="2" fillId="2" borderId="20" xfId="0" applyFont="1" applyFill="1" applyBorder="1" applyAlignment="1">
      <alignment horizontal="justify" vertical="top" wrapText="1" shrinkToFit="1"/>
    </xf>
    <xf numFmtId="0" fontId="2" fillId="2" borderId="32" xfId="0" applyFont="1" applyFill="1" applyBorder="1" applyAlignment="1">
      <alignment horizontal="justify" vertical="top" wrapText="1" shrinkToFit="1"/>
    </xf>
    <xf numFmtId="0" fontId="2" fillId="2" borderId="44" xfId="0" applyFont="1" applyFill="1" applyBorder="1" applyAlignment="1">
      <alignment horizontal="justify" vertical="top" wrapText="1" shrinkToFit="1"/>
    </xf>
    <xf numFmtId="0" fontId="2" fillId="2" borderId="13" xfId="0" applyFont="1" applyFill="1" applyBorder="1" applyAlignment="1">
      <alignment horizontal="justify" vertical="top" wrapText="1" shrinkToFit="1"/>
    </xf>
    <xf numFmtId="38" fontId="2" fillId="2" borderId="0" xfId="2" applyFont="1" applyFill="1" applyAlignment="1">
      <alignment horizontal="right" vertical="center" shrinkToFit="1"/>
    </xf>
    <xf numFmtId="38" fontId="2" fillId="2" borderId="5" xfId="2" applyFont="1" applyFill="1" applyBorder="1" applyAlignment="1">
      <alignment horizontal="right" vertical="center" shrinkToFit="1"/>
    </xf>
    <xf numFmtId="38" fontId="2" fillId="2" borderId="19" xfId="2" applyFont="1" applyFill="1" applyBorder="1" applyAlignment="1">
      <alignment horizontal="right" vertical="center" shrinkToFit="1"/>
    </xf>
    <xf numFmtId="38" fontId="2" fillId="2" borderId="18" xfId="2" applyFont="1" applyFill="1" applyBorder="1" applyAlignment="1">
      <alignment horizontal="right" vertical="center" shrinkToFit="1"/>
    </xf>
    <xf numFmtId="38" fontId="2" fillId="2" borderId="42" xfId="2" applyFont="1" applyFill="1" applyBorder="1" applyAlignment="1">
      <alignment horizontal="right" vertical="center" shrinkToFit="1"/>
    </xf>
    <xf numFmtId="38" fontId="2" fillId="2" borderId="61" xfId="2" applyFont="1" applyFill="1" applyBorder="1" applyAlignment="1">
      <alignment horizontal="right" vertical="center" shrinkToFit="1"/>
    </xf>
    <xf numFmtId="38" fontId="2" fillId="2" borderId="17" xfId="2" applyFont="1" applyFill="1" applyBorder="1" applyAlignment="1">
      <alignment horizontal="right" vertical="center" shrinkToFit="1"/>
    </xf>
    <xf numFmtId="38" fontId="2" fillId="2" borderId="60" xfId="2" applyFont="1" applyFill="1" applyBorder="1" applyAlignment="1">
      <alignment horizontal="right" vertical="center" shrinkToFit="1"/>
    </xf>
    <xf numFmtId="38" fontId="2" fillId="2" borderId="10" xfId="2" applyFont="1" applyFill="1" applyBorder="1" applyAlignment="1">
      <alignment horizontal="right" vertical="center" shrinkToFit="1"/>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center" shrinkToFit="1"/>
    </xf>
    <xf numFmtId="0" fontId="5" fillId="2" borderId="0" xfId="0" applyFont="1" applyFill="1" applyAlignment="1">
      <alignment horizontal="center" vertical="center"/>
    </xf>
    <xf numFmtId="0" fontId="2" fillId="2" borderId="1" xfId="0" applyFont="1" applyFill="1" applyBorder="1" applyAlignment="1">
      <alignment horizontal="justify" vertical="top" wrapText="1" shrinkToFit="1"/>
    </xf>
    <xf numFmtId="0" fontId="3" fillId="2" borderId="2" xfId="0" applyFont="1" applyFill="1" applyBorder="1" applyAlignment="1">
      <alignment horizontal="center" vertical="center" shrinkToFit="1"/>
    </xf>
    <xf numFmtId="49" fontId="11" fillId="2" borderId="45" xfId="0" applyNumberFormat="1" applyFont="1" applyFill="1" applyBorder="1" applyAlignment="1">
      <alignment horizontal="center" vertical="center"/>
    </xf>
    <xf numFmtId="49" fontId="11" fillId="2" borderId="46" xfId="0" applyNumberFormat="1" applyFont="1" applyFill="1" applyBorder="1" applyAlignment="1">
      <alignment horizontal="center" vertical="center"/>
    </xf>
    <xf numFmtId="49" fontId="11" fillId="2" borderId="47" xfId="0" applyNumberFormat="1" applyFont="1" applyFill="1" applyBorder="1" applyAlignment="1">
      <alignment horizontal="center" vertical="center"/>
    </xf>
    <xf numFmtId="49" fontId="3" fillId="2" borderId="4"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shrinkToFit="1"/>
    </xf>
    <xf numFmtId="0" fontId="2" fillId="2" borderId="27" xfId="0" applyFont="1" applyFill="1" applyBorder="1" applyAlignment="1">
      <alignment horizontal="left" vertical="center" shrinkToFit="1"/>
    </xf>
    <xf numFmtId="0" fontId="2" fillId="2" borderId="18" xfId="0" applyFont="1" applyFill="1" applyBorder="1" applyAlignment="1">
      <alignment horizontal="left" vertical="center" shrinkToFit="1"/>
    </xf>
    <xf numFmtId="0" fontId="2" fillId="2" borderId="50" xfId="0" applyFont="1" applyFill="1" applyBorder="1" applyAlignment="1">
      <alignment horizontal="center" vertical="center" shrinkToFit="1"/>
    </xf>
    <xf numFmtId="0" fontId="2" fillId="2" borderId="20" xfId="0" applyFont="1" applyFill="1" applyBorder="1" applyAlignment="1">
      <alignment horizontal="center" vertical="center" shrinkToFit="1"/>
    </xf>
    <xf numFmtId="0" fontId="2" fillId="2" borderId="51" xfId="0" applyFont="1" applyFill="1" applyBorder="1" applyAlignment="1">
      <alignment horizontal="center" vertical="center" shrinkToFit="1"/>
    </xf>
    <xf numFmtId="0" fontId="2" fillId="2" borderId="17" xfId="0" applyFont="1" applyFill="1" applyBorder="1" applyAlignment="1">
      <alignment horizontal="center" vertical="center" shrinkToFit="1"/>
    </xf>
    <xf numFmtId="0" fontId="2" fillId="2" borderId="30" xfId="0" applyFont="1" applyFill="1" applyBorder="1" applyAlignment="1">
      <alignment horizontal="left" vertical="center" shrinkToFit="1"/>
    </xf>
    <xf numFmtId="0" fontId="2" fillId="2" borderId="52" xfId="0" applyFont="1" applyFill="1" applyBorder="1" applyAlignment="1">
      <alignment horizontal="center" vertical="center" shrinkToFit="1"/>
    </xf>
    <xf numFmtId="0" fontId="2" fillId="2" borderId="32" xfId="0" applyFont="1" applyFill="1" applyBorder="1" applyAlignment="1">
      <alignment horizontal="center" vertical="center" shrinkToFit="1"/>
    </xf>
    <xf numFmtId="0" fontId="2" fillId="2" borderId="53" xfId="0" applyFont="1" applyFill="1" applyBorder="1" applyAlignment="1">
      <alignment horizontal="center" vertical="center" shrinkToFit="1"/>
    </xf>
    <xf numFmtId="0" fontId="2" fillId="2" borderId="31" xfId="0" applyFont="1" applyFill="1" applyBorder="1" applyAlignment="1">
      <alignment horizontal="center" vertical="center" shrinkToFit="1"/>
    </xf>
    <xf numFmtId="0" fontId="2" fillId="2" borderId="33" xfId="0" applyFont="1" applyFill="1" applyBorder="1" applyAlignment="1">
      <alignment horizontal="left" vertical="center" shrinkToFit="1"/>
    </xf>
    <xf numFmtId="0" fontId="2" fillId="2" borderId="54" xfId="0" applyFont="1" applyFill="1" applyBorder="1" applyAlignment="1">
      <alignment horizontal="center" vertical="center" shrinkToFit="1"/>
    </xf>
    <xf numFmtId="0" fontId="2" fillId="2" borderId="44" xfId="0" applyFont="1" applyFill="1" applyBorder="1" applyAlignment="1">
      <alignment horizontal="center" vertical="center" shrinkToFit="1"/>
    </xf>
    <xf numFmtId="0" fontId="2" fillId="2" borderId="55" xfId="0" applyFont="1" applyFill="1" applyBorder="1" applyAlignment="1">
      <alignment horizontal="center" vertical="center" shrinkToFit="1"/>
    </xf>
    <xf numFmtId="0" fontId="2" fillId="2" borderId="35" xfId="0" applyFont="1" applyFill="1" applyBorder="1" applyAlignment="1">
      <alignment horizontal="center" vertical="center" shrinkToFit="1"/>
    </xf>
    <xf numFmtId="0" fontId="2" fillId="2" borderId="56" xfId="0" applyFont="1" applyFill="1" applyBorder="1" applyAlignment="1">
      <alignment horizontal="center" vertical="center" shrinkToFit="1"/>
    </xf>
    <xf numFmtId="0" fontId="2" fillId="2" borderId="57" xfId="0" applyFont="1" applyFill="1" applyBorder="1" applyAlignment="1">
      <alignment horizontal="center" vertical="center" shrinkToFit="1"/>
    </xf>
    <xf numFmtId="0" fontId="2" fillId="2" borderId="58" xfId="0" applyFont="1" applyFill="1" applyBorder="1" applyAlignment="1">
      <alignment horizontal="center" vertical="center" shrinkToFit="1"/>
    </xf>
    <xf numFmtId="49" fontId="2" fillId="2" borderId="40" xfId="0" applyNumberFormat="1" applyFont="1" applyFill="1" applyBorder="1" applyAlignment="1">
      <alignment horizontal="center" vertical="center"/>
    </xf>
    <xf numFmtId="49" fontId="2" fillId="2" borderId="0" xfId="0" applyNumberFormat="1" applyFont="1" applyFill="1" applyAlignment="1">
      <alignment vertical="top"/>
    </xf>
    <xf numFmtId="49" fontId="2" fillId="2" borderId="41" xfId="0" applyNumberFormat="1" applyFont="1" applyFill="1" applyBorder="1" applyAlignment="1">
      <alignment horizontal="center" vertical="center"/>
    </xf>
    <xf numFmtId="49" fontId="3" fillId="2" borderId="0" xfId="0" applyNumberFormat="1" applyFont="1" applyFill="1" applyAlignment="1">
      <alignment vertical="top"/>
    </xf>
    <xf numFmtId="49" fontId="2" fillId="2" borderId="36" xfId="0" applyNumberFormat="1" applyFont="1" applyFill="1" applyBorder="1" applyAlignment="1">
      <alignment horizontal="center" vertical="center"/>
    </xf>
    <xf numFmtId="49" fontId="2" fillId="2" borderId="24" xfId="0" applyNumberFormat="1" applyFont="1" applyFill="1" applyBorder="1" applyAlignment="1">
      <alignment horizontal="center" vertical="center"/>
    </xf>
    <xf numFmtId="49" fontId="2" fillId="2" borderId="39" xfId="0" applyNumberFormat="1" applyFont="1" applyFill="1" applyBorder="1" applyAlignment="1">
      <alignment horizontal="center" vertical="center"/>
    </xf>
    <xf numFmtId="49" fontId="2" fillId="2" borderId="26" xfId="0" applyNumberFormat="1" applyFont="1" applyFill="1" applyBorder="1" applyAlignment="1">
      <alignment horizontal="center" vertical="center"/>
    </xf>
    <xf numFmtId="49" fontId="3" fillId="2" borderId="0" xfId="0" applyNumberFormat="1" applyFont="1" applyFill="1">
      <alignment vertical="center"/>
    </xf>
    <xf numFmtId="38" fontId="2" fillId="2" borderId="62" xfId="2" applyFont="1" applyFill="1" applyBorder="1" applyAlignment="1">
      <alignment vertical="center" shrinkToFit="1"/>
    </xf>
    <xf numFmtId="177" fontId="2" fillId="2" borderId="1" xfId="0" applyNumberFormat="1" applyFont="1" applyFill="1" applyBorder="1" applyAlignment="1">
      <alignment horizontal="right" vertical="center"/>
    </xf>
    <xf numFmtId="0" fontId="6" fillId="2" borderId="1" xfId="0" applyFont="1" applyFill="1" applyBorder="1" applyAlignment="1">
      <alignment horizontal="left" vertical="center" shrinkToFit="1"/>
    </xf>
    <xf numFmtId="177" fontId="2" fillId="2" borderId="27" xfId="0" applyNumberFormat="1" applyFont="1" applyFill="1" applyBorder="1" applyAlignment="1">
      <alignment horizontal="center" vertical="center" shrinkToFit="1"/>
    </xf>
    <xf numFmtId="177" fontId="2" fillId="2" borderId="18" xfId="0" applyNumberFormat="1" applyFont="1" applyFill="1" applyBorder="1" applyAlignment="1">
      <alignment horizontal="center" vertical="center" shrinkToFit="1"/>
    </xf>
    <xf numFmtId="177" fontId="2" fillId="2" borderId="30" xfId="0" applyNumberFormat="1" applyFont="1" applyFill="1" applyBorder="1" applyAlignment="1">
      <alignment horizontal="center" vertical="center" shrinkToFit="1"/>
    </xf>
    <xf numFmtId="177" fontId="2" fillId="2" borderId="33" xfId="0" applyNumberFormat="1" applyFont="1" applyFill="1" applyBorder="1" applyAlignment="1">
      <alignment horizontal="center" vertical="center" shrinkToFit="1"/>
    </xf>
    <xf numFmtId="177" fontId="2" fillId="2" borderId="11" xfId="0" applyNumberFormat="1" applyFont="1" applyFill="1" applyBorder="1" applyAlignment="1">
      <alignment horizontal="center" vertical="center" shrinkToFit="1"/>
    </xf>
    <xf numFmtId="0" fontId="5" fillId="2" borderId="1" xfId="0" applyFont="1" applyFill="1" applyBorder="1" applyAlignment="1">
      <alignment horizontal="left" vertical="top" wrapText="1" shrinkToFit="1"/>
    </xf>
    <xf numFmtId="0" fontId="2" fillId="2" borderId="1" xfId="0" applyFont="1" applyFill="1" applyBorder="1" applyAlignment="1">
      <alignment horizontal="right" vertical="center"/>
    </xf>
    <xf numFmtId="178" fontId="2" fillId="2" borderId="1" xfId="0" applyNumberFormat="1" applyFont="1" applyFill="1" applyBorder="1" applyAlignment="1">
      <alignment horizontal="right" vertical="center"/>
    </xf>
    <xf numFmtId="49" fontId="12" fillId="2" borderId="13" xfId="0" applyNumberFormat="1" applyFont="1" applyFill="1" applyBorder="1" applyAlignment="1">
      <alignment horizontal="left" vertical="center" wrapText="1"/>
    </xf>
    <xf numFmtId="49" fontId="12" fillId="2" borderId="15" xfId="0" applyNumberFormat="1" applyFont="1" applyFill="1" applyBorder="1" applyAlignment="1">
      <alignment horizontal="left" vertical="top" wrapText="1"/>
    </xf>
    <xf numFmtId="49" fontId="12" fillId="2" borderId="20" xfId="0" applyNumberFormat="1" applyFont="1" applyFill="1" applyBorder="1" applyAlignment="1">
      <alignment horizontal="left" vertical="center" wrapText="1"/>
    </xf>
    <xf numFmtId="49" fontId="12" fillId="2" borderId="32" xfId="0" applyNumberFormat="1" applyFont="1" applyFill="1" applyBorder="1" applyAlignment="1">
      <alignment horizontal="left" vertical="top" wrapText="1"/>
    </xf>
    <xf numFmtId="49" fontId="12" fillId="2" borderId="13" xfId="0" applyNumberFormat="1" applyFont="1" applyFill="1" applyBorder="1" applyAlignment="1">
      <alignment horizontal="left" vertical="top" wrapText="1"/>
    </xf>
    <xf numFmtId="49" fontId="12" fillId="2" borderId="14" xfId="0" applyNumberFormat="1" applyFont="1" applyFill="1" applyBorder="1" applyAlignment="1">
      <alignment horizontal="left" vertical="top" wrapText="1"/>
    </xf>
    <xf numFmtId="0" fontId="2" fillId="2" borderId="7" xfId="0" applyFont="1" applyFill="1" applyBorder="1" applyAlignment="1">
      <alignment horizontal="justify" vertical="top" wrapText="1"/>
    </xf>
    <xf numFmtId="0" fontId="2" fillId="2" borderId="9" xfId="0" applyFont="1" applyFill="1" applyBorder="1" applyAlignment="1">
      <alignment horizontal="justify" vertical="top" wrapText="1"/>
    </xf>
    <xf numFmtId="0" fontId="2" fillId="2" borderId="5" xfId="0" applyFont="1" applyFill="1" applyBorder="1" applyAlignment="1">
      <alignment horizontal="justify" vertical="top" wrapText="1"/>
    </xf>
    <xf numFmtId="0" fontId="2" fillId="2" borderId="10" xfId="0" applyFont="1" applyFill="1" applyBorder="1" applyAlignment="1">
      <alignment horizontal="justify" vertical="top" wrapText="1"/>
    </xf>
    <xf numFmtId="0" fontId="2" fillId="2" borderId="11" xfId="0" applyFont="1" applyFill="1" applyBorder="1" applyAlignment="1">
      <alignment horizontal="justify" vertical="top" wrapText="1"/>
    </xf>
    <xf numFmtId="0" fontId="2" fillId="2" borderId="12" xfId="0" applyFont="1" applyFill="1" applyBorder="1" applyAlignment="1">
      <alignment horizontal="justify" vertical="top" wrapText="1"/>
    </xf>
    <xf numFmtId="0" fontId="9" fillId="2" borderId="5" xfId="0" applyFont="1" applyFill="1" applyBorder="1" applyAlignment="1">
      <alignment horizontal="justify" vertical="top" wrapText="1"/>
    </xf>
    <xf numFmtId="0" fontId="9" fillId="2" borderId="10" xfId="0" applyFont="1" applyFill="1" applyBorder="1" applyAlignment="1">
      <alignment horizontal="justify" vertical="top" wrapText="1"/>
    </xf>
    <xf numFmtId="0" fontId="9" fillId="2" borderId="11" xfId="0" applyFont="1" applyFill="1" applyBorder="1" applyAlignment="1">
      <alignment horizontal="justify" vertical="top" wrapText="1"/>
    </xf>
    <xf numFmtId="0" fontId="9" fillId="2" borderId="12" xfId="0" applyFont="1" applyFill="1" applyBorder="1" applyAlignment="1">
      <alignment horizontal="justify" vertical="top" wrapText="1"/>
    </xf>
    <xf numFmtId="0" fontId="2" fillId="2" borderId="37" xfId="0" applyFont="1" applyFill="1" applyBorder="1" applyAlignment="1">
      <alignment horizontal="justify" vertical="center" wrapText="1"/>
    </xf>
    <xf numFmtId="0" fontId="2" fillId="2" borderId="25" xfId="0" applyFont="1" applyFill="1" applyBorder="1" applyAlignment="1">
      <alignment horizontal="justify" vertical="center" wrapText="1"/>
    </xf>
    <xf numFmtId="0" fontId="2" fillId="2" borderId="38" xfId="0" applyFont="1" applyFill="1" applyBorder="1" applyAlignment="1">
      <alignment horizontal="justify" vertical="center" wrapText="1"/>
    </xf>
    <xf numFmtId="0" fontId="2" fillId="2" borderId="2" xfId="0" applyFont="1" applyFill="1" applyBorder="1" applyAlignment="1">
      <alignment horizontal="center" vertical="center" shrinkToFit="1"/>
    </xf>
    <xf numFmtId="0" fontId="2" fillId="2" borderId="4" xfId="0" applyFont="1" applyFill="1" applyBorder="1" applyAlignment="1">
      <alignment horizontal="center" vertical="center" shrinkToFit="1"/>
    </xf>
    <xf numFmtId="0" fontId="2" fillId="2" borderId="0" xfId="0" applyFont="1" applyFill="1" applyAlignment="1">
      <alignment horizontal="center" vertical="center"/>
    </xf>
    <xf numFmtId="0" fontId="2" fillId="2" borderId="0" xfId="0" applyFont="1" applyFill="1" applyAlignment="1">
      <alignment horizontal="left" vertical="center"/>
    </xf>
    <xf numFmtId="0" fontId="2" fillId="2" borderId="0" xfId="0" applyFont="1" applyFill="1" applyAlignment="1">
      <alignment vertical="top"/>
    </xf>
    <xf numFmtId="0" fontId="10" fillId="2" borderId="0" xfId="0" applyFont="1" applyFill="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7" fillId="2" borderId="7"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2" fillId="2" borderId="14" xfId="0" applyFont="1" applyFill="1" applyBorder="1" applyAlignment="1">
      <alignment horizontal="center" vertical="center"/>
    </xf>
    <xf numFmtId="0" fontId="6" fillId="2" borderId="0" xfId="0" applyFont="1" applyFill="1" applyAlignment="1">
      <alignment horizontal="center" vertical="center"/>
    </xf>
    <xf numFmtId="0" fontId="2" fillId="2" borderId="15" xfId="0" applyFont="1" applyFill="1" applyBorder="1" applyAlignment="1">
      <alignment horizontal="center" vertical="center"/>
    </xf>
    <xf numFmtId="0" fontId="2" fillId="2" borderId="13"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7" fillId="2" borderId="9" xfId="0" applyFont="1" applyFill="1" applyBorder="1" applyAlignment="1">
      <alignment horizontal="center" vertical="center"/>
    </xf>
    <xf numFmtId="0" fontId="7" fillId="2" borderId="12" xfId="0" applyFont="1" applyFill="1" applyBorder="1" applyAlignment="1">
      <alignment horizontal="center" vertical="center"/>
    </xf>
    <xf numFmtId="0" fontId="2" fillId="2" borderId="27" xfId="0" applyFont="1" applyFill="1" applyBorder="1" applyAlignment="1">
      <alignment horizontal="center" vertical="center"/>
    </xf>
    <xf numFmtId="0" fontId="5" fillId="2" borderId="2" xfId="0" applyFont="1" applyFill="1" applyBorder="1" applyAlignment="1">
      <alignment horizontal="justify" vertical="top" wrapText="1" shrinkToFit="1"/>
    </xf>
    <xf numFmtId="0" fontId="5" fillId="2" borderId="3" xfId="0" applyFont="1" applyFill="1" applyBorder="1" applyAlignment="1">
      <alignment horizontal="justify" vertical="top" wrapText="1" shrinkToFit="1"/>
    </xf>
    <xf numFmtId="0" fontId="5" fillId="2" borderId="4" xfId="0" applyFont="1" applyFill="1" applyBorder="1" applyAlignment="1">
      <alignment horizontal="justify" vertical="top" wrapText="1" shrinkToFit="1"/>
    </xf>
    <xf numFmtId="0" fontId="2" fillId="2" borderId="0" xfId="0" applyFont="1" applyFill="1" applyAlignment="1">
      <alignment horizontal="left" vertical="center" wrapText="1"/>
    </xf>
    <xf numFmtId="0" fontId="2" fillId="2" borderId="0" xfId="0" applyFont="1" applyFill="1" applyAlignment="1">
      <alignment horizontal="left" vertical="center" shrinkToFit="1"/>
    </xf>
    <xf numFmtId="0" fontId="2" fillId="2" borderId="0" xfId="0" applyFont="1" applyFill="1" applyAlignment="1">
      <alignment vertical="center" wrapText="1"/>
    </xf>
    <xf numFmtId="0" fontId="2" fillId="2" borderId="6" xfId="0" applyFont="1" applyFill="1" applyBorder="1" applyAlignment="1">
      <alignment vertical="center" wrapText="1"/>
    </xf>
    <xf numFmtId="0" fontId="2" fillId="2" borderId="0" xfId="0" applyFont="1" applyFill="1" applyAlignment="1">
      <alignment horizontal="center" vertical="center" shrinkToFit="1"/>
    </xf>
    <xf numFmtId="0" fontId="2" fillId="2" borderId="11" xfId="0" applyFont="1" applyFill="1" applyBorder="1" applyAlignment="1">
      <alignment vertical="center" wrapText="1"/>
    </xf>
    <xf numFmtId="0" fontId="2" fillId="2" borderId="33" xfId="0" applyFont="1" applyFill="1" applyBorder="1" applyAlignment="1">
      <alignment vertical="center" wrapText="1"/>
    </xf>
    <xf numFmtId="0" fontId="2" fillId="2" borderId="34" xfId="0" applyFont="1" applyFill="1" applyBorder="1" applyAlignment="1">
      <alignment vertical="center" wrapText="1"/>
    </xf>
    <xf numFmtId="0" fontId="2" fillId="2" borderId="3" xfId="0" applyFont="1" applyFill="1" applyBorder="1" applyAlignment="1">
      <alignment horizontal="center" vertical="center"/>
    </xf>
    <xf numFmtId="0" fontId="2" fillId="2" borderId="0" xfId="0" applyFont="1" applyFill="1" applyAlignment="1">
      <alignment horizontal="right" vertical="center" shrinkToFit="1"/>
    </xf>
    <xf numFmtId="0" fontId="2" fillId="2" borderId="10" xfId="0" applyFont="1" applyFill="1" applyBorder="1" applyAlignment="1">
      <alignment horizontal="right" vertical="center" shrinkToFit="1"/>
    </xf>
    <xf numFmtId="0" fontId="2" fillId="0" borderId="48" xfId="0" applyFont="1" applyFill="1" applyBorder="1" applyAlignment="1">
      <alignment horizontal="center" vertical="center" shrinkToFit="1"/>
    </xf>
    <xf numFmtId="0" fontId="2" fillId="0" borderId="14" xfId="0" applyFont="1" applyFill="1" applyBorder="1" applyAlignment="1">
      <alignment horizontal="center" vertical="center" shrinkToFit="1"/>
    </xf>
    <xf numFmtId="0" fontId="2" fillId="0" borderId="49" xfId="0" applyFont="1" applyFill="1" applyBorder="1" applyAlignment="1">
      <alignment horizontal="center" vertical="center" shrinkToFit="1"/>
    </xf>
    <xf numFmtId="0" fontId="2" fillId="0" borderId="28" xfId="0" applyFont="1" applyFill="1" applyBorder="1" applyAlignment="1">
      <alignment horizontal="center" vertical="center" shrinkToFit="1"/>
    </xf>
    <xf numFmtId="0" fontId="2" fillId="0" borderId="50" xfId="0" applyFont="1" applyFill="1" applyBorder="1" applyAlignment="1">
      <alignment horizontal="center" vertical="center" shrinkToFit="1"/>
    </xf>
    <xf numFmtId="0" fontId="2" fillId="0" borderId="20" xfId="0" applyFont="1" applyFill="1" applyBorder="1" applyAlignment="1">
      <alignment horizontal="center" vertical="center" shrinkToFit="1"/>
    </xf>
    <xf numFmtId="0" fontId="2" fillId="0" borderId="51" xfId="0" applyFont="1" applyFill="1" applyBorder="1" applyAlignment="1">
      <alignment horizontal="center" vertical="center" shrinkToFit="1"/>
    </xf>
    <xf numFmtId="0" fontId="2" fillId="0" borderId="17" xfId="0" applyFont="1" applyFill="1" applyBorder="1" applyAlignment="1">
      <alignment horizontal="center" vertical="center" shrinkToFit="1"/>
    </xf>
    <xf numFmtId="0" fontId="2" fillId="2" borderId="0" xfId="0" applyFont="1" applyFill="1" applyAlignment="1">
      <alignment vertical="center"/>
    </xf>
    <xf numFmtId="0" fontId="2" fillId="2" borderId="6" xfId="0" applyFont="1" applyFill="1" applyBorder="1" applyAlignment="1">
      <alignment vertical="center"/>
    </xf>
    <xf numFmtId="0" fontId="2" fillId="2" borderId="7" xfId="0" applyFont="1" applyFill="1" applyBorder="1" applyAlignment="1">
      <alignment vertical="center"/>
    </xf>
    <xf numFmtId="0" fontId="2" fillId="2" borderId="8" xfId="0" applyFont="1" applyFill="1" applyBorder="1" applyAlignment="1">
      <alignment vertical="center"/>
    </xf>
    <xf numFmtId="0" fontId="2" fillId="2" borderId="9" xfId="0" applyFont="1" applyFill="1" applyBorder="1" applyAlignment="1">
      <alignment vertical="center"/>
    </xf>
  </cellXfs>
  <cellStyles count="3">
    <cellStyle name="パーセント" xfId="1" builtinId="5"/>
    <cellStyle name="桁区切り" xfId="2" builtinId="6"/>
    <cellStyle name="標準" xfId="0" builtinId="0"/>
  </cellStyles>
  <dxfs count="3">
    <dxf>
      <font>
        <color theme="0" tint="-0.34998626667073579"/>
      </font>
      <fill>
        <patternFill>
          <bgColor theme="0" tint="-0.34998626667073579"/>
        </patternFill>
      </fill>
    </dxf>
    <dxf>
      <font>
        <strike val="0"/>
      </font>
      <fill>
        <patternFill>
          <bgColor theme="0" tint="-0.34998626667073579"/>
        </patternFill>
      </fill>
    </dxf>
    <dxf>
      <font>
        <strike val="0"/>
      </font>
      <fill>
        <patternFill>
          <bgColor theme="1"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codeName="Sheet1">
    <pageSetUpPr fitToPage="1"/>
  </sheetPr>
  <dimension ref="A1:AB72"/>
  <sheetViews>
    <sheetView showZeros="0" tabSelected="1" defaultGridColor="0" view="pageBreakPreview" topLeftCell="D15" colorId="8" zoomScale="70" zoomScaleNormal="100" zoomScaleSheetLayoutView="70" workbookViewId="0">
      <selection activeCell="AA19" sqref="AA19"/>
    </sheetView>
  </sheetViews>
  <sheetFormatPr defaultColWidth="9" defaultRowHeight="18.75" customHeight="1"/>
  <cols>
    <col min="1" max="1" width="2.28515625" style="8" customWidth="1"/>
    <col min="2" max="2" width="28.28515625" style="8" customWidth="1"/>
    <col min="3" max="3" width="6.28515625" style="8" customWidth="1"/>
    <col min="4" max="4" width="80.7109375" style="8" customWidth="1"/>
    <col min="5" max="5" width="6.28515625" style="8" bestFit="1" customWidth="1"/>
    <col min="6" max="26" width="5.7109375" style="8" customWidth="1"/>
    <col min="27" max="27" width="9" style="8" customWidth="1"/>
    <col min="28" max="16384" width="9" style="8"/>
  </cols>
  <sheetData>
    <row r="1" spans="1:28" ht="18.75" customHeight="1">
      <c r="A1" s="137" t="s">
        <v>0</v>
      </c>
      <c r="B1" s="137"/>
      <c r="C1" s="137"/>
      <c r="D1" s="137"/>
      <c r="E1" s="137"/>
      <c r="F1" s="137"/>
      <c r="G1" s="137"/>
      <c r="H1" s="137"/>
      <c r="I1" s="137"/>
      <c r="J1" s="137"/>
      <c r="K1" s="137"/>
      <c r="L1" s="137"/>
      <c r="M1" s="137"/>
      <c r="N1" s="137"/>
      <c r="O1" s="137"/>
      <c r="P1" s="137"/>
      <c r="Q1" s="137"/>
      <c r="R1" s="137"/>
      <c r="S1" s="137"/>
      <c r="T1" s="137"/>
      <c r="U1" s="137"/>
      <c r="V1" s="137"/>
      <c r="W1" s="137"/>
      <c r="X1" s="137"/>
      <c r="Y1" s="137"/>
      <c r="Z1" s="137"/>
    </row>
    <row r="3" spans="1:28" ht="18.600000000000001" customHeight="1">
      <c r="Y3" s="137" t="s">
        <v>1</v>
      </c>
      <c r="Z3" s="137"/>
      <c r="AA3" s="9"/>
      <c r="AB3" s="13"/>
    </row>
    <row r="4" spans="1:28" ht="18.75" customHeight="1">
      <c r="B4" s="141" t="s">
        <v>2</v>
      </c>
      <c r="C4" s="142"/>
      <c r="D4" s="67" t="s">
        <v>3</v>
      </c>
      <c r="P4" s="9"/>
      <c r="Q4" s="41"/>
      <c r="R4" s="41"/>
      <c r="S4" s="41"/>
      <c r="T4" s="41"/>
      <c r="U4" s="41"/>
      <c r="V4" s="41"/>
      <c r="W4" s="41"/>
      <c r="X4" s="41"/>
      <c r="Y4" s="41"/>
      <c r="Z4" s="41"/>
    </row>
    <row r="5" spans="1:28" ht="18.75" customHeight="1">
      <c r="B5" s="141" t="s">
        <v>4</v>
      </c>
      <c r="C5" s="142"/>
      <c r="D5" s="67" t="s">
        <v>5</v>
      </c>
      <c r="P5" s="9"/>
      <c r="Q5" s="41"/>
      <c r="R5" s="41"/>
      <c r="S5" s="41"/>
      <c r="T5" s="41"/>
      <c r="U5" s="41"/>
      <c r="V5" s="41"/>
      <c r="W5" s="41"/>
      <c r="X5" s="41"/>
      <c r="Y5" s="41"/>
      <c r="Z5" s="41"/>
    </row>
    <row r="6" spans="1:28" ht="15" customHeight="1">
      <c r="Q6" s="9"/>
      <c r="R6" s="28"/>
      <c r="S6" s="28"/>
      <c r="T6" s="28"/>
      <c r="U6" s="28"/>
      <c r="V6" s="28"/>
      <c r="W6" s="28"/>
      <c r="X6" s="28"/>
      <c r="Y6" s="28"/>
      <c r="Z6" s="28"/>
    </row>
    <row r="7" spans="1:28" ht="18" customHeight="1">
      <c r="A7" s="140" t="s">
        <v>6</v>
      </c>
      <c r="B7" s="140"/>
      <c r="C7" s="140"/>
      <c r="D7" s="140"/>
      <c r="E7" s="140"/>
      <c r="F7" s="140"/>
      <c r="G7" s="140"/>
      <c r="H7" s="140"/>
      <c r="I7" s="140"/>
      <c r="J7" s="140"/>
      <c r="K7" s="140"/>
      <c r="L7" s="140"/>
      <c r="M7" s="140"/>
      <c r="N7" s="140"/>
      <c r="O7" s="140"/>
      <c r="P7" s="140"/>
      <c r="Q7" s="140"/>
      <c r="R7" s="140"/>
      <c r="S7" s="140"/>
      <c r="T7" s="140"/>
      <c r="U7" s="140"/>
      <c r="V7" s="140"/>
      <c r="W7" s="140"/>
      <c r="X7" s="140"/>
      <c r="Y7" s="140"/>
      <c r="Z7" s="140"/>
    </row>
    <row r="8" spans="1:28" ht="18" customHeight="1">
      <c r="A8" s="11"/>
      <c r="B8" s="11"/>
      <c r="C8" s="11"/>
      <c r="D8" s="11"/>
      <c r="E8" s="11"/>
      <c r="F8" s="11"/>
      <c r="G8" s="11"/>
      <c r="H8" s="11"/>
      <c r="I8" s="11"/>
      <c r="J8" s="11"/>
      <c r="K8" s="11"/>
      <c r="L8" s="11"/>
      <c r="M8" s="11"/>
      <c r="N8" s="11"/>
      <c r="O8" s="11"/>
      <c r="P8" s="11"/>
      <c r="Q8" s="11"/>
      <c r="R8" s="11"/>
      <c r="S8" s="11"/>
      <c r="T8" s="11"/>
      <c r="U8" s="11"/>
      <c r="V8" s="11"/>
      <c r="W8" s="11"/>
      <c r="X8" s="11"/>
      <c r="Y8" s="11"/>
      <c r="Z8" s="11"/>
    </row>
    <row r="9" spans="1:28" ht="20.25" customHeight="1">
      <c r="A9" s="182" t="s">
        <v>7</v>
      </c>
      <c r="B9" s="182"/>
      <c r="D9" s="6" t="s">
        <v>8</v>
      </c>
    </row>
    <row r="10" spans="1:28" ht="20.25" customHeight="1">
      <c r="B10" s="12"/>
      <c r="C10" s="12"/>
      <c r="D10" s="12"/>
      <c r="Q10" s="12"/>
      <c r="R10" s="12"/>
      <c r="S10" s="12"/>
      <c r="T10" s="12"/>
      <c r="U10" s="12"/>
      <c r="V10" s="12"/>
      <c r="W10" s="12"/>
      <c r="X10" s="12"/>
      <c r="Y10" s="12"/>
      <c r="Z10" s="12"/>
    </row>
    <row r="11" spans="1:28" ht="20.25" customHeight="1">
      <c r="A11" s="182" t="s">
        <v>9</v>
      </c>
      <c r="B11" s="182"/>
      <c r="D11" s="66"/>
    </row>
    <row r="12" spans="1:28" ht="20.25" customHeight="1">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8" ht="20.25" customHeight="1">
      <c r="A13" s="138" t="s">
        <v>10</v>
      </c>
      <c r="B13" s="138"/>
      <c r="C13" s="12"/>
      <c r="D13" s="67" t="s">
        <v>11</v>
      </c>
      <c r="E13" s="41"/>
      <c r="F13" s="41"/>
      <c r="G13" s="41"/>
      <c r="H13" s="41"/>
      <c r="I13" s="41"/>
      <c r="J13" s="41"/>
      <c r="K13" s="41"/>
      <c r="L13" s="41"/>
      <c r="M13" s="41"/>
      <c r="N13" s="41"/>
      <c r="O13" s="41"/>
      <c r="P13" s="41"/>
      <c r="Q13" s="68"/>
      <c r="R13" s="68"/>
      <c r="S13" s="68"/>
      <c r="T13" s="68"/>
      <c r="U13" s="68"/>
      <c r="V13" s="68"/>
      <c r="W13" s="68"/>
      <c r="X13" s="68"/>
      <c r="Y13" s="68"/>
      <c r="Z13" s="68"/>
    </row>
    <row r="14" spans="1:28" ht="20.25" customHeight="1">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8" ht="132" customHeight="1">
      <c r="A15" s="139" t="s">
        <v>12</v>
      </c>
      <c r="B15" s="139"/>
      <c r="C15" s="12"/>
      <c r="D15" s="69" t="s">
        <v>13</v>
      </c>
      <c r="E15" s="16"/>
      <c r="F15" s="16"/>
      <c r="G15" s="16"/>
      <c r="H15" s="16"/>
      <c r="I15" s="16"/>
      <c r="J15" s="16"/>
      <c r="K15" s="16"/>
      <c r="L15" s="16"/>
      <c r="M15" s="16"/>
      <c r="N15" s="16"/>
      <c r="O15" s="16"/>
      <c r="P15" s="16"/>
      <c r="Q15" s="16"/>
      <c r="R15" s="16"/>
      <c r="S15" s="16"/>
      <c r="T15" s="16"/>
      <c r="U15" s="16"/>
      <c r="V15" s="16"/>
      <c r="W15" s="16"/>
      <c r="X15" s="16"/>
      <c r="Y15" s="16"/>
      <c r="Z15" s="16"/>
    </row>
    <row r="16" spans="1:28" ht="13.15" customHeight="1">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ht="20.25" customHeight="1">
      <c r="A17" s="8" t="s">
        <v>14</v>
      </c>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ht="10.15" customHeight="1">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20.25" customHeight="1">
      <c r="B19" s="9" t="s">
        <v>15</v>
      </c>
      <c r="C19" s="106">
        <v>2</v>
      </c>
      <c r="D19" s="10" t="s">
        <v>16</v>
      </c>
      <c r="G19" s="12"/>
      <c r="H19" s="12"/>
      <c r="I19" s="12"/>
      <c r="J19" s="12"/>
      <c r="K19" s="12"/>
      <c r="L19" s="12"/>
      <c r="M19" s="12"/>
      <c r="N19" s="12"/>
      <c r="O19" s="12"/>
      <c r="P19" s="12"/>
      <c r="Q19" s="12"/>
      <c r="R19" s="12"/>
      <c r="S19" s="12"/>
      <c r="T19" s="12"/>
      <c r="U19" s="12"/>
      <c r="V19" s="12"/>
      <c r="W19" s="12"/>
      <c r="X19" s="12"/>
      <c r="Y19" s="12"/>
      <c r="Z19" s="12"/>
    </row>
    <row r="20" spans="1:26" ht="20.25" customHeight="1">
      <c r="B20" s="12"/>
      <c r="C20" s="106">
        <v>4</v>
      </c>
      <c r="D20" s="10" t="s">
        <v>17</v>
      </c>
      <c r="G20" s="12"/>
      <c r="H20" s="12"/>
      <c r="I20" s="12"/>
      <c r="J20" s="12"/>
      <c r="K20" s="12"/>
      <c r="L20" s="12"/>
      <c r="M20" s="12"/>
      <c r="N20" s="12"/>
      <c r="O20" s="12"/>
      <c r="P20" s="12"/>
      <c r="Q20" s="12"/>
      <c r="R20" s="12"/>
      <c r="S20" s="12"/>
      <c r="T20" s="12"/>
      <c r="U20" s="12"/>
      <c r="V20" s="12"/>
      <c r="W20" s="12"/>
      <c r="X20" s="12"/>
      <c r="Y20" s="12"/>
      <c r="Z20" s="12"/>
    </row>
    <row r="21" spans="1:26" ht="20.25" customHeight="1" thickBot="1">
      <c r="F21" s="143" t="s">
        <v>18</v>
      </c>
      <c r="G21" s="144"/>
      <c r="H21" s="144"/>
      <c r="I21" s="144"/>
      <c r="J21" s="144"/>
      <c r="K21" s="144"/>
      <c r="L21" s="144"/>
      <c r="M21" s="144"/>
      <c r="N21" s="144"/>
      <c r="O21" s="144"/>
      <c r="P21" s="144"/>
      <c r="Q21" s="144"/>
      <c r="R21" s="144"/>
      <c r="S21" s="144"/>
      <c r="T21" s="144"/>
      <c r="U21" s="144"/>
      <c r="V21" s="144"/>
      <c r="W21" s="144"/>
      <c r="X21" s="144"/>
      <c r="Y21" s="144"/>
      <c r="Z21" s="145"/>
    </row>
    <row r="22" spans="1:26" ht="18" customHeight="1">
      <c r="B22" s="17"/>
      <c r="C22" s="17"/>
      <c r="D22" s="5" t="s">
        <v>19</v>
      </c>
      <c r="E22" s="70" t="s">
        <v>20</v>
      </c>
      <c r="F22" s="71" t="s">
        <v>21</v>
      </c>
      <c r="G22" s="72" t="s">
        <v>22</v>
      </c>
      <c r="H22" s="72" t="s">
        <v>23</v>
      </c>
      <c r="I22" s="72" t="s">
        <v>24</v>
      </c>
      <c r="J22" s="72" t="s">
        <v>25</v>
      </c>
      <c r="K22" s="72" t="s">
        <v>26</v>
      </c>
      <c r="L22" s="72" t="s">
        <v>27</v>
      </c>
      <c r="M22" s="72" t="s">
        <v>28</v>
      </c>
      <c r="N22" s="72" t="s">
        <v>29</v>
      </c>
      <c r="O22" s="72" t="s">
        <v>30</v>
      </c>
      <c r="P22" s="73" t="s">
        <v>31</v>
      </c>
      <c r="Q22" s="74" t="s">
        <v>32</v>
      </c>
      <c r="R22" s="75" t="s">
        <v>33</v>
      </c>
      <c r="S22" s="75" t="s">
        <v>34</v>
      </c>
      <c r="T22" s="75" t="s">
        <v>35</v>
      </c>
      <c r="U22" s="75" t="s">
        <v>36</v>
      </c>
      <c r="V22" s="75" t="s">
        <v>37</v>
      </c>
      <c r="W22" s="75" t="s">
        <v>38</v>
      </c>
      <c r="X22" s="75" t="s">
        <v>39</v>
      </c>
      <c r="Y22" s="75" t="s">
        <v>40</v>
      </c>
      <c r="Z22" s="76" t="s">
        <v>41</v>
      </c>
    </row>
    <row r="23" spans="1:26" ht="18" customHeight="1">
      <c r="B23" s="122" t="s">
        <v>42</v>
      </c>
      <c r="C23" s="123"/>
      <c r="D23" s="77" t="s">
        <v>43</v>
      </c>
      <c r="E23" s="108">
        <v>2</v>
      </c>
      <c r="F23" s="174" t="s">
        <v>44</v>
      </c>
      <c r="G23" s="175"/>
      <c r="H23" s="175" t="s">
        <v>44</v>
      </c>
      <c r="I23" s="175" t="s">
        <v>44</v>
      </c>
      <c r="J23" s="175" t="s">
        <v>44</v>
      </c>
      <c r="K23" s="175" t="s">
        <v>44</v>
      </c>
      <c r="L23" s="175"/>
      <c r="M23" s="175"/>
      <c r="N23" s="175"/>
      <c r="O23" s="175" t="s">
        <v>44</v>
      </c>
      <c r="P23" s="176" t="s">
        <v>44</v>
      </c>
      <c r="Q23" s="177"/>
      <c r="R23" s="175"/>
      <c r="S23" s="175"/>
      <c r="T23" s="175"/>
      <c r="U23" s="175" t="s">
        <v>44</v>
      </c>
      <c r="V23" s="175" t="s">
        <v>44</v>
      </c>
      <c r="W23" s="175" t="s">
        <v>44</v>
      </c>
      <c r="X23" s="175" t="s">
        <v>44</v>
      </c>
      <c r="Y23" s="175" t="s">
        <v>44</v>
      </c>
      <c r="Z23" s="175"/>
    </row>
    <row r="24" spans="1:26" ht="18" customHeight="1">
      <c r="B24" s="124"/>
      <c r="C24" s="125"/>
      <c r="D24" s="78" t="s">
        <v>45</v>
      </c>
      <c r="E24" s="109">
        <v>2</v>
      </c>
      <c r="F24" s="178" t="s">
        <v>44</v>
      </c>
      <c r="G24" s="179" t="s">
        <v>44</v>
      </c>
      <c r="H24" s="179" t="s">
        <v>44</v>
      </c>
      <c r="I24" s="179" t="s">
        <v>44</v>
      </c>
      <c r="J24" s="179" t="s">
        <v>44</v>
      </c>
      <c r="K24" s="179"/>
      <c r="L24" s="179" t="s">
        <v>44</v>
      </c>
      <c r="M24" s="179" t="s">
        <v>44</v>
      </c>
      <c r="N24" s="179" t="s">
        <v>44</v>
      </c>
      <c r="O24" s="179"/>
      <c r="P24" s="180" t="s">
        <v>44</v>
      </c>
      <c r="Q24" s="181"/>
      <c r="R24" s="179"/>
      <c r="S24" s="179"/>
      <c r="T24" s="179" t="s">
        <v>44</v>
      </c>
      <c r="U24" s="179"/>
      <c r="V24" s="179"/>
      <c r="W24" s="179" t="s">
        <v>44</v>
      </c>
      <c r="X24" s="179"/>
      <c r="Y24" s="179"/>
      <c r="Z24" s="179"/>
    </row>
    <row r="25" spans="1:26" ht="18" customHeight="1">
      <c r="B25" s="124"/>
      <c r="C25" s="125"/>
      <c r="D25" s="78"/>
      <c r="E25" s="109"/>
      <c r="F25" s="79"/>
      <c r="G25" s="80"/>
      <c r="H25" s="80"/>
      <c r="I25" s="80"/>
      <c r="J25" s="80"/>
      <c r="K25" s="80"/>
      <c r="L25" s="80"/>
      <c r="M25" s="80"/>
      <c r="N25" s="80"/>
      <c r="O25" s="80"/>
      <c r="P25" s="81"/>
      <c r="Q25" s="82"/>
      <c r="R25" s="80"/>
      <c r="S25" s="80"/>
      <c r="T25" s="80"/>
      <c r="U25" s="80"/>
      <c r="V25" s="80"/>
      <c r="W25" s="80"/>
      <c r="X25" s="80"/>
      <c r="Y25" s="80"/>
      <c r="Z25" s="80"/>
    </row>
    <row r="26" spans="1:26" ht="18" customHeight="1">
      <c r="B26" s="124"/>
      <c r="C26" s="125"/>
      <c r="D26" s="78"/>
      <c r="E26" s="109"/>
      <c r="F26" s="79"/>
      <c r="G26" s="80"/>
      <c r="H26" s="80"/>
      <c r="I26" s="80"/>
      <c r="J26" s="80"/>
      <c r="K26" s="80"/>
      <c r="L26" s="80"/>
      <c r="M26" s="80"/>
      <c r="N26" s="80"/>
      <c r="O26" s="80"/>
      <c r="P26" s="81"/>
      <c r="Q26" s="82"/>
      <c r="R26" s="80"/>
      <c r="S26" s="80"/>
      <c r="T26" s="80"/>
      <c r="U26" s="80"/>
      <c r="V26" s="80"/>
      <c r="W26" s="80"/>
      <c r="X26" s="80"/>
      <c r="Y26" s="80"/>
      <c r="Z26" s="80"/>
    </row>
    <row r="27" spans="1:26" ht="18" customHeight="1">
      <c r="B27" s="124"/>
      <c r="C27" s="125"/>
      <c r="D27" s="78"/>
      <c r="E27" s="109"/>
      <c r="F27" s="79"/>
      <c r="G27" s="80"/>
      <c r="H27" s="80"/>
      <c r="I27" s="80"/>
      <c r="J27" s="80"/>
      <c r="K27" s="80"/>
      <c r="L27" s="80"/>
      <c r="M27" s="80"/>
      <c r="N27" s="80"/>
      <c r="O27" s="80"/>
      <c r="P27" s="81"/>
      <c r="Q27" s="82"/>
      <c r="R27" s="80"/>
      <c r="S27" s="80"/>
      <c r="T27" s="80"/>
      <c r="U27" s="80"/>
      <c r="V27" s="80"/>
      <c r="W27" s="80"/>
      <c r="X27" s="80"/>
      <c r="Y27" s="80"/>
      <c r="Z27" s="80"/>
    </row>
    <row r="28" spans="1:26" ht="18" customHeight="1">
      <c r="B28" s="124"/>
      <c r="C28" s="125"/>
      <c r="D28" s="78"/>
      <c r="E28" s="109"/>
      <c r="F28" s="79"/>
      <c r="G28" s="80"/>
      <c r="H28" s="80"/>
      <c r="I28" s="80"/>
      <c r="J28" s="80"/>
      <c r="K28" s="80"/>
      <c r="L28" s="80"/>
      <c r="M28" s="80"/>
      <c r="N28" s="80"/>
      <c r="O28" s="80"/>
      <c r="P28" s="81"/>
      <c r="Q28" s="82"/>
      <c r="R28" s="80"/>
      <c r="S28" s="80"/>
      <c r="T28" s="80"/>
      <c r="U28" s="80"/>
      <c r="V28" s="80"/>
      <c r="W28" s="80"/>
      <c r="X28" s="80"/>
      <c r="Y28" s="80"/>
      <c r="Z28" s="80"/>
    </row>
    <row r="29" spans="1:26" ht="18" customHeight="1">
      <c r="B29" s="124"/>
      <c r="C29" s="125"/>
      <c r="D29" s="78"/>
      <c r="E29" s="109"/>
      <c r="F29" s="79"/>
      <c r="G29" s="80"/>
      <c r="H29" s="80"/>
      <c r="I29" s="80"/>
      <c r="J29" s="80"/>
      <c r="K29" s="80"/>
      <c r="L29" s="80"/>
      <c r="M29" s="80"/>
      <c r="N29" s="80"/>
      <c r="O29" s="80"/>
      <c r="P29" s="81"/>
      <c r="Q29" s="82"/>
      <c r="R29" s="80"/>
      <c r="S29" s="80"/>
      <c r="T29" s="80"/>
      <c r="U29" s="80"/>
      <c r="V29" s="80"/>
      <c r="W29" s="80"/>
      <c r="X29" s="80"/>
      <c r="Y29" s="80"/>
      <c r="Z29" s="80"/>
    </row>
    <row r="30" spans="1:26" ht="18" customHeight="1">
      <c r="B30" s="124"/>
      <c r="C30" s="125"/>
      <c r="D30" s="78"/>
      <c r="E30" s="109"/>
      <c r="F30" s="79"/>
      <c r="G30" s="80"/>
      <c r="H30" s="80"/>
      <c r="I30" s="80"/>
      <c r="J30" s="80"/>
      <c r="K30" s="80"/>
      <c r="L30" s="80"/>
      <c r="M30" s="80"/>
      <c r="N30" s="80"/>
      <c r="O30" s="80"/>
      <c r="P30" s="81"/>
      <c r="Q30" s="82"/>
      <c r="R30" s="80"/>
      <c r="S30" s="80"/>
      <c r="T30" s="80"/>
      <c r="U30" s="80"/>
      <c r="V30" s="80"/>
      <c r="W30" s="80"/>
      <c r="X30" s="80"/>
      <c r="Y30" s="80"/>
      <c r="Z30" s="80"/>
    </row>
    <row r="31" spans="1:26" ht="18" customHeight="1">
      <c r="B31" s="124"/>
      <c r="C31" s="125"/>
      <c r="D31" s="78"/>
      <c r="E31" s="109"/>
      <c r="F31" s="79"/>
      <c r="G31" s="80"/>
      <c r="H31" s="80"/>
      <c r="I31" s="80"/>
      <c r="J31" s="80"/>
      <c r="K31" s="80"/>
      <c r="L31" s="80"/>
      <c r="M31" s="80"/>
      <c r="N31" s="80"/>
      <c r="O31" s="80"/>
      <c r="P31" s="81"/>
      <c r="Q31" s="82"/>
      <c r="R31" s="80"/>
      <c r="S31" s="80"/>
      <c r="T31" s="80"/>
      <c r="U31" s="80"/>
      <c r="V31" s="80"/>
      <c r="W31" s="80"/>
      <c r="X31" s="80"/>
      <c r="Y31" s="80"/>
      <c r="Z31" s="80"/>
    </row>
    <row r="32" spans="1:26" ht="18" customHeight="1">
      <c r="B32" s="124"/>
      <c r="C32" s="125"/>
      <c r="D32" s="83"/>
      <c r="E32" s="110"/>
      <c r="F32" s="84"/>
      <c r="G32" s="85"/>
      <c r="H32" s="85"/>
      <c r="I32" s="85"/>
      <c r="J32" s="85"/>
      <c r="K32" s="85"/>
      <c r="L32" s="85"/>
      <c r="M32" s="85"/>
      <c r="N32" s="85"/>
      <c r="O32" s="85"/>
      <c r="P32" s="86"/>
      <c r="Q32" s="87"/>
      <c r="R32" s="85"/>
      <c r="S32" s="85"/>
      <c r="T32" s="85"/>
      <c r="U32" s="85"/>
      <c r="V32" s="85"/>
      <c r="W32" s="85"/>
      <c r="X32" s="85"/>
      <c r="Y32" s="85"/>
      <c r="Z32" s="85"/>
    </row>
    <row r="33" spans="2:26" ht="18" customHeight="1">
      <c r="B33" s="122" t="s">
        <v>46</v>
      </c>
      <c r="C33" s="123"/>
      <c r="D33" s="88"/>
      <c r="E33" s="111"/>
      <c r="F33" s="89"/>
      <c r="G33" s="90"/>
      <c r="H33" s="90"/>
      <c r="I33" s="90"/>
      <c r="J33" s="90"/>
      <c r="K33" s="90"/>
      <c r="L33" s="90"/>
      <c r="M33" s="90"/>
      <c r="N33" s="90"/>
      <c r="O33" s="90"/>
      <c r="P33" s="91"/>
      <c r="Q33" s="92"/>
      <c r="R33" s="90"/>
      <c r="S33" s="90"/>
      <c r="T33" s="90"/>
      <c r="U33" s="90"/>
      <c r="V33" s="90"/>
      <c r="W33" s="90"/>
      <c r="X33" s="90"/>
      <c r="Y33" s="90"/>
      <c r="Z33" s="90"/>
    </row>
    <row r="34" spans="2:26" ht="18" customHeight="1">
      <c r="B34" s="124"/>
      <c r="C34" s="125"/>
      <c r="D34" s="78"/>
      <c r="E34" s="109"/>
      <c r="F34" s="79"/>
      <c r="G34" s="80"/>
      <c r="H34" s="80"/>
      <c r="I34" s="80"/>
      <c r="J34" s="80"/>
      <c r="K34" s="80"/>
      <c r="L34" s="80"/>
      <c r="M34" s="80"/>
      <c r="N34" s="80"/>
      <c r="O34" s="80"/>
      <c r="P34" s="81"/>
      <c r="Q34" s="82"/>
      <c r="R34" s="80"/>
      <c r="S34" s="80"/>
      <c r="T34" s="80"/>
      <c r="U34" s="80"/>
      <c r="V34" s="80"/>
      <c r="W34" s="80"/>
      <c r="X34" s="80"/>
      <c r="Y34" s="80"/>
      <c r="Z34" s="80"/>
    </row>
    <row r="35" spans="2:26" ht="18" customHeight="1">
      <c r="B35" s="124"/>
      <c r="C35" s="125"/>
      <c r="D35" s="78"/>
      <c r="E35" s="109"/>
      <c r="F35" s="79"/>
      <c r="G35" s="80"/>
      <c r="H35" s="80"/>
      <c r="I35" s="80"/>
      <c r="J35" s="80"/>
      <c r="K35" s="80"/>
      <c r="L35" s="80"/>
      <c r="M35" s="80"/>
      <c r="N35" s="80"/>
      <c r="O35" s="80"/>
      <c r="P35" s="81"/>
      <c r="Q35" s="82"/>
      <c r="R35" s="80"/>
      <c r="S35" s="80"/>
      <c r="T35" s="80"/>
      <c r="U35" s="80"/>
      <c r="V35" s="80"/>
      <c r="W35" s="80"/>
      <c r="X35" s="80"/>
      <c r="Y35" s="80"/>
      <c r="Z35" s="80"/>
    </row>
    <row r="36" spans="2:26" ht="18" customHeight="1">
      <c r="B36" s="124"/>
      <c r="C36" s="125"/>
      <c r="D36" s="78"/>
      <c r="E36" s="109"/>
      <c r="F36" s="79"/>
      <c r="G36" s="80"/>
      <c r="H36" s="80"/>
      <c r="I36" s="80"/>
      <c r="J36" s="80"/>
      <c r="K36" s="80"/>
      <c r="L36" s="80"/>
      <c r="M36" s="80"/>
      <c r="N36" s="80"/>
      <c r="O36" s="80"/>
      <c r="P36" s="81"/>
      <c r="Q36" s="82"/>
      <c r="R36" s="80"/>
      <c r="S36" s="80"/>
      <c r="T36" s="80"/>
      <c r="U36" s="80"/>
      <c r="V36" s="80"/>
      <c r="W36" s="80"/>
      <c r="X36" s="80"/>
      <c r="Y36" s="80"/>
      <c r="Z36" s="80"/>
    </row>
    <row r="37" spans="2:26" ht="18" customHeight="1">
      <c r="B37" s="124"/>
      <c r="C37" s="125"/>
      <c r="D37" s="78"/>
      <c r="E37" s="109"/>
      <c r="F37" s="79"/>
      <c r="G37" s="80"/>
      <c r="H37" s="80"/>
      <c r="I37" s="80"/>
      <c r="J37" s="80"/>
      <c r="K37" s="80"/>
      <c r="L37" s="80"/>
      <c r="M37" s="80"/>
      <c r="N37" s="80"/>
      <c r="O37" s="80"/>
      <c r="P37" s="81"/>
      <c r="Q37" s="82"/>
      <c r="R37" s="80"/>
      <c r="S37" s="80"/>
      <c r="T37" s="80"/>
      <c r="U37" s="80"/>
      <c r="V37" s="80"/>
      <c r="W37" s="80"/>
      <c r="X37" s="80"/>
      <c r="Y37" s="80"/>
      <c r="Z37" s="80"/>
    </row>
    <row r="38" spans="2:26" ht="18" customHeight="1">
      <c r="B38" s="124"/>
      <c r="C38" s="125"/>
      <c r="D38" s="78"/>
      <c r="E38" s="109"/>
      <c r="F38" s="79"/>
      <c r="G38" s="80"/>
      <c r="H38" s="80"/>
      <c r="I38" s="80"/>
      <c r="J38" s="80"/>
      <c r="K38" s="80"/>
      <c r="L38" s="80"/>
      <c r="M38" s="80"/>
      <c r="N38" s="80"/>
      <c r="O38" s="80"/>
      <c r="P38" s="81"/>
      <c r="Q38" s="82"/>
      <c r="R38" s="80"/>
      <c r="S38" s="80"/>
      <c r="T38" s="80"/>
      <c r="U38" s="80"/>
      <c r="V38" s="80"/>
      <c r="W38" s="80"/>
      <c r="X38" s="80"/>
      <c r="Y38" s="80"/>
      <c r="Z38" s="80"/>
    </row>
    <row r="39" spans="2:26" ht="18" customHeight="1">
      <c r="B39" s="124"/>
      <c r="C39" s="125"/>
      <c r="D39" s="78"/>
      <c r="E39" s="109"/>
      <c r="F39" s="79"/>
      <c r="G39" s="80"/>
      <c r="H39" s="80"/>
      <c r="I39" s="80"/>
      <c r="J39" s="80"/>
      <c r="K39" s="80"/>
      <c r="L39" s="80"/>
      <c r="M39" s="80"/>
      <c r="N39" s="80"/>
      <c r="O39" s="80"/>
      <c r="P39" s="81"/>
      <c r="Q39" s="82"/>
      <c r="R39" s="80"/>
      <c r="S39" s="80"/>
      <c r="T39" s="80"/>
      <c r="U39" s="80"/>
      <c r="V39" s="80"/>
      <c r="W39" s="80"/>
      <c r="X39" s="80"/>
      <c r="Y39" s="80"/>
      <c r="Z39" s="80"/>
    </row>
    <row r="40" spans="2:26" ht="18" customHeight="1">
      <c r="B40" s="124"/>
      <c r="C40" s="125"/>
      <c r="D40" s="78"/>
      <c r="E40" s="109"/>
      <c r="F40" s="79"/>
      <c r="G40" s="80"/>
      <c r="H40" s="80"/>
      <c r="I40" s="80"/>
      <c r="J40" s="80"/>
      <c r="K40" s="80"/>
      <c r="L40" s="80"/>
      <c r="M40" s="80"/>
      <c r="N40" s="80"/>
      <c r="O40" s="80"/>
      <c r="P40" s="81"/>
      <c r="Q40" s="82"/>
      <c r="R40" s="80"/>
      <c r="S40" s="80"/>
      <c r="T40" s="80"/>
      <c r="U40" s="80"/>
      <c r="V40" s="80"/>
      <c r="W40" s="80"/>
      <c r="X40" s="80"/>
      <c r="Y40" s="80"/>
      <c r="Z40" s="80"/>
    </row>
    <row r="41" spans="2:26" ht="18" customHeight="1">
      <c r="B41" s="124"/>
      <c r="C41" s="125"/>
      <c r="D41" s="78"/>
      <c r="E41" s="109"/>
      <c r="F41" s="79"/>
      <c r="G41" s="80"/>
      <c r="H41" s="80"/>
      <c r="I41" s="80"/>
      <c r="J41" s="80"/>
      <c r="K41" s="80"/>
      <c r="L41" s="80"/>
      <c r="M41" s="80"/>
      <c r="N41" s="80"/>
      <c r="O41" s="80"/>
      <c r="P41" s="81"/>
      <c r="Q41" s="82"/>
      <c r="R41" s="80"/>
      <c r="S41" s="80"/>
      <c r="T41" s="80"/>
      <c r="U41" s="80"/>
      <c r="V41" s="80"/>
      <c r="W41" s="80"/>
      <c r="X41" s="80"/>
      <c r="Y41" s="80"/>
      <c r="Z41" s="80"/>
    </row>
    <row r="42" spans="2:26" ht="18" customHeight="1">
      <c r="B42" s="126"/>
      <c r="C42" s="127"/>
      <c r="D42" s="83"/>
      <c r="E42" s="112"/>
      <c r="F42" s="84"/>
      <c r="G42" s="85"/>
      <c r="H42" s="85"/>
      <c r="I42" s="85"/>
      <c r="J42" s="85"/>
      <c r="K42" s="85"/>
      <c r="L42" s="85"/>
      <c r="M42" s="85"/>
      <c r="N42" s="85"/>
      <c r="O42" s="85"/>
      <c r="P42" s="86"/>
      <c r="Q42" s="87"/>
      <c r="R42" s="85"/>
      <c r="S42" s="85"/>
      <c r="T42" s="85"/>
      <c r="U42" s="85"/>
      <c r="V42" s="85"/>
      <c r="W42" s="85"/>
      <c r="X42" s="85"/>
      <c r="Y42" s="85"/>
      <c r="Z42" s="85"/>
    </row>
    <row r="43" spans="2:26" ht="18" customHeight="1">
      <c r="B43" s="128" t="s">
        <v>47</v>
      </c>
      <c r="C43" s="129"/>
      <c r="D43" s="78"/>
      <c r="E43" s="109"/>
      <c r="F43" s="79"/>
      <c r="G43" s="80"/>
      <c r="H43" s="80"/>
      <c r="I43" s="80"/>
      <c r="J43" s="80"/>
      <c r="K43" s="80"/>
      <c r="L43" s="80"/>
      <c r="M43" s="80"/>
      <c r="N43" s="80"/>
      <c r="O43" s="80"/>
      <c r="P43" s="81"/>
      <c r="Q43" s="82"/>
      <c r="R43" s="80"/>
      <c r="S43" s="80"/>
      <c r="T43" s="80"/>
      <c r="U43" s="80"/>
      <c r="V43" s="80"/>
      <c r="W43" s="80"/>
      <c r="X43" s="80"/>
      <c r="Y43" s="80"/>
      <c r="Z43" s="80"/>
    </row>
    <row r="44" spans="2:26" ht="18" customHeight="1">
      <c r="B44" s="128"/>
      <c r="C44" s="129"/>
      <c r="D44" s="78"/>
      <c r="E44" s="109"/>
      <c r="F44" s="79"/>
      <c r="G44" s="80"/>
      <c r="H44" s="80"/>
      <c r="I44" s="80"/>
      <c r="J44" s="80"/>
      <c r="K44" s="80"/>
      <c r="L44" s="80"/>
      <c r="M44" s="80"/>
      <c r="N44" s="80"/>
      <c r="O44" s="80"/>
      <c r="P44" s="81"/>
      <c r="Q44" s="82"/>
      <c r="R44" s="80"/>
      <c r="S44" s="80"/>
      <c r="T44" s="80"/>
      <c r="U44" s="80"/>
      <c r="V44" s="80"/>
      <c r="W44" s="80"/>
      <c r="X44" s="80"/>
      <c r="Y44" s="80"/>
      <c r="Z44" s="80"/>
    </row>
    <row r="45" spans="2:26" ht="18" customHeight="1">
      <c r="B45" s="128"/>
      <c r="C45" s="129"/>
      <c r="D45" s="78"/>
      <c r="E45" s="109"/>
      <c r="F45" s="79"/>
      <c r="G45" s="80"/>
      <c r="H45" s="80"/>
      <c r="I45" s="80"/>
      <c r="J45" s="80"/>
      <c r="K45" s="80"/>
      <c r="L45" s="80"/>
      <c r="M45" s="80"/>
      <c r="N45" s="80"/>
      <c r="O45" s="80"/>
      <c r="P45" s="81"/>
      <c r="Q45" s="82"/>
      <c r="R45" s="80"/>
      <c r="S45" s="80"/>
      <c r="T45" s="80"/>
      <c r="U45" s="80"/>
      <c r="V45" s="80"/>
      <c r="W45" s="80"/>
      <c r="X45" s="80"/>
      <c r="Y45" s="80"/>
      <c r="Z45" s="80"/>
    </row>
    <row r="46" spans="2:26" ht="18" customHeight="1">
      <c r="B46" s="128"/>
      <c r="C46" s="129"/>
      <c r="D46" s="78"/>
      <c r="E46" s="109"/>
      <c r="F46" s="79"/>
      <c r="G46" s="80"/>
      <c r="H46" s="80"/>
      <c r="I46" s="80"/>
      <c r="J46" s="80"/>
      <c r="K46" s="80"/>
      <c r="L46" s="80"/>
      <c r="M46" s="80"/>
      <c r="N46" s="80"/>
      <c r="O46" s="80"/>
      <c r="P46" s="81"/>
      <c r="Q46" s="82"/>
      <c r="R46" s="80"/>
      <c r="S46" s="80"/>
      <c r="T46" s="80"/>
      <c r="U46" s="80"/>
      <c r="V46" s="80"/>
      <c r="W46" s="80"/>
      <c r="X46" s="80"/>
      <c r="Y46" s="80"/>
      <c r="Z46" s="80"/>
    </row>
    <row r="47" spans="2:26" ht="18" customHeight="1">
      <c r="B47" s="128"/>
      <c r="C47" s="129"/>
      <c r="D47" s="78"/>
      <c r="E47" s="109"/>
      <c r="F47" s="79"/>
      <c r="G47" s="80"/>
      <c r="H47" s="80"/>
      <c r="I47" s="80"/>
      <c r="J47" s="80"/>
      <c r="K47" s="80"/>
      <c r="L47" s="80"/>
      <c r="M47" s="80"/>
      <c r="N47" s="80"/>
      <c r="O47" s="80"/>
      <c r="P47" s="81"/>
      <c r="Q47" s="82"/>
      <c r="R47" s="80"/>
      <c r="S47" s="80"/>
      <c r="T47" s="80"/>
      <c r="U47" s="80"/>
      <c r="V47" s="80"/>
      <c r="W47" s="80"/>
      <c r="X47" s="80"/>
      <c r="Y47" s="80"/>
      <c r="Z47" s="80"/>
    </row>
    <row r="48" spans="2:26" ht="18" customHeight="1">
      <c r="B48" s="128"/>
      <c r="C48" s="129"/>
      <c r="D48" s="78"/>
      <c r="E48" s="109"/>
      <c r="F48" s="79"/>
      <c r="G48" s="80"/>
      <c r="H48" s="80"/>
      <c r="I48" s="80"/>
      <c r="J48" s="80"/>
      <c r="K48" s="80"/>
      <c r="L48" s="80"/>
      <c r="M48" s="80"/>
      <c r="N48" s="80"/>
      <c r="O48" s="80"/>
      <c r="P48" s="81"/>
      <c r="Q48" s="82"/>
      <c r="R48" s="80"/>
      <c r="S48" s="80"/>
      <c r="T48" s="80"/>
      <c r="U48" s="80"/>
      <c r="V48" s="80"/>
      <c r="W48" s="80"/>
      <c r="X48" s="80"/>
      <c r="Y48" s="80"/>
      <c r="Z48" s="80"/>
    </row>
    <row r="49" spans="1:26" ht="18" customHeight="1">
      <c r="B49" s="128"/>
      <c r="C49" s="129"/>
      <c r="D49" s="78"/>
      <c r="E49" s="109"/>
      <c r="F49" s="79"/>
      <c r="G49" s="80"/>
      <c r="H49" s="80"/>
      <c r="I49" s="80"/>
      <c r="J49" s="80"/>
      <c r="K49" s="80"/>
      <c r="L49" s="80"/>
      <c r="M49" s="80"/>
      <c r="N49" s="80"/>
      <c r="O49" s="80"/>
      <c r="P49" s="81"/>
      <c r="Q49" s="82"/>
      <c r="R49" s="80"/>
      <c r="S49" s="80"/>
      <c r="T49" s="80"/>
      <c r="U49" s="80"/>
      <c r="V49" s="80"/>
      <c r="W49" s="80"/>
      <c r="X49" s="80"/>
      <c r="Y49" s="80"/>
      <c r="Z49" s="80"/>
    </row>
    <row r="50" spans="1:26" ht="18" customHeight="1">
      <c r="B50" s="128"/>
      <c r="C50" s="129"/>
      <c r="D50" s="78"/>
      <c r="E50" s="109"/>
      <c r="F50" s="79"/>
      <c r="G50" s="80"/>
      <c r="H50" s="80"/>
      <c r="I50" s="80"/>
      <c r="J50" s="80"/>
      <c r="K50" s="80"/>
      <c r="L50" s="80"/>
      <c r="M50" s="80"/>
      <c r="N50" s="80"/>
      <c r="O50" s="80"/>
      <c r="P50" s="81"/>
      <c r="Q50" s="82"/>
      <c r="R50" s="80"/>
      <c r="S50" s="80"/>
      <c r="T50" s="80"/>
      <c r="U50" s="80"/>
      <c r="V50" s="80"/>
      <c r="W50" s="80"/>
      <c r="X50" s="80"/>
      <c r="Y50" s="80"/>
      <c r="Z50" s="80"/>
    </row>
    <row r="51" spans="1:26" ht="18" customHeight="1">
      <c r="B51" s="128"/>
      <c r="C51" s="129"/>
      <c r="D51" s="78"/>
      <c r="E51" s="109"/>
      <c r="F51" s="79"/>
      <c r="G51" s="80"/>
      <c r="H51" s="80"/>
      <c r="I51" s="80"/>
      <c r="J51" s="80"/>
      <c r="K51" s="80"/>
      <c r="L51" s="80"/>
      <c r="M51" s="80"/>
      <c r="N51" s="80"/>
      <c r="O51" s="80"/>
      <c r="P51" s="81"/>
      <c r="Q51" s="82"/>
      <c r="R51" s="80"/>
      <c r="S51" s="80"/>
      <c r="T51" s="80"/>
      <c r="U51" s="80"/>
      <c r="V51" s="80"/>
      <c r="W51" s="80"/>
      <c r="X51" s="80"/>
      <c r="Y51" s="80"/>
      <c r="Z51" s="80"/>
    </row>
    <row r="52" spans="1:26" ht="18" customHeight="1" thickBot="1">
      <c r="B52" s="130"/>
      <c r="C52" s="131"/>
      <c r="D52" s="83"/>
      <c r="E52" s="112"/>
      <c r="F52" s="93"/>
      <c r="G52" s="94"/>
      <c r="H52" s="94"/>
      <c r="I52" s="94"/>
      <c r="J52" s="94"/>
      <c r="K52" s="94"/>
      <c r="L52" s="94"/>
      <c r="M52" s="94"/>
      <c r="N52" s="94"/>
      <c r="O52" s="94"/>
      <c r="P52" s="95"/>
      <c r="Q52" s="87"/>
      <c r="R52" s="85"/>
      <c r="S52" s="85"/>
      <c r="T52" s="85"/>
      <c r="U52" s="85"/>
      <c r="V52" s="85"/>
      <c r="W52" s="85"/>
      <c r="X52" s="85"/>
      <c r="Y52" s="85"/>
      <c r="Z52" s="85"/>
    </row>
    <row r="53" spans="1:26" ht="18" customHeight="1">
      <c r="A53" s="12"/>
      <c r="B53" s="41"/>
      <c r="C53" s="41"/>
      <c r="D53" s="41"/>
      <c r="E53" s="41"/>
      <c r="F53" s="41"/>
      <c r="G53" s="22"/>
      <c r="H53" s="22"/>
      <c r="I53" s="22"/>
      <c r="J53" s="22"/>
      <c r="K53" s="22"/>
      <c r="L53" s="22"/>
      <c r="M53" s="22"/>
      <c r="N53" s="22"/>
      <c r="O53" s="22"/>
      <c r="P53" s="41"/>
      <c r="Q53" s="41"/>
      <c r="R53" s="41"/>
      <c r="S53" s="41"/>
      <c r="T53" s="41"/>
      <c r="U53" s="41"/>
      <c r="V53" s="41"/>
      <c r="W53" s="22"/>
      <c r="X53" s="22"/>
      <c r="Y53" s="22"/>
      <c r="Z53" s="22"/>
    </row>
    <row r="54" spans="1:26" ht="18.75" customHeight="1">
      <c r="A54" s="8" t="s">
        <v>48</v>
      </c>
    </row>
    <row r="55" spans="1:26" ht="18.75" customHeight="1">
      <c r="B55" s="135" t="s">
        <v>49</v>
      </c>
      <c r="C55" s="136"/>
      <c r="D55" s="4" t="s">
        <v>50</v>
      </c>
    </row>
    <row r="56" spans="1:26" ht="86.45">
      <c r="B56" s="132" t="s">
        <v>51</v>
      </c>
      <c r="C56" s="96" t="s">
        <v>21</v>
      </c>
      <c r="D56" s="117" t="s">
        <v>52</v>
      </c>
      <c r="E56" s="97"/>
      <c r="F56" s="97"/>
      <c r="G56" s="97"/>
      <c r="H56" s="97"/>
      <c r="I56" s="97"/>
      <c r="J56" s="97"/>
      <c r="K56" s="97"/>
      <c r="L56" s="97"/>
      <c r="M56" s="97"/>
      <c r="N56" s="97"/>
      <c r="O56" s="97"/>
      <c r="P56" s="97"/>
      <c r="Q56" s="97"/>
      <c r="R56" s="97"/>
      <c r="S56" s="97"/>
      <c r="T56" s="97"/>
      <c r="U56" s="97"/>
      <c r="V56" s="97"/>
      <c r="W56" s="97"/>
      <c r="X56" s="97"/>
      <c r="Y56" s="97"/>
      <c r="Z56" s="97"/>
    </row>
    <row r="57" spans="1:26" ht="54">
      <c r="B57" s="133"/>
      <c r="C57" s="98" t="s">
        <v>53</v>
      </c>
      <c r="D57" s="119" t="s">
        <v>54</v>
      </c>
      <c r="E57" s="99"/>
      <c r="F57" s="99"/>
      <c r="G57" s="99"/>
      <c r="H57" s="99"/>
      <c r="I57" s="99"/>
      <c r="J57" s="99"/>
      <c r="K57" s="99"/>
      <c r="L57" s="99"/>
      <c r="M57" s="99"/>
      <c r="N57" s="99"/>
      <c r="O57" s="99"/>
      <c r="P57" s="99"/>
      <c r="Q57" s="99"/>
      <c r="R57" s="99"/>
      <c r="S57" s="99"/>
      <c r="T57" s="99"/>
      <c r="U57" s="99"/>
      <c r="V57" s="99"/>
      <c r="W57" s="99"/>
      <c r="X57" s="99"/>
      <c r="Y57" s="99"/>
      <c r="Z57" s="99"/>
    </row>
    <row r="58" spans="1:26" ht="75.599999999999994">
      <c r="B58" s="132" t="s">
        <v>55</v>
      </c>
      <c r="C58" s="100" t="s">
        <v>22</v>
      </c>
      <c r="D58" s="121" t="s">
        <v>56</v>
      </c>
      <c r="E58" s="99"/>
      <c r="F58" s="99"/>
      <c r="G58" s="99"/>
      <c r="H58" s="99"/>
      <c r="I58" s="99"/>
      <c r="J58" s="99"/>
      <c r="K58" s="99"/>
      <c r="L58" s="99"/>
      <c r="M58" s="99"/>
      <c r="N58" s="99"/>
      <c r="O58" s="99"/>
      <c r="P58" s="99"/>
      <c r="Q58" s="99"/>
      <c r="R58" s="99"/>
      <c r="S58" s="99"/>
      <c r="T58" s="99"/>
      <c r="U58" s="99"/>
      <c r="V58" s="99"/>
      <c r="W58" s="99"/>
      <c r="X58" s="99"/>
      <c r="Y58" s="99"/>
      <c r="Z58" s="99"/>
    </row>
    <row r="59" spans="1:26" ht="75.599999999999994">
      <c r="B59" s="134"/>
      <c r="C59" s="101" t="s">
        <v>23</v>
      </c>
      <c r="D59" s="120" t="s">
        <v>57</v>
      </c>
      <c r="E59" s="99"/>
      <c r="F59" s="99"/>
      <c r="G59" s="99"/>
      <c r="H59" s="99"/>
      <c r="I59" s="99"/>
      <c r="J59" s="99"/>
      <c r="K59" s="99"/>
      <c r="L59" s="99"/>
      <c r="M59" s="99"/>
      <c r="N59" s="99"/>
      <c r="O59" s="99"/>
      <c r="P59" s="99"/>
      <c r="Q59" s="99"/>
      <c r="R59" s="99"/>
      <c r="S59" s="99"/>
      <c r="T59" s="99"/>
      <c r="U59" s="99"/>
      <c r="V59" s="99"/>
      <c r="W59" s="99"/>
      <c r="X59" s="99"/>
      <c r="Y59" s="99"/>
      <c r="Z59" s="99"/>
    </row>
    <row r="60" spans="1:26" ht="108">
      <c r="B60" s="132" t="s">
        <v>58</v>
      </c>
      <c r="C60" s="100" t="s">
        <v>24</v>
      </c>
      <c r="D60" s="117" t="s">
        <v>59</v>
      </c>
      <c r="E60" s="99"/>
      <c r="F60" s="99"/>
      <c r="G60" s="99"/>
      <c r="H60" s="99"/>
      <c r="I60" s="99"/>
      <c r="J60" s="99"/>
      <c r="K60" s="99"/>
      <c r="L60" s="99"/>
      <c r="M60" s="99"/>
      <c r="N60" s="99"/>
      <c r="O60" s="99"/>
      <c r="P60" s="99"/>
      <c r="Q60" s="99"/>
      <c r="R60" s="99"/>
      <c r="S60" s="99"/>
      <c r="T60" s="99"/>
      <c r="U60" s="99"/>
      <c r="V60" s="99"/>
      <c r="W60" s="99"/>
      <c r="X60" s="99"/>
      <c r="Y60" s="99"/>
      <c r="Z60" s="99"/>
    </row>
    <row r="61" spans="1:26" ht="64.900000000000006">
      <c r="B61" s="134"/>
      <c r="C61" s="102" t="s">
        <v>25</v>
      </c>
      <c r="D61" s="119" t="s">
        <v>60</v>
      </c>
      <c r="E61" s="99"/>
      <c r="F61" s="99"/>
      <c r="G61" s="99"/>
      <c r="H61" s="99"/>
      <c r="I61" s="99"/>
      <c r="J61" s="99"/>
      <c r="K61" s="99"/>
      <c r="L61" s="99"/>
      <c r="M61" s="99"/>
      <c r="N61" s="99"/>
      <c r="O61" s="99"/>
      <c r="P61" s="99"/>
      <c r="Q61" s="99"/>
      <c r="R61" s="99"/>
      <c r="S61" s="99"/>
      <c r="T61" s="99"/>
      <c r="U61" s="99"/>
      <c r="V61" s="99"/>
      <c r="W61" s="99"/>
      <c r="X61" s="99"/>
      <c r="Y61" s="99"/>
      <c r="Z61" s="99"/>
    </row>
    <row r="62" spans="1:26" ht="129.6">
      <c r="B62" s="132" t="s">
        <v>61</v>
      </c>
      <c r="C62" s="96" t="s">
        <v>30</v>
      </c>
      <c r="D62" s="117" t="s">
        <v>62</v>
      </c>
      <c r="E62" s="99"/>
      <c r="F62" s="99"/>
      <c r="G62" s="99"/>
      <c r="H62" s="99"/>
      <c r="I62" s="99"/>
      <c r="J62" s="99"/>
      <c r="K62" s="99"/>
      <c r="L62" s="99"/>
      <c r="M62" s="99"/>
      <c r="N62" s="99"/>
      <c r="O62" s="99"/>
      <c r="P62" s="99"/>
      <c r="Q62" s="99"/>
      <c r="R62" s="99"/>
      <c r="S62" s="99"/>
      <c r="T62" s="99"/>
      <c r="U62" s="99"/>
      <c r="V62" s="99"/>
      <c r="W62" s="99"/>
      <c r="X62" s="99"/>
      <c r="Y62" s="99"/>
      <c r="Z62" s="99"/>
    </row>
    <row r="63" spans="1:26" ht="75.599999999999994">
      <c r="B63" s="134"/>
      <c r="C63" s="101" t="s">
        <v>31</v>
      </c>
      <c r="D63" s="119" t="s">
        <v>63</v>
      </c>
      <c r="E63" s="99"/>
      <c r="F63" s="99"/>
      <c r="G63" s="99"/>
      <c r="H63" s="99"/>
      <c r="I63" s="99"/>
      <c r="J63" s="99"/>
      <c r="K63" s="99"/>
      <c r="L63" s="99"/>
      <c r="M63" s="99"/>
      <c r="N63" s="99"/>
      <c r="O63" s="99"/>
      <c r="P63" s="99"/>
      <c r="Q63" s="99"/>
      <c r="R63" s="99"/>
      <c r="S63" s="99"/>
      <c r="T63" s="99"/>
      <c r="U63" s="99"/>
      <c r="V63" s="99"/>
      <c r="W63" s="99"/>
      <c r="X63" s="99"/>
      <c r="Y63" s="99"/>
      <c r="Z63" s="99"/>
    </row>
    <row r="64" spans="1:26" ht="75.599999999999994">
      <c r="B64" s="132" t="s">
        <v>64</v>
      </c>
      <c r="C64" s="100" t="s">
        <v>65</v>
      </c>
      <c r="D64" s="117" t="s">
        <v>66</v>
      </c>
      <c r="E64" s="99"/>
      <c r="F64" s="99"/>
      <c r="G64" s="99"/>
      <c r="H64" s="99"/>
      <c r="I64" s="99"/>
      <c r="J64" s="99"/>
      <c r="K64" s="99"/>
      <c r="L64" s="99"/>
      <c r="M64" s="99"/>
      <c r="N64" s="99"/>
      <c r="O64" s="99"/>
      <c r="P64" s="99"/>
      <c r="Q64" s="99"/>
      <c r="R64" s="99"/>
      <c r="S64" s="99"/>
      <c r="T64" s="99"/>
      <c r="U64" s="99"/>
      <c r="V64" s="99"/>
      <c r="W64" s="99"/>
      <c r="X64" s="99"/>
      <c r="Y64" s="99"/>
      <c r="Z64" s="99"/>
    </row>
    <row r="65" spans="1:26" ht="75.599999999999994">
      <c r="B65" s="133"/>
      <c r="C65" s="103" t="s">
        <v>28</v>
      </c>
      <c r="D65" s="118" t="s">
        <v>67</v>
      </c>
      <c r="E65" s="104"/>
      <c r="F65" s="104"/>
      <c r="G65" s="104"/>
      <c r="H65" s="104"/>
      <c r="I65" s="104"/>
      <c r="J65" s="104"/>
      <c r="K65" s="104"/>
      <c r="L65" s="104"/>
      <c r="M65" s="104"/>
      <c r="N65" s="104"/>
      <c r="O65" s="104"/>
      <c r="P65" s="104"/>
      <c r="Q65" s="104"/>
      <c r="R65" s="104"/>
      <c r="S65" s="104"/>
      <c r="T65" s="104"/>
      <c r="U65" s="104"/>
      <c r="V65" s="104"/>
      <c r="W65" s="104"/>
      <c r="X65" s="104"/>
      <c r="Y65" s="104"/>
      <c r="Z65" s="104"/>
    </row>
    <row r="66" spans="1:26" ht="75.599999999999994">
      <c r="B66" s="134"/>
      <c r="C66" s="102" t="s">
        <v>29</v>
      </c>
      <c r="D66" s="116" t="s">
        <v>68</v>
      </c>
      <c r="E66" s="104"/>
      <c r="F66" s="104"/>
      <c r="G66" s="104"/>
      <c r="H66" s="104"/>
      <c r="I66" s="104"/>
      <c r="J66" s="104"/>
      <c r="K66" s="104"/>
      <c r="L66" s="104"/>
      <c r="M66" s="104"/>
      <c r="N66" s="104"/>
      <c r="O66" s="104"/>
      <c r="P66" s="104"/>
      <c r="Q66" s="104"/>
      <c r="R66" s="104"/>
      <c r="S66" s="104"/>
      <c r="T66" s="104"/>
      <c r="U66" s="104"/>
      <c r="V66" s="104"/>
      <c r="W66" s="104"/>
      <c r="X66" s="104"/>
      <c r="Y66" s="104"/>
      <c r="Z66" s="104"/>
    </row>
    <row r="67" spans="1:26" ht="6" customHeight="1"/>
    <row r="68" spans="1:26" ht="18.75" customHeight="1">
      <c r="A68" s="8" t="s">
        <v>69</v>
      </c>
    </row>
    <row r="69" spans="1:26" ht="91.5" customHeight="1">
      <c r="B69" s="16"/>
      <c r="C69" s="16"/>
      <c r="D69" s="113" t="s">
        <v>70</v>
      </c>
      <c r="E69" s="16"/>
      <c r="F69" s="16"/>
      <c r="G69" s="16"/>
      <c r="H69" s="16"/>
      <c r="I69" s="16"/>
      <c r="J69" s="16"/>
      <c r="K69" s="16"/>
      <c r="L69" s="16"/>
      <c r="M69" s="16"/>
      <c r="N69" s="16"/>
      <c r="O69" s="16"/>
      <c r="P69" s="16"/>
      <c r="Q69" s="16"/>
      <c r="R69" s="16"/>
      <c r="S69" s="16"/>
      <c r="T69" s="16"/>
      <c r="U69" s="16"/>
      <c r="V69" s="16"/>
      <c r="W69" s="16"/>
      <c r="X69" s="16"/>
      <c r="Y69" s="16"/>
      <c r="Z69" s="16"/>
    </row>
    <row r="72" spans="1:26" ht="18" customHeight="1"/>
  </sheetData>
  <mergeCells count="19">
    <mergeCell ref="B23:C32"/>
    <mergeCell ref="A1:Z1"/>
    <mergeCell ref="A9:B9"/>
    <mergeCell ref="A11:B11"/>
    <mergeCell ref="A13:B13"/>
    <mergeCell ref="A15:B15"/>
    <mergeCell ref="Y3:Z3"/>
    <mergeCell ref="A7:Z7"/>
    <mergeCell ref="B4:C4"/>
    <mergeCell ref="B5:C5"/>
    <mergeCell ref="F21:Z21"/>
    <mergeCell ref="B33:C42"/>
    <mergeCell ref="B43:C52"/>
    <mergeCell ref="B64:B66"/>
    <mergeCell ref="B62:B63"/>
    <mergeCell ref="B55:C55"/>
    <mergeCell ref="B60:B61"/>
    <mergeCell ref="B56:B57"/>
    <mergeCell ref="B58:B59"/>
  </mergeCells>
  <phoneticPr fontId="1"/>
  <conditionalFormatting sqref="D11">
    <cfRule type="expression" dxfId="2" priority="1">
      <formula>$D$9="学部・学科によって、修了要件は相違しない"</formula>
    </cfRule>
    <cfRule type="containsText" dxfId="1" priority="2" operator="containsText" text="学部・学科によって、修了要件は相違しない">
      <formula>NOT(ISERROR(SEARCH("学部・学科によって、修了要件は相違しない",D11)))</formula>
    </cfRule>
    <cfRule type="expression" dxfId="0" priority="4">
      <formula>#REF!="学部・学科によって、修了要件は相違しない"</formula>
    </cfRule>
  </conditionalFormatting>
  <dataValidations count="4">
    <dataValidation type="list" allowBlank="1" showInputMessage="1" showErrorMessage="1" sqref="D9" xr:uid="{3BE3AE6D-51B7-499C-81A5-AF534E0EA538}">
      <formula1>"学部・学科によって、修了要件は相違する,学部・学科によって、修了要件は相違しない"</formula1>
    </dataValidation>
    <dataValidation type="list" allowBlank="1" showInputMessage="1" showErrorMessage="1" sqref="G53:O53 W53:Z53"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D13" xr:uid="{99CE3D4B-7350-4196-8E9D-1B518C6B7357}">
      <formula1>"令和６年度以前又は令和７年度より、履修することが必須のプログラムとして実施, 令和９年度までに履修必須とする計画, 令和１０年度以降に履修必須とする計画、又は未定"</formula1>
    </dataValidation>
    <dataValidation type="list" allowBlank="1" showInputMessage="1" showErrorMessage="1" sqref="F23:Z52" xr:uid="{4C0986EB-3601-4249-85F7-B678A400A117}">
      <formula1>"○"</formula1>
    </dataValidation>
  </dataValidations>
  <printOptions horizontalCentered="1"/>
  <pageMargins left="0.78740157480314965" right="0.78740157480314965" top="0.59055118110236227" bottom="0.19685039370078741" header="0.31496062992125984" footer="0.19685039370078741"/>
  <pageSetup paperSize="9" scale="53" fitToHeight="0" orientation="landscape" r:id="rId1"/>
  <rowBreaks count="2" manualBreakCount="2">
    <brk id="52" max="25" man="1"/>
    <brk id="67" max="2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codeName="Sheet2">
    <pageSetUpPr fitToPage="1"/>
  </sheetPr>
  <dimension ref="A1:V30"/>
  <sheetViews>
    <sheetView view="pageBreakPreview" zoomScaleNormal="100" zoomScaleSheetLayoutView="100" workbookViewId="0">
      <selection activeCell="G15" sqref="G15"/>
    </sheetView>
  </sheetViews>
  <sheetFormatPr defaultColWidth="9" defaultRowHeight="18.75" customHeight="1"/>
  <cols>
    <col min="1" max="1" width="2.7109375" style="8" customWidth="1"/>
    <col min="2" max="2" width="27.85546875" style="8" customWidth="1"/>
    <col min="3" max="3" width="8" style="8" customWidth="1"/>
    <col min="4" max="4" width="8.28515625" style="8" customWidth="1"/>
    <col min="5" max="19" width="6.140625" style="8" customWidth="1"/>
    <col min="20" max="20" width="6.7109375" style="8" customWidth="1"/>
    <col min="21" max="16384" width="9" style="8"/>
  </cols>
  <sheetData>
    <row r="1" spans="1:22" ht="18" customHeight="1">
      <c r="T1" s="8" t="s">
        <v>71</v>
      </c>
    </row>
    <row r="2" spans="1:22" ht="18" customHeight="1">
      <c r="A2" s="149" t="s">
        <v>72</v>
      </c>
      <c r="B2" s="149"/>
      <c r="C2" s="149"/>
      <c r="D2" s="149"/>
      <c r="E2" s="149"/>
      <c r="F2" s="149"/>
      <c r="G2" s="149"/>
      <c r="H2" s="149"/>
      <c r="I2" s="149"/>
      <c r="J2" s="149"/>
      <c r="K2" s="149"/>
      <c r="L2" s="149"/>
      <c r="M2" s="149"/>
      <c r="N2" s="149"/>
      <c r="O2" s="149"/>
      <c r="P2" s="149"/>
      <c r="Q2" s="149"/>
      <c r="R2" s="149"/>
      <c r="S2" s="149"/>
      <c r="T2" s="149"/>
    </row>
    <row r="3" spans="1:22" ht="7.5" customHeight="1">
      <c r="A3" s="12"/>
      <c r="B3" s="12"/>
      <c r="C3" s="12"/>
      <c r="D3" s="12"/>
      <c r="E3" s="12"/>
      <c r="F3" s="12"/>
      <c r="G3" s="12"/>
      <c r="H3" s="12"/>
      <c r="I3" s="12"/>
      <c r="J3" s="12"/>
      <c r="K3" s="12"/>
      <c r="L3" s="12"/>
      <c r="M3" s="12"/>
      <c r="N3" s="12"/>
      <c r="O3" s="12"/>
      <c r="P3" s="12"/>
      <c r="Q3" s="12"/>
      <c r="R3" s="12"/>
      <c r="S3" s="12"/>
      <c r="T3" s="12"/>
    </row>
    <row r="4" spans="1:22" ht="18" customHeight="1">
      <c r="A4" s="8" t="s">
        <v>73</v>
      </c>
      <c r="C4" s="21" t="s">
        <v>74</v>
      </c>
      <c r="D4" s="8" t="s">
        <v>75</v>
      </c>
      <c r="E4" s="41"/>
      <c r="F4" s="10"/>
      <c r="G4" s="12"/>
      <c r="H4" s="12"/>
      <c r="I4" s="12"/>
      <c r="J4" s="12"/>
      <c r="K4" s="12"/>
      <c r="L4" s="12"/>
      <c r="M4" s="12"/>
      <c r="N4" s="12"/>
      <c r="O4" s="12"/>
      <c r="P4" s="12"/>
      <c r="Q4" s="12"/>
      <c r="R4" s="12"/>
      <c r="S4" s="41"/>
      <c r="T4" s="41"/>
    </row>
    <row r="5" spans="1:22" ht="7.15" customHeight="1">
      <c r="C5" s="22"/>
      <c r="D5" s="22"/>
      <c r="E5" s="22"/>
      <c r="F5" s="12"/>
      <c r="G5" s="12"/>
      <c r="H5" s="12"/>
      <c r="I5" s="12"/>
      <c r="J5" s="12"/>
      <c r="K5" s="12"/>
      <c r="L5" s="12"/>
      <c r="M5" s="12"/>
      <c r="N5" s="12"/>
      <c r="O5" s="12"/>
      <c r="P5" s="12"/>
      <c r="Q5" s="12"/>
      <c r="R5" s="12"/>
      <c r="S5" s="41"/>
      <c r="T5" s="41"/>
    </row>
    <row r="6" spans="1:22" ht="18" customHeight="1">
      <c r="A6" s="8" t="s">
        <v>76</v>
      </c>
      <c r="B6" s="12"/>
      <c r="C6" s="12"/>
      <c r="D6" s="12"/>
      <c r="E6" s="12"/>
      <c r="F6" s="12"/>
      <c r="G6" s="12"/>
      <c r="H6" s="12"/>
      <c r="I6" s="12"/>
      <c r="J6" s="12"/>
      <c r="K6" s="12"/>
      <c r="L6" s="12"/>
      <c r="M6" s="12"/>
      <c r="N6" s="12"/>
      <c r="O6" s="12"/>
      <c r="P6" s="12"/>
      <c r="Q6" s="12"/>
      <c r="R6" s="12"/>
      <c r="S6" s="12"/>
      <c r="T6" s="12"/>
    </row>
    <row r="7" spans="1:22" ht="6" customHeight="1">
      <c r="B7" s="12"/>
      <c r="C7" s="12"/>
      <c r="D7" s="12"/>
      <c r="E7" s="12"/>
      <c r="F7" s="12"/>
      <c r="G7" s="12"/>
      <c r="H7" s="12"/>
      <c r="I7" s="12"/>
      <c r="J7" s="12"/>
      <c r="K7" s="12"/>
      <c r="L7" s="12"/>
      <c r="M7" s="12"/>
      <c r="N7" s="12"/>
      <c r="O7" s="12"/>
      <c r="P7" s="12"/>
      <c r="Q7" s="12"/>
      <c r="R7" s="12"/>
      <c r="S7" s="12"/>
      <c r="T7" s="12"/>
    </row>
    <row r="8" spans="1:22" ht="18" customHeight="1">
      <c r="B8" s="150" t="s">
        <v>77</v>
      </c>
      <c r="C8" s="146" t="s">
        <v>78</v>
      </c>
      <c r="D8" s="147"/>
      <c r="E8" s="152" t="s">
        <v>79</v>
      </c>
      <c r="F8" s="146" t="s">
        <v>80</v>
      </c>
      <c r="G8" s="148" t="s">
        <v>81</v>
      </c>
      <c r="H8" s="148"/>
      <c r="I8" s="148" t="s">
        <v>82</v>
      </c>
      <c r="J8" s="148"/>
      <c r="K8" s="148" t="s">
        <v>83</v>
      </c>
      <c r="L8" s="148"/>
      <c r="M8" s="148" t="s">
        <v>84</v>
      </c>
      <c r="N8" s="148"/>
      <c r="O8" s="148" t="s">
        <v>85</v>
      </c>
      <c r="P8" s="148"/>
      <c r="Q8" s="148" t="s">
        <v>86</v>
      </c>
      <c r="R8" s="159"/>
      <c r="S8" s="155" t="s">
        <v>87</v>
      </c>
      <c r="T8" s="157" t="s">
        <v>88</v>
      </c>
      <c r="V8" s="13"/>
    </row>
    <row r="9" spans="1:22" ht="16.899999999999999" customHeight="1">
      <c r="B9" s="151"/>
      <c r="C9" s="1"/>
      <c r="D9" s="2" t="s">
        <v>89</v>
      </c>
      <c r="E9" s="153"/>
      <c r="F9" s="154"/>
      <c r="G9" s="40" t="s">
        <v>90</v>
      </c>
      <c r="H9" s="40" t="s">
        <v>91</v>
      </c>
      <c r="I9" s="40" t="s">
        <v>90</v>
      </c>
      <c r="J9" s="40" t="s">
        <v>91</v>
      </c>
      <c r="K9" s="40" t="s">
        <v>90</v>
      </c>
      <c r="L9" s="40" t="s">
        <v>91</v>
      </c>
      <c r="M9" s="40" t="s">
        <v>90</v>
      </c>
      <c r="N9" s="40" t="s">
        <v>91</v>
      </c>
      <c r="O9" s="40" t="s">
        <v>90</v>
      </c>
      <c r="P9" s="40" t="s">
        <v>91</v>
      </c>
      <c r="Q9" s="40" t="s">
        <v>90</v>
      </c>
      <c r="R9" s="40" t="s">
        <v>91</v>
      </c>
      <c r="S9" s="156"/>
      <c r="T9" s="158"/>
      <c r="V9" s="13"/>
    </row>
    <row r="10" spans="1:22" ht="18" customHeight="1">
      <c r="A10" s="41"/>
      <c r="B10" s="42" t="s">
        <v>92</v>
      </c>
      <c r="C10" s="58">
        <v>528</v>
      </c>
      <c r="D10" s="64">
        <v>181</v>
      </c>
      <c r="E10" s="57">
        <v>130</v>
      </c>
      <c r="F10" s="58">
        <v>610</v>
      </c>
      <c r="G10" s="58">
        <v>54</v>
      </c>
      <c r="H10" s="58"/>
      <c r="I10" s="58"/>
      <c r="J10" s="58"/>
      <c r="K10" s="58"/>
      <c r="L10" s="58"/>
      <c r="M10" s="58"/>
      <c r="N10" s="58"/>
      <c r="O10" s="58"/>
      <c r="P10" s="58"/>
      <c r="Q10" s="58"/>
      <c r="R10" s="58"/>
      <c r="S10" s="3">
        <f>G10+K10+M10+O10+Q10</f>
        <v>54</v>
      </c>
      <c r="T10" s="43">
        <f>S10/F10</f>
        <v>8.8524590163934422E-2</v>
      </c>
    </row>
    <row r="11" spans="1:22" ht="18" customHeight="1">
      <c r="A11" s="41"/>
      <c r="B11" s="44" t="s">
        <v>93</v>
      </c>
      <c r="C11" s="60">
        <v>163</v>
      </c>
      <c r="D11" s="62">
        <v>76</v>
      </c>
      <c r="E11" s="59">
        <v>40</v>
      </c>
      <c r="F11" s="60">
        <v>280</v>
      </c>
      <c r="G11" s="61">
        <v>13</v>
      </c>
      <c r="H11" s="61"/>
      <c r="I11" s="61"/>
      <c r="J11" s="61"/>
      <c r="K11" s="61"/>
      <c r="L11" s="61"/>
      <c r="M11" s="61"/>
      <c r="N11" s="61"/>
      <c r="O11" s="61"/>
      <c r="P11" s="61"/>
      <c r="Q11" s="61"/>
      <c r="R11" s="61"/>
      <c r="S11" s="45">
        <f t="shared" ref="S11:S29" si="0">G11+K11+M11+O11+Q11</f>
        <v>13</v>
      </c>
      <c r="T11" s="46">
        <f t="shared" ref="T11:T27" si="1">S11/F11</f>
        <v>4.642857142857143E-2</v>
      </c>
    </row>
    <row r="12" spans="1:22" ht="18" customHeight="1">
      <c r="A12" s="41"/>
      <c r="B12" s="44" t="s">
        <v>94</v>
      </c>
      <c r="C12" s="60">
        <v>289</v>
      </c>
      <c r="D12" s="62">
        <v>104</v>
      </c>
      <c r="E12" s="59">
        <v>70</v>
      </c>
      <c r="F12" s="60">
        <v>310</v>
      </c>
      <c r="G12" s="61">
        <v>24</v>
      </c>
      <c r="H12" s="61"/>
      <c r="I12" s="61"/>
      <c r="J12" s="61"/>
      <c r="K12" s="61"/>
      <c r="L12" s="61"/>
      <c r="M12" s="61"/>
      <c r="N12" s="61"/>
      <c r="O12" s="61"/>
      <c r="P12" s="61"/>
      <c r="Q12" s="61"/>
      <c r="R12" s="61"/>
      <c r="S12" s="45">
        <f t="shared" si="0"/>
        <v>24</v>
      </c>
      <c r="T12" s="47">
        <f t="shared" si="1"/>
        <v>7.7419354838709681E-2</v>
      </c>
    </row>
    <row r="13" spans="1:22" ht="18" customHeight="1">
      <c r="A13" s="41"/>
      <c r="B13" s="44" t="s">
        <v>95</v>
      </c>
      <c r="C13" s="60">
        <v>173</v>
      </c>
      <c r="D13" s="62">
        <v>96</v>
      </c>
      <c r="E13" s="59">
        <v>50</v>
      </c>
      <c r="F13" s="60">
        <v>350</v>
      </c>
      <c r="G13" s="61">
        <v>6</v>
      </c>
      <c r="H13" s="61"/>
      <c r="I13" s="61"/>
      <c r="J13" s="61"/>
      <c r="K13" s="61"/>
      <c r="L13" s="61"/>
      <c r="M13" s="61"/>
      <c r="N13" s="61"/>
      <c r="O13" s="61"/>
      <c r="P13" s="61"/>
      <c r="Q13" s="61"/>
      <c r="R13" s="61"/>
      <c r="S13" s="45">
        <f t="shared" si="0"/>
        <v>6</v>
      </c>
      <c r="T13" s="47">
        <f t="shared" si="1"/>
        <v>1.7142857142857144E-2</v>
      </c>
    </row>
    <row r="14" spans="1:22" ht="18" customHeight="1">
      <c r="A14" s="41"/>
      <c r="B14" s="44" t="s">
        <v>96</v>
      </c>
      <c r="C14" s="60">
        <v>455</v>
      </c>
      <c r="D14" s="62">
        <v>240</v>
      </c>
      <c r="E14" s="59">
        <v>110</v>
      </c>
      <c r="F14" s="60">
        <v>490</v>
      </c>
      <c r="G14" s="61">
        <v>17</v>
      </c>
      <c r="H14" s="61"/>
      <c r="I14" s="61"/>
      <c r="J14" s="61"/>
      <c r="K14" s="61"/>
      <c r="L14" s="61"/>
      <c r="M14" s="61"/>
      <c r="N14" s="61"/>
      <c r="O14" s="61"/>
      <c r="P14" s="61"/>
      <c r="Q14" s="61"/>
      <c r="R14" s="61"/>
      <c r="S14" s="45">
        <f t="shared" si="0"/>
        <v>17</v>
      </c>
      <c r="T14" s="47">
        <f t="shared" si="1"/>
        <v>3.4693877551020408E-2</v>
      </c>
    </row>
    <row r="15" spans="1:22" ht="18" customHeight="1">
      <c r="A15" s="41"/>
      <c r="B15" s="44"/>
      <c r="C15" s="60"/>
      <c r="D15" s="62"/>
      <c r="E15" s="59"/>
      <c r="F15" s="60"/>
      <c r="G15" s="61"/>
      <c r="H15" s="61"/>
      <c r="I15" s="61"/>
      <c r="J15" s="61"/>
      <c r="K15" s="61"/>
      <c r="L15" s="61"/>
      <c r="M15" s="61"/>
      <c r="N15" s="61"/>
      <c r="O15" s="61"/>
      <c r="P15" s="61"/>
      <c r="Q15" s="61"/>
      <c r="R15" s="61"/>
      <c r="S15" s="45">
        <f t="shared" si="0"/>
        <v>0</v>
      </c>
      <c r="T15" s="47" t="e">
        <f t="shared" si="1"/>
        <v>#DIV/0!</v>
      </c>
    </row>
    <row r="16" spans="1:22" ht="18" customHeight="1">
      <c r="A16" s="41"/>
      <c r="B16" s="44"/>
      <c r="C16" s="60"/>
      <c r="D16" s="62"/>
      <c r="E16" s="59"/>
      <c r="F16" s="60"/>
      <c r="G16" s="61"/>
      <c r="H16" s="61"/>
      <c r="I16" s="61"/>
      <c r="J16" s="61"/>
      <c r="K16" s="61"/>
      <c r="L16" s="61"/>
      <c r="M16" s="61"/>
      <c r="N16" s="61"/>
      <c r="O16" s="61"/>
      <c r="P16" s="61"/>
      <c r="Q16" s="61"/>
      <c r="R16" s="61"/>
      <c r="S16" s="45">
        <f t="shared" si="0"/>
        <v>0</v>
      </c>
      <c r="T16" s="47" t="e">
        <f t="shared" si="1"/>
        <v>#DIV/0!</v>
      </c>
    </row>
    <row r="17" spans="1:20" ht="18" customHeight="1">
      <c r="A17" s="41"/>
      <c r="B17" s="44"/>
      <c r="C17" s="60"/>
      <c r="D17" s="62"/>
      <c r="E17" s="59"/>
      <c r="F17" s="60"/>
      <c r="G17" s="61"/>
      <c r="H17" s="61"/>
      <c r="I17" s="61"/>
      <c r="J17" s="61"/>
      <c r="K17" s="61"/>
      <c r="L17" s="61"/>
      <c r="M17" s="61"/>
      <c r="N17" s="61"/>
      <c r="O17" s="61"/>
      <c r="P17" s="61"/>
      <c r="Q17" s="61"/>
      <c r="R17" s="61"/>
      <c r="S17" s="45">
        <f t="shared" si="0"/>
        <v>0</v>
      </c>
      <c r="T17" s="47" t="e">
        <f t="shared" si="1"/>
        <v>#DIV/0!</v>
      </c>
    </row>
    <row r="18" spans="1:20" ht="18" customHeight="1">
      <c r="A18" s="41"/>
      <c r="B18" s="44"/>
      <c r="C18" s="60"/>
      <c r="D18" s="62"/>
      <c r="E18" s="59"/>
      <c r="F18" s="60"/>
      <c r="G18" s="61"/>
      <c r="H18" s="61"/>
      <c r="I18" s="61"/>
      <c r="J18" s="61"/>
      <c r="K18" s="61"/>
      <c r="L18" s="61"/>
      <c r="M18" s="61"/>
      <c r="N18" s="61"/>
      <c r="O18" s="61"/>
      <c r="P18" s="61"/>
      <c r="Q18" s="61"/>
      <c r="R18" s="61"/>
      <c r="S18" s="45">
        <f t="shared" si="0"/>
        <v>0</v>
      </c>
      <c r="T18" s="47" t="e">
        <f t="shared" si="1"/>
        <v>#DIV/0!</v>
      </c>
    </row>
    <row r="19" spans="1:20" ht="18" customHeight="1">
      <c r="A19" s="41"/>
      <c r="B19" s="44"/>
      <c r="C19" s="60"/>
      <c r="D19" s="62"/>
      <c r="E19" s="59"/>
      <c r="F19" s="60"/>
      <c r="G19" s="61"/>
      <c r="H19" s="61"/>
      <c r="I19" s="61"/>
      <c r="J19" s="61"/>
      <c r="K19" s="61"/>
      <c r="L19" s="61"/>
      <c r="M19" s="61"/>
      <c r="N19" s="61"/>
      <c r="O19" s="61"/>
      <c r="P19" s="61"/>
      <c r="Q19" s="61"/>
      <c r="R19" s="61"/>
      <c r="S19" s="45">
        <f t="shared" si="0"/>
        <v>0</v>
      </c>
      <c r="T19" s="47" t="e">
        <f t="shared" si="1"/>
        <v>#DIV/0!</v>
      </c>
    </row>
    <row r="20" spans="1:20" ht="18" customHeight="1">
      <c r="A20" s="41"/>
      <c r="B20" s="44"/>
      <c r="C20" s="60"/>
      <c r="D20" s="62"/>
      <c r="E20" s="59"/>
      <c r="F20" s="60"/>
      <c r="G20" s="61"/>
      <c r="H20" s="61"/>
      <c r="I20" s="61"/>
      <c r="J20" s="61"/>
      <c r="K20" s="61"/>
      <c r="L20" s="61"/>
      <c r="M20" s="61"/>
      <c r="N20" s="61"/>
      <c r="O20" s="61"/>
      <c r="P20" s="61"/>
      <c r="Q20" s="61"/>
      <c r="R20" s="61"/>
      <c r="S20" s="45">
        <f t="shared" si="0"/>
        <v>0</v>
      </c>
      <c r="T20" s="47" t="e">
        <f t="shared" si="1"/>
        <v>#DIV/0!</v>
      </c>
    </row>
    <row r="21" spans="1:20" ht="18" customHeight="1">
      <c r="A21" s="41"/>
      <c r="B21" s="44"/>
      <c r="C21" s="60"/>
      <c r="D21" s="62"/>
      <c r="E21" s="59"/>
      <c r="F21" s="60"/>
      <c r="G21" s="61"/>
      <c r="H21" s="61"/>
      <c r="I21" s="61"/>
      <c r="J21" s="61"/>
      <c r="K21" s="61"/>
      <c r="L21" s="61"/>
      <c r="M21" s="61"/>
      <c r="N21" s="61"/>
      <c r="O21" s="61"/>
      <c r="P21" s="61"/>
      <c r="Q21" s="61"/>
      <c r="R21" s="61"/>
      <c r="S21" s="45">
        <f t="shared" si="0"/>
        <v>0</v>
      </c>
      <c r="T21" s="47" t="e">
        <f t="shared" si="1"/>
        <v>#DIV/0!</v>
      </c>
    </row>
    <row r="22" spans="1:20" ht="18" customHeight="1">
      <c r="A22" s="41"/>
      <c r="B22" s="44"/>
      <c r="C22" s="60"/>
      <c r="D22" s="62"/>
      <c r="E22" s="59"/>
      <c r="F22" s="60"/>
      <c r="G22" s="61"/>
      <c r="H22" s="61"/>
      <c r="I22" s="61"/>
      <c r="J22" s="61"/>
      <c r="K22" s="61"/>
      <c r="L22" s="61"/>
      <c r="M22" s="61"/>
      <c r="N22" s="61"/>
      <c r="O22" s="61"/>
      <c r="P22" s="61"/>
      <c r="Q22" s="61"/>
      <c r="R22" s="61"/>
      <c r="S22" s="45">
        <f t="shared" si="0"/>
        <v>0</v>
      </c>
      <c r="T22" s="47" t="e">
        <f t="shared" si="1"/>
        <v>#DIV/0!</v>
      </c>
    </row>
    <row r="23" spans="1:20" ht="18" customHeight="1">
      <c r="A23" s="41"/>
      <c r="B23" s="44"/>
      <c r="C23" s="60"/>
      <c r="D23" s="62"/>
      <c r="E23" s="59"/>
      <c r="F23" s="60"/>
      <c r="G23" s="61"/>
      <c r="H23" s="61"/>
      <c r="I23" s="61"/>
      <c r="J23" s="61"/>
      <c r="K23" s="61"/>
      <c r="L23" s="61"/>
      <c r="M23" s="61"/>
      <c r="N23" s="61"/>
      <c r="O23" s="61"/>
      <c r="P23" s="61"/>
      <c r="Q23" s="61"/>
      <c r="R23" s="61"/>
      <c r="S23" s="45">
        <f t="shared" si="0"/>
        <v>0</v>
      </c>
      <c r="T23" s="47" t="e">
        <f t="shared" si="1"/>
        <v>#DIV/0!</v>
      </c>
    </row>
    <row r="24" spans="1:20" ht="18" customHeight="1">
      <c r="A24" s="41"/>
      <c r="B24" s="44"/>
      <c r="C24" s="60"/>
      <c r="D24" s="62"/>
      <c r="E24" s="59"/>
      <c r="F24" s="60"/>
      <c r="G24" s="61"/>
      <c r="H24" s="61"/>
      <c r="I24" s="61"/>
      <c r="J24" s="61"/>
      <c r="K24" s="61"/>
      <c r="L24" s="61"/>
      <c r="M24" s="61"/>
      <c r="N24" s="61"/>
      <c r="O24" s="61"/>
      <c r="P24" s="61"/>
      <c r="Q24" s="61"/>
      <c r="R24" s="61"/>
      <c r="S24" s="45">
        <f t="shared" si="0"/>
        <v>0</v>
      </c>
      <c r="T24" s="47" t="e">
        <f t="shared" si="1"/>
        <v>#DIV/0!</v>
      </c>
    </row>
    <row r="25" spans="1:20" ht="18" customHeight="1">
      <c r="A25" s="41"/>
      <c r="B25" s="44"/>
      <c r="C25" s="60"/>
      <c r="D25" s="62"/>
      <c r="E25" s="59"/>
      <c r="F25" s="60"/>
      <c r="G25" s="61"/>
      <c r="H25" s="61"/>
      <c r="I25" s="61"/>
      <c r="J25" s="61"/>
      <c r="K25" s="61"/>
      <c r="L25" s="61"/>
      <c r="M25" s="61"/>
      <c r="N25" s="61"/>
      <c r="O25" s="61"/>
      <c r="P25" s="61"/>
      <c r="Q25" s="61"/>
      <c r="R25" s="61"/>
      <c r="S25" s="45">
        <f t="shared" si="0"/>
        <v>0</v>
      </c>
      <c r="T25" s="47" t="e">
        <f t="shared" si="1"/>
        <v>#DIV/0!</v>
      </c>
    </row>
    <row r="26" spans="1:20" ht="18" customHeight="1">
      <c r="A26" s="41"/>
      <c r="B26" s="44"/>
      <c r="C26" s="60"/>
      <c r="D26" s="62"/>
      <c r="E26" s="59"/>
      <c r="F26" s="60"/>
      <c r="G26" s="61"/>
      <c r="H26" s="61"/>
      <c r="I26" s="61"/>
      <c r="J26" s="61"/>
      <c r="K26" s="61"/>
      <c r="L26" s="61"/>
      <c r="M26" s="61"/>
      <c r="N26" s="61"/>
      <c r="O26" s="61"/>
      <c r="P26" s="61"/>
      <c r="Q26" s="61"/>
      <c r="R26" s="61"/>
      <c r="S26" s="45">
        <f t="shared" si="0"/>
        <v>0</v>
      </c>
      <c r="T26" s="47" t="e">
        <f t="shared" si="1"/>
        <v>#DIV/0!</v>
      </c>
    </row>
    <row r="27" spans="1:20" ht="18" customHeight="1">
      <c r="A27" s="41"/>
      <c r="B27" s="44"/>
      <c r="C27" s="60"/>
      <c r="D27" s="62"/>
      <c r="E27" s="63"/>
      <c r="F27" s="60"/>
      <c r="G27" s="61"/>
      <c r="H27" s="61"/>
      <c r="I27" s="61"/>
      <c r="J27" s="61"/>
      <c r="K27" s="61"/>
      <c r="L27" s="61"/>
      <c r="M27" s="61"/>
      <c r="N27" s="61"/>
      <c r="O27" s="61"/>
      <c r="P27" s="61"/>
      <c r="Q27" s="61"/>
      <c r="R27" s="61"/>
      <c r="S27" s="45">
        <f t="shared" si="0"/>
        <v>0</v>
      </c>
      <c r="T27" s="47" t="e">
        <f t="shared" si="1"/>
        <v>#DIV/0!</v>
      </c>
    </row>
    <row r="28" spans="1:20" ht="18" customHeight="1">
      <c r="A28" s="41"/>
      <c r="B28" s="44"/>
      <c r="C28" s="60"/>
      <c r="D28" s="62"/>
      <c r="E28" s="63"/>
      <c r="F28" s="60"/>
      <c r="G28" s="61"/>
      <c r="H28" s="61"/>
      <c r="I28" s="61"/>
      <c r="J28" s="61"/>
      <c r="K28" s="61"/>
      <c r="L28" s="61"/>
      <c r="M28" s="61"/>
      <c r="N28" s="61"/>
      <c r="O28" s="61"/>
      <c r="P28" s="61"/>
      <c r="Q28" s="61"/>
      <c r="R28" s="61"/>
      <c r="S28" s="45">
        <f t="shared" si="0"/>
        <v>0</v>
      </c>
      <c r="T28" s="47" t="e">
        <f t="shared" ref="T28:T29" si="2">S28/F28</f>
        <v>#DIV/0!</v>
      </c>
    </row>
    <row r="29" spans="1:20" ht="18" customHeight="1" thickBot="1">
      <c r="A29" s="41"/>
      <c r="B29" s="48"/>
      <c r="C29" s="58"/>
      <c r="D29" s="64"/>
      <c r="E29" s="65"/>
      <c r="F29" s="58"/>
      <c r="G29" s="58"/>
      <c r="H29" s="58"/>
      <c r="I29" s="58"/>
      <c r="J29" s="58"/>
      <c r="K29" s="58"/>
      <c r="L29" s="58"/>
      <c r="M29" s="58"/>
      <c r="N29" s="58"/>
      <c r="O29" s="58"/>
      <c r="P29" s="58"/>
      <c r="Q29" s="58"/>
      <c r="R29" s="58"/>
      <c r="S29" s="3">
        <f t="shared" si="0"/>
        <v>0</v>
      </c>
      <c r="T29" s="47" t="e">
        <f t="shared" si="2"/>
        <v>#DIV/0!</v>
      </c>
    </row>
    <row r="30" spans="1:20" ht="18" customHeight="1" thickTop="1">
      <c r="B30" s="49" t="s">
        <v>97</v>
      </c>
      <c r="C30" s="51">
        <f t="shared" ref="C30" si="3">SUM(C10:C29)</f>
        <v>1608</v>
      </c>
      <c r="D30" s="105">
        <f>SUM(D10:D29)</f>
        <v>697</v>
      </c>
      <c r="E30" s="50">
        <f t="shared" ref="E30:G30" si="4">SUM(E10:E29)</f>
        <v>400</v>
      </c>
      <c r="F30" s="51">
        <f t="shared" si="4"/>
        <v>2040</v>
      </c>
      <c r="G30" s="51">
        <f t="shared" si="4"/>
        <v>114</v>
      </c>
      <c r="H30" s="51">
        <f t="shared" ref="H30:K30" si="5">SUM(H10:H29)</f>
        <v>0</v>
      </c>
      <c r="I30" s="51">
        <f t="shared" si="5"/>
        <v>0</v>
      </c>
      <c r="J30" s="51">
        <f t="shared" si="5"/>
        <v>0</v>
      </c>
      <c r="K30" s="51">
        <f t="shared" si="5"/>
        <v>0</v>
      </c>
      <c r="L30" s="51">
        <f t="shared" ref="L30:M30" si="6">SUM(L10:L29)</f>
        <v>0</v>
      </c>
      <c r="M30" s="51">
        <f t="shared" si="6"/>
        <v>0</v>
      </c>
      <c r="N30" s="51">
        <f t="shared" ref="N30:S30" si="7">SUM(N10:N29)</f>
        <v>0</v>
      </c>
      <c r="O30" s="51">
        <f t="shared" si="7"/>
        <v>0</v>
      </c>
      <c r="P30" s="51">
        <f t="shared" si="7"/>
        <v>0</v>
      </c>
      <c r="Q30" s="51">
        <f t="shared" si="7"/>
        <v>0</v>
      </c>
      <c r="R30" s="51">
        <f t="shared" si="7"/>
        <v>0</v>
      </c>
      <c r="S30" s="51">
        <f t="shared" si="7"/>
        <v>114</v>
      </c>
      <c r="T30" s="52">
        <f>S30/F30</f>
        <v>5.5882352941176473E-2</v>
      </c>
    </row>
  </sheetData>
  <mergeCells count="13">
    <mergeCell ref="C8:D8"/>
    <mergeCell ref="K8:L8"/>
    <mergeCell ref="M8:N8"/>
    <mergeCell ref="O8:P8"/>
    <mergeCell ref="A2:T2"/>
    <mergeCell ref="B8:B9"/>
    <mergeCell ref="E8:E9"/>
    <mergeCell ref="F8:F9"/>
    <mergeCell ref="G8:H8"/>
    <mergeCell ref="S8:S9"/>
    <mergeCell ref="T8:T9"/>
    <mergeCell ref="Q8:R8"/>
    <mergeCell ref="I8:J8"/>
  </mergeCells>
  <phoneticPr fontId="1"/>
  <conditionalFormatting sqref="C4:E5">
    <cfRule type="cellIs" priority="1" operator="equal">
      <formula>0</formula>
    </cfRule>
  </conditionalFormatting>
  <dataValidations count="1">
    <dataValidation type="whole" allowBlank="1" showInputMessage="1" showErrorMessage="1" sqref="G10:R29 C10:F29" xr:uid="{4571889F-8C75-42AE-91BB-1A587F9E70D1}">
      <formula1>0</formula1>
      <formula2>99999</formula2>
    </dataValidation>
  </dataValidations>
  <printOptions horizontalCentered="1"/>
  <pageMargins left="0.78740157480314965" right="0.78740157480314965" top="0.78740157480314965" bottom="0.59055118110236227" header="0.31496062992125984" footer="0.31496062992125984"/>
  <pageSetup paperSize="9" scale="9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codeName="Sheet3">
    <pageSetUpPr fitToPage="1"/>
  </sheetPr>
  <dimension ref="A1:K62"/>
  <sheetViews>
    <sheetView showZeros="0" view="pageBreakPreview" topLeftCell="A44" zoomScaleNormal="100" zoomScaleSheetLayoutView="100" workbookViewId="0">
      <selection activeCell="G21" sqref="G21"/>
    </sheetView>
  </sheetViews>
  <sheetFormatPr defaultColWidth="11.28515625" defaultRowHeight="18.75" customHeight="1"/>
  <cols>
    <col min="1" max="1" width="2.7109375" style="7" customWidth="1"/>
    <col min="2" max="2" width="8" style="8" customWidth="1"/>
    <col min="3" max="3" width="17.140625" style="8" bestFit="1" customWidth="1"/>
    <col min="4" max="4" width="41.7109375" style="8" customWidth="1"/>
    <col min="5" max="5" width="12.140625" style="8" customWidth="1"/>
    <col min="6" max="16384" width="11.28515625" style="8"/>
  </cols>
  <sheetData>
    <row r="1" spans="1:5" ht="18.75" customHeight="1">
      <c r="A1" s="7" t="s">
        <v>98</v>
      </c>
      <c r="E1" s="9" t="s">
        <v>99</v>
      </c>
    </row>
    <row r="2" spans="1:5" ht="10.9" customHeight="1">
      <c r="E2" s="10"/>
    </row>
    <row r="3" spans="1:5" ht="18.600000000000001" customHeight="1">
      <c r="A3" s="149" t="s">
        <v>100</v>
      </c>
      <c r="B3" s="149"/>
      <c r="C3" s="149"/>
      <c r="D3" s="149"/>
      <c r="E3" s="149"/>
    </row>
    <row r="4" spans="1:5" ht="13.15" customHeight="1">
      <c r="B4" s="12"/>
      <c r="C4" s="12"/>
      <c r="D4" s="12"/>
      <c r="E4" s="12"/>
    </row>
    <row r="5" spans="1:5" ht="18" customHeight="1">
      <c r="A5" s="8" t="s">
        <v>101</v>
      </c>
      <c r="B5" s="138" t="s">
        <v>102</v>
      </c>
      <c r="C5" s="138"/>
      <c r="D5" s="138"/>
      <c r="E5" s="138"/>
    </row>
    <row r="6" spans="1:5" ht="18.600000000000001" customHeight="1">
      <c r="B6" s="29" t="s">
        <v>103</v>
      </c>
      <c r="C6" s="115">
        <v>84</v>
      </c>
      <c r="D6" s="10" t="s">
        <v>104</v>
      </c>
      <c r="E6" s="14"/>
    </row>
    <row r="7" spans="1:5" ht="18.600000000000001" customHeight="1">
      <c r="B7" s="29" t="s">
        <v>105</v>
      </c>
      <c r="C7" s="115">
        <v>181</v>
      </c>
      <c r="D7" s="10" t="s">
        <v>104</v>
      </c>
      <c r="E7" s="14"/>
    </row>
    <row r="8" spans="1:5" ht="18.600000000000001" customHeight="1">
      <c r="B8" s="9"/>
      <c r="C8" s="9"/>
      <c r="D8" s="10"/>
      <c r="E8" s="14"/>
    </row>
    <row r="9" spans="1:5" ht="18" customHeight="1">
      <c r="A9" s="8" t="s">
        <v>106</v>
      </c>
      <c r="B9" s="138" t="s">
        <v>107</v>
      </c>
      <c r="C9" s="138"/>
      <c r="D9" s="138"/>
      <c r="E9" s="138"/>
    </row>
    <row r="10" spans="1:5" ht="18" customHeight="1">
      <c r="A10" s="8"/>
      <c r="B10" s="10"/>
      <c r="C10" s="114">
        <v>1</v>
      </c>
      <c r="D10" s="10" t="s">
        <v>104</v>
      </c>
      <c r="E10" s="10"/>
    </row>
    <row r="11" spans="1:5" ht="9" customHeight="1">
      <c r="B11" s="12"/>
      <c r="C11" s="12"/>
      <c r="D11" s="12"/>
      <c r="E11" s="12"/>
    </row>
    <row r="12" spans="1:5" ht="18" customHeight="1">
      <c r="A12" s="8" t="s">
        <v>108</v>
      </c>
      <c r="B12" s="138" t="s">
        <v>109</v>
      </c>
      <c r="C12" s="138"/>
      <c r="D12" s="138"/>
      <c r="E12" s="138"/>
    </row>
    <row r="13" spans="1:5" ht="18" customHeight="1">
      <c r="C13" s="9" t="s">
        <v>110</v>
      </c>
      <c r="D13" s="67" t="s">
        <v>111</v>
      </c>
      <c r="E13" s="10"/>
    </row>
    <row r="14" spans="1:5" ht="18" customHeight="1">
      <c r="C14" s="9" t="s">
        <v>112</v>
      </c>
      <c r="D14" s="67" t="s">
        <v>113</v>
      </c>
      <c r="E14" s="14"/>
    </row>
    <row r="15" spans="1:5" ht="10.15" customHeight="1">
      <c r="B15" s="9"/>
      <c r="C15" s="10"/>
      <c r="D15" s="14"/>
      <c r="E15" s="14"/>
    </row>
    <row r="16" spans="1:5" ht="18" customHeight="1">
      <c r="A16" s="8" t="s">
        <v>114</v>
      </c>
      <c r="B16" s="138" t="s">
        <v>115</v>
      </c>
      <c r="C16" s="138"/>
      <c r="D16" s="138"/>
      <c r="E16" s="138"/>
    </row>
    <row r="17" spans="1:10" ht="18" customHeight="1">
      <c r="C17" s="9" t="s">
        <v>116</v>
      </c>
      <c r="D17" s="67" t="s">
        <v>117</v>
      </c>
      <c r="E17" s="10"/>
    </row>
    <row r="18" spans="1:10" ht="9" customHeight="1">
      <c r="B18" s="12"/>
      <c r="C18" s="12"/>
      <c r="D18" s="12"/>
      <c r="E18" s="12"/>
    </row>
    <row r="19" spans="1:10" ht="18.75" customHeight="1">
      <c r="A19" s="8" t="s">
        <v>118</v>
      </c>
      <c r="B19" s="182" t="s">
        <v>119</v>
      </c>
      <c r="C19" s="182"/>
      <c r="D19" s="182"/>
      <c r="E19" s="182"/>
    </row>
    <row r="20" spans="1:10" ht="18.75" customHeight="1">
      <c r="A20" s="8"/>
      <c r="C20" s="9" t="s">
        <v>116</v>
      </c>
      <c r="D20" s="67" t="s">
        <v>120</v>
      </c>
      <c r="E20" s="10"/>
    </row>
    <row r="21" spans="1:10" ht="7.5" customHeight="1">
      <c r="B21" s="12"/>
      <c r="C21" s="12"/>
      <c r="D21" s="12" t="s">
        <v>121</v>
      </c>
      <c r="E21" s="12"/>
    </row>
    <row r="22" spans="1:10" ht="18.75" customHeight="1">
      <c r="A22" s="8" t="s">
        <v>122</v>
      </c>
      <c r="B22" s="182" t="s">
        <v>123</v>
      </c>
      <c r="C22" s="182"/>
      <c r="D22" s="182"/>
      <c r="E22" s="182"/>
    </row>
    <row r="23" spans="1:10" ht="180" customHeight="1">
      <c r="A23" s="15"/>
      <c r="B23" s="16"/>
      <c r="C23" s="160" t="s">
        <v>124</v>
      </c>
      <c r="D23" s="161"/>
      <c r="E23" s="162"/>
    </row>
    <row r="24" spans="1:10" ht="7.5" customHeight="1">
      <c r="A24" s="15"/>
      <c r="B24" s="15"/>
      <c r="C24" s="15"/>
      <c r="D24" s="15"/>
      <c r="E24" s="15"/>
    </row>
    <row r="25" spans="1:10" ht="18.75" customHeight="1">
      <c r="A25" s="17" t="s">
        <v>125</v>
      </c>
      <c r="B25" s="165" t="s">
        <v>126</v>
      </c>
      <c r="C25" s="166"/>
      <c r="D25" s="166"/>
      <c r="E25" s="166"/>
    </row>
    <row r="26" spans="1:10" ht="180" customHeight="1">
      <c r="A26" s="15"/>
      <c r="B26" s="16"/>
      <c r="C26" s="160" t="s">
        <v>127</v>
      </c>
      <c r="D26" s="161"/>
      <c r="E26" s="162"/>
    </row>
    <row r="27" spans="1:10" ht="7.5" customHeight="1">
      <c r="A27" s="18"/>
      <c r="B27" s="18"/>
      <c r="C27" s="18"/>
      <c r="D27" s="18"/>
      <c r="E27" s="18"/>
    </row>
    <row r="28" spans="1:10" ht="18.75" customHeight="1">
      <c r="A28" s="8" t="s">
        <v>128</v>
      </c>
      <c r="B28" s="182" t="s">
        <v>129</v>
      </c>
      <c r="C28" s="183"/>
      <c r="D28" s="183"/>
      <c r="E28" s="182"/>
    </row>
    <row r="29" spans="1:10" s="12" customFormat="1" ht="18.75" customHeight="1">
      <c r="B29" s="25"/>
      <c r="C29" s="21" t="s">
        <v>130</v>
      </c>
      <c r="D29" s="30">
        <f>IFERROR('様式２ 履修者等数の実績'!T30, "（様式２より自動転記）")</f>
        <v>5.5882352941176473E-2</v>
      </c>
      <c r="E29" s="26"/>
      <c r="F29" s="8"/>
      <c r="I29" s="8"/>
      <c r="J29" s="20"/>
    </row>
    <row r="30" spans="1:10" s="12" customFormat="1" ht="18.75" customHeight="1">
      <c r="B30" s="25"/>
      <c r="C30" s="21" t="s">
        <v>131</v>
      </c>
      <c r="D30" s="30">
        <v>0.1</v>
      </c>
      <c r="E30" s="26"/>
      <c r="F30" s="8"/>
      <c r="I30" s="8"/>
      <c r="J30" s="20"/>
    </row>
    <row r="31" spans="1:10" s="12" customFormat="1" ht="18.75" customHeight="1">
      <c r="B31" s="25"/>
      <c r="C31" s="21" t="s">
        <v>132</v>
      </c>
      <c r="D31" s="30">
        <v>0.25</v>
      </c>
      <c r="E31" s="26"/>
      <c r="F31" s="8"/>
      <c r="I31" s="8"/>
      <c r="J31" s="20"/>
    </row>
    <row r="32" spans="1:10" s="12" customFormat="1" ht="18.75" customHeight="1">
      <c r="B32" s="22"/>
      <c r="C32" s="19" t="s">
        <v>133</v>
      </c>
      <c r="D32" s="30">
        <v>0.5</v>
      </c>
      <c r="E32" s="27"/>
      <c r="F32" s="8"/>
      <c r="I32" s="8"/>
      <c r="J32" s="20"/>
    </row>
    <row r="33" spans="1:11" s="12" customFormat="1" ht="18.75" customHeight="1">
      <c r="B33" s="22"/>
      <c r="C33" s="19" t="s">
        <v>134</v>
      </c>
      <c r="D33" s="30">
        <v>0.75</v>
      </c>
      <c r="E33" s="27"/>
      <c r="F33" s="8"/>
      <c r="I33" s="8"/>
      <c r="J33" s="20"/>
    </row>
    <row r="34" spans="1:11" ht="18.75" customHeight="1">
      <c r="A34" s="8"/>
      <c r="B34" s="164" t="s">
        <v>135</v>
      </c>
      <c r="C34" s="164"/>
      <c r="D34" s="164"/>
      <c r="E34" s="164"/>
      <c r="J34" s="20"/>
      <c r="K34" s="12"/>
    </row>
    <row r="35" spans="1:11" ht="180" customHeight="1">
      <c r="A35" s="8"/>
      <c r="B35" s="16"/>
      <c r="C35" s="160" t="s">
        <v>136</v>
      </c>
      <c r="D35" s="161"/>
      <c r="E35" s="162"/>
      <c r="J35" s="20"/>
      <c r="K35" s="12"/>
    </row>
    <row r="36" spans="1:11" ht="7.5" customHeight="1">
      <c r="A36" s="15"/>
      <c r="B36" s="15"/>
      <c r="C36" s="15"/>
      <c r="D36" s="15"/>
      <c r="E36" s="15"/>
    </row>
    <row r="37" spans="1:11" ht="18.75" customHeight="1">
      <c r="A37" s="17" t="s">
        <v>137</v>
      </c>
      <c r="B37" s="182" t="s">
        <v>138</v>
      </c>
      <c r="C37" s="183"/>
      <c r="D37" s="183"/>
      <c r="E37" s="183"/>
    </row>
    <row r="38" spans="1:11" ht="180" customHeight="1">
      <c r="A38" s="18"/>
      <c r="B38" s="16"/>
      <c r="C38" s="160" t="s">
        <v>139</v>
      </c>
      <c r="D38" s="161"/>
      <c r="E38" s="162"/>
    </row>
    <row r="39" spans="1:11" ht="7.5" customHeight="1">
      <c r="A39" s="18"/>
      <c r="B39" s="18"/>
      <c r="C39" s="18"/>
      <c r="D39" s="18"/>
      <c r="E39" s="18"/>
    </row>
    <row r="40" spans="1:11" ht="18.75" customHeight="1">
      <c r="A40" s="8" t="s">
        <v>140</v>
      </c>
      <c r="B40" s="182" t="s">
        <v>141</v>
      </c>
      <c r="C40" s="183"/>
      <c r="D40" s="183"/>
      <c r="E40" s="183"/>
    </row>
    <row r="41" spans="1:11" ht="180" customHeight="1">
      <c r="A41" s="8"/>
      <c r="B41" s="16"/>
      <c r="C41" s="160" t="s">
        <v>142</v>
      </c>
      <c r="D41" s="161"/>
      <c r="E41" s="162"/>
    </row>
    <row r="42" spans="1:11" ht="7.5" customHeight="1">
      <c r="A42" s="18"/>
      <c r="B42" s="18"/>
      <c r="C42" s="18"/>
      <c r="D42" s="18"/>
      <c r="E42" s="18"/>
    </row>
    <row r="43" spans="1:11" ht="18.75" customHeight="1">
      <c r="A43" s="8" t="s">
        <v>143</v>
      </c>
      <c r="B43" s="182" t="s">
        <v>144</v>
      </c>
      <c r="C43" s="183"/>
      <c r="D43" s="183"/>
      <c r="E43" s="183"/>
    </row>
    <row r="44" spans="1:11" ht="180" customHeight="1">
      <c r="A44" s="8"/>
      <c r="B44" s="16"/>
      <c r="C44" s="160" t="s">
        <v>145</v>
      </c>
      <c r="D44" s="161"/>
      <c r="E44" s="162"/>
    </row>
    <row r="45" spans="1:11" ht="7.5" customHeight="1">
      <c r="A45" s="18"/>
      <c r="B45" s="18"/>
      <c r="C45" s="18" t="s">
        <v>146</v>
      </c>
      <c r="D45" s="18"/>
      <c r="E45" s="18"/>
    </row>
    <row r="46" spans="1:11" ht="18.75" customHeight="1">
      <c r="A46" s="8" t="s">
        <v>147</v>
      </c>
      <c r="B46" s="182" t="s">
        <v>148</v>
      </c>
      <c r="C46" s="182"/>
      <c r="D46" s="182"/>
      <c r="E46" s="182"/>
    </row>
    <row r="47" spans="1:11" ht="180" customHeight="1">
      <c r="A47" s="18"/>
      <c r="B47" s="16"/>
      <c r="C47" s="160" t="s">
        <v>149</v>
      </c>
      <c r="D47" s="161"/>
      <c r="E47" s="162"/>
    </row>
    <row r="48" spans="1:11" ht="7.5" customHeight="1">
      <c r="A48" s="18"/>
      <c r="B48" s="23"/>
      <c r="C48" s="23"/>
      <c r="D48" s="23"/>
      <c r="E48" s="23"/>
    </row>
    <row r="49" spans="1:5" ht="18.75" customHeight="1">
      <c r="A49" s="8"/>
      <c r="B49" s="163"/>
      <c r="C49" s="163"/>
      <c r="D49" s="163"/>
      <c r="E49" s="163"/>
    </row>
    <row r="50" spans="1:5" ht="18.75" customHeight="1">
      <c r="A50" s="8"/>
      <c r="B50" s="163"/>
      <c r="C50" s="163"/>
      <c r="D50" s="163"/>
      <c r="E50" s="163"/>
    </row>
    <row r="51" spans="1:5" ht="18.75" customHeight="1">
      <c r="A51" s="18"/>
      <c r="B51" s="16"/>
      <c r="C51" s="16"/>
      <c r="D51" s="16"/>
      <c r="E51" s="24"/>
    </row>
    <row r="52" spans="1:5" ht="18.75" customHeight="1">
      <c r="A52" s="18"/>
      <c r="B52" s="24"/>
      <c r="C52" s="24"/>
      <c r="D52" s="24"/>
      <c r="E52" s="24"/>
    </row>
    <row r="53" spans="1:5" ht="18.75" customHeight="1">
      <c r="A53" s="18"/>
      <c r="B53" s="24"/>
      <c r="C53" s="24"/>
      <c r="D53" s="24"/>
      <c r="E53" s="24"/>
    </row>
    <row r="54" spans="1:5" ht="18.75" customHeight="1">
      <c r="A54" s="18"/>
      <c r="B54" s="24"/>
      <c r="C54" s="24"/>
      <c r="D54" s="24"/>
      <c r="E54" s="24"/>
    </row>
    <row r="55" spans="1:5" ht="18.75" customHeight="1">
      <c r="A55" s="18"/>
      <c r="B55" s="24"/>
      <c r="C55" s="24"/>
      <c r="D55" s="24"/>
      <c r="E55" s="24"/>
    </row>
    <row r="56" spans="1:5" ht="18.75" customHeight="1">
      <c r="A56" s="18"/>
      <c r="B56" s="24"/>
      <c r="C56" s="24"/>
      <c r="D56" s="24"/>
      <c r="E56" s="24"/>
    </row>
    <row r="57" spans="1:5" ht="18.75" customHeight="1">
      <c r="A57" s="18"/>
      <c r="B57" s="24"/>
      <c r="C57" s="24"/>
      <c r="D57" s="24"/>
      <c r="E57" s="24"/>
    </row>
    <row r="58" spans="1:5" ht="18.75" customHeight="1">
      <c r="A58" s="18"/>
      <c r="B58" s="24"/>
      <c r="C58" s="24"/>
      <c r="D58" s="24"/>
      <c r="E58" s="24"/>
    </row>
    <row r="59" spans="1:5" ht="18.75" customHeight="1">
      <c r="A59" s="18"/>
      <c r="B59" s="24"/>
      <c r="C59" s="24"/>
      <c r="D59" s="24"/>
      <c r="E59" s="24"/>
    </row>
    <row r="60" spans="1:5" ht="18.75" customHeight="1">
      <c r="A60" s="18"/>
      <c r="B60" s="24"/>
      <c r="C60" s="24"/>
      <c r="D60" s="24"/>
      <c r="E60" s="24"/>
    </row>
    <row r="61" spans="1:5" ht="14.45">
      <c r="A61" s="18"/>
      <c r="B61" s="24"/>
      <c r="C61" s="24"/>
      <c r="D61" s="24"/>
      <c r="E61" s="24"/>
    </row>
    <row r="62" spans="1:5" ht="7.5" customHeight="1">
      <c r="A62" s="18"/>
      <c r="B62" s="24"/>
      <c r="C62" s="24"/>
      <c r="D62" s="24"/>
      <c r="E62" s="24"/>
    </row>
  </sheetData>
  <mergeCells count="22">
    <mergeCell ref="B49:E50"/>
    <mergeCell ref="A3:E3"/>
    <mergeCell ref="B46:E46"/>
    <mergeCell ref="B34:E34"/>
    <mergeCell ref="C23:E23"/>
    <mergeCell ref="B22:E22"/>
    <mergeCell ref="B5:E5"/>
    <mergeCell ref="B9:E9"/>
    <mergeCell ref="B12:E12"/>
    <mergeCell ref="B16:E16"/>
    <mergeCell ref="B19:E19"/>
    <mergeCell ref="C44:E44"/>
    <mergeCell ref="C47:E47"/>
    <mergeCell ref="B25:E25"/>
    <mergeCell ref="B28:E28"/>
    <mergeCell ref="B37:E37"/>
    <mergeCell ref="B40:E40"/>
    <mergeCell ref="B43:E43"/>
    <mergeCell ref="C26:E26"/>
    <mergeCell ref="C35:E35"/>
    <mergeCell ref="C38:E38"/>
    <mergeCell ref="C41:E41"/>
  </mergeCells>
  <phoneticPr fontId="1"/>
  <dataValidations count="1">
    <dataValidation type="whole" allowBlank="1" showInputMessage="1" showErrorMessage="1" sqref="C6:C7 C10" xr:uid="{C20E7A5C-3EF3-4A55-9291-CF0F3C682841}">
      <formula1>0</formula1>
      <formula2>99999</formula2>
    </dataValidation>
  </dataValidations>
  <printOptions horizontalCentered="1"/>
  <pageMargins left="0.59055118110236227" right="0.59055118110236227" top="0.78740157480314965" bottom="0.39370078740157483" header="0.31496062992125984" footer="0.19685039370078741"/>
  <pageSetup paperSize="9" fitToHeight="0" orientation="portrait" r:id="rId1"/>
  <rowBreaks count="2" manualBreakCount="2">
    <brk id="27" max="8" man="1"/>
    <brk id="4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codeName="Sheet4">
    <pageSetUpPr fitToPage="1"/>
  </sheetPr>
  <dimension ref="A1:E29"/>
  <sheetViews>
    <sheetView showZeros="0" view="pageBreakPreview" topLeftCell="A15" zoomScaleNormal="100" zoomScaleSheetLayoutView="100" workbookViewId="0">
      <selection activeCell="G13" sqref="G13"/>
    </sheetView>
  </sheetViews>
  <sheetFormatPr defaultColWidth="11.28515625" defaultRowHeight="22.5" customHeight="1"/>
  <cols>
    <col min="1" max="1" width="5.85546875" style="8" customWidth="1"/>
    <col min="2" max="2" width="7.28515625" style="8" customWidth="1"/>
    <col min="3" max="3" width="31.140625" style="8" customWidth="1"/>
    <col min="4" max="4" width="77.140625" style="8" customWidth="1"/>
    <col min="5" max="5" width="7.7109375" style="8" bestFit="1" customWidth="1"/>
    <col min="6" max="16384" width="11.28515625" style="8"/>
  </cols>
  <sheetData>
    <row r="1" spans="1:5" ht="18.75" customHeight="1">
      <c r="A1" s="8" t="s">
        <v>150</v>
      </c>
      <c r="E1" s="9" t="s">
        <v>151</v>
      </c>
    </row>
    <row r="2" spans="1:5" ht="18.75" customHeight="1">
      <c r="A2" s="149" t="s">
        <v>152</v>
      </c>
      <c r="B2" s="149"/>
      <c r="C2" s="149"/>
      <c r="D2" s="149"/>
      <c r="E2" s="149"/>
    </row>
    <row r="3" spans="1:5" ht="18.75" customHeight="1">
      <c r="A3" s="11"/>
      <c r="B3" s="11"/>
      <c r="C3" s="11"/>
      <c r="D3" s="11"/>
    </row>
    <row r="4" spans="1:5" ht="18.75" customHeight="1">
      <c r="A4" s="12" t="s">
        <v>101</v>
      </c>
      <c r="B4" s="167" t="s">
        <v>153</v>
      </c>
      <c r="C4" s="167"/>
      <c r="D4" s="107" t="s">
        <v>154</v>
      </c>
    </row>
    <row r="5" spans="1:5" ht="9" customHeight="1">
      <c r="A5" s="11"/>
      <c r="B5" s="10"/>
      <c r="C5" s="10"/>
      <c r="D5" s="10"/>
    </row>
    <row r="6" spans="1:5" ht="18.75" customHeight="1">
      <c r="A6" s="172" t="s">
        <v>110</v>
      </c>
      <c r="B6" s="173"/>
      <c r="C6" s="67" t="s">
        <v>155</v>
      </c>
    </row>
    <row r="7" spans="1:5" ht="18.75" customHeight="1">
      <c r="A7" s="172" t="s">
        <v>112</v>
      </c>
      <c r="B7" s="173"/>
      <c r="C7" s="67" t="s">
        <v>156</v>
      </c>
      <c r="D7" s="10"/>
    </row>
    <row r="8" spans="1:5" ht="7.5" customHeight="1">
      <c r="A8" s="11"/>
      <c r="B8" s="11"/>
      <c r="C8" s="11"/>
      <c r="D8" s="11"/>
    </row>
    <row r="9" spans="1:5" ht="18.75" customHeight="1">
      <c r="A9" s="12" t="s">
        <v>106</v>
      </c>
      <c r="B9" s="8" t="s">
        <v>157</v>
      </c>
      <c r="C9" s="18"/>
      <c r="D9" s="18"/>
    </row>
    <row r="10" spans="1:5" ht="18.75" customHeight="1">
      <c r="B10" s="142" t="s">
        <v>158</v>
      </c>
      <c r="C10" s="171"/>
      <c r="D10" s="31" t="s">
        <v>159</v>
      </c>
    </row>
    <row r="11" spans="1:5" ht="19.149999999999999" customHeight="1">
      <c r="B11" s="184" t="s">
        <v>160</v>
      </c>
      <c r="C11" s="185"/>
      <c r="D11" s="186"/>
    </row>
    <row r="12" spans="1:5" ht="198" customHeight="1">
      <c r="B12" s="33"/>
      <c r="C12" s="34" t="s">
        <v>161</v>
      </c>
      <c r="D12" s="53" t="s">
        <v>162</v>
      </c>
    </row>
    <row r="13" spans="1:5" ht="198" customHeight="1">
      <c r="B13" s="33"/>
      <c r="C13" s="35" t="s">
        <v>163</v>
      </c>
      <c r="D13" s="53" t="s">
        <v>164</v>
      </c>
    </row>
    <row r="14" spans="1:5" ht="198" customHeight="1">
      <c r="B14" s="33"/>
      <c r="C14" s="34" t="s">
        <v>165</v>
      </c>
      <c r="D14" s="53" t="s">
        <v>166</v>
      </c>
    </row>
    <row r="15" spans="1:5" ht="198" customHeight="1">
      <c r="B15" s="33"/>
      <c r="C15" s="34" t="s">
        <v>167</v>
      </c>
      <c r="D15" s="53" t="s">
        <v>168</v>
      </c>
    </row>
    <row r="16" spans="1:5" ht="198" customHeight="1">
      <c r="B16" s="36"/>
      <c r="C16" s="37" t="s">
        <v>169</v>
      </c>
      <c r="D16" s="54" t="s">
        <v>170</v>
      </c>
    </row>
    <row r="17" spans="2:4" ht="19.149999999999999" customHeight="1">
      <c r="B17" s="32" t="s">
        <v>171</v>
      </c>
      <c r="C17" s="38"/>
      <c r="D17" s="39"/>
    </row>
    <row r="18" spans="2:4" ht="198" customHeight="1">
      <c r="B18" s="33"/>
      <c r="C18" s="34" t="s">
        <v>172</v>
      </c>
      <c r="D18" s="53" t="s">
        <v>173</v>
      </c>
    </row>
    <row r="19" spans="2:4" ht="198" customHeight="1">
      <c r="B19" s="36"/>
      <c r="C19" s="37" t="s">
        <v>174</v>
      </c>
      <c r="D19" s="54" t="s">
        <v>175</v>
      </c>
    </row>
    <row r="20" spans="2:4" ht="198" customHeight="1">
      <c r="B20" s="169" t="s">
        <v>176</v>
      </c>
      <c r="C20" s="170"/>
      <c r="D20" s="55" t="s">
        <v>177</v>
      </c>
    </row>
    <row r="21" spans="2:4" ht="198" customHeight="1">
      <c r="B21" s="168" t="s">
        <v>178</v>
      </c>
      <c r="C21" s="166"/>
      <c r="D21" s="56" t="s">
        <v>179</v>
      </c>
    </row>
    <row r="22" spans="2:4" ht="22.5" customHeight="1">
      <c r="B22" s="18"/>
      <c r="C22" s="18"/>
      <c r="D22" s="18"/>
    </row>
    <row r="23" spans="2:4" ht="22.5" customHeight="1">
      <c r="B23" s="18"/>
      <c r="C23" s="18"/>
      <c r="D23" s="18"/>
    </row>
    <row r="24" spans="2:4" ht="22.5" customHeight="1">
      <c r="B24" s="18"/>
      <c r="C24" s="18"/>
      <c r="D24" s="18"/>
    </row>
    <row r="25" spans="2:4" ht="22.5" customHeight="1">
      <c r="B25" s="18"/>
      <c r="C25" s="18"/>
      <c r="D25" s="18"/>
    </row>
    <row r="26" spans="2:4" ht="22.5" customHeight="1">
      <c r="B26" s="18"/>
      <c r="C26" s="18"/>
      <c r="D26" s="18"/>
    </row>
    <row r="27" spans="2:4" ht="22.5" customHeight="1">
      <c r="B27" s="15"/>
      <c r="C27" s="15"/>
      <c r="D27" s="15"/>
    </row>
    <row r="28" spans="2:4" ht="22.5" customHeight="1">
      <c r="B28" s="15"/>
      <c r="C28" s="15"/>
      <c r="D28" s="15"/>
    </row>
    <row r="29" spans="2:4" ht="22.5" customHeight="1">
      <c r="B29" s="15"/>
      <c r="C29" s="15"/>
      <c r="D29" s="15"/>
    </row>
  </sheetData>
  <mergeCells count="8">
    <mergeCell ref="A2:E2"/>
    <mergeCell ref="B4:C4"/>
    <mergeCell ref="B21:C21"/>
    <mergeCell ref="B20:C20"/>
    <mergeCell ref="B10:C10"/>
    <mergeCell ref="A6:B6"/>
    <mergeCell ref="A7:B7"/>
    <mergeCell ref="B11:D11"/>
  </mergeCells>
  <phoneticPr fontId="1"/>
  <printOptions horizontalCentered="1"/>
  <pageMargins left="0.78740157480314965" right="0.78740157480314965" top="0.78740157480314965" bottom="0.59055118110236227" header="0.31496062992125984" footer="0.31496062992125984"/>
  <pageSetup paperSize="9" scale="67" fitToHeight="0" orientation="portrait" r:id="rId1"/>
  <rowBreaks count="1" manualBreakCount="1">
    <brk id="16" max="5"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6A13E276DF847247B92CE9128CAA7B67" ma:contentTypeVersion="3" ma:contentTypeDescription="新しいドキュメントを作成します。" ma:contentTypeScope="" ma:versionID="a74eeec250ca8d1308f14a6d65835b8e">
  <xsd:schema xmlns:xsd="http://www.w3.org/2001/XMLSchema" xmlns:xs="http://www.w3.org/2001/XMLSchema" xmlns:p="http://schemas.microsoft.com/office/2006/metadata/properties" xmlns:ns2="a73cce44-60c6-4baa-a8dc-db5bfd7dd762" targetNamespace="http://schemas.microsoft.com/office/2006/metadata/properties" ma:root="true" ma:fieldsID="1a9c5ed6376aff69fce9cff716eff133" ns2:_="">
    <xsd:import namespace="a73cce44-60c6-4baa-a8dc-db5bfd7dd76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3cce44-60c6-4baa-a8dc-db5bfd7dd7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BF6AA9B-6459-4FB0-B1C1-FEAB73E10911}"/>
</file>

<file path=customXml/itemProps2.xml><?xml version="1.0" encoding="utf-8"?>
<ds:datastoreItem xmlns:ds="http://schemas.openxmlformats.org/officeDocument/2006/customXml" ds:itemID="{B12F99A9-032A-4F49-B963-D045F3A55756}"/>
</file>

<file path=customXml/itemProps3.xml><?xml version="1.0" encoding="utf-8"?>
<ds:datastoreItem xmlns:ds="http://schemas.openxmlformats.org/officeDocument/2006/customXml" ds:itemID="{84A79C8B-4956-45AF-AEAF-F4A076580DF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森清</cp:lastModifiedBy>
  <cp:revision/>
  <dcterms:created xsi:type="dcterms:W3CDTF">2025-10-09T06:43:13Z</dcterms:created>
  <dcterms:modified xsi:type="dcterms:W3CDTF">2025-11-13T02:16:04Z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2025-10-09T06:43:26Z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3a091721-34b5-418c-aac0-afbae51c0c5b</vt:lpwstr>
  </property>
  <property fmtid="{D5CDD505-2E9C-101B-9397-08002B2CF9AE}" pid="8" name="MSIP_Label_d899a617-f30e-4fb8-b81c-fb6d0b94ac5b_ContentBits">
    <vt:lpwstr>0</vt:lpwstr>
  </property>
  <property fmtid="{D5CDD505-2E9C-101B-9397-08002B2CF9AE}" pid="9" name="MSIP_Label_d899a617-f30e-4fb8-b81c-fb6d0b94ac5b_Tag">
    <vt:lpwstr>10, 3, 0, 1</vt:lpwstr>
  </property>
  <property fmtid="{D5CDD505-2E9C-101B-9397-08002B2CF9AE}" pid="10" name="ContentTypeId">
    <vt:lpwstr>0x0101006A13E276DF847247B92CE9128CAA7B67</vt:lpwstr>
  </property>
</Properties>
</file>