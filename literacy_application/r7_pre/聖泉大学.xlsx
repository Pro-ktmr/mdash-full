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codeName="ThisWorkbook" defaultThemeVersion="124226"/>
  <xr:revisionPtr revIDLastSave="0" documentId="13_ncr:1_{5A39AEF5-8251-4AC9-AF99-AC6567F34A65}" xr6:coauthVersionLast="47" xr6:coauthVersionMax="47" xr10:uidLastSave="{00000000-0000-0000-0000-000000000000}"/>
  <bookViews>
    <workbookView xWindow="-120" yWindow="-120" windowWidth="29040" windowHeight="15720" tabRatio="885" activeTab="3"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構成する授業科目'!$A$1:$Z$70</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10" i="40" l="1"/>
  <c r="S10" i="40"/>
  <c r="S11" i="40"/>
  <c r="S12" i="40" l="1"/>
  <c r="S13" i="40"/>
  <c r="S14" i="40"/>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<sst xmlns="http://schemas.openxmlformats.org/spreadsheetml/2006/main" count="224" uniqueCount="180">
  <si>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</si>
  <si>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</si>
  <si>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</si>
  <si>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</si>
  <si>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</si>
  <si>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</si>
  <si>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</si>
  <si>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</si>
  <si>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</si>
  <si>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</si>
  <si>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</si>
  <si>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</si>
  <si>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</si>
  <si>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</si>
  <si>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</si>
  <si>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</si>
  <si>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</si>
  <si>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</si>
  <si>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</si>
  <si>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</si>
  <si>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</si>
  <si>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</si>
  <si>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</si>
  <si>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</si>
  <si>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</si>
  <si>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</si>
  <si>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</si>
  <si>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</si>
  <si>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</si>
  <si>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</si>
  <si>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</si>
  <si>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</si>
  <si>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</si>
  <si>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</si>
  <si>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</si>
  <si>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</si>
  <si>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</si>
  <si>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</si>
  <si>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</si>
  <si>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</si>
  <si>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</si>
  <si>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</si>
  <si>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</si>
  <si>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</si>
  <si>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</si>
  <si>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</si>
  <si>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</si>
  <si>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</si>
  <si>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</si>
  <si>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</si>
  <si>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</si>
  <si>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</si>
  <si>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</si>
  <si>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</si>
  <si>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</si>
  <si>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</si>
  <si>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</si>
  <si>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</si>
  <si>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</si>
  <si>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</si>
  <si>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</si>
  <si>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</si>
  <si>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</si>
  <si>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</si>
  <si>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</si>
  <si>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</si>
  <si>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</si>
  <si>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</si>
  <si>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</si>
  <si>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</si>
  <si>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</si>
  <si>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</si>
  <si>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</si>
  <si>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</si>
  <si>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</si>
  <si>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</si>
  <si>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</si>
  <si>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</si>
  <si>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</si>
  <si>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</si>
  <si>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</si>
  <si>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</si>
  <si>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</si>
  <si>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</si>
  <si>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</si>
  <si>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</si>
  <si>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</si>
  <si>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</si>
  <si>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</si>
  <si>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</si>
  <si>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</si>
  <si>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</si>
  <si>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</si>
  <si>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</si>
  <si>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</si>
  <si>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</si>
  <si>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</si>
  <si>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</si>
  <si>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</si>
  <si>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</si>
  <si>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</si>
  <si>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</si>
  <si>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</si>
  <si>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</si>
  <si>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</si>
  <si>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</si>
  <si>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</si>
  <si>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</si>
  <si>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</si>
  <si>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</si>
  <si>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</si>
  <si>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</si>
  <si>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</si>
  <si>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</si>
  <si>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</si>
  <si>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</si>
  <si>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</si>
  <si>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</si>
  <si>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</si>
  <si>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</si>
  <si>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</si>
  <si>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</si>
  <si>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</si>
  <si>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</si>
  <si>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</si>
  <si>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</si>
  <si>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</si>
  <si>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</si>
  <si>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</si>
  <si>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聖泉大学</t>
    <rPh sb="0" eb="4">
      <t>セイセンダイガク</t>
    </rPh>
    <phoneticPr fontId="1"/>
  </si>
  <si>
    <t>聖泉大学データサイエンス・AI教育プログラム</t>
    <rPh sb="0" eb="4">
      <t>セイセンダイガク</t>
    </rPh>
    <rPh sb="15" eb="17">
      <t>キョウイク</t>
    </rPh>
    <phoneticPr fontId="1"/>
  </si>
  <si>
    <t>学部・学科によって、修了要件は相違しない</t>
  </si>
  <si>
    <t>令和９年度までに履修必須とする計画</t>
  </si>
  <si>
    <t>「情報処理入門（1単位）」「情報処理演習（1単位）」を修得すること</t>
    <rPh sb="1" eb="3">
      <t>ジョウホウ</t>
    </rPh>
    <rPh sb="3" eb="7">
      <t>ショリニュウモン</t>
    </rPh>
    <rPh sb="9" eb="11">
      <t>タンイ</t>
    </rPh>
    <rPh sb="14" eb="16">
      <t>ジョウホウ</t>
    </rPh>
    <rPh sb="16" eb="18">
      <t>ショリ</t>
    </rPh>
    <rPh sb="18" eb="20">
      <t>エンシュウ</t>
    </rPh>
    <rPh sb="22" eb="24">
      <t>タンイ</t>
    </rPh>
    <rPh sb="27" eb="29">
      <t>シュウトク</t>
    </rPh>
    <phoneticPr fontId="1"/>
  </si>
  <si>
    <t>情報処理入門</t>
    <rPh sb="0" eb="2">
      <t>ジョウホウ</t>
    </rPh>
    <rPh sb="2" eb="4">
      <t>ショリ</t>
    </rPh>
    <rPh sb="4" eb="6">
      <t>ニュウモン</t>
    </rPh>
    <phoneticPr fontId="1"/>
  </si>
  <si>
    <t>情報処理演習</t>
    <rPh sb="0" eb="2">
      <t>ジョウホウ</t>
    </rPh>
    <rPh sb="2" eb="6">
      <t>ショリエンシュウ</t>
    </rPh>
    <phoneticPr fontId="1"/>
  </si>
  <si>
    <t>令和6</t>
    <rPh sb="0" eb="2">
      <t>レイワ</t>
    </rPh>
    <phoneticPr fontId="1"/>
  </si>
  <si>
    <t>看護学部看護学科</t>
    <rPh sb="0" eb="4">
      <t>カンゴガクブ</t>
    </rPh>
    <rPh sb="4" eb="8">
      <t>カンゴガッカ</t>
    </rPh>
    <phoneticPr fontId="1"/>
  </si>
  <si>
    <t>看</t>
    <rPh sb="0" eb="1">
      <t>カン</t>
    </rPh>
    <phoneticPr fontId="1"/>
  </si>
  <si>
    <t>非常勤</t>
    <rPh sb="0" eb="1">
      <t>ヒ</t>
    </rPh>
    <rPh sb="1" eb="3">
      <t>ジョウキン</t>
    </rPh>
    <phoneticPr fontId="1"/>
  </si>
  <si>
    <t>看護</t>
    <rPh sb="0" eb="2">
      <t>カンゴ</t>
    </rPh>
    <phoneticPr fontId="1"/>
  </si>
  <si>
    <t>人間</t>
    <rPh sb="0" eb="2">
      <t>ニンゲン</t>
    </rPh>
    <phoneticPr fontId="1"/>
  </si>
  <si>
    <t>古川　智恵</t>
    <rPh sb="0" eb="2">
      <t>フルカワ</t>
    </rPh>
    <rPh sb="3" eb="5">
      <t>チエ</t>
    </rPh>
    <phoneticPr fontId="1"/>
  </si>
  <si>
    <t>委員長</t>
    <rPh sb="0" eb="3">
      <t>イインチョウ</t>
    </rPh>
    <phoneticPr fontId="1"/>
  </si>
  <si>
    <t>データサイエンス・AI教育プログラム推進委員会</t>
    <rPh sb="11" eb="13">
      <t>キョウイク</t>
    </rPh>
    <rPh sb="18" eb="20">
      <t>スイシン</t>
    </rPh>
    <rPh sb="20" eb="23">
      <t>イインカイ</t>
    </rPh>
    <phoneticPr fontId="1"/>
  </si>
  <si>
    <t>学校基本調査</t>
    <rPh sb="0" eb="2">
      <t>ガッコウ</t>
    </rPh>
    <rPh sb="2" eb="6">
      <t>キホンチョウサ</t>
    </rPh>
    <phoneticPr fontId="1"/>
  </si>
  <si>
    <t>人</t>
    <rPh sb="0" eb="1">
      <t>ニン</t>
    </rPh>
    <phoneticPr fontId="1"/>
  </si>
  <si>
    <t>データサイエンス・AI教育プログラム推進委員会規程</t>
    <rPh sb="11" eb="13">
      <t>キョウイク</t>
    </rPh>
    <rPh sb="18" eb="20">
      <t>スイシン</t>
    </rPh>
    <rPh sb="20" eb="23">
      <t>イインカイ</t>
    </rPh>
    <rPh sb="23" eb="25">
      <t>キテイ</t>
    </rPh>
    <phoneticPr fontId="1"/>
  </si>
  <si>
    <t>Society5.0時代において活躍できる人材を育成するために、学生のデータサイエンス・AIへの興味・関心を高め、それらを適切に理解した上で、身に付けた基礎的な素養・能力を、実社会における課題解決の手段として活用できるよう、データリテラシーを学習する体制の構築を目的とする。この目的を体系的に推進するために、データサイエンス・ＡＩ教育プログラム推進委員会を設立し、その規程に基づき、当プログラムの改善・進化に向けて協議を重ね、より充実した教育プログラムの実現に努める。</t>
    <rPh sb="10" eb="12">
      <t>ジダイ</t>
    </rPh>
    <rPh sb="16" eb="18">
      <t>カツヤク</t>
    </rPh>
    <rPh sb="21" eb="23">
      <t>ジンザイ</t>
    </rPh>
    <rPh sb="24" eb="26">
      <t>イクセイ</t>
    </rPh>
    <rPh sb="32" eb="34">
      <t>ガクセイ</t>
    </rPh>
    <rPh sb="48" eb="50">
      <t>キョウミ</t>
    </rPh>
    <rPh sb="51" eb="53">
      <t>カンシン</t>
    </rPh>
    <rPh sb="54" eb="55">
      <t>タカ</t>
    </rPh>
    <rPh sb="61" eb="63">
      <t>テキセツ</t>
    </rPh>
    <rPh sb="64" eb="66">
      <t>リカイ</t>
    </rPh>
    <rPh sb="68" eb="69">
      <t>ウエ</t>
    </rPh>
    <rPh sb="71" eb="72">
      <t>ミ</t>
    </rPh>
    <rPh sb="73" eb="74">
      <t>ツ</t>
    </rPh>
    <rPh sb="76" eb="79">
      <t>キソテキ</t>
    </rPh>
    <rPh sb="80" eb="82">
      <t>ソヨウ</t>
    </rPh>
    <rPh sb="83" eb="85">
      <t>ノウリョク</t>
    </rPh>
    <rPh sb="87" eb="90">
      <t>ジッシャカイ</t>
    </rPh>
    <rPh sb="94" eb="96">
      <t>カダイ</t>
    </rPh>
    <rPh sb="96" eb="98">
      <t>カイケツ</t>
    </rPh>
    <rPh sb="99" eb="101">
      <t>シュダン</t>
    </rPh>
    <rPh sb="104" eb="106">
      <t>カツヨウ</t>
    </rPh>
    <rPh sb="121" eb="123">
      <t>ガクシュウ</t>
    </rPh>
    <rPh sb="125" eb="127">
      <t>タイセイ</t>
    </rPh>
    <rPh sb="128" eb="130">
      <t>コウチク</t>
    </rPh>
    <rPh sb="131" eb="133">
      <t>モクテキ</t>
    </rPh>
    <rPh sb="139" eb="141">
      <t>モクテキ</t>
    </rPh>
    <rPh sb="142" eb="145">
      <t>タイケイテキ</t>
    </rPh>
    <rPh sb="146" eb="148">
      <t>スイシン</t>
    </rPh>
    <rPh sb="165" eb="167">
      <t>キョウイク</t>
    </rPh>
    <rPh sb="172" eb="177">
      <t>スイシンイインカイ</t>
    </rPh>
    <rPh sb="178" eb="180">
      <t>セツリツ</t>
    </rPh>
    <rPh sb="184" eb="186">
      <t>キテイ</t>
    </rPh>
    <rPh sb="187" eb="188">
      <t>モト</t>
    </rPh>
    <rPh sb="191" eb="192">
      <t>トウ</t>
    </rPh>
    <rPh sb="198" eb="200">
      <t>カイゼン</t>
    </rPh>
    <rPh sb="201" eb="203">
      <t>シンカ</t>
    </rPh>
    <rPh sb="204" eb="205">
      <t>ム</t>
    </rPh>
    <rPh sb="207" eb="209">
      <t>キョウギ</t>
    </rPh>
    <rPh sb="210" eb="211">
      <t>カサ</t>
    </rPh>
    <rPh sb="215" eb="217">
      <t>ジュウジツ</t>
    </rPh>
    <rPh sb="219" eb="221">
      <t>キョウイク</t>
    </rPh>
    <rPh sb="227" eb="229">
      <t>ジツゲン</t>
    </rPh>
    <rPh sb="230" eb="231">
      <t>ツト</t>
    </rPh>
    <phoneticPr fontId="1"/>
  </si>
  <si>
    <t>データサイエンス・AI教育プログラム推進委員長　古川　智恵
看護学部　准教授　村井　博子
人間学部　准教授　富川　拓
人間学部　講師　松原　耕平
教務部　教務課長　山川　直美
教務部　教務課　岩渕　亜貴子</t>
    <rPh sb="11" eb="13">
      <t>キョウイク</t>
    </rPh>
    <rPh sb="18" eb="20">
      <t>スイシン</t>
    </rPh>
    <rPh sb="20" eb="23">
      <t>イインチョウ</t>
    </rPh>
    <rPh sb="24" eb="26">
      <t>フルカワ</t>
    </rPh>
    <rPh sb="27" eb="29">
      <t>チエ</t>
    </rPh>
    <rPh sb="30" eb="34">
      <t>カンゴガクブ</t>
    </rPh>
    <rPh sb="35" eb="38">
      <t>ジュンキョウジュ</t>
    </rPh>
    <rPh sb="39" eb="41">
      <t>ムライ</t>
    </rPh>
    <rPh sb="42" eb="44">
      <t>ヒロコ</t>
    </rPh>
    <rPh sb="45" eb="49">
      <t>ニンゲンガクブ</t>
    </rPh>
    <rPh sb="50" eb="53">
      <t>ジュンキョウジュ</t>
    </rPh>
    <rPh sb="54" eb="56">
      <t>トミカワ</t>
    </rPh>
    <rPh sb="57" eb="58">
      <t>タク</t>
    </rPh>
    <rPh sb="59" eb="63">
      <t>ニンゲンガクブ</t>
    </rPh>
    <rPh sb="64" eb="66">
      <t>コウシ</t>
    </rPh>
    <rPh sb="67" eb="69">
      <t>マツバラ</t>
    </rPh>
    <rPh sb="70" eb="72">
      <t>コウヘイ</t>
    </rPh>
    <rPh sb="73" eb="76">
      <t>キョウムブ</t>
    </rPh>
    <rPh sb="77" eb="79">
      <t>キョウム</t>
    </rPh>
    <rPh sb="79" eb="81">
      <t>カチョウ</t>
    </rPh>
    <rPh sb="82" eb="84">
      <t>ヤマカワ</t>
    </rPh>
    <rPh sb="85" eb="87">
      <t>ナオミ</t>
    </rPh>
    <rPh sb="88" eb="91">
      <t>キョウムブ</t>
    </rPh>
    <rPh sb="92" eb="95">
      <t>キョウムカ</t>
    </rPh>
    <rPh sb="96" eb="98">
      <t>イワブチ</t>
    </rPh>
    <rPh sb="99" eb="102">
      <t>アキコ</t>
    </rPh>
    <phoneticPr fontId="1"/>
  </si>
  <si>
    <t>目標を実現するために、令和7年度より、選択科目である「情報処理入門」については履修指導を行い、全学生が履修するように促進している。令和9年度にはカリキュラム改正を検討しており、その際には当科目を必修科目とする計画である。</t>
    <rPh sb="0" eb="2">
      <t>モクヒョウ</t>
    </rPh>
    <rPh sb="3" eb="5">
      <t>ジツゲン</t>
    </rPh>
    <rPh sb="11" eb="13">
      <t>レイワ</t>
    </rPh>
    <rPh sb="14" eb="16">
      <t>ネンド</t>
    </rPh>
    <rPh sb="19" eb="21">
      <t>センタク</t>
    </rPh>
    <rPh sb="21" eb="23">
      <t>カモク</t>
    </rPh>
    <rPh sb="27" eb="29">
      <t>ジョウホウ</t>
    </rPh>
    <rPh sb="29" eb="33">
      <t>ショリニュウモン</t>
    </rPh>
    <rPh sb="39" eb="43">
      <t>リシュウシドウ</t>
    </rPh>
    <rPh sb="44" eb="45">
      <t>オコナ</t>
    </rPh>
    <rPh sb="47" eb="50">
      <t>ゼンガクセイ</t>
    </rPh>
    <rPh sb="51" eb="53">
      <t>リシュウ</t>
    </rPh>
    <rPh sb="58" eb="60">
      <t>ソクシン</t>
    </rPh>
    <rPh sb="65" eb="67">
      <t>レイワ</t>
    </rPh>
    <rPh sb="68" eb="70">
      <t>ネンド</t>
    </rPh>
    <rPh sb="78" eb="80">
      <t>カイセイ</t>
    </rPh>
    <rPh sb="81" eb="83">
      <t>ケントウ</t>
    </rPh>
    <rPh sb="90" eb="91">
      <t>サイ</t>
    </rPh>
    <rPh sb="93" eb="96">
      <t>トウカモク</t>
    </rPh>
    <rPh sb="97" eb="101">
      <t>ヒッシュウカモク</t>
    </rPh>
    <rPh sb="104" eb="106">
      <t>ケイカク</t>
    </rPh>
    <phoneticPr fontId="1"/>
  </si>
  <si>
    <t>本学は、R6年度より人間学部を募集停止とし、看護学部のみの募集となっている。当科目は看護学部科目のため、既に希望する学生全員が受講可能である。</t>
    <rPh sb="0" eb="2">
      <t>ホンガク</t>
    </rPh>
    <rPh sb="6" eb="8">
      <t>ネンド</t>
    </rPh>
    <rPh sb="10" eb="14">
      <t>ニンゲンガクブ</t>
    </rPh>
    <rPh sb="15" eb="17">
      <t>ボシュウ</t>
    </rPh>
    <rPh sb="17" eb="19">
      <t>テイシ</t>
    </rPh>
    <rPh sb="22" eb="26">
      <t>カンゴガクブ</t>
    </rPh>
    <rPh sb="29" eb="31">
      <t>ボシュウ</t>
    </rPh>
    <rPh sb="38" eb="41">
      <t>トウカモク</t>
    </rPh>
    <rPh sb="42" eb="46">
      <t>カンゴガクブ</t>
    </rPh>
    <rPh sb="46" eb="48">
      <t>カモク</t>
    </rPh>
    <rPh sb="52" eb="53">
      <t>スデ</t>
    </rPh>
    <rPh sb="54" eb="56">
      <t>キボウ</t>
    </rPh>
    <rPh sb="58" eb="60">
      <t>ガクセイ</t>
    </rPh>
    <rPh sb="60" eb="62">
      <t>ゼンイン</t>
    </rPh>
    <rPh sb="63" eb="65">
      <t>ジュコウ</t>
    </rPh>
    <rPh sb="65" eb="67">
      <t>カノウ</t>
    </rPh>
    <phoneticPr fontId="1"/>
  </si>
  <si>
    <t>1年生配当科目であるため、入学後のガイダンスや履修登録ガイダンスにおいて学生にプログラムを受講することの意義を周知し、履修を勧めている。また、本学のwebサイトのトップ画面下部にバナーを設置し、プログラム専用ページへのリンクを掲載し、学生が情報を受け取りやすい環境を整備している。</t>
    <phoneticPr fontId="1"/>
  </si>
  <si>
    <t>古川　智恵</t>
    <rPh sb="0" eb="2">
      <t>フルカワ</t>
    </rPh>
    <rPh sb="3" eb="5">
      <t>チエ</t>
    </rPh>
    <phoneticPr fontId="1"/>
  </si>
  <si>
    <t>ﾃﾞｰﾀｻｲｴﾝｽ・AI教育プログラム推進委員長</t>
    <rPh sb="12" eb="14">
      <t>キョウイク</t>
    </rPh>
    <rPh sb="20" eb="23">
      <t>イインチョウ</t>
    </rPh>
    <phoneticPr fontId="1"/>
  </si>
  <si>
    <t>聖泉大学　データサイエンス・AI教育プログラム推進委員会</t>
    <rPh sb="0" eb="4">
      <t>セイセンダイガク</t>
    </rPh>
    <rPh sb="16" eb="18">
      <t>キョウイク</t>
    </rPh>
    <rPh sb="23" eb="25">
      <t>スイシン</t>
    </rPh>
    <rPh sb="25" eb="28">
      <t>イインカイ</t>
    </rPh>
    <phoneticPr fontId="1"/>
  </si>
  <si>
    <t>本教育プログラムが現在進行中のため、現時点では行えていないが、今年度のプログラム修了後のアンケートに「後輩学生に向けた推奨度について」確認をする欄を設ける。その内容を次年度のガイダンス時に周知することで、本プログラムの履修を促していく。</t>
    <rPh sb="9" eb="11">
      <t>ゲンザイ</t>
    </rPh>
    <rPh sb="11" eb="14">
      <t>シンコウチュウ</t>
    </rPh>
    <rPh sb="18" eb="21">
      <t>ゲンジテン</t>
    </rPh>
    <rPh sb="23" eb="24">
      <t>オコナ</t>
    </rPh>
    <rPh sb="31" eb="34">
      <t>コンネンド</t>
    </rPh>
    <rPh sb="40" eb="42">
      <t>シュウリョウ</t>
    </rPh>
    <rPh sb="42" eb="43">
      <t>ゴ</t>
    </rPh>
    <rPh sb="51" eb="53">
      <t>コウハイ</t>
    </rPh>
    <rPh sb="53" eb="55">
      <t>ガクセイ</t>
    </rPh>
    <rPh sb="56" eb="57">
      <t>ム</t>
    </rPh>
    <rPh sb="59" eb="62">
      <t>スイショウド</t>
    </rPh>
    <rPh sb="67" eb="69">
      <t>カクニン</t>
    </rPh>
    <rPh sb="72" eb="73">
      <t>ラン</t>
    </rPh>
    <rPh sb="74" eb="75">
      <t>モウ</t>
    </rPh>
    <rPh sb="80" eb="82">
      <t>ナイヨウ</t>
    </rPh>
    <rPh sb="83" eb="86">
      <t>ジネンド</t>
    </rPh>
    <rPh sb="92" eb="93">
      <t>ジ</t>
    </rPh>
    <rPh sb="94" eb="96">
      <t>シュウチ</t>
    </rPh>
    <rPh sb="102" eb="103">
      <t>ホン</t>
    </rPh>
    <rPh sb="109" eb="111">
      <t>リシュウ</t>
    </rPh>
    <rPh sb="112" eb="113">
      <t>ウナガ</t>
    </rPh>
    <phoneticPr fontId="1"/>
  </si>
  <si>
    <t>本学は令和6年度より人間学部を募集停止とし、現在看護学部のみの学生募集となっている。本教育プログラムを構成している科目はいずれも看護学部科目のため、全学的な履修を可能としている。履修率の向上に向けて、現在選択科目である「情報処理入門」を令和9年のカリキュラム改正時に必修科目とし、履修率100％となるように計画している。</t>
    <rPh sb="0" eb="2">
      <t>ホンガク</t>
    </rPh>
    <rPh sb="3" eb="5">
      <t>レイワ</t>
    </rPh>
    <rPh sb="6" eb="8">
      <t>ネンド</t>
    </rPh>
    <rPh sb="10" eb="14">
      <t>ニンゲンガクブ</t>
    </rPh>
    <rPh sb="15" eb="19">
      <t>ボシュウテイシ</t>
    </rPh>
    <rPh sb="22" eb="24">
      <t>ゲンザイ</t>
    </rPh>
    <rPh sb="24" eb="28">
      <t>カンゴガクブ</t>
    </rPh>
    <rPh sb="31" eb="33">
      <t>ガクセイ</t>
    </rPh>
    <rPh sb="33" eb="35">
      <t>ボシュウ</t>
    </rPh>
    <rPh sb="42" eb="45">
      <t>ホンキョウイク</t>
    </rPh>
    <rPh sb="51" eb="53">
      <t>コウセイ</t>
    </rPh>
    <rPh sb="57" eb="59">
      <t>カモク</t>
    </rPh>
    <rPh sb="64" eb="67">
      <t>カンゴガク</t>
    </rPh>
    <rPh sb="67" eb="68">
      <t>ブ</t>
    </rPh>
    <rPh sb="68" eb="70">
      <t>カモク</t>
    </rPh>
    <rPh sb="74" eb="76">
      <t>ゼンガク</t>
    </rPh>
    <rPh sb="76" eb="77">
      <t>テキ</t>
    </rPh>
    <rPh sb="78" eb="80">
      <t>リシュウ</t>
    </rPh>
    <rPh sb="81" eb="83">
      <t>カノウ</t>
    </rPh>
    <rPh sb="89" eb="92">
      <t>リシュウリツ</t>
    </rPh>
    <rPh sb="93" eb="95">
      <t>コウジョウ</t>
    </rPh>
    <rPh sb="96" eb="97">
      <t>ム</t>
    </rPh>
    <rPh sb="100" eb="102">
      <t>ゲンザイ</t>
    </rPh>
    <rPh sb="102" eb="104">
      <t>センタク</t>
    </rPh>
    <rPh sb="104" eb="106">
      <t>カモク</t>
    </rPh>
    <rPh sb="110" eb="112">
      <t>ジョウホウ</t>
    </rPh>
    <rPh sb="112" eb="116">
      <t>ショリニュウモン</t>
    </rPh>
    <rPh sb="118" eb="120">
      <t>レイワ</t>
    </rPh>
    <rPh sb="121" eb="122">
      <t>ネン</t>
    </rPh>
    <rPh sb="129" eb="131">
      <t>カイセイ</t>
    </rPh>
    <rPh sb="131" eb="132">
      <t>ジ</t>
    </rPh>
    <rPh sb="140" eb="143">
      <t>リシュウリツ</t>
    </rPh>
    <rPh sb="153" eb="155">
      <t>ケイカク</t>
    </rPh>
    <phoneticPr fontId="1"/>
  </si>
  <si>
    <t>本教育プログラム該当科目は、google classroomを利用することで、学生がいつでも教員へ質問できる体制を整えている。また、授業内でのサポートとしては、SAを導入することで、講義内容に不安を覚える学生へのフォローを手厚くできる体制を整えている。更に、教育の質向上のため、ＩＣＴに関する豊富な知識を有する職員も授業内でサポートできる体制を整えている。</t>
    <rPh sb="0" eb="3">
      <t>ホンキョウイク</t>
    </rPh>
    <rPh sb="8" eb="10">
      <t>ガイトウ</t>
    </rPh>
    <rPh sb="10" eb="12">
      <t>カモク</t>
    </rPh>
    <rPh sb="31" eb="33">
      <t>リヨウ</t>
    </rPh>
    <rPh sb="39" eb="41">
      <t>ガクセイ</t>
    </rPh>
    <rPh sb="46" eb="48">
      <t>キョウイン</t>
    </rPh>
    <rPh sb="49" eb="51">
      <t>シツモン</t>
    </rPh>
    <rPh sb="54" eb="56">
      <t>タイセイ</t>
    </rPh>
    <rPh sb="57" eb="58">
      <t>トトノ</t>
    </rPh>
    <rPh sb="66" eb="68">
      <t>ジュギョウ</t>
    </rPh>
    <rPh sb="68" eb="69">
      <t>ナイ</t>
    </rPh>
    <rPh sb="83" eb="85">
      <t>ドウニュウ</t>
    </rPh>
    <rPh sb="91" eb="93">
      <t>コウギ</t>
    </rPh>
    <rPh sb="93" eb="95">
      <t>ナイヨウ</t>
    </rPh>
    <rPh sb="96" eb="98">
      <t>フアン</t>
    </rPh>
    <rPh sb="99" eb="100">
      <t>オボ</t>
    </rPh>
    <rPh sb="102" eb="104">
      <t>ガクセイ</t>
    </rPh>
    <rPh sb="111" eb="113">
      <t>テアツ</t>
    </rPh>
    <rPh sb="117" eb="119">
      <t>タイセイ</t>
    </rPh>
    <rPh sb="120" eb="121">
      <t>トトノ</t>
    </rPh>
    <rPh sb="126" eb="127">
      <t>サラ</t>
    </rPh>
    <rPh sb="129" eb="131">
      <t>キョウイク</t>
    </rPh>
    <rPh sb="132" eb="133">
      <t>シツ</t>
    </rPh>
    <rPh sb="133" eb="135">
      <t>コウジョウ</t>
    </rPh>
    <rPh sb="143" eb="144">
      <t>カン</t>
    </rPh>
    <rPh sb="146" eb="148">
      <t>ホウフ</t>
    </rPh>
    <rPh sb="149" eb="151">
      <t>チシキ</t>
    </rPh>
    <rPh sb="152" eb="153">
      <t>ユウ</t>
    </rPh>
    <rPh sb="155" eb="157">
      <t>ショクイン</t>
    </rPh>
    <rPh sb="158" eb="160">
      <t>ジュギョウ</t>
    </rPh>
    <rPh sb="160" eb="161">
      <t>ナイ</t>
    </rPh>
    <rPh sb="169" eb="171">
      <t>タイセイ</t>
    </rPh>
    <rPh sb="172" eb="173">
      <t>トトノ</t>
    </rPh>
    <phoneticPr fontId="1"/>
  </si>
  <si>
    <t>本教育プログラム該当科目は、講義時間前後のオフィスアワーの利用に加え、google classroomを利用することで、学生がいつでも教員へ質問できる体制を整えている。直接教員へ聞きにくい学生に対しては、教務課を通じて質問をすることも可能である。</t>
    <rPh sb="14" eb="16">
      <t>コウギ</t>
    </rPh>
    <rPh sb="16" eb="20">
      <t>ジカンゼンゴ</t>
    </rPh>
    <rPh sb="29" eb="31">
      <t>リヨウ</t>
    </rPh>
    <rPh sb="32" eb="33">
      <t>クワ</t>
    </rPh>
    <rPh sb="84" eb="86">
      <t>チョクセツ</t>
    </rPh>
    <rPh sb="86" eb="88">
      <t>キョウイン</t>
    </rPh>
    <rPh sb="89" eb="90">
      <t>キ</t>
    </rPh>
    <rPh sb="94" eb="96">
      <t>ガクセイ</t>
    </rPh>
    <rPh sb="97" eb="98">
      <t>タイ</t>
    </rPh>
    <rPh sb="102" eb="105">
      <t>キョウムカ</t>
    </rPh>
    <rPh sb="106" eb="107">
      <t>ツウ</t>
    </rPh>
    <rPh sb="109" eb="111">
      <t>シツモン</t>
    </rPh>
    <rPh sb="117" eb="119">
      <t>カノウ</t>
    </rPh>
    <phoneticPr fontId="1"/>
  </si>
  <si>
    <t>○</t>
  </si>
  <si>
    <t>数理・データサイエンス・AIを日常の生活、仕事等の場で使いこなすことができる基礎的素養が身に付く。
データに対する理解、データの取扱い、情報リテラシー、生成AIを含むデータ・AI利活用における留意事項等を理解したうえで、大きく変化する社会でのデータ利活用の方法を理解し、現場でのデータ利活用ができる能力。</t>
    <rPh sb="144" eb="145">
      <t>ヨウ</t>
    </rPh>
    <rPh sb="149" eb="151">
      <t>ノウリョク</t>
    </rPh>
    <phoneticPr fontId="1"/>
  </si>
  <si>
    <t>R6年度は履修者の89.8%の学生が修得をしたというやや低い結果となった。R7年度は、入学後のガイダンスや履修ガイダンスで履修を促していたこともあり、入学生すべてが受講した。現在、履修者に対して修得予定状況は98.6%であり、いかにして後期必修科目である「情報処理演習」を全員が修得できるかが重要となる。今年度はＳＡを導入し講義内容に不安を覚える学生へのフォローを手厚くし、全員が修得できるよう取り組んでいる。</t>
    <rPh sb="2" eb="4">
      <t>ネンド</t>
    </rPh>
    <rPh sb="5" eb="8">
      <t>リシュウシャ</t>
    </rPh>
    <rPh sb="15" eb="17">
      <t>ガクセイ</t>
    </rPh>
    <rPh sb="18" eb="20">
      <t>シュウトク</t>
    </rPh>
    <rPh sb="28" eb="29">
      <t>ヒク</t>
    </rPh>
    <rPh sb="30" eb="32">
      <t>ケッカ</t>
    </rPh>
    <rPh sb="39" eb="41">
      <t>ネンド</t>
    </rPh>
    <rPh sb="43" eb="46">
      <t>ニュウガクゴ</t>
    </rPh>
    <rPh sb="53" eb="55">
      <t>リシュウ</t>
    </rPh>
    <rPh sb="61" eb="63">
      <t>リシュウ</t>
    </rPh>
    <rPh sb="64" eb="65">
      <t>ウナガ</t>
    </rPh>
    <rPh sb="75" eb="77">
      <t>ニュウガク</t>
    </rPh>
    <rPh sb="77" eb="78">
      <t>セイ</t>
    </rPh>
    <rPh sb="82" eb="84">
      <t>ジュコウ</t>
    </rPh>
    <rPh sb="87" eb="89">
      <t>ゲンザイ</t>
    </rPh>
    <rPh sb="90" eb="93">
      <t>リシュウシャ</t>
    </rPh>
    <rPh sb="94" eb="95">
      <t>タイ</t>
    </rPh>
    <rPh sb="97" eb="99">
      <t>シュウトク</t>
    </rPh>
    <rPh sb="99" eb="101">
      <t>ヨテイ</t>
    </rPh>
    <rPh sb="101" eb="103">
      <t>ジョウキョウ</t>
    </rPh>
    <rPh sb="118" eb="120">
      <t>コウキ</t>
    </rPh>
    <rPh sb="120" eb="124">
      <t>ヒッシュウカモク</t>
    </rPh>
    <rPh sb="128" eb="130">
      <t>ジョウホウ</t>
    </rPh>
    <rPh sb="130" eb="134">
      <t>ショリエンシュウ</t>
    </rPh>
    <rPh sb="136" eb="138">
      <t>ゼンイン</t>
    </rPh>
    <rPh sb="139" eb="141">
      <t>シュウトク</t>
    </rPh>
    <rPh sb="146" eb="148">
      <t>ジュウヨウ</t>
    </rPh>
    <rPh sb="152" eb="155">
      <t>コンネンド</t>
    </rPh>
    <rPh sb="159" eb="161">
      <t>ドウニュウ</t>
    </rPh>
    <rPh sb="162" eb="166">
      <t>コウギナイヨウ</t>
    </rPh>
    <rPh sb="167" eb="169">
      <t>フアン</t>
    </rPh>
    <rPh sb="170" eb="171">
      <t>オボ</t>
    </rPh>
    <rPh sb="173" eb="175">
      <t>ガクセイ</t>
    </rPh>
    <rPh sb="182" eb="184">
      <t>テアツ</t>
    </rPh>
    <rPh sb="187" eb="189">
      <t>ゼンイン</t>
    </rPh>
    <rPh sb="190" eb="192">
      <t>シュウトク</t>
    </rPh>
    <rPh sb="197" eb="198">
      <t>ト</t>
    </rPh>
    <rPh sb="199" eb="200">
      <t>ク</t>
    </rPh>
    <phoneticPr fontId="1"/>
  </si>
  <si>
    <t>高度情報化社会において、データに対する理解、活用は不可欠である。モデルカリキュラムリテラシーレベルの導入部分に準じた内容を展開し、大きく変化する社会でデータ利活用の方法を理解し、現場でのデータ利活用ができる内容としている。身近なデータを使った演習をすることによりデータの扱いに慣れ、リテラシーを高め、学ぶ楽しさが感じられるように工夫している。また、授業評価アンケート内容を参考に、学生が「学ぶ楽しさ」を感じられる講義内容の工夫をしていく。</t>
    <rPh sb="0" eb="2">
      <t>コウド</t>
    </rPh>
    <rPh sb="2" eb="4">
      <t>ジョウホウ</t>
    </rPh>
    <rPh sb="4" eb="5">
      <t>カ</t>
    </rPh>
    <rPh sb="5" eb="7">
      <t>シャカイ</t>
    </rPh>
    <rPh sb="16" eb="17">
      <t>タイ</t>
    </rPh>
    <rPh sb="19" eb="21">
      <t>リカイ</t>
    </rPh>
    <rPh sb="22" eb="24">
      <t>カツヨウ</t>
    </rPh>
    <rPh sb="25" eb="28">
      <t>フカケツ</t>
    </rPh>
    <rPh sb="174" eb="178">
      <t>ジュギョウヒョウカ</t>
    </rPh>
    <rPh sb="183" eb="185">
      <t>ナイヨウ</t>
    </rPh>
    <rPh sb="186" eb="188">
      <t>サンコウ</t>
    </rPh>
    <rPh sb="190" eb="192">
      <t>ガクセイ</t>
    </rPh>
    <rPh sb="194" eb="195">
      <t>マナ</t>
    </rPh>
    <rPh sb="196" eb="197">
      <t>タノ</t>
    </rPh>
    <rPh sb="201" eb="202">
      <t>カン</t>
    </rPh>
    <rPh sb="206" eb="208">
      <t>コウギ</t>
    </rPh>
    <rPh sb="208" eb="210">
      <t>ナイヨウ</t>
    </rPh>
    <rPh sb="211" eb="213">
      <t>クフウ</t>
    </rPh>
    <phoneticPr fontId="1"/>
  </si>
  <si>
    <t>学生自身の自己評価を含めた授業アンケートを実施することで学生の満足度を確認している。前期「情報処理入門」の評価は5段階評価において全体では平均3・11とまずまずの結果だった。しかし授業内容の理解度については、3.07と全体平均よりやや低くなった。これについては、前述にも記載をしたＳＡの導入やgoogleclassroomをもっと活用し疑問の解消を図るよう促し、授業内容の理解度が高まることを期待している。</t>
    <rPh sb="0" eb="2">
      <t>ガクセイ</t>
    </rPh>
    <rPh sb="2" eb="4">
      <t>ジシン</t>
    </rPh>
    <rPh sb="5" eb="7">
      <t>ジコ</t>
    </rPh>
    <rPh sb="7" eb="9">
      <t>ヒョウカ</t>
    </rPh>
    <rPh sb="10" eb="11">
      <t>フク</t>
    </rPh>
    <rPh sb="13" eb="15">
      <t>ジュギョウ</t>
    </rPh>
    <rPh sb="21" eb="23">
      <t>ジッシ</t>
    </rPh>
    <rPh sb="28" eb="30">
      <t>ガクセイ</t>
    </rPh>
    <rPh sb="31" eb="33">
      <t>マンゾク</t>
    </rPh>
    <rPh sb="33" eb="34">
      <t>ド</t>
    </rPh>
    <rPh sb="35" eb="37">
      <t>カクニン</t>
    </rPh>
    <rPh sb="42" eb="44">
      <t>ゼンキ</t>
    </rPh>
    <rPh sb="45" eb="47">
      <t>ジョウホウ</t>
    </rPh>
    <rPh sb="47" eb="51">
      <t>ショリニュウモン</t>
    </rPh>
    <rPh sb="53" eb="55">
      <t>ヒョウカ</t>
    </rPh>
    <rPh sb="57" eb="59">
      <t>ダンカイ</t>
    </rPh>
    <rPh sb="59" eb="61">
      <t>ヒョウカ</t>
    </rPh>
    <rPh sb="65" eb="67">
      <t>ゼンタイ</t>
    </rPh>
    <rPh sb="69" eb="71">
      <t>ヘイキン</t>
    </rPh>
    <rPh sb="81" eb="83">
      <t>ケッカ</t>
    </rPh>
    <rPh sb="90" eb="92">
      <t>ジュギョウ</t>
    </rPh>
    <rPh sb="92" eb="94">
      <t>ナイヨウ</t>
    </rPh>
    <rPh sb="95" eb="98">
      <t>リカイド</t>
    </rPh>
    <rPh sb="109" eb="111">
      <t>ゼンタイ</t>
    </rPh>
    <rPh sb="111" eb="113">
      <t>ヘイキン</t>
    </rPh>
    <rPh sb="117" eb="118">
      <t>ヒク</t>
    </rPh>
    <rPh sb="131" eb="133">
      <t>ゼンジュツ</t>
    </rPh>
    <rPh sb="135" eb="137">
      <t>キサイ</t>
    </rPh>
    <rPh sb="143" eb="145">
      <t>ドウニュウ</t>
    </rPh>
    <rPh sb="165" eb="167">
      <t>カツヨウ</t>
    </rPh>
    <rPh sb="168" eb="170">
      <t>ギモン</t>
    </rPh>
    <rPh sb="171" eb="173">
      <t>カイショウ</t>
    </rPh>
    <rPh sb="174" eb="175">
      <t>ハカ</t>
    </rPh>
    <rPh sb="178" eb="179">
      <t>ウナガ</t>
    </rPh>
    <rPh sb="181" eb="183">
      <t>ジュギョウ</t>
    </rPh>
    <rPh sb="183" eb="185">
      <t>ナイヨウ</t>
    </rPh>
    <rPh sb="186" eb="189">
      <t>リカイド</t>
    </rPh>
    <rPh sb="190" eb="191">
      <t>タカ</t>
    </rPh>
    <rPh sb="196" eb="198">
      <t>キタイ</t>
    </rPh>
    <phoneticPr fontId="1"/>
  </si>
  <si>
    <t>・ビッグデータ、IoT 、AI 、生成AI、ロボット「情報処理入門」「情報処理演習」
・データ量の増加、計算機の処理性能の向上、AIの非連続的進化「情報処理入門」「情報処理演習」
・第4次産業革命、Society5.0、データ駆動型社会「情報処理入門」「情報処理演習」
・複数技術を組み合わせたAIサービス「情報処理入門」「情報処理演習」
・人間の知的活動とAIの関係性「情報処理入門」「情報処理演習」
・データを起点としたものの見方、人間の知的活動を起点としたものの見方「情報処理入門」「情報処理演習」</t>
    <rPh sb="47" eb="48">
      <t>リョウ</t>
    </rPh>
    <rPh sb="49" eb="51">
      <t>ゾウカ</t>
    </rPh>
    <rPh sb="52" eb="55">
      <t>ケイサンキ</t>
    </rPh>
    <rPh sb="56" eb="58">
      <t>ショリ</t>
    </rPh>
    <rPh sb="58" eb="60">
      <t>セイノウ</t>
    </rPh>
    <rPh sb="61" eb="63">
      <t>コウジョウ</t>
    </rPh>
    <rPh sb="67" eb="71">
      <t>ヒレンゾクテキ</t>
    </rPh>
    <rPh sb="71" eb="73">
      <t>シンカ</t>
    </rPh>
    <rPh sb="91" eb="92">
      <t>ダイ</t>
    </rPh>
    <rPh sb="93" eb="94">
      <t>ツギ</t>
    </rPh>
    <rPh sb="94" eb="96">
      <t>サンギョウ</t>
    </rPh>
    <rPh sb="96" eb="98">
      <t>カクメイ</t>
    </rPh>
    <rPh sb="113" eb="116">
      <t>クドウガタ</t>
    </rPh>
    <rPh sb="116" eb="118">
      <t>シャカイ</t>
    </rPh>
    <rPh sb="136" eb="140">
      <t>フクスウギジュツ</t>
    </rPh>
    <rPh sb="141" eb="142">
      <t>ク</t>
    </rPh>
    <rPh sb="143" eb="144">
      <t>ア</t>
    </rPh>
    <rPh sb="171" eb="173">
      <t>ニンゲン</t>
    </rPh>
    <rPh sb="174" eb="176">
      <t>チテキ</t>
    </rPh>
    <rPh sb="176" eb="178">
      <t>カツドウ</t>
    </rPh>
    <rPh sb="182" eb="185">
      <t>カンケイセイ</t>
    </rPh>
    <rPh sb="207" eb="209">
      <t>キテン</t>
    </rPh>
    <rPh sb="215" eb="217">
      <t>ミカタ</t>
    </rPh>
    <rPh sb="218" eb="220">
      <t>ニンゲン</t>
    </rPh>
    <rPh sb="221" eb="223">
      <t>チテキ</t>
    </rPh>
    <rPh sb="223" eb="225">
      <t>カツドウ</t>
    </rPh>
    <rPh sb="226" eb="228">
      <t>キテン</t>
    </rPh>
    <rPh sb="234" eb="236">
      <t>ミカタ</t>
    </rPh>
    <phoneticPr fontId="1"/>
  </si>
  <si>
    <t>・AI最新技術の活用例（深層生成モデル、強化学習、転移学習、生成AIなど）「情報処理演習」
・AI等を活用した新しいビジネスモデル(シェアリングエコノミー、商品のレコメンデーションなど）「情報処理演習」
・基盤モデル、大規模言語モデル、拡散モデル「情報処理演習」</t>
    <rPh sb="49" eb="50">
      <t>トウ</t>
    </rPh>
    <rPh sb="51" eb="53">
      <t>カツヨウ</t>
    </rPh>
    <rPh sb="55" eb="56">
      <t>アタラ</t>
    </rPh>
    <rPh sb="78" eb="80">
      <t>ショウヒン</t>
    </rPh>
    <rPh sb="94" eb="96">
      <t>ジョウホウ</t>
    </rPh>
    <rPh sb="96" eb="98">
      <t>ショリ</t>
    </rPh>
    <rPh sb="98" eb="100">
      <t>エンシュウ</t>
    </rPh>
    <rPh sb="103" eb="105">
      <t>キバン</t>
    </rPh>
    <rPh sb="109" eb="112">
      <t>ダイキボ</t>
    </rPh>
    <rPh sb="112" eb="114">
      <t>ゲンゴ</t>
    </rPh>
    <rPh sb="118" eb="120">
      <t>カクサン</t>
    </rPh>
    <rPh sb="124" eb="126">
      <t>ジョウホウ</t>
    </rPh>
    <rPh sb="126" eb="130">
      <t>ショリエンシュウ</t>
    </rPh>
    <phoneticPr fontId="1"/>
  </si>
  <si>
    <t>・データ・AI活用領域の広がり（生産、消費、文化活動など）「情報処理入門」「情報処理演習」
・研究開発、調達、製造、物流、販売、マーケティング、サービスなど「情報処理演習」
・仮説検証、知識発見、原因究明、計画策定、判断支援、活動代替、新規生成など「情報処理入門」「情報処理演習」
・対話、コンテンツ生成、翻訳・要約・執筆支援、コーディング支援など生成ＡＩの応用「情報処理入門」「情報処理演習」</t>
    <rPh sb="88" eb="90">
      <t>カセツ</t>
    </rPh>
    <rPh sb="90" eb="92">
      <t>ケンショウ</t>
    </rPh>
    <rPh sb="93" eb="95">
      <t>チシキ</t>
    </rPh>
    <rPh sb="95" eb="97">
      <t>ハッケン</t>
    </rPh>
    <rPh sb="98" eb="100">
      <t>ゲンイン</t>
    </rPh>
    <rPh sb="100" eb="102">
      <t>キュウメイ</t>
    </rPh>
    <rPh sb="103" eb="105">
      <t>ケイカク</t>
    </rPh>
    <rPh sb="105" eb="107">
      <t>サクテイ</t>
    </rPh>
    <rPh sb="108" eb="110">
      <t>ハンダン</t>
    </rPh>
    <rPh sb="110" eb="112">
      <t>シエン</t>
    </rPh>
    <rPh sb="113" eb="115">
      <t>カツドウ</t>
    </rPh>
    <rPh sb="115" eb="117">
      <t>ダイタイ</t>
    </rPh>
    <rPh sb="118" eb="120">
      <t>シンキ</t>
    </rPh>
    <rPh sb="120" eb="122">
      <t>セイセイ</t>
    </rPh>
    <phoneticPr fontId="1"/>
  </si>
  <si>
    <t>・データ解析：予測、グルーピング、パターン発見、最適化、モデル化とシミュレーション・データ同化など「情報処理演習」
・データ可視化：複合グラフ、2軸グラフ、多次元の可視化、関係性の可視化、地図上の可視化、挙動・軌跡の可視化、リアルタイム可視化など「情報処理演習」
・非構造化データ処理：言語処理、画像/動画処理、音声/音楽処理など「情報処理演習」
・特化型AIと汎用AI、今のAIで出来ることと出来ないこと、AIとビッグデータ「情報処理演習」
・認識技術、ルールベース、自動化技術「情報処理演習」
・マルチモーダル（言語、画像、音声など）、生成AIの活用（プロンプトエンジニアリング）「情報処理演習」</t>
    <rPh sb="223" eb="225">
      <t>ニンシキ</t>
    </rPh>
    <rPh sb="225" eb="227">
      <t>ギジュツ</t>
    </rPh>
    <rPh sb="235" eb="238">
      <t>ジドウカ</t>
    </rPh>
    <rPh sb="238" eb="240">
      <t>ギジュツ</t>
    </rPh>
    <rPh sb="241" eb="243">
      <t>ジョウホウ</t>
    </rPh>
    <rPh sb="243" eb="245">
      <t>ショリ</t>
    </rPh>
    <rPh sb="245" eb="247">
      <t>エンシュウ</t>
    </rPh>
    <phoneticPr fontId="1"/>
  </si>
  <si>
    <t>・データサイエンスのサイクル（課題抽出と定式化、データの取得・管理・加工、探索的データ解析、データ解析と推論、結果の共有・伝達、課題解決に向けた提案）「情報処理入門」「情報処理演習」
・教育、芸術、流通、製造、金融、サービス、インフラ、公共、ヘルスケア等におけるデータ・AI利活用事例紹介「情報処理演習」</t>
    <rPh sb="76" eb="78">
      <t>ジョウホウ</t>
    </rPh>
    <rPh sb="78" eb="82">
      <t>ショリニュウモン</t>
    </rPh>
    <phoneticPr fontId="1"/>
  </si>
  <si>
    <t>・倫理的・法的・社会的課題（ELSI：Ethical, Legal and Social Issues）「情報処理入門」「情報処理演習」
・個人情報保護、EU一般データ保護規則(GDPR)、忘れられる権利、オプトアウト「情報処理入門」「情報処理演習」
・データ倫理：データのねつ造、改ざん、盗用、プライバシー保護「情報処理入門」「情報処理演習」
・AI社会原則（公平性、説明責任、透明性、人間中心の判断）「情報処理入門」「情報処理演習」
・データバイアス、アルゴリズムバイアス「情報処理入門」「情報処理演習」
・AIサービスの責任論「情報処理入門」「情報処理演習」
・データガバナンス「情報処理入門」「情報処理演習」
・データ・AI活用における負の事例紹介「情報処理入門」「情報処理演習」
・生成AIの留意事項（ハルシネーションによる誤情報の生成、偽情報や有害コンテンツの生成・氾濫など)「情報処理演習」</t>
    <rPh sb="346" eb="348">
      <t>セイセイ</t>
    </rPh>
    <rPh sb="351" eb="353">
      <t>リュウイ</t>
    </rPh>
    <rPh sb="353" eb="355">
      <t>ジコウ</t>
    </rPh>
    <rPh sb="367" eb="370">
      <t>ゴジョウホウ</t>
    </rPh>
    <rPh sb="371" eb="373">
      <t>セイセイ</t>
    </rPh>
    <rPh sb="374" eb="377">
      <t>ギジョウホウ</t>
    </rPh>
    <rPh sb="378" eb="380">
      <t>ユウガイ</t>
    </rPh>
    <rPh sb="386" eb="388">
      <t>セイセイ</t>
    </rPh>
    <rPh sb="389" eb="391">
      <t>ハンラン</t>
    </rPh>
    <rPh sb="395" eb="397">
      <t>ジョウホウ</t>
    </rPh>
    <rPh sb="397" eb="401">
      <t>ショリエンシュウ</t>
    </rPh>
    <phoneticPr fontId="1"/>
  </si>
  <si>
    <t>・情報セキュリティの3要素（機密性、完全性、可用性）「情報処理入門」「情報処理演習」
・匿名加工情報、暗号化と復号、ユーザ認証と、パスワード、アクセス制御、悪意ある情報搾取「情報処理入門」「情報処理演習」
・情報漏洩等によるセキュリティ事故の事例紹介「情報処理入門」「情報処理演習」
・サイバーセキュリティ「情報処理入門」「情報処理演習」</t>
    <phoneticPr fontId="1"/>
  </si>
  <si>
    <t>・データの種類（量的変数、質的変数）「情報処理演習」
・データの分布（ヒストグラム）と代表値（平均値、中央値、最頻値）「情報処理演習」
・代表値の性質の違い（実社会では平均値=最頻値でないことが多い）「情報処理演習」
・データのばらつき（分数、標準偏差、偏差値）、外れ値「情報処理演習」
・相関と因果（相関係数、疑似相関、交絡）「情報処理演習」
・観測データに含まれる誤差の扱い「情報処理演習」
・打ち切りや欠測を含むデータ、層別の必要なデータ「情報処理演習」
・母集団と標本抽出（国勢調査、アンケート調査、全数調査、単純無作為抽出、層別抽出、多段抽出）「情報処理演習」
・クロス集計表、分割表、相関係数行列、散布図行列「情報処理演習」
・統計情報の正しい理解（誇張表現に惑わされない）「情報処理演習」</t>
    <rPh sb="119" eb="121">
      <t>ブンスウ</t>
    </rPh>
    <rPh sb="122" eb="126">
      <t>ヒョウジュンヘンサ</t>
    </rPh>
    <rPh sb="127" eb="130">
      <t>ヘンサチ</t>
    </rPh>
    <rPh sb="132" eb="133">
      <t>ハズ</t>
    </rPh>
    <rPh sb="134" eb="135">
      <t>アタイ</t>
    </rPh>
    <rPh sb="145" eb="147">
      <t>ソウカン</t>
    </rPh>
    <rPh sb="148" eb="150">
      <t>インガ</t>
    </rPh>
    <rPh sb="151" eb="155">
      <t>ソウカンケイスウ</t>
    </rPh>
    <rPh sb="156" eb="160">
      <t>ギジソウカン</t>
    </rPh>
    <rPh sb="161" eb="163">
      <t>コウラク</t>
    </rPh>
    <rPh sb="174" eb="176">
      <t>カンソク</t>
    </rPh>
    <rPh sb="180" eb="181">
      <t>フク</t>
    </rPh>
    <rPh sb="184" eb="186">
      <t>ゴサ</t>
    </rPh>
    <rPh sb="187" eb="188">
      <t>アツカ</t>
    </rPh>
    <rPh sb="199" eb="200">
      <t>ウ</t>
    </rPh>
    <rPh sb="201" eb="202">
      <t>キ</t>
    </rPh>
    <rPh sb="204" eb="206">
      <t>ケッソク</t>
    </rPh>
    <rPh sb="207" eb="208">
      <t>フク</t>
    </rPh>
    <rPh sb="213" eb="215">
      <t>ソウベツ</t>
    </rPh>
    <rPh sb="216" eb="218">
      <t>ヒツヨウ</t>
    </rPh>
    <rPh sb="232" eb="235">
      <t>ボシュウダン</t>
    </rPh>
    <rPh sb="236" eb="238">
      <t>ヒョウホン</t>
    </rPh>
    <rPh sb="238" eb="240">
      <t>チュウシュツ</t>
    </rPh>
    <rPh sb="241" eb="243">
      <t>コクセイ</t>
    </rPh>
    <rPh sb="243" eb="245">
      <t>チョウサ</t>
    </rPh>
    <rPh sb="251" eb="253">
      <t>チョウサ</t>
    </rPh>
    <rPh sb="254" eb="256">
      <t>ゼンスウ</t>
    </rPh>
    <rPh sb="256" eb="258">
      <t>チョウサ</t>
    </rPh>
    <rPh sb="259" eb="261">
      <t>タンジュン</t>
    </rPh>
    <rPh sb="261" eb="264">
      <t>ムサクイ</t>
    </rPh>
    <rPh sb="264" eb="266">
      <t>チュウシュツ</t>
    </rPh>
    <rPh sb="267" eb="269">
      <t>ソウベツ</t>
    </rPh>
    <rPh sb="269" eb="271">
      <t>チュウシュツ</t>
    </rPh>
    <rPh sb="272" eb="274">
      <t>タダン</t>
    </rPh>
    <rPh sb="274" eb="276">
      <t>チュウシュツ</t>
    </rPh>
    <rPh sb="290" eb="292">
      <t>シュウケイ</t>
    </rPh>
    <rPh sb="292" eb="293">
      <t>ヒョウ</t>
    </rPh>
    <rPh sb="294" eb="296">
      <t>ブンカツ</t>
    </rPh>
    <rPh sb="296" eb="297">
      <t>ヒョウ</t>
    </rPh>
    <phoneticPr fontId="1"/>
  </si>
  <si>
    <t>・データ表現（棒グラフ、折れ線グラフ、散布図、ヒートマップ、箱ひげ図）「情報処理入門」「情報処理演習」
・データの比較（条件をそろえた比較、処理の前後での比較、A/Bテスト）「情報処理演習」
・不適切なグラフ表現（チャートジャンク、不必要な視覚的要素）「情報処理入門」「情報処理演習」
・優れた可視化事例の紹介（可視化することによって新たな気づきがあった事例など）「情報処理入門」「情報処理演習」
・相手に的確かつ正確に情報を伝える技術や考え方（スライド作成、プレゼンテーションなど）「情報処理入門」「情報処理演習」</t>
    <rPh sb="57" eb="59">
      <t>ヒカク</t>
    </rPh>
    <rPh sb="60" eb="62">
      <t>ジョウケン</t>
    </rPh>
    <rPh sb="67" eb="69">
      <t>ヒカク</t>
    </rPh>
    <rPh sb="70" eb="72">
      <t>ショリ</t>
    </rPh>
    <rPh sb="73" eb="75">
      <t>ゼンゴ</t>
    </rPh>
    <rPh sb="77" eb="79">
      <t>ヒカク</t>
    </rPh>
    <phoneticPr fontId="1"/>
  </si>
  <si>
    <t>・データの取得（機械判読可能なデータの作成・表記方法）「情報処理入門」
・データの集計（和、平均）「情報処理入門」「情報処理演習」
・データの並び替え、ランキング「情報処理入門」「情報処理演習」
・データ解析ツール（スプレッドシート、BIツール）「情報処理入門」「情報処理演習」
・表形式のデータ（CSV）「情報処理入門」「情報処理演習」</t>
    <phoneticPr fontId="1"/>
  </si>
  <si>
    <t>・調査データ、実験データ、人の行動ログデータ「情報処理演習」
・1次データ、2次データ、データのメタ化「情報処理入門」「情報処理演習」
・構造化データ、非構造化データ（文章、画像、音声/音楽など)「情報処理入門」「情報処理演習」
・データ作成（ビッグデータとアノテーション）「情報処理入門」「情報処理演習」
・データのオープン化（オープンデータ）「情報処理入門」「情報処理演習」</t>
    <rPh sb="13" eb="14">
      <t>ヒト</t>
    </rPh>
    <rPh sb="15" eb="17">
      <t>コウドウ</t>
    </rPh>
    <rPh sb="163" eb="164">
      <t>カ</t>
    </rPh>
    <phoneticPr fontId="1"/>
  </si>
  <si>
    <t>学生自身の自己評価を含めた授業アンケートを実施することで学生の満足度を確認している。前期「情報処理入門」の評価は5段階評価において全体では平均3・11とまずまずの結果だった。しかし授業内容の理解度については、3.07と全体平均よりやや低くなった。これについては、前述にも記載をしたＳＡの導入やgoogleclassroomをもっと活用し疑問の解消を図るよう促し、授業内容の理解度が高まることを期待している。
この分析を今後IR室やFD・SD委員会と共有し、学生へのフォロー体制を整えていく。</t>
    <rPh sb="206" eb="208">
      <t>ブンセキ</t>
    </rPh>
    <rPh sb="209" eb="211">
      <t>コンゴ</t>
    </rPh>
    <rPh sb="213" eb="214">
      <t>シツ</t>
    </rPh>
    <rPh sb="220" eb="223">
      <t>イインカイ</t>
    </rPh>
    <rPh sb="224" eb="226">
      <t>キョウユウ</t>
    </rPh>
    <rPh sb="228" eb="230">
      <t>ガクセイ</t>
    </rPh>
    <rPh sb="236" eb="238">
      <t>タイセイ</t>
    </rPh>
    <rPh sb="239" eb="240">
      <t>トトノ</t>
    </rPh>
    <phoneticPr fontId="1"/>
  </si>
  <si>
    <t>本教育プログラムが現在進行中で、現時点では修了者の学外からの評価は行えていない。プログラム修了者が卒業後、IR室が主となり毎年実施している就職先アンケート内に、評価項目の追加を計画している。</t>
    <rPh sb="16" eb="19">
      <t>ゲンジテン</t>
    </rPh>
    <rPh sb="21" eb="24">
      <t>シュウリョウシャ</t>
    </rPh>
    <rPh sb="25" eb="27">
      <t>ガクガイ</t>
    </rPh>
    <rPh sb="30" eb="32">
      <t>ヒョウカ</t>
    </rPh>
    <rPh sb="33" eb="34">
      <t>オコナ</t>
    </rPh>
    <rPh sb="45" eb="48">
      <t>シュウリョウシャ</t>
    </rPh>
    <rPh sb="49" eb="51">
      <t>ソツギョウ</t>
    </rPh>
    <rPh sb="51" eb="52">
      <t>ゴ</t>
    </rPh>
    <rPh sb="55" eb="56">
      <t>シツ</t>
    </rPh>
    <rPh sb="57" eb="58">
      <t>シュ</t>
    </rPh>
    <rPh sb="61" eb="63">
      <t>マイトシ</t>
    </rPh>
    <rPh sb="63" eb="65">
      <t>ジッシ</t>
    </rPh>
    <rPh sb="69" eb="72">
      <t>シュウショクサキ</t>
    </rPh>
    <rPh sb="77" eb="78">
      <t>ナイ</t>
    </rPh>
    <rPh sb="80" eb="82">
      <t>ヒョウカ</t>
    </rPh>
    <rPh sb="82" eb="84">
      <t>コウモク</t>
    </rPh>
    <rPh sb="85" eb="87">
      <t>ツイカ</t>
    </rPh>
    <rPh sb="88" eb="90">
      <t>ケイカク</t>
    </rPh>
    <phoneticPr fontId="1"/>
  </si>
  <si>
    <t>本教育プログラムは令和6年度入学生から適用するものとして開始しているため、まだ実施できていないが、毎年3月に本学で実施している連携病院との意見交換会において本教育プログラムの必要性や期待する内容についてヒアリングを行い、授業内容に反映していく方針である。また今後、就職先アンケートにおいても、プログラム内容についての意見欄を設けることとしている。</t>
    <rPh sb="0" eb="1">
      <t>ホン</t>
    </rPh>
    <rPh sb="129" eb="131">
      <t>コンゴ</t>
    </rPh>
    <rPh sb="132" eb="134">
      <t>シュウショク</t>
    </rPh>
    <rPh sb="134" eb="135">
      <t>サキ</t>
    </rPh>
    <rPh sb="151" eb="153">
      <t>ナイヨウ</t>
    </rPh>
    <phoneticPr fontId="1"/>
  </si>
  <si>
    <t>授業評価アンケート内容を参考に、学生の「わかりやすさ」の観点から講義の内容・実施方法の見直しを検討している。また、生成ＡＩ等の技術の発展に合わせて、いまの社会に必要な内容を取り入れるよう計画している。</t>
    <rPh sb="0" eb="2">
      <t>ジュギョウ</t>
    </rPh>
    <rPh sb="2" eb="4">
      <t>ヒョウカ</t>
    </rPh>
    <rPh sb="9" eb="11">
      <t>ナイヨウ</t>
    </rPh>
    <rPh sb="12" eb="14">
      <t>サンコウ</t>
    </rPh>
    <rPh sb="16" eb="18">
      <t>ガクセイ</t>
    </rPh>
    <rPh sb="28" eb="30">
      <t>カンテン</t>
    </rPh>
    <rPh sb="32" eb="34">
      <t>コウギ</t>
    </rPh>
    <rPh sb="35" eb="37">
      <t>ナイヨウ</t>
    </rPh>
    <rPh sb="38" eb="42">
      <t>ジッシホウホウ</t>
    </rPh>
    <rPh sb="43" eb="45">
      <t>ミナオ</t>
    </rPh>
    <rPh sb="47" eb="49">
      <t>ケントウ</t>
    </rPh>
    <rPh sb="57" eb="59">
      <t>セイセイ</t>
    </rPh>
    <rPh sb="61" eb="62">
      <t>トウ</t>
    </rPh>
    <rPh sb="63" eb="65">
      <t>ギジュツ</t>
    </rPh>
    <rPh sb="66" eb="68">
      <t>ハッテン</t>
    </rPh>
    <rPh sb="69" eb="70">
      <t>ア</t>
    </rPh>
    <rPh sb="77" eb="79">
      <t>シャカイ</t>
    </rPh>
    <rPh sb="80" eb="82">
      <t>ヒツヨウ</t>
    </rPh>
    <rPh sb="83" eb="85">
      <t>ナイヨウ</t>
    </rPh>
    <rPh sb="86" eb="87">
      <t>ト</t>
    </rPh>
    <rPh sb="88" eb="89">
      <t>イ</t>
    </rPh>
    <rPh sb="93" eb="95">
      <t>ケイカク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</si>
</sst>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_);[Red]\(#,##0\)"/>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
      <sz val="8"/>
      <color theme="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84">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44" xfId="0" applyFont="1" applyFill="1" applyBorder="1" applyAlignment="1">
      <alignment horizontal="lef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178" fontId="2" fillId="2" borderId="1" xfId="0" applyNumberFormat="1" applyFont="1" applyFill="1" applyBorder="1" applyAlignment="1">
      <alignment horizontal="right" vertical="center"/>
    </xf>
    <xf numFmtId="49" fontId="3" fillId="2" borderId="15" xfId="0" applyNumberFormat="1" applyFont="1" applyFill="1" applyBorder="1" applyAlignment="1">
      <alignment horizontal="left" vertical="top" wrapText="1"/>
    </xf>
    <xf numFmtId="49" fontId="7" fillId="2" borderId="32" xfId="0" applyNumberFormat="1" applyFont="1" applyFill="1" applyBorder="1" applyAlignment="1">
      <alignment horizontal="left" vertical="top" wrapText="1"/>
    </xf>
    <xf numFmtId="49" fontId="3" fillId="2" borderId="32" xfId="0" applyNumberFormat="1" applyFont="1" applyFill="1" applyBorder="1" applyAlignment="1">
      <alignment horizontal="left" vertical="top" wrapText="1"/>
    </xf>
    <xf numFmtId="49" fontId="12" fillId="2" borderId="13" xfId="0" applyNumberFormat="1" applyFont="1" applyFill="1" applyBorder="1" applyAlignment="1">
      <alignment horizontal="left" vertical="center" wrapText="1"/>
    </xf>
    <xf numFmtId="0" fontId="7" fillId="2" borderId="1" xfId="0" applyFont="1" applyFill="1" applyBorder="1" applyAlignment="1">
      <alignment horizontal="left" vertical="top" wrapText="1" shrinkToFit="1"/>
    </xf>
    <xf numFmtId="49" fontId="5" fillId="2" borderId="14" xfId="0" applyNumberFormat="1" applyFont="1" applyFill="1" applyBorder="1" applyAlignment="1">
      <alignment horizontal="left" vertical="top" wrapText="1"/>
    </xf>
    <xf numFmtId="49" fontId="7" fillId="2" borderId="13" xfId="0" applyNumberFormat="1" applyFont="1" applyFill="1" applyBorder="1" applyAlignment="1">
      <alignment horizontal="left" vertical="top" wrapText="1"/>
    </xf>
    <xf numFmtId="49" fontId="3" fillId="2" borderId="20" xfId="0" applyNumberFormat="1" applyFont="1" applyFill="1" applyBorder="1" applyAlignment="1">
      <alignment horizontal="left" vertical="center" wrapText="1"/>
    </xf>
    <xf numFmtId="49" fontId="12" fillId="2" borderId="15" xfId="0" applyNumberFormat="1" applyFont="1" applyFill="1" applyBorder="1" applyAlignment="1">
      <alignment horizontal="left" vertical="top" wrapTex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6" xfId="0" applyFont="1" applyFill="1" applyBorder="1">
      <alignment vertical="center"/>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view="pageBreakPreview" zoomScaleNormal="100" zoomScaleSheetLayoutView="100" workbookViewId="0">
      <selection activeCell="Q11" sqref="Q11"/>
    </sheetView>
  </sheetViews>
  <sheetFormatPr defaultColWidth="9" defaultRowHeight="18.75" customHeight="1" x14ac:dyDescent="0.15"/>
  <cols>
    <col min="1" max="1" width="2.5" style="8" customWidth="1"/>
    <col min="2" max="2" width="28.25" style="8" customWidth="1"/>
    <col min="3" max="3" width="6.25" style="8" customWidth="1"/>
    <col min="4" max="4" width="80.625" style="8" customWidth="1"/>
    <col min="5" max="5" width="6.5" style="8" bestFit="1" customWidth="1"/>
    <col min="6" max="26" width="5.625" style="8" customWidth="1"/>
    <col min="27" max="27" width="9" style="8" customWidth="1"/>
    <col min="28" max="16384" width="9" style="8"/>
  </cols>
  <sheetData>
    <row r="1" spans="1:28" ht="18.75" customHeight="1" x14ac:dyDescent="0.15">
      <c r="A1" s="142" t="s">
        <v>109</v>
      </c>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3" spans="1:28" ht="18.600000000000001" customHeight="1" x14ac:dyDescent="0.15">
      <c r="Y3" s="142" t="s">
        <v>12</v>
      </c>
      <c r="Z3" s="142"/>
      <c r="AA3" s="9"/>
      <c r="AB3" s="13"/>
    </row>
    <row r="4" spans="1:28" ht="18.75" customHeight="1" x14ac:dyDescent="0.15">
      <c r="B4" s="147" t="s">
        <v>85</v>
      </c>
      <c r="C4" s="148"/>
      <c r="D4" s="67" t="s">
        <v>129</v>
      </c>
      <c r="P4" s="9"/>
      <c r="Q4" s="41"/>
      <c r="R4" s="41"/>
      <c r="S4" s="41"/>
      <c r="T4" s="41"/>
      <c r="U4" s="41"/>
      <c r="V4" s="41"/>
      <c r="W4" s="41"/>
      <c r="X4" s="41"/>
      <c r="Y4" s="41"/>
      <c r="Z4" s="41"/>
    </row>
    <row r="5" spans="1:28" ht="18.75" customHeight="1" x14ac:dyDescent="0.15">
      <c r="B5" s="147" t="s">
        <v>81</v>
      </c>
      <c r="C5" s="148"/>
      <c r="D5" s="67" t="s">
        <v>130</v>
      </c>
      <c r="P5" s="9"/>
      <c r="Q5" s="41"/>
      <c r="R5" s="41"/>
      <c r="S5" s="41"/>
      <c r="T5" s="41"/>
      <c r="U5" s="41"/>
      <c r="V5" s="41"/>
      <c r="W5" s="41"/>
      <c r="X5" s="41"/>
      <c r="Y5" s="41"/>
      <c r="Z5" s="41"/>
    </row>
    <row r="6" spans="1:28" ht="15" customHeight="1" x14ac:dyDescent="0.15">
      <c r="Q6" s="9"/>
      <c r="R6" s="28"/>
      <c r="S6" s="28"/>
      <c r="T6" s="28"/>
      <c r="U6" s="28"/>
      <c r="V6" s="28"/>
      <c r="W6" s="28"/>
      <c r="X6" s="28"/>
      <c r="Y6" s="28"/>
      <c r="Z6" s="28"/>
    </row>
    <row r="7" spans="1:28" ht="18" customHeight="1" x14ac:dyDescent="0.15">
      <c r="A7" s="146" t="s">
        <v>93</v>
      </c>
      <c r="B7" s="146"/>
      <c r="C7" s="146"/>
      <c r="D7" s="146"/>
      <c r="E7" s="146"/>
      <c r="F7" s="146"/>
      <c r="G7" s="146"/>
      <c r="H7" s="146"/>
      <c r="I7" s="146"/>
      <c r="J7" s="146"/>
      <c r="K7" s="146"/>
      <c r="L7" s="146"/>
      <c r="M7" s="146"/>
      <c r="N7" s="146"/>
      <c r="O7" s="146"/>
      <c r="P7" s="146"/>
      <c r="Q7" s="146"/>
      <c r="R7" s="146"/>
      <c r="S7" s="146"/>
      <c r="T7" s="146"/>
      <c r="U7" s="146"/>
      <c r="V7" s="146"/>
      <c r="W7" s="146"/>
      <c r="X7" s="146"/>
      <c r="Y7" s="146"/>
      <c r="Z7" s="146"/>
    </row>
    <row r="8" spans="1:28" ht="18"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15">
      <c r="A9" s="143" t="s">
        <v>95</v>
      </c>
      <c r="B9" s="143"/>
      <c r="D9" s="6" t="s">
        <v>131</v>
      </c>
    </row>
    <row r="10" spans="1:28" ht="20.25" customHeight="1" x14ac:dyDescent="0.15">
      <c r="B10" s="12"/>
      <c r="C10" s="12"/>
      <c r="D10" s="12"/>
      <c r="Q10" s="12"/>
      <c r="R10" s="12"/>
      <c r="S10" s="12"/>
      <c r="T10" s="12"/>
      <c r="U10" s="12"/>
      <c r="V10" s="12"/>
      <c r="W10" s="12"/>
      <c r="X10" s="12"/>
      <c r="Y10" s="12"/>
      <c r="Z10" s="12"/>
    </row>
    <row r="11" spans="1:28" ht="20.25" customHeight="1" x14ac:dyDescent="0.15">
      <c r="A11" s="143" t="s">
        <v>90</v>
      </c>
      <c r="B11" s="143"/>
      <c r="D11" s="66"/>
    </row>
    <row r="12" spans="1:28" ht="20.25" customHeight="1" x14ac:dyDescent="0.15">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15">
      <c r="A13" s="144" t="s">
        <v>96</v>
      </c>
      <c r="B13" s="144"/>
      <c r="C13" s="12"/>
      <c r="D13" s="67" t="s">
        <v>132</v>
      </c>
      <c r="E13" s="41"/>
      <c r="F13" s="41"/>
      <c r="G13" s="41"/>
      <c r="H13" s="41"/>
      <c r="I13" s="41"/>
      <c r="J13" s="41"/>
      <c r="K13" s="41"/>
      <c r="L13" s="41"/>
      <c r="M13" s="41"/>
      <c r="N13" s="41"/>
      <c r="O13" s="41"/>
      <c r="P13" s="41"/>
      <c r="Q13" s="68"/>
      <c r="R13" s="68"/>
      <c r="S13" s="68"/>
      <c r="T13" s="68"/>
      <c r="U13" s="68"/>
      <c r="V13" s="68"/>
      <c r="W13" s="68"/>
      <c r="X13" s="68"/>
      <c r="Y13" s="68"/>
      <c r="Z13" s="68"/>
    </row>
    <row r="14" spans="1:28" ht="20.25" customHeight="1" x14ac:dyDescent="0.15">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90" customHeight="1" x14ac:dyDescent="0.15">
      <c r="A15" s="145" t="s">
        <v>97</v>
      </c>
      <c r="B15" s="145"/>
      <c r="C15" s="12"/>
      <c r="D15" s="69" t="s">
        <v>133</v>
      </c>
      <c r="E15" s="16"/>
      <c r="F15" s="16"/>
      <c r="G15" s="16"/>
      <c r="H15" s="16"/>
      <c r="I15" s="16"/>
      <c r="J15" s="16"/>
      <c r="K15" s="16"/>
      <c r="L15" s="16"/>
      <c r="M15" s="16"/>
      <c r="N15" s="16"/>
      <c r="O15" s="16"/>
      <c r="P15" s="16"/>
      <c r="Q15" s="16"/>
      <c r="R15" s="16"/>
      <c r="S15" s="16"/>
      <c r="T15" s="16"/>
      <c r="U15" s="16"/>
      <c r="V15" s="16"/>
      <c r="W15" s="16"/>
      <c r="X15" s="16"/>
      <c r="Y15" s="16"/>
      <c r="Z15" s="16"/>
    </row>
    <row r="16" spans="1:28" ht="13.15" customHeight="1" x14ac:dyDescent="0.15">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15">
      <c r="A17" s="8" t="s">
        <v>113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5" customHeight="1" x14ac:dyDescent="0.15">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15">
      <c r="B19" s="9" t="s">
        <v>114</v>
      </c>
      <c r="C19" s="110">
        <v>2</v>
      </c>
      <c r="D19" s="10" t="s">
        <v>87</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15">
      <c r="B20" s="12"/>
      <c r="C20" s="110">
        <v>2</v>
      </c>
      <c r="D20" s="10" t="s">
        <v>88</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
      <c r="F21" s="149" t="s">
        <v>117</v>
      </c>
      <c r="G21" s="150"/>
      <c r="H21" s="150"/>
      <c r="I21" s="150"/>
      <c r="J21" s="150"/>
      <c r="K21" s="150"/>
      <c r="L21" s="150"/>
      <c r="M21" s="150"/>
      <c r="N21" s="150"/>
      <c r="O21" s="150"/>
      <c r="P21" s="150"/>
      <c r="Q21" s="150"/>
      <c r="R21" s="150"/>
      <c r="S21" s="150"/>
      <c r="T21" s="150"/>
      <c r="U21" s="150"/>
      <c r="V21" s="150"/>
      <c r="W21" s="150"/>
      <c r="X21" s="150"/>
      <c r="Y21" s="150"/>
      <c r="Z21" s="151"/>
    </row>
    <row r="22" spans="1:26" ht="18" customHeight="1" x14ac:dyDescent="0.15">
      <c r="B22" s="17"/>
      <c r="C22" s="17"/>
      <c r="D22" s="5" t="s">
        <v>48</v>
      </c>
      <c r="E22" s="70" t="s">
        <v>70</v>
      </c>
      <c r="F22" s="71" t="s">
        <v>50</v>
      </c>
      <c r="G22" s="72" t="s">
        <v>61</v>
      </c>
      <c r="H22" s="72" t="s">
        <v>62</v>
      </c>
      <c r="I22" s="72" t="s">
        <v>63</v>
      </c>
      <c r="J22" s="72" t="s">
        <v>64</v>
      </c>
      <c r="K22" s="72" t="s">
        <v>53</v>
      </c>
      <c r="L22" s="72" t="s">
        <v>80</v>
      </c>
      <c r="M22" s="72" t="s">
        <v>65</v>
      </c>
      <c r="N22" s="72" t="s">
        <v>66</v>
      </c>
      <c r="O22" s="72" t="s">
        <v>52</v>
      </c>
      <c r="P22" s="73" t="s">
        <v>54</v>
      </c>
      <c r="Q22" s="74" t="s">
        <v>98</v>
      </c>
      <c r="R22" s="75" t="s">
        <v>99</v>
      </c>
      <c r="S22" s="75" t="s">
        <v>100</v>
      </c>
      <c r="T22" s="75" t="s">
        <v>101</v>
      </c>
      <c r="U22" s="75" t="s">
        <v>102</v>
      </c>
      <c r="V22" s="75" t="s">
        <v>103</v>
      </c>
      <c r="W22" s="75" t="s">
        <v>104</v>
      </c>
      <c r="X22" s="75" t="s">
        <v>105</v>
      </c>
      <c r="Y22" s="75" t="s">
        <v>106</v>
      </c>
      <c r="Z22" s="76" t="s">
        <v>107</v>
      </c>
    </row>
    <row r="23" spans="1:26" ht="18" customHeight="1" x14ac:dyDescent="0.15">
      <c r="B23" s="127" t="s">
        <v>125</v>
      </c>
      <c r="C23" s="128"/>
      <c r="D23" s="77" t="s">
        <v>134</v>
      </c>
      <c r="E23" s="112">
        <v>1</v>
      </c>
      <c r="F23" s="78" t="s">
        <v>160</v>
      </c>
      <c r="G23" s="79" t="s">
        <v>160</v>
      </c>
      <c r="H23" s="79" t="s">
        <v>160</v>
      </c>
      <c r="I23" s="79"/>
      <c r="J23" s="79" t="s">
        <v>160</v>
      </c>
      <c r="K23" s="79"/>
      <c r="L23" s="79"/>
      <c r="M23" s="79" t="s">
        <v>160</v>
      </c>
      <c r="N23" s="79" t="s">
        <v>160</v>
      </c>
      <c r="O23" s="79" t="s">
        <v>160</v>
      </c>
      <c r="P23" s="80" t="s">
        <v>160</v>
      </c>
      <c r="Q23" s="81"/>
      <c r="R23" s="79"/>
      <c r="S23" s="79"/>
      <c r="T23" s="79"/>
      <c r="U23" s="79"/>
      <c r="V23" s="79"/>
      <c r="W23" s="79"/>
      <c r="X23" s="79"/>
      <c r="Y23" s="79"/>
      <c r="Z23" s="79"/>
    </row>
    <row r="24" spans="1:26" ht="18" customHeight="1" x14ac:dyDescent="0.15">
      <c r="B24" s="129"/>
      <c r="C24" s="130"/>
      <c r="D24" s="82" t="s">
        <v>135</v>
      </c>
      <c r="E24" s="113">
        <v>1</v>
      </c>
      <c r="F24" s="83" t="s">
        <v>160</v>
      </c>
      <c r="G24" s="84" t="s">
        <v>160</v>
      </c>
      <c r="H24" s="84" t="s">
        <v>160</v>
      </c>
      <c r="I24" s="84" t="s">
        <v>160</v>
      </c>
      <c r="J24" s="84" t="s">
        <v>160</v>
      </c>
      <c r="K24" s="84" t="s">
        <v>160</v>
      </c>
      <c r="L24" s="84" t="s">
        <v>160</v>
      </c>
      <c r="M24" s="84" t="s">
        <v>160</v>
      </c>
      <c r="N24" s="84" t="s">
        <v>160</v>
      </c>
      <c r="O24" s="84" t="s">
        <v>160</v>
      </c>
      <c r="P24" s="85" t="s">
        <v>160</v>
      </c>
      <c r="Q24" s="86"/>
      <c r="R24" s="84"/>
      <c r="S24" s="84"/>
      <c r="T24" s="84"/>
      <c r="U24" s="84"/>
      <c r="V24" s="84"/>
      <c r="W24" s="84"/>
      <c r="X24" s="84"/>
      <c r="Y24" s="84"/>
      <c r="Z24" s="84"/>
    </row>
    <row r="25" spans="1:26" ht="18" customHeight="1" x14ac:dyDescent="0.15">
      <c r="B25" s="129"/>
      <c r="C25" s="130"/>
      <c r="D25" s="82"/>
      <c r="E25" s="113"/>
      <c r="F25" s="83"/>
      <c r="G25" s="84"/>
      <c r="H25" s="84"/>
      <c r="I25" s="84"/>
      <c r="J25" s="84"/>
      <c r="K25" s="84"/>
      <c r="L25" s="84"/>
      <c r="M25" s="84"/>
      <c r="N25" s="84"/>
      <c r="O25" s="84"/>
      <c r="P25" s="85"/>
      <c r="Q25" s="86"/>
      <c r="R25" s="84"/>
      <c r="S25" s="84"/>
      <c r="T25" s="84"/>
      <c r="U25" s="84"/>
      <c r="V25" s="84"/>
      <c r="W25" s="84"/>
      <c r="X25" s="84"/>
      <c r="Y25" s="84"/>
      <c r="Z25" s="84"/>
    </row>
    <row r="26" spans="1:26" ht="18" customHeight="1" x14ac:dyDescent="0.15">
      <c r="B26" s="129"/>
      <c r="C26" s="130"/>
      <c r="D26" s="82"/>
      <c r="E26" s="113"/>
      <c r="F26" s="83"/>
      <c r="G26" s="84"/>
      <c r="H26" s="84"/>
      <c r="I26" s="84"/>
      <c r="J26" s="84"/>
      <c r="K26" s="84"/>
      <c r="L26" s="84"/>
      <c r="M26" s="84"/>
      <c r="N26" s="84"/>
      <c r="O26" s="84"/>
      <c r="P26" s="85"/>
      <c r="Q26" s="86"/>
      <c r="R26" s="84"/>
      <c r="S26" s="84"/>
      <c r="T26" s="84"/>
      <c r="U26" s="84"/>
      <c r="V26" s="84"/>
      <c r="W26" s="84"/>
      <c r="X26" s="84"/>
      <c r="Y26" s="84"/>
      <c r="Z26" s="84"/>
    </row>
    <row r="27" spans="1:26" ht="18" customHeight="1" x14ac:dyDescent="0.15">
      <c r="B27" s="129"/>
      <c r="C27" s="130"/>
      <c r="D27" s="82"/>
      <c r="E27" s="113"/>
      <c r="F27" s="83"/>
      <c r="G27" s="84"/>
      <c r="H27" s="84"/>
      <c r="I27" s="84"/>
      <c r="J27" s="84"/>
      <c r="K27" s="84"/>
      <c r="L27" s="84"/>
      <c r="M27" s="84"/>
      <c r="N27" s="84"/>
      <c r="O27" s="84"/>
      <c r="P27" s="85"/>
      <c r="Q27" s="86"/>
      <c r="R27" s="84"/>
      <c r="S27" s="84"/>
      <c r="T27" s="84"/>
      <c r="U27" s="84"/>
      <c r="V27" s="84"/>
      <c r="W27" s="84"/>
      <c r="X27" s="84"/>
      <c r="Y27" s="84"/>
      <c r="Z27" s="84"/>
    </row>
    <row r="28" spans="1:26" ht="18" customHeight="1" x14ac:dyDescent="0.15">
      <c r="B28" s="129"/>
      <c r="C28" s="130"/>
      <c r="D28" s="82"/>
      <c r="E28" s="113"/>
      <c r="F28" s="83"/>
      <c r="G28" s="84"/>
      <c r="H28" s="84"/>
      <c r="I28" s="84"/>
      <c r="J28" s="84"/>
      <c r="K28" s="84"/>
      <c r="L28" s="84"/>
      <c r="M28" s="84"/>
      <c r="N28" s="84"/>
      <c r="O28" s="84"/>
      <c r="P28" s="85"/>
      <c r="Q28" s="86"/>
      <c r="R28" s="84"/>
      <c r="S28" s="84"/>
      <c r="T28" s="84"/>
      <c r="U28" s="84"/>
      <c r="V28" s="84"/>
      <c r="W28" s="84"/>
      <c r="X28" s="84"/>
      <c r="Y28" s="84"/>
      <c r="Z28" s="84"/>
    </row>
    <row r="29" spans="1:26" ht="18" customHeight="1" x14ac:dyDescent="0.15">
      <c r="B29" s="129"/>
      <c r="C29" s="130"/>
      <c r="D29" s="82"/>
      <c r="E29" s="113"/>
      <c r="F29" s="83"/>
      <c r="G29" s="84"/>
      <c r="H29" s="84"/>
      <c r="I29" s="84"/>
      <c r="J29" s="84"/>
      <c r="K29" s="84"/>
      <c r="L29" s="84"/>
      <c r="M29" s="84"/>
      <c r="N29" s="84"/>
      <c r="O29" s="84"/>
      <c r="P29" s="85"/>
      <c r="Q29" s="86"/>
      <c r="R29" s="84"/>
      <c r="S29" s="84"/>
      <c r="T29" s="84"/>
      <c r="U29" s="84"/>
      <c r="V29" s="84"/>
      <c r="W29" s="84"/>
      <c r="X29" s="84"/>
      <c r="Y29" s="84"/>
      <c r="Z29" s="84"/>
    </row>
    <row r="30" spans="1:26" ht="18" customHeight="1" x14ac:dyDescent="0.15">
      <c r="B30" s="129"/>
      <c r="C30" s="130"/>
      <c r="D30" s="82"/>
      <c r="E30" s="113"/>
      <c r="F30" s="83"/>
      <c r="G30" s="84"/>
      <c r="H30" s="84"/>
      <c r="I30" s="84"/>
      <c r="J30" s="84"/>
      <c r="K30" s="84"/>
      <c r="L30" s="84"/>
      <c r="M30" s="84"/>
      <c r="N30" s="84"/>
      <c r="O30" s="84"/>
      <c r="P30" s="85"/>
      <c r="Q30" s="86"/>
      <c r="R30" s="84"/>
      <c r="S30" s="84"/>
      <c r="T30" s="84"/>
      <c r="U30" s="84"/>
      <c r="V30" s="84"/>
      <c r="W30" s="84"/>
      <c r="X30" s="84"/>
      <c r="Y30" s="84"/>
      <c r="Z30" s="84"/>
    </row>
    <row r="31" spans="1:26" ht="18" customHeight="1" x14ac:dyDescent="0.15">
      <c r="B31" s="129"/>
      <c r="C31" s="130"/>
      <c r="D31" s="82"/>
      <c r="E31" s="113"/>
      <c r="F31" s="83"/>
      <c r="G31" s="84"/>
      <c r="H31" s="84"/>
      <c r="I31" s="84"/>
      <c r="J31" s="84"/>
      <c r="K31" s="84"/>
      <c r="L31" s="84"/>
      <c r="M31" s="84"/>
      <c r="N31" s="84"/>
      <c r="O31" s="84"/>
      <c r="P31" s="85"/>
      <c r="Q31" s="86"/>
      <c r="R31" s="84"/>
      <c r="S31" s="84"/>
      <c r="T31" s="84"/>
      <c r="U31" s="84"/>
      <c r="V31" s="84"/>
      <c r="W31" s="84"/>
      <c r="X31" s="84"/>
      <c r="Y31" s="84"/>
      <c r="Z31" s="84"/>
    </row>
    <row r="32" spans="1:26" ht="18" customHeight="1" x14ac:dyDescent="0.15">
      <c r="B32" s="129"/>
      <c r="C32" s="130"/>
      <c r="D32" s="87"/>
      <c r="E32" s="114"/>
      <c r="F32" s="88"/>
      <c r="G32" s="89"/>
      <c r="H32" s="89"/>
      <c r="I32" s="89"/>
      <c r="J32" s="89"/>
      <c r="K32" s="89"/>
      <c r="L32" s="89"/>
      <c r="M32" s="89"/>
      <c r="N32" s="89"/>
      <c r="O32" s="89"/>
      <c r="P32" s="90"/>
      <c r="Q32" s="91"/>
      <c r="R32" s="89"/>
      <c r="S32" s="89"/>
      <c r="T32" s="89"/>
      <c r="U32" s="89"/>
      <c r="V32" s="89"/>
      <c r="W32" s="89"/>
      <c r="X32" s="89"/>
      <c r="Y32" s="89"/>
      <c r="Z32" s="89"/>
    </row>
    <row r="33" spans="2:26" ht="18" customHeight="1" x14ac:dyDescent="0.15">
      <c r="B33" s="127" t="s">
        <v>126</v>
      </c>
      <c r="C33" s="128"/>
      <c r="D33" s="92"/>
      <c r="E33" s="115"/>
      <c r="F33" s="93"/>
      <c r="G33" s="94"/>
      <c r="H33" s="94"/>
      <c r="I33" s="94"/>
      <c r="J33" s="94"/>
      <c r="K33" s="94"/>
      <c r="L33" s="94"/>
      <c r="M33" s="94"/>
      <c r="N33" s="94"/>
      <c r="O33" s="94"/>
      <c r="P33" s="95"/>
      <c r="Q33" s="96"/>
      <c r="R33" s="94"/>
      <c r="S33" s="94"/>
      <c r="T33" s="94"/>
      <c r="U33" s="94"/>
      <c r="V33" s="94"/>
      <c r="W33" s="94"/>
      <c r="X33" s="94"/>
      <c r="Y33" s="94"/>
      <c r="Z33" s="94"/>
    </row>
    <row r="34" spans="2:26" ht="18" customHeight="1" x14ac:dyDescent="0.15">
      <c r="B34" s="129"/>
      <c r="C34" s="130"/>
      <c r="D34" s="82"/>
      <c r="E34" s="113"/>
      <c r="F34" s="83"/>
      <c r="G34" s="84"/>
      <c r="H34" s="84"/>
      <c r="I34" s="84"/>
      <c r="J34" s="84"/>
      <c r="K34" s="84"/>
      <c r="L34" s="84"/>
      <c r="M34" s="84"/>
      <c r="N34" s="84"/>
      <c r="O34" s="84"/>
      <c r="P34" s="85"/>
      <c r="Q34" s="86"/>
      <c r="R34" s="84"/>
      <c r="S34" s="84"/>
      <c r="T34" s="84"/>
      <c r="U34" s="84"/>
      <c r="V34" s="84"/>
      <c r="W34" s="84"/>
      <c r="X34" s="84"/>
      <c r="Y34" s="84"/>
      <c r="Z34" s="84"/>
    </row>
    <row r="35" spans="2:26" ht="18" customHeight="1" x14ac:dyDescent="0.15">
      <c r="B35" s="129"/>
      <c r="C35" s="130"/>
      <c r="D35" s="82"/>
      <c r="E35" s="113"/>
      <c r="F35" s="83"/>
      <c r="G35" s="84"/>
      <c r="H35" s="84"/>
      <c r="I35" s="84"/>
      <c r="J35" s="84"/>
      <c r="K35" s="84"/>
      <c r="L35" s="84"/>
      <c r="M35" s="84"/>
      <c r="N35" s="84"/>
      <c r="O35" s="84"/>
      <c r="P35" s="85"/>
      <c r="Q35" s="86"/>
      <c r="R35" s="84"/>
      <c r="S35" s="84"/>
      <c r="T35" s="84"/>
      <c r="U35" s="84"/>
      <c r="V35" s="84"/>
      <c r="W35" s="84"/>
      <c r="X35" s="84"/>
      <c r="Y35" s="84"/>
      <c r="Z35" s="84"/>
    </row>
    <row r="36" spans="2:26" ht="18" customHeight="1" x14ac:dyDescent="0.15">
      <c r="B36" s="129"/>
      <c r="C36" s="130"/>
      <c r="D36" s="82"/>
      <c r="E36" s="113"/>
      <c r="F36" s="83"/>
      <c r="G36" s="84"/>
      <c r="H36" s="84"/>
      <c r="I36" s="84"/>
      <c r="J36" s="84"/>
      <c r="K36" s="84"/>
      <c r="L36" s="84"/>
      <c r="M36" s="84"/>
      <c r="N36" s="84"/>
      <c r="O36" s="84"/>
      <c r="P36" s="85"/>
      <c r="Q36" s="86"/>
      <c r="R36" s="84"/>
      <c r="S36" s="84"/>
      <c r="T36" s="84"/>
      <c r="U36" s="84"/>
      <c r="V36" s="84"/>
      <c r="W36" s="84"/>
      <c r="X36" s="84"/>
      <c r="Y36" s="84"/>
      <c r="Z36" s="84"/>
    </row>
    <row r="37" spans="2:26" ht="18" customHeight="1" x14ac:dyDescent="0.15">
      <c r="B37" s="129"/>
      <c r="C37" s="130"/>
      <c r="D37" s="82"/>
      <c r="E37" s="113"/>
      <c r="F37" s="83"/>
      <c r="G37" s="84"/>
      <c r="H37" s="84"/>
      <c r="I37" s="84"/>
      <c r="J37" s="84"/>
      <c r="K37" s="84"/>
      <c r="L37" s="84"/>
      <c r="M37" s="84"/>
      <c r="N37" s="84"/>
      <c r="O37" s="84"/>
      <c r="P37" s="85"/>
      <c r="Q37" s="86"/>
      <c r="R37" s="84"/>
      <c r="S37" s="84"/>
      <c r="T37" s="84"/>
      <c r="U37" s="84"/>
      <c r="V37" s="84"/>
      <c r="W37" s="84"/>
      <c r="X37" s="84"/>
      <c r="Y37" s="84"/>
      <c r="Z37" s="84"/>
    </row>
    <row r="38" spans="2:26" ht="18" customHeight="1" x14ac:dyDescent="0.15">
      <c r="B38" s="129"/>
      <c r="C38" s="130"/>
      <c r="D38" s="82"/>
      <c r="E38" s="113"/>
      <c r="F38" s="83"/>
      <c r="G38" s="84"/>
      <c r="H38" s="84"/>
      <c r="I38" s="84"/>
      <c r="J38" s="84"/>
      <c r="K38" s="84"/>
      <c r="L38" s="84"/>
      <c r="M38" s="84"/>
      <c r="N38" s="84"/>
      <c r="O38" s="84"/>
      <c r="P38" s="85"/>
      <c r="Q38" s="86"/>
      <c r="R38" s="84"/>
      <c r="S38" s="84"/>
      <c r="T38" s="84"/>
      <c r="U38" s="84"/>
      <c r="V38" s="84"/>
      <c r="W38" s="84"/>
      <c r="X38" s="84"/>
      <c r="Y38" s="84"/>
      <c r="Z38" s="84"/>
    </row>
    <row r="39" spans="2:26" ht="18" customHeight="1" x14ac:dyDescent="0.15">
      <c r="B39" s="129"/>
      <c r="C39" s="130"/>
      <c r="D39" s="82"/>
      <c r="E39" s="113"/>
      <c r="F39" s="83"/>
      <c r="G39" s="84"/>
      <c r="H39" s="84"/>
      <c r="I39" s="84"/>
      <c r="J39" s="84"/>
      <c r="K39" s="84"/>
      <c r="L39" s="84"/>
      <c r="M39" s="84"/>
      <c r="N39" s="84"/>
      <c r="O39" s="84"/>
      <c r="P39" s="85"/>
      <c r="Q39" s="86"/>
      <c r="R39" s="84"/>
      <c r="S39" s="84"/>
      <c r="T39" s="84"/>
      <c r="U39" s="84"/>
      <c r="V39" s="84"/>
      <c r="W39" s="84"/>
      <c r="X39" s="84"/>
      <c r="Y39" s="84"/>
      <c r="Z39" s="84"/>
    </row>
    <row r="40" spans="2:26" ht="18" customHeight="1" x14ac:dyDescent="0.15">
      <c r="B40" s="129"/>
      <c r="C40" s="130"/>
      <c r="D40" s="82"/>
      <c r="E40" s="113"/>
      <c r="F40" s="83"/>
      <c r="G40" s="84"/>
      <c r="H40" s="84"/>
      <c r="I40" s="84"/>
      <c r="J40" s="84"/>
      <c r="K40" s="84"/>
      <c r="L40" s="84"/>
      <c r="M40" s="84"/>
      <c r="N40" s="84"/>
      <c r="O40" s="84"/>
      <c r="P40" s="85"/>
      <c r="Q40" s="86"/>
      <c r="R40" s="84"/>
      <c r="S40" s="84"/>
      <c r="T40" s="84"/>
      <c r="U40" s="84"/>
      <c r="V40" s="84"/>
      <c r="W40" s="84"/>
      <c r="X40" s="84"/>
      <c r="Y40" s="84"/>
      <c r="Z40" s="84"/>
    </row>
    <row r="41" spans="2:26" ht="18" customHeight="1" x14ac:dyDescent="0.15">
      <c r="B41" s="129"/>
      <c r="C41" s="130"/>
      <c r="D41" s="82"/>
      <c r="E41" s="113"/>
      <c r="F41" s="83"/>
      <c r="G41" s="84"/>
      <c r="H41" s="84"/>
      <c r="I41" s="84"/>
      <c r="J41" s="84"/>
      <c r="K41" s="84"/>
      <c r="L41" s="84"/>
      <c r="M41" s="84"/>
      <c r="N41" s="84"/>
      <c r="O41" s="84"/>
      <c r="P41" s="85"/>
      <c r="Q41" s="86"/>
      <c r="R41" s="84"/>
      <c r="S41" s="84"/>
      <c r="T41" s="84"/>
      <c r="U41" s="84"/>
      <c r="V41" s="84"/>
      <c r="W41" s="84"/>
      <c r="X41" s="84"/>
      <c r="Y41" s="84"/>
      <c r="Z41" s="84"/>
    </row>
    <row r="42" spans="2:26" ht="18" customHeight="1" x14ac:dyDescent="0.15">
      <c r="B42" s="131"/>
      <c r="C42" s="132"/>
      <c r="D42" s="87"/>
      <c r="E42" s="116"/>
      <c r="F42" s="88"/>
      <c r="G42" s="89"/>
      <c r="H42" s="89"/>
      <c r="I42" s="89"/>
      <c r="J42" s="89"/>
      <c r="K42" s="89"/>
      <c r="L42" s="89"/>
      <c r="M42" s="89"/>
      <c r="N42" s="89"/>
      <c r="O42" s="89"/>
      <c r="P42" s="90"/>
      <c r="Q42" s="91"/>
      <c r="R42" s="89"/>
      <c r="S42" s="89"/>
      <c r="T42" s="89"/>
      <c r="U42" s="89"/>
      <c r="V42" s="89"/>
      <c r="W42" s="89"/>
      <c r="X42" s="89"/>
      <c r="Y42" s="89"/>
      <c r="Z42" s="89"/>
    </row>
    <row r="43" spans="2:26" ht="18" customHeight="1" x14ac:dyDescent="0.15">
      <c r="B43" s="133" t="s">
        <v>127</v>
      </c>
      <c r="C43" s="134"/>
      <c r="D43" s="82"/>
      <c r="E43" s="113"/>
      <c r="F43" s="83"/>
      <c r="G43" s="84"/>
      <c r="H43" s="84"/>
      <c r="I43" s="84"/>
      <c r="J43" s="84"/>
      <c r="K43" s="84"/>
      <c r="L43" s="84"/>
      <c r="M43" s="84"/>
      <c r="N43" s="84"/>
      <c r="O43" s="84"/>
      <c r="P43" s="85"/>
      <c r="Q43" s="86"/>
      <c r="R43" s="84"/>
      <c r="S43" s="84"/>
      <c r="T43" s="84"/>
      <c r="U43" s="84"/>
      <c r="V43" s="84"/>
      <c r="W43" s="84"/>
      <c r="X43" s="84"/>
      <c r="Y43" s="84"/>
      <c r="Z43" s="84"/>
    </row>
    <row r="44" spans="2:26" ht="18" customHeight="1" x14ac:dyDescent="0.15">
      <c r="B44" s="133"/>
      <c r="C44" s="134"/>
      <c r="D44" s="82"/>
      <c r="E44" s="113"/>
      <c r="F44" s="83"/>
      <c r="G44" s="84"/>
      <c r="H44" s="84"/>
      <c r="I44" s="84"/>
      <c r="J44" s="84"/>
      <c r="K44" s="84"/>
      <c r="L44" s="84"/>
      <c r="M44" s="84"/>
      <c r="N44" s="84"/>
      <c r="O44" s="84"/>
      <c r="P44" s="85"/>
      <c r="Q44" s="86"/>
      <c r="R44" s="84"/>
      <c r="S44" s="84"/>
      <c r="T44" s="84"/>
      <c r="U44" s="84"/>
      <c r="V44" s="84"/>
      <c r="W44" s="84"/>
      <c r="X44" s="84"/>
      <c r="Y44" s="84"/>
      <c r="Z44" s="84"/>
    </row>
    <row r="45" spans="2:26" ht="18" customHeight="1" x14ac:dyDescent="0.15">
      <c r="B45" s="133"/>
      <c r="C45" s="134"/>
      <c r="D45" s="82"/>
      <c r="E45" s="113"/>
      <c r="F45" s="83"/>
      <c r="G45" s="84"/>
      <c r="H45" s="84"/>
      <c r="I45" s="84"/>
      <c r="J45" s="84"/>
      <c r="K45" s="84"/>
      <c r="L45" s="84"/>
      <c r="M45" s="84"/>
      <c r="N45" s="84"/>
      <c r="O45" s="84"/>
      <c r="P45" s="85"/>
      <c r="Q45" s="86"/>
      <c r="R45" s="84"/>
      <c r="S45" s="84"/>
      <c r="T45" s="84"/>
      <c r="U45" s="84"/>
      <c r="V45" s="84"/>
      <c r="W45" s="84"/>
      <c r="X45" s="84"/>
      <c r="Y45" s="84"/>
      <c r="Z45" s="84"/>
    </row>
    <row r="46" spans="2:26" ht="18" customHeight="1" x14ac:dyDescent="0.15">
      <c r="B46" s="133"/>
      <c r="C46" s="134"/>
      <c r="D46" s="82"/>
      <c r="E46" s="113"/>
      <c r="F46" s="83"/>
      <c r="G46" s="84"/>
      <c r="H46" s="84"/>
      <c r="I46" s="84"/>
      <c r="J46" s="84"/>
      <c r="K46" s="84"/>
      <c r="L46" s="84"/>
      <c r="M46" s="84"/>
      <c r="N46" s="84"/>
      <c r="O46" s="84"/>
      <c r="P46" s="85"/>
      <c r="Q46" s="86"/>
      <c r="R46" s="84"/>
      <c r="S46" s="84"/>
      <c r="T46" s="84"/>
      <c r="U46" s="84"/>
      <c r="V46" s="84"/>
      <c r="W46" s="84"/>
      <c r="X46" s="84"/>
      <c r="Y46" s="84"/>
      <c r="Z46" s="84"/>
    </row>
    <row r="47" spans="2:26" ht="18" customHeight="1" x14ac:dyDescent="0.15">
      <c r="B47" s="133"/>
      <c r="C47" s="134"/>
      <c r="D47" s="82"/>
      <c r="E47" s="113"/>
      <c r="F47" s="83"/>
      <c r="G47" s="84"/>
      <c r="H47" s="84"/>
      <c r="I47" s="84"/>
      <c r="J47" s="84"/>
      <c r="K47" s="84"/>
      <c r="L47" s="84"/>
      <c r="M47" s="84"/>
      <c r="N47" s="84"/>
      <c r="O47" s="84"/>
      <c r="P47" s="85"/>
      <c r="Q47" s="86"/>
      <c r="R47" s="84"/>
      <c r="S47" s="84"/>
      <c r="T47" s="84"/>
      <c r="U47" s="84"/>
      <c r="V47" s="84"/>
      <c r="W47" s="84"/>
      <c r="X47" s="84"/>
      <c r="Y47" s="84"/>
      <c r="Z47" s="84"/>
    </row>
    <row r="48" spans="2:26" ht="18" customHeight="1" x14ac:dyDescent="0.15">
      <c r="B48" s="133"/>
      <c r="C48" s="134"/>
      <c r="D48" s="82"/>
      <c r="E48" s="113"/>
      <c r="F48" s="83"/>
      <c r="G48" s="84"/>
      <c r="H48" s="84"/>
      <c r="I48" s="84"/>
      <c r="J48" s="84"/>
      <c r="K48" s="84"/>
      <c r="L48" s="84"/>
      <c r="M48" s="84"/>
      <c r="N48" s="84"/>
      <c r="O48" s="84"/>
      <c r="P48" s="85"/>
      <c r="Q48" s="86"/>
      <c r="R48" s="84"/>
      <c r="S48" s="84"/>
      <c r="T48" s="84"/>
      <c r="U48" s="84"/>
      <c r="V48" s="84"/>
      <c r="W48" s="84"/>
      <c r="X48" s="84"/>
      <c r="Y48" s="84"/>
      <c r="Z48" s="84"/>
    </row>
    <row r="49" spans="1:26" ht="18" customHeight="1" x14ac:dyDescent="0.15">
      <c r="B49" s="133"/>
      <c r="C49" s="134"/>
      <c r="D49" s="82"/>
      <c r="E49" s="113"/>
      <c r="F49" s="83"/>
      <c r="G49" s="84"/>
      <c r="H49" s="84"/>
      <c r="I49" s="84"/>
      <c r="J49" s="84"/>
      <c r="K49" s="84"/>
      <c r="L49" s="84"/>
      <c r="M49" s="84"/>
      <c r="N49" s="84"/>
      <c r="O49" s="84"/>
      <c r="P49" s="85"/>
      <c r="Q49" s="86"/>
      <c r="R49" s="84"/>
      <c r="S49" s="84"/>
      <c r="T49" s="84"/>
      <c r="U49" s="84"/>
      <c r="V49" s="84"/>
      <c r="W49" s="84"/>
      <c r="X49" s="84"/>
      <c r="Y49" s="84"/>
      <c r="Z49" s="84"/>
    </row>
    <row r="50" spans="1:26" ht="18" customHeight="1" x14ac:dyDescent="0.15">
      <c r="B50" s="133"/>
      <c r="C50" s="134"/>
      <c r="D50" s="82"/>
      <c r="E50" s="113"/>
      <c r="F50" s="83"/>
      <c r="G50" s="84"/>
      <c r="H50" s="84"/>
      <c r="I50" s="84"/>
      <c r="J50" s="84"/>
      <c r="K50" s="84"/>
      <c r="L50" s="84"/>
      <c r="M50" s="84"/>
      <c r="N50" s="84"/>
      <c r="O50" s="84"/>
      <c r="P50" s="85"/>
      <c r="Q50" s="86"/>
      <c r="R50" s="84"/>
      <c r="S50" s="84"/>
      <c r="T50" s="84"/>
      <c r="U50" s="84"/>
      <c r="V50" s="84"/>
      <c r="W50" s="84"/>
      <c r="X50" s="84"/>
      <c r="Y50" s="84"/>
      <c r="Z50" s="84"/>
    </row>
    <row r="51" spans="1:26" ht="18" customHeight="1" x14ac:dyDescent="0.15">
      <c r="B51" s="133"/>
      <c r="C51" s="134"/>
      <c r="D51" s="82"/>
      <c r="E51" s="113"/>
      <c r="F51" s="83"/>
      <c r="G51" s="84"/>
      <c r="H51" s="84"/>
      <c r="I51" s="84"/>
      <c r="J51" s="84"/>
      <c r="K51" s="84"/>
      <c r="L51" s="84"/>
      <c r="M51" s="84"/>
      <c r="N51" s="84"/>
      <c r="O51" s="84"/>
      <c r="P51" s="85"/>
      <c r="Q51" s="86"/>
      <c r="R51" s="84"/>
      <c r="S51" s="84"/>
      <c r="T51" s="84"/>
      <c r="U51" s="84"/>
      <c r="V51" s="84"/>
      <c r="W51" s="84"/>
      <c r="X51" s="84"/>
      <c r="Y51" s="84"/>
      <c r="Z51" s="84"/>
    </row>
    <row r="52" spans="1:26" ht="18" customHeight="1" thickBot="1" x14ac:dyDescent="0.2">
      <c r="B52" s="135"/>
      <c r="C52" s="136"/>
      <c r="D52" s="87"/>
      <c r="E52" s="116"/>
      <c r="F52" s="97"/>
      <c r="G52" s="98"/>
      <c r="H52" s="98"/>
      <c r="I52" s="98"/>
      <c r="J52" s="98"/>
      <c r="K52" s="98"/>
      <c r="L52" s="98"/>
      <c r="M52" s="98"/>
      <c r="N52" s="98"/>
      <c r="O52" s="98"/>
      <c r="P52" s="99"/>
      <c r="Q52" s="91"/>
      <c r="R52" s="89"/>
      <c r="S52" s="89"/>
      <c r="T52" s="89"/>
      <c r="U52" s="89"/>
      <c r="V52" s="89"/>
      <c r="W52" s="89"/>
      <c r="X52" s="89"/>
      <c r="Y52" s="89"/>
      <c r="Z52" s="89"/>
    </row>
    <row r="53" spans="1:26" ht="18" customHeight="1" x14ac:dyDescent="0.15">
      <c r="A53" s="12"/>
      <c r="B53" s="41"/>
      <c r="C53" s="41"/>
      <c r="D53" s="41"/>
      <c r="E53" s="41"/>
      <c r="F53" s="41"/>
      <c r="G53" s="22"/>
      <c r="H53" s="22"/>
      <c r="I53" s="22"/>
      <c r="J53" s="22"/>
      <c r="K53" s="22"/>
      <c r="L53" s="22"/>
      <c r="M53" s="22"/>
      <c r="N53" s="22"/>
      <c r="O53" s="22"/>
      <c r="P53" s="41"/>
      <c r="Q53" s="41"/>
      <c r="R53" s="41"/>
      <c r="S53" s="41"/>
      <c r="T53" s="41"/>
      <c r="U53" s="41"/>
      <c r="V53" s="41"/>
      <c r="W53" s="22"/>
      <c r="X53" s="22"/>
      <c r="Y53" s="22"/>
      <c r="Z53" s="22"/>
    </row>
    <row r="54" spans="1:26" ht="18.75" customHeight="1" x14ac:dyDescent="0.15">
      <c r="A54" s="8" t="s">
        <v>115</v>
      </c>
    </row>
    <row r="55" spans="1:26" ht="18.75" customHeight="1" x14ac:dyDescent="0.15">
      <c r="B55" s="140" t="s">
        <v>49</v>
      </c>
      <c r="C55" s="141"/>
      <c r="D55" s="4" t="s">
        <v>128</v>
      </c>
    </row>
    <row r="56" spans="1:26" ht="79.900000000000006" customHeight="1" x14ac:dyDescent="0.15">
      <c r="B56" s="137" t="s">
        <v>55</v>
      </c>
      <c r="C56" s="100" t="s">
        <v>50</v>
      </c>
      <c r="D56" s="118" t="s">
        <v>165</v>
      </c>
      <c r="E56" s="101"/>
      <c r="F56" s="101"/>
      <c r="G56" s="101"/>
      <c r="H56" s="101"/>
      <c r="I56" s="101"/>
      <c r="J56" s="101"/>
      <c r="K56" s="101"/>
      <c r="L56" s="101"/>
      <c r="M56" s="101"/>
      <c r="N56" s="101"/>
      <c r="O56" s="101"/>
      <c r="P56" s="101"/>
      <c r="Q56" s="101"/>
      <c r="R56" s="101"/>
      <c r="S56" s="101"/>
      <c r="T56" s="101"/>
      <c r="U56" s="101"/>
      <c r="V56" s="101"/>
      <c r="W56" s="101"/>
      <c r="X56" s="101"/>
      <c r="Y56" s="101"/>
      <c r="Z56" s="101"/>
    </row>
    <row r="57" spans="1:26" ht="79.900000000000006" customHeight="1" x14ac:dyDescent="0.15">
      <c r="B57" s="138"/>
      <c r="C57" s="102" t="s">
        <v>67</v>
      </c>
      <c r="D57" s="119" t="s">
        <v>166</v>
      </c>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79.900000000000006" customHeight="1" x14ac:dyDescent="0.15">
      <c r="B58" s="137" t="s">
        <v>56</v>
      </c>
      <c r="C58" s="104" t="s">
        <v>61</v>
      </c>
      <c r="D58" s="123" t="s">
        <v>175</v>
      </c>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79.900000000000006" customHeight="1" x14ac:dyDescent="0.15">
      <c r="B59" s="139"/>
      <c r="C59" s="105" t="s">
        <v>62</v>
      </c>
      <c r="D59" s="124" t="s">
        <v>167</v>
      </c>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79.900000000000006" customHeight="1" x14ac:dyDescent="0.15">
      <c r="B60" s="137" t="s">
        <v>57</v>
      </c>
      <c r="C60" s="104" t="s">
        <v>63</v>
      </c>
      <c r="D60" s="126" t="s">
        <v>168</v>
      </c>
      <c r="E60" s="103"/>
      <c r="F60" s="103"/>
      <c r="G60" s="103"/>
      <c r="H60" s="103"/>
      <c r="I60" s="103"/>
      <c r="J60" s="103"/>
      <c r="K60" s="103"/>
      <c r="L60" s="103"/>
      <c r="M60" s="103"/>
      <c r="N60" s="103"/>
      <c r="O60" s="103"/>
      <c r="P60" s="103"/>
      <c r="Q60" s="103"/>
      <c r="R60" s="103"/>
      <c r="S60" s="103"/>
      <c r="T60" s="103"/>
      <c r="U60" s="103"/>
      <c r="V60" s="103"/>
      <c r="W60" s="103"/>
      <c r="X60" s="103"/>
      <c r="Y60" s="103"/>
      <c r="Z60" s="103"/>
    </row>
    <row r="61" spans="1:26" ht="79.900000000000006" customHeight="1" x14ac:dyDescent="0.15">
      <c r="B61" s="139"/>
      <c r="C61" s="106" t="s">
        <v>64</v>
      </c>
      <c r="D61" s="120" t="s">
        <v>169</v>
      </c>
      <c r="E61" s="103"/>
      <c r="F61" s="103"/>
      <c r="G61" s="103"/>
      <c r="H61" s="103"/>
      <c r="I61" s="103"/>
      <c r="J61" s="103"/>
      <c r="K61" s="103"/>
      <c r="L61" s="103"/>
      <c r="M61" s="103"/>
      <c r="N61" s="103"/>
      <c r="O61" s="103"/>
      <c r="P61" s="103"/>
      <c r="Q61" s="103"/>
      <c r="R61" s="103"/>
      <c r="S61" s="103"/>
      <c r="T61" s="103"/>
      <c r="U61" s="103"/>
      <c r="V61" s="103"/>
      <c r="W61" s="103"/>
      <c r="X61" s="103"/>
      <c r="Y61" s="103"/>
      <c r="Z61" s="103"/>
    </row>
    <row r="62" spans="1:26" ht="138" customHeight="1" x14ac:dyDescent="0.15">
      <c r="B62" s="137" t="s">
        <v>68</v>
      </c>
      <c r="C62" s="100" t="s">
        <v>52</v>
      </c>
      <c r="D62" s="118" t="s">
        <v>170</v>
      </c>
      <c r="E62" s="103"/>
      <c r="F62" s="103"/>
      <c r="G62" s="103"/>
      <c r="H62" s="103"/>
      <c r="I62" s="103"/>
      <c r="J62" s="103"/>
      <c r="K62" s="103"/>
      <c r="L62" s="103"/>
      <c r="M62" s="103"/>
      <c r="N62" s="103"/>
      <c r="O62" s="103"/>
      <c r="P62" s="103"/>
      <c r="Q62" s="103"/>
      <c r="R62" s="103"/>
      <c r="S62" s="103"/>
      <c r="T62" s="103"/>
      <c r="U62" s="103"/>
      <c r="V62" s="103"/>
      <c r="W62" s="103"/>
      <c r="X62" s="103"/>
      <c r="Y62" s="103"/>
      <c r="Z62" s="103"/>
    </row>
    <row r="63" spans="1:26" ht="100.5" customHeight="1" x14ac:dyDescent="0.15">
      <c r="B63" s="139"/>
      <c r="C63" s="105" t="s">
        <v>54</v>
      </c>
      <c r="D63" s="120" t="s">
        <v>171</v>
      </c>
      <c r="E63" s="103"/>
      <c r="F63" s="103"/>
      <c r="G63" s="103"/>
      <c r="H63" s="103"/>
      <c r="I63" s="103"/>
      <c r="J63" s="103"/>
      <c r="K63" s="103"/>
      <c r="L63" s="103"/>
      <c r="M63" s="103"/>
      <c r="N63" s="103"/>
      <c r="O63" s="103"/>
      <c r="P63" s="103"/>
      <c r="Q63" s="103"/>
      <c r="R63" s="103"/>
      <c r="S63" s="103"/>
      <c r="T63" s="103"/>
      <c r="U63" s="103"/>
      <c r="V63" s="103"/>
      <c r="W63" s="103"/>
      <c r="X63" s="103"/>
      <c r="Y63" s="103"/>
      <c r="Z63" s="103"/>
    </row>
    <row r="64" spans="1:26" ht="112.5" x14ac:dyDescent="0.15">
      <c r="B64" s="137" t="s">
        <v>69</v>
      </c>
      <c r="C64" s="104" t="s">
        <v>51</v>
      </c>
      <c r="D64" s="118" t="s">
        <v>172</v>
      </c>
      <c r="E64" s="103"/>
      <c r="F64" s="103"/>
      <c r="G64" s="103"/>
      <c r="H64" s="103"/>
      <c r="I64" s="103"/>
      <c r="J64" s="103"/>
      <c r="K64" s="103"/>
      <c r="L64" s="103"/>
      <c r="M64" s="103"/>
      <c r="N64" s="103"/>
      <c r="O64" s="103"/>
      <c r="P64" s="103"/>
      <c r="Q64" s="103"/>
      <c r="R64" s="103"/>
      <c r="S64" s="103"/>
      <c r="T64" s="103"/>
      <c r="U64" s="103"/>
      <c r="V64" s="103"/>
      <c r="W64" s="103"/>
      <c r="X64" s="103"/>
      <c r="Y64" s="103"/>
      <c r="Z64" s="103"/>
    </row>
    <row r="65" spans="1:26" ht="79.900000000000006" customHeight="1" x14ac:dyDescent="0.15">
      <c r="B65" s="138"/>
      <c r="C65" s="107" t="s">
        <v>65</v>
      </c>
      <c r="D65" s="125" t="s">
        <v>173</v>
      </c>
      <c r="E65" s="108"/>
      <c r="F65" s="108"/>
      <c r="G65" s="108"/>
      <c r="H65" s="108"/>
      <c r="I65" s="108"/>
      <c r="J65" s="108"/>
      <c r="K65" s="108"/>
      <c r="L65" s="108"/>
      <c r="M65" s="108"/>
      <c r="N65" s="108"/>
      <c r="O65" s="108"/>
      <c r="P65" s="108"/>
      <c r="Q65" s="108"/>
      <c r="R65" s="108"/>
      <c r="S65" s="108"/>
      <c r="T65" s="108"/>
      <c r="U65" s="108"/>
      <c r="V65" s="108"/>
      <c r="W65" s="108"/>
      <c r="X65" s="108"/>
      <c r="Y65" s="108"/>
      <c r="Z65" s="108"/>
    </row>
    <row r="66" spans="1:26" ht="79.900000000000006" customHeight="1" x14ac:dyDescent="0.15">
      <c r="B66" s="139"/>
      <c r="C66" s="106" t="s">
        <v>66</v>
      </c>
      <c r="D66" s="121" t="s">
        <v>174</v>
      </c>
      <c r="E66" s="108"/>
      <c r="F66" s="108"/>
      <c r="G66" s="108"/>
      <c r="H66" s="108"/>
      <c r="I66" s="108"/>
      <c r="J66" s="108"/>
      <c r="K66" s="108"/>
      <c r="L66" s="108"/>
      <c r="M66" s="108"/>
      <c r="N66" s="108"/>
      <c r="O66" s="108"/>
      <c r="P66" s="108"/>
      <c r="Q66" s="108"/>
      <c r="R66" s="108"/>
      <c r="S66" s="108"/>
      <c r="T66" s="108"/>
      <c r="U66" s="108"/>
      <c r="V66" s="108"/>
      <c r="W66" s="108"/>
      <c r="X66" s="108"/>
      <c r="Y66" s="108"/>
      <c r="Z66" s="108"/>
    </row>
    <row r="67" spans="1:26" ht="6" customHeight="1" x14ac:dyDescent="0.15"/>
    <row r="68" spans="1:26" ht="18.75" customHeight="1" x14ac:dyDescent="0.15">
      <c r="A68" s="8" t="s">
        <v>116</v>
      </c>
    </row>
    <row r="69" spans="1:26" ht="81.75" customHeight="1" x14ac:dyDescent="0.15">
      <c r="B69" s="16"/>
      <c r="C69" s="16"/>
      <c r="D69" s="122" t="s">
        <v>161</v>
      </c>
      <c r="E69" s="16"/>
      <c r="F69" s="16"/>
      <c r="G69" s="16"/>
      <c r="H69" s="16"/>
      <c r="I69" s="16"/>
      <c r="J69" s="16"/>
      <c r="K69" s="16"/>
      <c r="L69" s="16"/>
      <c r="M69" s="16"/>
      <c r="N69" s="16"/>
      <c r="O69" s="16"/>
      <c r="P69" s="16"/>
      <c r="Q69" s="16"/>
      <c r="R69" s="16"/>
      <c r="S69" s="16"/>
      <c r="T69" s="16"/>
      <c r="U69" s="16"/>
      <c r="V69" s="16"/>
      <c r="W69" s="16"/>
      <c r="X69" s="16"/>
      <c r="Y69" s="16"/>
      <c r="Z69" s="16"/>
    </row>
    <row r="72" spans="1:26" ht="18" customHeight="1" x14ac:dyDescent="0.15"/>
  </sheetData>
  <mergeCells count="19">
    <mergeCell ref="B23:C32"/>
    <mergeCell ref="A1:Z1"/>
    <mergeCell ref="A9:B9"/>
    <mergeCell ref="A11:B11"/>
    <mergeCell ref="A13:B13"/>
    <mergeCell ref="A15:B15"/>
    <mergeCell ref="Y3:Z3"/>
    <mergeCell ref="A7:Z7"/>
    <mergeCell ref="B4:C4"/>
    <mergeCell ref="B5:C5"/>
    <mergeCell ref="F21:Z21"/>
    <mergeCell ref="B33:C42"/>
    <mergeCell ref="B43:C52"/>
    <mergeCell ref="B64:B66"/>
    <mergeCell ref="B62:B63"/>
    <mergeCell ref="B55:C55"/>
    <mergeCell ref="B60:B61"/>
    <mergeCell ref="B56:B57"/>
    <mergeCell ref="B58:B59"/>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F23:Z52" xr:uid="{4C0986EB-3601-4249-85F7-B678A400A117}">
      <formula1>"○"</formula1>
    </dataValidation>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54" fitToHeight="0" orientation="landscape" r:id="rId1"/>
  <rowBreaks count="2" manualBreakCount="2">
    <brk id="52" max="25" man="1"/>
    <brk id="67"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Normal="100" zoomScaleSheetLayoutView="100" workbookViewId="0">
      <selection activeCell="G10" sqref="G10"/>
    </sheetView>
  </sheetViews>
  <sheetFormatPr defaultColWidth="9" defaultRowHeight="18.75" customHeight="1" x14ac:dyDescent="0.15"/>
  <cols>
    <col min="1" max="1" width="2.75" style="8" customWidth="1"/>
    <col min="2" max="2" width="27.875" style="8" customWidth="1"/>
    <col min="3" max="3" width="8" style="8" customWidth="1"/>
    <col min="4" max="4" width="8.25" style="8" customWidth="1"/>
    <col min="5" max="19" width="6.125" style="8" customWidth="1"/>
    <col min="20" max="20" width="6.625" style="8" customWidth="1"/>
    <col min="21" max="16384" width="9" style="8"/>
  </cols>
  <sheetData>
    <row r="1" spans="1:22" ht="18" customHeight="1" x14ac:dyDescent="0.15">
      <c r="T1" s="8" t="s">
        <v>84</v>
      </c>
    </row>
    <row r="2" spans="1:22" ht="18" customHeight="1" x14ac:dyDescent="0.15">
      <c r="A2" s="155" t="s">
        <v>94</v>
      </c>
      <c r="B2" s="155"/>
      <c r="C2" s="155"/>
      <c r="D2" s="155"/>
      <c r="E2" s="155"/>
      <c r="F2" s="155"/>
      <c r="G2" s="155"/>
      <c r="H2" s="155"/>
      <c r="I2" s="155"/>
      <c r="J2" s="155"/>
      <c r="K2" s="155"/>
      <c r="L2" s="155"/>
      <c r="M2" s="155"/>
      <c r="N2" s="155"/>
      <c r="O2" s="155"/>
      <c r="P2" s="155"/>
      <c r="Q2" s="155"/>
      <c r="R2" s="155"/>
      <c r="S2" s="155"/>
      <c r="T2" s="155"/>
    </row>
    <row r="3" spans="1:22" ht="7.5" customHeight="1" x14ac:dyDescent="0.15">
      <c r="A3" s="12"/>
      <c r="B3" s="12"/>
      <c r="C3" s="12"/>
      <c r="D3" s="12"/>
      <c r="E3" s="12"/>
      <c r="F3" s="12"/>
      <c r="G3" s="12"/>
      <c r="H3" s="12"/>
      <c r="I3" s="12"/>
      <c r="J3" s="12"/>
      <c r="K3" s="12"/>
      <c r="L3" s="12"/>
      <c r="M3" s="12"/>
      <c r="N3" s="12"/>
      <c r="O3" s="12"/>
      <c r="P3" s="12"/>
      <c r="Q3" s="12"/>
      <c r="R3" s="12"/>
      <c r="S3" s="12"/>
      <c r="T3" s="12"/>
    </row>
    <row r="4" spans="1:22" ht="18" customHeight="1" x14ac:dyDescent="0.15">
      <c r="A4" s="8" t="s">
        <v>71</v>
      </c>
      <c r="C4" s="21" t="s">
        <v>136</v>
      </c>
      <c r="D4" s="8" t="s">
        <v>112</v>
      </c>
      <c r="E4" s="41"/>
      <c r="F4" s="10"/>
      <c r="G4" s="12"/>
      <c r="H4" s="12"/>
      <c r="I4" s="12"/>
      <c r="J4" s="12"/>
      <c r="K4" s="12"/>
      <c r="L4" s="12"/>
      <c r="M4" s="12"/>
      <c r="N4" s="12"/>
      <c r="O4" s="12"/>
      <c r="P4" s="12"/>
      <c r="Q4" s="12"/>
      <c r="R4" s="12"/>
      <c r="S4" s="41"/>
      <c r="T4" s="41"/>
    </row>
    <row r="5" spans="1:22" ht="7.15" customHeight="1" x14ac:dyDescent="0.15">
      <c r="C5" s="22"/>
      <c r="D5" s="22"/>
      <c r="E5" s="22"/>
      <c r="F5" s="12"/>
      <c r="G5" s="12"/>
      <c r="H5" s="12"/>
      <c r="I5" s="12"/>
      <c r="J5" s="12"/>
      <c r="K5" s="12"/>
      <c r="L5" s="12"/>
      <c r="M5" s="12"/>
      <c r="N5" s="12"/>
      <c r="O5" s="12"/>
      <c r="P5" s="12"/>
      <c r="Q5" s="12"/>
      <c r="R5" s="12"/>
      <c r="S5" s="41"/>
      <c r="T5" s="41"/>
    </row>
    <row r="6" spans="1:22" ht="18" customHeight="1" x14ac:dyDescent="0.15">
      <c r="A6" s="8" t="s">
        <v>110</v>
      </c>
      <c r="B6" s="12"/>
      <c r="C6" s="12"/>
      <c r="D6" s="12"/>
      <c r="E6" s="12"/>
      <c r="F6" s="12"/>
      <c r="G6" s="12"/>
      <c r="H6" s="12"/>
      <c r="I6" s="12"/>
      <c r="J6" s="12"/>
      <c r="K6" s="12"/>
      <c r="L6" s="12"/>
      <c r="M6" s="12"/>
      <c r="N6" s="12"/>
      <c r="O6" s="12"/>
      <c r="P6" s="12"/>
      <c r="Q6" s="12"/>
      <c r="R6" s="12"/>
      <c r="S6" s="12"/>
      <c r="T6" s="12"/>
    </row>
    <row r="7" spans="1:22" ht="6" customHeight="1" x14ac:dyDescent="0.15">
      <c r="B7" s="12"/>
      <c r="C7" s="12"/>
      <c r="D7" s="12"/>
      <c r="E7" s="12"/>
      <c r="F7" s="12"/>
      <c r="G7" s="12"/>
      <c r="H7" s="12"/>
      <c r="I7" s="12"/>
      <c r="J7" s="12"/>
      <c r="K7" s="12"/>
      <c r="L7" s="12"/>
      <c r="M7" s="12"/>
      <c r="N7" s="12"/>
      <c r="O7" s="12"/>
      <c r="P7" s="12"/>
      <c r="Q7" s="12"/>
      <c r="R7" s="12"/>
      <c r="S7" s="12"/>
      <c r="T7" s="12"/>
    </row>
    <row r="8" spans="1:22" ht="18" customHeight="1" x14ac:dyDescent="0.15">
      <c r="B8" s="156" t="s">
        <v>43</v>
      </c>
      <c r="C8" s="152" t="s">
        <v>73</v>
      </c>
      <c r="D8" s="153"/>
      <c r="E8" s="158" t="s">
        <v>45</v>
      </c>
      <c r="F8" s="152" t="s">
        <v>38</v>
      </c>
      <c r="G8" s="154" t="s">
        <v>108</v>
      </c>
      <c r="H8" s="154"/>
      <c r="I8" s="154" t="s">
        <v>92</v>
      </c>
      <c r="J8" s="154"/>
      <c r="K8" s="154" t="s">
        <v>86</v>
      </c>
      <c r="L8" s="154"/>
      <c r="M8" s="154" t="s">
        <v>72</v>
      </c>
      <c r="N8" s="154"/>
      <c r="O8" s="154" t="s">
        <v>46</v>
      </c>
      <c r="P8" s="154"/>
      <c r="Q8" s="154" t="s">
        <v>47</v>
      </c>
      <c r="R8" s="165"/>
      <c r="S8" s="161" t="s">
        <v>35</v>
      </c>
      <c r="T8" s="163" t="s">
        <v>32</v>
      </c>
      <c r="V8" s="13"/>
    </row>
    <row r="9" spans="1:22" ht="16.899999999999999" customHeight="1" x14ac:dyDescent="0.15">
      <c r="B9" s="157"/>
      <c r="C9" s="1"/>
      <c r="D9" s="2" t="s">
        <v>111</v>
      </c>
      <c r="E9" s="159"/>
      <c r="F9" s="160"/>
      <c r="G9" s="40" t="s">
        <v>79</v>
      </c>
      <c r="H9" s="40" t="s">
        <v>29</v>
      </c>
      <c r="I9" s="40" t="s">
        <v>79</v>
      </c>
      <c r="J9" s="40" t="s">
        <v>29</v>
      </c>
      <c r="K9" s="40" t="s">
        <v>79</v>
      </c>
      <c r="L9" s="40" t="s">
        <v>29</v>
      </c>
      <c r="M9" s="40" t="s">
        <v>79</v>
      </c>
      <c r="N9" s="40" t="s">
        <v>29</v>
      </c>
      <c r="O9" s="40" t="s">
        <v>79</v>
      </c>
      <c r="P9" s="40" t="s">
        <v>29</v>
      </c>
      <c r="Q9" s="40" t="s">
        <v>79</v>
      </c>
      <c r="R9" s="40" t="s">
        <v>29</v>
      </c>
      <c r="S9" s="162"/>
      <c r="T9" s="164"/>
      <c r="V9" s="13"/>
    </row>
    <row r="10" spans="1:22" ht="18" customHeight="1" x14ac:dyDescent="0.15">
      <c r="A10" s="41"/>
      <c r="B10" s="42" t="s">
        <v>137</v>
      </c>
      <c r="C10" s="58">
        <v>304</v>
      </c>
      <c r="D10" s="64">
        <v>252</v>
      </c>
      <c r="E10" s="57">
        <v>90</v>
      </c>
      <c r="F10" s="58">
        <v>340</v>
      </c>
      <c r="G10" s="58">
        <v>74</v>
      </c>
      <c r="H10" s="58">
        <v>73</v>
      </c>
      <c r="I10" s="58">
        <v>69</v>
      </c>
      <c r="J10" s="58">
        <v>62</v>
      </c>
      <c r="K10" s="58"/>
      <c r="L10" s="58"/>
      <c r="M10" s="58"/>
      <c r="N10" s="58"/>
      <c r="O10" s="58"/>
      <c r="P10" s="58"/>
      <c r="Q10" s="58"/>
      <c r="R10" s="58"/>
      <c r="S10" s="3">
        <f>G10+I10+K10+M10+O10+Q10</f>
        <v>143</v>
      </c>
      <c r="T10" s="43">
        <f>S10/F10</f>
        <v>0.42058823529411765</v>
      </c>
    </row>
    <row r="11" spans="1:22" ht="18" customHeight="1" x14ac:dyDescent="0.15">
      <c r="A11" s="41"/>
      <c r="B11" s="44"/>
      <c r="C11" s="60"/>
      <c r="D11" s="62"/>
      <c r="E11" s="59"/>
      <c r="F11" s="60"/>
      <c r="G11" s="61"/>
      <c r="H11" s="61"/>
      <c r="I11" s="61"/>
      <c r="J11" s="61"/>
      <c r="K11" s="61"/>
      <c r="L11" s="61"/>
      <c r="M11" s="61"/>
      <c r="N11" s="61"/>
      <c r="O11" s="61"/>
      <c r="P11" s="61"/>
      <c r="Q11" s="61"/>
      <c r="R11" s="61"/>
      <c r="S11" s="45">
        <f>G11+K11+M11+O11+Q11</f>
        <v>0</v>
      </c>
      <c r="T11" s="46" t="e">
        <f t="shared" ref="T11:T27" si="0">S11/F11</f>
        <v>#DIV/0!</v>
      </c>
    </row>
    <row r="12" spans="1:22" ht="18" customHeight="1" x14ac:dyDescent="0.15">
      <c r="A12" s="41"/>
      <c r="B12" s="44"/>
      <c r="C12" s="60"/>
      <c r="D12" s="62"/>
      <c r="E12" s="59"/>
      <c r="F12" s="60"/>
      <c r="G12" s="61"/>
      <c r="H12" s="61"/>
      <c r="I12" s="61"/>
      <c r="J12" s="61"/>
      <c r="K12" s="61"/>
      <c r="L12" s="61"/>
      <c r="M12" s="61"/>
      <c r="N12" s="61"/>
      <c r="O12" s="61"/>
      <c r="P12" s="61"/>
      <c r="Q12" s="61"/>
      <c r="R12" s="61"/>
      <c r="S12" s="45">
        <f t="shared" ref="S12:S29" si="1">G12+K12+M12+O12+Q12</f>
        <v>0</v>
      </c>
      <c r="T12" s="47" t="e">
        <f t="shared" si="0"/>
        <v>#DIV/0!</v>
      </c>
    </row>
    <row r="13" spans="1:22" ht="18" customHeight="1" x14ac:dyDescent="0.15">
      <c r="A13" s="41"/>
      <c r="B13" s="44"/>
      <c r="C13" s="60"/>
      <c r="D13" s="62"/>
      <c r="E13" s="59"/>
      <c r="F13" s="60"/>
      <c r="G13" s="61"/>
      <c r="H13" s="61"/>
      <c r="I13" s="61"/>
      <c r="J13" s="61"/>
      <c r="K13" s="61"/>
      <c r="L13" s="61"/>
      <c r="M13" s="61"/>
      <c r="N13" s="61"/>
      <c r="O13" s="61"/>
      <c r="P13" s="61"/>
      <c r="Q13" s="61"/>
      <c r="R13" s="61"/>
      <c r="S13" s="45">
        <f t="shared" si="1"/>
        <v>0</v>
      </c>
      <c r="T13" s="47" t="e">
        <f t="shared" si="0"/>
        <v>#DIV/0!</v>
      </c>
    </row>
    <row r="14" spans="1:22" ht="18" customHeight="1" x14ac:dyDescent="0.15">
      <c r="A14" s="41"/>
      <c r="B14" s="44"/>
      <c r="C14" s="60"/>
      <c r="D14" s="62"/>
      <c r="E14" s="59"/>
      <c r="F14" s="60"/>
      <c r="G14" s="61"/>
      <c r="H14" s="61"/>
      <c r="I14" s="61"/>
      <c r="J14" s="61"/>
      <c r="K14" s="61"/>
      <c r="L14" s="61"/>
      <c r="M14" s="61"/>
      <c r="N14" s="61"/>
      <c r="O14" s="61"/>
      <c r="P14" s="61"/>
      <c r="Q14" s="61"/>
      <c r="R14" s="61"/>
      <c r="S14" s="45">
        <f t="shared" si="1"/>
        <v>0</v>
      </c>
      <c r="T14" s="47" t="e">
        <f t="shared" si="0"/>
        <v>#DIV/0!</v>
      </c>
    </row>
    <row r="15" spans="1:22" ht="18" customHeight="1" x14ac:dyDescent="0.15">
      <c r="A15" s="41"/>
      <c r="B15" s="44"/>
      <c r="C15" s="60"/>
      <c r="D15" s="62"/>
      <c r="E15" s="59"/>
      <c r="F15" s="60"/>
      <c r="G15" s="61"/>
      <c r="H15" s="61"/>
      <c r="I15" s="61"/>
      <c r="J15" s="61"/>
      <c r="K15" s="61"/>
      <c r="L15" s="61"/>
      <c r="M15" s="61"/>
      <c r="N15" s="61"/>
      <c r="O15" s="61"/>
      <c r="P15" s="61"/>
      <c r="Q15" s="61"/>
      <c r="R15" s="61"/>
      <c r="S15" s="45">
        <f t="shared" si="1"/>
        <v>0</v>
      </c>
      <c r="T15" s="47" t="e">
        <f t="shared" si="0"/>
        <v>#DIV/0!</v>
      </c>
    </row>
    <row r="16" spans="1:22" ht="18" customHeight="1" x14ac:dyDescent="0.15">
      <c r="A16" s="41"/>
      <c r="B16" s="44"/>
      <c r="C16" s="60"/>
      <c r="D16" s="62"/>
      <c r="E16" s="59"/>
      <c r="F16" s="60"/>
      <c r="G16" s="61"/>
      <c r="H16" s="61"/>
      <c r="I16" s="61"/>
      <c r="J16" s="61"/>
      <c r="K16" s="61"/>
      <c r="L16" s="61"/>
      <c r="M16" s="61"/>
      <c r="N16" s="61"/>
      <c r="O16" s="61"/>
      <c r="P16" s="61"/>
      <c r="Q16" s="61"/>
      <c r="R16" s="61"/>
      <c r="S16" s="45">
        <f t="shared" si="1"/>
        <v>0</v>
      </c>
      <c r="T16" s="47" t="e">
        <f t="shared" si="0"/>
        <v>#DIV/0!</v>
      </c>
    </row>
    <row r="17" spans="1:20" ht="18" customHeight="1" x14ac:dyDescent="0.15">
      <c r="A17" s="41"/>
      <c r="B17" s="44"/>
      <c r="C17" s="60"/>
      <c r="D17" s="62"/>
      <c r="E17" s="59"/>
      <c r="F17" s="60"/>
      <c r="G17" s="61"/>
      <c r="H17" s="61"/>
      <c r="I17" s="61"/>
      <c r="J17" s="61"/>
      <c r="K17" s="61"/>
      <c r="L17" s="61"/>
      <c r="M17" s="61"/>
      <c r="N17" s="61"/>
      <c r="O17" s="61"/>
      <c r="P17" s="61"/>
      <c r="Q17" s="61"/>
      <c r="R17" s="61"/>
      <c r="S17" s="45">
        <f t="shared" si="1"/>
        <v>0</v>
      </c>
      <c r="T17" s="47" t="e">
        <f t="shared" si="0"/>
        <v>#DIV/0!</v>
      </c>
    </row>
    <row r="18" spans="1:20" ht="18" customHeight="1" x14ac:dyDescent="0.15">
      <c r="A18" s="41"/>
      <c r="B18" s="44"/>
      <c r="C18" s="60"/>
      <c r="D18" s="62"/>
      <c r="E18" s="59"/>
      <c r="F18" s="60"/>
      <c r="G18" s="61"/>
      <c r="H18" s="61"/>
      <c r="I18" s="61"/>
      <c r="J18" s="61"/>
      <c r="K18" s="61"/>
      <c r="L18" s="61"/>
      <c r="M18" s="61"/>
      <c r="N18" s="61"/>
      <c r="O18" s="61"/>
      <c r="P18" s="61"/>
      <c r="Q18" s="61"/>
      <c r="R18" s="61"/>
      <c r="S18" s="45">
        <f t="shared" si="1"/>
        <v>0</v>
      </c>
      <c r="T18" s="47" t="e">
        <f t="shared" si="0"/>
        <v>#DIV/0!</v>
      </c>
    </row>
    <row r="19" spans="1:20" ht="18" customHeight="1" x14ac:dyDescent="0.15">
      <c r="A19" s="41"/>
      <c r="B19" s="44"/>
      <c r="C19" s="60"/>
      <c r="D19" s="62"/>
      <c r="E19" s="59"/>
      <c r="F19" s="60"/>
      <c r="G19" s="61"/>
      <c r="H19" s="61"/>
      <c r="I19" s="61"/>
      <c r="J19" s="61"/>
      <c r="K19" s="61"/>
      <c r="L19" s="61"/>
      <c r="M19" s="61"/>
      <c r="N19" s="61"/>
      <c r="O19" s="61"/>
      <c r="P19" s="61"/>
      <c r="Q19" s="61"/>
      <c r="R19" s="61"/>
      <c r="S19" s="45">
        <f t="shared" si="1"/>
        <v>0</v>
      </c>
      <c r="T19" s="47" t="e">
        <f t="shared" si="0"/>
        <v>#DIV/0!</v>
      </c>
    </row>
    <row r="20" spans="1:20" ht="18" customHeight="1" x14ac:dyDescent="0.15">
      <c r="A20" s="41"/>
      <c r="B20" s="44"/>
      <c r="C20" s="60"/>
      <c r="D20" s="62"/>
      <c r="E20" s="59"/>
      <c r="F20" s="60"/>
      <c r="G20" s="61"/>
      <c r="H20" s="61"/>
      <c r="I20" s="61"/>
      <c r="J20" s="61"/>
      <c r="K20" s="61"/>
      <c r="L20" s="61"/>
      <c r="M20" s="61"/>
      <c r="N20" s="61"/>
      <c r="O20" s="61"/>
      <c r="P20" s="61"/>
      <c r="Q20" s="61"/>
      <c r="R20" s="61"/>
      <c r="S20" s="45">
        <f t="shared" si="1"/>
        <v>0</v>
      </c>
      <c r="T20" s="47" t="e">
        <f t="shared" si="0"/>
        <v>#DIV/0!</v>
      </c>
    </row>
    <row r="21" spans="1:20" ht="18" customHeight="1" x14ac:dyDescent="0.15">
      <c r="A21" s="41"/>
      <c r="B21" s="44"/>
      <c r="C21" s="60"/>
      <c r="D21" s="62"/>
      <c r="E21" s="59"/>
      <c r="F21" s="60"/>
      <c r="G21" s="61"/>
      <c r="H21" s="61"/>
      <c r="I21" s="61"/>
      <c r="J21" s="61"/>
      <c r="K21" s="61"/>
      <c r="L21" s="61"/>
      <c r="M21" s="61"/>
      <c r="N21" s="61"/>
      <c r="O21" s="61"/>
      <c r="P21" s="61"/>
      <c r="Q21" s="61"/>
      <c r="R21" s="61"/>
      <c r="S21" s="45">
        <f t="shared" si="1"/>
        <v>0</v>
      </c>
      <c r="T21" s="47" t="e">
        <f t="shared" si="0"/>
        <v>#DIV/0!</v>
      </c>
    </row>
    <row r="22" spans="1:20" ht="18" customHeight="1" x14ac:dyDescent="0.15">
      <c r="A22" s="41"/>
      <c r="B22" s="44"/>
      <c r="C22" s="60"/>
      <c r="D22" s="62"/>
      <c r="E22" s="59"/>
      <c r="F22" s="60"/>
      <c r="G22" s="61"/>
      <c r="H22" s="61"/>
      <c r="I22" s="61"/>
      <c r="J22" s="61"/>
      <c r="K22" s="61"/>
      <c r="L22" s="61"/>
      <c r="M22" s="61"/>
      <c r="N22" s="61"/>
      <c r="O22" s="61"/>
      <c r="P22" s="61"/>
      <c r="Q22" s="61"/>
      <c r="R22" s="61"/>
      <c r="S22" s="45">
        <f t="shared" si="1"/>
        <v>0</v>
      </c>
      <c r="T22" s="47" t="e">
        <f t="shared" si="0"/>
        <v>#DIV/0!</v>
      </c>
    </row>
    <row r="23" spans="1:20" ht="18" customHeight="1" x14ac:dyDescent="0.15">
      <c r="A23" s="41"/>
      <c r="B23" s="44"/>
      <c r="C23" s="60"/>
      <c r="D23" s="62"/>
      <c r="E23" s="59"/>
      <c r="F23" s="60"/>
      <c r="G23" s="61"/>
      <c r="H23" s="61"/>
      <c r="I23" s="61"/>
      <c r="J23" s="61"/>
      <c r="K23" s="61"/>
      <c r="L23" s="61"/>
      <c r="M23" s="61"/>
      <c r="N23" s="61"/>
      <c r="O23" s="61"/>
      <c r="P23" s="61"/>
      <c r="Q23" s="61"/>
      <c r="R23" s="61"/>
      <c r="S23" s="45">
        <f t="shared" si="1"/>
        <v>0</v>
      </c>
      <c r="T23" s="47" t="e">
        <f t="shared" si="0"/>
        <v>#DIV/0!</v>
      </c>
    </row>
    <row r="24" spans="1:20" ht="18" customHeight="1" x14ac:dyDescent="0.15">
      <c r="A24" s="41"/>
      <c r="B24" s="44"/>
      <c r="C24" s="60"/>
      <c r="D24" s="62"/>
      <c r="E24" s="59"/>
      <c r="F24" s="60"/>
      <c r="G24" s="61"/>
      <c r="H24" s="61"/>
      <c r="I24" s="61"/>
      <c r="J24" s="61"/>
      <c r="K24" s="61"/>
      <c r="L24" s="61"/>
      <c r="M24" s="61"/>
      <c r="N24" s="61"/>
      <c r="O24" s="61"/>
      <c r="P24" s="61"/>
      <c r="Q24" s="61"/>
      <c r="R24" s="61"/>
      <c r="S24" s="45">
        <f t="shared" si="1"/>
        <v>0</v>
      </c>
      <c r="T24" s="47" t="e">
        <f t="shared" si="0"/>
        <v>#DIV/0!</v>
      </c>
    </row>
    <row r="25" spans="1:20" ht="18" customHeight="1" x14ac:dyDescent="0.15">
      <c r="A25" s="41"/>
      <c r="B25" s="44"/>
      <c r="C25" s="60"/>
      <c r="D25" s="62"/>
      <c r="E25" s="59"/>
      <c r="F25" s="60"/>
      <c r="G25" s="61"/>
      <c r="H25" s="61"/>
      <c r="I25" s="61"/>
      <c r="J25" s="61"/>
      <c r="K25" s="61"/>
      <c r="L25" s="61"/>
      <c r="M25" s="61"/>
      <c r="N25" s="61"/>
      <c r="O25" s="61"/>
      <c r="P25" s="61"/>
      <c r="Q25" s="61"/>
      <c r="R25" s="61"/>
      <c r="S25" s="45">
        <f t="shared" si="1"/>
        <v>0</v>
      </c>
      <c r="T25" s="47" t="e">
        <f t="shared" si="0"/>
        <v>#DIV/0!</v>
      </c>
    </row>
    <row r="26" spans="1:20" ht="18" customHeight="1" x14ac:dyDescent="0.15">
      <c r="A26" s="41"/>
      <c r="B26" s="44"/>
      <c r="C26" s="60"/>
      <c r="D26" s="62"/>
      <c r="E26" s="59"/>
      <c r="F26" s="60"/>
      <c r="G26" s="61"/>
      <c r="H26" s="61"/>
      <c r="I26" s="61"/>
      <c r="J26" s="61"/>
      <c r="K26" s="61"/>
      <c r="L26" s="61"/>
      <c r="M26" s="61"/>
      <c r="N26" s="61"/>
      <c r="O26" s="61"/>
      <c r="P26" s="61"/>
      <c r="Q26" s="61"/>
      <c r="R26" s="61"/>
      <c r="S26" s="45">
        <f t="shared" si="1"/>
        <v>0</v>
      </c>
      <c r="T26" s="47" t="e">
        <f t="shared" si="0"/>
        <v>#DIV/0!</v>
      </c>
    </row>
    <row r="27" spans="1:20" ht="18" customHeight="1" x14ac:dyDescent="0.15">
      <c r="A27" s="41"/>
      <c r="B27" s="44"/>
      <c r="C27" s="60"/>
      <c r="D27" s="62"/>
      <c r="E27" s="63"/>
      <c r="F27" s="60"/>
      <c r="G27" s="61"/>
      <c r="H27" s="61"/>
      <c r="I27" s="61"/>
      <c r="J27" s="61"/>
      <c r="K27" s="61"/>
      <c r="L27" s="61"/>
      <c r="M27" s="61"/>
      <c r="N27" s="61"/>
      <c r="O27" s="61"/>
      <c r="P27" s="61"/>
      <c r="Q27" s="61"/>
      <c r="R27" s="61"/>
      <c r="S27" s="45">
        <f t="shared" si="1"/>
        <v>0</v>
      </c>
      <c r="T27" s="47" t="e">
        <f t="shared" si="0"/>
        <v>#DIV/0!</v>
      </c>
    </row>
    <row r="28" spans="1:20" ht="18" customHeight="1" x14ac:dyDescent="0.15">
      <c r="A28" s="41"/>
      <c r="B28" s="44"/>
      <c r="C28" s="60"/>
      <c r="D28" s="62"/>
      <c r="E28" s="63"/>
      <c r="F28" s="60"/>
      <c r="G28" s="61"/>
      <c r="H28" s="61"/>
      <c r="I28" s="61"/>
      <c r="J28" s="61"/>
      <c r="K28" s="61"/>
      <c r="L28" s="61"/>
      <c r="M28" s="61"/>
      <c r="N28" s="61"/>
      <c r="O28" s="61"/>
      <c r="P28" s="61"/>
      <c r="Q28" s="61"/>
      <c r="R28" s="61"/>
      <c r="S28" s="45">
        <f t="shared" si="1"/>
        <v>0</v>
      </c>
      <c r="T28" s="47" t="e">
        <f t="shared" ref="T28:T29" si="2">S28/F28</f>
        <v>#DIV/0!</v>
      </c>
    </row>
    <row r="29" spans="1:20" ht="18" customHeight="1" thickBot="1" x14ac:dyDescent="0.2">
      <c r="A29" s="41"/>
      <c r="B29" s="48"/>
      <c r="C29" s="58"/>
      <c r="D29" s="64"/>
      <c r="E29" s="65"/>
      <c r="F29" s="58"/>
      <c r="G29" s="58"/>
      <c r="H29" s="58"/>
      <c r="I29" s="58"/>
      <c r="J29" s="58"/>
      <c r="K29" s="58"/>
      <c r="L29" s="58"/>
      <c r="M29" s="58"/>
      <c r="N29" s="58"/>
      <c r="O29" s="58"/>
      <c r="P29" s="58"/>
      <c r="Q29" s="58"/>
      <c r="R29" s="58"/>
      <c r="S29" s="3">
        <f t="shared" si="1"/>
        <v>0</v>
      </c>
      <c r="T29" s="47" t="e">
        <f t="shared" si="2"/>
        <v>#DIV/0!</v>
      </c>
    </row>
    <row r="30" spans="1:20" ht="18" customHeight="1" thickTop="1" x14ac:dyDescent="0.15">
      <c r="B30" s="49" t="s">
        <v>33</v>
      </c>
      <c r="C30" s="51">
        <f t="shared" ref="C30" si="3">SUM(C10:C29)</f>
        <v>304</v>
      </c>
      <c r="D30" s="109">
        <f>SUM(D10:D29)</f>
        <v>252</v>
      </c>
      <c r="E30" s="50">
        <f t="shared" ref="E30:G30" si="4">SUM(E10:E29)</f>
        <v>90</v>
      </c>
      <c r="F30" s="51">
        <f t="shared" si="4"/>
        <v>340</v>
      </c>
      <c r="G30" s="51">
        <f t="shared" si="4"/>
        <v>74</v>
      </c>
      <c r="H30" s="51">
        <f t="shared" ref="H30:K30" si="5">SUM(H10:H29)</f>
        <v>73</v>
      </c>
      <c r="I30" s="51">
        <f t="shared" si="5"/>
        <v>69</v>
      </c>
      <c r="J30" s="51">
        <f t="shared" si="5"/>
        <v>62</v>
      </c>
      <c r="K30" s="51">
        <f t="shared" si="5"/>
        <v>0</v>
      </c>
      <c r="L30" s="51">
        <f t="shared" ref="L30:M30" si="6">SUM(L10:L29)</f>
        <v>0</v>
      </c>
      <c r="M30" s="51">
        <f t="shared" si="6"/>
        <v>0</v>
      </c>
      <c r="N30" s="51">
        <f t="shared" ref="N30:S30" si="7">SUM(N10:N29)</f>
        <v>0</v>
      </c>
      <c r="O30" s="51">
        <f t="shared" si="7"/>
        <v>0</v>
      </c>
      <c r="P30" s="51">
        <f t="shared" si="7"/>
        <v>0</v>
      </c>
      <c r="Q30" s="51">
        <f t="shared" si="7"/>
        <v>0</v>
      </c>
      <c r="R30" s="51">
        <f t="shared" si="7"/>
        <v>0</v>
      </c>
      <c r="S30" s="51">
        <f t="shared" si="7"/>
        <v>143</v>
      </c>
      <c r="T30" s="52">
        <f>S30/F30</f>
        <v>0.42058823529411765</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G10:R29 C10:F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8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zoomScale="115" zoomScaleNormal="100" zoomScaleSheetLayoutView="115" workbookViewId="0">
      <selection activeCell="C44" sqref="C44:E44"/>
    </sheetView>
  </sheetViews>
  <sheetFormatPr defaultColWidth="11.375" defaultRowHeight="18.75" customHeight="1" x14ac:dyDescent="0.15"/>
  <cols>
    <col min="1" max="1" width="2.75" style="7" customWidth="1"/>
    <col min="2" max="2" width="8" style="8" customWidth="1"/>
    <col min="3" max="3" width="17.125" style="8" bestFit="1" customWidth="1"/>
    <col min="4" max="4" width="41.625" style="8" customWidth="1"/>
    <col min="5" max="5" width="12.125" style="8" customWidth="1"/>
    <col min="6" max="16384" width="11.375" style="8"/>
  </cols>
  <sheetData>
    <row r="1" spans="1:11" ht="18.75" customHeight="1" x14ac:dyDescent="0.15">
      <c r="A1" s="7" t="s">
        <v>58</v>
      </c>
      <c r="E1" s="9" t="s">
        <v>83</v>
      </c>
    </row>
    <row r="2" spans="1:11" ht="10.9" customHeight="1" x14ac:dyDescent="0.15">
      <c r="E2" s="10"/>
    </row>
    <row r="3" spans="1:11" ht="18.600000000000001" customHeight="1" x14ac:dyDescent="0.15">
      <c r="A3" s="155" t="s">
        <v>36</v>
      </c>
      <c r="B3" s="155"/>
      <c r="C3" s="155"/>
      <c r="D3" s="155"/>
      <c r="E3" s="155"/>
    </row>
    <row r="4" spans="1:11" ht="13.15" customHeight="1" x14ac:dyDescent="0.15">
      <c r="B4" s="12"/>
      <c r="C4" s="12"/>
      <c r="D4" s="12"/>
      <c r="E4" s="12"/>
      <c r="F4" s="8" t="s">
        <v>145</v>
      </c>
    </row>
    <row r="5" spans="1:11" ht="18" customHeight="1" x14ac:dyDescent="0.15">
      <c r="A5" s="8" t="s">
        <v>0</v>
      </c>
      <c r="B5" s="144" t="s">
        <v>76</v>
      </c>
      <c r="C5" s="144"/>
      <c r="D5" s="144"/>
      <c r="E5" s="144"/>
      <c r="F5" s="8" t="s">
        <v>140</v>
      </c>
      <c r="G5" s="8" t="s">
        <v>141</v>
      </c>
      <c r="I5" s="8" t="s">
        <v>139</v>
      </c>
    </row>
    <row r="6" spans="1:11" ht="18.600000000000001" customHeight="1" x14ac:dyDescent="0.15">
      <c r="B6" s="29" t="s">
        <v>77</v>
      </c>
      <c r="C6" s="117">
        <v>34</v>
      </c>
      <c r="D6" s="10" t="s">
        <v>1</v>
      </c>
      <c r="E6" s="14"/>
      <c r="F6" s="8">
        <v>24</v>
      </c>
      <c r="G6" s="8">
        <v>10</v>
      </c>
      <c r="I6" s="8">
        <v>78</v>
      </c>
      <c r="J6" s="8">
        <v>50</v>
      </c>
      <c r="K6" s="8" t="s">
        <v>138</v>
      </c>
    </row>
    <row r="7" spans="1:11" ht="18.600000000000001" customHeight="1" x14ac:dyDescent="0.15">
      <c r="B7" s="29" t="s">
        <v>2</v>
      </c>
      <c r="C7" s="117">
        <v>78</v>
      </c>
      <c r="D7" s="10" t="s">
        <v>1</v>
      </c>
      <c r="E7" s="14"/>
      <c r="J7" s="8">
        <v>28</v>
      </c>
      <c r="K7" s="8" t="s">
        <v>146</v>
      </c>
    </row>
    <row r="8" spans="1:11" ht="18.600000000000001" customHeight="1" x14ac:dyDescent="0.15">
      <c r="B8" s="9"/>
      <c r="C8" s="9"/>
      <c r="D8" s="10"/>
      <c r="E8" s="14"/>
    </row>
    <row r="9" spans="1:11" ht="18" customHeight="1" x14ac:dyDescent="0.15">
      <c r="A9" s="8" t="s">
        <v>3</v>
      </c>
      <c r="B9" s="144" t="s">
        <v>122</v>
      </c>
      <c r="C9" s="144"/>
      <c r="D9" s="144"/>
      <c r="E9" s="144"/>
    </row>
    <row r="10" spans="1:11" ht="18" customHeight="1" x14ac:dyDescent="0.15">
      <c r="A10" s="8"/>
      <c r="B10" s="10"/>
      <c r="C10" s="117">
        <v>2</v>
      </c>
      <c r="D10" s="10" t="s">
        <v>1</v>
      </c>
      <c r="E10" s="10"/>
    </row>
    <row r="11" spans="1:11" ht="9" customHeight="1" x14ac:dyDescent="0.15">
      <c r="B11" s="12"/>
      <c r="C11" s="12"/>
      <c r="D11" s="12"/>
      <c r="E11" s="12"/>
    </row>
    <row r="12" spans="1:11" ht="18" customHeight="1" x14ac:dyDescent="0.15">
      <c r="A12" s="8" t="s">
        <v>4</v>
      </c>
      <c r="B12" s="144" t="s">
        <v>78</v>
      </c>
      <c r="C12" s="144"/>
      <c r="D12" s="144"/>
      <c r="E12" s="144"/>
    </row>
    <row r="13" spans="1:11" ht="18" customHeight="1" x14ac:dyDescent="0.15">
      <c r="C13" s="9" t="s">
        <v>41</v>
      </c>
      <c r="D13" s="67" t="s">
        <v>142</v>
      </c>
      <c r="E13" s="10"/>
    </row>
    <row r="14" spans="1:11" ht="18" customHeight="1" x14ac:dyDescent="0.15">
      <c r="C14" s="9" t="s">
        <v>10</v>
      </c>
      <c r="D14" s="67" t="s">
        <v>143</v>
      </c>
      <c r="E14" s="14"/>
    </row>
    <row r="15" spans="1:11" ht="10.15" customHeight="1" x14ac:dyDescent="0.15">
      <c r="B15" s="9"/>
      <c r="C15" s="10"/>
      <c r="D15" s="14"/>
      <c r="E15" s="14"/>
    </row>
    <row r="16" spans="1:11" ht="18" customHeight="1" x14ac:dyDescent="0.15">
      <c r="A16" s="8" t="s">
        <v>7</v>
      </c>
      <c r="B16" s="144" t="s">
        <v>74</v>
      </c>
      <c r="C16" s="144"/>
      <c r="D16" s="144"/>
      <c r="E16" s="144"/>
    </row>
    <row r="17" spans="1:10" ht="18" customHeight="1" x14ac:dyDescent="0.15">
      <c r="C17" s="9" t="s">
        <v>118</v>
      </c>
      <c r="D17" s="67" t="s">
        <v>144</v>
      </c>
      <c r="E17" s="10"/>
    </row>
    <row r="18" spans="1:10" ht="9" customHeight="1" x14ac:dyDescent="0.15">
      <c r="B18" s="12"/>
      <c r="C18" s="12"/>
      <c r="D18" s="12"/>
      <c r="E18" s="12"/>
    </row>
    <row r="19" spans="1:10" ht="18.75" customHeight="1" x14ac:dyDescent="0.15">
      <c r="A19" s="8" t="s">
        <v>5</v>
      </c>
      <c r="B19" s="143" t="s">
        <v>40</v>
      </c>
      <c r="C19" s="143"/>
      <c r="D19" s="143"/>
      <c r="E19" s="143"/>
    </row>
    <row r="20" spans="1:10" ht="18.75" customHeight="1" x14ac:dyDescent="0.15">
      <c r="A20" s="8"/>
      <c r="C20" s="9" t="s">
        <v>118</v>
      </c>
      <c r="D20" s="67" t="s">
        <v>147</v>
      </c>
      <c r="E20" s="10"/>
    </row>
    <row r="21" spans="1:10" ht="7.5" customHeight="1" x14ac:dyDescent="0.15">
      <c r="B21" s="12"/>
      <c r="C21" s="12"/>
      <c r="D21" s="12"/>
      <c r="E21" s="12"/>
    </row>
    <row r="22" spans="1:10" ht="18.75" customHeight="1" x14ac:dyDescent="0.15">
      <c r="A22" s="8" t="s">
        <v>8</v>
      </c>
      <c r="B22" s="143" t="s">
        <v>25</v>
      </c>
      <c r="C22" s="143"/>
      <c r="D22" s="143"/>
      <c r="E22" s="143"/>
    </row>
    <row r="23" spans="1:10" ht="180" customHeight="1" x14ac:dyDescent="0.15">
      <c r="A23" s="15"/>
      <c r="B23" s="16"/>
      <c r="C23" s="167" t="s">
        <v>148</v>
      </c>
      <c r="D23" s="168"/>
      <c r="E23" s="169"/>
    </row>
    <row r="24" spans="1:10" ht="7.5" customHeight="1" x14ac:dyDescent="0.15">
      <c r="A24" s="15"/>
      <c r="B24" s="15"/>
      <c r="C24" s="15"/>
      <c r="D24" s="15"/>
      <c r="E24" s="15"/>
    </row>
    <row r="25" spans="1:10" ht="18.75" customHeight="1" x14ac:dyDescent="0.15">
      <c r="A25" s="17" t="s">
        <v>6</v>
      </c>
      <c r="B25" s="172" t="s">
        <v>9</v>
      </c>
      <c r="C25" s="173"/>
      <c r="D25" s="173"/>
      <c r="E25" s="173"/>
    </row>
    <row r="26" spans="1:10" ht="180" customHeight="1" x14ac:dyDescent="0.15">
      <c r="A26" s="15"/>
      <c r="B26" s="16"/>
      <c r="C26" s="167" t="s">
        <v>149</v>
      </c>
      <c r="D26" s="168"/>
      <c r="E26" s="169"/>
    </row>
    <row r="27" spans="1:10" ht="7.5" customHeight="1" x14ac:dyDescent="0.15">
      <c r="A27" s="18"/>
      <c r="B27" s="18"/>
      <c r="C27" s="18"/>
      <c r="D27" s="18"/>
      <c r="E27" s="18"/>
    </row>
    <row r="28" spans="1:10" ht="18.75" customHeight="1" x14ac:dyDescent="0.15">
      <c r="A28" s="8" t="s">
        <v>31</v>
      </c>
      <c r="B28" s="143" t="s">
        <v>121</v>
      </c>
      <c r="C28" s="166"/>
      <c r="D28" s="166"/>
      <c r="E28" s="143"/>
    </row>
    <row r="29" spans="1:10" s="12" customFormat="1" ht="18.75" customHeight="1" x14ac:dyDescent="0.15">
      <c r="B29" s="25"/>
      <c r="C29" s="21" t="s">
        <v>123</v>
      </c>
      <c r="D29" s="30">
        <f>IFERROR('様式２ 履修者等数の実績'!T30, "（様式２より自動転記）")</f>
        <v>0.42058823529411765</v>
      </c>
      <c r="E29" s="26"/>
      <c r="F29" s="8"/>
      <c r="I29" s="8"/>
      <c r="J29" s="20"/>
    </row>
    <row r="30" spans="1:10" s="12" customFormat="1" ht="18.75" customHeight="1" x14ac:dyDescent="0.15">
      <c r="B30" s="25"/>
      <c r="C30" s="21" t="s">
        <v>75</v>
      </c>
      <c r="D30" s="30">
        <v>0.75</v>
      </c>
      <c r="E30" s="26"/>
      <c r="F30" s="8"/>
      <c r="I30" s="8"/>
      <c r="J30" s="20"/>
    </row>
    <row r="31" spans="1:10" s="12" customFormat="1" ht="18.75" customHeight="1" x14ac:dyDescent="0.15">
      <c r="B31" s="25"/>
      <c r="C31" s="21" t="s">
        <v>89</v>
      </c>
      <c r="D31" s="30">
        <v>1</v>
      </c>
      <c r="E31" s="26"/>
      <c r="F31" s="8"/>
      <c r="I31" s="8"/>
      <c r="J31" s="20"/>
    </row>
    <row r="32" spans="1:10" s="12" customFormat="1" ht="18.75" customHeight="1" x14ac:dyDescent="0.15">
      <c r="B32" s="22"/>
      <c r="C32" s="19" t="s">
        <v>119</v>
      </c>
      <c r="D32" s="30">
        <v>1</v>
      </c>
      <c r="E32" s="27"/>
      <c r="F32" s="8"/>
      <c r="I32" s="8"/>
      <c r="J32" s="20"/>
    </row>
    <row r="33" spans="1:11" s="12" customFormat="1" ht="18.75" customHeight="1" x14ac:dyDescent="0.15">
      <c r="B33" s="22"/>
      <c r="C33" s="19" t="s">
        <v>120</v>
      </c>
      <c r="D33" s="30">
        <v>1</v>
      </c>
      <c r="E33" s="27"/>
      <c r="F33" s="8"/>
      <c r="I33" s="8"/>
      <c r="J33" s="20"/>
    </row>
    <row r="34" spans="1:11" ht="18.75" customHeight="1" x14ac:dyDescent="0.15">
      <c r="A34" s="8"/>
      <c r="B34" s="171" t="s">
        <v>59</v>
      </c>
      <c r="C34" s="171"/>
      <c r="D34" s="171"/>
      <c r="E34" s="171"/>
      <c r="J34" s="20"/>
      <c r="K34" s="12"/>
    </row>
    <row r="35" spans="1:11" ht="180" customHeight="1" x14ac:dyDescent="0.15">
      <c r="A35" s="8"/>
      <c r="B35" s="16"/>
      <c r="C35" s="167" t="s">
        <v>150</v>
      </c>
      <c r="D35" s="168"/>
      <c r="E35" s="169"/>
      <c r="J35" s="20"/>
      <c r="K35" s="12"/>
    </row>
    <row r="36" spans="1:11" ht="7.5" customHeight="1" x14ac:dyDescent="0.15">
      <c r="A36" s="15"/>
      <c r="B36" s="15"/>
      <c r="C36" s="15"/>
      <c r="D36" s="15"/>
      <c r="E36" s="15"/>
    </row>
    <row r="37" spans="1:11" ht="18.75" customHeight="1" x14ac:dyDescent="0.15">
      <c r="A37" s="17" t="s">
        <v>34</v>
      </c>
      <c r="B37" s="143" t="s">
        <v>37</v>
      </c>
      <c r="C37" s="166"/>
      <c r="D37" s="166"/>
      <c r="E37" s="166"/>
    </row>
    <row r="38" spans="1:11" ht="180" customHeight="1" x14ac:dyDescent="0.15">
      <c r="A38" s="18"/>
      <c r="B38" s="16"/>
      <c r="C38" s="167" t="s">
        <v>151</v>
      </c>
      <c r="D38" s="168"/>
      <c r="E38" s="169"/>
    </row>
    <row r="39" spans="1:11" ht="7.5" customHeight="1" x14ac:dyDescent="0.15">
      <c r="A39" s="18"/>
      <c r="B39" s="18"/>
      <c r="C39" s="18"/>
      <c r="D39" s="18"/>
      <c r="E39" s="18"/>
    </row>
    <row r="40" spans="1:11" ht="18.75" customHeight="1" x14ac:dyDescent="0.15">
      <c r="A40" s="8" t="s">
        <v>11</v>
      </c>
      <c r="B40" s="143" t="s">
        <v>39</v>
      </c>
      <c r="C40" s="166"/>
      <c r="D40" s="166"/>
      <c r="E40" s="166"/>
    </row>
    <row r="41" spans="1:11" ht="180" customHeight="1" x14ac:dyDescent="0.15">
      <c r="A41" s="8"/>
      <c r="B41" s="16"/>
      <c r="C41" s="167" t="s">
        <v>152</v>
      </c>
      <c r="D41" s="168"/>
      <c r="E41" s="169"/>
    </row>
    <row r="42" spans="1:11" ht="7.5" customHeight="1" x14ac:dyDescent="0.15">
      <c r="A42" s="18"/>
      <c r="B42" s="18"/>
      <c r="C42" s="18"/>
      <c r="D42" s="18"/>
      <c r="E42" s="18"/>
    </row>
    <row r="43" spans="1:11" ht="18.75" customHeight="1" x14ac:dyDescent="0.15">
      <c r="A43" s="8" t="s">
        <v>42</v>
      </c>
      <c r="B43" s="143" t="s">
        <v>13</v>
      </c>
      <c r="C43" s="166"/>
      <c r="D43" s="166"/>
      <c r="E43" s="166"/>
    </row>
    <row r="44" spans="1:11" ht="180" customHeight="1" x14ac:dyDescent="0.15">
      <c r="A44" s="8"/>
      <c r="B44" s="16"/>
      <c r="C44" s="167" t="s">
        <v>158</v>
      </c>
      <c r="D44" s="168"/>
      <c r="E44" s="169"/>
    </row>
    <row r="45" spans="1:11" ht="7.5" customHeight="1" x14ac:dyDescent="0.15">
      <c r="A45" s="18"/>
      <c r="B45" s="18"/>
      <c r="C45" s="18"/>
      <c r="D45" s="18"/>
      <c r="E45" s="18"/>
    </row>
    <row r="46" spans="1:11" ht="18.75" customHeight="1" x14ac:dyDescent="0.15">
      <c r="A46" s="8" t="s">
        <v>30</v>
      </c>
      <c r="B46" s="143" t="s">
        <v>44</v>
      </c>
      <c r="C46" s="143"/>
      <c r="D46" s="143"/>
      <c r="E46" s="143"/>
    </row>
    <row r="47" spans="1:11" ht="180" customHeight="1" x14ac:dyDescent="0.15">
      <c r="A47" s="18"/>
      <c r="B47" s="16"/>
      <c r="C47" s="167" t="s">
        <v>159</v>
      </c>
      <c r="D47" s="168"/>
      <c r="E47" s="169"/>
    </row>
    <row r="48" spans="1:11" ht="7.5" customHeight="1" x14ac:dyDescent="0.15">
      <c r="A48" s="18"/>
      <c r="B48" s="23"/>
      <c r="C48" s="23"/>
      <c r="D48" s="23"/>
      <c r="E48" s="23"/>
    </row>
    <row r="49" spans="1:5" ht="18.75" customHeight="1" x14ac:dyDescent="0.15">
      <c r="A49" s="8"/>
      <c r="B49" s="170"/>
      <c r="C49" s="170"/>
      <c r="D49" s="170"/>
      <c r="E49" s="170"/>
    </row>
    <row r="50" spans="1:5" ht="18.75" customHeight="1" x14ac:dyDescent="0.15">
      <c r="A50" s="8"/>
      <c r="B50" s="170"/>
      <c r="C50" s="170"/>
      <c r="D50" s="170"/>
      <c r="E50" s="170"/>
    </row>
    <row r="51" spans="1:5" ht="18.75" customHeight="1" x14ac:dyDescent="0.15">
      <c r="A51" s="18"/>
      <c r="B51" s="16"/>
      <c r="C51" s="16"/>
      <c r="D51" s="16"/>
      <c r="E51" s="24"/>
    </row>
    <row r="52" spans="1:5" ht="18.75" customHeight="1" x14ac:dyDescent="0.15">
      <c r="A52" s="18"/>
      <c r="B52" s="24"/>
      <c r="C52" s="24"/>
      <c r="D52" s="24"/>
      <c r="E52" s="24"/>
    </row>
    <row r="53" spans="1:5" ht="18.75" customHeight="1" x14ac:dyDescent="0.15">
      <c r="A53" s="18"/>
      <c r="B53" s="24"/>
      <c r="C53" s="24"/>
      <c r="D53" s="24"/>
      <c r="E53" s="24"/>
    </row>
    <row r="54" spans="1:5" ht="18.75" customHeight="1" x14ac:dyDescent="0.15">
      <c r="A54" s="18"/>
      <c r="B54" s="24"/>
      <c r="C54" s="24"/>
      <c r="D54" s="24"/>
      <c r="E54" s="24"/>
    </row>
    <row r="55" spans="1:5" ht="18.75" customHeight="1" x14ac:dyDescent="0.15">
      <c r="A55" s="18"/>
      <c r="B55" s="24"/>
      <c r="C55" s="24"/>
      <c r="D55" s="24"/>
      <c r="E55" s="24"/>
    </row>
    <row r="56" spans="1:5" ht="18.75" customHeight="1" x14ac:dyDescent="0.15">
      <c r="A56" s="18"/>
      <c r="B56" s="24"/>
      <c r="C56" s="24"/>
      <c r="D56" s="24"/>
      <c r="E56" s="24"/>
    </row>
    <row r="57" spans="1:5" ht="18.75" customHeight="1" x14ac:dyDescent="0.15">
      <c r="A57" s="18"/>
      <c r="B57" s="24"/>
      <c r="C57" s="24"/>
      <c r="D57" s="24"/>
      <c r="E57" s="24"/>
    </row>
    <row r="58" spans="1:5" ht="18.75" customHeight="1" x14ac:dyDescent="0.15">
      <c r="A58" s="18"/>
      <c r="B58" s="24"/>
      <c r="C58" s="24"/>
      <c r="D58" s="24"/>
      <c r="E58" s="24"/>
    </row>
    <row r="59" spans="1:5" ht="18.75" customHeight="1" x14ac:dyDescent="0.15">
      <c r="A59" s="18"/>
      <c r="B59" s="24"/>
      <c r="C59" s="24"/>
      <c r="D59" s="24"/>
      <c r="E59" s="24"/>
    </row>
    <row r="60" spans="1:5" ht="18.75" customHeight="1" x14ac:dyDescent="0.15">
      <c r="A60" s="18"/>
      <c r="B60" s="24"/>
      <c r="C60" s="24"/>
      <c r="D60" s="24"/>
      <c r="E60" s="24"/>
    </row>
    <row r="61" spans="1:5" ht="14.25" x14ac:dyDescent="0.15">
      <c r="A61" s="18"/>
      <c r="B61" s="24"/>
      <c r="C61" s="24"/>
      <c r="D61" s="24"/>
      <c r="E61" s="24"/>
    </row>
    <row r="62" spans="1:5" ht="7.5" customHeight="1" x14ac:dyDescent="0.15">
      <c r="A62" s="18"/>
      <c r="B62" s="24"/>
      <c r="C62" s="24"/>
      <c r="D62" s="24"/>
      <c r="E62" s="24"/>
    </row>
  </sheetData>
  <mergeCells count="22">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 ref="B40:E40"/>
    <mergeCell ref="B43:E43"/>
    <mergeCell ref="C26:E26"/>
    <mergeCell ref="C35:E35"/>
    <mergeCell ref="C38:E38"/>
    <mergeCell ref="C41:E41"/>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tabSelected="1" view="pageBreakPreview" topLeftCell="B1" zoomScale="90" zoomScaleNormal="100" zoomScaleSheetLayoutView="90" workbookViewId="0">
      <selection activeCell="B1" sqref="B1"/>
    </sheetView>
  </sheetViews>
  <sheetFormatPr defaultColWidth="11.375" defaultRowHeight="22.5" customHeight="1" x14ac:dyDescent="0.15"/>
  <cols>
    <col min="1" max="1" width="5.875" style="8" customWidth="1"/>
    <col min="2" max="2" width="7.25" style="8" customWidth="1"/>
    <col min="3" max="3" width="31.125" style="8" customWidth="1"/>
    <col min="4" max="4" width="77.125" style="8" customWidth="1"/>
    <col min="5" max="5" width="7.625" style="8" bestFit="1" customWidth="1"/>
    <col min="6" max="16384" width="11.375" style="8"/>
  </cols>
  <sheetData>
    <row r="1" spans="1:5" ht="18.75" customHeight="1" x14ac:dyDescent="0.15">
      <c r="A1" s="8" t="s">
        <v>60</v>
      </c>
      <c r="E1" s="9" t="s">
        <v>82</v>
      </c>
    </row>
    <row r="2" spans="1:5" ht="18.75" customHeight="1" x14ac:dyDescent="0.15">
      <c r="A2" s="155" t="s">
        <v>28</v>
      </c>
      <c r="B2" s="155"/>
      <c r="C2" s="155"/>
      <c r="D2" s="155"/>
      <c r="E2" s="155"/>
    </row>
    <row r="3" spans="1:5" ht="18.75" customHeight="1" x14ac:dyDescent="0.15">
      <c r="A3" s="11"/>
      <c r="B3" s="11"/>
      <c r="C3" s="11"/>
      <c r="D3" s="11"/>
    </row>
    <row r="4" spans="1:5" ht="18.75" customHeight="1" x14ac:dyDescent="0.15">
      <c r="A4" s="12" t="s">
        <v>0</v>
      </c>
      <c r="B4" s="174" t="s">
        <v>124</v>
      </c>
      <c r="C4" s="174"/>
      <c r="D4" s="111" t="s">
        <v>155</v>
      </c>
    </row>
    <row r="5" spans="1:5" ht="9" customHeight="1" x14ac:dyDescent="0.15">
      <c r="A5" s="11"/>
      <c r="B5" s="10"/>
      <c r="C5" s="10"/>
      <c r="D5" s="10"/>
    </row>
    <row r="6" spans="1:5" ht="18.75" customHeight="1" x14ac:dyDescent="0.15">
      <c r="A6" s="179" t="s">
        <v>41</v>
      </c>
      <c r="B6" s="180"/>
      <c r="C6" s="67" t="s">
        <v>153</v>
      </c>
    </row>
    <row r="7" spans="1:5" ht="18.75" customHeight="1" x14ac:dyDescent="0.15">
      <c r="A7" s="179" t="s">
        <v>10</v>
      </c>
      <c r="B7" s="180"/>
      <c r="C7" s="67" t="s">
        <v>154</v>
      </c>
      <c r="D7" s="10"/>
    </row>
    <row r="8" spans="1:5" ht="7.5" customHeight="1" x14ac:dyDescent="0.15">
      <c r="A8" s="11"/>
      <c r="B8" s="11"/>
      <c r="C8" s="11"/>
      <c r="D8" s="11"/>
    </row>
    <row r="9" spans="1:5" ht="18.75" customHeight="1" x14ac:dyDescent="0.15">
      <c r="A9" s="12" t="s">
        <v>3</v>
      </c>
      <c r="B9" s="8" t="s">
        <v>27</v>
      </c>
      <c r="C9" s="18"/>
      <c r="D9" s="18"/>
    </row>
    <row r="10" spans="1:5" ht="18.75" customHeight="1" x14ac:dyDescent="0.15">
      <c r="B10" s="148" t="s">
        <v>24</v>
      </c>
      <c r="C10" s="178"/>
      <c r="D10" s="31" t="s">
        <v>26</v>
      </c>
    </row>
    <row r="11" spans="1:5" ht="19.149999999999999" customHeight="1" x14ac:dyDescent="0.15">
      <c r="B11" s="181" t="s">
        <v>14</v>
      </c>
      <c r="C11" s="182"/>
      <c r="D11" s="183"/>
    </row>
    <row r="12" spans="1:5" ht="198" customHeight="1" x14ac:dyDescent="0.15">
      <c r="B12" s="33"/>
      <c r="C12" s="34" t="s">
        <v>15</v>
      </c>
      <c r="D12" s="53" t="s">
        <v>162</v>
      </c>
    </row>
    <row r="13" spans="1:5" ht="198" customHeight="1" x14ac:dyDescent="0.15">
      <c r="B13" s="33"/>
      <c r="C13" s="35" t="s">
        <v>16</v>
      </c>
      <c r="D13" s="53" t="s">
        <v>164</v>
      </c>
    </row>
    <row r="14" spans="1:5" ht="198" customHeight="1" x14ac:dyDescent="0.15">
      <c r="B14" s="33"/>
      <c r="C14" s="34" t="s">
        <v>17</v>
      </c>
      <c r="D14" s="53" t="s">
        <v>176</v>
      </c>
    </row>
    <row r="15" spans="1:5" ht="198" customHeight="1" x14ac:dyDescent="0.15">
      <c r="B15" s="33"/>
      <c r="C15" s="34" t="s">
        <v>18</v>
      </c>
      <c r="D15" s="53" t="s">
        <v>156</v>
      </c>
    </row>
    <row r="16" spans="1:5" ht="198" customHeight="1" x14ac:dyDescent="0.15">
      <c r="B16" s="36"/>
      <c r="C16" s="37" t="s">
        <v>19</v>
      </c>
      <c r="D16" s="54" t="s">
        <v>157</v>
      </c>
    </row>
    <row r="17" spans="2:4" ht="19.149999999999999" customHeight="1" x14ac:dyDescent="0.15">
      <c r="B17" s="32" t="s">
        <v>20</v>
      </c>
      <c r="C17" s="38"/>
      <c r="D17" s="39"/>
    </row>
    <row r="18" spans="2:4" ht="198" customHeight="1" x14ac:dyDescent="0.15">
      <c r="B18" s="33"/>
      <c r="C18" s="34" t="s">
        <v>21</v>
      </c>
      <c r="D18" s="53" t="s">
        <v>177</v>
      </c>
    </row>
    <row r="19" spans="2:4" ht="198" customHeight="1" x14ac:dyDescent="0.15">
      <c r="B19" s="36"/>
      <c r="C19" s="37" t="s">
        <v>22</v>
      </c>
      <c r="D19" s="54" t="s">
        <v>178</v>
      </c>
    </row>
    <row r="20" spans="2:4" ht="198" customHeight="1" x14ac:dyDescent="0.15">
      <c r="B20" s="176" t="s">
        <v>23</v>
      </c>
      <c r="C20" s="177"/>
      <c r="D20" s="55" t="s">
        <v>163</v>
      </c>
    </row>
    <row r="21" spans="2:4" ht="198" customHeight="1" x14ac:dyDescent="0.15">
      <c r="B21" s="175" t="s">
        <v>91</v>
      </c>
      <c r="C21" s="173"/>
      <c r="D21" s="56" t="s">
        <v>179</v>
      </c>
    </row>
    <row r="22" spans="2:4" ht="22.5" customHeight="1" x14ac:dyDescent="0.15">
      <c r="B22" s="18"/>
      <c r="C22" s="18"/>
      <c r="D22" s="18"/>
    </row>
    <row r="23" spans="2:4" ht="22.5" customHeight="1" x14ac:dyDescent="0.15">
      <c r="B23" s="18"/>
      <c r="C23" s="18"/>
      <c r="D23" s="18"/>
    </row>
    <row r="24" spans="2:4" ht="22.5" customHeight="1" x14ac:dyDescent="0.15">
      <c r="B24" s="18"/>
      <c r="C24" s="18"/>
      <c r="D24" s="18"/>
    </row>
    <row r="25" spans="2:4" ht="22.5" customHeight="1" x14ac:dyDescent="0.15">
      <c r="B25" s="18"/>
      <c r="C25" s="18"/>
      <c r="D25" s="18"/>
    </row>
    <row r="26" spans="2:4" ht="22.5" customHeight="1" x14ac:dyDescent="0.15">
      <c r="B26" s="18"/>
      <c r="C26" s="18"/>
      <c r="D26" s="18"/>
    </row>
    <row r="27" spans="2:4" ht="22.5" customHeight="1" x14ac:dyDescent="0.15">
      <c r="B27" s="15"/>
      <c r="C27" s="15"/>
      <c r="D27" s="15"/>
    </row>
    <row r="28" spans="2:4" ht="22.5" customHeight="1" x14ac:dyDescent="0.15">
      <c r="B28" s="15"/>
      <c r="C28" s="15"/>
      <c r="D28" s="15"/>
    </row>
    <row r="29" spans="2:4" ht="22.5" customHeight="1" x14ac:dyDescent="0.15">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7"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2025-10-09T06:43:13Z</dcterms:created>
  <dcterms:modified xsi:type="dcterms:W3CDTF">2025-12-04T09:17:51Z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