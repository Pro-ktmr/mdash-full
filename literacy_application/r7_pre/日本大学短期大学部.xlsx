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14160\Box\【組織】本部-学務部-学務課\070_制度検討・検討データ（変更・制定）\数理・データサイエンス・AI認定制度\R7\☆リテラシーレベル申請関係\令和７年度申請様式関係\☆修正後申請用フォルダ20260108（短期大学部）\"/>
    </mc:Choice>
  </mc:AlternateContent>
  <xr:revisionPtr revIDLastSave="0" documentId="8_{7726A40A-58CF-4F5D-8F35-8279E096BF2E}" xr6:coauthVersionLast="47" xr6:coauthVersionMax="47" xr10:uidLastSave="{00000000-0000-0000-0000-000000000000}"/>
  <bookViews>
    <workbookView xWindow="28680" yWindow="1020" windowWidth="29040" windowHeight="15720" activeTab="1" xr2:uid="{00000000-000D-0000-FFFF-FFFF00000000}"/>
  </bookViews>
  <sheets>
    <sheet name="様式１　構成する授業科目" sheetId="1" r:id="rId1"/>
    <sheet name="様式２ 履修者等数の実績" sheetId="2" r:id="rId2"/>
    <sheet name="様式３ 教育の質・履修者数を向上させる体制・計画" sheetId="3" r:id="rId3"/>
    <sheet name="様式４　自己点検・評価" sheetId="4" r:id="rId4"/>
  </sheets>
  <definedNames>
    <definedName name="_xlnm.Print_Area" localSheetId="1">'様式２ 履修者等数の実績'!$A$1:$U$14</definedName>
    <definedName name="_xlnm.Print_Area" localSheetId="2">'様式３ 教育の質・履修者数を向上させる体制・計画'!$A$1:$F$48</definedName>
    <definedName name="_xlnm.Print_Area" localSheetId="3">'様式４　自己点検・評価'!$A$1:$F$22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H3rZu4xnzHizKqzQXhHufctT8obbjifyUwT2Oey/d3k="/>
    </ext>
  </extLst>
</workbook>
</file>

<file path=xl/calcChain.xml><?xml version="1.0" encoding="utf-8"?>
<calcChain xmlns="http://schemas.openxmlformats.org/spreadsheetml/2006/main">
  <c r="S11" i="2" l="1"/>
  <c r="T11" i="2" s="1"/>
  <c r="R13" i="2"/>
  <c r="Q13" i="2"/>
  <c r="P13" i="2"/>
  <c r="O13" i="2"/>
  <c r="N13" i="2"/>
  <c r="M13" i="2"/>
  <c r="L13" i="2"/>
  <c r="K13" i="2"/>
  <c r="J13" i="2"/>
  <c r="I13" i="2"/>
  <c r="H13" i="2"/>
  <c r="G13" i="2"/>
  <c r="F13" i="2"/>
  <c r="E13" i="2"/>
  <c r="D13" i="2"/>
  <c r="C13" i="2"/>
  <c r="S12" i="2"/>
  <c r="T12" i="2" s="1"/>
  <c r="S10" i="2"/>
  <c r="T10" i="2" s="1"/>
  <c r="S13" i="2" l="1"/>
  <c r="T13" i="2" s="1"/>
  <c r="D29" i="3" s="1"/>
</calcChain>
</file>

<file path=xl/sharedStrings.xml><?xml version="1.0" encoding="utf-8"?>
<sst xmlns="http://schemas.openxmlformats.org/spreadsheetml/2006/main" count="216" uniqueCount="173">
  <si>
    <t>数理・データサイエンス・AI教育プログラム認定制度【リテラシーレベル】令和７年度申請用</t>
  </si>
  <si>
    <t>様式１</t>
  </si>
  <si>
    <t>大学等名</t>
  </si>
  <si>
    <t>プログラム名</t>
  </si>
  <si>
    <t>数理・データサイエンス・ＡＩ教育リテラシープログラム</t>
  </si>
  <si>
    <t>リテラシーレベルのプログラムを構成する授業科目について</t>
  </si>
  <si>
    <t>① 教育プログラムの修了要件</t>
  </si>
  <si>
    <t>学部・学科によって、修了要件は相違しない</t>
  </si>
  <si>
    <t>② 対象となる学部・学科名称</t>
  </si>
  <si>
    <t>③ プログラム履修必須の有無</t>
  </si>
  <si>
    <t>令和１０年度以降に履修必須とする計画、又は未定</t>
  </si>
  <si>
    <t>④ 修了要件</t>
  </si>
  <si>
    <t>プログラムを構成する授業科目「データサイエンスの世界」の２単位を修得すること。</t>
  </si>
  <si>
    <t>⑤プログラム構成科目</t>
  </si>
  <si>
    <t>必要最低科目数・単位数</t>
  </si>
  <si>
    <t>科目</t>
  </si>
  <si>
    <t>単位</t>
  </si>
  <si>
    <t>モデルカリキュラム対応状況</t>
  </si>
  <si>
    <t>授業科目</t>
  </si>
  <si>
    <t>単位数</t>
  </si>
  <si>
    <t>1-1</t>
  </si>
  <si>
    <t>1-2</t>
  </si>
  <si>
    <t>1-3</t>
  </si>
  <si>
    <t>1-4</t>
  </si>
  <si>
    <t>1-5</t>
  </si>
  <si>
    <t>1-6</t>
  </si>
  <si>
    <t>2-1</t>
  </si>
  <si>
    <t>2-2</t>
  </si>
  <si>
    <t>2-3</t>
  </si>
  <si>
    <t>3-1</t>
  </si>
  <si>
    <t>3-2</t>
  </si>
  <si>
    <t>4-1</t>
  </si>
  <si>
    <t>4-2</t>
  </si>
  <si>
    <t>4-3</t>
  </si>
  <si>
    <t>4-4</t>
  </si>
  <si>
    <t>4-5</t>
  </si>
  <si>
    <t>4-6</t>
  </si>
  <si>
    <t>4-7</t>
  </si>
  <si>
    <t>4-8</t>
  </si>
  <si>
    <t>4-9</t>
  </si>
  <si>
    <t>その他</t>
  </si>
  <si>
    <r>
      <rPr>
        <b/>
        <sz val="12"/>
        <color theme="1"/>
        <rFont val="ＭＳ Ｐゴシック"/>
        <family val="3"/>
        <charset val="128"/>
      </rPr>
      <t>（１）必須科目</t>
    </r>
    <r>
      <rPr>
        <sz val="12"/>
        <color theme="1"/>
        <rFont val="ＭＳ Ｐゴシック"/>
        <family val="3"/>
        <charset val="128"/>
      </rPr>
      <t>（プログラムを修了するために必ず履修しなければならない科目）
※卒業要件上の必修科目とは必ずしもイコールではない</t>
    </r>
  </si>
  <si>
    <t>データサイエンスの世界</t>
  </si>
  <si>
    <t>○</t>
  </si>
  <si>
    <r>
      <rPr>
        <b/>
        <sz val="12"/>
        <color theme="1"/>
        <rFont val="ＭＳ Ｐゴシック"/>
        <family val="3"/>
        <charset val="128"/>
      </rPr>
      <t>（２）選択必須科目</t>
    </r>
    <r>
      <rPr>
        <sz val="12"/>
        <color theme="1"/>
        <rFont val="ＭＳ Ｐゴシック"/>
        <family val="3"/>
        <charset val="128"/>
      </rPr>
      <t>（プログラムを修了するために一定の条件のもと履修しなければならない科目）</t>
    </r>
  </si>
  <si>
    <r>
      <rPr>
        <b/>
        <sz val="12"/>
        <color theme="1"/>
        <rFont val="MS PGothic"/>
        <family val="3"/>
        <charset val="128"/>
      </rPr>
      <t>（３）選択科目</t>
    </r>
    <r>
      <rPr>
        <sz val="12"/>
        <color theme="1"/>
        <rFont val="ＭＳ Ｐゴシック"/>
        <family val="3"/>
        <charset val="128"/>
      </rPr>
      <t>（プログラムを構成する科目のうち「必須科目」「選択必須科目」のいずれにも該当しない科目）</t>
    </r>
  </si>
  <si>
    <t>⑥ プログラムを構成する授業の内容</t>
  </si>
  <si>
    <t>授業に含まれている内容・要素</t>
  </si>
  <si>
    <t>授業に含まれているスキルセットのキーワード</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</si>
  <si>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</si>
  <si>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</si>
  <si>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</si>
  <si>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</si>
  <si>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</si>
  <si>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⑦プログラムの学修成果（学生等が身に付けられる能力等）</t>
  </si>
  <si>
    <t>様式２</t>
  </si>
  <si>
    <t>リテラシーレベルのプログラムの履修者数等の実績について</t>
  </si>
  <si>
    <t>①プログラム開設年度</t>
  </si>
  <si>
    <t>令和７</t>
  </si>
  <si>
    <t>年度（和暦）</t>
  </si>
  <si>
    <t>②履修者・修了者の実績（「学生数」「入学定員」「収容定員」は令和７年５月１日時点で記載）</t>
  </si>
  <si>
    <t>学部・学科名称</t>
  </si>
  <si>
    <t>学生数</t>
  </si>
  <si>
    <t>入学
定員</t>
  </si>
  <si>
    <t>収容
定員</t>
  </si>
  <si>
    <t>令和7年度</t>
  </si>
  <si>
    <t>令和6年度</t>
  </si>
  <si>
    <t>令和5年度</t>
  </si>
  <si>
    <t>令和4年度</t>
  </si>
  <si>
    <t>令和3年度</t>
  </si>
  <si>
    <t>令和2年度</t>
  </si>
  <si>
    <t>履修者数
合計</t>
  </si>
  <si>
    <t>履修率</t>
  </si>
  <si>
    <t>うち女性</t>
  </si>
  <si>
    <t>履修者数</t>
  </si>
  <si>
    <t>修了者数</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</si>
  <si>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</si>
  <si>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</si>
  <si>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</si>
  <si>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</si>
  <si>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</si>
  <si>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</si>
  <si>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</si>
  <si>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</si>
  <si>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</si>
  <si>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</si>
  <si>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プログラムの授業を教えている教員数（令和７年度）</t>
  </si>
  <si>
    <t>③</t>
  </si>
  <si>
    <t>プログラムの運営責任者</t>
  </si>
  <si>
    <t>（責任者名）</t>
  </si>
  <si>
    <t>大熊　康典</t>
  </si>
  <si>
    <t>（役職名）</t>
  </si>
  <si>
    <t>生産工学部教授</t>
  </si>
  <si>
    <t>④</t>
  </si>
  <si>
    <t>プログラムを改善・進化させるための体制（委員会・組織等）</t>
  </si>
  <si>
    <t>（名称）</t>
  </si>
  <si>
    <t>学務委員会数理・データサイエンス・ＡＩ教育プログラム検討ワーキンググループ</t>
  </si>
  <si>
    <t>⑤</t>
  </si>
  <si>
    <t>プログラムを改善・進化させるための体制を定める規則名称</t>
  </si>
  <si>
    <t>学務委員会数理・データサイエンス・ＡＩ教育プログラム検討ワーキンググループ設置要項</t>
  </si>
  <si>
    <t>⑥</t>
  </si>
  <si>
    <t>体制の目的</t>
  </si>
  <si>
    <t>⑦</t>
  </si>
  <si>
    <t>具体的な構成員</t>
  </si>
  <si>
    <t>〈リーダー〉
大熊　康典（生産工学部教授）
〈サブリーダー〉
中村　文紀（理工学部准教授）
〈メンバー〉
坂本　力也（法学部教授）
大澤　正彦（文理学部准教授）
佐藤　佑介（商学部教授）
遠山　岳史（理工学部教授）
JEGO Eric Hajime（医学部准教授）
篠田　雅路（歯学部教授）
古賀　徹（通信教育部教授）</t>
  </si>
  <si>
    <t>⑧</t>
  </si>
  <si>
    <t xml:space="preserve">履修者数・履修率の向上に向けた計画 </t>
  </si>
  <si>
    <t>令和８年度予定</t>
  </si>
  <si>
    <t>令和９年度予定</t>
  </si>
  <si>
    <t>令和10年度予定</t>
  </si>
  <si>
    <t>令和11年度予定</t>
  </si>
  <si>
    <t>具体的な計画</t>
  </si>
  <si>
    <t>⑨</t>
  </si>
  <si>
    <t>学部・学科に関係なく希望する学生全員が受講可能となるような必要な体制・取組等</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</si>
  <si>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</si>
  <si>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</si>
  <si>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</si>
  <si>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</si>
  <si>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</si>
  <si>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</si>
  <si>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</si>
  <si>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</si>
  <si>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</si>
  <si>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t>
  </si>
  <si>
    <t>学務委員会数理・データサイエンス・ＡＩ教育プログラム検証ワーキンググループ</t>
  </si>
  <si>
    <t>辻　泰弘</t>
  </si>
  <si>
    <t>薬学部教授</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</si>
  <si>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</si>
  <si>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</si>
  <si>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</si>
  <si>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</si>
  <si>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</si>
  <si>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</si>
  <si>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</si>
  <si>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</si>
  <si>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</si>
  <si>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</si>
  <si>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</si>
  <si>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</si>
  <si>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自己評価A
授業では、AIやデータが社会でどのように活用されているかを取り上げ、実際の企業事例や社会的課題を題材にした内容を含んでいる【「データサイエンスの世界」（2025年度前期）授業構成】。学生アンケートの自由記述には「Google社員やAI専門家による講義が印象的だった」との意見があり【「データサイエンスの世界」2025前期アンケート結果（概要）】、外部専門家による講義または事例紹介が教育効果を高める要因となっていた可能性がある。これらの記述から、実社会との関連を意識した教育内容が一定程度実現されていたことが確認でき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</si>
  <si>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</si>
  <si>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</si>
  <si>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・AI最新技術の活用例（深層生成モデル、強化学習、転移学習、生成AIなど）「データサイエンスの世界」（2回目、7回目、13回目、14回目） 
・基盤モデル、大規模言語モデル、拡散モデル「データサイエンスの世界」（2回目、7回目、13回目、14回目）</t>
    <phoneticPr fontId="15"/>
  </si>
  <si>
    <t>・データ・AI活用領域の広がり(生産、消費など) 「データサイエンスの世界」（1回目、2回目、7回目、13回目、14回目）
・研究開発、調達、製造、物流、販売、マーケティングなど「データサイエンスの世界」（1回目、2回目、7回目、13回目、14回目）
・仮説検証、知識発見、原因究明、計画策定、判断支援、活動代替、新規生成など「データサイエンスの世界」（2回目、7回目、13回目、14回目）
・対話、コンテンツ生成、翻訳・要約・執筆支援、コーディング支援など生成AIの応用「データサイエンスの世界」（1回目、2回目、7回目、13回目、14回目）</t>
    <phoneticPr fontId="15"/>
  </si>
  <si>
    <t>・調査データ、実験データ、人の行動ログデータなど「データサイエンスの世界」（1回目、4回目、5回目、6回目、7回目、13回目、14回目）
・データ作成（ビッグデータとアノテーション）「データサイエンスの世界」（1回目、7回目、13回目、14回目）
・データのオープン化（オープンデータ）「データサイエンスの世界」（1回目、7回目、10回目、13回目、14回目）</t>
    <phoneticPr fontId="15"/>
  </si>
  <si>
    <t>・データ解析：予測、グルーピング、パターン発見、最適化、モデル化とシミュレーション・データ同化など「データサイエンスの世界」（2回目、4回目、7回目、13回目、14回目）
・データ可視化：複合グラフ、2軸グラフ、多次元の可視化、関係性の可視化、地図上の可視化など「データサイエンスの世界」（4回目、7回目、第10回、13回目、14回目）
・非構造化データ処理：言語処理、画像処理など「データサイエンスの世界」（2回目、7回目、13回目、14回目）
・特化型AIと汎用AI、今のAIで出来ることと出来ないこと、AIとビッグデータ「データサイエンスの世界」（2回目、7回目、13回目、14回目）
・認識技術、ルールベース、自動化技術「データサイエンスの世界」（2回目、7回目、13回目、14回目）
・マルチモーダル（言語、画像、音声 など）、生成AIの活用（プロンプトエンジニアリング）「データサイエンスの世界」（2回目、7回目、13回目、14回目）</t>
    <phoneticPr fontId="15"/>
  </si>
  <si>
    <t>「数理・データサイエンス・AI教育リテラシープログラム」の授業は、オンライン（オンデマンド方式）の集中講義形式（夏期・春期）で実施されており、学生は時間や場所に縛られることなく、自宅等から自由に受講できる体制となっている。一方、集中講義形式で起こりがちな学修の遅れや中断を防ぐため、無理なく計画的に進められるようモデルスケジュールに沿った受講を推奨し、学修をサポートしている。さらに、学修効果を高めるため、モデルスケジュールに合わせて授業コンテンツを用いたメタバースによるオンライン授業も設定し、教員や他の学生とのリアルタイムな交流の機会を提供している。
学修内容を確実に定着させるために、すべての授業コンテンツは全学LMSで提供され、回次のスキップを不可としている。また、全ての授業コンテンツが全学LMSにアーカイブとして蓄積されているため、学生はいつでも授業を繰り返し視聴し、復習することが可能となっている。</t>
    <phoneticPr fontId="15"/>
  </si>
  <si>
    <t>「数理・データサイエンス・AI教育リテラシープログラム」においては、学生の学修促進のため、学務委員会数理・データサイエンス・ＡＩ教育プログラム検討ワーキンググループが主体となり、学生へのサポートを実施している。
本プログラムの履修管理及び学修サポートの基盤は、全学LMSの活用にある。学生は授業時間外に生じた不明点や質問を全学LMS経由で問い合わせることが可能で、寄せられた質問に対しては、数理・データサイエンス・ＡＩ教育プログラム検討ワーキンググループの教員が迅速に対応し、全学LMSを通じて返答する体制を整備している。これにより、自宅等で各自受講するオンデマンド授業形式であっても、全学LMSをハブとして、継続的かつ体系的な学修指導・質問対応を実現し、学生の円滑な学修を支援している。</t>
  </si>
  <si>
    <t>「数理・データサイエンス・AI教育リテラシープログラム」の授業は、全学共通科目として開講され、文系、理系及び医療系といった全ての学部・学科を問わず、全ての1年次学生が履修可能となっている。授業はオンライン（オンデマンド方式）の夏期・春期年2回の集中講義形式で実施され、時間的・地理的な制約を緩和し、幅広い学生に受講機会を提供している。授業コンテンツは共通学修プラットフォームである全学LMSを介して提供される。
履修希望者は学生周知サイトのエントリーフォームから個別に手続きすることが可能で、受講定員（夏期・春期各800名）超過時は抽選で履修者を決定し、公平性を担保している。</t>
    <rPh sb="52" eb="53">
      <t>オヨ</t>
    </rPh>
    <rPh sb="196" eb="197">
      <t>カイ</t>
    </rPh>
    <phoneticPr fontId="15"/>
  </si>
  <si>
    <t>各学部は、入学後のガイダンスで「数理・データサイエンス・AI教育リテラシープログラム」の授業科目「データサイエンスの世界」に関する資料を配布すると共に、学務委員会数理・データサイエンス・ＡＩ教育プログラム検討ワーキンググループが作成したシラバスを基に学部の書式に合わせたシラバスを作成して履修システムに組み込み、学生への周知を図っている。その上で、学部開講科目と履修方法が異なることを説明し、専用の学生周知サイトからの履修登録を促す指導を行っている。
履修希望者は、この学生周知サイトで、申し込み方法やスケジュール等を記載したガイダンス資料を確認し、サイト内の「エントリーフォーム」から、所属学部の学事日程に合わせて設定されている申し込み締切日までに、個々にエントリーの手続きが行えるような環境を整えている。
なお、夏期集中及び春期集中の当初募集後、春期集中の履修登録者数が定員に達していない場合は、後学期開始前に追加募集を実施して、一度履修できなかった学生にも再度の履修機会が得られるようにしている。</t>
    <phoneticPr fontId="15"/>
  </si>
  <si>
    <t>自己評価B
授業内容の理解度を直接問う設問は設定されていないが、関連する設問（Q12からQ17）においては肯定的な回答が非常に多かった。
---
この授業の総合的な満足度を教えてください。（Q12）
複数教員によるオムニバス形式でしたが，授業の内容は一貫性がありましたか。（Q13）
説明は的確でしたか。（Q14）
説明は聞き取りやすかったですか。（Q15）
スライド・動画はわかりやすかったですか。（Q16）
提示された資料（図・表・グラフなどのデータを含む）は内容を理解する上で役に立ちましたか。（Q17）
---
特に「教員の説明は的確であった」、「スライドや動画はわかりやすかった」、「配付資料は理解に役立った」といった項目では、「強くそう思う」「そう思う」の回答が9割前後を占めていた【「データサイエンスの世界」2025前期アンケート結果（概要）】。この結果から、間接的ではあるが、教材や教員の説明が学生の理解を支えていたことが確認された。一方で、アンケート設問Q9「担当教員に対してLearning Management System上のディスカッション機能やメール等で質問を行ったか」では、約6割の学生が質問を行ったと回答しており、授業外での教員への質問活動も積極的に行われていたことが確認された。
本プログラムでは、オンデマンド形式の特性上、授業中に学生の理解度を即時に確認する機会が限られていた。そのため、理解度を定量的に測る仕組み（小テストやクイズ機能など）は未導入であり、理解状況の把握は課題提出物やアンケートの自由記述を通じた間接的確認にとどまった。
この点を課題として、次年度以降は、
・LMS上に小テストや確認クイズを設け、各単元終了後に理解度を可視化する。
・質問スレッドやフォローアップ掲示板を設置し、学修支援を強化する。
・評価基準を明示し、学生自身が到達度を自己確認できるようにする。
これらの取組を通じて、今後は「授業の理解しやすさ」から一歩進んだ「学修内容をどこまで理解・活用できているか」の可視化を図ることも検討すべきと考える。</t>
    <phoneticPr fontId="15"/>
  </si>
  <si>
    <t>自己評価A
学生アンケートにおける自由記述では、「この授業を他の学生にも勧めたい」「データやAIに関する内容が興味深く、学びが広がった」との意見が多く見られた【「データサイエンスの世界」2025前期アンケート結果（概要）】。定量的な推奨度を尋ねる設問は設定されていなかったため数値を明示することはできないが、自由記述からは後輩や他学部学生への推奨意向を示す記述が複数確認された。これらの記述から、履修者が本プログラムを肯定的に受け止めていることがうかがえる。授業形式（オンデマンド型）や教員の対応に対して肯定的な意見が多数寄せられ、学修支援体制の有効性が確認された。</t>
    <phoneticPr fontId="15"/>
  </si>
  <si>
    <t>自己評価A
授業は、夏期及び春期の集中講義として実施され、各回800名を上限に募集した【様式３ 教育の質・履修者数を向上させるための体制・計画】。履修登録は学生周知サイトを介したオンライン申請で行い、抽選制を導入している。履修希望者が定員を超過した場合には抽選を実施し、漏れた学生に対しては所属学部が履修指導を行う仕組みを整備している。授業方法は全学Learning Management Systemを用いたオンデマンド型で統一され、メタバースを活用したリアルタイム講義も併用された【様式３ 教育の質・履修者数を向上させるための体制・計画】。これにより、全国のキャンパス間で均一な教育環境が提供された。履修者数・修了者数ともに初年度として安定しており、履修率向上に向けた体制が整備されている。</t>
    <phoneticPr fontId="15"/>
  </si>
  <si>
    <t>自己評価B
令和7年度は本プログラムの初年度であり、卒業後の進路や企業評価に関するデータは現時点では未収集である。授業アンケートにおいて、「今後の就職や研究活動に役立つ内容であった」とする学生が8割を超えた【「データサイエンスの世界」2025前期アンケート結果（概要）】。この結果から、社会的な実践を意識した学修が学生のキャリア形成に一定の効果を及ぼしていることがうかがえる。</t>
    <phoneticPr fontId="15"/>
  </si>
  <si>
    <t>自己評価A
アンケートの自由記述では、「AIが身近に感じられた」、「データで考える楽しさを実感した」という記述が多く見られた【「データサイエンスの世界」2025前期アンケート結果（概要）】。授業では、データ可視化、プログラミング演習、プレゼンテーション発表などを通じて、実際に「使う・見せる・伝える」体験を重視している【「データサイエンスの世界」（2025年度前期）授業構成】。これにより、受動的な講義形式に留まらず、能動的な理解を促す設計となっている。</t>
    <phoneticPr fontId="15"/>
  </si>
  <si>
    <t>自己評価A
本学は、教育内容の質を維持・向上するため、数理・データサイエンス・AI教育プログラム検討ワーキンググループ（WG）及び検証WGを設置し、教材更新・評価・改善を定期的（おおよそ半期に一度）に実施してきた。授業改善の具体例として、生成AI（大規模言語モデル・拡散モデル等）を扱う授業を追加し、新しい技術への理解と対応を試みた。学生アンケートでは、「資料が見やすくなった」「メタバース環境がリアルに近い」との肯定的意見が見られる一方で、「操作性」や「通信負荷」に関する改善要望もあった【「データサイエンスの世界」2025前期アンケート結果（概要）】。
これを踏まえ、令和8年度にはメタバース環境の再構築及びオンデマンド動画のチャプター再生機能の追加、AIツールを活用した教材自動生成・質問応答支援の導入も検討すべき課題である。
総括
本プログラムは、令和7年度に全学的導入を果たし、授業設計・教材の一貫性、学生の理解度・満足度の面で高い評価を得た。
一方で、質問活動の活性化、メタバース操作環境の改善など、今後の課題も確認された。
本年度の自己点検結果から、教育内容・運営体制が概ね適正に機能していることが検証された。</t>
    <phoneticPr fontId="15"/>
  </si>
  <si>
    <t>自己評価B
アンケート（回答102名／履修222名）では、学生の多くが授業に満足していると回答し、授業の構成や教材のわかりやすさに関して高い評価が得られた【「データサイエンスの世界」2025前期アンケート結果（概要）】。特に高評価であった項目は以下の通りである。
---
この授業の総合的な満足度を教えてください。（Q12）
複数教員によるオムニバス形式でしたが，授業の内容は一貫性がありましたか。（Q13）
説明は的確でしたか。（Q14）
説明は聞き取りやすかったですか。（Q15）
スライド・動画はわかりやすかったですか。（Q16）
提示された資料（図・表・グラフなどのデータを含む）は内容を理解する上で役に立ちましたか。（Q17）
---
これらの設問では、「強くそう思う」、「そう思う」の回答がいずれも全体の約9割以上を占めており、学生が授業内容を十分に理解できたことが示唆された【「データサイエンスの世界」2025前期アンケート結果（概要）】。また、自由記述では「MATLABやプレゼンテーションなどの実践課題が印象的だった」、「AIに関する内容が興味深かった」など、実践的な課題設定への肯定的意見が多く確認された【「データサイエンスの世界」2025前期アンケート結果（概要）】。一方で、アンケート回収率が約46％（回答102名／履修者222名）にとどまっているため、結果が履修者全体の意見を完全に代表しているとは言い切れない。特にオンデマンド型授業形式のため、回答機会を逸した学生が一定数存在した可能性がある。今後は、回答率向上のためのリマインド通知や回答期間の延長など、実施方法の改善を検討する必要がある。それでも、本結果は授業設計や教材の有効性を評価する上で十分な傾向を示しており、初年度として学修効果が確認された。</t>
    <phoneticPr fontId="15"/>
  </si>
  <si>
    <t>・ビッグデータ、IoT、AI、生成AI「データサイエンスの世界」（1回目、7回目、13回目、14回目）
・データ量の増加、計算機の処理性能の向上、AIの非連続的進化「データサイエンスの世界」（1回目、2回目、7回目、13回目、14回目）
・Society 5.0、データ駆動型社会「データサイエンスの世界」（1回目、7回目、13回目、14回目）
・複数技術を組み合わせたAIサービス「データサイエンスの世界」（1回目、7回目、13回目、14回目）
・人間の知的活動とAIの関係性「データサイエンスの世界」（1回目、7回目、13回目、14回目）
・データを起点としたものの見方、人間の知的活動を起点としたものの見方「データサイエンスの世界」（1回目、7回目、13回目、14回目）</t>
    <phoneticPr fontId="15"/>
  </si>
  <si>
    <t>・データサイエンスのサイクル（課題抽出と定式化、データの取得・管理・加工、探索的データ解析、データ解析と推論、結果の共有・伝達、課題解決に向けた提案） 「データサイエンスの世界」（1回目、2回目、5回目、6回目、7回目、13回目、14回目）
・教育、サービス、公共、ヘルスケア等におけるデータ・AI利活用事例紹介「データサイエンスの世界」（1回目、2回目、5回目、6回目、7回目、第10回、13回目、14回目）</t>
    <phoneticPr fontId="15"/>
  </si>
  <si>
    <t>・情報セキュリティの3要素（機密性、完全性、可用性）「データサイエンスの世界」（8回目、9回目、13回目、14回目）
・匿名加工情報、暗号化と復号、ユーザ認証と、パスワード、アクセス制御、悪意ある情報搾取「データサイエンスの世界」（8回目、9回目、13回目、14回目）
・情報漏洩等によるセキュリティ事故の事例紹介「データサイエンスの世界」（8回目、9回目、13回目、14回目）
・サイバーセキュリティ「データサイエンスの世界」（8回目、9回目、13回目、14回目）</t>
    <phoneticPr fontId="15"/>
  </si>
  <si>
    <t>Society5.0で活躍するH型人材（専門分野を持ちつつ他分野の専門家と交流できる人材）を育成するために、その根幹となる情報リテラシー及びデータサイエンスに係る知識・技能、態度、習慣を涵養することを目的とし、学則変更を行って「データサイエンスの世界」を令和７年度に全学共通科目として設置した。この科目の設置に伴い、学務委員会に数理・データサイエンス・ＡＩ教育プログラム検討ワーキンググループ（WG）を新設した。本WGでは、授業の具体的な設計、円滑な運営（授業担当を含む）、成績評価の確立及び継続的なプログラムの改善・進化に関する事項を一元的に担当し、全学的な数理・データサイエンス・AI教育の普及と質向上に取り組む。</t>
    <phoneticPr fontId="15"/>
  </si>
  <si>
    <t>自己評価A（A：優、B：良、C：可、D：不可）
本学では、全学共通科目「データサイエンスの世界」（2単位）とする数理・データサイエンス・AI教育プログラムを令和7年度より実施している。本科目は、夏期及び春期に各14回（講義・演習を含む）の集中開講で行っている。本科目は文部科学省モデルカリキュラム（MC）に準拠し、導入・基礎・心得・選択の4区分で構成している【「データサイエンスの世界」（2025年度前期）授業構成】。
全14回の授業に占める導入・基礎・心得・選択の4区分は以下の通りであった。
導入 ２８％
基礎 ３１％
心得 １９％
選択 ２２％
---
合計 １００％
本プログラムでは基礎領域が全体の約３割を占め、データサイエンスの考え方・統計的思考の基盤を重視した構成となっている。また、導入・心得領域を通して「データを社会でどう扱うか」を学び、選択領域で応用的テーマ（AI、情報活用、データ可視化など）に発展する段階的設計が特徴である。令和７年度の履修者数は282名（内，夏期履修者数222名）であった。対象は16学部、短期大学部、通信教育部の全学に及ぶ。ただし、履修者の所属には明確な傾向がみられ、生産工学部（157名）と生物資源科学部（52名）の学生が全体の8割を占めている。
これは、プログラムが工学系・理系学生に比較的関心を持たれやすかったことを示す一方で、本来の趣旨である「専門外の学生にも広く数理・データサイエンスの基礎を身につけてもらう」という目的の観点からは、今後の課題でもある。特に、文系学部の学生は内容や操作に苦手意識を持つ傾向があり、学修支援体制や教材設計を工夫することで、より幅広い層に学びの機会を届ける必要がある。授業はオンデマンド型集中講義形式で、地域や時間の制約を受けずに履修できる仕組みを整備している。履修者数は初年度としては一定の水準にあり、全学的な導入体制が確立されたことが確認された。</t>
    <rPh sb="432" eb="434">
      <t>リシュウ</t>
    </rPh>
    <rPh sb="442" eb="443">
      <t>ウチ</t>
    </rPh>
    <rPh sb="444" eb="446">
      <t>カキ</t>
    </rPh>
    <rPh sb="446" eb="449">
      <t>リシュウシャ</t>
    </rPh>
    <rPh sb="449" eb="450">
      <t>スウ</t>
    </rPh>
    <rPh sb="453" eb="454">
      <t>メイ</t>
    </rPh>
    <phoneticPr fontId="15"/>
  </si>
  <si>
    <r>
      <t>＜一般目標（GIO）＞
１．データやＡＩが現代社会でどのように活</t>
    </r>
    <r>
      <rPr>
        <sz val="12"/>
        <color theme="1"/>
        <rFont val="Microsoft JhengHei"/>
        <family val="2"/>
        <charset val="136"/>
      </rPr>
      <t>⽤</t>
    </r>
    <r>
      <rPr>
        <sz val="12"/>
        <color theme="1"/>
        <rFont val="ＭＳ ゴシック"/>
        <family val="3"/>
        <charset val="128"/>
      </rPr>
      <t>されているかを理解する【</t>
    </r>
    <r>
      <rPr>
        <sz val="12"/>
        <color theme="1"/>
        <rFont val="Arial"/>
        <family val="2"/>
      </rPr>
      <t>MC-1</t>
    </r>
    <r>
      <rPr>
        <sz val="12"/>
        <color theme="1"/>
        <rFont val="ＭＳ ゴシック"/>
        <family val="3"/>
        <charset val="128"/>
      </rPr>
      <t>】
２．データを適切に読み解く</t>
    </r>
    <r>
      <rPr>
        <sz val="12"/>
        <color theme="1"/>
        <rFont val="Microsoft JhengHei"/>
        <family val="2"/>
        <charset val="136"/>
      </rPr>
      <t>⼒</t>
    </r>
    <r>
      <rPr>
        <sz val="12"/>
        <color theme="1"/>
        <rFont val="ＭＳ ゴシック"/>
        <family val="3"/>
        <charset val="128"/>
      </rPr>
      <t>を</t>
    </r>
    <r>
      <rPr>
        <sz val="12"/>
        <color theme="1"/>
        <rFont val="Microsoft JhengHei"/>
        <family val="2"/>
        <charset val="136"/>
      </rPr>
      <t>⾝</t>
    </r>
    <r>
      <rPr>
        <sz val="12"/>
        <color theme="1"/>
        <rFont val="ＭＳ ゴシック"/>
        <family val="3"/>
        <charset val="128"/>
      </rPr>
      <t>に付ける【</t>
    </r>
    <r>
      <rPr>
        <sz val="12"/>
        <color theme="1"/>
        <rFont val="Arial"/>
        <family val="2"/>
      </rPr>
      <t>MC-2</t>
    </r>
    <r>
      <rPr>
        <sz val="12"/>
        <color theme="1"/>
        <rFont val="ＭＳ ゴシック"/>
        <family val="3"/>
        <charset val="128"/>
      </rPr>
      <t>】
３．データや</t>
    </r>
    <r>
      <rPr>
        <sz val="12"/>
        <color theme="1"/>
        <rFont val="Arial"/>
        <family val="2"/>
      </rPr>
      <t>AI</t>
    </r>
    <r>
      <rPr>
        <sz val="12"/>
        <color theme="1"/>
        <rFont val="ＭＳ ゴシック"/>
        <family val="3"/>
        <charset val="128"/>
      </rPr>
      <t>の運</t>
    </r>
    <r>
      <rPr>
        <sz val="12"/>
        <color theme="1"/>
        <rFont val="Microsoft JhengHei"/>
        <family val="2"/>
        <charset val="136"/>
      </rPr>
      <t>⽤</t>
    </r>
    <r>
      <rPr>
        <sz val="12"/>
        <color theme="1"/>
        <rFont val="ＭＳ ゴシック"/>
        <family val="3"/>
        <charset val="128"/>
      </rPr>
      <t>スキルを</t>
    </r>
    <r>
      <rPr>
        <sz val="12"/>
        <color theme="1"/>
        <rFont val="Microsoft JhengHei"/>
        <family val="2"/>
        <charset val="136"/>
      </rPr>
      <t>⾝</t>
    </r>
    <r>
      <rPr>
        <sz val="12"/>
        <color theme="1"/>
        <rFont val="ＭＳ ゴシック"/>
        <family val="3"/>
        <charset val="128"/>
      </rPr>
      <t>に付ける【</t>
    </r>
    <r>
      <rPr>
        <sz val="12"/>
        <color theme="1"/>
        <rFont val="Arial"/>
        <family val="2"/>
      </rPr>
      <t>MC-2</t>
    </r>
    <r>
      <rPr>
        <sz val="12"/>
        <color theme="1"/>
        <rFont val="ＭＳ ゴシック"/>
        <family val="3"/>
        <charset val="128"/>
      </rPr>
      <t>】
４．情報保護やセキュリティをはじめとするデータやＡＩの運</t>
    </r>
    <r>
      <rPr>
        <sz val="12"/>
        <color theme="1"/>
        <rFont val="Microsoft JhengHei"/>
        <family val="2"/>
        <charset val="136"/>
      </rPr>
      <t>⽤</t>
    </r>
    <r>
      <rPr>
        <sz val="12"/>
        <color theme="1"/>
        <rFont val="ＭＳ ゴシック"/>
        <family val="3"/>
        <charset val="128"/>
      </rPr>
      <t>に係る留意点を理解する【</t>
    </r>
    <r>
      <rPr>
        <sz val="12"/>
        <color theme="1"/>
        <rFont val="Arial"/>
        <family val="2"/>
      </rPr>
      <t>MC-3</t>
    </r>
    <r>
      <rPr>
        <sz val="12"/>
        <color theme="1"/>
        <rFont val="ＭＳ ゴシック"/>
        <family val="3"/>
        <charset val="128"/>
      </rPr>
      <t>】
＜到達目標（</t>
    </r>
    <r>
      <rPr>
        <sz val="12"/>
        <color theme="1"/>
        <rFont val="Arial"/>
        <family val="2"/>
      </rPr>
      <t>SBOs</t>
    </r>
    <r>
      <rPr>
        <sz val="12"/>
        <color theme="1"/>
        <rFont val="ＭＳ ゴシック"/>
        <family val="3"/>
        <charset val="128"/>
      </rPr>
      <t>）＞
１．データやＡＩの現代社会における利活</t>
    </r>
    <r>
      <rPr>
        <sz val="12"/>
        <color theme="1"/>
        <rFont val="Microsoft JhengHei"/>
        <family val="2"/>
        <charset val="136"/>
      </rPr>
      <t>⽤</t>
    </r>
    <r>
      <rPr>
        <sz val="12"/>
        <color theme="1"/>
        <rFont val="ＭＳ ゴシック"/>
        <family val="3"/>
        <charset val="128"/>
      </rPr>
      <t>の現況について説明することができる【DP</t>
    </r>
    <r>
      <rPr>
        <sz val="12"/>
        <color theme="1"/>
        <rFont val="Arial"/>
        <family val="2"/>
      </rPr>
      <t>-2</t>
    </r>
    <r>
      <rPr>
        <sz val="12"/>
        <color theme="1"/>
        <rFont val="ＭＳ ゴシック"/>
        <family val="3"/>
        <charset val="128"/>
      </rPr>
      <t>】
２．さまざまなデータを読み，データの内容について説明することができる【DP-3,4】
３．提</t>
    </r>
    <r>
      <rPr>
        <sz val="12"/>
        <color theme="1"/>
        <rFont val="Microsoft JhengHei"/>
        <family val="2"/>
        <charset val="136"/>
      </rPr>
      <t>⽰</t>
    </r>
    <r>
      <rPr>
        <sz val="12"/>
        <color theme="1"/>
        <rFont val="ＭＳ ゴシック"/>
        <family val="3"/>
        <charset val="128"/>
      </rPr>
      <t>されたデータに基づいて，</t>
    </r>
    <r>
      <rPr>
        <sz val="12"/>
        <color theme="1"/>
        <rFont val="Microsoft JhengHei"/>
        <family val="2"/>
        <charset val="136"/>
      </rPr>
      <t>⾃⾝</t>
    </r>
    <r>
      <rPr>
        <sz val="12"/>
        <color theme="1"/>
        <rFont val="ＭＳ ゴシック"/>
        <family val="3"/>
        <charset val="128"/>
      </rPr>
      <t>の考えを客観的に振り返ることができる【DP-3,4,8】
４．</t>
    </r>
    <r>
      <rPr>
        <sz val="12"/>
        <color theme="1"/>
        <rFont val="Microsoft JhengHei"/>
        <family val="2"/>
        <charset val="136"/>
      </rPr>
      <t>⾃⾝</t>
    </r>
    <r>
      <rPr>
        <sz val="12"/>
        <color theme="1"/>
        <rFont val="ＭＳ ゴシック"/>
        <family val="3"/>
        <charset val="128"/>
      </rPr>
      <t>の考えに関するエビデンスを，データを</t>
    </r>
    <r>
      <rPr>
        <sz val="12"/>
        <color theme="1"/>
        <rFont val="Microsoft JhengHei"/>
        <family val="2"/>
        <charset val="136"/>
      </rPr>
      <t>⽤</t>
    </r>
    <r>
      <rPr>
        <sz val="12"/>
        <color theme="1"/>
        <rFont val="ＭＳ ゴシック"/>
        <family val="3"/>
        <charset val="128"/>
      </rPr>
      <t>いて表現することができる【DP-3,4,6】
５．</t>
    </r>
    <r>
      <rPr>
        <sz val="12"/>
        <color theme="1"/>
        <rFont val="Arial"/>
        <family val="2"/>
      </rPr>
      <t>AI</t>
    </r>
    <r>
      <rPr>
        <sz val="12"/>
        <color theme="1"/>
        <rFont val="ＭＳ ゴシック"/>
        <family val="3"/>
        <charset val="128"/>
      </rPr>
      <t>の利点やリスクを踏まえて，</t>
    </r>
    <r>
      <rPr>
        <sz val="12"/>
        <color theme="1"/>
        <rFont val="Arial"/>
        <family val="2"/>
      </rPr>
      <t>AI</t>
    </r>
    <r>
      <rPr>
        <sz val="12"/>
        <color theme="1"/>
        <rFont val="ＭＳ ゴシック"/>
        <family val="3"/>
        <charset val="128"/>
      </rPr>
      <t>を活</t>
    </r>
    <r>
      <rPr>
        <sz val="12"/>
        <color theme="1"/>
        <rFont val="Microsoft JhengHei"/>
        <family val="2"/>
        <charset val="136"/>
      </rPr>
      <t>⽤</t>
    </r>
    <r>
      <rPr>
        <sz val="12"/>
        <color theme="1"/>
        <rFont val="ＭＳ ゴシック"/>
        <family val="3"/>
        <charset val="128"/>
      </rPr>
      <t>することができる【DP-3,4】
６．情報保護やセキュリティをはじめとするデータを守る上で必要な事項について説明することができる【DP-1】</t>
    </r>
    <phoneticPr fontId="15"/>
  </si>
  <si>
    <t>・データの種類（量的変数、質的変数）「データサイエンスの世界」（3回目、4回目、6回目、7回目、13回目、14回目）
・データの分布(ヒストグラム)と代表値（平均値、中央値、最頻値）「データサイエンスの世界」（3回目、4回目、7回目、13回目、14回目）
・代表値の性質の違い（実社会では平均値＝最頻値でないことが多い）「データサイエンスの世界」（3回目、4回目、5回目、6回目、7回目、13回目、14回目）
・データのばらつき（分散、標準偏差、偏差値）、外れ値「データサイエンスの世界」（3回目、4回目、5回目、6回目、7回目、13回目、14回目）
・相関と因果（相関係数、擬似相関、交絡）「データサイエンスの世界」（4回目、6回目、7回目、13回目、14回目）
・観測データに含まれる誤差の扱い「データサイエンスの世界」（3回目、4回目、5回目、6回目、7回目、13回目、14回目）
・層別の必要なデータ「データサイエンスの世界」（4回目、5回目、6回目、7回目、13回目、14回目）
・母集団と標本抽出（国勢調査、アンケート調査、全数調査、単純無作為抽出、層別抽出、多段抽出）「データサイエンスの世界」（3回目、7回目、13回目、14回目）
・クロス集計表、分割表「データサイエンスの世界」（3回目、4回目、5回目、6回目、7回目、13回目、14回目）
・統計情報の正しい理解（誇張表現に惑わされない）「データサイエンスの世界」（3回目、4回目、5回目、6回目、7回目、13回目、14回目）</t>
    <rPh sb="515" eb="517">
      <t>カイメ</t>
    </rPh>
    <phoneticPr fontId="15"/>
  </si>
  <si>
    <t>・倫理的・法的・社会的課題（ELSI：Ethical,Legal and Social Issues）「データサイエンスの世界」（8回目、13回目、14回目）
・個人情報保護、EU一般データ保護規則(GDPR)、オプトアウト「データサイエンスの世界」（8回目、13回目、14回目）
・データ倫理：データのねつ造、改ざん、盗用、プライバシー保護「データサイエンスの世界」（8回目、13回目、14回目）
・AI社会原則（公平性、説明責任、透明性、人間中心の判断）「データサイエンスの世界」（8回目、13回目、14回目）
・データバイアス「データサイエンスの世界」（3回目、7回目、13回目、14回目）
・AIサービスの責任論「データサイエンスの世界」（8回目、13回目、14回目）
・データガバナンス「データサイエンスの世界」（8回目、9回目、13回目、14回目）
・データ・AI活用における負の事例紹介「データサイエンスの世界」（8回目、9回目、13回目、14回目）
・生成AIの留意事項（ハルシネーションによる誤情報の生成、偽情報や有害コンテンツの生成・氾濫 など）「データサイエンスの世界」（8回目、13回目、14回目）</t>
    <rPh sb="290" eb="291">
      <t>カイ</t>
    </rPh>
    <phoneticPr fontId="15"/>
  </si>
  <si>
    <t>・データ表現（棒グラフ、折線グラフ、散布図、箱ひげ図）「データサイエンスの世界」（4回目、5回目、6回目、7回目、10回目、11回目、13回目、14回目）
・データの比較（条件をそろえた比較、処理の前後での比較) 「データサイエンスの世界」（4回目、7回目、10回目、11回目、13回目、14回目）
・不適切なグラフ表現（チャートジャンク、不必要な視覚的要素）「データサイエンスの世界」（4回目、6回目、7回目、13回目、14回目）
・優れた可視化事例の紹介（可視化することによって新たな気づきがあった事例など）「データサイエンスの世界」（10回目、11回目、13回目、14回目）
・相手に的確かつ正確に情報を伝える技術や考え方（スライド作成、プレゼンテーションなど）「データサイエンスの世界」（4回目、5回目、6回目、7回目、10回目、11回目、12回目、13回目、14回目）</t>
    <rPh sb="282" eb="283">
      <t>カイ</t>
    </rPh>
    <phoneticPr fontId="15"/>
  </si>
  <si>
    <t>・データの取得（機械判読可能なデータの作成・表記方法）「データサイエンスの世界」（5回目、6回目、7回目、10回目、11回目、12回目、13回目、14回目）
・データの集計（和、平均）「データサイエンスの世界」（5回目、6回目、7回目、10回目、11回目、12回目、13回目、14回目）
・データの並び替え、ランキング 「データサイエンスの世界」（3回目、5回目、6回目、7回目、10回目、11回目、12回目、13回目、14回目）
・データ解析ツール（スプレッドシート、BIツール）「データサイエンスの世界」（3回目、4回目、5回目、6回目、10回目、11回目、12回目、13回目、14回目）
・表形式のデータ（csv）「データサイエンスの世界」（6回目、13回目、14回目）</t>
    <rPh sb="330" eb="332">
      <t>カイメ</t>
    </rPh>
    <rPh sb="335" eb="337">
      <t>カイメ</t>
    </rPh>
    <phoneticPr fontId="15"/>
  </si>
  <si>
    <t xml:space="preserve">令和７年度から開始した「数理・データサイエンス・AI教育リテラシープログラム」は、学部、短期大学部、通信教育部の全１年次学生の履修を可能としている。現在は、履修を促進するため、以下の取り組みを実施している。
・受講環境の整備と柔軟性：授業はオンライン（オンデマンド方式）の集中講義形式で、夏期（8月）と春期（2月）の年2回提供している。これにより、場所や時間に制約されない柔軟な履修機会を提供できるため、学生の負担が軽減し、参加への障壁が除去される。
・情報管理の一元化：全学共通科目の学生周知サイトを設置し、実施方法やスケジュールに関する情報を一元化することで、学生が迷わず受講できる環境を整備している。
・学部連携による促進：全学部がガイダンス等を通じて学生に周知するとともに、各学部の学事日程に合わせた履修登録を行うなど、学部レベルで履修登録の促進を図っている。
今後は、本教育プログラムの実績に基づき、学生への更なる周知と履修の強い推奨を実施するとともに、学生のさまざまな履修実態を踏まえた追加履修登録の再検討等を行い、これらの施策を通じて、早期に履修率向上への対応を行うとともに、全学の収容定員に合わせた本プログラムへの受入学生数の増加を目指す。
</t>
    <rPh sb="315" eb="316">
      <t>ゼン</t>
    </rPh>
    <rPh sb="324" eb="325">
      <t>トウ</t>
    </rPh>
    <rPh sb="326" eb="327">
      <t>ツウ</t>
    </rPh>
    <rPh sb="341" eb="342">
      <t>カク</t>
    </rPh>
    <rPh sb="345" eb="347">
      <t>ガクジ</t>
    </rPh>
    <rPh sb="478" eb="481">
      <t>リシュウリツ</t>
    </rPh>
    <rPh sb="481" eb="483">
      <t>コウジョウ</t>
    </rPh>
    <rPh sb="485" eb="487">
      <t>タイオウ</t>
    </rPh>
    <rPh sb="488" eb="489">
      <t>オコナ</t>
    </rPh>
    <rPh sb="495" eb="497">
      <t>ゼンガク</t>
    </rPh>
    <rPh sb="498" eb="502">
      <t>シュウヨウテイイン</t>
    </rPh>
    <rPh sb="503" eb="504">
      <t>ア</t>
    </rPh>
    <rPh sb="507" eb="508">
      <t>ホン</t>
    </rPh>
    <rPh sb="515" eb="520">
      <t>ウケイレガクセイスウ</t>
    </rPh>
    <rPh sb="521" eb="523">
      <t>ゾウカ</t>
    </rPh>
    <rPh sb="524" eb="526">
      <t>メザ</t>
    </rPh>
    <phoneticPr fontId="15"/>
  </si>
  <si>
    <t>令和７年度履修率</t>
    <phoneticPr fontId="15"/>
  </si>
  <si>
    <t>日本大学短期大学部</t>
    <rPh sb="4" eb="9">
      <t>タンキダイガクブ</t>
    </rPh>
    <phoneticPr fontId="15"/>
  </si>
  <si>
    <t>短期大学部（三島校舎）・ビジネス教養学科</t>
  </si>
  <si>
    <t>短期大学部（船橋校舎）・建築・生活デザイン学科</t>
  </si>
  <si>
    <t>短期大学部（船橋校舎）・ものづくり・サイエンス総合学科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</si>
</sst>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
    <numFmt numFmtId="178" formatCode="#,##0_ "/>
  </numFmts>
  <fonts count="18">
    <font>
      <sz val="11"/>
      <color theme="1"/>
      <name val="Calibri"/>
      <scheme val="minor"/>
    </font>
    <font>
      <sz val="12"/>
      <color theme="1"/>
      <name val="MS PGothic"/>
      <family val="3"/>
      <charset val="128"/>
    </font>
    <font>
      <sz val="11"/>
      <name val="Calibri"/>
      <family val="2"/>
    </font>
    <font>
      <sz val="11"/>
      <color theme="1"/>
      <name val="MS PGothic"/>
      <family val="3"/>
      <charset val="128"/>
    </font>
    <font>
      <b/>
      <sz val="18"/>
      <color theme="1"/>
      <name val="MS PGothic"/>
      <family val="3"/>
      <charset val="128"/>
    </font>
    <font>
      <sz val="14"/>
      <color theme="1"/>
      <name val="MS PGothic"/>
      <family val="3"/>
      <charset val="128"/>
    </font>
    <font>
      <sz val="9"/>
      <color theme="1"/>
      <name val="MS PGothic"/>
      <family val="3"/>
      <charset val="128"/>
    </font>
    <font>
      <b/>
      <sz val="9"/>
      <color theme="1"/>
      <name val="MS PGothic"/>
      <family val="3"/>
      <charset val="128"/>
    </font>
    <font>
      <b/>
      <sz val="12"/>
      <color theme="1"/>
      <name val="MS PGothic"/>
      <family val="3"/>
      <charset val="128"/>
    </font>
    <font>
      <sz val="10"/>
      <color theme="1"/>
      <name val="MS PGothic"/>
      <family val="3"/>
      <charset val="128"/>
    </font>
    <font>
      <sz val="7"/>
      <color theme="1"/>
      <name val="MS PGothic"/>
      <family val="3"/>
      <charset val="128"/>
    </font>
    <font>
      <sz val="12"/>
      <color rgb="FF000000"/>
      <name val="MS PGothic"/>
      <family val="3"/>
      <charset val="128"/>
    </font>
    <font>
      <b/>
      <sz val="12"/>
      <color theme="1"/>
      <name val="ＭＳ Ｐゴシック"/>
      <family val="3"/>
      <charset val="128"/>
    </font>
    <font>
      <sz val="12"/>
      <color theme="1"/>
      <name val="ＭＳ Ｐゴシック"/>
      <family val="3"/>
      <charset val="128"/>
    </font>
    <font>
      <sz val="12"/>
      <color theme="1"/>
      <name val="Microsoft JhengHei"/>
      <family val="2"/>
      <charset val="136"/>
    </font>
    <font>
      <sz val="6"/>
      <name val="Calibri"/>
      <family val="3"/>
      <charset val="128"/>
      <scheme val="minor"/>
    </font>
    <font>
      <sz val="12"/>
      <color theme="1"/>
      <name val="ＭＳ ゴシック"/>
      <family val="3"/>
      <charset val="128"/>
    </font>
    <font>
      <sz val="12"/>
      <color theme="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97">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hair">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thin">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bottom style="hair">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right style="thin">
        <color rgb="FF000000"/>
      </right>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hair">
        <color rgb="FF000000"/>
      </right>
      <top/>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hair">
        <color rgb="FF000000"/>
      </bottom>
      <diagonal/>
    </border>
    <border>
      <left style="thin">
        <color rgb="FF000000"/>
      </left>
      <right style="dotted">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top style="double">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style="hair">
        <color rgb="FF000000"/>
      </right>
      <top/>
      <bottom/>
      <diagonal/>
    </border>
    <border>
      <left style="hair">
        <color rgb="FF000000"/>
      </left>
      <right/>
      <top style="hair">
        <color rgb="FF000000"/>
      </top>
      <bottom style="hair">
        <color rgb="FF000000"/>
      </bottom>
      <diagonal/>
    </border>
    <border>
      <left style="thin">
        <color rgb="FF000000"/>
      </left>
      <right style="hair">
        <color rgb="FF000000"/>
      </right>
      <top/>
      <bottom style="thin">
        <color rgb="FF000000"/>
      </bottom>
      <diagonal/>
    </border>
    <border>
      <left style="hair">
        <color rgb="FF000000"/>
      </left>
      <right/>
      <top style="hair">
        <color rgb="FF000000"/>
      </top>
      <bottom style="thin">
        <color rgb="FF000000"/>
      </bottom>
      <diagonal/>
    </border>
    <border>
      <left style="thin">
        <color rgb="FF000000"/>
      </left>
      <right/>
      <top style="thin">
        <color rgb="FF000000"/>
      </top>
      <bottom/>
      <diagonal/>
    </border>
    <border>
      <left/>
      <right/>
      <top style="thin">
        <color rgb="FF000000"/>
      </top>
      <bottom style="hair">
        <color rgb="FF000000"/>
      </bottom>
      <diagonal/>
    </border>
    <border>
      <left style="thin">
        <color rgb="FF000000"/>
      </left>
      <right/>
      <top/>
      <bottom style="thin">
        <color rgb="FF000000"/>
      </bottom>
      <diagonal/>
    </border>
    <border>
      <left style="hair">
        <color rgb="FF000000"/>
      </left>
      <right/>
      <top style="thin">
        <color rgb="FF000000"/>
      </top>
      <bottom style="hair">
        <color rgb="FF000000"/>
      </bottom>
      <diagonal/>
    </border>
  </borders>
  <cellStyleXfs count="1">
    <xf numFmtId="0" fontId="0" fillId="0" borderId="0"/>
  </cellStyleXfs>
  <cellXfs count="183">
    <xf numFmtId="0" fontId="0" fillId="0" borderId="0" xfId="0" applyFont="1" applyAlignment="1">
      <alignment vertical="center"/>
    </xf>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3" fillId="2" borderId="4" xfId="0" applyFont="1" applyFill="1" applyBorder="1" applyAlignment="1">
      <alignment vertical="center"/>
    </xf>
    <xf numFmtId="0" fontId="1" fillId="2" borderId="7" xfId="0" applyFont="1" applyFill="1" applyBorder="1" applyAlignment="1">
      <alignment horizontal="left" vertical="center" shrinkToFit="1"/>
    </xf>
    <xf numFmtId="0" fontId="1" fillId="2" borderId="4" xfId="0" applyFont="1" applyFill="1" applyBorder="1" applyAlignment="1">
      <alignment vertical="center" shrinkToFit="1"/>
    </xf>
    <xf numFmtId="0" fontId="1" fillId="2" borderId="4" xfId="0" applyFont="1" applyFill="1" applyBorder="1" applyAlignment="1">
      <alignment horizontal="left" vertical="center" shrinkToFit="1"/>
    </xf>
    <xf numFmtId="0" fontId="5" fillId="2" borderId="4" xfId="0" applyFont="1" applyFill="1" applyBorder="1" applyAlignment="1">
      <alignment horizontal="center" vertical="center"/>
    </xf>
    <xf numFmtId="0" fontId="1" fillId="2" borderId="7" xfId="0" applyFont="1" applyFill="1" applyBorder="1" applyAlignment="1">
      <alignment horizontal="left" vertical="center"/>
    </xf>
    <xf numFmtId="0" fontId="1" fillId="2" borderId="4" xfId="0" applyFont="1" applyFill="1" applyBorder="1" applyAlignment="1">
      <alignment horizontal="center" vertical="center"/>
    </xf>
    <xf numFmtId="0" fontId="1" fillId="2" borderId="7" xfId="0" applyFont="1" applyFill="1" applyBorder="1" applyAlignment="1">
      <alignment horizontal="left" vertical="center" wrapText="1"/>
    </xf>
    <xf numFmtId="0" fontId="3" fillId="2" borderId="4" xfId="0" applyFont="1" applyFill="1" applyBorder="1" applyAlignment="1">
      <alignment horizontal="center" vertical="center"/>
    </xf>
    <xf numFmtId="0" fontId="1" fillId="2" borderId="7" xfId="0" applyFont="1" applyFill="1" applyBorder="1" applyAlignment="1">
      <alignment horizontal="left" vertical="top" shrinkToFit="1"/>
    </xf>
    <xf numFmtId="0" fontId="1" fillId="2" borderId="4" xfId="0" applyFont="1" applyFill="1" applyBorder="1" applyAlignment="1">
      <alignment vertical="top" shrinkToFit="1"/>
    </xf>
    <xf numFmtId="176" fontId="1" fillId="2" borderId="7" xfId="0" applyNumberFormat="1" applyFont="1" applyFill="1" applyBorder="1" applyAlignment="1">
      <alignment horizontal="right" vertical="center"/>
    </xf>
    <xf numFmtId="0" fontId="1" fillId="2" borderId="4" xfId="0" applyFont="1" applyFill="1" applyBorder="1" applyAlignment="1">
      <alignment horizontal="left" vertical="center"/>
    </xf>
    <xf numFmtId="0" fontId="1" fillId="2" borderId="4" xfId="0" applyFont="1" applyFill="1" applyBorder="1" applyAlignment="1">
      <alignment vertical="center" wrapText="1"/>
    </xf>
    <xf numFmtId="0" fontId="1" fillId="2" borderId="11" xfId="0" applyFont="1" applyFill="1" applyBorder="1" applyAlignment="1">
      <alignment horizontal="center" vertical="center"/>
    </xf>
    <xf numFmtId="0" fontId="6" fillId="2" borderId="11" xfId="0" applyFont="1" applyFill="1" applyBorder="1" applyAlignment="1">
      <alignment horizontal="center" vertical="center" shrinkToFit="1"/>
    </xf>
    <xf numFmtId="49" fontId="7" fillId="2" borderId="12" xfId="0" applyNumberFormat="1" applyFont="1" applyFill="1" applyBorder="1" applyAlignment="1">
      <alignment horizontal="center" vertical="center"/>
    </xf>
    <xf numFmtId="49" fontId="7" fillId="2" borderId="13" xfId="0" applyNumberFormat="1" applyFont="1" applyFill="1" applyBorder="1" applyAlignment="1">
      <alignment horizontal="center" vertical="center"/>
    </xf>
    <xf numFmtId="49" fontId="7" fillId="2" borderId="14" xfId="0" applyNumberFormat="1" applyFont="1" applyFill="1" applyBorder="1" applyAlignment="1">
      <alignment horizontal="center" vertical="center"/>
    </xf>
    <xf numFmtId="49" fontId="6" fillId="2" borderId="15"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shrinkToFit="1"/>
    </xf>
    <xf numFmtId="0" fontId="1" fillId="2" borderId="18" xfId="0" applyFont="1" applyFill="1" applyBorder="1" applyAlignment="1">
      <alignment horizontal="left" vertical="center" shrinkToFit="1"/>
    </xf>
    <xf numFmtId="176" fontId="1" fillId="2" borderId="18" xfId="0" applyNumberFormat="1" applyFont="1" applyFill="1" applyBorder="1" applyAlignment="1">
      <alignment horizontal="center" vertical="center" shrinkToFit="1"/>
    </xf>
    <xf numFmtId="0" fontId="1" fillId="2" borderId="19" xfId="0" applyFont="1" applyFill="1" applyBorder="1" applyAlignment="1">
      <alignment horizontal="center" vertical="center" shrinkToFit="1"/>
    </xf>
    <xf numFmtId="0" fontId="1" fillId="2" borderId="20" xfId="0" applyFont="1" applyFill="1" applyBorder="1" applyAlignment="1">
      <alignment horizontal="center" vertical="center" shrinkToFit="1"/>
    </xf>
    <xf numFmtId="0" fontId="1" fillId="2" borderId="21" xfId="0" applyFont="1" applyFill="1" applyBorder="1" applyAlignment="1">
      <alignment horizontal="center" vertical="center" shrinkToFit="1"/>
    </xf>
    <xf numFmtId="0" fontId="1" fillId="2" borderId="22" xfId="0" applyFont="1" applyFill="1" applyBorder="1" applyAlignment="1">
      <alignment horizontal="center" vertical="center" shrinkToFit="1"/>
    </xf>
    <xf numFmtId="0" fontId="1" fillId="2" borderId="25" xfId="0" applyFont="1" applyFill="1" applyBorder="1" applyAlignment="1">
      <alignment horizontal="left" vertical="center" shrinkToFit="1"/>
    </xf>
    <xf numFmtId="176" fontId="1" fillId="2" borderId="25" xfId="0" applyNumberFormat="1" applyFont="1" applyFill="1" applyBorder="1" applyAlignment="1">
      <alignment horizontal="center" vertical="center" shrinkToFit="1"/>
    </xf>
    <xf numFmtId="0" fontId="1" fillId="2" borderId="26" xfId="0" applyFont="1" applyFill="1" applyBorder="1" applyAlignment="1">
      <alignment horizontal="center" vertical="center" shrinkToFit="1"/>
    </xf>
    <xf numFmtId="0" fontId="1" fillId="2" borderId="27" xfId="0" applyFont="1" applyFill="1" applyBorder="1" applyAlignment="1">
      <alignment horizontal="center" vertical="center" shrinkToFit="1"/>
    </xf>
    <xf numFmtId="0" fontId="1" fillId="2" borderId="28" xfId="0" applyFont="1" applyFill="1" applyBorder="1" applyAlignment="1">
      <alignment horizontal="center" vertical="center" shrinkToFit="1"/>
    </xf>
    <xf numFmtId="0" fontId="1" fillId="2" borderId="29" xfId="0" applyFont="1" applyFill="1" applyBorder="1" applyAlignment="1">
      <alignment horizontal="center" vertical="center" shrinkToFit="1"/>
    </xf>
    <xf numFmtId="0" fontId="1" fillId="2" borderId="32" xfId="0" applyFont="1" applyFill="1" applyBorder="1" applyAlignment="1">
      <alignment horizontal="left" vertical="center" shrinkToFit="1"/>
    </xf>
    <xf numFmtId="176" fontId="1" fillId="2" borderId="32" xfId="0" applyNumberFormat="1" applyFont="1" applyFill="1" applyBorder="1" applyAlignment="1">
      <alignment horizontal="center" vertical="center" shrinkToFit="1"/>
    </xf>
    <xf numFmtId="0" fontId="1" fillId="2" borderId="33" xfId="0" applyFont="1" applyFill="1" applyBorder="1" applyAlignment="1">
      <alignment horizontal="center" vertical="center" shrinkToFit="1"/>
    </xf>
    <xf numFmtId="0" fontId="1" fillId="2" borderId="34" xfId="0" applyFont="1" applyFill="1" applyBorder="1" applyAlignment="1">
      <alignment horizontal="center" vertical="center" shrinkToFit="1"/>
    </xf>
    <xf numFmtId="0" fontId="1" fillId="2" borderId="35" xfId="0" applyFont="1" applyFill="1" applyBorder="1" applyAlignment="1">
      <alignment horizontal="center" vertical="center" shrinkToFit="1"/>
    </xf>
    <xf numFmtId="0" fontId="1" fillId="2" borderId="36" xfId="0" applyFont="1" applyFill="1" applyBorder="1" applyAlignment="1">
      <alignment horizontal="center" vertical="center" shrinkToFit="1"/>
    </xf>
    <xf numFmtId="0" fontId="1" fillId="2" borderId="37" xfId="0" applyFont="1" applyFill="1" applyBorder="1" applyAlignment="1">
      <alignment horizontal="left" vertical="center" shrinkToFit="1"/>
    </xf>
    <xf numFmtId="176" fontId="1" fillId="2" borderId="37" xfId="0" applyNumberFormat="1" applyFont="1" applyFill="1" applyBorder="1" applyAlignment="1">
      <alignment horizontal="center" vertical="center" shrinkToFit="1"/>
    </xf>
    <xf numFmtId="0" fontId="1" fillId="2" borderId="38" xfId="0" applyFont="1" applyFill="1" applyBorder="1" applyAlignment="1">
      <alignment horizontal="center" vertical="center" shrinkToFit="1"/>
    </xf>
    <xf numFmtId="0" fontId="1" fillId="2" borderId="39" xfId="0" applyFont="1" applyFill="1" applyBorder="1" applyAlignment="1">
      <alignment horizontal="center" vertical="center" shrinkToFit="1"/>
    </xf>
    <xf numFmtId="0" fontId="1" fillId="2" borderId="40" xfId="0" applyFont="1" applyFill="1" applyBorder="1" applyAlignment="1">
      <alignment horizontal="center" vertical="center" shrinkToFit="1"/>
    </xf>
    <xf numFmtId="0" fontId="1" fillId="2" borderId="41" xfId="0" applyFont="1" applyFill="1" applyBorder="1" applyAlignment="1">
      <alignment horizontal="center" vertical="center" shrinkToFit="1"/>
    </xf>
    <xf numFmtId="176" fontId="1" fillId="2" borderId="44" xfId="0" applyNumberFormat="1" applyFont="1" applyFill="1" applyBorder="1" applyAlignment="1">
      <alignment horizontal="center" vertical="center" shrinkToFit="1"/>
    </xf>
    <xf numFmtId="0" fontId="1" fillId="2" borderId="47" xfId="0" applyFont="1" applyFill="1" applyBorder="1" applyAlignment="1">
      <alignment horizontal="center" vertical="center" shrinkToFit="1"/>
    </xf>
    <xf numFmtId="0" fontId="1" fillId="2" borderId="48" xfId="0" applyFont="1" applyFill="1" applyBorder="1" applyAlignment="1">
      <alignment horizontal="center" vertical="center" shrinkToFit="1"/>
    </xf>
    <xf numFmtId="0" fontId="1" fillId="2" borderId="49" xfId="0" applyFont="1" applyFill="1" applyBorder="1" applyAlignment="1">
      <alignment horizontal="center" vertical="center" shrinkToFit="1"/>
    </xf>
    <xf numFmtId="0" fontId="1" fillId="2" borderId="4" xfId="0" applyFont="1" applyFill="1" applyBorder="1" applyAlignment="1">
      <alignment horizontal="center" vertical="center" shrinkToFit="1"/>
    </xf>
    <xf numFmtId="0" fontId="1" fillId="2" borderId="7" xfId="0" applyFont="1" applyFill="1" applyBorder="1" applyAlignment="1">
      <alignment horizontal="center" vertical="center"/>
    </xf>
    <xf numFmtId="49" fontId="1" fillId="2" borderId="52" xfId="0" applyNumberFormat="1" applyFont="1" applyFill="1" applyBorder="1" applyAlignment="1">
      <alignment horizontal="center" vertical="center"/>
    </xf>
    <xf numFmtId="49" fontId="1" fillId="2" borderId="4" xfId="0" applyNumberFormat="1" applyFont="1" applyFill="1" applyBorder="1" applyAlignment="1">
      <alignment vertical="top"/>
    </xf>
    <xf numFmtId="49" fontId="1" fillId="2" borderId="54" xfId="0" applyNumberFormat="1" applyFont="1" applyFill="1" applyBorder="1" applyAlignment="1">
      <alignment horizontal="center" vertical="center"/>
    </xf>
    <xf numFmtId="49" fontId="6" fillId="2" borderId="4" xfId="0" applyNumberFormat="1" applyFont="1" applyFill="1" applyBorder="1" applyAlignment="1">
      <alignment vertical="top"/>
    </xf>
    <xf numFmtId="49" fontId="1" fillId="2" borderId="56" xfId="0" applyNumberFormat="1" applyFont="1" applyFill="1" applyBorder="1" applyAlignment="1">
      <alignment horizontal="center" vertical="center"/>
    </xf>
    <xf numFmtId="49" fontId="1" fillId="2" borderId="58" xfId="0" applyNumberFormat="1" applyFont="1" applyFill="1" applyBorder="1" applyAlignment="1">
      <alignment horizontal="center" vertical="center"/>
    </xf>
    <xf numFmtId="49" fontId="1" fillId="2" borderId="60" xfId="0" applyNumberFormat="1" applyFont="1" applyFill="1" applyBorder="1" applyAlignment="1">
      <alignment horizontal="center" vertical="center"/>
    </xf>
    <xf numFmtId="49" fontId="1" fillId="2" borderId="27" xfId="0" applyNumberFormat="1" applyFont="1" applyFill="1" applyBorder="1" applyAlignment="1">
      <alignment horizontal="left" vertical="center" wrapText="1"/>
    </xf>
    <xf numFmtId="49" fontId="6" fillId="2" borderId="4" xfId="0" applyNumberFormat="1" applyFont="1" applyFill="1" applyBorder="1" applyAlignment="1">
      <alignment vertical="center"/>
    </xf>
    <xf numFmtId="49" fontId="1" fillId="2" borderId="57" xfId="0" applyNumberFormat="1" applyFont="1" applyFill="1" applyBorder="1" applyAlignment="1">
      <alignment horizontal="left" vertical="center" wrapText="1"/>
    </xf>
    <xf numFmtId="0" fontId="1" fillId="2" borderId="7" xfId="0" applyFont="1" applyFill="1" applyBorder="1" applyAlignment="1">
      <alignment horizontal="center" vertical="center" shrinkToFit="1"/>
    </xf>
    <xf numFmtId="0" fontId="9" fillId="2" borderId="44" xfId="0" applyFont="1" applyFill="1" applyBorder="1" applyAlignment="1">
      <alignment vertical="center" wrapText="1"/>
    </xf>
    <xf numFmtId="0" fontId="6" fillId="2" borderId="56" xfId="0" applyFont="1" applyFill="1" applyBorder="1" applyAlignment="1">
      <alignment vertical="center" wrapText="1"/>
    </xf>
    <xf numFmtId="0" fontId="10" fillId="2" borderId="32" xfId="0" applyFont="1" applyFill="1" applyBorder="1" applyAlignment="1">
      <alignment horizontal="center" vertical="center"/>
    </xf>
    <xf numFmtId="0" fontId="1" fillId="2" borderId="27" xfId="0" applyFont="1" applyFill="1" applyBorder="1" applyAlignment="1">
      <alignment horizontal="left" vertical="center" shrinkToFit="1"/>
    </xf>
    <xf numFmtId="38" fontId="1" fillId="2" borderId="25" xfId="0" applyNumberFormat="1" applyFont="1" applyFill="1" applyBorder="1" applyAlignment="1">
      <alignment horizontal="right" vertical="center" shrinkToFit="1"/>
    </xf>
    <xf numFmtId="38" fontId="1" fillId="0" borderId="60" xfId="0" applyNumberFormat="1" applyFont="1" applyBorder="1" applyAlignment="1">
      <alignment horizontal="right" vertical="center" shrinkToFit="1"/>
    </xf>
    <xf numFmtId="38" fontId="1" fillId="0" borderId="72" xfId="0" applyNumberFormat="1" applyFont="1" applyBorder="1" applyAlignment="1">
      <alignment horizontal="right" vertical="center" shrinkToFit="1"/>
    </xf>
    <xf numFmtId="38" fontId="1" fillId="0" borderId="73" xfId="0" applyNumberFormat="1" applyFont="1" applyBorder="1" applyAlignment="1">
      <alignment horizontal="right" vertical="center" shrinkToFit="1"/>
    </xf>
    <xf numFmtId="38" fontId="11" fillId="3" borderId="74" xfId="0" applyNumberFormat="1" applyFont="1" applyFill="1" applyBorder="1" applyAlignment="1">
      <alignment horizontal="right" vertical="center"/>
    </xf>
    <xf numFmtId="38" fontId="1" fillId="2" borderId="73" xfId="0" applyNumberFormat="1" applyFont="1" applyFill="1" applyBorder="1" applyAlignment="1">
      <alignment horizontal="right" vertical="center" shrinkToFit="1"/>
    </xf>
    <xf numFmtId="38" fontId="1" fillId="2" borderId="73" xfId="0" applyNumberFormat="1" applyFont="1" applyFill="1" applyBorder="1" applyAlignment="1">
      <alignment vertical="center" shrinkToFit="1"/>
    </xf>
    <xf numFmtId="177" fontId="1" fillId="2" borderId="27" xfId="0" applyNumberFormat="1" applyFont="1" applyFill="1" applyBorder="1" applyAlignment="1">
      <alignment vertical="center" shrinkToFit="1"/>
    </xf>
    <xf numFmtId="38" fontId="1" fillId="0" borderId="75" xfId="0" applyNumberFormat="1" applyFont="1" applyBorder="1" applyAlignment="1">
      <alignment horizontal="right" vertical="center" shrinkToFit="1"/>
    </xf>
    <xf numFmtId="0" fontId="1" fillId="2" borderId="76" xfId="0" applyFont="1" applyFill="1" applyBorder="1" applyAlignment="1">
      <alignment horizontal="center" vertical="center" shrinkToFit="1"/>
    </xf>
    <xf numFmtId="38" fontId="1" fillId="2" borderId="77" xfId="0" applyNumberFormat="1" applyFont="1" applyFill="1" applyBorder="1" applyAlignment="1">
      <alignment vertical="center" shrinkToFit="1"/>
    </xf>
    <xf numFmtId="38" fontId="1" fillId="2" borderId="78" xfId="0" applyNumberFormat="1" applyFont="1" applyFill="1" applyBorder="1" applyAlignment="1">
      <alignment vertical="center" shrinkToFit="1"/>
    </xf>
    <xf numFmtId="38" fontId="1" fillId="2" borderId="76" xfId="0" applyNumberFormat="1" applyFont="1" applyFill="1" applyBorder="1" applyAlignment="1">
      <alignment vertical="center" shrinkToFit="1"/>
    </xf>
    <xf numFmtId="177" fontId="1" fillId="2" borderId="76" xfId="0" applyNumberFormat="1" applyFont="1" applyFill="1" applyBorder="1" applyAlignment="1">
      <alignment vertical="center" shrinkToFit="1"/>
    </xf>
    <xf numFmtId="0" fontId="6" fillId="2" borderId="4" xfId="0" applyFont="1" applyFill="1" applyBorder="1" applyAlignment="1">
      <alignment vertical="center"/>
    </xf>
    <xf numFmtId="0" fontId="1" fillId="2" borderId="4" xfId="0" applyFont="1" applyFill="1" applyBorder="1" applyAlignment="1">
      <alignment horizontal="right" vertical="center" shrinkToFit="1"/>
    </xf>
    <xf numFmtId="38" fontId="1" fillId="2" borderId="7" xfId="0" applyNumberFormat="1" applyFont="1" applyFill="1" applyBorder="1" applyAlignment="1">
      <alignment horizontal="right" vertical="center"/>
    </xf>
    <xf numFmtId="0" fontId="3" fillId="2" borderId="4" xfId="0" applyFont="1" applyFill="1" applyBorder="1" applyAlignment="1">
      <alignment horizontal="left" vertical="center"/>
    </xf>
    <xf numFmtId="3" fontId="1" fillId="2" borderId="7" xfId="0" applyNumberFormat="1" applyFont="1" applyFill="1" applyBorder="1" applyAlignment="1">
      <alignment horizontal="right" vertical="center"/>
    </xf>
    <xf numFmtId="0" fontId="1" fillId="2" borderId="4" xfId="0" applyFont="1" applyFill="1" applyBorder="1" applyAlignment="1">
      <alignment vertical="top" wrapText="1"/>
    </xf>
    <xf numFmtId="0" fontId="6" fillId="2" borderId="4" xfId="0" applyFont="1" applyFill="1" applyBorder="1" applyAlignment="1">
      <alignment vertical="top" wrapText="1"/>
    </xf>
    <xf numFmtId="177" fontId="1" fillId="2" borderId="7" xfId="0" applyNumberFormat="1" applyFont="1" applyFill="1" applyBorder="1" applyAlignment="1">
      <alignment horizontal="right" vertical="center" shrinkToFit="1"/>
    </xf>
    <xf numFmtId="9" fontId="1" fillId="2" borderId="4" xfId="0" applyNumberFormat="1" applyFont="1" applyFill="1" applyBorder="1" applyAlignment="1">
      <alignment horizontal="center" vertical="center" shrinkToFit="1"/>
    </xf>
    <xf numFmtId="9" fontId="1" fillId="2" borderId="4" xfId="0" applyNumberFormat="1" applyFont="1" applyFill="1" applyBorder="1" applyAlignment="1">
      <alignment horizontal="center" vertical="center"/>
    </xf>
    <xf numFmtId="9" fontId="1" fillId="2" borderId="7"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0" fontId="6" fillId="2" borderId="4" xfId="0" applyFont="1" applyFill="1" applyBorder="1" applyAlignment="1">
      <alignment vertical="top" shrinkToFit="1"/>
    </xf>
    <xf numFmtId="0" fontId="5" fillId="2" borderId="7" xfId="0" applyFont="1" applyFill="1" applyBorder="1" applyAlignment="1">
      <alignment horizontal="left" vertical="center" shrinkToFit="1"/>
    </xf>
    <xf numFmtId="0" fontId="1" fillId="2" borderId="15" xfId="0" applyFont="1" applyFill="1" applyBorder="1" applyAlignment="1">
      <alignment horizontal="center" vertical="center"/>
    </xf>
    <xf numFmtId="0" fontId="6" fillId="2" borderId="89" xfId="0" applyFont="1" applyFill="1" applyBorder="1" applyAlignment="1">
      <alignment vertical="top" wrapText="1"/>
    </xf>
    <xf numFmtId="0" fontId="1" fillId="2" borderId="90" xfId="0" applyFont="1" applyFill="1" applyBorder="1" applyAlignment="1">
      <alignment vertical="center" wrapText="1"/>
    </xf>
    <xf numFmtId="0" fontId="1" fillId="2" borderId="27" xfId="0" applyFont="1" applyFill="1" applyBorder="1" applyAlignment="1">
      <alignment horizontal="left" vertical="top" wrapText="1"/>
    </xf>
    <xf numFmtId="0" fontId="6" fillId="2" borderId="91" xfId="0" applyFont="1" applyFill="1" applyBorder="1" applyAlignment="1">
      <alignment vertical="top" wrapText="1"/>
    </xf>
    <xf numFmtId="0" fontId="1" fillId="2" borderId="92" xfId="0" applyFont="1" applyFill="1" applyBorder="1" applyAlignment="1">
      <alignment vertical="center" wrapText="1"/>
    </xf>
    <xf numFmtId="0" fontId="1" fillId="2" borderId="34" xfId="0" applyFont="1" applyFill="1" applyBorder="1" applyAlignment="1">
      <alignment horizontal="left" vertical="top" wrapText="1"/>
    </xf>
    <xf numFmtId="0" fontId="1" fillId="2" borderId="93" xfId="0" applyFont="1" applyFill="1" applyBorder="1" applyAlignment="1">
      <alignment vertical="center"/>
    </xf>
    <xf numFmtId="0" fontId="6" fillId="2" borderId="94" xfId="0" applyFont="1" applyFill="1" applyBorder="1" applyAlignment="1">
      <alignment vertical="top" wrapText="1"/>
    </xf>
    <xf numFmtId="0" fontId="6" fillId="2" borderId="22" xfId="0" applyFont="1" applyFill="1" applyBorder="1" applyAlignment="1">
      <alignment vertical="top" shrinkToFit="1"/>
    </xf>
    <xf numFmtId="0" fontId="1" fillId="2" borderId="57" xfId="0" applyFont="1" applyFill="1" applyBorder="1" applyAlignment="1">
      <alignment horizontal="left" vertical="top" wrapText="1"/>
    </xf>
    <xf numFmtId="49" fontId="1" fillId="2" borderId="20" xfId="0" applyNumberFormat="1" applyFont="1" applyFill="1" applyBorder="1" applyAlignment="1">
      <alignment horizontal="left" vertical="center" wrapText="1"/>
    </xf>
    <xf numFmtId="49" fontId="1" fillId="2" borderId="34" xfId="0" applyNumberFormat="1" applyFont="1" applyFill="1" applyBorder="1" applyAlignment="1">
      <alignment horizontal="left" vertical="center" wrapText="1"/>
    </xf>
    <xf numFmtId="0" fontId="1" fillId="2" borderId="7" xfId="0" applyFont="1" applyFill="1" applyBorder="1" applyAlignment="1">
      <alignment horizontal="left" vertical="center" wrapText="1" shrinkToFit="1"/>
    </xf>
    <xf numFmtId="0" fontId="1" fillId="2" borderId="7" xfId="0" applyFont="1" applyFill="1" applyBorder="1" applyAlignment="1">
      <alignment horizontal="left" vertical="top" wrapText="1"/>
    </xf>
    <xf numFmtId="0" fontId="1" fillId="2" borderId="92" xfId="0" applyFont="1" applyFill="1" applyBorder="1" applyAlignment="1">
      <alignment vertical="center"/>
    </xf>
    <xf numFmtId="0" fontId="6" fillId="2" borderId="51" xfId="0" applyFont="1" applyFill="1" applyBorder="1" applyAlignment="1">
      <alignment vertical="top" wrapText="1"/>
    </xf>
    <xf numFmtId="0" fontId="1" fillId="2" borderId="96" xfId="0" applyFont="1" applyFill="1" applyBorder="1" applyAlignment="1">
      <alignment vertical="center" wrapText="1"/>
    </xf>
    <xf numFmtId="0" fontId="1" fillId="2" borderId="20" xfId="0" applyFont="1" applyFill="1" applyBorder="1" applyAlignment="1">
      <alignment horizontal="left" vertical="top" wrapText="1"/>
    </xf>
    <xf numFmtId="0" fontId="1" fillId="2" borderId="88" xfId="0" applyFont="1" applyFill="1" applyBorder="1" applyAlignment="1">
      <alignment vertical="top" shrinkToFit="1"/>
    </xf>
    <xf numFmtId="0" fontId="1" fillId="2" borderId="87" xfId="0" applyFont="1" applyFill="1"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4"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51" xfId="0" applyFont="1" applyFill="1" applyBorder="1" applyAlignment="1">
      <alignment horizontal="left" vertical="center" wrapText="1"/>
    </xf>
    <xf numFmtId="0" fontId="2" fillId="0" borderId="53" xfId="0" applyFont="1" applyBorder="1" applyAlignment="1">
      <alignment vertical="center"/>
    </xf>
    <xf numFmtId="0" fontId="2" fillId="0" borderId="55" xfId="0" applyFont="1" applyBorder="1" applyAlignment="1">
      <alignment vertical="center"/>
    </xf>
    <xf numFmtId="0" fontId="2" fillId="0" borderId="59" xfId="0" applyFont="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top"/>
    </xf>
    <xf numFmtId="0" fontId="1" fillId="2" borderId="8" xfId="0" applyFont="1" applyFill="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vertical="center"/>
    </xf>
    <xf numFmtId="0" fontId="1" fillId="2" borderId="16" xfId="0" applyFont="1" applyFill="1" applyBorder="1" applyAlignment="1">
      <alignment horizontal="left" vertical="top" wrapText="1"/>
    </xf>
    <xf numFmtId="0" fontId="2" fillId="0" borderId="17" xfId="0" applyFont="1" applyBorder="1" applyAlignment="1">
      <alignment vertical="center"/>
    </xf>
    <xf numFmtId="0" fontId="2" fillId="0" borderId="23" xfId="0" applyFont="1" applyBorder="1" applyAlignment="1">
      <alignment vertical="center"/>
    </xf>
    <xf numFmtId="0" fontId="2" fillId="0" borderId="24"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42" xfId="0" applyFont="1" applyBorder="1" applyAlignment="1">
      <alignment vertical="center"/>
    </xf>
    <xf numFmtId="0" fontId="2" fillId="0" borderId="43" xfId="0" applyFont="1" applyBorder="1" applyAlignment="1">
      <alignment vertical="center"/>
    </xf>
    <xf numFmtId="0" fontId="8" fillId="2" borderId="45" xfId="0" applyFont="1" applyFill="1" applyBorder="1" applyAlignment="1">
      <alignment horizontal="left" vertical="top" wrapText="1"/>
    </xf>
    <xf numFmtId="0" fontId="2" fillId="0" borderId="46" xfId="0" applyFont="1" applyBorder="1" applyAlignment="1">
      <alignment vertical="center"/>
    </xf>
    <xf numFmtId="0" fontId="1" fillId="2" borderId="5" xfId="0" applyFont="1" applyFill="1" applyBorder="1" applyAlignment="1">
      <alignment horizontal="center" vertical="center" shrinkToFit="1"/>
    </xf>
    <xf numFmtId="0" fontId="2" fillId="0" borderId="50" xfId="0" applyFont="1" applyBorder="1" applyAlignment="1">
      <alignment vertical="center"/>
    </xf>
    <xf numFmtId="0" fontId="9" fillId="2" borderId="67" xfId="0" applyFont="1" applyFill="1" applyBorder="1" applyAlignment="1">
      <alignment horizontal="center" vertical="center"/>
    </xf>
    <xf numFmtId="0" fontId="2" fillId="0" borderId="71" xfId="0" applyFont="1" applyBorder="1" applyAlignment="1">
      <alignment vertical="center"/>
    </xf>
    <xf numFmtId="0" fontId="5" fillId="2" borderId="1"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68" xfId="0" applyFont="1" applyBorder="1" applyAlignment="1">
      <alignment vertical="center"/>
    </xf>
    <xf numFmtId="0" fontId="9" fillId="2" borderId="8" xfId="0" applyFont="1" applyFill="1" applyBorder="1" applyAlignment="1">
      <alignment horizontal="center" vertical="center" wrapText="1"/>
    </xf>
    <xf numFmtId="0" fontId="9" fillId="2" borderId="62" xfId="0" applyFont="1" applyFill="1" applyBorder="1" applyAlignment="1">
      <alignment horizontal="center" vertical="center" wrapText="1"/>
    </xf>
    <xf numFmtId="0" fontId="2" fillId="0" borderId="69" xfId="0" applyFont="1" applyBorder="1" applyAlignment="1">
      <alignment vertical="center"/>
    </xf>
    <xf numFmtId="0" fontId="9" fillId="2" borderId="63" xfId="0" applyFont="1" applyFill="1" applyBorder="1" applyAlignment="1">
      <alignment horizontal="center" vertical="center" wrapText="1"/>
    </xf>
    <xf numFmtId="0" fontId="2" fillId="0" borderId="70" xfId="0" applyFont="1" applyBorder="1" applyAlignment="1">
      <alignment vertical="center"/>
    </xf>
    <xf numFmtId="0" fontId="1" fillId="2" borderId="64" xfId="0" applyFont="1" applyFill="1" applyBorder="1" applyAlignment="1">
      <alignment horizontal="center" vertical="center"/>
    </xf>
    <xf numFmtId="0" fontId="2" fillId="0" borderId="65" xfId="0" applyFont="1" applyBorder="1" applyAlignment="1">
      <alignment vertical="center"/>
    </xf>
    <xf numFmtId="0" fontId="2" fillId="0" borderId="66" xfId="0" applyFont="1" applyBorder="1" applyAlignment="1">
      <alignment vertical="center"/>
    </xf>
    <xf numFmtId="0" fontId="10" fillId="2" borderId="61" xfId="0" applyFont="1" applyFill="1" applyBorder="1" applyAlignment="1">
      <alignment horizontal="center" vertical="center" wrapText="1"/>
    </xf>
    <xf numFmtId="0" fontId="1" fillId="2" borderId="5" xfId="0" applyFont="1" applyFill="1" applyBorder="1" applyAlignment="1">
      <alignment horizontal="left" vertical="top" wrapText="1"/>
    </xf>
    <xf numFmtId="0" fontId="2" fillId="0" borderId="79" xfId="0" applyFont="1" applyBorder="1" applyAlignment="1">
      <alignment vertical="center"/>
    </xf>
    <xf numFmtId="0" fontId="1" fillId="2" borderId="87" xfId="0" applyFont="1" applyFill="1" applyBorder="1" applyAlignment="1">
      <alignment vertical="center"/>
    </xf>
    <xf numFmtId="0" fontId="2" fillId="0" borderId="80" xfId="0" applyFont="1" applyBorder="1" applyAlignment="1">
      <alignment vertical="center"/>
    </xf>
    <xf numFmtId="0" fontId="2" fillId="0" borderId="81" xfId="0" applyFont="1" applyBorder="1" applyAlignment="1">
      <alignment vertical="center"/>
    </xf>
    <xf numFmtId="0" fontId="1" fillId="2" borderId="87" xfId="0" applyFont="1" applyFill="1" applyBorder="1" applyAlignment="1">
      <alignment vertical="center" wrapText="1"/>
    </xf>
    <xf numFmtId="0" fontId="1" fillId="2" borderId="1" xfId="0" applyFont="1" applyFill="1" applyBorder="1" applyAlignment="1">
      <alignment horizontal="left" vertical="center" shrinkToFit="1"/>
    </xf>
    <xf numFmtId="0" fontId="1" fillId="2" borderId="82" xfId="0" applyFont="1" applyFill="1" applyBorder="1" applyAlignment="1">
      <alignment horizontal="left" vertical="center" wrapText="1"/>
    </xf>
    <xf numFmtId="0" fontId="2" fillId="0" borderId="83" xfId="0" applyFont="1" applyBorder="1" applyAlignment="1">
      <alignment vertical="center"/>
    </xf>
    <xf numFmtId="0" fontId="2" fillId="0" borderId="84" xfId="0" applyFont="1" applyBorder="1" applyAlignment="1">
      <alignment vertical="center"/>
    </xf>
    <xf numFmtId="0" fontId="2" fillId="0" borderId="85" xfId="0" applyFont="1" applyBorder="1" applyAlignment="1">
      <alignment vertical="center"/>
    </xf>
    <xf numFmtId="0" fontId="2" fillId="0" borderId="86" xfId="0" applyFont="1" applyBorder="1" applyAlignment="1">
      <alignment vertical="center"/>
    </xf>
    <xf numFmtId="0" fontId="2" fillId="0" borderId="87" xfId="0" applyFont="1" applyBorder="1" applyAlignment="1">
      <alignment vertical="center"/>
    </xf>
    <xf numFmtId="0" fontId="1" fillId="2" borderId="8" xfId="0" applyFont="1" applyFill="1" applyBorder="1" applyAlignment="1">
      <alignment vertical="center"/>
    </xf>
    <xf numFmtId="0" fontId="1" fillId="2" borderId="64" xfId="0" applyFont="1" applyFill="1" applyBorder="1" applyAlignment="1">
      <alignment vertical="center" wrapText="1"/>
    </xf>
    <xf numFmtId="0" fontId="2" fillId="0" borderId="94" xfId="0" applyFont="1" applyBorder="1" applyAlignment="1">
      <alignment vertical="center"/>
    </xf>
    <xf numFmtId="0" fontId="1" fillId="2" borderId="95" xfId="0" applyFont="1" applyFill="1" applyBorder="1" applyAlignment="1">
      <alignment vertical="center" wrapText="1"/>
    </xf>
    <xf numFmtId="0" fontId="1" fillId="2" borderId="1" xfId="0" applyFont="1" applyFill="1" applyBorder="1" applyAlignment="1">
      <alignment horizontal="center" vertical="center" shrinkToFit="1"/>
    </xf>
    <xf numFmtId="0" fontId="1" fillId="2" borderId="1" xfId="0" applyFont="1" applyFill="1" applyBorder="1" applyAlignment="1">
      <alignment horizontal="right" vertical="center" shrinkToFit="1"/>
    </xf>
    <xf numFmtId="0" fontId="2" fillId="0" borderId="88" xfId="0" applyFont="1" applyBorder="1" applyAlignment="1">
      <alignment vertical="center"/>
    </xf>
    <xf numFmtId="0" fontId="1" fillId="2" borderId="87" xfId="0" applyFont="1" applyFill="1" applyBorder="1" applyAlignment="1">
      <alignment vertical="center" shrinkToFit="1"/>
    </xf>
    <xf numFmtId="38" fontId="1" fillId="2" borderId="72" xfId="0" applyNumberFormat="1" applyFont="1" applyFill="1" applyBorder="1" applyAlignment="1">
      <alignment horizontal="right" vertical="center" shrinkToFit="1"/>
    </xf>
  </cellXfs>
  <cellStyles count="1">
    <cellStyle name="標準" xfId="0" builtinId="0"/>
  </cellStyles>
  <dxfs count="4">
    <dxf>
      <fill>
        <patternFill patternType="none"/>
      </fill>
    </dxf>
    <dxf>
      <font>
        <color rgb="FFA5A5A5"/>
      </font>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71"/>
  <sheetViews>
    <sheetView view="pageBreakPreview" topLeftCell="A67" zoomScale="74" zoomScaleNormal="70" zoomScaleSheetLayoutView="74" workbookViewId="0">
      <selection activeCell="D15" sqref="D15"/>
    </sheetView>
  </sheetViews>
  <sheetFormatPr defaultColWidth="14.42578125" defaultRowHeight="15" customHeight="1"/>
  <cols>
    <col min="1" max="1" width="2.42578125" customWidth="1"/>
    <col min="2" max="2" width="28.28515625" customWidth="1"/>
    <col min="3" max="3" width="6.28515625" customWidth="1"/>
    <col min="4" max="4" width="130.85546875" customWidth="1"/>
    <col min="5" max="5" width="6.42578125" customWidth="1"/>
    <col min="6" max="26" width="5.5703125" customWidth="1"/>
    <col min="27" max="28" width="9" customWidth="1"/>
  </cols>
  <sheetData>
    <row r="1" spans="1:28" ht="18.75" customHeight="1">
      <c r="A1" s="119" t="s">
        <v>0</v>
      </c>
      <c r="B1" s="120"/>
      <c r="C1" s="120"/>
      <c r="D1" s="120"/>
      <c r="E1" s="120"/>
      <c r="F1" s="120"/>
      <c r="G1" s="120"/>
      <c r="H1" s="120"/>
      <c r="I1" s="120"/>
      <c r="J1" s="120"/>
      <c r="K1" s="120"/>
      <c r="L1" s="120"/>
      <c r="M1" s="120"/>
      <c r="N1" s="120"/>
      <c r="O1" s="120"/>
      <c r="P1" s="120"/>
      <c r="Q1" s="120"/>
      <c r="R1" s="120"/>
      <c r="S1" s="120"/>
      <c r="T1" s="120"/>
      <c r="U1" s="120"/>
      <c r="V1" s="120"/>
      <c r="W1" s="120"/>
      <c r="X1" s="120"/>
      <c r="Y1" s="120"/>
      <c r="Z1" s="121"/>
      <c r="AA1" s="1"/>
      <c r="AB1" s="1"/>
    </row>
    <row r="2" spans="1:28" ht="18.7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8" customHeight="1">
      <c r="A3" s="1"/>
      <c r="B3" s="1"/>
      <c r="C3" s="1"/>
      <c r="D3" s="1"/>
      <c r="E3" s="1"/>
      <c r="F3" s="1"/>
      <c r="G3" s="1"/>
      <c r="H3" s="1"/>
      <c r="I3" s="1"/>
      <c r="J3" s="1"/>
      <c r="K3" s="1"/>
      <c r="L3" s="1"/>
      <c r="M3" s="1"/>
      <c r="N3" s="1"/>
      <c r="O3" s="1"/>
      <c r="P3" s="1"/>
      <c r="Q3" s="1"/>
      <c r="R3" s="1"/>
      <c r="S3" s="1"/>
      <c r="T3" s="1"/>
      <c r="U3" s="1"/>
      <c r="V3" s="1"/>
      <c r="W3" s="1"/>
      <c r="X3" s="1"/>
      <c r="Y3" s="119" t="s">
        <v>1</v>
      </c>
      <c r="Z3" s="121"/>
      <c r="AA3" s="2"/>
      <c r="AB3" s="3"/>
    </row>
    <row r="4" spans="1:28" ht="18.75" customHeight="1">
      <c r="A4" s="1"/>
      <c r="B4" s="122" t="s">
        <v>2</v>
      </c>
      <c r="C4" s="123"/>
      <c r="D4" s="4" t="s">
        <v>169</v>
      </c>
      <c r="E4" s="1"/>
      <c r="F4" s="1"/>
      <c r="G4" s="1"/>
      <c r="H4" s="1"/>
      <c r="I4" s="1"/>
      <c r="J4" s="1"/>
      <c r="K4" s="1"/>
      <c r="L4" s="1"/>
      <c r="M4" s="1"/>
      <c r="N4" s="1"/>
      <c r="O4" s="1"/>
      <c r="P4" s="2"/>
      <c r="Q4" s="5"/>
      <c r="R4" s="5"/>
      <c r="S4" s="5"/>
      <c r="T4" s="5"/>
      <c r="U4" s="5"/>
      <c r="V4" s="5"/>
      <c r="W4" s="5"/>
      <c r="X4" s="5"/>
      <c r="Y4" s="5"/>
      <c r="Z4" s="5"/>
      <c r="AA4" s="1"/>
      <c r="AB4" s="1"/>
    </row>
    <row r="5" spans="1:28" ht="18.75" customHeight="1">
      <c r="A5" s="1"/>
      <c r="B5" s="122" t="s">
        <v>3</v>
      </c>
      <c r="C5" s="123"/>
      <c r="D5" s="4" t="s">
        <v>4</v>
      </c>
      <c r="E5" s="1"/>
      <c r="F5" s="1"/>
      <c r="G5" s="1"/>
      <c r="H5" s="1"/>
      <c r="I5" s="1"/>
      <c r="J5" s="1"/>
      <c r="K5" s="1"/>
      <c r="L5" s="1"/>
      <c r="M5" s="1"/>
      <c r="N5" s="1"/>
      <c r="O5" s="1"/>
      <c r="P5" s="2"/>
      <c r="Q5" s="5"/>
      <c r="R5" s="5"/>
      <c r="S5" s="5"/>
      <c r="T5" s="5"/>
      <c r="U5" s="5"/>
      <c r="V5" s="5"/>
      <c r="W5" s="5"/>
      <c r="X5" s="5"/>
      <c r="Y5" s="5"/>
      <c r="Z5" s="5"/>
      <c r="AA5" s="1"/>
      <c r="AB5" s="1"/>
    </row>
    <row r="6" spans="1:28" ht="15" customHeight="1">
      <c r="A6" s="1"/>
      <c r="B6" s="1"/>
      <c r="C6" s="1"/>
      <c r="D6" s="1"/>
      <c r="E6" s="1"/>
      <c r="F6" s="1"/>
      <c r="G6" s="1"/>
      <c r="H6" s="1"/>
      <c r="I6" s="1"/>
      <c r="J6" s="1"/>
      <c r="K6" s="1"/>
      <c r="L6" s="1"/>
      <c r="M6" s="1"/>
      <c r="N6" s="1"/>
      <c r="O6" s="1"/>
      <c r="P6" s="1"/>
      <c r="Q6" s="2"/>
      <c r="R6" s="6"/>
      <c r="S6" s="6"/>
      <c r="T6" s="6"/>
      <c r="U6" s="6"/>
      <c r="V6" s="6"/>
      <c r="W6" s="6"/>
      <c r="X6" s="6"/>
      <c r="Y6" s="6"/>
      <c r="Z6" s="6"/>
      <c r="AA6" s="1"/>
      <c r="AB6" s="1"/>
    </row>
    <row r="7" spans="1:28" ht="18" customHeight="1">
      <c r="A7" s="124" t="s">
        <v>5</v>
      </c>
      <c r="B7" s="120"/>
      <c r="C7" s="120"/>
      <c r="D7" s="120"/>
      <c r="E7" s="120"/>
      <c r="F7" s="120"/>
      <c r="G7" s="120"/>
      <c r="H7" s="120"/>
      <c r="I7" s="120"/>
      <c r="J7" s="120"/>
      <c r="K7" s="120"/>
      <c r="L7" s="120"/>
      <c r="M7" s="120"/>
      <c r="N7" s="120"/>
      <c r="O7" s="120"/>
      <c r="P7" s="120"/>
      <c r="Q7" s="120"/>
      <c r="R7" s="120"/>
      <c r="S7" s="120"/>
      <c r="T7" s="120"/>
      <c r="U7" s="120"/>
      <c r="V7" s="120"/>
      <c r="W7" s="120"/>
      <c r="X7" s="120"/>
      <c r="Y7" s="120"/>
      <c r="Z7" s="121"/>
      <c r="AA7" s="1"/>
      <c r="AB7" s="1"/>
    </row>
    <row r="8" spans="1:28" ht="18" customHeight="1">
      <c r="A8" s="7"/>
      <c r="B8" s="7"/>
      <c r="C8" s="7"/>
      <c r="D8" s="7"/>
      <c r="E8" s="7"/>
      <c r="F8" s="7"/>
      <c r="G8" s="7"/>
      <c r="H8" s="7"/>
      <c r="I8" s="7"/>
      <c r="J8" s="7"/>
      <c r="K8" s="7"/>
      <c r="L8" s="7"/>
      <c r="M8" s="7"/>
      <c r="N8" s="7"/>
      <c r="O8" s="7"/>
      <c r="P8" s="7"/>
      <c r="Q8" s="7"/>
      <c r="R8" s="7"/>
      <c r="S8" s="7"/>
      <c r="T8" s="7"/>
      <c r="U8" s="7"/>
      <c r="V8" s="7"/>
      <c r="W8" s="7"/>
      <c r="X8" s="7"/>
      <c r="Y8" s="7"/>
      <c r="Z8" s="7"/>
      <c r="AA8" s="1"/>
      <c r="AB8" s="1"/>
    </row>
    <row r="9" spans="1:28" ht="20.25" customHeight="1">
      <c r="A9" s="125" t="s">
        <v>6</v>
      </c>
      <c r="B9" s="121"/>
      <c r="C9" s="1"/>
      <c r="D9" s="8" t="s">
        <v>7</v>
      </c>
      <c r="E9" s="1"/>
      <c r="F9" s="1"/>
      <c r="G9" s="1"/>
      <c r="H9" s="1"/>
      <c r="I9" s="1"/>
      <c r="J9" s="1"/>
      <c r="K9" s="1"/>
      <c r="L9" s="1"/>
      <c r="M9" s="1"/>
      <c r="N9" s="1"/>
      <c r="O9" s="1"/>
      <c r="P9" s="1"/>
      <c r="Q9" s="1"/>
      <c r="R9" s="1"/>
      <c r="S9" s="1"/>
      <c r="T9" s="1"/>
      <c r="U9" s="1"/>
      <c r="V9" s="1"/>
      <c r="W9" s="1"/>
      <c r="X9" s="1"/>
      <c r="Y9" s="1"/>
      <c r="Z9" s="1"/>
      <c r="AA9" s="1"/>
      <c r="AB9" s="1"/>
    </row>
    <row r="10" spans="1:28" ht="20.25" customHeight="1">
      <c r="A10" s="1"/>
      <c r="B10" s="9"/>
      <c r="C10" s="9"/>
      <c r="D10" s="9"/>
      <c r="E10" s="1"/>
      <c r="F10" s="1"/>
      <c r="G10" s="1"/>
      <c r="H10" s="1"/>
      <c r="I10" s="1"/>
      <c r="J10" s="1"/>
      <c r="K10" s="1"/>
      <c r="L10" s="1"/>
      <c r="M10" s="1"/>
      <c r="N10" s="1"/>
      <c r="O10" s="1"/>
      <c r="P10" s="1"/>
      <c r="Q10" s="9"/>
      <c r="R10" s="9"/>
      <c r="S10" s="9"/>
      <c r="T10" s="9"/>
      <c r="U10" s="9"/>
      <c r="V10" s="9"/>
      <c r="W10" s="9"/>
      <c r="X10" s="9"/>
      <c r="Y10" s="9"/>
      <c r="Z10" s="9"/>
      <c r="AA10" s="1"/>
      <c r="AB10" s="1"/>
    </row>
    <row r="11" spans="1:28">
      <c r="A11" s="125" t="s">
        <v>8</v>
      </c>
      <c r="B11" s="121"/>
      <c r="C11" s="1"/>
      <c r="D11" s="10"/>
      <c r="E11" s="1"/>
      <c r="F11" s="1"/>
      <c r="G11" s="1"/>
      <c r="H11" s="1"/>
      <c r="I11" s="1"/>
      <c r="J11" s="1"/>
      <c r="K11" s="1"/>
      <c r="L11" s="1"/>
      <c r="M11" s="1"/>
      <c r="N11" s="1"/>
      <c r="O11" s="1"/>
      <c r="P11" s="1"/>
      <c r="Q11" s="1"/>
      <c r="R11" s="1"/>
      <c r="S11" s="1"/>
      <c r="T11" s="1"/>
      <c r="U11" s="1"/>
      <c r="V11" s="1"/>
      <c r="W11" s="1"/>
      <c r="X11" s="1"/>
      <c r="Y11" s="1"/>
      <c r="Z11" s="1"/>
      <c r="AA11" s="1"/>
      <c r="AB11" s="1"/>
    </row>
    <row r="12" spans="1:28" ht="20.25" customHeight="1">
      <c r="A12" s="1"/>
      <c r="B12" s="9"/>
      <c r="C12" s="9"/>
      <c r="D12" s="9"/>
      <c r="E12" s="9"/>
      <c r="F12" s="9"/>
      <c r="G12" s="9"/>
      <c r="H12" s="9"/>
      <c r="I12" s="9"/>
      <c r="J12" s="9"/>
      <c r="K12" s="9"/>
      <c r="L12" s="9"/>
      <c r="M12" s="9"/>
      <c r="N12" s="9"/>
      <c r="O12" s="9"/>
      <c r="P12" s="9"/>
      <c r="Q12" s="9"/>
      <c r="R12" s="9"/>
      <c r="S12" s="9"/>
      <c r="T12" s="9"/>
      <c r="U12" s="9"/>
      <c r="V12" s="9"/>
      <c r="W12" s="9"/>
      <c r="X12" s="9"/>
      <c r="Y12" s="9"/>
      <c r="Z12" s="9"/>
      <c r="AA12" s="1"/>
      <c r="AB12" s="1"/>
    </row>
    <row r="13" spans="1:28" ht="20.25" customHeight="1">
      <c r="A13" s="130" t="s">
        <v>9</v>
      </c>
      <c r="B13" s="121"/>
      <c r="C13" s="9"/>
      <c r="D13" s="4" t="s">
        <v>10</v>
      </c>
      <c r="E13" s="5"/>
      <c r="F13" s="5"/>
      <c r="G13" s="5"/>
      <c r="H13" s="5"/>
      <c r="I13" s="5"/>
      <c r="J13" s="5"/>
      <c r="K13" s="5"/>
      <c r="L13" s="5"/>
      <c r="M13" s="5"/>
      <c r="N13" s="5"/>
      <c r="O13" s="5"/>
      <c r="P13" s="5"/>
      <c r="Q13" s="11"/>
      <c r="R13" s="11"/>
      <c r="S13" s="11"/>
      <c r="T13" s="11"/>
      <c r="U13" s="11"/>
      <c r="V13" s="11"/>
      <c r="W13" s="11"/>
      <c r="X13" s="11"/>
      <c r="Y13" s="11"/>
      <c r="Z13" s="11"/>
      <c r="AA13" s="1"/>
      <c r="AB13" s="1"/>
    </row>
    <row r="14" spans="1:28" ht="20.25" customHeight="1">
      <c r="A14" s="1"/>
      <c r="B14" s="9"/>
      <c r="C14" s="9"/>
      <c r="D14" s="9"/>
      <c r="E14" s="9"/>
      <c r="F14" s="9"/>
      <c r="G14" s="9"/>
      <c r="H14" s="9"/>
      <c r="I14" s="9"/>
      <c r="J14" s="9"/>
      <c r="K14" s="9"/>
      <c r="L14" s="9"/>
      <c r="M14" s="9"/>
      <c r="N14" s="9"/>
      <c r="O14" s="9"/>
      <c r="P14" s="9"/>
      <c r="Q14" s="9"/>
      <c r="R14" s="9"/>
      <c r="S14" s="9"/>
      <c r="T14" s="9"/>
      <c r="U14" s="9"/>
      <c r="V14" s="9"/>
      <c r="W14" s="9"/>
      <c r="X14" s="9"/>
      <c r="Y14" s="9"/>
      <c r="Z14" s="9"/>
      <c r="AA14" s="1"/>
      <c r="AB14" s="1"/>
    </row>
    <row r="15" spans="1:28" ht="132" customHeight="1">
      <c r="A15" s="131" t="s">
        <v>11</v>
      </c>
      <c r="B15" s="121"/>
      <c r="C15" s="9"/>
      <c r="D15" s="12" t="s">
        <v>12</v>
      </c>
      <c r="E15" s="13"/>
      <c r="F15" s="13"/>
      <c r="G15" s="13"/>
      <c r="H15" s="13"/>
      <c r="I15" s="13"/>
      <c r="J15" s="13"/>
      <c r="K15" s="13"/>
      <c r="L15" s="13"/>
      <c r="M15" s="13"/>
      <c r="N15" s="13"/>
      <c r="O15" s="13"/>
      <c r="P15" s="13"/>
      <c r="Q15" s="13"/>
      <c r="R15" s="13"/>
      <c r="S15" s="13"/>
      <c r="T15" s="13"/>
      <c r="U15" s="13"/>
      <c r="V15" s="13"/>
      <c r="W15" s="13"/>
      <c r="X15" s="13"/>
      <c r="Y15" s="13"/>
      <c r="Z15" s="13"/>
      <c r="AA15" s="1"/>
      <c r="AB15" s="1"/>
    </row>
    <row r="16" spans="1:28" ht="12.75" customHeight="1">
      <c r="A16" s="1"/>
      <c r="B16" s="9"/>
      <c r="C16" s="9"/>
      <c r="D16" s="9"/>
      <c r="E16" s="9"/>
      <c r="F16" s="9"/>
      <c r="G16" s="9"/>
      <c r="H16" s="9"/>
      <c r="I16" s="9"/>
      <c r="J16" s="9"/>
      <c r="K16" s="9"/>
      <c r="L16" s="9"/>
      <c r="M16" s="9"/>
      <c r="N16" s="9"/>
      <c r="O16" s="9"/>
      <c r="P16" s="9"/>
      <c r="Q16" s="9"/>
      <c r="R16" s="9"/>
      <c r="S16" s="9"/>
      <c r="T16" s="9"/>
      <c r="U16" s="9"/>
      <c r="V16" s="9"/>
      <c r="W16" s="9"/>
      <c r="X16" s="9"/>
      <c r="Y16" s="9"/>
      <c r="Z16" s="9"/>
      <c r="AA16" s="1"/>
      <c r="AB16" s="1"/>
    </row>
    <row r="17" spans="1:28" ht="20.25" customHeight="1">
      <c r="A17" s="1" t="s">
        <v>13</v>
      </c>
      <c r="B17" s="9"/>
      <c r="C17" s="9"/>
      <c r="D17" s="9"/>
      <c r="E17" s="9"/>
      <c r="F17" s="9"/>
      <c r="G17" s="9"/>
      <c r="H17" s="9"/>
      <c r="I17" s="9"/>
      <c r="J17" s="9"/>
      <c r="K17" s="9"/>
      <c r="L17" s="9"/>
      <c r="M17" s="9"/>
      <c r="N17" s="9"/>
      <c r="O17" s="9"/>
      <c r="P17" s="9"/>
      <c r="Q17" s="9"/>
      <c r="R17" s="9"/>
      <c r="S17" s="9"/>
      <c r="T17" s="9"/>
      <c r="U17" s="9"/>
      <c r="V17" s="9"/>
      <c r="W17" s="9"/>
      <c r="X17" s="9"/>
      <c r="Y17" s="9"/>
      <c r="Z17" s="9"/>
      <c r="AA17" s="1"/>
      <c r="AB17" s="1"/>
    </row>
    <row r="18" spans="1:28" ht="9.75" customHeight="1">
      <c r="A18" s="1"/>
      <c r="B18" s="9"/>
      <c r="C18" s="9"/>
      <c r="D18" s="9"/>
      <c r="E18" s="9"/>
      <c r="F18" s="9"/>
      <c r="G18" s="9"/>
      <c r="H18" s="9"/>
      <c r="I18" s="9"/>
      <c r="J18" s="9"/>
      <c r="K18" s="9"/>
      <c r="L18" s="9"/>
      <c r="M18" s="9"/>
      <c r="N18" s="9"/>
      <c r="O18" s="9"/>
      <c r="P18" s="9"/>
      <c r="Q18" s="9"/>
      <c r="R18" s="9"/>
      <c r="S18" s="9"/>
      <c r="T18" s="9"/>
      <c r="U18" s="9"/>
      <c r="V18" s="9"/>
      <c r="W18" s="9"/>
      <c r="X18" s="9"/>
      <c r="Y18" s="9"/>
      <c r="Z18" s="9"/>
      <c r="AA18" s="1"/>
      <c r="AB18" s="1"/>
    </row>
    <row r="19" spans="1:28" ht="20.25" customHeight="1">
      <c r="A19" s="1"/>
      <c r="B19" s="2" t="s">
        <v>14</v>
      </c>
      <c r="C19" s="14">
        <v>1</v>
      </c>
      <c r="D19" s="15" t="s">
        <v>15</v>
      </c>
      <c r="E19" s="1"/>
      <c r="F19" s="1"/>
      <c r="G19" s="9"/>
      <c r="H19" s="9"/>
      <c r="I19" s="9"/>
      <c r="J19" s="9"/>
      <c r="K19" s="9"/>
      <c r="L19" s="9"/>
      <c r="M19" s="9"/>
      <c r="N19" s="9"/>
      <c r="O19" s="9"/>
      <c r="P19" s="9"/>
      <c r="Q19" s="9"/>
      <c r="R19" s="9"/>
      <c r="S19" s="9"/>
      <c r="T19" s="9"/>
      <c r="U19" s="9"/>
      <c r="V19" s="9"/>
      <c r="W19" s="9"/>
      <c r="X19" s="9"/>
      <c r="Y19" s="9"/>
      <c r="Z19" s="9"/>
      <c r="AA19" s="1"/>
      <c r="AB19" s="1"/>
    </row>
    <row r="20" spans="1:28" ht="20.25" customHeight="1">
      <c r="A20" s="1"/>
      <c r="B20" s="9"/>
      <c r="C20" s="14">
        <v>2</v>
      </c>
      <c r="D20" s="15" t="s">
        <v>16</v>
      </c>
      <c r="E20" s="1"/>
      <c r="F20" s="1"/>
      <c r="G20" s="9"/>
      <c r="H20" s="9"/>
      <c r="I20" s="9"/>
      <c r="J20" s="9"/>
      <c r="K20" s="9"/>
      <c r="L20" s="9"/>
      <c r="M20" s="9"/>
      <c r="N20" s="9"/>
      <c r="O20" s="9"/>
      <c r="P20" s="9"/>
      <c r="Q20" s="9"/>
      <c r="R20" s="9"/>
      <c r="S20" s="9"/>
      <c r="T20" s="9"/>
      <c r="U20" s="9"/>
      <c r="V20" s="9"/>
      <c r="W20" s="9"/>
      <c r="X20" s="9"/>
      <c r="Y20" s="9"/>
      <c r="Z20" s="9"/>
      <c r="AA20" s="1"/>
      <c r="AB20" s="1"/>
    </row>
    <row r="21" spans="1:28" ht="20.25" customHeight="1">
      <c r="A21" s="1"/>
      <c r="B21" s="1"/>
      <c r="C21" s="1"/>
      <c r="D21" s="1"/>
      <c r="E21" s="1"/>
      <c r="F21" s="132" t="s">
        <v>17</v>
      </c>
      <c r="G21" s="133"/>
      <c r="H21" s="133"/>
      <c r="I21" s="133"/>
      <c r="J21" s="133"/>
      <c r="K21" s="133"/>
      <c r="L21" s="133"/>
      <c r="M21" s="133"/>
      <c r="N21" s="133"/>
      <c r="O21" s="133"/>
      <c r="P21" s="133"/>
      <c r="Q21" s="133"/>
      <c r="R21" s="133"/>
      <c r="S21" s="133"/>
      <c r="T21" s="133"/>
      <c r="U21" s="133"/>
      <c r="V21" s="133"/>
      <c r="W21" s="133"/>
      <c r="X21" s="133"/>
      <c r="Y21" s="133"/>
      <c r="Z21" s="134"/>
      <c r="AA21" s="1"/>
      <c r="AB21" s="1"/>
    </row>
    <row r="22" spans="1:28" ht="18" customHeight="1">
      <c r="A22" s="1"/>
      <c r="B22" s="16"/>
      <c r="C22" s="16"/>
      <c r="D22" s="17" t="s">
        <v>18</v>
      </c>
      <c r="E22" s="18" t="s">
        <v>19</v>
      </c>
      <c r="F22" s="19" t="s">
        <v>20</v>
      </c>
      <c r="G22" s="20" t="s">
        <v>21</v>
      </c>
      <c r="H22" s="20" t="s">
        <v>22</v>
      </c>
      <c r="I22" s="20" t="s">
        <v>23</v>
      </c>
      <c r="J22" s="20" t="s">
        <v>24</v>
      </c>
      <c r="K22" s="20" t="s">
        <v>25</v>
      </c>
      <c r="L22" s="20" t="s">
        <v>26</v>
      </c>
      <c r="M22" s="20" t="s">
        <v>27</v>
      </c>
      <c r="N22" s="20" t="s">
        <v>28</v>
      </c>
      <c r="O22" s="20" t="s">
        <v>29</v>
      </c>
      <c r="P22" s="21" t="s">
        <v>30</v>
      </c>
      <c r="Q22" s="22" t="s">
        <v>31</v>
      </c>
      <c r="R22" s="23" t="s">
        <v>32</v>
      </c>
      <c r="S22" s="23" t="s">
        <v>33</v>
      </c>
      <c r="T22" s="23" t="s">
        <v>34</v>
      </c>
      <c r="U22" s="23" t="s">
        <v>35</v>
      </c>
      <c r="V22" s="23" t="s">
        <v>36</v>
      </c>
      <c r="W22" s="23" t="s">
        <v>37</v>
      </c>
      <c r="X22" s="23" t="s">
        <v>38</v>
      </c>
      <c r="Y22" s="23" t="s">
        <v>39</v>
      </c>
      <c r="Z22" s="24" t="s">
        <v>40</v>
      </c>
      <c r="AA22" s="1"/>
      <c r="AB22" s="1"/>
    </row>
    <row r="23" spans="1:28" ht="18" customHeight="1">
      <c r="A23" s="1"/>
      <c r="B23" s="135" t="s">
        <v>41</v>
      </c>
      <c r="C23" s="136"/>
      <c r="D23" s="25" t="s">
        <v>42</v>
      </c>
      <c r="E23" s="26">
        <v>2</v>
      </c>
      <c r="F23" s="27" t="s">
        <v>43</v>
      </c>
      <c r="G23" s="28" t="s">
        <v>43</v>
      </c>
      <c r="H23" s="28" t="s">
        <v>43</v>
      </c>
      <c r="I23" s="28" t="s">
        <v>43</v>
      </c>
      <c r="J23" s="28" t="s">
        <v>43</v>
      </c>
      <c r="K23" s="28" t="s">
        <v>43</v>
      </c>
      <c r="L23" s="28" t="s">
        <v>43</v>
      </c>
      <c r="M23" s="28" t="s">
        <v>43</v>
      </c>
      <c r="N23" s="28" t="s">
        <v>43</v>
      </c>
      <c r="O23" s="28" t="s">
        <v>43</v>
      </c>
      <c r="P23" s="29" t="s">
        <v>43</v>
      </c>
      <c r="Q23" s="30" t="s">
        <v>43</v>
      </c>
      <c r="R23" s="28"/>
      <c r="S23" s="28" t="s">
        <v>43</v>
      </c>
      <c r="T23" s="28"/>
      <c r="U23" s="28" t="s">
        <v>43</v>
      </c>
      <c r="V23" s="28" t="s">
        <v>43</v>
      </c>
      <c r="W23" s="28" t="s">
        <v>43</v>
      </c>
      <c r="X23" s="28"/>
      <c r="Y23" s="28"/>
      <c r="Z23" s="28"/>
      <c r="AA23" s="1"/>
      <c r="AB23" s="1"/>
    </row>
    <row r="24" spans="1:28" ht="18" customHeight="1">
      <c r="A24" s="1"/>
      <c r="B24" s="137"/>
      <c r="C24" s="138"/>
      <c r="D24" s="31"/>
      <c r="E24" s="32"/>
      <c r="F24" s="33"/>
      <c r="G24" s="34"/>
      <c r="H24" s="34"/>
      <c r="I24" s="34"/>
      <c r="J24" s="34"/>
      <c r="K24" s="34"/>
      <c r="L24" s="34"/>
      <c r="M24" s="34"/>
      <c r="N24" s="34"/>
      <c r="O24" s="34"/>
      <c r="P24" s="35"/>
      <c r="Q24" s="36"/>
      <c r="R24" s="34"/>
      <c r="S24" s="34"/>
      <c r="T24" s="34"/>
      <c r="U24" s="34"/>
      <c r="V24" s="34"/>
      <c r="W24" s="34"/>
      <c r="X24" s="34"/>
      <c r="Y24" s="34"/>
      <c r="Z24" s="34"/>
      <c r="AA24" s="1"/>
      <c r="AB24" s="1"/>
    </row>
    <row r="25" spans="1:28" ht="18" customHeight="1">
      <c r="A25" s="1"/>
      <c r="B25" s="137"/>
      <c r="C25" s="138"/>
      <c r="D25" s="31"/>
      <c r="E25" s="32"/>
      <c r="F25" s="33"/>
      <c r="G25" s="34"/>
      <c r="H25" s="34"/>
      <c r="I25" s="34"/>
      <c r="J25" s="34"/>
      <c r="K25" s="34"/>
      <c r="L25" s="34"/>
      <c r="M25" s="34"/>
      <c r="N25" s="34"/>
      <c r="O25" s="34"/>
      <c r="P25" s="35"/>
      <c r="Q25" s="36"/>
      <c r="R25" s="34"/>
      <c r="S25" s="34"/>
      <c r="T25" s="34"/>
      <c r="U25" s="34"/>
      <c r="V25" s="34"/>
      <c r="W25" s="34"/>
      <c r="X25" s="34"/>
      <c r="Y25" s="34"/>
      <c r="Z25" s="34"/>
      <c r="AA25" s="1"/>
      <c r="AB25" s="1"/>
    </row>
    <row r="26" spans="1:28" ht="18" customHeight="1">
      <c r="A26" s="1"/>
      <c r="B26" s="137"/>
      <c r="C26" s="138"/>
      <c r="D26" s="31"/>
      <c r="E26" s="32"/>
      <c r="F26" s="33"/>
      <c r="G26" s="34"/>
      <c r="H26" s="34"/>
      <c r="I26" s="34"/>
      <c r="J26" s="34"/>
      <c r="K26" s="34"/>
      <c r="L26" s="34"/>
      <c r="M26" s="34"/>
      <c r="N26" s="34"/>
      <c r="O26" s="34"/>
      <c r="P26" s="35"/>
      <c r="Q26" s="36"/>
      <c r="R26" s="34"/>
      <c r="S26" s="34"/>
      <c r="T26" s="34"/>
      <c r="U26" s="34"/>
      <c r="V26" s="34"/>
      <c r="W26" s="34"/>
      <c r="X26" s="34"/>
      <c r="Y26" s="34"/>
      <c r="Z26" s="34"/>
      <c r="AA26" s="1"/>
      <c r="AB26" s="1"/>
    </row>
    <row r="27" spans="1:28" ht="18" customHeight="1">
      <c r="A27" s="1"/>
      <c r="B27" s="137"/>
      <c r="C27" s="138"/>
      <c r="D27" s="31"/>
      <c r="E27" s="32"/>
      <c r="F27" s="33"/>
      <c r="G27" s="34"/>
      <c r="H27" s="34"/>
      <c r="I27" s="34"/>
      <c r="J27" s="34"/>
      <c r="K27" s="34"/>
      <c r="L27" s="34"/>
      <c r="M27" s="34"/>
      <c r="N27" s="34"/>
      <c r="O27" s="34"/>
      <c r="P27" s="35"/>
      <c r="Q27" s="36"/>
      <c r="R27" s="34"/>
      <c r="S27" s="34"/>
      <c r="T27" s="34"/>
      <c r="U27" s="34"/>
      <c r="V27" s="34"/>
      <c r="W27" s="34"/>
      <c r="X27" s="34"/>
      <c r="Y27" s="34"/>
      <c r="Z27" s="34"/>
      <c r="AA27" s="1"/>
      <c r="AB27" s="1"/>
    </row>
    <row r="28" spans="1:28" ht="18" customHeight="1">
      <c r="A28" s="1"/>
      <c r="B28" s="137"/>
      <c r="C28" s="138"/>
      <c r="D28" s="31"/>
      <c r="E28" s="32"/>
      <c r="F28" s="33"/>
      <c r="G28" s="34"/>
      <c r="H28" s="34"/>
      <c r="I28" s="34"/>
      <c r="J28" s="34"/>
      <c r="K28" s="34"/>
      <c r="L28" s="34"/>
      <c r="M28" s="34"/>
      <c r="N28" s="34"/>
      <c r="O28" s="34"/>
      <c r="P28" s="35"/>
      <c r="Q28" s="36"/>
      <c r="R28" s="34"/>
      <c r="S28" s="34"/>
      <c r="T28" s="34"/>
      <c r="U28" s="34"/>
      <c r="V28" s="34"/>
      <c r="W28" s="34"/>
      <c r="X28" s="34"/>
      <c r="Y28" s="34"/>
      <c r="Z28" s="34"/>
      <c r="AA28" s="1"/>
      <c r="AB28" s="1"/>
    </row>
    <row r="29" spans="1:28" ht="18" customHeight="1">
      <c r="A29" s="1"/>
      <c r="B29" s="137"/>
      <c r="C29" s="138"/>
      <c r="D29" s="31"/>
      <c r="E29" s="32"/>
      <c r="F29" s="33"/>
      <c r="G29" s="34"/>
      <c r="H29" s="34"/>
      <c r="I29" s="34"/>
      <c r="J29" s="34"/>
      <c r="K29" s="34"/>
      <c r="L29" s="34"/>
      <c r="M29" s="34"/>
      <c r="N29" s="34"/>
      <c r="O29" s="34"/>
      <c r="P29" s="35"/>
      <c r="Q29" s="36"/>
      <c r="R29" s="34"/>
      <c r="S29" s="34"/>
      <c r="T29" s="34"/>
      <c r="U29" s="34"/>
      <c r="V29" s="34"/>
      <c r="W29" s="34"/>
      <c r="X29" s="34"/>
      <c r="Y29" s="34"/>
      <c r="Z29" s="34"/>
      <c r="AA29" s="1"/>
      <c r="AB29" s="1"/>
    </row>
    <row r="30" spans="1:28" ht="18" customHeight="1">
      <c r="A30" s="1"/>
      <c r="B30" s="137"/>
      <c r="C30" s="138"/>
      <c r="D30" s="31"/>
      <c r="E30" s="32"/>
      <c r="F30" s="33"/>
      <c r="G30" s="34"/>
      <c r="H30" s="34"/>
      <c r="I30" s="34"/>
      <c r="J30" s="34"/>
      <c r="K30" s="34"/>
      <c r="L30" s="34"/>
      <c r="M30" s="34"/>
      <c r="N30" s="34"/>
      <c r="O30" s="34"/>
      <c r="P30" s="35"/>
      <c r="Q30" s="36"/>
      <c r="R30" s="34"/>
      <c r="S30" s="34"/>
      <c r="T30" s="34"/>
      <c r="U30" s="34"/>
      <c r="V30" s="34"/>
      <c r="W30" s="34"/>
      <c r="X30" s="34"/>
      <c r="Y30" s="34"/>
      <c r="Z30" s="34"/>
      <c r="AA30" s="1"/>
      <c r="AB30" s="1"/>
    </row>
    <row r="31" spans="1:28" ht="18" customHeight="1">
      <c r="A31" s="1"/>
      <c r="B31" s="137"/>
      <c r="C31" s="138"/>
      <c r="D31" s="31"/>
      <c r="E31" s="32"/>
      <c r="F31" s="33"/>
      <c r="G31" s="34"/>
      <c r="H31" s="34"/>
      <c r="I31" s="34"/>
      <c r="J31" s="34"/>
      <c r="K31" s="34"/>
      <c r="L31" s="34"/>
      <c r="M31" s="34"/>
      <c r="N31" s="34"/>
      <c r="O31" s="34"/>
      <c r="P31" s="35"/>
      <c r="Q31" s="36"/>
      <c r="R31" s="34"/>
      <c r="S31" s="34"/>
      <c r="T31" s="34"/>
      <c r="U31" s="34"/>
      <c r="V31" s="34"/>
      <c r="W31" s="34"/>
      <c r="X31" s="34"/>
      <c r="Y31" s="34"/>
      <c r="Z31" s="34"/>
      <c r="AA31" s="1"/>
      <c r="AB31" s="1"/>
    </row>
    <row r="32" spans="1:28" ht="18" customHeight="1">
      <c r="A32" s="1"/>
      <c r="B32" s="139"/>
      <c r="C32" s="140"/>
      <c r="D32" s="37"/>
      <c r="E32" s="38"/>
      <c r="F32" s="39"/>
      <c r="G32" s="40"/>
      <c r="H32" s="40"/>
      <c r="I32" s="40"/>
      <c r="J32" s="40"/>
      <c r="K32" s="40"/>
      <c r="L32" s="40"/>
      <c r="M32" s="40"/>
      <c r="N32" s="40"/>
      <c r="O32" s="40"/>
      <c r="P32" s="41"/>
      <c r="Q32" s="42"/>
      <c r="R32" s="40"/>
      <c r="S32" s="40"/>
      <c r="T32" s="40"/>
      <c r="U32" s="40"/>
      <c r="V32" s="40"/>
      <c r="W32" s="40"/>
      <c r="X32" s="40"/>
      <c r="Y32" s="40"/>
      <c r="Z32" s="40"/>
      <c r="AA32" s="1"/>
      <c r="AB32" s="1"/>
    </row>
    <row r="33" spans="1:28" ht="18" customHeight="1">
      <c r="A33" s="1"/>
      <c r="B33" s="135" t="s">
        <v>44</v>
      </c>
      <c r="C33" s="136"/>
      <c r="D33" s="43"/>
      <c r="E33" s="44"/>
      <c r="F33" s="45"/>
      <c r="G33" s="46"/>
      <c r="H33" s="46"/>
      <c r="I33" s="46"/>
      <c r="J33" s="46"/>
      <c r="K33" s="46"/>
      <c r="L33" s="46"/>
      <c r="M33" s="46"/>
      <c r="N33" s="46"/>
      <c r="O33" s="46"/>
      <c r="P33" s="47"/>
      <c r="Q33" s="48"/>
      <c r="R33" s="46"/>
      <c r="S33" s="46"/>
      <c r="T33" s="46"/>
      <c r="U33" s="46"/>
      <c r="V33" s="46"/>
      <c r="W33" s="46"/>
      <c r="X33" s="46"/>
      <c r="Y33" s="46"/>
      <c r="Z33" s="46"/>
      <c r="AA33" s="1"/>
      <c r="AB33" s="1"/>
    </row>
    <row r="34" spans="1:28" ht="18" customHeight="1">
      <c r="A34" s="1"/>
      <c r="B34" s="137"/>
      <c r="C34" s="138"/>
      <c r="D34" s="31"/>
      <c r="E34" s="32"/>
      <c r="F34" s="33"/>
      <c r="G34" s="34"/>
      <c r="H34" s="34"/>
      <c r="I34" s="34"/>
      <c r="J34" s="34"/>
      <c r="K34" s="34"/>
      <c r="L34" s="34"/>
      <c r="M34" s="34"/>
      <c r="N34" s="34"/>
      <c r="O34" s="34"/>
      <c r="P34" s="35"/>
      <c r="Q34" s="36"/>
      <c r="R34" s="34"/>
      <c r="S34" s="34"/>
      <c r="T34" s="34"/>
      <c r="U34" s="34"/>
      <c r="V34" s="34"/>
      <c r="W34" s="34"/>
      <c r="X34" s="34"/>
      <c r="Y34" s="34"/>
      <c r="Z34" s="34"/>
      <c r="AA34" s="1"/>
      <c r="AB34" s="1"/>
    </row>
    <row r="35" spans="1:28" ht="18" customHeight="1">
      <c r="A35" s="1"/>
      <c r="B35" s="137"/>
      <c r="C35" s="138"/>
      <c r="D35" s="31"/>
      <c r="E35" s="32"/>
      <c r="F35" s="33"/>
      <c r="G35" s="34"/>
      <c r="H35" s="34"/>
      <c r="I35" s="34"/>
      <c r="J35" s="34"/>
      <c r="K35" s="34"/>
      <c r="L35" s="34"/>
      <c r="M35" s="34"/>
      <c r="N35" s="34"/>
      <c r="O35" s="34"/>
      <c r="P35" s="35"/>
      <c r="Q35" s="36"/>
      <c r="R35" s="34"/>
      <c r="S35" s="34"/>
      <c r="T35" s="34"/>
      <c r="U35" s="34"/>
      <c r="V35" s="34"/>
      <c r="W35" s="34"/>
      <c r="X35" s="34"/>
      <c r="Y35" s="34"/>
      <c r="Z35" s="34"/>
      <c r="AA35" s="1"/>
      <c r="AB35" s="1"/>
    </row>
    <row r="36" spans="1:28" ht="18" customHeight="1">
      <c r="A36" s="1"/>
      <c r="B36" s="137"/>
      <c r="C36" s="138"/>
      <c r="D36" s="31"/>
      <c r="E36" s="32"/>
      <c r="F36" s="33"/>
      <c r="G36" s="34"/>
      <c r="H36" s="34"/>
      <c r="I36" s="34"/>
      <c r="J36" s="34"/>
      <c r="K36" s="34"/>
      <c r="L36" s="34"/>
      <c r="M36" s="34"/>
      <c r="N36" s="34"/>
      <c r="O36" s="34"/>
      <c r="P36" s="35"/>
      <c r="Q36" s="36"/>
      <c r="R36" s="34"/>
      <c r="S36" s="34"/>
      <c r="T36" s="34"/>
      <c r="U36" s="34"/>
      <c r="V36" s="34"/>
      <c r="W36" s="34"/>
      <c r="X36" s="34"/>
      <c r="Y36" s="34"/>
      <c r="Z36" s="34"/>
      <c r="AA36" s="1"/>
      <c r="AB36" s="1"/>
    </row>
    <row r="37" spans="1:28" ht="18" customHeight="1">
      <c r="A37" s="1"/>
      <c r="B37" s="137"/>
      <c r="C37" s="138"/>
      <c r="D37" s="31"/>
      <c r="E37" s="32"/>
      <c r="F37" s="33"/>
      <c r="G37" s="34"/>
      <c r="H37" s="34"/>
      <c r="I37" s="34"/>
      <c r="J37" s="34"/>
      <c r="K37" s="34"/>
      <c r="L37" s="34"/>
      <c r="M37" s="34"/>
      <c r="N37" s="34"/>
      <c r="O37" s="34"/>
      <c r="P37" s="35"/>
      <c r="Q37" s="36"/>
      <c r="R37" s="34"/>
      <c r="S37" s="34"/>
      <c r="T37" s="34"/>
      <c r="U37" s="34"/>
      <c r="V37" s="34"/>
      <c r="W37" s="34"/>
      <c r="X37" s="34"/>
      <c r="Y37" s="34"/>
      <c r="Z37" s="34"/>
      <c r="AA37" s="1"/>
      <c r="AB37" s="1"/>
    </row>
    <row r="38" spans="1:28" ht="18" customHeight="1">
      <c r="A38" s="1"/>
      <c r="B38" s="137"/>
      <c r="C38" s="138"/>
      <c r="D38" s="31"/>
      <c r="E38" s="32"/>
      <c r="F38" s="33"/>
      <c r="G38" s="34"/>
      <c r="H38" s="34"/>
      <c r="I38" s="34"/>
      <c r="J38" s="34"/>
      <c r="K38" s="34"/>
      <c r="L38" s="34"/>
      <c r="M38" s="34"/>
      <c r="N38" s="34"/>
      <c r="O38" s="34"/>
      <c r="P38" s="35"/>
      <c r="Q38" s="36"/>
      <c r="R38" s="34"/>
      <c r="S38" s="34"/>
      <c r="T38" s="34"/>
      <c r="U38" s="34"/>
      <c r="V38" s="34"/>
      <c r="W38" s="34"/>
      <c r="X38" s="34"/>
      <c r="Y38" s="34"/>
      <c r="Z38" s="34"/>
      <c r="AA38" s="1"/>
      <c r="AB38" s="1"/>
    </row>
    <row r="39" spans="1:28" ht="18" customHeight="1">
      <c r="A39" s="1"/>
      <c r="B39" s="137"/>
      <c r="C39" s="138"/>
      <c r="D39" s="31"/>
      <c r="E39" s="32"/>
      <c r="F39" s="33"/>
      <c r="G39" s="34"/>
      <c r="H39" s="34"/>
      <c r="I39" s="34"/>
      <c r="J39" s="34"/>
      <c r="K39" s="34"/>
      <c r="L39" s="34"/>
      <c r="M39" s="34"/>
      <c r="N39" s="34"/>
      <c r="O39" s="34"/>
      <c r="P39" s="35"/>
      <c r="Q39" s="36"/>
      <c r="R39" s="34"/>
      <c r="S39" s="34"/>
      <c r="T39" s="34"/>
      <c r="U39" s="34"/>
      <c r="V39" s="34"/>
      <c r="W39" s="34"/>
      <c r="X39" s="34"/>
      <c r="Y39" s="34"/>
      <c r="Z39" s="34"/>
      <c r="AA39" s="1"/>
      <c r="AB39" s="1"/>
    </row>
    <row r="40" spans="1:28" ht="18" customHeight="1">
      <c r="A40" s="1"/>
      <c r="B40" s="137"/>
      <c r="C40" s="138"/>
      <c r="D40" s="31"/>
      <c r="E40" s="32"/>
      <c r="F40" s="33"/>
      <c r="G40" s="34"/>
      <c r="H40" s="34"/>
      <c r="I40" s="34"/>
      <c r="J40" s="34"/>
      <c r="K40" s="34"/>
      <c r="L40" s="34"/>
      <c r="M40" s="34"/>
      <c r="N40" s="34"/>
      <c r="O40" s="34"/>
      <c r="P40" s="35"/>
      <c r="Q40" s="36"/>
      <c r="R40" s="34"/>
      <c r="S40" s="34"/>
      <c r="T40" s="34"/>
      <c r="U40" s="34"/>
      <c r="V40" s="34"/>
      <c r="W40" s="34"/>
      <c r="X40" s="34"/>
      <c r="Y40" s="34"/>
      <c r="Z40" s="34"/>
      <c r="AA40" s="1"/>
      <c r="AB40" s="1"/>
    </row>
    <row r="41" spans="1:28" ht="18" customHeight="1">
      <c r="A41" s="1"/>
      <c r="B41" s="137"/>
      <c r="C41" s="138"/>
      <c r="D41" s="31"/>
      <c r="E41" s="32"/>
      <c r="F41" s="33"/>
      <c r="G41" s="34"/>
      <c r="H41" s="34"/>
      <c r="I41" s="34"/>
      <c r="J41" s="34"/>
      <c r="K41" s="34"/>
      <c r="L41" s="34"/>
      <c r="M41" s="34"/>
      <c r="N41" s="34"/>
      <c r="O41" s="34"/>
      <c r="P41" s="35"/>
      <c r="Q41" s="36"/>
      <c r="R41" s="34"/>
      <c r="S41" s="34"/>
      <c r="T41" s="34"/>
      <c r="U41" s="34"/>
      <c r="V41" s="34"/>
      <c r="W41" s="34"/>
      <c r="X41" s="34"/>
      <c r="Y41" s="34"/>
      <c r="Z41" s="34"/>
      <c r="AA41" s="1"/>
      <c r="AB41" s="1"/>
    </row>
    <row r="42" spans="1:28" ht="18" customHeight="1">
      <c r="A42" s="1"/>
      <c r="B42" s="141"/>
      <c r="C42" s="142"/>
      <c r="D42" s="37"/>
      <c r="E42" s="49"/>
      <c r="F42" s="39"/>
      <c r="G42" s="40"/>
      <c r="H42" s="40"/>
      <c r="I42" s="40"/>
      <c r="J42" s="40"/>
      <c r="K42" s="40"/>
      <c r="L42" s="40"/>
      <c r="M42" s="40"/>
      <c r="N42" s="40"/>
      <c r="O42" s="40"/>
      <c r="P42" s="41"/>
      <c r="Q42" s="42"/>
      <c r="R42" s="40"/>
      <c r="S42" s="40"/>
      <c r="T42" s="40"/>
      <c r="U42" s="40"/>
      <c r="V42" s="40"/>
      <c r="W42" s="40"/>
      <c r="X42" s="40"/>
      <c r="Y42" s="40"/>
      <c r="Z42" s="40"/>
      <c r="AA42" s="1"/>
      <c r="AB42" s="1"/>
    </row>
    <row r="43" spans="1:28" ht="18" customHeight="1">
      <c r="A43" s="1"/>
      <c r="B43" s="143" t="s">
        <v>45</v>
      </c>
      <c r="C43" s="144"/>
      <c r="D43" s="31"/>
      <c r="E43" s="32"/>
      <c r="F43" s="33"/>
      <c r="G43" s="34"/>
      <c r="H43" s="34"/>
      <c r="I43" s="34"/>
      <c r="J43" s="34"/>
      <c r="K43" s="34"/>
      <c r="L43" s="34"/>
      <c r="M43" s="34"/>
      <c r="N43" s="34"/>
      <c r="O43" s="34"/>
      <c r="P43" s="35"/>
      <c r="Q43" s="36"/>
      <c r="R43" s="34"/>
      <c r="S43" s="34"/>
      <c r="T43" s="34"/>
      <c r="U43" s="34"/>
      <c r="V43" s="34"/>
      <c r="W43" s="34"/>
      <c r="X43" s="34"/>
      <c r="Y43" s="34"/>
      <c r="Z43" s="34"/>
      <c r="AA43" s="1"/>
      <c r="AB43" s="1"/>
    </row>
    <row r="44" spans="1:28" ht="18" customHeight="1">
      <c r="A44" s="1"/>
      <c r="B44" s="137"/>
      <c r="C44" s="138"/>
      <c r="D44" s="31"/>
      <c r="E44" s="32"/>
      <c r="F44" s="33"/>
      <c r="G44" s="34"/>
      <c r="H44" s="34"/>
      <c r="I44" s="34"/>
      <c r="J44" s="34"/>
      <c r="K44" s="34"/>
      <c r="L44" s="34"/>
      <c r="M44" s="34"/>
      <c r="N44" s="34"/>
      <c r="O44" s="34"/>
      <c r="P44" s="35"/>
      <c r="Q44" s="36"/>
      <c r="R44" s="34"/>
      <c r="S44" s="34"/>
      <c r="T44" s="34"/>
      <c r="U44" s="34"/>
      <c r="V44" s="34"/>
      <c r="W44" s="34"/>
      <c r="X44" s="34"/>
      <c r="Y44" s="34"/>
      <c r="Z44" s="34"/>
      <c r="AA44" s="1"/>
      <c r="AB44" s="1"/>
    </row>
    <row r="45" spans="1:28" ht="18" customHeight="1">
      <c r="A45" s="1"/>
      <c r="B45" s="137"/>
      <c r="C45" s="138"/>
      <c r="D45" s="31"/>
      <c r="E45" s="32"/>
      <c r="F45" s="33"/>
      <c r="G45" s="34"/>
      <c r="H45" s="34"/>
      <c r="I45" s="34"/>
      <c r="J45" s="34"/>
      <c r="K45" s="34"/>
      <c r="L45" s="34"/>
      <c r="M45" s="34"/>
      <c r="N45" s="34"/>
      <c r="O45" s="34"/>
      <c r="P45" s="35"/>
      <c r="Q45" s="36"/>
      <c r="R45" s="34"/>
      <c r="S45" s="34"/>
      <c r="T45" s="34"/>
      <c r="U45" s="34"/>
      <c r="V45" s="34"/>
      <c r="W45" s="34"/>
      <c r="X45" s="34"/>
      <c r="Y45" s="34"/>
      <c r="Z45" s="34"/>
      <c r="AA45" s="1"/>
      <c r="AB45" s="1"/>
    </row>
    <row r="46" spans="1:28" ht="18" customHeight="1">
      <c r="A46" s="1"/>
      <c r="B46" s="137"/>
      <c r="C46" s="138"/>
      <c r="D46" s="31"/>
      <c r="E46" s="32"/>
      <c r="F46" s="33"/>
      <c r="G46" s="34"/>
      <c r="H46" s="34"/>
      <c r="I46" s="34"/>
      <c r="J46" s="34"/>
      <c r="K46" s="34"/>
      <c r="L46" s="34"/>
      <c r="M46" s="34"/>
      <c r="N46" s="34"/>
      <c r="O46" s="34"/>
      <c r="P46" s="35"/>
      <c r="Q46" s="36"/>
      <c r="R46" s="34"/>
      <c r="S46" s="34"/>
      <c r="T46" s="34"/>
      <c r="U46" s="34"/>
      <c r="V46" s="34"/>
      <c r="W46" s="34"/>
      <c r="X46" s="34"/>
      <c r="Y46" s="34"/>
      <c r="Z46" s="34"/>
      <c r="AA46" s="1"/>
      <c r="AB46" s="1"/>
    </row>
    <row r="47" spans="1:28" ht="18" customHeight="1">
      <c r="A47" s="1"/>
      <c r="B47" s="137"/>
      <c r="C47" s="138"/>
      <c r="D47" s="31"/>
      <c r="E47" s="32"/>
      <c r="F47" s="33"/>
      <c r="G47" s="34"/>
      <c r="H47" s="34"/>
      <c r="I47" s="34"/>
      <c r="J47" s="34"/>
      <c r="K47" s="34"/>
      <c r="L47" s="34"/>
      <c r="M47" s="34"/>
      <c r="N47" s="34"/>
      <c r="O47" s="34"/>
      <c r="P47" s="35"/>
      <c r="Q47" s="36"/>
      <c r="R47" s="34"/>
      <c r="S47" s="34"/>
      <c r="T47" s="34"/>
      <c r="U47" s="34"/>
      <c r="V47" s="34"/>
      <c r="W47" s="34"/>
      <c r="X47" s="34"/>
      <c r="Y47" s="34"/>
      <c r="Z47" s="34"/>
      <c r="AA47" s="1"/>
      <c r="AB47" s="1"/>
    </row>
    <row r="48" spans="1:28" ht="18" customHeight="1">
      <c r="A48" s="1"/>
      <c r="B48" s="137"/>
      <c r="C48" s="138"/>
      <c r="D48" s="31"/>
      <c r="E48" s="32"/>
      <c r="F48" s="33"/>
      <c r="G48" s="34"/>
      <c r="H48" s="34"/>
      <c r="I48" s="34"/>
      <c r="J48" s="34"/>
      <c r="K48" s="34"/>
      <c r="L48" s="34"/>
      <c r="M48" s="34"/>
      <c r="N48" s="34"/>
      <c r="O48" s="34"/>
      <c r="P48" s="35"/>
      <c r="Q48" s="36"/>
      <c r="R48" s="34"/>
      <c r="S48" s="34"/>
      <c r="T48" s="34"/>
      <c r="U48" s="34"/>
      <c r="V48" s="34"/>
      <c r="W48" s="34"/>
      <c r="X48" s="34"/>
      <c r="Y48" s="34"/>
      <c r="Z48" s="34"/>
      <c r="AA48" s="1"/>
      <c r="AB48" s="1"/>
    </row>
    <row r="49" spans="1:28" ht="18" customHeight="1">
      <c r="A49" s="1"/>
      <c r="B49" s="137"/>
      <c r="C49" s="138"/>
      <c r="D49" s="31"/>
      <c r="E49" s="32"/>
      <c r="F49" s="33"/>
      <c r="G49" s="34"/>
      <c r="H49" s="34"/>
      <c r="I49" s="34"/>
      <c r="J49" s="34"/>
      <c r="K49" s="34"/>
      <c r="L49" s="34"/>
      <c r="M49" s="34"/>
      <c r="N49" s="34"/>
      <c r="O49" s="34"/>
      <c r="P49" s="35"/>
      <c r="Q49" s="36"/>
      <c r="R49" s="34"/>
      <c r="S49" s="34"/>
      <c r="T49" s="34"/>
      <c r="U49" s="34"/>
      <c r="V49" s="34"/>
      <c r="W49" s="34"/>
      <c r="X49" s="34"/>
      <c r="Y49" s="34"/>
      <c r="Z49" s="34"/>
      <c r="AA49" s="1"/>
      <c r="AB49" s="1"/>
    </row>
    <row r="50" spans="1:28" ht="18" customHeight="1">
      <c r="A50" s="1"/>
      <c r="B50" s="137"/>
      <c r="C50" s="138"/>
      <c r="D50" s="31"/>
      <c r="E50" s="32"/>
      <c r="F50" s="33"/>
      <c r="G50" s="34"/>
      <c r="H50" s="34"/>
      <c r="I50" s="34"/>
      <c r="J50" s="34"/>
      <c r="K50" s="34"/>
      <c r="L50" s="34"/>
      <c r="M50" s="34"/>
      <c r="N50" s="34"/>
      <c r="O50" s="34"/>
      <c r="P50" s="35"/>
      <c r="Q50" s="36"/>
      <c r="R50" s="34"/>
      <c r="S50" s="34"/>
      <c r="T50" s="34"/>
      <c r="U50" s="34"/>
      <c r="V50" s="34"/>
      <c r="W50" s="34"/>
      <c r="X50" s="34"/>
      <c r="Y50" s="34"/>
      <c r="Z50" s="34"/>
      <c r="AA50" s="1"/>
      <c r="AB50" s="1"/>
    </row>
    <row r="51" spans="1:28" ht="18" customHeight="1">
      <c r="A51" s="1"/>
      <c r="B51" s="137"/>
      <c r="C51" s="138"/>
      <c r="D51" s="31"/>
      <c r="E51" s="32"/>
      <c r="F51" s="33"/>
      <c r="G51" s="34"/>
      <c r="H51" s="34"/>
      <c r="I51" s="34"/>
      <c r="J51" s="34"/>
      <c r="K51" s="34"/>
      <c r="L51" s="34"/>
      <c r="M51" s="34"/>
      <c r="N51" s="34"/>
      <c r="O51" s="34"/>
      <c r="P51" s="35"/>
      <c r="Q51" s="36"/>
      <c r="R51" s="34"/>
      <c r="S51" s="34"/>
      <c r="T51" s="34"/>
      <c r="U51" s="34"/>
      <c r="V51" s="34"/>
      <c r="W51" s="34"/>
      <c r="X51" s="34"/>
      <c r="Y51" s="34"/>
      <c r="Z51" s="34"/>
      <c r="AA51" s="1"/>
      <c r="AB51" s="1"/>
    </row>
    <row r="52" spans="1:28" ht="18" customHeight="1">
      <c r="A52" s="1"/>
      <c r="B52" s="141"/>
      <c r="C52" s="142"/>
      <c r="D52" s="37"/>
      <c r="E52" s="49"/>
      <c r="F52" s="50"/>
      <c r="G52" s="51"/>
      <c r="H52" s="51"/>
      <c r="I52" s="51"/>
      <c r="J52" s="51"/>
      <c r="K52" s="51"/>
      <c r="L52" s="51"/>
      <c r="M52" s="51"/>
      <c r="N52" s="51"/>
      <c r="O52" s="51"/>
      <c r="P52" s="52"/>
      <c r="Q52" s="42"/>
      <c r="R52" s="40"/>
      <c r="S52" s="40"/>
      <c r="T52" s="40"/>
      <c r="U52" s="40"/>
      <c r="V52" s="40"/>
      <c r="W52" s="40"/>
      <c r="X52" s="40"/>
      <c r="Y52" s="40"/>
      <c r="Z52" s="40"/>
      <c r="AA52" s="1"/>
      <c r="AB52" s="1"/>
    </row>
    <row r="53" spans="1:28" ht="18" customHeight="1">
      <c r="A53" s="9"/>
      <c r="B53" s="5"/>
      <c r="C53" s="5"/>
      <c r="D53" s="5"/>
      <c r="E53" s="5"/>
      <c r="F53" s="5"/>
      <c r="G53" s="53"/>
      <c r="H53" s="53"/>
      <c r="I53" s="53"/>
      <c r="J53" s="53"/>
      <c r="K53" s="53"/>
      <c r="L53" s="53"/>
      <c r="M53" s="53"/>
      <c r="N53" s="53"/>
      <c r="O53" s="53"/>
      <c r="P53" s="5"/>
      <c r="Q53" s="5"/>
      <c r="R53" s="5"/>
      <c r="S53" s="5"/>
      <c r="T53" s="5"/>
      <c r="U53" s="5"/>
      <c r="V53" s="5"/>
      <c r="W53" s="53"/>
      <c r="X53" s="53"/>
      <c r="Y53" s="53"/>
      <c r="Z53" s="53"/>
      <c r="AA53" s="1"/>
      <c r="AB53" s="1"/>
    </row>
    <row r="54" spans="1:28" ht="18.75" customHeight="1">
      <c r="A54" s="1" t="s">
        <v>46</v>
      </c>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8.75" customHeight="1">
      <c r="A55" s="1"/>
      <c r="B55" s="145" t="s">
        <v>47</v>
      </c>
      <c r="C55" s="146"/>
      <c r="D55" s="54" t="s">
        <v>48</v>
      </c>
      <c r="E55" s="1"/>
      <c r="F55" s="1"/>
      <c r="G55" s="1"/>
      <c r="H55" s="1"/>
      <c r="I55" s="1"/>
      <c r="J55" s="1"/>
      <c r="K55" s="1"/>
      <c r="L55" s="1"/>
      <c r="M55" s="1"/>
      <c r="N55" s="1"/>
      <c r="O55" s="1"/>
      <c r="P55" s="1"/>
      <c r="Q55" s="1"/>
      <c r="R55" s="1"/>
      <c r="S55" s="1"/>
      <c r="T55" s="1"/>
      <c r="U55" s="1"/>
      <c r="V55" s="1"/>
      <c r="W55" s="1"/>
      <c r="X55" s="1"/>
      <c r="Y55" s="1"/>
      <c r="Z55" s="1"/>
      <c r="AA55" s="1"/>
      <c r="AB55" s="1"/>
    </row>
    <row r="56" spans="1:28" ht="126" customHeight="1">
      <c r="A56" s="1"/>
      <c r="B56" s="126" t="s">
        <v>49</v>
      </c>
      <c r="C56" s="55" t="s">
        <v>20</v>
      </c>
      <c r="D56" s="109" t="s">
        <v>157</v>
      </c>
      <c r="E56" s="56"/>
      <c r="F56" s="56"/>
      <c r="G56" s="56"/>
      <c r="H56" s="56"/>
      <c r="I56" s="56"/>
      <c r="J56" s="56"/>
      <c r="K56" s="56"/>
      <c r="L56" s="56"/>
      <c r="M56" s="56"/>
      <c r="N56" s="56"/>
      <c r="O56" s="56"/>
      <c r="P56" s="56"/>
      <c r="Q56" s="56"/>
      <c r="R56" s="56"/>
      <c r="S56" s="56"/>
      <c r="T56" s="56"/>
      <c r="U56" s="56"/>
      <c r="V56" s="56"/>
      <c r="W56" s="56"/>
      <c r="X56" s="56"/>
      <c r="Y56" s="56"/>
      <c r="Z56" s="56"/>
      <c r="AA56" s="1"/>
      <c r="AB56" s="1"/>
    </row>
    <row r="57" spans="1:28" ht="79.5" customHeight="1">
      <c r="A57" s="1"/>
      <c r="B57" s="127"/>
      <c r="C57" s="57" t="s">
        <v>25</v>
      </c>
      <c r="D57" s="110" t="s">
        <v>142</v>
      </c>
      <c r="E57" s="58"/>
      <c r="F57" s="58"/>
      <c r="G57" s="58"/>
      <c r="H57" s="58"/>
      <c r="I57" s="58"/>
      <c r="J57" s="58"/>
      <c r="K57" s="58"/>
      <c r="L57" s="58"/>
      <c r="M57" s="58"/>
      <c r="N57" s="58"/>
      <c r="O57" s="58"/>
      <c r="P57" s="58"/>
      <c r="Q57" s="58"/>
      <c r="R57" s="58"/>
      <c r="S57" s="58"/>
      <c r="T57" s="58"/>
      <c r="U57" s="58"/>
      <c r="V57" s="58"/>
      <c r="W57" s="58"/>
      <c r="X57" s="58"/>
      <c r="Y57" s="58"/>
      <c r="Z57" s="58"/>
      <c r="AA57" s="1"/>
      <c r="AB57" s="1"/>
    </row>
    <row r="58" spans="1:28" ht="79.5" customHeight="1">
      <c r="A58" s="1"/>
      <c r="B58" s="126" t="s">
        <v>50</v>
      </c>
      <c r="C58" s="55" t="s">
        <v>21</v>
      </c>
      <c r="D58" s="109" t="s">
        <v>144</v>
      </c>
      <c r="E58" s="58"/>
      <c r="F58" s="58"/>
      <c r="G58" s="58"/>
      <c r="H58" s="58"/>
      <c r="I58" s="58"/>
      <c r="J58" s="58"/>
      <c r="K58" s="58"/>
      <c r="L58" s="58"/>
      <c r="M58" s="58"/>
      <c r="N58" s="58"/>
      <c r="O58" s="58"/>
      <c r="P58" s="58"/>
      <c r="Q58" s="58"/>
      <c r="R58" s="58"/>
      <c r="S58" s="58"/>
      <c r="T58" s="58"/>
      <c r="U58" s="58"/>
      <c r="V58" s="58"/>
      <c r="W58" s="58"/>
      <c r="X58" s="58"/>
      <c r="Y58" s="58"/>
      <c r="Z58" s="58"/>
      <c r="AA58" s="1"/>
      <c r="AB58" s="1"/>
    </row>
    <row r="59" spans="1:28" ht="94.5" customHeight="1">
      <c r="A59" s="1"/>
      <c r="B59" s="128"/>
      <c r="C59" s="59" t="s">
        <v>22</v>
      </c>
      <c r="D59" s="64" t="s">
        <v>143</v>
      </c>
      <c r="E59" s="58"/>
      <c r="F59" s="58"/>
      <c r="G59" s="58"/>
      <c r="H59" s="58"/>
      <c r="I59" s="58"/>
      <c r="J59" s="58"/>
      <c r="K59" s="58"/>
      <c r="L59" s="58"/>
      <c r="M59" s="58"/>
      <c r="N59" s="58"/>
      <c r="O59" s="58"/>
      <c r="P59" s="58"/>
      <c r="Q59" s="58"/>
      <c r="R59" s="58"/>
      <c r="S59" s="58"/>
      <c r="T59" s="58"/>
      <c r="U59" s="58"/>
      <c r="V59" s="58"/>
      <c r="W59" s="58"/>
      <c r="X59" s="58"/>
      <c r="Y59" s="58"/>
      <c r="Z59" s="58"/>
      <c r="AA59" s="1"/>
      <c r="AB59" s="1"/>
    </row>
    <row r="60" spans="1:28" ht="151.5" customHeight="1">
      <c r="A60" s="1"/>
      <c r="B60" s="126" t="s">
        <v>51</v>
      </c>
      <c r="C60" s="55" t="s">
        <v>23</v>
      </c>
      <c r="D60" s="109" t="s">
        <v>145</v>
      </c>
      <c r="E60" s="58"/>
      <c r="F60" s="58"/>
      <c r="G60" s="58"/>
      <c r="H60" s="58"/>
      <c r="I60" s="58"/>
      <c r="J60" s="58"/>
      <c r="K60" s="58"/>
      <c r="L60" s="58"/>
      <c r="M60" s="58"/>
      <c r="N60" s="58"/>
      <c r="O60" s="58"/>
      <c r="P60" s="58"/>
      <c r="Q60" s="58"/>
      <c r="R60" s="58"/>
      <c r="S60" s="58"/>
      <c r="T60" s="58"/>
      <c r="U60" s="58"/>
      <c r="V60" s="58"/>
      <c r="W60" s="58"/>
      <c r="X60" s="58"/>
      <c r="Y60" s="58"/>
      <c r="Z60" s="58"/>
      <c r="AA60" s="1"/>
      <c r="AB60" s="1"/>
    </row>
    <row r="61" spans="1:28" ht="79.5" customHeight="1">
      <c r="A61" s="1"/>
      <c r="B61" s="128"/>
      <c r="C61" s="60" t="s">
        <v>24</v>
      </c>
      <c r="D61" s="110" t="s">
        <v>158</v>
      </c>
      <c r="E61" s="58"/>
      <c r="F61" s="58"/>
      <c r="G61" s="58"/>
      <c r="H61" s="58"/>
      <c r="I61" s="58"/>
      <c r="J61" s="58"/>
      <c r="K61" s="58"/>
      <c r="L61" s="58"/>
      <c r="M61" s="58"/>
      <c r="N61" s="58"/>
      <c r="O61" s="58"/>
      <c r="P61" s="58"/>
      <c r="Q61" s="58"/>
      <c r="R61" s="58"/>
      <c r="S61" s="58"/>
      <c r="T61" s="58"/>
      <c r="U61" s="58"/>
      <c r="V61" s="58"/>
      <c r="W61" s="58"/>
      <c r="X61" s="58"/>
      <c r="Y61" s="58"/>
      <c r="Z61" s="58"/>
      <c r="AA61" s="1"/>
      <c r="AB61" s="1"/>
    </row>
    <row r="62" spans="1:28" ht="149.25" customHeight="1">
      <c r="A62" s="1"/>
      <c r="B62" s="126" t="s">
        <v>52</v>
      </c>
      <c r="C62" s="55" t="s">
        <v>29</v>
      </c>
      <c r="D62" s="109" t="s">
        <v>164</v>
      </c>
      <c r="E62" s="58"/>
      <c r="F62" s="58"/>
      <c r="G62" s="58"/>
      <c r="H62" s="58"/>
      <c r="I62" s="58"/>
      <c r="J62" s="58"/>
      <c r="K62" s="58"/>
      <c r="L62" s="58"/>
      <c r="M62" s="58"/>
      <c r="N62" s="58"/>
      <c r="O62" s="58"/>
      <c r="P62" s="58"/>
      <c r="Q62" s="58"/>
      <c r="R62" s="58"/>
      <c r="S62" s="58"/>
      <c r="T62" s="58"/>
      <c r="U62" s="58"/>
      <c r="V62" s="58"/>
      <c r="W62" s="58"/>
      <c r="X62" s="58"/>
      <c r="Y62" s="58"/>
      <c r="Z62" s="58"/>
      <c r="AA62" s="1"/>
      <c r="AB62" s="1"/>
    </row>
    <row r="63" spans="1:28" ht="79.5" customHeight="1">
      <c r="A63" s="1"/>
      <c r="B63" s="128"/>
      <c r="C63" s="59" t="s">
        <v>30</v>
      </c>
      <c r="D63" s="110" t="s">
        <v>159</v>
      </c>
      <c r="E63" s="58"/>
      <c r="F63" s="58"/>
      <c r="G63" s="58"/>
      <c r="H63" s="58"/>
      <c r="I63" s="58"/>
      <c r="J63" s="58"/>
      <c r="K63" s="58"/>
      <c r="L63" s="58"/>
      <c r="M63" s="58"/>
      <c r="N63" s="58"/>
      <c r="O63" s="58"/>
      <c r="P63" s="58"/>
      <c r="Q63" s="58"/>
      <c r="R63" s="58"/>
      <c r="S63" s="58"/>
      <c r="T63" s="58"/>
      <c r="U63" s="58"/>
      <c r="V63" s="58"/>
      <c r="W63" s="58"/>
      <c r="X63" s="58"/>
      <c r="Y63" s="58"/>
      <c r="Z63" s="58"/>
      <c r="AA63" s="1"/>
      <c r="AB63" s="1"/>
    </row>
    <row r="64" spans="1:28" ht="220.5" customHeight="1">
      <c r="A64" s="1"/>
      <c r="B64" s="126" t="s">
        <v>53</v>
      </c>
      <c r="C64" s="55" t="s">
        <v>26</v>
      </c>
      <c r="D64" s="109" t="s">
        <v>163</v>
      </c>
      <c r="E64" s="58"/>
      <c r="F64" s="58"/>
      <c r="G64" s="58"/>
      <c r="H64" s="58"/>
      <c r="I64" s="58"/>
      <c r="J64" s="58"/>
      <c r="K64" s="58"/>
      <c r="L64" s="58"/>
      <c r="M64" s="58"/>
      <c r="N64" s="58"/>
      <c r="O64" s="58"/>
      <c r="P64" s="58"/>
      <c r="Q64" s="58"/>
      <c r="R64" s="58"/>
      <c r="S64" s="58"/>
      <c r="T64" s="58"/>
      <c r="U64" s="58"/>
      <c r="V64" s="58"/>
      <c r="W64" s="58"/>
      <c r="X64" s="58"/>
      <c r="Y64" s="58"/>
      <c r="Z64" s="58"/>
      <c r="AA64" s="1"/>
      <c r="AB64" s="1"/>
    </row>
    <row r="65" spans="1:28" ht="168" customHeight="1">
      <c r="A65" s="1"/>
      <c r="B65" s="129"/>
      <c r="C65" s="61" t="s">
        <v>27</v>
      </c>
      <c r="D65" s="62" t="s">
        <v>165</v>
      </c>
      <c r="E65" s="63"/>
      <c r="F65" s="63"/>
      <c r="G65" s="63"/>
      <c r="H65" s="63"/>
      <c r="I65" s="63"/>
      <c r="J65" s="63"/>
      <c r="K65" s="63"/>
      <c r="L65" s="63"/>
      <c r="M65" s="63"/>
      <c r="N65" s="63"/>
      <c r="O65" s="63"/>
      <c r="P65" s="63"/>
      <c r="Q65" s="63"/>
      <c r="R65" s="63"/>
      <c r="S65" s="63"/>
      <c r="T65" s="63"/>
      <c r="U65" s="63"/>
      <c r="V65" s="63"/>
      <c r="W65" s="63"/>
      <c r="X65" s="63"/>
      <c r="Y65" s="63"/>
      <c r="Z65" s="63"/>
      <c r="AA65" s="1"/>
      <c r="AB65" s="1"/>
    </row>
    <row r="66" spans="1:28" ht="127.5" customHeight="1">
      <c r="A66" s="1"/>
      <c r="B66" s="128"/>
      <c r="C66" s="60" t="s">
        <v>28</v>
      </c>
      <c r="D66" s="64" t="s">
        <v>166</v>
      </c>
      <c r="E66" s="63"/>
      <c r="F66" s="63"/>
      <c r="G66" s="63"/>
      <c r="H66" s="63"/>
      <c r="I66" s="63"/>
      <c r="J66" s="63"/>
      <c r="K66" s="63"/>
      <c r="L66" s="63"/>
      <c r="M66" s="63"/>
      <c r="N66" s="63"/>
      <c r="O66" s="63"/>
      <c r="P66" s="63"/>
      <c r="Q66" s="63"/>
      <c r="R66" s="63"/>
      <c r="S66" s="63"/>
      <c r="T66" s="63"/>
      <c r="U66" s="63"/>
      <c r="V66" s="63"/>
      <c r="W66" s="63"/>
      <c r="X66" s="63"/>
      <c r="Y66" s="63"/>
      <c r="Z66" s="63"/>
      <c r="AA66" s="1"/>
      <c r="AB66" s="1"/>
    </row>
    <row r="67" spans="1:28" ht="6"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8.75" customHeight="1">
      <c r="A68" s="1" t="s">
        <v>54</v>
      </c>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206.25" customHeight="1">
      <c r="A69" s="1"/>
      <c r="B69" s="13"/>
      <c r="C69" s="13"/>
      <c r="D69" s="111" t="s">
        <v>162</v>
      </c>
      <c r="E69" s="13"/>
      <c r="F69" s="13"/>
      <c r="G69" s="13"/>
      <c r="H69" s="13"/>
      <c r="I69" s="13"/>
      <c r="J69" s="13"/>
      <c r="K69" s="13"/>
      <c r="L69" s="13"/>
      <c r="M69" s="13"/>
      <c r="N69" s="13"/>
      <c r="O69" s="13"/>
      <c r="P69" s="13"/>
      <c r="Q69" s="13"/>
      <c r="R69" s="13"/>
      <c r="S69" s="13"/>
      <c r="T69" s="13"/>
      <c r="U69" s="13"/>
      <c r="V69" s="13"/>
      <c r="W69" s="13"/>
      <c r="X69" s="13"/>
      <c r="Y69" s="13"/>
      <c r="Z69" s="13"/>
      <c r="AA69" s="1"/>
      <c r="AB69" s="1"/>
    </row>
    <row r="70" spans="1:28"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sheetData>
  <mergeCells count="19">
    <mergeCell ref="B62:B63"/>
    <mergeCell ref="B64:B66"/>
    <mergeCell ref="A13:B13"/>
    <mergeCell ref="A15:B15"/>
    <mergeCell ref="F21:Z21"/>
    <mergeCell ref="B23:C32"/>
    <mergeCell ref="B33:C42"/>
    <mergeCell ref="B43:C52"/>
    <mergeCell ref="B55:C55"/>
    <mergeCell ref="A9:B9"/>
    <mergeCell ref="A11:B11"/>
    <mergeCell ref="B56:B57"/>
    <mergeCell ref="B58:B59"/>
    <mergeCell ref="B60:B61"/>
    <mergeCell ref="A1:Z1"/>
    <mergeCell ref="Y3:Z3"/>
    <mergeCell ref="B4:C4"/>
    <mergeCell ref="B5:C5"/>
    <mergeCell ref="A7:Z7"/>
  </mergeCells>
  <phoneticPr fontId="15"/>
  <conditionalFormatting sqref="D11">
    <cfRule type="expression" dxfId="3" priority="1">
      <formula>$D$9="学部・学科によって、修了要件は相違しない"</formula>
    </cfRule>
    <cfRule type="containsText" dxfId="2" priority="2" operator="containsText" text="学部・学科によって、修了要件は相違しない">
      <formula>NOT(ISERROR(SEARCH(("学部・学科によって、修了要件は相違しない"),(D11))))</formula>
    </cfRule>
    <cfRule type="expression" dxfId="1" priority="3">
      <formula>#REF!="学部・学科によって、修了要件は相違しない"</formula>
    </cfRule>
  </conditionalFormatting>
  <dataValidations count="4">
    <dataValidation type="list" allowBlank="1" showErrorMessage="1" sqref="D13" xr:uid="{00000000-0002-0000-0000-000000000000}">
      <formula1>"令和６年度以前又は令和７年度より、履修することが必須のプログラムとして実施,令和９年度までに履修必須とする計画,令和１０年度以降に履修必須とする計画、又は未定"</formula1>
    </dataValidation>
    <dataValidation type="list" allowBlank="1" showErrorMessage="1" sqref="D9" xr:uid="{00000000-0002-0000-0000-000001000000}">
      <formula1>"学部・学科によって、修了要件は相違する,学部・学科によって、修了要件は相違しない"</formula1>
    </dataValidation>
    <dataValidation type="list" allowBlank="1" showErrorMessage="1" sqref="G53:O53 W53:Z53"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F23:Z52" xr:uid="{00000000-0002-0000-0000-000003000000}">
      <formula1>"○"</formula1>
    </dataValidation>
  </dataValidations>
  <printOptions horizontalCentered="1"/>
  <pageMargins left="0.19685039370078741" right="0.19685039370078741" top="0.59055118110236227" bottom="0" header="0" footer="0"/>
  <pageSetup paperSize="9" scale="46" fitToHeight="0" orientation="landscape" r:id="rId1"/>
  <rowBreaks count="2" manualBreakCount="2">
    <brk id="53" max="16383" man="1"/>
    <brk id="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4"/>
  <sheetViews>
    <sheetView tabSelected="1" view="pageBreakPreview" zoomScale="115" zoomScaleNormal="70" zoomScaleSheetLayoutView="115" workbookViewId="0">
      <selection activeCell="M20" sqref="M20"/>
    </sheetView>
  </sheetViews>
  <sheetFormatPr defaultColWidth="14.42578125" defaultRowHeight="15" customHeight="1"/>
  <cols>
    <col min="1" max="1" width="2.7109375" customWidth="1"/>
    <col min="2" max="2" width="27.85546875" customWidth="1"/>
    <col min="3" max="3" width="8" customWidth="1"/>
    <col min="4" max="4" width="8.28515625" customWidth="1"/>
    <col min="5" max="6" width="8.7109375" customWidth="1"/>
    <col min="7" max="19" width="6.140625" customWidth="1"/>
    <col min="20" max="20" width="9.28515625" customWidth="1"/>
    <col min="21" max="26" width="9" customWidth="1"/>
  </cols>
  <sheetData>
    <row r="1" spans="1:26" ht="18" customHeight="1">
      <c r="A1" s="1"/>
      <c r="B1" s="1"/>
      <c r="C1" s="1"/>
      <c r="D1" s="1"/>
      <c r="E1" s="1"/>
      <c r="F1" s="1"/>
      <c r="G1" s="1"/>
      <c r="H1" s="1"/>
      <c r="I1" s="1"/>
      <c r="J1" s="1"/>
      <c r="K1" s="1"/>
      <c r="L1" s="1"/>
      <c r="M1" s="1"/>
      <c r="N1" s="1"/>
      <c r="O1" s="1"/>
      <c r="P1" s="1"/>
      <c r="Q1" s="1"/>
      <c r="R1" s="1"/>
      <c r="S1" s="1"/>
      <c r="T1" s="1" t="s">
        <v>55</v>
      </c>
      <c r="U1" s="1"/>
      <c r="V1" s="1"/>
      <c r="W1" s="1"/>
      <c r="X1" s="1"/>
      <c r="Y1" s="1"/>
      <c r="Z1" s="1"/>
    </row>
    <row r="2" spans="1:26" ht="18" customHeight="1">
      <c r="A2" s="149" t="s">
        <v>56</v>
      </c>
      <c r="B2" s="120"/>
      <c r="C2" s="120"/>
      <c r="D2" s="120"/>
      <c r="E2" s="120"/>
      <c r="F2" s="120"/>
      <c r="G2" s="120"/>
      <c r="H2" s="120"/>
      <c r="I2" s="120"/>
      <c r="J2" s="120"/>
      <c r="K2" s="120"/>
      <c r="L2" s="120"/>
      <c r="M2" s="120"/>
      <c r="N2" s="120"/>
      <c r="O2" s="120"/>
      <c r="P2" s="120"/>
      <c r="Q2" s="120"/>
      <c r="R2" s="120"/>
      <c r="S2" s="120"/>
      <c r="T2" s="121"/>
      <c r="U2" s="1"/>
      <c r="V2" s="1"/>
      <c r="W2" s="1"/>
      <c r="X2" s="1"/>
      <c r="Y2" s="1"/>
      <c r="Z2" s="1"/>
    </row>
    <row r="3" spans="1:26" ht="7.5" customHeight="1">
      <c r="A3" s="9"/>
      <c r="B3" s="9"/>
      <c r="C3" s="9"/>
      <c r="D3" s="9"/>
      <c r="E3" s="9"/>
      <c r="F3" s="9"/>
      <c r="G3" s="9"/>
      <c r="H3" s="9"/>
      <c r="I3" s="9"/>
      <c r="J3" s="9"/>
      <c r="K3" s="9"/>
      <c r="L3" s="9"/>
      <c r="M3" s="9"/>
      <c r="N3" s="9"/>
      <c r="O3" s="9"/>
      <c r="P3" s="9"/>
      <c r="Q3" s="9"/>
      <c r="R3" s="9"/>
      <c r="S3" s="9"/>
      <c r="T3" s="9"/>
      <c r="U3" s="1"/>
      <c r="V3" s="1"/>
      <c r="W3" s="1"/>
      <c r="X3" s="1"/>
      <c r="Y3" s="1"/>
      <c r="Z3" s="1"/>
    </row>
    <row r="4" spans="1:26" ht="18" customHeight="1">
      <c r="A4" s="1" t="s">
        <v>57</v>
      </c>
      <c r="B4" s="1"/>
      <c r="C4" s="65" t="s">
        <v>58</v>
      </c>
      <c r="D4" s="1" t="s">
        <v>59</v>
      </c>
      <c r="E4" s="5"/>
      <c r="F4" s="15"/>
      <c r="G4" s="9"/>
      <c r="H4" s="9"/>
      <c r="I4" s="9"/>
      <c r="J4" s="9"/>
      <c r="K4" s="9"/>
      <c r="L4" s="9"/>
      <c r="M4" s="9"/>
      <c r="N4" s="9"/>
      <c r="O4" s="9"/>
      <c r="P4" s="9"/>
      <c r="Q4" s="9"/>
      <c r="R4" s="9"/>
      <c r="S4" s="5"/>
      <c r="T4" s="5"/>
      <c r="U4" s="1"/>
      <c r="V4" s="1"/>
      <c r="W4" s="1"/>
      <c r="X4" s="1"/>
      <c r="Y4" s="1"/>
      <c r="Z4" s="1"/>
    </row>
    <row r="5" spans="1:26" ht="6.75" customHeight="1">
      <c r="A5" s="1"/>
      <c r="B5" s="1"/>
      <c r="C5" s="53"/>
      <c r="D5" s="53"/>
      <c r="E5" s="53"/>
      <c r="F5" s="9"/>
      <c r="G5" s="9"/>
      <c r="H5" s="9"/>
      <c r="I5" s="9"/>
      <c r="J5" s="9"/>
      <c r="K5" s="9"/>
      <c r="L5" s="9"/>
      <c r="M5" s="9"/>
      <c r="N5" s="9"/>
      <c r="O5" s="9"/>
      <c r="P5" s="9"/>
      <c r="Q5" s="9"/>
      <c r="R5" s="9"/>
      <c r="S5" s="5"/>
      <c r="T5" s="5"/>
      <c r="U5" s="1"/>
      <c r="V5" s="1"/>
      <c r="W5" s="1"/>
      <c r="X5" s="1"/>
      <c r="Y5" s="1"/>
      <c r="Z5" s="1"/>
    </row>
    <row r="6" spans="1:26" ht="18" customHeight="1">
      <c r="A6" s="1" t="s">
        <v>60</v>
      </c>
      <c r="B6" s="9"/>
      <c r="C6" s="9"/>
      <c r="D6" s="9"/>
      <c r="E6" s="9"/>
      <c r="F6" s="9"/>
      <c r="G6" s="9"/>
      <c r="H6" s="9"/>
      <c r="I6" s="9"/>
      <c r="J6" s="9"/>
      <c r="K6" s="9"/>
      <c r="L6" s="9"/>
      <c r="M6" s="9"/>
      <c r="N6" s="9"/>
      <c r="O6" s="9"/>
      <c r="P6" s="9"/>
      <c r="Q6" s="9"/>
      <c r="R6" s="9"/>
      <c r="S6" s="9"/>
      <c r="T6" s="9"/>
      <c r="U6" s="1"/>
      <c r="V6" s="1"/>
      <c r="W6" s="1"/>
      <c r="X6" s="1"/>
      <c r="Y6" s="1"/>
      <c r="Z6" s="1"/>
    </row>
    <row r="7" spans="1:26" ht="6" customHeight="1">
      <c r="A7" s="1"/>
      <c r="B7" s="9"/>
      <c r="C7" s="9"/>
      <c r="D7" s="9"/>
      <c r="E7" s="9"/>
      <c r="F7" s="9"/>
      <c r="G7" s="9"/>
      <c r="H7" s="9"/>
      <c r="I7" s="9"/>
      <c r="J7" s="9"/>
      <c r="K7" s="9"/>
      <c r="L7" s="9"/>
      <c r="M7" s="9"/>
      <c r="N7" s="9"/>
      <c r="O7" s="9"/>
      <c r="P7" s="9"/>
      <c r="Q7" s="9"/>
      <c r="R7" s="9"/>
      <c r="S7" s="9"/>
      <c r="T7" s="9"/>
      <c r="U7" s="1"/>
      <c r="V7" s="1"/>
      <c r="W7" s="1"/>
      <c r="X7" s="1"/>
      <c r="Y7" s="1"/>
      <c r="Z7" s="1"/>
    </row>
    <row r="8" spans="1:26" ht="18" customHeight="1">
      <c r="A8" s="1"/>
      <c r="B8" s="150" t="s">
        <v>61</v>
      </c>
      <c r="C8" s="152" t="s">
        <v>62</v>
      </c>
      <c r="D8" s="134"/>
      <c r="E8" s="153" t="s">
        <v>63</v>
      </c>
      <c r="F8" s="155" t="s">
        <v>64</v>
      </c>
      <c r="G8" s="157" t="s">
        <v>65</v>
      </c>
      <c r="H8" s="158"/>
      <c r="I8" s="157" t="s">
        <v>66</v>
      </c>
      <c r="J8" s="158"/>
      <c r="K8" s="157" t="s">
        <v>67</v>
      </c>
      <c r="L8" s="158"/>
      <c r="M8" s="157" t="s">
        <v>68</v>
      </c>
      <c r="N8" s="158"/>
      <c r="O8" s="157" t="s">
        <v>69</v>
      </c>
      <c r="P8" s="158"/>
      <c r="Q8" s="157" t="s">
        <v>70</v>
      </c>
      <c r="R8" s="159"/>
      <c r="S8" s="160" t="s">
        <v>71</v>
      </c>
      <c r="T8" s="147" t="s">
        <v>72</v>
      </c>
      <c r="U8" s="1"/>
      <c r="V8" s="3"/>
      <c r="W8" s="1"/>
      <c r="X8" s="1"/>
      <c r="Y8" s="1"/>
      <c r="Z8" s="1"/>
    </row>
    <row r="9" spans="1:26" ht="16.5" customHeight="1">
      <c r="A9" s="1"/>
      <c r="B9" s="151"/>
      <c r="C9" s="66"/>
      <c r="D9" s="67" t="s">
        <v>73</v>
      </c>
      <c r="E9" s="154"/>
      <c r="F9" s="156"/>
      <c r="G9" s="68" t="s">
        <v>74</v>
      </c>
      <c r="H9" s="68" t="s">
        <v>75</v>
      </c>
      <c r="I9" s="68" t="s">
        <v>74</v>
      </c>
      <c r="J9" s="68" t="s">
        <v>75</v>
      </c>
      <c r="K9" s="68" t="s">
        <v>74</v>
      </c>
      <c r="L9" s="68" t="s">
        <v>75</v>
      </c>
      <c r="M9" s="68" t="s">
        <v>74</v>
      </c>
      <c r="N9" s="68" t="s">
        <v>75</v>
      </c>
      <c r="O9" s="68" t="s">
        <v>74</v>
      </c>
      <c r="P9" s="68" t="s">
        <v>75</v>
      </c>
      <c r="Q9" s="68" t="s">
        <v>74</v>
      </c>
      <c r="R9" s="68" t="s">
        <v>75</v>
      </c>
      <c r="S9" s="151"/>
      <c r="T9" s="148"/>
      <c r="U9" s="1"/>
      <c r="V9" s="3"/>
      <c r="W9" s="1"/>
      <c r="X9" s="1"/>
      <c r="Y9" s="1"/>
      <c r="Z9" s="1"/>
    </row>
    <row r="10" spans="1:26" ht="18" customHeight="1">
      <c r="A10" s="5"/>
      <c r="B10" s="69" t="s">
        <v>170</v>
      </c>
      <c r="C10" s="70">
        <v>103</v>
      </c>
      <c r="D10" s="71">
        <v>50</v>
      </c>
      <c r="E10" s="78">
        <v>60</v>
      </c>
      <c r="F10" s="72">
        <v>160</v>
      </c>
      <c r="G10" s="73">
        <v>1</v>
      </c>
      <c r="H10" s="74">
        <v>1</v>
      </c>
      <c r="I10" s="75"/>
      <c r="J10" s="75"/>
      <c r="K10" s="75"/>
      <c r="L10" s="75"/>
      <c r="M10" s="75"/>
      <c r="N10" s="75"/>
      <c r="O10" s="75"/>
      <c r="P10" s="75"/>
      <c r="Q10" s="75"/>
      <c r="R10" s="75"/>
      <c r="S10" s="76">
        <f t="shared" ref="S10:S12" si="0">G10+K10+M10+O10+Q10</f>
        <v>1</v>
      </c>
      <c r="T10" s="77">
        <f t="shared" ref="T10:T13" si="1">S10/F10</f>
        <v>6.2500000000000003E-3</v>
      </c>
      <c r="U10" s="1"/>
      <c r="V10" s="1"/>
      <c r="W10" s="1"/>
      <c r="X10" s="1"/>
      <c r="Y10" s="1"/>
      <c r="Z10" s="1"/>
    </row>
    <row r="11" spans="1:26" ht="18" customHeight="1">
      <c r="A11" s="181"/>
      <c r="B11" s="69" t="s">
        <v>171</v>
      </c>
      <c r="C11" s="182">
        <v>157</v>
      </c>
      <c r="D11" s="71">
        <v>62</v>
      </c>
      <c r="E11" s="78">
        <v>102</v>
      </c>
      <c r="F11" s="72">
        <v>204</v>
      </c>
      <c r="G11" s="73">
        <v>1</v>
      </c>
      <c r="H11" s="74">
        <v>1</v>
      </c>
      <c r="I11" s="75"/>
      <c r="J11" s="75"/>
      <c r="K11" s="75"/>
      <c r="L11" s="75"/>
      <c r="M11" s="75"/>
      <c r="N11" s="75"/>
      <c r="O11" s="75"/>
      <c r="P11" s="75"/>
      <c r="Q11" s="75"/>
      <c r="R11" s="75"/>
      <c r="S11" s="76">
        <f t="shared" ref="S11" si="2">G11+K11+M11+O11+Q11</f>
        <v>1</v>
      </c>
      <c r="T11" s="77">
        <f t="shared" ref="T11" si="3">S11/F11</f>
        <v>4.9019607843137254E-3</v>
      </c>
      <c r="U11" s="118"/>
      <c r="V11" s="118"/>
      <c r="W11" s="118"/>
      <c r="X11" s="118"/>
      <c r="Y11" s="118"/>
      <c r="Z11" s="118"/>
    </row>
    <row r="12" spans="1:26" ht="18" customHeight="1">
      <c r="A12" s="5"/>
      <c r="B12" s="69" t="s">
        <v>172</v>
      </c>
      <c r="C12" s="70">
        <v>98</v>
      </c>
      <c r="D12" s="71">
        <v>21</v>
      </c>
      <c r="E12" s="78">
        <v>78</v>
      </c>
      <c r="F12" s="72">
        <v>156</v>
      </c>
      <c r="G12" s="73">
        <v>2</v>
      </c>
      <c r="H12" s="74">
        <v>2</v>
      </c>
      <c r="I12" s="75"/>
      <c r="J12" s="75"/>
      <c r="K12" s="75"/>
      <c r="L12" s="75"/>
      <c r="M12" s="75"/>
      <c r="N12" s="75"/>
      <c r="O12" s="75"/>
      <c r="P12" s="75"/>
      <c r="Q12" s="75"/>
      <c r="R12" s="75"/>
      <c r="S12" s="76">
        <f t="shared" si="0"/>
        <v>2</v>
      </c>
      <c r="T12" s="77">
        <f t="shared" si="1"/>
        <v>1.282051282051282E-2</v>
      </c>
      <c r="U12" s="1"/>
      <c r="V12" s="1"/>
      <c r="W12" s="1"/>
      <c r="X12" s="1"/>
      <c r="Y12" s="1"/>
      <c r="Z12" s="1"/>
    </row>
    <row r="13" spans="1:26" ht="18" customHeight="1">
      <c r="A13" s="1"/>
      <c r="B13" s="79" t="s">
        <v>76</v>
      </c>
      <c r="C13" s="80">
        <f>SUM(C10:C12)</f>
        <v>358</v>
      </c>
      <c r="D13" s="81">
        <f>SUM(D10:D12)</f>
        <v>133</v>
      </c>
      <c r="E13" s="82">
        <f>SUM(E10:E12)</f>
        <v>240</v>
      </c>
      <c r="F13" s="80">
        <f>SUM(F10:F12)</f>
        <v>520</v>
      </c>
      <c r="G13" s="80">
        <f>SUM(G10:G12)</f>
        <v>4</v>
      </c>
      <c r="H13" s="80">
        <f>SUM(H10:H12)</f>
        <v>4</v>
      </c>
      <c r="I13" s="80">
        <f>SUM(I10:I12)</f>
        <v>0</v>
      </c>
      <c r="J13" s="80">
        <f>SUM(J10:J12)</f>
        <v>0</v>
      </c>
      <c r="K13" s="80">
        <f>SUM(K10:K12)</f>
        <v>0</v>
      </c>
      <c r="L13" s="80">
        <f>SUM(L10:L12)</f>
        <v>0</v>
      </c>
      <c r="M13" s="80">
        <f>SUM(M10:M12)</f>
        <v>0</v>
      </c>
      <c r="N13" s="80">
        <f>SUM(N10:N12)</f>
        <v>0</v>
      </c>
      <c r="O13" s="80">
        <f>SUM(O10:O12)</f>
        <v>0</v>
      </c>
      <c r="P13" s="80">
        <f>SUM(P10:P12)</f>
        <v>0</v>
      </c>
      <c r="Q13" s="80">
        <f>SUM(Q10:Q12)</f>
        <v>0</v>
      </c>
      <c r="R13" s="80">
        <f>SUM(R10:R12)</f>
        <v>0</v>
      </c>
      <c r="S13" s="80">
        <f>SUM(S10:S12)</f>
        <v>4</v>
      </c>
      <c r="T13" s="83">
        <f t="shared" si="1"/>
        <v>7.6923076923076927E-3</v>
      </c>
      <c r="U13" s="1"/>
      <c r="V13" s="1"/>
      <c r="W13" s="1"/>
      <c r="X13" s="1"/>
      <c r="Y13" s="1"/>
      <c r="Z13" s="1"/>
    </row>
    <row r="14" spans="1:26" ht="18.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sheetData>
  <mergeCells count="13">
    <mergeCell ref="T8:T9"/>
    <mergeCell ref="A2:T2"/>
    <mergeCell ref="B8:B9"/>
    <mergeCell ref="C8:D8"/>
    <mergeCell ref="E8:E9"/>
    <mergeCell ref="F8:F9"/>
    <mergeCell ref="G8:H8"/>
    <mergeCell ref="I8:J8"/>
    <mergeCell ref="K8:L8"/>
    <mergeCell ref="M8:N8"/>
    <mergeCell ref="O8:P8"/>
    <mergeCell ref="Q8:R8"/>
    <mergeCell ref="S8:S9"/>
  </mergeCells>
  <phoneticPr fontId="15"/>
  <conditionalFormatting sqref="C4:E5">
    <cfRule type="cellIs" dxfId="0" priority="1" operator="equal">
      <formula>0</formula>
    </cfRule>
  </conditionalFormatting>
  <dataValidations count="1">
    <dataValidation type="decimal" allowBlank="1" showErrorMessage="1" sqref="C10:R12" xr:uid="{00000000-0002-0000-0100-000000000000}">
      <formula1>0</formula1>
      <formula2>99999</formula2>
    </dataValidation>
  </dataValidations>
  <printOptions horizontalCentered="1"/>
  <pageMargins left="0.19685039370078741" right="0.19685039370078741" top="0.59055118110236227" bottom="0" header="0" footer="0"/>
  <pageSetup paperSize="9" scale="8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1"/>
  <sheetViews>
    <sheetView view="pageBreakPreview" topLeftCell="A25" zoomScale="115" zoomScaleNormal="70" zoomScaleSheetLayoutView="115" workbookViewId="0">
      <selection activeCell="D15" sqref="D15"/>
    </sheetView>
  </sheetViews>
  <sheetFormatPr defaultColWidth="14.42578125" defaultRowHeight="15" customHeight="1"/>
  <cols>
    <col min="1" max="1" width="2.7109375" customWidth="1"/>
    <col min="2" max="2" width="8" customWidth="1"/>
    <col min="3" max="3" width="17.140625" customWidth="1"/>
    <col min="4" max="4" width="41.5703125" customWidth="1"/>
    <col min="5" max="5" width="12.140625" customWidth="1"/>
    <col min="6" max="26" width="11.42578125" customWidth="1"/>
  </cols>
  <sheetData>
    <row r="1" spans="1:26" ht="18.75" customHeight="1">
      <c r="A1" s="84" t="s">
        <v>77</v>
      </c>
      <c r="B1" s="1"/>
      <c r="C1" s="1"/>
      <c r="D1" s="1"/>
      <c r="E1" s="2" t="s">
        <v>78</v>
      </c>
      <c r="F1" s="1"/>
      <c r="G1" s="1"/>
      <c r="H1" s="1"/>
      <c r="I1" s="1"/>
      <c r="J1" s="1"/>
      <c r="K1" s="1"/>
      <c r="L1" s="1"/>
      <c r="M1" s="1"/>
      <c r="N1" s="1"/>
      <c r="O1" s="1"/>
      <c r="P1" s="1"/>
      <c r="Q1" s="1"/>
      <c r="R1" s="1"/>
      <c r="S1" s="1"/>
      <c r="T1" s="1"/>
      <c r="U1" s="1"/>
      <c r="V1" s="1"/>
      <c r="W1" s="1"/>
      <c r="X1" s="1"/>
      <c r="Y1" s="1"/>
      <c r="Z1" s="1"/>
    </row>
    <row r="2" spans="1:26" ht="10.5" customHeight="1">
      <c r="A2" s="84"/>
      <c r="B2" s="1"/>
      <c r="C2" s="1"/>
      <c r="D2" s="1"/>
      <c r="E2" s="15"/>
      <c r="F2" s="1"/>
      <c r="G2" s="1"/>
      <c r="H2" s="1"/>
      <c r="I2" s="1"/>
      <c r="J2" s="1"/>
      <c r="K2" s="1"/>
      <c r="L2" s="1"/>
      <c r="M2" s="1"/>
      <c r="N2" s="1"/>
      <c r="O2" s="1"/>
      <c r="P2" s="1"/>
      <c r="Q2" s="1"/>
      <c r="R2" s="1"/>
      <c r="S2" s="1"/>
      <c r="T2" s="1"/>
      <c r="U2" s="1"/>
      <c r="V2" s="1"/>
      <c r="W2" s="1"/>
      <c r="X2" s="1"/>
      <c r="Y2" s="1"/>
      <c r="Z2" s="1"/>
    </row>
    <row r="3" spans="1:26" ht="18" customHeight="1">
      <c r="A3" s="149" t="s">
        <v>79</v>
      </c>
      <c r="B3" s="120"/>
      <c r="C3" s="120"/>
      <c r="D3" s="120"/>
      <c r="E3" s="121"/>
      <c r="F3" s="1"/>
      <c r="G3" s="1"/>
      <c r="H3" s="1"/>
      <c r="I3" s="1"/>
      <c r="J3" s="1"/>
      <c r="K3" s="1"/>
      <c r="L3" s="1"/>
      <c r="M3" s="1"/>
      <c r="N3" s="1"/>
      <c r="O3" s="1"/>
      <c r="P3" s="1"/>
      <c r="Q3" s="1"/>
      <c r="R3" s="1"/>
      <c r="S3" s="1"/>
      <c r="T3" s="1"/>
      <c r="U3" s="1"/>
      <c r="V3" s="1"/>
      <c r="W3" s="1"/>
      <c r="X3" s="1"/>
      <c r="Y3" s="1"/>
      <c r="Z3" s="1"/>
    </row>
    <row r="4" spans="1:26" ht="12.75" customHeight="1">
      <c r="A4" s="84"/>
      <c r="B4" s="9"/>
      <c r="C4" s="9"/>
      <c r="D4" s="9"/>
      <c r="E4" s="9"/>
      <c r="F4" s="1"/>
      <c r="G4" s="1"/>
      <c r="H4" s="1"/>
      <c r="I4" s="1"/>
      <c r="J4" s="1"/>
      <c r="K4" s="1"/>
      <c r="L4" s="1"/>
      <c r="M4" s="1"/>
      <c r="N4" s="1"/>
      <c r="O4" s="1"/>
      <c r="P4" s="1"/>
      <c r="Q4" s="1"/>
      <c r="R4" s="1"/>
      <c r="S4" s="1"/>
      <c r="T4" s="1"/>
      <c r="U4" s="1"/>
      <c r="V4" s="1"/>
      <c r="W4" s="1"/>
      <c r="X4" s="1"/>
      <c r="Y4" s="1"/>
      <c r="Z4" s="1"/>
    </row>
    <row r="5" spans="1:26" ht="18" customHeight="1">
      <c r="A5" s="1" t="s">
        <v>80</v>
      </c>
      <c r="B5" s="130" t="s">
        <v>81</v>
      </c>
      <c r="C5" s="120"/>
      <c r="D5" s="120"/>
      <c r="E5" s="121"/>
      <c r="F5" s="1"/>
      <c r="G5" s="1"/>
      <c r="H5" s="1"/>
      <c r="I5" s="1"/>
      <c r="J5" s="1"/>
      <c r="K5" s="1"/>
      <c r="L5" s="1"/>
      <c r="M5" s="1"/>
      <c r="N5" s="1"/>
      <c r="O5" s="1"/>
      <c r="P5" s="1"/>
      <c r="Q5" s="1"/>
      <c r="R5" s="1"/>
      <c r="S5" s="1"/>
      <c r="T5" s="1"/>
      <c r="U5" s="1"/>
      <c r="V5" s="1"/>
      <c r="W5" s="1"/>
      <c r="X5" s="1"/>
      <c r="Y5" s="1"/>
      <c r="Z5" s="1"/>
    </row>
    <row r="6" spans="1:26" ht="18" customHeight="1">
      <c r="A6" s="84"/>
      <c r="B6" s="85" t="s">
        <v>82</v>
      </c>
      <c r="C6" s="86">
        <v>2522</v>
      </c>
      <c r="D6" s="15" t="s">
        <v>83</v>
      </c>
      <c r="E6" s="87"/>
      <c r="F6" s="1"/>
      <c r="G6" s="1"/>
      <c r="H6" s="1"/>
      <c r="I6" s="1"/>
      <c r="J6" s="1"/>
      <c r="K6" s="1"/>
      <c r="L6" s="1"/>
      <c r="M6" s="1"/>
      <c r="N6" s="1"/>
      <c r="O6" s="1"/>
      <c r="P6" s="1"/>
      <c r="Q6" s="1"/>
      <c r="R6" s="1"/>
      <c r="S6" s="1"/>
      <c r="T6" s="1"/>
      <c r="U6" s="1"/>
      <c r="V6" s="1"/>
      <c r="W6" s="1"/>
      <c r="X6" s="1"/>
      <c r="Y6" s="1"/>
      <c r="Z6" s="1"/>
    </row>
    <row r="7" spans="1:26" ht="18" customHeight="1">
      <c r="A7" s="84"/>
      <c r="B7" s="85" t="s">
        <v>84</v>
      </c>
      <c r="C7" s="86">
        <v>3332</v>
      </c>
      <c r="D7" s="15" t="s">
        <v>83</v>
      </c>
      <c r="E7" s="87"/>
      <c r="F7" s="1"/>
      <c r="G7" s="1"/>
      <c r="H7" s="1"/>
      <c r="I7" s="1"/>
      <c r="J7" s="1"/>
      <c r="K7" s="1"/>
      <c r="L7" s="1"/>
      <c r="M7" s="1"/>
      <c r="N7" s="1"/>
      <c r="O7" s="1"/>
      <c r="P7" s="1"/>
      <c r="Q7" s="1"/>
      <c r="R7" s="1"/>
      <c r="S7" s="1"/>
      <c r="T7" s="1"/>
      <c r="U7" s="1"/>
      <c r="V7" s="1"/>
      <c r="W7" s="1"/>
      <c r="X7" s="1"/>
      <c r="Y7" s="1"/>
      <c r="Z7" s="1"/>
    </row>
    <row r="8" spans="1:26" ht="18" customHeight="1">
      <c r="A8" s="84"/>
      <c r="B8" s="2"/>
      <c r="C8" s="2"/>
      <c r="D8" s="15"/>
      <c r="E8" s="87"/>
      <c r="F8" s="1"/>
      <c r="G8" s="1"/>
      <c r="H8" s="1"/>
      <c r="I8" s="1"/>
      <c r="J8" s="1"/>
      <c r="K8" s="1"/>
      <c r="L8" s="1"/>
      <c r="M8" s="1"/>
      <c r="N8" s="1"/>
      <c r="O8" s="1"/>
      <c r="P8" s="1"/>
      <c r="Q8" s="1"/>
      <c r="R8" s="1"/>
      <c r="S8" s="1"/>
      <c r="T8" s="1"/>
      <c r="U8" s="1"/>
      <c r="V8" s="1"/>
      <c r="W8" s="1"/>
      <c r="X8" s="1"/>
      <c r="Y8" s="1"/>
      <c r="Z8" s="1"/>
    </row>
    <row r="9" spans="1:26" ht="18" customHeight="1">
      <c r="A9" s="1" t="s">
        <v>85</v>
      </c>
      <c r="B9" s="130" t="s">
        <v>86</v>
      </c>
      <c r="C9" s="120"/>
      <c r="D9" s="120"/>
      <c r="E9" s="121"/>
      <c r="F9" s="1"/>
      <c r="G9" s="1"/>
      <c r="H9" s="1"/>
      <c r="I9" s="1"/>
      <c r="J9" s="1"/>
      <c r="K9" s="1"/>
      <c r="L9" s="1"/>
      <c r="M9" s="1"/>
      <c r="N9" s="1"/>
      <c r="O9" s="1"/>
      <c r="P9" s="1"/>
      <c r="Q9" s="1"/>
      <c r="R9" s="1"/>
      <c r="S9" s="1"/>
      <c r="T9" s="1"/>
      <c r="U9" s="1"/>
      <c r="V9" s="1"/>
      <c r="W9" s="1"/>
      <c r="X9" s="1"/>
      <c r="Y9" s="1"/>
      <c r="Z9" s="1"/>
    </row>
    <row r="10" spans="1:26" ht="18" customHeight="1">
      <c r="A10" s="1"/>
      <c r="B10" s="15"/>
      <c r="C10" s="88">
        <v>9</v>
      </c>
      <c r="D10" s="15" t="s">
        <v>83</v>
      </c>
      <c r="E10" s="15"/>
      <c r="F10" s="1"/>
      <c r="G10" s="1"/>
      <c r="H10" s="1"/>
      <c r="I10" s="1"/>
      <c r="J10" s="1"/>
      <c r="K10" s="1"/>
      <c r="L10" s="1"/>
      <c r="M10" s="1"/>
      <c r="N10" s="1"/>
      <c r="O10" s="1"/>
      <c r="P10" s="1"/>
      <c r="Q10" s="1"/>
      <c r="R10" s="1"/>
      <c r="S10" s="1"/>
      <c r="T10" s="1"/>
      <c r="U10" s="1"/>
      <c r="V10" s="1"/>
      <c r="W10" s="1"/>
      <c r="X10" s="1"/>
      <c r="Y10" s="1"/>
      <c r="Z10" s="1"/>
    </row>
    <row r="11" spans="1:26" ht="9" customHeight="1">
      <c r="A11" s="84"/>
      <c r="B11" s="9"/>
      <c r="C11" s="9"/>
      <c r="D11" s="9"/>
      <c r="E11" s="9"/>
      <c r="F11" s="1"/>
      <c r="G11" s="1"/>
      <c r="H11" s="1"/>
      <c r="I11" s="1"/>
      <c r="J11" s="1"/>
      <c r="K11" s="1"/>
      <c r="L11" s="1"/>
      <c r="M11" s="1"/>
      <c r="N11" s="1"/>
      <c r="O11" s="1"/>
      <c r="P11" s="1"/>
      <c r="Q11" s="1"/>
      <c r="R11" s="1"/>
      <c r="S11" s="1"/>
      <c r="T11" s="1"/>
      <c r="U11" s="1"/>
      <c r="V11" s="1"/>
      <c r="W11" s="1"/>
      <c r="X11" s="1"/>
      <c r="Y11" s="1"/>
      <c r="Z11" s="1"/>
    </row>
    <row r="12" spans="1:26" ht="18" customHeight="1">
      <c r="A12" s="1" t="s">
        <v>87</v>
      </c>
      <c r="B12" s="130" t="s">
        <v>88</v>
      </c>
      <c r="C12" s="120"/>
      <c r="D12" s="120"/>
      <c r="E12" s="121"/>
      <c r="F12" s="1"/>
      <c r="G12" s="1"/>
      <c r="H12" s="1"/>
      <c r="I12" s="1"/>
      <c r="J12" s="1"/>
      <c r="K12" s="1"/>
      <c r="L12" s="1"/>
      <c r="M12" s="1"/>
      <c r="N12" s="1"/>
      <c r="O12" s="1"/>
      <c r="P12" s="1"/>
      <c r="Q12" s="1"/>
      <c r="R12" s="1"/>
      <c r="S12" s="1"/>
      <c r="T12" s="1"/>
      <c r="U12" s="1"/>
      <c r="V12" s="1"/>
      <c r="W12" s="1"/>
      <c r="X12" s="1"/>
      <c r="Y12" s="1"/>
      <c r="Z12" s="1"/>
    </row>
    <row r="13" spans="1:26" ht="18" customHeight="1">
      <c r="A13" s="84"/>
      <c r="B13" s="1"/>
      <c r="C13" s="2" t="s">
        <v>89</v>
      </c>
      <c r="D13" s="4" t="s">
        <v>90</v>
      </c>
      <c r="E13" s="15"/>
      <c r="F13" s="1"/>
      <c r="G13" s="1"/>
      <c r="H13" s="1"/>
      <c r="I13" s="1"/>
      <c r="J13" s="1"/>
      <c r="K13" s="1"/>
      <c r="L13" s="1"/>
      <c r="M13" s="1"/>
      <c r="N13" s="1"/>
      <c r="O13" s="1"/>
      <c r="P13" s="1"/>
      <c r="Q13" s="1"/>
      <c r="R13" s="1"/>
      <c r="S13" s="1"/>
      <c r="T13" s="1"/>
      <c r="U13" s="1"/>
      <c r="V13" s="1"/>
      <c r="W13" s="1"/>
      <c r="X13" s="1"/>
      <c r="Y13" s="1"/>
      <c r="Z13" s="1"/>
    </row>
    <row r="14" spans="1:26" ht="18" customHeight="1">
      <c r="A14" s="84"/>
      <c r="B14" s="1"/>
      <c r="C14" s="2" t="s">
        <v>91</v>
      </c>
      <c r="D14" s="4" t="s">
        <v>92</v>
      </c>
      <c r="E14" s="87"/>
      <c r="F14" s="1"/>
      <c r="G14" s="1"/>
      <c r="H14" s="1"/>
      <c r="I14" s="1"/>
      <c r="J14" s="1"/>
      <c r="K14" s="1"/>
      <c r="L14" s="1"/>
      <c r="M14" s="1"/>
      <c r="N14" s="1"/>
      <c r="O14" s="1"/>
      <c r="P14" s="1"/>
      <c r="Q14" s="1"/>
      <c r="R14" s="1"/>
      <c r="S14" s="1"/>
      <c r="T14" s="1"/>
      <c r="U14" s="1"/>
      <c r="V14" s="1"/>
      <c r="W14" s="1"/>
      <c r="X14" s="1"/>
      <c r="Y14" s="1"/>
      <c r="Z14" s="1"/>
    </row>
    <row r="15" spans="1:26" ht="9.75" customHeight="1">
      <c r="A15" s="84"/>
      <c r="B15" s="2"/>
      <c r="C15" s="15"/>
      <c r="D15" s="87"/>
      <c r="E15" s="87"/>
      <c r="F15" s="1"/>
      <c r="G15" s="1"/>
      <c r="H15" s="1"/>
      <c r="I15" s="1"/>
      <c r="J15" s="1"/>
      <c r="K15" s="1"/>
      <c r="L15" s="1"/>
      <c r="M15" s="1"/>
      <c r="N15" s="1"/>
      <c r="O15" s="1"/>
      <c r="P15" s="1"/>
      <c r="Q15" s="1"/>
      <c r="R15" s="1"/>
      <c r="S15" s="1"/>
      <c r="T15" s="1"/>
      <c r="U15" s="1"/>
      <c r="V15" s="1"/>
      <c r="W15" s="1"/>
      <c r="X15" s="1"/>
      <c r="Y15" s="1"/>
      <c r="Z15" s="1"/>
    </row>
    <row r="16" spans="1:26" ht="18" customHeight="1">
      <c r="A16" s="1" t="s">
        <v>93</v>
      </c>
      <c r="B16" s="130" t="s">
        <v>94</v>
      </c>
      <c r="C16" s="120"/>
      <c r="D16" s="120"/>
      <c r="E16" s="121"/>
      <c r="F16" s="1"/>
      <c r="G16" s="1"/>
      <c r="H16" s="1"/>
      <c r="I16" s="1"/>
      <c r="J16" s="1"/>
      <c r="K16" s="1"/>
      <c r="L16" s="1"/>
      <c r="M16" s="1"/>
      <c r="N16" s="1"/>
      <c r="O16" s="1"/>
      <c r="P16" s="1"/>
      <c r="Q16" s="1"/>
      <c r="R16" s="1"/>
      <c r="S16" s="1"/>
      <c r="T16" s="1"/>
      <c r="U16" s="1"/>
      <c r="V16" s="1"/>
      <c r="W16" s="1"/>
      <c r="X16" s="1"/>
      <c r="Y16" s="1"/>
      <c r="Z16" s="1"/>
    </row>
    <row r="17" spans="1:26" ht="18" customHeight="1">
      <c r="A17" s="84"/>
      <c r="B17" s="1"/>
      <c r="C17" s="2" t="s">
        <v>95</v>
      </c>
      <c r="D17" s="4" t="s">
        <v>96</v>
      </c>
      <c r="E17" s="15"/>
      <c r="F17" s="1"/>
      <c r="G17" s="1"/>
      <c r="H17" s="1"/>
      <c r="I17" s="1"/>
      <c r="J17" s="1"/>
      <c r="K17" s="1"/>
      <c r="L17" s="1"/>
      <c r="M17" s="1"/>
      <c r="N17" s="1"/>
      <c r="O17" s="1"/>
      <c r="P17" s="1"/>
      <c r="Q17" s="1"/>
      <c r="R17" s="1"/>
      <c r="S17" s="1"/>
      <c r="T17" s="1"/>
      <c r="U17" s="1"/>
      <c r="V17" s="1"/>
      <c r="W17" s="1"/>
      <c r="X17" s="1"/>
      <c r="Y17" s="1"/>
      <c r="Z17" s="1"/>
    </row>
    <row r="18" spans="1:26" ht="9" customHeight="1">
      <c r="A18" s="84"/>
      <c r="B18" s="9"/>
      <c r="C18" s="9"/>
      <c r="D18" s="9"/>
      <c r="E18" s="9"/>
      <c r="F18" s="1"/>
      <c r="G18" s="1"/>
      <c r="H18" s="1"/>
      <c r="I18" s="1"/>
      <c r="J18" s="1"/>
      <c r="K18" s="1"/>
      <c r="L18" s="1"/>
      <c r="M18" s="1"/>
      <c r="N18" s="1"/>
      <c r="O18" s="1"/>
      <c r="P18" s="1"/>
      <c r="Q18" s="1"/>
      <c r="R18" s="1"/>
      <c r="S18" s="1"/>
      <c r="T18" s="1"/>
      <c r="U18" s="1"/>
      <c r="V18" s="1"/>
      <c r="W18" s="1"/>
      <c r="X18" s="1"/>
      <c r="Y18" s="1"/>
      <c r="Z18" s="1"/>
    </row>
    <row r="19" spans="1:26" ht="18.75" customHeight="1">
      <c r="A19" s="1" t="s">
        <v>97</v>
      </c>
      <c r="B19" s="125" t="s">
        <v>98</v>
      </c>
      <c r="C19" s="120"/>
      <c r="D19" s="120"/>
      <c r="E19" s="121"/>
      <c r="F19" s="1"/>
      <c r="G19" s="1"/>
      <c r="H19" s="1"/>
      <c r="I19" s="1"/>
      <c r="J19" s="1"/>
      <c r="K19" s="1"/>
      <c r="L19" s="1"/>
      <c r="M19" s="1"/>
      <c r="N19" s="1"/>
      <c r="O19" s="1"/>
      <c r="P19" s="1"/>
      <c r="Q19" s="1"/>
      <c r="R19" s="1"/>
      <c r="S19" s="1"/>
      <c r="T19" s="1"/>
      <c r="U19" s="1"/>
      <c r="V19" s="1"/>
      <c r="W19" s="1"/>
      <c r="X19" s="1"/>
      <c r="Y19" s="1"/>
      <c r="Z19" s="1"/>
    </row>
    <row r="20" spans="1:26" ht="18.75" customHeight="1">
      <c r="A20" s="1"/>
      <c r="B20" s="1"/>
      <c r="C20" s="2" t="s">
        <v>95</v>
      </c>
      <c r="D20" s="4" t="s">
        <v>99</v>
      </c>
      <c r="E20" s="15"/>
      <c r="F20" s="1"/>
      <c r="G20" s="1"/>
      <c r="H20" s="1"/>
      <c r="I20" s="1"/>
      <c r="J20" s="1"/>
      <c r="K20" s="1"/>
      <c r="L20" s="1"/>
      <c r="M20" s="1"/>
      <c r="N20" s="1"/>
      <c r="O20" s="1"/>
      <c r="P20" s="1"/>
      <c r="Q20" s="1"/>
      <c r="R20" s="1"/>
      <c r="S20" s="1"/>
      <c r="T20" s="1"/>
      <c r="U20" s="1"/>
      <c r="V20" s="1"/>
      <c r="W20" s="1"/>
      <c r="X20" s="1"/>
      <c r="Y20" s="1"/>
      <c r="Z20" s="1"/>
    </row>
    <row r="21" spans="1:26" ht="7.5" customHeight="1">
      <c r="A21" s="84"/>
      <c r="B21" s="9"/>
      <c r="C21" s="9"/>
      <c r="D21" s="9"/>
      <c r="E21" s="9"/>
      <c r="F21" s="1"/>
      <c r="G21" s="1"/>
      <c r="H21" s="1"/>
      <c r="I21" s="1"/>
      <c r="J21" s="1"/>
      <c r="K21" s="1"/>
      <c r="L21" s="1"/>
      <c r="M21" s="1"/>
      <c r="N21" s="1"/>
      <c r="O21" s="1"/>
      <c r="P21" s="1"/>
      <c r="Q21" s="1"/>
      <c r="R21" s="1"/>
      <c r="S21" s="1"/>
      <c r="T21" s="1"/>
      <c r="U21" s="1"/>
      <c r="V21" s="1"/>
      <c r="W21" s="1"/>
      <c r="X21" s="1"/>
      <c r="Y21" s="1"/>
      <c r="Z21" s="1"/>
    </row>
    <row r="22" spans="1:26" ht="18.75" customHeight="1">
      <c r="A22" s="1" t="s">
        <v>100</v>
      </c>
      <c r="B22" s="125" t="s">
        <v>101</v>
      </c>
      <c r="C22" s="120"/>
      <c r="D22" s="120"/>
      <c r="E22" s="121"/>
      <c r="F22" s="1"/>
      <c r="G22" s="1"/>
      <c r="H22" s="1"/>
      <c r="I22" s="1"/>
      <c r="J22" s="1"/>
      <c r="K22" s="1"/>
      <c r="L22" s="1"/>
      <c r="M22" s="1"/>
      <c r="N22" s="1"/>
      <c r="O22" s="1"/>
      <c r="P22" s="1"/>
      <c r="Q22" s="1"/>
      <c r="R22" s="1"/>
      <c r="S22" s="1"/>
      <c r="T22" s="1"/>
      <c r="U22" s="1"/>
      <c r="V22" s="1"/>
      <c r="W22" s="1"/>
      <c r="X22" s="1"/>
      <c r="Y22" s="1"/>
      <c r="Z22" s="1"/>
    </row>
    <row r="23" spans="1:26" ht="180" customHeight="1">
      <c r="A23" s="89"/>
      <c r="B23" s="13"/>
      <c r="C23" s="161" t="s">
        <v>160</v>
      </c>
      <c r="D23" s="162"/>
      <c r="E23" s="146"/>
      <c r="F23" s="1"/>
      <c r="G23" s="1"/>
      <c r="H23" s="1"/>
      <c r="I23" s="1"/>
      <c r="J23" s="1"/>
      <c r="K23" s="1"/>
      <c r="L23" s="1"/>
      <c r="M23" s="1"/>
      <c r="N23" s="1"/>
      <c r="O23" s="1"/>
      <c r="P23" s="1"/>
      <c r="Q23" s="1"/>
      <c r="R23" s="1"/>
      <c r="S23" s="1"/>
      <c r="T23" s="1"/>
      <c r="U23" s="1"/>
      <c r="V23" s="1"/>
      <c r="W23" s="1"/>
      <c r="X23" s="1"/>
      <c r="Y23" s="1"/>
      <c r="Z23" s="1"/>
    </row>
    <row r="24" spans="1:26" ht="7.5" customHeight="1">
      <c r="A24" s="89"/>
      <c r="B24" s="89"/>
      <c r="C24" s="89"/>
      <c r="D24" s="89"/>
      <c r="E24" s="89"/>
      <c r="F24" s="1"/>
      <c r="G24" s="1"/>
      <c r="H24" s="1"/>
      <c r="I24" s="1"/>
      <c r="J24" s="1"/>
      <c r="K24" s="1"/>
      <c r="L24" s="1"/>
      <c r="M24" s="1"/>
      <c r="N24" s="1"/>
      <c r="O24" s="1"/>
      <c r="P24" s="1"/>
      <c r="Q24" s="1"/>
      <c r="R24" s="1"/>
      <c r="S24" s="1"/>
      <c r="T24" s="1"/>
      <c r="U24" s="1"/>
      <c r="V24" s="1"/>
      <c r="W24" s="1"/>
      <c r="X24" s="1"/>
      <c r="Y24" s="1"/>
      <c r="Z24" s="1"/>
    </row>
    <row r="25" spans="1:26" ht="18.75" customHeight="1">
      <c r="A25" s="16" t="s">
        <v>102</v>
      </c>
      <c r="B25" s="166" t="s">
        <v>103</v>
      </c>
      <c r="C25" s="164"/>
      <c r="D25" s="164"/>
      <c r="E25" s="165"/>
      <c r="F25" s="1"/>
      <c r="G25" s="1"/>
      <c r="H25" s="1"/>
      <c r="I25" s="1"/>
      <c r="J25" s="1"/>
      <c r="K25" s="1"/>
      <c r="L25" s="1"/>
      <c r="M25" s="1"/>
      <c r="N25" s="1"/>
      <c r="O25" s="1"/>
      <c r="P25" s="1"/>
      <c r="Q25" s="1"/>
      <c r="R25" s="1"/>
      <c r="S25" s="1"/>
      <c r="T25" s="1"/>
      <c r="U25" s="1"/>
      <c r="V25" s="1"/>
      <c r="W25" s="1"/>
      <c r="X25" s="1"/>
      <c r="Y25" s="1"/>
      <c r="Z25" s="1"/>
    </row>
    <row r="26" spans="1:26" ht="180" customHeight="1">
      <c r="A26" s="89"/>
      <c r="B26" s="117"/>
      <c r="C26" s="161" t="s">
        <v>104</v>
      </c>
      <c r="D26" s="162"/>
      <c r="E26" s="146"/>
      <c r="F26" s="1"/>
      <c r="G26" s="1"/>
      <c r="H26" s="1"/>
      <c r="I26" s="1"/>
      <c r="J26" s="1"/>
      <c r="K26" s="1"/>
      <c r="L26" s="1"/>
      <c r="M26" s="1"/>
      <c r="N26" s="1"/>
      <c r="O26" s="1"/>
      <c r="P26" s="1"/>
      <c r="Q26" s="1"/>
      <c r="R26" s="1"/>
      <c r="S26" s="1"/>
      <c r="T26" s="1"/>
      <c r="U26" s="1"/>
      <c r="V26" s="1"/>
      <c r="W26" s="1"/>
      <c r="X26" s="1"/>
      <c r="Y26" s="1"/>
      <c r="Z26" s="1"/>
    </row>
    <row r="27" spans="1:26" ht="7.5" customHeight="1">
      <c r="A27" s="90"/>
      <c r="B27" s="90"/>
      <c r="C27" s="90"/>
      <c r="D27" s="90"/>
      <c r="E27" s="90"/>
      <c r="F27" s="1"/>
      <c r="G27" s="1"/>
      <c r="H27" s="1"/>
      <c r="I27" s="1"/>
      <c r="J27" s="1"/>
      <c r="K27" s="1"/>
      <c r="L27" s="1"/>
      <c r="M27" s="1"/>
      <c r="N27" s="1"/>
      <c r="O27" s="1"/>
      <c r="P27" s="1"/>
      <c r="Q27" s="1"/>
      <c r="R27" s="1"/>
      <c r="S27" s="1"/>
      <c r="T27" s="1"/>
      <c r="U27" s="1"/>
      <c r="V27" s="1"/>
      <c r="W27" s="1"/>
      <c r="X27" s="1"/>
      <c r="Y27" s="1"/>
      <c r="Z27" s="1"/>
    </row>
    <row r="28" spans="1:26" ht="18.75" customHeight="1">
      <c r="A28" s="1" t="s">
        <v>105</v>
      </c>
      <c r="B28" s="125" t="s">
        <v>106</v>
      </c>
      <c r="C28" s="120"/>
      <c r="D28" s="120"/>
      <c r="E28" s="121"/>
      <c r="F28" s="1"/>
      <c r="G28" s="1"/>
      <c r="H28" s="1"/>
      <c r="I28" s="1"/>
      <c r="J28" s="1"/>
      <c r="K28" s="1"/>
      <c r="L28" s="1"/>
      <c r="M28" s="1"/>
      <c r="N28" s="1"/>
      <c r="O28" s="1"/>
      <c r="P28" s="1"/>
      <c r="Q28" s="1"/>
      <c r="R28" s="1"/>
      <c r="S28" s="1"/>
      <c r="T28" s="1"/>
      <c r="U28" s="1"/>
      <c r="V28" s="1"/>
      <c r="W28" s="1"/>
      <c r="X28" s="1"/>
      <c r="Y28" s="1"/>
      <c r="Z28" s="1"/>
    </row>
    <row r="29" spans="1:26" ht="18.75" customHeight="1">
      <c r="A29" s="9"/>
      <c r="B29" s="53"/>
      <c r="C29" s="65" t="s">
        <v>168</v>
      </c>
      <c r="D29" s="91">
        <f>IFERROR('様式２ 履修者等数の実績'!T13, "（様式２より自動転記）")</f>
        <v>7.6923076923076927E-3</v>
      </c>
      <c r="E29" s="92"/>
      <c r="F29" s="1"/>
      <c r="G29" s="9"/>
      <c r="H29" s="9"/>
      <c r="I29" s="1"/>
      <c r="J29" s="93"/>
      <c r="K29" s="9"/>
      <c r="L29" s="9"/>
      <c r="M29" s="9"/>
      <c r="N29" s="9"/>
      <c r="O29" s="9"/>
      <c r="P29" s="9"/>
      <c r="Q29" s="9"/>
      <c r="R29" s="9"/>
      <c r="S29" s="9"/>
      <c r="T29" s="9"/>
      <c r="U29" s="9"/>
      <c r="V29" s="9"/>
      <c r="W29" s="9"/>
      <c r="X29" s="9"/>
      <c r="Y29" s="9"/>
      <c r="Z29" s="9"/>
    </row>
    <row r="30" spans="1:26" ht="18.75" customHeight="1">
      <c r="A30" s="9"/>
      <c r="B30" s="53"/>
      <c r="C30" s="65" t="s">
        <v>107</v>
      </c>
      <c r="D30" s="91">
        <v>0.05</v>
      </c>
      <c r="E30" s="92"/>
      <c r="F30" s="1"/>
      <c r="G30" s="9"/>
      <c r="H30" s="9"/>
      <c r="I30" s="1"/>
      <c r="J30" s="93"/>
      <c r="K30" s="9"/>
      <c r="L30" s="9"/>
      <c r="M30" s="9"/>
      <c r="N30" s="9"/>
      <c r="O30" s="9"/>
      <c r="P30" s="9"/>
      <c r="Q30" s="9"/>
      <c r="R30" s="9"/>
      <c r="S30" s="9"/>
      <c r="T30" s="9"/>
      <c r="U30" s="9"/>
      <c r="V30" s="9"/>
      <c r="W30" s="9"/>
      <c r="X30" s="9"/>
      <c r="Y30" s="9"/>
      <c r="Z30" s="9"/>
    </row>
    <row r="31" spans="1:26" ht="18.75" customHeight="1">
      <c r="A31" s="9"/>
      <c r="B31" s="53"/>
      <c r="C31" s="65" t="s">
        <v>108</v>
      </c>
      <c r="D31" s="91">
        <v>0.3</v>
      </c>
      <c r="E31" s="92"/>
      <c r="F31" s="1"/>
      <c r="G31" s="9"/>
      <c r="H31" s="9"/>
      <c r="I31" s="1"/>
      <c r="J31" s="93"/>
      <c r="K31" s="9"/>
      <c r="L31" s="9"/>
      <c r="M31" s="9"/>
      <c r="N31" s="9"/>
      <c r="O31" s="9"/>
      <c r="P31" s="9"/>
      <c r="Q31" s="9"/>
      <c r="R31" s="9"/>
      <c r="S31" s="9"/>
      <c r="T31" s="9"/>
      <c r="U31" s="9"/>
      <c r="V31" s="9"/>
      <c r="W31" s="9"/>
      <c r="X31" s="9"/>
      <c r="Y31" s="9"/>
      <c r="Z31" s="9"/>
    </row>
    <row r="32" spans="1:26" ht="18.75" customHeight="1">
      <c r="A32" s="9"/>
      <c r="B32" s="53"/>
      <c r="C32" s="94" t="s">
        <v>109</v>
      </c>
      <c r="D32" s="91">
        <v>0.7</v>
      </c>
      <c r="E32" s="95"/>
      <c r="F32" s="1"/>
      <c r="G32" s="9"/>
      <c r="H32" s="9"/>
      <c r="I32" s="1"/>
      <c r="J32" s="93"/>
      <c r="K32" s="9"/>
      <c r="L32" s="9"/>
      <c r="M32" s="9"/>
      <c r="N32" s="9"/>
      <c r="O32" s="9"/>
      <c r="P32" s="9"/>
      <c r="Q32" s="9"/>
      <c r="R32" s="9"/>
      <c r="S32" s="9"/>
      <c r="T32" s="9"/>
      <c r="U32" s="9"/>
      <c r="V32" s="9"/>
      <c r="W32" s="9"/>
      <c r="X32" s="9"/>
      <c r="Y32" s="9"/>
      <c r="Z32" s="9"/>
    </row>
    <row r="33" spans="1:26" ht="18.75" customHeight="1">
      <c r="A33" s="9"/>
      <c r="B33" s="53"/>
      <c r="C33" s="94" t="s">
        <v>110</v>
      </c>
      <c r="D33" s="91">
        <v>1</v>
      </c>
      <c r="E33" s="95"/>
      <c r="F33" s="1"/>
      <c r="G33" s="9"/>
      <c r="H33" s="9"/>
      <c r="I33" s="1"/>
      <c r="J33" s="93"/>
      <c r="K33" s="9"/>
      <c r="L33" s="9"/>
      <c r="M33" s="9"/>
      <c r="N33" s="9"/>
      <c r="O33" s="9"/>
      <c r="P33" s="9"/>
      <c r="Q33" s="9"/>
      <c r="R33" s="9"/>
      <c r="S33" s="9"/>
      <c r="T33" s="9"/>
      <c r="U33" s="9"/>
      <c r="V33" s="9"/>
      <c r="W33" s="9"/>
      <c r="X33" s="9"/>
      <c r="Y33" s="9"/>
      <c r="Z33" s="9"/>
    </row>
    <row r="34" spans="1:26" ht="18.75" customHeight="1">
      <c r="A34" s="1"/>
      <c r="B34" s="167" t="s">
        <v>111</v>
      </c>
      <c r="C34" s="120"/>
      <c r="D34" s="120"/>
      <c r="E34" s="121"/>
      <c r="F34" s="1"/>
      <c r="G34" s="1"/>
      <c r="H34" s="1"/>
      <c r="I34" s="1"/>
      <c r="J34" s="93"/>
      <c r="K34" s="9"/>
      <c r="L34" s="1"/>
      <c r="M34" s="1"/>
      <c r="N34" s="1"/>
      <c r="O34" s="1"/>
      <c r="P34" s="1"/>
      <c r="Q34" s="1"/>
      <c r="R34" s="1"/>
      <c r="S34" s="1"/>
      <c r="T34" s="1"/>
      <c r="U34" s="1"/>
      <c r="V34" s="1"/>
      <c r="W34" s="1"/>
      <c r="X34" s="1"/>
      <c r="Y34" s="1"/>
      <c r="Z34" s="1"/>
    </row>
    <row r="35" spans="1:26" ht="277.5" customHeight="1">
      <c r="A35" s="1"/>
      <c r="B35" s="13"/>
      <c r="C35" s="161" t="s">
        <v>167</v>
      </c>
      <c r="D35" s="162"/>
      <c r="E35" s="146"/>
      <c r="F35" s="1"/>
      <c r="G35" s="1"/>
      <c r="H35" s="1"/>
      <c r="I35" s="1"/>
      <c r="J35" s="93"/>
      <c r="K35" s="9"/>
      <c r="L35" s="1"/>
      <c r="M35" s="1"/>
      <c r="N35" s="1"/>
      <c r="O35" s="1"/>
      <c r="P35" s="1"/>
      <c r="Q35" s="1"/>
      <c r="R35" s="1"/>
      <c r="S35" s="1"/>
      <c r="T35" s="1"/>
      <c r="U35" s="1"/>
      <c r="V35" s="1"/>
      <c r="W35" s="1"/>
      <c r="X35" s="1"/>
      <c r="Y35" s="1"/>
      <c r="Z35" s="1"/>
    </row>
    <row r="36" spans="1:26" ht="7.5" customHeight="1">
      <c r="A36" s="89"/>
      <c r="B36" s="89"/>
      <c r="C36" s="89"/>
      <c r="D36" s="89"/>
      <c r="E36" s="89"/>
      <c r="F36" s="1"/>
      <c r="G36" s="1"/>
      <c r="H36" s="1"/>
      <c r="I36" s="1"/>
      <c r="J36" s="1"/>
      <c r="K36" s="1"/>
      <c r="L36" s="1"/>
      <c r="M36" s="1"/>
      <c r="N36" s="1"/>
      <c r="O36" s="1"/>
      <c r="P36" s="1"/>
      <c r="Q36" s="1"/>
      <c r="R36" s="1"/>
      <c r="S36" s="1"/>
      <c r="T36" s="1"/>
      <c r="U36" s="1"/>
      <c r="V36" s="1"/>
      <c r="W36" s="1"/>
      <c r="X36" s="1"/>
      <c r="Y36" s="1"/>
      <c r="Z36" s="1"/>
    </row>
    <row r="37" spans="1:26" ht="18.75" customHeight="1">
      <c r="A37" s="16" t="s">
        <v>112</v>
      </c>
      <c r="B37" s="163" t="s">
        <v>113</v>
      </c>
      <c r="C37" s="164"/>
      <c r="D37" s="164"/>
      <c r="E37" s="165"/>
      <c r="F37" s="1"/>
      <c r="G37" s="1"/>
      <c r="H37" s="1"/>
      <c r="I37" s="1"/>
      <c r="J37" s="1"/>
      <c r="K37" s="1"/>
      <c r="L37" s="1"/>
      <c r="M37" s="1"/>
      <c r="N37" s="1"/>
      <c r="O37" s="1"/>
      <c r="P37" s="1"/>
      <c r="Q37" s="1"/>
      <c r="R37" s="1"/>
      <c r="S37" s="1"/>
      <c r="T37" s="1"/>
      <c r="U37" s="1"/>
      <c r="V37" s="1"/>
      <c r="W37" s="1"/>
      <c r="X37" s="1"/>
      <c r="Y37" s="1"/>
      <c r="Z37" s="1"/>
    </row>
    <row r="38" spans="1:26" ht="210.75" customHeight="1">
      <c r="A38" s="90"/>
      <c r="B38" s="117"/>
      <c r="C38" s="161" t="s">
        <v>148</v>
      </c>
      <c r="D38" s="162"/>
      <c r="E38" s="146"/>
      <c r="F38" s="1"/>
      <c r="G38" s="1"/>
      <c r="H38" s="1"/>
      <c r="I38" s="1"/>
      <c r="J38" s="1"/>
      <c r="K38" s="1"/>
      <c r="L38" s="1"/>
      <c r="M38" s="1"/>
      <c r="N38" s="1"/>
      <c r="O38" s="1"/>
      <c r="P38" s="1"/>
      <c r="Q38" s="1"/>
      <c r="R38" s="1"/>
      <c r="S38" s="1"/>
      <c r="T38" s="1"/>
      <c r="U38" s="1"/>
      <c r="V38" s="1"/>
      <c r="W38" s="1"/>
      <c r="X38" s="1"/>
      <c r="Y38" s="1"/>
      <c r="Z38" s="1"/>
    </row>
    <row r="39" spans="1:26" ht="7.5" customHeight="1">
      <c r="A39" s="90"/>
      <c r="B39" s="90"/>
      <c r="C39" s="90"/>
      <c r="D39" s="90"/>
      <c r="E39" s="90"/>
      <c r="F39" s="1"/>
      <c r="G39" s="1"/>
      <c r="H39" s="1"/>
      <c r="I39" s="1"/>
      <c r="J39" s="1"/>
      <c r="K39" s="1"/>
      <c r="L39" s="1"/>
      <c r="M39" s="1"/>
      <c r="N39" s="1"/>
      <c r="O39" s="1"/>
      <c r="P39" s="1"/>
      <c r="Q39" s="1"/>
      <c r="R39" s="1"/>
      <c r="S39" s="1"/>
      <c r="T39" s="1"/>
      <c r="U39" s="1"/>
      <c r="V39" s="1"/>
      <c r="W39" s="1"/>
      <c r="X39" s="1"/>
      <c r="Y39" s="1"/>
      <c r="Z39" s="1"/>
    </row>
    <row r="40" spans="1:26" ht="18.75" customHeight="1">
      <c r="A40" s="1" t="s">
        <v>114</v>
      </c>
      <c r="B40" s="163" t="s">
        <v>115</v>
      </c>
      <c r="C40" s="164"/>
      <c r="D40" s="164"/>
      <c r="E40" s="165"/>
      <c r="F40" s="1"/>
      <c r="G40" s="1"/>
      <c r="H40" s="1"/>
      <c r="I40" s="1"/>
      <c r="J40" s="1"/>
      <c r="K40" s="1"/>
      <c r="L40" s="1"/>
      <c r="M40" s="1"/>
      <c r="N40" s="1"/>
      <c r="O40" s="1"/>
      <c r="P40" s="1"/>
      <c r="Q40" s="1"/>
      <c r="R40" s="1"/>
      <c r="S40" s="1"/>
      <c r="T40" s="1"/>
      <c r="U40" s="1"/>
      <c r="V40" s="1"/>
      <c r="W40" s="1"/>
      <c r="X40" s="1"/>
      <c r="Y40" s="1"/>
      <c r="Z40" s="1"/>
    </row>
    <row r="41" spans="1:26" ht="213" customHeight="1">
      <c r="A41" s="1"/>
      <c r="B41" s="117"/>
      <c r="C41" s="161" t="s">
        <v>149</v>
      </c>
      <c r="D41" s="162"/>
      <c r="E41" s="146"/>
      <c r="F41" s="1"/>
      <c r="G41" s="1"/>
      <c r="H41" s="1"/>
      <c r="I41" s="1"/>
      <c r="J41" s="1"/>
      <c r="K41" s="1"/>
      <c r="L41" s="1"/>
      <c r="M41" s="1"/>
      <c r="N41" s="1"/>
      <c r="O41" s="1"/>
      <c r="P41" s="1"/>
      <c r="Q41" s="1"/>
      <c r="R41" s="1"/>
      <c r="S41" s="1"/>
      <c r="T41" s="1"/>
      <c r="U41" s="1"/>
      <c r="V41" s="1"/>
      <c r="W41" s="1"/>
      <c r="X41" s="1"/>
      <c r="Y41" s="1"/>
      <c r="Z41" s="1"/>
    </row>
    <row r="42" spans="1:26" ht="7.5" customHeight="1">
      <c r="A42" s="90"/>
      <c r="B42" s="90"/>
      <c r="C42" s="90"/>
      <c r="D42" s="90"/>
      <c r="E42" s="90"/>
      <c r="F42" s="1"/>
      <c r="G42" s="1"/>
      <c r="H42" s="1"/>
      <c r="I42" s="1"/>
      <c r="J42" s="1"/>
      <c r="K42" s="1"/>
      <c r="L42" s="1"/>
      <c r="M42" s="1"/>
      <c r="N42" s="1"/>
      <c r="O42" s="1"/>
      <c r="P42" s="1"/>
      <c r="Q42" s="1"/>
      <c r="R42" s="1"/>
      <c r="S42" s="1"/>
      <c r="T42" s="1"/>
      <c r="U42" s="1"/>
      <c r="V42" s="1"/>
      <c r="W42" s="1"/>
      <c r="X42" s="1"/>
      <c r="Y42" s="1"/>
      <c r="Z42" s="1"/>
    </row>
    <row r="43" spans="1:26" ht="18.75" customHeight="1">
      <c r="A43" s="1" t="s">
        <v>116</v>
      </c>
      <c r="B43" s="163" t="s">
        <v>117</v>
      </c>
      <c r="C43" s="164"/>
      <c r="D43" s="164"/>
      <c r="E43" s="165"/>
      <c r="F43" s="1"/>
      <c r="G43" s="1"/>
      <c r="H43" s="1"/>
      <c r="I43" s="1"/>
      <c r="J43" s="1"/>
      <c r="K43" s="1"/>
      <c r="L43" s="1"/>
      <c r="M43" s="1"/>
      <c r="N43" s="1"/>
      <c r="O43" s="1"/>
      <c r="P43" s="1"/>
      <c r="Q43" s="1"/>
      <c r="R43" s="1"/>
      <c r="S43" s="1"/>
      <c r="T43" s="1"/>
      <c r="U43" s="1"/>
      <c r="V43" s="1"/>
      <c r="W43" s="1"/>
      <c r="X43" s="1"/>
      <c r="Y43" s="1"/>
      <c r="Z43" s="1"/>
    </row>
    <row r="44" spans="1:26" ht="180" customHeight="1">
      <c r="A44" s="1"/>
      <c r="B44" s="117"/>
      <c r="C44" s="161" t="s">
        <v>146</v>
      </c>
      <c r="D44" s="162"/>
      <c r="E44" s="146"/>
      <c r="F44" s="1"/>
      <c r="G44" s="1"/>
      <c r="H44" s="1"/>
      <c r="I44" s="1"/>
      <c r="J44" s="1"/>
      <c r="K44" s="1"/>
      <c r="L44" s="1"/>
      <c r="M44" s="1"/>
      <c r="N44" s="1"/>
      <c r="O44" s="1"/>
      <c r="P44" s="1"/>
      <c r="Q44" s="1"/>
      <c r="R44" s="1"/>
      <c r="S44" s="1"/>
      <c r="T44" s="1"/>
      <c r="U44" s="1"/>
      <c r="V44" s="1"/>
      <c r="W44" s="1"/>
      <c r="X44" s="1"/>
      <c r="Y44" s="1"/>
      <c r="Z44" s="1"/>
    </row>
    <row r="45" spans="1:26" ht="7.5" customHeight="1">
      <c r="A45" s="90"/>
      <c r="B45" s="90"/>
      <c r="C45" s="90"/>
      <c r="D45" s="90"/>
      <c r="E45" s="90"/>
      <c r="F45" s="1"/>
      <c r="G45" s="1"/>
      <c r="H45" s="1"/>
      <c r="I45" s="1"/>
      <c r="J45" s="1"/>
      <c r="K45" s="1"/>
      <c r="L45" s="1"/>
      <c r="M45" s="1"/>
      <c r="N45" s="1"/>
      <c r="O45" s="1"/>
      <c r="P45" s="1"/>
      <c r="Q45" s="1"/>
      <c r="R45" s="1"/>
      <c r="S45" s="1"/>
      <c r="T45" s="1"/>
      <c r="U45" s="1"/>
      <c r="V45" s="1"/>
      <c r="W45" s="1"/>
      <c r="X45" s="1"/>
      <c r="Y45" s="1"/>
      <c r="Z45" s="1"/>
    </row>
    <row r="46" spans="1:26" ht="18.75" customHeight="1">
      <c r="A46" s="1" t="s">
        <v>118</v>
      </c>
      <c r="B46" s="125" t="s">
        <v>119</v>
      </c>
      <c r="C46" s="120"/>
      <c r="D46" s="120"/>
      <c r="E46" s="121"/>
      <c r="F46" s="1"/>
      <c r="G46" s="1"/>
      <c r="H46" s="1"/>
      <c r="I46" s="1"/>
      <c r="J46" s="1"/>
      <c r="K46" s="1"/>
      <c r="L46" s="1"/>
      <c r="M46" s="1"/>
      <c r="N46" s="1"/>
      <c r="O46" s="1"/>
      <c r="P46" s="1"/>
      <c r="Q46" s="1"/>
      <c r="R46" s="1"/>
      <c r="S46" s="1"/>
      <c r="T46" s="1"/>
      <c r="U46" s="1"/>
      <c r="V46" s="1"/>
      <c r="W46" s="1"/>
      <c r="X46" s="1"/>
      <c r="Y46" s="1"/>
      <c r="Z46" s="1"/>
    </row>
    <row r="47" spans="1:26" ht="180" customHeight="1">
      <c r="A47" s="90"/>
      <c r="B47" s="13"/>
      <c r="C47" s="161" t="s">
        <v>147</v>
      </c>
      <c r="D47" s="162"/>
      <c r="E47" s="146"/>
      <c r="F47" s="1"/>
      <c r="G47" s="1"/>
      <c r="H47" s="1"/>
      <c r="I47" s="1"/>
      <c r="J47" s="1"/>
      <c r="K47" s="1"/>
      <c r="L47" s="1"/>
      <c r="M47" s="1"/>
      <c r="N47" s="1"/>
      <c r="O47" s="1"/>
      <c r="P47" s="1"/>
      <c r="Q47" s="1"/>
      <c r="R47" s="1"/>
      <c r="S47" s="1"/>
      <c r="T47" s="1"/>
      <c r="U47" s="1"/>
      <c r="V47" s="1"/>
      <c r="W47" s="1"/>
      <c r="X47" s="1"/>
      <c r="Y47" s="1"/>
      <c r="Z47" s="1"/>
    </row>
    <row r="48" spans="1:26" ht="7.5" customHeight="1">
      <c r="A48" s="90"/>
      <c r="B48" s="96"/>
      <c r="C48" s="96"/>
      <c r="D48" s="96"/>
      <c r="E48" s="96"/>
      <c r="F48" s="1"/>
      <c r="G48" s="1"/>
      <c r="H48" s="1"/>
      <c r="I48" s="1"/>
      <c r="J48" s="1"/>
      <c r="K48" s="1"/>
      <c r="L48" s="1"/>
      <c r="M48" s="1"/>
      <c r="N48" s="1"/>
      <c r="O48" s="1"/>
      <c r="P48" s="1"/>
      <c r="Q48" s="1"/>
      <c r="R48" s="1"/>
      <c r="S48" s="1"/>
      <c r="T48" s="1"/>
      <c r="U48" s="1"/>
      <c r="V48" s="1"/>
      <c r="W48" s="1"/>
      <c r="X48" s="1"/>
      <c r="Y48" s="1"/>
      <c r="Z48" s="1"/>
    </row>
    <row r="49" spans="1:26" ht="18.75" customHeight="1">
      <c r="A49" s="1"/>
      <c r="B49" s="168"/>
      <c r="C49" s="169"/>
      <c r="D49" s="169"/>
      <c r="E49" s="170"/>
      <c r="F49" s="1"/>
      <c r="G49" s="1"/>
      <c r="H49" s="1"/>
      <c r="I49" s="1"/>
      <c r="J49" s="1"/>
      <c r="K49" s="1"/>
      <c r="L49" s="1"/>
      <c r="M49" s="1"/>
      <c r="N49" s="1"/>
      <c r="O49" s="1"/>
      <c r="P49" s="1"/>
      <c r="Q49" s="1"/>
      <c r="R49" s="1"/>
      <c r="S49" s="1"/>
      <c r="T49" s="1"/>
      <c r="U49" s="1"/>
      <c r="V49" s="1"/>
      <c r="W49" s="1"/>
      <c r="X49" s="1"/>
      <c r="Y49" s="1"/>
      <c r="Z49" s="1"/>
    </row>
    <row r="50" spans="1:26" ht="18.75" customHeight="1">
      <c r="A50" s="1"/>
      <c r="B50" s="171"/>
      <c r="C50" s="172"/>
      <c r="D50" s="172"/>
      <c r="E50" s="173"/>
      <c r="F50" s="1"/>
      <c r="G50" s="1"/>
      <c r="H50" s="1"/>
      <c r="I50" s="1"/>
      <c r="J50" s="1"/>
      <c r="K50" s="1"/>
      <c r="L50" s="1"/>
      <c r="M50" s="1"/>
      <c r="N50" s="1"/>
      <c r="O50" s="1"/>
      <c r="P50" s="1"/>
      <c r="Q50" s="1"/>
      <c r="R50" s="1"/>
      <c r="S50" s="1"/>
      <c r="T50" s="1"/>
      <c r="U50" s="1"/>
      <c r="V50" s="1"/>
      <c r="W50" s="1"/>
      <c r="X50" s="1"/>
      <c r="Y50" s="1"/>
      <c r="Z50" s="1"/>
    </row>
    <row r="51" spans="1:26" ht="18.75" customHeight="1">
      <c r="A51" s="90"/>
      <c r="B51" s="13"/>
      <c r="C51" s="13"/>
      <c r="D51" s="13"/>
      <c r="E51" s="13"/>
      <c r="F51" s="1"/>
      <c r="G51" s="1"/>
      <c r="H51" s="1"/>
      <c r="I51" s="1"/>
      <c r="J51" s="1"/>
      <c r="K51" s="1"/>
      <c r="L51" s="1"/>
      <c r="M51" s="1"/>
      <c r="N51" s="1"/>
      <c r="O51" s="1"/>
      <c r="P51" s="1"/>
      <c r="Q51" s="1"/>
      <c r="R51" s="1"/>
      <c r="S51" s="1"/>
      <c r="T51" s="1"/>
      <c r="U51" s="1"/>
      <c r="V51" s="1"/>
      <c r="W51" s="1"/>
      <c r="X51" s="1"/>
      <c r="Y51" s="1"/>
      <c r="Z51" s="1"/>
    </row>
    <row r="52" spans="1:26" ht="18.75" customHeight="1">
      <c r="A52" s="90"/>
      <c r="B52" s="13"/>
      <c r="C52" s="13"/>
      <c r="D52" s="13"/>
      <c r="E52" s="13"/>
      <c r="F52" s="1"/>
      <c r="G52" s="1"/>
      <c r="H52" s="1"/>
      <c r="I52" s="1"/>
      <c r="J52" s="1"/>
      <c r="K52" s="1"/>
      <c r="L52" s="1"/>
      <c r="M52" s="1"/>
      <c r="N52" s="1"/>
      <c r="O52" s="1"/>
      <c r="P52" s="1"/>
      <c r="Q52" s="1"/>
      <c r="R52" s="1"/>
      <c r="S52" s="1"/>
      <c r="T52" s="1"/>
      <c r="U52" s="1"/>
      <c r="V52" s="1"/>
      <c r="W52" s="1"/>
      <c r="X52" s="1"/>
      <c r="Y52" s="1"/>
      <c r="Z52" s="1"/>
    </row>
    <row r="53" spans="1:26" ht="18.75" customHeight="1">
      <c r="A53" s="90"/>
      <c r="B53" s="13"/>
      <c r="C53" s="13"/>
      <c r="D53" s="13"/>
      <c r="E53" s="13"/>
      <c r="F53" s="1"/>
      <c r="G53" s="1"/>
      <c r="H53" s="1"/>
      <c r="I53" s="1"/>
      <c r="J53" s="1"/>
      <c r="K53" s="1"/>
      <c r="L53" s="1"/>
      <c r="M53" s="1"/>
      <c r="N53" s="1"/>
      <c r="O53" s="1"/>
      <c r="P53" s="1"/>
      <c r="Q53" s="1"/>
      <c r="R53" s="1"/>
      <c r="S53" s="1"/>
      <c r="T53" s="1"/>
      <c r="U53" s="1"/>
      <c r="V53" s="1"/>
      <c r="W53" s="1"/>
      <c r="X53" s="1"/>
      <c r="Y53" s="1"/>
      <c r="Z53" s="1"/>
    </row>
    <row r="54" spans="1:26" ht="18.75" customHeight="1">
      <c r="A54" s="90"/>
      <c r="B54" s="13"/>
      <c r="C54" s="13"/>
      <c r="D54" s="13"/>
      <c r="E54" s="13"/>
      <c r="F54" s="1"/>
      <c r="G54" s="1"/>
      <c r="H54" s="1"/>
      <c r="I54" s="1"/>
      <c r="J54" s="1"/>
      <c r="K54" s="1"/>
      <c r="L54" s="1"/>
      <c r="M54" s="1"/>
      <c r="N54" s="1"/>
      <c r="O54" s="1"/>
      <c r="P54" s="1"/>
      <c r="Q54" s="1"/>
      <c r="R54" s="1"/>
      <c r="S54" s="1"/>
      <c r="T54" s="1"/>
      <c r="U54" s="1"/>
      <c r="V54" s="1"/>
      <c r="W54" s="1"/>
      <c r="X54" s="1"/>
      <c r="Y54" s="1"/>
      <c r="Z54" s="1"/>
    </row>
    <row r="55" spans="1:26" ht="18.75" customHeight="1">
      <c r="A55" s="90"/>
      <c r="B55" s="13"/>
      <c r="C55" s="13"/>
      <c r="D55" s="13"/>
      <c r="E55" s="13"/>
      <c r="F55" s="1"/>
      <c r="G55" s="1"/>
      <c r="H55" s="1"/>
      <c r="I55" s="1"/>
      <c r="J55" s="1"/>
      <c r="K55" s="1"/>
      <c r="L55" s="1"/>
      <c r="M55" s="1"/>
      <c r="N55" s="1"/>
      <c r="O55" s="1"/>
      <c r="P55" s="1"/>
      <c r="Q55" s="1"/>
      <c r="R55" s="1"/>
      <c r="S55" s="1"/>
      <c r="T55" s="1"/>
      <c r="U55" s="1"/>
      <c r="V55" s="1"/>
      <c r="W55" s="1"/>
      <c r="X55" s="1"/>
      <c r="Y55" s="1"/>
      <c r="Z55" s="1"/>
    </row>
    <row r="56" spans="1:26" ht="18.75" customHeight="1">
      <c r="A56" s="90"/>
      <c r="B56" s="13"/>
      <c r="C56" s="13"/>
      <c r="D56" s="13"/>
      <c r="E56" s="13"/>
      <c r="F56" s="1"/>
      <c r="G56" s="1"/>
      <c r="H56" s="1"/>
      <c r="I56" s="1"/>
      <c r="J56" s="1"/>
      <c r="K56" s="1"/>
      <c r="L56" s="1"/>
      <c r="M56" s="1"/>
      <c r="N56" s="1"/>
      <c r="O56" s="1"/>
      <c r="P56" s="1"/>
      <c r="Q56" s="1"/>
      <c r="R56" s="1"/>
      <c r="S56" s="1"/>
      <c r="T56" s="1"/>
      <c r="U56" s="1"/>
      <c r="V56" s="1"/>
      <c r="W56" s="1"/>
      <c r="X56" s="1"/>
      <c r="Y56" s="1"/>
      <c r="Z56" s="1"/>
    </row>
    <row r="57" spans="1:26" ht="18.75" customHeight="1">
      <c r="A57" s="90"/>
      <c r="B57" s="13"/>
      <c r="C57" s="13"/>
      <c r="D57" s="13"/>
      <c r="E57" s="13"/>
      <c r="F57" s="1"/>
      <c r="G57" s="1"/>
      <c r="H57" s="1"/>
      <c r="I57" s="1"/>
      <c r="J57" s="1"/>
      <c r="K57" s="1"/>
      <c r="L57" s="1"/>
      <c r="M57" s="1"/>
      <c r="N57" s="1"/>
      <c r="O57" s="1"/>
      <c r="P57" s="1"/>
      <c r="Q57" s="1"/>
      <c r="R57" s="1"/>
      <c r="S57" s="1"/>
      <c r="T57" s="1"/>
      <c r="U57" s="1"/>
      <c r="V57" s="1"/>
      <c r="W57" s="1"/>
      <c r="X57" s="1"/>
      <c r="Y57" s="1"/>
      <c r="Z57" s="1"/>
    </row>
    <row r="58" spans="1:26" ht="18.75" customHeight="1">
      <c r="A58" s="90"/>
      <c r="B58" s="13"/>
      <c r="C58" s="13"/>
      <c r="D58" s="13"/>
      <c r="E58" s="13"/>
      <c r="F58" s="1"/>
      <c r="G58" s="1"/>
      <c r="H58" s="1"/>
      <c r="I58" s="1"/>
      <c r="J58" s="1"/>
      <c r="K58" s="1"/>
      <c r="L58" s="1"/>
      <c r="M58" s="1"/>
      <c r="N58" s="1"/>
      <c r="O58" s="1"/>
      <c r="P58" s="1"/>
      <c r="Q58" s="1"/>
      <c r="R58" s="1"/>
      <c r="S58" s="1"/>
      <c r="T58" s="1"/>
      <c r="U58" s="1"/>
      <c r="V58" s="1"/>
      <c r="W58" s="1"/>
      <c r="X58" s="1"/>
      <c r="Y58" s="1"/>
      <c r="Z58" s="1"/>
    </row>
    <row r="59" spans="1:26" ht="18.75" customHeight="1">
      <c r="A59" s="90"/>
      <c r="B59" s="13"/>
      <c r="C59" s="13"/>
      <c r="D59" s="13"/>
      <c r="E59" s="13"/>
      <c r="F59" s="1"/>
      <c r="G59" s="1"/>
      <c r="H59" s="1"/>
      <c r="I59" s="1"/>
      <c r="J59" s="1"/>
      <c r="K59" s="1"/>
      <c r="L59" s="1"/>
      <c r="M59" s="1"/>
      <c r="N59" s="1"/>
      <c r="O59" s="1"/>
      <c r="P59" s="1"/>
      <c r="Q59" s="1"/>
      <c r="R59" s="1"/>
      <c r="S59" s="1"/>
      <c r="T59" s="1"/>
      <c r="U59" s="1"/>
      <c r="V59" s="1"/>
      <c r="W59" s="1"/>
      <c r="X59" s="1"/>
      <c r="Y59" s="1"/>
      <c r="Z59" s="1"/>
    </row>
    <row r="60" spans="1:26" ht="18.75" customHeight="1">
      <c r="A60" s="90"/>
      <c r="B60" s="13"/>
      <c r="C60" s="13"/>
      <c r="D60" s="13"/>
      <c r="E60" s="13"/>
      <c r="F60" s="1"/>
      <c r="G60" s="1"/>
      <c r="H60" s="1"/>
      <c r="I60" s="1"/>
      <c r="J60" s="1"/>
      <c r="K60" s="1"/>
      <c r="L60" s="1"/>
      <c r="M60" s="1"/>
      <c r="N60" s="1"/>
      <c r="O60" s="1"/>
      <c r="P60" s="1"/>
      <c r="Q60" s="1"/>
      <c r="R60" s="1"/>
      <c r="S60" s="1"/>
      <c r="T60" s="1"/>
      <c r="U60" s="1"/>
      <c r="V60" s="1"/>
      <c r="W60" s="1"/>
      <c r="X60" s="1"/>
      <c r="Y60" s="1"/>
      <c r="Z60" s="1"/>
    </row>
    <row r="61" spans="1:26" ht="18.75" customHeight="1">
      <c r="A61" s="90"/>
      <c r="B61" s="13"/>
      <c r="C61" s="13"/>
      <c r="D61" s="13"/>
      <c r="E61" s="13"/>
      <c r="F61" s="1"/>
      <c r="G61" s="1"/>
      <c r="H61" s="1"/>
      <c r="I61" s="1"/>
      <c r="J61" s="1"/>
      <c r="K61" s="1"/>
      <c r="L61" s="1"/>
      <c r="M61" s="1"/>
      <c r="N61" s="1"/>
      <c r="O61" s="1"/>
      <c r="P61" s="1"/>
      <c r="Q61" s="1"/>
      <c r="R61" s="1"/>
      <c r="S61" s="1"/>
      <c r="T61" s="1"/>
      <c r="U61" s="1"/>
      <c r="V61" s="1"/>
      <c r="W61" s="1"/>
      <c r="X61" s="1"/>
      <c r="Y61" s="1"/>
      <c r="Z61" s="1"/>
    </row>
    <row r="62" spans="1:26" ht="7.5" customHeight="1">
      <c r="A62" s="90"/>
      <c r="B62" s="13"/>
      <c r="C62" s="13"/>
      <c r="D62" s="13"/>
      <c r="E62" s="13"/>
      <c r="F62" s="1"/>
      <c r="G62" s="1"/>
      <c r="H62" s="1"/>
      <c r="I62" s="1"/>
      <c r="J62" s="1"/>
      <c r="K62" s="1"/>
      <c r="L62" s="1"/>
      <c r="M62" s="1"/>
      <c r="N62" s="1"/>
      <c r="O62" s="1"/>
      <c r="P62" s="1"/>
      <c r="Q62" s="1"/>
      <c r="R62" s="1"/>
      <c r="S62" s="1"/>
      <c r="T62" s="1"/>
      <c r="U62" s="1"/>
      <c r="V62" s="1"/>
      <c r="W62" s="1"/>
      <c r="X62" s="1"/>
      <c r="Y62" s="1"/>
      <c r="Z62" s="1"/>
    </row>
    <row r="63" spans="1:26" ht="18.75" customHeight="1">
      <c r="A63" s="84"/>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84"/>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84"/>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84"/>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84"/>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84"/>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84"/>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84"/>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84"/>
      <c r="B71" s="1"/>
      <c r="C71" s="1"/>
      <c r="D71" s="1"/>
      <c r="E71" s="1"/>
      <c r="F71" s="1"/>
      <c r="G71" s="1"/>
      <c r="H71" s="1"/>
      <c r="I71" s="1"/>
      <c r="J71" s="1"/>
      <c r="K71" s="1"/>
      <c r="L71" s="1"/>
      <c r="M71" s="1"/>
      <c r="N71" s="1"/>
      <c r="O71" s="1"/>
      <c r="P71" s="1"/>
      <c r="Q71" s="1"/>
      <c r="R71" s="1"/>
      <c r="S71" s="1"/>
      <c r="T71" s="1"/>
      <c r="U71" s="1"/>
      <c r="V71" s="1"/>
      <c r="W71" s="1"/>
      <c r="X71" s="1"/>
      <c r="Y71" s="1"/>
      <c r="Z71" s="1"/>
    </row>
  </sheetData>
  <mergeCells count="22">
    <mergeCell ref="B43:E43"/>
    <mergeCell ref="C44:E44"/>
    <mergeCell ref="B46:E46"/>
    <mergeCell ref="C47:E47"/>
    <mergeCell ref="B49:E50"/>
    <mergeCell ref="B19:E19"/>
    <mergeCell ref="B22:E22"/>
    <mergeCell ref="C38:E38"/>
    <mergeCell ref="B40:E40"/>
    <mergeCell ref="C41:E41"/>
    <mergeCell ref="C23:E23"/>
    <mergeCell ref="B25:E25"/>
    <mergeCell ref="C26:E26"/>
    <mergeCell ref="B28:E28"/>
    <mergeCell ref="B34:E34"/>
    <mergeCell ref="C35:E35"/>
    <mergeCell ref="B37:E37"/>
    <mergeCell ref="A3:E3"/>
    <mergeCell ref="B5:E5"/>
    <mergeCell ref="B9:E9"/>
    <mergeCell ref="B12:E12"/>
    <mergeCell ref="B16:E16"/>
  </mergeCells>
  <phoneticPr fontId="15"/>
  <dataValidations count="1">
    <dataValidation type="decimal" allowBlank="1" showErrorMessage="1" sqref="C6:C7 C10" xr:uid="{00000000-0002-0000-0200-000000000000}">
      <formula1>0</formula1>
      <formula2>99999</formula2>
    </dataValidation>
  </dataValidations>
  <printOptions horizontalCentered="1"/>
  <pageMargins left="0.19685039370078741" right="0.19685039370078741" top="0.59055118110236227" bottom="0" header="0" footer="0"/>
  <pageSetup paperSize="9" fitToHeight="0" orientation="portrait" r:id="rId1"/>
  <rowBreaks count="2" manualBreakCount="2">
    <brk id="27" max="5" man="1"/>
    <brk id="39"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22"/>
  <sheetViews>
    <sheetView view="pageBreakPreview" zoomScale="95" zoomScaleNormal="70" zoomScaleSheetLayoutView="95" workbookViewId="0">
      <selection activeCell="D15" sqref="D15"/>
    </sheetView>
  </sheetViews>
  <sheetFormatPr defaultColWidth="14.42578125" defaultRowHeight="15" customHeight="1"/>
  <cols>
    <col min="1" max="1" width="5.85546875" customWidth="1"/>
    <col min="2" max="2" width="7.28515625" customWidth="1"/>
    <col min="3" max="3" width="31.140625" customWidth="1"/>
    <col min="4" max="4" width="83.85546875" customWidth="1"/>
    <col min="5" max="5" width="7.5703125" customWidth="1"/>
    <col min="6" max="26" width="11.42578125" customWidth="1"/>
  </cols>
  <sheetData>
    <row r="1" spans="1:26" ht="18.75" customHeight="1">
      <c r="A1" s="1" t="s">
        <v>120</v>
      </c>
      <c r="B1" s="1"/>
      <c r="C1" s="1"/>
      <c r="D1" s="1"/>
      <c r="E1" s="2" t="s">
        <v>121</v>
      </c>
      <c r="F1" s="1"/>
      <c r="G1" s="1"/>
      <c r="H1" s="1"/>
      <c r="I1" s="1"/>
      <c r="J1" s="1"/>
      <c r="K1" s="1"/>
      <c r="L1" s="1"/>
      <c r="M1" s="1"/>
      <c r="N1" s="1"/>
      <c r="O1" s="1"/>
      <c r="P1" s="1"/>
      <c r="Q1" s="1"/>
      <c r="R1" s="1"/>
      <c r="S1" s="1"/>
      <c r="T1" s="1"/>
      <c r="U1" s="1"/>
      <c r="V1" s="1"/>
      <c r="W1" s="1"/>
      <c r="X1" s="1"/>
      <c r="Y1" s="1"/>
      <c r="Z1" s="1"/>
    </row>
    <row r="2" spans="1:26" ht="18.75" customHeight="1">
      <c r="A2" s="149" t="s">
        <v>122</v>
      </c>
      <c r="B2" s="120"/>
      <c r="C2" s="120"/>
      <c r="D2" s="120"/>
      <c r="E2" s="121"/>
      <c r="F2" s="1"/>
      <c r="G2" s="1"/>
      <c r="H2" s="1"/>
      <c r="I2" s="1"/>
      <c r="J2" s="1"/>
      <c r="K2" s="1"/>
      <c r="L2" s="1"/>
      <c r="M2" s="1"/>
      <c r="N2" s="1"/>
      <c r="O2" s="1"/>
      <c r="P2" s="1"/>
      <c r="Q2" s="1"/>
      <c r="R2" s="1"/>
      <c r="S2" s="1"/>
      <c r="T2" s="1"/>
      <c r="U2" s="1"/>
      <c r="V2" s="1"/>
      <c r="W2" s="1"/>
      <c r="X2" s="1"/>
      <c r="Y2" s="1"/>
      <c r="Z2" s="1"/>
    </row>
    <row r="3" spans="1:26" ht="18.75" customHeight="1">
      <c r="A3" s="7"/>
      <c r="B3" s="7"/>
      <c r="C3" s="7"/>
      <c r="D3" s="7"/>
      <c r="E3" s="1"/>
      <c r="F3" s="1"/>
      <c r="G3" s="1"/>
      <c r="H3" s="1"/>
      <c r="I3" s="1"/>
      <c r="J3" s="1"/>
      <c r="K3" s="1"/>
      <c r="L3" s="1"/>
      <c r="M3" s="1"/>
      <c r="N3" s="1"/>
      <c r="O3" s="1"/>
      <c r="P3" s="1"/>
      <c r="Q3" s="1"/>
      <c r="R3" s="1"/>
      <c r="S3" s="1"/>
      <c r="T3" s="1"/>
      <c r="U3" s="1"/>
      <c r="V3" s="1"/>
      <c r="W3" s="1"/>
      <c r="X3" s="1"/>
      <c r="Y3" s="1"/>
      <c r="Z3" s="1"/>
    </row>
    <row r="4" spans="1:26" ht="18.75" customHeight="1">
      <c r="A4" s="9" t="s">
        <v>80</v>
      </c>
      <c r="B4" s="178" t="s">
        <v>123</v>
      </c>
      <c r="C4" s="121"/>
      <c r="D4" s="97" t="s">
        <v>124</v>
      </c>
      <c r="E4" s="1"/>
      <c r="F4" s="1"/>
      <c r="G4" s="1"/>
      <c r="H4" s="1"/>
      <c r="I4" s="1"/>
      <c r="J4" s="1"/>
      <c r="K4" s="1"/>
      <c r="L4" s="1"/>
      <c r="M4" s="1"/>
      <c r="N4" s="1"/>
      <c r="O4" s="1"/>
      <c r="P4" s="1"/>
      <c r="Q4" s="1"/>
      <c r="R4" s="1"/>
      <c r="S4" s="1"/>
      <c r="T4" s="1"/>
      <c r="U4" s="1"/>
      <c r="V4" s="1"/>
      <c r="W4" s="1"/>
      <c r="X4" s="1"/>
      <c r="Y4" s="1"/>
      <c r="Z4" s="1"/>
    </row>
    <row r="5" spans="1:26" ht="9" customHeight="1">
      <c r="A5" s="7"/>
      <c r="B5" s="15"/>
      <c r="C5" s="15"/>
      <c r="D5" s="15"/>
      <c r="E5" s="1"/>
      <c r="F5" s="1"/>
      <c r="G5" s="1"/>
      <c r="H5" s="1"/>
      <c r="I5" s="1"/>
      <c r="J5" s="1"/>
      <c r="K5" s="1"/>
      <c r="L5" s="1"/>
      <c r="M5" s="1"/>
      <c r="N5" s="1"/>
      <c r="O5" s="1"/>
      <c r="P5" s="1"/>
      <c r="Q5" s="1"/>
      <c r="R5" s="1"/>
      <c r="S5" s="1"/>
      <c r="T5" s="1"/>
      <c r="U5" s="1"/>
      <c r="V5" s="1"/>
      <c r="W5" s="1"/>
      <c r="X5" s="1"/>
      <c r="Y5" s="1"/>
      <c r="Z5" s="1"/>
    </row>
    <row r="6" spans="1:26" ht="18.75" customHeight="1">
      <c r="A6" s="179" t="s">
        <v>89</v>
      </c>
      <c r="B6" s="180"/>
      <c r="C6" s="4" t="s">
        <v>125</v>
      </c>
      <c r="D6" s="1"/>
      <c r="E6" s="1"/>
      <c r="F6" s="1"/>
      <c r="G6" s="1"/>
      <c r="H6" s="1"/>
      <c r="I6" s="1"/>
      <c r="J6" s="1"/>
      <c r="K6" s="1"/>
      <c r="L6" s="1"/>
      <c r="M6" s="1"/>
      <c r="N6" s="1"/>
      <c r="O6" s="1"/>
      <c r="P6" s="1"/>
      <c r="Q6" s="1"/>
      <c r="R6" s="1"/>
      <c r="S6" s="1"/>
      <c r="T6" s="1"/>
      <c r="U6" s="1"/>
      <c r="V6" s="1"/>
      <c r="W6" s="1"/>
      <c r="X6" s="1"/>
      <c r="Y6" s="1"/>
      <c r="Z6" s="1"/>
    </row>
    <row r="7" spans="1:26" ht="18.75" customHeight="1">
      <c r="A7" s="179" t="s">
        <v>91</v>
      </c>
      <c r="B7" s="180"/>
      <c r="C7" s="4" t="s">
        <v>126</v>
      </c>
      <c r="D7" s="15"/>
      <c r="E7" s="1"/>
      <c r="F7" s="1"/>
      <c r="G7" s="1"/>
      <c r="H7" s="1"/>
      <c r="I7" s="1"/>
      <c r="J7" s="1"/>
      <c r="K7" s="1"/>
      <c r="L7" s="1"/>
      <c r="M7" s="1"/>
      <c r="N7" s="1"/>
      <c r="O7" s="1"/>
      <c r="P7" s="1"/>
      <c r="Q7" s="1"/>
      <c r="R7" s="1"/>
      <c r="S7" s="1"/>
      <c r="T7" s="1"/>
      <c r="U7" s="1"/>
      <c r="V7" s="1"/>
      <c r="W7" s="1"/>
      <c r="X7" s="1"/>
      <c r="Y7" s="1"/>
      <c r="Z7" s="1"/>
    </row>
    <row r="8" spans="1:26" ht="7.5" customHeight="1">
      <c r="A8" s="7"/>
      <c r="B8" s="7"/>
      <c r="C8" s="7"/>
      <c r="D8" s="7"/>
      <c r="E8" s="1"/>
      <c r="F8" s="1"/>
      <c r="G8" s="1"/>
      <c r="H8" s="1"/>
      <c r="I8" s="1"/>
      <c r="J8" s="1"/>
      <c r="K8" s="1"/>
      <c r="L8" s="1"/>
      <c r="M8" s="1"/>
      <c r="N8" s="1"/>
      <c r="O8" s="1"/>
      <c r="P8" s="1"/>
      <c r="Q8" s="1"/>
      <c r="R8" s="1"/>
      <c r="S8" s="1"/>
      <c r="T8" s="1"/>
      <c r="U8" s="1"/>
      <c r="V8" s="1"/>
      <c r="W8" s="1"/>
      <c r="X8" s="1"/>
      <c r="Y8" s="1"/>
      <c r="Z8" s="1"/>
    </row>
    <row r="9" spans="1:26" ht="18.75" customHeight="1">
      <c r="A9" s="9" t="s">
        <v>85</v>
      </c>
      <c r="B9" s="1" t="s">
        <v>127</v>
      </c>
      <c r="C9" s="90"/>
      <c r="D9" s="90"/>
      <c r="E9" s="1"/>
      <c r="F9" s="1"/>
      <c r="G9" s="1"/>
      <c r="H9" s="1"/>
      <c r="I9" s="1"/>
      <c r="J9" s="1"/>
      <c r="K9" s="1"/>
      <c r="L9" s="1"/>
      <c r="M9" s="1"/>
      <c r="N9" s="1"/>
      <c r="O9" s="1"/>
      <c r="P9" s="1"/>
      <c r="Q9" s="1"/>
      <c r="R9" s="1"/>
      <c r="S9" s="1"/>
      <c r="T9" s="1"/>
      <c r="U9" s="1"/>
      <c r="V9" s="1"/>
      <c r="W9" s="1"/>
      <c r="X9" s="1"/>
      <c r="Y9" s="1"/>
      <c r="Z9" s="1"/>
    </row>
    <row r="10" spans="1:26" ht="18.75" customHeight="1">
      <c r="A10" s="1"/>
      <c r="B10" s="122" t="s">
        <v>128</v>
      </c>
      <c r="C10" s="123"/>
      <c r="D10" s="98" t="s">
        <v>129</v>
      </c>
      <c r="E10" s="1"/>
      <c r="F10" s="1"/>
      <c r="G10" s="1"/>
      <c r="H10" s="1"/>
      <c r="I10" s="1"/>
      <c r="J10" s="1"/>
      <c r="K10" s="1"/>
      <c r="L10" s="1"/>
      <c r="M10" s="1"/>
      <c r="N10" s="1"/>
      <c r="O10" s="1"/>
      <c r="P10" s="1"/>
      <c r="Q10" s="1"/>
      <c r="R10" s="1"/>
      <c r="S10" s="1"/>
      <c r="T10" s="1"/>
      <c r="U10" s="1"/>
      <c r="V10" s="1"/>
      <c r="W10" s="1"/>
      <c r="X10" s="1"/>
      <c r="Y10" s="1"/>
      <c r="Z10" s="1"/>
    </row>
    <row r="11" spans="1:26" ht="18.75" customHeight="1">
      <c r="A11" s="1"/>
      <c r="B11" s="174" t="s">
        <v>130</v>
      </c>
      <c r="C11" s="133"/>
      <c r="D11" s="134"/>
      <c r="E11" s="1"/>
      <c r="F11" s="1"/>
      <c r="G11" s="1"/>
      <c r="H11" s="1"/>
      <c r="I11" s="1"/>
      <c r="J11" s="1"/>
      <c r="K11" s="1"/>
      <c r="L11" s="1"/>
      <c r="M11" s="1"/>
      <c r="N11" s="1"/>
      <c r="O11" s="1"/>
      <c r="P11" s="1"/>
      <c r="Q11" s="1"/>
      <c r="R11" s="1"/>
      <c r="S11" s="1"/>
      <c r="T11" s="1"/>
      <c r="U11" s="1"/>
      <c r="V11" s="1"/>
      <c r="W11" s="1"/>
      <c r="X11" s="1"/>
      <c r="Y11" s="1"/>
      <c r="Z11" s="1"/>
    </row>
    <row r="12" spans="1:26" ht="409.5" customHeight="1">
      <c r="A12" s="1"/>
      <c r="B12" s="99"/>
      <c r="C12" s="100" t="s">
        <v>131</v>
      </c>
      <c r="D12" s="101" t="s">
        <v>161</v>
      </c>
      <c r="E12" s="1"/>
      <c r="F12" s="1"/>
      <c r="G12" s="1"/>
      <c r="H12" s="1"/>
      <c r="I12" s="1"/>
      <c r="J12" s="1"/>
      <c r="K12" s="1"/>
      <c r="L12" s="1"/>
      <c r="M12" s="1"/>
      <c r="N12" s="1"/>
      <c r="O12" s="1"/>
      <c r="P12" s="1"/>
      <c r="Q12" s="1"/>
      <c r="R12" s="1"/>
      <c r="S12" s="1"/>
      <c r="T12" s="1"/>
      <c r="U12" s="1"/>
      <c r="V12" s="1"/>
      <c r="W12" s="1"/>
      <c r="X12" s="1"/>
      <c r="Y12" s="1"/>
      <c r="Z12" s="1"/>
    </row>
    <row r="13" spans="1:26" ht="384" customHeight="1">
      <c r="A13" s="1"/>
      <c r="B13" s="102"/>
      <c r="C13" s="113" t="s">
        <v>132</v>
      </c>
      <c r="D13" s="104" t="s">
        <v>156</v>
      </c>
      <c r="E13" s="1"/>
      <c r="F13" s="1"/>
      <c r="G13" s="1"/>
      <c r="H13" s="1"/>
      <c r="I13" s="1"/>
      <c r="J13" s="1"/>
      <c r="K13" s="1"/>
      <c r="L13" s="1"/>
      <c r="M13" s="1"/>
      <c r="N13" s="1"/>
      <c r="O13" s="1"/>
      <c r="P13" s="1"/>
      <c r="Q13" s="1"/>
      <c r="R13" s="1"/>
      <c r="S13" s="1"/>
      <c r="T13" s="1"/>
      <c r="U13" s="1"/>
      <c r="V13" s="1"/>
      <c r="W13" s="1"/>
      <c r="X13" s="1"/>
      <c r="Y13" s="1"/>
      <c r="Z13" s="1"/>
    </row>
    <row r="14" spans="1:26" ht="409.5" customHeight="1">
      <c r="A14" s="1"/>
      <c r="B14" s="114"/>
      <c r="C14" s="115" t="s">
        <v>133</v>
      </c>
      <c r="D14" s="116" t="s">
        <v>150</v>
      </c>
      <c r="E14" s="1"/>
      <c r="F14" s="1"/>
      <c r="G14" s="1"/>
      <c r="H14" s="1"/>
      <c r="I14" s="1"/>
      <c r="J14" s="1"/>
      <c r="K14" s="1"/>
      <c r="L14" s="1"/>
      <c r="M14" s="1"/>
      <c r="N14" s="1"/>
      <c r="O14" s="1"/>
      <c r="P14" s="1"/>
      <c r="Q14" s="1"/>
      <c r="R14" s="1"/>
      <c r="S14" s="1"/>
      <c r="T14" s="1"/>
      <c r="U14" s="1"/>
      <c r="V14" s="1"/>
      <c r="W14" s="1"/>
      <c r="X14" s="1"/>
      <c r="Y14" s="1"/>
      <c r="Z14" s="1"/>
    </row>
    <row r="15" spans="1:26" ht="139.5" customHeight="1">
      <c r="A15" s="1"/>
      <c r="B15" s="99"/>
      <c r="C15" s="100" t="s">
        <v>134</v>
      </c>
      <c r="D15" s="101" t="s">
        <v>151</v>
      </c>
      <c r="E15" s="1"/>
      <c r="F15" s="1"/>
      <c r="G15" s="1"/>
      <c r="H15" s="1"/>
      <c r="I15" s="1"/>
      <c r="J15" s="1"/>
      <c r="K15" s="1"/>
      <c r="L15" s="1"/>
      <c r="M15" s="1"/>
      <c r="N15" s="1"/>
      <c r="O15" s="1"/>
      <c r="P15" s="1"/>
      <c r="Q15" s="1"/>
      <c r="R15" s="1"/>
      <c r="S15" s="1"/>
      <c r="T15" s="1"/>
      <c r="U15" s="1"/>
      <c r="V15" s="1"/>
      <c r="W15" s="1"/>
      <c r="X15" s="1"/>
      <c r="Y15" s="1"/>
      <c r="Z15" s="1"/>
    </row>
    <row r="16" spans="1:26" ht="198" customHeight="1">
      <c r="A16" s="1"/>
      <c r="B16" s="102"/>
      <c r="C16" s="103" t="s">
        <v>135</v>
      </c>
      <c r="D16" s="104" t="s">
        <v>152</v>
      </c>
      <c r="E16" s="1"/>
      <c r="F16" s="1"/>
      <c r="G16" s="1"/>
      <c r="H16" s="1"/>
      <c r="I16" s="1"/>
      <c r="J16" s="1"/>
      <c r="K16" s="1"/>
      <c r="L16" s="1"/>
      <c r="M16" s="1"/>
      <c r="N16" s="1"/>
      <c r="O16" s="1"/>
      <c r="P16" s="1"/>
      <c r="Q16" s="1"/>
      <c r="R16" s="1"/>
      <c r="S16" s="1"/>
      <c r="T16" s="1"/>
      <c r="U16" s="1"/>
      <c r="V16" s="1"/>
      <c r="W16" s="1"/>
      <c r="X16" s="1"/>
      <c r="Y16" s="1"/>
      <c r="Z16" s="1"/>
    </row>
    <row r="17" spans="1:26" ht="18.75" customHeight="1">
      <c r="A17" s="1"/>
      <c r="B17" s="105" t="s">
        <v>136</v>
      </c>
      <c r="C17" s="106"/>
      <c r="D17" s="107"/>
      <c r="E17" s="1"/>
      <c r="F17" s="1"/>
      <c r="G17" s="1"/>
      <c r="H17" s="1"/>
      <c r="I17" s="1"/>
      <c r="J17" s="1"/>
      <c r="K17" s="1"/>
      <c r="L17" s="1"/>
      <c r="M17" s="1"/>
      <c r="N17" s="1"/>
      <c r="O17" s="1"/>
      <c r="P17" s="1"/>
      <c r="Q17" s="1"/>
      <c r="R17" s="1"/>
      <c r="S17" s="1"/>
      <c r="T17" s="1"/>
      <c r="U17" s="1"/>
      <c r="V17" s="1"/>
      <c r="W17" s="1"/>
      <c r="X17" s="1"/>
      <c r="Y17" s="1"/>
      <c r="Z17" s="1"/>
    </row>
    <row r="18" spans="1:26" ht="198" customHeight="1">
      <c r="A18" s="1"/>
      <c r="B18" s="99"/>
      <c r="C18" s="100" t="s">
        <v>137</v>
      </c>
      <c r="D18" s="101" t="s">
        <v>153</v>
      </c>
      <c r="E18" s="1"/>
      <c r="F18" s="1"/>
      <c r="G18" s="1"/>
      <c r="H18" s="1"/>
      <c r="I18" s="1"/>
      <c r="J18" s="1"/>
      <c r="K18" s="1"/>
      <c r="L18" s="1"/>
      <c r="M18" s="1"/>
      <c r="N18" s="1"/>
      <c r="O18" s="1"/>
      <c r="P18" s="1"/>
      <c r="Q18" s="1"/>
      <c r="R18" s="1"/>
      <c r="S18" s="1"/>
      <c r="T18" s="1"/>
      <c r="U18" s="1"/>
      <c r="V18" s="1"/>
      <c r="W18" s="1"/>
      <c r="X18" s="1"/>
      <c r="Y18" s="1"/>
      <c r="Z18" s="1"/>
    </row>
    <row r="19" spans="1:26" ht="198" customHeight="1">
      <c r="A19" s="1"/>
      <c r="B19" s="102"/>
      <c r="C19" s="103" t="s">
        <v>138</v>
      </c>
      <c r="D19" s="104" t="s">
        <v>139</v>
      </c>
      <c r="E19" s="1"/>
      <c r="F19" s="1"/>
      <c r="G19" s="1"/>
      <c r="H19" s="1"/>
      <c r="I19" s="1"/>
      <c r="J19" s="1"/>
      <c r="K19" s="1"/>
      <c r="L19" s="1"/>
      <c r="M19" s="1"/>
      <c r="N19" s="1"/>
      <c r="O19" s="1"/>
      <c r="P19" s="1"/>
      <c r="Q19" s="1"/>
      <c r="R19" s="1"/>
      <c r="S19" s="1"/>
      <c r="T19" s="1"/>
      <c r="U19" s="1"/>
      <c r="V19" s="1"/>
      <c r="W19" s="1"/>
      <c r="X19" s="1"/>
      <c r="Y19" s="1"/>
      <c r="Z19" s="1"/>
    </row>
    <row r="20" spans="1:26" ht="198" customHeight="1">
      <c r="A20" s="1"/>
      <c r="B20" s="175" t="s">
        <v>140</v>
      </c>
      <c r="C20" s="176"/>
      <c r="D20" s="112" t="s">
        <v>154</v>
      </c>
      <c r="E20" s="1"/>
      <c r="F20" s="1"/>
      <c r="G20" s="1"/>
      <c r="H20" s="1"/>
      <c r="I20" s="1"/>
      <c r="J20" s="1"/>
      <c r="K20" s="1"/>
      <c r="L20" s="1"/>
      <c r="M20" s="1"/>
      <c r="N20" s="1"/>
      <c r="O20" s="1"/>
      <c r="P20" s="1"/>
      <c r="Q20" s="1"/>
      <c r="R20" s="1"/>
      <c r="S20" s="1"/>
      <c r="T20" s="1"/>
      <c r="U20" s="1"/>
      <c r="V20" s="1"/>
      <c r="W20" s="1"/>
      <c r="X20" s="1"/>
      <c r="Y20" s="1"/>
      <c r="Z20" s="1"/>
    </row>
    <row r="21" spans="1:26" ht="300" customHeight="1">
      <c r="A21" s="1"/>
      <c r="B21" s="177" t="s">
        <v>141</v>
      </c>
      <c r="C21" s="165"/>
      <c r="D21" s="108" t="s">
        <v>155</v>
      </c>
      <c r="E21" s="1"/>
      <c r="F21" s="1"/>
      <c r="G21" s="1"/>
      <c r="H21" s="1"/>
      <c r="I21" s="1"/>
      <c r="J21" s="1"/>
      <c r="K21" s="1"/>
      <c r="L21" s="1"/>
      <c r="M21" s="1"/>
      <c r="N21" s="1"/>
      <c r="O21" s="1"/>
      <c r="P21" s="1"/>
      <c r="Q21" s="1"/>
      <c r="R21" s="1"/>
      <c r="S21" s="1"/>
      <c r="T21" s="1"/>
      <c r="U21" s="1"/>
      <c r="V21" s="1"/>
      <c r="W21" s="1"/>
      <c r="X21" s="1"/>
      <c r="Y21" s="1"/>
      <c r="Z21" s="1"/>
    </row>
    <row r="22" spans="1:26" ht="22.5" customHeight="1">
      <c r="A22" s="1"/>
      <c r="B22" s="90"/>
      <c r="C22" s="90"/>
      <c r="D22" s="90"/>
      <c r="E22" s="1"/>
      <c r="F22" s="1"/>
      <c r="G22" s="1"/>
      <c r="H22" s="1"/>
      <c r="I22" s="1"/>
      <c r="J22" s="1"/>
      <c r="K22" s="1"/>
      <c r="L22" s="1"/>
      <c r="M22" s="1"/>
      <c r="N22" s="1"/>
      <c r="O22" s="1"/>
      <c r="P22" s="1"/>
      <c r="Q22" s="1"/>
      <c r="R22" s="1"/>
      <c r="S22" s="1"/>
      <c r="T22" s="1"/>
      <c r="U22" s="1"/>
      <c r="V22" s="1"/>
      <c r="W22" s="1"/>
      <c r="X22" s="1"/>
      <c r="Y22" s="1"/>
      <c r="Z22" s="1"/>
    </row>
  </sheetData>
  <mergeCells count="8">
    <mergeCell ref="B11:D11"/>
    <mergeCell ref="B20:C20"/>
    <mergeCell ref="B21:C21"/>
    <mergeCell ref="A2:E2"/>
    <mergeCell ref="B4:C4"/>
    <mergeCell ref="A6:B6"/>
    <mergeCell ref="A7:B7"/>
    <mergeCell ref="B10:C10"/>
  </mergeCells>
  <phoneticPr fontId="15"/>
  <printOptions horizontalCentered="1"/>
  <pageMargins left="0.19685039370078741" right="0.19685039370078741" top="0.59055118110236227" bottom="0" header="0" footer="0"/>
  <pageSetup paperSize="9"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様式１　構成する授業科目</vt:lpstr>
      <vt:lpstr>様式２ 履修者等数の実績</vt:lpstr>
      <vt:lpstr>様式３ 教育の質・履修者数を向上させる体制・計画</vt:lpstr>
      <vt:lpstr>様式４　自己点検・評価</vt:lpstr>
      <vt:lpstr>'様式２ 履修者等数の実績'!Print_Area</vt:lpstr>
      <vt:lpstr>'様式３ 教育の質・履修者数を向上させる体制・計画'!Print_Area</vt:lpstr>
      <vt:lpstr>'様式４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ナカムラフミノリ</dc:creator>
  <cp:lastModifiedBy>スズキテルカズ</cp:lastModifiedBy>
  <cp:lastPrinted>2026-02-03T05:40:10Z</cp:lastPrinted>
  <dcterms:created xsi:type="dcterms:W3CDTF">2025-10-09T06:43:13Z</dcterms:created>
  <dcterms:modified xsi:type="dcterms:W3CDTF">2026-02-03T05:40:23Z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