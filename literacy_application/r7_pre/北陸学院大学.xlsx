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defaultThemeVersion="124226"/>
  <xr:revisionPtr revIDLastSave="0" documentId="13_ncr:1_{23F966B1-CE7F-473D-8144-676DFDCBB40D}" xr6:coauthVersionLast="47" xr6:coauthVersionMax="47" xr10:uidLastSave="{00000000-0000-0000-0000-000000000000}"/>
  <bookViews>
    <workbookView xWindow="735" yWindow="780" windowWidth="28065" windowHeight="16305"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<sst xmlns="http://schemas.openxmlformats.org/spreadsheetml/2006/main" count="213" uniqueCount="178">
  <si>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</si>
  <si>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</si>
  <si>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</si>
  <si>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</si>
  <si>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</si>
  <si>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</si>
  <si>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</si>
  <si>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</si>
  <si>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</si>
  <si>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</si>
  <si>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</si>
  <si>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</si>
  <si>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</si>
  <si>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</si>
  <si>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</si>
  <si>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</si>
  <si>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</si>
  <si>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</si>
  <si>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</si>
  <si>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</si>
  <si>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</si>
  <si>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</si>
  <si>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</si>
  <si>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</si>
  <si>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</si>
  <si>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</si>
  <si>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</si>
  <si>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</si>
  <si>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</si>
  <si>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</si>
  <si>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</si>
  <si>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</si>
  <si>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</si>
  <si>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</si>
  <si>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</si>
  <si>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</si>
  <si>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</si>
  <si>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</si>
  <si>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</si>
  <si>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</si>
  <si>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</si>
  <si>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</si>
  <si>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</si>
  <si>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</si>
  <si>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</si>
  <si>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</si>
  <si>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</si>
  <si>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</si>
  <si>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</si>
  <si>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</si>
  <si>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</si>
  <si>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</si>
  <si>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</si>
  <si>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</si>
  <si>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</si>
  <si>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</si>
  <si>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</si>
  <si>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</si>
  <si>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</si>
  <si>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</si>
  <si>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</si>
  <si>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</si>
  <si>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</si>
  <si>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</si>
  <si>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</si>
  <si>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</si>
  <si>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</si>
  <si>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</si>
  <si>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</si>
  <si>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</si>
  <si>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</si>
  <si>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</si>
  <si>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</si>
  <si>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</si>
  <si>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</si>
  <si>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</si>
  <si>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</si>
  <si>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</si>
  <si>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</si>
  <si>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</si>
  <si>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</si>
  <si>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</si>
  <si>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</si>
  <si>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</si>
  <si>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</si>
  <si>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</si>
  <si>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</si>
  <si>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</si>
  <si>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</si>
  <si>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</si>
  <si>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</si>
  <si>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</si>
  <si>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</si>
  <si>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</si>
  <si>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</si>
  <si>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</si>
  <si>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</si>
  <si>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</si>
  <si>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</si>
  <si>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</si>
  <si>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</si>
  <si>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</si>
  <si>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</si>
  <si>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</si>
  <si>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</si>
  <si>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</si>
  <si>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</si>
  <si>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</si>
  <si>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</si>
  <si>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</si>
  <si>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</si>
  <si>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</si>
  <si>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</si>
  <si>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</si>
  <si>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</si>
  <si>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</si>
  <si>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</si>
  <si>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</si>
  <si>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</si>
  <si>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</si>
  <si>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</si>
  <si>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</si>
  <si>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</si>
  <si>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</si>
  <si>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</si>
  <si>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</si>
  <si>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</si>
  <si>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</si>
  <si>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</si>
  <si>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北陸学院大学</t>
    <rPh sb="0" eb="6">
      <t>ホクリクガクインダイガク</t>
    </rPh>
    <phoneticPr fontId="1"/>
  </si>
  <si>
    <t>北陸学院大学ＡＩリテラシープログラム</t>
    <rPh sb="0" eb="6">
      <t>ホクリクガクインダイガク</t>
    </rPh>
    <phoneticPr fontId="1"/>
  </si>
  <si>
    <t>学部・学科によって、修了要件は相違しない</t>
  </si>
  <si>
    <t>教育学部幼児教育学科、教育学部初等中等教育学科、社会学部社会学科、健康科学部栄養学科</t>
    <phoneticPr fontId="1"/>
  </si>
  <si>
    <t>令和６年度以前又は令和７年度より、履修することが必須のプログラムとして実施</t>
  </si>
  <si>
    <t>「データサイエンス入門」の２単位を取得すること。</t>
    <phoneticPr fontId="1"/>
  </si>
  <si>
    <t>データサイエンス入門</t>
    <rPh sb="8" eb="10">
      <t>ニュウモン</t>
    </rPh>
    <phoneticPr fontId="1"/>
  </si>
  <si>
    <t>○</t>
  </si>
  <si>
    <t>○</t>
    <phoneticPr fontId="1"/>
  </si>
  <si>
    <t>令和5</t>
    <rPh sb="0" eb="2">
      <t>レイワ</t>
    </rPh>
    <phoneticPr fontId="1"/>
  </si>
  <si>
    <t>教育学部幼児教育学科</t>
    <rPh sb="0" eb="2">
      <t>キョウイク</t>
    </rPh>
    <rPh sb="2" eb="4">
      <t>ガクブ</t>
    </rPh>
    <rPh sb="4" eb="10">
      <t>ヨウジキョウイクガッカ</t>
    </rPh>
    <phoneticPr fontId="1"/>
  </si>
  <si>
    <t>教育学部初等中等教育学科</t>
    <rPh sb="0" eb="2">
      <t>キョウイク</t>
    </rPh>
    <rPh sb="2" eb="4">
      <t>ガクブ</t>
    </rPh>
    <rPh sb="4" eb="12">
      <t>ショトウチュウトウキョウイクガッカ</t>
    </rPh>
    <phoneticPr fontId="1"/>
  </si>
  <si>
    <t>社会学部社会学科</t>
    <rPh sb="0" eb="2">
      <t>シャカイ</t>
    </rPh>
    <rPh sb="2" eb="4">
      <t>ガクブ</t>
    </rPh>
    <rPh sb="4" eb="6">
      <t>シャカイ</t>
    </rPh>
    <rPh sb="6" eb="8">
      <t>ガッカ</t>
    </rPh>
    <phoneticPr fontId="1"/>
  </si>
  <si>
    <t>健康科学部栄養学科</t>
    <rPh sb="0" eb="9">
      <t>ケンコウカガクブエイヨウガッカ</t>
    </rPh>
    <phoneticPr fontId="1"/>
  </si>
  <si>
    <t>池村　努</t>
    <rPh sb="0" eb="2">
      <t>イケムラ</t>
    </rPh>
    <rPh sb="3" eb="4">
      <t>ツトム</t>
    </rPh>
    <phoneticPr fontId="1"/>
  </si>
  <si>
    <t>MDASH運営チーム</t>
    <phoneticPr fontId="1"/>
  </si>
  <si>
    <t>MDASH運営チーム規定</t>
    <phoneticPr fontId="1"/>
  </si>
  <si>
    <t>自己点検評価委員会</t>
    <phoneticPr fontId="1"/>
  </si>
  <si>
    <t>矢澤励太</t>
    <rPh sb="0" eb="4">
      <t>ヤザワ</t>
    </rPh>
    <phoneticPr fontId="1"/>
  </si>
  <si>
    <t>学長</t>
    <rPh sb="0" eb="2">
      <t>ガクチョウ</t>
    </rPh>
    <phoneticPr fontId="1"/>
  </si>
  <si>
    <t>オフィスアワーを設定しているほか、「データサイエンス入門」授業前後に質問を受け付けている。また毎授業終了時にGoogle Formsによる授業アンケートを行なっていて、授業内で生じた疑問点があれば受付け、次回授業冒頭で回答するようにしている。</t>
    <rPh sb="8" eb="10">
      <t>セッテイ</t>
    </rPh>
    <rPh sb="26" eb="28">
      <t>ニュウモン</t>
    </rPh>
    <rPh sb="29" eb="31">
      <t>ジュギョウ</t>
    </rPh>
    <rPh sb="31" eb="33">
      <t>ゼンゴ</t>
    </rPh>
    <rPh sb="34" eb="36">
      <t>シツモン</t>
    </rPh>
    <rPh sb="37" eb="38">
      <t>ウ</t>
    </rPh>
    <rPh sb="39" eb="40">
      <t>ツ</t>
    </rPh>
    <rPh sb="47" eb="48">
      <t>マイ</t>
    </rPh>
    <rPh sb="48" eb="50">
      <t>ジュギョウ</t>
    </rPh>
    <rPh sb="50" eb="53">
      <t>シュウリョウジ</t>
    </rPh>
    <rPh sb="69" eb="71">
      <t>ジュギョウ</t>
    </rPh>
    <rPh sb="77" eb="78">
      <t>オコ</t>
    </rPh>
    <rPh sb="84" eb="87">
      <t>ジュギョウナイ</t>
    </rPh>
    <rPh sb="88" eb="89">
      <t>ショウ</t>
    </rPh>
    <rPh sb="91" eb="94">
      <t>ギモンテン</t>
    </rPh>
    <rPh sb="98" eb="100">
      <t>ウケツケ</t>
    </rPh>
    <rPh sb="102" eb="104">
      <t>ジカイ</t>
    </rPh>
    <rPh sb="104" eb="106">
      <t>ジュギョウ</t>
    </rPh>
    <rPh sb="106" eb="108">
      <t>ボウトウ</t>
    </rPh>
    <rPh sb="109" eb="111">
      <t>カイトウ</t>
    </rPh>
    <phoneticPr fontId="1"/>
  </si>
  <si>
    <t>全学必修科目として開講し、全ての学生が単位修得して卒業出来る体制を整えている。また履修中も学生の出席状況について各学部にフィードバックを行ない、欠席が嵩んだ学生について情報共有して、単位不認定にならないよう配慮を行なっている。
「データサイエンス入門」の成績評価基準を明確にし、課題提出状況などについて随時開示することで、自発的な課題提出を行えるように配慮を行なっている。</t>
    <rPh sb="0" eb="2">
      <t>ゼンガク</t>
    </rPh>
    <rPh sb="2" eb="6">
      <t>ヒッシュウカモク</t>
    </rPh>
    <rPh sb="9" eb="11">
      <t>カイコウ</t>
    </rPh>
    <rPh sb="13" eb="14">
      <t>スベ</t>
    </rPh>
    <rPh sb="16" eb="18">
      <t>ガクセイ</t>
    </rPh>
    <rPh sb="19" eb="21">
      <t>タンイ</t>
    </rPh>
    <rPh sb="21" eb="23">
      <t>シュウトク</t>
    </rPh>
    <rPh sb="25" eb="29">
      <t>ソツギョウデキ</t>
    </rPh>
    <rPh sb="30" eb="32">
      <t>タイセイ</t>
    </rPh>
    <rPh sb="33" eb="34">
      <t>トトノ</t>
    </rPh>
    <rPh sb="41" eb="43">
      <t>リシュウ</t>
    </rPh>
    <rPh sb="43" eb="44">
      <t>チュウ</t>
    </rPh>
    <rPh sb="45" eb="47">
      <t>ガクセイ</t>
    </rPh>
    <rPh sb="48" eb="50">
      <t>シュッセキ</t>
    </rPh>
    <rPh sb="50" eb="52">
      <t>ジョウキョウ</t>
    </rPh>
    <rPh sb="56" eb="59">
      <t>カクガクブ</t>
    </rPh>
    <rPh sb="68" eb="69">
      <t>オコ</t>
    </rPh>
    <rPh sb="72" eb="74">
      <t>ケッセキ</t>
    </rPh>
    <rPh sb="75" eb="76">
      <t>カサ</t>
    </rPh>
    <rPh sb="78" eb="80">
      <t>ガクセイ</t>
    </rPh>
    <rPh sb="84" eb="86">
      <t>ジョウホウ</t>
    </rPh>
    <rPh sb="86" eb="88">
      <t>キョウユウ</t>
    </rPh>
    <rPh sb="91" eb="93">
      <t>タンイ</t>
    </rPh>
    <rPh sb="93" eb="96">
      <t>フニンテイ</t>
    </rPh>
    <rPh sb="103" eb="105">
      <t>ハイリョ</t>
    </rPh>
    <rPh sb="106" eb="107">
      <t>オコ</t>
    </rPh>
    <rPh sb="123" eb="125">
      <t>ニュウモン</t>
    </rPh>
    <rPh sb="127" eb="131">
      <t>セイセキヒョウカ</t>
    </rPh>
    <rPh sb="131" eb="133">
      <t>キジュン</t>
    </rPh>
    <rPh sb="134" eb="136">
      <t>メイカク</t>
    </rPh>
    <rPh sb="139" eb="141">
      <t>カダイ</t>
    </rPh>
    <rPh sb="141" eb="143">
      <t>テイシュツ</t>
    </rPh>
    <rPh sb="143" eb="145">
      <t>ジョウキョウ</t>
    </rPh>
    <rPh sb="151" eb="153">
      <t>ズイジ</t>
    </rPh>
    <rPh sb="153" eb="155">
      <t>カイジ</t>
    </rPh>
    <rPh sb="161" eb="164">
      <t>ジハツテキ</t>
    </rPh>
    <rPh sb="165" eb="167">
      <t>カダイ</t>
    </rPh>
    <rPh sb="167" eb="169">
      <t>テイシュツ</t>
    </rPh>
    <rPh sb="170" eb="171">
      <t>オコナ</t>
    </rPh>
    <rPh sb="176" eb="178">
      <t>ハイリョ</t>
    </rPh>
    <rPh sb="179" eb="180">
      <t>オコ</t>
    </rPh>
    <phoneticPr fontId="1"/>
  </si>
  <si>
    <t>授業の到達目標である「データリテラシーを身につけ、データの読み方、データの特徴抽出、データ分析を行ない、分析した内容について説明できるようになる。データ・AI利活用における留意事項について理解し、説明できる」学習成果を得ている。評価指標として2023（R5)年度からはPROGを評価指標として用い、2025（R7）年度からはマイナビMATCH+を評価指標に取り入れて、客観的に学習評価が行えるようにしている。</t>
    <rPh sb="0" eb="2">
      <t>ジュギョウ</t>
    </rPh>
    <rPh sb="3" eb="5">
      <t>トウタツ</t>
    </rPh>
    <rPh sb="5" eb="7">
      <t>モクヒョウ</t>
    </rPh>
    <rPh sb="104" eb="106">
      <t>ガクシュウ</t>
    </rPh>
    <rPh sb="106" eb="108">
      <t>セイカ</t>
    </rPh>
    <rPh sb="109" eb="110">
      <t>エ</t>
    </rPh>
    <rPh sb="114" eb="116">
      <t>ヒョウカ</t>
    </rPh>
    <rPh sb="116" eb="118">
      <t>シヒョウ</t>
    </rPh>
    <rPh sb="129" eb="131">
      <t>ネンド</t>
    </rPh>
    <rPh sb="139" eb="141">
      <t>ヒョウカ</t>
    </rPh>
    <rPh sb="141" eb="143">
      <t>シヒョウ</t>
    </rPh>
    <rPh sb="146" eb="147">
      <t>モチ</t>
    </rPh>
    <rPh sb="157" eb="159">
      <t>ネンド</t>
    </rPh>
    <rPh sb="173" eb="175">
      <t>ヒョウカ</t>
    </rPh>
    <rPh sb="175" eb="177">
      <t>シヒョウ</t>
    </rPh>
    <rPh sb="178" eb="179">
      <t>ト</t>
    </rPh>
    <rPh sb="180" eb="181">
      <t>イ</t>
    </rPh>
    <rPh sb="184" eb="187">
      <t>キャッカンテキ</t>
    </rPh>
    <rPh sb="188" eb="190">
      <t>ガクシュウ</t>
    </rPh>
    <rPh sb="190" eb="192">
      <t>ヒョウカ</t>
    </rPh>
    <rPh sb="193" eb="194">
      <t>オコナ</t>
    </rPh>
    <phoneticPr fontId="1"/>
  </si>
  <si>
    <t>2023（R5）年度からプログラムを開始している。
無記名の授業評価アンケートを学期末に行なっている、加えて、同じく無記名で科目単位の中間アンケートを行ない、教授方法や教室環境について学生の聞き取りを行なっている。合わせて担当教員による学期末の授業評価アンケートを行ない、学生・教員双方の評価を行なっている。
授業評価アンケートの結果は、教学マネジメント委員会で確認し、自由記述欄や、評価内容に応じて担当教員との間で意見交換を行なう。
修得状況については、履修登録以降、休学や退学により履修者数が減少したが、最終的に9割以上の履修者が単位修得に至っている。欠席が目立ってきた学生がいた場合、「データサイエンス入門」担当者から学生にメール連絡を行なうのに加え、担当者の判断で在籍学科の教務や学科長に連絡を取り、側面からも出席を促すよう配慮を行なっている。
「データサイエンス入門」では2度のグループワーク（反転学習/反転授業）を実施し、効果的な学びが行えるよう工夫を行なっている。</t>
    <rPh sb="8" eb="9">
      <t>ネン</t>
    </rPh>
    <rPh sb="26" eb="29">
      <t>ムキメイ</t>
    </rPh>
    <rPh sb="55" eb="56">
      <t>オナ</t>
    </rPh>
    <rPh sb="58" eb="61">
      <t>ムキメイ</t>
    </rPh>
    <rPh sb="107" eb="108">
      <t>ア</t>
    </rPh>
    <rPh sb="111" eb="113">
      <t>タントウ</t>
    </rPh>
    <rPh sb="113" eb="115">
      <t>キョウイン</t>
    </rPh>
    <rPh sb="118" eb="121">
      <t>ガッキマツ</t>
    </rPh>
    <rPh sb="122" eb="126">
      <t>ジュギョウヒョウカ</t>
    </rPh>
    <rPh sb="132" eb="133">
      <t>オコ</t>
    </rPh>
    <rPh sb="136" eb="138">
      <t>ガクセイ</t>
    </rPh>
    <rPh sb="139" eb="141">
      <t>キョウイン</t>
    </rPh>
    <rPh sb="141" eb="143">
      <t>ソウホウ</t>
    </rPh>
    <rPh sb="144" eb="146">
      <t>ヒョウカ</t>
    </rPh>
    <rPh sb="147" eb="148">
      <t>オコ</t>
    </rPh>
    <rPh sb="185" eb="187">
      <t>ジユウ</t>
    </rPh>
    <rPh sb="187" eb="190">
      <t>キジュツラン</t>
    </rPh>
    <rPh sb="192" eb="194">
      <t>ヒョウカ</t>
    </rPh>
    <rPh sb="218" eb="220">
      <t>シュウトク</t>
    </rPh>
    <rPh sb="220" eb="222">
      <t>ジョウキョウ</t>
    </rPh>
    <rPh sb="228" eb="230">
      <t>リシュウ</t>
    </rPh>
    <rPh sb="278" eb="280">
      <t>ケッセキ</t>
    </rPh>
    <rPh sb="281" eb="283">
      <t>メダ</t>
    </rPh>
    <rPh sb="287" eb="289">
      <t>ガクセイ</t>
    </rPh>
    <rPh sb="292" eb="294">
      <t>バアイ</t>
    </rPh>
    <rPh sb="304" eb="306">
      <t>ニュウモン</t>
    </rPh>
    <rPh sb="307" eb="310">
      <t>タントウシャ</t>
    </rPh>
    <rPh sb="312" eb="314">
      <t>ガクセイ</t>
    </rPh>
    <rPh sb="318" eb="320">
      <t>レンラク</t>
    </rPh>
    <rPh sb="321" eb="322">
      <t>オコ</t>
    </rPh>
    <rPh sb="326" eb="327">
      <t>クワ</t>
    </rPh>
    <rPh sb="329" eb="332">
      <t>タントウシャ</t>
    </rPh>
    <rPh sb="333" eb="335">
      <t>ハンダン</t>
    </rPh>
    <rPh sb="336" eb="338">
      <t>ザイセキ</t>
    </rPh>
    <rPh sb="338" eb="340">
      <t>ガッカ</t>
    </rPh>
    <rPh sb="341" eb="343">
      <t>キョウム</t>
    </rPh>
    <rPh sb="344" eb="347">
      <t>ガッカチョウ</t>
    </rPh>
    <rPh sb="348" eb="350">
      <t>レンラク</t>
    </rPh>
    <rPh sb="351" eb="352">
      <t>ト</t>
    </rPh>
    <rPh sb="354" eb="356">
      <t>ソクメン</t>
    </rPh>
    <rPh sb="359" eb="361">
      <t>シュッセキ</t>
    </rPh>
    <rPh sb="362" eb="363">
      <t>ウナガ</t>
    </rPh>
    <rPh sb="366" eb="368">
      <t>ハイリョ</t>
    </rPh>
    <rPh sb="369" eb="370">
      <t>オコ</t>
    </rPh>
    <rPh sb="386" eb="388">
      <t>ニュウモン</t>
    </rPh>
    <rPh sb="392" eb="393">
      <t>ド</t>
    </rPh>
    <rPh sb="402" eb="404">
      <t>ハンテン</t>
    </rPh>
    <rPh sb="404" eb="406">
      <t>ガクシュウ</t>
    </rPh>
    <rPh sb="407" eb="409">
      <t>ハンテン</t>
    </rPh>
    <rPh sb="409" eb="411">
      <t>ジュギョウ</t>
    </rPh>
    <rPh sb="413" eb="415">
      <t>ジッシ</t>
    </rPh>
    <rPh sb="417" eb="420">
      <t>コウカテキ</t>
    </rPh>
    <rPh sb="421" eb="422">
      <t>マナ</t>
    </rPh>
    <rPh sb="424" eb="425">
      <t>オコナ</t>
    </rPh>
    <rPh sb="429" eb="431">
      <t>クフウ</t>
    </rPh>
    <rPh sb="432" eb="433">
      <t>オコ</t>
    </rPh>
    <phoneticPr fontId="1"/>
  </si>
  <si>
    <t>「データサイエンス入門」毎授業における授業振り返りや、学期末の授業評価アンケート自由記述では「難しい」「初めて知った」などの感想が多く書かれているが、「新しい学びを得た」「これからの時代に必要な知識を得ることができた」等の感想も書かれている。
採用したテキストに理解度を確認する問題が掲載されており、これを理解度テストとして学期中に3回小テストを実施している。これまでの平均では7割程度の平均点となっている。</t>
    <rPh sb="9" eb="11">
      <t>ニュウモン</t>
    </rPh>
    <rPh sb="12" eb="13">
      <t>マイ</t>
    </rPh>
    <rPh sb="13" eb="15">
      <t>ジュギョウ</t>
    </rPh>
    <rPh sb="19" eb="21">
      <t>ジュギョウ</t>
    </rPh>
    <rPh sb="21" eb="22">
      <t>フ</t>
    </rPh>
    <rPh sb="23" eb="24">
      <t>カエ</t>
    </rPh>
    <rPh sb="27" eb="30">
      <t>ガッキマツ</t>
    </rPh>
    <rPh sb="31" eb="33">
      <t>ジュギョウ</t>
    </rPh>
    <rPh sb="33" eb="35">
      <t>ヒョウカ</t>
    </rPh>
    <rPh sb="40" eb="42">
      <t>ジユウ</t>
    </rPh>
    <rPh sb="42" eb="44">
      <t>キジュツ</t>
    </rPh>
    <rPh sb="47" eb="48">
      <t>ムズカ</t>
    </rPh>
    <rPh sb="52" eb="53">
      <t>ハジ</t>
    </rPh>
    <rPh sb="55" eb="56">
      <t>シ</t>
    </rPh>
    <rPh sb="62" eb="64">
      <t>カンソウ</t>
    </rPh>
    <rPh sb="65" eb="66">
      <t>オオ</t>
    </rPh>
    <rPh sb="67" eb="68">
      <t>カ</t>
    </rPh>
    <rPh sb="76" eb="77">
      <t>アタラ</t>
    </rPh>
    <rPh sb="79" eb="80">
      <t>マナ</t>
    </rPh>
    <rPh sb="82" eb="83">
      <t>エ</t>
    </rPh>
    <rPh sb="91" eb="93">
      <t>ジダイ</t>
    </rPh>
    <rPh sb="94" eb="96">
      <t>ヒツヨウ</t>
    </rPh>
    <rPh sb="97" eb="99">
      <t>チシキ</t>
    </rPh>
    <rPh sb="100" eb="101">
      <t>エ</t>
    </rPh>
    <rPh sb="109" eb="110">
      <t>ナド</t>
    </rPh>
    <rPh sb="111" eb="113">
      <t>カンソウ</t>
    </rPh>
    <rPh sb="114" eb="115">
      <t>カ</t>
    </rPh>
    <rPh sb="122" eb="124">
      <t>サイヨウ</t>
    </rPh>
    <rPh sb="131" eb="134">
      <t>リカイド</t>
    </rPh>
    <rPh sb="135" eb="137">
      <t>カクニン</t>
    </rPh>
    <rPh sb="139" eb="141">
      <t>モンダイ</t>
    </rPh>
    <rPh sb="142" eb="144">
      <t>ケイサイ</t>
    </rPh>
    <rPh sb="153" eb="156">
      <t>リカイド</t>
    </rPh>
    <rPh sb="162" eb="165">
      <t>ガッキチュウ</t>
    </rPh>
    <rPh sb="167" eb="168">
      <t>カイ</t>
    </rPh>
    <rPh sb="168" eb="169">
      <t>ショウ</t>
    </rPh>
    <rPh sb="173" eb="175">
      <t>ジッシ</t>
    </rPh>
    <rPh sb="185" eb="187">
      <t>ヘイキン</t>
    </rPh>
    <rPh sb="190" eb="191">
      <t>ワリ</t>
    </rPh>
    <rPh sb="191" eb="193">
      <t>テイド</t>
    </rPh>
    <rPh sb="194" eb="197">
      <t>ヘイキンテン</t>
    </rPh>
    <phoneticPr fontId="1"/>
  </si>
  <si>
    <t>・ビッグデータ、IoT、AI、生成AI、ロボット
・データ量の増加、計算機の処理性能の向上、AIの非連続的進化
・第4次産業革命、Society 5.0、データ駆動型社会</t>
    <phoneticPr fontId="1"/>
  </si>
  <si>
    <t>・AI最新技術の活用例（深層生成モデル、強化学習、転移学習、生成AIなど）
・AI等を活用した新しいビジネスモデル(シェアリングエコノミー、商品のレコメンデーションなど)
・基盤モデル、大規模言語モデル、拡散モデル</t>
    <phoneticPr fontId="1"/>
  </si>
  <si>
    <t>・調査データ、実験データ、人の行動ログデータ、機械の稼働ログデータなど
・1次データ、2次データ、データのメタ化
・構造化データ、非構造化データ（文章、画像/動画、音声/音楽など）
・データ作成（ビッグデータとアノテーション）</t>
    <phoneticPr fontId="1"/>
  </si>
  <si>
    <t>・データ・AI活用領域の広がり(生産、消費、文化活動など)
・研究開発、調達、製造、物流、販売、マーケティング、サービスなど
・仮説検証、知識発見、原因究明、計画策定、判断支援、活動代替、新規生成など
・対話、コンテンツ生成、翻訳・要約
・執筆支援、コーディング支援など生成AIの応用</t>
    <phoneticPr fontId="1"/>
  </si>
  <si>
    <t>・データ解析：予測、グルーピング、パターン発見、最適化、モデル化とシミュレーション
・データ可視化：複合グラフ、2軸グラフ、多次元の可視化、関係性の可視化、地図上の可視化、挙動
・軌跡の可視化、リアルタイム可視化など
・非構造化データ処理：言語処理、画像/動画処理、音声/音楽処理など
・特化型AIと汎用AI、今のAIで出来ることと出来ないこと、AIとビッグデータ
・認識技術、自動化技術
・マルチモーダル（言語、画像、音声など）、生成AIの活用（プロンプトエンジニアリング）</t>
    <phoneticPr fontId="1"/>
  </si>
  <si>
    <t>・データサイエンスのサイクル（課題抽出と定式化、データの取得
・管理・加工、探索的データ解析、データ解析と推論、結果の共有
・伝達、課題解決に向けた提案）
・教育、芸術、流通、製造、金融、サービス、インフラ、公共、ヘルスケア等におけるデータ
・AI利活用事例紹介</t>
    <phoneticPr fontId="1"/>
  </si>
  <si>
    <t>・データの種類（量的変数、質的変数）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・相関と因果（相関係数、擬似相関、交絡）・観測データに含まれる誤差の扱い
・打ち切りや欠測を含むデータ、層別の必要なデータ
・母集団と標本抽出（国勢調査、アンケート調査、全数調査、単純無作為抽出、層別抽出、多段抽出）
・クロス集計表、分割表、相関係数行列、散布図行列
・統計情報の正しい理解（誇張表現に惑わされない）</t>
    <phoneticPr fontId="1"/>
  </si>
  <si>
    <t>・データの取得（機械判読可能なデータの作成・表記方法）
・データの集計（和、平均）
・データの並び替え、ランキング
・データ解析ツール（スプレッドシート）
・表形式のデータ（csv）</t>
    <phoneticPr fontId="1"/>
  </si>
  <si>
    <t>・倫理的・法的・社会的課題（ELSI：Ethical,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・データ・AI活用における負の事例紹介
・生成AIの留意事項（ハルシネーションによる誤情報の生成、偽情報や有害コンテンツの生成・氾濫など）</t>
    <phoneticPr fontId="1"/>
  </si>
  <si>
    <t>・情報セキュリティの3要素（機密性、完全性、可用性）
・匿名加工情報、暗号化と復号、ユーザ認証と、パスワード、アクセス制御、悪意ある情報搾取
・情報漏洩等によるセキュリティ事故の事例紹介
・サイバーセキュリティ</t>
    <phoneticPr fontId="1"/>
  </si>
  <si>
    <t>AI利活用に関わる理解、データを扱うための知識、統計的な考え方と、統計解析の手法を学ぶ。これらを学ぶことにより、データサイエンス時代に対応できる知識と技術を身につける。</t>
    <phoneticPr fontId="1"/>
  </si>
  <si>
    <t>授業アンケート項目に直接的に「他の学生への推奨度」を測る項目は無いが、授業アンケートや授業振り返りの感想からは、科目履修について好意的な意見を読取ることができている。AI活用時の注意点や、今後普及が進むにあたって備えておかなければならないことなどを理解し、身近な人に伝えていきたいという回答をもらっている。</t>
    <rPh sb="0" eb="2">
      <t>ジュギョウ</t>
    </rPh>
    <rPh sb="7" eb="9">
      <t>コウモク</t>
    </rPh>
    <rPh sb="10" eb="13">
      <t>チョクセツテキ</t>
    </rPh>
    <rPh sb="15" eb="16">
      <t>タ</t>
    </rPh>
    <rPh sb="17" eb="19">
      <t>ガクセイ</t>
    </rPh>
    <rPh sb="21" eb="23">
      <t>スイショウ</t>
    </rPh>
    <rPh sb="23" eb="24">
      <t>ド</t>
    </rPh>
    <rPh sb="26" eb="27">
      <t>ハカ</t>
    </rPh>
    <rPh sb="28" eb="30">
      <t>コウモク</t>
    </rPh>
    <rPh sb="31" eb="32">
      <t>ナ</t>
    </rPh>
    <rPh sb="35" eb="37">
      <t>ジュギョウ</t>
    </rPh>
    <rPh sb="43" eb="45">
      <t>ジュギョウ</t>
    </rPh>
    <rPh sb="45" eb="46">
      <t>フ</t>
    </rPh>
    <rPh sb="47" eb="48">
      <t>カエ</t>
    </rPh>
    <rPh sb="50" eb="52">
      <t>カンソウ</t>
    </rPh>
    <rPh sb="56" eb="58">
      <t>カモク</t>
    </rPh>
    <rPh sb="58" eb="60">
      <t>リシュウ</t>
    </rPh>
    <rPh sb="64" eb="67">
      <t>コウイテキ</t>
    </rPh>
    <rPh sb="68" eb="70">
      <t>イケン</t>
    </rPh>
    <rPh sb="71" eb="73">
      <t>ヨミト</t>
    </rPh>
    <rPh sb="85" eb="87">
      <t>カツヨウ</t>
    </rPh>
    <rPh sb="87" eb="88">
      <t>ジ</t>
    </rPh>
    <rPh sb="89" eb="92">
      <t>チュウイテン</t>
    </rPh>
    <rPh sb="94" eb="96">
      <t>コンゴ</t>
    </rPh>
    <rPh sb="96" eb="98">
      <t>フキュウ</t>
    </rPh>
    <rPh sb="99" eb="100">
      <t>スス</t>
    </rPh>
    <rPh sb="106" eb="107">
      <t>ソナ</t>
    </rPh>
    <rPh sb="124" eb="126">
      <t>リカイ</t>
    </rPh>
    <rPh sb="128" eb="130">
      <t>ミヂカ</t>
    </rPh>
    <rPh sb="131" eb="132">
      <t>ヒト</t>
    </rPh>
    <rPh sb="133" eb="134">
      <t>ツタ</t>
    </rPh>
    <rPh sb="143" eb="145">
      <t>カイトウ</t>
    </rPh>
    <phoneticPr fontId="1"/>
  </si>
  <si>
    <t>学部共通科目という位置づけであるが、全学必修科目として開講していることから、履修率は100％となっている。今後もこの位置づけは変更する予定がないため、在籍者数に対する履修率は100％を維持する予定である。</t>
    <rPh sb="0" eb="2">
      <t>ガクブ</t>
    </rPh>
    <rPh sb="2" eb="4">
      <t>キョウツウ</t>
    </rPh>
    <rPh sb="4" eb="6">
      <t>カモク</t>
    </rPh>
    <rPh sb="9" eb="11">
      <t>イチ</t>
    </rPh>
    <rPh sb="18" eb="20">
      <t>ゼンガク</t>
    </rPh>
    <rPh sb="20" eb="24">
      <t>ヒッシュウカモク</t>
    </rPh>
    <rPh sb="27" eb="29">
      <t>カイコウ</t>
    </rPh>
    <rPh sb="38" eb="40">
      <t>リシュウ</t>
    </rPh>
    <rPh sb="40" eb="41">
      <t>リツ</t>
    </rPh>
    <rPh sb="53" eb="55">
      <t>コンゴ</t>
    </rPh>
    <rPh sb="58" eb="60">
      <t>イチ</t>
    </rPh>
    <rPh sb="63" eb="65">
      <t>ヘンコウ</t>
    </rPh>
    <rPh sb="67" eb="69">
      <t>ヨテイ</t>
    </rPh>
    <rPh sb="75" eb="78">
      <t>ザイセキシャ</t>
    </rPh>
    <rPh sb="78" eb="79">
      <t>スウ</t>
    </rPh>
    <rPh sb="80" eb="81">
      <t>タイ</t>
    </rPh>
    <rPh sb="83" eb="85">
      <t>リシュウ</t>
    </rPh>
    <rPh sb="85" eb="86">
      <t>リツ</t>
    </rPh>
    <rPh sb="92" eb="94">
      <t>イジ</t>
    </rPh>
    <rPh sb="96" eb="98">
      <t>ヨテイ</t>
    </rPh>
    <phoneticPr fontId="1"/>
  </si>
  <si>
    <t>教学学生支援センター長</t>
    <rPh sb="0" eb="2">
      <t>キョウガク</t>
    </rPh>
    <rPh sb="2" eb="4">
      <t>ガクセイ</t>
    </rPh>
    <rPh sb="4" eb="6">
      <t>シエン</t>
    </rPh>
    <rPh sb="10" eb="11">
      <t>チョウ</t>
    </rPh>
    <phoneticPr fontId="1"/>
  </si>
  <si>
    <t>数理データサイエンスに関連する学びを、本学に在籍する全ての学生に教授し、Society5.0に対応できる人材を育成することを目的とする。
本チームでは、定期的な科目内容の見直しや、実施方法の点検を行ない、時代に即した教授内容が提供されることを確認する。また評価方法や評価基準についても定期的な見直しを行なうことを目的とする。</t>
    <rPh sb="0" eb="2">
      <t>スウリ</t>
    </rPh>
    <rPh sb="11" eb="13">
      <t>カンレン</t>
    </rPh>
    <rPh sb="15" eb="16">
      <t>マナ</t>
    </rPh>
    <rPh sb="19" eb="21">
      <t>ホンガク</t>
    </rPh>
    <rPh sb="22" eb="24">
      <t>ザイセキ</t>
    </rPh>
    <rPh sb="26" eb="27">
      <t>スベ</t>
    </rPh>
    <rPh sb="29" eb="31">
      <t>ガクセイ</t>
    </rPh>
    <rPh sb="32" eb="34">
      <t>キョウジュ</t>
    </rPh>
    <rPh sb="47" eb="49">
      <t>タイオウ</t>
    </rPh>
    <rPh sb="52" eb="54">
      <t>ジンザイ</t>
    </rPh>
    <rPh sb="55" eb="57">
      <t>イクセイ</t>
    </rPh>
    <rPh sb="62" eb="64">
      <t>モクテキ</t>
    </rPh>
    <rPh sb="69" eb="70">
      <t>ホン</t>
    </rPh>
    <rPh sb="76" eb="79">
      <t>テイキテキ</t>
    </rPh>
    <rPh sb="80" eb="82">
      <t>カモク</t>
    </rPh>
    <rPh sb="82" eb="84">
      <t>ナイヨウ</t>
    </rPh>
    <rPh sb="85" eb="87">
      <t>ミナオ</t>
    </rPh>
    <rPh sb="90" eb="92">
      <t>ジッシ</t>
    </rPh>
    <rPh sb="92" eb="94">
      <t>ホウホウ</t>
    </rPh>
    <rPh sb="95" eb="97">
      <t>テンケン</t>
    </rPh>
    <rPh sb="98" eb="99">
      <t>オコ</t>
    </rPh>
    <rPh sb="102" eb="104">
      <t>ジダイ</t>
    </rPh>
    <rPh sb="105" eb="106">
      <t>ソク</t>
    </rPh>
    <rPh sb="108" eb="110">
      <t>キョウジュ</t>
    </rPh>
    <rPh sb="110" eb="112">
      <t>ナイヨウ</t>
    </rPh>
    <rPh sb="113" eb="115">
      <t>テイキョウ</t>
    </rPh>
    <rPh sb="121" eb="123">
      <t>カクニン</t>
    </rPh>
    <rPh sb="128" eb="130">
      <t>ヒョウカ</t>
    </rPh>
    <rPh sb="130" eb="132">
      <t>ホウホウ</t>
    </rPh>
    <rPh sb="133" eb="135">
      <t>ヒョウカ</t>
    </rPh>
    <rPh sb="135" eb="137">
      <t>キジュン</t>
    </rPh>
    <rPh sb="142" eb="145">
      <t>テイキテキ</t>
    </rPh>
    <rPh sb="146" eb="148">
      <t>ミナオ</t>
    </rPh>
    <rPh sb="150" eb="151">
      <t>オコ</t>
    </rPh>
    <rPh sb="156" eb="158">
      <t>モクテキ</t>
    </rPh>
    <phoneticPr fontId="1"/>
  </si>
  <si>
    <t>収容定員に対する履修率は3割程度となっているが、認定に関わる科目は全学必修科目としてあるため、在籍者数に対する履修率は100％となっている。今後も全学必修科目として継続して行く計画である。
2023年度カリキュラム体系において、「データサイエンス入門」は3年次進級要件にもなっており、早期に履修することが求められている。これらの取組により、卒業者における履修率100％は今後も維持されていく計画である。</t>
    <rPh sb="0" eb="2">
      <t>シュウヨウ</t>
    </rPh>
    <rPh sb="2" eb="4">
      <t>テイイン</t>
    </rPh>
    <rPh sb="5" eb="6">
      <t>タイ</t>
    </rPh>
    <rPh sb="8" eb="10">
      <t>リシュウ</t>
    </rPh>
    <rPh sb="10" eb="11">
      <t>リツ</t>
    </rPh>
    <rPh sb="13" eb="14">
      <t>ワリ</t>
    </rPh>
    <rPh sb="14" eb="16">
      <t>テイド</t>
    </rPh>
    <rPh sb="24" eb="26">
      <t>ニンテイ</t>
    </rPh>
    <rPh sb="27" eb="28">
      <t>カカ</t>
    </rPh>
    <rPh sb="30" eb="32">
      <t>カモク</t>
    </rPh>
    <rPh sb="33" eb="35">
      <t>ゼンガク</t>
    </rPh>
    <rPh sb="35" eb="39">
      <t>ヒッシュウカモク</t>
    </rPh>
    <rPh sb="47" eb="50">
      <t>ザイセキシャ</t>
    </rPh>
    <rPh sb="50" eb="51">
      <t>スウ</t>
    </rPh>
    <rPh sb="52" eb="53">
      <t>タイ</t>
    </rPh>
    <rPh sb="55" eb="57">
      <t>リシュウ</t>
    </rPh>
    <rPh sb="57" eb="58">
      <t>リツ</t>
    </rPh>
    <rPh sb="70" eb="72">
      <t>コンゴ</t>
    </rPh>
    <rPh sb="73" eb="75">
      <t>ゼンガク</t>
    </rPh>
    <rPh sb="75" eb="79">
      <t>ヒッシュウカモク</t>
    </rPh>
    <rPh sb="82" eb="84">
      <t>ケイゾク</t>
    </rPh>
    <rPh sb="86" eb="87">
      <t>イ</t>
    </rPh>
    <rPh sb="88" eb="90">
      <t>ケイカク</t>
    </rPh>
    <rPh sb="99" eb="101">
      <t>ネンド</t>
    </rPh>
    <rPh sb="107" eb="109">
      <t>タイケイ</t>
    </rPh>
    <rPh sb="123" eb="125">
      <t>ニュウモン</t>
    </rPh>
    <rPh sb="128" eb="130">
      <t>ネンジ</t>
    </rPh>
    <rPh sb="130" eb="132">
      <t>シンキュウ</t>
    </rPh>
    <rPh sb="132" eb="134">
      <t>ヨウケン</t>
    </rPh>
    <rPh sb="142" eb="144">
      <t>ソウキ</t>
    </rPh>
    <rPh sb="145" eb="147">
      <t>リシュウ</t>
    </rPh>
    <rPh sb="152" eb="153">
      <t>モト</t>
    </rPh>
    <rPh sb="164" eb="166">
      <t>トリクミ</t>
    </rPh>
    <rPh sb="170" eb="173">
      <t>ソツギョウシャ</t>
    </rPh>
    <rPh sb="177" eb="179">
      <t>リシュウ</t>
    </rPh>
    <rPh sb="179" eb="180">
      <t>リツ</t>
    </rPh>
    <rPh sb="185" eb="187">
      <t>コンゴ</t>
    </rPh>
    <rPh sb="188" eb="190">
      <t>イジ</t>
    </rPh>
    <rPh sb="195" eb="197">
      <t>ケイカク</t>
    </rPh>
    <phoneticPr fontId="1"/>
  </si>
  <si>
    <t xml:space="preserve">本学における全学必修科目（学部共通科目）として「データサイエンス入門」を開講している。2023年度開始時から、教育学部と健康科学部を合同開講し、社会学部を別途開講している。この事によりやむを得ず再履修することになったとしても、時間割の都合で履修できなくなるリスクを減少させるように配慮を行なっている。
2026年度からは初年次教育科目として位置づけるが、全学必修科目として開講することに変更はない。
</t>
    <rPh sb="0" eb="2">
      <t>ホンガク</t>
    </rPh>
    <rPh sb="6" eb="8">
      <t>ゼンガク</t>
    </rPh>
    <rPh sb="8" eb="12">
      <t>ヒッシュウカモク</t>
    </rPh>
    <rPh sb="13" eb="15">
      <t>ガクブ</t>
    </rPh>
    <rPh sb="15" eb="17">
      <t>キョウツウ</t>
    </rPh>
    <rPh sb="17" eb="19">
      <t>カモク</t>
    </rPh>
    <rPh sb="32" eb="34">
      <t>ニュウモン</t>
    </rPh>
    <rPh sb="36" eb="38">
      <t>カイコウ</t>
    </rPh>
    <rPh sb="49" eb="52">
      <t>カイシジ</t>
    </rPh>
    <rPh sb="55" eb="57">
      <t>キョウイク</t>
    </rPh>
    <rPh sb="57" eb="59">
      <t>ガクブ</t>
    </rPh>
    <rPh sb="60" eb="62">
      <t>ケンコウ</t>
    </rPh>
    <rPh sb="62" eb="65">
      <t>カガクブ</t>
    </rPh>
    <rPh sb="66" eb="68">
      <t>ゴウドウ</t>
    </rPh>
    <rPh sb="68" eb="70">
      <t>カイコウ</t>
    </rPh>
    <rPh sb="72" eb="74">
      <t>シャカイ</t>
    </rPh>
    <rPh sb="74" eb="76">
      <t>ガクブ</t>
    </rPh>
    <rPh sb="77" eb="79">
      <t>ベット</t>
    </rPh>
    <rPh sb="79" eb="81">
      <t>カイコウ</t>
    </rPh>
    <rPh sb="88" eb="89">
      <t>コト</t>
    </rPh>
    <rPh sb="95" eb="96">
      <t>エ</t>
    </rPh>
    <rPh sb="97" eb="100">
      <t>サイリシュウ</t>
    </rPh>
    <rPh sb="113" eb="116">
      <t>ジカンワリ</t>
    </rPh>
    <rPh sb="117" eb="119">
      <t>ツゴウ</t>
    </rPh>
    <rPh sb="120" eb="122">
      <t>リシュウ</t>
    </rPh>
    <rPh sb="132" eb="134">
      <t>ゲンショウ</t>
    </rPh>
    <rPh sb="140" eb="142">
      <t>ハイリョ</t>
    </rPh>
    <rPh sb="143" eb="144">
      <t>オコ</t>
    </rPh>
    <rPh sb="155" eb="157">
      <t>ネンド</t>
    </rPh>
    <rPh sb="160" eb="163">
      <t>ショネンジ</t>
    </rPh>
    <rPh sb="163" eb="165">
      <t>キョウイク</t>
    </rPh>
    <rPh sb="165" eb="167">
      <t>カモク</t>
    </rPh>
    <rPh sb="170" eb="172">
      <t>イチ</t>
    </rPh>
    <rPh sb="177" eb="179">
      <t>ゼンガク</t>
    </rPh>
    <rPh sb="179" eb="183">
      <t>ヒッシュウカモク</t>
    </rPh>
    <rPh sb="186" eb="188">
      <t>カイコウ</t>
    </rPh>
    <rPh sb="193" eb="195">
      <t>ヘンコウ</t>
    </rPh>
    <phoneticPr fontId="1"/>
  </si>
  <si>
    <t>「データサイエンス入門」を全学必修科目として開講している。時間割の設定をはじめとして1年生全員が履修できるよう配慮を行なっている。また授業内でそれぞれの学部の特徴に応じた事例紹介を取入れる事で、興味関心を引き出すような工夫を加えている。</t>
    <rPh sb="9" eb="11">
      <t>ニュウモン</t>
    </rPh>
    <rPh sb="13" eb="15">
      <t>ゼンガク</t>
    </rPh>
    <rPh sb="15" eb="19">
      <t>ヒッシュウカモク</t>
    </rPh>
    <rPh sb="22" eb="24">
      <t>カイコウ</t>
    </rPh>
    <rPh sb="29" eb="32">
      <t>ジカンワリ</t>
    </rPh>
    <rPh sb="33" eb="35">
      <t>セッテイ</t>
    </rPh>
    <rPh sb="43" eb="45">
      <t>ネンセイ</t>
    </rPh>
    <rPh sb="45" eb="47">
      <t>ゼンイン</t>
    </rPh>
    <rPh sb="48" eb="50">
      <t>リシュウ</t>
    </rPh>
    <rPh sb="55" eb="57">
      <t>ハイリョ</t>
    </rPh>
    <rPh sb="58" eb="59">
      <t>オコ</t>
    </rPh>
    <rPh sb="67" eb="70">
      <t>ジュギョウナイ</t>
    </rPh>
    <rPh sb="76" eb="78">
      <t>ガクブ</t>
    </rPh>
    <rPh sb="79" eb="81">
      <t>トクチョウ</t>
    </rPh>
    <rPh sb="82" eb="83">
      <t>オウ</t>
    </rPh>
    <rPh sb="85" eb="87">
      <t>ジレイ</t>
    </rPh>
    <rPh sb="87" eb="89">
      <t>ショウカイ</t>
    </rPh>
    <rPh sb="90" eb="92">
      <t>トリイ</t>
    </rPh>
    <rPh sb="94" eb="95">
      <t>コト</t>
    </rPh>
    <rPh sb="97" eb="99">
      <t>キョウミ</t>
    </rPh>
    <rPh sb="99" eb="101">
      <t>カンシン</t>
    </rPh>
    <rPh sb="102" eb="103">
      <t>ヒ</t>
    </rPh>
    <rPh sb="104" eb="105">
      <t>ダ</t>
    </rPh>
    <rPh sb="109" eb="111">
      <t>クフウ</t>
    </rPh>
    <rPh sb="112" eb="113">
      <t>クワ</t>
    </rPh>
    <phoneticPr fontId="1"/>
  </si>
  <si>
    <t>卒業生調査を卒業1年ごと10年後の学生を対象に実施している。その中で本教育プログラムを終了した卒業生の進路先や活動状況を把握することができる。同時に卒業生を採用した企業に対して、本学卒業生の活躍状況や、卒業生に求める能力などについて聞き取りを行なっている。</t>
    <rPh sb="0" eb="3">
      <t>ソツギョウセイ</t>
    </rPh>
    <rPh sb="3" eb="5">
      <t>チョウサ</t>
    </rPh>
    <phoneticPr fontId="1"/>
  </si>
  <si>
    <t>学ぶことの意義を理解しやすくするために、学部・学科の特徴に合わせた具体的な事例を紹介する。教育学部の場合には教育現場におけるAIの活用方法、データ分析の具体的な活用事例などを紹介することで、自らの学びと地続きであることを認識させている。健康科学部の場合には管理栄養士としてデータを取り扱う事例を紹介している。社会学部では社会調査法との関連性などを紹介している。これらの取組により、数理・データサイエンス・AIを学ぶ楽しさや学ぶ意義を理解するようにしている。</t>
    <rPh sb="0" eb="1">
      <t>マナ</t>
    </rPh>
    <rPh sb="5" eb="7">
      <t>イギ</t>
    </rPh>
    <rPh sb="8" eb="10">
      <t>リカイ</t>
    </rPh>
    <rPh sb="20" eb="22">
      <t>ガクブ</t>
    </rPh>
    <rPh sb="23" eb="25">
      <t>ガッカ</t>
    </rPh>
    <rPh sb="26" eb="28">
      <t>トクチョウ</t>
    </rPh>
    <rPh sb="29" eb="30">
      <t>ア</t>
    </rPh>
    <rPh sb="33" eb="36">
      <t>グタイテキ</t>
    </rPh>
    <rPh sb="37" eb="39">
      <t>ジレイ</t>
    </rPh>
    <rPh sb="40" eb="42">
      <t>ショウカイ</t>
    </rPh>
    <rPh sb="45" eb="47">
      <t>キョウイク</t>
    </rPh>
    <rPh sb="47" eb="49">
      <t>ガクブ</t>
    </rPh>
    <rPh sb="50" eb="52">
      <t>バアイ</t>
    </rPh>
    <rPh sb="54" eb="56">
      <t>キョウイク</t>
    </rPh>
    <rPh sb="56" eb="58">
      <t>ゲンバ</t>
    </rPh>
    <rPh sb="65" eb="67">
      <t>カツヨウ</t>
    </rPh>
    <rPh sb="67" eb="69">
      <t>ホウホウ</t>
    </rPh>
    <rPh sb="73" eb="75">
      <t>ブンセキ</t>
    </rPh>
    <rPh sb="76" eb="79">
      <t>グタイテキ</t>
    </rPh>
    <rPh sb="80" eb="82">
      <t>カツヨウ</t>
    </rPh>
    <rPh sb="82" eb="84">
      <t>ジレイ</t>
    </rPh>
    <rPh sb="87" eb="89">
      <t>ショウカイ</t>
    </rPh>
    <rPh sb="95" eb="96">
      <t>ミズカ</t>
    </rPh>
    <rPh sb="98" eb="99">
      <t>マナ</t>
    </rPh>
    <rPh sb="101" eb="103">
      <t>ジツヅ</t>
    </rPh>
    <rPh sb="110" eb="112">
      <t>ニンシキ</t>
    </rPh>
    <rPh sb="118" eb="120">
      <t>ケンコウ</t>
    </rPh>
    <rPh sb="120" eb="123">
      <t>カガクブ</t>
    </rPh>
    <rPh sb="124" eb="126">
      <t>バアイ</t>
    </rPh>
    <rPh sb="128" eb="130">
      <t>カンリ</t>
    </rPh>
    <rPh sb="130" eb="133">
      <t>エイヨウシ</t>
    </rPh>
    <rPh sb="140" eb="141">
      <t>ト</t>
    </rPh>
    <rPh sb="142" eb="143">
      <t>アツカ</t>
    </rPh>
    <rPh sb="144" eb="146">
      <t>ジレイ</t>
    </rPh>
    <rPh sb="147" eb="149">
      <t>ショウカイ</t>
    </rPh>
    <rPh sb="154" eb="156">
      <t>シャカイ</t>
    </rPh>
    <rPh sb="156" eb="158">
      <t>ガクブ</t>
    </rPh>
    <rPh sb="160" eb="162">
      <t>シャカイ</t>
    </rPh>
    <rPh sb="162" eb="165">
      <t>チョウサホウ</t>
    </rPh>
    <rPh sb="167" eb="170">
      <t>カンレンセイ</t>
    </rPh>
    <rPh sb="173" eb="175">
      <t>ショウカイ</t>
    </rPh>
    <rPh sb="184" eb="186">
      <t>トリクミ</t>
    </rPh>
    <rPh sb="190" eb="192">
      <t>スウリ</t>
    </rPh>
    <rPh sb="205" eb="206">
      <t>マナ</t>
    </rPh>
    <rPh sb="207" eb="208">
      <t>タノ</t>
    </rPh>
    <rPh sb="211" eb="212">
      <t>マナ</t>
    </rPh>
    <rPh sb="213" eb="215">
      <t>イギ</t>
    </rPh>
    <rPh sb="216" eb="218">
      <t>リカイ</t>
    </rPh>
    <phoneticPr fontId="1"/>
  </si>
  <si>
    <t>2023（R5）年度から開始しているので、一区切りとなる2026（R8)年度に一旦プログラムの振り返りを行ない、本学学生に合わせた内容として適切だったかの確認を行なう。「データサイエンス入門」においては開講時期の最新トピックスを取り上げ、その時々に応じた学びができるように工夫を行なっている。これらにより内容・水準を維持・向上しつつ、よりわかりやすい授業となるようにしている。</t>
    <rPh sb="8" eb="9">
      <t>ネン</t>
    </rPh>
    <rPh sb="12" eb="14">
      <t>カイシ</t>
    </rPh>
    <rPh sb="21" eb="24">
      <t>ヒトクギ</t>
    </rPh>
    <rPh sb="36" eb="38">
      <t>ネンド</t>
    </rPh>
    <rPh sb="39" eb="41">
      <t>イッタン</t>
    </rPh>
    <rPh sb="47" eb="48">
      <t>フ</t>
    </rPh>
    <rPh sb="49" eb="50">
      <t>カエ</t>
    </rPh>
    <rPh sb="52" eb="53">
      <t>オコ</t>
    </rPh>
    <rPh sb="56" eb="58">
      <t>ホンガク</t>
    </rPh>
    <rPh sb="58" eb="60">
      <t>ガクセイ</t>
    </rPh>
    <rPh sb="61" eb="62">
      <t>ア</t>
    </rPh>
    <rPh sb="65" eb="67">
      <t>ナイヨウ</t>
    </rPh>
    <rPh sb="70" eb="72">
      <t>テキセツ</t>
    </rPh>
    <rPh sb="77" eb="79">
      <t>カクニン</t>
    </rPh>
    <rPh sb="80" eb="81">
      <t>オコケッセキメダガクセイバアイニュウモンタントウシャガクセイレンラクオコクワタントウシャハンダンザイセキガッカキョウムガッカチョウレンラクトソクメンシュッセキウナガハイリョオコニュウモンドハンテンガクシュウハンテンジュギョウジッシコウカテキマナオコナクフウオコ</t>
    </rPh>
    <rPh sb="93" eb="95">
      <t>ニュウモン</t>
    </rPh>
    <rPh sb="101" eb="105">
      <t>カイコウジキ</t>
    </rPh>
    <rPh sb="106" eb="108">
      <t>サイシン</t>
    </rPh>
    <rPh sb="114" eb="115">
      <t>ト</t>
    </rPh>
    <rPh sb="116" eb="117">
      <t>ア</t>
    </rPh>
    <rPh sb="121" eb="123">
      <t>トキドキ</t>
    </rPh>
    <rPh sb="124" eb="125">
      <t>オウ</t>
    </rPh>
    <rPh sb="127" eb="128">
      <t>マナ</t>
    </rPh>
    <rPh sb="136" eb="138">
      <t>クフウ</t>
    </rPh>
    <rPh sb="139" eb="140">
      <t>オコ</t>
    </rPh>
    <rPh sb="152" eb="154">
      <t>ナイヨウ</t>
    </rPh>
    <rPh sb="155" eb="157">
      <t>スイジュン</t>
    </rPh>
    <rPh sb="158" eb="160">
      <t>イジ</t>
    </rPh>
    <rPh sb="161" eb="163">
      <t>コウジョウ</t>
    </rPh>
    <rPh sb="175" eb="177">
      <t>ジュギョウ</t>
    </rPh>
    <phoneticPr fontId="1"/>
  </si>
  <si>
    <t>本学卒業生の就職企業や、本学理事が所属している企業に対してアンケートや聞き取りを依頼し、教育プログラムの講義内容について意見を収集するとともに、AIリテラシープログラムの改善に活用していく。</t>
    <rPh sb="0" eb="2">
      <t>ホンガク</t>
    </rPh>
    <rPh sb="2" eb="5">
      <t>ソツギョウセイ</t>
    </rPh>
    <rPh sb="6" eb="8">
      <t>シュウショク</t>
    </rPh>
    <rPh sb="8" eb="10">
      <t>キギョウ</t>
    </rPh>
    <rPh sb="12" eb="14">
      <t>ホンガク</t>
    </rPh>
    <rPh sb="14" eb="16">
      <t>リジ</t>
    </rPh>
    <rPh sb="17" eb="19">
      <t>ショゾク</t>
    </rPh>
    <rPh sb="23" eb="25">
      <t>キギョウ</t>
    </rPh>
    <rPh sb="26" eb="27">
      <t>タイ</t>
    </rPh>
    <rPh sb="35" eb="36">
      <t>キ</t>
    </rPh>
    <rPh sb="37" eb="38">
      <t>ト</t>
    </rPh>
    <rPh sb="40" eb="42">
      <t>イライ</t>
    </rPh>
    <rPh sb="44" eb="46">
      <t>キョウイク</t>
    </rPh>
    <rPh sb="52" eb="54">
      <t>コウギ</t>
    </rPh>
    <rPh sb="54" eb="56">
      <t>ナイヨウ</t>
    </rPh>
    <rPh sb="60" eb="62">
      <t>イケン</t>
    </rPh>
    <rPh sb="63" eb="65">
      <t>シュウシュウ</t>
    </rPh>
    <rPh sb="85" eb="87">
      <t>カイゼン</t>
    </rPh>
    <rPh sb="88" eb="90">
      <t>カツヨウ</t>
    </rPh>
    <phoneticPr fontId="1"/>
  </si>
  <si>
    <t>・データ表現（棒グラフ、折線グラフ、散布図、ヒートマップ、箱ひげ図）
・データの比較（条件をそろえた比較、処理の前後での比較、A/Bテスト)
・不適切なグラフ表現（チャートジャンク、不必要な視覚的要素）</t>
    <phoneticPr fontId="1"/>
  </si>
  <si>
    <t>MDASH運営チーム長　池村努（社会学部教授・教学学生支援センター長）
学校法人北陸学院 法人・大学事務局 総合政策課　トビアス史</t>
    <rPh sb="5" eb="7">
      <t>ウンエイ</t>
    </rPh>
    <rPh sb="10" eb="11">
      <t>チョウ</t>
    </rPh>
    <rPh sb="12" eb="14">
      <t>イケムラ</t>
    </rPh>
    <rPh sb="14" eb="15">
      <t>ツトム</t>
    </rPh>
    <rPh sb="16" eb="18">
      <t>シャカイ</t>
    </rPh>
    <rPh sb="18" eb="20">
      <t>ガクブ</t>
    </rPh>
    <rPh sb="20" eb="22">
      <t>キョウジュ</t>
    </rPh>
    <rPh sb="23" eb="25">
      <t>キョウガク</t>
    </rPh>
    <rPh sb="25" eb="29">
      <t>ガクセイシエン</t>
    </rPh>
    <rPh sb="33" eb="34">
      <t>チョウ</t>
    </rPh>
    <rPh sb="36" eb="38">
      <t>ガッコウ</t>
    </rPh>
    <rPh sb="38" eb="40">
      <t>ホウジン</t>
    </rPh>
    <rPh sb="40" eb="44">
      <t>ホクリクガクイン</t>
    </rPh>
    <rPh sb="45" eb="47">
      <t>ホウジン</t>
    </rPh>
    <rPh sb="48" eb="50">
      <t>ダイガク</t>
    </rPh>
    <rPh sb="50" eb="53">
      <t>ジムキョク</t>
    </rPh>
    <rPh sb="54" eb="56">
      <t>ソウゴウ</t>
    </rPh>
    <rPh sb="56" eb="59">
      <t>セイサクカ</t>
    </rPh>
    <rPh sb="64" eb="65">
      <t>フミ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</si>
</sst>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1">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0" fontId="2" fillId="2" borderId="1" xfId="0" applyNumberFormat="1" applyFont="1" applyFill="1" applyBorder="1" applyAlignment="1">
      <alignment horizontal="right" vertical="center"/>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top" wrapTex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topLeftCell="A61" zoomScale="80" zoomScaleNormal="100" zoomScaleSheetLayoutView="80" workbookViewId="0">
      <selection activeCell="A53" sqref="A53:E70"/>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28" t="s">
        <v>109</v>
      </c>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3" spans="1:28" ht="18.600000000000001" customHeight="1" x14ac:dyDescent="0.15">
      <c r="Y3" s="128" t="s">
        <v>12</v>
      </c>
      <c r="Z3" s="128"/>
      <c r="AA3" s="9"/>
      <c r="AB3" s="13"/>
    </row>
    <row r="4" spans="1:28" ht="18.75" customHeight="1" x14ac:dyDescent="0.15">
      <c r="B4" s="133" t="s">
        <v>85</v>
      </c>
      <c r="C4" s="134"/>
      <c r="D4" s="69" t="s">
        <v>129</v>
      </c>
      <c r="P4" s="9"/>
      <c r="Q4" s="41"/>
      <c r="R4" s="41"/>
      <c r="S4" s="41"/>
      <c r="T4" s="41"/>
      <c r="U4" s="41"/>
      <c r="V4" s="41"/>
      <c r="W4" s="41"/>
      <c r="X4" s="41"/>
      <c r="Y4" s="41"/>
      <c r="Z4" s="41"/>
    </row>
    <row r="5" spans="1:28" ht="18.75" customHeight="1" x14ac:dyDescent="0.15">
      <c r="B5" s="133" t="s">
        <v>81</v>
      </c>
      <c r="C5" s="134"/>
      <c r="D5" s="69" t="s">
        <v>130</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2" t="s">
        <v>93</v>
      </c>
      <c r="B7" s="132"/>
      <c r="C7" s="132"/>
      <c r="D7" s="132"/>
      <c r="E7" s="132"/>
      <c r="F7" s="132"/>
      <c r="G7" s="132"/>
      <c r="H7" s="132"/>
      <c r="I7" s="132"/>
      <c r="J7" s="132"/>
      <c r="K7" s="132"/>
      <c r="L7" s="132"/>
      <c r="M7" s="132"/>
      <c r="N7" s="132"/>
      <c r="O7" s="132"/>
      <c r="P7" s="132"/>
      <c r="Q7" s="132"/>
      <c r="R7" s="132"/>
      <c r="S7" s="132"/>
      <c r="T7" s="132"/>
      <c r="U7" s="132"/>
      <c r="V7" s="132"/>
      <c r="W7" s="132"/>
      <c r="X7" s="132"/>
      <c r="Y7" s="132"/>
      <c r="Z7" s="132"/>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29" t="s">
        <v>95</v>
      </c>
      <c r="B9" s="129"/>
      <c r="D9" s="6" t="s">
        <v>131</v>
      </c>
    </row>
    <row r="10" spans="1:28" ht="20.25" customHeight="1" x14ac:dyDescent="0.15">
      <c r="B10" s="12"/>
      <c r="C10" s="12"/>
      <c r="D10" s="12"/>
      <c r="Q10" s="12"/>
      <c r="R10" s="12"/>
      <c r="S10" s="12"/>
      <c r="T10" s="12"/>
      <c r="U10" s="12"/>
      <c r="V10" s="12"/>
      <c r="W10" s="12"/>
      <c r="X10" s="12"/>
      <c r="Y10" s="12"/>
      <c r="Z10" s="12"/>
    </row>
    <row r="11" spans="1:28" ht="34.5" customHeight="1" x14ac:dyDescent="0.15">
      <c r="A11" s="129" t="s">
        <v>90</v>
      </c>
      <c r="B11" s="129"/>
      <c r="D11" s="68" t="s">
        <v>132</v>
      </c>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0" t="s">
        <v>96</v>
      </c>
      <c r="B13" s="130"/>
      <c r="C13" s="12"/>
      <c r="D13" s="69" t="s">
        <v>133</v>
      </c>
      <c r="E13" s="41"/>
      <c r="F13" s="41"/>
      <c r="G13" s="41"/>
      <c r="H13" s="41"/>
      <c r="I13" s="41"/>
      <c r="J13" s="41"/>
      <c r="K13" s="41"/>
      <c r="L13" s="41"/>
      <c r="M13" s="41"/>
      <c r="N13" s="41"/>
      <c r="O13" s="41"/>
      <c r="P13" s="41"/>
      <c r="Q13" s="70"/>
      <c r="R13" s="70"/>
      <c r="S13" s="70"/>
      <c r="T13" s="70"/>
      <c r="U13" s="70"/>
      <c r="V13" s="70"/>
      <c r="W13" s="70"/>
      <c r="X13" s="70"/>
      <c r="Y13" s="70"/>
      <c r="Z13" s="70"/>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11.75" customHeight="1" x14ac:dyDescent="0.15">
      <c r="A15" s="131" t="s">
        <v>97</v>
      </c>
      <c r="B15" s="131"/>
      <c r="C15" s="12"/>
      <c r="D15" s="71" t="s">
        <v>134</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2">
        <v>1</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2">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5" t="s">
        <v>117</v>
      </c>
      <c r="G21" s="136"/>
      <c r="H21" s="136"/>
      <c r="I21" s="136"/>
      <c r="J21" s="136"/>
      <c r="K21" s="136"/>
      <c r="L21" s="136"/>
      <c r="M21" s="136"/>
      <c r="N21" s="136"/>
      <c r="O21" s="136"/>
      <c r="P21" s="136"/>
      <c r="Q21" s="136"/>
      <c r="R21" s="136"/>
      <c r="S21" s="136"/>
      <c r="T21" s="136"/>
      <c r="U21" s="136"/>
      <c r="V21" s="136"/>
      <c r="W21" s="136"/>
      <c r="X21" s="136"/>
      <c r="Y21" s="136"/>
      <c r="Z21" s="137"/>
    </row>
    <row r="22" spans="1:26" ht="18" customHeight="1" x14ac:dyDescent="0.15">
      <c r="B22" s="17"/>
      <c r="C22" s="17"/>
      <c r="D22" s="5" t="s">
        <v>48</v>
      </c>
      <c r="E22" s="72" t="s">
        <v>70</v>
      </c>
      <c r="F22" s="73" t="s">
        <v>50</v>
      </c>
      <c r="G22" s="74" t="s">
        <v>61</v>
      </c>
      <c r="H22" s="74" t="s">
        <v>62</v>
      </c>
      <c r="I22" s="74" t="s">
        <v>63</v>
      </c>
      <c r="J22" s="74" t="s">
        <v>64</v>
      </c>
      <c r="K22" s="74" t="s">
        <v>53</v>
      </c>
      <c r="L22" s="74" t="s">
        <v>80</v>
      </c>
      <c r="M22" s="74" t="s">
        <v>65</v>
      </c>
      <c r="N22" s="74" t="s">
        <v>66</v>
      </c>
      <c r="O22" s="74" t="s">
        <v>52</v>
      </c>
      <c r="P22" s="75" t="s">
        <v>54</v>
      </c>
      <c r="Q22" s="76" t="s">
        <v>98</v>
      </c>
      <c r="R22" s="77" t="s">
        <v>99</v>
      </c>
      <c r="S22" s="77" t="s">
        <v>100</v>
      </c>
      <c r="T22" s="77" t="s">
        <v>101</v>
      </c>
      <c r="U22" s="77" t="s">
        <v>102</v>
      </c>
      <c r="V22" s="77" t="s">
        <v>103</v>
      </c>
      <c r="W22" s="77" t="s">
        <v>104</v>
      </c>
      <c r="X22" s="77" t="s">
        <v>105</v>
      </c>
      <c r="Y22" s="77" t="s">
        <v>106</v>
      </c>
      <c r="Z22" s="78" t="s">
        <v>107</v>
      </c>
    </row>
    <row r="23" spans="1:26" ht="18" customHeight="1" x14ac:dyDescent="0.15">
      <c r="B23" s="124" t="s">
        <v>125</v>
      </c>
      <c r="C23" s="125"/>
      <c r="D23" s="79" t="s">
        <v>135</v>
      </c>
      <c r="E23" s="114">
        <v>2</v>
      </c>
      <c r="F23" s="80" t="s">
        <v>137</v>
      </c>
      <c r="G23" s="81" t="s">
        <v>137</v>
      </c>
      <c r="H23" s="81" t="s">
        <v>137</v>
      </c>
      <c r="I23" s="81" t="s">
        <v>137</v>
      </c>
      <c r="J23" s="81" t="s">
        <v>137</v>
      </c>
      <c r="K23" s="81" t="s">
        <v>137</v>
      </c>
      <c r="L23" s="81" t="s">
        <v>137</v>
      </c>
      <c r="M23" s="81" t="s">
        <v>137</v>
      </c>
      <c r="N23" s="81" t="s">
        <v>137</v>
      </c>
      <c r="O23" s="81" t="s">
        <v>136</v>
      </c>
      <c r="P23" s="82" t="s">
        <v>137</v>
      </c>
      <c r="Q23" s="83"/>
      <c r="R23" s="81"/>
      <c r="S23" s="81"/>
      <c r="T23" s="81"/>
      <c r="U23" s="81"/>
      <c r="V23" s="81"/>
      <c r="W23" s="81"/>
      <c r="X23" s="81"/>
      <c r="Y23" s="81"/>
      <c r="Z23" s="81"/>
    </row>
    <row r="24" spans="1:26" ht="18" customHeight="1" x14ac:dyDescent="0.15">
      <c r="B24" s="126"/>
      <c r="C24" s="127"/>
      <c r="D24" s="84"/>
      <c r="E24" s="115"/>
      <c r="F24" s="85"/>
      <c r="G24" s="86"/>
      <c r="H24" s="86"/>
      <c r="I24" s="86"/>
      <c r="J24" s="86"/>
      <c r="K24" s="86"/>
      <c r="L24" s="86"/>
      <c r="M24" s="86"/>
      <c r="N24" s="86"/>
      <c r="O24" s="86"/>
      <c r="P24" s="87"/>
      <c r="Q24" s="88"/>
      <c r="R24" s="86"/>
      <c r="S24" s="86"/>
      <c r="T24" s="86"/>
      <c r="U24" s="86"/>
      <c r="V24" s="86"/>
      <c r="W24" s="86"/>
      <c r="X24" s="86"/>
      <c r="Y24" s="86"/>
      <c r="Z24" s="86"/>
    </row>
    <row r="25" spans="1:26" ht="18" customHeight="1" x14ac:dyDescent="0.15">
      <c r="B25" s="126"/>
      <c r="C25" s="127"/>
      <c r="D25" s="84"/>
      <c r="E25" s="115"/>
      <c r="F25" s="85"/>
      <c r="G25" s="86"/>
      <c r="H25" s="86"/>
      <c r="I25" s="86"/>
      <c r="J25" s="86"/>
      <c r="K25" s="86"/>
      <c r="L25" s="86"/>
      <c r="M25" s="86"/>
      <c r="N25" s="86"/>
      <c r="O25" s="86"/>
      <c r="P25" s="87"/>
      <c r="Q25" s="88"/>
      <c r="R25" s="86"/>
      <c r="S25" s="86"/>
      <c r="T25" s="86"/>
      <c r="U25" s="86"/>
      <c r="V25" s="86"/>
      <c r="W25" s="86"/>
      <c r="X25" s="86"/>
      <c r="Y25" s="86"/>
      <c r="Z25" s="86"/>
    </row>
    <row r="26" spans="1:26" ht="18" customHeight="1" x14ac:dyDescent="0.15">
      <c r="B26" s="126"/>
      <c r="C26" s="127"/>
      <c r="D26" s="84"/>
      <c r="E26" s="115"/>
      <c r="F26" s="85"/>
      <c r="G26" s="86"/>
      <c r="H26" s="86"/>
      <c r="I26" s="86"/>
      <c r="J26" s="86"/>
      <c r="K26" s="86"/>
      <c r="L26" s="86"/>
      <c r="M26" s="86"/>
      <c r="N26" s="86"/>
      <c r="O26" s="86"/>
      <c r="P26" s="87"/>
      <c r="Q26" s="88"/>
      <c r="R26" s="86"/>
      <c r="S26" s="86"/>
      <c r="T26" s="86"/>
      <c r="U26" s="86"/>
      <c r="V26" s="86"/>
      <c r="W26" s="86"/>
      <c r="X26" s="86"/>
      <c r="Y26" s="86"/>
      <c r="Z26" s="86"/>
    </row>
    <row r="27" spans="1:26" ht="18" customHeight="1" x14ac:dyDescent="0.15">
      <c r="B27" s="126"/>
      <c r="C27" s="127"/>
      <c r="D27" s="84"/>
      <c r="E27" s="115"/>
      <c r="F27" s="85"/>
      <c r="G27" s="86"/>
      <c r="H27" s="86"/>
      <c r="I27" s="86"/>
      <c r="J27" s="86"/>
      <c r="K27" s="86"/>
      <c r="L27" s="86"/>
      <c r="M27" s="86"/>
      <c r="N27" s="86"/>
      <c r="O27" s="86"/>
      <c r="P27" s="87"/>
      <c r="Q27" s="88"/>
      <c r="R27" s="86"/>
      <c r="S27" s="86"/>
      <c r="T27" s="86"/>
      <c r="U27" s="86"/>
      <c r="V27" s="86"/>
      <c r="W27" s="86"/>
      <c r="X27" s="86"/>
      <c r="Y27" s="86"/>
      <c r="Z27" s="86"/>
    </row>
    <row r="28" spans="1:26" ht="18" customHeight="1" x14ac:dyDescent="0.15">
      <c r="B28" s="126"/>
      <c r="C28" s="127"/>
      <c r="D28" s="84"/>
      <c r="E28" s="115"/>
      <c r="F28" s="85"/>
      <c r="G28" s="86"/>
      <c r="H28" s="86"/>
      <c r="I28" s="86"/>
      <c r="J28" s="86"/>
      <c r="K28" s="86"/>
      <c r="L28" s="86"/>
      <c r="M28" s="86"/>
      <c r="N28" s="86"/>
      <c r="O28" s="86"/>
      <c r="P28" s="87"/>
      <c r="Q28" s="88"/>
      <c r="R28" s="86"/>
      <c r="S28" s="86"/>
      <c r="T28" s="86"/>
      <c r="U28" s="86"/>
      <c r="V28" s="86"/>
      <c r="W28" s="86"/>
      <c r="X28" s="86"/>
      <c r="Y28" s="86"/>
      <c r="Z28" s="86"/>
    </row>
    <row r="29" spans="1:26" ht="18" customHeight="1" x14ac:dyDescent="0.15">
      <c r="B29" s="126"/>
      <c r="C29" s="127"/>
      <c r="D29" s="84"/>
      <c r="E29" s="115"/>
      <c r="F29" s="85"/>
      <c r="G29" s="86"/>
      <c r="H29" s="86"/>
      <c r="I29" s="86"/>
      <c r="J29" s="86"/>
      <c r="K29" s="86"/>
      <c r="L29" s="86"/>
      <c r="M29" s="86"/>
      <c r="N29" s="86"/>
      <c r="O29" s="86"/>
      <c r="P29" s="87"/>
      <c r="Q29" s="88"/>
      <c r="R29" s="86"/>
      <c r="S29" s="86"/>
      <c r="T29" s="86"/>
      <c r="U29" s="86"/>
      <c r="V29" s="86"/>
      <c r="W29" s="86"/>
      <c r="X29" s="86"/>
      <c r="Y29" s="86"/>
      <c r="Z29" s="86"/>
    </row>
    <row r="30" spans="1:26" ht="18" customHeight="1" x14ac:dyDescent="0.15">
      <c r="B30" s="126"/>
      <c r="C30" s="127"/>
      <c r="D30" s="84"/>
      <c r="E30" s="115"/>
      <c r="F30" s="85"/>
      <c r="G30" s="86"/>
      <c r="H30" s="86"/>
      <c r="I30" s="86"/>
      <c r="J30" s="86"/>
      <c r="K30" s="86"/>
      <c r="L30" s="86"/>
      <c r="M30" s="86"/>
      <c r="N30" s="86"/>
      <c r="O30" s="86"/>
      <c r="P30" s="87"/>
      <c r="Q30" s="88"/>
      <c r="R30" s="86"/>
      <c r="S30" s="86"/>
      <c r="T30" s="86"/>
      <c r="U30" s="86"/>
      <c r="V30" s="86"/>
      <c r="W30" s="86"/>
      <c r="X30" s="86"/>
      <c r="Y30" s="86"/>
      <c r="Z30" s="86"/>
    </row>
    <row r="31" spans="1:26" ht="18" customHeight="1" x14ac:dyDescent="0.15">
      <c r="B31" s="126"/>
      <c r="C31" s="127"/>
      <c r="D31" s="84"/>
      <c r="E31" s="115"/>
      <c r="F31" s="85"/>
      <c r="G31" s="86"/>
      <c r="H31" s="86"/>
      <c r="I31" s="86"/>
      <c r="J31" s="86"/>
      <c r="K31" s="86"/>
      <c r="L31" s="86"/>
      <c r="M31" s="86"/>
      <c r="N31" s="86"/>
      <c r="O31" s="86"/>
      <c r="P31" s="87"/>
      <c r="Q31" s="88"/>
      <c r="R31" s="86"/>
      <c r="S31" s="86"/>
      <c r="T31" s="86"/>
      <c r="U31" s="86"/>
      <c r="V31" s="86"/>
      <c r="W31" s="86"/>
      <c r="X31" s="86"/>
      <c r="Y31" s="86"/>
      <c r="Z31" s="86"/>
    </row>
    <row r="32" spans="1:26" ht="18" customHeight="1" x14ac:dyDescent="0.15">
      <c r="B32" s="126"/>
      <c r="C32" s="127"/>
      <c r="D32" s="89"/>
      <c r="E32" s="116"/>
      <c r="F32" s="90"/>
      <c r="G32" s="91"/>
      <c r="H32" s="91"/>
      <c r="I32" s="91"/>
      <c r="J32" s="91"/>
      <c r="K32" s="91"/>
      <c r="L32" s="91"/>
      <c r="M32" s="91"/>
      <c r="N32" s="91"/>
      <c r="O32" s="91"/>
      <c r="P32" s="92"/>
      <c r="Q32" s="93"/>
      <c r="R32" s="91"/>
      <c r="S32" s="91"/>
      <c r="T32" s="91"/>
      <c r="U32" s="91"/>
      <c r="V32" s="91"/>
      <c r="W32" s="91"/>
      <c r="X32" s="91"/>
      <c r="Y32" s="91"/>
      <c r="Z32" s="91"/>
    </row>
    <row r="33" spans="2:26" ht="18" customHeight="1" x14ac:dyDescent="0.15">
      <c r="B33" s="124" t="s">
        <v>126</v>
      </c>
      <c r="C33" s="125"/>
      <c r="D33" s="94"/>
      <c r="E33" s="117"/>
      <c r="F33" s="95"/>
      <c r="G33" s="96"/>
      <c r="H33" s="96"/>
      <c r="I33" s="96"/>
      <c r="J33" s="96"/>
      <c r="K33" s="96"/>
      <c r="L33" s="96"/>
      <c r="M33" s="96"/>
      <c r="N33" s="96"/>
      <c r="O33" s="96"/>
      <c r="P33" s="97"/>
      <c r="Q33" s="98"/>
      <c r="R33" s="96"/>
      <c r="S33" s="96"/>
      <c r="T33" s="96"/>
      <c r="U33" s="96"/>
      <c r="V33" s="96"/>
      <c r="W33" s="96"/>
      <c r="X33" s="96"/>
      <c r="Y33" s="96"/>
      <c r="Z33" s="96"/>
    </row>
    <row r="34" spans="2:26" ht="18" customHeight="1" x14ac:dyDescent="0.15">
      <c r="B34" s="126"/>
      <c r="C34" s="127"/>
      <c r="D34" s="84"/>
      <c r="E34" s="115"/>
      <c r="F34" s="85"/>
      <c r="G34" s="86"/>
      <c r="H34" s="86"/>
      <c r="I34" s="86"/>
      <c r="J34" s="86"/>
      <c r="K34" s="86"/>
      <c r="L34" s="86"/>
      <c r="M34" s="86"/>
      <c r="N34" s="86"/>
      <c r="O34" s="86"/>
      <c r="P34" s="87"/>
      <c r="Q34" s="88"/>
      <c r="R34" s="86"/>
      <c r="S34" s="86"/>
      <c r="T34" s="86"/>
      <c r="U34" s="86"/>
      <c r="V34" s="86"/>
      <c r="W34" s="86"/>
      <c r="X34" s="86"/>
      <c r="Y34" s="86"/>
      <c r="Z34" s="86"/>
    </row>
    <row r="35" spans="2:26" ht="18" customHeight="1" x14ac:dyDescent="0.15">
      <c r="B35" s="126"/>
      <c r="C35" s="127"/>
      <c r="D35" s="84"/>
      <c r="E35" s="115"/>
      <c r="F35" s="85"/>
      <c r="G35" s="86"/>
      <c r="H35" s="86"/>
      <c r="I35" s="86"/>
      <c r="J35" s="86"/>
      <c r="K35" s="86"/>
      <c r="L35" s="86"/>
      <c r="M35" s="86"/>
      <c r="N35" s="86"/>
      <c r="O35" s="86"/>
      <c r="P35" s="87"/>
      <c r="Q35" s="88"/>
      <c r="R35" s="86"/>
      <c r="S35" s="86"/>
      <c r="T35" s="86"/>
      <c r="U35" s="86"/>
      <c r="V35" s="86"/>
      <c r="W35" s="86"/>
      <c r="X35" s="86"/>
      <c r="Y35" s="86"/>
      <c r="Z35" s="86"/>
    </row>
    <row r="36" spans="2:26" ht="18" customHeight="1" x14ac:dyDescent="0.15">
      <c r="B36" s="126"/>
      <c r="C36" s="127"/>
      <c r="D36" s="84"/>
      <c r="E36" s="115"/>
      <c r="F36" s="85"/>
      <c r="G36" s="86"/>
      <c r="H36" s="86"/>
      <c r="I36" s="86"/>
      <c r="J36" s="86"/>
      <c r="K36" s="86"/>
      <c r="L36" s="86"/>
      <c r="M36" s="86"/>
      <c r="N36" s="86"/>
      <c r="O36" s="86"/>
      <c r="P36" s="87"/>
      <c r="Q36" s="88"/>
      <c r="R36" s="86"/>
      <c r="S36" s="86"/>
      <c r="T36" s="86"/>
      <c r="U36" s="86"/>
      <c r="V36" s="86"/>
      <c r="W36" s="86"/>
      <c r="X36" s="86"/>
      <c r="Y36" s="86"/>
      <c r="Z36" s="86"/>
    </row>
    <row r="37" spans="2:26" ht="18" customHeight="1" x14ac:dyDescent="0.15">
      <c r="B37" s="126"/>
      <c r="C37" s="127"/>
      <c r="D37" s="84"/>
      <c r="E37" s="115"/>
      <c r="F37" s="85"/>
      <c r="G37" s="86"/>
      <c r="H37" s="86"/>
      <c r="I37" s="86"/>
      <c r="J37" s="86"/>
      <c r="K37" s="86"/>
      <c r="L37" s="86"/>
      <c r="M37" s="86"/>
      <c r="N37" s="86"/>
      <c r="O37" s="86"/>
      <c r="P37" s="87"/>
      <c r="Q37" s="88"/>
      <c r="R37" s="86"/>
      <c r="S37" s="86"/>
      <c r="T37" s="86"/>
      <c r="U37" s="86"/>
      <c r="V37" s="86"/>
      <c r="W37" s="86"/>
      <c r="X37" s="86"/>
      <c r="Y37" s="86"/>
      <c r="Z37" s="86"/>
    </row>
    <row r="38" spans="2:26" ht="18" customHeight="1" x14ac:dyDescent="0.15">
      <c r="B38" s="126"/>
      <c r="C38" s="127"/>
      <c r="D38" s="84"/>
      <c r="E38" s="115"/>
      <c r="F38" s="85"/>
      <c r="G38" s="86"/>
      <c r="H38" s="86"/>
      <c r="I38" s="86"/>
      <c r="J38" s="86"/>
      <c r="K38" s="86"/>
      <c r="L38" s="86"/>
      <c r="M38" s="86"/>
      <c r="N38" s="86"/>
      <c r="O38" s="86"/>
      <c r="P38" s="87"/>
      <c r="Q38" s="88"/>
      <c r="R38" s="86"/>
      <c r="S38" s="86"/>
      <c r="T38" s="86"/>
      <c r="U38" s="86"/>
      <c r="V38" s="86"/>
      <c r="W38" s="86"/>
      <c r="X38" s="86"/>
      <c r="Y38" s="86"/>
      <c r="Z38" s="86"/>
    </row>
    <row r="39" spans="2:26" ht="18" customHeight="1" x14ac:dyDescent="0.15">
      <c r="B39" s="126"/>
      <c r="C39" s="127"/>
      <c r="D39" s="84"/>
      <c r="E39" s="115"/>
      <c r="F39" s="85"/>
      <c r="G39" s="86"/>
      <c r="H39" s="86"/>
      <c r="I39" s="86"/>
      <c r="J39" s="86"/>
      <c r="K39" s="86"/>
      <c r="L39" s="86"/>
      <c r="M39" s="86"/>
      <c r="N39" s="86"/>
      <c r="O39" s="86"/>
      <c r="P39" s="87"/>
      <c r="Q39" s="88"/>
      <c r="R39" s="86"/>
      <c r="S39" s="86"/>
      <c r="T39" s="86"/>
      <c r="U39" s="86"/>
      <c r="V39" s="86"/>
      <c r="W39" s="86"/>
      <c r="X39" s="86"/>
      <c r="Y39" s="86"/>
      <c r="Z39" s="86"/>
    </row>
    <row r="40" spans="2:26" ht="18" customHeight="1" x14ac:dyDescent="0.15">
      <c r="B40" s="126"/>
      <c r="C40" s="127"/>
      <c r="D40" s="84"/>
      <c r="E40" s="115"/>
      <c r="F40" s="85"/>
      <c r="G40" s="86"/>
      <c r="H40" s="86"/>
      <c r="I40" s="86"/>
      <c r="J40" s="86"/>
      <c r="K40" s="86"/>
      <c r="L40" s="86"/>
      <c r="M40" s="86"/>
      <c r="N40" s="86"/>
      <c r="O40" s="86"/>
      <c r="P40" s="87"/>
      <c r="Q40" s="88"/>
      <c r="R40" s="86"/>
      <c r="S40" s="86"/>
      <c r="T40" s="86"/>
      <c r="U40" s="86"/>
      <c r="V40" s="86"/>
      <c r="W40" s="86"/>
      <c r="X40" s="86"/>
      <c r="Y40" s="86"/>
      <c r="Z40" s="86"/>
    </row>
    <row r="41" spans="2:26" ht="18" customHeight="1" x14ac:dyDescent="0.15">
      <c r="B41" s="126"/>
      <c r="C41" s="127"/>
      <c r="D41" s="84"/>
      <c r="E41" s="115"/>
      <c r="F41" s="85"/>
      <c r="G41" s="86"/>
      <c r="H41" s="86"/>
      <c r="I41" s="86"/>
      <c r="J41" s="86"/>
      <c r="K41" s="86"/>
      <c r="L41" s="86"/>
      <c r="M41" s="86"/>
      <c r="N41" s="86"/>
      <c r="O41" s="86"/>
      <c r="P41" s="87"/>
      <c r="Q41" s="88"/>
      <c r="R41" s="86"/>
      <c r="S41" s="86"/>
      <c r="T41" s="86"/>
      <c r="U41" s="86"/>
      <c r="V41" s="86"/>
      <c r="W41" s="86"/>
      <c r="X41" s="86"/>
      <c r="Y41" s="86"/>
      <c r="Z41" s="86"/>
    </row>
    <row r="42" spans="2:26" ht="18" customHeight="1" x14ac:dyDescent="0.15">
      <c r="B42" s="138"/>
      <c r="C42" s="139"/>
      <c r="D42" s="89"/>
      <c r="E42" s="118"/>
      <c r="F42" s="90"/>
      <c r="G42" s="91"/>
      <c r="H42" s="91"/>
      <c r="I42" s="91"/>
      <c r="J42" s="91"/>
      <c r="K42" s="91"/>
      <c r="L42" s="91"/>
      <c r="M42" s="91"/>
      <c r="N42" s="91"/>
      <c r="O42" s="91"/>
      <c r="P42" s="92"/>
      <c r="Q42" s="93"/>
      <c r="R42" s="91"/>
      <c r="S42" s="91"/>
      <c r="T42" s="91"/>
      <c r="U42" s="91"/>
      <c r="V42" s="91"/>
      <c r="W42" s="91"/>
      <c r="X42" s="91"/>
      <c r="Y42" s="91"/>
      <c r="Z42" s="91"/>
    </row>
    <row r="43" spans="2:26" ht="18" customHeight="1" x14ac:dyDescent="0.15">
      <c r="B43" s="140" t="s">
        <v>127</v>
      </c>
      <c r="C43" s="141"/>
      <c r="D43" s="84"/>
      <c r="E43" s="115"/>
      <c r="F43" s="85"/>
      <c r="G43" s="86"/>
      <c r="H43" s="86"/>
      <c r="I43" s="86"/>
      <c r="J43" s="86"/>
      <c r="K43" s="86"/>
      <c r="L43" s="86"/>
      <c r="M43" s="86"/>
      <c r="N43" s="86"/>
      <c r="O43" s="86"/>
      <c r="P43" s="87"/>
      <c r="Q43" s="88"/>
      <c r="R43" s="86"/>
      <c r="S43" s="86"/>
      <c r="T43" s="86"/>
      <c r="U43" s="86"/>
      <c r="V43" s="86"/>
      <c r="W43" s="86"/>
      <c r="X43" s="86"/>
      <c r="Y43" s="86"/>
      <c r="Z43" s="86"/>
    </row>
    <row r="44" spans="2:26" ht="18" customHeight="1" x14ac:dyDescent="0.15">
      <c r="B44" s="140"/>
      <c r="C44" s="141"/>
      <c r="D44" s="84"/>
      <c r="E44" s="115"/>
      <c r="F44" s="85"/>
      <c r="G44" s="86"/>
      <c r="H44" s="86"/>
      <c r="I44" s="86"/>
      <c r="J44" s="86"/>
      <c r="K44" s="86"/>
      <c r="L44" s="86"/>
      <c r="M44" s="86"/>
      <c r="N44" s="86"/>
      <c r="O44" s="86"/>
      <c r="P44" s="87"/>
      <c r="Q44" s="88"/>
      <c r="R44" s="86"/>
      <c r="S44" s="86"/>
      <c r="T44" s="86"/>
      <c r="U44" s="86"/>
      <c r="V44" s="86"/>
      <c r="W44" s="86"/>
      <c r="X44" s="86"/>
      <c r="Y44" s="86"/>
      <c r="Z44" s="86"/>
    </row>
    <row r="45" spans="2:26" ht="18" customHeight="1" x14ac:dyDescent="0.15">
      <c r="B45" s="140"/>
      <c r="C45" s="141"/>
      <c r="D45" s="84"/>
      <c r="E45" s="115"/>
      <c r="F45" s="85"/>
      <c r="G45" s="86"/>
      <c r="H45" s="86"/>
      <c r="I45" s="86"/>
      <c r="J45" s="86"/>
      <c r="K45" s="86"/>
      <c r="L45" s="86"/>
      <c r="M45" s="86"/>
      <c r="N45" s="86"/>
      <c r="O45" s="86"/>
      <c r="P45" s="87"/>
      <c r="Q45" s="88"/>
      <c r="R45" s="86"/>
      <c r="S45" s="86"/>
      <c r="T45" s="86"/>
      <c r="U45" s="86"/>
      <c r="V45" s="86"/>
      <c r="W45" s="86"/>
      <c r="X45" s="86"/>
      <c r="Y45" s="86"/>
      <c r="Z45" s="86"/>
    </row>
    <row r="46" spans="2:26" ht="18" customHeight="1" x14ac:dyDescent="0.15">
      <c r="B46" s="140"/>
      <c r="C46" s="141"/>
      <c r="D46" s="84"/>
      <c r="E46" s="115"/>
      <c r="F46" s="85"/>
      <c r="G46" s="86"/>
      <c r="H46" s="86"/>
      <c r="I46" s="86"/>
      <c r="J46" s="86"/>
      <c r="K46" s="86"/>
      <c r="L46" s="86"/>
      <c r="M46" s="86"/>
      <c r="N46" s="86"/>
      <c r="O46" s="86"/>
      <c r="P46" s="87"/>
      <c r="Q46" s="88"/>
      <c r="R46" s="86"/>
      <c r="S46" s="86"/>
      <c r="T46" s="86"/>
      <c r="U46" s="86"/>
      <c r="V46" s="86"/>
      <c r="W46" s="86"/>
      <c r="X46" s="86"/>
      <c r="Y46" s="86"/>
      <c r="Z46" s="86"/>
    </row>
    <row r="47" spans="2:26" ht="18" customHeight="1" x14ac:dyDescent="0.15">
      <c r="B47" s="140"/>
      <c r="C47" s="141"/>
      <c r="D47" s="84"/>
      <c r="E47" s="115"/>
      <c r="F47" s="85"/>
      <c r="G47" s="86"/>
      <c r="H47" s="86"/>
      <c r="I47" s="86"/>
      <c r="J47" s="86"/>
      <c r="K47" s="86"/>
      <c r="L47" s="86"/>
      <c r="M47" s="86"/>
      <c r="N47" s="86"/>
      <c r="O47" s="86"/>
      <c r="P47" s="87"/>
      <c r="Q47" s="88"/>
      <c r="R47" s="86"/>
      <c r="S47" s="86"/>
      <c r="T47" s="86"/>
      <c r="U47" s="86"/>
      <c r="V47" s="86"/>
      <c r="W47" s="86"/>
      <c r="X47" s="86"/>
      <c r="Y47" s="86"/>
      <c r="Z47" s="86"/>
    </row>
    <row r="48" spans="2:26" ht="18" customHeight="1" x14ac:dyDescent="0.15">
      <c r="B48" s="140"/>
      <c r="C48" s="141"/>
      <c r="D48" s="84"/>
      <c r="E48" s="115"/>
      <c r="F48" s="85"/>
      <c r="G48" s="86"/>
      <c r="H48" s="86"/>
      <c r="I48" s="86"/>
      <c r="J48" s="86"/>
      <c r="K48" s="86"/>
      <c r="L48" s="86"/>
      <c r="M48" s="86"/>
      <c r="N48" s="86"/>
      <c r="O48" s="86"/>
      <c r="P48" s="87"/>
      <c r="Q48" s="88"/>
      <c r="R48" s="86"/>
      <c r="S48" s="86"/>
      <c r="T48" s="86"/>
      <c r="U48" s="86"/>
      <c r="V48" s="86"/>
      <c r="W48" s="86"/>
      <c r="X48" s="86"/>
      <c r="Y48" s="86"/>
      <c r="Z48" s="86"/>
    </row>
    <row r="49" spans="1:26" ht="18" customHeight="1" x14ac:dyDescent="0.15">
      <c r="B49" s="140"/>
      <c r="C49" s="141"/>
      <c r="D49" s="84"/>
      <c r="E49" s="115"/>
      <c r="F49" s="85"/>
      <c r="G49" s="86"/>
      <c r="H49" s="86"/>
      <c r="I49" s="86"/>
      <c r="J49" s="86"/>
      <c r="K49" s="86"/>
      <c r="L49" s="86"/>
      <c r="M49" s="86"/>
      <c r="N49" s="86"/>
      <c r="O49" s="86"/>
      <c r="P49" s="87"/>
      <c r="Q49" s="88"/>
      <c r="R49" s="86"/>
      <c r="S49" s="86"/>
      <c r="T49" s="86"/>
      <c r="U49" s="86"/>
      <c r="V49" s="86"/>
      <c r="W49" s="86"/>
      <c r="X49" s="86"/>
      <c r="Y49" s="86"/>
      <c r="Z49" s="86"/>
    </row>
    <row r="50" spans="1:26" ht="18" customHeight="1" x14ac:dyDescent="0.15">
      <c r="B50" s="140"/>
      <c r="C50" s="141"/>
      <c r="D50" s="84"/>
      <c r="E50" s="115"/>
      <c r="F50" s="85"/>
      <c r="G50" s="86"/>
      <c r="H50" s="86"/>
      <c r="I50" s="86"/>
      <c r="J50" s="86"/>
      <c r="K50" s="86"/>
      <c r="L50" s="86"/>
      <c r="M50" s="86"/>
      <c r="N50" s="86"/>
      <c r="O50" s="86"/>
      <c r="P50" s="87"/>
      <c r="Q50" s="88"/>
      <c r="R50" s="86"/>
      <c r="S50" s="86"/>
      <c r="T50" s="86"/>
      <c r="U50" s="86"/>
      <c r="V50" s="86"/>
      <c r="W50" s="86"/>
      <c r="X50" s="86"/>
      <c r="Y50" s="86"/>
      <c r="Z50" s="86"/>
    </row>
    <row r="51" spans="1:26" ht="18" customHeight="1" x14ac:dyDescent="0.15">
      <c r="B51" s="140"/>
      <c r="C51" s="141"/>
      <c r="D51" s="84"/>
      <c r="E51" s="115"/>
      <c r="F51" s="85"/>
      <c r="G51" s="86"/>
      <c r="H51" s="86"/>
      <c r="I51" s="86"/>
      <c r="J51" s="86"/>
      <c r="K51" s="86"/>
      <c r="L51" s="86"/>
      <c r="M51" s="86"/>
      <c r="N51" s="86"/>
      <c r="O51" s="86"/>
      <c r="P51" s="87"/>
      <c r="Q51" s="88"/>
      <c r="R51" s="86"/>
      <c r="S51" s="86"/>
      <c r="T51" s="86"/>
      <c r="U51" s="86"/>
      <c r="V51" s="86"/>
      <c r="W51" s="86"/>
      <c r="X51" s="86"/>
      <c r="Y51" s="86"/>
      <c r="Z51" s="86"/>
    </row>
    <row r="52" spans="1:26" ht="18" customHeight="1" thickBot="1" x14ac:dyDescent="0.2">
      <c r="B52" s="142"/>
      <c r="C52" s="143"/>
      <c r="D52" s="89"/>
      <c r="E52" s="118"/>
      <c r="F52" s="99"/>
      <c r="G52" s="100"/>
      <c r="H52" s="100"/>
      <c r="I52" s="100"/>
      <c r="J52" s="100"/>
      <c r="K52" s="100"/>
      <c r="L52" s="100"/>
      <c r="M52" s="100"/>
      <c r="N52" s="100"/>
      <c r="O52" s="100"/>
      <c r="P52" s="101"/>
      <c r="Q52" s="93"/>
      <c r="R52" s="91"/>
      <c r="S52" s="91"/>
      <c r="T52" s="91"/>
      <c r="U52" s="91"/>
      <c r="V52" s="91"/>
      <c r="W52" s="91"/>
      <c r="X52" s="91"/>
      <c r="Y52" s="91"/>
      <c r="Z52" s="91"/>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47" t="s">
        <v>49</v>
      </c>
      <c r="C55" s="148"/>
      <c r="D55" s="4" t="s">
        <v>128</v>
      </c>
    </row>
    <row r="56" spans="1:26" ht="53.25" customHeight="1" x14ac:dyDescent="0.15">
      <c r="B56" s="144" t="s">
        <v>55</v>
      </c>
      <c r="C56" s="102" t="s">
        <v>50</v>
      </c>
      <c r="D56" s="67" t="s">
        <v>154</v>
      </c>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60" customHeight="1" x14ac:dyDescent="0.15">
      <c r="B57" s="145"/>
      <c r="C57" s="104" t="s">
        <v>67</v>
      </c>
      <c r="D57" s="120" t="s">
        <v>155</v>
      </c>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64.5" customHeight="1" x14ac:dyDescent="0.15">
      <c r="B58" s="144" t="s">
        <v>56</v>
      </c>
      <c r="C58" s="106" t="s">
        <v>61</v>
      </c>
      <c r="D58" s="121" t="s">
        <v>156</v>
      </c>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87" customHeight="1" x14ac:dyDescent="0.15">
      <c r="B59" s="146"/>
      <c r="C59" s="107" t="s">
        <v>62</v>
      </c>
      <c r="D59" s="122" t="s">
        <v>157</v>
      </c>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131.25" customHeight="1" x14ac:dyDescent="0.15">
      <c r="B60" s="144" t="s">
        <v>57</v>
      </c>
      <c r="C60" s="106" t="s">
        <v>63</v>
      </c>
      <c r="D60" s="67" t="s">
        <v>158</v>
      </c>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92.25" customHeight="1" x14ac:dyDescent="0.15">
      <c r="B61" s="146"/>
      <c r="C61" s="108" t="s">
        <v>64</v>
      </c>
      <c r="D61" s="120" t="s">
        <v>159</v>
      </c>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41.75" customHeight="1" x14ac:dyDescent="0.15">
      <c r="B62" s="144" t="s">
        <v>68</v>
      </c>
      <c r="C62" s="102" t="s">
        <v>52</v>
      </c>
      <c r="D62" s="67" t="s">
        <v>162</v>
      </c>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72.75" customHeight="1" x14ac:dyDescent="0.15">
      <c r="B63" s="146"/>
      <c r="C63" s="107" t="s">
        <v>54</v>
      </c>
      <c r="D63" s="120" t="s">
        <v>163</v>
      </c>
      <c r="E63" s="105"/>
      <c r="F63" s="105"/>
      <c r="G63" s="105"/>
      <c r="H63" s="105"/>
      <c r="I63" s="105"/>
      <c r="J63" s="105"/>
      <c r="K63" s="105"/>
      <c r="L63" s="105"/>
      <c r="M63" s="105"/>
      <c r="N63" s="105"/>
      <c r="O63" s="105"/>
      <c r="P63" s="105"/>
      <c r="Q63" s="105"/>
      <c r="R63" s="105"/>
      <c r="S63" s="105"/>
      <c r="T63" s="105"/>
      <c r="U63" s="105"/>
      <c r="V63" s="105"/>
      <c r="W63" s="105"/>
      <c r="X63" s="105"/>
      <c r="Y63" s="105"/>
      <c r="Z63" s="105"/>
    </row>
    <row r="64" spans="1:26" ht="158.25" customHeight="1" x14ac:dyDescent="0.15">
      <c r="B64" s="144" t="s">
        <v>69</v>
      </c>
      <c r="C64" s="106" t="s">
        <v>51</v>
      </c>
      <c r="D64" s="67" t="s">
        <v>160</v>
      </c>
      <c r="E64" s="105"/>
      <c r="F64" s="105"/>
      <c r="G64" s="105"/>
      <c r="H64" s="105"/>
      <c r="I64" s="105"/>
      <c r="J64" s="105"/>
      <c r="K64" s="105"/>
      <c r="L64" s="105"/>
      <c r="M64" s="105"/>
      <c r="N64" s="105"/>
      <c r="O64" s="105"/>
      <c r="P64" s="105"/>
      <c r="Q64" s="105"/>
      <c r="R64" s="105"/>
      <c r="S64" s="105"/>
      <c r="T64" s="105"/>
      <c r="U64" s="105"/>
      <c r="V64" s="105"/>
      <c r="W64" s="105"/>
      <c r="X64" s="105"/>
      <c r="Y64" s="105"/>
      <c r="Z64" s="105"/>
    </row>
    <row r="65" spans="1:26" ht="57.75" customHeight="1" x14ac:dyDescent="0.15">
      <c r="B65" s="145"/>
      <c r="C65" s="109" t="s">
        <v>65</v>
      </c>
      <c r="D65" s="123" t="s">
        <v>176</v>
      </c>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79.900000000000006" customHeight="1" x14ac:dyDescent="0.15">
      <c r="B66" s="146"/>
      <c r="C66" s="108" t="s">
        <v>66</v>
      </c>
      <c r="D66" s="122" t="s">
        <v>161</v>
      </c>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6" customHeight="1" x14ac:dyDescent="0.15"/>
    <row r="68" spans="1:26" ht="18.75" customHeight="1" x14ac:dyDescent="0.15">
      <c r="A68" s="8" t="s">
        <v>116</v>
      </c>
    </row>
    <row r="69" spans="1:26" ht="81.75" customHeight="1" x14ac:dyDescent="0.15">
      <c r="B69" s="16"/>
      <c r="C69" s="16"/>
      <c r="D69" s="66" t="s">
        <v>164</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35" fitToHeight="0" orientation="portrait" r:id="rId1"/>
  <rowBreaks count="1" manualBreakCount="1">
    <brk id="52"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F14" sqref="F14"/>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2" t="s">
        <v>94</v>
      </c>
      <c r="B2" s="152"/>
      <c r="C2" s="152"/>
      <c r="D2" s="152"/>
      <c r="E2" s="152"/>
      <c r="F2" s="152"/>
      <c r="G2" s="152"/>
      <c r="H2" s="152"/>
      <c r="I2" s="152"/>
      <c r="J2" s="152"/>
      <c r="K2" s="152"/>
      <c r="L2" s="152"/>
      <c r="M2" s="152"/>
      <c r="N2" s="152"/>
      <c r="O2" s="152"/>
      <c r="P2" s="152"/>
      <c r="Q2" s="152"/>
      <c r="R2" s="152"/>
      <c r="S2" s="152"/>
      <c r="T2" s="152"/>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138</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3" t="s">
        <v>43</v>
      </c>
      <c r="C8" s="149" t="s">
        <v>73</v>
      </c>
      <c r="D8" s="150"/>
      <c r="E8" s="155" t="s">
        <v>45</v>
      </c>
      <c r="F8" s="149" t="s">
        <v>38</v>
      </c>
      <c r="G8" s="151" t="s">
        <v>108</v>
      </c>
      <c r="H8" s="151"/>
      <c r="I8" s="151" t="s">
        <v>92</v>
      </c>
      <c r="J8" s="151"/>
      <c r="K8" s="151" t="s">
        <v>86</v>
      </c>
      <c r="L8" s="151"/>
      <c r="M8" s="151" t="s">
        <v>72</v>
      </c>
      <c r="N8" s="151"/>
      <c r="O8" s="151" t="s">
        <v>46</v>
      </c>
      <c r="P8" s="151"/>
      <c r="Q8" s="151" t="s">
        <v>47</v>
      </c>
      <c r="R8" s="162"/>
      <c r="S8" s="158" t="s">
        <v>35</v>
      </c>
      <c r="T8" s="160" t="s">
        <v>32</v>
      </c>
      <c r="V8" s="13"/>
    </row>
    <row r="9" spans="1:22" ht="16.899999999999999" customHeight="1" x14ac:dyDescent="0.15">
      <c r="B9" s="154"/>
      <c r="C9" s="1"/>
      <c r="D9" s="2" t="s">
        <v>111</v>
      </c>
      <c r="E9" s="156"/>
      <c r="F9" s="157"/>
      <c r="G9" s="40" t="s">
        <v>79</v>
      </c>
      <c r="H9" s="40" t="s">
        <v>29</v>
      </c>
      <c r="I9" s="40" t="s">
        <v>79</v>
      </c>
      <c r="J9" s="40" t="s">
        <v>29</v>
      </c>
      <c r="K9" s="40" t="s">
        <v>79</v>
      </c>
      <c r="L9" s="40" t="s">
        <v>29</v>
      </c>
      <c r="M9" s="40" t="s">
        <v>79</v>
      </c>
      <c r="N9" s="40" t="s">
        <v>29</v>
      </c>
      <c r="O9" s="40" t="s">
        <v>79</v>
      </c>
      <c r="P9" s="40" t="s">
        <v>29</v>
      </c>
      <c r="Q9" s="40" t="s">
        <v>79</v>
      </c>
      <c r="R9" s="40" t="s">
        <v>29</v>
      </c>
      <c r="S9" s="159"/>
      <c r="T9" s="161"/>
      <c r="V9" s="13"/>
    </row>
    <row r="10" spans="1:22" ht="18" customHeight="1" x14ac:dyDescent="0.15">
      <c r="A10" s="41"/>
      <c r="B10" s="42" t="s">
        <v>139</v>
      </c>
      <c r="C10" s="58">
        <v>47</v>
      </c>
      <c r="D10" s="64">
        <v>45</v>
      </c>
      <c r="E10" s="57">
        <v>40</v>
      </c>
      <c r="F10" s="58">
        <v>125</v>
      </c>
      <c r="G10" s="58">
        <v>13</v>
      </c>
      <c r="H10" s="58">
        <v>12</v>
      </c>
      <c r="I10" s="58">
        <v>14</v>
      </c>
      <c r="J10" s="58">
        <v>13</v>
      </c>
      <c r="K10" s="58">
        <v>21</v>
      </c>
      <c r="L10" s="58">
        <v>21</v>
      </c>
      <c r="M10" s="58"/>
      <c r="N10" s="58"/>
      <c r="O10" s="58"/>
      <c r="P10" s="58"/>
      <c r="Q10" s="58"/>
      <c r="R10" s="58"/>
      <c r="S10" s="3">
        <f>G10+K10+M10+O10+Q10</f>
        <v>34</v>
      </c>
      <c r="T10" s="43">
        <f>S10/F10</f>
        <v>0.27200000000000002</v>
      </c>
    </row>
    <row r="11" spans="1:22" ht="18" customHeight="1" x14ac:dyDescent="0.15">
      <c r="A11" s="41"/>
      <c r="B11" s="44" t="s">
        <v>140</v>
      </c>
      <c r="C11" s="60">
        <v>32</v>
      </c>
      <c r="D11" s="62">
        <v>16</v>
      </c>
      <c r="E11" s="59">
        <v>20</v>
      </c>
      <c r="F11" s="60">
        <v>70</v>
      </c>
      <c r="G11" s="61">
        <v>10</v>
      </c>
      <c r="H11" s="61">
        <v>10</v>
      </c>
      <c r="I11" s="61">
        <v>9</v>
      </c>
      <c r="J11" s="61">
        <v>9</v>
      </c>
      <c r="K11" s="61">
        <v>13</v>
      </c>
      <c r="L11" s="61">
        <v>12</v>
      </c>
      <c r="M11" s="61"/>
      <c r="N11" s="61"/>
      <c r="O11" s="61"/>
      <c r="P11" s="61"/>
      <c r="Q11" s="61"/>
      <c r="R11" s="61"/>
      <c r="S11" s="45">
        <f t="shared" ref="S11:S29" si="0">G11+K11+M11+O11+Q11</f>
        <v>23</v>
      </c>
      <c r="T11" s="46">
        <f t="shared" ref="T11:T27" si="1">S11/F11</f>
        <v>0.32857142857142857</v>
      </c>
    </row>
    <row r="12" spans="1:22" ht="18" customHeight="1" x14ac:dyDescent="0.15">
      <c r="A12" s="41"/>
      <c r="B12" s="44" t="s">
        <v>141</v>
      </c>
      <c r="C12" s="60">
        <v>118</v>
      </c>
      <c r="D12" s="62">
        <v>81</v>
      </c>
      <c r="E12" s="59">
        <v>85</v>
      </c>
      <c r="F12" s="60">
        <v>275</v>
      </c>
      <c r="G12" s="61">
        <v>55</v>
      </c>
      <c r="H12" s="61">
        <v>52</v>
      </c>
      <c r="I12" s="61">
        <v>39</v>
      </c>
      <c r="J12" s="61">
        <v>34</v>
      </c>
      <c r="K12" s="61">
        <v>48</v>
      </c>
      <c r="L12" s="61">
        <v>45</v>
      </c>
      <c r="M12" s="61"/>
      <c r="N12" s="61"/>
      <c r="O12" s="61"/>
      <c r="P12" s="61"/>
      <c r="Q12" s="61"/>
      <c r="R12" s="61"/>
      <c r="S12" s="45">
        <f t="shared" si="0"/>
        <v>103</v>
      </c>
      <c r="T12" s="47">
        <f t="shared" si="1"/>
        <v>0.37454545454545457</v>
      </c>
    </row>
    <row r="13" spans="1:22" ht="18" customHeight="1" x14ac:dyDescent="0.15">
      <c r="A13" s="41"/>
      <c r="B13" s="44" t="s">
        <v>142</v>
      </c>
      <c r="C13" s="60">
        <v>125</v>
      </c>
      <c r="D13" s="62">
        <v>109</v>
      </c>
      <c r="E13" s="59">
        <v>65</v>
      </c>
      <c r="F13" s="60">
        <v>229</v>
      </c>
      <c r="G13" s="61">
        <v>45</v>
      </c>
      <c r="H13" s="61">
        <v>44</v>
      </c>
      <c r="I13" s="61">
        <v>34</v>
      </c>
      <c r="J13" s="61">
        <v>34</v>
      </c>
      <c r="K13" s="61">
        <v>38</v>
      </c>
      <c r="L13" s="61">
        <v>37</v>
      </c>
      <c r="M13" s="61"/>
      <c r="N13" s="61"/>
      <c r="O13" s="61"/>
      <c r="P13" s="61"/>
      <c r="Q13" s="61"/>
      <c r="R13" s="61"/>
      <c r="S13" s="45">
        <f t="shared" si="0"/>
        <v>83</v>
      </c>
      <c r="T13" s="47">
        <f t="shared" si="1"/>
        <v>0.36244541484716158</v>
      </c>
    </row>
    <row r="14" spans="1:22" ht="18" customHeight="1" x14ac:dyDescent="0.15">
      <c r="A14" s="41"/>
      <c r="B14" s="44"/>
      <c r="C14" s="60"/>
      <c r="D14" s="62"/>
      <c r="E14" s="59"/>
      <c r="F14" s="60"/>
      <c r="G14" s="61"/>
      <c r="H14" s="61"/>
      <c r="I14" s="61"/>
      <c r="J14" s="61"/>
      <c r="K14" s="61"/>
      <c r="L14" s="61"/>
      <c r="M14" s="61"/>
      <c r="N14" s="61"/>
      <c r="O14" s="61"/>
      <c r="P14" s="61"/>
      <c r="Q14" s="61"/>
      <c r="R14" s="61"/>
      <c r="S14" s="45">
        <f t="shared" si="0"/>
        <v>0</v>
      </c>
      <c r="T14" s="47" t="e">
        <f t="shared" si="1"/>
        <v>#DIV/0!</v>
      </c>
    </row>
    <row r="15" spans="1:22" ht="18" customHeight="1" x14ac:dyDescent="0.15">
      <c r="A15" s="41"/>
      <c r="B15" s="44"/>
      <c r="C15" s="60"/>
      <c r="D15" s="62"/>
      <c r="E15" s="59"/>
      <c r="F15" s="60"/>
      <c r="G15" s="61"/>
      <c r="H15" s="61"/>
      <c r="I15" s="61"/>
      <c r="J15" s="61"/>
      <c r="K15" s="61"/>
      <c r="L15" s="61"/>
      <c r="M15" s="61"/>
      <c r="N15" s="61"/>
      <c r="O15" s="61"/>
      <c r="P15" s="61"/>
      <c r="Q15" s="61"/>
      <c r="R15" s="61"/>
      <c r="S15" s="45">
        <f t="shared" si="0"/>
        <v>0</v>
      </c>
      <c r="T15" s="47" t="e">
        <f t="shared" si="1"/>
        <v>#DIV/0!</v>
      </c>
    </row>
    <row r="16" spans="1:22" ht="18" customHeight="1" x14ac:dyDescent="0.15">
      <c r="A16" s="41"/>
      <c r="B16" s="44"/>
      <c r="C16" s="60"/>
      <c r="D16" s="62"/>
      <c r="E16" s="59"/>
      <c r="F16" s="60"/>
      <c r="G16" s="61"/>
      <c r="H16" s="61"/>
      <c r="I16" s="61"/>
      <c r="J16" s="61"/>
      <c r="K16" s="61"/>
      <c r="L16" s="61"/>
      <c r="M16" s="61"/>
      <c r="N16" s="61"/>
      <c r="O16" s="61"/>
      <c r="P16" s="61"/>
      <c r="Q16" s="61"/>
      <c r="R16" s="61"/>
      <c r="S16" s="45">
        <f t="shared" si="0"/>
        <v>0</v>
      </c>
      <c r="T16" s="47" t="e">
        <f t="shared" si="1"/>
        <v>#DIV/0!</v>
      </c>
    </row>
    <row r="17" spans="1:20" ht="18" customHeight="1" x14ac:dyDescent="0.15">
      <c r="A17" s="41"/>
      <c r="B17" s="44"/>
      <c r="C17" s="60"/>
      <c r="D17" s="62"/>
      <c r="E17" s="59"/>
      <c r="F17" s="60"/>
      <c r="G17" s="61"/>
      <c r="H17" s="61"/>
      <c r="I17" s="61"/>
      <c r="J17" s="61"/>
      <c r="K17" s="61"/>
      <c r="L17" s="61"/>
      <c r="M17" s="61"/>
      <c r="N17" s="61"/>
      <c r="O17" s="61"/>
      <c r="P17" s="61"/>
      <c r="Q17" s="61"/>
      <c r="R17" s="61"/>
      <c r="S17" s="45">
        <f t="shared" si="0"/>
        <v>0</v>
      </c>
      <c r="T17" s="47" t="e">
        <f t="shared" si="1"/>
        <v>#DIV/0!</v>
      </c>
    </row>
    <row r="18" spans="1:20" ht="18" customHeight="1" x14ac:dyDescent="0.15">
      <c r="A18" s="41"/>
      <c r="B18" s="44"/>
      <c r="C18" s="60"/>
      <c r="D18" s="62"/>
      <c r="E18" s="59"/>
      <c r="F18" s="60"/>
      <c r="G18" s="61"/>
      <c r="H18" s="61"/>
      <c r="I18" s="61"/>
      <c r="J18" s="61"/>
      <c r="K18" s="61"/>
      <c r="L18" s="61"/>
      <c r="M18" s="61"/>
      <c r="N18" s="61"/>
      <c r="O18" s="61"/>
      <c r="P18" s="61"/>
      <c r="Q18" s="61"/>
      <c r="R18" s="61"/>
      <c r="S18" s="45">
        <f t="shared" si="0"/>
        <v>0</v>
      </c>
      <c r="T18" s="47" t="e">
        <f t="shared" si="1"/>
        <v>#DIV/0!</v>
      </c>
    </row>
    <row r="19" spans="1:20" ht="18" customHeight="1" x14ac:dyDescent="0.15">
      <c r="A19" s="41"/>
      <c r="B19" s="44"/>
      <c r="C19" s="60"/>
      <c r="D19" s="62"/>
      <c r="E19" s="59"/>
      <c r="F19" s="60"/>
      <c r="G19" s="61"/>
      <c r="H19" s="61"/>
      <c r="I19" s="61"/>
      <c r="J19" s="61"/>
      <c r="K19" s="61"/>
      <c r="L19" s="61"/>
      <c r="M19" s="61"/>
      <c r="N19" s="61"/>
      <c r="O19" s="61"/>
      <c r="P19" s="61"/>
      <c r="Q19" s="61"/>
      <c r="R19" s="61"/>
      <c r="S19" s="45">
        <f t="shared" si="0"/>
        <v>0</v>
      </c>
      <c r="T19" s="47" t="e">
        <f t="shared" si="1"/>
        <v>#DIV/0!</v>
      </c>
    </row>
    <row r="20" spans="1:20" ht="18" customHeight="1" x14ac:dyDescent="0.15">
      <c r="A20" s="41"/>
      <c r="B20" s="44"/>
      <c r="C20" s="60"/>
      <c r="D20" s="62"/>
      <c r="E20" s="59"/>
      <c r="F20" s="60"/>
      <c r="G20" s="61"/>
      <c r="H20" s="61"/>
      <c r="I20" s="61"/>
      <c r="J20" s="61"/>
      <c r="K20" s="61"/>
      <c r="L20" s="61"/>
      <c r="M20" s="61"/>
      <c r="N20" s="61"/>
      <c r="O20" s="61"/>
      <c r="P20" s="61"/>
      <c r="Q20" s="61"/>
      <c r="R20" s="61"/>
      <c r="S20" s="45">
        <f t="shared" si="0"/>
        <v>0</v>
      </c>
      <c r="T20" s="47" t="e">
        <f t="shared" si="1"/>
        <v>#DIV/0!</v>
      </c>
    </row>
    <row r="21" spans="1:20" ht="18" customHeight="1" x14ac:dyDescent="0.15">
      <c r="A21" s="41"/>
      <c r="B21" s="44"/>
      <c r="C21" s="60"/>
      <c r="D21" s="62"/>
      <c r="E21" s="59"/>
      <c r="F21" s="60"/>
      <c r="G21" s="61"/>
      <c r="H21" s="61"/>
      <c r="I21" s="61"/>
      <c r="J21" s="61"/>
      <c r="K21" s="61"/>
      <c r="L21" s="61"/>
      <c r="M21" s="61"/>
      <c r="N21" s="61"/>
      <c r="O21" s="61"/>
      <c r="P21" s="61"/>
      <c r="Q21" s="61"/>
      <c r="R21" s="61"/>
      <c r="S21" s="45">
        <f t="shared" si="0"/>
        <v>0</v>
      </c>
      <c r="T21" s="47" t="e">
        <f t="shared" si="1"/>
        <v>#DIV/0!</v>
      </c>
    </row>
    <row r="22" spans="1:20" ht="18" customHeight="1" x14ac:dyDescent="0.15">
      <c r="A22" s="41"/>
      <c r="B22" s="44"/>
      <c r="C22" s="60"/>
      <c r="D22" s="62"/>
      <c r="E22" s="59"/>
      <c r="F22" s="60"/>
      <c r="G22" s="61"/>
      <c r="H22" s="61"/>
      <c r="I22" s="61"/>
      <c r="J22" s="61"/>
      <c r="K22" s="61"/>
      <c r="L22" s="61"/>
      <c r="M22" s="61"/>
      <c r="N22" s="61"/>
      <c r="O22" s="61"/>
      <c r="P22" s="61"/>
      <c r="Q22" s="61"/>
      <c r="R22" s="61"/>
      <c r="S22" s="45">
        <f t="shared" si="0"/>
        <v>0</v>
      </c>
      <c r="T22" s="47" t="e">
        <f t="shared" si="1"/>
        <v>#DIV/0!</v>
      </c>
    </row>
    <row r="23" spans="1:20" ht="18" customHeight="1" x14ac:dyDescent="0.15">
      <c r="A23" s="41"/>
      <c r="B23" s="44"/>
      <c r="C23" s="60"/>
      <c r="D23" s="62"/>
      <c r="E23" s="59"/>
      <c r="F23" s="60"/>
      <c r="G23" s="61"/>
      <c r="H23" s="61"/>
      <c r="I23" s="61"/>
      <c r="J23" s="61"/>
      <c r="K23" s="61"/>
      <c r="L23" s="61"/>
      <c r="M23" s="61"/>
      <c r="N23" s="61"/>
      <c r="O23" s="61"/>
      <c r="P23" s="61"/>
      <c r="Q23" s="61"/>
      <c r="R23" s="61"/>
      <c r="S23" s="45">
        <f t="shared" si="0"/>
        <v>0</v>
      </c>
      <c r="T23" s="47" t="e">
        <f t="shared" si="1"/>
        <v>#DIV/0!</v>
      </c>
    </row>
    <row r="24" spans="1:20" ht="18" customHeight="1" x14ac:dyDescent="0.15">
      <c r="A24" s="41"/>
      <c r="B24" s="44"/>
      <c r="C24" s="60"/>
      <c r="D24" s="62"/>
      <c r="E24" s="59"/>
      <c r="F24" s="60"/>
      <c r="G24" s="61"/>
      <c r="H24" s="61"/>
      <c r="I24" s="61"/>
      <c r="J24" s="61"/>
      <c r="K24" s="61"/>
      <c r="L24" s="61"/>
      <c r="M24" s="61"/>
      <c r="N24" s="61"/>
      <c r="O24" s="61"/>
      <c r="P24" s="61"/>
      <c r="Q24" s="61"/>
      <c r="R24" s="61"/>
      <c r="S24" s="45">
        <f t="shared" si="0"/>
        <v>0</v>
      </c>
      <c r="T24" s="47" t="e">
        <f t="shared" si="1"/>
        <v>#DIV/0!</v>
      </c>
    </row>
    <row r="25" spans="1:20" ht="18" customHeight="1" x14ac:dyDescent="0.15">
      <c r="A25" s="41"/>
      <c r="B25" s="44"/>
      <c r="C25" s="60"/>
      <c r="D25" s="62"/>
      <c r="E25" s="59"/>
      <c r="F25" s="60"/>
      <c r="G25" s="61"/>
      <c r="H25" s="61"/>
      <c r="I25" s="61"/>
      <c r="J25" s="61"/>
      <c r="K25" s="61"/>
      <c r="L25" s="61"/>
      <c r="M25" s="61"/>
      <c r="N25" s="61"/>
      <c r="O25" s="61"/>
      <c r="P25" s="61"/>
      <c r="Q25" s="61"/>
      <c r="R25" s="61"/>
      <c r="S25" s="45">
        <f t="shared" si="0"/>
        <v>0</v>
      </c>
      <c r="T25" s="47" t="e">
        <f t="shared" si="1"/>
        <v>#DIV/0!</v>
      </c>
    </row>
    <row r="26" spans="1:20" ht="18" customHeight="1" x14ac:dyDescent="0.15">
      <c r="A26" s="41"/>
      <c r="B26" s="44"/>
      <c r="C26" s="60"/>
      <c r="D26" s="62"/>
      <c r="E26" s="59"/>
      <c r="F26" s="60"/>
      <c r="G26" s="61"/>
      <c r="H26" s="61"/>
      <c r="I26" s="61"/>
      <c r="J26" s="61"/>
      <c r="K26" s="61"/>
      <c r="L26" s="61"/>
      <c r="M26" s="61"/>
      <c r="N26" s="61"/>
      <c r="O26" s="61"/>
      <c r="P26" s="61"/>
      <c r="Q26" s="61"/>
      <c r="R26" s="61"/>
      <c r="S26" s="45">
        <f t="shared" si="0"/>
        <v>0</v>
      </c>
      <c r="T26" s="47" t="e">
        <f t="shared" si="1"/>
        <v>#DIV/0!</v>
      </c>
    </row>
    <row r="27" spans="1:20" ht="18" customHeight="1" x14ac:dyDescent="0.15">
      <c r="A27" s="41"/>
      <c r="B27" s="44"/>
      <c r="C27" s="60"/>
      <c r="D27" s="62"/>
      <c r="E27" s="63"/>
      <c r="F27" s="60"/>
      <c r="G27" s="61"/>
      <c r="H27" s="61"/>
      <c r="I27" s="61"/>
      <c r="J27" s="61"/>
      <c r="K27" s="61"/>
      <c r="L27" s="61"/>
      <c r="M27" s="61"/>
      <c r="N27" s="61"/>
      <c r="O27" s="61"/>
      <c r="P27" s="61"/>
      <c r="Q27" s="61"/>
      <c r="R27" s="61"/>
      <c r="S27" s="45">
        <f t="shared" si="0"/>
        <v>0</v>
      </c>
      <c r="T27" s="47" t="e">
        <f t="shared" si="1"/>
        <v>#DIV/0!</v>
      </c>
    </row>
    <row r="28" spans="1:20" ht="18" customHeight="1" x14ac:dyDescent="0.15">
      <c r="A28" s="41"/>
      <c r="B28" s="44"/>
      <c r="C28" s="60"/>
      <c r="D28" s="62"/>
      <c r="E28" s="63"/>
      <c r="F28" s="60"/>
      <c r="G28" s="61"/>
      <c r="H28" s="61"/>
      <c r="I28" s="61"/>
      <c r="J28" s="61"/>
      <c r="K28" s="61"/>
      <c r="L28" s="61"/>
      <c r="M28" s="61"/>
      <c r="N28" s="61"/>
      <c r="O28" s="61"/>
      <c r="P28" s="61"/>
      <c r="Q28" s="61"/>
      <c r="R28" s="61"/>
      <c r="S28" s="45">
        <f t="shared" si="0"/>
        <v>0</v>
      </c>
      <c r="T28" s="47" t="e">
        <f t="shared" ref="T28:T29" si="2">S28/F28</f>
        <v>#DIV/0!</v>
      </c>
    </row>
    <row r="29" spans="1:20" ht="18" customHeight="1" thickBot="1" x14ac:dyDescent="0.2">
      <c r="A29" s="41"/>
      <c r="B29" s="48"/>
      <c r="C29" s="58"/>
      <c r="D29" s="64"/>
      <c r="E29" s="65"/>
      <c r="F29" s="58"/>
      <c r="G29" s="58"/>
      <c r="H29" s="58"/>
      <c r="I29" s="58"/>
      <c r="J29" s="58"/>
      <c r="K29" s="58"/>
      <c r="L29" s="58"/>
      <c r="M29" s="58"/>
      <c r="N29" s="58"/>
      <c r="O29" s="58"/>
      <c r="P29" s="58"/>
      <c r="Q29" s="58"/>
      <c r="R29" s="58"/>
      <c r="S29" s="3">
        <f t="shared" si="0"/>
        <v>0</v>
      </c>
      <c r="T29" s="47" t="e">
        <f t="shared" si="2"/>
        <v>#DIV/0!</v>
      </c>
    </row>
    <row r="30" spans="1:20" ht="18" customHeight="1" thickTop="1" x14ac:dyDescent="0.15">
      <c r="B30" s="49" t="s">
        <v>33</v>
      </c>
      <c r="C30" s="51">
        <f t="shared" ref="C30" si="3">SUM(C10:C29)</f>
        <v>322</v>
      </c>
      <c r="D30" s="111">
        <f>SUM(D10:D29)</f>
        <v>251</v>
      </c>
      <c r="E30" s="50">
        <f t="shared" ref="E30:G30" si="4">SUM(E10:E29)</f>
        <v>210</v>
      </c>
      <c r="F30" s="51">
        <f t="shared" si="4"/>
        <v>699</v>
      </c>
      <c r="G30" s="51">
        <f t="shared" si="4"/>
        <v>123</v>
      </c>
      <c r="H30" s="51">
        <f t="shared" ref="H30:K30" si="5">SUM(H10:H29)</f>
        <v>118</v>
      </c>
      <c r="I30" s="51">
        <f t="shared" si="5"/>
        <v>96</v>
      </c>
      <c r="J30" s="51">
        <f t="shared" si="5"/>
        <v>90</v>
      </c>
      <c r="K30" s="51">
        <f t="shared" si="5"/>
        <v>120</v>
      </c>
      <c r="L30" s="51">
        <f t="shared" ref="L30:M30" si="6">SUM(L10:L29)</f>
        <v>115</v>
      </c>
      <c r="M30" s="51">
        <f t="shared" si="6"/>
        <v>0</v>
      </c>
      <c r="N30" s="51">
        <f t="shared" ref="N30:S30" si="7">SUM(N10:N29)</f>
        <v>0</v>
      </c>
      <c r="O30" s="51">
        <f t="shared" si="7"/>
        <v>0</v>
      </c>
      <c r="P30" s="51">
        <f t="shared" si="7"/>
        <v>0</v>
      </c>
      <c r="Q30" s="51">
        <f t="shared" si="7"/>
        <v>0</v>
      </c>
      <c r="R30" s="51">
        <f t="shared" si="7"/>
        <v>0</v>
      </c>
      <c r="S30" s="51">
        <f t="shared" si="7"/>
        <v>243</v>
      </c>
      <c r="T30" s="52">
        <f>S30/F30</f>
        <v>0.34763948497854075</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11" zoomScaleNormal="100" zoomScaleSheetLayoutView="100" workbookViewId="0">
      <selection activeCell="C27" sqref="C27"/>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2" t="s">
        <v>36</v>
      </c>
      <c r="B3" s="152"/>
      <c r="C3" s="152"/>
      <c r="D3" s="152"/>
      <c r="E3" s="152"/>
    </row>
    <row r="4" spans="1:5" ht="13.15" customHeight="1" x14ac:dyDescent="0.15">
      <c r="B4" s="12"/>
      <c r="C4" s="12"/>
      <c r="D4" s="12"/>
      <c r="E4" s="12"/>
    </row>
    <row r="5" spans="1:5" ht="18" customHeight="1" x14ac:dyDescent="0.15">
      <c r="A5" s="8" t="s">
        <v>0</v>
      </c>
      <c r="B5" s="130" t="s">
        <v>76</v>
      </c>
      <c r="C5" s="130"/>
      <c r="D5" s="130"/>
      <c r="E5" s="130"/>
    </row>
    <row r="6" spans="1:5" ht="18.600000000000001" customHeight="1" x14ac:dyDescent="0.15">
      <c r="B6" s="29" t="s">
        <v>77</v>
      </c>
      <c r="C6" s="119">
        <v>43</v>
      </c>
      <c r="D6" s="10" t="s">
        <v>1</v>
      </c>
      <c r="E6" s="14"/>
    </row>
    <row r="7" spans="1:5" ht="18.600000000000001" customHeight="1" x14ac:dyDescent="0.15">
      <c r="B7" s="29" t="s">
        <v>2</v>
      </c>
      <c r="C7" s="119">
        <v>54</v>
      </c>
      <c r="D7" s="10" t="s">
        <v>1</v>
      </c>
      <c r="E7" s="14"/>
    </row>
    <row r="8" spans="1:5" ht="18.600000000000001" customHeight="1" x14ac:dyDescent="0.15">
      <c r="B8" s="9"/>
      <c r="C8" s="9"/>
      <c r="D8" s="10"/>
      <c r="E8" s="14"/>
    </row>
    <row r="9" spans="1:5" ht="18" customHeight="1" x14ac:dyDescent="0.15">
      <c r="A9" s="8" t="s">
        <v>3</v>
      </c>
      <c r="B9" s="130" t="s">
        <v>122</v>
      </c>
      <c r="C9" s="130"/>
      <c r="D9" s="130"/>
      <c r="E9" s="130"/>
    </row>
    <row r="10" spans="1:5" ht="18" customHeight="1" x14ac:dyDescent="0.15">
      <c r="A10" s="8"/>
      <c r="B10" s="10"/>
      <c r="C10" s="119">
        <v>1</v>
      </c>
      <c r="D10" s="10" t="s">
        <v>1</v>
      </c>
      <c r="E10" s="10"/>
    </row>
    <row r="11" spans="1:5" ht="9" customHeight="1" x14ac:dyDescent="0.15">
      <c r="B11" s="12"/>
      <c r="C11" s="12"/>
      <c r="D11" s="12"/>
      <c r="E11" s="12"/>
    </row>
    <row r="12" spans="1:5" ht="18" customHeight="1" x14ac:dyDescent="0.15">
      <c r="A12" s="8" t="s">
        <v>4</v>
      </c>
      <c r="B12" s="130" t="s">
        <v>78</v>
      </c>
      <c r="C12" s="130"/>
      <c r="D12" s="130"/>
      <c r="E12" s="130"/>
    </row>
    <row r="13" spans="1:5" ht="18" customHeight="1" x14ac:dyDescent="0.15">
      <c r="C13" s="9" t="s">
        <v>41</v>
      </c>
      <c r="D13" s="69" t="s">
        <v>143</v>
      </c>
      <c r="E13" s="10"/>
    </row>
    <row r="14" spans="1:5" ht="18" customHeight="1" x14ac:dyDescent="0.15">
      <c r="C14" s="9" t="s">
        <v>10</v>
      </c>
      <c r="D14" s="69" t="s">
        <v>167</v>
      </c>
      <c r="E14" s="14"/>
    </row>
    <row r="15" spans="1:5" ht="10.15" customHeight="1" x14ac:dyDescent="0.15">
      <c r="B15" s="9"/>
      <c r="C15" s="10"/>
      <c r="D15" s="14"/>
      <c r="E15" s="14"/>
    </row>
    <row r="16" spans="1:5" ht="18" customHeight="1" x14ac:dyDescent="0.15">
      <c r="A16" s="8" t="s">
        <v>7</v>
      </c>
      <c r="B16" s="130" t="s">
        <v>74</v>
      </c>
      <c r="C16" s="130"/>
      <c r="D16" s="130"/>
      <c r="E16" s="130"/>
    </row>
    <row r="17" spans="1:10" ht="18" customHeight="1" x14ac:dyDescent="0.15">
      <c r="C17" s="9" t="s">
        <v>118</v>
      </c>
      <c r="D17" s="69" t="s">
        <v>144</v>
      </c>
      <c r="E17" s="10"/>
    </row>
    <row r="18" spans="1:10" ht="9" customHeight="1" x14ac:dyDescent="0.15">
      <c r="B18" s="12"/>
      <c r="C18" s="12"/>
      <c r="D18" s="12"/>
      <c r="E18" s="12"/>
    </row>
    <row r="19" spans="1:10" ht="18.75" customHeight="1" x14ac:dyDescent="0.15">
      <c r="A19" s="8" t="s">
        <v>5</v>
      </c>
      <c r="B19" s="129" t="s">
        <v>40</v>
      </c>
      <c r="C19" s="129"/>
      <c r="D19" s="129"/>
      <c r="E19" s="129"/>
    </row>
    <row r="20" spans="1:10" ht="18.75" customHeight="1" x14ac:dyDescent="0.15">
      <c r="A20" s="8"/>
      <c r="C20" s="9" t="s">
        <v>118</v>
      </c>
      <c r="D20" s="69" t="s">
        <v>145</v>
      </c>
      <c r="E20" s="10"/>
    </row>
    <row r="21" spans="1:10" ht="7.5" customHeight="1" x14ac:dyDescent="0.15">
      <c r="B21" s="12"/>
      <c r="C21" s="12"/>
      <c r="D21" s="12"/>
      <c r="E21" s="12"/>
    </row>
    <row r="22" spans="1:10" ht="18.75" customHeight="1" x14ac:dyDescent="0.15">
      <c r="A22" s="8" t="s">
        <v>8</v>
      </c>
      <c r="B22" s="129" t="s">
        <v>25</v>
      </c>
      <c r="C22" s="129"/>
      <c r="D22" s="129"/>
      <c r="E22" s="129"/>
    </row>
    <row r="23" spans="1:10" ht="180" customHeight="1" x14ac:dyDescent="0.15">
      <c r="A23" s="15"/>
      <c r="B23" s="16"/>
      <c r="C23" s="165" t="s">
        <v>168</v>
      </c>
      <c r="D23" s="166"/>
      <c r="E23" s="167"/>
    </row>
    <row r="24" spans="1:10" ht="7.5" customHeight="1" x14ac:dyDescent="0.15">
      <c r="A24" s="15"/>
      <c r="B24" s="15"/>
      <c r="C24" s="15"/>
      <c r="D24" s="15"/>
      <c r="E24" s="15"/>
    </row>
    <row r="25" spans="1:10" ht="18.75" customHeight="1" x14ac:dyDescent="0.15">
      <c r="A25" s="17" t="s">
        <v>6</v>
      </c>
      <c r="B25" s="168" t="s">
        <v>9</v>
      </c>
      <c r="C25" s="169"/>
      <c r="D25" s="169"/>
      <c r="E25" s="169"/>
    </row>
    <row r="26" spans="1:10" ht="180" customHeight="1" x14ac:dyDescent="0.15">
      <c r="A26" s="15"/>
      <c r="B26" s="16"/>
      <c r="C26" s="165" t="s">
        <v>177</v>
      </c>
      <c r="D26" s="166"/>
      <c r="E26" s="167"/>
    </row>
    <row r="27" spans="1:10" ht="7.5" customHeight="1" x14ac:dyDescent="0.15">
      <c r="A27" s="18"/>
      <c r="B27" s="18"/>
      <c r="C27" s="18"/>
      <c r="D27" s="18"/>
      <c r="E27" s="18"/>
    </row>
    <row r="28" spans="1:10" ht="18.75" customHeight="1" x14ac:dyDescent="0.15">
      <c r="A28" s="8" t="s">
        <v>31</v>
      </c>
      <c r="B28" s="129" t="s">
        <v>121</v>
      </c>
      <c r="C28" s="170"/>
      <c r="D28" s="170"/>
      <c r="E28" s="129"/>
    </row>
    <row r="29" spans="1:10" s="12" customFormat="1" ht="18.75" customHeight="1" x14ac:dyDescent="0.15">
      <c r="B29" s="25"/>
      <c r="C29" s="21" t="s">
        <v>123</v>
      </c>
      <c r="D29" s="30">
        <f>IFERROR('様式２ 履修者等数の実績'!T30, "（様式２より自動転記）")</f>
        <v>0.34763948497854075</v>
      </c>
      <c r="E29" s="26"/>
      <c r="F29" s="8"/>
      <c r="I29" s="8"/>
      <c r="J29" s="20"/>
    </row>
    <row r="30" spans="1:10" s="12" customFormat="1" ht="18.75" customHeight="1" x14ac:dyDescent="0.15">
      <c r="B30" s="25"/>
      <c r="C30" s="21" t="s">
        <v>75</v>
      </c>
      <c r="D30" s="30">
        <v>1</v>
      </c>
      <c r="E30" s="26"/>
      <c r="F30" s="8"/>
      <c r="I30" s="8"/>
      <c r="J30" s="20"/>
    </row>
    <row r="31" spans="1:10" s="12" customFormat="1" ht="18.75" customHeight="1" x14ac:dyDescent="0.15">
      <c r="B31" s="25"/>
      <c r="C31" s="21" t="s">
        <v>89</v>
      </c>
      <c r="D31" s="30">
        <v>1</v>
      </c>
      <c r="E31" s="26"/>
      <c r="F31" s="8"/>
      <c r="I31" s="8"/>
      <c r="J31" s="20"/>
    </row>
    <row r="32" spans="1:10" s="12" customFormat="1" ht="18.75" customHeight="1" x14ac:dyDescent="0.15">
      <c r="B32" s="22"/>
      <c r="C32" s="19" t="s">
        <v>119</v>
      </c>
      <c r="D32" s="30">
        <v>1</v>
      </c>
      <c r="E32" s="27"/>
      <c r="F32" s="8"/>
      <c r="I32" s="8"/>
      <c r="J32" s="20"/>
    </row>
    <row r="33" spans="1:11" s="12" customFormat="1" ht="18.75" customHeight="1" x14ac:dyDescent="0.15">
      <c r="B33" s="22"/>
      <c r="C33" s="19" t="s">
        <v>120</v>
      </c>
      <c r="D33" s="30">
        <v>1</v>
      </c>
      <c r="E33" s="27"/>
      <c r="F33" s="8"/>
      <c r="I33" s="8"/>
      <c r="J33" s="20"/>
    </row>
    <row r="34" spans="1:11" ht="18.75" customHeight="1" x14ac:dyDescent="0.15">
      <c r="A34" s="8"/>
      <c r="B34" s="164" t="s">
        <v>59</v>
      </c>
      <c r="C34" s="164"/>
      <c r="D34" s="164"/>
      <c r="E34" s="164"/>
      <c r="J34" s="20"/>
      <c r="K34" s="12"/>
    </row>
    <row r="35" spans="1:11" ht="180" customHeight="1" x14ac:dyDescent="0.15">
      <c r="A35" s="8"/>
      <c r="B35" s="16"/>
      <c r="C35" s="165" t="s">
        <v>169</v>
      </c>
      <c r="D35" s="166"/>
      <c r="E35" s="167"/>
      <c r="J35" s="20"/>
      <c r="K35" s="12"/>
    </row>
    <row r="36" spans="1:11" ht="7.5" customHeight="1" x14ac:dyDescent="0.15">
      <c r="A36" s="15"/>
      <c r="B36" s="15"/>
      <c r="C36" s="15"/>
      <c r="D36" s="15"/>
      <c r="E36" s="15"/>
    </row>
    <row r="37" spans="1:11" ht="18.75" customHeight="1" x14ac:dyDescent="0.15">
      <c r="A37" s="17" t="s">
        <v>34</v>
      </c>
      <c r="B37" s="129" t="s">
        <v>37</v>
      </c>
      <c r="C37" s="170"/>
      <c r="D37" s="170"/>
      <c r="E37" s="170"/>
    </row>
    <row r="38" spans="1:11" ht="180" customHeight="1" x14ac:dyDescent="0.15">
      <c r="A38" s="18"/>
      <c r="B38" s="16"/>
      <c r="C38" s="165" t="s">
        <v>170</v>
      </c>
      <c r="D38" s="166"/>
      <c r="E38" s="167"/>
    </row>
    <row r="39" spans="1:11" ht="7.5" customHeight="1" x14ac:dyDescent="0.15">
      <c r="A39" s="18"/>
      <c r="B39" s="18"/>
      <c r="C39" s="18"/>
      <c r="D39" s="18"/>
      <c r="E39" s="18"/>
    </row>
    <row r="40" spans="1:11" ht="18.75" customHeight="1" x14ac:dyDescent="0.15">
      <c r="A40" s="8" t="s">
        <v>11</v>
      </c>
      <c r="B40" s="129" t="s">
        <v>39</v>
      </c>
      <c r="C40" s="170"/>
      <c r="D40" s="170"/>
      <c r="E40" s="170"/>
    </row>
    <row r="41" spans="1:11" ht="180" customHeight="1" x14ac:dyDescent="0.15">
      <c r="A41" s="8"/>
      <c r="B41" s="16"/>
      <c r="C41" s="165" t="s">
        <v>171</v>
      </c>
      <c r="D41" s="166"/>
      <c r="E41" s="167"/>
    </row>
    <row r="42" spans="1:11" ht="7.5" customHeight="1" x14ac:dyDescent="0.15">
      <c r="A42" s="18"/>
      <c r="B42" s="18"/>
      <c r="C42" s="18"/>
      <c r="D42" s="18"/>
      <c r="E42" s="18"/>
    </row>
    <row r="43" spans="1:11" ht="18.75" customHeight="1" x14ac:dyDescent="0.15">
      <c r="A43" s="8" t="s">
        <v>42</v>
      </c>
      <c r="B43" s="129" t="s">
        <v>13</v>
      </c>
      <c r="C43" s="170"/>
      <c r="D43" s="170"/>
      <c r="E43" s="170"/>
    </row>
    <row r="44" spans="1:11" ht="180" customHeight="1" x14ac:dyDescent="0.15">
      <c r="A44" s="8"/>
      <c r="B44" s="16"/>
      <c r="C44" s="165" t="s">
        <v>150</v>
      </c>
      <c r="D44" s="166"/>
      <c r="E44" s="167"/>
    </row>
    <row r="45" spans="1:11" ht="7.5" customHeight="1" x14ac:dyDescent="0.15">
      <c r="A45" s="18"/>
      <c r="B45" s="18"/>
      <c r="C45" s="18"/>
      <c r="D45" s="18"/>
      <c r="E45" s="18"/>
    </row>
    <row r="46" spans="1:11" ht="18.75" customHeight="1" x14ac:dyDescent="0.15">
      <c r="A46" s="8" t="s">
        <v>30</v>
      </c>
      <c r="B46" s="129" t="s">
        <v>44</v>
      </c>
      <c r="C46" s="129"/>
      <c r="D46" s="129"/>
      <c r="E46" s="129"/>
    </row>
    <row r="47" spans="1:11" ht="180" customHeight="1" x14ac:dyDescent="0.15">
      <c r="A47" s="18"/>
      <c r="B47" s="16"/>
      <c r="C47" s="165" t="s">
        <v>149</v>
      </c>
      <c r="D47" s="166"/>
      <c r="E47" s="167"/>
    </row>
    <row r="48" spans="1:11" ht="7.5" customHeight="1" x14ac:dyDescent="0.15">
      <c r="A48" s="18"/>
      <c r="B48" s="23"/>
      <c r="C48" s="23"/>
      <c r="D48" s="23"/>
      <c r="E48" s="23"/>
    </row>
    <row r="49" spans="1:5" ht="18.75" customHeight="1" x14ac:dyDescent="0.15">
      <c r="A49" s="8"/>
      <c r="B49" s="163"/>
      <c r="C49" s="163"/>
      <c r="D49" s="163"/>
      <c r="E49" s="163"/>
    </row>
    <row r="50" spans="1:5" ht="18.75" customHeight="1" x14ac:dyDescent="0.15">
      <c r="A50" s="8"/>
      <c r="B50" s="163"/>
      <c r="C50" s="163"/>
      <c r="D50" s="163"/>
      <c r="E50" s="163"/>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zoomScale="90" zoomScaleNormal="100" zoomScaleSheetLayoutView="90" workbookViewId="0">
      <selection activeCell="D20" sqref="D20"/>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2" t="s">
        <v>28</v>
      </c>
      <c r="B2" s="152"/>
      <c r="C2" s="152"/>
      <c r="D2" s="152"/>
      <c r="E2" s="152"/>
    </row>
    <row r="3" spans="1:5" ht="18.75" customHeight="1" x14ac:dyDescent="0.15">
      <c r="A3" s="11"/>
      <c r="B3" s="11"/>
      <c r="C3" s="11"/>
      <c r="D3" s="11"/>
    </row>
    <row r="4" spans="1:5" ht="18.75" customHeight="1" x14ac:dyDescent="0.15">
      <c r="A4" s="12" t="s">
        <v>0</v>
      </c>
      <c r="B4" s="171" t="s">
        <v>124</v>
      </c>
      <c r="C4" s="171"/>
      <c r="D4" s="113" t="s">
        <v>146</v>
      </c>
    </row>
    <row r="5" spans="1:5" ht="9" customHeight="1" x14ac:dyDescent="0.15">
      <c r="A5" s="11"/>
      <c r="B5" s="10"/>
      <c r="C5" s="10"/>
      <c r="D5" s="10"/>
    </row>
    <row r="6" spans="1:5" ht="18.75" customHeight="1" x14ac:dyDescent="0.15">
      <c r="A6" s="176" t="s">
        <v>41</v>
      </c>
      <c r="B6" s="177"/>
      <c r="C6" s="69" t="s">
        <v>147</v>
      </c>
    </row>
    <row r="7" spans="1:5" ht="18.75" customHeight="1" x14ac:dyDescent="0.15">
      <c r="A7" s="176" t="s">
        <v>10</v>
      </c>
      <c r="B7" s="177"/>
      <c r="C7" s="69" t="s">
        <v>148</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34" t="s">
        <v>24</v>
      </c>
      <c r="C10" s="175"/>
      <c r="D10" s="31" t="s">
        <v>26</v>
      </c>
    </row>
    <row r="11" spans="1:5" ht="19.149999999999999" customHeight="1" x14ac:dyDescent="0.15">
      <c r="B11" s="178" t="s">
        <v>14</v>
      </c>
      <c r="C11" s="179"/>
      <c r="D11" s="180"/>
    </row>
    <row r="12" spans="1:5" ht="216" customHeight="1" x14ac:dyDescent="0.15">
      <c r="B12" s="33"/>
      <c r="C12" s="34" t="s">
        <v>15</v>
      </c>
      <c r="D12" s="53" t="s">
        <v>152</v>
      </c>
    </row>
    <row r="13" spans="1:5" ht="165" customHeight="1" x14ac:dyDescent="0.15">
      <c r="B13" s="33"/>
      <c r="C13" s="35" t="s">
        <v>16</v>
      </c>
      <c r="D13" s="53" t="s">
        <v>151</v>
      </c>
    </row>
    <row r="14" spans="1:5" ht="198" customHeight="1" x14ac:dyDescent="0.15">
      <c r="B14" s="33"/>
      <c r="C14" s="34" t="s">
        <v>17</v>
      </c>
      <c r="D14" s="53" t="s">
        <v>153</v>
      </c>
    </row>
    <row r="15" spans="1:5" ht="198" customHeight="1" x14ac:dyDescent="0.15">
      <c r="B15" s="33"/>
      <c r="C15" s="34" t="s">
        <v>18</v>
      </c>
      <c r="D15" s="53" t="s">
        <v>165</v>
      </c>
    </row>
    <row r="16" spans="1:5" ht="198" customHeight="1" x14ac:dyDescent="0.15">
      <c r="B16" s="36"/>
      <c r="C16" s="37" t="s">
        <v>19</v>
      </c>
      <c r="D16" s="54" t="s">
        <v>166</v>
      </c>
    </row>
    <row r="17" spans="2:4" ht="19.149999999999999" customHeight="1" x14ac:dyDescent="0.15">
      <c r="B17" s="32" t="s">
        <v>20</v>
      </c>
      <c r="C17" s="38"/>
      <c r="D17" s="39"/>
    </row>
    <row r="18" spans="2:4" ht="198" customHeight="1" x14ac:dyDescent="0.15">
      <c r="B18" s="33"/>
      <c r="C18" s="34" t="s">
        <v>21</v>
      </c>
      <c r="D18" s="53" t="s">
        <v>172</v>
      </c>
    </row>
    <row r="19" spans="2:4" ht="198" customHeight="1" x14ac:dyDescent="0.15">
      <c r="B19" s="36"/>
      <c r="C19" s="37" t="s">
        <v>22</v>
      </c>
      <c r="D19" s="54" t="s">
        <v>175</v>
      </c>
    </row>
    <row r="20" spans="2:4" ht="198" customHeight="1" x14ac:dyDescent="0.15">
      <c r="B20" s="173" t="s">
        <v>23</v>
      </c>
      <c r="C20" s="174"/>
      <c r="D20" s="55" t="s">
        <v>173</v>
      </c>
    </row>
    <row r="21" spans="2:4" ht="198" customHeight="1" x14ac:dyDescent="0.15">
      <c r="B21" s="172" t="s">
        <v>91</v>
      </c>
      <c r="C21" s="169"/>
      <c r="D21" s="56" t="s">
        <v>174</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2025-12-02T08:08:15Z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