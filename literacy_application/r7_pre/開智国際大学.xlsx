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defaultThemeVersion="124226"/>
  <xr:revisionPtr revIDLastSave="4" documentId="14_{BF7835F5-7397-4914-83C8-B32374897AFE}" xr6:coauthVersionLast="47" xr6:coauthVersionMax="47" xr10:uidLastSave="{888D046E-E8B5-43C1-B2DC-C80CE8CEEB58}"/>
  <bookViews>
    <workbookView xWindow="-108" yWindow="-108" windowWidth="23256" windowHeight="12456" tabRatio="885"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構成する授業科目'!$A$1:$Z$69</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2" i="40" l="1"/>
  <c r="S13" i="40"/>
  <c r="S14" i="40"/>
  <c r="S15" i="40"/>
  <c r="S16" i="40"/>
  <c r="S17" i="40"/>
  <c r="S18" i="40"/>
  <c r="S19" i="40"/>
  <c r="S20" i="40"/>
  <c r="S21" i="40"/>
  <c r="S22" i="40"/>
  <c r="S11" i="40"/>
  <c r="S10" i="40"/>
  <c r="T10" i="40" l="1"/>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<sst xmlns="http://schemas.openxmlformats.org/spreadsheetml/2006/main" count="223" uniqueCount="176">
  <si>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</si>
  <si>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</si>
  <si>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</si>
  <si>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</si>
  <si>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</si>
  <si>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</si>
  <si>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</si>
  <si>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</si>
  <si>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</si>
  <si>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</si>
  <si>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</si>
  <si>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</si>
  <si>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</si>
  <si>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</si>
  <si>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</si>
  <si>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</si>
  <si>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</si>
  <si>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</si>
  <si>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</si>
  <si>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</si>
  <si>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</si>
  <si>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</si>
  <si>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</si>
  <si>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</si>
  <si>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</si>
  <si>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</si>
  <si>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</si>
  <si>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</si>
  <si>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</si>
  <si>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</si>
  <si>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</si>
  <si>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</si>
  <si>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</si>
  <si>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</si>
  <si>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</si>
  <si>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</si>
  <si>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</si>
  <si>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</si>
  <si>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</si>
  <si>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</si>
  <si>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</si>
  <si>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</si>
  <si>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</si>
  <si>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</si>
  <si>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</si>
  <si>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</si>
  <si>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</si>
  <si>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</si>
  <si>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</si>
  <si>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</si>
  <si>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</si>
  <si>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</si>
  <si>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</si>
  <si>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</si>
  <si>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</si>
  <si>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</si>
  <si>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</si>
  <si>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</si>
  <si>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</si>
  <si>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</si>
  <si>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</si>
  <si>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</si>
  <si>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</si>
  <si>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</si>
  <si>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</si>
  <si>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</si>
  <si>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</si>
  <si>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</si>
  <si>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</si>
  <si>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</si>
  <si>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</si>
  <si>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</si>
  <si>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</si>
  <si>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</si>
  <si>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</si>
  <si>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</si>
  <si>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</si>
  <si>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</si>
  <si>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</si>
  <si>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</si>
  <si>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</si>
  <si>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</si>
  <si>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</si>
  <si>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</si>
  <si>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</si>
  <si>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</si>
  <si>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</si>
  <si>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</si>
  <si>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</si>
  <si>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</si>
  <si>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</si>
  <si>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</si>
  <si>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</si>
  <si>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</si>
  <si>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</si>
  <si>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</si>
  <si>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</si>
  <si>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</si>
  <si>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</si>
  <si>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</si>
  <si>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</si>
  <si>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</si>
  <si>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</si>
  <si>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</si>
  <si>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</si>
  <si>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</si>
  <si>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</si>
  <si>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</si>
  <si>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</si>
  <si>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</si>
  <si>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</si>
  <si>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</si>
  <si>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</si>
  <si>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</si>
  <si>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</si>
  <si>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</si>
  <si>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</si>
  <si>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</si>
  <si>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</si>
  <si>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</si>
  <si>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</si>
  <si>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</si>
  <si>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</si>
  <si>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</si>
  <si>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</si>
  <si>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</si>
  <si>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</si>
  <si>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</si>
  <si>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</si>
  <si>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開智国際大学</t>
  </si>
  <si>
    <t>学部・学科によって、修了要件は相違しない</t>
  </si>
  <si>
    <t>令和１０年度以降に履修必須とする計画、又は未定</t>
  </si>
  <si>
    <t>プログラムを構成する授業科目である「データサイエンス概論Ａ」２単位を修得すること。</t>
    <phoneticPr fontId="1"/>
  </si>
  <si>
    <t>データサイエンス概論Ａ</t>
    <phoneticPr fontId="1"/>
  </si>
  <si>
    <t>○</t>
  </si>
  <si>
    <t>データサイエンス概論Ｂ</t>
    <phoneticPr fontId="1"/>
  </si>
  <si>
    <t>ＡＩ概論</t>
    <rPh sb="2" eb="4">
      <t>ガイロン</t>
    </rPh>
    <phoneticPr fontId="1"/>
  </si>
  <si>
    <t>・数理・データサイエンス・AIを学ぶことの必要性を理解することができる。
・社会でデータがどのように利活用され、新たな価値を生んでいるのかを理解することができる。
・データサイエンスでの問題解決手法について理解し、社会的課題に適応することができる能力を身につけることができる。
・AIの得意なところ、苦手なところを理解し、人間中心の適切な判断する力を身に付けることができる。</t>
    <phoneticPr fontId="1"/>
  </si>
  <si>
    <t>令和７</t>
    <rPh sb="0" eb="2">
      <t>レイワ</t>
    </rPh>
    <phoneticPr fontId="1"/>
  </si>
  <si>
    <t>教育学部教育学科</t>
    <rPh sb="0" eb="4">
      <t>yyy</t>
    </rPh>
    <rPh sb="4" eb="6">
      <t>キョウイク</t>
    </rPh>
    <rPh sb="6" eb="8">
      <t>ガッカ</t>
    </rPh>
    <phoneticPr fontId="1"/>
  </si>
  <si>
    <t>国際教養学部国際教養学科</t>
    <rPh sb="0" eb="6">
      <t>lll</t>
    </rPh>
    <rPh sb="6" eb="8">
      <t>コクサイ</t>
    </rPh>
    <rPh sb="8" eb="10">
      <t>キョウヨウ</t>
    </rPh>
    <rPh sb="10" eb="12">
      <t>ガッカ</t>
    </rPh>
    <phoneticPr fontId="1"/>
  </si>
  <si>
    <t>データサイエンス教育委員会</t>
    <phoneticPr fontId="1"/>
  </si>
  <si>
    <t>青木　徹</t>
    <rPh sb="0" eb="2">
      <t>アオキ</t>
    </rPh>
    <rPh sb="3" eb="4">
      <t>トオル</t>
    </rPh>
    <phoneticPr fontId="1"/>
  </si>
  <si>
    <t>学長</t>
    <rPh sb="0" eb="2">
      <t>ガクチョウ</t>
    </rPh>
    <phoneticPr fontId="1"/>
  </si>
  <si>
    <t>データサイエンス教育委員会は、開智国際大学における数理・データサイエンスの教育および研究の進展に資することを目的として令和６年度に設立された。
この委員会は、開智国際大学における数理・データサイエンス・AI教育プログラムの開発および運営の中心的な役割を担う。データ・情報分野を専門とする教員が委員として参画し且つ全学科から１名以上の構成員が選出されており、教職協働で数理・データサイエンス・AI教育の推進及び向上に取り組んでいる。また、プログラムの円滑運営のため定期的に会議を開催し、プログラムの履修者増や達成度向上のための施策などについて協議している。</t>
    <rPh sb="63" eb="64">
      <t>ド</t>
    </rPh>
    <phoneticPr fontId="1"/>
  </si>
  <si>
    <t>プログラムの修了要件となっている授業科目「データサイエンス概論Ａ」は教育学部の共通科目、国際教養学部の専門科目として開講しており、学部に関係なく希望する学生全員が履修できる。
また、学生がより履修しやすくなるよう、各学部の必修科目との重なりを避けたクラス分け等を考慮して時間割を組んでいる。</t>
    <rPh sb="92" eb="94">
      <t>ガクセイ</t>
    </rPh>
    <rPh sb="140" eb="141">
      <t>ク</t>
    </rPh>
    <phoneticPr fontId="1"/>
  </si>
  <si>
    <t>教員もしくはデータサイエンス教育委員会のメールや学習管理システム（Google Classroom）により、担当教員への質問が可能である。学生はプログラム構成科目である「データサイエンス概論Ａ」の初回授業内で、質問方法に関する説明を受けている。メールや学習管理システムに届く質問に対して積極的に回答を行えるよう、教員間で連携して対応にあたっている。
また、各教員はサポートアワーを設けることが義務付けられており、受講生が直接教員の研究室を訪ねて学習指導が受けられるようにしている。
今後、学生の事前事後学習がより深まり、次の学習への意欲、動機付けになるような「学びの相乗効果」を生み出せるよう、必要な体制や仕組みづくりを検討する。</t>
    <rPh sb="14" eb="19">
      <t>キョウイクイインカイ</t>
    </rPh>
    <phoneticPr fontId="1"/>
  </si>
  <si>
    <t>【委員長】　国際教養学部国際教養学科　准教授　椛澤恭子
【委員】　 　国際教養学部国際教養学科　教授　北垣日出子
　　　　　　　国際教養学部国際教養学科　教授　符儒徳
　　　　　　　国際教養学部国際教養学科　准教授　久米正浩
　　　　　　　教育学部教育学科　准教授　永山香織　
　　　　　　　教務学生課　課員　大塚邑玲
　　　　　　　教務学生課　課員　松本聖史</t>
    <rPh sb="35" eb="41">
      <t>lll</t>
    </rPh>
    <rPh sb="48" eb="50">
      <t>キョウジュ</t>
    </rPh>
    <rPh sb="120" eb="124">
      <t>yyy</t>
    </rPh>
    <rPh sb="129" eb="132">
      <t>ジュンキョウジュ</t>
    </rPh>
    <rPh sb="173" eb="175">
      <t>カイン</t>
    </rPh>
    <rPh sb="176" eb="180">
      <t>マツモトタカシ</t>
    </rPh>
    <phoneticPr fontId="1"/>
  </si>
  <si>
    <t>開智国際大学データサイエンス教育委員会規定</t>
    <rPh sb="0" eb="6">
      <t>kkk</t>
    </rPh>
    <phoneticPr fontId="1"/>
  </si>
  <si>
    <t>本プログラムを構成する３科目は全学部で選択科目としている。新入生ガイダンスにおける対象学生全体に向けての周知を積極的に行い、学生が関心を持つように促すことで、履修学生の増加を見込んでいる。
必須科目である「データサイエンス概論Ａ」は、演習形式で行う授業内容を含むことから１クラスあたりの履修人数を制限しているが、将来的には、希望履修者数に対応していくために開講クラス数を増やし、学生全員の履修機会の拡大を計画している。
なお、次回のカリキュラム改正の際には全学必修科目とすることを検討する予定としている。</t>
    <rPh sb="96" eb="100">
      <t>ヒッスカモク</t>
    </rPh>
    <rPh sb="112" eb="114">
      <t>ガイロン</t>
    </rPh>
    <rPh sb="127" eb="129">
      <t>ナイヨウ</t>
    </rPh>
    <rPh sb="149" eb="151">
      <t>セイゲン</t>
    </rPh>
    <rPh sb="157" eb="160">
      <t>ショウライテキ</t>
    </rPh>
    <rPh sb="215" eb="217">
      <t>ジカイ</t>
    </rPh>
    <rPh sb="242" eb="244">
      <t>ケントウ</t>
    </rPh>
    <phoneticPr fontId="1"/>
  </si>
  <si>
    <t>プログラム対象科目の担当専任教員２名を含む情報科目担当専任教員３名が、本プログラムに関する学生の多様な相談に継続的かつ丁寧に対応できる体制を着実に整えている。教務学生課でも、データサイエンス教育委員会所属の事務職員が随時相談を受け付け、履修や修得に向けた実質的かつ的確なサポートを行っている。
パソコン準備が困難な学生には、パソコンやタブレット端末の無償貸与制度を整え、安定した学習機会を確保するサポートを実施している。さらに、無線LAN環境やPC教室、関連分野の図書・デジタル資料の体系的整備を進め、実践的な学修を継続的に支える環境をより着実に構築している。</t>
    <phoneticPr fontId="1"/>
  </si>
  <si>
    <t>全学で実施している授業評価アンケートの結果をもとに、「データサイエンス概論Ａ」の理解度について分析を行った。本科目の有効回答数は74件であり、内訳は「よく理解できた」18件、「まあまあ理解できた」53件、「あまり理解できなかった」3件、「全く理解できなかった」0件であった。肯定的回答は約96％に達し、多くの学生が授業内容を理解していると判断できる。
今後は質問時間の確保や補足説明の充実を図るとともに、後期開講のオプション科目でも同様のアンケートを実施し、学修理解度の把握と授業改善に活用する予定である。</t>
    <phoneticPr fontId="1"/>
  </si>
  <si>
    <t>本学では、学生が段階的に必要な知識・技能を身につけられるよう、ベーシックレベルとスタンダードレベルの二段階からなる教育プログラムを設け、それぞれに学修成果と修了基準を設定している。令和７年度はプログラム初年度であり、成果データは蓄積途上であるが、小テストや課題等を通じて理解状況を把握している。今後は、学修成果の可視化を一層進めるため、各レベルに応じたルーブリック評価の導入について具体的な検討を進める予定である。</t>
    <phoneticPr fontId="1"/>
  </si>
  <si>
    <t>・調査データ、実験データ、人の行動ログデータ、機械の稼働ログデータなど「データサイエンス概論Ａ」（第７回）
・1次データ、2次データ、データのメタ化「データサイエンス概論Ａ」（第７回）
・構造化データ、非構造化データ（文章、画像/動画、音声/音楽など）「データサイエンス概論Ａ」（第７回）</t>
    <rPh sb="135" eb="137">
      <t>ガイロン</t>
    </rPh>
    <rPh sb="140" eb="141">
      <t>ダイ</t>
    </rPh>
    <rPh sb="142" eb="143">
      <t>カイ</t>
    </rPh>
    <phoneticPr fontId="1"/>
  </si>
  <si>
    <t>・情報セキュリティの3要素（機密性、完全性、可用性）「データサイエンス概論Ａ」（第２回）
・匿名加工情報、暗号化と復号、ユーザ認証と、パスワード、アクセス制御、悪意ある情報搾取「データサイエンス概論Ａ」（第２回）
・情報漏洩等によるセキュリティ事故の事例紹介「データサイエンス概論Ａ」（第２回）</t>
    <rPh sb="87" eb="88">
      <t>シュ</t>
    </rPh>
    <rPh sb="108" eb="110">
      <t>ジョウホウ</t>
    </rPh>
    <phoneticPr fontId="1"/>
  </si>
  <si>
    <t>・AI最新技術の活用例（深層生成モデル、強化学習、転移学習、生成AIなど）「データサイエンス概論Ａ」（第４回）
・AI等を活用した新しいビジネスモデル(シェアリングエコノミー、商品のレコメンデーションなど)「データサイエンス概論Ａ」（第４回）</t>
    <rPh sb="46" eb="48">
      <t>ガイロン</t>
    </rPh>
    <rPh sb="51" eb="52">
      <t>ダイ</t>
    </rPh>
    <rPh sb="53" eb="54">
      <t>カイ</t>
    </rPh>
    <phoneticPr fontId="1"/>
  </si>
  <si>
    <t>・データ・AI活用領域の広がり(生産、消費、文化活動など)「データサイエンス概論Ａ」（第３回）</t>
    <rPh sb="38" eb="40">
      <t>ガイロン</t>
    </rPh>
    <rPh sb="43" eb="44">
      <t>ダイ</t>
    </rPh>
    <rPh sb="45" eb="46">
      <t>カイ</t>
    </rPh>
    <phoneticPr fontId="1"/>
  </si>
  <si>
    <t>・倫理的・法的・社会的課題（ELSI：Ethical, Legal and Social Issues）「データサイエンス概論Ａ」（第１回）
・生成AIの留意事項（ハルシネーションによる誤情報の生成、偽情報や有害コンテンツの生成・氾濫など）「データサイエンス概論Ａ」（第２回）</t>
    <rPh sb="61" eb="63">
      <t>ガイロン</t>
    </rPh>
    <rPh sb="129" eb="131">
      <t>ガイロン</t>
    </rPh>
    <phoneticPr fontId="1"/>
  </si>
  <si>
    <t>・データ解析：予測、グルーピング、パターン発見、最適化、モデル化とシミュレーション・データ同化など「データサイエンス概論Ａ」（第７回）
・データ可視化：複合グラフ、2軸グラフ、多次元の可視化、関係性の可視化、地図上の可視化、挙動・軌跡の可視化、リアルタイム可視化など「データサイエンス概論Ａ」（第９回）</t>
    <rPh sb="58" eb="60">
      <t>ガイロン</t>
    </rPh>
    <rPh sb="142" eb="144">
      <t>ガイロン</t>
    </rPh>
    <rPh sb="147" eb="148">
      <t>ダイ</t>
    </rPh>
    <rPh sb="149" eb="150">
      <t>カイ</t>
    </rPh>
    <phoneticPr fontId="1"/>
  </si>
  <si>
    <t>・ビッグデータ、IoT、AI、生成AI、ロボット「データサイエンス概論Ａ」（第１回）
・第4次産業革命、Society 5.0、データ駆動型社会「データサイエンス概論Ａ」（第１回）
・人間の知的活動とAIの関係性「データサイエンス概論Ａ」（第２回）
・複数技術を組み合わせたAIサービス「データサイエンス概論Ａ」（第２回）</t>
  </si>
  <si>
    <t>・データの取得（機械判読可能なデータの作成・表記方法）「データサイエンス概論Ａ」（第９、１５回）
・データの集計（和、平均）「データサイエンス概論Ａ」（第９、１５回）
・データの並び替え、ランキング「データサイエンス概論Ａ」（第９、１５回）</t>
    <rPh sb="36" eb="38">
      <t>ガイロン</t>
    </rPh>
    <phoneticPr fontId="1"/>
  </si>
  <si>
    <t>・不適切なグラフ表現（チャートジャンク、不必要な視覚的要素）「データサイエンス概論Ａ」（第８回）
・データ表現（棒グラフ、折線グラフ、散布図、ヒートマップ、箱ひげ図）「データサイエンス概論Ａ」（第１０、１１回）
・データの比較（条件をそろえた比較、処理の前後での比較、A/Bテスト)「データサイエンス概論Ａ」（第１３、１４回）</t>
    <rPh sb="39" eb="41">
      <t>ガイロン</t>
    </rPh>
    <rPh sb="92" eb="94">
      <t>ガイロン</t>
    </rPh>
    <rPh sb="97" eb="98">
      <t>ダイ</t>
    </rPh>
    <phoneticPr fontId="1"/>
  </si>
  <si>
    <t>椛澤恭子</t>
    <rPh sb="0" eb="2">
      <t>カバサワ</t>
    </rPh>
    <rPh sb="2" eb="4">
      <t>キョウコ</t>
    </rPh>
    <phoneticPr fontId="1"/>
  </si>
  <si>
    <t>データサイエンス教育委員長</t>
    <rPh sb="8" eb="10">
      <t>キョウイク</t>
    </rPh>
    <rPh sb="10" eb="12">
      <t>イイン</t>
    </rPh>
    <rPh sb="12" eb="13">
      <t>チョウ</t>
    </rPh>
    <phoneticPr fontId="1"/>
  </si>
  <si>
    <t>データサイエンス教育委員会</t>
    <rPh sb="8" eb="13">
      <t>キョウイクイインカイ</t>
    </rPh>
    <phoneticPr fontId="1"/>
  </si>
  <si>
    <t>数理・データサイエンス・ＡＩを活用することの楽しさや学ぶことの意義、身に付けることができる能力などについて記載したプログラムのプロモーションペーパーを学内各所に掲示した。また、学生ポータルサイト（KIWI-net）を通じて学生に周知を行い、プログラム履修の促進を行っている。
また、令和７年度期首のガイダンスにて、対象学年の学生に上記のプロモーションペーパーをプリントして配布。プログラムの概要・特徴や身に付けることができる能力・スキルなど有効性に関する説明を行い、プログラムを構成している科目を修得すると修了段階に応じて「認定証」が発行される旨を伝達している。</t>
    <rPh sb="34" eb="35">
      <t>ミ</t>
    </rPh>
    <rPh sb="36" eb="37">
      <t>ツ</t>
    </rPh>
    <rPh sb="45" eb="47">
      <t>ノウリョク</t>
    </rPh>
    <rPh sb="142" eb="144">
      <t>レイワ</t>
    </rPh>
    <rPh sb="145" eb="147">
      <t>ネンド</t>
    </rPh>
    <rPh sb="147" eb="149">
      <t>キシュ</t>
    </rPh>
    <rPh sb="158" eb="162">
      <t>タイショウガクネン</t>
    </rPh>
    <rPh sb="163" eb="165">
      <t>ガクセイ</t>
    </rPh>
    <rPh sb="166" eb="168">
      <t>ジョウキ</t>
    </rPh>
    <rPh sb="187" eb="189">
      <t>ハイフ</t>
    </rPh>
    <rPh sb="254" eb="256">
      <t>シュウリョウ</t>
    </rPh>
    <phoneticPr fontId="1"/>
  </si>
  <si>
    <t>・データの種類（量的変数、質的変数）「データサイエンス概論Ａ」（第７回）
・データの分布(ヒストグラム)と代表値（平均値、中央値、最頻値）「データサイエンス概論Ａ」（第１２回）
・代表値の性質の違い（実社会では平均値＝最頻値でないことが多い）「データサイエンス概論Ａ」（第１２回）
・データのばらつき（分散、標準偏差、偏差値）、外れ値「データサイエンス概論Ａ」（第８、９回）
・相関と因果（相関係数、擬似相関、交絡）「データサイエンス概論Ａ」（第８、９回）</t>
    <rPh sb="27" eb="29">
      <t>ガイロン</t>
    </rPh>
    <rPh sb="83" eb="84">
      <t>ダイ</t>
    </rPh>
    <rPh sb="86" eb="87">
      <t>カイ</t>
    </rPh>
    <phoneticPr fontId="1"/>
  </si>
  <si>
    <t>・データサイエンスのサイクル（課題抽出と定式化、データの取得・管理・加工、探索的データ解析、データ解析と推論、結果の共有・伝達、課題解決に向けた提案）「データサイエンス概論Ａ」（第５、６回）
・教育、芸術、流通、製造、金融、サービス、インフラ、公共、ヘルスケア等におけるデータ・AI利活用事例紹介「データサイエンス概論Ａ」（第４回）</t>
    <rPh sb="84" eb="86">
      <t>ガイロン</t>
    </rPh>
    <rPh sb="89" eb="90">
      <t>ダイ</t>
    </rPh>
    <rPh sb="93" eb="94">
      <t>カイ</t>
    </rPh>
    <phoneticPr fontId="1"/>
  </si>
  <si>
    <t>令和７年度より本学では、全学的に数理・データサイエンス・ＡＩ教育を推進するため、全学部・全学科の学生が対象科目を履修できるようカリキュラム改正および学則変更を行い、必要科目を体系的に配置している。履修状況については、教育内容を所掌するデータサイエンス教育委員会が科目の運営状況を把握し、教務学生課が履修者数等の学修関連データを継続的に収集している。
令和７年度における「開智数理・データサイエンス・ＡＩ教育プログラム ベーシックレベル」の必須科目「データサイエンス概論Ａ」の履修者は90名であった。同科目の合格率は77.8％であり、全学的な周知や履修指導を通じて学修への動機づけと基礎理解の定着が進んだ結果であると考えられる。</t>
    <phoneticPr fontId="1"/>
  </si>
  <si>
    <t>プログラムの必須科目「データサイエンス概論Ａ」に関する授業評価アンケートでは、授業が分かりやすく、教員による丁寧なサポートや演習中心の構成が学びやすさにつながっているとの意見が多く寄せられ、本プログラム未履修者（後輩等）への推奨度も高いといえる。パソコンを活用した演習形式の授業は一定の実践性を有しており、Excel等の操作習熟を評価する声が多かった。加えて、学習意欲の向上につながる工夫を求める意見も一定程度見られた。
今後はデータサイエンス教育委員会において授業内容のさらなる充実と改善策について検討を進め、学修支援の質向上を図る予定である。</t>
    <phoneticPr fontId="1"/>
  </si>
  <si>
    <t>令和７年度よりカリキュラムの一部改正を行い、全学的な取り組みとして「開智数理・データサイエンス・ＡＩ教育プログラム」を新設した。令和７年度は、本プログラムの認定に必須となる１科目に加え、オプション科目２科目を開講した。必須科目「データサイエンス概論Ａ」は選択科目であるが、４月の履修ガイダンスにおいて内容を詳しく説明した結果、履修率は全学生の約11％に達した。
今後はさらなる履修者拡大に向け、周知方法や広報体制の改善に取り組む予定である。</t>
    <phoneticPr fontId="1"/>
  </si>
  <si>
    <t>本教育プログラムの設計にあたっては、産業界の動向に加え、学校教育をはじめとする外部の教育現場の知見を踏まえつつ、教育目的および教育内容を検討し、数理・データサイエンスおよびＡＩの基礎教育の充実を重視している。また、社会的要請に応える教育の在り方を踏まえ、内容の妥当性や実効性を確保するよう配慮している。
今後は、産業界や教育現場から得られるニーズを適宜把握し、それらを教育課程の改善に継続的に反映させることで、教育内容の一層の充実を図る方針である。</t>
    <phoneticPr fontId="1"/>
  </si>
  <si>
    <t>当該教育プログラムの必須科目「データサイエンス概論Ａ」は各学部で選択科目として配置され、データを読み取り活用する力がSociety5.0社会のビジネスや教育現場でどのように役立つかを理解することを通じ、データ利活用の意義や可能性を学ぶ内容となっている。
また、学習過程ではデータサイエンスを学ぶ楽しさや、実務・教育の双方で活用できる知識を習得する意義を実感できる構成とされている。さらに、「ＡＩ概論」ではDXの進展と関連した人工知能（ＡＩ）の基礎を学び、ケーススタディ等を通して社会・教育・ビジネスでの活用可能性を理解することを目的としている。</t>
    <rPh sb="98" eb="99">
      <t>ツウ</t>
    </rPh>
    <phoneticPr fontId="1"/>
  </si>
  <si>
    <t>学生に対しては各学期末に授業評価アンケートを実施し、本教育プログラムの対象科目すべてについて、授業の分かりやすさや満足度、改善点の把握に努めている。アンケート結果は科目担当者が点検・評価を行い、内容や水準が学生に適切であるかを確認し、教育の質向上に向けた改善に活用している。
令和７年度より本プログラムを開始しており、今後はデータサイエンス教育委員会において教育内容・授業方法の評価や改善を継続的に行い、社会の変化や生成ＡＩなどの技術発展を踏まえ、より分かりやすく教育効果の高い授業の充実を図る予定である。</t>
    <phoneticPr fontId="1"/>
  </si>
  <si>
    <t>本教育プログラムは令和７年度より開始されたものであり、令和７年後期時点では修了者はいるものの、卒業に至った者はまだいない。そのため、修了者の進路状況や社会における活躍の把握・活用は、今後の重要な課題である。本学においては、卒業生を対象とした進路調査を一定期間後に実施しており、本プログラムの修了者についても、同様の方法により進路先や活躍状況を系統的に把握することを想定している。
また、本プログラムの設計にあたっては、教育目的及び教育内容を十分に検討・策定している。今後は、関係機関等からのフィードバックを収集・分析し、教育内容の更なる充実・改善に反映させる計画である。</t>
    <rPh sb="31" eb="33">
      <t>コウキ</t>
    </rPh>
    <phoneticPr fontId="1"/>
  </si>
  <si>
    <t>開智数理・データサイエンス・ＡＩ教育プログラム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</si>
</sst>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12"/>
      <name val="ＭＳ Ｐゴシック"/>
      <family val="3"/>
      <charset val="128"/>
      <scheme val="minor"/>
    </font>
    <font>
      <sz val="12"/>
      <color theme="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2">
    <xf numFmtId="0" fontId="0" fillId="0" borderId="0">
      <alignment vertical="center"/>
    </xf>
    <xf numFmtId="38" fontId="4" fillId="0" borderId="0" applyFont="0" applyFill="0" applyBorder="0" applyAlignment="0" applyProtection="0">
      <alignment vertical="center"/>
    </xf>
  </cellStyleXfs>
  <cellXfs count="221">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right" vertical="center" shrinkToFit="1"/>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9" fontId="2" fillId="2" borderId="44"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1" applyFont="1" applyFill="1" applyBorder="1" applyAlignment="1">
      <alignment vertical="center" shrinkToFit="1"/>
    </xf>
    <xf numFmtId="38" fontId="2" fillId="2" borderId="22" xfId="1" applyFont="1" applyFill="1" applyBorder="1" applyAlignment="1">
      <alignment vertical="center" shrinkToFit="1"/>
    </xf>
    <xf numFmtId="9" fontId="2" fillId="2" borderId="23" xfId="0" applyNumberFormat="1" applyFont="1" applyFill="1" applyBorder="1" applyAlignment="1">
      <alignment vertical="center" shrinkToFit="1"/>
    </xf>
    <xf numFmtId="38" fontId="2" fillId="2" borderId="0" xfId="1" applyFont="1" applyFill="1" applyAlignment="1">
      <alignment horizontal="right" vertical="center" shrinkToFit="1"/>
    </xf>
    <xf numFmtId="38" fontId="2" fillId="2" borderId="5" xfId="1" applyFont="1" applyFill="1" applyBorder="1" applyAlignment="1">
      <alignment horizontal="right" vertical="center" shrinkToFit="1"/>
    </xf>
    <xf numFmtId="38" fontId="2" fillId="2" borderId="19" xfId="1" applyFont="1" applyFill="1" applyBorder="1" applyAlignment="1">
      <alignment horizontal="right" vertical="center" shrinkToFit="1"/>
    </xf>
    <xf numFmtId="38" fontId="2" fillId="2" borderId="18" xfId="1" applyFont="1" applyFill="1" applyBorder="1" applyAlignment="1">
      <alignment horizontal="right" vertical="center" shrinkToFit="1"/>
    </xf>
    <xf numFmtId="38" fontId="2" fillId="2" borderId="42" xfId="1" applyFont="1" applyFill="1" applyBorder="1" applyAlignment="1">
      <alignment horizontal="right" vertical="center" shrinkToFit="1"/>
    </xf>
    <xf numFmtId="38" fontId="2" fillId="2" borderId="61" xfId="1" applyFont="1" applyFill="1" applyBorder="1" applyAlignment="1">
      <alignment horizontal="right" vertical="center" shrinkToFit="1"/>
    </xf>
    <xf numFmtId="38" fontId="2" fillId="2" borderId="17" xfId="1" applyFont="1" applyFill="1" applyBorder="1" applyAlignment="1">
      <alignment horizontal="right" vertical="center" shrinkToFit="1"/>
    </xf>
    <xf numFmtId="38" fontId="2" fillId="2" borderId="60" xfId="1" applyFont="1" applyFill="1" applyBorder="1" applyAlignment="1">
      <alignment horizontal="right" vertical="center" shrinkToFit="1"/>
    </xf>
    <xf numFmtId="38" fontId="2" fillId="2" borderId="10" xfId="1" applyFont="1" applyFill="1" applyBorder="1" applyAlignment="1">
      <alignment horizontal="right" vertical="center"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1" applyFont="1" applyFill="1" applyBorder="1" applyAlignment="1">
      <alignment vertical="center" shrinkToFit="1"/>
    </xf>
    <xf numFmtId="177" fontId="2" fillId="2" borderId="1" xfId="0" applyNumberFormat="1" applyFont="1" applyFill="1" applyBorder="1" applyAlignment="1">
      <alignment horizontal="right" vertical="center"/>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5" fillId="2" borderId="0" xfId="0" applyNumberFormat="1" applyFont="1" applyFill="1" applyAlignment="1">
      <alignment vertical="top"/>
    </xf>
    <xf numFmtId="178" fontId="2" fillId="2" borderId="1" xfId="0" applyNumberFormat="1" applyFont="1" applyFill="1" applyBorder="1" applyAlignment="1">
      <alignment horizontal="right" vertical="center"/>
    </xf>
    <xf numFmtId="38" fontId="2" fillId="2" borderId="14" xfId="1" applyFont="1" applyFill="1" applyBorder="1" applyAlignment="1">
      <alignment vertical="center" shrinkToFit="1"/>
    </xf>
    <xf numFmtId="38" fontId="2" fillId="2" borderId="20" xfId="1" applyFont="1" applyFill="1" applyBorder="1" applyAlignment="1">
      <alignment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6" fillId="2" borderId="0" xfId="0" applyFont="1" applyFill="1" applyAlignment="1">
      <alignment horizontal="center" vertical="center"/>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0" xfId="0" applyFont="1" applyFill="1" applyAlignment="1">
      <alignment horizontal="center" vertical="center" shrinkToFit="1"/>
    </xf>
    <xf numFmtId="178" fontId="2" fillId="0" borderId="1" xfId="0" applyNumberFormat="1" applyFont="1" applyFill="1" applyBorder="1" applyAlignment="1">
      <alignment horizontal="right" vertical="center"/>
    </xf>
    <xf numFmtId="0" fontId="2" fillId="0" borderId="1" xfId="0" applyFont="1" applyBorder="1" applyAlignment="1">
      <alignment horizontal="left" vertical="center" shrinkToFit="1"/>
    </xf>
    <xf numFmtId="0" fontId="2" fillId="0" borderId="1" xfId="0" applyFont="1" applyBorder="1" applyAlignment="1">
      <alignment horizontal="left" vertical="top" wrapText="1" shrinkToFit="1"/>
    </xf>
    <xf numFmtId="49" fontId="12" fillId="0" borderId="15" xfId="0" applyNumberFormat="1" applyFont="1" applyFill="1" applyBorder="1" applyAlignment="1">
      <alignment horizontal="left" vertical="top" wrapText="1"/>
    </xf>
    <xf numFmtId="49" fontId="12" fillId="0" borderId="32" xfId="0" applyNumberFormat="1" applyFont="1" applyFill="1" applyBorder="1" applyAlignment="1">
      <alignment horizontal="left" vertical="top" wrapText="1"/>
    </xf>
    <xf numFmtId="0" fontId="2" fillId="0" borderId="27" xfId="0" applyFont="1" applyFill="1" applyBorder="1" applyAlignment="1">
      <alignment horizontal="left" vertical="center" shrinkToFit="1"/>
    </xf>
    <xf numFmtId="177" fontId="2" fillId="0" borderId="27" xfId="0" applyNumberFormat="1" applyFont="1" applyFill="1" applyBorder="1" applyAlignment="1">
      <alignment horizontal="center" vertical="center" shrinkToFit="1"/>
    </xf>
    <xf numFmtId="0" fontId="2" fillId="0" borderId="48"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2" fillId="0" borderId="49" xfId="0" applyFont="1" applyFill="1" applyBorder="1" applyAlignment="1">
      <alignment horizontal="center" vertical="center" shrinkToFit="1"/>
    </xf>
    <xf numFmtId="0" fontId="2" fillId="0" borderId="28" xfId="0" applyFont="1" applyFill="1" applyBorder="1" applyAlignment="1">
      <alignment horizontal="center" vertical="center" shrinkToFit="1"/>
    </xf>
    <xf numFmtId="0" fontId="2" fillId="0" borderId="18" xfId="0" applyFont="1" applyFill="1" applyBorder="1" applyAlignment="1">
      <alignment horizontal="left" vertical="center" shrinkToFit="1"/>
    </xf>
    <xf numFmtId="177" fontId="2" fillId="0" borderId="18" xfId="0" applyNumberFormat="1" applyFont="1" applyFill="1" applyBorder="1" applyAlignment="1">
      <alignment horizontal="center" vertical="center" shrinkToFit="1"/>
    </xf>
    <xf numFmtId="0" fontId="2" fillId="0" borderId="50"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51" xfId="0" applyFont="1" applyFill="1" applyBorder="1" applyAlignment="1">
      <alignment horizontal="center" vertical="center" shrinkToFit="1"/>
    </xf>
    <xf numFmtId="0" fontId="2" fillId="0" borderId="17" xfId="0" applyFont="1" applyFill="1" applyBorder="1" applyAlignment="1">
      <alignment horizontal="center" vertical="center" shrinkToFit="1"/>
    </xf>
    <xf numFmtId="0" fontId="2" fillId="2" borderId="0" xfId="0" applyFont="1" applyFill="1">
      <alignment vertical="center"/>
    </xf>
    <xf numFmtId="0" fontId="2" fillId="0" borderId="0" xfId="0" applyFont="1" applyFill="1">
      <alignment vertical="center"/>
    </xf>
    <xf numFmtId="0" fontId="6" fillId="0" borderId="0" xfId="0" applyFont="1" applyFill="1" applyAlignment="1">
      <alignment horizontal="center" vertical="center"/>
    </xf>
    <xf numFmtId="0" fontId="6" fillId="0" borderId="1" xfId="0" applyFont="1" applyFill="1" applyBorder="1" applyAlignment="1">
      <alignment horizontal="left" vertical="center" shrinkToFit="1"/>
    </xf>
    <xf numFmtId="0" fontId="3" fillId="0" borderId="0" xfId="0" applyFont="1" applyFill="1" applyAlignment="1">
      <alignment vertical="top" wrapText="1"/>
    </xf>
    <xf numFmtId="0" fontId="2" fillId="0" borderId="4" xfId="0" applyFont="1" applyFill="1" applyBorder="1" applyAlignment="1">
      <alignment horizontal="center" vertical="center"/>
    </xf>
    <xf numFmtId="0" fontId="2" fillId="0" borderId="20" xfId="0" applyFont="1" applyFill="1" applyBorder="1" applyAlignment="1">
      <alignment horizontal="justify" vertical="top" wrapText="1" shrinkToFit="1"/>
    </xf>
    <xf numFmtId="0" fontId="2" fillId="0" borderId="32" xfId="0" applyFont="1" applyFill="1" applyBorder="1" applyAlignment="1">
      <alignment horizontal="justify" vertical="top" wrapText="1" shrinkToFit="1"/>
    </xf>
    <xf numFmtId="0" fontId="3" fillId="0" borderId="9" xfId="0" applyFont="1" applyFill="1" applyBorder="1" applyAlignment="1">
      <alignment vertical="top" shrinkToFit="1"/>
    </xf>
    <xf numFmtId="0" fontId="2" fillId="0" borderId="44" xfId="0" applyFont="1" applyFill="1" applyBorder="1" applyAlignment="1">
      <alignment horizontal="justify" vertical="top" wrapText="1" shrinkToFit="1"/>
    </xf>
    <xf numFmtId="0" fontId="2" fillId="0" borderId="13" xfId="0" applyFont="1" applyFill="1" applyBorder="1" applyAlignment="1">
      <alignment horizontal="justify" vertical="top" wrapText="1" shrinkToFit="1"/>
    </xf>
    <xf numFmtId="0" fontId="2" fillId="0" borderId="0" xfId="0" applyFont="1" applyFill="1" applyAlignment="1">
      <alignment vertical="top" wrapText="1"/>
    </xf>
    <xf numFmtId="49" fontId="12" fillId="0" borderId="14" xfId="0" applyNumberFormat="1" applyFont="1" applyFill="1" applyBorder="1" applyAlignment="1">
      <alignment horizontal="left" vertical="top" wrapText="1"/>
    </xf>
    <xf numFmtId="49" fontId="12" fillId="0" borderId="13" xfId="0" applyNumberFormat="1" applyFont="1" applyFill="1" applyBorder="1" applyAlignment="1">
      <alignment horizontal="left" vertical="top" wrapText="1"/>
    </xf>
    <xf numFmtId="49" fontId="12" fillId="0" borderId="20" xfId="0" applyNumberFormat="1" applyFont="1" applyFill="1" applyBorder="1" applyAlignment="1">
      <alignment horizontal="left" vertical="center" wrapText="1"/>
    </xf>
    <xf numFmtId="49" fontId="12" fillId="0" borderId="13" xfId="0" applyNumberFormat="1" applyFont="1" applyFill="1" applyBorder="1" applyAlignment="1">
      <alignment horizontal="left" vertical="center" wrapText="1"/>
    </xf>
    <xf numFmtId="0" fontId="2" fillId="0" borderId="1" xfId="0" applyFont="1" applyFill="1" applyBorder="1" applyAlignment="1">
      <alignment horizontal="left" vertical="center" shrinkToFit="1"/>
    </xf>
    <xf numFmtId="9" fontId="2" fillId="0" borderId="1" xfId="0" applyNumberFormat="1" applyFont="1" applyFill="1" applyBorder="1" applyAlignment="1">
      <alignment horizontal="right" vertical="center" wrapText="1" shrinkToFit="1"/>
    </xf>
    <xf numFmtId="0" fontId="12" fillId="0" borderId="20" xfId="0" applyFont="1" applyFill="1" applyBorder="1" applyAlignment="1">
      <alignment horizontal="center" vertical="center" shrinkToFit="1"/>
    </xf>
    <xf numFmtId="38" fontId="13" fillId="2" borderId="42" xfId="1" applyFont="1" applyFill="1" applyBorder="1" applyAlignment="1">
      <alignment vertical="center" shrinkToFit="1"/>
    </xf>
    <xf numFmtId="9" fontId="13" fillId="2" borderId="20" xfId="0" applyNumberFormat="1" applyFont="1" applyFill="1" applyBorder="1" applyAlignment="1">
      <alignment vertical="center" shrinkToFit="1"/>
    </xf>
    <xf numFmtId="38" fontId="13" fillId="2" borderId="5" xfId="1" applyFont="1" applyFill="1" applyBorder="1" applyAlignment="1">
      <alignment vertical="center" shrinkToFit="1"/>
    </xf>
    <xf numFmtId="0" fontId="2" fillId="2" borderId="0" xfId="0" applyFont="1" applyFill="1">
      <alignmen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0" borderId="7" xfId="0" applyFont="1" applyBorder="1" applyAlignment="1">
      <alignment horizontal="justify" vertical="top" wrapText="1"/>
    </xf>
    <xf numFmtId="0" fontId="2" fillId="0" borderId="9" xfId="0" applyFont="1" applyBorder="1" applyAlignment="1">
      <alignment horizontal="justify" vertical="top" wrapText="1"/>
    </xf>
    <xf numFmtId="0" fontId="2" fillId="0" borderId="5" xfId="0" applyFont="1" applyBorder="1" applyAlignment="1">
      <alignment horizontal="justify" vertical="top" wrapText="1"/>
    </xf>
    <xf numFmtId="0" fontId="2" fillId="0" borderId="10" xfId="0" applyFont="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0" borderId="5" xfId="0" applyFont="1" applyBorder="1" applyAlignment="1">
      <alignment horizontal="justify" vertical="top" wrapText="1"/>
    </xf>
    <xf numFmtId="0" fontId="9" fillId="0" borderId="10" xfId="0" applyFont="1" applyBorder="1" applyAlignment="1">
      <alignment horizontal="justify" vertical="top" wrapText="1"/>
    </xf>
    <xf numFmtId="0" fontId="9" fillId="0" borderId="11" xfId="0" applyFont="1" applyBorder="1" applyAlignment="1">
      <alignment horizontal="justify" vertical="top" wrapText="1"/>
    </xf>
    <xf numFmtId="0" fontId="9" fillId="0" borderId="12" xfId="0" applyFont="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0" borderId="37" xfId="0" applyFont="1" applyBorder="1" applyAlignment="1">
      <alignment horizontal="justify" vertical="center" wrapText="1"/>
    </xf>
    <xf numFmtId="0" fontId="2" fillId="0" borderId="38" xfId="0" applyFont="1" applyBorder="1" applyAlignment="1">
      <alignment horizontal="justify" vertical="center" wrapText="1"/>
    </xf>
    <xf numFmtId="0" fontId="2" fillId="0" borderId="25" xfId="0" applyFont="1" applyBorder="1" applyAlignment="1">
      <alignment horizontal="justify" vertical="center" wrapTex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5" fillId="0" borderId="2" xfId="0" applyFont="1" applyFill="1" applyBorder="1" applyAlignment="1">
      <alignment horizontal="justify" vertical="top" wrapText="1" shrinkToFit="1"/>
    </xf>
    <xf numFmtId="0" fontId="5" fillId="0" borderId="3" xfId="0" applyFont="1" applyFill="1" applyBorder="1" applyAlignment="1">
      <alignment horizontal="justify" vertical="top" wrapText="1" shrinkToFit="1"/>
    </xf>
    <xf numFmtId="0" fontId="5" fillId="0" borderId="4" xfId="0" applyFont="1" applyFill="1" applyBorder="1" applyAlignment="1">
      <alignment horizontal="justify" vertical="top" wrapText="1" shrinkToFit="1"/>
    </xf>
    <xf numFmtId="0" fontId="2" fillId="0" borderId="2" xfId="0" applyFont="1" applyFill="1" applyBorder="1" applyAlignment="1">
      <alignment horizontal="justify" vertical="top" wrapText="1" shrinkToFit="1"/>
    </xf>
    <xf numFmtId="0" fontId="2" fillId="0" borderId="3" xfId="0" applyFont="1" applyFill="1" applyBorder="1" applyAlignment="1">
      <alignment horizontal="justify" vertical="top" wrapText="1" shrinkToFit="1"/>
    </xf>
    <xf numFmtId="0" fontId="2" fillId="0"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12" fillId="0" borderId="2" xfId="0" applyFont="1" applyFill="1" applyBorder="1" applyAlignment="1">
      <alignment horizontal="justify" vertical="top" wrapText="1" shrinkToFit="1"/>
    </xf>
    <xf numFmtId="0" fontId="12" fillId="0" borderId="3" xfId="0" applyFont="1" applyFill="1" applyBorder="1" applyAlignment="1">
      <alignment horizontal="justify" vertical="top" wrapText="1" shrinkToFit="1"/>
    </xf>
    <xf numFmtId="0" fontId="12" fillId="0" borderId="4" xfId="0" applyFont="1" applyFill="1" applyBorder="1" applyAlignment="1">
      <alignment horizontal="justify" vertical="top" wrapText="1" shrinkToFi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2">
    <cellStyle name="桁区切り" xfId="1"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Z72"/>
  <sheetViews>
    <sheetView showZeros="0" tabSelected="1" view="pageBreakPreview" zoomScale="70" zoomScaleNormal="100" zoomScaleSheetLayoutView="70" workbookViewId="0">
      <selection sqref="A1:Z1"/>
    </sheetView>
  </sheetViews>
  <sheetFormatPr defaultColWidth="9" defaultRowHeight="18.75" customHeight="1" x14ac:dyDescent="0.2"/>
  <cols>
    <col min="1" max="1" width="2.44140625" style="5" customWidth="1"/>
    <col min="2" max="2" width="28.21875" style="5" customWidth="1"/>
    <col min="3" max="3" width="6.21875" style="5" customWidth="1"/>
    <col min="4" max="4" width="80.6640625" style="5" customWidth="1"/>
    <col min="5" max="5" width="6.44140625" style="5" bestFit="1" customWidth="1"/>
    <col min="6" max="26" width="5.6640625" style="5" customWidth="1"/>
    <col min="27" max="16384" width="9" style="5"/>
  </cols>
  <sheetData>
    <row r="1" spans="1:26" ht="18.75" customHeight="1" x14ac:dyDescent="0.2">
      <c r="A1" s="155" t="s">
        <v>109</v>
      </c>
      <c r="B1" s="155"/>
      <c r="C1" s="155"/>
      <c r="D1" s="155"/>
      <c r="E1" s="155"/>
      <c r="F1" s="155"/>
      <c r="G1" s="155"/>
      <c r="H1" s="155"/>
      <c r="I1" s="155"/>
      <c r="J1" s="155"/>
      <c r="K1" s="155"/>
      <c r="L1" s="155"/>
      <c r="M1" s="155"/>
      <c r="N1" s="155"/>
      <c r="O1" s="155"/>
      <c r="P1" s="155"/>
      <c r="Q1" s="155"/>
      <c r="R1" s="155"/>
      <c r="S1" s="155"/>
      <c r="T1" s="155"/>
      <c r="U1" s="155"/>
      <c r="V1" s="155"/>
      <c r="W1" s="155"/>
      <c r="X1" s="155"/>
      <c r="Y1" s="155"/>
      <c r="Z1" s="155"/>
    </row>
    <row r="2" spans="1:26" ht="18.75" customHeight="1" x14ac:dyDescent="0.2">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row>
    <row r="3" spans="1:26" ht="18.600000000000001" customHeight="1" x14ac:dyDescent="0.2">
      <c r="A3" s="101"/>
      <c r="B3" s="101"/>
      <c r="C3" s="101"/>
      <c r="D3" s="101"/>
      <c r="E3" s="101"/>
      <c r="F3" s="101"/>
      <c r="G3" s="101"/>
      <c r="H3" s="101"/>
      <c r="I3" s="101"/>
      <c r="J3" s="101"/>
      <c r="K3" s="101"/>
      <c r="L3" s="101"/>
      <c r="M3" s="101"/>
      <c r="N3" s="101"/>
      <c r="O3" s="101"/>
      <c r="P3" s="101"/>
      <c r="Q3" s="101"/>
      <c r="R3" s="101"/>
      <c r="S3" s="101"/>
      <c r="T3" s="101"/>
      <c r="U3" s="101"/>
      <c r="V3" s="101"/>
      <c r="W3" s="101"/>
      <c r="X3" s="101"/>
      <c r="Y3" s="155" t="s">
        <v>12</v>
      </c>
      <c r="Z3" s="155"/>
    </row>
    <row r="4" spans="1:26" ht="18.75" customHeight="1" x14ac:dyDescent="0.2">
      <c r="A4" s="101"/>
      <c r="B4" s="160" t="s">
        <v>85</v>
      </c>
      <c r="C4" s="161"/>
      <c r="D4" s="53" t="s">
        <v>129</v>
      </c>
      <c r="E4" s="101"/>
      <c r="F4" s="101"/>
      <c r="G4" s="101"/>
      <c r="H4" s="101"/>
      <c r="I4" s="101"/>
      <c r="J4" s="101"/>
      <c r="K4" s="101"/>
      <c r="L4" s="101"/>
      <c r="M4" s="101"/>
      <c r="N4" s="101"/>
      <c r="O4" s="101"/>
      <c r="P4" s="6"/>
      <c r="Q4" s="33"/>
      <c r="R4" s="33"/>
      <c r="S4" s="33"/>
      <c r="T4" s="33"/>
      <c r="U4" s="33"/>
      <c r="V4" s="33"/>
      <c r="W4" s="33"/>
      <c r="X4" s="33"/>
      <c r="Y4" s="33"/>
      <c r="Z4" s="33"/>
    </row>
    <row r="5" spans="1:26" ht="18.75" customHeight="1" x14ac:dyDescent="0.2">
      <c r="A5" s="101"/>
      <c r="B5" s="160" t="s">
        <v>81</v>
      </c>
      <c r="C5" s="161"/>
      <c r="D5" s="53" t="s">
        <v>175</v>
      </c>
      <c r="E5" s="101"/>
      <c r="F5" s="101"/>
      <c r="G5" s="101"/>
      <c r="H5" s="101"/>
      <c r="I5" s="101"/>
      <c r="J5" s="101"/>
      <c r="K5" s="101"/>
      <c r="L5" s="101"/>
      <c r="M5" s="101"/>
      <c r="N5" s="101"/>
      <c r="O5" s="101"/>
      <c r="P5" s="6"/>
      <c r="Q5" s="33"/>
      <c r="R5" s="33"/>
      <c r="S5" s="33"/>
      <c r="T5" s="33"/>
      <c r="U5" s="33"/>
      <c r="V5" s="33"/>
      <c r="W5" s="33"/>
      <c r="X5" s="33"/>
      <c r="Y5" s="33"/>
      <c r="Z5" s="33"/>
    </row>
    <row r="6" spans="1:26" ht="15" customHeight="1" x14ac:dyDescent="0.2">
      <c r="A6" s="101"/>
      <c r="B6" s="101"/>
      <c r="C6" s="101"/>
      <c r="D6" s="101"/>
      <c r="E6" s="101"/>
      <c r="F6" s="101"/>
      <c r="G6" s="101"/>
      <c r="H6" s="101"/>
      <c r="I6" s="101"/>
      <c r="J6" s="101"/>
      <c r="K6" s="101"/>
      <c r="L6" s="101"/>
      <c r="M6" s="101"/>
      <c r="N6" s="101"/>
      <c r="O6" s="101"/>
      <c r="P6" s="101"/>
      <c r="Q6" s="6"/>
      <c r="R6" s="106"/>
      <c r="S6" s="106"/>
      <c r="T6" s="106"/>
      <c r="U6" s="106"/>
      <c r="V6" s="106"/>
      <c r="W6" s="106"/>
      <c r="X6" s="106"/>
      <c r="Y6" s="106"/>
      <c r="Z6" s="106"/>
    </row>
    <row r="7" spans="1:26" ht="18" customHeight="1" x14ac:dyDescent="0.2">
      <c r="A7" s="159" t="s">
        <v>93</v>
      </c>
      <c r="B7" s="159"/>
      <c r="C7" s="159"/>
      <c r="D7" s="159"/>
      <c r="E7" s="159"/>
      <c r="F7" s="159"/>
      <c r="G7" s="159"/>
      <c r="H7" s="159"/>
      <c r="I7" s="159"/>
      <c r="J7" s="159"/>
      <c r="K7" s="159"/>
      <c r="L7" s="159"/>
      <c r="M7" s="159"/>
      <c r="N7" s="159"/>
      <c r="O7" s="159"/>
      <c r="P7" s="159"/>
      <c r="Q7" s="159"/>
      <c r="R7" s="159"/>
      <c r="S7" s="159"/>
      <c r="T7" s="159"/>
      <c r="U7" s="159"/>
      <c r="V7" s="159"/>
      <c r="W7" s="159"/>
      <c r="X7" s="159"/>
      <c r="Y7" s="159"/>
      <c r="Z7" s="159"/>
    </row>
    <row r="8" spans="1:26" ht="18" customHeight="1" x14ac:dyDescent="0.2">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ht="20.25" customHeight="1" x14ac:dyDescent="0.2">
      <c r="A9" s="156" t="s">
        <v>95</v>
      </c>
      <c r="B9" s="156"/>
      <c r="C9" s="101"/>
      <c r="D9" s="3" t="s">
        <v>130</v>
      </c>
      <c r="E9" s="101"/>
      <c r="F9" s="101"/>
      <c r="G9" s="101"/>
      <c r="H9" s="101"/>
      <c r="I9" s="101"/>
      <c r="J9" s="101"/>
      <c r="K9" s="101"/>
      <c r="L9" s="101"/>
      <c r="M9" s="101"/>
      <c r="N9" s="101"/>
      <c r="O9" s="101"/>
      <c r="P9" s="101"/>
      <c r="Q9" s="101"/>
      <c r="R9" s="101"/>
      <c r="S9" s="101"/>
      <c r="T9" s="101"/>
      <c r="U9" s="101"/>
      <c r="V9" s="101"/>
      <c r="W9" s="101"/>
      <c r="X9" s="101"/>
      <c r="Y9" s="101"/>
      <c r="Z9" s="101"/>
    </row>
    <row r="10" spans="1:26" ht="20.25" customHeight="1" x14ac:dyDescent="0.2">
      <c r="A10" s="101"/>
      <c r="B10" s="100"/>
      <c r="C10" s="100"/>
      <c r="D10" s="100"/>
      <c r="E10" s="101"/>
      <c r="F10" s="101"/>
      <c r="G10" s="101"/>
      <c r="H10" s="101"/>
      <c r="I10" s="101"/>
      <c r="J10" s="101"/>
      <c r="K10" s="101"/>
      <c r="L10" s="101"/>
      <c r="M10" s="101"/>
      <c r="N10" s="101"/>
      <c r="O10" s="101"/>
      <c r="P10" s="101"/>
      <c r="Q10" s="100"/>
      <c r="R10" s="100"/>
      <c r="S10" s="100"/>
      <c r="T10" s="100"/>
      <c r="U10" s="100"/>
      <c r="V10" s="100"/>
      <c r="W10" s="100"/>
      <c r="X10" s="100"/>
      <c r="Y10" s="100"/>
      <c r="Z10" s="100"/>
    </row>
    <row r="11" spans="1:26" ht="20.25" customHeight="1" x14ac:dyDescent="0.2">
      <c r="A11" s="156" t="s">
        <v>90</v>
      </c>
      <c r="B11" s="156"/>
      <c r="C11" s="101"/>
      <c r="D11" s="52"/>
      <c r="E11" s="101"/>
      <c r="F11" s="101"/>
      <c r="G11" s="101"/>
      <c r="H11" s="101"/>
      <c r="I11" s="101"/>
      <c r="J11" s="101"/>
      <c r="K11" s="101"/>
      <c r="L11" s="101"/>
      <c r="M11" s="101"/>
      <c r="N11" s="101"/>
      <c r="O11" s="101"/>
      <c r="P11" s="101"/>
      <c r="Q11" s="101"/>
      <c r="R11" s="101"/>
      <c r="S11" s="101"/>
      <c r="T11" s="101"/>
      <c r="U11" s="101"/>
      <c r="V11" s="101"/>
      <c r="W11" s="101"/>
      <c r="X11" s="101"/>
      <c r="Y11" s="101"/>
      <c r="Z11" s="101"/>
    </row>
    <row r="12" spans="1:26" ht="20.25" customHeight="1" x14ac:dyDescent="0.2">
      <c r="A12" s="101"/>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spans="1:26" ht="20.25" customHeight="1" x14ac:dyDescent="0.2">
      <c r="A13" s="157" t="s">
        <v>96</v>
      </c>
      <c r="B13" s="157"/>
      <c r="C13" s="100"/>
      <c r="D13" s="110" t="s">
        <v>131</v>
      </c>
      <c r="E13" s="33"/>
      <c r="F13" s="33"/>
      <c r="G13" s="33"/>
      <c r="H13" s="33"/>
      <c r="I13" s="33"/>
      <c r="J13" s="33"/>
      <c r="K13" s="33"/>
      <c r="L13" s="33"/>
      <c r="M13" s="33"/>
      <c r="N13" s="33"/>
      <c r="O13" s="33"/>
      <c r="P13" s="33"/>
      <c r="Q13" s="54"/>
      <c r="R13" s="54"/>
      <c r="S13" s="54"/>
      <c r="T13" s="54"/>
      <c r="U13" s="54"/>
      <c r="V13" s="54"/>
      <c r="W13" s="54"/>
      <c r="X13" s="54"/>
      <c r="Y13" s="54"/>
      <c r="Z13" s="54"/>
    </row>
    <row r="14" spans="1:26" ht="20.25" customHeight="1" x14ac:dyDescent="0.2">
      <c r="A14" s="101"/>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row>
    <row r="15" spans="1:26" ht="96" customHeight="1" x14ac:dyDescent="0.2">
      <c r="A15" s="158" t="s">
        <v>97</v>
      </c>
      <c r="B15" s="158"/>
      <c r="C15" s="100"/>
      <c r="D15" s="55" t="s">
        <v>132</v>
      </c>
      <c r="E15" s="13"/>
      <c r="F15" s="13"/>
      <c r="G15" s="13"/>
      <c r="H15" s="13"/>
      <c r="I15" s="13"/>
      <c r="J15" s="13"/>
      <c r="K15" s="13"/>
      <c r="L15" s="13"/>
      <c r="M15" s="13"/>
      <c r="N15" s="13"/>
      <c r="O15" s="13"/>
      <c r="P15" s="13"/>
      <c r="Q15" s="13"/>
      <c r="R15" s="13"/>
      <c r="S15" s="13"/>
      <c r="T15" s="13"/>
      <c r="U15" s="13"/>
      <c r="V15" s="13"/>
      <c r="W15" s="13"/>
      <c r="X15" s="13"/>
      <c r="Y15" s="13"/>
      <c r="Z15" s="13"/>
    </row>
    <row r="16" spans="1:26" ht="13.2" customHeight="1" x14ac:dyDescent="0.2">
      <c r="A16" s="101"/>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20.25" customHeight="1" x14ac:dyDescent="0.2">
      <c r="A17" s="101" t="s">
        <v>113</v>
      </c>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0.199999999999999" customHeight="1" x14ac:dyDescent="0.2">
      <c r="A18" s="101"/>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spans="1:26" ht="20.25" customHeight="1" x14ac:dyDescent="0.2">
      <c r="A19" s="101"/>
      <c r="B19" s="6" t="s">
        <v>114</v>
      </c>
      <c r="C19" s="91">
        <v>1</v>
      </c>
      <c r="D19" s="102" t="s">
        <v>87</v>
      </c>
      <c r="E19" s="101"/>
      <c r="F19" s="101"/>
      <c r="G19" s="100"/>
      <c r="H19" s="100"/>
      <c r="I19" s="100"/>
      <c r="J19" s="100"/>
      <c r="K19" s="100"/>
      <c r="L19" s="100"/>
      <c r="M19" s="100"/>
      <c r="N19" s="100"/>
      <c r="O19" s="100"/>
      <c r="P19" s="100"/>
      <c r="Q19" s="100"/>
      <c r="R19" s="100"/>
      <c r="S19" s="100"/>
      <c r="T19" s="100"/>
      <c r="U19" s="100"/>
      <c r="V19" s="100"/>
      <c r="W19" s="100"/>
      <c r="X19" s="100"/>
      <c r="Y19" s="100"/>
      <c r="Z19" s="100"/>
    </row>
    <row r="20" spans="1:26" ht="20.25" customHeight="1" x14ac:dyDescent="0.2">
      <c r="A20" s="101"/>
      <c r="B20" s="100"/>
      <c r="C20" s="91">
        <v>2</v>
      </c>
      <c r="D20" s="102" t="s">
        <v>88</v>
      </c>
      <c r="E20" s="101"/>
      <c r="F20" s="101"/>
      <c r="G20" s="100"/>
      <c r="H20" s="100"/>
      <c r="I20" s="100"/>
      <c r="J20" s="100"/>
      <c r="K20" s="100"/>
      <c r="L20" s="100"/>
      <c r="M20" s="100"/>
      <c r="N20" s="100"/>
      <c r="O20" s="100"/>
      <c r="P20" s="100"/>
      <c r="Q20" s="100"/>
      <c r="R20" s="100"/>
      <c r="S20" s="100"/>
      <c r="T20" s="100"/>
      <c r="U20" s="100"/>
      <c r="V20" s="100"/>
      <c r="W20" s="100"/>
      <c r="X20" s="100"/>
      <c r="Y20" s="100"/>
      <c r="Z20" s="100"/>
    </row>
    <row r="21" spans="1:26" ht="20.25" customHeight="1" thickBot="1" x14ac:dyDescent="0.25">
      <c r="A21" s="101"/>
      <c r="B21" s="101"/>
      <c r="C21" s="101"/>
      <c r="D21" s="101"/>
      <c r="E21" s="101"/>
      <c r="F21" s="162" t="s">
        <v>117</v>
      </c>
      <c r="G21" s="163"/>
      <c r="H21" s="163"/>
      <c r="I21" s="163"/>
      <c r="J21" s="163"/>
      <c r="K21" s="163"/>
      <c r="L21" s="163"/>
      <c r="M21" s="163"/>
      <c r="N21" s="163"/>
      <c r="O21" s="163"/>
      <c r="P21" s="163"/>
      <c r="Q21" s="163"/>
      <c r="R21" s="163"/>
      <c r="S21" s="163"/>
      <c r="T21" s="163"/>
      <c r="U21" s="163"/>
      <c r="V21" s="163"/>
      <c r="W21" s="163"/>
      <c r="X21" s="163"/>
      <c r="Y21" s="163"/>
      <c r="Z21" s="164"/>
    </row>
    <row r="22" spans="1:26" ht="18" customHeight="1" x14ac:dyDescent="0.2">
      <c r="A22" s="101"/>
      <c r="B22" s="107"/>
      <c r="C22" s="107"/>
      <c r="D22" s="104" t="s">
        <v>48</v>
      </c>
      <c r="E22" s="56" t="s">
        <v>70</v>
      </c>
      <c r="F22" s="57" t="s">
        <v>50</v>
      </c>
      <c r="G22" s="58" t="s">
        <v>61</v>
      </c>
      <c r="H22" s="58" t="s">
        <v>62</v>
      </c>
      <c r="I22" s="58" t="s">
        <v>63</v>
      </c>
      <c r="J22" s="58" t="s">
        <v>64</v>
      </c>
      <c r="K22" s="58" t="s">
        <v>53</v>
      </c>
      <c r="L22" s="58" t="s">
        <v>80</v>
      </c>
      <c r="M22" s="58" t="s">
        <v>65</v>
      </c>
      <c r="N22" s="58" t="s">
        <v>66</v>
      </c>
      <c r="O22" s="58" t="s">
        <v>52</v>
      </c>
      <c r="P22" s="59" t="s">
        <v>54</v>
      </c>
      <c r="Q22" s="60" t="s">
        <v>98</v>
      </c>
      <c r="R22" s="61" t="s">
        <v>99</v>
      </c>
      <c r="S22" s="61" t="s">
        <v>100</v>
      </c>
      <c r="T22" s="61" t="s">
        <v>101</v>
      </c>
      <c r="U22" s="61" t="s">
        <v>102</v>
      </c>
      <c r="V22" s="61" t="s">
        <v>103</v>
      </c>
      <c r="W22" s="61" t="s">
        <v>104</v>
      </c>
      <c r="X22" s="61" t="s">
        <v>105</v>
      </c>
      <c r="Y22" s="61" t="s">
        <v>106</v>
      </c>
      <c r="Z22" s="62" t="s">
        <v>107</v>
      </c>
    </row>
    <row r="23" spans="1:26" ht="18" customHeight="1" x14ac:dyDescent="0.2">
      <c r="A23" s="101"/>
      <c r="B23" s="151" t="s">
        <v>125</v>
      </c>
      <c r="C23" s="152"/>
      <c r="D23" s="114" t="s">
        <v>133</v>
      </c>
      <c r="E23" s="115">
        <v>2</v>
      </c>
      <c r="F23" s="116" t="s">
        <v>134</v>
      </c>
      <c r="G23" s="117" t="s">
        <v>134</v>
      </c>
      <c r="H23" s="117" t="s">
        <v>134</v>
      </c>
      <c r="I23" s="117" t="s">
        <v>134</v>
      </c>
      <c r="J23" s="117" t="s">
        <v>134</v>
      </c>
      <c r="K23" s="117" t="s">
        <v>134</v>
      </c>
      <c r="L23" s="117" t="s">
        <v>134</v>
      </c>
      <c r="M23" s="117" t="s">
        <v>134</v>
      </c>
      <c r="N23" s="117" t="s">
        <v>134</v>
      </c>
      <c r="O23" s="117" t="s">
        <v>134</v>
      </c>
      <c r="P23" s="118" t="s">
        <v>134</v>
      </c>
      <c r="Q23" s="119"/>
      <c r="R23" s="117"/>
      <c r="S23" s="117"/>
      <c r="T23" s="117"/>
      <c r="U23" s="117"/>
      <c r="V23" s="117"/>
      <c r="W23" s="117"/>
      <c r="X23" s="117"/>
      <c r="Y23" s="117"/>
      <c r="Z23" s="117"/>
    </row>
    <row r="24" spans="1:26" ht="18" customHeight="1" x14ac:dyDescent="0.2">
      <c r="A24" s="101"/>
      <c r="B24" s="153"/>
      <c r="C24" s="154"/>
      <c r="D24" s="63"/>
      <c r="E24" s="92"/>
      <c r="F24" s="64"/>
      <c r="G24" s="65"/>
      <c r="H24" s="65"/>
      <c r="I24" s="65"/>
      <c r="J24" s="65"/>
      <c r="K24" s="65"/>
      <c r="L24" s="65"/>
      <c r="M24" s="65"/>
      <c r="N24" s="65"/>
      <c r="O24" s="65"/>
      <c r="P24" s="66"/>
      <c r="Q24" s="67"/>
      <c r="R24" s="65"/>
      <c r="S24" s="65"/>
      <c r="T24" s="65"/>
      <c r="U24" s="65"/>
      <c r="V24" s="65"/>
      <c r="W24" s="65"/>
      <c r="X24" s="65"/>
      <c r="Y24" s="65"/>
      <c r="Z24" s="65"/>
    </row>
    <row r="25" spans="1:26" ht="18" customHeight="1" x14ac:dyDescent="0.2">
      <c r="A25" s="101"/>
      <c r="B25" s="153"/>
      <c r="C25" s="154"/>
      <c r="D25" s="63"/>
      <c r="E25" s="92"/>
      <c r="F25" s="64"/>
      <c r="G25" s="65"/>
      <c r="H25" s="65"/>
      <c r="I25" s="65"/>
      <c r="J25" s="65"/>
      <c r="K25" s="65"/>
      <c r="L25" s="65"/>
      <c r="M25" s="65"/>
      <c r="N25" s="65"/>
      <c r="O25" s="65"/>
      <c r="P25" s="66"/>
      <c r="Q25" s="67"/>
      <c r="R25" s="65"/>
      <c r="S25" s="65"/>
      <c r="T25" s="65"/>
      <c r="U25" s="65"/>
      <c r="V25" s="65"/>
      <c r="W25" s="65"/>
      <c r="X25" s="65"/>
      <c r="Y25" s="65"/>
      <c r="Z25" s="65"/>
    </row>
    <row r="26" spans="1:26" ht="18" customHeight="1" x14ac:dyDescent="0.2">
      <c r="A26" s="101"/>
      <c r="B26" s="153"/>
      <c r="C26" s="154"/>
      <c r="D26" s="63"/>
      <c r="E26" s="92"/>
      <c r="F26" s="64"/>
      <c r="G26" s="65"/>
      <c r="H26" s="65"/>
      <c r="I26" s="65"/>
      <c r="J26" s="65"/>
      <c r="K26" s="65"/>
      <c r="L26" s="65"/>
      <c r="M26" s="65"/>
      <c r="N26" s="65"/>
      <c r="O26" s="65"/>
      <c r="P26" s="66"/>
      <c r="Q26" s="67"/>
      <c r="R26" s="65"/>
      <c r="S26" s="65"/>
      <c r="T26" s="65"/>
      <c r="U26" s="65"/>
      <c r="V26" s="65"/>
      <c r="W26" s="65"/>
      <c r="X26" s="65"/>
      <c r="Y26" s="65"/>
      <c r="Z26" s="65"/>
    </row>
    <row r="27" spans="1:26" ht="18" customHeight="1" x14ac:dyDescent="0.2">
      <c r="A27" s="101"/>
      <c r="B27" s="153"/>
      <c r="C27" s="154"/>
      <c r="D27" s="63"/>
      <c r="E27" s="92"/>
      <c r="F27" s="64"/>
      <c r="G27" s="65"/>
      <c r="H27" s="65"/>
      <c r="I27" s="65"/>
      <c r="J27" s="65"/>
      <c r="K27" s="65"/>
      <c r="L27" s="65"/>
      <c r="M27" s="65"/>
      <c r="N27" s="65"/>
      <c r="O27" s="65"/>
      <c r="P27" s="66"/>
      <c r="Q27" s="67"/>
      <c r="R27" s="65"/>
      <c r="S27" s="65"/>
      <c r="T27" s="65"/>
      <c r="U27" s="65"/>
      <c r="V27" s="65"/>
      <c r="W27" s="65"/>
      <c r="X27" s="65"/>
      <c r="Y27" s="65"/>
      <c r="Z27" s="65"/>
    </row>
    <row r="28" spans="1:26" ht="18" customHeight="1" x14ac:dyDescent="0.2">
      <c r="A28" s="101"/>
      <c r="B28" s="153"/>
      <c r="C28" s="154"/>
      <c r="D28" s="63"/>
      <c r="E28" s="92"/>
      <c r="F28" s="64"/>
      <c r="G28" s="65"/>
      <c r="H28" s="65"/>
      <c r="I28" s="65"/>
      <c r="J28" s="65"/>
      <c r="K28" s="65"/>
      <c r="L28" s="65"/>
      <c r="M28" s="65"/>
      <c r="N28" s="65"/>
      <c r="O28" s="65"/>
      <c r="P28" s="66"/>
      <c r="Q28" s="67"/>
      <c r="R28" s="65"/>
      <c r="S28" s="65"/>
      <c r="T28" s="65"/>
      <c r="U28" s="65"/>
      <c r="V28" s="65"/>
      <c r="W28" s="65"/>
      <c r="X28" s="65"/>
      <c r="Y28" s="65"/>
      <c r="Z28" s="65"/>
    </row>
    <row r="29" spans="1:26" ht="18" customHeight="1" x14ac:dyDescent="0.2">
      <c r="A29" s="101"/>
      <c r="B29" s="153"/>
      <c r="C29" s="154"/>
      <c r="D29" s="63"/>
      <c r="E29" s="92"/>
      <c r="F29" s="64"/>
      <c r="G29" s="65"/>
      <c r="H29" s="65"/>
      <c r="I29" s="65"/>
      <c r="J29" s="65"/>
      <c r="K29" s="65"/>
      <c r="L29" s="65"/>
      <c r="M29" s="65"/>
      <c r="N29" s="65"/>
      <c r="O29" s="65"/>
      <c r="P29" s="66"/>
      <c r="Q29" s="67"/>
      <c r="R29" s="65"/>
      <c r="S29" s="65"/>
      <c r="T29" s="65"/>
      <c r="U29" s="65"/>
      <c r="V29" s="65"/>
      <c r="W29" s="65"/>
      <c r="X29" s="65"/>
      <c r="Y29" s="65"/>
      <c r="Z29" s="65"/>
    </row>
    <row r="30" spans="1:26" ht="18" customHeight="1" x14ac:dyDescent="0.2">
      <c r="A30" s="101"/>
      <c r="B30" s="153"/>
      <c r="C30" s="154"/>
      <c r="D30" s="63"/>
      <c r="E30" s="92"/>
      <c r="F30" s="64"/>
      <c r="G30" s="65"/>
      <c r="H30" s="65"/>
      <c r="I30" s="65"/>
      <c r="J30" s="65"/>
      <c r="K30" s="65"/>
      <c r="L30" s="65"/>
      <c r="M30" s="65"/>
      <c r="N30" s="65"/>
      <c r="O30" s="65"/>
      <c r="P30" s="66"/>
      <c r="Q30" s="67"/>
      <c r="R30" s="65"/>
      <c r="S30" s="65"/>
      <c r="T30" s="65"/>
      <c r="U30" s="65"/>
      <c r="V30" s="65"/>
      <c r="W30" s="65"/>
      <c r="X30" s="65"/>
      <c r="Y30" s="65"/>
      <c r="Z30" s="65"/>
    </row>
    <row r="31" spans="1:26" ht="18" customHeight="1" x14ac:dyDescent="0.2">
      <c r="A31" s="101"/>
      <c r="B31" s="153"/>
      <c r="C31" s="154"/>
      <c r="D31" s="63"/>
      <c r="E31" s="92"/>
      <c r="F31" s="64"/>
      <c r="G31" s="65"/>
      <c r="H31" s="65"/>
      <c r="I31" s="65"/>
      <c r="J31" s="65"/>
      <c r="K31" s="65"/>
      <c r="L31" s="65"/>
      <c r="M31" s="65"/>
      <c r="N31" s="65"/>
      <c r="O31" s="65"/>
      <c r="P31" s="66"/>
      <c r="Q31" s="67"/>
      <c r="R31" s="65"/>
      <c r="S31" s="65"/>
      <c r="T31" s="65"/>
      <c r="U31" s="65"/>
      <c r="V31" s="65"/>
      <c r="W31" s="65"/>
      <c r="X31" s="65"/>
      <c r="Y31" s="65"/>
      <c r="Z31" s="65"/>
    </row>
    <row r="32" spans="1:26" ht="18" customHeight="1" x14ac:dyDescent="0.2">
      <c r="A32" s="101"/>
      <c r="B32" s="153"/>
      <c r="C32" s="154"/>
      <c r="D32" s="68"/>
      <c r="E32" s="93"/>
      <c r="F32" s="69"/>
      <c r="G32" s="70"/>
      <c r="H32" s="70"/>
      <c r="I32" s="70"/>
      <c r="J32" s="70"/>
      <c r="K32" s="70"/>
      <c r="L32" s="70"/>
      <c r="M32" s="70"/>
      <c r="N32" s="70"/>
      <c r="O32" s="70"/>
      <c r="P32" s="71"/>
      <c r="Q32" s="72"/>
      <c r="R32" s="70"/>
      <c r="S32" s="70"/>
      <c r="T32" s="70"/>
      <c r="U32" s="70"/>
      <c r="V32" s="70"/>
      <c r="W32" s="70"/>
      <c r="X32" s="70"/>
      <c r="Y32" s="70"/>
      <c r="Z32" s="70"/>
    </row>
    <row r="33" spans="1:26" ht="18" customHeight="1" x14ac:dyDescent="0.2">
      <c r="A33" s="101"/>
      <c r="B33" s="165" t="s">
        <v>126</v>
      </c>
      <c r="C33" s="166"/>
      <c r="D33" s="73"/>
      <c r="E33" s="94"/>
      <c r="F33" s="74"/>
      <c r="G33" s="75"/>
      <c r="H33" s="75"/>
      <c r="I33" s="75"/>
      <c r="J33" s="75"/>
      <c r="K33" s="75"/>
      <c r="L33" s="75"/>
      <c r="M33" s="75"/>
      <c r="N33" s="75"/>
      <c r="O33" s="75"/>
      <c r="P33" s="76"/>
      <c r="Q33" s="77"/>
      <c r="R33" s="75"/>
      <c r="S33" s="75"/>
      <c r="T33" s="75"/>
      <c r="U33" s="75"/>
      <c r="V33" s="75"/>
      <c r="W33" s="75"/>
      <c r="X33" s="75"/>
      <c r="Y33" s="75"/>
      <c r="Z33" s="75"/>
    </row>
    <row r="34" spans="1:26" ht="18" customHeight="1" x14ac:dyDescent="0.2">
      <c r="A34" s="101"/>
      <c r="B34" s="167"/>
      <c r="C34" s="168"/>
      <c r="D34" s="63"/>
      <c r="E34" s="92"/>
      <c r="F34" s="64"/>
      <c r="G34" s="65"/>
      <c r="H34" s="65"/>
      <c r="I34" s="65"/>
      <c r="J34" s="65"/>
      <c r="K34" s="65"/>
      <c r="L34" s="65"/>
      <c r="M34" s="65"/>
      <c r="N34" s="65"/>
      <c r="O34" s="65"/>
      <c r="P34" s="66"/>
      <c r="Q34" s="67"/>
      <c r="R34" s="65"/>
      <c r="S34" s="65"/>
      <c r="T34" s="65"/>
      <c r="U34" s="65"/>
      <c r="V34" s="65"/>
      <c r="W34" s="65"/>
      <c r="X34" s="65"/>
      <c r="Y34" s="65"/>
      <c r="Z34" s="65"/>
    </row>
    <row r="35" spans="1:26" ht="18" customHeight="1" x14ac:dyDescent="0.2">
      <c r="A35" s="101"/>
      <c r="B35" s="167"/>
      <c r="C35" s="168"/>
      <c r="D35" s="63"/>
      <c r="E35" s="92"/>
      <c r="F35" s="64"/>
      <c r="G35" s="65"/>
      <c r="H35" s="65"/>
      <c r="I35" s="65"/>
      <c r="J35" s="65"/>
      <c r="K35" s="65"/>
      <c r="L35" s="65"/>
      <c r="M35" s="65"/>
      <c r="N35" s="65"/>
      <c r="O35" s="65"/>
      <c r="P35" s="66"/>
      <c r="Q35" s="67"/>
      <c r="R35" s="65"/>
      <c r="S35" s="65"/>
      <c r="T35" s="65"/>
      <c r="U35" s="65"/>
      <c r="V35" s="65"/>
      <c r="W35" s="65"/>
      <c r="X35" s="65"/>
      <c r="Y35" s="65"/>
      <c r="Z35" s="65"/>
    </row>
    <row r="36" spans="1:26" ht="18" customHeight="1" x14ac:dyDescent="0.2">
      <c r="A36" s="101"/>
      <c r="B36" s="167"/>
      <c r="C36" s="168"/>
      <c r="D36" s="63"/>
      <c r="E36" s="92"/>
      <c r="F36" s="64"/>
      <c r="G36" s="65"/>
      <c r="H36" s="65"/>
      <c r="I36" s="65"/>
      <c r="J36" s="65"/>
      <c r="K36" s="65"/>
      <c r="L36" s="65"/>
      <c r="M36" s="65"/>
      <c r="N36" s="65"/>
      <c r="O36" s="65"/>
      <c r="P36" s="66"/>
      <c r="Q36" s="67"/>
      <c r="R36" s="65"/>
      <c r="S36" s="65"/>
      <c r="T36" s="65"/>
      <c r="U36" s="65"/>
      <c r="V36" s="65"/>
      <c r="W36" s="65"/>
      <c r="X36" s="65"/>
      <c r="Y36" s="65"/>
      <c r="Z36" s="65"/>
    </row>
    <row r="37" spans="1:26" ht="18" customHeight="1" x14ac:dyDescent="0.2">
      <c r="A37" s="101"/>
      <c r="B37" s="167"/>
      <c r="C37" s="168"/>
      <c r="D37" s="63"/>
      <c r="E37" s="92"/>
      <c r="F37" s="64"/>
      <c r="G37" s="65"/>
      <c r="H37" s="65"/>
      <c r="I37" s="65"/>
      <c r="J37" s="65"/>
      <c r="K37" s="65"/>
      <c r="L37" s="65"/>
      <c r="M37" s="65"/>
      <c r="N37" s="65"/>
      <c r="O37" s="65"/>
      <c r="P37" s="66"/>
      <c r="Q37" s="67"/>
      <c r="R37" s="65"/>
      <c r="S37" s="65"/>
      <c r="T37" s="65"/>
      <c r="U37" s="65"/>
      <c r="V37" s="65"/>
      <c r="W37" s="65"/>
      <c r="X37" s="65"/>
      <c r="Y37" s="65"/>
      <c r="Z37" s="65"/>
    </row>
    <row r="38" spans="1:26" ht="18" customHeight="1" x14ac:dyDescent="0.2">
      <c r="A38" s="101"/>
      <c r="B38" s="167"/>
      <c r="C38" s="168"/>
      <c r="D38" s="63"/>
      <c r="E38" s="92"/>
      <c r="F38" s="64"/>
      <c r="G38" s="65"/>
      <c r="H38" s="65"/>
      <c r="I38" s="65"/>
      <c r="J38" s="65"/>
      <c r="K38" s="65"/>
      <c r="L38" s="65"/>
      <c r="M38" s="65"/>
      <c r="N38" s="65"/>
      <c r="O38" s="65"/>
      <c r="P38" s="66"/>
      <c r="Q38" s="67"/>
      <c r="R38" s="65"/>
      <c r="S38" s="65"/>
      <c r="T38" s="65"/>
      <c r="U38" s="65"/>
      <c r="V38" s="65"/>
      <c r="W38" s="65"/>
      <c r="X38" s="65"/>
      <c r="Y38" s="65"/>
      <c r="Z38" s="65"/>
    </row>
    <row r="39" spans="1:26" ht="18" customHeight="1" x14ac:dyDescent="0.2">
      <c r="A39" s="101"/>
      <c r="B39" s="167"/>
      <c r="C39" s="168"/>
      <c r="D39" s="63"/>
      <c r="E39" s="92"/>
      <c r="F39" s="64"/>
      <c r="G39" s="65"/>
      <c r="H39" s="65"/>
      <c r="I39" s="65"/>
      <c r="J39" s="65"/>
      <c r="K39" s="65"/>
      <c r="L39" s="65"/>
      <c r="M39" s="65"/>
      <c r="N39" s="65"/>
      <c r="O39" s="65"/>
      <c r="P39" s="66"/>
      <c r="Q39" s="67"/>
      <c r="R39" s="65"/>
      <c r="S39" s="65"/>
      <c r="T39" s="65"/>
      <c r="U39" s="65"/>
      <c r="V39" s="65"/>
      <c r="W39" s="65"/>
      <c r="X39" s="65"/>
      <c r="Y39" s="65"/>
      <c r="Z39" s="65"/>
    </row>
    <row r="40" spans="1:26" ht="18" customHeight="1" x14ac:dyDescent="0.2">
      <c r="A40" s="101"/>
      <c r="B40" s="167"/>
      <c r="C40" s="168"/>
      <c r="D40" s="63"/>
      <c r="E40" s="92"/>
      <c r="F40" s="64"/>
      <c r="G40" s="65"/>
      <c r="H40" s="65"/>
      <c r="I40" s="65"/>
      <c r="J40" s="65"/>
      <c r="K40" s="65"/>
      <c r="L40" s="65"/>
      <c r="M40" s="65"/>
      <c r="N40" s="65"/>
      <c r="O40" s="65"/>
      <c r="P40" s="66"/>
      <c r="Q40" s="67"/>
      <c r="R40" s="65"/>
      <c r="S40" s="65"/>
      <c r="T40" s="65"/>
      <c r="U40" s="65"/>
      <c r="V40" s="65"/>
      <c r="W40" s="65"/>
      <c r="X40" s="65"/>
      <c r="Y40" s="65"/>
      <c r="Z40" s="65"/>
    </row>
    <row r="41" spans="1:26" ht="18" customHeight="1" x14ac:dyDescent="0.2">
      <c r="A41" s="101"/>
      <c r="B41" s="167"/>
      <c r="C41" s="168"/>
      <c r="D41" s="63"/>
      <c r="E41" s="92"/>
      <c r="F41" s="64"/>
      <c r="G41" s="65"/>
      <c r="H41" s="65"/>
      <c r="I41" s="65"/>
      <c r="J41" s="65"/>
      <c r="K41" s="65"/>
      <c r="L41" s="65"/>
      <c r="M41" s="65"/>
      <c r="N41" s="65"/>
      <c r="O41" s="65"/>
      <c r="P41" s="66"/>
      <c r="Q41" s="67"/>
      <c r="R41" s="65"/>
      <c r="S41" s="65"/>
      <c r="T41" s="65"/>
      <c r="U41" s="65"/>
      <c r="V41" s="65"/>
      <c r="W41" s="65"/>
      <c r="X41" s="65"/>
      <c r="Y41" s="65"/>
      <c r="Z41" s="65"/>
    </row>
    <row r="42" spans="1:26" ht="18" customHeight="1" x14ac:dyDescent="0.2">
      <c r="A42" s="101"/>
      <c r="B42" s="169"/>
      <c r="C42" s="170"/>
      <c r="D42" s="68"/>
      <c r="E42" s="95"/>
      <c r="F42" s="69"/>
      <c r="G42" s="70"/>
      <c r="H42" s="70"/>
      <c r="I42" s="70"/>
      <c r="J42" s="70"/>
      <c r="K42" s="70"/>
      <c r="L42" s="70"/>
      <c r="M42" s="70"/>
      <c r="N42" s="70"/>
      <c r="O42" s="70"/>
      <c r="P42" s="71"/>
      <c r="Q42" s="72"/>
      <c r="R42" s="70"/>
      <c r="S42" s="70"/>
      <c r="T42" s="70"/>
      <c r="U42" s="70"/>
      <c r="V42" s="70"/>
      <c r="W42" s="70"/>
      <c r="X42" s="70"/>
      <c r="Y42" s="70"/>
      <c r="Z42" s="70"/>
    </row>
    <row r="43" spans="1:26" ht="18" customHeight="1" x14ac:dyDescent="0.2">
      <c r="A43" s="101"/>
      <c r="B43" s="171" t="s">
        <v>127</v>
      </c>
      <c r="C43" s="172"/>
      <c r="D43" s="120" t="s">
        <v>135</v>
      </c>
      <c r="E43" s="121">
        <v>2</v>
      </c>
      <c r="F43" s="122"/>
      <c r="G43" s="123"/>
      <c r="H43" s="123"/>
      <c r="I43" s="123"/>
      <c r="J43" s="123"/>
      <c r="K43" s="123"/>
      <c r="L43" s="123"/>
      <c r="M43" s="123"/>
      <c r="N43" s="123"/>
      <c r="O43" s="123"/>
      <c r="P43" s="124"/>
      <c r="Q43" s="125"/>
      <c r="R43" s="123" t="s">
        <v>134</v>
      </c>
      <c r="S43" s="123"/>
      <c r="T43" s="123"/>
      <c r="U43" s="123" t="s">
        <v>134</v>
      </c>
      <c r="V43" s="123" t="s">
        <v>134</v>
      </c>
      <c r="W43" s="123" t="s">
        <v>134</v>
      </c>
      <c r="X43" s="123" t="s">
        <v>134</v>
      </c>
      <c r="Y43" s="123" t="s">
        <v>134</v>
      </c>
      <c r="Z43" s="123"/>
    </row>
    <row r="44" spans="1:26" ht="18" customHeight="1" x14ac:dyDescent="0.2">
      <c r="A44" s="101"/>
      <c r="B44" s="171"/>
      <c r="C44" s="172"/>
      <c r="D44" s="120" t="s">
        <v>136</v>
      </c>
      <c r="E44" s="121">
        <v>2</v>
      </c>
      <c r="F44" s="122"/>
      <c r="G44" s="123"/>
      <c r="H44" s="123"/>
      <c r="I44" s="123"/>
      <c r="J44" s="123"/>
      <c r="K44" s="123"/>
      <c r="L44" s="123"/>
      <c r="M44" s="123"/>
      <c r="N44" s="123"/>
      <c r="O44" s="123"/>
      <c r="P44" s="124"/>
      <c r="Q44" s="125"/>
      <c r="R44" s="123"/>
      <c r="S44" s="123"/>
      <c r="T44" s="123" t="s">
        <v>134</v>
      </c>
      <c r="U44" s="123" t="s">
        <v>134</v>
      </c>
      <c r="V44" s="123" t="s">
        <v>134</v>
      </c>
      <c r="W44" s="123"/>
      <c r="X44" s="144" t="s">
        <v>134</v>
      </c>
      <c r="Y44" s="123" t="s">
        <v>134</v>
      </c>
      <c r="Z44" s="123"/>
    </row>
    <row r="45" spans="1:26" ht="18" customHeight="1" x14ac:dyDescent="0.2">
      <c r="A45" s="101"/>
      <c r="B45" s="171"/>
      <c r="C45" s="172"/>
      <c r="D45" s="63"/>
      <c r="E45" s="92"/>
      <c r="F45" s="64"/>
      <c r="G45" s="65"/>
      <c r="H45" s="65"/>
      <c r="I45" s="65"/>
      <c r="J45" s="65"/>
      <c r="K45" s="65"/>
      <c r="L45" s="65"/>
      <c r="M45" s="65"/>
      <c r="N45" s="65"/>
      <c r="O45" s="65"/>
      <c r="P45" s="66"/>
      <c r="Q45" s="67"/>
      <c r="R45" s="65"/>
      <c r="S45" s="65"/>
      <c r="T45" s="65"/>
      <c r="U45" s="65"/>
      <c r="V45" s="65"/>
      <c r="W45" s="65"/>
      <c r="X45" s="65"/>
      <c r="Y45" s="65"/>
      <c r="Z45" s="65"/>
    </row>
    <row r="46" spans="1:26" ht="18" customHeight="1" x14ac:dyDescent="0.2">
      <c r="A46" s="101"/>
      <c r="B46" s="171"/>
      <c r="C46" s="172"/>
      <c r="D46" s="63"/>
      <c r="E46" s="92"/>
      <c r="F46" s="64"/>
      <c r="G46" s="65"/>
      <c r="H46" s="65"/>
      <c r="I46" s="65"/>
      <c r="J46" s="65"/>
      <c r="K46" s="65"/>
      <c r="L46" s="65"/>
      <c r="M46" s="65"/>
      <c r="N46" s="65"/>
      <c r="O46" s="65"/>
      <c r="P46" s="66"/>
      <c r="Q46" s="67"/>
      <c r="R46" s="65"/>
      <c r="S46" s="65"/>
      <c r="T46" s="65"/>
      <c r="U46" s="65"/>
      <c r="V46" s="65"/>
      <c r="W46" s="65"/>
      <c r="X46" s="65"/>
      <c r="Y46" s="65"/>
      <c r="Z46" s="65"/>
    </row>
    <row r="47" spans="1:26" ht="18" customHeight="1" x14ac:dyDescent="0.2">
      <c r="A47" s="101"/>
      <c r="B47" s="171"/>
      <c r="C47" s="172"/>
      <c r="D47" s="63"/>
      <c r="E47" s="92"/>
      <c r="F47" s="64"/>
      <c r="G47" s="65"/>
      <c r="H47" s="65"/>
      <c r="I47" s="65"/>
      <c r="J47" s="65"/>
      <c r="K47" s="65"/>
      <c r="L47" s="65"/>
      <c r="M47" s="65"/>
      <c r="N47" s="65"/>
      <c r="O47" s="65"/>
      <c r="P47" s="66"/>
      <c r="Q47" s="67"/>
      <c r="R47" s="65"/>
      <c r="S47" s="65"/>
      <c r="T47" s="65"/>
      <c r="U47" s="65"/>
      <c r="V47" s="65"/>
      <c r="W47" s="65"/>
      <c r="X47" s="65"/>
      <c r="Y47" s="65"/>
      <c r="Z47" s="65"/>
    </row>
    <row r="48" spans="1:26" ht="18" customHeight="1" x14ac:dyDescent="0.2">
      <c r="A48" s="101"/>
      <c r="B48" s="171"/>
      <c r="C48" s="172"/>
      <c r="D48" s="63"/>
      <c r="E48" s="92"/>
      <c r="F48" s="64"/>
      <c r="G48" s="65"/>
      <c r="H48" s="65"/>
      <c r="I48" s="65"/>
      <c r="J48" s="65"/>
      <c r="K48" s="65"/>
      <c r="L48" s="65"/>
      <c r="M48" s="65"/>
      <c r="N48" s="65"/>
      <c r="O48" s="65"/>
      <c r="P48" s="66"/>
      <c r="Q48" s="67"/>
      <c r="R48" s="65"/>
      <c r="S48" s="65"/>
      <c r="T48" s="65"/>
      <c r="U48" s="65"/>
      <c r="V48" s="65"/>
      <c r="W48" s="65"/>
      <c r="X48" s="65"/>
      <c r="Y48" s="65"/>
      <c r="Z48" s="65"/>
    </row>
    <row r="49" spans="1:26" ht="18" customHeight="1" x14ac:dyDescent="0.2">
      <c r="A49" s="101"/>
      <c r="B49" s="171"/>
      <c r="C49" s="172"/>
      <c r="D49" s="63"/>
      <c r="E49" s="92"/>
      <c r="F49" s="64"/>
      <c r="G49" s="65"/>
      <c r="H49" s="65"/>
      <c r="I49" s="65"/>
      <c r="J49" s="65"/>
      <c r="K49" s="65"/>
      <c r="L49" s="65"/>
      <c r="M49" s="65"/>
      <c r="N49" s="65"/>
      <c r="O49" s="65"/>
      <c r="P49" s="66"/>
      <c r="Q49" s="67"/>
      <c r="R49" s="65"/>
      <c r="S49" s="65"/>
      <c r="T49" s="65"/>
      <c r="U49" s="65"/>
      <c r="V49" s="65"/>
      <c r="W49" s="65"/>
      <c r="X49" s="65"/>
      <c r="Y49" s="65"/>
      <c r="Z49" s="65"/>
    </row>
    <row r="50" spans="1:26" ht="18" customHeight="1" x14ac:dyDescent="0.2">
      <c r="A50" s="101"/>
      <c r="B50" s="171"/>
      <c r="C50" s="172"/>
      <c r="D50" s="63"/>
      <c r="E50" s="92"/>
      <c r="F50" s="64"/>
      <c r="G50" s="65"/>
      <c r="H50" s="65"/>
      <c r="I50" s="65"/>
      <c r="J50" s="65"/>
      <c r="K50" s="65"/>
      <c r="L50" s="65"/>
      <c r="M50" s="65"/>
      <c r="N50" s="65"/>
      <c r="O50" s="65"/>
      <c r="P50" s="66"/>
      <c r="Q50" s="67"/>
      <c r="R50" s="65"/>
      <c r="S50" s="65"/>
      <c r="T50" s="65"/>
      <c r="U50" s="65"/>
      <c r="V50" s="65"/>
      <c r="W50" s="65"/>
      <c r="X50" s="65"/>
      <c r="Y50" s="65"/>
      <c r="Z50" s="65"/>
    </row>
    <row r="51" spans="1:26" ht="18" customHeight="1" x14ac:dyDescent="0.2">
      <c r="A51" s="101"/>
      <c r="B51" s="171"/>
      <c r="C51" s="172"/>
      <c r="D51" s="63"/>
      <c r="E51" s="92"/>
      <c r="F51" s="64"/>
      <c r="G51" s="65"/>
      <c r="H51" s="65"/>
      <c r="I51" s="65"/>
      <c r="J51" s="65"/>
      <c r="K51" s="65"/>
      <c r="L51" s="65"/>
      <c r="M51" s="65"/>
      <c r="N51" s="65"/>
      <c r="O51" s="65"/>
      <c r="P51" s="66"/>
      <c r="Q51" s="67"/>
      <c r="R51" s="65"/>
      <c r="S51" s="65"/>
      <c r="T51" s="65"/>
      <c r="U51" s="65"/>
      <c r="V51" s="65"/>
      <c r="W51" s="65"/>
      <c r="X51" s="65"/>
      <c r="Y51" s="65"/>
      <c r="Z51" s="65"/>
    </row>
    <row r="52" spans="1:26" ht="18" customHeight="1" thickBot="1" x14ac:dyDescent="0.25">
      <c r="A52" s="101"/>
      <c r="B52" s="173"/>
      <c r="C52" s="174"/>
      <c r="D52" s="68"/>
      <c r="E52" s="95"/>
      <c r="F52" s="78"/>
      <c r="G52" s="79"/>
      <c r="H52" s="79"/>
      <c r="I52" s="79"/>
      <c r="J52" s="79"/>
      <c r="K52" s="79"/>
      <c r="L52" s="79"/>
      <c r="M52" s="79"/>
      <c r="N52" s="79"/>
      <c r="O52" s="79"/>
      <c r="P52" s="80"/>
      <c r="Q52" s="72"/>
      <c r="R52" s="70"/>
      <c r="S52" s="70"/>
      <c r="T52" s="70"/>
      <c r="U52" s="70"/>
      <c r="V52" s="70"/>
      <c r="W52" s="70"/>
      <c r="X52" s="70"/>
      <c r="Y52" s="70"/>
      <c r="Z52" s="70"/>
    </row>
    <row r="53" spans="1:26" ht="18" customHeight="1" x14ac:dyDescent="0.2">
      <c r="A53" s="100"/>
      <c r="B53" s="33"/>
      <c r="C53" s="33"/>
      <c r="D53" s="33"/>
      <c r="E53" s="33"/>
      <c r="F53" s="33"/>
      <c r="G53" s="108"/>
      <c r="H53" s="108"/>
      <c r="I53" s="108"/>
      <c r="J53" s="108"/>
      <c r="K53" s="108"/>
      <c r="L53" s="108"/>
      <c r="M53" s="108"/>
      <c r="N53" s="108"/>
      <c r="O53" s="108"/>
      <c r="P53" s="33"/>
      <c r="Q53" s="33"/>
      <c r="R53" s="33"/>
      <c r="S53" s="33"/>
      <c r="T53" s="33"/>
      <c r="U53" s="33"/>
      <c r="V53" s="33"/>
      <c r="W53" s="108"/>
      <c r="X53" s="108"/>
      <c r="Y53" s="108"/>
      <c r="Z53" s="108"/>
    </row>
    <row r="54" spans="1:26" ht="18.75" customHeight="1" x14ac:dyDescent="0.2">
      <c r="A54" s="101" t="s">
        <v>115</v>
      </c>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spans="1:26" ht="18.75" customHeight="1" x14ac:dyDescent="0.2">
      <c r="A55" s="101"/>
      <c r="B55" s="178" t="s">
        <v>49</v>
      </c>
      <c r="C55" s="179"/>
      <c r="D55" s="103" t="s">
        <v>128</v>
      </c>
      <c r="E55" s="101"/>
      <c r="F55" s="101"/>
      <c r="G55" s="101"/>
      <c r="H55" s="101"/>
      <c r="I55" s="101"/>
      <c r="J55" s="101"/>
      <c r="K55" s="101"/>
      <c r="L55" s="101"/>
      <c r="M55" s="101"/>
      <c r="N55" s="101"/>
      <c r="O55" s="101"/>
      <c r="P55" s="101"/>
      <c r="Q55" s="101"/>
      <c r="R55" s="101"/>
      <c r="S55" s="101"/>
      <c r="T55" s="101"/>
      <c r="U55" s="101"/>
      <c r="V55" s="101"/>
      <c r="W55" s="101"/>
      <c r="X55" s="101"/>
      <c r="Y55" s="101"/>
      <c r="Z55" s="101"/>
    </row>
    <row r="56" spans="1:26" ht="84" customHeight="1" x14ac:dyDescent="0.2">
      <c r="A56" s="101"/>
      <c r="B56" s="180" t="s">
        <v>55</v>
      </c>
      <c r="C56" s="81" t="s">
        <v>50</v>
      </c>
      <c r="D56" s="112" t="s">
        <v>159</v>
      </c>
      <c r="E56" s="82"/>
      <c r="F56" s="82"/>
      <c r="G56" s="82"/>
      <c r="H56" s="82"/>
      <c r="I56" s="96"/>
      <c r="J56" s="82"/>
      <c r="K56" s="82"/>
      <c r="L56" s="82"/>
      <c r="M56" s="82"/>
      <c r="N56" s="82"/>
      <c r="O56" s="82"/>
      <c r="P56" s="82"/>
      <c r="Q56" s="82"/>
      <c r="R56" s="82"/>
      <c r="S56" s="82"/>
      <c r="T56" s="82"/>
      <c r="U56" s="82"/>
      <c r="V56" s="82"/>
      <c r="W56" s="82"/>
      <c r="X56" s="82"/>
      <c r="Y56" s="82"/>
      <c r="Z56" s="82"/>
    </row>
    <row r="57" spans="1:26" ht="84" customHeight="1" x14ac:dyDescent="0.2">
      <c r="A57" s="101"/>
      <c r="B57" s="182"/>
      <c r="C57" s="83" t="s">
        <v>67</v>
      </c>
      <c r="D57" s="113" t="s">
        <v>155</v>
      </c>
      <c r="E57" s="84"/>
      <c r="F57" s="84"/>
      <c r="G57" s="84"/>
      <c r="H57" s="84"/>
      <c r="I57" s="84"/>
      <c r="J57" s="84"/>
      <c r="K57" s="84"/>
      <c r="L57" s="84"/>
      <c r="M57" s="84"/>
      <c r="N57" s="84"/>
      <c r="O57" s="84"/>
      <c r="P57" s="84"/>
      <c r="Q57" s="84"/>
      <c r="R57" s="84"/>
      <c r="S57" s="84"/>
      <c r="T57" s="84"/>
      <c r="U57" s="84"/>
      <c r="V57" s="84"/>
      <c r="W57" s="84"/>
      <c r="X57" s="84"/>
      <c r="Y57" s="84"/>
      <c r="Z57" s="84"/>
    </row>
    <row r="58" spans="1:26" ht="84" customHeight="1" x14ac:dyDescent="0.2">
      <c r="A58" s="101"/>
      <c r="B58" s="180" t="s">
        <v>56</v>
      </c>
      <c r="C58" s="85" t="s">
        <v>61</v>
      </c>
      <c r="D58" s="138" t="s">
        <v>153</v>
      </c>
      <c r="E58" s="84"/>
      <c r="F58" s="84"/>
      <c r="G58" s="84"/>
      <c r="H58" s="84"/>
      <c r="I58" s="84"/>
      <c r="J58" s="84"/>
      <c r="K58" s="84"/>
      <c r="L58" s="84"/>
      <c r="M58" s="84"/>
      <c r="N58" s="84"/>
      <c r="O58" s="84"/>
      <c r="P58" s="84"/>
      <c r="Q58" s="84"/>
      <c r="R58" s="84"/>
      <c r="S58" s="84"/>
      <c r="T58" s="84"/>
      <c r="U58" s="84"/>
      <c r="V58" s="84"/>
      <c r="W58" s="84"/>
      <c r="X58" s="84"/>
      <c r="Y58" s="84"/>
      <c r="Z58" s="84"/>
    </row>
    <row r="59" spans="1:26" ht="48" customHeight="1" x14ac:dyDescent="0.2">
      <c r="A59" s="101"/>
      <c r="B59" s="181"/>
      <c r="C59" s="86" t="s">
        <v>62</v>
      </c>
      <c r="D59" s="139" t="s">
        <v>156</v>
      </c>
      <c r="E59" s="84"/>
      <c r="F59" s="84"/>
      <c r="G59" s="84"/>
      <c r="H59" s="84"/>
      <c r="I59" s="84"/>
      <c r="J59" s="84"/>
      <c r="K59" s="84"/>
      <c r="L59" s="84"/>
      <c r="M59" s="84"/>
      <c r="N59" s="84"/>
      <c r="O59" s="84"/>
      <c r="P59" s="84"/>
      <c r="Q59" s="84"/>
      <c r="R59" s="84"/>
      <c r="S59" s="84"/>
      <c r="T59" s="84"/>
      <c r="U59" s="84"/>
      <c r="V59" s="84"/>
      <c r="W59" s="84"/>
      <c r="X59" s="84"/>
      <c r="Y59" s="84"/>
      <c r="Z59" s="84"/>
    </row>
    <row r="60" spans="1:26" ht="84" customHeight="1" x14ac:dyDescent="0.2">
      <c r="A60" s="101"/>
      <c r="B60" s="180" t="s">
        <v>57</v>
      </c>
      <c r="C60" s="85" t="s">
        <v>63</v>
      </c>
      <c r="D60" s="112" t="s">
        <v>158</v>
      </c>
      <c r="E60" s="84"/>
      <c r="F60" s="84"/>
      <c r="G60" s="84"/>
      <c r="H60" s="84"/>
      <c r="I60" s="84"/>
      <c r="J60" s="84"/>
      <c r="K60" s="84"/>
      <c r="L60" s="84"/>
      <c r="M60" s="84"/>
      <c r="N60" s="84"/>
      <c r="O60" s="84"/>
      <c r="P60" s="84"/>
      <c r="Q60" s="84"/>
      <c r="R60" s="84"/>
      <c r="S60" s="84"/>
      <c r="T60" s="84"/>
      <c r="U60" s="84"/>
      <c r="V60" s="84"/>
      <c r="W60" s="84"/>
      <c r="X60" s="84"/>
      <c r="Y60" s="84"/>
      <c r="Z60" s="84"/>
    </row>
    <row r="61" spans="1:26" ht="96" customHeight="1" x14ac:dyDescent="0.2">
      <c r="A61" s="101"/>
      <c r="B61" s="181"/>
      <c r="C61" s="87" t="s">
        <v>64</v>
      </c>
      <c r="D61" s="113" t="s">
        <v>167</v>
      </c>
      <c r="E61" s="84"/>
      <c r="F61" s="84"/>
      <c r="G61" s="84"/>
      <c r="H61" s="84"/>
      <c r="I61" s="84"/>
      <c r="J61" s="84"/>
      <c r="K61" s="84"/>
      <c r="L61" s="84"/>
      <c r="M61" s="84"/>
      <c r="N61" s="84"/>
      <c r="O61" s="84"/>
      <c r="P61" s="84"/>
      <c r="Q61" s="84"/>
      <c r="R61" s="84"/>
      <c r="S61" s="84"/>
      <c r="T61" s="84"/>
      <c r="U61" s="84"/>
      <c r="V61" s="84"/>
      <c r="W61" s="84"/>
      <c r="X61" s="84"/>
      <c r="Y61" s="84"/>
      <c r="Z61" s="84"/>
    </row>
    <row r="62" spans="1:26" ht="84" customHeight="1" x14ac:dyDescent="0.2">
      <c r="A62" s="101"/>
      <c r="B62" s="175" t="s">
        <v>68</v>
      </c>
      <c r="C62" s="81" t="s">
        <v>52</v>
      </c>
      <c r="D62" s="112" t="s">
        <v>157</v>
      </c>
      <c r="E62" s="84"/>
      <c r="F62" s="84"/>
      <c r="G62" s="84"/>
      <c r="H62" s="84"/>
      <c r="I62" s="84"/>
      <c r="J62" s="84"/>
      <c r="K62" s="84"/>
      <c r="L62" s="84"/>
      <c r="M62" s="84"/>
      <c r="N62" s="84"/>
      <c r="O62" s="84"/>
      <c r="P62" s="84"/>
      <c r="Q62" s="84"/>
      <c r="R62" s="84"/>
      <c r="S62" s="84"/>
      <c r="T62" s="84"/>
      <c r="U62" s="84"/>
      <c r="V62" s="84"/>
      <c r="W62" s="84"/>
      <c r="X62" s="84"/>
      <c r="Y62" s="84"/>
      <c r="Z62" s="84"/>
    </row>
    <row r="63" spans="1:26" ht="84" customHeight="1" x14ac:dyDescent="0.2">
      <c r="A63" s="101"/>
      <c r="B63" s="177"/>
      <c r="C63" s="86" t="s">
        <v>54</v>
      </c>
      <c r="D63" s="113" t="s">
        <v>154</v>
      </c>
      <c r="E63" s="84"/>
      <c r="F63" s="84"/>
      <c r="G63" s="84"/>
      <c r="H63" s="84"/>
      <c r="I63" s="84"/>
      <c r="J63" s="84"/>
      <c r="K63" s="84"/>
      <c r="L63" s="84"/>
      <c r="M63" s="84"/>
      <c r="N63" s="84"/>
      <c r="O63" s="84"/>
      <c r="P63" s="84"/>
      <c r="Q63" s="84"/>
      <c r="R63" s="84"/>
      <c r="S63" s="84"/>
      <c r="T63" s="84"/>
      <c r="U63" s="84"/>
      <c r="V63" s="84"/>
      <c r="W63" s="84"/>
      <c r="X63" s="84"/>
      <c r="Y63" s="84"/>
      <c r="Z63" s="84"/>
    </row>
    <row r="64" spans="1:26" ht="144" customHeight="1" x14ac:dyDescent="0.2">
      <c r="A64" s="101"/>
      <c r="B64" s="175" t="s">
        <v>69</v>
      </c>
      <c r="C64" s="85" t="s">
        <v>51</v>
      </c>
      <c r="D64" s="112" t="s">
        <v>166</v>
      </c>
      <c r="E64" s="84"/>
      <c r="F64" s="84"/>
      <c r="G64" s="84"/>
      <c r="H64" s="84"/>
      <c r="I64" s="84"/>
      <c r="J64" s="84"/>
      <c r="K64" s="84"/>
      <c r="L64" s="84"/>
      <c r="M64" s="84"/>
      <c r="N64" s="84"/>
      <c r="O64" s="84"/>
      <c r="P64" s="84"/>
      <c r="Q64" s="84"/>
      <c r="R64" s="84"/>
      <c r="S64" s="84"/>
      <c r="T64" s="84"/>
      <c r="U64" s="84"/>
      <c r="V64" s="84"/>
      <c r="W64" s="84"/>
      <c r="X64" s="84"/>
      <c r="Y64" s="84"/>
      <c r="Z64" s="84"/>
    </row>
    <row r="65" spans="1:26" ht="120" customHeight="1" x14ac:dyDescent="0.2">
      <c r="A65" s="101"/>
      <c r="B65" s="176"/>
      <c r="C65" s="88" t="s">
        <v>65</v>
      </c>
      <c r="D65" s="140" t="s">
        <v>161</v>
      </c>
      <c r="E65" s="89"/>
      <c r="F65" s="89"/>
      <c r="G65" s="89"/>
      <c r="H65" s="89"/>
      <c r="I65" s="89"/>
      <c r="J65" s="89"/>
      <c r="K65" s="89"/>
      <c r="L65" s="89"/>
      <c r="M65" s="89"/>
      <c r="N65" s="89"/>
      <c r="O65" s="89"/>
      <c r="P65" s="89"/>
      <c r="Q65" s="89"/>
      <c r="R65" s="89"/>
      <c r="S65" s="89"/>
      <c r="T65" s="89"/>
      <c r="U65" s="89"/>
      <c r="V65" s="89"/>
      <c r="W65" s="89"/>
      <c r="X65" s="89"/>
      <c r="Y65" s="89"/>
      <c r="Z65" s="89"/>
    </row>
    <row r="66" spans="1:26" ht="96" customHeight="1" x14ac:dyDescent="0.2">
      <c r="A66" s="101"/>
      <c r="B66" s="177"/>
      <c r="C66" s="87" t="s">
        <v>66</v>
      </c>
      <c r="D66" s="141" t="s">
        <v>160</v>
      </c>
      <c r="E66" s="89"/>
      <c r="F66" s="89"/>
      <c r="G66" s="89"/>
      <c r="H66" s="89"/>
      <c r="I66" s="89"/>
      <c r="J66" s="89"/>
      <c r="K66" s="89"/>
      <c r="L66" s="89"/>
      <c r="M66" s="89"/>
      <c r="N66" s="89"/>
      <c r="O66" s="89"/>
      <c r="P66" s="89"/>
      <c r="Q66" s="89"/>
      <c r="R66" s="89"/>
      <c r="S66" s="89"/>
      <c r="T66" s="89"/>
      <c r="U66" s="89"/>
      <c r="V66" s="89"/>
      <c r="W66" s="89"/>
      <c r="X66" s="89"/>
      <c r="Y66" s="89"/>
      <c r="Z66" s="89"/>
    </row>
    <row r="67" spans="1:26" ht="18" customHeight="1" x14ac:dyDescent="0.2">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spans="1:26" ht="18.75" customHeight="1" x14ac:dyDescent="0.2">
      <c r="A68" s="101" t="s">
        <v>116</v>
      </c>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ht="108" customHeight="1" x14ac:dyDescent="0.2">
      <c r="A69" s="101"/>
      <c r="B69" s="13"/>
      <c r="C69" s="13"/>
      <c r="D69" s="111" t="s">
        <v>137</v>
      </c>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2" spans="1:26" ht="18" customHeight="1" x14ac:dyDescent="0.2"/>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3">
      <formula>#REF!="学部・学科によって、修了要件は相違しない"</formula>
    </cfRule>
  </conditionalFormatting>
  <dataValidations count="4">
    <dataValidation type="list" allowBlank="1" showInputMessage="1" showErrorMessage="1" sqref="F23:Z52" xr:uid="{00000000-0002-0000-0000-000000000000}">
      <formula1>"○"</formula1>
    </dataValidation>
    <dataValidation type="list" allowBlank="1" showInputMessage="1" showErrorMessage="1" sqref="D9" xr:uid="{00000000-0002-0000-0000-000001000000}">
      <formula1>"学部・学科によって、修了要件は相違する,学部・学科によって、修了要件は相違しない"</formula1>
    </dataValidation>
    <dataValidation type="list" allowBlank="1" showInputMessage="1" showErrorMessage="1" sqref="G53:O53 W53:Z53"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00000000-0002-0000-0000-000003000000}">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59055118110236227" bottom="0.19685039370078741" header="0.31496062992125984" footer="0.19685039370078741"/>
  <pageSetup paperSize="9" scale="54" fitToHeight="0" orientation="landscape" r:id="rId1"/>
  <rowBreaks count="1" manualBreakCount="1">
    <brk id="52"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V30"/>
  <sheetViews>
    <sheetView view="pageBreakPreview" zoomScaleNormal="100" zoomScaleSheetLayoutView="100" workbookViewId="0"/>
  </sheetViews>
  <sheetFormatPr defaultColWidth="9" defaultRowHeight="18.75" customHeight="1" x14ac:dyDescent="0.2"/>
  <cols>
    <col min="1" max="1" width="2.77734375" style="5" customWidth="1"/>
    <col min="2" max="2" width="27.88671875" style="5" customWidth="1"/>
    <col min="3" max="3" width="8" style="5" customWidth="1"/>
    <col min="4" max="4" width="8.21875" style="5" customWidth="1"/>
    <col min="5" max="19" width="6.109375" style="5" customWidth="1"/>
    <col min="20" max="20" width="6.6640625" style="5" customWidth="1"/>
    <col min="21" max="16384" width="9" style="5"/>
  </cols>
  <sheetData>
    <row r="1" spans="1:22" ht="18" customHeight="1" x14ac:dyDescent="0.2">
      <c r="T1" s="5" t="s">
        <v>84</v>
      </c>
    </row>
    <row r="2" spans="1:22" ht="18" customHeight="1" x14ac:dyDescent="0.2">
      <c r="A2" s="186" t="s">
        <v>94</v>
      </c>
      <c r="B2" s="186"/>
      <c r="C2" s="186"/>
      <c r="D2" s="186"/>
      <c r="E2" s="186"/>
      <c r="F2" s="186"/>
      <c r="G2" s="186"/>
      <c r="H2" s="186"/>
      <c r="I2" s="186"/>
      <c r="J2" s="186"/>
      <c r="K2" s="186"/>
      <c r="L2" s="186"/>
      <c r="M2" s="186"/>
      <c r="N2" s="186"/>
      <c r="O2" s="186"/>
      <c r="P2" s="186"/>
      <c r="Q2" s="186"/>
      <c r="R2" s="186"/>
      <c r="S2" s="186"/>
      <c r="T2" s="186"/>
    </row>
    <row r="3" spans="1:22" ht="7.5" customHeight="1" x14ac:dyDescent="0.2">
      <c r="A3" s="9"/>
      <c r="B3" s="9"/>
      <c r="C3" s="9"/>
      <c r="D3" s="9"/>
      <c r="E3" s="9"/>
      <c r="F3" s="9"/>
      <c r="G3" s="9"/>
      <c r="H3" s="9"/>
      <c r="I3" s="9"/>
      <c r="J3" s="9"/>
      <c r="K3" s="9"/>
      <c r="L3" s="9"/>
      <c r="M3" s="9"/>
      <c r="N3" s="9"/>
      <c r="O3" s="9"/>
      <c r="P3" s="9"/>
      <c r="Q3" s="9"/>
      <c r="R3" s="9"/>
      <c r="S3" s="9"/>
      <c r="T3" s="9"/>
    </row>
    <row r="4" spans="1:22" ht="18" customHeight="1" x14ac:dyDescent="0.2">
      <c r="A4" s="5" t="s">
        <v>71</v>
      </c>
      <c r="C4" s="17" t="s">
        <v>138</v>
      </c>
      <c r="D4" s="5" t="s">
        <v>112</v>
      </c>
      <c r="E4" s="33"/>
      <c r="F4" s="7"/>
      <c r="G4" s="9"/>
      <c r="H4" s="9"/>
      <c r="I4" s="9"/>
      <c r="J4" s="9"/>
      <c r="K4" s="9"/>
      <c r="L4" s="9"/>
      <c r="M4" s="9"/>
      <c r="N4" s="9"/>
      <c r="O4" s="9"/>
      <c r="P4" s="9"/>
      <c r="Q4" s="9"/>
      <c r="R4" s="9"/>
      <c r="S4" s="33"/>
      <c r="T4" s="33"/>
    </row>
    <row r="5" spans="1:22" ht="7.2" customHeight="1" x14ac:dyDescent="0.2">
      <c r="C5" s="18"/>
      <c r="D5" s="18"/>
      <c r="E5" s="18"/>
      <c r="F5" s="9"/>
      <c r="G5" s="9"/>
      <c r="H5" s="9"/>
      <c r="I5" s="9"/>
      <c r="J5" s="9"/>
      <c r="K5" s="9"/>
      <c r="L5" s="9"/>
      <c r="M5" s="9"/>
      <c r="N5" s="9"/>
      <c r="O5" s="9"/>
      <c r="P5" s="9"/>
      <c r="Q5" s="9"/>
      <c r="R5" s="9"/>
      <c r="S5" s="33"/>
      <c r="T5" s="33"/>
    </row>
    <row r="6" spans="1:22" ht="18" customHeight="1" x14ac:dyDescent="0.2">
      <c r="A6" s="5" t="s">
        <v>110</v>
      </c>
      <c r="B6" s="9"/>
      <c r="C6" s="9"/>
      <c r="D6" s="9"/>
      <c r="E6" s="9"/>
      <c r="F6" s="9"/>
      <c r="G6" s="9"/>
      <c r="H6" s="9"/>
      <c r="I6" s="9"/>
      <c r="J6" s="9"/>
      <c r="K6" s="9"/>
      <c r="L6" s="9"/>
      <c r="M6" s="9"/>
      <c r="N6" s="9"/>
      <c r="O6" s="9"/>
      <c r="P6" s="9"/>
      <c r="Q6" s="9"/>
      <c r="R6" s="9"/>
      <c r="S6" s="9"/>
      <c r="T6" s="9"/>
    </row>
    <row r="7" spans="1:22" ht="6" customHeight="1" x14ac:dyDescent="0.2">
      <c r="B7" s="9"/>
      <c r="C7" s="9"/>
      <c r="D7" s="9"/>
      <c r="E7" s="9"/>
      <c r="F7" s="9"/>
      <c r="G7" s="9"/>
      <c r="H7" s="9"/>
      <c r="I7" s="9"/>
      <c r="J7" s="9"/>
      <c r="K7" s="9"/>
      <c r="L7" s="9"/>
      <c r="M7" s="9"/>
      <c r="N7" s="9"/>
      <c r="O7" s="9"/>
      <c r="P7" s="9"/>
      <c r="Q7" s="9"/>
      <c r="R7" s="9"/>
      <c r="S7" s="9"/>
      <c r="T7" s="9"/>
    </row>
    <row r="8" spans="1:22" ht="18" customHeight="1" x14ac:dyDescent="0.2">
      <c r="B8" s="187" t="s">
        <v>43</v>
      </c>
      <c r="C8" s="183" t="s">
        <v>73</v>
      </c>
      <c r="D8" s="184"/>
      <c r="E8" s="189" t="s">
        <v>45</v>
      </c>
      <c r="F8" s="183" t="s">
        <v>38</v>
      </c>
      <c r="G8" s="185" t="s">
        <v>108</v>
      </c>
      <c r="H8" s="185"/>
      <c r="I8" s="185" t="s">
        <v>92</v>
      </c>
      <c r="J8" s="185"/>
      <c r="K8" s="185" t="s">
        <v>86</v>
      </c>
      <c r="L8" s="185"/>
      <c r="M8" s="185" t="s">
        <v>72</v>
      </c>
      <c r="N8" s="185"/>
      <c r="O8" s="185" t="s">
        <v>46</v>
      </c>
      <c r="P8" s="185"/>
      <c r="Q8" s="185" t="s">
        <v>47</v>
      </c>
      <c r="R8" s="196"/>
      <c r="S8" s="192" t="s">
        <v>35</v>
      </c>
      <c r="T8" s="194" t="s">
        <v>32</v>
      </c>
      <c r="V8" s="10"/>
    </row>
    <row r="9" spans="1:22" ht="16.95" customHeight="1" x14ac:dyDescent="0.2">
      <c r="B9" s="188"/>
      <c r="C9" s="1"/>
      <c r="D9" s="2" t="s">
        <v>111</v>
      </c>
      <c r="E9" s="190"/>
      <c r="F9" s="191"/>
      <c r="G9" s="32" t="s">
        <v>79</v>
      </c>
      <c r="H9" s="32" t="s">
        <v>29</v>
      </c>
      <c r="I9" s="32" t="s">
        <v>79</v>
      </c>
      <c r="J9" s="32" t="s">
        <v>29</v>
      </c>
      <c r="K9" s="32" t="s">
        <v>79</v>
      </c>
      <c r="L9" s="32" t="s">
        <v>29</v>
      </c>
      <c r="M9" s="32" t="s">
        <v>79</v>
      </c>
      <c r="N9" s="32" t="s">
        <v>29</v>
      </c>
      <c r="O9" s="32" t="s">
        <v>79</v>
      </c>
      <c r="P9" s="32" t="s">
        <v>29</v>
      </c>
      <c r="Q9" s="32" t="s">
        <v>79</v>
      </c>
      <c r="R9" s="32" t="s">
        <v>29</v>
      </c>
      <c r="S9" s="193"/>
      <c r="T9" s="195"/>
      <c r="V9" s="10"/>
    </row>
    <row r="10" spans="1:22" ht="18" customHeight="1" x14ac:dyDescent="0.2">
      <c r="A10" s="33"/>
      <c r="B10" s="34" t="s">
        <v>139</v>
      </c>
      <c r="C10" s="44">
        <v>382</v>
      </c>
      <c r="D10" s="50">
        <v>139</v>
      </c>
      <c r="E10" s="43">
        <v>130</v>
      </c>
      <c r="F10" s="44">
        <v>462</v>
      </c>
      <c r="G10" s="44">
        <v>46</v>
      </c>
      <c r="H10" s="44">
        <v>37</v>
      </c>
      <c r="I10" s="44"/>
      <c r="J10" s="44"/>
      <c r="K10" s="44"/>
      <c r="L10" s="44"/>
      <c r="M10" s="44"/>
      <c r="N10" s="44"/>
      <c r="O10" s="44"/>
      <c r="P10" s="44"/>
      <c r="Q10" s="44"/>
      <c r="R10" s="44"/>
      <c r="S10" s="98">
        <f>G10+I10+K10+M10+O10+Q10</f>
        <v>46</v>
      </c>
      <c r="T10" s="35">
        <f>S10/F10</f>
        <v>9.9567099567099568E-2</v>
      </c>
    </row>
    <row r="11" spans="1:22" ht="18" customHeight="1" x14ac:dyDescent="0.2">
      <c r="A11" s="33"/>
      <c r="B11" s="36" t="s">
        <v>140</v>
      </c>
      <c r="C11" s="46">
        <v>398</v>
      </c>
      <c r="D11" s="48">
        <v>176</v>
      </c>
      <c r="E11" s="45">
        <v>90</v>
      </c>
      <c r="F11" s="46">
        <v>348</v>
      </c>
      <c r="G11" s="47">
        <v>44</v>
      </c>
      <c r="H11" s="47">
        <v>33</v>
      </c>
      <c r="I11" s="47"/>
      <c r="J11" s="47"/>
      <c r="K11" s="47"/>
      <c r="L11" s="47"/>
      <c r="M11" s="47"/>
      <c r="N11" s="47"/>
      <c r="O11" s="47"/>
      <c r="P11" s="47"/>
      <c r="Q11" s="47"/>
      <c r="R11" s="47"/>
      <c r="S11" s="99">
        <f>G11+I11+K11+M11+O11+Q11</f>
        <v>44</v>
      </c>
      <c r="T11" s="37">
        <f t="shared" ref="T11:T27" si="0">S11/F11</f>
        <v>0.12643678160919541</v>
      </c>
    </row>
    <row r="12" spans="1:22" ht="18" customHeight="1" x14ac:dyDescent="0.2">
      <c r="A12" s="33"/>
      <c r="B12" s="36"/>
      <c r="C12" s="46"/>
      <c r="D12" s="48"/>
      <c r="E12" s="45"/>
      <c r="F12" s="46"/>
      <c r="G12" s="47"/>
      <c r="H12" s="47"/>
      <c r="I12" s="47"/>
      <c r="J12" s="47"/>
      <c r="K12" s="47"/>
      <c r="L12" s="47"/>
      <c r="M12" s="47"/>
      <c r="N12" s="47"/>
      <c r="O12" s="47"/>
      <c r="P12" s="47"/>
      <c r="Q12" s="47"/>
      <c r="R12" s="47"/>
      <c r="S12" s="145">
        <f t="shared" ref="S12:S29" si="1">G12+K12+M12+O12+Q12</f>
        <v>0</v>
      </c>
      <c r="T12" s="146" t="e">
        <f t="shared" si="0"/>
        <v>#DIV/0!</v>
      </c>
    </row>
    <row r="13" spans="1:22" ht="18" customHeight="1" x14ac:dyDescent="0.2">
      <c r="A13" s="33"/>
      <c r="B13" s="36"/>
      <c r="C13" s="46"/>
      <c r="D13" s="48"/>
      <c r="E13" s="45"/>
      <c r="F13" s="46"/>
      <c r="G13" s="47"/>
      <c r="H13" s="47"/>
      <c r="I13" s="47"/>
      <c r="J13" s="47"/>
      <c r="K13" s="47"/>
      <c r="L13" s="47"/>
      <c r="M13" s="47"/>
      <c r="N13" s="47"/>
      <c r="O13" s="47"/>
      <c r="P13" s="47"/>
      <c r="Q13" s="47"/>
      <c r="R13" s="47"/>
      <c r="S13" s="145">
        <f t="shared" si="1"/>
        <v>0</v>
      </c>
      <c r="T13" s="146" t="e">
        <f t="shared" si="0"/>
        <v>#DIV/0!</v>
      </c>
    </row>
    <row r="14" spans="1:22" ht="18" customHeight="1" x14ac:dyDescent="0.2">
      <c r="A14" s="33"/>
      <c r="B14" s="36"/>
      <c r="C14" s="46"/>
      <c r="D14" s="48"/>
      <c r="E14" s="45"/>
      <c r="F14" s="46"/>
      <c r="G14" s="47"/>
      <c r="H14" s="47"/>
      <c r="I14" s="47"/>
      <c r="J14" s="47"/>
      <c r="K14" s="47"/>
      <c r="L14" s="47"/>
      <c r="M14" s="47"/>
      <c r="N14" s="47"/>
      <c r="O14" s="47"/>
      <c r="P14" s="47"/>
      <c r="Q14" s="47"/>
      <c r="R14" s="47"/>
      <c r="S14" s="145">
        <f t="shared" si="1"/>
        <v>0</v>
      </c>
      <c r="T14" s="146" t="e">
        <f t="shared" si="0"/>
        <v>#DIV/0!</v>
      </c>
    </row>
    <row r="15" spans="1:22" ht="18" customHeight="1" x14ac:dyDescent="0.2">
      <c r="A15" s="33"/>
      <c r="B15" s="36"/>
      <c r="C15" s="46"/>
      <c r="D15" s="48"/>
      <c r="E15" s="45"/>
      <c r="F15" s="46"/>
      <c r="G15" s="47"/>
      <c r="H15" s="47"/>
      <c r="I15" s="47"/>
      <c r="J15" s="47"/>
      <c r="K15" s="47"/>
      <c r="L15" s="47"/>
      <c r="M15" s="47"/>
      <c r="N15" s="47"/>
      <c r="O15" s="47"/>
      <c r="P15" s="47"/>
      <c r="Q15" s="47"/>
      <c r="R15" s="47"/>
      <c r="S15" s="145">
        <f t="shared" si="1"/>
        <v>0</v>
      </c>
      <c r="T15" s="146" t="e">
        <f t="shared" si="0"/>
        <v>#DIV/0!</v>
      </c>
    </row>
    <row r="16" spans="1:22" ht="18" customHeight="1" x14ac:dyDescent="0.2">
      <c r="A16" s="33"/>
      <c r="B16" s="36"/>
      <c r="C16" s="46"/>
      <c r="D16" s="48"/>
      <c r="E16" s="45"/>
      <c r="F16" s="46"/>
      <c r="G16" s="47"/>
      <c r="H16" s="47"/>
      <c r="I16" s="47"/>
      <c r="J16" s="47"/>
      <c r="K16" s="47"/>
      <c r="L16" s="47"/>
      <c r="M16" s="47"/>
      <c r="N16" s="47"/>
      <c r="O16" s="47"/>
      <c r="P16" s="47"/>
      <c r="Q16" s="47"/>
      <c r="R16" s="47"/>
      <c r="S16" s="145">
        <f t="shared" si="1"/>
        <v>0</v>
      </c>
      <c r="T16" s="146" t="e">
        <f t="shared" si="0"/>
        <v>#DIV/0!</v>
      </c>
    </row>
    <row r="17" spans="1:20" ht="18" customHeight="1" x14ac:dyDescent="0.2">
      <c r="A17" s="33"/>
      <c r="B17" s="36"/>
      <c r="C17" s="46"/>
      <c r="D17" s="48"/>
      <c r="E17" s="45"/>
      <c r="F17" s="46"/>
      <c r="G17" s="47"/>
      <c r="H17" s="47"/>
      <c r="I17" s="47"/>
      <c r="J17" s="47"/>
      <c r="K17" s="47"/>
      <c r="L17" s="47"/>
      <c r="M17" s="47"/>
      <c r="N17" s="47"/>
      <c r="O17" s="47"/>
      <c r="P17" s="47"/>
      <c r="Q17" s="47"/>
      <c r="R17" s="47"/>
      <c r="S17" s="145">
        <f t="shared" si="1"/>
        <v>0</v>
      </c>
      <c r="T17" s="146" t="e">
        <f t="shared" si="0"/>
        <v>#DIV/0!</v>
      </c>
    </row>
    <row r="18" spans="1:20" ht="18" customHeight="1" x14ac:dyDescent="0.2">
      <c r="A18" s="33"/>
      <c r="B18" s="36"/>
      <c r="C18" s="46"/>
      <c r="D18" s="48"/>
      <c r="E18" s="45"/>
      <c r="F18" s="46"/>
      <c r="G18" s="47"/>
      <c r="H18" s="47"/>
      <c r="I18" s="47"/>
      <c r="J18" s="47"/>
      <c r="K18" s="47"/>
      <c r="L18" s="47"/>
      <c r="M18" s="47"/>
      <c r="N18" s="47"/>
      <c r="O18" s="47"/>
      <c r="P18" s="47"/>
      <c r="Q18" s="47"/>
      <c r="R18" s="47"/>
      <c r="S18" s="145">
        <f t="shared" si="1"/>
        <v>0</v>
      </c>
      <c r="T18" s="146" t="e">
        <f t="shared" si="0"/>
        <v>#DIV/0!</v>
      </c>
    </row>
    <row r="19" spans="1:20" ht="18" customHeight="1" x14ac:dyDescent="0.2">
      <c r="A19" s="33"/>
      <c r="B19" s="36"/>
      <c r="C19" s="46"/>
      <c r="D19" s="48"/>
      <c r="E19" s="45"/>
      <c r="F19" s="46"/>
      <c r="G19" s="47"/>
      <c r="H19" s="47"/>
      <c r="I19" s="47"/>
      <c r="J19" s="47"/>
      <c r="K19" s="47"/>
      <c r="L19" s="47"/>
      <c r="M19" s="47"/>
      <c r="N19" s="47"/>
      <c r="O19" s="47"/>
      <c r="P19" s="47"/>
      <c r="Q19" s="47"/>
      <c r="R19" s="47"/>
      <c r="S19" s="145">
        <f t="shared" si="1"/>
        <v>0</v>
      </c>
      <c r="T19" s="146" t="e">
        <f t="shared" si="0"/>
        <v>#DIV/0!</v>
      </c>
    </row>
    <row r="20" spans="1:20" ht="18" customHeight="1" x14ac:dyDescent="0.2">
      <c r="A20" s="33"/>
      <c r="B20" s="36"/>
      <c r="C20" s="46"/>
      <c r="D20" s="48"/>
      <c r="E20" s="45"/>
      <c r="F20" s="46"/>
      <c r="G20" s="47"/>
      <c r="H20" s="47"/>
      <c r="I20" s="47"/>
      <c r="J20" s="47"/>
      <c r="K20" s="47"/>
      <c r="L20" s="47"/>
      <c r="M20" s="47"/>
      <c r="N20" s="47"/>
      <c r="O20" s="47"/>
      <c r="P20" s="47"/>
      <c r="Q20" s="47"/>
      <c r="R20" s="47"/>
      <c r="S20" s="145">
        <f t="shared" si="1"/>
        <v>0</v>
      </c>
      <c r="T20" s="146" t="e">
        <f t="shared" si="0"/>
        <v>#DIV/0!</v>
      </c>
    </row>
    <row r="21" spans="1:20" ht="18" customHeight="1" x14ac:dyDescent="0.2">
      <c r="A21" s="33"/>
      <c r="B21" s="36"/>
      <c r="C21" s="46"/>
      <c r="D21" s="48"/>
      <c r="E21" s="45"/>
      <c r="F21" s="46"/>
      <c r="G21" s="47"/>
      <c r="H21" s="47"/>
      <c r="I21" s="47"/>
      <c r="J21" s="47"/>
      <c r="K21" s="47"/>
      <c r="L21" s="47"/>
      <c r="M21" s="47"/>
      <c r="N21" s="47"/>
      <c r="O21" s="47"/>
      <c r="P21" s="47"/>
      <c r="Q21" s="47"/>
      <c r="R21" s="47"/>
      <c r="S21" s="145">
        <f t="shared" si="1"/>
        <v>0</v>
      </c>
      <c r="T21" s="146" t="e">
        <f t="shared" si="0"/>
        <v>#DIV/0!</v>
      </c>
    </row>
    <row r="22" spans="1:20" ht="18" customHeight="1" x14ac:dyDescent="0.2">
      <c r="A22" s="33"/>
      <c r="B22" s="36"/>
      <c r="C22" s="46"/>
      <c r="D22" s="48"/>
      <c r="E22" s="45"/>
      <c r="F22" s="46"/>
      <c r="G22" s="47"/>
      <c r="H22" s="47"/>
      <c r="I22" s="47"/>
      <c r="J22" s="47"/>
      <c r="K22" s="47"/>
      <c r="L22" s="47"/>
      <c r="M22" s="47"/>
      <c r="N22" s="47"/>
      <c r="O22" s="47"/>
      <c r="P22" s="47"/>
      <c r="Q22" s="47"/>
      <c r="R22" s="47"/>
      <c r="S22" s="145">
        <f t="shared" si="1"/>
        <v>0</v>
      </c>
      <c r="T22" s="146" t="e">
        <f t="shared" si="0"/>
        <v>#DIV/0!</v>
      </c>
    </row>
    <row r="23" spans="1:20" ht="18" customHeight="1" x14ac:dyDescent="0.2">
      <c r="A23" s="33"/>
      <c r="B23" s="36"/>
      <c r="C23" s="46"/>
      <c r="D23" s="48"/>
      <c r="E23" s="45"/>
      <c r="F23" s="46"/>
      <c r="G23" s="47"/>
      <c r="H23" s="47"/>
      <c r="I23" s="47"/>
      <c r="J23" s="47"/>
      <c r="K23" s="47"/>
      <c r="L23" s="47"/>
      <c r="M23" s="47"/>
      <c r="N23" s="47"/>
      <c r="O23" s="47"/>
      <c r="P23" s="47"/>
      <c r="Q23" s="47"/>
      <c r="R23" s="47"/>
      <c r="S23" s="145">
        <f t="shared" si="1"/>
        <v>0</v>
      </c>
      <c r="T23" s="146" t="e">
        <f t="shared" si="0"/>
        <v>#DIV/0!</v>
      </c>
    </row>
    <row r="24" spans="1:20" ht="18" customHeight="1" x14ac:dyDescent="0.2">
      <c r="A24" s="33"/>
      <c r="B24" s="36"/>
      <c r="C24" s="46"/>
      <c r="D24" s="48"/>
      <c r="E24" s="45"/>
      <c r="F24" s="46"/>
      <c r="G24" s="47"/>
      <c r="H24" s="47"/>
      <c r="I24" s="47"/>
      <c r="J24" s="47"/>
      <c r="K24" s="47"/>
      <c r="L24" s="47"/>
      <c r="M24" s="47"/>
      <c r="N24" s="47"/>
      <c r="O24" s="47"/>
      <c r="P24" s="47"/>
      <c r="Q24" s="47"/>
      <c r="R24" s="47"/>
      <c r="S24" s="145">
        <f t="shared" si="1"/>
        <v>0</v>
      </c>
      <c r="T24" s="146" t="e">
        <f t="shared" si="0"/>
        <v>#DIV/0!</v>
      </c>
    </row>
    <row r="25" spans="1:20" ht="18" customHeight="1" x14ac:dyDescent="0.2">
      <c r="A25" s="33"/>
      <c r="B25" s="36"/>
      <c r="C25" s="46"/>
      <c r="D25" s="48"/>
      <c r="E25" s="45"/>
      <c r="F25" s="46"/>
      <c r="G25" s="47"/>
      <c r="H25" s="47"/>
      <c r="I25" s="47"/>
      <c r="J25" s="47"/>
      <c r="K25" s="47"/>
      <c r="L25" s="47"/>
      <c r="M25" s="47"/>
      <c r="N25" s="47"/>
      <c r="O25" s="47"/>
      <c r="P25" s="47"/>
      <c r="Q25" s="47"/>
      <c r="R25" s="47"/>
      <c r="S25" s="145">
        <f t="shared" si="1"/>
        <v>0</v>
      </c>
      <c r="T25" s="146" t="e">
        <f t="shared" si="0"/>
        <v>#DIV/0!</v>
      </c>
    </row>
    <row r="26" spans="1:20" ht="18" customHeight="1" x14ac:dyDescent="0.2">
      <c r="A26" s="33"/>
      <c r="B26" s="36"/>
      <c r="C26" s="46"/>
      <c r="D26" s="48"/>
      <c r="E26" s="45"/>
      <c r="F26" s="46"/>
      <c r="G26" s="47"/>
      <c r="H26" s="47"/>
      <c r="I26" s="47"/>
      <c r="J26" s="47"/>
      <c r="K26" s="47"/>
      <c r="L26" s="47"/>
      <c r="M26" s="47"/>
      <c r="N26" s="47"/>
      <c r="O26" s="47"/>
      <c r="P26" s="47"/>
      <c r="Q26" s="47"/>
      <c r="R26" s="47"/>
      <c r="S26" s="145">
        <f t="shared" si="1"/>
        <v>0</v>
      </c>
      <c r="T26" s="146" t="e">
        <f t="shared" si="0"/>
        <v>#DIV/0!</v>
      </c>
    </row>
    <row r="27" spans="1:20" ht="18" customHeight="1" x14ac:dyDescent="0.2">
      <c r="A27" s="33"/>
      <c r="B27" s="36"/>
      <c r="C27" s="46"/>
      <c r="D27" s="48"/>
      <c r="E27" s="49"/>
      <c r="F27" s="46"/>
      <c r="G27" s="47"/>
      <c r="H27" s="47"/>
      <c r="I27" s="47"/>
      <c r="J27" s="47"/>
      <c r="K27" s="47"/>
      <c r="L27" s="47"/>
      <c r="M27" s="47"/>
      <c r="N27" s="47"/>
      <c r="O27" s="47"/>
      <c r="P27" s="47"/>
      <c r="Q27" s="47"/>
      <c r="R27" s="47"/>
      <c r="S27" s="145">
        <f t="shared" si="1"/>
        <v>0</v>
      </c>
      <c r="T27" s="146" t="e">
        <f t="shared" si="0"/>
        <v>#DIV/0!</v>
      </c>
    </row>
    <row r="28" spans="1:20" ht="18" customHeight="1" x14ac:dyDescent="0.2">
      <c r="A28" s="33"/>
      <c r="B28" s="36"/>
      <c r="C28" s="46"/>
      <c r="D28" s="48"/>
      <c r="E28" s="49"/>
      <c r="F28" s="46"/>
      <c r="G28" s="47"/>
      <c r="H28" s="47"/>
      <c r="I28" s="47"/>
      <c r="J28" s="47"/>
      <c r="K28" s="47"/>
      <c r="L28" s="47"/>
      <c r="M28" s="47"/>
      <c r="N28" s="47"/>
      <c r="O28" s="47"/>
      <c r="P28" s="47"/>
      <c r="Q28" s="47"/>
      <c r="R28" s="47"/>
      <c r="S28" s="145">
        <f t="shared" si="1"/>
        <v>0</v>
      </c>
      <c r="T28" s="146" t="e">
        <f t="shared" ref="T28:T29" si="2">S28/F28</f>
        <v>#DIV/0!</v>
      </c>
    </row>
    <row r="29" spans="1:20" ht="18" customHeight="1" thickBot="1" x14ac:dyDescent="0.25">
      <c r="A29" s="33"/>
      <c r="B29" s="38"/>
      <c r="C29" s="44"/>
      <c r="D29" s="50"/>
      <c r="E29" s="51"/>
      <c r="F29" s="44"/>
      <c r="G29" s="44"/>
      <c r="H29" s="44"/>
      <c r="I29" s="44"/>
      <c r="J29" s="44"/>
      <c r="K29" s="44"/>
      <c r="L29" s="44"/>
      <c r="M29" s="44"/>
      <c r="N29" s="44"/>
      <c r="O29" s="44"/>
      <c r="P29" s="44"/>
      <c r="Q29" s="44"/>
      <c r="R29" s="44"/>
      <c r="S29" s="147">
        <f t="shared" si="1"/>
        <v>0</v>
      </c>
      <c r="T29" s="146" t="e">
        <f t="shared" si="2"/>
        <v>#DIV/0!</v>
      </c>
    </row>
    <row r="30" spans="1:20" ht="18" customHeight="1" thickTop="1" x14ac:dyDescent="0.2">
      <c r="B30" s="39" t="s">
        <v>33</v>
      </c>
      <c r="C30" s="41">
        <f t="shared" ref="C30" si="3">SUM(C10:C29)</f>
        <v>780</v>
      </c>
      <c r="D30" s="90">
        <f>SUM(D10:D29)</f>
        <v>315</v>
      </c>
      <c r="E30" s="40">
        <f t="shared" ref="E30:G30" si="4">SUM(E10:E29)</f>
        <v>220</v>
      </c>
      <c r="F30" s="41">
        <f t="shared" si="4"/>
        <v>810</v>
      </c>
      <c r="G30" s="41">
        <f t="shared" si="4"/>
        <v>90</v>
      </c>
      <c r="H30" s="41">
        <f t="shared" ref="H30:K30" si="5">SUM(H10:H29)</f>
        <v>70</v>
      </c>
      <c r="I30" s="41">
        <f t="shared" si="5"/>
        <v>0</v>
      </c>
      <c r="J30" s="41">
        <f t="shared" si="5"/>
        <v>0</v>
      </c>
      <c r="K30" s="41">
        <f t="shared" si="5"/>
        <v>0</v>
      </c>
      <c r="L30" s="41">
        <f t="shared" ref="L30:M30" si="6">SUM(L10:L29)</f>
        <v>0</v>
      </c>
      <c r="M30" s="41">
        <f t="shared" si="6"/>
        <v>0</v>
      </c>
      <c r="N30" s="41">
        <f t="shared" ref="N30:S30" si="7">SUM(N10:N29)</f>
        <v>0</v>
      </c>
      <c r="O30" s="41">
        <f t="shared" si="7"/>
        <v>0</v>
      </c>
      <c r="P30" s="41">
        <f t="shared" si="7"/>
        <v>0</v>
      </c>
      <c r="Q30" s="41">
        <f t="shared" si="7"/>
        <v>0</v>
      </c>
      <c r="R30" s="41">
        <f t="shared" si="7"/>
        <v>0</v>
      </c>
      <c r="S30" s="41">
        <f t="shared" si="7"/>
        <v>90</v>
      </c>
      <c r="T30" s="42">
        <f>S30/F30</f>
        <v>0.1111111111111111</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C10:R29" xr:uid="{00000000-0002-0000-0200-000000000000}">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F62"/>
  <sheetViews>
    <sheetView showZeros="0" view="pageBreakPreview" zoomScale="115" zoomScaleNormal="100" zoomScaleSheetLayoutView="115" workbookViewId="0"/>
  </sheetViews>
  <sheetFormatPr defaultColWidth="11.33203125" defaultRowHeight="18.75" customHeight="1" x14ac:dyDescent="0.2"/>
  <cols>
    <col min="1" max="1" width="2.77734375" style="4" customWidth="1"/>
    <col min="2" max="2" width="8" style="5" customWidth="1"/>
    <col min="3" max="3" width="17.109375" style="5" bestFit="1" customWidth="1"/>
    <col min="4" max="4" width="41.6640625" style="5" customWidth="1"/>
    <col min="5" max="5" width="12.109375" style="5" customWidth="1"/>
    <col min="6" max="16384" width="11.33203125" style="5"/>
  </cols>
  <sheetData>
    <row r="1" spans="1:5" ht="18.75" customHeight="1" x14ac:dyDescent="0.2">
      <c r="A1" s="4" t="s">
        <v>58</v>
      </c>
      <c r="E1" s="6" t="s">
        <v>83</v>
      </c>
    </row>
    <row r="2" spans="1:5" ht="10.8" customHeight="1" x14ac:dyDescent="0.2">
      <c r="E2" s="7"/>
    </row>
    <row r="3" spans="1:5" ht="18.600000000000001" customHeight="1" x14ac:dyDescent="0.2">
      <c r="A3" s="186" t="s">
        <v>36</v>
      </c>
      <c r="B3" s="186"/>
      <c r="C3" s="186"/>
      <c r="D3" s="186"/>
      <c r="E3" s="186"/>
    </row>
    <row r="4" spans="1:5" ht="13.2" customHeight="1" x14ac:dyDescent="0.2">
      <c r="B4" s="9"/>
      <c r="C4" s="9"/>
      <c r="D4" s="9"/>
      <c r="E4" s="9"/>
    </row>
    <row r="5" spans="1:5" ht="18" customHeight="1" x14ac:dyDescent="0.2">
      <c r="A5" s="5" t="s">
        <v>0</v>
      </c>
      <c r="B5" s="157" t="s">
        <v>76</v>
      </c>
      <c r="C5" s="157"/>
      <c r="D5" s="157"/>
      <c r="E5" s="157"/>
    </row>
    <row r="6" spans="1:5" ht="18.600000000000001" customHeight="1" x14ac:dyDescent="0.2">
      <c r="B6" s="24" t="s">
        <v>77</v>
      </c>
      <c r="C6" s="109">
        <v>41</v>
      </c>
      <c r="D6" s="7" t="s">
        <v>1</v>
      </c>
      <c r="E6" s="11"/>
    </row>
    <row r="7" spans="1:5" ht="18.600000000000001" customHeight="1" x14ac:dyDescent="0.2">
      <c r="B7" s="24" t="s">
        <v>2</v>
      </c>
      <c r="C7" s="109">
        <v>32</v>
      </c>
      <c r="D7" s="7" t="s">
        <v>1</v>
      </c>
      <c r="E7" s="11"/>
    </row>
    <row r="8" spans="1:5" ht="18.600000000000001" customHeight="1" x14ac:dyDescent="0.2">
      <c r="B8" s="6"/>
      <c r="C8" s="6"/>
      <c r="D8" s="7"/>
      <c r="E8" s="11"/>
    </row>
    <row r="9" spans="1:5" ht="18" customHeight="1" x14ac:dyDescent="0.2">
      <c r="A9" s="5" t="s">
        <v>3</v>
      </c>
      <c r="B9" s="157" t="s">
        <v>122</v>
      </c>
      <c r="C9" s="157"/>
      <c r="D9" s="157"/>
      <c r="E9" s="157"/>
    </row>
    <row r="10" spans="1:5" ht="18" customHeight="1" x14ac:dyDescent="0.2">
      <c r="A10" s="5"/>
      <c r="B10" s="7"/>
      <c r="C10" s="97">
        <v>2</v>
      </c>
      <c r="D10" s="7" t="s">
        <v>1</v>
      </c>
      <c r="E10" s="7"/>
    </row>
    <row r="11" spans="1:5" ht="9" customHeight="1" x14ac:dyDescent="0.2">
      <c r="B11" s="9"/>
      <c r="C11" s="9"/>
      <c r="D11" s="9"/>
      <c r="E11" s="9"/>
    </row>
    <row r="12" spans="1:5" ht="18" customHeight="1" x14ac:dyDescent="0.2">
      <c r="A12" s="5" t="s">
        <v>4</v>
      </c>
      <c r="B12" s="157" t="s">
        <v>78</v>
      </c>
      <c r="C12" s="157"/>
      <c r="D12" s="157"/>
      <c r="E12" s="157"/>
    </row>
    <row r="13" spans="1:5" ht="18" customHeight="1" x14ac:dyDescent="0.2">
      <c r="C13" s="6" t="s">
        <v>41</v>
      </c>
      <c r="D13" s="142" t="s">
        <v>142</v>
      </c>
      <c r="E13" s="7"/>
    </row>
    <row r="14" spans="1:5" ht="18" customHeight="1" x14ac:dyDescent="0.2">
      <c r="C14" s="6" t="s">
        <v>10</v>
      </c>
      <c r="D14" s="142" t="s">
        <v>143</v>
      </c>
      <c r="E14" s="11"/>
    </row>
    <row r="15" spans="1:5" ht="10.199999999999999" customHeight="1" x14ac:dyDescent="0.2">
      <c r="B15" s="6"/>
      <c r="C15" s="7"/>
      <c r="D15" s="11"/>
      <c r="E15" s="11"/>
    </row>
    <row r="16" spans="1:5" ht="18" customHeight="1" x14ac:dyDescent="0.2">
      <c r="A16" s="5" t="s">
        <v>7</v>
      </c>
      <c r="B16" s="157" t="s">
        <v>74</v>
      </c>
      <c r="C16" s="157"/>
      <c r="D16" s="157"/>
      <c r="E16" s="157"/>
    </row>
    <row r="17" spans="1:6" ht="18" customHeight="1" x14ac:dyDescent="0.2">
      <c r="C17" s="6" t="s">
        <v>118</v>
      </c>
      <c r="D17" s="53" t="s">
        <v>141</v>
      </c>
      <c r="E17" s="7"/>
    </row>
    <row r="18" spans="1:6" ht="9" customHeight="1" x14ac:dyDescent="0.2">
      <c r="B18" s="9"/>
      <c r="C18" s="9"/>
      <c r="D18" s="9"/>
      <c r="E18" s="9"/>
    </row>
    <row r="19" spans="1:6" ht="18.75" customHeight="1" x14ac:dyDescent="0.2">
      <c r="A19" s="5" t="s">
        <v>5</v>
      </c>
      <c r="B19" s="156" t="s">
        <v>40</v>
      </c>
      <c r="C19" s="156"/>
      <c r="D19" s="156"/>
      <c r="E19" s="156"/>
    </row>
    <row r="20" spans="1:6" ht="18.75" customHeight="1" x14ac:dyDescent="0.2">
      <c r="A20" s="5"/>
      <c r="C20" s="6" t="s">
        <v>118</v>
      </c>
      <c r="D20" s="142" t="s">
        <v>148</v>
      </c>
      <c r="E20" s="7"/>
    </row>
    <row r="21" spans="1:6" ht="7.5" customHeight="1" x14ac:dyDescent="0.2">
      <c r="B21" s="9"/>
      <c r="C21" s="9"/>
      <c r="D21" s="9"/>
      <c r="E21" s="9"/>
    </row>
    <row r="22" spans="1:6" ht="18.75" customHeight="1" x14ac:dyDescent="0.2">
      <c r="A22" s="5" t="s">
        <v>8</v>
      </c>
      <c r="B22" s="156" t="s">
        <v>25</v>
      </c>
      <c r="C22" s="156"/>
      <c r="D22" s="156"/>
      <c r="E22" s="156"/>
    </row>
    <row r="23" spans="1:6" ht="180" customHeight="1" x14ac:dyDescent="0.2">
      <c r="A23" s="12"/>
      <c r="B23" s="13"/>
      <c r="C23" s="199" t="s">
        <v>144</v>
      </c>
      <c r="D23" s="200"/>
      <c r="E23" s="201"/>
    </row>
    <row r="24" spans="1:6" ht="7.5" customHeight="1" x14ac:dyDescent="0.2">
      <c r="A24" s="12"/>
      <c r="B24" s="12"/>
      <c r="C24" s="12"/>
      <c r="D24" s="12"/>
      <c r="E24" s="12"/>
    </row>
    <row r="25" spans="1:6" ht="18.75" customHeight="1" x14ac:dyDescent="0.2">
      <c r="A25" s="14" t="s">
        <v>6</v>
      </c>
      <c r="B25" s="205" t="s">
        <v>9</v>
      </c>
      <c r="C25" s="206"/>
      <c r="D25" s="206"/>
      <c r="E25" s="206"/>
    </row>
    <row r="26" spans="1:6" ht="180" customHeight="1" x14ac:dyDescent="0.2">
      <c r="A26" s="12"/>
      <c r="B26" s="13"/>
      <c r="C26" s="202" t="s">
        <v>147</v>
      </c>
      <c r="D26" s="203"/>
      <c r="E26" s="204"/>
    </row>
    <row r="27" spans="1:6" ht="7.5" customHeight="1" x14ac:dyDescent="0.2">
      <c r="A27" s="15"/>
      <c r="B27" s="15"/>
      <c r="C27" s="15"/>
      <c r="D27" s="15"/>
      <c r="E27" s="15"/>
    </row>
    <row r="28" spans="1:6" ht="18.75" customHeight="1" x14ac:dyDescent="0.2">
      <c r="A28" s="5" t="s">
        <v>31</v>
      </c>
      <c r="B28" s="156" t="s">
        <v>121</v>
      </c>
      <c r="C28" s="207"/>
      <c r="D28" s="207"/>
      <c r="E28" s="156"/>
    </row>
    <row r="29" spans="1:6" s="9" customFormat="1" ht="18.75" customHeight="1" x14ac:dyDescent="0.2">
      <c r="B29" s="21"/>
      <c r="C29" s="17" t="s">
        <v>123</v>
      </c>
      <c r="D29" s="143">
        <f>IFERROR('様式２ 履修者等数の実績'!T30, "（様式２より自動転記）")</f>
        <v>0.1111111111111111</v>
      </c>
      <c r="E29" s="22"/>
      <c r="F29" s="5"/>
    </row>
    <row r="30" spans="1:6" s="9" customFormat="1" ht="18.75" customHeight="1" x14ac:dyDescent="0.2">
      <c r="B30" s="21"/>
      <c r="C30" s="17" t="s">
        <v>75</v>
      </c>
      <c r="D30" s="143">
        <v>0.25</v>
      </c>
      <c r="E30" s="22"/>
      <c r="F30" s="5"/>
    </row>
    <row r="31" spans="1:6" s="9" customFormat="1" ht="18.75" customHeight="1" x14ac:dyDescent="0.2">
      <c r="B31" s="21"/>
      <c r="C31" s="17" t="s">
        <v>89</v>
      </c>
      <c r="D31" s="143">
        <v>0.4</v>
      </c>
      <c r="E31" s="22"/>
      <c r="F31" s="5"/>
    </row>
    <row r="32" spans="1:6" s="9" customFormat="1" ht="18.75" customHeight="1" x14ac:dyDescent="0.2">
      <c r="B32" s="18"/>
      <c r="C32" s="16" t="s">
        <v>119</v>
      </c>
      <c r="D32" s="143">
        <v>0.55000000000000004</v>
      </c>
      <c r="E32" s="23"/>
      <c r="F32" s="5"/>
    </row>
    <row r="33" spans="1:6" s="9" customFormat="1" ht="18.75" customHeight="1" x14ac:dyDescent="0.2">
      <c r="B33" s="18"/>
      <c r="C33" s="16" t="s">
        <v>120</v>
      </c>
      <c r="D33" s="143">
        <v>0.7</v>
      </c>
      <c r="E33" s="23"/>
      <c r="F33" s="5"/>
    </row>
    <row r="34" spans="1:6" ht="18.75" customHeight="1" x14ac:dyDescent="0.2">
      <c r="A34" s="5"/>
      <c r="B34" s="198" t="s">
        <v>59</v>
      </c>
      <c r="C34" s="198"/>
      <c r="D34" s="198"/>
      <c r="E34" s="198"/>
    </row>
    <row r="35" spans="1:6" ht="180" customHeight="1" x14ac:dyDescent="0.2">
      <c r="A35" s="5"/>
      <c r="B35" s="13"/>
      <c r="C35" s="202" t="s">
        <v>149</v>
      </c>
      <c r="D35" s="203"/>
      <c r="E35" s="204"/>
    </row>
    <row r="36" spans="1:6" ht="7.5" customHeight="1" x14ac:dyDescent="0.2">
      <c r="A36" s="12"/>
      <c r="B36" s="12"/>
      <c r="C36" s="12"/>
      <c r="D36" s="12"/>
      <c r="E36" s="12"/>
    </row>
    <row r="37" spans="1:6" ht="18.75" customHeight="1" x14ac:dyDescent="0.2">
      <c r="A37" s="14" t="s">
        <v>34</v>
      </c>
      <c r="B37" s="156" t="s">
        <v>37</v>
      </c>
      <c r="C37" s="207"/>
      <c r="D37" s="207"/>
      <c r="E37" s="207"/>
    </row>
    <row r="38" spans="1:6" ht="180" customHeight="1" x14ac:dyDescent="0.2">
      <c r="A38" s="15"/>
      <c r="B38" s="13"/>
      <c r="C38" s="202" t="s">
        <v>145</v>
      </c>
      <c r="D38" s="203"/>
      <c r="E38" s="204"/>
    </row>
    <row r="39" spans="1:6" ht="7.5" customHeight="1" x14ac:dyDescent="0.2">
      <c r="A39" s="15"/>
      <c r="B39" s="15"/>
      <c r="C39" s="15"/>
      <c r="D39" s="15"/>
      <c r="E39" s="15"/>
    </row>
    <row r="40" spans="1:6" ht="18.75" customHeight="1" x14ac:dyDescent="0.2">
      <c r="A40" s="5" t="s">
        <v>11</v>
      </c>
      <c r="B40" s="156" t="s">
        <v>39</v>
      </c>
      <c r="C40" s="207"/>
      <c r="D40" s="207"/>
      <c r="E40" s="207"/>
    </row>
    <row r="41" spans="1:6" ht="180" customHeight="1" x14ac:dyDescent="0.2">
      <c r="A41" s="5"/>
      <c r="B41" s="13"/>
      <c r="C41" s="208" t="s">
        <v>165</v>
      </c>
      <c r="D41" s="209"/>
      <c r="E41" s="210"/>
    </row>
    <row r="42" spans="1:6" ht="7.5" customHeight="1" x14ac:dyDescent="0.2">
      <c r="A42" s="15"/>
      <c r="B42" s="15"/>
      <c r="C42" s="15"/>
      <c r="D42" s="15"/>
      <c r="E42" s="15"/>
    </row>
    <row r="43" spans="1:6" ht="18.75" customHeight="1" x14ac:dyDescent="0.2">
      <c r="A43" s="5" t="s">
        <v>42</v>
      </c>
      <c r="B43" s="156" t="s">
        <v>13</v>
      </c>
      <c r="C43" s="207"/>
      <c r="D43" s="207"/>
      <c r="E43" s="207"/>
    </row>
    <row r="44" spans="1:6" ht="180" customHeight="1" x14ac:dyDescent="0.2">
      <c r="A44" s="5"/>
      <c r="B44" s="13"/>
      <c r="C44" s="202" t="s">
        <v>150</v>
      </c>
      <c r="D44" s="203"/>
      <c r="E44" s="204"/>
    </row>
    <row r="45" spans="1:6" ht="7.5" customHeight="1" x14ac:dyDescent="0.2">
      <c r="A45" s="15"/>
      <c r="B45" s="15"/>
      <c r="C45" s="15"/>
      <c r="D45" s="15"/>
      <c r="E45" s="15"/>
    </row>
    <row r="46" spans="1:6" ht="18.75" customHeight="1" x14ac:dyDescent="0.2">
      <c r="A46" s="5" t="s">
        <v>30</v>
      </c>
      <c r="B46" s="156" t="s">
        <v>44</v>
      </c>
      <c r="C46" s="156"/>
      <c r="D46" s="156"/>
      <c r="E46" s="156"/>
    </row>
    <row r="47" spans="1:6" ht="180" customHeight="1" x14ac:dyDescent="0.2">
      <c r="A47" s="15"/>
      <c r="B47" s="13"/>
      <c r="C47" s="202" t="s">
        <v>146</v>
      </c>
      <c r="D47" s="203"/>
      <c r="E47" s="204"/>
    </row>
    <row r="48" spans="1:6" ht="7.5" customHeight="1" x14ac:dyDescent="0.2">
      <c r="A48" s="15"/>
      <c r="B48" s="19"/>
      <c r="C48" s="19"/>
      <c r="D48" s="19"/>
      <c r="E48" s="19"/>
    </row>
    <row r="49" spans="1:5" ht="18.75" customHeight="1" x14ac:dyDescent="0.2">
      <c r="A49" s="5"/>
      <c r="B49" s="197"/>
      <c r="C49" s="197"/>
      <c r="D49" s="197"/>
      <c r="E49" s="197"/>
    </row>
    <row r="50" spans="1:5" ht="18.75" customHeight="1" x14ac:dyDescent="0.2">
      <c r="A50" s="5"/>
      <c r="B50" s="197"/>
      <c r="C50" s="197"/>
      <c r="D50" s="197"/>
      <c r="E50" s="197"/>
    </row>
    <row r="51" spans="1:5" ht="18.75" customHeight="1" x14ac:dyDescent="0.2">
      <c r="A51" s="15"/>
      <c r="B51" s="13"/>
      <c r="C51" s="13"/>
      <c r="D51" s="13"/>
      <c r="E51" s="20"/>
    </row>
    <row r="52" spans="1:5" ht="18.75" customHeight="1" x14ac:dyDescent="0.2">
      <c r="A52" s="15"/>
      <c r="B52" s="20"/>
      <c r="C52" s="20"/>
      <c r="D52" s="20"/>
      <c r="E52" s="20"/>
    </row>
    <row r="53" spans="1:5" ht="18.75" customHeight="1" x14ac:dyDescent="0.2">
      <c r="A53" s="15"/>
      <c r="B53" s="20"/>
      <c r="C53" s="20"/>
      <c r="D53" s="20"/>
      <c r="E53" s="20"/>
    </row>
    <row r="54" spans="1:5" ht="18.75" customHeight="1" x14ac:dyDescent="0.2">
      <c r="A54" s="15"/>
      <c r="B54" s="20"/>
      <c r="C54" s="20"/>
      <c r="D54" s="20"/>
      <c r="E54" s="20"/>
    </row>
    <row r="55" spans="1:5" ht="18.75" customHeight="1" x14ac:dyDescent="0.2">
      <c r="A55" s="15"/>
      <c r="B55" s="20"/>
      <c r="C55" s="20"/>
      <c r="D55" s="20"/>
      <c r="E55" s="20"/>
    </row>
    <row r="56" spans="1:5" ht="18.75" customHeight="1" x14ac:dyDescent="0.2">
      <c r="A56" s="15"/>
      <c r="B56" s="20"/>
      <c r="C56" s="20"/>
      <c r="D56" s="20"/>
      <c r="E56" s="20"/>
    </row>
    <row r="57" spans="1:5" ht="18.75" customHeight="1" x14ac:dyDescent="0.2">
      <c r="A57" s="15"/>
      <c r="B57" s="20"/>
      <c r="C57" s="20"/>
      <c r="D57" s="20"/>
      <c r="E57" s="20"/>
    </row>
    <row r="58" spans="1:5" ht="18.75" customHeight="1" x14ac:dyDescent="0.2">
      <c r="A58" s="15"/>
      <c r="B58" s="20"/>
      <c r="C58" s="20"/>
      <c r="D58" s="20"/>
      <c r="E58" s="20"/>
    </row>
    <row r="59" spans="1:5" ht="18.75" customHeight="1" x14ac:dyDescent="0.2">
      <c r="A59" s="15"/>
      <c r="B59" s="20"/>
      <c r="C59" s="20"/>
      <c r="D59" s="20"/>
      <c r="E59" s="20"/>
    </row>
    <row r="60" spans="1:5" ht="18.75" customHeight="1" x14ac:dyDescent="0.2">
      <c r="A60" s="15"/>
      <c r="B60" s="20"/>
      <c r="C60" s="20"/>
      <c r="D60" s="20"/>
      <c r="E60" s="20"/>
    </row>
    <row r="61" spans="1:5" ht="14.4" x14ac:dyDescent="0.2">
      <c r="A61" s="15"/>
      <c r="B61" s="20"/>
      <c r="C61" s="20"/>
      <c r="D61" s="20"/>
      <c r="E61" s="20"/>
    </row>
    <row r="62" spans="1:5" ht="7.5" customHeight="1" x14ac:dyDescent="0.2">
      <c r="A62" s="15"/>
      <c r="B62" s="20"/>
      <c r="C62" s="20"/>
      <c r="D62" s="20"/>
      <c r="E62" s="20"/>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00000000-0002-0000-0300-000000000000}">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F29"/>
  <sheetViews>
    <sheetView showZeros="0" view="pageBreakPreview" zoomScaleNormal="100" zoomScaleSheetLayoutView="100" workbookViewId="0"/>
  </sheetViews>
  <sheetFormatPr defaultColWidth="11.33203125" defaultRowHeight="22.5" customHeight="1" x14ac:dyDescent="0.2"/>
  <cols>
    <col min="1" max="1" width="5.88671875" style="5" customWidth="1"/>
    <col min="2" max="2" width="7.21875" style="5" customWidth="1"/>
    <col min="3" max="3" width="31.109375" style="5" customWidth="1"/>
    <col min="4" max="4" width="77.109375" style="127" customWidth="1"/>
    <col min="5" max="5" width="7.6640625" style="5" bestFit="1" customWidth="1"/>
    <col min="6" max="16384" width="11.33203125" style="5"/>
  </cols>
  <sheetData>
    <row r="1" spans="1:6" ht="18.75" customHeight="1" x14ac:dyDescent="0.2">
      <c r="A1" s="5" t="s">
        <v>60</v>
      </c>
      <c r="E1" s="6" t="s">
        <v>82</v>
      </c>
    </row>
    <row r="2" spans="1:6" ht="18.75" customHeight="1" x14ac:dyDescent="0.2">
      <c r="A2" s="186" t="s">
        <v>28</v>
      </c>
      <c r="B2" s="186"/>
      <c r="C2" s="186"/>
      <c r="D2" s="186"/>
      <c r="E2" s="186"/>
    </row>
    <row r="3" spans="1:6" ht="18.75" customHeight="1" x14ac:dyDescent="0.2">
      <c r="A3" s="8"/>
      <c r="B3" s="8"/>
      <c r="C3" s="8"/>
      <c r="D3" s="128"/>
    </row>
    <row r="4" spans="1:6" ht="18.75" customHeight="1" x14ac:dyDescent="0.2">
      <c r="A4" s="9" t="s">
        <v>0</v>
      </c>
      <c r="B4" s="211" t="s">
        <v>124</v>
      </c>
      <c r="C4" s="211"/>
      <c r="D4" s="129" t="s">
        <v>164</v>
      </c>
    </row>
    <row r="5" spans="1:6" ht="9" customHeight="1" x14ac:dyDescent="0.2">
      <c r="A5" s="8"/>
      <c r="B5" s="7"/>
      <c r="C5" s="7"/>
      <c r="D5" s="149"/>
    </row>
    <row r="6" spans="1:6" ht="18.75" customHeight="1" x14ac:dyDescent="0.2">
      <c r="A6" s="216" t="s">
        <v>41</v>
      </c>
      <c r="B6" s="217"/>
      <c r="C6" s="53" t="s">
        <v>162</v>
      </c>
      <c r="D6" s="148"/>
    </row>
    <row r="7" spans="1:6" ht="18.75" customHeight="1" x14ac:dyDescent="0.2">
      <c r="A7" s="216" t="s">
        <v>10</v>
      </c>
      <c r="B7" s="217"/>
      <c r="C7" s="53" t="s">
        <v>163</v>
      </c>
      <c r="D7" s="149"/>
    </row>
    <row r="8" spans="1:6" ht="7.5" customHeight="1" x14ac:dyDescent="0.2">
      <c r="A8" s="8"/>
      <c r="B8" s="8"/>
      <c r="C8" s="8"/>
      <c r="D8" s="150"/>
    </row>
    <row r="9" spans="1:6" ht="18.75" customHeight="1" x14ac:dyDescent="0.2">
      <c r="A9" s="9" t="s">
        <v>3</v>
      </c>
      <c r="B9" s="5" t="s">
        <v>27</v>
      </c>
      <c r="C9" s="15"/>
      <c r="D9" s="130"/>
    </row>
    <row r="10" spans="1:6" ht="18.75" customHeight="1" x14ac:dyDescent="0.2">
      <c r="B10" s="161" t="s">
        <v>24</v>
      </c>
      <c r="C10" s="215"/>
      <c r="D10" s="131" t="s">
        <v>26</v>
      </c>
    </row>
    <row r="11" spans="1:6" ht="19.2" customHeight="1" x14ac:dyDescent="0.2">
      <c r="B11" s="218" t="s">
        <v>14</v>
      </c>
      <c r="C11" s="219"/>
      <c r="D11" s="220"/>
    </row>
    <row r="12" spans="1:6" ht="198" customHeight="1" x14ac:dyDescent="0.2">
      <c r="B12" s="26"/>
      <c r="C12" s="27" t="s">
        <v>15</v>
      </c>
      <c r="D12" s="132" t="s">
        <v>168</v>
      </c>
      <c r="F12" s="126"/>
    </row>
    <row r="13" spans="1:6" ht="198" customHeight="1" x14ac:dyDescent="0.2">
      <c r="B13" s="26"/>
      <c r="C13" s="28" t="s">
        <v>16</v>
      </c>
      <c r="D13" s="132" t="s">
        <v>152</v>
      </c>
      <c r="F13"/>
    </row>
    <row r="14" spans="1:6" ht="198" customHeight="1" x14ac:dyDescent="0.2">
      <c r="B14" s="26"/>
      <c r="C14" s="27" t="s">
        <v>17</v>
      </c>
      <c r="D14" s="132" t="s">
        <v>151</v>
      </c>
    </row>
    <row r="15" spans="1:6" ht="198" customHeight="1" x14ac:dyDescent="0.2">
      <c r="B15" s="26"/>
      <c r="C15" s="27" t="s">
        <v>18</v>
      </c>
      <c r="D15" s="132" t="s">
        <v>169</v>
      </c>
    </row>
    <row r="16" spans="1:6" ht="198" customHeight="1" x14ac:dyDescent="0.2">
      <c r="B16" s="29"/>
      <c r="C16" s="30" t="s">
        <v>19</v>
      </c>
      <c r="D16" s="133" t="s">
        <v>170</v>
      </c>
    </row>
    <row r="17" spans="2:4" ht="19.2" customHeight="1" x14ac:dyDescent="0.2">
      <c r="B17" s="25" t="s">
        <v>20</v>
      </c>
      <c r="C17" s="31"/>
      <c r="D17" s="134"/>
    </row>
    <row r="18" spans="2:4" ht="198" customHeight="1" x14ac:dyDescent="0.2">
      <c r="B18" s="26"/>
      <c r="C18" s="27" t="s">
        <v>21</v>
      </c>
      <c r="D18" s="132" t="s">
        <v>174</v>
      </c>
    </row>
    <row r="19" spans="2:4" ht="228" customHeight="1" x14ac:dyDescent="0.2">
      <c r="B19" s="29"/>
      <c r="C19" s="30" t="s">
        <v>22</v>
      </c>
      <c r="D19" s="133" t="s">
        <v>171</v>
      </c>
    </row>
    <row r="20" spans="2:4" ht="198" customHeight="1" x14ac:dyDescent="0.2">
      <c r="B20" s="213" t="s">
        <v>23</v>
      </c>
      <c r="C20" s="214"/>
      <c r="D20" s="135" t="s">
        <v>172</v>
      </c>
    </row>
    <row r="21" spans="2:4" ht="198" customHeight="1" x14ac:dyDescent="0.2">
      <c r="B21" s="212" t="s">
        <v>91</v>
      </c>
      <c r="C21" s="206"/>
      <c r="D21" s="136" t="s">
        <v>173</v>
      </c>
    </row>
    <row r="22" spans="2:4" ht="22.5" customHeight="1" x14ac:dyDescent="0.2">
      <c r="B22" s="15"/>
      <c r="C22" s="15"/>
      <c r="D22" s="130"/>
    </row>
    <row r="23" spans="2:4" ht="22.5" customHeight="1" x14ac:dyDescent="0.2">
      <c r="B23" s="15"/>
      <c r="C23" s="15"/>
      <c r="D23" s="130"/>
    </row>
    <row r="24" spans="2:4" ht="22.5" customHeight="1" x14ac:dyDescent="0.2">
      <c r="B24" s="15"/>
      <c r="C24" s="15"/>
      <c r="D24" s="130"/>
    </row>
    <row r="25" spans="2:4" ht="22.5" customHeight="1" x14ac:dyDescent="0.2">
      <c r="B25" s="15"/>
      <c r="C25" s="15"/>
      <c r="D25" s="130"/>
    </row>
    <row r="26" spans="2:4" ht="22.5" customHeight="1" x14ac:dyDescent="0.2">
      <c r="B26" s="15"/>
      <c r="C26" s="15"/>
      <c r="D26" s="130"/>
    </row>
    <row r="27" spans="2:4" ht="22.5" customHeight="1" x14ac:dyDescent="0.2">
      <c r="B27" s="12"/>
      <c r="C27" s="12"/>
      <c r="D27" s="137"/>
    </row>
    <row r="28" spans="2:4" ht="22.5" customHeight="1" x14ac:dyDescent="0.2">
      <c r="B28" s="12"/>
      <c r="C28" s="12"/>
      <c r="D28" s="137"/>
    </row>
    <row r="29" spans="2:4" ht="22.5" customHeight="1" x14ac:dyDescent="0.2">
      <c r="B29" s="12"/>
      <c r="C29" s="12"/>
      <c r="D29" s="137"/>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21BF3A9028AE04BBBA3511ECFDF8F4B" ma:contentTypeVersion="16" ma:contentTypeDescription="新しいドキュメントを作成します。" ma:contentTypeScope="" ma:versionID="472d552942959882fd757d34371d1199">
  <xsd:schema xmlns:xsd="http://www.w3.org/2001/XMLSchema" xmlns:xs="http://www.w3.org/2001/XMLSchema" xmlns:p="http://schemas.microsoft.com/office/2006/metadata/properties" xmlns:ns2="e9bf8b5c-dc98-46fa-a3ba-8833ad92243d" xmlns:ns3="fadd9bbc-36b0-4b55-920c-10ebc506a5cb" targetNamespace="http://schemas.microsoft.com/office/2006/metadata/properties" ma:root="true" ma:fieldsID="7784d1998b5f28927345dfdc1f4cb3bc" ns2:_="" ns3:_="">
    <xsd:import namespace="e9bf8b5c-dc98-46fa-a3ba-8833ad92243d"/>
    <xsd:import namespace="fadd9bbc-36b0-4b55-920c-10ebc506a5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bf8b5c-dc98-46fa-a3ba-8833ad9224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70d79540-003b-423d-beba-7746594d2b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dd9bbc-36b0-4b55-920c-10ebc506a5cb"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7d95501-025a-4ccb-aaad-00b984edf80e}" ma:internalName="TaxCatchAll" ma:showField="CatchAllData" ma:web="fadd9bbc-36b0-4b55-920c-10ebc506a5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add9bbc-36b0-4b55-920c-10ebc506a5cb" xsi:nil="true"/>
    <lcf76f155ced4ddcb4097134ff3c332f xmlns="e9bf8b5c-dc98-46fa-a3ba-8833ad92243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CE4868-8F23-42AB-956D-EB27E03167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bf8b5c-dc98-46fa-a3ba-8833ad92243d"/>
    <ds:schemaRef ds:uri="fadd9bbc-36b0-4b55-920c-10ebc506a5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073F0F-037D-4B86-819A-A2B2F5FC0920}">
  <ds:schemaRefs>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schemas.openxmlformats.org/package/2006/metadata/core-properties"/>
    <ds:schemaRef ds:uri="fadd9bbc-36b0-4b55-920c-10ebc506a5cb"/>
    <ds:schemaRef ds:uri="e9bf8b5c-dc98-46fa-a3ba-8833ad92243d"/>
    <ds:schemaRef ds:uri="http://www.w3.org/XML/1998/namespace"/>
    <ds:schemaRef ds:uri="http://purl.org/dc/dcmitype/"/>
  </ds:schemaRefs>
</ds:datastoreItem>
</file>

<file path=customXml/itemProps3.xml><?xml version="1.0" encoding="utf-8"?>
<ds:datastoreItem xmlns:ds="http://schemas.openxmlformats.org/officeDocument/2006/customXml" ds:itemID="{C295C4CE-EA9F-45B0-9948-1C59582F4D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2025-12-04T02:57:37Z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y fmtid="{D5CDD505-2E9C-101B-9397-08002B2CF9AE}" pid="10" name="ContentTypeId">
    <vt:lpwstr>0x010100321BF3A9028AE04BBBA3511ECFDF8F4B</vt:lpwstr>
  </property>
  <property fmtid="{D5CDD505-2E9C-101B-9397-08002B2CF9AE}" pid="11" name="MediaServiceImageTags">
    <vt:lpwstr/>
  </property>
</Properties>
</file>