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ThisWorkbook" defaultThemeVersion="124226"/>
  <xr:revisionPtr revIDLastSave="0" documentId="13_ncr:1_{F24D6F2C-1DDC-4202-B4CB-8F304C3B3265}" xr6:coauthVersionLast="47" xr6:coauthVersionMax="47" xr10:uidLastSave="{00000000-0000-0000-0000-000000000000}"/>
  <bookViews>
    <workbookView xWindow="-120" yWindow="-120" windowWidth="29040" windowHeight="15720" tabRatio="885" activeTab="5" xr2:uid="{00000000-000D-0000-FFFF-FFFF00000000}"/>
  </bookViews>
  <sheets>
    <sheet name="様式１　構成する授業科目（健康栄養学部・管理栄養学科）" sheetId="39" r:id="rId1"/>
    <sheet name="様式１　構成する授業科目 (看護学部)" sheetId="43" r:id="rId2"/>
    <sheet name="様式１　構成する授業科目 (医療科学部) " sheetId="44" r:id="rId3"/>
    <sheet name="様式２ 履修者等数の実績" sheetId="40" r:id="rId4"/>
    <sheet name="様式３ 教育の質・履修者数を向上させる体制・計画" sheetId="41" r:id="rId5"/>
    <sheet name="様式４　自己点検・評価" sheetId="42" r:id="rId6"/>
  </sheets>
  <definedNames>
    <definedName name="_xlnm._FilterDatabase" localSheetId="2" hidden="1">'様式１　構成する授業科目 (医療科学部) '!#REF!</definedName>
    <definedName name="_xlnm._FilterDatabase" localSheetId="1" hidden="1">'様式１　構成する授業科目 (看護学部)'!#REF!</definedName>
    <definedName name="_xlnm._FilterDatabase" localSheetId="0" hidden="1">'様式１　構成する授業科目（健康栄養学部・管理栄養学科）'!#REF!</definedName>
    <definedName name="_xlnm._FilterDatabase" localSheetId="3" hidden="1">'様式２ 履修者等数の実績'!#REF!</definedName>
    <definedName name="_xlnm.Print_Area" localSheetId="2">'様式１　構成する授業科目 (医療科学部) '!$A$1:$Z$70</definedName>
    <definedName name="_xlnm.Print_Area" localSheetId="1">'様式１　構成する授業科目 (看護学部)'!$A$1:$Z$70</definedName>
    <definedName name="_xlnm.Print_Area" localSheetId="0">'様式１　構成する授業科目（健康栄養学部・管理栄養学科）'!$A$1:$Z$70</definedName>
    <definedName name="_xlnm.Print_Area" localSheetId="3">'様式２ 履修者等数の実績'!$A$1:$T$30</definedName>
    <definedName name="_xlnm.Print_Area" localSheetId="4">'様式３ 教育の質・履修者数を向上させる体制・計画'!$A$1:$E$47</definedName>
    <definedName name="_xlnm.Print_Area" localSheetId="5">'様式４　自己点検・評価'!$A$1:$E$21</definedName>
    <definedName name="_xlnm.Print_Titles" localSheetId="5">'様式４　自己点検・評価'!$10:$10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<sst xmlns="http://schemas.openxmlformats.org/spreadsheetml/2006/main" count="421" uniqueCount="197">
  <si>
    <t>数理・データサイエンス・AI教育プログラム認定制度【リテラシーレベル】令和７年度申請用</t>
    <phoneticPr fontId="1"/>
  </si>
  <si>
    <t>様式１</t>
    <rPh sb="0" eb="2">
      <t>ヨウシキ</t>
    </rPh>
    <phoneticPr fontId="1"/>
  </si>
  <si>
    <t>大学等名</t>
    <rPh sb="0" eb="2">
      <t>ダイガク</t>
    </rPh>
    <rPh sb="2" eb="3">
      <t>トウ</t>
    </rPh>
    <rPh sb="3" eb="4">
      <t>メイ</t>
    </rPh>
    <phoneticPr fontId="1"/>
  </si>
  <si>
    <t>プログラム名</t>
    <rPh sb="5" eb="6">
      <t>メイ</t>
    </rPh>
    <phoneticPr fontId="1"/>
  </si>
  <si>
    <t>リテラシーレベルのプログラムを構成する授業科目について</t>
    <phoneticPr fontId="1"/>
  </si>
  <si>
    <t>① 教育プログラムの修了要件</t>
    <phoneticPr fontId="1"/>
  </si>
  <si>
    <t>② 対象となる学部・学科名称</t>
    <phoneticPr fontId="1"/>
  </si>
  <si>
    <t>③ プログラム履修必須の有無</t>
    <rPh sb="7" eb="9">
      <t>リシュウ</t>
    </rPh>
    <rPh sb="9" eb="11">
      <t>ヒッス</t>
    </rPh>
    <rPh sb="12" eb="14">
      <t>ウム</t>
    </rPh>
    <phoneticPr fontId="1"/>
  </si>
  <si>
    <t>④ 修了要件</t>
    <phoneticPr fontId="1"/>
  </si>
  <si>
    <t>⑤プログラム構成科目</t>
    <rPh sb="8" eb="10">
      <t>カモク</t>
    </rPh>
    <phoneticPr fontId="1"/>
  </si>
  <si>
    <t>必要最低科目数・単位数</t>
    <phoneticPr fontId="1"/>
  </si>
  <si>
    <t>科目</t>
    <rPh sb="0" eb="2">
      <t>カモク</t>
    </rPh>
    <phoneticPr fontId="1"/>
  </si>
  <si>
    <t>単位</t>
    <rPh sb="0" eb="2">
      <t>タンイ</t>
    </rPh>
    <phoneticPr fontId="1"/>
  </si>
  <si>
    <t>モデルカリキュラム対応状況</t>
    <rPh sb="9" eb="11">
      <t>タイオウ</t>
    </rPh>
    <rPh sb="11" eb="13">
      <t>ジョウキョウ</t>
    </rPh>
    <phoneticPr fontId="1"/>
  </si>
  <si>
    <t>授業科目</t>
    <rPh sb="0" eb="2">
      <t>ジュギョウ</t>
    </rPh>
    <rPh sb="2" eb="4">
      <t>カモク</t>
    </rPh>
    <phoneticPr fontId="1"/>
  </si>
  <si>
    <t>単位数</t>
    <rPh sb="0" eb="3">
      <t>タンイスウ</t>
    </rPh>
    <phoneticPr fontId="1"/>
  </si>
  <si>
    <t>1-1</t>
    <phoneticPr fontId="1"/>
  </si>
  <si>
    <t>1-2</t>
    <phoneticPr fontId="1"/>
  </si>
  <si>
    <t>1-3</t>
    <phoneticPr fontId="1"/>
  </si>
  <si>
    <t>1-4</t>
    <phoneticPr fontId="1"/>
  </si>
  <si>
    <t>1-5</t>
    <phoneticPr fontId="1"/>
  </si>
  <si>
    <t>1-6</t>
  </si>
  <si>
    <t>2-1</t>
  </si>
  <si>
    <t>2-2</t>
    <phoneticPr fontId="1"/>
  </si>
  <si>
    <t>2-3</t>
    <phoneticPr fontId="1"/>
  </si>
  <si>
    <t>3-1</t>
    <phoneticPr fontId="1"/>
  </si>
  <si>
    <t>3-2</t>
    <phoneticPr fontId="1"/>
  </si>
  <si>
    <t>4-1</t>
    <phoneticPr fontId="1"/>
  </si>
  <si>
    <t>4-2</t>
  </si>
  <si>
    <t>4-3</t>
  </si>
  <si>
    <t>4-4</t>
  </si>
  <si>
    <t>4-5</t>
  </si>
  <si>
    <t>4-6</t>
  </si>
  <si>
    <t>4-7</t>
  </si>
  <si>
    <t>4-8</t>
  </si>
  <si>
    <t>4-9</t>
  </si>
  <si>
    <t>その他</t>
    <rPh sb="2" eb="3">
      <t>タ</t>
    </rPh>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</si>
  <si>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</si>
  <si>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</si>
  <si>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</si>
  <si>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⑥ プログラムを構成する授業の内容</t>
    <phoneticPr fontId="1"/>
  </si>
  <si>
    <t>授業に含まれている内容・要素</t>
    <phoneticPr fontId="1"/>
  </si>
  <si>
    <t>授業に含まれているスキルセットのキーワード</t>
    <rPh sb="0" eb="2">
      <t>ジュギョウ</t>
    </rPh>
    <rPh sb="3" eb="4">
      <t>フク</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</si>
  <si>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</si>
  <si>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</si>
  <si>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</si>
  <si>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</si>
  <si>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</si>
  <si>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</si>
  <si>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</si>
  <si>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⑦プログラムの学修成果（学生等が身に付けられる能力等）</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</si>
  <si>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</si>
  <si>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</si>
  <si>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</si>
  <si>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年度（和暦）</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</si>
  <si>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</si>
  <si>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</si>
  <si>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</si>
  <si>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</si>
  <si>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</si>
  <si>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令和7年度</t>
    <rPh sb="0" eb="2">
      <t>レイワ</t>
    </rPh>
    <rPh sb="3" eb="5">
      <t>ネンド</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</si>
  <si>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</si>
  <si>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</si>
  <si>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</si>
  <si>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</si>
  <si>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</si>
  <si>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</si>
  <si>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</si>
  <si>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うち女性</t>
    <rPh sb="2" eb="4">
      <t>ジョセイ</t>
    </rPh>
    <phoneticPr fontId="1"/>
  </si>
  <si>
    <t>履修者数</t>
    <rPh sb="0" eb="3">
      <t>リシュウシャ</t>
    </rPh>
    <rPh sb="3" eb="4">
      <t>スウ</t>
    </rPh>
    <phoneticPr fontId="1"/>
  </si>
  <si>
    <t>修了者数</t>
    <rPh sb="0" eb="3">
      <t>シュウリョウシャ</t>
    </rPh>
    <rPh sb="3" eb="4">
      <t>スウ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</si>
  <si>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</si>
  <si>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</si>
  <si>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</si>
  <si>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</si>
  <si>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</si>
  <si>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</si>
  <si>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</si>
  <si>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</si>
  <si>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</si>
  <si>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</si>
  <si>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</si>
  <si>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</si>
  <si>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</si>
  <si>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</si>
  <si>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</si>
  <si>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</si>
  <si>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</si>
  <si>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（名称）</t>
    <rPh sb="1" eb="3">
      <t>メイショウ</t>
    </rPh>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</si>
  <si>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</si>
  <si>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</si>
  <si>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</si>
  <si>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</si>
  <si>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</si>
  <si>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</si>
  <si>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</si>
  <si>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t xml:space="preserve">履修者数・履修率の向上に向けた計画 </t>
    <rPh sb="5" eb="7">
      <t>リシュウ</t>
    </rPh>
    <rPh sb="7" eb="8">
      <t>リツ</t>
    </rPh>
    <phoneticPr fontId="1"/>
  </si>
  <si>
    <t>令和７年度履修率</t>
    <rPh sb="0" eb="2">
      <t>レイワ</t>
    </rPh>
    <rPh sb="3" eb="5">
      <t>ネンド</t>
    </rPh>
    <rPh sb="5" eb="8">
      <t>リシュウリツ</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</si>
  <si>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</si>
  <si>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</si>
  <si>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</si>
  <si>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</si>
  <si>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</si>
  <si>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</si>
  <si>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</si>
  <si>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</si>
  <si>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</si>
  <si>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</si>
  <si>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</si>
  <si>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</si>
  <si>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</si>
  <si>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</si>
  <si>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</si>
  <si>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</si>
  <si>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</si>
  <si>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</si>
  <si>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</si>
  <si>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</si>
  <si>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</si>
  <si>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</si>
  <si>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</si>
  <si>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</si>
  <si>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</si>
  <si>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</si>
  <si>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</si>
  <si>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</si>
  <si>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</si>
  <si>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</si>
  <si>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</si>
  <si>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修文大学</t>
    <phoneticPr fontId="1"/>
  </si>
  <si>
    <t>修文大学　数理・データサイエンス・AI教育プログラム</t>
    <phoneticPr fontId="1"/>
  </si>
  <si>
    <t>学部・学科によって、修了要件は相違する</t>
  </si>
  <si>
    <t>健康栄養学部・管理栄養学科</t>
    <phoneticPr fontId="1"/>
  </si>
  <si>
    <t>「情報処理演習Ⅰ」（1単位）と「データサイエンス」（1単位）の2単位の講義を取得すること</t>
    <phoneticPr fontId="1"/>
  </si>
  <si>
    <t>令和６年度以前又は令和７年度より、履修することが必須のプログラムとして実施</t>
  </si>
  <si>
    <t>データサイエンス</t>
    <phoneticPr fontId="1"/>
  </si>
  <si>
    <t>○</t>
  </si>
  <si>
    <t>情報処理演習Ⅰ</t>
    <rPh sb="0" eb="2">
      <t>ジョウホウ</t>
    </rPh>
    <rPh sb="2" eb="4">
      <t>ショリ</t>
    </rPh>
    <rPh sb="4" eb="6">
      <t>エンシュウ</t>
    </rPh>
    <phoneticPr fontId="1"/>
  </si>
  <si>
    <t>ビッグデータ（1回目）</t>
    <phoneticPr fontId="1"/>
  </si>
  <si>
    <t>AI最新技術の活用例（機械学習AIモデル）（13回目）（14回目）（15回目）</t>
    <phoneticPr fontId="1"/>
  </si>
  <si>
    <t>・データの種類（2回目）
・算術平均、加重平均、幾何平均、調和平均（2回目）
・クロス集計表（3回目）</t>
    <phoneticPr fontId="1"/>
  </si>
  <si>
    <t>・データ・AI活用領域の広がり(生産、消費、文化活動など)（1回目）</t>
    <phoneticPr fontId="1"/>
  </si>
  <si>
    <t>・最適化（8回目）</t>
    <phoneticPr fontId="1"/>
  </si>
  <si>
    <t>データサイエンスのサイクル（1回目）</t>
    <phoneticPr fontId="1"/>
  </si>
  <si>
    <t>・個人情報保護（3回目）
・AI社会原則（公平性、説明責任、透明性、人間中心の判断）（8回目）</t>
    <phoneticPr fontId="1"/>
  </si>
  <si>
    <t>・情報セキュリティ：機密性、完全性、可用性（3回目）
・匿名加工情報、暗号化、パスワード、悪意ある情報搾取（3回目）</t>
    <phoneticPr fontId="1"/>
  </si>
  <si>
    <t>・データの分布(ヒストグラム)と代表値（平均値、中央値、最頻値）（9回目）
・相関係数、回帰直線、散布図（5回目）
・クロス集計表の検定（10回目）</t>
    <phoneticPr fontId="1"/>
  </si>
  <si>
    <t>・データ表現（3回目）
・データの図表表現（3回目）
・不適切なグラフ表現（3回目）
・データ表現（棒グラフ、折線グラフ、散布図、ヒートマップ）（10回目）
・データの図表表現（チャート化）（10回目）</t>
    <phoneticPr fontId="1"/>
  </si>
  <si>
    <t>・推定の考え方と信頼区間（6回目）
・データの集計（和、平均） （6回目）
・表形式のデータ（csv）（6回目）</t>
    <phoneticPr fontId="1"/>
  </si>
  <si>
    <t>データサイエンスの基礎的な知識及び技術に基づいてデータを適切に分析することなどができる。</t>
    <phoneticPr fontId="1"/>
  </si>
  <si>
    <t>看護学部・看護学科</t>
    <rPh sb="0" eb="2">
      <t>カンゴ</t>
    </rPh>
    <rPh sb="2" eb="4">
      <t>ガクブ</t>
    </rPh>
    <rPh sb="5" eb="7">
      <t>カンゴ</t>
    </rPh>
    <rPh sb="7" eb="9">
      <t>ガッカ</t>
    </rPh>
    <phoneticPr fontId="1"/>
  </si>
  <si>
    <t>「データサイエンス演習」（1単位）と「統計学」（1単位）と「保健統計学」（2単位）の4単位の講義を取得すること</t>
    <phoneticPr fontId="1"/>
  </si>
  <si>
    <t>データサイエンス演習</t>
    <phoneticPr fontId="1"/>
  </si>
  <si>
    <t>統計学</t>
    <rPh sb="0" eb="3">
      <t>トウケイガク</t>
    </rPh>
    <phoneticPr fontId="1"/>
  </si>
  <si>
    <t>保健統計学</t>
    <phoneticPr fontId="1"/>
  </si>
  <si>
    <t>・データ・AI活用領域の広がり（1回目）
・仮説検証（11回目）</t>
    <phoneticPr fontId="1"/>
  </si>
  <si>
    <t>・個人情報保護（5回目）
・AI社会原則（公平性、説明責任、透明性、人間中心の判断）（8回目）</t>
    <phoneticPr fontId="1"/>
  </si>
  <si>
    <t>・情報セキュリティ：機密性、完全性、可用性（7回目）
・匿名加工情報、暗号化、パスワード、悪意ある情報搾取（6回目）</t>
    <phoneticPr fontId="1"/>
  </si>
  <si>
    <t>・データ表現（3回目）
・データの図表表現（3回目）
・不適切なグラフ表現（3回目）</t>
    <phoneticPr fontId="1"/>
  </si>
  <si>
    <t>・推定の考え方と信頼区間（6回目）</t>
    <phoneticPr fontId="1"/>
  </si>
  <si>
    <t>医療科学部</t>
    <rPh sb="0" eb="2">
      <t>イリョウ</t>
    </rPh>
    <rPh sb="2" eb="4">
      <t>カガク</t>
    </rPh>
    <rPh sb="4" eb="5">
      <t>ブ</t>
    </rPh>
    <phoneticPr fontId="1"/>
  </si>
  <si>
    <t>「情報科学」（1単位）と「データサイエンス」（１単位）の２単位の講義を取得すること</t>
    <phoneticPr fontId="1"/>
  </si>
  <si>
    <t>情報科学</t>
    <rPh sb="0" eb="2">
      <t>ジョウホウ</t>
    </rPh>
    <rPh sb="2" eb="4">
      <t>カガク</t>
    </rPh>
    <phoneticPr fontId="1"/>
  </si>
  <si>
    <t>・第4次産業革命、Society 5.0、データ駆動型社会（1回目）
・データを起点としたものの見方、人間の知的活動を起点としたものの見方（1回目）
・AI (人工知能) とは（12回目）</t>
    <phoneticPr fontId="1"/>
  </si>
  <si>
    <t>・AI最新技術の活用例（深層生成モデル、敵対的生成ネットワーク、強化学習、転移学習など）（13・14・15回目）</t>
    <phoneticPr fontId="1"/>
  </si>
  <si>
    <t xml:space="preserve">・調査データ、実験データ、人の行動ログデータ、機械の稼働ログデータなど（2回目）
・1次データ、2次データ、データのメタ化（2回目） </t>
    <phoneticPr fontId="1"/>
  </si>
  <si>
    <t>・データ解析：予測、グルーピング、パターン発見、最適化、シミュレーション・データ同化など（13回目）</t>
    <phoneticPr fontId="1"/>
  </si>
  <si>
    <t>・データサイエンスのサイクル（1回目）</t>
    <phoneticPr fontId="1"/>
  </si>
  <si>
    <t>・データの種類（量的変数、質的変数）（4回目）　・データの分布(ヒストグラム)と代表値（平均値、中央値、最頻値）（4回目）　　・代表値の性質の違い（実社会では平均値＝最頻値でないことが多い）（4回目）　　・データのばらつき（分散、標準偏差、偏差値）（5回目）　　・観測データに含まれる誤差の扱い （5回目）　　・相関と因果（相関係数、疑似相関、交絡）（6・７回目）
・クロス集計表、分割表、相関係数行列、散布図行列（8回目）
・母集団と標本抽出（国勢調査、アンケート調査、全数調査、単純無作為抽出、層別抽出、多段抽出（10回目）</t>
    <phoneticPr fontId="1"/>
  </si>
  <si>
    <t>・データの比較（条件をそろえた比較、処理の前後での比較、A/Bテスト) （8回目）</t>
    <phoneticPr fontId="1"/>
  </si>
  <si>
    <t>・情報セキュリティ：機密性、完全性、可用性（7回目）</t>
    <phoneticPr fontId="1"/>
  </si>
  <si>
    <t>・データの並び替え、ランキング（3回目）
・データ解析ツール（スプレッドシート）（3回目）
・表形式のデータ（csv）（3回目）</t>
    <phoneticPr fontId="1"/>
  </si>
  <si>
    <t>令和7</t>
    <rPh sb="0" eb="2">
      <t>レイワ</t>
    </rPh>
    <phoneticPr fontId="1"/>
  </si>
  <si>
    <t>健康栄養学部　管理栄養学科</t>
  </si>
  <si>
    <t>看護学部　看護学科</t>
  </si>
  <si>
    <t>医療科学部　臨床検査学科</t>
  </si>
  <si>
    <t>相撲　佐希子</t>
    <phoneticPr fontId="1"/>
  </si>
  <si>
    <t>看護学部長・　教育DX推進委員長</t>
    <phoneticPr fontId="1"/>
  </si>
  <si>
    <t>丹羽　利充</t>
    <phoneticPr fontId="1"/>
  </si>
  <si>
    <t>学長</t>
    <phoneticPr fontId="1"/>
  </si>
  <si>
    <t>【評議会】次の委員をもって構成する。
（１）委員長　丹羽　利充　修文大学学長
（２）構成員
　➀修文大学健康栄養学部管理栄養学科　学部長　近藤　浩代
　②修文大学看護学部看護学科　学部長、教育DX推進委員会　委員長相撲　佐希子　　　　　　　　　　　　　　　　　　　　　　　　　　　　
　➂修文大学医療科学部臨床検査学科　学部長　磯部　健一
　➃修文大学健康栄養学部管理栄養学科　教授　山下　照夫
　⑤修文大学医療科学部臨床検査学科　教授　　越川　卓
　➅修文大学　事務局長　　　　　　　　　　　　　　　寺尾宏之
　⑦修文大学　事務局　教務科長　　　　　　　　　　松尾彰人
　⑧修文大学　事務局　学生支援センター長　　　江嵜宏史
　⑨修文大学　事務局　広報入試課　　　　　　　　瀬辺　康夫
【教育DX推進委員会】
委員長1名（相撲佐希子）、委員9名、計10名</t>
    <phoneticPr fontId="1"/>
  </si>
  <si>
    <t>本教育プログラムの対象科目は、現在、全学部の必修科目として開講されており、入学者全員が体系的に履修できる体制を整えている。
今後は、より一貫した学修機会を全学的に保障するため、当該科目群を共通教育科目として再編・位置づける検討を進める。
これに伴い、教育DX推進委員会を中心に、各学部からの意見収集や学修成果の分析を踏まえ、科目内容の標準化・高度化を計画的に進める。
さらに、履修支援体制や学修環境の整備を促進し、全学生が確実に受講できるよう履修導線の改善を図ることで、履修者数および履修率の一層の向上を目指す。</t>
    <phoneticPr fontId="1"/>
  </si>
  <si>
    <t>本教育プログラムに関連する科目は、現在、各学部における必修科目として開講されており、学部・学科に関わらず全学生が確実に履修できる体制が整っている。
今後も、全学必修として位置づけた運用を継続することで、希望する学生全員が漏れなく受講できる体制を維持する。
さらに、教育DX推進委員会を中心に、科目間の内容統一や学修環境の整備、教育方法の標準化を進めることで、学部横断的な履修保証をより一層強化する。これにより、全学生に対して均質かつ質の高い学修機会を提供し、数理・データサイエンス・AIに関する学修機会の確保を計画的に推進する。</t>
    <phoneticPr fontId="1"/>
  </si>
  <si>
    <t>本教育プログラムは必修科目として位置付けるが、より確実に履修できるよう、以下の周知・支援を実施する。
１．入学時ガイダンスや学年オリエンテーションでの説明を通じ、プログラムの意義と履修の必要性を明確に伝える。
２．教務担当、担任、アドバイザー教員による履修相談支援を行い、履修漏れ防止と計画的な学修を促す。
３．掲示物やポータルサイト等の活用により、学生が随時情報を確認できる環境を整える。
これらの取組により、学生が多様な方法で履修情報を得られるようにし、できる限り多くの学生が円滑に履修できる体制を確保する。</t>
    <phoneticPr fontId="1"/>
  </si>
  <si>
    <t>学生が円滑に履修し、確実に学修成果を修得できるよう、以下の支援体制を整備する。
１．科目担当および担任・アドバイザー教員による履修・学修相談体制を整え、個々の学修状況に応じた支援を行う。
２．科目担当教員と担任・各アドバイザー教員との連携による学修支援（基礎的内容の補講、学習方法の指導、個別相談）を提供し、理解の深化を図る。
３．LMSを活用した教材配信、オンデマンド資料の提供、学習進捗の可視化により、自律的な学習を促す環境を整備する。
４．定期的な確認テストやフィードバックの充実を図れるプログラムとし、学生が自身の理解度を把握しながら学修を進められるよう支援する。
５．
これらの取組により、学生が多面的な支援を受けながら確実に履修・修得できる環境を整え、学修成果の向上を図る。</t>
    <phoneticPr fontId="1"/>
  </si>
  <si>
    <t>学生が授業内容を確実に理解し、学修成果を着実に修得できるよう、授業時間内外で以下のような学習指導体制を整備している。
１．授業時間外の質問・相談窓口の設置
教員によるオフィスアワーを明確に設定し、学生が自由に訪問・相談できる体制を整える。これにより、授業内で解決できなかった疑問点について個別に丁寧な指導を行う。
２．オンライン環境を活用した質問対応
LMSや学務情報システム等を通じて、授業外の質問受付や教材提供を行い、学生が時間や場所にとらわれず学習を進められる環境を提供する。
３．必要に応じた補講・学習支援の実施
学習到達度に課題がある学生に対しては、補講や追加の学習支援を行い、修得に向けた個別サポートを行う。
これらの取り組みにより、授業時間内外を通じて学生が継続的に学習支援を受けられる仕組みを確立し、学習理解の深化と学修成果の確実な修得を支援している。</t>
    <phoneticPr fontId="1"/>
  </si>
  <si>
    <t>自己点検評価委員会</t>
    <phoneticPr fontId="1"/>
  </si>
  <si>
    <t>修文大学では、健康栄養学部・看護学部・医療科学部の3学部において、本プログラムに関連する科目をそれぞれ必修科目として位置づけ、全学生が体系的に履修できる体制を確保している。
具体的には、健康栄養学部では1年次に「情報処理演習Ⅰ」1単位、2年次に「データサイエンス演習」1単位を必修としており、看護学部では1年次に「統計学」の1単位、2年次に「データサイエンス」1単位、3年次に「保健統計学」2単位を必修として配置している。また、医療科学部では1年次に「情報科学」1単位、3年次に「データサイエンス」1単位を必修科目として開講している。
これらの科目の履修状況および学修成果については、各学部が教務委員会等で実施する年度末のカリキュラムチエックに加え、大学の自己点検・自己評価委員会がプログラム全体としての履修率・修得率・教育効果を総合的に評価している。
その結果に基づき、教育内容の改善、授業方法の見直し、学習支援の強化など、継続的な改善サイクルを推進している。</t>
    <phoneticPr fontId="1"/>
  </si>
  <si>
    <t>本教育プログラムにおける学修成果は、各学部で実施している「授業評価アンケート」の結果を分析することにより、学生の理解度や授業内容に対する評価を把握している。
また、各授業科目担当教員は毎年度、自己評価・自己点検を通じて授業内容・指導方法・学修状況を振り返り、その結果を文書として提出している。
提出された自己評価結果は、各学部の学部長（評議会メンバー）が取りまとめ、授業の難易度や指導内容に課題がないかを把握している。
これらの情報は評議会において共有され、科目内容の見直し、教育方法の改善、学習支援の強化など、本教育プログラムの質向上に向けた改善策の検討に活用している。</t>
    <phoneticPr fontId="1"/>
  </si>
  <si>
    <t>令和7年度の学生アンケート結果を分析したところ、いずれの学部においても本教育プログラムに関連する科目の理解度は概ね良好であると評価できる。健康栄養学部では、「データサイエンス演習」平均3.96、「情報処理演習Ⅰ」平均4.33と、基礎的な情報処理科目において特に高い理解度が示されている。
看護学部においては「データサイエンス演習」が平均4.51と最も高い評価を得ており、演習形式による実践的な学修が学生の理解を促進していると考えられる。
医療科学部でも「データサイエンス」4.21と良好な結果であり、専門性の高い学修内容に対しても適切な理解が得られている。
これらの結果から、各学部における授業内容や指導方法が学生の学修理解に十分寄与していることが確認できる。また、学部間で比較しても大きな差はみられず、全学的に一定の教育水準が維持されているといえる。今後は、評価の高かった授業方法や教材の工夫を学部間で共有し、さらなる理解度向上に向けた授業改善に活用していく予定である。</t>
    <phoneticPr fontId="1"/>
  </si>
  <si>
    <t>学生アンケートの結果からは、本教育プログラムに関連する科目について、概ね「後輩にも履修を推奨したい」との肯定的な意見が多く寄せられており、授業内容や学修体験が一定の満足度につながっていることがうかがえる。また、医療科学部の学生からは「データサイエンスを2年次に配置してほしい」との意見がみられ、より適切な学修タイミングで受講したいという要望が確認できた。
これらの学生意見は、学修順序や学年配置の妥当性を検討する上で重要な示唆を与えるものであり、教育内容の改善や科目配置の見直しを検討する際の参考資料として活用していく予定である。</t>
    <phoneticPr fontId="1"/>
  </si>
  <si>
    <t>本教育プログラムに関連する科目は、健康栄養学部・看護学部・医療科学部のいずれにおいても必修科目として配置されているため、現時点で履修者数および履修率は全学的に極めて高い水準で推移している。
このことから、当初の履修確保に関する計画は着実に達成されていると評価できる。
今後も、全学生が確実に学修機会を得られるよう、必修科目としての位置づけを維持しながら教育内容の標準化や授業運営の改善を進める予定である。
これにより、履修率の高さを保ちつつ、より質の高い学修体験を提供できる体制を継続的に整備していく。</t>
    <phoneticPr fontId="1"/>
  </si>
  <si>
    <t>修文大学では、各学部において卒業時に就職先の調査を実施し、卒業生の進路状況を把握している。当該科目群を教育プログラムとして本格的に運用した後は、全学的な卒後調査の項目に本プログラムに関する設問を追加することを予定している。これにより、可能な範囲で教育プログラム修了者の活躍状況や勤務先からの評価等についても情報収集を行い、今後の教育改善に活用していく予定である。</t>
    <phoneticPr fontId="1"/>
  </si>
  <si>
    <t>本教育プログラムに対する産業界からの直接的な意見収集については、これまで十分に実施できていないのが現状である。しかしながら、医療・保健・福祉分野の動向や企業等が求めるデータ活用能力に関する情報は、各学部が実習施設や連携機関との協議、外部研修会等を通じて把握している。
今後は、産業界のニーズを教育内容へ一層反映できるよう、関係機関との連携強化や企業等からの意見収集の機会を検討し、教育プログラムの改善に活用していく予定である。</t>
    <phoneticPr fontId="1"/>
  </si>
  <si>
    <t>本教育プログラムでは、学生が数理・データサイエンス・AIを「学ぶ楽しさ」や「学ぶことの意義」を実感できるよう、学習への導入段階から段階的な指導を行っている。まずは基礎的で理解しやすい内容から学修を開始し、達成感が得られる課題や演習を取り入れることで、学生が主体的に学ぶ姿勢を育成している。
理解に不安がある学生に対しては、担当教員が個別指導を行うなど、丁寧な支援体制を整備し、学修のつまずきを早期に解消できるよう努めている。また、授業評価アンケートや学生からの意見を踏まえ、翌年度の授業内容・教材・指導方法の改善を図ることで、より分かりやすく効果的な授業運営につなげている。</t>
    <phoneticPr fontId="1"/>
  </si>
  <si>
    <t>本教育プログラムでは、教育内容・水準を維持・向上させつつ、学生にとってより分かりやすく効果的な授業となるよう、教授方法や教材の改善を継続的に進めている。授業評価アンケートや自己点検・評価を踏まえ、説明方法、演習課題、授業構成の見直しを毎年度実施し、学生の理解を促進する授業改善に取り組んでいる。また、近年急速に発展する生成AIをはじめとする情報技術の進化を踏まえ、教育内容についても適宜アップデートを行う予定である。特に、AIを正しく理解し、適切に活用できる力を育成することを重視し、基本概念、利点と限界、倫理的配慮、医療・保健分野における活用例などを体系的に扱う内容へ発展させていく。実際の学修場面でAIをどのように活用すべきかを考えさせる演習や事例学習を導入し、学生が自ら判断しながらAIを適切に活用できる能力の育成を図る。
AI・データサイエンスの基礎的な知識・技能を修得し、建学の精神である「国家社会に貢献できる人材の育成」に基づき、卒業後の社会におけるAIやデータサイエンスの活用の基礎力を育成する。また、AIやデータサイエンスの進歩による社会の変化、技術の革新に対応する柔軟な力を養う。</t>
    <phoneticPr fontId="1"/>
  </si>
  <si>
    <t>本プログラムは、修文大学の全学的教育方針のもと、各学部における必修科目として体系的に提供し、学生が医療・福祉分野を含む多様な領域で必要となる数理・データサイエンス・AI活用能力を着実に育成することを目的とする。また、教育の質を継続的に保証・向上させることを重視し、定期的な自己点検・評価を通じてプログラム全体の改善サイクルを確立している。
本プログラムに関わる各科目の点検・評価については、修文大学自己点検・自己評価委員会が責任をもって実施し、その結果を基に教育内容・方法の改善を進める。さらに、プログラム全体の改善方針や高度化については評議会において最終的に審議し、全学的な教育質保証の枠組みの中で、学生に対して一貫した質の高い学修機会を提供し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</si>
</sst>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03">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49" fontId="2" fillId="2" borderId="32" xfId="0" applyNumberFormat="1" applyFont="1" applyFill="1" applyBorder="1" applyAlignment="1">
      <alignment horizontal="left" vertical="top"/>
    </xf>
    <xf numFmtId="49" fontId="2" fillId="2" borderId="13" xfId="0" applyNumberFormat="1" applyFont="1" applyFill="1" applyBorder="1" applyAlignment="1">
      <alignment horizontal="left" vertical="top"/>
    </xf>
    <xf numFmtId="49" fontId="2" fillId="2" borderId="15" xfId="0" applyNumberFormat="1" applyFont="1" applyFill="1" applyBorder="1" applyAlignment="1">
      <alignment horizontal="left" vertical="top"/>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6" fillId="2" borderId="0" xfId="0" applyFont="1" applyFill="1" applyAlignment="1">
      <alignment horizontal="center" vertical="center"/>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0" xfId="0" applyFont="1" applyFill="1" applyAlignment="1">
      <alignment horizontal="center" vertical="center" shrinkToFit="1"/>
    </xf>
    <xf numFmtId="0" fontId="2" fillId="2" borderId="0" xfId="0" applyFont="1" applyFill="1" applyAlignment="1">
      <alignment horizontal="right" vertical="center" shrinkToFit="1"/>
    </xf>
    <xf numFmtId="0" fontId="2" fillId="2" borderId="7" xfId="0" applyFont="1" applyFill="1" applyBorder="1">
      <alignment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6" fillId="2" borderId="0" xfId="0" applyFont="1" applyFill="1" applyAlignment="1">
      <alignment horizontal="center" vertical="center"/>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0" xfId="0" applyFont="1" applyFill="1" applyAlignment="1">
      <alignment horizontal="center" vertical="center" shrinkToFit="1"/>
    </xf>
    <xf numFmtId="49" fontId="2" fillId="2" borderId="14" xfId="0" applyNumberFormat="1" applyFont="1" applyFill="1" applyBorder="1" applyAlignment="1">
      <alignment horizontal="left" vertical="top" wrapText="1"/>
    </xf>
    <xf numFmtId="49" fontId="2" fillId="2" borderId="32" xfId="0" applyNumberFormat="1" applyFont="1" applyFill="1" applyBorder="1" applyAlignment="1">
      <alignment horizontal="left" vertical="top" wrapText="1"/>
    </xf>
    <xf numFmtId="49" fontId="2" fillId="2" borderId="20" xfId="0" applyNumberFormat="1" applyFont="1" applyFill="1" applyBorder="1" applyAlignment="1">
      <alignment horizontal="left" vertical="center" wrapText="1"/>
    </xf>
    <xf numFmtId="49" fontId="2" fillId="2" borderId="13" xfId="0" applyNumberFormat="1" applyFont="1" applyFill="1" applyBorder="1" applyAlignment="1">
      <alignment horizontal="left" vertical="center" wrapText="1"/>
    </xf>
    <xf numFmtId="49" fontId="2" fillId="2" borderId="13" xfId="0" applyNumberFormat="1" applyFont="1" applyFill="1" applyBorder="1" applyAlignment="1">
      <alignment horizontal="left" vertical="top" wrapText="1"/>
    </xf>
    <xf numFmtId="49" fontId="7" fillId="2" borderId="32" xfId="0" applyNumberFormat="1" applyFont="1" applyFill="1" applyBorder="1" applyAlignment="1">
      <alignment horizontal="left" vertical="top" wrapText="1"/>
    </xf>
    <xf numFmtId="49" fontId="7" fillId="2" borderId="15" xfId="0" applyNumberFormat="1" applyFont="1" applyFill="1" applyBorder="1" applyAlignment="1">
      <alignment horizontal="left" vertical="top" wrapText="1"/>
    </xf>
    <xf numFmtId="178" fontId="2" fillId="2" borderId="1" xfId="0" applyNumberFormat="1" applyFont="1" applyFill="1" applyBorder="1" applyAlignment="1">
      <alignment horizontal="right" vertical="center"/>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5" fillId="2" borderId="2" xfId="0" applyFont="1" applyFill="1" applyBorder="1" applyAlignment="1">
      <alignment horizontal="justify" vertical="top" wrapText="1" shrinkToFit="1"/>
    </xf>
    <xf numFmtId="0" fontId="5" fillId="2" borderId="3" xfId="0" applyFont="1" applyFill="1" applyBorder="1" applyAlignment="1">
      <alignment horizontal="justify" vertical="top" wrapText="1" shrinkToFit="1"/>
    </xf>
    <xf numFmtId="0" fontId="5"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pplyAlignment="1">
      <alignment vertical="center"/>
    </xf>
    <xf numFmtId="0" fontId="7" fillId="2" borderId="2" xfId="0" applyFont="1" applyFill="1" applyBorder="1" applyAlignment="1">
      <alignment horizontal="justify" vertical="top" wrapText="1" shrinkToFit="1"/>
    </xf>
    <xf numFmtId="0" fontId="7" fillId="2" borderId="3" xfId="0" applyFont="1" applyFill="1" applyBorder="1" applyAlignment="1">
      <alignment horizontal="justify" vertical="top" wrapText="1" shrinkToFit="1"/>
    </xf>
    <xf numFmtId="0" fontId="7" fillId="2" borderId="4" xfId="0" applyFont="1" applyFill="1" applyBorder="1" applyAlignment="1">
      <alignment horizontal="justify" vertical="top" wrapText="1" shrinkToFit="1"/>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9" xfId="0" applyFont="1" applyFill="1" applyBorder="1" applyAlignment="1">
      <alignment vertical="center"/>
    </xf>
    <xf numFmtId="0" fontId="5" fillId="2" borderId="13" xfId="0" applyFont="1" applyFill="1" applyBorder="1" applyAlignment="1">
      <alignment horizontal="justify" vertical="top" wrapText="1" shrinkToFit="1"/>
    </xf>
  </cellXfs>
  <cellStyles count="3">
    <cellStyle name="パーセント" xfId="1" builtinId="5"/>
    <cellStyle name="桁区切り" xfId="2" builtinId="6"/>
    <cellStyle name="標準" xfId="0" builtinId="0"/>
  </cellStyles>
  <dxfs count="9">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view="pageBreakPreview" topLeftCell="A9" zoomScaleNormal="100" zoomScaleSheetLayoutView="100" workbookViewId="0">
      <selection activeCell="G23" sqref="G23"/>
    </sheetView>
  </sheetViews>
  <sheetFormatPr defaultColWidth="9" defaultRowHeight="18.75" customHeight="1" x14ac:dyDescent="0.15"/>
  <cols>
    <col min="1" max="1" width="2.375" style="6" customWidth="1"/>
    <col min="2" max="2" width="28.25" style="6" customWidth="1"/>
    <col min="3" max="3" width="6.25" style="6" customWidth="1"/>
    <col min="4" max="4" width="80.75" style="6" customWidth="1"/>
    <col min="5" max="5" width="6.375" style="6" bestFit="1" customWidth="1"/>
    <col min="6" max="26" width="5.75" style="6" customWidth="1"/>
    <col min="27" max="27" width="9" style="6" customWidth="1"/>
    <col min="28" max="16384" width="9" style="6"/>
  </cols>
  <sheetData>
    <row r="1" spans="1:28" ht="18.75" customHeight="1" x14ac:dyDescent="0.15">
      <c r="A1" s="143" t="s">
        <v>0</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13"/>
      <c r="AB1" s="113"/>
    </row>
    <row r="3" spans="1:28" ht="18.600000000000001" customHeight="1" x14ac:dyDescent="0.15">
      <c r="A3" s="113"/>
      <c r="B3" s="113"/>
      <c r="C3" s="113"/>
      <c r="D3" s="113"/>
      <c r="E3" s="113"/>
      <c r="F3" s="113"/>
      <c r="G3" s="113"/>
      <c r="H3" s="113"/>
      <c r="I3" s="113"/>
      <c r="J3" s="113"/>
      <c r="K3" s="113"/>
      <c r="L3" s="113"/>
      <c r="M3" s="113"/>
      <c r="N3" s="113"/>
      <c r="O3" s="113"/>
      <c r="P3" s="113"/>
      <c r="Q3" s="113"/>
      <c r="R3" s="113"/>
      <c r="S3" s="113"/>
      <c r="T3" s="113"/>
      <c r="U3" s="113"/>
      <c r="V3" s="113"/>
      <c r="W3" s="113"/>
      <c r="X3" s="113"/>
      <c r="Y3" s="143" t="s">
        <v>1</v>
      </c>
      <c r="Z3" s="143"/>
      <c r="AA3" s="7"/>
      <c r="AB3" s="9"/>
    </row>
    <row r="4" spans="1:28" ht="18.75" customHeight="1" x14ac:dyDescent="0.15">
      <c r="A4" s="113"/>
      <c r="B4" s="148" t="s">
        <v>2</v>
      </c>
      <c r="C4" s="149"/>
      <c r="D4" s="59" t="s">
        <v>129</v>
      </c>
      <c r="E4" s="113"/>
      <c r="F4" s="113"/>
      <c r="G4" s="113"/>
      <c r="H4" s="113"/>
      <c r="I4" s="113"/>
      <c r="J4" s="113"/>
      <c r="K4" s="113"/>
      <c r="L4" s="113"/>
      <c r="M4" s="113"/>
      <c r="N4" s="113"/>
      <c r="O4" s="113"/>
      <c r="P4" s="7"/>
      <c r="Q4" s="32"/>
      <c r="R4" s="32"/>
      <c r="S4" s="32"/>
      <c r="T4" s="32"/>
      <c r="U4" s="32"/>
      <c r="V4" s="32"/>
      <c r="W4" s="32"/>
      <c r="X4" s="32"/>
      <c r="Y4" s="32"/>
      <c r="Z4" s="32"/>
      <c r="AA4" s="113"/>
      <c r="AB4" s="113"/>
    </row>
    <row r="5" spans="1:28" ht="18.75" customHeight="1" x14ac:dyDescent="0.15">
      <c r="A5" s="113"/>
      <c r="B5" s="148" t="s">
        <v>3</v>
      </c>
      <c r="C5" s="149"/>
      <c r="D5" s="59" t="s">
        <v>130</v>
      </c>
      <c r="E5" s="113"/>
      <c r="F5" s="113"/>
      <c r="G5" s="113"/>
      <c r="H5" s="113"/>
      <c r="I5" s="113"/>
      <c r="J5" s="113"/>
      <c r="K5" s="113"/>
      <c r="L5" s="113"/>
      <c r="M5" s="113"/>
      <c r="N5" s="113"/>
      <c r="O5" s="113"/>
      <c r="P5" s="7"/>
      <c r="Q5" s="32"/>
      <c r="R5" s="32"/>
      <c r="S5" s="32"/>
      <c r="T5" s="32"/>
      <c r="U5" s="32"/>
      <c r="V5" s="32"/>
      <c r="W5" s="32"/>
      <c r="X5" s="32"/>
      <c r="Y5" s="32"/>
      <c r="Z5" s="32"/>
      <c r="AA5" s="113"/>
      <c r="AB5" s="113"/>
    </row>
    <row r="6" spans="1:28" ht="15" customHeight="1" x14ac:dyDescent="0.15">
      <c r="A6" s="113"/>
      <c r="B6" s="113"/>
      <c r="C6" s="113"/>
      <c r="D6" s="113"/>
      <c r="E6" s="113"/>
      <c r="F6" s="113"/>
      <c r="G6" s="113"/>
      <c r="H6" s="113"/>
      <c r="I6" s="113"/>
      <c r="J6" s="113"/>
      <c r="K6" s="113"/>
      <c r="L6" s="113"/>
      <c r="M6" s="113"/>
      <c r="N6" s="113"/>
      <c r="O6" s="113"/>
      <c r="P6" s="113"/>
      <c r="Q6" s="7"/>
      <c r="R6" s="118"/>
      <c r="S6" s="118"/>
      <c r="T6" s="118"/>
      <c r="U6" s="118"/>
      <c r="V6" s="118"/>
      <c r="W6" s="118"/>
      <c r="X6" s="118"/>
      <c r="Y6" s="118"/>
      <c r="Z6" s="118"/>
      <c r="AA6" s="113"/>
      <c r="AB6" s="113"/>
    </row>
    <row r="7" spans="1:28" ht="18" customHeight="1" x14ac:dyDescent="0.15">
      <c r="A7" s="147" t="s">
        <v>4</v>
      </c>
      <c r="B7" s="147"/>
      <c r="C7" s="147"/>
      <c r="D7" s="147"/>
      <c r="E7" s="147"/>
      <c r="F7" s="147"/>
      <c r="G7" s="147"/>
      <c r="H7" s="147"/>
      <c r="I7" s="147"/>
      <c r="J7" s="147"/>
      <c r="K7" s="147"/>
      <c r="L7" s="147"/>
      <c r="M7" s="147"/>
      <c r="N7" s="147"/>
      <c r="O7" s="147"/>
      <c r="P7" s="147"/>
      <c r="Q7" s="147"/>
      <c r="R7" s="147"/>
      <c r="S7" s="147"/>
      <c r="T7" s="147"/>
      <c r="U7" s="147"/>
      <c r="V7" s="147"/>
      <c r="W7" s="147"/>
      <c r="X7" s="147"/>
      <c r="Y7" s="147"/>
      <c r="Z7" s="147"/>
      <c r="AA7" s="113"/>
      <c r="AB7" s="113"/>
    </row>
    <row r="8" spans="1:28" ht="18" customHeight="1" x14ac:dyDescent="0.15">
      <c r="A8" s="117"/>
      <c r="B8" s="117"/>
      <c r="C8" s="117"/>
      <c r="D8" s="117"/>
      <c r="E8" s="117"/>
      <c r="F8" s="117"/>
      <c r="G8" s="117"/>
      <c r="H8" s="117"/>
      <c r="I8" s="117"/>
      <c r="J8" s="117"/>
      <c r="K8" s="117"/>
      <c r="L8" s="117"/>
      <c r="M8" s="117"/>
      <c r="N8" s="117"/>
      <c r="O8" s="117"/>
      <c r="P8" s="117"/>
      <c r="Q8" s="117"/>
      <c r="R8" s="117"/>
      <c r="S8" s="117"/>
      <c r="T8" s="117"/>
      <c r="U8" s="117"/>
      <c r="V8" s="117"/>
      <c r="W8" s="117"/>
      <c r="X8" s="117"/>
      <c r="Y8" s="117"/>
      <c r="Z8" s="117"/>
      <c r="AA8" s="113"/>
      <c r="AB8" s="113"/>
    </row>
    <row r="9" spans="1:28" ht="20.25" customHeight="1" x14ac:dyDescent="0.15">
      <c r="A9" s="144" t="s">
        <v>5</v>
      </c>
      <c r="B9" s="144"/>
      <c r="C9" s="113"/>
      <c r="D9" s="4" t="s">
        <v>131</v>
      </c>
      <c r="E9" s="113"/>
      <c r="F9" s="113"/>
      <c r="G9" s="113"/>
      <c r="H9" s="113"/>
      <c r="I9" s="113"/>
      <c r="J9" s="113"/>
      <c r="K9" s="113"/>
      <c r="L9" s="113"/>
      <c r="M9" s="113"/>
      <c r="N9" s="113"/>
      <c r="O9" s="113"/>
      <c r="P9" s="113"/>
      <c r="Q9" s="113"/>
      <c r="R9" s="113"/>
      <c r="S9" s="113"/>
      <c r="T9" s="113"/>
      <c r="U9" s="113"/>
      <c r="V9" s="113"/>
      <c r="W9" s="113"/>
      <c r="X9" s="113"/>
      <c r="Y9" s="113"/>
      <c r="Z9" s="113"/>
      <c r="AA9" s="113"/>
      <c r="AB9" s="113"/>
    </row>
    <row r="10" spans="1:28" ht="20.25" customHeight="1" x14ac:dyDescent="0.15">
      <c r="A10" s="113"/>
      <c r="B10" s="112"/>
      <c r="C10" s="112"/>
      <c r="D10" s="112"/>
      <c r="E10" s="113"/>
      <c r="F10" s="113"/>
      <c r="G10" s="113"/>
      <c r="H10" s="113"/>
      <c r="I10" s="113"/>
      <c r="J10" s="113"/>
      <c r="K10" s="113"/>
      <c r="L10" s="113"/>
      <c r="M10" s="113"/>
      <c r="N10" s="113"/>
      <c r="O10" s="113"/>
      <c r="P10" s="113"/>
      <c r="Q10" s="112"/>
      <c r="R10" s="112"/>
      <c r="S10" s="112"/>
      <c r="T10" s="112"/>
      <c r="U10" s="112"/>
      <c r="V10" s="112"/>
      <c r="W10" s="112"/>
      <c r="X10" s="112"/>
      <c r="Y10" s="112"/>
      <c r="Z10" s="112"/>
      <c r="AA10" s="113"/>
      <c r="AB10" s="113"/>
    </row>
    <row r="11" spans="1:28" ht="20.25" customHeight="1" x14ac:dyDescent="0.15">
      <c r="A11" s="144" t="s">
        <v>6</v>
      </c>
      <c r="B11" s="144"/>
      <c r="C11" s="113"/>
      <c r="D11" s="58" t="s">
        <v>132</v>
      </c>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row>
    <row r="12" spans="1:28" ht="20.25" customHeight="1" x14ac:dyDescent="0.15">
      <c r="A12" s="113"/>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c r="AA12" s="113"/>
      <c r="AB12" s="113"/>
    </row>
    <row r="13" spans="1:28" ht="20.25" customHeight="1" x14ac:dyDescent="0.15">
      <c r="A13" s="145" t="s">
        <v>7</v>
      </c>
      <c r="B13" s="145"/>
      <c r="C13" s="112"/>
      <c r="D13" s="59" t="s">
        <v>134</v>
      </c>
      <c r="E13" s="32"/>
      <c r="F13" s="32"/>
      <c r="G13" s="32"/>
      <c r="H13" s="32"/>
      <c r="I13" s="32"/>
      <c r="J13" s="32"/>
      <c r="K13" s="32"/>
      <c r="L13" s="32"/>
      <c r="M13" s="32"/>
      <c r="N13" s="32"/>
      <c r="O13" s="32"/>
      <c r="P13" s="32"/>
      <c r="Q13" s="60"/>
      <c r="R13" s="60"/>
      <c r="S13" s="60"/>
      <c r="T13" s="60"/>
      <c r="U13" s="60"/>
      <c r="V13" s="60"/>
      <c r="W13" s="60"/>
      <c r="X13" s="60"/>
      <c r="Y13" s="60"/>
      <c r="Z13" s="60"/>
      <c r="AA13" s="113"/>
      <c r="AB13" s="113"/>
    </row>
    <row r="14" spans="1:28" ht="20.25" customHeight="1" x14ac:dyDescent="0.15">
      <c r="A14" s="113"/>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3"/>
      <c r="AB14" s="113"/>
    </row>
    <row r="15" spans="1:28" ht="132" customHeight="1" x14ac:dyDescent="0.15">
      <c r="A15" s="146" t="s">
        <v>8</v>
      </c>
      <c r="B15" s="146"/>
      <c r="C15" s="112"/>
      <c r="D15" s="61" t="s">
        <v>133</v>
      </c>
      <c r="E15" s="12"/>
      <c r="F15" s="12"/>
      <c r="G15" s="12"/>
      <c r="H15" s="12"/>
      <c r="I15" s="12"/>
      <c r="J15" s="12"/>
      <c r="K15" s="12"/>
      <c r="L15" s="12"/>
      <c r="M15" s="12"/>
      <c r="N15" s="12"/>
      <c r="O15" s="12"/>
      <c r="P15" s="12"/>
      <c r="Q15" s="12"/>
      <c r="R15" s="12"/>
      <c r="S15" s="12"/>
      <c r="T15" s="12"/>
      <c r="U15" s="12"/>
      <c r="V15" s="12"/>
      <c r="W15" s="12"/>
      <c r="X15" s="12"/>
      <c r="Y15" s="12"/>
      <c r="Z15" s="12"/>
      <c r="AA15" s="113"/>
      <c r="AB15" s="113"/>
    </row>
    <row r="16" spans="1:28" ht="13.15" customHeight="1" x14ac:dyDescent="0.15">
      <c r="A16" s="113"/>
      <c r="B16" s="112"/>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c r="AA16" s="113"/>
      <c r="AB16" s="113"/>
    </row>
    <row r="17" spans="1:26" ht="20.25" customHeight="1" x14ac:dyDescent="0.15">
      <c r="A17" s="113" t="s">
        <v>9</v>
      </c>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row>
    <row r="18" spans="1:26" ht="10.15" customHeight="1" x14ac:dyDescent="0.15">
      <c r="A18" s="113"/>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row>
    <row r="19" spans="1:26" ht="20.25" customHeight="1" x14ac:dyDescent="0.15">
      <c r="A19" s="113"/>
      <c r="B19" s="7" t="s">
        <v>10</v>
      </c>
      <c r="C19" s="102">
        <v>2</v>
      </c>
      <c r="D19" s="114" t="s">
        <v>11</v>
      </c>
      <c r="E19" s="113"/>
      <c r="F19" s="113"/>
      <c r="G19" s="112"/>
      <c r="H19" s="112"/>
      <c r="I19" s="112"/>
      <c r="J19" s="112"/>
      <c r="K19" s="112"/>
      <c r="L19" s="112"/>
      <c r="M19" s="112"/>
      <c r="N19" s="112"/>
      <c r="O19" s="112"/>
      <c r="P19" s="112"/>
      <c r="Q19" s="112"/>
      <c r="R19" s="112"/>
      <c r="S19" s="112"/>
      <c r="T19" s="112"/>
      <c r="U19" s="112"/>
      <c r="V19" s="112"/>
      <c r="W19" s="112"/>
      <c r="X19" s="112"/>
      <c r="Y19" s="112"/>
      <c r="Z19" s="112"/>
    </row>
    <row r="20" spans="1:26" ht="20.25" customHeight="1" x14ac:dyDescent="0.15">
      <c r="A20" s="113"/>
      <c r="B20" s="112"/>
      <c r="C20" s="102">
        <v>2</v>
      </c>
      <c r="D20" s="114" t="s">
        <v>12</v>
      </c>
      <c r="E20" s="113"/>
      <c r="F20" s="113"/>
      <c r="G20" s="112"/>
      <c r="H20" s="112"/>
      <c r="I20" s="112"/>
      <c r="J20" s="112"/>
      <c r="K20" s="112"/>
      <c r="L20" s="112"/>
      <c r="M20" s="112"/>
      <c r="N20" s="112"/>
      <c r="O20" s="112"/>
      <c r="P20" s="112"/>
      <c r="Q20" s="112"/>
      <c r="R20" s="112"/>
      <c r="S20" s="112"/>
      <c r="T20" s="112"/>
      <c r="U20" s="112"/>
      <c r="V20" s="112"/>
      <c r="W20" s="112"/>
      <c r="X20" s="112"/>
      <c r="Y20" s="112"/>
      <c r="Z20" s="112"/>
    </row>
    <row r="21" spans="1:26" ht="20.25" customHeight="1" thickBot="1" x14ac:dyDescent="0.2">
      <c r="A21" s="113"/>
      <c r="B21" s="113"/>
      <c r="C21" s="113"/>
      <c r="D21" s="113"/>
      <c r="E21" s="113"/>
      <c r="F21" s="150" t="s">
        <v>13</v>
      </c>
      <c r="G21" s="151"/>
      <c r="H21" s="151"/>
      <c r="I21" s="151"/>
      <c r="J21" s="151"/>
      <c r="K21" s="151"/>
      <c r="L21" s="151"/>
      <c r="M21" s="151"/>
      <c r="N21" s="151"/>
      <c r="O21" s="151"/>
      <c r="P21" s="151"/>
      <c r="Q21" s="151"/>
      <c r="R21" s="151"/>
      <c r="S21" s="151"/>
      <c r="T21" s="151"/>
      <c r="U21" s="151"/>
      <c r="V21" s="151"/>
      <c r="W21" s="151"/>
      <c r="X21" s="151"/>
      <c r="Y21" s="151"/>
      <c r="Z21" s="152"/>
    </row>
    <row r="22" spans="1:26" ht="18" customHeight="1" x14ac:dyDescent="0.15">
      <c r="A22" s="113"/>
      <c r="B22" s="119"/>
      <c r="C22" s="119"/>
      <c r="D22" s="116" t="s">
        <v>14</v>
      </c>
      <c r="E22" s="62" t="s">
        <v>15</v>
      </c>
      <c r="F22" s="63" t="s">
        <v>16</v>
      </c>
      <c r="G22" s="64" t="s">
        <v>17</v>
      </c>
      <c r="H22" s="64" t="s">
        <v>18</v>
      </c>
      <c r="I22" s="64" t="s">
        <v>19</v>
      </c>
      <c r="J22" s="64" t="s">
        <v>20</v>
      </c>
      <c r="K22" s="64" t="s">
        <v>21</v>
      </c>
      <c r="L22" s="64" t="s">
        <v>22</v>
      </c>
      <c r="M22" s="64" t="s">
        <v>23</v>
      </c>
      <c r="N22" s="64" t="s">
        <v>24</v>
      </c>
      <c r="O22" s="64" t="s">
        <v>25</v>
      </c>
      <c r="P22" s="65" t="s">
        <v>26</v>
      </c>
      <c r="Q22" s="66" t="s">
        <v>27</v>
      </c>
      <c r="R22" s="67" t="s">
        <v>28</v>
      </c>
      <c r="S22" s="67" t="s">
        <v>29</v>
      </c>
      <c r="T22" s="67" t="s">
        <v>30</v>
      </c>
      <c r="U22" s="67" t="s">
        <v>31</v>
      </c>
      <c r="V22" s="67" t="s">
        <v>32</v>
      </c>
      <c r="W22" s="67" t="s">
        <v>33</v>
      </c>
      <c r="X22" s="67" t="s">
        <v>34</v>
      </c>
      <c r="Y22" s="67" t="s">
        <v>35</v>
      </c>
      <c r="Z22" s="68" t="s">
        <v>36</v>
      </c>
    </row>
    <row r="23" spans="1:26" ht="18" customHeight="1" x14ac:dyDescent="0.15">
      <c r="A23" s="113"/>
      <c r="B23" s="139" t="s">
        <v>37</v>
      </c>
      <c r="C23" s="140"/>
      <c r="D23" s="69" t="s">
        <v>135</v>
      </c>
      <c r="E23" s="107">
        <v>1</v>
      </c>
      <c r="F23" s="70" t="s">
        <v>136</v>
      </c>
      <c r="G23" s="71" t="s">
        <v>136</v>
      </c>
      <c r="H23" s="71" t="s">
        <v>136</v>
      </c>
      <c r="I23" s="71" t="s">
        <v>136</v>
      </c>
      <c r="J23" s="71" t="s">
        <v>136</v>
      </c>
      <c r="K23" s="71" t="s">
        <v>136</v>
      </c>
      <c r="L23" s="71" t="s">
        <v>136</v>
      </c>
      <c r="M23" s="71" t="s">
        <v>136</v>
      </c>
      <c r="N23" s="71" t="s">
        <v>136</v>
      </c>
      <c r="O23" s="71"/>
      <c r="P23" s="72"/>
      <c r="Q23" s="73"/>
      <c r="R23" s="71"/>
      <c r="S23" s="71"/>
      <c r="T23" s="71" t="s">
        <v>136</v>
      </c>
      <c r="U23" s="71"/>
      <c r="V23" s="71"/>
      <c r="W23" s="71" t="s">
        <v>136</v>
      </c>
      <c r="X23" s="71" t="s">
        <v>136</v>
      </c>
      <c r="Y23" s="71"/>
      <c r="Z23" s="71"/>
    </row>
    <row r="24" spans="1:26" ht="18" customHeight="1" x14ac:dyDescent="0.15">
      <c r="A24" s="113"/>
      <c r="B24" s="141"/>
      <c r="C24" s="142"/>
      <c r="D24" s="74" t="s">
        <v>137</v>
      </c>
      <c r="E24" s="108">
        <v>1</v>
      </c>
      <c r="F24" s="75"/>
      <c r="G24" s="76"/>
      <c r="H24" s="76"/>
      <c r="I24" s="76"/>
      <c r="J24" s="76"/>
      <c r="K24" s="76"/>
      <c r="L24" s="76"/>
      <c r="M24" s="76" t="s">
        <v>136</v>
      </c>
      <c r="N24" s="76" t="s">
        <v>136</v>
      </c>
      <c r="O24" s="76" t="s">
        <v>136</v>
      </c>
      <c r="P24" s="77" t="s">
        <v>136</v>
      </c>
      <c r="Q24" s="78" t="s">
        <v>136</v>
      </c>
      <c r="R24" s="76"/>
      <c r="S24" s="76"/>
      <c r="T24" s="76"/>
      <c r="U24" s="76"/>
      <c r="V24" s="76" t="s">
        <v>136</v>
      </c>
      <c r="W24" s="76" t="s">
        <v>136</v>
      </c>
      <c r="X24" s="76"/>
      <c r="Y24" s="76"/>
      <c r="Z24" s="76"/>
    </row>
    <row r="25" spans="1:26" ht="18" customHeight="1" x14ac:dyDescent="0.15">
      <c r="A25" s="113"/>
      <c r="B25" s="141"/>
      <c r="C25" s="142"/>
      <c r="D25" s="74"/>
      <c r="E25" s="108"/>
      <c r="F25" s="75"/>
      <c r="G25" s="76"/>
      <c r="H25" s="76"/>
      <c r="I25" s="76"/>
      <c r="J25" s="76"/>
      <c r="K25" s="76"/>
      <c r="L25" s="76"/>
      <c r="M25" s="76"/>
      <c r="N25" s="76"/>
      <c r="O25" s="76"/>
      <c r="P25" s="77"/>
      <c r="Q25" s="78"/>
      <c r="R25" s="76"/>
      <c r="S25" s="76"/>
      <c r="T25" s="76"/>
      <c r="U25" s="76"/>
      <c r="V25" s="76"/>
      <c r="W25" s="76"/>
      <c r="X25" s="76"/>
      <c r="Y25" s="76"/>
      <c r="Z25" s="76"/>
    </row>
    <row r="26" spans="1:26" ht="18" customHeight="1" x14ac:dyDescent="0.15">
      <c r="A26" s="113"/>
      <c r="B26" s="141"/>
      <c r="C26" s="142"/>
      <c r="D26" s="74"/>
      <c r="E26" s="108"/>
      <c r="F26" s="75"/>
      <c r="G26" s="76"/>
      <c r="H26" s="76"/>
      <c r="I26" s="76"/>
      <c r="J26" s="76"/>
      <c r="K26" s="76"/>
      <c r="L26" s="76"/>
      <c r="M26" s="76"/>
      <c r="N26" s="76"/>
      <c r="O26" s="76"/>
      <c r="P26" s="77"/>
      <c r="Q26" s="78"/>
      <c r="R26" s="76"/>
      <c r="S26" s="76"/>
      <c r="T26" s="76"/>
      <c r="U26" s="76"/>
      <c r="V26" s="76"/>
      <c r="W26" s="76"/>
      <c r="X26" s="76"/>
      <c r="Y26" s="76"/>
      <c r="Z26" s="76"/>
    </row>
    <row r="27" spans="1:26" ht="18" customHeight="1" x14ac:dyDescent="0.15">
      <c r="A27" s="113"/>
      <c r="B27" s="141"/>
      <c r="C27" s="142"/>
      <c r="D27" s="74"/>
      <c r="E27" s="108"/>
      <c r="F27" s="75"/>
      <c r="G27" s="76"/>
      <c r="H27" s="76"/>
      <c r="I27" s="76"/>
      <c r="J27" s="76"/>
      <c r="K27" s="76"/>
      <c r="L27" s="76"/>
      <c r="M27" s="76"/>
      <c r="N27" s="76"/>
      <c r="O27" s="76"/>
      <c r="P27" s="77"/>
      <c r="Q27" s="78"/>
      <c r="R27" s="76"/>
      <c r="S27" s="76"/>
      <c r="T27" s="76"/>
      <c r="U27" s="76"/>
      <c r="V27" s="76"/>
      <c r="W27" s="76"/>
      <c r="X27" s="76"/>
      <c r="Y27" s="76"/>
      <c r="Z27" s="76"/>
    </row>
    <row r="28" spans="1:26" ht="18" customHeight="1" x14ac:dyDescent="0.15">
      <c r="A28" s="113"/>
      <c r="B28" s="141"/>
      <c r="C28" s="142"/>
      <c r="D28" s="74"/>
      <c r="E28" s="108"/>
      <c r="F28" s="75"/>
      <c r="G28" s="76"/>
      <c r="H28" s="76"/>
      <c r="I28" s="76"/>
      <c r="J28" s="76"/>
      <c r="K28" s="76"/>
      <c r="L28" s="76"/>
      <c r="M28" s="76"/>
      <c r="N28" s="76"/>
      <c r="O28" s="76"/>
      <c r="P28" s="77"/>
      <c r="Q28" s="78"/>
      <c r="R28" s="76"/>
      <c r="S28" s="76"/>
      <c r="T28" s="76"/>
      <c r="U28" s="76"/>
      <c r="V28" s="76"/>
      <c r="W28" s="76"/>
      <c r="X28" s="76"/>
      <c r="Y28" s="76"/>
      <c r="Z28" s="76"/>
    </row>
    <row r="29" spans="1:26" ht="18" customHeight="1" x14ac:dyDescent="0.15">
      <c r="A29" s="113"/>
      <c r="B29" s="141"/>
      <c r="C29" s="142"/>
      <c r="D29" s="74"/>
      <c r="E29" s="108"/>
      <c r="F29" s="75"/>
      <c r="G29" s="76"/>
      <c r="H29" s="76"/>
      <c r="I29" s="76"/>
      <c r="J29" s="76"/>
      <c r="K29" s="76"/>
      <c r="L29" s="76"/>
      <c r="M29" s="76"/>
      <c r="N29" s="76"/>
      <c r="O29" s="76"/>
      <c r="P29" s="77"/>
      <c r="Q29" s="78"/>
      <c r="R29" s="76"/>
      <c r="S29" s="76"/>
      <c r="T29" s="76"/>
      <c r="U29" s="76"/>
      <c r="V29" s="76"/>
      <c r="W29" s="76"/>
      <c r="X29" s="76"/>
      <c r="Y29" s="76"/>
      <c r="Z29" s="76"/>
    </row>
    <row r="30" spans="1:26" ht="18" customHeight="1" x14ac:dyDescent="0.15">
      <c r="A30" s="113"/>
      <c r="B30" s="141"/>
      <c r="C30" s="142"/>
      <c r="D30" s="74"/>
      <c r="E30" s="108"/>
      <c r="F30" s="75"/>
      <c r="G30" s="76"/>
      <c r="H30" s="76"/>
      <c r="I30" s="76"/>
      <c r="J30" s="76"/>
      <c r="K30" s="76"/>
      <c r="L30" s="76"/>
      <c r="M30" s="76"/>
      <c r="N30" s="76"/>
      <c r="O30" s="76"/>
      <c r="P30" s="77"/>
      <c r="Q30" s="78"/>
      <c r="R30" s="76"/>
      <c r="S30" s="76"/>
      <c r="T30" s="76"/>
      <c r="U30" s="76"/>
      <c r="V30" s="76"/>
      <c r="W30" s="76"/>
      <c r="X30" s="76"/>
      <c r="Y30" s="76"/>
      <c r="Z30" s="76"/>
    </row>
    <row r="31" spans="1:26" ht="18" customHeight="1" x14ac:dyDescent="0.15">
      <c r="A31" s="113"/>
      <c r="B31" s="141"/>
      <c r="C31" s="142"/>
      <c r="D31" s="74"/>
      <c r="E31" s="108"/>
      <c r="F31" s="75"/>
      <c r="G31" s="76"/>
      <c r="H31" s="76"/>
      <c r="I31" s="76"/>
      <c r="J31" s="76"/>
      <c r="K31" s="76"/>
      <c r="L31" s="76"/>
      <c r="M31" s="76"/>
      <c r="N31" s="76"/>
      <c r="O31" s="76"/>
      <c r="P31" s="77"/>
      <c r="Q31" s="78"/>
      <c r="R31" s="76"/>
      <c r="S31" s="76"/>
      <c r="T31" s="76"/>
      <c r="U31" s="76"/>
      <c r="V31" s="76"/>
      <c r="W31" s="76"/>
      <c r="X31" s="76"/>
      <c r="Y31" s="76"/>
      <c r="Z31" s="76"/>
    </row>
    <row r="32" spans="1:26" ht="18" customHeight="1" x14ac:dyDescent="0.15">
      <c r="A32" s="113"/>
      <c r="B32" s="141"/>
      <c r="C32" s="142"/>
      <c r="D32" s="79"/>
      <c r="E32" s="109"/>
      <c r="F32" s="80"/>
      <c r="G32" s="81"/>
      <c r="H32" s="81"/>
      <c r="I32" s="81"/>
      <c r="J32" s="81"/>
      <c r="K32" s="81"/>
      <c r="L32" s="81"/>
      <c r="M32" s="81"/>
      <c r="N32" s="81"/>
      <c r="O32" s="81"/>
      <c r="P32" s="82"/>
      <c r="Q32" s="83"/>
      <c r="R32" s="81"/>
      <c r="S32" s="81"/>
      <c r="T32" s="81"/>
      <c r="U32" s="81"/>
      <c r="V32" s="81"/>
      <c r="W32" s="81"/>
      <c r="X32" s="81"/>
      <c r="Y32" s="81"/>
      <c r="Z32" s="81"/>
    </row>
    <row r="33" spans="2:26" ht="18" customHeight="1" x14ac:dyDescent="0.15">
      <c r="B33" s="139" t="s">
        <v>38</v>
      </c>
      <c r="C33" s="140"/>
      <c r="D33" s="84"/>
      <c r="E33" s="110"/>
      <c r="F33" s="85"/>
      <c r="G33" s="86"/>
      <c r="H33" s="86"/>
      <c r="I33" s="86"/>
      <c r="J33" s="86"/>
      <c r="K33" s="86"/>
      <c r="L33" s="86"/>
      <c r="M33" s="86"/>
      <c r="N33" s="86"/>
      <c r="O33" s="86"/>
      <c r="P33" s="87"/>
      <c r="Q33" s="88"/>
      <c r="R33" s="86"/>
      <c r="S33" s="86"/>
      <c r="T33" s="86"/>
      <c r="U33" s="86"/>
      <c r="V33" s="86"/>
      <c r="W33" s="86"/>
      <c r="X33" s="86"/>
      <c r="Y33" s="86"/>
      <c r="Z33" s="86"/>
    </row>
    <row r="34" spans="2:26" ht="18" customHeight="1" x14ac:dyDescent="0.15">
      <c r="B34" s="141"/>
      <c r="C34" s="142"/>
      <c r="D34" s="74"/>
      <c r="E34" s="108"/>
      <c r="F34" s="75"/>
      <c r="G34" s="76"/>
      <c r="H34" s="76"/>
      <c r="I34" s="76"/>
      <c r="J34" s="76"/>
      <c r="K34" s="76"/>
      <c r="L34" s="76"/>
      <c r="M34" s="76"/>
      <c r="N34" s="76"/>
      <c r="O34" s="76"/>
      <c r="P34" s="77"/>
      <c r="Q34" s="78"/>
      <c r="R34" s="76"/>
      <c r="S34" s="76"/>
      <c r="T34" s="76"/>
      <c r="U34" s="76"/>
      <c r="V34" s="76"/>
      <c r="W34" s="76"/>
      <c r="X34" s="76"/>
      <c r="Y34" s="76"/>
      <c r="Z34" s="76"/>
    </row>
    <row r="35" spans="2:26" ht="18" customHeight="1" x14ac:dyDescent="0.15">
      <c r="B35" s="141"/>
      <c r="C35" s="142"/>
      <c r="D35" s="74"/>
      <c r="E35" s="108"/>
      <c r="F35" s="75"/>
      <c r="G35" s="76"/>
      <c r="H35" s="76"/>
      <c r="I35" s="76"/>
      <c r="J35" s="76"/>
      <c r="K35" s="76"/>
      <c r="L35" s="76"/>
      <c r="M35" s="76"/>
      <c r="N35" s="76"/>
      <c r="O35" s="76"/>
      <c r="P35" s="77"/>
      <c r="Q35" s="78"/>
      <c r="R35" s="76"/>
      <c r="S35" s="76"/>
      <c r="T35" s="76"/>
      <c r="U35" s="76"/>
      <c r="V35" s="76"/>
      <c r="W35" s="76"/>
      <c r="X35" s="76"/>
      <c r="Y35" s="76"/>
      <c r="Z35" s="76"/>
    </row>
    <row r="36" spans="2:26" ht="18" customHeight="1" x14ac:dyDescent="0.15">
      <c r="B36" s="141"/>
      <c r="C36" s="142"/>
      <c r="D36" s="74"/>
      <c r="E36" s="108"/>
      <c r="F36" s="75"/>
      <c r="G36" s="76"/>
      <c r="H36" s="76"/>
      <c r="I36" s="76"/>
      <c r="J36" s="76"/>
      <c r="K36" s="76"/>
      <c r="L36" s="76"/>
      <c r="M36" s="76"/>
      <c r="N36" s="76"/>
      <c r="O36" s="76"/>
      <c r="P36" s="77"/>
      <c r="Q36" s="78"/>
      <c r="R36" s="76"/>
      <c r="S36" s="76"/>
      <c r="T36" s="76"/>
      <c r="U36" s="76"/>
      <c r="V36" s="76"/>
      <c r="W36" s="76"/>
      <c r="X36" s="76"/>
      <c r="Y36" s="76"/>
      <c r="Z36" s="76"/>
    </row>
    <row r="37" spans="2:26" ht="18" customHeight="1" x14ac:dyDescent="0.15">
      <c r="B37" s="141"/>
      <c r="C37" s="142"/>
      <c r="D37" s="74"/>
      <c r="E37" s="108"/>
      <c r="F37" s="75"/>
      <c r="G37" s="76"/>
      <c r="H37" s="76"/>
      <c r="I37" s="76"/>
      <c r="J37" s="76"/>
      <c r="K37" s="76"/>
      <c r="L37" s="76"/>
      <c r="M37" s="76"/>
      <c r="N37" s="76"/>
      <c r="O37" s="76"/>
      <c r="P37" s="77"/>
      <c r="Q37" s="78"/>
      <c r="R37" s="76"/>
      <c r="S37" s="76"/>
      <c r="T37" s="76"/>
      <c r="U37" s="76"/>
      <c r="V37" s="76"/>
      <c r="W37" s="76"/>
      <c r="X37" s="76"/>
      <c r="Y37" s="76"/>
      <c r="Z37" s="76"/>
    </row>
    <row r="38" spans="2:26" ht="18" customHeight="1" x14ac:dyDescent="0.15">
      <c r="B38" s="141"/>
      <c r="C38" s="142"/>
      <c r="D38" s="74"/>
      <c r="E38" s="108"/>
      <c r="F38" s="75"/>
      <c r="G38" s="76"/>
      <c r="H38" s="76"/>
      <c r="I38" s="76"/>
      <c r="J38" s="76"/>
      <c r="K38" s="76"/>
      <c r="L38" s="76"/>
      <c r="M38" s="76"/>
      <c r="N38" s="76"/>
      <c r="O38" s="76"/>
      <c r="P38" s="77"/>
      <c r="Q38" s="78"/>
      <c r="R38" s="76"/>
      <c r="S38" s="76"/>
      <c r="T38" s="76"/>
      <c r="U38" s="76"/>
      <c r="V38" s="76"/>
      <c r="W38" s="76"/>
      <c r="X38" s="76"/>
      <c r="Y38" s="76"/>
      <c r="Z38" s="76"/>
    </row>
    <row r="39" spans="2:26" ht="18" customHeight="1" x14ac:dyDescent="0.15">
      <c r="B39" s="141"/>
      <c r="C39" s="142"/>
      <c r="D39" s="74"/>
      <c r="E39" s="108"/>
      <c r="F39" s="75"/>
      <c r="G39" s="76"/>
      <c r="H39" s="76"/>
      <c r="I39" s="76"/>
      <c r="J39" s="76"/>
      <c r="K39" s="76"/>
      <c r="L39" s="76"/>
      <c r="M39" s="76"/>
      <c r="N39" s="76"/>
      <c r="O39" s="76"/>
      <c r="P39" s="77"/>
      <c r="Q39" s="78"/>
      <c r="R39" s="76"/>
      <c r="S39" s="76"/>
      <c r="T39" s="76"/>
      <c r="U39" s="76"/>
      <c r="V39" s="76"/>
      <c r="W39" s="76"/>
      <c r="X39" s="76"/>
      <c r="Y39" s="76"/>
      <c r="Z39" s="76"/>
    </row>
    <row r="40" spans="2:26" ht="18" customHeight="1" x14ac:dyDescent="0.15">
      <c r="B40" s="141"/>
      <c r="C40" s="142"/>
      <c r="D40" s="74"/>
      <c r="E40" s="108"/>
      <c r="F40" s="75"/>
      <c r="G40" s="76"/>
      <c r="H40" s="76"/>
      <c r="I40" s="76"/>
      <c r="J40" s="76"/>
      <c r="K40" s="76"/>
      <c r="L40" s="76"/>
      <c r="M40" s="76"/>
      <c r="N40" s="76"/>
      <c r="O40" s="76"/>
      <c r="P40" s="77"/>
      <c r="Q40" s="78"/>
      <c r="R40" s="76"/>
      <c r="S40" s="76"/>
      <c r="T40" s="76"/>
      <c r="U40" s="76"/>
      <c r="V40" s="76"/>
      <c r="W40" s="76"/>
      <c r="X40" s="76"/>
      <c r="Y40" s="76"/>
      <c r="Z40" s="76"/>
    </row>
    <row r="41" spans="2:26" ht="18" customHeight="1" x14ac:dyDescent="0.15">
      <c r="B41" s="141"/>
      <c r="C41" s="142"/>
      <c r="D41" s="74"/>
      <c r="E41" s="108"/>
      <c r="F41" s="75"/>
      <c r="G41" s="76"/>
      <c r="H41" s="76"/>
      <c r="I41" s="76"/>
      <c r="J41" s="76"/>
      <c r="K41" s="76"/>
      <c r="L41" s="76"/>
      <c r="M41" s="76"/>
      <c r="N41" s="76"/>
      <c r="O41" s="76"/>
      <c r="P41" s="77"/>
      <c r="Q41" s="78"/>
      <c r="R41" s="76"/>
      <c r="S41" s="76"/>
      <c r="T41" s="76"/>
      <c r="U41" s="76"/>
      <c r="V41" s="76"/>
      <c r="W41" s="76"/>
      <c r="X41" s="76"/>
      <c r="Y41" s="76"/>
      <c r="Z41" s="76"/>
    </row>
    <row r="42" spans="2:26" ht="18" customHeight="1" x14ac:dyDescent="0.15">
      <c r="B42" s="153"/>
      <c r="C42" s="154"/>
      <c r="D42" s="79"/>
      <c r="E42" s="111"/>
      <c r="F42" s="80"/>
      <c r="G42" s="81"/>
      <c r="H42" s="81"/>
      <c r="I42" s="81"/>
      <c r="J42" s="81"/>
      <c r="K42" s="81"/>
      <c r="L42" s="81"/>
      <c r="M42" s="81"/>
      <c r="N42" s="81"/>
      <c r="O42" s="81"/>
      <c r="P42" s="82"/>
      <c r="Q42" s="83"/>
      <c r="R42" s="81"/>
      <c r="S42" s="81"/>
      <c r="T42" s="81"/>
      <c r="U42" s="81"/>
      <c r="V42" s="81"/>
      <c r="W42" s="81"/>
      <c r="X42" s="81"/>
      <c r="Y42" s="81"/>
      <c r="Z42" s="81"/>
    </row>
    <row r="43" spans="2:26" ht="18" customHeight="1" x14ac:dyDescent="0.15">
      <c r="B43" s="155" t="s">
        <v>39</v>
      </c>
      <c r="C43" s="156"/>
      <c r="D43" s="74"/>
      <c r="E43" s="108"/>
      <c r="F43" s="75"/>
      <c r="G43" s="76"/>
      <c r="H43" s="76"/>
      <c r="I43" s="76"/>
      <c r="J43" s="76"/>
      <c r="K43" s="76"/>
      <c r="L43" s="76"/>
      <c r="M43" s="76"/>
      <c r="N43" s="76"/>
      <c r="O43" s="76"/>
      <c r="P43" s="77"/>
      <c r="Q43" s="78"/>
      <c r="R43" s="76"/>
      <c r="S43" s="76"/>
      <c r="T43" s="76"/>
      <c r="U43" s="76"/>
      <c r="V43" s="76"/>
      <c r="W43" s="76"/>
      <c r="X43" s="76"/>
      <c r="Y43" s="76"/>
      <c r="Z43" s="76"/>
    </row>
    <row r="44" spans="2:26" ht="18" customHeight="1" x14ac:dyDescent="0.15">
      <c r="B44" s="155"/>
      <c r="C44" s="156"/>
      <c r="D44" s="74"/>
      <c r="E44" s="108"/>
      <c r="F44" s="75"/>
      <c r="G44" s="76"/>
      <c r="H44" s="76"/>
      <c r="I44" s="76"/>
      <c r="J44" s="76"/>
      <c r="K44" s="76"/>
      <c r="L44" s="76"/>
      <c r="M44" s="76"/>
      <c r="N44" s="76"/>
      <c r="O44" s="76"/>
      <c r="P44" s="77"/>
      <c r="Q44" s="78"/>
      <c r="R44" s="76"/>
      <c r="S44" s="76"/>
      <c r="T44" s="76"/>
      <c r="U44" s="76"/>
      <c r="V44" s="76"/>
      <c r="W44" s="76"/>
      <c r="X44" s="76"/>
      <c r="Y44" s="76"/>
      <c r="Z44" s="76"/>
    </row>
    <row r="45" spans="2:26" ht="18" customHeight="1" x14ac:dyDescent="0.15">
      <c r="B45" s="155"/>
      <c r="C45" s="156"/>
      <c r="D45" s="74"/>
      <c r="E45" s="108"/>
      <c r="F45" s="75"/>
      <c r="G45" s="76"/>
      <c r="H45" s="76"/>
      <c r="I45" s="76"/>
      <c r="J45" s="76"/>
      <c r="K45" s="76"/>
      <c r="L45" s="76"/>
      <c r="M45" s="76"/>
      <c r="N45" s="76"/>
      <c r="O45" s="76"/>
      <c r="P45" s="77"/>
      <c r="Q45" s="78"/>
      <c r="R45" s="76"/>
      <c r="S45" s="76"/>
      <c r="T45" s="76"/>
      <c r="U45" s="76"/>
      <c r="V45" s="76"/>
      <c r="W45" s="76"/>
      <c r="X45" s="76"/>
      <c r="Y45" s="76"/>
      <c r="Z45" s="76"/>
    </row>
    <row r="46" spans="2:26" ht="18" customHeight="1" x14ac:dyDescent="0.15">
      <c r="B46" s="155"/>
      <c r="C46" s="156"/>
      <c r="D46" s="74"/>
      <c r="E46" s="108"/>
      <c r="F46" s="75"/>
      <c r="G46" s="76"/>
      <c r="H46" s="76"/>
      <c r="I46" s="76"/>
      <c r="J46" s="76"/>
      <c r="K46" s="76"/>
      <c r="L46" s="76"/>
      <c r="M46" s="76"/>
      <c r="N46" s="76"/>
      <c r="O46" s="76"/>
      <c r="P46" s="77"/>
      <c r="Q46" s="78"/>
      <c r="R46" s="76"/>
      <c r="S46" s="76"/>
      <c r="T46" s="76"/>
      <c r="U46" s="76"/>
      <c r="V46" s="76"/>
      <c r="W46" s="76"/>
      <c r="X46" s="76"/>
      <c r="Y46" s="76"/>
      <c r="Z46" s="76"/>
    </row>
    <row r="47" spans="2:26" ht="18" customHeight="1" x14ac:dyDescent="0.15">
      <c r="B47" s="155"/>
      <c r="C47" s="156"/>
      <c r="D47" s="74"/>
      <c r="E47" s="108"/>
      <c r="F47" s="75"/>
      <c r="G47" s="76"/>
      <c r="H47" s="76"/>
      <c r="I47" s="76"/>
      <c r="J47" s="76"/>
      <c r="K47" s="76"/>
      <c r="L47" s="76"/>
      <c r="M47" s="76"/>
      <c r="N47" s="76"/>
      <c r="O47" s="76"/>
      <c r="P47" s="77"/>
      <c r="Q47" s="78"/>
      <c r="R47" s="76"/>
      <c r="S47" s="76"/>
      <c r="T47" s="76"/>
      <c r="U47" s="76"/>
      <c r="V47" s="76"/>
      <c r="W47" s="76"/>
      <c r="X47" s="76"/>
      <c r="Y47" s="76"/>
      <c r="Z47" s="76"/>
    </row>
    <row r="48" spans="2:26" ht="18" customHeight="1" x14ac:dyDescent="0.15">
      <c r="B48" s="155"/>
      <c r="C48" s="156"/>
      <c r="D48" s="74"/>
      <c r="E48" s="108"/>
      <c r="F48" s="75"/>
      <c r="G48" s="76"/>
      <c r="H48" s="76"/>
      <c r="I48" s="76"/>
      <c r="J48" s="76"/>
      <c r="K48" s="76"/>
      <c r="L48" s="76"/>
      <c r="M48" s="76"/>
      <c r="N48" s="76"/>
      <c r="O48" s="76"/>
      <c r="P48" s="77"/>
      <c r="Q48" s="78"/>
      <c r="R48" s="76"/>
      <c r="S48" s="76"/>
      <c r="T48" s="76"/>
      <c r="U48" s="76"/>
      <c r="V48" s="76"/>
      <c r="W48" s="76"/>
      <c r="X48" s="76"/>
      <c r="Y48" s="76"/>
      <c r="Z48" s="76"/>
    </row>
    <row r="49" spans="1:26" ht="18" customHeight="1" x14ac:dyDescent="0.15">
      <c r="A49" s="113"/>
      <c r="B49" s="155"/>
      <c r="C49" s="156"/>
      <c r="D49" s="74"/>
      <c r="E49" s="108"/>
      <c r="F49" s="75"/>
      <c r="G49" s="76"/>
      <c r="H49" s="76"/>
      <c r="I49" s="76"/>
      <c r="J49" s="76"/>
      <c r="K49" s="76"/>
      <c r="L49" s="76"/>
      <c r="M49" s="76"/>
      <c r="N49" s="76"/>
      <c r="O49" s="76"/>
      <c r="P49" s="77"/>
      <c r="Q49" s="78"/>
      <c r="R49" s="76"/>
      <c r="S49" s="76"/>
      <c r="T49" s="76"/>
      <c r="U49" s="76"/>
      <c r="V49" s="76"/>
      <c r="W49" s="76"/>
      <c r="X49" s="76"/>
      <c r="Y49" s="76"/>
      <c r="Z49" s="76"/>
    </row>
    <row r="50" spans="1:26" ht="18" customHeight="1" x14ac:dyDescent="0.15">
      <c r="A50" s="113"/>
      <c r="B50" s="155"/>
      <c r="C50" s="156"/>
      <c r="D50" s="74"/>
      <c r="E50" s="108"/>
      <c r="F50" s="75"/>
      <c r="G50" s="76"/>
      <c r="H50" s="76"/>
      <c r="I50" s="76"/>
      <c r="J50" s="76"/>
      <c r="K50" s="76"/>
      <c r="L50" s="76"/>
      <c r="M50" s="76"/>
      <c r="N50" s="76"/>
      <c r="O50" s="76"/>
      <c r="P50" s="77"/>
      <c r="Q50" s="78"/>
      <c r="R50" s="76"/>
      <c r="S50" s="76"/>
      <c r="T50" s="76"/>
      <c r="U50" s="76"/>
      <c r="V50" s="76"/>
      <c r="W50" s="76"/>
      <c r="X50" s="76"/>
      <c r="Y50" s="76"/>
      <c r="Z50" s="76"/>
    </row>
    <row r="51" spans="1:26" ht="18" customHeight="1" x14ac:dyDescent="0.15">
      <c r="A51" s="113"/>
      <c r="B51" s="155"/>
      <c r="C51" s="156"/>
      <c r="D51" s="74"/>
      <c r="E51" s="108"/>
      <c r="F51" s="75"/>
      <c r="G51" s="76"/>
      <c r="H51" s="76"/>
      <c r="I51" s="76"/>
      <c r="J51" s="76"/>
      <c r="K51" s="76"/>
      <c r="L51" s="76"/>
      <c r="M51" s="76"/>
      <c r="N51" s="76"/>
      <c r="O51" s="76"/>
      <c r="P51" s="77"/>
      <c r="Q51" s="78"/>
      <c r="R51" s="76"/>
      <c r="S51" s="76"/>
      <c r="T51" s="76"/>
      <c r="U51" s="76"/>
      <c r="V51" s="76"/>
      <c r="W51" s="76"/>
      <c r="X51" s="76"/>
      <c r="Y51" s="76"/>
      <c r="Z51" s="76"/>
    </row>
    <row r="52" spans="1:26" ht="18" customHeight="1" thickBot="1" x14ac:dyDescent="0.2">
      <c r="A52" s="113"/>
      <c r="B52" s="157"/>
      <c r="C52" s="158"/>
      <c r="D52" s="79"/>
      <c r="E52" s="111"/>
      <c r="F52" s="89"/>
      <c r="G52" s="90"/>
      <c r="H52" s="90"/>
      <c r="I52" s="90"/>
      <c r="J52" s="90"/>
      <c r="K52" s="90"/>
      <c r="L52" s="90"/>
      <c r="M52" s="90"/>
      <c r="N52" s="90"/>
      <c r="O52" s="90"/>
      <c r="P52" s="91"/>
      <c r="Q52" s="83"/>
      <c r="R52" s="81"/>
      <c r="S52" s="81"/>
      <c r="T52" s="81"/>
      <c r="U52" s="81"/>
      <c r="V52" s="81"/>
      <c r="W52" s="81"/>
      <c r="X52" s="81"/>
      <c r="Y52" s="81"/>
      <c r="Z52" s="81"/>
    </row>
    <row r="53" spans="1:26" ht="18" customHeight="1" x14ac:dyDescent="0.15">
      <c r="A53" s="112"/>
      <c r="B53" s="32"/>
      <c r="C53" s="32"/>
      <c r="D53" s="32"/>
      <c r="E53" s="32"/>
      <c r="F53" s="32"/>
      <c r="G53" s="120"/>
      <c r="H53" s="120"/>
      <c r="I53" s="120"/>
      <c r="J53" s="120"/>
      <c r="K53" s="120"/>
      <c r="L53" s="120"/>
      <c r="M53" s="120"/>
      <c r="N53" s="120"/>
      <c r="O53" s="120"/>
      <c r="P53" s="32"/>
      <c r="Q53" s="32"/>
      <c r="R53" s="32"/>
      <c r="S53" s="32"/>
      <c r="T53" s="32"/>
      <c r="U53" s="32"/>
      <c r="V53" s="32"/>
      <c r="W53" s="120"/>
      <c r="X53" s="120"/>
      <c r="Y53" s="120"/>
      <c r="Z53" s="120"/>
    </row>
    <row r="54" spans="1:26" ht="18.75" customHeight="1" x14ac:dyDescent="0.15">
      <c r="A54" s="113" t="s">
        <v>40</v>
      </c>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row>
    <row r="55" spans="1:26" ht="18.75" customHeight="1" x14ac:dyDescent="0.15">
      <c r="A55" s="113"/>
      <c r="B55" s="162" t="s">
        <v>41</v>
      </c>
      <c r="C55" s="163"/>
      <c r="D55" s="115" t="s">
        <v>42</v>
      </c>
      <c r="E55" s="113"/>
      <c r="F55" s="113"/>
      <c r="G55" s="113"/>
      <c r="H55" s="113"/>
      <c r="I55" s="113"/>
      <c r="J55" s="113"/>
      <c r="K55" s="113"/>
      <c r="L55" s="113"/>
      <c r="M55" s="113"/>
      <c r="N55" s="113"/>
      <c r="O55" s="113"/>
      <c r="P55" s="113"/>
      <c r="Q55" s="113"/>
      <c r="R55" s="113"/>
      <c r="S55" s="113"/>
      <c r="T55" s="113"/>
      <c r="U55" s="113"/>
      <c r="V55" s="113"/>
      <c r="W55" s="113"/>
      <c r="X55" s="113"/>
      <c r="Y55" s="113"/>
      <c r="Z55" s="113"/>
    </row>
    <row r="56" spans="1:26" ht="79.900000000000006" customHeight="1" x14ac:dyDescent="0.15">
      <c r="A56" s="113"/>
      <c r="B56" s="159" t="s">
        <v>43</v>
      </c>
      <c r="C56" s="92" t="s">
        <v>16</v>
      </c>
      <c r="D56" s="57" t="s">
        <v>138</v>
      </c>
      <c r="E56" s="93"/>
      <c r="F56" s="93"/>
      <c r="G56" s="93"/>
      <c r="H56" s="93"/>
      <c r="I56" s="93"/>
      <c r="J56" s="93"/>
      <c r="K56" s="93"/>
      <c r="L56" s="93"/>
      <c r="M56" s="93"/>
      <c r="N56" s="93"/>
      <c r="O56" s="93"/>
      <c r="P56" s="93"/>
      <c r="Q56" s="93"/>
      <c r="R56" s="93"/>
      <c r="S56" s="93"/>
      <c r="T56" s="93"/>
      <c r="U56" s="93"/>
      <c r="V56" s="93"/>
      <c r="W56" s="93"/>
      <c r="X56" s="93"/>
      <c r="Y56" s="93"/>
      <c r="Z56" s="93"/>
    </row>
    <row r="57" spans="1:26" ht="79.900000000000006" customHeight="1" x14ac:dyDescent="0.15">
      <c r="A57" s="113"/>
      <c r="B57" s="160"/>
      <c r="C57" s="94" t="s">
        <v>44</v>
      </c>
      <c r="D57" s="103" t="s">
        <v>139</v>
      </c>
      <c r="E57" s="95"/>
      <c r="F57" s="95"/>
      <c r="G57" s="95"/>
      <c r="H57" s="95"/>
      <c r="I57" s="95"/>
      <c r="J57" s="95"/>
      <c r="K57" s="95"/>
      <c r="L57" s="95"/>
      <c r="M57" s="95"/>
      <c r="N57" s="95"/>
      <c r="O57" s="95"/>
      <c r="P57" s="95"/>
      <c r="Q57" s="95"/>
      <c r="R57" s="95"/>
      <c r="S57" s="95"/>
      <c r="T57" s="95"/>
      <c r="U57" s="95"/>
      <c r="V57" s="95"/>
      <c r="W57" s="95"/>
      <c r="X57" s="95"/>
      <c r="Y57" s="95"/>
      <c r="Z57" s="95"/>
    </row>
    <row r="58" spans="1:26" ht="79.900000000000006" customHeight="1" x14ac:dyDescent="0.15">
      <c r="A58" s="113"/>
      <c r="B58" s="159" t="s">
        <v>45</v>
      </c>
      <c r="C58" s="96" t="s">
        <v>17</v>
      </c>
      <c r="D58" s="131" t="s">
        <v>140</v>
      </c>
      <c r="E58" s="95"/>
      <c r="F58" s="95"/>
      <c r="G58" s="95"/>
      <c r="H58" s="95"/>
      <c r="I58" s="95"/>
      <c r="J58" s="95"/>
      <c r="K58" s="95"/>
      <c r="L58" s="95"/>
      <c r="M58" s="95"/>
      <c r="N58" s="95"/>
      <c r="O58" s="95"/>
      <c r="P58" s="95"/>
      <c r="Q58" s="95"/>
      <c r="R58" s="95"/>
      <c r="S58" s="95"/>
      <c r="T58" s="95"/>
      <c r="U58" s="95"/>
      <c r="V58" s="95"/>
      <c r="W58" s="95"/>
      <c r="X58" s="95"/>
      <c r="Y58" s="95"/>
      <c r="Z58" s="95"/>
    </row>
    <row r="59" spans="1:26" ht="79.900000000000006" customHeight="1" x14ac:dyDescent="0.15">
      <c r="A59" s="113"/>
      <c r="B59" s="161"/>
      <c r="C59" s="97" t="s">
        <v>18</v>
      </c>
      <c r="D59" s="104" t="s">
        <v>141</v>
      </c>
      <c r="E59" s="95"/>
      <c r="F59" s="95"/>
      <c r="G59" s="95"/>
      <c r="H59" s="95"/>
      <c r="I59" s="95"/>
      <c r="J59" s="95"/>
      <c r="K59" s="95"/>
      <c r="L59" s="95"/>
      <c r="M59" s="95"/>
      <c r="N59" s="95"/>
      <c r="O59" s="95"/>
      <c r="P59" s="95"/>
      <c r="Q59" s="95"/>
      <c r="R59" s="95"/>
      <c r="S59" s="95"/>
      <c r="T59" s="95"/>
      <c r="U59" s="95"/>
      <c r="V59" s="95"/>
      <c r="W59" s="95"/>
      <c r="X59" s="95"/>
      <c r="Y59" s="95"/>
      <c r="Z59" s="95"/>
    </row>
    <row r="60" spans="1:26" ht="79.900000000000006" customHeight="1" x14ac:dyDescent="0.15">
      <c r="A60" s="113"/>
      <c r="B60" s="159" t="s">
        <v>46</v>
      </c>
      <c r="C60" s="96" t="s">
        <v>19</v>
      </c>
      <c r="D60" s="105" t="s">
        <v>142</v>
      </c>
      <c r="E60" s="95"/>
      <c r="F60" s="95"/>
      <c r="G60" s="95"/>
      <c r="H60" s="95"/>
      <c r="I60" s="95"/>
      <c r="J60" s="95"/>
      <c r="K60" s="95"/>
      <c r="L60" s="95"/>
      <c r="M60" s="95"/>
      <c r="N60" s="95"/>
      <c r="O60" s="95"/>
      <c r="P60" s="95"/>
      <c r="Q60" s="95"/>
      <c r="R60" s="95"/>
      <c r="S60" s="95"/>
      <c r="T60" s="95"/>
      <c r="U60" s="95"/>
      <c r="V60" s="95"/>
      <c r="W60" s="95"/>
      <c r="X60" s="95"/>
      <c r="Y60" s="95"/>
      <c r="Z60" s="95"/>
    </row>
    <row r="61" spans="1:26" ht="79.900000000000006" customHeight="1" x14ac:dyDescent="0.15">
      <c r="A61" s="113"/>
      <c r="B61" s="161"/>
      <c r="C61" s="98" t="s">
        <v>20</v>
      </c>
      <c r="D61" s="103" t="s">
        <v>143</v>
      </c>
      <c r="E61" s="95"/>
      <c r="F61" s="95"/>
      <c r="G61" s="95"/>
      <c r="H61" s="95"/>
      <c r="I61" s="95"/>
      <c r="J61" s="95"/>
      <c r="K61" s="95"/>
      <c r="L61" s="95"/>
      <c r="M61" s="95"/>
      <c r="N61" s="95"/>
      <c r="O61" s="95"/>
      <c r="P61" s="95"/>
      <c r="Q61" s="95"/>
      <c r="R61" s="95"/>
      <c r="S61" s="95"/>
      <c r="T61" s="95"/>
      <c r="U61" s="95"/>
      <c r="V61" s="95"/>
      <c r="W61" s="95"/>
      <c r="X61" s="95"/>
      <c r="Y61" s="95"/>
      <c r="Z61" s="95"/>
    </row>
    <row r="62" spans="1:26" ht="79.900000000000006" customHeight="1" x14ac:dyDescent="0.15">
      <c r="A62" s="113"/>
      <c r="B62" s="159" t="s">
        <v>47</v>
      </c>
      <c r="C62" s="92" t="s">
        <v>25</v>
      </c>
      <c r="D62" s="57" t="s">
        <v>144</v>
      </c>
      <c r="E62" s="95"/>
      <c r="F62" s="95"/>
      <c r="G62" s="95"/>
      <c r="H62" s="95"/>
      <c r="I62" s="95"/>
      <c r="J62" s="95"/>
      <c r="K62" s="95"/>
      <c r="L62" s="95"/>
      <c r="M62" s="95"/>
      <c r="N62" s="95"/>
      <c r="O62" s="95"/>
      <c r="P62" s="95"/>
      <c r="Q62" s="95"/>
      <c r="R62" s="95"/>
      <c r="S62" s="95"/>
      <c r="T62" s="95"/>
      <c r="U62" s="95"/>
      <c r="V62" s="95"/>
      <c r="W62" s="95"/>
      <c r="X62" s="95"/>
      <c r="Y62" s="95"/>
      <c r="Z62" s="95"/>
    </row>
    <row r="63" spans="1:26" ht="79.900000000000006" customHeight="1" x14ac:dyDescent="0.15">
      <c r="A63" s="113"/>
      <c r="B63" s="161"/>
      <c r="C63" s="97" t="s">
        <v>26</v>
      </c>
      <c r="D63" s="132" t="s">
        <v>145</v>
      </c>
      <c r="E63" s="95"/>
      <c r="F63" s="95"/>
      <c r="G63" s="95"/>
      <c r="H63" s="95"/>
      <c r="I63" s="95"/>
      <c r="J63" s="95"/>
      <c r="K63" s="95"/>
      <c r="L63" s="95"/>
      <c r="M63" s="95"/>
      <c r="N63" s="95"/>
      <c r="O63" s="95"/>
      <c r="P63" s="95"/>
      <c r="Q63" s="95"/>
      <c r="R63" s="95"/>
      <c r="S63" s="95"/>
      <c r="T63" s="95"/>
      <c r="U63" s="95"/>
      <c r="V63" s="95"/>
      <c r="W63" s="95"/>
      <c r="X63" s="95"/>
      <c r="Y63" s="95"/>
      <c r="Z63" s="95"/>
    </row>
    <row r="64" spans="1:26" ht="79.900000000000006" customHeight="1" x14ac:dyDescent="0.15">
      <c r="A64" s="113"/>
      <c r="B64" s="159" t="s">
        <v>48</v>
      </c>
      <c r="C64" s="96" t="s">
        <v>49</v>
      </c>
      <c r="D64" s="57" t="s">
        <v>146</v>
      </c>
      <c r="E64" s="95"/>
      <c r="F64" s="95"/>
      <c r="G64" s="95"/>
      <c r="H64" s="95"/>
      <c r="I64" s="95"/>
      <c r="J64" s="95"/>
      <c r="K64" s="95"/>
      <c r="L64" s="95"/>
      <c r="M64" s="95"/>
      <c r="N64" s="95"/>
      <c r="O64" s="95"/>
      <c r="P64" s="95"/>
      <c r="Q64" s="95"/>
      <c r="R64" s="95"/>
      <c r="S64" s="95"/>
      <c r="T64" s="95"/>
      <c r="U64" s="95"/>
      <c r="V64" s="95"/>
      <c r="W64" s="95"/>
      <c r="X64" s="95"/>
      <c r="Y64" s="95"/>
      <c r="Z64" s="95"/>
    </row>
    <row r="65" spans="1:26" ht="79.900000000000006" customHeight="1" x14ac:dyDescent="0.15">
      <c r="A65" s="113"/>
      <c r="B65" s="160"/>
      <c r="C65" s="99" t="s">
        <v>23</v>
      </c>
      <c r="D65" s="133" t="s">
        <v>147</v>
      </c>
      <c r="E65" s="100"/>
      <c r="F65" s="100"/>
      <c r="G65" s="100"/>
      <c r="H65" s="100"/>
      <c r="I65" s="100"/>
      <c r="J65" s="100"/>
      <c r="K65" s="100"/>
      <c r="L65" s="100"/>
      <c r="M65" s="100"/>
      <c r="N65" s="100"/>
      <c r="O65" s="100"/>
      <c r="P65" s="100"/>
      <c r="Q65" s="100"/>
      <c r="R65" s="100"/>
      <c r="S65" s="100"/>
      <c r="T65" s="100"/>
      <c r="U65" s="100"/>
      <c r="V65" s="100"/>
      <c r="W65" s="100"/>
      <c r="X65" s="100"/>
      <c r="Y65" s="100"/>
      <c r="Z65" s="100"/>
    </row>
    <row r="66" spans="1:26" ht="79.900000000000006" customHeight="1" x14ac:dyDescent="0.15">
      <c r="A66" s="113"/>
      <c r="B66" s="161"/>
      <c r="C66" s="98" t="s">
        <v>24</v>
      </c>
      <c r="D66" s="134" t="s">
        <v>148</v>
      </c>
      <c r="E66" s="100"/>
      <c r="F66" s="100"/>
      <c r="G66" s="100"/>
      <c r="H66" s="100"/>
      <c r="I66" s="100"/>
      <c r="J66" s="100"/>
      <c r="K66" s="100"/>
      <c r="L66" s="100"/>
      <c r="M66" s="100"/>
      <c r="N66" s="100"/>
      <c r="O66" s="100"/>
      <c r="P66" s="100"/>
      <c r="Q66" s="100"/>
      <c r="R66" s="100"/>
      <c r="S66" s="100"/>
      <c r="T66" s="100"/>
      <c r="U66" s="100"/>
      <c r="V66" s="100"/>
      <c r="W66" s="100"/>
      <c r="X66" s="100"/>
      <c r="Y66" s="100"/>
      <c r="Z66" s="100"/>
    </row>
    <row r="67" spans="1:26" ht="6" customHeight="1" x14ac:dyDescent="0.15">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row>
    <row r="68" spans="1:26" ht="18.75" customHeight="1" x14ac:dyDescent="0.15">
      <c r="A68" s="113" t="s">
        <v>50</v>
      </c>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row>
    <row r="69" spans="1:26" ht="81.75" customHeight="1" x14ac:dyDescent="0.15">
      <c r="A69" s="113"/>
      <c r="B69" s="12"/>
      <c r="C69" s="12"/>
      <c r="D69" s="56" t="s">
        <v>149</v>
      </c>
      <c r="E69" s="12"/>
      <c r="F69" s="12"/>
      <c r="G69" s="12"/>
      <c r="H69" s="12"/>
      <c r="I69" s="12"/>
      <c r="J69" s="12"/>
      <c r="K69" s="12"/>
      <c r="L69" s="12"/>
      <c r="M69" s="12"/>
      <c r="N69" s="12"/>
      <c r="O69" s="12"/>
      <c r="P69" s="12"/>
      <c r="Q69" s="12"/>
      <c r="R69" s="12"/>
      <c r="S69" s="12"/>
      <c r="T69" s="12"/>
      <c r="U69" s="12"/>
      <c r="V69" s="12"/>
      <c r="W69" s="12"/>
      <c r="X69" s="12"/>
      <c r="Y69" s="12"/>
      <c r="Z69" s="12"/>
    </row>
    <row r="72" spans="1:26" ht="18" customHeight="1" x14ac:dyDescent="0.15">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row>
  </sheetData>
  <mergeCells count="19">
    <mergeCell ref="B33:C42"/>
    <mergeCell ref="B43:C52"/>
    <mergeCell ref="B64:B66"/>
    <mergeCell ref="B62:B63"/>
    <mergeCell ref="B55:C55"/>
    <mergeCell ref="B60:B61"/>
    <mergeCell ref="B56:B57"/>
    <mergeCell ref="B58:B59"/>
    <mergeCell ref="B23:C32"/>
    <mergeCell ref="A1:Z1"/>
    <mergeCell ref="A9:B9"/>
    <mergeCell ref="A11:B11"/>
    <mergeCell ref="A13:B13"/>
    <mergeCell ref="A15:B15"/>
    <mergeCell ref="Y3:Z3"/>
    <mergeCell ref="A7:Z7"/>
    <mergeCell ref="B4:C4"/>
    <mergeCell ref="B5:C5"/>
    <mergeCell ref="F21:Z21"/>
  </mergeCells>
  <phoneticPr fontId="1"/>
  <conditionalFormatting sqref="D11">
    <cfRule type="expression" dxfId="8" priority="1">
      <formula>$D$9="学部・学科によって、修了要件は相違しない"</formula>
    </cfRule>
    <cfRule type="containsText" dxfId="7" priority="2" operator="containsText" text="学部・学科によって、修了要件は相違しない">
      <formula>NOT(ISERROR(SEARCH("学部・学科によって、修了要件は相違しない",D11)))</formula>
    </cfRule>
    <cfRule type="expression" dxfId="6"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F4301-0695-4EA3-A0D0-4950F4226896}">
  <sheetPr>
    <pageSetUpPr fitToPage="1"/>
  </sheetPr>
  <dimension ref="A1:AB72"/>
  <sheetViews>
    <sheetView showZeros="0" view="pageBreakPreview" zoomScaleNormal="100" zoomScaleSheetLayoutView="100" workbookViewId="0">
      <selection activeCell="P17" sqref="P17"/>
    </sheetView>
  </sheetViews>
  <sheetFormatPr defaultColWidth="9" defaultRowHeight="18.75" customHeight="1" x14ac:dyDescent="0.15"/>
  <cols>
    <col min="1" max="1" width="2.375" style="113" customWidth="1"/>
    <col min="2" max="2" width="28.25" style="113" customWidth="1"/>
    <col min="3" max="3" width="6.25" style="113" customWidth="1"/>
    <col min="4" max="4" width="80.75" style="113" customWidth="1"/>
    <col min="5" max="5" width="6.375" style="113" bestFit="1" customWidth="1"/>
    <col min="6" max="26" width="5.75" style="113" customWidth="1"/>
    <col min="27" max="27" width="9" style="113" customWidth="1"/>
    <col min="28" max="16384" width="9" style="113"/>
  </cols>
  <sheetData>
    <row r="1" spans="1:28" ht="18.75" customHeight="1" x14ac:dyDescent="0.15">
      <c r="A1" s="143" t="s">
        <v>0</v>
      </c>
      <c r="B1" s="143"/>
      <c r="C1" s="143"/>
      <c r="D1" s="143"/>
      <c r="E1" s="143"/>
      <c r="F1" s="143"/>
      <c r="G1" s="143"/>
      <c r="H1" s="143"/>
      <c r="I1" s="143"/>
      <c r="J1" s="143"/>
      <c r="K1" s="143"/>
      <c r="L1" s="143"/>
      <c r="M1" s="143"/>
      <c r="N1" s="143"/>
      <c r="O1" s="143"/>
      <c r="P1" s="143"/>
      <c r="Q1" s="143"/>
      <c r="R1" s="143"/>
      <c r="S1" s="143"/>
      <c r="T1" s="143"/>
      <c r="U1" s="143"/>
      <c r="V1" s="143"/>
      <c r="W1" s="143"/>
      <c r="X1" s="143"/>
      <c r="Y1" s="143"/>
      <c r="Z1" s="143"/>
    </row>
    <row r="3" spans="1:28" ht="18.600000000000001" customHeight="1" x14ac:dyDescent="0.15">
      <c r="Y3" s="143" t="s">
        <v>1</v>
      </c>
      <c r="Z3" s="143"/>
      <c r="AA3" s="7"/>
      <c r="AB3" s="9"/>
    </row>
    <row r="4" spans="1:28" ht="18.75" customHeight="1" x14ac:dyDescent="0.15">
      <c r="B4" s="148" t="s">
        <v>2</v>
      </c>
      <c r="C4" s="149"/>
      <c r="D4" s="59" t="s">
        <v>129</v>
      </c>
      <c r="P4" s="7"/>
      <c r="Q4" s="32"/>
      <c r="R4" s="32"/>
      <c r="S4" s="32"/>
      <c r="T4" s="32"/>
      <c r="U4" s="32"/>
      <c r="V4" s="32"/>
      <c r="W4" s="32"/>
      <c r="X4" s="32"/>
      <c r="Y4" s="32"/>
      <c r="Z4" s="32"/>
    </row>
    <row r="5" spans="1:28" ht="18.75" customHeight="1" x14ac:dyDescent="0.15">
      <c r="B5" s="148" t="s">
        <v>3</v>
      </c>
      <c r="C5" s="149"/>
      <c r="D5" s="59" t="s">
        <v>130</v>
      </c>
      <c r="P5" s="7"/>
      <c r="Q5" s="32"/>
      <c r="R5" s="32"/>
      <c r="S5" s="32"/>
      <c r="T5" s="32"/>
      <c r="U5" s="32"/>
      <c r="V5" s="32"/>
      <c r="W5" s="32"/>
      <c r="X5" s="32"/>
      <c r="Y5" s="32"/>
      <c r="Z5" s="32"/>
    </row>
    <row r="6" spans="1:28" ht="15" customHeight="1" x14ac:dyDescent="0.15">
      <c r="Q6" s="7"/>
      <c r="R6" s="128"/>
      <c r="S6" s="128"/>
      <c r="T6" s="128"/>
      <c r="U6" s="128"/>
      <c r="V6" s="128"/>
      <c r="W6" s="128"/>
      <c r="X6" s="128"/>
      <c r="Y6" s="128"/>
      <c r="Z6" s="128"/>
    </row>
    <row r="7" spans="1:28" ht="18" customHeight="1" x14ac:dyDescent="0.15">
      <c r="A7" s="147" t="s">
        <v>4</v>
      </c>
      <c r="B7" s="147"/>
      <c r="C7" s="147"/>
      <c r="D7" s="147"/>
      <c r="E7" s="147"/>
      <c r="F7" s="147"/>
      <c r="G7" s="147"/>
      <c r="H7" s="147"/>
      <c r="I7" s="147"/>
      <c r="J7" s="147"/>
      <c r="K7" s="147"/>
      <c r="L7" s="147"/>
      <c r="M7" s="147"/>
      <c r="N7" s="147"/>
      <c r="O7" s="147"/>
      <c r="P7" s="147"/>
      <c r="Q7" s="147"/>
      <c r="R7" s="147"/>
      <c r="S7" s="147"/>
      <c r="T7" s="147"/>
      <c r="U7" s="147"/>
      <c r="V7" s="147"/>
      <c r="W7" s="147"/>
      <c r="X7" s="147"/>
      <c r="Y7" s="147"/>
      <c r="Z7" s="147"/>
    </row>
    <row r="8" spans="1:28" ht="18" customHeight="1" x14ac:dyDescent="0.15">
      <c r="A8" s="127"/>
      <c r="B8" s="127"/>
      <c r="C8" s="127"/>
      <c r="D8" s="127"/>
      <c r="E8" s="127"/>
      <c r="F8" s="127"/>
      <c r="G8" s="127"/>
      <c r="H8" s="127"/>
      <c r="I8" s="127"/>
      <c r="J8" s="127"/>
      <c r="K8" s="127"/>
      <c r="L8" s="127"/>
      <c r="M8" s="127"/>
      <c r="N8" s="127"/>
      <c r="O8" s="127"/>
      <c r="P8" s="127"/>
      <c r="Q8" s="127"/>
      <c r="R8" s="127"/>
      <c r="S8" s="127"/>
      <c r="T8" s="127"/>
      <c r="U8" s="127"/>
      <c r="V8" s="127"/>
      <c r="W8" s="127"/>
      <c r="X8" s="127"/>
      <c r="Y8" s="127"/>
      <c r="Z8" s="127"/>
    </row>
    <row r="9" spans="1:28" ht="20.25" customHeight="1" x14ac:dyDescent="0.15">
      <c r="A9" s="144" t="s">
        <v>5</v>
      </c>
      <c r="B9" s="144"/>
      <c r="D9" s="4" t="s">
        <v>131</v>
      </c>
    </row>
    <row r="10" spans="1:28" ht="20.25" customHeight="1" x14ac:dyDescent="0.15">
      <c r="B10" s="123"/>
      <c r="C10" s="123"/>
      <c r="D10" s="123"/>
      <c r="Q10" s="123"/>
      <c r="R10" s="123"/>
      <c r="S10" s="123"/>
      <c r="T10" s="123"/>
      <c r="U10" s="123"/>
      <c r="V10" s="123"/>
      <c r="W10" s="123"/>
      <c r="X10" s="123"/>
      <c r="Y10" s="123"/>
      <c r="Z10" s="123"/>
    </row>
    <row r="11" spans="1:28" ht="20.25" customHeight="1" x14ac:dyDescent="0.15">
      <c r="A11" s="144" t="s">
        <v>6</v>
      </c>
      <c r="B11" s="144"/>
      <c r="D11" s="58" t="s">
        <v>150</v>
      </c>
    </row>
    <row r="12" spans="1:28" ht="20.25" customHeight="1" x14ac:dyDescent="0.15">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row>
    <row r="13" spans="1:28" ht="20.25" customHeight="1" x14ac:dyDescent="0.15">
      <c r="A13" s="145" t="s">
        <v>7</v>
      </c>
      <c r="B13" s="145"/>
      <c r="C13" s="123"/>
      <c r="D13" s="59" t="s">
        <v>134</v>
      </c>
      <c r="E13" s="32"/>
      <c r="F13" s="32"/>
      <c r="G13" s="32"/>
      <c r="H13" s="32"/>
      <c r="I13" s="32"/>
      <c r="J13" s="32"/>
      <c r="K13" s="32"/>
      <c r="L13" s="32"/>
      <c r="M13" s="32"/>
      <c r="N13" s="32"/>
      <c r="O13" s="32"/>
      <c r="P13" s="32"/>
      <c r="Q13" s="60"/>
      <c r="R13" s="60"/>
      <c r="S13" s="60"/>
      <c r="T13" s="60"/>
      <c r="U13" s="60"/>
      <c r="V13" s="60"/>
      <c r="W13" s="60"/>
      <c r="X13" s="60"/>
      <c r="Y13" s="60"/>
      <c r="Z13" s="60"/>
    </row>
    <row r="14" spans="1:28" ht="20.25" customHeight="1" x14ac:dyDescent="0.15">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spans="1:28" ht="132" customHeight="1" x14ac:dyDescent="0.15">
      <c r="A15" s="146" t="s">
        <v>8</v>
      </c>
      <c r="B15" s="146"/>
      <c r="C15" s="123"/>
      <c r="D15" s="61" t="s">
        <v>151</v>
      </c>
      <c r="E15" s="12"/>
      <c r="F15" s="12"/>
      <c r="G15" s="12"/>
      <c r="H15" s="12"/>
      <c r="I15" s="12"/>
      <c r="J15" s="12"/>
      <c r="K15" s="12"/>
      <c r="L15" s="12"/>
      <c r="M15" s="12"/>
      <c r="N15" s="12"/>
      <c r="O15" s="12"/>
      <c r="P15" s="12"/>
      <c r="Q15" s="12"/>
      <c r="R15" s="12"/>
      <c r="S15" s="12"/>
      <c r="T15" s="12"/>
      <c r="U15" s="12"/>
      <c r="V15" s="12"/>
      <c r="W15" s="12"/>
      <c r="X15" s="12"/>
      <c r="Y15" s="12"/>
      <c r="Z15" s="12"/>
    </row>
    <row r="16" spans="1:28" ht="13.15" customHeight="1" x14ac:dyDescent="0.15">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spans="1:26" ht="20.25" customHeight="1" x14ac:dyDescent="0.15">
      <c r="A17" s="113" t="s">
        <v>9</v>
      </c>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spans="1:26" ht="10.15" customHeight="1" x14ac:dyDescent="0.15">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spans="1:26" ht="20.25" customHeight="1" x14ac:dyDescent="0.15">
      <c r="B19" s="7" t="s">
        <v>10</v>
      </c>
      <c r="C19" s="102">
        <v>3</v>
      </c>
      <c r="D19" s="124" t="s">
        <v>11</v>
      </c>
      <c r="G19" s="123"/>
      <c r="H19" s="123"/>
      <c r="I19" s="123"/>
      <c r="J19" s="123"/>
      <c r="K19" s="123"/>
      <c r="L19" s="123"/>
      <c r="M19" s="123"/>
      <c r="N19" s="123"/>
      <c r="O19" s="123"/>
      <c r="P19" s="123"/>
      <c r="Q19" s="123"/>
      <c r="R19" s="123"/>
      <c r="S19" s="123"/>
      <c r="T19" s="123"/>
      <c r="U19" s="123"/>
      <c r="V19" s="123"/>
      <c r="W19" s="123"/>
      <c r="X19" s="123"/>
      <c r="Y19" s="123"/>
      <c r="Z19" s="123"/>
    </row>
    <row r="20" spans="1:26" ht="20.25" customHeight="1" x14ac:dyDescent="0.15">
      <c r="B20" s="123"/>
      <c r="C20" s="102">
        <v>4</v>
      </c>
      <c r="D20" s="124" t="s">
        <v>12</v>
      </c>
      <c r="G20" s="123"/>
      <c r="H20" s="123"/>
      <c r="I20" s="123"/>
      <c r="J20" s="123"/>
      <c r="K20" s="123"/>
      <c r="L20" s="123"/>
      <c r="M20" s="123"/>
      <c r="N20" s="123"/>
      <c r="O20" s="123"/>
      <c r="P20" s="123"/>
      <c r="Q20" s="123"/>
      <c r="R20" s="123"/>
      <c r="S20" s="123"/>
      <c r="T20" s="123"/>
      <c r="U20" s="123"/>
      <c r="V20" s="123"/>
      <c r="W20" s="123"/>
      <c r="X20" s="123"/>
      <c r="Y20" s="123"/>
      <c r="Z20" s="123"/>
    </row>
    <row r="21" spans="1:26" ht="20.25" customHeight="1" thickBot="1" x14ac:dyDescent="0.2">
      <c r="F21" s="150" t="s">
        <v>13</v>
      </c>
      <c r="G21" s="151"/>
      <c r="H21" s="151"/>
      <c r="I21" s="151"/>
      <c r="J21" s="151"/>
      <c r="K21" s="151"/>
      <c r="L21" s="151"/>
      <c r="M21" s="151"/>
      <c r="N21" s="151"/>
      <c r="O21" s="151"/>
      <c r="P21" s="151"/>
      <c r="Q21" s="151"/>
      <c r="R21" s="151"/>
      <c r="S21" s="151"/>
      <c r="T21" s="151"/>
      <c r="U21" s="151"/>
      <c r="V21" s="151"/>
      <c r="W21" s="151"/>
      <c r="X21" s="151"/>
      <c r="Y21" s="151"/>
      <c r="Z21" s="152"/>
    </row>
    <row r="22" spans="1:26" ht="18" customHeight="1" x14ac:dyDescent="0.15">
      <c r="B22" s="129"/>
      <c r="C22" s="129"/>
      <c r="D22" s="126" t="s">
        <v>14</v>
      </c>
      <c r="E22" s="62" t="s">
        <v>15</v>
      </c>
      <c r="F22" s="63" t="s">
        <v>16</v>
      </c>
      <c r="G22" s="64" t="s">
        <v>17</v>
      </c>
      <c r="H22" s="64" t="s">
        <v>18</v>
      </c>
      <c r="I22" s="64" t="s">
        <v>19</v>
      </c>
      <c r="J22" s="64" t="s">
        <v>20</v>
      </c>
      <c r="K22" s="64" t="s">
        <v>21</v>
      </c>
      <c r="L22" s="64" t="s">
        <v>22</v>
      </c>
      <c r="M22" s="64" t="s">
        <v>23</v>
      </c>
      <c r="N22" s="64" t="s">
        <v>24</v>
      </c>
      <c r="O22" s="64" t="s">
        <v>25</v>
      </c>
      <c r="P22" s="65" t="s">
        <v>26</v>
      </c>
      <c r="Q22" s="66" t="s">
        <v>27</v>
      </c>
      <c r="R22" s="67" t="s">
        <v>28</v>
      </c>
      <c r="S22" s="67" t="s">
        <v>29</v>
      </c>
      <c r="T22" s="67" t="s">
        <v>30</v>
      </c>
      <c r="U22" s="67" t="s">
        <v>31</v>
      </c>
      <c r="V22" s="67" t="s">
        <v>32</v>
      </c>
      <c r="W22" s="67" t="s">
        <v>33</v>
      </c>
      <c r="X22" s="67" t="s">
        <v>34</v>
      </c>
      <c r="Y22" s="67" t="s">
        <v>35</v>
      </c>
      <c r="Z22" s="68" t="s">
        <v>36</v>
      </c>
    </row>
    <row r="23" spans="1:26" ht="18" customHeight="1" x14ac:dyDescent="0.15">
      <c r="B23" s="139" t="s">
        <v>37</v>
      </c>
      <c r="C23" s="140"/>
      <c r="D23" s="69" t="s">
        <v>152</v>
      </c>
      <c r="E23" s="107">
        <v>1</v>
      </c>
      <c r="F23" s="70" t="s">
        <v>136</v>
      </c>
      <c r="G23" s="71" t="s">
        <v>136</v>
      </c>
      <c r="H23" s="71" t="s">
        <v>136</v>
      </c>
      <c r="I23" s="71" t="s">
        <v>136</v>
      </c>
      <c r="J23" s="71" t="s">
        <v>136</v>
      </c>
      <c r="K23" s="71" t="s">
        <v>136</v>
      </c>
      <c r="L23" s="71" t="s">
        <v>136</v>
      </c>
      <c r="M23" s="71" t="s">
        <v>136</v>
      </c>
      <c r="N23" s="71" t="s">
        <v>136</v>
      </c>
      <c r="O23" s="71"/>
      <c r="P23" s="72" t="s">
        <v>136</v>
      </c>
      <c r="Q23" s="73" t="s">
        <v>136</v>
      </c>
      <c r="R23" s="71"/>
      <c r="S23" s="71"/>
      <c r="T23" s="71"/>
      <c r="U23" s="71"/>
      <c r="V23" s="71" t="s">
        <v>136</v>
      </c>
      <c r="W23" s="71"/>
      <c r="X23" s="71"/>
      <c r="Y23" s="71"/>
      <c r="Z23" s="71"/>
    </row>
    <row r="24" spans="1:26" ht="18" customHeight="1" x14ac:dyDescent="0.15">
      <c r="B24" s="141"/>
      <c r="C24" s="142"/>
      <c r="D24" s="74" t="s">
        <v>153</v>
      </c>
      <c r="E24" s="108">
        <v>1</v>
      </c>
      <c r="F24" s="75" t="s">
        <v>136</v>
      </c>
      <c r="G24" s="76"/>
      <c r="H24" s="76"/>
      <c r="I24" s="76"/>
      <c r="J24" s="76"/>
      <c r="K24" s="76"/>
      <c r="L24" s="76" t="s">
        <v>136</v>
      </c>
      <c r="M24" s="76"/>
      <c r="N24" s="76"/>
      <c r="O24" s="76" t="s">
        <v>136</v>
      </c>
      <c r="P24" s="77"/>
      <c r="Q24" s="78"/>
      <c r="R24" s="76"/>
      <c r="S24" s="76"/>
      <c r="T24" s="76"/>
      <c r="U24" s="76"/>
      <c r="V24" s="76"/>
      <c r="W24" s="76"/>
      <c r="X24" s="76"/>
      <c r="Y24" s="76"/>
      <c r="Z24" s="76"/>
    </row>
    <row r="25" spans="1:26" ht="18" customHeight="1" x14ac:dyDescent="0.15">
      <c r="B25" s="141"/>
      <c r="C25" s="142"/>
      <c r="D25" s="74" t="s">
        <v>154</v>
      </c>
      <c r="E25" s="108">
        <v>2</v>
      </c>
      <c r="F25" s="75"/>
      <c r="G25" s="76"/>
      <c r="H25" s="76"/>
      <c r="I25" s="76" t="s">
        <v>136</v>
      </c>
      <c r="J25" s="76"/>
      <c r="K25" s="76"/>
      <c r="L25" s="76" t="s">
        <v>136</v>
      </c>
      <c r="M25" s="76" t="s">
        <v>136</v>
      </c>
      <c r="N25" s="76" t="s">
        <v>136</v>
      </c>
      <c r="O25" s="76"/>
      <c r="P25" s="77"/>
      <c r="Q25" s="78"/>
      <c r="R25" s="76"/>
      <c r="S25" s="76"/>
      <c r="T25" s="76"/>
      <c r="U25" s="76"/>
      <c r="V25" s="76"/>
      <c r="W25" s="76"/>
      <c r="X25" s="76"/>
      <c r="Y25" s="76"/>
      <c r="Z25" s="76"/>
    </row>
    <row r="26" spans="1:26" ht="18" customHeight="1" x14ac:dyDescent="0.15">
      <c r="B26" s="141"/>
      <c r="C26" s="142"/>
      <c r="D26" s="74"/>
      <c r="E26" s="108"/>
      <c r="F26" s="75"/>
      <c r="G26" s="76"/>
      <c r="H26" s="76"/>
      <c r="I26" s="76"/>
      <c r="J26" s="76"/>
      <c r="K26" s="76"/>
      <c r="L26" s="76"/>
      <c r="M26" s="76"/>
      <c r="N26" s="76"/>
      <c r="O26" s="76"/>
      <c r="P26" s="77"/>
      <c r="Q26" s="78"/>
      <c r="R26" s="76"/>
      <c r="S26" s="76"/>
      <c r="T26" s="76"/>
      <c r="U26" s="76"/>
      <c r="V26" s="76"/>
      <c r="W26" s="76"/>
      <c r="X26" s="76"/>
      <c r="Y26" s="76"/>
      <c r="Z26" s="76"/>
    </row>
    <row r="27" spans="1:26" ht="18" customHeight="1" x14ac:dyDescent="0.15">
      <c r="B27" s="141"/>
      <c r="C27" s="142"/>
      <c r="D27" s="74"/>
      <c r="E27" s="108"/>
      <c r="F27" s="75"/>
      <c r="G27" s="76"/>
      <c r="H27" s="76"/>
      <c r="I27" s="76"/>
      <c r="J27" s="76"/>
      <c r="K27" s="76"/>
      <c r="L27" s="76"/>
      <c r="M27" s="76"/>
      <c r="N27" s="76"/>
      <c r="O27" s="76"/>
      <c r="P27" s="77"/>
      <c r="Q27" s="78"/>
      <c r="R27" s="76"/>
      <c r="S27" s="76"/>
      <c r="T27" s="76"/>
      <c r="U27" s="76"/>
      <c r="V27" s="76"/>
      <c r="W27" s="76"/>
      <c r="X27" s="76"/>
      <c r="Y27" s="76"/>
      <c r="Z27" s="76"/>
    </row>
    <row r="28" spans="1:26" ht="18" customHeight="1" x14ac:dyDescent="0.15">
      <c r="B28" s="141"/>
      <c r="C28" s="142"/>
      <c r="D28" s="74"/>
      <c r="E28" s="108"/>
      <c r="F28" s="75"/>
      <c r="G28" s="76"/>
      <c r="H28" s="76"/>
      <c r="I28" s="76"/>
      <c r="J28" s="76"/>
      <c r="K28" s="76"/>
      <c r="L28" s="76"/>
      <c r="M28" s="76"/>
      <c r="N28" s="76"/>
      <c r="O28" s="76"/>
      <c r="P28" s="77"/>
      <c r="Q28" s="78"/>
      <c r="R28" s="76"/>
      <c r="S28" s="76"/>
      <c r="T28" s="76"/>
      <c r="U28" s="76"/>
      <c r="V28" s="76"/>
      <c r="W28" s="76"/>
      <c r="X28" s="76"/>
      <c r="Y28" s="76"/>
      <c r="Z28" s="76"/>
    </row>
    <row r="29" spans="1:26" ht="18" customHeight="1" x14ac:dyDescent="0.15">
      <c r="B29" s="141"/>
      <c r="C29" s="142"/>
      <c r="D29" s="74"/>
      <c r="E29" s="108"/>
      <c r="F29" s="75"/>
      <c r="G29" s="76"/>
      <c r="H29" s="76"/>
      <c r="I29" s="76"/>
      <c r="J29" s="76"/>
      <c r="K29" s="76"/>
      <c r="L29" s="76"/>
      <c r="M29" s="76"/>
      <c r="N29" s="76"/>
      <c r="O29" s="76"/>
      <c r="P29" s="77"/>
      <c r="Q29" s="78"/>
      <c r="R29" s="76"/>
      <c r="S29" s="76"/>
      <c r="T29" s="76"/>
      <c r="U29" s="76"/>
      <c r="V29" s="76"/>
      <c r="W29" s="76"/>
      <c r="X29" s="76"/>
      <c r="Y29" s="76"/>
      <c r="Z29" s="76"/>
    </row>
    <row r="30" spans="1:26" ht="18" customHeight="1" x14ac:dyDescent="0.15">
      <c r="B30" s="141"/>
      <c r="C30" s="142"/>
      <c r="D30" s="74"/>
      <c r="E30" s="108"/>
      <c r="F30" s="75"/>
      <c r="G30" s="76"/>
      <c r="H30" s="76"/>
      <c r="I30" s="76"/>
      <c r="J30" s="76"/>
      <c r="K30" s="76"/>
      <c r="L30" s="76"/>
      <c r="M30" s="76"/>
      <c r="N30" s="76"/>
      <c r="O30" s="76"/>
      <c r="P30" s="77"/>
      <c r="Q30" s="78"/>
      <c r="R30" s="76"/>
      <c r="S30" s="76"/>
      <c r="T30" s="76"/>
      <c r="U30" s="76"/>
      <c r="V30" s="76"/>
      <c r="W30" s="76"/>
      <c r="X30" s="76"/>
      <c r="Y30" s="76"/>
      <c r="Z30" s="76"/>
    </row>
    <row r="31" spans="1:26" ht="18" customHeight="1" x14ac:dyDescent="0.15">
      <c r="B31" s="141"/>
      <c r="C31" s="142"/>
      <c r="D31" s="74"/>
      <c r="E31" s="108"/>
      <c r="F31" s="75"/>
      <c r="G31" s="76"/>
      <c r="H31" s="76"/>
      <c r="I31" s="76"/>
      <c r="J31" s="76"/>
      <c r="K31" s="76"/>
      <c r="L31" s="76"/>
      <c r="M31" s="76"/>
      <c r="N31" s="76"/>
      <c r="O31" s="76"/>
      <c r="P31" s="77"/>
      <c r="Q31" s="78"/>
      <c r="R31" s="76"/>
      <c r="S31" s="76"/>
      <c r="T31" s="76"/>
      <c r="U31" s="76"/>
      <c r="V31" s="76"/>
      <c r="W31" s="76"/>
      <c r="X31" s="76"/>
      <c r="Y31" s="76"/>
      <c r="Z31" s="76"/>
    </row>
    <row r="32" spans="1:26" ht="18" customHeight="1" x14ac:dyDescent="0.15">
      <c r="B32" s="141"/>
      <c r="C32" s="142"/>
      <c r="D32" s="79"/>
      <c r="E32" s="109"/>
      <c r="F32" s="80"/>
      <c r="G32" s="81"/>
      <c r="H32" s="81"/>
      <c r="I32" s="81"/>
      <c r="J32" s="81"/>
      <c r="K32" s="81"/>
      <c r="L32" s="81"/>
      <c r="M32" s="81"/>
      <c r="N32" s="81"/>
      <c r="O32" s="81"/>
      <c r="P32" s="82"/>
      <c r="Q32" s="83"/>
      <c r="R32" s="81"/>
      <c r="S32" s="81"/>
      <c r="T32" s="81"/>
      <c r="U32" s="81"/>
      <c r="V32" s="81"/>
      <c r="W32" s="81"/>
      <c r="X32" s="81"/>
      <c r="Y32" s="81"/>
      <c r="Z32" s="81"/>
    </row>
    <row r="33" spans="2:26" ht="18" customHeight="1" x14ac:dyDescent="0.15">
      <c r="B33" s="139" t="s">
        <v>38</v>
      </c>
      <c r="C33" s="140"/>
      <c r="D33" s="84"/>
      <c r="E33" s="110"/>
      <c r="F33" s="85"/>
      <c r="G33" s="86"/>
      <c r="H33" s="86"/>
      <c r="I33" s="86"/>
      <c r="J33" s="86"/>
      <c r="K33" s="86"/>
      <c r="L33" s="86"/>
      <c r="M33" s="86"/>
      <c r="N33" s="86"/>
      <c r="O33" s="86"/>
      <c r="P33" s="87"/>
      <c r="Q33" s="88"/>
      <c r="R33" s="86"/>
      <c r="S33" s="86"/>
      <c r="T33" s="86"/>
      <c r="U33" s="86"/>
      <c r="V33" s="86"/>
      <c r="W33" s="86"/>
      <c r="X33" s="86"/>
      <c r="Y33" s="86"/>
      <c r="Z33" s="86"/>
    </row>
    <row r="34" spans="2:26" ht="18" customHeight="1" x14ac:dyDescent="0.15">
      <c r="B34" s="141"/>
      <c r="C34" s="142"/>
      <c r="D34" s="74"/>
      <c r="E34" s="108"/>
      <c r="F34" s="75"/>
      <c r="G34" s="76"/>
      <c r="H34" s="76"/>
      <c r="I34" s="76"/>
      <c r="J34" s="76"/>
      <c r="K34" s="76"/>
      <c r="L34" s="76"/>
      <c r="M34" s="76"/>
      <c r="N34" s="76"/>
      <c r="O34" s="76"/>
      <c r="P34" s="77"/>
      <c r="Q34" s="78"/>
      <c r="R34" s="76"/>
      <c r="S34" s="76"/>
      <c r="T34" s="76"/>
      <c r="U34" s="76"/>
      <c r="V34" s="76"/>
      <c r="W34" s="76"/>
      <c r="X34" s="76"/>
      <c r="Y34" s="76"/>
      <c r="Z34" s="76"/>
    </row>
    <row r="35" spans="2:26" ht="18" customHeight="1" x14ac:dyDescent="0.15">
      <c r="B35" s="141"/>
      <c r="C35" s="142"/>
      <c r="D35" s="74"/>
      <c r="E35" s="108"/>
      <c r="F35" s="75"/>
      <c r="G35" s="76"/>
      <c r="H35" s="76"/>
      <c r="I35" s="76"/>
      <c r="J35" s="76"/>
      <c r="K35" s="76"/>
      <c r="L35" s="76"/>
      <c r="M35" s="76"/>
      <c r="N35" s="76"/>
      <c r="O35" s="76"/>
      <c r="P35" s="77"/>
      <c r="Q35" s="78"/>
      <c r="R35" s="76"/>
      <c r="S35" s="76"/>
      <c r="T35" s="76"/>
      <c r="U35" s="76"/>
      <c r="V35" s="76"/>
      <c r="W35" s="76"/>
      <c r="X35" s="76"/>
      <c r="Y35" s="76"/>
      <c r="Z35" s="76"/>
    </row>
    <row r="36" spans="2:26" ht="18" customHeight="1" x14ac:dyDescent="0.15">
      <c r="B36" s="141"/>
      <c r="C36" s="142"/>
      <c r="D36" s="74"/>
      <c r="E36" s="108"/>
      <c r="F36" s="75"/>
      <c r="G36" s="76"/>
      <c r="H36" s="76"/>
      <c r="I36" s="76"/>
      <c r="J36" s="76"/>
      <c r="K36" s="76"/>
      <c r="L36" s="76"/>
      <c r="M36" s="76"/>
      <c r="N36" s="76"/>
      <c r="O36" s="76"/>
      <c r="P36" s="77"/>
      <c r="Q36" s="78"/>
      <c r="R36" s="76"/>
      <c r="S36" s="76"/>
      <c r="T36" s="76"/>
      <c r="U36" s="76"/>
      <c r="V36" s="76"/>
      <c r="W36" s="76"/>
      <c r="X36" s="76"/>
      <c r="Y36" s="76"/>
      <c r="Z36" s="76"/>
    </row>
    <row r="37" spans="2:26" ht="18" customHeight="1" x14ac:dyDescent="0.15">
      <c r="B37" s="141"/>
      <c r="C37" s="142"/>
      <c r="D37" s="74"/>
      <c r="E37" s="108"/>
      <c r="F37" s="75"/>
      <c r="G37" s="76"/>
      <c r="H37" s="76"/>
      <c r="I37" s="76"/>
      <c r="J37" s="76"/>
      <c r="K37" s="76"/>
      <c r="L37" s="76"/>
      <c r="M37" s="76"/>
      <c r="N37" s="76"/>
      <c r="O37" s="76"/>
      <c r="P37" s="77"/>
      <c r="Q37" s="78"/>
      <c r="R37" s="76"/>
      <c r="S37" s="76"/>
      <c r="T37" s="76"/>
      <c r="U37" s="76"/>
      <c r="V37" s="76"/>
      <c r="W37" s="76"/>
      <c r="X37" s="76"/>
      <c r="Y37" s="76"/>
      <c r="Z37" s="76"/>
    </row>
    <row r="38" spans="2:26" ht="18" customHeight="1" x14ac:dyDescent="0.15">
      <c r="B38" s="141"/>
      <c r="C38" s="142"/>
      <c r="D38" s="74"/>
      <c r="E38" s="108"/>
      <c r="F38" s="75"/>
      <c r="G38" s="76"/>
      <c r="H38" s="76"/>
      <c r="I38" s="76"/>
      <c r="J38" s="76"/>
      <c r="K38" s="76"/>
      <c r="L38" s="76"/>
      <c r="M38" s="76"/>
      <c r="N38" s="76"/>
      <c r="O38" s="76"/>
      <c r="P38" s="77"/>
      <c r="Q38" s="78"/>
      <c r="R38" s="76"/>
      <c r="S38" s="76"/>
      <c r="T38" s="76"/>
      <c r="U38" s="76"/>
      <c r="V38" s="76"/>
      <c r="W38" s="76"/>
      <c r="X38" s="76"/>
      <c r="Y38" s="76"/>
      <c r="Z38" s="76"/>
    </row>
    <row r="39" spans="2:26" ht="18" customHeight="1" x14ac:dyDescent="0.15">
      <c r="B39" s="141"/>
      <c r="C39" s="142"/>
      <c r="D39" s="74"/>
      <c r="E39" s="108"/>
      <c r="F39" s="75"/>
      <c r="G39" s="76"/>
      <c r="H39" s="76"/>
      <c r="I39" s="76"/>
      <c r="J39" s="76"/>
      <c r="K39" s="76"/>
      <c r="L39" s="76"/>
      <c r="M39" s="76"/>
      <c r="N39" s="76"/>
      <c r="O39" s="76"/>
      <c r="P39" s="77"/>
      <c r="Q39" s="78"/>
      <c r="R39" s="76"/>
      <c r="S39" s="76"/>
      <c r="T39" s="76"/>
      <c r="U39" s="76"/>
      <c r="V39" s="76"/>
      <c r="W39" s="76"/>
      <c r="X39" s="76"/>
      <c r="Y39" s="76"/>
      <c r="Z39" s="76"/>
    </row>
    <row r="40" spans="2:26" ht="18" customHeight="1" x14ac:dyDescent="0.15">
      <c r="B40" s="141"/>
      <c r="C40" s="142"/>
      <c r="D40" s="74"/>
      <c r="E40" s="108"/>
      <c r="F40" s="75"/>
      <c r="G40" s="76"/>
      <c r="H40" s="76"/>
      <c r="I40" s="76"/>
      <c r="J40" s="76"/>
      <c r="K40" s="76"/>
      <c r="L40" s="76"/>
      <c r="M40" s="76"/>
      <c r="N40" s="76"/>
      <c r="O40" s="76"/>
      <c r="P40" s="77"/>
      <c r="Q40" s="78"/>
      <c r="R40" s="76"/>
      <c r="S40" s="76"/>
      <c r="T40" s="76"/>
      <c r="U40" s="76"/>
      <c r="V40" s="76"/>
      <c r="W40" s="76"/>
      <c r="X40" s="76"/>
      <c r="Y40" s="76"/>
      <c r="Z40" s="76"/>
    </row>
    <row r="41" spans="2:26" ht="18" customHeight="1" x14ac:dyDescent="0.15">
      <c r="B41" s="141"/>
      <c r="C41" s="142"/>
      <c r="D41" s="74"/>
      <c r="E41" s="108"/>
      <c r="F41" s="75"/>
      <c r="G41" s="76"/>
      <c r="H41" s="76"/>
      <c r="I41" s="76"/>
      <c r="J41" s="76"/>
      <c r="K41" s="76"/>
      <c r="L41" s="76"/>
      <c r="M41" s="76"/>
      <c r="N41" s="76"/>
      <c r="O41" s="76"/>
      <c r="P41" s="77"/>
      <c r="Q41" s="78"/>
      <c r="R41" s="76"/>
      <c r="S41" s="76"/>
      <c r="T41" s="76"/>
      <c r="U41" s="76"/>
      <c r="V41" s="76"/>
      <c r="W41" s="76"/>
      <c r="X41" s="76"/>
      <c r="Y41" s="76"/>
      <c r="Z41" s="76"/>
    </row>
    <row r="42" spans="2:26" ht="18" customHeight="1" x14ac:dyDescent="0.15">
      <c r="B42" s="153"/>
      <c r="C42" s="154"/>
      <c r="D42" s="79"/>
      <c r="E42" s="111"/>
      <c r="F42" s="80"/>
      <c r="G42" s="81"/>
      <c r="H42" s="81"/>
      <c r="I42" s="81"/>
      <c r="J42" s="81"/>
      <c r="K42" s="81"/>
      <c r="L42" s="81"/>
      <c r="M42" s="81"/>
      <c r="N42" s="81"/>
      <c r="O42" s="81"/>
      <c r="P42" s="82"/>
      <c r="Q42" s="83"/>
      <c r="R42" s="81"/>
      <c r="S42" s="81"/>
      <c r="T42" s="81"/>
      <c r="U42" s="81"/>
      <c r="V42" s="81"/>
      <c r="W42" s="81"/>
      <c r="X42" s="81"/>
      <c r="Y42" s="81"/>
      <c r="Z42" s="81"/>
    </row>
    <row r="43" spans="2:26" ht="18" customHeight="1" x14ac:dyDescent="0.15">
      <c r="B43" s="155" t="s">
        <v>39</v>
      </c>
      <c r="C43" s="156"/>
      <c r="D43" s="74"/>
      <c r="E43" s="108"/>
      <c r="F43" s="75"/>
      <c r="G43" s="76"/>
      <c r="H43" s="76"/>
      <c r="I43" s="76"/>
      <c r="J43" s="76"/>
      <c r="K43" s="76"/>
      <c r="L43" s="76"/>
      <c r="M43" s="76"/>
      <c r="N43" s="76"/>
      <c r="O43" s="76"/>
      <c r="P43" s="77"/>
      <c r="Q43" s="78"/>
      <c r="R43" s="76"/>
      <c r="S43" s="76"/>
      <c r="T43" s="76"/>
      <c r="U43" s="76"/>
      <c r="V43" s="76"/>
      <c r="W43" s="76"/>
      <c r="X43" s="76"/>
      <c r="Y43" s="76"/>
      <c r="Z43" s="76"/>
    </row>
    <row r="44" spans="2:26" ht="18" customHeight="1" x14ac:dyDescent="0.15">
      <c r="B44" s="155"/>
      <c r="C44" s="156"/>
      <c r="D44" s="74"/>
      <c r="E44" s="108"/>
      <c r="F44" s="75"/>
      <c r="G44" s="76"/>
      <c r="H44" s="76"/>
      <c r="I44" s="76"/>
      <c r="J44" s="76"/>
      <c r="K44" s="76"/>
      <c r="L44" s="76"/>
      <c r="M44" s="76"/>
      <c r="N44" s="76"/>
      <c r="O44" s="76"/>
      <c r="P44" s="77"/>
      <c r="Q44" s="78"/>
      <c r="R44" s="76"/>
      <c r="S44" s="76"/>
      <c r="T44" s="76"/>
      <c r="U44" s="76"/>
      <c r="V44" s="76"/>
      <c r="W44" s="76"/>
      <c r="X44" s="76"/>
      <c r="Y44" s="76"/>
      <c r="Z44" s="76"/>
    </row>
    <row r="45" spans="2:26" ht="18" customHeight="1" x14ac:dyDescent="0.15">
      <c r="B45" s="155"/>
      <c r="C45" s="156"/>
      <c r="D45" s="74"/>
      <c r="E45" s="108"/>
      <c r="F45" s="75"/>
      <c r="G45" s="76"/>
      <c r="H45" s="76"/>
      <c r="I45" s="76"/>
      <c r="J45" s="76"/>
      <c r="K45" s="76"/>
      <c r="L45" s="76"/>
      <c r="M45" s="76"/>
      <c r="N45" s="76"/>
      <c r="O45" s="76"/>
      <c r="P45" s="77"/>
      <c r="Q45" s="78"/>
      <c r="R45" s="76"/>
      <c r="S45" s="76"/>
      <c r="T45" s="76"/>
      <c r="U45" s="76"/>
      <c r="V45" s="76"/>
      <c r="W45" s="76"/>
      <c r="X45" s="76"/>
      <c r="Y45" s="76"/>
      <c r="Z45" s="76"/>
    </row>
    <row r="46" spans="2:26" ht="18" customHeight="1" x14ac:dyDescent="0.15">
      <c r="B46" s="155"/>
      <c r="C46" s="156"/>
      <c r="D46" s="74"/>
      <c r="E46" s="108"/>
      <c r="F46" s="75"/>
      <c r="G46" s="76"/>
      <c r="H46" s="76"/>
      <c r="I46" s="76"/>
      <c r="J46" s="76"/>
      <c r="K46" s="76"/>
      <c r="L46" s="76"/>
      <c r="M46" s="76"/>
      <c r="N46" s="76"/>
      <c r="O46" s="76"/>
      <c r="P46" s="77"/>
      <c r="Q46" s="78"/>
      <c r="R46" s="76"/>
      <c r="S46" s="76"/>
      <c r="T46" s="76"/>
      <c r="U46" s="76"/>
      <c r="V46" s="76"/>
      <c r="W46" s="76"/>
      <c r="X46" s="76"/>
      <c r="Y46" s="76"/>
      <c r="Z46" s="76"/>
    </row>
    <row r="47" spans="2:26" ht="18" customHeight="1" x14ac:dyDescent="0.15">
      <c r="B47" s="155"/>
      <c r="C47" s="156"/>
      <c r="D47" s="74"/>
      <c r="E47" s="108"/>
      <c r="F47" s="75"/>
      <c r="G47" s="76"/>
      <c r="H47" s="76"/>
      <c r="I47" s="76"/>
      <c r="J47" s="76"/>
      <c r="K47" s="76"/>
      <c r="L47" s="76"/>
      <c r="M47" s="76"/>
      <c r="N47" s="76"/>
      <c r="O47" s="76"/>
      <c r="P47" s="77"/>
      <c r="Q47" s="78"/>
      <c r="R47" s="76"/>
      <c r="S47" s="76"/>
      <c r="T47" s="76"/>
      <c r="U47" s="76"/>
      <c r="V47" s="76"/>
      <c r="W47" s="76"/>
      <c r="X47" s="76"/>
      <c r="Y47" s="76"/>
      <c r="Z47" s="76"/>
    </row>
    <row r="48" spans="2:26" ht="18" customHeight="1" x14ac:dyDescent="0.15">
      <c r="B48" s="155"/>
      <c r="C48" s="156"/>
      <c r="D48" s="74"/>
      <c r="E48" s="108"/>
      <c r="F48" s="75"/>
      <c r="G48" s="76"/>
      <c r="H48" s="76"/>
      <c r="I48" s="76"/>
      <c r="J48" s="76"/>
      <c r="K48" s="76"/>
      <c r="L48" s="76"/>
      <c r="M48" s="76"/>
      <c r="N48" s="76"/>
      <c r="O48" s="76"/>
      <c r="P48" s="77"/>
      <c r="Q48" s="78"/>
      <c r="R48" s="76"/>
      <c r="S48" s="76"/>
      <c r="T48" s="76"/>
      <c r="U48" s="76"/>
      <c r="V48" s="76"/>
      <c r="W48" s="76"/>
      <c r="X48" s="76"/>
      <c r="Y48" s="76"/>
      <c r="Z48" s="76"/>
    </row>
    <row r="49" spans="1:26" ht="18" customHeight="1" x14ac:dyDescent="0.15">
      <c r="B49" s="155"/>
      <c r="C49" s="156"/>
      <c r="D49" s="74"/>
      <c r="E49" s="108"/>
      <c r="F49" s="75"/>
      <c r="G49" s="76"/>
      <c r="H49" s="76"/>
      <c r="I49" s="76"/>
      <c r="J49" s="76"/>
      <c r="K49" s="76"/>
      <c r="L49" s="76"/>
      <c r="M49" s="76"/>
      <c r="N49" s="76"/>
      <c r="O49" s="76"/>
      <c r="P49" s="77"/>
      <c r="Q49" s="78"/>
      <c r="R49" s="76"/>
      <c r="S49" s="76"/>
      <c r="T49" s="76"/>
      <c r="U49" s="76"/>
      <c r="V49" s="76"/>
      <c r="W49" s="76"/>
      <c r="X49" s="76"/>
      <c r="Y49" s="76"/>
      <c r="Z49" s="76"/>
    </row>
    <row r="50" spans="1:26" ht="18" customHeight="1" x14ac:dyDescent="0.15">
      <c r="B50" s="155"/>
      <c r="C50" s="156"/>
      <c r="D50" s="74"/>
      <c r="E50" s="108"/>
      <c r="F50" s="75"/>
      <c r="G50" s="76"/>
      <c r="H50" s="76"/>
      <c r="I50" s="76"/>
      <c r="J50" s="76"/>
      <c r="K50" s="76"/>
      <c r="L50" s="76"/>
      <c r="M50" s="76"/>
      <c r="N50" s="76"/>
      <c r="O50" s="76"/>
      <c r="P50" s="77"/>
      <c r="Q50" s="78"/>
      <c r="R50" s="76"/>
      <c r="S50" s="76"/>
      <c r="T50" s="76"/>
      <c r="U50" s="76"/>
      <c r="V50" s="76"/>
      <c r="W50" s="76"/>
      <c r="X50" s="76"/>
      <c r="Y50" s="76"/>
      <c r="Z50" s="76"/>
    </row>
    <row r="51" spans="1:26" ht="18" customHeight="1" x14ac:dyDescent="0.15">
      <c r="B51" s="155"/>
      <c r="C51" s="156"/>
      <c r="D51" s="74"/>
      <c r="E51" s="108"/>
      <c r="F51" s="75"/>
      <c r="G51" s="76"/>
      <c r="H51" s="76"/>
      <c r="I51" s="76"/>
      <c r="J51" s="76"/>
      <c r="K51" s="76"/>
      <c r="L51" s="76"/>
      <c r="M51" s="76"/>
      <c r="N51" s="76"/>
      <c r="O51" s="76"/>
      <c r="P51" s="77"/>
      <c r="Q51" s="78"/>
      <c r="R51" s="76"/>
      <c r="S51" s="76"/>
      <c r="T51" s="76"/>
      <c r="U51" s="76"/>
      <c r="V51" s="76"/>
      <c r="W51" s="76"/>
      <c r="X51" s="76"/>
      <c r="Y51" s="76"/>
      <c r="Z51" s="76"/>
    </row>
    <row r="52" spans="1:26" ht="18" customHeight="1" thickBot="1" x14ac:dyDescent="0.2">
      <c r="B52" s="157"/>
      <c r="C52" s="158"/>
      <c r="D52" s="79"/>
      <c r="E52" s="111"/>
      <c r="F52" s="89"/>
      <c r="G52" s="90"/>
      <c r="H52" s="90"/>
      <c r="I52" s="90"/>
      <c r="J52" s="90"/>
      <c r="K52" s="90"/>
      <c r="L52" s="90"/>
      <c r="M52" s="90"/>
      <c r="N52" s="90"/>
      <c r="O52" s="90"/>
      <c r="P52" s="91"/>
      <c r="Q52" s="83"/>
      <c r="R52" s="81"/>
      <c r="S52" s="81"/>
      <c r="T52" s="81"/>
      <c r="U52" s="81"/>
      <c r="V52" s="81"/>
      <c r="W52" s="81"/>
      <c r="X52" s="81"/>
      <c r="Y52" s="81"/>
      <c r="Z52" s="81"/>
    </row>
    <row r="53" spans="1:26" ht="18" customHeight="1" x14ac:dyDescent="0.15">
      <c r="A53" s="123"/>
      <c r="B53" s="32"/>
      <c r="C53" s="32"/>
      <c r="D53" s="32"/>
      <c r="E53" s="32"/>
      <c r="F53" s="32"/>
      <c r="G53" s="130"/>
      <c r="H53" s="130"/>
      <c r="I53" s="130"/>
      <c r="J53" s="130"/>
      <c r="K53" s="130"/>
      <c r="L53" s="130"/>
      <c r="M53" s="130"/>
      <c r="N53" s="130"/>
      <c r="O53" s="130"/>
      <c r="P53" s="32"/>
      <c r="Q53" s="32"/>
      <c r="R53" s="32"/>
      <c r="S53" s="32"/>
      <c r="T53" s="32"/>
      <c r="U53" s="32"/>
      <c r="V53" s="32"/>
      <c r="W53" s="130"/>
      <c r="X53" s="130"/>
      <c r="Y53" s="130"/>
      <c r="Z53" s="130"/>
    </row>
    <row r="54" spans="1:26" ht="18.75" customHeight="1" x14ac:dyDescent="0.15">
      <c r="A54" s="113" t="s">
        <v>40</v>
      </c>
    </row>
    <row r="55" spans="1:26" ht="18.75" customHeight="1" x14ac:dyDescent="0.15">
      <c r="B55" s="162" t="s">
        <v>41</v>
      </c>
      <c r="C55" s="163"/>
      <c r="D55" s="125" t="s">
        <v>42</v>
      </c>
    </row>
    <row r="56" spans="1:26" ht="79.900000000000006" customHeight="1" x14ac:dyDescent="0.15">
      <c r="B56" s="159" t="s">
        <v>43</v>
      </c>
      <c r="C56" s="92" t="s">
        <v>16</v>
      </c>
      <c r="D56" s="57" t="s">
        <v>138</v>
      </c>
      <c r="E56" s="93"/>
      <c r="F56" s="93"/>
      <c r="G56" s="93"/>
      <c r="H56" s="93"/>
      <c r="I56" s="93"/>
      <c r="J56" s="93"/>
      <c r="K56" s="93"/>
      <c r="L56" s="93"/>
      <c r="M56" s="93"/>
      <c r="N56" s="93"/>
      <c r="O56" s="93"/>
      <c r="P56" s="93"/>
      <c r="Q56" s="93"/>
      <c r="R56" s="93"/>
      <c r="S56" s="93"/>
      <c r="T56" s="93"/>
      <c r="U56" s="93"/>
      <c r="V56" s="93"/>
      <c r="W56" s="93"/>
      <c r="X56" s="93"/>
      <c r="Y56" s="93"/>
      <c r="Z56" s="93"/>
    </row>
    <row r="57" spans="1:26" ht="79.900000000000006" customHeight="1" x14ac:dyDescent="0.15">
      <c r="B57" s="160"/>
      <c r="C57" s="94" t="s">
        <v>44</v>
      </c>
      <c r="D57" s="103" t="s">
        <v>139</v>
      </c>
      <c r="E57" s="95"/>
      <c r="F57" s="95"/>
      <c r="G57" s="95"/>
      <c r="H57" s="95"/>
      <c r="I57" s="95"/>
      <c r="J57" s="95"/>
      <c r="K57" s="95"/>
      <c r="L57" s="95"/>
      <c r="M57" s="95"/>
      <c r="N57" s="95"/>
      <c r="O57" s="95"/>
      <c r="P57" s="95"/>
      <c r="Q57" s="95"/>
      <c r="R57" s="95"/>
      <c r="S57" s="95"/>
      <c r="T57" s="95"/>
      <c r="U57" s="95"/>
      <c r="V57" s="95"/>
      <c r="W57" s="95"/>
      <c r="X57" s="95"/>
      <c r="Y57" s="95"/>
      <c r="Z57" s="95"/>
    </row>
    <row r="58" spans="1:26" ht="79.900000000000006" customHeight="1" x14ac:dyDescent="0.15">
      <c r="B58" s="159" t="s">
        <v>45</v>
      </c>
      <c r="C58" s="96" t="s">
        <v>17</v>
      </c>
      <c r="D58" s="131" t="s">
        <v>140</v>
      </c>
      <c r="E58" s="95"/>
      <c r="F58" s="95"/>
      <c r="G58" s="95"/>
      <c r="H58" s="95"/>
      <c r="I58" s="95"/>
      <c r="J58" s="95"/>
      <c r="K58" s="95"/>
      <c r="L58" s="95"/>
      <c r="M58" s="95"/>
      <c r="N58" s="95"/>
      <c r="O58" s="95"/>
      <c r="P58" s="95"/>
      <c r="Q58" s="95"/>
      <c r="R58" s="95"/>
      <c r="S58" s="95"/>
      <c r="T58" s="95"/>
      <c r="U58" s="95"/>
      <c r="V58" s="95"/>
      <c r="W58" s="95"/>
      <c r="X58" s="95"/>
      <c r="Y58" s="95"/>
      <c r="Z58" s="95"/>
    </row>
    <row r="59" spans="1:26" ht="79.900000000000006" customHeight="1" x14ac:dyDescent="0.15">
      <c r="B59" s="161"/>
      <c r="C59" s="97" t="s">
        <v>18</v>
      </c>
      <c r="D59" s="135" t="s">
        <v>155</v>
      </c>
      <c r="E59" s="95"/>
      <c r="F59" s="95"/>
      <c r="G59" s="95"/>
      <c r="H59" s="95"/>
      <c r="I59" s="95"/>
      <c r="J59" s="95"/>
      <c r="K59" s="95"/>
      <c r="L59" s="95"/>
      <c r="M59" s="95"/>
      <c r="N59" s="95"/>
      <c r="O59" s="95"/>
      <c r="P59" s="95"/>
      <c r="Q59" s="95"/>
      <c r="R59" s="95"/>
      <c r="S59" s="95"/>
      <c r="T59" s="95"/>
      <c r="U59" s="95"/>
      <c r="V59" s="95"/>
      <c r="W59" s="95"/>
      <c r="X59" s="95"/>
      <c r="Y59" s="95"/>
      <c r="Z59" s="95"/>
    </row>
    <row r="60" spans="1:26" ht="79.900000000000006" customHeight="1" x14ac:dyDescent="0.15">
      <c r="B60" s="159" t="s">
        <v>46</v>
      </c>
      <c r="C60" s="96" t="s">
        <v>19</v>
      </c>
      <c r="D60" s="105" t="s">
        <v>142</v>
      </c>
      <c r="E60" s="95"/>
      <c r="F60" s="95"/>
      <c r="G60" s="95"/>
      <c r="H60" s="95"/>
      <c r="I60" s="95"/>
      <c r="J60" s="95"/>
      <c r="K60" s="95"/>
      <c r="L60" s="95"/>
      <c r="M60" s="95"/>
      <c r="N60" s="95"/>
      <c r="O60" s="95"/>
      <c r="P60" s="95"/>
      <c r="Q60" s="95"/>
      <c r="R60" s="95"/>
      <c r="S60" s="95"/>
      <c r="T60" s="95"/>
      <c r="U60" s="95"/>
      <c r="V60" s="95"/>
      <c r="W60" s="95"/>
      <c r="X60" s="95"/>
      <c r="Y60" s="95"/>
      <c r="Z60" s="95"/>
    </row>
    <row r="61" spans="1:26" ht="79.900000000000006" customHeight="1" x14ac:dyDescent="0.15">
      <c r="B61" s="161"/>
      <c r="C61" s="98" t="s">
        <v>20</v>
      </c>
      <c r="D61" s="103" t="s">
        <v>143</v>
      </c>
      <c r="E61" s="95"/>
      <c r="F61" s="95"/>
      <c r="G61" s="95"/>
      <c r="H61" s="95"/>
      <c r="I61" s="95"/>
      <c r="J61" s="95"/>
      <c r="K61" s="95"/>
      <c r="L61" s="95"/>
      <c r="M61" s="95"/>
      <c r="N61" s="95"/>
      <c r="O61" s="95"/>
      <c r="P61" s="95"/>
      <c r="Q61" s="95"/>
      <c r="R61" s="95"/>
      <c r="S61" s="95"/>
      <c r="T61" s="95"/>
      <c r="U61" s="95"/>
      <c r="V61" s="95"/>
      <c r="W61" s="95"/>
      <c r="X61" s="95"/>
      <c r="Y61" s="95"/>
      <c r="Z61" s="95"/>
    </row>
    <row r="62" spans="1:26" ht="79.900000000000006" customHeight="1" x14ac:dyDescent="0.15">
      <c r="B62" s="159" t="s">
        <v>47</v>
      </c>
      <c r="C62" s="92" t="s">
        <v>25</v>
      </c>
      <c r="D62" s="57" t="s">
        <v>156</v>
      </c>
      <c r="E62" s="95"/>
      <c r="F62" s="95"/>
      <c r="G62" s="95"/>
      <c r="H62" s="95"/>
      <c r="I62" s="95"/>
      <c r="J62" s="95"/>
      <c r="K62" s="95"/>
      <c r="L62" s="95"/>
      <c r="M62" s="95"/>
      <c r="N62" s="95"/>
      <c r="O62" s="95"/>
      <c r="P62" s="95"/>
      <c r="Q62" s="95"/>
      <c r="R62" s="95"/>
      <c r="S62" s="95"/>
      <c r="T62" s="95"/>
      <c r="U62" s="95"/>
      <c r="V62" s="95"/>
      <c r="W62" s="95"/>
      <c r="X62" s="95"/>
      <c r="Y62" s="95"/>
      <c r="Z62" s="95"/>
    </row>
    <row r="63" spans="1:26" ht="79.900000000000006" customHeight="1" x14ac:dyDescent="0.15">
      <c r="B63" s="161"/>
      <c r="C63" s="97" t="s">
        <v>26</v>
      </c>
      <c r="D63" s="132" t="s">
        <v>157</v>
      </c>
      <c r="E63" s="95"/>
      <c r="F63" s="95"/>
      <c r="G63" s="95"/>
      <c r="H63" s="95"/>
      <c r="I63" s="95"/>
      <c r="J63" s="95"/>
      <c r="K63" s="95"/>
      <c r="L63" s="95"/>
      <c r="M63" s="95"/>
      <c r="N63" s="95"/>
      <c r="O63" s="95"/>
      <c r="P63" s="95"/>
      <c r="Q63" s="95"/>
      <c r="R63" s="95"/>
      <c r="S63" s="95"/>
      <c r="T63" s="95"/>
      <c r="U63" s="95"/>
      <c r="V63" s="95"/>
      <c r="W63" s="95"/>
      <c r="X63" s="95"/>
      <c r="Y63" s="95"/>
      <c r="Z63" s="95"/>
    </row>
    <row r="64" spans="1:26" ht="79.900000000000006" customHeight="1" x14ac:dyDescent="0.15">
      <c r="B64" s="159" t="s">
        <v>48</v>
      </c>
      <c r="C64" s="96" t="s">
        <v>49</v>
      </c>
      <c r="D64" s="57" t="s">
        <v>146</v>
      </c>
      <c r="E64" s="95"/>
      <c r="F64" s="95"/>
      <c r="G64" s="95"/>
      <c r="H64" s="95"/>
      <c r="I64" s="95"/>
      <c r="J64" s="95"/>
      <c r="K64" s="95"/>
      <c r="L64" s="95"/>
      <c r="M64" s="95"/>
      <c r="N64" s="95"/>
      <c r="O64" s="95"/>
      <c r="P64" s="95"/>
      <c r="Q64" s="95"/>
      <c r="R64" s="95"/>
      <c r="S64" s="95"/>
      <c r="T64" s="95"/>
      <c r="U64" s="95"/>
      <c r="V64" s="95"/>
      <c r="W64" s="95"/>
      <c r="X64" s="95"/>
      <c r="Y64" s="95"/>
      <c r="Z64" s="95"/>
    </row>
    <row r="65" spans="1:26" ht="79.900000000000006" customHeight="1" x14ac:dyDescent="0.15">
      <c r="B65" s="160"/>
      <c r="C65" s="99" t="s">
        <v>23</v>
      </c>
      <c r="D65" s="133" t="s">
        <v>158</v>
      </c>
      <c r="E65" s="100"/>
      <c r="F65" s="100"/>
      <c r="G65" s="100"/>
      <c r="H65" s="100"/>
      <c r="I65" s="100"/>
      <c r="J65" s="100"/>
      <c r="K65" s="100"/>
      <c r="L65" s="100"/>
      <c r="M65" s="100"/>
      <c r="N65" s="100"/>
      <c r="O65" s="100"/>
      <c r="P65" s="100"/>
      <c r="Q65" s="100"/>
      <c r="R65" s="100"/>
      <c r="S65" s="100"/>
      <c r="T65" s="100"/>
      <c r="U65" s="100"/>
      <c r="V65" s="100"/>
      <c r="W65" s="100"/>
      <c r="X65" s="100"/>
      <c r="Y65" s="100"/>
      <c r="Z65" s="100"/>
    </row>
    <row r="66" spans="1:26" ht="79.900000000000006" customHeight="1" x14ac:dyDescent="0.15">
      <c r="B66" s="161"/>
      <c r="C66" s="98" t="s">
        <v>24</v>
      </c>
      <c r="D66" s="134" t="s">
        <v>159</v>
      </c>
      <c r="E66" s="100"/>
      <c r="F66" s="100"/>
      <c r="G66" s="100"/>
      <c r="H66" s="100"/>
      <c r="I66" s="100"/>
      <c r="J66" s="100"/>
      <c r="K66" s="100"/>
      <c r="L66" s="100"/>
      <c r="M66" s="100"/>
      <c r="N66" s="100"/>
      <c r="O66" s="100"/>
      <c r="P66" s="100"/>
      <c r="Q66" s="100"/>
      <c r="R66" s="100"/>
      <c r="S66" s="100"/>
      <c r="T66" s="100"/>
      <c r="U66" s="100"/>
      <c r="V66" s="100"/>
      <c r="W66" s="100"/>
      <c r="X66" s="100"/>
      <c r="Y66" s="100"/>
      <c r="Z66" s="100"/>
    </row>
    <row r="67" spans="1:26" ht="6" customHeight="1" x14ac:dyDescent="0.15"/>
    <row r="68" spans="1:26" ht="18.75" customHeight="1" x14ac:dyDescent="0.15">
      <c r="A68" s="113" t="s">
        <v>50</v>
      </c>
    </row>
    <row r="69" spans="1:26" ht="81.75" customHeight="1" x14ac:dyDescent="0.15">
      <c r="B69" s="12"/>
      <c r="C69" s="12"/>
      <c r="D69" s="56" t="s">
        <v>149</v>
      </c>
      <c r="E69" s="12"/>
      <c r="F69" s="12"/>
      <c r="G69" s="12"/>
      <c r="H69" s="12"/>
      <c r="I69" s="12"/>
      <c r="J69" s="12"/>
      <c r="K69" s="12"/>
      <c r="L69" s="12"/>
      <c r="M69" s="12"/>
      <c r="N69" s="12"/>
      <c r="O69" s="12"/>
      <c r="P69" s="12"/>
      <c r="Q69" s="12"/>
      <c r="R69" s="12"/>
      <c r="S69" s="12"/>
      <c r="T69" s="12"/>
      <c r="U69" s="12"/>
      <c r="V69" s="12"/>
      <c r="W69" s="12"/>
      <c r="X69" s="12"/>
      <c r="Y69" s="12"/>
      <c r="Z69" s="12"/>
    </row>
    <row r="72" spans="1:26" ht="18" customHeight="1" x14ac:dyDescent="0.15"/>
  </sheetData>
  <mergeCells count="19">
    <mergeCell ref="B33:C42"/>
    <mergeCell ref="A1:Z1"/>
    <mergeCell ref="Y3:Z3"/>
    <mergeCell ref="B4:C4"/>
    <mergeCell ref="B5:C5"/>
    <mergeCell ref="A7:Z7"/>
    <mergeCell ref="A9:B9"/>
    <mergeCell ref="A11:B11"/>
    <mergeCell ref="A13:B13"/>
    <mergeCell ref="A15:B15"/>
    <mergeCell ref="F21:Z21"/>
    <mergeCell ref="B23:C32"/>
    <mergeCell ref="B64:B66"/>
    <mergeCell ref="B43:C52"/>
    <mergeCell ref="B55:C55"/>
    <mergeCell ref="B56:B57"/>
    <mergeCell ref="B58:B59"/>
    <mergeCell ref="B60:B61"/>
    <mergeCell ref="B62:B63"/>
  </mergeCells>
  <phoneticPr fontId="1"/>
  <conditionalFormatting sqref="D11">
    <cfRule type="expression" dxfId="5" priority="1">
      <formula>$D$9="学部・学科によって、修了要件は相違しない"</formula>
    </cfRule>
    <cfRule type="containsText" dxfId="4" priority="2" operator="containsText" text="学部・学科によって、修了要件は相違しない">
      <formula>NOT(ISERROR(SEARCH("学部・学科によって、修了要件は相違しない",D11)))</formula>
    </cfRule>
    <cfRule type="expression" dxfId="3" priority="3">
      <formula>#REF!="学部・学科によって、修了要件は相違しない"</formula>
    </cfRule>
  </conditionalFormatting>
  <dataValidations count="4">
    <dataValidation type="list" allowBlank="1" showInputMessage="1" showErrorMessage="1" sqref="D13" xr:uid="{97ABD3DE-13C3-4A4A-A5D6-760E7372ADB8}">
      <formula1>"令和６年度以前又は令和７年度より、履修することが必須のプログラムとして実施, 令和９年度までに履修必須とする計画, 令和１０年度以降に履修必須とする計画、又は未定"</formula1>
    </dataValidation>
    <dataValidation type="list" allowBlank="1" showInputMessage="1" showErrorMessage="1" sqref="G53:O53 W53:Z53" xr:uid="{249702BF-0888-454E-B51E-B407D0876A6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9" xr:uid="{87D3D17C-F60D-4F01-8BAE-1617E0285F51}">
      <formula1>"学部・学科によって、修了要件は相違する,学部・学科によって、修了要件は相違しない"</formula1>
    </dataValidation>
    <dataValidation type="list" allowBlank="1" showInputMessage="1" showErrorMessage="1" sqref="F23:Z52" xr:uid="{EA92DE61-F5EE-4F5A-972C-36E87531A3F0}">
      <formula1>"○"</formula1>
    </dataValidation>
  </dataValidations>
  <printOptions horizontalCentered="1"/>
  <pageMargins left="0.78740157480314965" right="0.78740157480314965" top="0.78740157480314965" bottom="0.19685039370078741" header="0.31496062992125984" footer="0.19685039370078741"/>
  <pageSetup paperSize="9" scale="5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8AACB-2F73-45F2-BE9D-84692819A248}">
  <sheetPr>
    <pageSetUpPr fitToPage="1"/>
  </sheetPr>
  <dimension ref="A1:AB72"/>
  <sheetViews>
    <sheetView showZeros="0" view="pageBreakPreview" topLeftCell="C4" zoomScaleNormal="100" zoomScaleSheetLayoutView="100" workbookViewId="0">
      <selection activeCell="D15" sqref="D15"/>
    </sheetView>
  </sheetViews>
  <sheetFormatPr defaultColWidth="9" defaultRowHeight="18.75" customHeight="1" x14ac:dyDescent="0.15"/>
  <cols>
    <col min="1" max="1" width="2.375" style="113" customWidth="1"/>
    <col min="2" max="2" width="28.25" style="113" customWidth="1"/>
    <col min="3" max="3" width="6.25" style="113" customWidth="1"/>
    <col min="4" max="4" width="80.75" style="113" customWidth="1"/>
    <col min="5" max="5" width="6.375" style="113" bestFit="1" customWidth="1"/>
    <col min="6" max="26" width="5.75" style="113" customWidth="1"/>
    <col min="27" max="27" width="9" style="113" customWidth="1"/>
    <col min="28" max="16384" width="9" style="113"/>
  </cols>
  <sheetData>
    <row r="1" spans="1:28" ht="18.75" customHeight="1" x14ac:dyDescent="0.15">
      <c r="A1" s="143" t="s">
        <v>0</v>
      </c>
      <c r="B1" s="143"/>
      <c r="C1" s="143"/>
      <c r="D1" s="143"/>
      <c r="E1" s="143"/>
      <c r="F1" s="143"/>
      <c r="G1" s="143"/>
      <c r="H1" s="143"/>
      <c r="I1" s="143"/>
      <c r="J1" s="143"/>
      <c r="K1" s="143"/>
      <c r="L1" s="143"/>
      <c r="M1" s="143"/>
      <c r="N1" s="143"/>
      <c r="O1" s="143"/>
      <c r="P1" s="143"/>
      <c r="Q1" s="143"/>
      <c r="R1" s="143"/>
      <c r="S1" s="143"/>
      <c r="T1" s="143"/>
      <c r="U1" s="143"/>
      <c r="V1" s="143"/>
      <c r="W1" s="143"/>
      <c r="X1" s="143"/>
      <c r="Y1" s="143"/>
      <c r="Z1" s="143"/>
    </row>
    <row r="3" spans="1:28" ht="18.600000000000001" customHeight="1" x14ac:dyDescent="0.15">
      <c r="Y3" s="143" t="s">
        <v>1</v>
      </c>
      <c r="Z3" s="143"/>
      <c r="AA3" s="7"/>
      <c r="AB3" s="9"/>
    </row>
    <row r="4" spans="1:28" ht="18.75" customHeight="1" x14ac:dyDescent="0.15">
      <c r="B4" s="148" t="s">
        <v>2</v>
      </c>
      <c r="C4" s="149"/>
      <c r="D4" s="59" t="s">
        <v>129</v>
      </c>
      <c r="P4" s="7"/>
      <c r="Q4" s="32"/>
      <c r="R4" s="32"/>
      <c r="S4" s="32"/>
      <c r="T4" s="32"/>
      <c r="U4" s="32"/>
      <c r="V4" s="32"/>
      <c r="W4" s="32"/>
      <c r="X4" s="32"/>
      <c r="Y4" s="32"/>
      <c r="Z4" s="32"/>
    </row>
    <row r="5" spans="1:28" ht="18.75" customHeight="1" x14ac:dyDescent="0.15">
      <c r="B5" s="148" t="s">
        <v>3</v>
      </c>
      <c r="C5" s="149"/>
      <c r="D5" s="59" t="s">
        <v>130</v>
      </c>
      <c r="P5" s="7"/>
      <c r="Q5" s="32"/>
      <c r="R5" s="32"/>
      <c r="S5" s="32"/>
      <c r="T5" s="32"/>
      <c r="U5" s="32"/>
      <c r="V5" s="32"/>
      <c r="W5" s="32"/>
      <c r="X5" s="32"/>
      <c r="Y5" s="32"/>
      <c r="Z5" s="32"/>
    </row>
    <row r="6" spans="1:28" ht="15" customHeight="1" x14ac:dyDescent="0.15">
      <c r="Q6" s="7"/>
      <c r="R6" s="128"/>
      <c r="S6" s="128"/>
      <c r="T6" s="128"/>
      <c r="U6" s="128"/>
      <c r="V6" s="128"/>
      <c r="W6" s="128"/>
      <c r="X6" s="128"/>
      <c r="Y6" s="128"/>
      <c r="Z6" s="128"/>
    </row>
    <row r="7" spans="1:28" ht="18" customHeight="1" x14ac:dyDescent="0.15">
      <c r="A7" s="147" t="s">
        <v>4</v>
      </c>
      <c r="B7" s="147"/>
      <c r="C7" s="147"/>
      <c r="D7" s="147"/>
      <c r="E7" s="147"/>
      <c r="F7" s="147"/>
      <c r="G7" s="147"/>
      <c r="H7" s="147"/>
      <c r="I7" s="147"/>
      <c r="J7" s="147"/>
      <c r="K7" s="147"/>
      <c r="L7" s="147"/>
      <c r="M7" s="147"/>
      <c r="N7" s="147"/>
      <c r="O7" s="147"/>
      <c r="P7" s="147"/>
      <c r="Q7" s="147"/>
      <c r="R7" s="147"/>
      <c r="S7" s="147"/>
      <c r="T7" s="147"/>
      <c r="U7" s="147"/>
      <c r="V7" s="147"/>
      <c r="W7" s="147"/>
      <c r="X7" s="147"/>
      <c r="Y7" s="147"/>
      <c r="Z7" s="147"/>
    </row>
    <row r="8" spans="1:28" ht="18" customHeight="1" x14ac:dyDescent="0.15">
      <c r="A8" s="127"/>
      <c r="B8" s="127"/>
      <c r="C8" s="127"/>
      <c r="D8" s="127"/>
      <c r="E8" s="127"/>
      <c r="F8" s="127"/>
      <c r="G8" s="127"/>
      <c r="H8" s="127"/>
      <c r="I8" s="127"/>
      <c r="J8" s="127"/>
      <c r="K8" s="127"/>
      <c r="L8" s="127"/>
      <c r="M8" s="127"/>
      <c r="N8" s="127"/>
      <c r="O8" s="127"/>
      <c r="P8" s="127"/>
      <c r="Q8" s="127"/>
      <c r="R8" s="127"/>
      <c r="S8" s="127"/>
      <c r="T8" s="127"/>
      <c r="U8" s="127"/>
      <c r="V8" s="127"/>
      <c r="W8" s="127"/>
      <c r="X8" s="127"/>
      <c r="Y8" s="127"/>
      <c r="Z8" s="127"/>
    </row>
    <row r="9" spans="1:28" ht="20.25" customHeight="1" x14ac:dyDescent="0.15">
      <c r="A9" s="144" t="s">
        <v>5</v>
      </c>
      <c r="B9" s="144"/>
      <c r="D9" s="4" t="s">
        <v>131</v>
      </c>
    </row>
    <row r="10" spans="1:28" ht="20.25" customHeight="1" x14ac:dyDescent="0.15">
      <c r="B10" s="123"/>
      <c r="C10" s="123"/>
      <c r="D10" s="123"/>
      <c r="Q10" s="123"/>
      <c r="R10" s="123"/>
      <c r="S10" s="123"/>
      <c r="T10" s="123"/>
      <c r="U10" s="123"/>
      <c r="V10" s="123"/>
      <c r="W10" s="123"/>
      <c r="X10" s="123"/>
      <c r="Y10" s="123"/>
      <c r="Z10" s="123"/>
    </row>
    <row r="11" spans="1:28" ht="20.25" customHeight="1" x14ac:dyDescent="0.15">
      <c r="A11" s="144" t="s">
        <v>6</v>
      </c>
      <c r="B11" s="144"/>
      <c r="D11" s="58" t="s">
        <v>160</v>
      </c>
    </row>
    <row r="12" spans="1:28" ht="20.25" customHeight="1" x14ac:dyDescent="0.15">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row>
    <row r="13" spans="1:28" ht="20.25" customHeight="1" x14ac:dyDescent="0.15">
      <c r="A13" s="145" t="s">
        <v>7</v>
      </c>
      <c r="B13" s="145"/>
      <c r="C13" s="123"/>
      <c r="D13" s="59" t="s">
        <v>134</v>
      </c>
      <c r="E13" s="32"/>
      <c r="F13" s="32"/>
      <c r="G13" s="32"/>
      <c r="H13" s="32"/>
      <c r="I13" s="32"/>
      <c r="J13" s="32"/>
      <c r="K13" s="32"/>
      <c r="L13" s="32"/>
      <c r="M13" s="32"/>
      <c r="N13" s="32"/>
      <c r="O13" s="32"/>
      <c r="P13" s="32"/>
      <c r="Q13" s="60"/>
      <c r="R13" s="60"/>
      <c r="S13" s="60"/>
      <c r="T13" s="60"/>
      <c r="U13" s="60"/>
      <c r="V13" s="60"/>
      <c r="W13" s="60"/>
      <c r="X13" s="60"/>
      <c r="Y13" s="60"/>
      <c r="Z13" s="60"/>
    </row>
    <row r="14" spans="1:28" ht="20.25" customHeight="1" x14ac:dyDescent="0.15">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spans="1:28" ht="132" customHeight="1" x14ac:dyDescent="0.15">
      <c r="A15" s="146" t="s">
        <v>8</v>
      </c>
      <c r="B15" s="146"/>
      <c r="C15" s="123"/>
      <c r="D15" s="61" t="s">
        <v>161</v>
      </c>
      <c r="E15" s="12"/>
      <c r="F15" s="12"/>
      <c r="G15" s="12"/>
      <c r="H15" s="12"/>
      <c r="I15" s="12"/>
      <c r="J15" s="12"/>
      <c r="K15" s="12"/>
      <c r="L15" s="12"/>
      <c r="M15" s="12"/>
      <c r="N15" s="12"/>
      <c r="O15" s="12"/>
      <c r="P15" s="12"/>
      <c r="Q15" s="12"/>
      <c r="R15" s="12"/>
      <c r="S15" s="12"/>
      <c r="T15" s="12"/>
      <c r="U15" s="12"/>
      <c r="V15" s="12"/>
      <c r="W15" s="12"/>
      <c r="X15" s="12"/>
      <c r="Y15" s="12"/>
      <c r="Z15" s="12"/>
    </row>
    <row r="16" spans="1:28" ht="13.15" customHeight="1" x14ac:dyDescent="0.15">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spans="1:26" ht="20.25" customHeight="1" x14ac:dyDescent="0.15">
      <c r="A17" s="113" t="s">
        <v>9</v>
      </c>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spans="1:26" ht="10.15" customHeight="1" x14ac:dyDescent="0.15">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spans="1:26" ht="20.25" customHeight="1" x14ac:dyDescent="0.15">
      <c r="B19" s="7" t="s">
        <v>10</v>
      </c>
      <c r="C19" s="102">
        <v>2</v>
      </c>
      <c r="D19" s="124" t="s">
        <v>11</v>
      </c>
      <c r="G19" s="123"/>
      <c r="H19" s="123"/>
      <c r="I19" s="123"/>
      <c r="J19" s="123"/>
      <c r="K19" s="123"/>
      <c r="L19" s="123"/>
      <c r="M19" s="123"/>
      <c r="N19" s="123"/>
      <c r="O19" s="123"/>
      <c r="P19" s="123"/>
      <c r="Q19" s="123"/>
      <c r="R19" s="123"/>
      <c r="S19" s="123"/>
      <c r="T19" s="123"/>
      <c r="U19" s="123"/>
      <c r="V19" s="123"/>
      <c r="W19" s="123"/>
      <c r="X19" s="123"/>
      <c r="Y19" s="123"/>
      <c r="Z19" s="123"/>
    </row>
    <row r="20" spans="1:26" ht="20.25" customHeight="1" x14ac:dyDescent="0.15">
      <c r="B20" s="123"/>
      <c r="C20" s="102">
        <v>2</v>
      </c>
      <c r="D20" s="124" t="s">
        <v>12</v>
      </c>
      <c r="G20" s="123"/>
      <c r="H20" s="123"/>
      <c r="I20" s="123"/>
      <c r="J20" s="123"/>
      <c r="K20" s="123"/>
      <c r="L20" s="123"/>
      <c r="M20" s="123"/>
      <c r="N20" s="123"/>
      <c r="O20" s="123"/>
      <c r="P20" s="123"/>
      <c r="Q20" s="123"/>
      <c r="R20" s="123"/>
      <c r="S20" s="123"/>
      <c r="T20" s="123"/>
      <c r="U20" s="123"/>
      <c r="V20" s="123"/>
      <c r="W20" s="123"/>
      <c r="X20" s="123"/>
      <c r="Y20" s="123"/>
      <c r="Z20" s="123"/>
    </row>
    <row r="21" spans="1:26" ht="20.25" customHeight="1" thickBot="1" x14ac:dyDescent="0.2">
      <c r="F21" s="150" t="s">
        <v>13</v>
      </c>
      <c r="G21" s="151"/>
      <c r="H21" s="151"/>
      <c r="I21" s="151"/>
      <c r="J21" s="151"/>
      <c r="K21" s="151"/>
      <c r="L21" s="151"/>
      <c r="M21" s="151"/>
      <c r="N21" s="151"/>
      <c r="O21" s="151"/>
      <c r="P21" s="151"/>
      <c r="Q21" s="151"/>
      <c r="R21" s="151"/>
      <c r="S21" s="151"/>
      <c r="T21" s="151"/>
      <c r="U21" s="151"/>
      <c r="V21" s="151"/>
      <c r="W21" s="151"/>
      <c r="X21" s="151"/>
      <c r="Y21" s="151"/>
      <c r="Z21" s="152"/>
    </row>
    <row r="22" spans="1:26" ht="18" customHeight="1" x14ac:dyDescent="0.15">
      <c r="B22" s="129"/>
      <c r="C22" s="129"/>
      <c r="D22" s="126" t="s">
        <v>14</v>
      </c>
      <c r="E22" s="62" t="s">
        <v>15</v>
      </c>
      <c r="F22" s="63" t="s">
        <v>16</v>
      </c>
      <c r="G22" s="64" t="s">
        <v>17</v>
      </c>
      <c r="H22" s="64" t="s">
        <v>18</v>
      </c>
      <c r="I22" s="64" t="s">
        <v>19</v>
      </c>
      <c r="J22" s="64" t="s">
        <v>20</v>
      </c>
      <c r="K22" s="64" t="s">
        <v>21</v>
      </c>
      <c r="L22" s="64" t="s">
        <v>22</v>
      </c>
      <c r="M22" s="64" t="s">
        <v>23</v>
      </c>
      <c r="N22" s="64" t="s">
        <v>24</v>
      </c>
      <c r="O22" s="64" t="s">
        <v>25</v>
      </c>
      <c r="P22" s="65" t="s">
        <v>26</v>
      </c>
      <c r="Q22" s="66" t="s">
        <v>27</v>
      </c>
      <c r="R22" s="67" t="s">
        <v>28</v>
      </c>
      <c r="S22" s="67" t="s">
        <v>29</v>
      </c>
      <c r="T22" s="67" t="s">
        <v>30</v>
      </c>
      <c r="U22" s="67" t="s">
        <v>31</v>
      </c>
      <c r="V22" s="67" t="s">
        <v>32</v>
      </c>
      <c r="W22" s="67" t="s">
        <v>33</v>
      </c>
      <c r="X22" s="67" t="s">
        <v>34</v>
      </c>
      <c r="Y22" s="67" t="s">
        <v>35</v>
      </c>
      <c r="Z22" s="68" t="s">
        <v>36</v>
      </c>
    </row>
    <row r="23" spans="1:26" ht="18" customHeight="1" x14ac:dyDescent="0.15">
      <c r="B23" s="139" t="s">
        <v>37</v>
      </c>
      <c r="C23" s="140"/>
      <c r="D23" s="69" t="s">
        <v>135</v>
      </c>
      <c r="E23" s="107">
        <v>1</v>
      </c>
      <c r="F23" s="70" t="s">
        <v>136</v>
      </c>
      <c r="G23" s="71" t="s">
        <v>136</v>
      </c>
      <c r="H23" s="71" t="s">
        <v>136</v>
      </c>
      <c r="I23" s="71" t="s">
        <v>136</v>
      </c>
      <c r="J23" s="71" t="s">
        <v>136</v>
      </c>
      <c r="K23" s="71" t="s">
        <v>136</v>
      </c>
      <c r="L23" s="71" t="s">
        <v>136</v>
      </c>
      <c r="M23" s="71" t="s">
        <v>136</v>
      </c>
      <c r="N23" s="71" t="s">
        <v>136</v>
      </c>
      <c r="O23" s="71"/>
      <c r="P23" s="72" t="s">
        <v>136</v>
      </c>
      <c r="Q23" s="73" t="s">
        <v>136</v>
      </c>
      <c r="R23" s="71"/>
      <c r="S23" s="71"/>
      <c r="T23" s="71"/>
      <c r="U23" s="71"/>
      <c r="V23" s="71"/>
      <c r="W23" s="71"/>
      <c r="X23" s="71" t="s">
        <v>136</v>
      </c>
      <c r="Y23" s="71"/>
      <c r="Z23" s="71"/>
    </row>
    <row r="24" spans="1:26" ht="18" customHeight="1" x14ac:dyDescent="0.15">
      <c r="B24" s="141"/>
      <c r="C24" s="142"/>
      <c r="D24" s="74" t="s">
        <v>162</v>
      </c>
      <c r="E24" s="108">
        <v>1</v>
      </c>
      <c r="F24" s="75" t="s">
        <v>136</v>
      </c>
      <c r="G24" s="76" t="s">
        <v>136</v>
      </c>
      <c r="H24" s="76" t="s">
        <v>136</v>
      </c>
      <c r="I24" s="76" t="s">
        <v>136</v>
      </c>
      <c r="J24" s="76"/>
      <c r="K24" s="76"/>
      <c r="L24" s="76"/>
      <c r="M24" s="76"/>
      <c r="N24" s="76"/>
      <c r="O24" s="76" t="s">
        <v>136</v>
      </c>
      <c r="P24" s="77" t="s">
        <v>136</v>
      </c>
      <c r="Q24" s="78" t="s">
        <v>136</v>
      </c>
      <c r="R24" s="76"/>
      <c r="S24" s="76"/>
      <c r="T24" s="76"/>
      <c r="U24" s="76"/>
      <c r="V24" s="76" t="s">
        <v>136</v>
      </c>
      <c r="W24" s="76"/>
      <c r="X24" s="76"/>
      <c r="Y24" s="76"/>
      <c r="Z24" s="76"/>
    </row>
    <row r="25" spans="1:26" ht="18" customHeight="1" x14ac:dyDescent="0.15">
      <c r="B25" s="141"/>
      <c r="C25" s="142"/>
      <c r="D25" s="74"/>
      <c r="E25" s="108"/>
      <c r="F25" s="75"/>
      <c r="G25" s="76"/>
      <c r="H25" s="76"/>
      <c r="I25" s="76"/>
      <c r="J25" s="76"/>
      <c r="K25" s="76"/>
      <c r="L25" s="76"/>
      <c r="M25" s="76"/>
      <c r="N25" s="76"/>
      <c r="O25" s="76"/>
      <c r="P25" s="77"/>
      <c r="Q25" s="78"/>
      <c r="R25" s="76"/>
      <c r="S25" s="76"/>
      <c r="T25" s="76"/>
      <c r="U25" s="76"/>
      <c r="V25" s="76"/>
      <c r="W25" s="76"/>
      <c r="X25" s="76"/>
      <c r="Y25" s="76"/>
      <c r="Z25" s="76"/>
    </row>
    <row r="26" spans="1:26" ht="18" customHeight="1" x14ac:dyDescent="0.15">
      <c r="B26" s="141"/>
      <c r="C26" s="142"/>
      <c r="D26" s="74"/>
      <c r="E26" s="108"/>
      <c r="F26" s="75"/>
      <c r="G26" s="76"/>
      <c r="H26" s="76"/>
      <c r="I26" s="76"/>
      <c r="J26" s="76"/>
      <c r="K26" s="76"/>
      <c r="L26" s="76"/>
      <c r="M26" s="76"/>
      <c r="N26" s="76"/>
      <c r="O26" s="76"/>
      <c r="P26" s="77"/>
      <c r="Q26" s="78"/>
      <c r="R26" s="76"/>
      <c r="S26" s="76"/>
      <c r="T26" s="76"/>
      <c r="U26" s="76"/>
      <c r="V26" s="76"/>
      <c r="W26" s="76"/>
      <c r="X26" s="76"/>
      <c r="Y26" s="76"/>
      <c r="Z26" s="76"/>
    </row>
    <row r="27" spans="1:26" ht="18" customHeight="1" x14ac:dyDescent="0.15">
      <c r="B27" s="141"/>
      <c r="C27" s="142"/>
      <c r="D27" s="74"/>
      <c r="E27" s="108"/>
      <c r="F27" s="75"/>
      <c r="G27" s="76"/>
      <c r="H27" s="76"/>
      <c r="I27" s="76"/>
      <c r="J27" s="76"/>
      <c r="K27" s="76"/>
      <c r="L27" s="76"/>
      <c r="M27" s="76"/>
      <c r="N27" s="76"/>
      <c r="O27" s="76"/>
      <c r="P27" s="77"/>
      <c r="Q27" s="78"/>
      <c r="R27" s="76"/>
      <c r="S27" s="76"/>
      <c r="T27" s="76"/>
      <c r="U27" s="76"/>
      <c r="V27" s="76"/>
      <c r="W27" s="76"/>
      <c r="X27" s="76"/>
      <c r="Y27" s="76"/>
      <c r="Z27" s="76"/>
    </row>
    <row r="28" spans="1:26" ht="18" customHeight="1" x14ac:dyDescent="0.15">
      <c r="B28" s="141"/>
      <c r="C28" s="142"/>
      <c r="D28" s="74"/>
      <c r="E28" s="108"/>
      <c r="F28" s="75"/>
      <c r="G28" s="76"/>
      <c r="H28" s="76"/>
      <c r="I28" s="76"/>
      <c r="J28" s="76"/>
      <c r="K28" s="76"/>
      <c r="L28" s="76"/>
      <c r="M28" s="76"/>
      <c r="N28" s="76"/>
      <c r="O28" s="76"/>
      <c r="P28" s="77"/>
      <c r="Q28" s="78"/>
      <c r="R28" s="76"/>
      <c r="S28" s="76"/>
      <c r="T28" s="76"/>
      <c r="U28" s="76"/>
      <c r="V28" s="76"/>
      <c r="W28" s="76"/>
      <c r="X28" s="76"/>
      <c r="Y28" s="76"/>
      <c r="Z28" s="76"/>
    </row>
    <row r="29" spans="1:26" ht="18" customHeight="1" x14ac:dyDescent="0.15">
      <c r="B29" s="141"/>
      <c r="C29" s="142"/>
      <c r="D29" s="74"/>
      <c r="E29" s="108"/>
      <c r="F29" s="75"/>
      <c r="G29" s="76"/>
      <c r="H29" s="76"/>
      <c r="I29" s="76"/>
      <c r="J29" s="76"/>
      <c r="K29" s="76"/>
      <c r="L29" s="76"/>
      <c r="M29" s="76"/>
      <c r="N29" s="76"/>
      <c r="O29" s="76"/>
      <c r="P29" s="77"/>
      <c r="Q29" s="78"/>
      <c r="R29" s="76"/>
      <c r="S29" s="76"/>
      <c r="T29" s="76"/>
      <c r="U29" s="76"/>
      <c r="V29" s="76"/>
      <c r="W29" s="76"/>
      <c r="X29" s="76"/>
      <c r="Y29" s="76"/>
      <c r="Z29" s="76"/>
    </row>
    <row r="30" spans="1:26" ht="18" customHeight="1" x14ac:dyDescent="0.15">
      <c r="B30" s="141"/>
      <c r="C30" s="142"/>
      <c r="D30" s="74"/>
      <c r="E30" s="108"/>
      <c r="F30" s="75"/>
      <c r="G30" s="76"/>
      <c r="H30" s="76"/>
      <c r="I30" s="76"/>
      <c r="J30" s="76"/>
      <c r="K30" s="76"/>
      <c r="L30" s="76"/>
      <c r="M30" s="76"/>
      <c r="N30" s="76"/>
      <c r="O30" s="76"/>
      <c r="P30" s="77"/>
      <c r="Q30" s="78"/>
      <c r="R30" s="76"/>
      <c r="S30" s="76"/>
      <c r="T30" s="76"/>
      <c r="U30" s="76"/>
      <c r="V30" s="76"/>
      <c r="W30" s="76"/>
      <c r="X30" s="76"/>
      <c r="Y30" s="76"/>
      <c r="Z30" s="76"/>
    </row>
    <row r="31" spans="1:26" ht="18" customHeight="1" x14ac:dyDescent="0.15">
      <c r="B31" s="141"/>
      <c r="C31" s="142"/>
      <c r="D31" s="74"/>
      <c r="E31" s="108"/>
      <c r="F31" s="75"/>
      <c r="G31" s="76"/>
      <c r="H31" s="76"/>
      <c r="I31" s="76"/>
      <c r="J31" s="76"/>
      <c r="K31" s="76"/>
      <c r="L31" s="76"/>
      <c r="M31" s="76"/>
      <c r="N31" s="76"/>
      <c r="O31" s="76"/>
      <c r="P31" s="77"/>
      <c r="Q31" s="78"/>
      <c r="R31" s="76"/>
      <c r="S31" s="76"/>
      <c r="T31" s="76"/>
      <c r="U31" s="76"/>
      <c r="V31" s="76"/>
      <c r="W31" s="76"/>
      <c r="X31" s="76"/>
      <c r="Y31" s="76"/>
      <c r="Z31" s="76"/>
    </row>
    <row r="32" spans="1:26" ht="18" customHeight="1" x14ac:dyDescent="0.15">
      <c r="B32" s="141"/>
      <c r="C32" s="142"/>
      <c r="D32" s="79"/>
      <c r="E32" s="109"/>
      <c r="F32" s="80"/>
      <c r="G32" s="81"/>
      <c r="H32" s="81"/>
      <c r="I32" s="81"/>
      <c r="J32" s="81"/>
      <c r="K32" s="81"/>
      <c r="L32" s="81"/>
      <c r="M32" s="81"/>
      <c r="N32" s="81"/>
      <c r="O32" s="81"/>
      <c r="P32" s="82"/>
      <c r="Q32" s="83"/>
      <c r="R32" s="81"/>
      <c r="S32" s="81"/>
      <c r="T32" s="81"/>
      <c r="U32" s="81"/>
      <c r="V32" s="81"/>
      <c r="W32" s="81"/>
      <c r="X32" s="81"/>
      <c r="Y32" s="81"/>
      <c r="Z32" s="81"/>
    </row>
    <row r="33" spans="2:26" ht="18" customHeight="1" x14ac:dyDescent="0.15">
      <c r="B33" s="139" t="s">
        <v>38</v>
      </c>
      <c r="C33" s="140"/>
      <c r="D33" s="84"/>
      <c r="E33" s="110"/>
      <c r="F33" s="85"/>
      <c r="G33" s="86"/>
      <c r="H33" s="86"/>
      <c r="I33" s="86"/>
      <c r="J33" s="86"/>
      <c r="K33" s="86"/>
      <c r="L33" s="86"/>
      <c r="M33" s="86"/>
      <c r="N33" s="86"/>
      <c r="O33" s="86"/>
      <c r="P33" s="87"/>
      <c r="Q33" s="88"/>
      <c r="R33" s="86"/>
      <c r="S33" s="86"/>
      <c r="T33" s="86"/>
      <c r="U33" s="86"/>
      <c r="V33" s="86"/>
      <c r="W33" s="86"/>
      <c r="X33" s="86"/>
      <c r="Y33" s="86"/>
      <c r="Z33" s="86"/>
    </row>
    <row r="34" spans="2:26" ht="18" customHeight="1" x14ac:dyDescent="0.15">
      <c r="B34" s="141"/>
      <c r="C34" s="142"/>
      <c r="D34" s="74"/>
      <c r="E34" s="108"/>
      <c r="F34" s="75"/>
      <c r="G34" s="76"/>
      <c r="H34" s="76"/>
      <c r="I34" s="76"/>
      <c r="J34" s="76"/>
      <c r="K34" s="76"/>
      <c r="L34" s="76"/>
      <c r="M34" s="76"/>
      <c r="N34" s="76"/>
      <c r="O34" s="76"/>
      <c r="P34" s="77"/>
      <c r="Q34" s="78"/>
      <c r="R34" s="76"/>
      <c r="S34" s="76"/>
      <c r="T34" s="76"/>
      <c r="U34" s="76"/>
      <c r="V34" s="76"/>
      <c r="W34" s="76"/>
      <c r="X34" s="76"/>
      <c r="Y34" s="76"/>
      <c r="Z34" s="76"/>
    </row>
    <row r="35" spans="2:26" ht="18" customHeight="1" x14ac:dyDescent="0.15">
      <c r="B35" s="141"/>
      <c r="C35" s="142"/>
      <c r="D35" s="74"/>
      <c r="E35" s="108"/>
      <c r="F35" s="75"/>
      <c r="G35" s="76"/>
      <c r="H35" s="76"/>
      <c r="I35" s="76"/>
      <c r="J35" s="76"/>
      <c r="K35" s="76"/>
      <c r="L35" s="76"/>
      <c r="M35" s="76"/>
      <c r="N35" s="76"/>
      <c r="O35" s="76"/>
      <c r="P35" s="77"/>
      <c r="Q35" s="78"/>
      <c r="R35" s="76"/>
      <c r="S35" s="76"/>
      <c r="T35" s="76"/>
      <c r="U35" s="76"/>
      <c r="V35" s="76"/>
      <c r="W35" s="76"/>
      <c r="X35" s="76"/>
      <c r="Y35" s="76"/>
      <c r="Z35" s="76"/>
    </row>
    <row r="36" spans="2:26" ht="18" customHeight="1" x14ac:dyDescent="0.15">
      <c r="B36" s="141"/>
      <c r="C36" s="142"/>
      <c r="D36" s="74"/>
      <c r="E36" s="108"/>
      <c r="F36" s="75"/>
      <c r="G36" s="76"/>
      <c r="H36" s="76"/>
      <c r="I36" s="76"/>
      <c r="J36" s="76"/>
      <c r="K36" s="76"/>
      <c r="L36" s="76"/>
      <c r="M36" s="76"/>
      <c r="N36" s="76"/>
      <c r="O36" s="76"/>
      <c r="P36" s="77"/>
      <c r="Q36" s="78"/>
      <c r="R36" s="76"/>
      <c r="S36" s="76"/>
      <c r="T36" s="76"/>
      <c r="U36" s="76"/>
      <c r="V36" s="76"/>
      <c r="W36" s="76"/>
      <c r="X36" s="76"/>
      <c r="Y36" s="76"/>
      <c r="Z36" s="76"/>
    </row>
    <row r="37" spans="2:26" ht="18" customHeight="1" x14ac:dyDescent="0.15">
      <c r="B37" s="141"/>
      <c r="C37" s="142"/>
      <c r="D37" s="74"/>
      <c r="E37" s="108"/>
      <c r="F37" s="75"/>
      <c r="G37" s="76"/>
      <c r="H37" s="76"/>
      <c r="I37" s="76"/>
      <c r="J37" s="76"/>
      <c r="K37" s="76"/>
      <c r="L37" s="76"/>
      <c r="M37" s="76"/>
      <c r="N37" s="76"/>
      <c r="O37" s="76"/>
      <c r="P37" s="77"/>
      <c r="Q37" s="78"/>
      <c r="R37" s="76"/>
      <c r="S37" s="76"/>
      <c r="T37" s="76"/>
      <c r="U37" s="76"/>
      <c r="V37" s="76"/>
      <c r="W37" s="76"/>
      <c r="X37" s="76"/>
      <c r="Y37" s="76"/>
      <c r="Z37" s="76"/>
    </row>
    <row r="38" spans="2:26" ht="18" customHeight="1" x14ac:dyDescent="0.15">
      <c r="B38" s="141"/>
      <c r="C38" s="142"/>
      <c r="D38" s="74"/>
      <c r="E38" s="108"/>
      <c r="F38" s="75"/>
      <c r="G38" s="76"/>
      <c r="H38" s="76"/>
      <c r="I38" s="76"/>
      <c r="J38" s="76"/>
      <c r="K38" s="76"/>
      <c r="L38" s="76"/>
      <c r="M38" s="76"/>
      <c r="N38" s="76"/>
      <c r="O38" s="76"/>
      <c r="P38" s="77"/>
      <c r="Q38" s="78"/>
      <c r="R38" s="76"/>
      <c r="S38" s="76"/>
      <c r="T38" s="76"/>
      <c r="U38" s="76"/>
      <c r="V38" s="76"/>
      <c r="W38" s="76"/>
      <c r="X38" s="76"/>
      <c r="Y38" s="76"/>
      <c r="Z38" s="76"/>
    </row>
    <row r="39" spans="2:26" ht="18" customHeight="1" x14ac:dyDescent="0.15">
      <c r="B39" s="141"/>
      <c r="C39" s="142"/>
      <c r="D39" s="74"/>
      <c r="E39" s="108"/>
      <c r="F39" s="75"/>
      <c r="G39" s="76"/>
      <c r="H39" s="76"/>
      <c r="I39" s="76"/>
      <c r="J39" s="76"/>
      <c r="K39" s="76"/>
      <c r="L39" s="76"/>
      <c r="M39" s="76"/>
      <c r="N39" s="76"/>
      <c r="O39" s="76"/>
      <c r="P39" s="77"/>
      <c r="Q39" s="78"/>
      <c r="R39" s="76"/>
      <c r="S39" s="76"/>
      <c r="T39" s="76"/>
      <c r="U39" s="76"/>
      <c r="V39" s="76"/>
      <c r="W39" s="76"/>
      <c r="X39" s="76"/>
      <c r="Y39" s="76"/>
      <c r="Z39" s="76"/>
    </row>
    <row r="40" spans="2:26" ht="18" customHeight="1" x14ac:dyDescent="0.15">
      <c r="B40" s="141"/>
      <c r="C40" s="142"/>
      <c r="D40" s="74"/>
      <c r="E40" s="108"/>
      <c r="F40" s="75"/>
      <c r="G40" s="76"/>
      <c r="H40" s="76"/>
      <c r="I40" s="76"/>
      <c r="J40" s="76"/>
      <c r="K40" s="76"/>
      <c r="L40" s="76"/>
      <c r="M40" s="76"/>
      <c r="N40" s="76"/>
      <c r="O40" s="76"/>
      <c r="P40" s="77"/>
      <c r="Q40" s="78"/>
      <c r="R40" s="76"/>
      <c r="S40" s="76"/>
      <c r="T40" s="76"/>
      <c r="U40" s="76"/>
      <c r="V40" s="76"/>
      <c r="W40" s="76"/>
      <c r="X40" s="76"/>
      <c r="Y40" s="76"/>
      <c r="Z40" s="76"/>
    </row>
    <row r="41" spans="2:26" ht="18" customHeight="1" x14ac:dyDescent="0.15">
      <c r="B41" s="141"/>
      <c r="C41" s="142"/>
      <c r="D41" s="74"/>
      <c r="E41" s="108"/>
      <c r="F41" s="75"/>
      <c r="G41" s="76"/>
      <c r="H41" s="76"/>
      <c r="I41" s="76"/>
      <c r="J41" s="76"/>
      <c r="K41" s="76"/>
      <c r="L41" s="76"/>
      <c r="M41" s="76"/>
      <c r="N41" s="76"/>
      <c r="O41" s="76"/>
      <c r="P41" s="77"/>
      <c r="Q41" s="78"/>
      <c r="R41" s="76"/>
      <c r="S41" s="76"/>
      <c r="T41" s="76"/>
      <c r="U41" s="76"/>
      <c r="V41" s="76"/>
      <c r="W41" s="76"/>
      <c r="X41" s="76"/>
      <c r="Y41" s="76"/>
      <c r="Z41" s="76"/>
    </row>
    <row r="42" spans="2:26" ht="18" customHeight="1" x14ac:dyDescent="0.15">
      <c r="B42" s="153"/>
      <c r="C42" s="154"/>
      <c r="D42" s="79"/>
      <c r="E42" s="111"/>
      <c r="F42" s="80"/>
      <c r="G42" s="81"/>
      <c r="H42" s="81"/>
      <c r="I42" s="81"/>
      <c r="J42" s="81"/>
      <c r="K42" s="81"/>
      <c r="L42" s="81"/>
      <c r="M42" s="81"/>
      <c r="N42" s="81"/>
      <c r="O42" s="81"/>
      <c r="P42" s="82"/>
      <c r="Q42" s="83"/>
      <c r="R42" s="81"/>
      <c r="S42" s="81"/>
      <c r="T42" s="81"/>
      <c r="U42" s="81"/>
      <c r="V42" s="81"/>
      <c r="W42" s="81"/>
      <c r="X42" s="81"/>
      <c r="Y42" s="81"/>
      <c r="Z42" s="81"/>
    </row>
    <row r="43" spans="2:26" ht="18" customHeight="1" x14ac:dyDescent="0.15">
      <c r="B43" s="155" t="s">
        <v>39</v>
      </c>
      <c r="C43" s="156"/>
      <c r="D43" s="74"/>
      <c r="E43" s="108"/>
      <c r="F43" s="75"/>
      <c r="G43" s="76"/>
      <c r="H43" s="76"/>
      <c r="I43" s="76"/>
      <c r="J43" s="76"/>
      <c r="K43" s="76"/>
      <c r="L43" s="76"/>
      <c r="M43" s="76"/>
      <c r="N43" s="76"/>
      <c r="O43" s="76"/>
      <c r="P43" s="77"/>
      <c r="Q43" s="78"/>
      <c r="R43" s="76"/>
      <c r="S43" s="76"/>
      <c r="T43" s="76"/>
      <c r="U43" s="76"/>
      <c r="V43" s="76"/>
      <c r="W43" s="76"/>
      <c r="X43" s="76"/>
      <c r="Y43" s="76"/>
      <c r="Z43" s="76"/>
    </row>
    <row r="44" spans="2:26" ht="18" customHeight="1" x14ac:dyDescent="0.15">
      <c r="B44" s="155"/>
      <c r="C44" s="156"/>
      <c r="D44" s="74"/>
      <c r="E44" s="108"/>
      <c r="F44" s="75"/>
      <c r="G44" s="76"/>
      <c r="H44" s="76"/>
      <c r="I44" s="76"/>
      <c r="J44" s="76"/>
      <c r="K44" s="76"/>
      <c r="L44" s="76"/>
      <c r="M44" s="76"/>
      <c r="N44" s="76"/>
      <c r="O44" s="76"/>
      <c r="P44" s="77"/>
      <c r="Q44" s="78"/>
      <c r="R44" s="76"/>
      <c r="S44" s="76"/>
      <c r="T44" s="76"/>
      <c r="U44" s="76"/>
      <c r="V44" s="76"/>
      <c r="W44" s="76"/>
      <c r="X44" s="76"/>
      <c r="Y44" s="76"/>
      <c r="Z44" s="76"/>
    </row>
    <row r="45" spans="2:26" ht="18" customHeight="1" x14ac:dyDescent="0.15">
      <c r="B45" s="155"/>
      <c r="C45" s="156"/>
      <c r="D45" s="74"/>
      <c r="E45" s="108"/>
      <c r="F45" s="75"/>
      <c r="G45" s="76"/>
      <c r="H45" s="76"/>
      <c r="I45" s="76"/>
      <c r="J45" s="76"/>
      <c r="K45" s="76"/>
      <c r="L45" s="76"/>
      <c r="M45" s="76"/>
      <c r="N45" s="76"/>
      <c r="O45" s="76"/>
      <c r="P45" s="77"/>
      <c r="Q45" s="78"/>
      <c r="R45" s="76"/>
      <c r="S45" s="76"/>
      <c r="T45" s="76"/>
      <c r="U45" s="76"/>
      <c r="V45" s="76"/>
      <c r="W45" s="76"/>
      <c r="X45" s="76"/>
      <c r="Y45" s="76"/>
      <c r="Z45" s="76"/>
    </row>
    <row r="46" spans="2:26" ht="18" customHeight="1" x14ac:dyDescent="0.15">
      <c r="B46" s="155"/>
      <c r="C46" s="156"/>
      <c r="D46" s="74"/>
      <c r="E46" s="108"/>
      <c r="F46" s="75"/>
      <c r="G46" s="76"/>
      <c r="H46" s="76"/>
      <c r="I46" s="76"/>
      <c r="J46" s="76"/>
      <c r="K46" s="76"/>
      <c r="L46" s="76"/>
      <c r="M46" s="76"/>
      <c r="N46" s="76"/>
      <c r="O46" s="76"/>
      <c r="P46" s="77"/>
      <c r="Q46" s="78"/>
      <c r="R46" s="76"/>
      <c r="S46" s="76"/>
      <c r="T46" s="76"/>
      <c r="U46" s="76"/>
      <c r="V46" s="76"/>
      <c r="W46" s="76"/>
      <c r="X46" s="76"/>
      <c r="Y46" s="76"/>
      <c r="Z46" s="76"/>
    </row>
    <row r="47" spans="2:26" ht="18" customHeight="1" x14ac:dyDescent="0.15">
      <c r="B47" s="155"/>
      <c r="C47" s="156"/>
      <c r="D47" s="74"/>
      <c r="E47" s="108"/>
      <c r="F47" s="75"/>
      <c r="G47" s="76"/>
      <c r="H47" s="76"/>
      <c r="I47" s="76"/>
      <c r="J47" s="76"/>
      <c r="K47" s="76"/>
      <c r="L47" s="76"/>
      <c r="M47" s="76"/>
      <c r="N47" s="76"/>
      <c r="O47" s="76"/>
      <c r="P47" s="77"/>
      <c r="Q47" s="78"/>
      <c r="R47" s="76"/>
      <c r="S47" s="76"/>
      <c r="T47" s="76"/>
      <c r="U47" s="76"/>
      <c r="V47" s="76"/>
      <c r="W47" s="76"/>
      <c r="X47" s="76"/>
      <c r="Y47" s="76"/>
      <c r="Z47" s="76"/>
    </row>
    <row r="48" spans="2:26" ht="18" customHeight="1" x14ac:dyDescent="0.15">
      <c r="B48" s="155"/>
      <c r="C48" s="156"/>
      <c r="D48" s="74"/>
      <c r="E48" s="108"/>
      <c r="F48" s="75"/>
      <c r="G48" s="76"/>
      <c r="H48" s="76"/>
      <c r="I48" s="76"/>
      <c r="J48" s="76"/>
      <c r="K48" s="76"/>
      <c r="L48" s="76"/>
      <c r="M48" s="76"/>
      <c r="N48" s="76"/>
      <c r="O48" s="76"/>
      <c r="P48" s="77"/>
      <c r="Q48" s="78"/>
      <c r="R48" s="76"/>
      <c r="S48" s="76"/>
      <c r="T48" s="76"/>
      <c r="U48" s="76"/>
      <c r="V48" s="76"/>
      <c r="W48" s="76"/>
      <c r="X48" s="76"/>
      <c r="Y48" s="76"/>
      <c r="Z48" s="76"/>
    </row>
    <row r="49" spans="1:26" ht="18" customHeight="1" x14ac:dyDescent="0.15">
      <c r="B49" s="155"/>
      <c r="C49" s="156"/>
      <c r="D49" s="74"/>
      <c r="E49" s="108"/>
      <c r="F49" s="75"/>
      <c r="G49" s="76"/>
      <c r="H49" s="76"/>
      <c r="I49" s="76"/>
      <c r="J49" s="76"/>
      <c r="K49" s="76"/>
      <c r="L49" s="76"/>
      <c r="M49" s="76"/>
      <c r="N49" s="76"/>
      <c r="O49" s="76"/>
      <c r="P49" s="77"/>
      <c r="Q49" s="78"/>
      <c r="R49" s="76"/>
      <c r="S49" s="76"/>
      <c r="T49" s="76"/>
      <c r="U49" s="76"/>
      <c r="V49" s="76"/>
      <c r="W49" s="76"/>
      <c r="X49" s="76"/>
      <c r="Y49" s="76"/>
      <c r="Z49" s="76"/>
    </row>
    <row r="50" spans="1:26" ht="18" customHeight="1" x14ac:dyDescent="0.15">
      <c r="B50" s="155"/>
      <c r="C50" s="156"/>
      <c r="D50" s="74"/>
      <c r="E50" s="108"/>
      <c r="F50" s="75"/>
      <c r="G50" s="76"/>
      <c r="H50" s="76"/>
      <c r="I50" s="76"/>
      <c r="J50" s="76"/>
      <c r="K50" s="76"/>
      <c r="L50" s="76"/>
      <c r="M50" s="76"/>
      <c r="N50" s="76"/>
      <c r="O50" s="76"/>
      <c r="P50" s="77"/>
      <c r="Q50" s="78"/>
      <c r="R50" s="76"/>
      <c r="S50" s="76"/>
      <c r="T50" s="76"/>
      <c r="U50" s="76"/>
      <c r="V50" s="76"/>
      <c r="W50" s="76"/>
      <c r="X50" s="76"/>
      <c r="Y50" s="76"/>
      <c r="Z50" s="76"/>
    </row>
    <row r="51" spans="1:26" ht="18" customHeight="1" x14ac:dyDescent="0.15">
      <c r="B51" s="155"/>
      <c r="C51" s="156"/>
      <c r="D51" s="74"/>
      <c r="E51" s="108"/>
      <c r="F51" s="75"/>
      <c r="G51" s="76"/>
      <c r="H51" s="76"/>
      <c r="I51" s="76"/>
      <c r="J51" s="76"/>
      <c r="K51" s="76"/>
      <c r="L51" s="76"/>
      <c r="M51" s="76"/>
      <c r="N51" s="76"/>
      <c r="O51" s="76"/>
      <c r="P51" s="77"/>
      <c r="Q51" s="78"/>
      <c r="R51" s="76"/>
      <c r="S51" s="76"/>
      <c r="T51" s="76"/>
      <c r="U51" s="76"/>
      <c r="V51" s="76"/>
      <c r="W51" s="76"/>
      <c r="X51" s="76"/>
      <c r="Y51" s="76"/>
      <c r="Z51" s="76"/>
    </row>
    <row r="52" spans="1:26" ht="18" customHeight="1" thickBot="1" x14ac:dyDescent="0.2">
      <c r="B52" s="157"/>
      <c r="C52" s="158"/>
      <c r="D52" s="79"/>
      <c r="E52" s="111"/>
      <c r="F52" s="89"/>
      <c r="G52" s="90"/>
      <c r="H52" s="90"/>
      <c r="I52" s="90"/>
      <c r="J52" s="90"/>
      <c r="K52" s="90"/>
      <c r="L52" s="90"/>
      <c r="M52" s="90"/>
      <c r="N52" s="90"/>
      <c r="O52" s="90"/>
      <c r="P52" s="91"/>
      <c r="Q52" s="83"/>
      <c r="R52" s="81"/>
      <c r="S52" s="81"/>
      <c r="T52" s="81"/>
      <c r="U52" s="81"/>
      <c r="V52" s="81"/>
      <c r="W52" s="81"/>
      <c r="X52" s="81"/>
      <c r="Y52" s="81"/>
      <c r="Z52" s="81"/>
    </row>
    <row r="53" spans="1:26" ht="18" customHeight="1" x14ac:dyDescent="0.15">
      <c r="A53" s="123"/>
      <c r="B53" s="32"/>
      <c r="C53" s="32"/>
      <c r="D53" s="32"/>
      <c r="E53" s="32"/>
      <c r="F53" s="32"/>
      <c r="G53" s="130"/>
      <c r="H53" s="130"/>
      <c r="I53" s="130"/>
      <c r="J53" s="130"/>
      <c r="K53" s="130"/>
      <c r="L53" s="130"/>
      <c r="M53" s="130"/>
      <c r="N53" s="130"/>
      <c r="O53" s="130"/>
      <c r="P53" s="32"/>
      <c r="Q53" s="32"/>
      <c r="R53" s="32"/>
      <c r="S53" s="32"/>
      <c r="T53" s="32"/>
      <c r="U53" s="32"/>
      <c r="V53" s="32"/>
      <c r="W53" s="130"/>
      <c r="X53" s="130"/>
      <c r="Y53" s="130"/>
      <c r="Z53" s="130"/>
    </row>
    <row r="54" spans="1:26" ht="18.75" customHeight="1" x14ac:dyDescent="0.15">
      <c r="A54" s="113" t="s">
        <v>40</v>
      </c>
    </row>
    <row r="55" spans="1:26" ht="18.75" customHeight="1" x14ac:dyDescent="0.15">
      <c r="B55" s="162" t="s">
        <v>41</v>
      </c>
      <c r="C55" s="163"/>
      <c r="D55" s="125" t="s">
        <v>42</v>
      </c>
    </row>
    <row r="56" spans="1:26" ht="79.900000000000006" customHeight="1" x14ac:dyDescent="0.15">
      <c r="B56" s="159" t="s">
        <v>43</v>
      </c>
      <c r="C56" s="92" t="s">
        <v>16</v>
      </c>
      <c r="D56" s="57" t="s">
        <v>163</v>
      </c>
      <c r="E56" s="93"/>
      <c r="F56" s="93"/>
      <c r="G56" s="93"/>
      <c r="H56" s="93"/>
      <c r="I56" s="93"/>
      <c r="J56" s="93"/>
      <c r="K56" s="93"/>
      <c r="L56" s="93"/>
      <c r="M56" s="93"/>
      <c r="N56" s="93"/>
      <c r="O56" s="93"/>
      <c r="P56" s="93"/>
      <c r="Q56" s="93"/>
      <c r="R56" s="93"/>
      <c r="S56" s="93"/>
      <c r="T56" s="93"/>
      <c r="U56" s="93"/>
      <c r="V56" s="93"/>
      <c r="W56" s="93"/>
      <c r="X56" s="93"/>
      <c r="Y56" s="93"/>
      <c r="Z56" s="93"/>
    </row>
    <row r="57" spans="1:26" ht="79.900000000000006" customHeight="1" x14ac:dyDescent="0.15">
      <c r="B57" s="160"/>
      <c r="C57" s="94" t="s">
        <v>44</v>
      </c>
      <c r="D57" s="132" t="s">
        <v>164</v>
      </c>
      <c r="E57" s="95"/>
      <c r="F57" s="95"/>
      <c r="G57" s="95"/>
      <c r="H57" s="95"/>
      <c r="I57" s="95"/>
      <c r="J57" s="95"/>
      <c r="K57" s="95"/>
      <c r="L57" s="95"/>
      <c r="M57" s="95"/>
      <c r="N57" s="95"/>
      <c r="O57" s="95"/>
      <c r="P57" s="95"/>
      <c r="Q57" s="95"/>
      <c r="R57" s="95"/>
      <c r="S57" s="95"/>
      <c r="T57" s="95"/>
      <c r="U57" s="95"/>
      <c r="V57" s="95"/>
      <c r="W57" s="95"/>
      <c r="X57" s="95"/>
      <c r="Y57" s="95"/>
      <c r="Z57" s="95"/>
    </row>
    <row r="58" spans="1:26" ht="79.900000000000006" customHeight="1" x14ac:dyDescent="0.15">
      <c r="B58" s="159" t="s">
        <v>45</v>
      </c>
      <c r="C58" s="96" t="s">
        <v>17</v>
      </c>
      <c r="D58" s="131" t="s">
        <v>165</v>
      </c>
      <c r="E58" s="95"/>
      <c r="F58" s="95"/>
      <c r="G58" s="95"/>
      <c r="H58" s="95"/>
      <c r="I58" s="95"/>
      <c r="J58" s="95"/>
      <c r="K58" s="95"/>
      <c r="L58" s="95"/>
      <c r="M58" s="95"/>
      <c r="N58" s="95"/>
      <c r="O58" s="95"/>
      <c r="P58" s="95"/>
      <c r="Q58" s="95"/>
      <c r="R58" s="95"/>
      <c r="S58" s="95"/>
      <c r="T58" s="95"/>
      <c r="U58" s="95"/>
      <c r="V58" s="95"/>
      <c r="W58" s="95"/>
      <c r="X58" s="95"/>
      <c r="Y58" s="95"/>
      <c r="Z58" s="95"/>
    </row>
    <row r="59" spans="1:26" ht="79.900000000000006" customHeight="1" x14ac:dyDescent="0.15">
      <c r="B59" s="161"/>
      <c r="C59" s="97" t="s">
        <v>18</v>
      </c>
      <c r="D59" s="135" t="s">
        <v>155</v>
      </c>
      <c r="E59" s="95"/>
      <c r="F59" s="95"/>
      <c r="G59" s="95"/>
      <c r="H59" s="95"/>
      <c r="I59" s="95"/>
      <c r="J59" s="95"/>
      <c r="K59" s="95"/>
      <c r="L59" s="95"/>
      <c r="M59" s="95"/>
      <c r="N59" s="95"/>
      <c r="O59" s="95"/>
      <c r="P59" s="95"/>
      <c r="Q59" s="95"/>
      <c r="R59" s="95"/>
      <c r="S59" s="95"/>
      <c r="T59" s="95"/>
      <c r="U59" s="95"/>
      <c r="V59" s="95"/>
      <c r="W59" s="95"/>
      <c r="X59" s="95"/>
      <c r="Y59" s="95"/>
      <c r="Z59" s="95"/>
    </row>
    <row r="60" spans="1:26" ht="79.900000000000006" customHeight="1" x14ac:dyDescent="0.15">
      <c r="B60" s="159" t="s">
        <v>46</v>
      </c>
      <c r="C60" s="96" t="s">
        <v>19</v>
      </c>
      <c r="D60" s="57" t="s">
        <v>166</v>
      </c>
      <c r="E60" s="95"/>
      <c r="F60" s="95"/>
      <c r="G60" s="95"/>
      <c r="H60" s="95"/>
      <c r="I60" s="95"/>
      <c r="J60" s="95"/>
      <c r="K60" s="95"/>
      <c r="L60" s="95"/>
      <c r="M60" s="95"/>
      <c r="N60" s="95"/>
      <c r="O60" s="95"/>
      <c r="P60" s="95"/>
      <c r="Q60" s="95"/>
      <c r="R60" s="95"/>
      <c r="S60" s="95"/>
      <c r="T60" s="95"/>
      <c r="U60" s="95"/>
      <c r="V60" s="95"/>
      <c r="W60" s="95"/>
      <c r="X60" s="95"/>
      <c r="Y60" s="95"/>
      <c r="Z60" s="95"/>
    </row>
    <row r="61" spans="1:26" ht="79.900000000000006" customHeight="1" x14ac:dyDescent="0.15">
      <c r="B61" s="161"/>
      <c r="C61" s="98" t="s">
        <v>20</v>
      </c>
      <c r="D61" s="103" t="s">
        <v>167</v>
      </c>
      <c r="E61" s="95"/>
      <c r="F61" s="95"/>
      <c r="G61" s="95"/>
      <c r="H61" s="95"/>
      <c r="I61" s="95"/>
      <c r="J61" s="95"/>
      <c r="K61" s="95"/>
      <c r="L61" s="95"/>
      <c r="M61" s="95"/>
      <c r="N61" s="95"/>
      <c r="O61" s="95"/>
      <c r="P61" s="95"/>
      <c r="Q61" s="95"/>
      <c r="R61" s="95"/>
      <c r="S61" s="95"/>
      <c r="T61" s="95"/>
      <c r="U61" s="95"/>
      <c r="V61" s="95"/>
      <c r="W61" s="95"/>
      <c r="X61" s="95"/>
      <c r="Y61" s="95"/>
      <c r="Z61" s="95"/>
    </row>
    <row r="62" spans="1:26" ht="79.900000000000006" customHeight="1" x14ac:dyDescent="0.15">
      <c r="B62" s="159" t="s">
        <v>47</v>
      </c>
      <c r="C62" s="92" t="s">
        <v>25</v>
      </c>
      <c r="D62" s="57" t="s">
        <v>156</v>
      </c>
      <c r="E62" s="95"/>
      <c r="F62" s="95"/>
      <c r="G62" s="95"/>
      <c r="H62" s="95"/>
      <c r="I62" s="95"/>
      <c r="J62" s="95"/>
      <c r="K62" s="95"/>
      <c r="L62" s="95"/>
      <c r="M62" s="95"/>
      <c r="N62" s="95"/>
      <c r="O62" s="95"/>
      <c r="P62" s="95"/>
      <c r="Q62" s="95"/>
      <c r="R62" s="95"/>
      <c r="S62" s="95"/>
      <c r="T62" s="95"/>
      <c r="U62" s="95"/>
      <c r="V62" s="95"/>
      <c r="W62" s="95"/>
      <c r="X62" s="95"/>
      <c r="Y62" s="95"/>
      <c r="Z62" s="95"/>
    </row>
    <row r="63" spans="1:26" ht="79.900000000000006" customHeight="1" x14ac:dyDescent="0.15">
      <c r="B63" s="161"/>
      <c r="C63" s="97" t="s">
        <v>26</v>
      </c>
      <c r="D63" s="136" t="s">
        <v>170</v>
      </c>
      <c r="E63" s="95"/>
      <c r="F63" s="95"/>
      <c r="G63" s="95"/>
      <c r="H63" s="95"/>
      <c r="I63" s="95"/>
      <c r="J63" s="95"/>
      <c r="K63" s="95"/>
      <c r="L63" s="95"/>
      <c r="M63" s="95"/>
      <c r="N63" s="95"/>
      <c r="O63" s="95"/>
      <c r="P63" s="95"/>
      <c r="Q63" s="95"/>
      <c r="R63" s="95"/>
      <c r="S63" s="95"/>
      <c r="T63" s="95"/>
      <c r="U63" s="95"/>
      <c r="V63" s="95"/>
      <c r="W63" s="95"/>
      <c r="X63" s="95"/>
      <c r="Y63" s="95"/>
      <c r="Z63" s="95"/>
    </row>
    <row r="64" spans="1:26" ht="79.900000000000006" customHeight="1" x14ac:dyDescent="0.15">
      <c r="B64" s="159" t="s">
        <v>48</v>
      </c>
      <c r="C64" s="96" t="s">
        <v>49</v>
      </c>
      <c r="D64" s="137" t="s">
        <v>168</v>
      </c>
      <c r="E64" s="95"/>
      <c r="F64" s="95"/>
      <c r="G64" s="95"/>
      <c r="H64" s="95"/>
      <c r="I64" s="95"/>
      <c r="J64" s="95"/>
      <c r="K64" s="95"/>
      <c r="L64" s="95"/>
      <c r="M64" s="95"/>
      <c r="N64" s="95"/>
      <c r="O64" s="95"/>
      <c r="P64" s="95"/>
      <c r="Q64" s="95"/>
      <c r="R64" s="95"/>
      <c r="S64" s="95"/>
      <c r="T64" s="95"/>
      <c r="U64" s="95"/>
      <c r="V64" s="95"/>
      <c r="W64" s="95"/>
      <c r="X64" s="95"/>
      <c r="Y64" s="95"/>
      <c r="Z64" s="95"/>
    </row>
    <row r="65" spans="1:26" ht="79.900000000000006" customHeight="1" x14ac:dyDescent="0.15">
      <c r="B65" s="160"/>
      <c r="C65" s="99" t="s">
        <v>23</v>
      </c>
      <c r="D65" s="133" t="s">
        <v>169</v>
      </c>
      <c r="E65" s="100"/>
      <c r="F65" s="100"/>
      <c r="G65" s="100"/>
      <c r="H65" s="100"/>
      <c r="I65" s="100"/>
      <c r="J65" s="100"/>
      <c r="K65" s="100"/>
      <c r="L65" s="100"/>
      <c r="M65" s="100"/>
      <c r="N65" s="100"/>
      <c r="O65" s="100"/>
      <c r="P65" s="100"/>
      <c r="Q65" s="100"/>
      <c r="R65" s="100"/>
      <c r="S65" s="100"/>
      <c r="T65" s="100"/>
      <c r="U65" s="100"/>
      <c r="V65" s="100"/>
      <c r="W65" s="100"/>
      <c r="X65" s="100"/>
      <c r="Y65" s="100"/>
      <c r="Z65" s="100"/>
    </row>
    <row r="66" spans="1:26" ht="79.900000000000006" customHeight="1" x14ac:dyDescent="0.15">
      <c r="B66" s="161"/>
      <c r="C66" s="98" t="s">
        <v>24</v>
      </c>
      <c r="D66" s="134" t="s">
        <v>171</v>
      </c>
      <c r="E66" s="100"/>
      <c r="F66" s="100"/>
      <c r="G66" s="100"/>
      <c r="H66" s="100"/>
      <c r="I66" s="100"/>
      <c r="J66" s="100"/>
      <c r="K66" s="100"/>
      <c r="L66" s="100"/>
      <c r="M66" s="100"/>
      <c r="N66" s="100"/>
      <c r="O66" s="100"/>
      <c r="P66" s="100"/>
      <c r="Q66" s="100"/>
      <c r="R66" s="100"/>
      <c r="S66" s="100"/>
      <c r="T66" s="100"/>
      <c r="U66" s="100"/>
      <c r="V66" s="100"/>
      <c r="W66" s="100"/>
      <c r="X66" s="100"/>
      <c r="Y66" s="100"/>
      <c r="Z66" s="100"/>
    </row>
    <row r="67" spans="1:26" ht="6" customHeight="1" x14ac:dyDescent="0.15"/>
    <row r="68" spans="1:26" ht="18.75" customHeight="1" x14ac:dyDescent="0.15">
      <c r="A68" s="113" t="s">
        <v>50</v>
      </c>
    </row>
    <row r="69" spans="1:26" ht="81.75" customHeight="1" x14ac:dyDescent="0.15">
      <c r="B69" s="12"/>
      <c r="C69" s="12"/>
      <c r="D69" s="56" t="s">
        <v>149</v>
      </c>
      <c r="E69" s="12"/>
      <c r="F69" s="12"/>
      <c r="G69" s="12"/>
      <c r="H69" s="12"/>
      <c r="I69" s="12"/>
      <c r="J69" s="12"/>
      <c r="K69" s="12"/>
      <c r="L69" s="12"/>
      <c r="M69" s="12"/>
      <c r="N69" s="12"/>
      <c r="O69" s="12"/>
      <c r="P69" s="12"/>
      <c r="Q69" s="12"/>
      <c r="R69" s="12"/>
      <c r="S69" s="12"/>
      <c r="T69" s="12"/>
      <c r="U69" s="12"/>
      <c r="V69" s="12"/>
      <c r="W69" s="12"/>
      <c r="X69" s="12"/>
      <c r="Y69" s="12"/>
      <c r="Z69" s="12"/>
    </row>
    <row r="72" spans="1:26" ht="18" customHeight="1" x14ac:dyDescent="0.15"/>
  </sheetData>
  <mergeCells count="19">
    <mergeCell ref="B33:C42"/>
    <mergeCell ref="A1:Z1"/>
    <mergeCell ref="Y3:Z3"/>
    <mergeCell ref="B4:C4"/>
    <mergeCell ref="B5:C5"/>
    <mergeCell ref="A7:Z7"/>
    <mergeCell ref="A9:B9"/>
    <mergeCell ref="A11:B11"/>
    <mergeCell ref="A13:B13"/>
    <mergeCell ref="A15:B15"/>
    <mergeCell ref="F21:Z21"/>
    <mergeCell ref="B23:C32"/>
    <mergeCell ref="B64:B66"/>
    <mergeCell ref="B43:C52"/>
    <mergeCell ref="B55:C55"/>
    <mergeCell ref="B56:B57"/>
    <mergeCell ref="B58:B59"/>
    <mergeCell ref="B60:B61"/>
    <mergeCell ref="B62:B63"/>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3">
      <formula>#REF!="学部・学科によって、修了要件は相違しない"</formula>
    </cfRule>
  </conditionalFormatting>
  <dataValidations count="4">
    <dataValidation type="list" allowBlank="1" showInputMessage="1" showErrorMessage="1" sqref="F23:Z52" xr:uid="{21304404-5F06-44C6-9937-5CF2E8D5B29F}">
      <formula1>"○"</formula1>
    </dataValidation>
    <dataValidation type="list" allowBlank="1" showInputMessage="1" showErrorMessage="1" sqref="D9" xr:uid="{6D1ACD56-2DE7-42E5-8058-B2FB45066AC7}">
      <formula1>"学部・学科によって、修了要件は相違する,学部・学科によって、修了要件は相違しない"</formula1>
    </dataValidation>
    <dataValidation type="list" allowBlank="1" showInputMessage="1" showErrorMessage="1" sqref="G53:O53 W53:Z53" xr:uid="{4A069E3D-FAB3-417C-A866-AA6B7BCBCC0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B496FB85-8807-4C31-B7CA-69AD9AB4D1E8}">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K18" sqref="K18"/>
    </sheetView>
  </sheetViews>
  <sheetFormatPr defaultColWidth="9" defaultRowHeight="18.75" customHeight="1" x14ac:dyDescent="0.15"/>
  <cols>
    <col min="1" max="1" width="2.75" style="6" customWidth="1"/>
    <col min="2" max="2" width="27.875" style="6" customWidth="1"/>
    <col min="3" max="3" width="8" style="6" customWidth="1"/>
    <col min="4" max="4" width="8.25" style="6" customWidth="1"/>
    <col min="5" max="19" width="6.125" style="6" customWidth="1"/>
    <col min="20" max="20" width="6.75" style="6" customWidth="1"/>
    <col min="21" max="16384" width="9" style="6"/>
  </cols>
  <sheetData>
    <row r="1" spans="1:22" ht="18" customHeight="1" x14ac:dyDescent="0.15">
      <c r="A1" s="113"/>
      <c r="B1" s="113"/>
      <c r="C1" s="113"/>
      <c r="D1" s="113"/>
      <c r="E1" s="113"/>
      <c r="F1" s="113"/>
      <c r="G1" s="113"/>
      <c r="H1" s="113"/>
      <c r="I1" s="113"/>
      <c r="J1" s="113"/>
      <c r="K1" s="113"/>
      <c r="L1" s="113"/>
      <c r="M1" s="113"/>
      <c r="N1" s="113"/>
      <c r="O1" s="113"/>
      <c r="P1" s="113"/>
      <c r="Q1" s="113"/>
      <c r="R1" s="113"/>
      <c r="S1" s="113"/>
      <c r="T1" s="113" t="s">
        <v>51</v>
      </c>
      <c r="U1" s="113"/>
      <c r="V1" s="113"/>
    </row>
    <row r="2" spans="1:22" ht="18" customHeight="1" x14ac:dyDescent="0.15">
      <c r="A2" s="167" t="s">
        <v>52</v>
      </c>
      <c r="B2" s="167"/>
      <c r="C2" s="167"/>
      <c r="D2" s="167"/>
      <c r="E2" s="167"/>
      <c r="F2" s="167"/>
      <c r="G2" s="167"/>
      <c r="H2" s="167"/>
      <c r="I2" s="167"/>
      <c r="J2" s="167"/>
      <c r="K2" s="167"/>
      <c r="L2" s="167"/>
      <c r="M2" s="167"/>
      <c r="N2" s="167"/>
      <c r="O2" s="167"/>
      <c r="P2" s="167"/>
      <c r="Q2" s="167"/>
      <c r="R2" s="167"/>
      <c r="S2" s="167"/>
      <c r="T2" s="167"/>
      <c r="U2" s="113"/>
      <c r="V2" s="113"/>
    </row>
    <row r="3" spans="1:22" ht="7.5" customHeight="1" x14ac:dyDescent="0.15">
      <c r="A3" s="112"/>
      <c r="B3" s="112"/>
      <c r="C3" s="112"/>
      <c r="D3" s="112"/>
      <c r="E3" s="112"/>
      <c r="F3" s="112"/>
      <c r="G3" s="112"/>
      <c r="H3" s="112"/>
      <c r="I3" s="112"/>
      <c r="J3" s="112"/>
      <c r="K3" s="112"/>
      <c r="L3" s="112"/>
      <c r="M3" s="112"/>
      <c r="N3" s="112"/>
      <c r="O3" s="112"/>
      <c r="P3" s="112"/>
      <c r="Q3" s="112"/>
      <c r="R3" s="112"/>
      <c r="S3" s="112"/>
      <c r="T3" s="112"/>
      <c r="U3" s="113"/>
      <c r="V3" s="113"/>
    </row>
    <row r="4" spans="1:22" ht="18" customHeight="1" x14ac:dyDescent="0.15">
      <c r="A4" s="113" t="s">
        <v>53</v>
      </c>
      <c r="B4" s="113"/>
      <c r="C4" s="16" t="s">
        <v>172</v>
      </c>
      <c r="D4" s="113" t="s">
        <v>54</v>
      </c>
      <c r="E4" s="32"/>
      <c r="F4" s="114"/>
      <c r="G4" s="112"/>
      <c r="H4" s="112"/>
      <c r="I4" s="112"/>
      <c r="J4" s="112"/>
      <c r="K4" s="112"/>
      <c r="L4" s="112"/>
      <c r="M4" s="112"/>
      <c r="N4" s="112"/>
      <c r="O4" s="112"/>
      <c r="P4" s="112"/>
      <c r="Q4" s="112"/>
      <c r="R4" s="112"/>
      <c r="S4" s="32"/>
      <c r="T4" s="32"/>
      <c r="U4" s="113"/>
      <c r="V4" s="113"/>
    </row>
    <row r="5" spans="1:22" ht="7.15" customHeight="1" x14ac:dyDescent="0.15">
      <c r="A5" s="113"/>
      <c r="B5" s="113"/>
      <c r="C5" s="120"/>
      <c r="D5" s="120"/>
      <c r="E5" s="120"/>
      <c r="F5" s="112"/>
      <c r="G5" s="112"/>
      <c r="H5" s="112"/>
      <c r="I5" s="112"/>
      <c r="J5" s="112"/>
      <c r="K5" s="112"/>
      <c r="L5" s="112"/>
      <c r="M5" s="112"/>
      <c r="N5" s="112"/>
      <c r="O5" s="112"/>
      <c r="P5" s="112"/>
      <c r="Q5" s="112"/>
      <c r="R5" s="112"/>
      <c r="S5" s="32"/>
      <c r="T5" s="32"/>
      <c r="U5" s="113"/>
      <c r="V5" s="113"/>
    </row>
    <row r="6" spans="1:22" ht="18" customHeight="1" x14ac:dyDescent="0.15">
      <c r="A6" s="113" t="s">
        <v>55</v>
      </c>
      <c r="B6" s="112"/>
      <c r="C6" s="112"/>
      <c r="D6" s="112"/>
      <c r="E6" s="112"/>
      <c r="F6" s="112"/>
      <c r="G6" s="112"/>
      <c r="H6" s="112"/>
      <c r="I6" s="112"/>
      <c r="J6" s="112"/>
      <c r="K6" s="112"/>
      <c r="L6" s="112"/>
      <c r="M6" s="112"/>
      <c r="N6" s="112"/>
      <c r="O6" s="112"/>
      <c r="P6" s="112"/>
      <c r="Q6" s="112"/>
      <c r="R6" s="112"/>
      <c r="S6" s="112"/>
      <c r="T6" s="112"/>
      <c r="U6" s="113"/>
      <c r="V6" s="113"/>
    </row>
    <row r="7" spans="1:22" ht="6" customHeight="1" x14ac:dyDescent="0.15">
      <c r="A7" s="113"/>
      <c r="B7" s="112"/>
      <c r="C7" s="112"/>
      <c r="D7" s="112"/>
      <c r="E7" s="112"/>
      <c r="F7" s="112"/>
      <c r="G7" s="112"/>
      <c r="H7" s="112"/>
      <c r="I7" s="112"/>
      <c r="J7" s="112"/>
      <c r="K7" s="112"/>
      <c r="L7" s="112"/>
      <c r="M7" s="112"/>
      <c r="N7" s="112"/>
      <c r="O7" s="112"/>
      <c r="P7" s="112"/>
      <c r="Q7" s="112"/>
      <c r="R7" s="112"/>
      <c r="S7" s="112"/>
      <c r="T7" s="112"/>
      <c r="U7" s="113"/>
      <c r="V7" s="113"/>
    </row>
    <row r="8" spans="1:22" ht="18" customHeight="1" x14ac:dyDescent="0.15">
      <c r="A8" s="113"/>
      <c r="B8" s="168" t="s">
        <v>56</v>
      </c>
      <c r="C8" s="164" t="s">
        <v>57</v>
      </c>
      <c r="D8" s="165"/>
      <c r="E8" s="170" t="s">
        <v>58</v>
      </c>
      <c r="F8" s="164" t="s">
        <v>59</v>
      </c>
      <c r="G8" s="166" t="s">
        <v>60</v>
      </c>
      <c r="H8" s="166"/>
      <c r="I8" s="166" t="s">
        <v>61</v>
      </c>
      <c r="J8" s="166"/>
      <c r="K8" s="166" t="s">
        <v>62</v>
      </c>
      <c r="L8" s="166"/>
      <c r="M8" s="166" t="s">
        <v>63</v>
      </c>
      <c r="N8" s="166"/>
      <c r="O8" s="166" t="s">
        <v>64</v>
      </c>
      <c r="P8" s="166"/>
      <c r="Q8" s="166" t="s">
        <v>65</v>
      </c>
      <c r="R8" s="177"/>
      <c r="S8" s="173" t="s">
        <v>66</v>
      </c>
      <c r="T8" s="175" t="s">
        <v>67</v>
      </c>
      <c r="U8" s="113"/>
      <c r="V8" s="9"/>
    </row>
    <row r="9" spans="1:22" ht="16.899999999999999" customHeight="1" x14ac:dyDescent="0.15">
      <c r="A9" s="113"/>
      <c r="B9" s="169"/>
      <c r="C9" s="1"/>
      <c r="D9" s="2" t="s">
        <v>68</v>
      </c>
      <c r="E9" s="171"/>
      <c r="F9" s="172"/>
      <c r="G9" s="31" t="s">
        <v>69</v>
      </c>
      <c r="H9" s="31" t="s">
        <v>70</v>
      </c>
      <c r="I9" s="31" t="s">
        <v>69</v>
      </c>
      <c r="J9" s="31" t="s">
        <v>70</v>
      </c>
      <c r="K9" s="31" t="s">
        <v>69</v>
      </c>
      <c r="L9" s="31" t="s">
        <v>70</v>
      </c>
      <c r="M9" s="31" t="s">
        <v>69</v>
      </c>
      <c r="N9" s="31" t="s">
        <v>70</v>
      </c>
      <c r="O9" s="31" t="s">
        <v>69</v>
      </c>
      <c r="P9" s="31" t="s">
        <v>70</v>
      </c>
      <c r="Q9" s="31" t="s">
        <v>69</v>
      </c>
      <c r="R9" s="31" t="s">
        <v>70</v>
      </c>
      <c r="S9" s="174"/>
      <c r="T9" s="176"/>
      <c r="U9" s="113"/>
      <c r="V9" s="9"/>
    </row>
    <row r="10" spans="1:22" ht="18" customHeight="1" x14ac:dyDescent="0.15">
      <c r="A10" s="32"/>
      <c r="B10" s="33" t="s">
        <v>173</v>
      </c>
      <c r="C10" s="48">
        <v>143</v>
      </c>
      <c r="D10" s="54">
        <v>115</v>
      </c>
      <c r="E10" s="47">
        <v>60</v>
      </c>
      <c r="F10" s="48">
        <v>240</v>
      </c>
      <c r="G10" s="48">
        <v>27</v>
      </c>
      <c r="H10" s="48">
        <v>27</v>
      </c>
      <c r="I10" s="48">
        <v>33</v>
      </c>
      <c r="J10" s="48">
        <v>33</v>
      </c>
      <c r="K10" s="48"/>
      <c r="L10" s="48"/>
      <c r="M10" s="48"/>
      <c r="N10" s="48"/>
      <c r="O10" s="48"/>
      <c r="P10" s="48"/>
      <c r="Q10" s="48"/>
      <c r="R10" s="48"/>
      <c r="S10" s="3">
        <f>G10+K10+M10+O10+Q10</f>
        <v>27</v>
      </c>
      <c r="T10" s="34">
        <f>S10/F10</f>
        <v>0.1125</v>
      </c>
      <c r="U10" s="113"/>
      <c r="V10" s="113"/>
    </row>
    <row r="11" spans="1:22" ht="18" customHeight="1" x14ac:dyDescent="0.15">
      <c r="A11" s="32"/>
      <c r="B11" s="35" t="s">
        <v>174</v>
      </c>
      <c r="C11" s="50">
        <v>459</v>
      </c>
      <c r="D11" s="52">
        <v>381</v>
      </c>
      <c r="E11" s="49">
        <v>100</v>
      </c>
      <c r="F11" s="50">
        <v>400</v>
      </c>
      <c r="G11" s="51">
        <v>123</v>
      </c>
      <c r="H11" s="51">
        <v>0</v>
      </c>
      <c r="I11" s="51">
        <v>98</v>
      </c>
      <c r="J11" s="51">
        <v>0</v>
      </c>
      <c r="K11" s="51"/>
      <c r="L11" s="51"/>
      <c r="M11" s="51"/>
      <c r="N11" s="51"/>
      <c r="O11" s="51"/>
      <c r="P11" s="51"/>
      <c r="Q11" s="51"/>
      <c r="R11" s="51"/>
      <c r="S11" s="36">
        <f t="shared" ref="S11:S29" si="0">G11+K11+M11+O11+Q11</f>
        <v>123</v>
      </c>
      <c r="T11" s="37">
        <f t="shared" ref="T11:T27" si="1">S11/F11</f>
        <v>0.3075</v>
      </c>
      <c r="U11" s="113"/>
      <c r="V11" s="113"/>
    </row>
    <row r="12" spans="1:22" ht="18" customHeight="1" x14ac:dyDescent="0.15">
      <c r="A12" s="32"/>
      <c r="B12" s="35" t="s">
        <v>175</v>
      </c>
      <c r="C12" s="50">
        <v>258</v>
      </c>
      <c r="D12" s="52">
        <v>149</v>
      </c>
      <c r="E12" s="49">
        <v>80</v>
      </c>
      <c r="F12" s="50">
        <v>360</v>
      </c>
      <c r="G12" s="51">
        <v>66</v>
      </c>
      <c r="H12" s="51">
        <v>0</v>
      </c>
      <c r="I12" s="51">
        <v>61</v>
      </c>
      <c r="J12" s="51">
        <v>0</v>
      </c>
      <c r="K12" s="51"/>
      <c r="L12" s="51"/>
      <c r="M12" s="51"/>
      <c r="N12" s="51"/>
      <c r="O12" s="51"/>
      <c r="P12" s="51"/>
      <c r="Q12" s="51"/>
      <c r="R12" s="51"/>
      <c r="S12" s="36">
        <f t="shared" si="0"/>
        <v>66</v>
      </c>
      <c r="T12" s="38">
        <f t="shared" si="1"/>
        <v>0.18333333333333332</v>
      </c>
      <c r="U12" s="113"/>
      <c r="V12" s="113"/>
    </row>
    <row r="13" spans="1:22" ht="18" customHeight="1" x14ac:dyDescent="0.15">
      <c r="A13" s="32"/>
      <c r="B13" s="35"/>
      <c r="C13" s="50"/>
      <c r="D13" s="52"/>
      <c r="E13" s="49"/>
      <c r="F13" s="50"/>
      <c r="G13" s="51"/>
      <c r="H13" s="51"/>
      <c r="I13" s="51"/>
      <c r="J13" s="51"/>
      <c r="K13" s="51"/>
      <c r="L13" s="51"/>
      <c r="M13" s="51"/>
      <c r="N13" s="51"/>
      <c r="O13" s="51"/>
      <c r="P13" s="51"/>
      <c r="Q13" s="51"/>
      <c r="R13" s="51"/>
      <c r="S13" s="36">
        <f t="shared" si="0"/>
        <v>0</v>
      </c>
      <c r="T13" s="38" t="e">
        <f t="shared" si="1"/>
        <v>#DIV/0!</v>
      </c>
      <c r="U13" s="113"/>
      <c r="V13" s="113"/>
    </row>
    <row r="14" spans="1:22" ht="18" customHeight="1" x14ac:dyDescent="0.15">
      <c r="A14" s="32"/>
      <c r="B14" s="35"/>
      <c r="C14" s="50"/>
      <c r="D14" s="52"/>
      <c r="E14" s="49"/>
      <c r="F14" s="50"/>
      <c r="G14" s="51"/>
      <c r="H14" s="51"/>
      <c r="I14" s="51"/>
      <c r="J14" s="51"/>
      <c r="K14" s="51"/>
      <c r="L14" s="51"/>
      <c r="M14" s="51"/>
      <c r="N14" s="51"/>
      <c r="O14" s="51"/>
      <c r="P14" s="51"/>
      <c r="Q14" s="51"/>
      <c r="R14" s="51"/>
      <c r="S14" s="36">
        <f t="shared" si="0"/>
        <v>0</v>
      </c>
      <c r="T14" s="38" t="e">
        <f t="shared" si="1"/>
        <v>#DIV/0!</v>
      </c>
      <c r="U14" s="113"/>
      <c r="V14" s="113"/>
    </row>
    <row r="15" spans="1:22" ht="18" customHeight="1" x14ac:dyDescent="0.15">
      <c r="A15" s="32"/>
      <c r="B15" s="35"/>
      <c r="C15" s="50"/>
      <c r="D15" s="52"/>
      <c r="E15" s="49"/>
      <c r="F15" s="50"/>
      <c r="G15" s="51"/>
      <c r="H15" s="51"/>
      <c r="I15" s="51"/>
      <c r="J15" s="51"/>
      <c r="K15" s="51"/>
      <c r="L15" s="51"/>
      <c r="M15" s="51"/>
      <c r="N15" s="51"/>
      <c r="O15" s="51"/>
      <c r="P15" s="51"/>
      <c r="Q15" s="51"/>
      <c r="R15" s="51"/>
      <c r="S15" s="36">
        <f t="shared" si="0"/>
        <v>0</v>
      </c>
      <c r="T15" s="38" t="e">
        <f t="shared" si="1"/>
        <v>#DIV/0!</v>
      </c>
      <c r="U15" s="113"/>
      <c r="V15" s="113"/>
    </row>
    <row r="16" spans="1:22" ht="18" customHeight="1" x14ac:dyDescent="0.15">
      <c r="A16" s="32"/>
      <c r="B16" s="35"/>
      <c r="C16" s="50"/>
      <c r="D16" s="52"/>
      <c r="E16" s="49"/>
      <c r="F16" s="50"/>
      <c r="G16" s="51"/>
      <c r="H16" s="51"/>
      <c r="I16" s="51"/>
      <c r="J16" s="51"/>
      <c r="K16" s="51"/>
      <c r="L16" s="51"/>
      <c r="M16" s="51"/>
      <c r="N16" s="51"/>
      <c r="O16" s="51"/>
      <c r="P16" s="51"/>
      <c r="Q16" s="51"/>
      <c r="R16" s="51"/>
      <c r="S16" s="36">
        <f t="shared" si="0"/>
        <v>0</v>
      </c>
      <c r="T16" s="38" t="e">
        <f t="shared" si="1"/>
        <v>#DIV/0!</v>
      </c>
      <c r="U16" s="113"/>
      <c r="V16" s="113"/>
    </row>
    <row r="17" spans="1:20" ht="18" customHeight="1" x14ac:dyDescent="0.15">
      <c r="A17" s="32"/>
      <c r="B17" s="35"/>
      <c r="C17" s="50"/>
      <c r="D17" s="52"/>
      <c r="E17" s="49"/>
      <c r="F17" s="50"/>
      <c r="G17" s="51"/>
      <c r="H17" s="51"/>
      <c r="I17" s="51"/>
      <c r="J17" s="51"/>
      <c r="K17" s="51"/>
      <c r="L17" s="51"/>
      <c r="M17" s="51"/>
      <c r="N17" s="51"/>
      <c r="O17" s="51"/>
      <c r="P17" s="51"/>
      <c r="Q17" s="51"/>
      <c r="R17" s="51"/>
      <c r="S17" s="36">
        <f t="shared" si="0"/>
        <v>0</v>
      </c>
      <c r="T17" s="38" t="e">
        <f t="shared" si="1"/>
        <v>#DIV/0!</v>
      </c>
    </row>
    <row r="18" spans="1:20" ht="18" customHeight="1" x14ac:dyDescent="0.15">
      <c r="A18" s="32"/>
      <c r="B18" s="35"/>
      <c r="C18" s="50"/>
      <c r="D18" s="52"/>
      <c r="E18" s="49"/>
      <c r="F18" s="50"/>
      <c r="G18" s="51"/>
      <c r="H18" s="51"/>
      <c r="I18" s="51"/>
      <c r="J18" s="51"/>
      <c r="K18" s="51"/>
      <c r="L18" s="51"/>
      <c r="M18" s="51"/>
      <c r="N18" s="51"/>
      <c r="O18" s="51"/>
      <c r="P18" s="51"/>
      <c r="Q18" s="51"/>
      <c r="R18" s="51"/>
      <c r="S18" s="36">
        <f t="shared" si="0"/>
        <v>0</v>
      </c>
      <c r="T18" s="38" t="e">
        <f t="shared" si="1"/>
        <v>#DIV/0!</v>
      </c>
    </row>
    <row r="19" spans="1:20" ht="18" customHeight="1" x14ac:dyDescent="0.15">
      <c r="A19" s="32"/>
      <c r="B19" s="35"/>
      <c r="C19" s="50"/>
      <c r="D19" s="52"/>
      <c r="E19" s="49"/>
      <c r="F19" s="50"/>
      <c r="G19" s="51"/>
      <c r="H19" s="51"/>
      <c r="I19" s="51"/>
      <c r="J19" s="51"/>
      <c r="K19" s="51"/>
      <c r="L19" s="51"/>
      <c r="M19" s="51"/>
      <c r="N19" s="51"/>
      <c r="O19" s="51"/>
      <c r="P19" s="51"/>
      <c r="Q19" s="51"/>
      <c r="R19" s="51"/>
      <c r="S19" s="36">
        <f t="shared" si="0"/>
        <v>0</v>
      </c>
      <c r="T19" s="38" t="e">
        <f t="shared" si="1"/>
        <v>#DIV/0!</v>
      </c>
    </row>
    <row r="20" spans="1:20" ht="18" customHeight="1" x14ac:dyDescent="0.15">
      <c r="A20" s="32"/>
      <c r="B20" s="35"/>
      <c r="C20" s="50"/>
      <c r="D20" s="52"/>
      <c r="E20" s="49"/>
      <c r="F20" s="50"/>
      <c r="G20" s="51"/>
      <c r="H20" s="51"/>
      <c r="I20" s="51"/>
      <c r="J20" s="51"/>
      <c r="K20" s="51"/>
      <c r="L20" s="51"/>
      <c r="M20" s="51"/>
      <c r="N20" s="51"/>
      <c r="O20" s="51"/>
      <c r="P20" s="51"/>
      <c r="Q20" s="51"/>
      <c r="R20" s="51"/>
      <c r="S20" s="36">
        <f t="shared" si="0"/>
        <v>0</v>
      </c>
      <c r="T20" s="38" t="e">
        <f t="shared" si="1"/>
        <v>#DIV/0!</v>
      </c>
    </row>
    <row r="21" spans="1:20" ht="18" customHeight="1" x14ac:dyDescent="0.15">
      <c r="A21" s="32"/>
      <c r="B21" s="35"/>
      <c r="C21" s="50"/>
      <c r="D21" s="52"/>
      <c r="E21" s="49"/>
      <c r="F21" s="50"/>
      <c r="G21" s="51"/>
      <c r="H21" s="51"/>
      <c r="I21" s="51"/>
      <c r="J21" s="51"/>
      <c r="K21" s="51"/>
      <c r="L21" s="51"/>
      <c r="M21" s="51"/>
      <c r="N21" s="51"/>
      <c r="O21" s="51"/>
      <c r="P21" s="51"/>
      <c r="Q21" s="51"/>
      <c r="R21" s="51"/>
      <c r="S21" s="36">
        <f t="shared" si="0"/>
        <v>0</v>
      </c>
      <c r="T21" s="38" t="e">
        <f t="shared" si="1"/>
        <v>#DIV/0!</v>
      </c>
    </row>
    <row r="22" spans="1:20" ht="18" customHeight="1" x14ac:dyDescent="0.15">
      <c r="A22" s="32"/>
      <c r="B22" s="35"/>
      <c r="C22" s="50"/>
      <c r="D22" s="52"/>
      <c r="E22" s="49"/>
      <c r="F22" s="50"/>
      <c r="G22" s="51"/>
      <c r="H22" s="51"/>
      <c r="I22" s="51"/>
      <c r="J22" s="51"/>
      <c r="K22" s="51"/>
      <c r="L22" s="51"/>
      <c r="M22" s="51"/>
      <c r="N22" s="51"/>
      <c r="O22" s="51"/>
      <c r="P22" s="51"/>
      <c r="Q22" s="51"/>
      <c r="R22" s="51"/>
      <c r="S22" s="36">
        <f t="shared" si="0"/>
        <v>0</v>
      </c>
      <c r="T22" s="38" t="e">
        <f t="shared" si="1"/>
        <v>#DIV/0!</v>
      </c>
    </row>
    <row r="23" spans="1:20" ht="18" customHeight="1" x14ac:dyDescent="0.15">
      <c r="A23" s="32"/>
      <c r="B23" s="35"/>
      <c r="C23" s="50"/>
      <c r="D23" s="52"/>
      <c r="E23" s="49"/>
      <c r="F23" s="50"/>
      <c r="G23" s="51"/>
      <c r="H23" s="51"/>
      <c r="I23" s="51"/>
      <c r="J23" s="51"/>
      <c r="K23" s="51"/>
      <c r="L23" s="51"/>
      <c r="M23" s="51"/>
      <c r="N23" s="51"/>
      <c r="O23" s="51"/>
      <c r="P23" s="51"/>
      <c r="Q23" s="51"/>
      <c r="R23" s="51"/>
      <c r="S23" s="36">
        <f t="shared" si="0"/>
        <v>0</v>
      </c>
      <c r="T23" s="38" t="e">
        <f t="shared" si="1"/>
        <v>#DIV/0!</v>
      </c>
    </row>
    <row r="24" spans="1:20" ht="18" customHeight="1" x14ac:dyDescent="0.15">
      <c r="A24" s="32"/>
      <c r="B24" s="35"/>
      <c r="C24" s="50"/>
      <c r="D24" s="52"/>
      <c r="E24" s="49"/>
      <c r="F24" s="50"/>
      <c r="G24" s="51"/>
      <c r="H24" s="51"/>
      <c r="I24" s="51"/>
      <c r="J24" s="51"/>
      <c r="K24" s="51"/>
      <c r="L24" s="51"/>
      <c r="M24" s="51"/>
      <c r="N24" s="51"/>
      <c r="O24" s="51"/>
      <c r="P24" s="51"/>
      <c r="Q24" s="51"/>
      <c r="R24" s="51"/>
      <c r="S24" s="36">
        <f t="shared" si="0"/>
        <v>0</v>
      </c>
      <c r="T24" s="38" t="e">
        <f t="shared" si="1"/>
        <v>#DIV/0!</v>
      </c>
    </row>
    <row r="25" spans="1:20" ht="18" customHeight="1" x14ac:dyDescent="0.15">
      <c r="A25" s="32"/>
      <c r="B25" s="35"/>
      <c r="C25" s="50"/>
      <c r="D25" s="52"/>
      <c r="E25" s="49"/>
      <c r="F25" s="50"/>
      <c r="G25" s="51"/>
      <c r="H25" s="51"/>
      <c r="I25" s="51"/>
      <c r="J25" s="51"/>
      <c r="K25" s="51"/>
      <c r="L25" s="51"/>
      <c r="M25" s="51"/>
      <c r="N25" s="51"/>
      <c r="O25" s="51"/>
      <c r="P25" s="51"/>
      <c r="Q25" s="51"/>
      <c r="R25" s="51"/>
      <c r="S25" s="36">
        <f t="shared" si="0"/>
        <v>0</v>
      </c>
      <c r="T25" s="38" t="e">
        <f t="shared" si="1"/>
        <v>#DIV/0!</v>
      </c>
    </row>
    <row r="26" spans="1:20" ht="18" customHeight="1" x14ac:dyDescent="0.15">
      <c r="A26" s="32"/>
      <c r="B26" s="35"/>
      <c r="C26" s="50"/>
      <c r="D26" s="52"/>
      <c r="E26" s="49"/>
      <c r="F26" s="50"/>
      <c r="G26" s="51"/>
      <c r="H26" s="51"/>
      <c r="I26" s="51"/>
      <c r="J26" s="51"/>
      <c r="K26" s="51"/>
      <c r="L26" s="51"/>
      <c r="M26" s="51"/>
      <c r="N26" s="51"/>
      <c r="O26" s="51"/>
      <c r="P26" s="51"/>
      <c r="Q26" s="51"/>
      <c r="R26" s="51"/>
      <c r="S26" s="36">
        <f t="shared" si="0"/>
        <v>0</v>
      </c>
      <c r="T26" s="38" t="e">
        <f t="shared" si="1"/>
        <v>#DIV/0!</v>
      </c>
    </row>
    <row r="27" spans="1:20" ht="18" customHeight="1" x14ac:dyDescent="0.15">
      <c r="A27" s="32"/>
      <c r="B27" s="35"/>
      <c r="C27" s="50"/>
      <c r="D27" s="52"/>
      <c r="E27" s="53"/>
      <c r="F27" s="50"/>
      <c r="G27" s="51"/>
      <c r="H27" s="51"/>
      <c r="I27" s="51"/>
      <c r="J27" s="51"/>
      <c r="K27" s="51"/>
      <c r="L27" s="51"/>
      <c r="M27" s="51"/>
      <c r="N27" s="51"/>
      <c r="O27" s="51"/>
      <c r="P27" s="51"/>
      <c r="Q27" s="51"/>
      <c r="R27" s="51"/>
      <c r="S27" s="36">
        <f t="shared" si="0"/>
        <v>0</v>
      </c>
      <c r="T27" s="38" t="e">
        <f t="shared" si="1"/>
        <v>#DIV/0!</v>
      </c>
    </row>
    <row r="28" spans="1:20" ht="18" customHeight="1" x14ac:dyDescent="0.15">
      <c r="A28" s="32"/>
      <c r="B28" s="35"/>
      <c r="C28" s="50"/>
      <c r="D28" s="52"/>
      <c r="E28" s="53"/>
      <c r="F28" s="50"/>
      <c r="G28" s="51"/>
      <c r="H28" s="51"/>
      <c r="I28" s="51"/>
      <c r="J28" s="51"/>
      <c r="K28" s="51"/>
      <c r="L28" s="51"/>
      <c r="M28" s="51"/>
      <c r="N28" s="51"/>
      <c r="O28" s="51"/>
      <c r="P28" s="51"/>
      <c r="Q28" s="51"/>
      <c r="R28" s="51"/>
      <c r="S28" s="36">
        <f t="shared" si="0"/>
        <v>0</v>
      </c>
      <c r="T28" s="38" t="e">
        <f t="shared" ref="T28:T29" si="2">S28/F28</f>
        <v>#DIV/0!</v>
      </c>
    </row>
    <row r="29" spans="1:20" ht="18" customHeight="1" thickBot="1" x14ac:dyDescent="0.2">
      <c r="A29" s="32"/>
      <c r="B29" s="39"/>
      <c r="C29" s="48"/>
      <c r="D29" s="54"/>
      <c r="E29" s="55"/>
      <c r="F29" s="48"/>
      <c r="G29" s="48"/>
      <c r="H29" s="48"/>
      <c r="I29" s="48"/>
      <c r="J29" s="48"/>
      <c r="K29" s="48"/>
      <c r="L29" s="48"/>
      <c r="M29" s="48"/>
      <c r="N29" s="48"/>
      <c r="O29" s="48"/>
      <c r="P29" s="48"/>
      <c r="Q29" s="48"/>
      <c r="R29" s="48"/>
      <c r="S29" s="3">
        <f t="shared" si="0"/>
        <v>0</v>
      </c>
      <c r="T29" s="38" t="e">
        <f t="shared" si="2"/>
        <v>#DIV/0!</v>
      </c>
    </row>
    <row r="30" spans="1:20" ht="18" customHeight="1" thickTop="1" x14ac:dyDescent="0.15">
      <c r="A30" s="113"/>
      <c r="B30" s="40" t="s">
        <v>71</v>
      </c>
      <c r="C30" s="42">
        <f t="shared" ref="C30" si="3">SUM(C10:C29)</f>
        <v>860</v>
      </c>
      <c r="D30" s="101">
        <f>SUM(D10:D29)</f>
        <v>645</v>
      </c>
      <c r="E30" s="41">
        <f t="shared" ref="E30:G30" si="4">SUM(E10:E29)</f>
        <v>240</v>
      </c>
      <c r="F30" s="42">
        <f t="shared" si="4"/>
        <v>1000</v>
      </c>
      <c r="G30" s="42">
        <f t="shared" si="4"/>
        <v>216</v>
      </c>
      <c r="H30" s="42">
        <f t="shared" ref="H30:K30" si="5">SUM(H10:H29)</f>
        <v>27</v>
      </c>
      <c r="I30" s="42">
        <f t="shared" si="5"/>
        <v>192</v>
      </c>
      <c r="J30" s="42">
        <f t="shared" si="5"/>
        <v>33</v>
      </c>
      <c r="K30" s="42">
        <f t="shared" si="5"/>
        <v>0</v>
      </c>
      <c r="L30" s="42">
        <f t="shared" ref="L30:M30" si="6">SUM(L10:L29)</f>
        <v>0</v>
      </c>
      <c r="M30" s="42">
        <f t="shared" si="6"/>
        <v>0</v>
      </c>
      <c r="N30" s="42">
        <f t="shared" ref="N30:S30" si="7">SUM(N10:N29)</f>
        <v>0</v>
      </c>
      <c r="O30" s="42">
        <f t="shared" si="7"/>
        <v>0</v>
      </c>
      <c r="P30" s="42">
        <f t="shared" si="7"/>
        <v>0</v>
      </c>
      <c r="Q30" s="42">
        <f t="shared" si="7"/>
        <v>0</v>
      </c>
      <c r="R30" s="42">
        <f t="shared" si="7"/>
        <v>0</v>
      </c>
      <c r="S30" s="42">
        <f t="shared" si="7"/>
        <v>216</v>
      </c>
      <c r="T30" s="43">
        <f>S30/F30</f>
        <v>0.216</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topLeftCell="A44" zoomScaleNormal="100" zoomScaleSheetLayoutView="100" workbookViewId="0">
      <selection activeCell="G47" sqref="G47"/>
    </sheetView>
  </sheetViews>
  <sheetFormatPr defaultColWidth="11.25" defaultRowHeight="18.75" customHeight="1" x14ac:dyDescent="0.15"/>
  <cols>
    <col min="1" max="1" width="2.75" style="5" customWidth="1"/>
    <col min="2" max="2" width="8" style="6" customWidth="1"/>
    <col min="3" max="3" width="17.125" style="6" bestFit="1" customWidth="1"/>
    <col min="4" max="4" width="41.75" style="6" customWidth="1"/>
    <col min="5" max="5" width="12.125" style="6" customWidth="1"/>
    <col min="6" max="16384" width="11.25" style="6"/>
  </cols>
  <sheetData>
    <row r="1" spans="1:5" ht="18.75" customHeight="1" x14ac:dyDescent="0.15">
      <c r="A1" s="5" t="s">
        <v>72</v>
      </c>
      <c r="B1" s="113"/>
      <c r="C1" s="113"/>
      <c r="D1" s="113"/>
      <c r="E1" s="7" t="s">
        <v>73</v>
      </c>
    </row>
    <row r="2" spans="1:5" ht="10.9" customHeight="1" x14ac:dyDescent="0.15">
      <c r="B2" s="113"/>
      <c r="C2" s="113"/>
      <c r="D2" s="113"/>
      <c r="E2" s="114"/>
    </row>
    <row r="3" spans="1:5" ht="18.600000000000001" customHeight="1" x14ac:dyDescent="0.15">
      <c r="A3" s="167" t="s">
        <v>74</v>
      </c>
      <c r="B3" s="167"/>
      <c r="C3" s="167"/>
      <c r="D3" s="167"/>
      <c r="E3" s="167"/>
    </row>
    <row r="4" spans="1:5" ht="13.15" customHeight="1" x14ac:dyDescent="0.15">
      <c r="B4" s="112"/>
      <c r="C4" s="112"/>
      <c r="D4" s="112"/>
      <c r="E4" s="112"/>
    </row>
    <row r="5" spans="1:5" ht="18" customHeight="1" x14ac:dyDescent="0.15">
      <c r="A5" s="113" t="s">
        <v>75</v>
      </c>
      <c r="B5" s="145" t="s">
        <v>76</v>
      </c>
      <c r="C5" s="145"/>
      <c r="D5" s="145"/>
      <c r="E5" s="145"/>
    </row>
    <row r="6" spans="1:5" ht="18.600000000000001" customHeight="1" x14ac:dyDescent="0.15">
      <c r="B6" s="121" t="s">
        <v>77</v>
      </c>
      <c r="C6" s="138">
        <v>50</v>
      </c>
      <c r="D6" s="114" t="s">
        <v>78</v>
      </c>
      <c r="E6" s="10"/>
    </row>
    <row r="7" spans="1:5" ht="18.600000000000001" customHeight="1" x14ac:dyDescent="0.15">
      <c r="B7" s="121" t="s">
        <v>79</v>
      </c>
      <c r="C7" s="138">
        <v>52</v>
      </c>
      <c r="D7" s="114" t="s">
        <v>78</v>
      </c>
      <c r="E7" s="10"/>
    </row>
    <row r="8" spans="1:5" ht="18.600000000000001" customHeight="1" x14ac:dyDescent="0.15">
      <c r="B8" s="7"/>
      <c r="C8" s="7"/>
      <c r="D8" s="114"/>
      <c r="E8" s="10"/>
    </row>
    <row r="9" spans="1:5" ht="18" customHeight="1" x14ac:dyDescent="0.15">
      <c r="A9" s="113" t="s">
        <v>80</v>
      </c>
      <c r="B9" s="145" t="s">
        <v>81</v>
      </c>
      <c r="C9" s="145"/>
      <c r="D9" s="145"/>
      <c r="E9" s="145"/>
    </row>
    <row r="10" spans="1:5" ht="18" customHeight="1" x14ac:dyDescent="0.15">
      <c r="A10" s="113"/>
      <c r="B10" s="114"/>
      <c r="C10" s="138">
        <v>3</v>
      </c>
      <c r="D10" s="114" t="s">
        <v>78</v>
      </c>
      <c r="E10" s="114"/>
    </row>
    <row r="11" spans="1:5" ht="9" customHeight="1" x14ac:dyDescent="0.15">
      <c r="B11" s="112"/>
      <c r="C11" s="112"/>
      <c r="D11" s="112"/>
      <c r="E11" s="112"/>
    </row>
    <row r="12" spans="1:5" ht="18" customHeight="1" x14ac:dyDescent="0.15">
      <c r="A12" s="113" t="s">
        <v>82</v>
      </c>
      <c r="B12" s="145" t="s">
        <v>83</v>
      </c>
      <c r="C12" s="145"/>
      <c r="D12" s="145"/>
      <c r="E12" s="145"/>
    </row>
    <row r="13" spans="1:5" ht="18" customHeight="1" x14ac:dyDescent="0.15">
      <c r="B13" s="113"/>
      <c r="C13" s="7" t="s">
        <v>84</v>
      </c>
      <c r="D13" s="59" t="s">
        <v>176</v>
      </c>
      <c r="E13" s="114"/>
    </row>
    <row r="14" spans="1:5" ht="18" customHeight="1" x14ac:dyDescent="0.15">
      <c r="B14" s="113"/>
      <c r="C14" s="7" t="s">
        <v>85</v>
      </c>
      <c r="D14" s="59" t="s">
        <v>177</v>
      </c>
      <c r="E14" s="10"/>
    </row>
    <row r="15" spans="1:5" ht="10.15" customHeight="1" x14ac:dyDescent="0.15">
      <c r="B15" s="7"/>
      <c r="C15" s="114"/>
      <c r="D15" s="10"/>
      <c r="E15" s="10"/>
    </row>
    <row r="16" spans="1:5" ht="18" customHeight="1" x14ac:dyDescent="0.15">
      <c r="A16" s="113" t="s">
        <v>86</v>
      </c>
      <c r="B16" s="145" t="s">
        <v>87</v>
      </c>
      <c r="C16" s="145"/>
      <c r="D16" s="145"/>
      <c r="E16" s="145"/>
    </row>
    <row r="17" spans="1:10" ht="18" customHeight="1" x14ac:dyDescent="0.15">
      <c r="B17" s="113"/>
      <c r="C17" s="7" t="s">
        <v>88</v>
      </c>
      <c r="D17" s="59" t="s">
        <v>178</v>
      </c>
      <c r="E17" s="114"/>
      <c r="F17" s="113"/>
      <c r="G17" s="113"/>
      <c r="H17" s="113"/>
      <c r="I17" s="113"/>
      <c r="J17" s="113"/>
    </row>
    <row r="18" spans="1:10" ht="9" customHeight="1" x14ac:dyDescent="0.15">
      <c r="B18" s="112"/>
      <c r="C18" s="112"/>
      <c r="D18" s="112"/>
      <c r="E18" s="112"/>
      <c r="F18" s="113"/>
      <c r="G18" s="113"/>
      <c r="H18" s="113"/>
      <c r="I18" s="113"/>
      <c r="J18" s="113"/>
    </row>
    <row r="19" spans="1:10" ht="18.75" customHeight="1" x14ac:dyDescent="0.15">
      <c r="A19" s="113" t="s">
        <v>89</v>
      </c>
      <c r="B19" s="144" t="s">
        <v>90</v>
      </c>
      <c r="C19" s="144"/>
      <c r="D19" s="144"/>
      <c r="E19" s="144"/>
      <c r="F19" s="113"/>
      <c r="G19" s="113"/>
      <c r="H19" s="113"/>
      <c r="I19" s="113"/>
      <c r="J19" s="113"/>
    </row>
    <row r="20" spans="1:10" ht="18.75" customHeight="1" x14ac:dyDescent="0.15">
      <c r="A20" s="113"/>
      <c r="B20" s="113"/>
      <c r="C20" s="7" t="s">
        <v>88</v>
      </c>
      <c r="D20" s="59" t="s">
        <v>179</v>
      </c>
      <c r="E20" s="114"/>
      <c r="F20" s="113"/>
      <c r="G20" s="113"/>
      <c r="H20" s="113"/>
      <c r="I20" s="113"/>
      <c r="J20" s="113"/>
    </row>
    <row r="21" spans="1:10" ht="7.5" customHeight="1" x14ac:dyDescent="0.15">
      <c r="B21" s="112"/>
      <c r="C21" s="112"/>
      <c r="D21" s="112"/>
      <c r="E21" s="112"/>
      <c r="F21" s="113"/>
      <c r="G21" s="113"/>
      <c r="H21" s="113"/>
      <c r="I21" s="113"/>
      <c r="J21" s="113"/>
    </row>
    <row r="22" spans="1:10" ht="18.75" customHeight="1" x14ac:dyDescent="0.15">
      <c r="A22" s="113" t="s">
        <v>91</v>
      </c>
      <c r="B22" s="144" t="s">
        <v>92</v>
      </c>
      <c r="C22" s="144"/>
      <c r="D22" s="144"/>
      <c r="E22" s="144"/>
      <c r="F22" s="113"/>
      <c r="G22" s="113"/>
      <c r="H22" s="113"/>
      <c r="I22" s="113"/>
      <c r="J22" s="113"/>
    </row>
    <row r="23" spans="1:10" ht="180" customHeight="1" x14ac:dyDescent="0.15">
      <c r="A23" s="11"/>
      <c r="B23" s="12"/>
      <c r="C23" s="180" t="s">
        <v>196</v>
      </c>
      <c r="D23" s="181"/>
      <c r="E23" s="182"/>
      <c r="F23" s="113"/>
      <c r="G23" s="113"/>
      <c r="H23" s="113"/>
      <c r="I23" s="113"/>
      <c r="J23" s="113"/>
    </row>
    <row r="24" spans="1:10" ht="7.5" customHeight="1" x14ac:dyDescent="0.15">
      <c r="A24" s="11"/>
      <c r="B24" s="11"/>
      <c r="C24" s="11"/>
      <c r="D24" s="11"/>
      <c r="E24" s="11"/>
      <c r="F24" s="113"/>
      <c r="G24" s="113"/>
      <c r="H24" s="113"/>
      <c r="I24" s="113"/>
      <c r="J24" s="113"/>
    </row>
    <row r="25" spans="1:10" ht="18.75" customHeight="1" x14ac:dyDescent="0.15">
      <c r="A25" s="119" t="s">
        <v>93</v>
      </c>
      <c r="B25" s="183" t="s">
        <v>94</v>
      </c>
      <c r="C25" s="184"/>
      <c r="D25" s="184"/>
      <c r="E25" s="184"/>
      <c r="F25" s="113"/>
      <c r="G25" s="113"/>
      <c r="H25" s="113"/>
      <c r="I25" s="113"/>
      <c r="J25" s="113"/>
    </row>
    <row r="26" spans="1:10" ht="180" customHeight="1" x14ac:dyDescent="0.15">
      <c r="A26" s="11"/>
      <c r="B26" s="12"/>
      <c r="C26" s="186" t="s">
        <v>180</v>
      </c>
      <c r="D26" s="187"/>
      <c r="E26" s="188"/>
      <c r="F26" s="113"/>
      <c r="G26" s="113"/>
      <c r="H26" s="113"/>
      <c r="I26" s="113"/>
      <c r="J26" s="113"/>
    </row>
    <row r="27" spans="1:10" ht="7.5" customHeight="1" x14ac:dyDescent="0.15">
      <c r="A27" s="13"/>
      <c r="B27" s="13"/>
      <c r="C27" s="13"/>
      <c r="D27" s="13"/>
      <c r="E27" s="13"/>
      <c r="F27" s="113"/>
      <c r="G27" s="113"/>
      <c r="H27" s="113"/>
      <c r="I27" s="113"/>
      <c r="J27" s="113"/>
    </row>
    <row r="28" spans="1:10" ht="18.75" customHeight="1" x14ac:dyDescent="0.15">
      <c r="A28" s="113" t="s">
        <v>95</v>
      </c>
      <c r="B28" s="144" t="s">
        <v>96</v>
      </c>
      <c r="C28" s="185"/>
      <c r="D28" s="185"/>
      <c r="E28" s="144"/>
      <c r="F28" s="113"/>
      <c r="G28" s="113"/>
      <c r="H28" s="113"/>
      <c r="I28" s="113"/>
      <c r="J28" s="113"/>
    </row>
    <row r="29" spans="1:10" s="8" customFormat="1" ht="18.75" customHeight="1" x14ac:dyDescent="0.15">
      <c r="A29" s="112"/>
      <c r="B29" s="19"/>
      <c r="C29" s="16" t="s">
        <v>97</v>
      </c>
      <c r="D29" s="22">
        <f>IFERROR('様式２ 履修者等数の実績'!T30, "（様式２より自動転記）")</f>
        <v>0.216</v>
      </c>
      <c r="E29" s="20"/>
      <c r="F29" s="113"/>
      <c r="G29" s="112"/>
      <c r="H29" s="112"/>
      <c r="I29" s="113"/>
      <c r="J29" s="15"/>
    </row>
    <row r="30" spans="1:10" s="8" customFormat="1" ht="18.75" customHeight="1" x14ac:dyDescent="0.15">
      <c r="A30" s="112"/>
      <c r="B30" s="19"/>
      <c r="C30" s="16" t="s">
        <v>98</v>
      </c>
      <c r="D30" s="22"/>
      <c r="E30" s="20"/>
      <c r="F30" s="113"/>
      <c r="G30" s="112"/>
      <c r="H30" s="112"/>
      <c r="I30" s="113"/>
      <c r="J30" s="15"/>
    </row>
    <row r="31" spans="1:10" s="8" customFormat="1" ht="18.75" customHeight="1" x14ac:dyDescent="0.15">
      <c r="A31" s="112"/>
      <c r="B31" s="19"/>
      <c r="C31" s="16" t="s">
        <v>99</v>
      </c>
      <c r="D31" s="22"/>
      <c r="E31" s="20"/>
      <c r="F31" s="113"/>
      <c r="G31" s="112"/>
      <c r="H31" s="112"/>
      <c r="I31" s="113"/>
      <c r="J31" s="15"/>
    </row>
    <row r="32" spans="1:10" s="8" customFormat="1" ht="18.75" customHeight="1" x14ac:dyDescent="0.15">
      <c r="A32" s="112"/>
      <c r="B32" s="120"/>
      <c r="C32" s="14" t="s">
        <v>100</v>
      </c>
      <c r="D32" s="22"/>
      <c r="E32" s="21"/>
      <c r="F32" s="113"/>
      <c r="G32" s="112"/>
      <c r="H32" s="112"/>
      <c r="I32" s="113"/>
      <c r="J32" s="15"/>
    </row>
    <row r="33" spans="1:11" s="8" customFormat="1" ht="18.75" customHeight="1" x14ac:dyDescent="0.15">
      <c r="A33" s="112"/>
      <c r="B33" s="120"/>
      <c r="C33" s="14" t="s">
        <v>101</v>
      </c>
      <c r="D33" s="22"/>
      <c r="E33" s="21"/>
      <c r="F33" s="113"/>
      <c r="G33" s="112"/>
      <c r="H33" s="112"/>
      <c r="I33" s="113"/>
      <c r="J33" s="15"/>
      <c r="K33" s="112"/>
    </row>
    <row r="34" spans="1:11" ht="18.75" customHeight="1" x14ac:dyDescent="0.15">
      <c r="A34" s="113"/>
      <c r="B34" s="179" t="s">
        <v>102</v>
      </c>
      <c r="C34" s="179"/>
      <c r="D34" s="179"/>
      <c r="E34" s="179"/>
      <c r="F34" s="113"/>
      <c r="G34" s="113"/>
      <c r="H34" s="113"/>
      <c r="I34" s="113"/>
      <c r="J34" s="15"/>
      <c r="K34" s="112"/>
    </row>
    <row r="35" spans="1:11" ht="180" customHeight="1" x14ac:dyDescent="0.15">
      <c r="A35" s="113"/>
      <c r="B35" s="12"/>
      <c r="C35" s="180" t="s">
        <v>181</v>
      </c>
      <c r="D35" s="181"/>
      <c r="E35" s="182"/>
      <c r="F35" s="113"/>
      <c r="G35" s="113"/>
      <c r="H35" s="113"/>
      <c r="I35" s="113"/>
      <c r="J35" s="15"/>
      <c r="K35" s="112"/>
    </row>
    <row r="36" spans="1:11" ht="7.5" customHeight="1" x14ac:dyDescent="0.15">
      <c r="A36" s="11"/>
      <c r="B36" s="11"/>
      <c r="C36" s="11"/>
      <c r="D36" s="11"/>
      <c r="E36" s="11"/>
      <c r="F36" s="113"/>
      <c r="G36" s="113"/>
      <c r="H36" s="113"/>
      <c r="I36" s="113"/>
      <c r="J36" s="113"/>
      <c r="K36" s="113"/>
    </row>
    <row r="37" spans="1:11" ht="18.75" customHeight="1" x14ac:dyDescent="0.15">
      <c r="A37" s="119" t="s">
        <v>103</v>
      </c>
      <c r="B37" s="144" t="s">
        <v>104</v>
      </c>
      <c r="C37" s="185"/>
      <c r="D37" s="185"/>
      <c r="E37" s="185"/>
      <c r="F37" s="113"/>
      <c r="G37" s="113"/>
      <c r="H37" s="113"/>
      <c r="I37" s="113"/>
      <c r="J37" s="113"/>
      <c r="K37" s="113"/>
    </row>
    <row r="38" spans="1:11" ht="180" customHeight="1" x14ac:dyDescent="0.15">
      <c r="A38" s="13"/>
      <c r="B38" s="12"/>
      <c r="C38" s="189" t="s">
        <v>182</v>
      </c>
      <c r="D38" s="190"/>
      <c r="E38" s="191"/>
      <c r="F38" s="113"/>
      <c r="G38" s="113"/>
      <c r="H38" s="113"/>
      <c r="I38" s="113"/>
      <c r="J38" s="113"/>
      <c r="K38" s="113"/>
    </row>
    <row r="39" spans="1:11" ht="7.5" customHeight="1" x14ac:dyDescent="0.15">
      <c r="A39" s="13"/>
      <c r="B39" s="13"/>
      <c r="C39" s="13"/>
      <c r="D39" s="13"/>
      <c r="E39" s="13"/>
      <c r="F39" s="113"/>
      <c r="G39" s="113"/>
      <c r="H39" s="113"/>
      <c r="I39" s="113"/>
      <c r="J39" s="113"/>
      <c r="K39" s="113"/>
    </row>
    <row r="40" spans="1:11" ht="18.75" customHeight="1" x14ac:dyDescent="0.15">
      <c r="A40" s="113" t="s">
        <v>105</v>
      </c>
      <c r="B40" s="144" t="s">
        <v>106</v>
      </c>
      <c r="C40" s="185"/>
      <c r="D40" s="185"/>
      <c r="E40" s="185"/>
      <c r="F40" s="113"/>
      <c r="G40" s="113"/>
      <c r="H40" s="113"/>
      <c r="I40" s="113"/>
      <c r="J40" s="113"/>
      <c r="K40" s="113"/>
    </row>
    <row r="41" spans="1:11" ht="180" customHeight="1" x14ac:dyDescent="0.15">
      <c r="A41" s="113"/>
      <c r="B41" s="12"/>
      <c r="C41" s="180" t="s">
        <v>183</v>
      </c>
      <c r="D41" s="181"/>
      <c r="E41" s="182"/>
      <c r="F41" s="113"/>
      <c r="G41" s="113"/>
      <c r="H41" s="113"/>
      <c r="I41" s="113"/>
      <c r="J41" s="113"/>
      <c r="K41" s="113"/>
    </row>
    <row r="42" spans="1:11" ht="7.5" customHeight="1" x14ac:dyDescent="0.15">
      <c r="A42" s="13"/>
      <c r="B42" s="13"/>
      <c r="C42" s="13"/>
      <c r="D42" s="13"/>
      <c r="E42" s="13"/>
      <c r="F42" s="113"/>
      <c r="G42" s="113"/>
      <c r="H42" s="113"/>
      <c r="I42" s="113"/>
      <c r="J42" s="113"/>
      <c r="K42" s="113"/>
    </row>
    <row r="43" spans="1:11" ht="18.75" customHeight="1" x14ac:dyDescent="0.15">
      <c r="A43" s="113" t="s">
        <v>107</v>
      </c>
      <c r="B43" s="144" t="s">
        <v>108</v>
      </c>
      <c r="C43" s="185"/>
      <c r="D43" s="185"/>
      <c r="E43" s="185"/>
      <c r="F43" s="113"/>
      <c r="G43" s="113"/>
      <c r="H43" s="113"/>
      <c r="I43" s="113"/>
      <c r="J43" s="113"/>
      <c r="K43" s="113"/>
    </row>
    <row r="44" spans="1:11" ht="180" customHeight="1" x14ac:dyDescent="0.15">
      <c r="A44" s="113"/>
      <c r="B44" s="12"/>
      <c r="C44" s="186" t="s">
        <v>184</v>
      </c>
      <c r="D44" s="187"/>
      <c r="E44" s="188"/>
      <c r="F44" s="113"/>
      <c r="G44" s="113"/>
      <c r="H44" s="113"/>
      <c r="I44" s="113"/>
      <c r="J44" s="113"/>
      <c r="K44" s="113"/>
    </row>
    <row r="45" spans="1:11" ht="7.5" customHeight="1" x14ac:dyDescent="0.15">
      <c r="A45" s="13"/>
      <c r="B45" s="13"/>
      <c r="C45" s="13"/>
      <c r="D45" s="13"/>
      <c r="E45" s="13"/>
      <c r="F45" s="113"/>
      <c r="G45" s="113"/>
      <c r="H45" s="113"/>
      <c r="I45" s="113"/>
      <c r="J45" s="113"/>
      <c r="K45" s="113"/>
    </row>
    <row r="46" spans="1:11" ht="18.75" customHeight="1" x14ac:dyDescent="0.15">
      <c r="A46" s="113" t="s">
        <v>109</v>
      </c>
      <c r="B46" s="144" t="s">
        <v>110</v>
      </c>
      <c r="C46" s="144"/>
      <c r="D46" s="144"/>
      <c r="E46" s="144"/>
      <c r="F46" s="113"/>
      <c r="G46" s="113"/>
      <c r="H46" s="113"/>
      <c r="I46" s="113"/>
      <c r="J46" s="113"/>
      <c r="K46" s="113"/>
    </row>
    <row r="47" spans="1:11" ht="180" customHeight="1" x14ac:dyDescent="0.15">
      <c r="A47" s="13"/>
      <c r="B47" s="12"/>
      <c r="C47" s="186" t="s">
        <v>185</v>
      </c>
      <c r="D47" s="187"/>
      <c r="E47" s="188"/>
      <c r="F47" s="113"/>
      <c r="G47" s="113"/>
      <c r="H47" s="113"/>
      <c r="I47" s="113"/>
      <c r="J47" s="113"/>
      <c r="K47" s="113"/>
    </row>
    <row r="48" spans="1:11" ht="7.5" customHeight="1" x14ac:dyDescent="0.15">
      <c r="A48" s="13"/>
      <c r="B48" s="17"/>
      <c r="C48" s="17"/>
      <c r="D48" s="17"/>
      <c r="E48" s="17"/>
      <c r="F48" s="113"/>
      <c r="G48" s="113"/>
      <c r="H48" s="113"/>
      <c r="I48" s="113"/>
      <c r="J48" s="113"/>
      <c r="K48" s="113"/>
    </row>
    <row r="49" spans="1:5" ht="18.75" customHeight="1" x14ac:dyDescent="0.15">
      <c r="A49" s="113"/>
      <c r="B49" s="178"/>
      <c r="C49" s="178"/>
      <c r="D49" s="178"/>
      <c r="E49" s="178"/>
    </row>
    <row r="50" spans="1:5" ht="18.75" customHeight="1" x14ac:dyDescent="0.15">
      <c r="A50" s="113"/>
      <c r="B50" s="178"/>
      <c r="C50" s="178"/>
      <c r="D50" s="178"/>
      <c r="E50" s="178"/>
    </row>
    <row r="51" spans="1:5" ht="18.75" customHeight="1" x14ac:dyDescent="0.15">
      <c r="A51" s="13"/>
      <c r="B51" s="12"/>
      <c r="C51" s="12"/>
      <c r="D51" s="12"/>
      <c r="E51" s="18"/>
    </row>
    <row r="52" spans="1:5" ht="18.75" customHeight="1" x14ac:dyDescent="0.15">
      <c r="A52" s="13"/>
      <c r="B52" s="18"/>
      <c r="C52" s="18"/>
      <c r="D52" s="18"/>
      <c r="E52" s="18"/>
    </row>
    <row r="53" spans="1:5" ht="18.75" customHeight="1" x14ac:dyDescent="0.15">
      <c r="A53" s="13"/>
      <c r="B53" s="18"/>
      <c r="C53" s="18"/>
      <c r="D53" s="18"/>
      <c r="E53" s="18"/>
    </row>
    <row r="54" spans="1:5" ht="18.75" customHeight="1" x14ac:dyDescent="0.15">
      <c r="A54" s="13"/>
      <c r="B54" s="18"/>
      <c r="C54" s="18"/>
      <c r="D54" s="18"/>
      <c r="E54" s="18"/>
    </row>
    <row r="55" spans="1:5" ht="18.75" customHeight="1" x14ac:dyDescent="0.15">
      <c r="A55" s="13"/>
      <c r="B55" s="18"/>
      <c r="C55" s="18"/>
      <c r="D55" s="18"/>
      <c r="E55" s="18"/>
    </row>
    <row r="56" spans="1:5" ht="18.75" customHeight="1" x14ac:dyDescent="0.15">
      <c r="A56" s="13"/>
      <c r="B56" s="18"/>
      <c r="C56" s="18"/>
      <c r="D56" s="18"/>
      <c r="E56" s="18"/>
    </row>
    <row r="57" spans="1:5" ht="18.75" customHeight="1" x14ac:dyDescent="0.15">
      <c r="A57" s="13"/>
      <c r="B57" s="18"/>
      <c r="C57" s="18"/>
      <c r="D57" s="18"/>
      <c r="E57" s="18"/>
    </row>
    <row r="58" spans="1:5" ht="18.75" customHeight="1" x14ac:dyDescent="0.15">
      <c r="A58" s="13"/>
      <c r="B58" s="18"/>
      <c r="C58" s="18"/>
      <c r="D58" s="18"/>
      <c r="E58" s="18"/>
    </row>
    <row r="59" spans="1:5" ht="18.75" customHeight="1" x14ac:dyDescent="0.15">
      <c r="A59" s="13"/>
      <c r="B59" s="18"/>
      <c r="C59" s="18"/>
      <c r="D59" s="18"/>
      <c r="E59" s="18"/>
    </row>
    <row r="60" spans="1:5" ht="18.75" customHeight="1" x14ac:dyDescent="0.15">
      <c r="A60" s="13"/>
      <c r="B60" s="18"/>
      <c r="C60" s="18"/>
      <c r="D60" s="18"/>
      <c r="E60" s="18"/>
    </row>
    <row r="61" spans="1:5" ht="14.25" x14ac:dyDescent="0.15">
      <c r="A61" s="13"/>
      <c r="B61" s="18"/>
      <c r="C61" s="18"/>
      <c r="D61" s="18"/>
      <c r="E61" s="18"/>
    </row>
    <row r="62" spans="1:5" ht="7.5" customHeight="1" x14ac:dyDescent="0.15">
      <c r="A62" s="13"/>
      <c r="B62" s="18"/>
      <c r="C62" s="18"/>
      <c r="D62" s="18"/>
      <c r="E62" s="18"/>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tabSelected="1" view="pageBreakPreview" topLeftCell="A19" zoomScale="90" zoomScaleNormal="100" zoomScaleSheetLayoutView="90" workbookViewId="0">
      <selection activeCell="I21" sqref="I21"/>
    </sheetView>
  </sheetViews>
  <sheetFormatPr defaultColWidth="11.25" defaultRowHeight="22.5" customHeight="1" x14ac:dyDescent="0.15"/>
  <cols>
    <col min="1" max="1" width="5.875" style="6" customWidth="1"/>
    <col min="2" max="2" width="7.25" style="6" customWidth="1"/>
    <col min="3" max="3" width="31.125" style="6" customWidth="1"/>
    <col min="4" max="4" width="77.125" style="6" customWidth="1"/>
    <col min="5" max="5" width="7.75" style="6" bestFit="1" customWidth="1"/>
    <col min="6" max="16384" width="11.25" style="6"/>
  </cols>
  <sheetData>
    <row r="1" spans="1:5" ht="18.75" customHeight="1" x14ac:dyDescent="0.15">
      <c r="A1" s="113" t="s">
        <v>111</v>
      </c>
      <c r="B1" s="113"/>
      <c r="C1" s="113"/>
      <c r="D1" s="113"/>
      <c r="E1" s="7" t="s">
        <v>112</v>
      </c>
    </row>
    <row r="2" spans="1:5" ht="18.75" customHeight="1" x14ac:dyDescent="0.15">
      <c r="A2" s="167" t="s">
        <v>113</v>
      </c>
      <c r="B2" s="167"/>
      <c r="C2" s="167"/>
      <c r="D2" s="167"/>
      <c r="E2" s="167"/>
    </row>
    <row r="3" spans="1:5" ht="18.75" customHeight="1" x14ac:dyDescent="0.15">
      <c r="A3" s="117"/>
      <c r="B3" s="117"/>
      <c r="C3" s="117"/>
      <c r="D3" s="117"/>
      <c r="E3" s="113"/>
    </row>
    <row r="4" spans="1:5" ht="18.75" customHeight="1" x14ac:dyDescent="0.15">
      <c r="A4" s="112" t="s">
        <v>75</v>
      </c>
      <c r="B4" s="192" t="s">
        <v>114</v>
      </c>
      <c r="C4" s="192"/>
      <c r="D4" s="106" t="s">
        <v>186</v>
      </c>
      <c r="E4" s="113"/>
    </row>
    <row r="5" spans="1:5" ht="9" customHeight="1" x14ac:dyDescent="0.15">
      <c r="A5" s="117"/>
      <c r="B5" s="114"/>
      <c r="C5" s="114"/>
      <c r="D5" s="114"/>
      <c r="E5" s="113"/>
    </row>
    <row r="6" spans="1:5" ht="18.75" customHeight="1" x14ac:dyDescent="0.15">
      <c r="A6" s="197" t="s">
        <v>84</v>
      </c>
      <c r="B6" s="198"/>
      <c r="C6" s="59" t="s">
        <v>178</v>
      </c>
      <c r="D6" s="113"/>
      <c r="E6" s="113"/>
    </row>
    <row r="7" spans="1:5" ht="18.75" customHeight="1" x14ac:dyDescent="0.15">
      <c r="A7" s="197" t="s">
        <v>85</v>
      </c>
      <c r="B7" s="198"/>
      <c r="C7" s="59" t="s">
        <v>179</v>
      </c>
      <c r="D7" s="114"/>
      <c r="E7" s="113"/>
    </row>
    <row r="8" spans="1:5" ht="7.5" customHeight="1" x14ac:dyDescent="0.15">
      <c r="A8" s="117"/>
      <c r="B8" s="117"/>
      <c r="C8" s="117"/>
      <c r="D8" s="117"/>
      <c r="E8" s="113"/>
    </row>
    <row r="9" spans="1:5" ht="18.75" customHeight="1" x14ac:dyDescent="0.15">
      <c r="A9" s="112" t="s">
        <v>80</v>
      </c>
      <c r="B9" s="113" t="s">
        <v>115</v>
      </c>
      <c r="C9" s="13"/>
      <c r="D9" s="13"/>
      <c r="E9" s="113"/>
    </row>
    <row r="10" spans="1:5" ht="18.75" customHeight="1" x14ac:dyDescent="0.15">
      <c r="A10" s="113"/>
      <c r="B10" s="149" t="s">
        <v>116</v>
      </c>
      <c r="C10" s="196"/>
      <c r="D10" s="23" t="s">
        <v>117</v>
      </c>
      <c r="E10" s="113"/>
    </row>
    <row r="11" spans="1:5" ht="19.149999999999999" customHeight="1" x14ac:dyDescent="0.15">
      <c r="A11" s="113"/>
      <c r="B11" s="199" t="s">
        <v>118</v>
      </c>
      <c r="C11" s="200"/>
      <c r="D11" s="201"/>
      <c r="E11" s="113"/>
    </row>
    <row r="12" spans="1:5" ht="198" customHeight="1" x14ac:dyDescent="0.15">
      <c r="A12" s="113"/>
      <c r="B12" s="24"/>
      <c r="C12" s="25" t="s">
        <v>119</v>
      </c>
      <c r="D12" s="44" t="s">
        <v>187</v>
      </c>
      <c r="E12" s="113"/>
    </row>
    <row r="13" spans="1:5" ht="198" customHeight="1" x14ac:dyDescent="0.15">
      <c r="A13" s="113"/>
      <c r="B13" s="24"/>
      <c r="C13" s="26" t="s">
        <v>120</v>
      </c>
      <c r="D13" s="44" t="s">
        <v>188</v>
      </c>
      <c r="E13" s="113"/>
    </row>
    <row r="14" spans="1:5" ht="198" customHeight="1" x14ac:dyDescent="0.15">
      <c r="A14" s="113"/>
      <c r="B14" s="24"/>
      <c r="C14" s="25" t="s">
        <v>121</v>
      </c>
      <c r="D14" s="44" t="s">
        <v>189</v>
      </c>
      <c r="E14" s="113"/>
    </row>
    <row r="15" spans="1:5" ht="198" customHeight="1" x14ac:dyDescent="0.15">
      <c r="A15" s="113"/>
      <c r="B15" s="24"/>
      <c r="C15" s="25" t="s">
        <v>122</v>
      </c>
      <c r="D15" s="44" t="s">
        <v>190</v>
      </c>
      <c r="E15" s="113"/>
    </row>
    <row r="16" spans="1:5" ht="198" customHeight="1" x14ac:dyDescent="0.15">
      <c r="A16" s="113"/>
      <c r="B16" s="27"/>
      <c r="C16" s="28" t="s">
        <v>123</v>
      </c>
      <c r="D16" s="45" t="s">
        <v>191</v>
      </c>
      <c r="E16" s="113"/>
    </row>
    <row r="17" spans="2:4" ht="19.149999999999999" customHeight="1" x14ac:dyDescent="0.15">
      <c r="B17" s="122" t="s">
        <v>124</v>
      </c>
      <c r="C17" s="29"/>
      <c r="D17" s="30"/>
    </row>
    <row r="18" spans="2:4" ht="198" customHeight="1" x14ac:dyDescent="0.15">
      <c r="B18" s="24"/>
      <c r="C18" s="25" t="s">
        <v>125</v>
      </c>
      <c r="D18" s="44" t="s">
        <v>192</v>
      </c>
    </row>
    <row r="19" spans="2:4" ht="198" customHeight="1" x14ac:dyDescent="0.15">
      <c r="B19" s="27"/>
      <c r="C19" s="28" t="s">
        <v>126</v>
      </c>
      <c r="D19" s="45" t="s">
        <v>193</v>
      </c>
    </row>
    <row r="20" spans="2:4" ht="198" customHeight="1" x14ac:dyDescent="0.15">
      <c r="B20" s="194" t="s">
        <v>127</v>
      </c>
      <c r="C20" s="195"/>
      <c r="D20" s="46" t="s">
        <v>194</v>
      </c>
    </row>
    <row r="21" spans="2:4" ht="198" customHeight="1" x14ac:dyDescent="0.15">
      <c r="B21" s="193" t="s">
        <v>128</v>
      </c>
      <c r="C21" s="184"/>
      <c r="D21" s="202" t="s">
        <v>195</v>
      </c>
    </row>
    <row r="22" spans="2:4" ht="22.5" customHeight="1" x14ac:dyDescent="0.15">
      <c r="B22" s="13"/>
      <c r="C22" s="13"/>
      <c r="D22" s="13"/>
    </row>
    <row r="23" spans="2:4" ht="22.5" customHeight="1" x14ac:dyDescent="0.15">
      <c r="B23" s="13"/>
      <c r="C23" s="13"/>
      <c r="D23" s="13"/>
    </row>
    <row r="24" spans="2:4" ht="22.5" customHeight="1" x14ac:dyDescent="0.15">
      <c r="B24" s="13"/>
      <c r="C24" s="13"/>
      <c r="D24" s="13"/>
    </row>
    <row r="25" spans="2:4" ht="22.5" customHeight="1" x14ac:dyDescent="0.15">
      <c r="B25" s="13"/>
      <c r="C25" s="13"/>
      <c r="D25" s="13"/>
    </row>
    <row r="26" spans="2:4" ht="22.5" customHeight="1" x14ac:dyDescent="0.15">
      <c r="B26" s="13"/>
      <c r="C26" s="13"/>
      <c r="D26" s="13"/>
    </row>
    <row r="27" spans="2:4" ht="22.5" customHeight="1" x14ac:dyDescent="0.15">
      <c r="B27" s="11"/>
      <c r="C27" s="11"/>
      <c r="D27" s="11"/>
    </row>
    <row r="28" spans="2:4" ht="22.5" customHeight="1" x14ac:dyDescent="0.15">
      <c r="B28" s="11"/>
      <c r="C28" s="11"/>
      <c r="D28" s="11"/>
    </row>
    <row r="29" spans="2:4" ht="22.5" customHeight="1" x14ac:dyDescent="0.15">
      <c r="B29" s="11"/>
      <c r="C29" s="11"/>
      <c r="D29" s="11"/>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　構成する授業科目（健康栄養学部・管理栄養学科）</vt:lpstr>
      <vt:lpstr>様式１　構成する授業科目 (看護学部)</vt:lpstr>
      <vt:lpstr>様式１　構成する授業科目 (医療科学部) </vt:lpstr>
      <vt:lpstr>様式２ 履修者等数の実績</vt:lpstr>
      <vt:lpstr>様式３ 教育の質・履修者数を向上させる体制・計画</vt:lpstr>
      <vt:lpstr>様式４　自己点検・評価</vt:lpstr>
      <vt:lpstr>'様式１　構成する授業科目 (医療科学部) '!Print_Area</vt:lpstr>
      <vt:lpstr>'様式１　構成する授業科目 (看護学部)'!Print_Area</vt:lpstr>
      <vt:lpstr>'様式１　構成する授業科目（健康栄養学部・管理栄養学科）'!Print_Area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2025-10-09T06:43:13Z</dcterms:created>
  <dcterms:modified xsi:type="dcterms:W3CDTF">2026-01-22T01:08:29Z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