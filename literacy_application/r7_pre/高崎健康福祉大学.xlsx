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ThisWorkbook" defaultThemeVersion="124226"/>
  <xr:revisionPtr revIDLastSave="0" documentId="13_ncr:1_{1C84F7F9-481E-4E61-9227-C310E5C4787D}" xr6:coauthVersionLast="47" xr6:coauthVersionMax="47" xr10:uidLastSave="{00000000-0000-0000-0000-000000000000}"/>
  <bookViews>
    <workbookView xWindow="28680" yWindow="-120" windowWidth="29040" windowHeight="15720" tabRatio="885" activeTab="3"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構成する授業科目'!$A$1:$Z$69</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30" i="40" l="1"/>
  <c r="S17" i="40"/>
  <c r="S10" i="40"/>
  <c r="T10" i="40" s="1"/>
  <c r="S11" i="40"/>
  <c r="S12" i="40"/>
  <c r="S13" i="40"/>
  <c r="S14" i="40"/>
  <c r="S15" i="40"/>
  <c r="S16"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D29" i="41" l="1"/>
</calcChain>
</file>

<file path=xl/sharedStrings.xml><?xml version="1.0" encoding="utf-8"?>
<sst xmlns="http://schemas.openxmlformats.org/spreadsheetml/2006/main" count="235" uniqueCount="188">
  <si>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</si>
  <si>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</si>
  <si>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</si>
  <si>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</si>
  <si>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</si>
  <si>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</si>
  <si>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</si>
  <si>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</si>
  <si>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</si>
  <si>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</si>
  <si>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</si>
  <si>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</si>
  <si>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</si>
  <si>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</si>
  <si>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</si>
  <si>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</si>
  <si>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</si>
  <si>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</si>
  <si>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</si>
  <si>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</si>
  <si>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</si>
  <si>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</si>
  <si>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</si>
  <si>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</si>
  <si>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</si>
  <si>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</si>
  <si>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</si>
  <si>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</si>
  <si>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</si>
  <si>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</si>
  <si>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</si>
  <si>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</si>
  <si>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</si>
  <si>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</si>
  <si>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</si>
  <si>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</si>
  <si>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</si>
  <si>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</si>
  <si>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</si>
  <si>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</si>
  <si>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</si>
  <si>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</si>
  <si>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</si>
  <si>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</si>
  <si>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</si>
  <si>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</si>
  <si>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</si>
  <si>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</si>
  <si>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</si>
  <si>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</si>
  <si>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</si>
  <si>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</si>
  <si>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</si>
  <si>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</si>
  <si>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</si>
  <si>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</si>
  <si>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</si>
  <si>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</si>
  <si>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</si>
  <si>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</si>
  <si>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</si>
  <si>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</si>
  <si>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</si>
  <si>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</si>
  <si>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</si>
  <si>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</si>
  <si>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</si>
  <si>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</si>
  <si>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</si>
  <si>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</si>
  <si>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</si>
  <si>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</si>
  <si>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</si>
  <si>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</si>
  <si>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</si>
  <si>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</si>
  <si>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</si>
  <si>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</si>
  <si>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</si>
  <si>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</si>
  <si>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</si>
  <si>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</si>
  <si>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</si>
  <si>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</si>
  <si>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</si>
  <si>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</si>
  <si>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</si>
  <si>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</si>
  <si>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</si>
  <si>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</si>
  <si>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</si>
  <si>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</si>
  <si>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</si>
  <si>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</si>
  <si>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</si>
  <si>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</si>
  <si>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</si>
  <si>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</si>
  <si>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</si>
  <si>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</si>
  <si>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</si>
  <si>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</si>
  <si>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</si>
  <si>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</si>
  <si>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</si>
  <si>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</si>
  <si>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</si>
  <si>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</si>
  <si>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</si>
  <si>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</si>
  <si>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</si>
  <si>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</si>
  <si>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</si>
  <si>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</si>
  <si>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</si>
  <si>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</si>
  <si>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</si>
  <si>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</si>
  <si>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</si>
  <si>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</si>
  <si>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</si>
  <si>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</si>
  <si>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</si>
  <si>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</si>
  <si>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</si>
  <si>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</si>
  <si>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</si>
  <si>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</si>
  <si>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</si>
  <si>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高崎健康福祉大学</t>
    <rPh sb="0" eb="8">
      <t>タカサキケンコウフクシダイガク</t>
    </rPh>
    <phoneticPr fontId="1"/>
  </si>
  <si>
    <t>学部・学科によって、修了要件は相違しない</t>
  </si>
  <si>
    <t>AI (人工知能) / データサイエンス「情報リテラシーVI」第1回
データ量の増加 「情報リテラシーII」第1回
計算機の処理性能の向上 「情報リテラシーII」第3回、第4回、第8回
IoT / ロボット / Society 5.0 「情報リテラシーV」第6回、第7回、第8回</t>
    <phoneticPr fontId="1"/>
  </si>
  <si>
    <t>調査データ/実験データ「情報リテラシーVI」第1回〜第8回
人の行動ログデータ/機械の稼働ログデータ「情報リテラシーV」第6回、第8回
構造化データ「情報リテラシーIV」第1回〜第8回
非構造化データ 「情報リテラシーIII」第1回〜第5回</t>
    <phoneticPr fontId="1"/>
  </si>
  <si>
    <t>データ・AI活用領域の広がり (生産、消費、文化活動など) / 
研究開発、調達、製造、物流、販売、マーケティング、サービス など「情報リテラシーV」第6～8回
仮説検証、知識発見、原因究明、計画策定、判断支援 「情報リテラシーⅥ」第1～8回</t>
    <rPh sb="107" eb="109">
      <t>ジョウホウ</t>
    </rPh>
    <rPh sb="116" eb="117">
      <t>ダイ</t>
    </rPh>
    <rPh sb="120" eb="121">
      <t>カイ</t>
    </rPh>
    <phoneticPr fontId="1"/>
  </si>
  <si>
    <t xml:space="preserve">データ解析/データ可視化「情報リテラシーVI」第1回〜第8回
</t>
    <rPh sb="3" eb="5">
      <t>カイセキ</t>
    </rPh>
    <rPh sb="9" eb="12">
      <t>カシカ</t>
    </rPh>
    <phoneticPr fontId="1"/>
  </si>
  <si>
    <t>データサイエンスのサイクル /探索的データ解析「情報リテラシーVI」第1回〜第8回</t>
    <phoneticPr fontId="1"/>
  </si>
  <si>
    <t>AI等を活用した新しいビジネスモデル 「情報リテラシーV」第6回～第8回</t>
    <phoneticPr fontId="1"/>
  </si>
  <si>
    <t>データの種類「情報リテラシーIV」第1回〜第8回
データの分布 (ヒストグラム) / 「情報リテラシーVI」第1回～第2回
代表値（平均値、中央値、最頻値）「情報リテラシーVI」第3回～第4回
データのばらつき（分散、標準偏差、偏差値）、外れ値「情報リテラシーVI」第5回、第7回、第8回</t>
    <phoneticPr fontId="1"/>
  </si>
  <si>
    <t>データ表現（棒グラフ、折線グラフ、散布図、ヒートマップ、箱ひげ図）「情報リテラシーIV」第4回、「情報リテラシーVI」第1・2・5・6回
相手に的確かつ正確に情報を伝える技術や考え方（スライド作成、プレゼンテーションなど）「情報リテラシーIII」第6回〜第8回</t>
    <phoneticPr fontId="1"/>
  </si>
  <si>
    <t>データの集計（和、平均）「情報リテラシーIV」第3回
データの並び替え、ランキング「情報リテラシーIV」第5・7・8回
データ解析ツール（スプレッドシート）「情報リテラシーIV」第1回〜第8回</t>
    <phoneticPr fontId="1"/>
  </si>
  <si>
    <t xml:space="preserve">倫理的・法的・社会的課題 (ELSI) / 個人情報保護 / データ倫理（プライバシー保護）「情報リテラシーI」第7回「情報リテラシーV」第5回
データ倫理（ねつ造、改ざん、盗用）「情報リテラシーI」第1回
</t>
    <rPh sb="71" eb="72">
      <t>カイ</t>
    </rPh>
    <phoneticPr fontId="1"/>
  </si>
  <si>
    <t>情報セキュリティの3要素 (機密性、完全性、可用性) 「情報リテラシーV」第3回～第4回</t>
    <phoneticPr fontId="1"/>
  </si>
  <si>
    <t>情報リテラシーⅠ</t>
    <rPh sb="0" eb="2">
      <t>ジョウホウ</t>
    </rPh>
    <phoneticPr fontId="1"/>
  </si>
  <si>
    <t>情報リテラシーⅡ</t>
    <rPh sb="0" eb="2">
      <t>ジョウホウ</t>
    </rPh>
    <phoneticPr fontId="1"/>
  </si>
  <si>
    <t>情報リテラシーⅢ</t>
    <rPh sb="0" eb="2">
      <t>ジョウホウ</t>
    </rPh>
    <phoneticPr fontId="1"/>
  </si>
  <si>
    <t>情報リテラシーⅣ</t>
    <rPh sb="0" eb="2">
      <t>ジョウホウ</t>
    </rPh>
    <phoneticPr fontId="1"/>
  </si>
  <si>
    <t>情報リテラシーⅤ</t>
    <rPh sb="0" eb="2">
      <t>ジョウホウ</t>
    </rPh>
    <phoneticPr fontId="1"/>
  </si>
  <si>
    <t>情報リテラシーⅥ</t>
    <rPh sb="0" eb="2">
      <t>ジョウホウ</t>
    </rPh>
    <phoneticPr fontId="1"/>
  </si>
  <si>
    <t>○</t>
  </si>
  <si>
    <t>「情報リテラシーⅠ～Ⅵ」科目の6単位を取得すること。
なお、生物生産学科は卒業要件の必修科目として設定されているため、卒業要件を満たすためにはプログラムを修了する必要がある。</t>
    <rPh sb="1" eb="3">
      <t>ジョウホウ</t>
    </rPh>
    <rPh sb="12" eb="14">
      <t>カモク</t>
    </rPh>
    <rPh sb="16" eb="18">
      <t>タンイ</t>
    </rPh>
    <rPh sb="19" eb="21">
      <t>シュトク</t>
    </rPh>
    <rPh sb="30" eb="32">
      <t>セイブツ</t>
    </rPh>
    <rPh sb="32" eb="34">
      <t>セイサン</t>
    </rPh>
    <rPh sb="34" eb="36">
      <t>ガッカ</t>
    </rPh>
    <rPh sb="37" eb="39">
      <t>ソツギョウ</t>
    </rPh>
    <rPh sb="39" eb="41">
      <t>ヨウケン</t>
    </rPh>
    <rPh sb="42" eb="44">
      <t>ヒッシュウ</t>
    </rPh>
    <rPh sb="44" eb="46">
      <t>カモク</t>
    </rPh>
    <rPh sb="49" eb="51">
      <t>セッテイ</t>
    </rPh>
    <rPh sb="59" eb="61">
      <t>ソツギョウ</t>
    </rPh>
    <rPh sb="61" eb="63">
      <t>ヨウケン</t>
    </rPh>
    <rPh sb="64" eb="65">
      <t>ミ</t>
    </rPh>
    <rPh sb="77" eb="79">
      <t>シュウリョウ</t>
    </rPh>
    <rPh sb="81" eb="83">
      <t>ヒツヨウ</t>
    </rPh>
    <phoneticPr fontId="1"/>
  </si>
  <si>
    <t>情報倫理を理解し、ICTや基礎的な数理・データサイエンスの考え方を踏まえて、コンピュータや各種ソフトウェアを活用しながら、情報の収集・整理・分析・発信を適切に行う力を身につける。</t>
    <phoneticPr fontId="1"/>
  </si>
  <si>
    <t>健康福祉学部・医療情報学科</t>
    <rPh sb="0" eb="6">
      <t>ケンコウフクシガクブ</t>
    </rPh>
    <rPh sb="7" eb="13">
      <t>イリョウジョウホウガッカ</t>
    </rPh>
    <phoneticPr fontId="1"/>
  </si>
  <si>
    <t>健康福祉学部・社会福祉学科</t>
    <rPh sb="0" eb="6">
      <t>ケンコウフクシガクブ</t>
    </rPh>
    <rPh sb="7" eb="9">
      <t>シャカイ</t>
    </rPh>
    <rPh sb="9" eb="11">
      <t>フクシ</t>
    </rPh>
    <rPh sb="11" eb="13">
      <t>ガッカ</t>
    </rPh>
    <phoneticPr fontId="1"/>
  </si>
  <si>
    <t>健康福祉学部・健康栄養学科</t>
    <rPh sb="0" eb="6">
      <t>ケンコウフクシガクブ</t>
    </rPh>
    <rPh sb="7" eb="9">
      <t>ケンコウ</t>
    </rPh>
    <rPh sb="9" eb="11">
      <t>エイヨウ</t>
    </rPh>
    <rPh sb="11" eb="13">
      <t>ガッカ</t>
    </rPh>
    <phoneticPr fontId="1"/>
  </si>
  <si>
    <t>薬学部・薬学科</t>
    <rPh sb="0" eb="3">
      <t>ヤクガクブ</t>
    </rPh>
    <rPh sb="4" eb="7">
      <t>ヤクガッカ</t>
    </rPh>
    <phoneticPr fontId="1"/>
  </si>
  <si>
    <t>保健医療学部・看護学科</t>
    <rPh sb="0" eb="6">
      <t>ホケンイリョウガクブ</t>
    </rPh>
    <rPh sb="7" eb="11">
      <t>カンゴガッカ</t>
    </rPh>
    <phoneticPr fontId="1"/>
  </si>
  <si>
    <t>保健医療学部・理学療法学科</t>
    <rPh sb="0" eb="6">
      <t>ホケンイリョウガクブ</t>
    </rPh>
    <rPh sb="7" eb="9">
      <t>リガク</t>
    </rPh>
    <rPh sb="9" eb="11">
      <t>リョウホウ</t>
    </rPh>
    <rPh sb="11" eb="13">
      <t>ガッカ</t>
    </rPh>
    <phoneticPr fontId="1"/>
  </si>
  <si>
    <t>人間発達学部・子ども教育学科</t>
    <rPh sb="0" eb="6">
      <t>ニンゲンハッタツガクブ</t>
    </rPh>
    <rPh sb="7" eb="8">
      <t>コ</t>
    </rPh>
    <rPh sb="10" eb="14">
      <t>キョウイクガッカ</t>
    </rPh>
    <phoneticPr fontId="1"/>
  </si>
  <si>
    <t>農学部・生物生産学科</t>
    <rPh sb="0" eb="3">
      <t>ノウガクブ</t>
    </rPh>
    <rPh sb="4" eb="6">
      <t>セイブツ</t>
    </rPh>
    <rPh sb="6" eb="8">
      <t>セイサン</t>
    </rPh>
    <rPh sb="8" eb="10">
      <t>ガッカ</t>
    </rPh>
    <phoneticPr fontId="1"/>
  </si>
  <si>
    <t>令和１０年度以降に履修必須とする計画、又は未定</t>
  </si>
  <si>
    <t>令和5</t>
    <rPh sb="0" eb="2">
      <t>レイワ</t>
    </rPh>
    <phoneticPr fontId="1"/>
  </si>
  <si>
    <t>入学前にパソコン等の端末を準備するよう案内しているため、入学時には全学生が端末を所有している。さらに、学内にはWi-Fi環境が整備されており円滑なオンライン学習が可能である。</t>
    <phoneticPr fontId="1"/>
  </si>
  <si>
    <t>オフィスアワーを設定し、学生からの質問・研究室への訪問に応じている。また、LMSを通じて相談や質問を随時受け付けている。</t>
    <rPh sb="8" eb="10">
      <t>セッテイ</t>
    </rPh>
    <rPh sb="12" eb="14">
      <t>ガクセイ</t>
    </rPh>
    <rPh sb="17" eb="19">
      <t>シツモン</t>
    </rPh>
    <rPh sb="20" eb="23">
      <t>ケンキュウシツ</t>
    </rPh>
    <rPh sb="25" eb="27">
      <t>ホウモン</t>
    </rPh>
    <rPh sb="28" eb="29">
      <t>オウ</t>
    </rPh>
    <rPh sb="50" eb="52">
      <t>ズイジ</t>
    </rPh>
    <rPh sb="52" eb="53">
      <t>ウ</t>
    </rPh>
    <rPh sb="54" eb="55">
      <t>ツ</t>
    </rPh>
    <phoneticPr fontId="1"/>
  </si>
  <si>
    <t>町田　修三</t>
    <rPh sb="0" eb="2">
      <t>マチダ</t>
    </rPh>
    <rPh sb="3" eb="5">
      <t>シュウゾウ</t>
    </rPh>
    <phoneticPr fontId="1"/>
  </si>
  <si>
    <t>教学部長</t>
    <rPh sb="0" eb="4">
      <t>キョウガクブチョウ</t>
    </rPh>
    <phoneticPr fontId="1"/>
  </si>
  <si>
    <t>町田修三</t>
    <rPh sb="0" eb="2">
      <t>マチダ</t>
    </rPh>
    <rPh sb="2" eb="4">
      <t>シュウゾウ</t>
    </rPh>
    <phoneticPr fontId="1"/>
  </si>
  <si>
    <t>高崎健康福祉大学データサイエンス・AIリテラシープログラム</t>
    <rPh sb="0" eb="8">
      <t>タカサキケンコウフクシダイガク</t>
    </rPh>
    <phoneticPr fontId="1"/>
  </si>
  <si>
    <t>令和5年度より開始したプログラムであり、学生の履修状況は一定数確認できている。1、2年次には資格取得に向けた指定科目なども増えることもあって、CAP上限にあたることで履修できない学生もいるが、これから学年進行に伴いCAP上限に余裕があることで修了者が増加することが見込まれる。</t>
    <rPh sb="0" eb="2">
      <t>レイワ</t>
    </rPh>
    <rPh sb="3" eb="5">
      <t>ネンド</t>
    </rPh>
    <rPh sb="7" eb="9">
      <t>カイシ</t>
    </rPh>
    <rPh sb="20" eb="22">
      <t>ガクセイ</t>
    </rPh>
    <rPh sb="23" eb="27">
      <t>リシュウジョウキョウ</t>
    </rPh>
    <rPh sb="28" eb="30">
      <t>イッテイ</t>
    </rPh>
    <rPh sb="30" eb="31">
      <t>スウ</t>
    </rPh>
    <rPh sb="31" eb="33">
      <t>カクニン</t>
    </rPh>
    <rPh sb="42" eb="44">
      <t>ネンジ</t>
    </rPh>
    <rPh sb="46" eb="50">
      <t>シカクシュトク</t>
    </rPh>
    <rPh sb="51" eb="52">
      <t>ム</t>
    </rPh>
    <rPh sb="54" eb="58">
      <t>シテイカモク</t>
    </rPh>
    <rPh sb="61" eb="62">
      <t>フ</t>
    </rPh>
    <rPh sb="74" eb="76">
      <t>ジョウゲン</t>
    </rPh>
    <rPh sb="83" eb="85">
      <t>リシュウ</t>
    </rPh>
    <rPh sb="89" eb="91">
      <t>ガクセイ</t>
    </rPh>
    <rPh sb="100" eb="102">
      <t>ガクネン</t>
    </rPh>
    <rPh sb="102" eb="104">
      <t>シンコウ</t>
    </rPh>
    <rPh sb="105" eb="106">
      <t>トモナ</t>
    </rPh>
    <rPh sb="110" eb="112">
      <t>ジョウゲン</t>
    </rPh>
    <rPh sb="113" eb="115">
      <t>ヨユウ</t>
    </rPh>
    <rPh sb="121" eb="124">
      <t>シュウリョウシャ</t>
    </rPh>
    <rPh sb="125" eb="127">
      <t>ゾウカ</t>
    </rPh>
    <rPh sb="132" eb="134">
      <t>ミコ</t>
    </rPh>
    <phoneticPr fontId="1"/>
  </si>
  <si>
    <t>前述のとおり、若い学年での修了が難しい学生もいるが、卒業までの学年進行に伴い当該科目の履修でプログラムの修了が見込まれるのであれば、履修率向上も期待できる。このプログラムがMDASHに選定されることで、さらに学生の期待も増加すると見込んでいる。</t>
    <rPh sb="0" eb="2">
      <t>ゼンジュツ</t>
    </rPh>
    <rPh sb="7" eb="8">
      <t>ワカ</t>
    </rPh>
    <rPh sb="9" eb="11">
      <t>ガクネン</t>
    </rPh>
    <rPh sb="13" eb="15">
      <t>シュウリョウ</t>
    </rPh>
    <rPh sb="16" eb="17">
      <t>ムズカ</t>
    </rPh>
    <rPh sb="19" eb="21">
      <t>ガクセイ</t>
    </rPh>
    <rPh sb="26" eb="28">
      <t>ソツギョウ</t>
    </rPh>
    <rPh sb="31" eb="33">
      <t>ガクネン</t>
    </rPh>
    <rPh sb="33" eb="35">
      <t>シンコウ</t>
    </rPh>
    <rPh sb="36" eb="37">
      <t>トモナ</t>
    </rPh>
    <rPh sb="38" eb="40">
      <t>トウガイ</t>
    </rPh>
    <rPh sb="40" eb="42">
      <t>カモク</t>
    </rPh>
    <rPh sb="43" eb="45">
      <t>リシュウ</t>
    </rPh>
    <rPh sb="52" eb="54">
      <t>シュウリョウ</t>
    </rPh>
    <rPh sb="55" eb="57">
      <t>ミコ</t>
    </rPh>
    <rPh sb="66" eb="69">
      <t>リシュウリツ</t>
    </rPh>
    <rPh sb="69" eb="71">
      <t>コウジョウ</t>
    </rPh>
    <rPh sb="72" eb="74">
      <t>キタイ</t>
    </rPh>
    <rPh sb="92" eb="94">
      <t>センテイ</t>
    </rPh>
    <rPh sb="104" eb="106">
      <t>ガクセイ</t>
    </rPh>
    <rPh sb="107" eb="109">
      <t>キタイ</t>
    </rPh>
    <rPh sb="110" eb="112">
      <t>ゾウカ</t>
    </rPh>
    <rPh sb="115" eb="117">
      <t>ミコ</t>
    </rPh>
    <phoneticPr fontId="1"/>
  </si>
  <si>
    <t>当該教育プログラムの修了者は令和７年度時点ではいないが、これまでの３つポリシー点検会議に参画している外部評価参画者の意見を踏まえて内容を構築しており、今後の活躍は期待できる。
また、卒業生に対する企業の評価については、別途アンケートを実施しており、本学卒業生の印象は比較的良いとの結果を得ている。</t>
    <rPh sb="0" eb="2">
      <t>トウガイ</t>
    </rPh>
    <rPh sb="2" eb="4">
      <t>キョウイク</t>
    </rPh>
    <rPh sb="10" eb="13">
      <t>シュウリョウシャ</t>
    </rPh>
    <rPh sb="14" eb="16">
      <t>レイワ</t>
    </rPh>
    <rPh sb="17" eb="19">
      <t>ネンド</t>
    </rPh>
    <rPh sb="19" eb="21">
      <t>ジテン</t>
    </rPh>
    <rPh sb="39" eb="41">
      <t>テンケン</t>
    </rPh>
    <rPh sb="41" eb="43">
      <t>カイギ</t>
    </rPh>
    <rPh sb="44" eb="46">
      <t>サンカク</t>
    </rPh>
    <rPh sb="50" eb="54">
      <t>ガイブヒョウカ</t>
    </rPh>
    <rPh sb="54" eb="57">
      <t>サンカクシャ</t>
    </rPh>
    <rPh sb="58" eb="60">
      <t>イケン</t>
    </rPh>
    <rPh sb="61" eb="62">
      <t>フ</t>
    </rPh>
    <rPh sb="65" eb="67">
      <t>ナイヨウ</t>
    </rPh>
    <rPh sb="68" eb="70">
      <t>コウチク</t>
    </rPh>
    <rPh sb="75" eb="77">
      <t>コンゴ</t>
    </rPh>
    <rPh sb="78" eb="80">
      <t>カツヤク</t>
    </rPh>
    <rPh sb="81" eb="83">
      <t>キタイ</t>
    </rPh>
    <rPh sb="91" eb="94">
      <t>ソツギョウセイ</t>
    </rPh>
    <rPh sb="95" eb="96">
      <t>タイ</t>
    </rPh>
    <rPh sb="98" eb="100">
      <t>キギョウ</t>
    </rPh>
    <rPh sb="101" eb="103">
      <t>ヒョウカ</t>
    </rPh>
    <rPh sb="109" eb="111">
      <t>ベット</t>
    </rPh>
    <rPh sb="117" eb="119">
      <t>ジッシ</t>
    </rPh>
    <rPh sb="124" eb="126">
      <t>ホンガク</t>
    </rPh>
    <rPh sb="126" eb="129">
      <t>ソツギョウセイ</t>
    </rPh>
    <rPh sb="130" eb="132">
      <t>インショウ</t>
    </rPh>
    <rPh sb="133" eb="136">
      <t>ヒカクテキ</t>
    </rPh>
    <rPh sb="136" eb="137">
      <t>ヨ</t>
    </rPh>
    <rPh sb="140" eb="142">
      <t>ケッカ</t>
    </rPh>
    <rPh sb="143" eb="144">
      <t>エ</t>
    </rPh>
    <phoneticPr fontId="1"/>
  </si>
  <si>
    <t>全学部共通の教養科目として配置されている。受講定員はなく、学生全員が履修可能である。若い学年の学生にとっては卒業要件となる資格取得に基づく科目履修によりCAP制限などにより履修を見送るケースも散見されるが、卒業までの期間で修了するように指導している。</t>
    <rPh sb="0" eb="3">
      <t>ゼンガクブ</t>
    </rPh>
    <rPh sb="3" eb="5">
      <t>キョウツウ</t>
    </rPh>
    <rPh sb="6" eb="8">
      <t>キョウヨウ</t>
    </rPh>
    <rPh sb="8" eb="10">
      <t>カモク</t>
    </rPh>
    <rPh sb="13" eb="15">
      <t>ハイチ</t>
    </rPh>
    <rPh sb="21" eb="23">
      <t>ジュコウ</t>
    </rPh>
    <rPh sb="23" eb="25">
      <t>テイイン</t>
    </rPh>
    <rPh sb="29" eb="31">
      <t>ガクセイ</t>
    </rPh>
    <rPh sb="31" eb="33">
      <t>ゼンイン</t>
    </rPh>
    <rPh sb="34" eb="36">
      <t>リシュウ</t>
    </rPh>
    <rPh sb="36" eb="38">
      <t>カノウ</t>
    </rPh>
    <rPh sb="42" eb="43">
      <t>ワカ</t>
    </rPh>
    <rPh sb="44" eb="46">
      <t>ガクネン</t>
    </rPh>
    <rPh sb="47" eb="49">
      <t>ガクセイ</t>
    </rPh>
    <rPh sb="54" eb="58">
      <t>ソツギョウヨウケン</t>
    </rPh>
    <rPh sb="61" eb="65">
      <t>シカクシュトク</t>
    </rPh>
    <rPh sb="66" eb="67">
      <t>モト</t>
    </rPh>
    <rPh sb="69" eb="71">
      <t>カモク</t>
    </rPh>
    <rPh sb="71" eb="73">
      <t>リシュウ</t>
    </rPh>
    <rPh sb="79" eb="81">
      <t>セイゲン</t>
    </rPh>
    <rPh sb="86" eb="88">
      <t>リシュウ</t>
    </rPh>
    <rPh sb="89" eb="91">
      <t>ミオク</t>
    </rPh>
    <rPh sb="96" eb="98">
      <t>サンケン</t>
    </rPh>
    <rPh sb="103" eb="105">
      <t>ソツギョウ</t>
    </rPh>
    <rPh sb="108" eb="110">
      <t>キカン</t>
    </rPh>
    <rPh sb="111" eb="113">
      <t>シュウリョウ</t>
    </rPh>
    <rPh sb="118" eb="120">
      <t>シドウ</t>
    </rPh>
    <phoneticPr fontId="1"/>
  </si>
  <si>
    <t>70～85%</t>
    <phoneticPr fontId="1"/>
  </si>
  <si>
    <t>授業の内容を理解し、単位取得をした学生の割合が多く、学修成果としては一定成果を得ている。
履修中の学生はLMS機能のあるシステムを利用して講師との直接相談も可能であり、当該科目の演習など講師からのフィードバックも行っている。</t>
    <rPh sb="0" eb="2">
      <t>ジュギョウ</t>
    </rPh>
    <rPh sb="3" eb="5">
      <t>ナイヨウ</t>
    </rPh>
    <rPh sb="6" eb="8">
      <t>リカイ</t>
    </rPh>
    <rPh sb="10" eb="14">
      <t>タンイシュトク</t>
    </rPh>
    <rPh sb="17" eb="19">
      <t>ガクセイ</t>
    </rPh>
    <rPh sb="20" eb="22">
      <t>ワリアイ</t>
    </rPh>
    <rPh sb="23" eb="24">
      <t>オオ</t>
    </rPh>
    <rPh sb="26" eb="30">
      <t>ガクシュウセイカ</t>
    </rPh>
    <rPh sb="34" eb="36">
      <t>イッテイ</t>
    </rPh>
    <rPh sb="36" eb="38">
      <t>セイカ</t>
    </rPh>
    <rPh sb="39" eb="40">
      <t>エ</t>
    </rPh>
    <rPh sb="45" eb="48">
      <t>リシュウナカ</t>
    </rPh>
    <rPh sb="49" eb="51">
      <t>ガクセイ</t>
    </rPh>
    <rPh sb="55" eb="57">
      <t>キノウ</t>
    </rPh>
    <rPh sb="65" eb="67">
      <t>リヨウ</t>
    </rPh>
    <rPh sb="69" eb="71">
      <t>コウシ</t>
    </rPh>
    <rPh sb="73" eb="75">
      <t>チョクセツ</t>
    </rPh>
    <rPh sb="75" eb="77">
      <t>ソウダン</t>
    </rPh>
    <rPh sb="78" eb="80">
      <t>カノウ</t>
    </rPh>
    <rPh sb="84" eb="88">
      <t>トウガイカモク</t>
    </rPh>
    <rPh sb="89" eb="91">
      <t>エンシュウ</t>
    </rPh>
    <rPh sb="93" eb="95">
      <t>コウシ</t>
    </rPh>
    <rPh sb="106" eb="107">
      <t>オコナ</t>
    </rPh>
    <phoneticPr fontId="1"/>
  </si>
  <si>
    <t>理解度は相当高く、コメントでも教員による支援が確認できる。
以下、記載されたコメントの抜粋
・小テストの結果や対面授業の時の学生の理解度を気にかけてくださったところがよかった。
・資料が見やすくてわかりやすかったです。
・講義を見ながら実践ができ、ゆっくりの説明のためとてもわかりやすかったです。
・資料が提示されていたので理解しやすかったです。</t>
    <rPh sb="0" eb="3">
      <t>リカイド</t>
    </rPh>
    <rPh sb="4" eb="6">
      <t>ソウトウ</t>
    </rPh>
    <rPh sb="6" eb="7">
      <t>タカ</t>
    </rPh>
    <rPh sb="15" eb="17">
      <t>キョウイン</t>
    </rPh>
    <rPh sb="20" eb="22">
      <t>シエン</t>
    </rPh>
    <rPh sb="23" eb="25">
      <t>カクニン</t>
    </rPh>
    <rPh sb="30" eb="32">
      <t>イカ</t>
    </rPh>
    <rPh sb="33" eb="35">
      <t>キサイ</t>
    </rPh>
    <rPh sb="43" eb="45">
      <t>バッスイ</t>
    </rPh>
    <phoneticPr fontId="1"/>
  </si>
  <si>
    <t>各学科の3つのポリシー点検会議で、それぞれ外部評価参画者として産業界から2名委嘱した委員と、教育改善委員として4名の学生を含めた会議を実施しており、毎年産業界の状況や在学生への期待など意見を交わしている。これらを各学科内で共有し、授業担当者も外部評価参画者の意見を踏まえた授業内容を意識している。</t>
    <rPh sb="0" eb="3">
      <t>カクガッカ</t>
    </rPh>
    <rPh sb="11" eb="15">
      <t>テンケンカイギ</t>
    </rPh>
    <rPh sb="21" eb="25">
      <t>ガイブヒョウカ</t>
    </rPh>
    <rPh sb="25" eb="28">
      <t>サンカクシャ</t>
    </rPh>
    <rPh sb="31" eb="34">
      <t>サンギョウカイ</t>
    </rPh>
    <rPh sb="37" eb="38">
      <t>メイ</t>
    </rPh>
    <rPh sb="38" eb="40">
      <t>イショク</t>
    </rPh>
    <rPh sb="42" eb="44">
      <t>イイン</t>
    </rPh>
    <rPh sb="46" eb="50">
      <t>キョウイクカイゼン</t>
    </rPh>
    <rPh sb="50" eb="52">
      <t>イイン</t>
    </rPh>
    <rPh sb="56" eb="57">
      <t>メイ</t>
    </rPh>
    <rPh sb="58" eb="60">
      <t>ガクセイ</t>
    </rPh>
    <rPh sb="61" eb="62">
      <t>フク</t>
    </rPh>
    <rPh sb="64" eb="66">
      <t>カイギ</t>
    </rPh>
    <rPh sb="67" eb="69">
      <t>ジッシ</t>
    </rPh>
    <rPh sb="74" eb="76">
      <t>マイトシ</t>
    </rPh>
    <rPh sb="76" eb="79">
      <t>サンギョウカイ</t>
    </rPh>
    <rPh sb="80" eb="82">
      <t>ジョウキョウ</t>
    </rPh>
    <rPh sb="83" eb="86">
      <t>ザイガクセイ</t>
    </rPh>
    <rPh sb="88" eb="90">
      <t>キタイ</t>
    </rPh>
    <rPh sb="92" eb="94">
      <t>イケン</t>
    </rPh>
    <rPh sb="95" eb="96">
      <t>カ</t>
    </rPh>
    <rPh sb="106" eb="109">
      <t>カクガッカ</t>
    </rPh>
    <rPh sb="109" eb="110">
      <t>ナイ</t>
    </rPh>
    <rPh sb="111" eb="113">
      <t>キョウユウ</t>
    </rPh>
    <rPh sb="115" eb="120">
      <t>ジュギョウタントウシャ</t>
    </rPh>
    <rPh sb="121" eb="125">
      <t>ガイブヒョウカ</t>
    </rPh>
    <rPh sb="125" eb="128">
      <t>サンカクシャ</t>
    </rPh>
    <rPh sb="129" eb="131">
      <t>イケン</t>
    </rPh>
    <rPh sb="132" eb="133">
      <t>フ</t>
    </rPh>
    <rPh sb="136" eb="138">
      <t>ジュギョウ</t>
    </rPh>
    <rPh sb="138" eb="140">
      <t>ナイヨウ</t>
    </rPh>
    <rPh sb="141" eb="143">
      <t>イシキ</t>
    </rPh>
    <phoneticPr fontId="1"/>
  </si>
  <si>
    <t>小テストをすることで学びが理解できているかを確認できる仕組みを用いて、常に自身が理解できているかのフィードバックがあるため、取り組みやすい。本プログラムでは履修する科目すべてでLMS機能を用いたシステムで教員と学生がいつでもコミュニケーションをとることが出来る。また、グループで対応する課題なども実施している。</t>
    <rPh sb="27" eb="29">
      <t>シク</t>
    </rPh>
    <rPh sb="31" eb="32">
      <t>モチ</t>
    </rPh>
    <rPh sb="35" eb="36">
      <t>ツネ</t>
    </rPh>
    <rPh sb="37" eb="39">
      <t>ジシン</t>
    </rPh>
    <rPh sb="40" eb="42">
      <t>リカイ</t>
    </rPh>
    <rPh sb="62" eb="63">
      <t>ト</t>
    </rPh>
    <rPh sb="64" eb="65">
      <t>ク</t>
    </rPh>
    <rPh sb="70" eb="71">
      <t>ホン</t>
    </rPh>
    <rPh sb="78" eb="80">
      <t>リシュウ</t>
    </rPh>
    <rPh sb="82" eb="84">
      <t>カモク</t>
    </rPh>
    <rPh sb="91" eb="93">
      <t>キノウ</t>
    </rPh>
    <rPh sb="94" eb="95">
      <t>モチ</t>
    </rPh>
    <rPh sb="102" eb="104">
      <t>キョウイン</t>
    </rPh>
    <rPh sb="105" eb="107">
      <t>ガクセイ</t>
    </rPh>
    <rPh sb="127" eb="129">
      <t>デキ</t>
    </rPh>
    <rPh sb="139" eb="141">
      <t>タイオウ</t>
    </rPh>
    <rPh sb="143" eb="145">
      <t>カダイ</t>
    </rPh>
    <rPh sb="148" eb="150">
      <t>ジッシ</t>
    </rPh>
    <phoneticPr fontId="1"/>
  </si>
  <si>
    <t>全学教務委員会　教養科目専門部会、内部質保証会議　基準別WG４</t>
    <rPh sb="0" eb="7">
      <t>ゼンガクキョウムイインカイ</t>
    </rPh>
    <rPh sb="8" eb="12">
      <t>キョウヨウカモク</t>
    </rPh>
    <rPh sb="12" eb="14">
      <t>センモン</t>
    </rPh>
    <rPh sb="14" eb="16">
      <t>ブカイ</t>
    </rPh>
    <rPh sb="17" eb="22">
      <t>ナイブシツホショウ</t>
    </rPh>
    <rPh sb="22" eb="24">
      <t>カイギ</t>
    </rPh>
    <rPh sb="25" eb="28">
      <t>キジュンベツ</t>
    </rPh>
    <phoneticPr fontId="1"/>
  </si>
  <si>
    <t>科目のシラバスはWeb上に公開されており、学生はいつでも授業概要を閲覧可能できる。
全体のプログラムについてもWeb上で公開、ガイダンス等で学生にも説明している。</t>
    <rPh sb="0" eb="2">
      <t>カモク</t>
    </rPh>
    <rPh sb="11" eb="12">
      <t>ジョウ</t>
    </rPh>
    <rPh sb="13" eb="15">
      <t>コウカイ</t>
    </rPh>
    <rPh sb="21" eb="23">
      <t>ガクセイ</t>
    </rPh>
    <rPh sb="28" eb="30">
      <t>ジュギョウ</t>
    </rPh>
    <rPh sb="30" eb="32">
      <t>ガイヨウ</t>
    </rPh>
    <rPh sb="33" eb="35">
      <t>エツラン</t>
    </rPh>
    <rPh sb="35" eb="37">
      <t>カノウ</t>
    </rPh>
    <rPh sb="42" eb="44">
      <t>ゼンタイ</t>
    </rPh>
    <rPh sb="58" eb="59">
      <t>ウエ</t>
    </rPh>
    <rPh sb="60" eb="62">
      <t>コウカイ</t>
    </rPh>
    <rPh sb="68" eb="69">
      <t>トウ</t>
    </rPh>
    <rPh sb="70" eb="72">
      <t>ガクセイ</t>
    </rPh>
    <rPh sb="74" eb="76">
      <t>セツメイ</t>
    </rPh>
    <phoneticPr fontId="1"/>
  </si>
  <si>
    <t>教養科目専門部会委員長　佐々木典彰
内部質保証会議　基準別WG4リーダー　吉田久美子
教学部長　　　　町田　修三
教学部次長　　　西村　英世</t>
    <rPh sb="0" eb="2">
      <t>キョウヨウ</t>
    </rPh>
    <rPh sb="2" eb="4">
      <t>カモク</t>
    </rPh>
    <rPh sb="4" eb="6">
      <t>センモン</t>
    </rPh>
    <rPh sb="6" eb="8">
      <t>ブカイ</t>
    </rPh>
    <rPh sb="8" eb="11">
      <t>イインチョウ</t>
    </rPh>
    <rPh sb="12" eb="15">
      <t>ササキ</t>
    </rPh>
    <rPh sb="18" eb="25">
      <t>ナイブシツホショウカイギ</t>
    </rPh>
    <rPh sb="26" eb="29">
      <t>キジュンベツ</t>
    </rPh>
    <rPh sb="37" eb="39">
      <t>ヨシダ</t>
    </rPh>
    <rPh sb="39" eb="42">
      <t>クミコ</t>
    </rPh>
    <rPh sb="43" eb="47">
      <t>キョウガクブチョウ</t>
    </rPh>
    <rPh sb="51" eb="53">
      <t>マチダ</t>
    </rPh>
    <rPh sb="54" eb="56">
      <t>シュウゾウ</t>
    </rPh>
    <rPh sb="57" eb="60">
      <t>キョウガクブ</t>
    </rPh>
    <rPh sb="60" eb="62">
      <t>ジチョウ</t>
    </rPh>
    <rPh sb="65" eb="67">
      <t>ニシムラ</t>
    </rPh>
    <rPh sb="68" eb="70">
      <t>ヒデヨ</t>
    </rPh>
    <phoneticPr fontId="1"/>
  </si>
  <si>
    <t>全学教務委員会　教養科目専門部会、内部質保証会議基準別WG4</t>
    <rPh sb="0" eb="7">
      <t>ゼンガクキョウムイインカイ</t>
    </rPh>
    <rPh sb="8" eb="10">
      <t>キョウヨウ</t>
    </rPh>
    <rPh sb="10" eb="12">
      <t>カモク</t>
    </rPh>
    <rPh sb="12" eb="14">
      <t>センモン</t>
    </rPh>
    <rPh sb="14" eb="16">
      <t>ブカイ</t>
    </rPh>
    <rPh sb="17" eb="24">
      <t>ナイブシツホショウカイギ</t>
    </rPh>
    <rPh sb="24" eb="27">
      <t>キジュンベツ</t>
    </rPh>
    <phoneticPr fontId="1"/>
  </si>
  <si>
    <t>内部質保証会議規程、教養科目専門部会　内規</t>
    <rPh sb="0" eb="7">
      <t>ナイブシツホショウカイギ</t>
    </rPh>
    <rPh sb="7" eb="9">
      <t>キテイ</t>
    </rPh>
    <rPh sb="10" eb="12">
      <t>キョウヨウ</t>
    </rPh>
    <rPh sb="12" eb="14">
      <t>カモク</t>
    </rPh>
    <rPh sb="14" eb="16">
      <t>センモン</t>
    </rPh>
    <rPh sb="16" eb="18">
      <t>ブカイ</t>
    </rPh>
    <rPh sb="19" eb="21">
      <t>ナイキ</t>
    </rPh>
    <phoneticPr fontId="1"/>
  </si>
  <si>
    <t>当該科目は教養基礎科目群に配置されているため、教養科目担当者または各学科主要な科目を担当する教員を構成員とする、全学教務委員会　教養科目専門部会で点検・評価を実施する。その後、大学全体の内部質保証会議所属基準別WG4において、当該自己点検・評価の確認をしたうえで、プログラムの実施状況その他について内部質保証会議に報告を行っている。当該委員会それぞれに委員会事務として教学部長、教学部次長が構成員となっている。
当該プログラムについては、令和５年度に開始し、それぞれ科目の実施状況、履修者数、授業評価アンケート結果を用いて点検している。</t>
    <rPh sb="0" eb="2">
      <t>トウガイ</t>
    </rPh>
    <rPh sb="2" eb="4">
      <t>カモク</t>
    </rPh>
    <rPh sb="5" eb="7">
      <t>キョウヨウ</t>
    </rPh>
    <rPh sb="7" eb="11">
      <t>キソカモク</t>
    </rPh>
    <rPh sb="11" eb="12">
      <t>グン</t>
    </rPh>
    <rPh sb="13" eb="15">
      <t>ハイチ</t>
    </rPh>
    <rPh sb="23" eb="27">
      <t>キョウヨウカモク</t>
    </rPh>
    <rPh sb="27" eb="30">
      <t>タントウシャ</t>
    </rPh>
    <rPh sb="33" eb="36">
      <t>カクガッカ</t>
    </rPh>
    <rPh sb="36" eb="38">
      <t>シュヨウ</t>
    </rPh>
    <rPh sb="39" eb="41">
      <t>カモク</t>
    </rPh>
    <rPh sb="42" eb="44">
      <t>タントウ</t>
    </rPh>
    <rPh sb="46" eb="48">
      <t>キョウイン</t>
    </rPh>
    <rPh sb="49" eb="52">
      <t>コウセイイン</t>
    </rPh>
    <rPh sb="56" eb="63">
      <t>ゼンガクキョウムイインカイ</t>
    </rPh>
    <rPh sb="64" eb="68">
      <t>キョウヨウカモク</t>
    </rPh>
    <rPh sb="68" eb="72">
      <t>センモンブカイ</t>
    </rPh>
    <rPh sb="73" eb="75">
      <t>テンケン</t>
    </rPh>
    <rPh sb="76" eb="78">
      <t>ヒョウカ</t>
    </rPh>
    <rPh sb="79" eb="81">
      <t>ジッシ</t>
    </rPh>
    <rPh sb="86" eb="87">
      <t>ゴ</t>
    </rPh>
    <rPh sb="88" eb="90">
      <t>ダイガク</t>
    </rPh>
    <rPh sb="90" eb="92">
      <t>ゼンタイ</t>
    </rPh>
    <rPh sb="93" eb="100">
      <t>ナイブシツホショウカイギ</t>
    </rPh>
    <rPh sb="100" eb="102">
      <t>ショゾク</t>
    </rPh>
    <rPh sb="102" eb="105">
      <t>キジュンベツ</t>
    </rPh>
    <rPh sb="113" eb="115">
      <t>トウガイ</t>
    </rPh>
    <rPh sb="115" eb="119">
      <t>ジコテンケン</t>
    </rPh>
    <rPh sb="120" eb="122">
      <t>ヒョウカ</t>
    </rPh>
    <rPh sb="123" eb="125">
      <t>カクニン</t>
    </rPh>
    <rPh sb="138" eb="140">
      <t>ジッシ</t>
    </rPh>
    <rPh sb="140" eb="142">
      <t>ジョウキョウ</t>
    </rPh>
    <rPh sb="144" eb="145">
      <t>タ</t>
    </rPh>
    <rPh sb="149" eb="154">
      <t>ナイブシツホショウ</t>
    </rPh>
    <rPh sb="154" eb="156">
      <t>カイギ</t>
    </rPh>
    <rPh sb="157" eb="159">
      <t>ホウコク</t>
    </rPh>
    <rPh sb="160" eb="161">
      <t>オコナ</t>
    </rPh>
    <rPh sb="166" eb="168">
      <t>トウガイ</t>
    </rPh>
    <rPh sb="168" eb="171">
      <t>イインカイ</t>
    </rPh>
    <rPh sb="176" eb="179">
      <t>イインカイ</t>
    </rPh>
    <rPh sb="179" eb="181">
      <t>ジム</t>
    </rPh>
    <rPh sb="184" eb="185">
      <t>キョウ</t>
    </rPh>
    <rPh sb="185" eb="187">
      <t>ガクブ</t>
    </rPh>
    <rPh sb="187" eb="188">
      <t>チョウ</t>
    </rPh>
    <rPh sb="189" eb="190">
      <t>キョウ</t>
    </rPh>
    <rPh sb="190" eb="192">
      <t>ガクブ</t>
    </rPh>
    <rPh sb="192" eb="194">
      <t>ジチョウ</t>
    </rPh>
    <rPh sb="195" eb="198">
      <t>コウセイイン</t>
    </rPh>
    <rPh sb="206" eb="208">
      <t>トウガイ</t>
    </rPh>
    <rPh sb="219" eb="221">
      <t>レイワ</t>
    </rPh>
    <rPh sb="222" eb="224">
      <t>ネンド</t>
    </rPh>
    <rPh sb="225" eb="227">
      <t>カイシ</t>
    </rPh>
    <rPh sb="233" eb="235">
      <t>カモク</t>
    </rPh>
    <rPh sb="236" eb="238">
      <t>ジッシ</t>
    </rPh>
    <rPh sb="238" eb="240">
      <t>ジョウキョウ</t>
    </rPh>
    <rPh sb="241" eb="245">
      <t>リシュウシャスウ</t>
    </rPh>
    <rPh sb="246" eb="250">
      <t>ジュギョウヒョウカ</t>
    </rPh>
    <rPh sb="255" eb="257">
      <t>ケッカ</t>
    </rPh>
    <rPh sb="258" eb="259">
      <t>モチ</t>
    </rPh>
    <rPh sb="261" eb="263">
      <t>テンケン</t>
    </rPh>
    <phoneticPr fontId="1"/>
  </si>
  <si>
    <t>令和７年度先行申請に伴い、当該プログラムの選定結果を学生に周知することで、さらに履修者増を期待している。
令和８年度までの履修機会に学生へのアナウンスをさらに強める予定。当該プログラム修了者には修了証を発行。卒業後は地域を支えるアドバンスト・エッセンシャルワーカーとしての活躍が期待できる。</t>
    <rPh sb="0" eb="2">
      <t>レイワ</t>
    </rPh>
    <rPh sb="3" eb="5">
      <t>ネンド</t>
    </rPh>
    <rPh sb="5" eb="7">
      <t>センコウ</t>
    </rPh>
    <rPh sb="7" eb="9">
      <t>シンセイ</t>
    </rPh>
    <rPh sb="10" eb="11">
      <t>トモナ</t>
    </rPh>
    <rPh sb="13" eb="15">
      <t>トウガイ</t>
    </rPh>
    <rPh sb="21" eb="23">
      <t>センテイ</t>
    </rPh>
    <rPh sb="23" eb="25">
      <t>ケッカ</t>
    </rPh>
    <rPh sb="26" eb="28">
      <t>ガクセイ</t>
    </rPh>
    <rPh sb="29" eb="31">
      <t>シュウチ</t>
    </rPh>
    <rPh sb="40" eb="43">
      <t>リシュウシャ</t>
    </rPh>
    <rPh sb="43" eb="44">
      <t>ゾウ</t>
    </rPh>
    <rPh sb="45" eb="47">
      <t>キタイ</t>
    </rPh>
    <rPh sb="53" eb="55">
      <t>レイワ</t>
    </rPh>
    <rPh sb="56" eb="58">
      <t>ネンド</t>
    </rPh>
    <rPh sb="61" eb="63">
      <t>リシュウ</t>
    </rPh>
    <rPh sb="63" eb="65">
      <t>キカイ</t>
    </rPh>
    <rPh sb="66" eb="68">
      <t>ガクセイ</t>
    </rPh>
    <rPh sb="79" eb="80">
      <t>ツヨ</t>
    </rPh>
    <rPh sb="82" eb="84">
      <t>ヨテイ</t>
    </rPh>
    <rPh sb="85" eb="87">
      <t>トウガイ</t>
    </rPh>
    <rPh sb="92" eb="95">
      <t>シュウリョウシャ</t>
    </rPh>
    <rPh sb="97" eb="100">
      <t>シュウリョウショウ</t>
    </rPh>
    <rPh sb="101" eb="103">
      <t>ハッコウ</t>
    </rPh>
    <rPh sb="104" eb="107">
      <t>ソツギョウゴ</t>
    </rPh>
    <rPh sb="108" eb="110">
      <t>チイキ</t>
    </rPh>
    <rPh sb="111" eb="112">
      <t>ササ</t>
    </rPh>
    <rPh sb="136" eb="138">
      <t>カツヤク</t>
    </rPh>
    <rPh sb="139" eb="141">
      <t>キタイ</t>
    </rPh>
    <phoneticPr fontId="1"/>
  </si>
  <si>
    <t>授業内容についても教員による支援が充実しており、学生の理解度を確認しながら授業を進行しており、後輩履修者に対しても同様の対応が期待できる。
授業の紹介などでも既修得者の意見を添えるなどして対応できる。
尚、令和7年度までは科目名称から内容がわからない状況でもあるため、令和8年度以降に科目名に内容を括弧書きで表示するなど、工夫することを検討している。</t>
    <rPh sb="0" eb="2">
      <t>ジュギョウ</t>
    </rPh>
    <rPh sb="2" eb="4">
      <t>ナイヨウ</t>
    </rPh>
    <rPh sb="9" eb="11">
      <t>キョウイン</t>
    </rPh>
    <rPh sb="14" eb="16">
      <t>シエン</t>
    </rPh>
    <rPh sb="17" eb="19">
      <t>ジュウジツ</t>
    </rPh>
    <rPh sb="24" eb="26">
      <t>ガクセイ</t>
    </rPh>
    <rPh sb="27" eb="30">
      <t>リカイド</t>
    </rPh>
    <rPh sb="31" eb="33">
      <t>カクニン</t>
    </rPh>
    <rPh sb="37" eb="39">
      <t>ジュギョウ</t>
    </rPh>
    <rPh sb="40" eb="42">
      <t>シンコウ</t>
    </rPh>
    <rPh sb="47" eb="49">
      <t>コウハイ</t>
    </rPh>
    <rPh sb="49" eb="52">
      <t>リシュウシャ</t>
    </rPh>
    <rPh sb="53" eb="54">
      <t>タイ</t>
    </rPh>
    <rPh sb="57" eb="59">
      <t>ドウヨウ</t>
    </rPh>
    <rPh sb="60" eb="62">
      <t>タイオウ</t>
    </rPh>
    <rPh sb="63" eb="65">
      <t>キタイ</t>
    </rPh>
    <rPh sb="70" eb="72">
      <t>ジュギョウ</t>
    </rPh>
    <rPh sb="73" eb="75">
      <t>ショウカイ</t>
    </rPh>
    <rPh sb="79" eb="83">
      <t>キシュウトクシャ</t>
    </rPh>
    <rPh sb="84" eb="86">
      <t>イケン</t>
    </rPh>
    <rPh sb="87" eb="88">
      <t>ソ</t>
    </rPh>
    <rPh sb="94" eb="96">
      <t>タイオウ</t>
    </rPh>
    <rPh sb="101" eb="102">
      <t>ナオ</t>
    </rPh>
    <rPh sb="103" eb="105">
      <t>レイワ</t>
    </rPh>
    <rPh sb="106" eb="108">
      <t>ネンド</t>
    </rPh>
    <rPh sb="111" eb="115">
      <t>カモクメイショウ</t>
    </rPh>
    <rPh sb="117" eb="119">
      <t>ナイヨウ</t>
    </rPh>
    <rPh sb="125" eb="127">
      <t>ジョウキョウ</t>
    </rPh>
    <rPh sb="134" eb="136">
      <t>レイワ</t>
    </rPh>
    <rPh sb="137" eb="139">
      <t>ネンド</t>
    </rPh>
    <rPh sb="139" eb="141">
      <t>イコウ</t>
    </rPh>
    <rPh sb="142" eb="145">
      <t>カモクメイ</t>
    </rPh>
    <rPh sb="146" eb="148">
      <t>ナイヨウ</t>
    </rPh>
    <rPh sb="149" eb="152">
      <t>カッコガ</t>
    </rPh>
    <rPh sb="154" eb="156">
      <t>ヒョウジ</t>
    </rPh>
    <rPh sb="161" eb="163">
      <t>クフウ</t>
    </rPh>
    <rPh sb="168" eb="170">
      <t>ケントウ</t>
    </rPh>
    <phoneticPr fontId="1"/>
  </si>
  <si>
    <t>50～60%</t>
    <phoneticPr fontId="1"/>
  </si>
  <si>
    <t>60～65%</t>
    <phoneticPr fontId="1"/>
  </si>
  <si>
    <t>65～70%</t>
    <phoneticPr fontId="1"/>
  </si>
  <si>
    <t>当該科目担当教員は、当該プログラムに求められる内容はもとより、それを活かした学科での学びの工夫を取り入れている。例えば群馬県が調査・報告している「令和3・4 年県民健康・栄養調査報告書」を用いたデータ分析などを実施、学生が調査結果などを利用した分析など実データを扱うことで理解を深めつつ、水準を維持・向上することも期待できる。群馬県の了承を得て利用しているため、利用報告を書面で行っている。</t>
    <rPh sb="0" eb="2">
      <t>トウガイ</t>
    </rPh>
    <rPh sb="2" eb="4">
      <t>カモク</t>
    </rPh>
    <rPh sb="4" eb="8">
      <t>タントウキョウイン</t>
    </rPh>
    <rPh sb="10" eb="12">
      <t>トウガイ</t>
    </rPh>
    <rPh sb="18" eb="19">
      <t>モト</t>
    </rPh>
    <rPh sb="23" eb="25">
      <t>ナイヨウ</t>
    </rPh>
    <rPh sb="34" eb="35">
      <t>イ</t>
    </rPh>
    <rPh sb="38" eb="40">
      <t>ガッカ</t>
    </rPh>
    <rPh sb="42" eb="43">
      <t>マナ</t>
    </rPh>
    <rPh sb="45" eb="47">
      <t>クフウ</t>
    </rPh>
    <rPh sb="48" eb="49">
      <t>ト</t>
    </rPh>
    <rPh sb="50" eb="51">
      <t>イ</t>
    </rPh>
    <rPh sb="56" eb="57">
      <t>タト</t>
    </rPh>
    <rPh sb="59" eb="62">
      <t>グンマケン</t>
    </rPh>
    <rPh sb="63" eb="65">
      <t>チョウサ</t>
    </rPh>
    <rPh sb="66" eb="68">
      <t>ホウコク</t>
    </rPh>
    <rPh sb="80" eb="82">
      <t>ケンミン</t>
    </rPh>
    <rPh sb="108" eb="110">
      <t>ガクセイ</t>
    </rPh>
    <rPh sb="111" eb="113">
      <t>チョウサ</t>
    </rPh>
    <rPh sb="113" eb="115">
      <t>ケッカ</t>
    </rPh>
    <rPh sb="118" eb="120">
      <t>リヨウ</t>
    </rPh>
    <rPh sb="122" eb="124">
      <t>ブンセキ</t>
    </rPh>
    <rPh sb="126" eb="127">
      <t>ジツ</t>
    </rPh>
    <rPh sb="131" eb="132">
      <t>アツカ</t>
    </rPh>
    <rPh sb="136" eb="138">
      <t>リカイ</t>
    </rPh>
    <rPh sb="139" eb="140">
      <t>フカ</t>
    </rPh>
    <rPh sb="144" eb="146">
      <t>スイジュン</t>
    </rPh>
    <rPh sb="147" eb="149">
      <t>イジ</t>
    </rPh>
    <rPh sb="150" eb="152">
      <t>コウジョウ</t>
    </rPh>
    <rPh sb="157" eb="159">
      <t>キタイ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</si>
</sst>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0_ "/>
    <numFmt numFmtId="177" formatCode="0_);[Red]\(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s>
  <fills count="4">
    <fill>
      <patternFill patternType="none"/>
    </fill>
    <fill>
      <patternFill patternType="gray125"/>
    </fill>
    <fill>
      <patternFill patternType="solid">
        <fgColor theme="0"/>
        <bgColor indexed="64"/>
      </patternFill>
    </fill>
    <fill>
      <patternFill patternType="solid">
        <fgColor theme="1" tint="0.499984740745262"/>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4">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xf numFmtId="6" fontId="4" fillId="0" borderId="0" applyFont="0" applyFill="0" applyBorder="0" applyAlignment="0" applyProtection="0">
      <alignment vertical="center"/>
    </xf>
  </cellStyleXfs>
  <cellXfs count="186">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49" fontId="2" fillId="2" borderId="15" xfId="0" applyNumberFormat="1"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0" xfId="0" applyNumberFormat="1" applyFont="1" applyFill="1" applyAlignment="1">
      <alignment vertical="top"/>
    </xf>
    <xf numFmtId="49" fontId="3" fillId="2" borderId="0" xfId="0" applyNumberFormat="1" applyFont="1" applyFill="1" applyAlignment="1">
      <alignment vertical="top"/>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49" fontId="2" fillId="2" borderId="15" xfId="0" applyNumberFormat="1" applyFont="1" applyFill="1" applyBorder="1" applyAlignment="1">
      <alignment horizontal="left" vertical="center" wrapText="1"/>
    </xf>
    <xf numFmtId="49" fontId="2" fillId="2" borderId="14" xfId="0" applyNumberFormat="1" applyFont="1" applyFill="1" applyBorder="1" applyAlignment="1">
      <alignment horizontal="left" vertical="top" wrapText="1"/>
    </xf>
    <xf numFmtId="49" fontId="2" fillId="2" borderId="13" xfId="0" applyNumberFormat="1" applyFont="1" applyFill="1" applyBorder="1" applyAlignment="1">
      <alignment horizontal="left" vertical="center" wrapText="1"/>
    </xf>
    <xf numFmtId="49" fontId="2" fillId="2" borderId="20" xfId="0" applyNumberFormat="1" applyFont="1" applyFill="1" applyBorder="1" applyAlignment="1">
      <alignment horizontal="left" vertical="center" wrapText="1"/>
    </xf>
    <xf numFmtId="49" fontId="2" fillId="2" borderId="32" xfId="0" applyNumberFormat="1" applyFont="1" applyFill="1" applyBorder="1" applyAlignment="1">
      <alignment horizontal="left" vertical="top" wrapText="1"/>
    </xf>
    <xf numFmtId="49" fontId="2" fillId="0" borderId="40" xfId="0" applyNumberFormat="1" applyFont="1" applyFill="1" applyBorder="1" applyAlignment="1">
      <alignment horizontal="center" vertical="center"/>
    </xf>
    <xf numFmtId="49" fontId="2" fillId="0" borderId="41" xfId="0" applyNumberFormat="1" applyFont="1" applyFill="1" applyBorder="1" applyAlignment="1">
      <alignment horizontal="center" vertical="center"/>
    </xf>
    <xf numFmtId="49" fontId="2" fillId="0" borderId="36" xfId="0" applyNumberFormat="1" applyFont="1" applyFill="1" applyBorder="1" applyAlignment="1">
      <alignment horizontal="center" vertical="center"/>
    </xf>
    <xf numFmtId="49" fontId="2" fillId="0" borderId="24" xfId="0" applyNumberFormat="1" applyFont="1" applyFill="1" applyBorder="1" applyAlignment="1">
      <alignment horizontal="center" vertical="center"/>
    </xf>
    <xf numFmtId="49" fontId="2" fillId="0" borderId="39" xfId="0" applyNumberFormat="1" applyFont="1" applyFill="1" applyBorder="1" applyAlignment="1">
      <alignment horizontal="center" vertical="center"/>
    </xf>
    <xf numFmtId="49" fontId="2" fillId="0" borderId="26" xfId="0" applyNumberFormat="1" applyFont="1" applyFill="1" applyBorder="1" applyAlignment="1">
      <alignment horizontal="center" vertical="center"/>
    </xf>
    <xf numFmtId="49" fontId="2" fillId="2" borderId="13" xfId="0" applyNumberFormat="1" applyFont="1" applyFill="1" applyBorder="1" applyAlignment="1">
      <alignment horizontal="left" vertical="top" wrapText="1"/>
    </xf>
    <xf numFmtId="0" fontId="2" fillId="2" borderId="1" xfId="3" applyNumberFormat="1" applyFont="1" applyFill="1" applyBorder="1" applyAlignment="1">
      <alignment horizontal="right" vertical="center"/>
    </xf>
    <xf numFmtId="0" fontId="2" fillId="2" borderId="1" xfId="0" applyNumberFormat="1" applyFont="1" applyFill="1" applyBorder="1" applyAlignment="1">
      <alignment horizontal="right" vertical="center"/>
    </xf>
    <xf numFmtId="38" fontId="2" fillId="3" borderId="5" xfId="2" applyFont="1" applyFill="1" applyBorder="1" applyAlignment="1">
      <alignment horizontal="right" vertical="center" shrinkToFit="1"/>
    </xf>
    <xf numFmtId="38" fontId="2" fillId="3" borderId="42" xfId="2" applyFont="1" applyFill="1" applyBorder="1" applyAlignment="1">
      <alignment horizontal="right" vertical="center" shrinkToFi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6" xfId="0" applyFont="1" applyFill="1" applyBorder="1">
      <alignment vertical="center"/>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4">
    <cellStyle name="パーセント" xfId="1" builtinId="5"/>
    <cellStyle name="桁区切り" xfId="2" builtinId="6"/>
    <cellStyle name="通貨" xfId="3" builtinId="7"/>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view="pageBreakPreview" zoomScale="85" zoomScaleNormal="100" zoomScaleSheetLayoutView="85" workbookViewId="0">
      <selection activeCell="B2" sqref="B2"/>
    </sheetView>
  </sheetViews>
  <sheetFormatPr defaultColWidth="9" defaultRowHeight="18.75" customHeight="1" x14ac:dyDescent="0.2"/>
  <cols>
    <col min="1" max="1" width="2.44140625" style="8" customWidth="1"/>
    <col min="2" max="2" width="28.21875" style="8" customWidth="1"/>
    <col min="3" max="3" width="6.21875" style="8" customWidth="1"/>
    <col min="4" max="4" width="80.6640625" style="8" customWidth="1"/>
    <col min="5" max="5" width="6.44140625" style="8" bestFit="1" customWidth="1"/>
    <col min="6" max="26" width="5.6640625" style="8" customWidth="1"/>
    <col min="27" max="27" width="9" style="8" customWidth="1"/>
    <col min="28" max="16384" width="9" style="8"/>
  </cols>
  <sheetData>
    <row r="1" spans="1:28" ht="18.75" customHeight="1" x14ac:dyDescent="0.2">
      <c r="A1" s="144" t="s">
        <v>109</v>
      </c>
      <c r="B1" s="144"/>
      <c r="C1" s="144"/>
      <c r="D1" s="144"/>
      <c r="E1" s="144"/>
      <c r="F1" s="144"/>
      <c r="G1" s="144"/>
      <c r="H1" s="144"/>
      <c r="I1" s="144"/>
      <c r="J1" s="144"/>
      <c r="K1" s="144"/>
      <c r="L1" s="144"/>
      <c r="M1" s="144"/>
      <c r="N1" s="144"/>
      <c r="O1" s="144"/>
      <c r="P1" s="144"/>
      <c r="Q1" s="144"/>
      <c r="R1" s="144"/>
      <c r="S1" s="144"/>
      <c r="T1" s="144"/>
      <c r="U1" s="144"/>
      <c r="V1" s="144"/>
      <c r="W1" s="144"/>
      <c r="X1" s="144"/>
      <c r="Y1" s="144"/>
      <c r="Z1" s="144"/>
    </row>
    <row r="3" spans="1:28" ht="18.600000000000001" customHeight="1" x14ac:dyDescent="0.2">
      <c r="Y3" s="144" t="s">
        <v>12</v>
      </c>
      <c r="Z3" s="144"/>
      <c r="AA3" s="9"/>
      <c r="AB3" s="13"/>
    </row>
    <row r="4" spans="1:28" ht="18.75" customHeight="1" x14ac:dyDescent="0.2">
      <c r="B4" s="149" t="s">
        <v>85</v>
      </c>
      <c r="C4" s="150"/>
      <c r="D4" s="69" t="s">
        <v>129</v>
      </c>
      <c r="P4" s="9"/>
      <c r="Q4" s="41"/>
      <c r="R4" s="41"/>
      <c r="S4" s="41"/>
      <c r="T4" s="41"/>
      <c r="U4" s="41"/>
      <c r="V4" s="41"/>
      <c r="W4" s="41"/>
      <c r="X4" s="41"/>
      <c r="Y4" s="41"/>
      <c r="Z4" s="41"/>
    </row>
    <row r="5" spans="1:28" ht="18.75" customHeight="1" x14ac:dyDescent="0.2">
      <c r="B5" s="149" t="s">
        <v>81</v>
      </c>
      <c r="C5" s="150"/>
      <c r="D5" s="69" t="s">
        <v>166</v>
      </c>
      <c r="P5" s="9"/>
      <c r="Q5" s="41"/>
      <c r="R5" s="41"/>
      <c r="S5" s="41"/>
      <c r="T5" s="41"/>
      <c r="U5" s="41"/>
      <c r="V5" s="41"/>
      <c r="W5" s="41"/>
      <c r="X5" s="41"/>
      <c r="Y5" s="41"/>
      <c r="Z5" s="41"/>
    </row>
    <row r="6" spans="1:28" ht="15" customHeight="1" x14ac:dyDescent="0.2">
      <c r="Q6" s="9"/>
      <c r="R6" s="28"/>
      <c r="S6" s="28"/>
      <c r="T6" s="28"/>
      <c r="U6" s="28"/>
      <c r="V6" s="28"/>
      <c r="W6" s="28"/>
      <c r="X6" s="28"/>
      <c r="Y6" s="28"/>
      <c r="Z6" s="28"/>
    </row>
    <row r="7" spans="1:28" ht="18" customHeight="1" x14ac:dyDescent="0.2">
      <c r="A7" s="148" t="s">
        <v>93</v>
      </c>
      <c r="B7" s="148"/>
      <c r="C7" s="148"/>
      <c r="D7" s="148"/>
      <c r="E7" s="148"/>
      <c r="F7" s="148"/>
      <c r="G7" s="148"/>
      <c r="H7" s="148"/>
      <c r="I7" s="148"/>
      <c r="J7" s="148"/>
      <c r="K7" s="148"/>
      <c r="L7" s="148"/>
      <c r="M7" s="148"/>
      <c r="N7" s="148"/>
      <c r="O7" s="148"/>
      <c r="P7" s="148"/>
      <c r="Q7" s="148"/>
      <c r="R7" s="148"/>
      <c r="S7" s="148"/>
      <c r="T7" s="148"/>
      <c r="U7" s="148"/>
      <c r="V7" s="148"/>
      <c r="W7" s="148"/>
      <c r="X7" s="148"/>
      <c r="Y7" s="148"/>
      <c r="Z7" s="148"/>
    </row>
    <row r="8" spans="1:28" ht="18" customHeight="1" x14ac:dyDescent="0.2">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2">
      <c r="A9" s="145" t="s">
        <v>95</v>
      </c>
      <c r="B9" s="145"/>
      <c r="D9" s="6" t="s">
        <v>130</v>
      </c>
    </row>
    <row r="10" spans="1:28" ht="20.25" customHeight="1" x14ac:dyDescent="0.2">
      <c r="B10" s="12"/>
      <c r="C10" s="12"/>
      <c r="D10" s="12"/>
      <c r="Q10" s="12"/>
      <c r="R10" s="12"/>
      <c r="S10" s="12"/>
      <c r="T10" s="12"/>
      <c r="U10" s="12"/>
      <c r="V10" s="12"/>
      <c r="W10" s="12"/>
      <c r="X10" s="12"/>
      <c r="Y10" s="12"/>
      <c r="Z10" s="12"/>
    </row>
    <row r="11" spans="1:28" ht="20.25" customHeight="1" x14ac:dyDescent="0.2">
      <c r="A11" s="145" t="s">
        <v>90</v>
      </c>
      <c r="B11" s="145"/>
      <c r="D11" s="68"/>
    </row>
    <row r="12" spans="1:28" ht="20.25" customHeight="1" x14ac:dyDescent="0.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2">
      <c r="A13" s="146" t="s">
        <v>96</v>
      </c>
      <c r="B13" s="146"/>
      <c r="C13" s="12"/>
      <c r="D13" s="69" t="s">
        <v>159</v>
      </c>
      <c r="E13" s="41"/>
      <c r="F13" s="41"/>
      <c r="G13" s="41"/>
      <c r="H13" s="41"/>
      <c r="I13" s="41"/>
      <c r="J13" s="41"/>
      <c r="K13" s="41"/>
      <c r="L13" s="41"/>
      <c r="M13" s="41"/>
      <c r="N13" s="41"/>
      <c r="O13" s="41"/>
      <c r="P13" s="41"/>
      <c r="Q13" s="70"/>
      <c r="R13" s="70"/>
      <c r="S13" s="70"/>
      <c r="T13" s="70"/>
      <c r="U13" s="70"/>
      <c r="V13" s="70"/>
      <c r="W13" s="70"/>
      <c r="X13" s="70"/>
      <c r="Y13" s="70"/>
      <c r="Z13" s="70"/>
    </row>
    <row r="14" spans="1:28" ht="20.25" customHeight="1" x14ac:dyDescent="0.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32" customHeight="1" x14ac:dyDescent="0.2">
      <c r="A15" s="147" t="s">
        <v>97</v>
      </c>
      <c r="B15" s="147"/>
      <c r="C15" s="12"/>
      <c r="D15" s="71" t="s">
        <v>149</v>
      </c>
      <c r="E15" s="16"/>
      <c r="F15" s="16"/>
      <c r="G15" s="16"/>
      <c r="H15" s="16"/>
      <c r="I15" s="16"/>
      <c r="J15" s="16"/>
      <c r="K15" s="16"/>
      <c r="L15" s="16"/>
      <c r="M15" s="16"/>
      <c r="N15" s="16"/>
      <c r="O15" s="16"/>
      <c r="P15" s="16"/>
      <c r="Q15" s="16"/>
      <c r="R15" s="16"/>
      <c r="S15" s="16"/>
      <c r="T15" s="16"/>
      <c r="U15" s="16"/>
      <c r="V15" s="16"/>
      <c r="W15" s="16"/>
      <c r="X15" s="16"/>
      <c r="Y15" s="16"/>
      <c r="Z15" s="16"/>
    </row>
    <row r="16" spans="1:28" ht="13.2" customHeight="1" x14ac:dyDescent="0.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2">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99999999999999" customHeight="1"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2">
      <c r="B19" s="9" t="s">
        <v>114</v>
      </c>
      <c r="C19" s="106">
        <v>6</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2">
      <c r="B20" s="12"/>
      <c r="C20" s="106">
        <v>6</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5">
      <c r="F21" s="151" t="s">
        <v>117</v>
      </c>
      <c r="G21" s="152"/>
      <c r="H21" s="152"/>
      <c r="I21" s="152"/>
      <c r="J21" s="152"/>
      <c r="K21" s="152"/>
      <c r="L21" s="152"/>
      <c r="M21" s="152"/>
      <c r="N21" s="152"/>
      <c r="O21" s="152"/>
      <c r="P21" s="152"/>
      <c r="Q21" s="152"/>
      <c r="R21" s="152"/>
      <c r="S21" s="152"/>
      <c r="T21" s="152"/>
      <c r="U21" s="152"/>
      <c r="V21" s="152"/>
      <c r="W21" s="152"/>
      <c r="X21" s="152"/>
      <c r="Y21" s="152"/>
      <c r="Z21" s="153"/>
    </row>
    <row r="22" spans="1:26" ht="18" customHeight="1" x14ac:dyDescent="0.2">
      <c r="B22" s="17"/>
      <c r="C22" s="17"/>
      <c r="D22" s="5" t="s">
        <v>48</v>
      </c>
      <c r="E22" s="72" t="s">
        <v>70</v>
      </c>
      <c r="F22" s="73" t="s">
        <v>50</v>
      </c>
      <c r="G22" s="74" t="s">
        <v>61</v>
      </c>
      <c r="H22" s="74" t="s">
        <v>62</v>
      </c>
      <c r="I22" s="74" t="s">
        <v>63</v>
      </c>
      <c r="J22" s="74" t="s">
        <v>64</v>
      </c>
      <c r="K22" s="74" t="s">
        <v>53</v>
      </c>
      <c r="L22" s="74" t="s">
        <v>80</v>
      </c>
      <c r="M22" s="74" t="s">
        <v>65</v>
      </c>
      <c r="N22" s="74" t="s">
        <v>66</v>
      </c>
      <c r="O22" s="74" t="s">
        <v>52</v>
      </c>
      <c r="P22" s="75" t="s">
        <v>54</v>
      </c>
      <c r="Q22" s="76" t="s">
        <v>98</v>
      </c>
      <c r="R22" s="77" t="s">
        <v>99</v>
      </c>
      <c r="S22" s="77" t="s">
        <v>100</v>
      </c>
      <c r="T22" s="77" t="s">
        <v>101</v>
      </c>
      <c r="U22" s="77" t="s">
        <v>102</v>
      </c>
      <c r="V22" s="77" t="s">
        <v>103</v>
      </c>
      <c r="W22" s="77" t="s">
        <v>104</v>
      </c>
      <c r="X22" s="77" t="s">
        <v>105</v>
      </c>
      <c r="Y22" s="77" t="s">
        <v>106</v>
      </c>
      <c r="Z22" s="78" t="s">
        <v>107</v>
      </c>
    </row>
    <row r="23" spans="1:26" ht="18" customHeight="1" x14ac:dyDescent="0.2">
      <c r="B23" s="129" t="s">
        <v>125</v>
      </c>
      <c r="C23" s="130"/>
      <c r="D23" s="79" t="s">
        <v>142</v>
      </c>
      <c r="E23" s="108">
        <v>1</v>
      </c>
      <c r="F23" s="80"/>
      <c r="G23" s="81"/>
      <c r="H23" s="81"/>
      <c r="I23" s="81"/>
      <c r="J23" s="81"/>
      <c r="K23" s="81"/>
      <c r="L23" s="81"/>
      <c r="M23" s="81"/>
      <c r="N23" s="81"/>
      <c r="O23" s="81" t="s">
        <v>148</v>
      </c>
      <c r="P23" s="82"/>
      <c r="Q23" s="83"/>
      <c r="R23" s="81"/>
      <c r="S23" s="81"/>
      <c r="T23" s="81"/>
      <c r="U23" s="81"/>
      <c r="V23" s="81"/>
      <c r="W23" s="81"/>
      <c r="X23" s="81"/>
      <c r="Y23" s="81"/>
      <c r="Z23" s="81"/>
    </row>
    <row r="24" spans="1:26" ht="18" customHeight="1" x14ac:dyDescent="0.2">
      <c r="B24" s="131"/>
      <c r="C24" s="132"/>
      <c r="D24" s="84" t="s">
        <v>143</v>
      </c>
      <c r="E24" s="109">
        <v>1</v>
      </c>
      <c r="F24" s="85" t="s">
        <v>148</v>
      </c>
      <c r="G24" s="86"/>
      <c r="H24" s="86"/>
      <c r="I24" s="86"/>
      <c r="J24" s="86"/>
      <c r="K24" s="86"/>
      <c r="L24" s="86"/>
      <c r="M24" s="86"/>
      <c r="N24" s="86"/>
      <c r="O24" s="86"/>
      <c r="P24" s="87"/>
      <c r="Q24" s="88"/>
      <c r="R24" s="86"/>
      <c r="S24" s="86"/>
      <c r="T24" s="86"/>
      <c r="U24" s="86"/>
      <c r="V24" s="86"/>
      <c r="W24" s="86"/>
      <c r="X24" s="86"/>
      <c r="Y24" s="86"/>
      <c r="Z24" s="86"/>
    </row>
    <row r="25" spans="1:26" ht="18" customHeight="1" x14ac:dyDescent="0.2">
      <c r="B25" s="131"/>
      <c r="C25" s="132"/>
      <c r="D25" s="84" t="s">
        <v>144</v>
      </c>
      <c r="E25" s="109">
        <v>1</v>
      </c>
      <c r="F25" s="85"/>
      <c r="G25" s="86" t="s">
        <v>148</v>
      </c>
      <c r="H25" s="86"/>
      <c r="I25" s="86"/>
      <c r="J25" s="86"/>
      <c r="K25" s="86"/>
      <c r="L25" s="86"/>
      <c r="M25" s="86" t="s">
        <v>148</v>
      </c>
      <c r="N25" s="86"/>
      <c r="O25" s="86"/>
      <c r="P25" s="87"/>
      <c r="Q25" s="88"/>
      <c r="R25" s="86"/>
      <c r="S25" s="86"/>
      <c r="T25" s="86"/>
      <c r="U25" s="86"/>
      <c r="V25" s="86"/>
      <c r="W25" s="86"/>
      <c r="X25" s="86"/>
      <c r="Y25" s="86"/>
      <c r="Z25" s="86"/>
    </row>
    <row r="26" spans="1:26" ht="18" customHeight="1" x14ac:dyDescent="0.2">
      <c r="B26" s="131"/>
      <c r="C26" s="132"/>
      <c r="D26" s="84" t="s">
        <v>145</v>
      </c>
      <c r="E26" s="109">
        <v>1</v>
      </c>
      <c r="F26" s="85"/>
      <c r="G26" s="86" t="s">
        <v>148</v>
      </c>
      <c r="H26" s="86"/>
      <c r="I26" s="86"/>
      <c r="J26" s="86"/>
      <c r="K26" s="86"/>
      <c r="L26" s="86" t="s">
        <v>148</v>
      </c>
      <c r="M26" s="86" t="s">
        <v>148</v>
      </c>
      <c r="N26" s="86" t="s">
        <v>148</v>
      </c>
      <c r="O26" s="86"/>
      <c r="P26" s="87"/>
      <c r="Q26" s="88"/>
      <c r="R26" s="86"/>
      <c r="S26" s="86"/>
      <c r="T26" s="86"/>
      <c r="U26" s="86"/>
      <c r="V26" s="86"/>
      <c r="W26" s="86"/>
      <c r="X26" s="86"/>
      <c r="Y26" s="86"/>
      <c r="Z26" s="86"/>
    </row>
    <row r="27" spans="1:26" ht="18" customHeight="1" x14ac:dyDescent="0.2">
      <c r="B27" s="131"/>
      <c r="C27" s="132"/>
      <c r="D27" s="84" t="s">
        <v>146</v>
      </c>
      <c r="E27" s="109">
        <v>1</v>
      </c>
      <c r="F27" s="85" t="s">
        <v>148</v>
      </c>
      <c r="G27" s="86" t="s">
        <v>148</v>
      </c>
      <c r="H27" s="86" t="s">
        <v>148</v>
      </c>
      <c r="I27" s="86"/>
      <c r="J27" s="86"/>
      <c r="K27" s="86" t="s">
        <v>148</v>
      </c>
      <c r="L27" s="86"/>
      <c r="M27" s="86"/>
      <c r="N27" s="86"/>
      <c r="O27" s="86" t="s">
        <v>148</v>
      </c>
      <c r="P27" s="87" t="s">
        <v>148</v>
      </c>
      <c r="Q27" s="88"/>
      <c r="R27" s="86"/>
      <c r="S27" s="86"/>
      <c r="T27" s="86"/>
      <c r="U27" s="86"/>
      <c r="V27" s="86"/>
      <c r="W27" s="86"/>
      <c r="X27" s="86"/>
      <c r="Y27" s="86"/>
      <c r="Z27" s="86"/>
    </row>
    <row r="28" spans="1:26" ht="18" customHeight="1" x14ac:dyDescent="0.2">
      <c r="B28" s="131"/>
      <c r="C28" s="132"/>
      <c r="D28" s="84" t="s">
        <v>147</v>
      </c>
      <c r="E28" s="109">
        <v>1</v>
      </c>
      <c r="F28" s="85" t="s">
        <v>148</v>
      </c>
      <c r="G28" s="86" t="s">
        <v>148</v>
      </c>
      <c r="H28" s="86" t="s">
        <v>148</v>
      </c>
      <c r="I28" s="86" t="s">
        <v>148</v>
      </c>
      <c r="J28" s="86" t="s">
        <v>148</v>
      </c>
      <c r="K28" s="86"/>
      <c r="L28" s="86" t="s">
        <v>148</v>
      </c>
      <c r="M28" s="86" t="s">
        <v>148</v>
      </c>
      <c r="N28" s="86"/>
      <c r="O28" s="86"/>
      <c r="P28" s="87"/>
      <c r="Q28" s="88"/>
      <c r="R28" s="86"/>
      <c r="S28" s="86"/>
      <c r="T28" s="86"/>
      <c r="U28" s="86"/>
      <c r="V28" s="86"/>
      <c r="W28" s="86"/>
      <c r="X28" s="86"/>
      <c r="Y28" s="86"/>
      <c r="Z28" s="86"/>
    </row>
    <row r="29" spans="1:26" ht="18" customHeight="1" x14ac:dyDescent="0.2">
      <c r="B29" s="131"/>
      <c r="C29" s="132"/>
      <c r="D29" s="84"/>
      <c r="E29" s="109"/>
      <c r="F29" s="85"/>
      <c r="G29" s="86"/>
      <c r="H29" s="86"/>
      <c r="I29" s="86"/>
      <c r="J29" s="86"/>
      <c r="K29" s="86"/>
      <c r="L29" s="86"/>
      <c r="M29" s="86"/>
      <c r="N29" s="86"/>
      <c r="O29" s="86"/>
      <c r="P29" s="87"/>
      <c r="Q29" s="88"/>
      <c r="R29" s="86"/>
      <c r="S29" s="86"/>
      <c r="T29" s="86"/>
      <c r="U29" s="86"/>
      <c r="V29" s="86"/>
      <c r="W29" s="86"/>
      <c r="X29" s="86"/>
      <c r="Y29" s="86"/>
      <c r="Z29" s="86"/>
    </row>
    <row r="30" spans="1:26" ht="18" customHeight="1" x14ac:dyDescent="0.2">
      <c r="B30" s="131"/>
      <c r="C30" s="132"/>
      <c r="D30" s="84"/>
      <c r="E30" s="109"/>
      <c r="F30" s="85"/>
      <c r="G30" s="86"/>
      <c r="H30" s="86"/>
      <c r="I30" s="86"/>
      <c r="J30" s="86"/>
      <c r="K30" s="86"/>
      <c r="L30" s="86"/>
      <c r="M30" s="86"/>
      <c r="N30" s="86"/>
      <c r="O30" s="86"/>
      <c r="P30" s="87"/>
      <c r="Q30" s="88"/>
      <c r="R30" s="86"/>
      <c r="S30" s="86"/>
      <c r="T30" s="86"/>
      <c r="U30" s="86"/>
      <c r="V30" s="86"/>
      <c r="W30" s="86"/>
      <c r="X30" s="86"/>
      <c r="Y30" s="86"/>
      <c r="Z30" s="86"/>
    </row>
    <row r="31" spans="1:26" ht="18" customHeight="1" x14ac:dyDescent="0.2">
      <c r="B31" s="131"/>
      <c r="C31" s="132"/>
      <c r="D31" s="84"/>
      <c r="E31" s="109"/>
      <c r="F31" s="85"/>
      <c r="G31" s="86"/>
      <c r="H31" s="86"/>
      <c r="I31" s="86"/>
      <c r="J31" s="86"/>
      <c r="K31" s="86"/>
      <c r="L31" s="86"/>
      <c r="M31" s="86"/>
      <c r="N31" s="86"/>
      <c r="O31" s="86"/>
      <c r="P31" s="87"/>
      <c r="Q31" s="88"/>
      <c r="R31" s="86"/>
      <c r="S31" s="86"/>
      <c r="T31" s="86"/>
      <c r="U31" s="86"/>
      <c r="V31" s="86"/>
      <c r="W31" s="86"/>
      <c r="X31" s="86"/>
      <c r="Y31" s="86"/>
      <c r="Z31" s="86"/>
    </row>
    <row r="32" spans="1:26" ht="18" customHeight="1" x14ac:dyDescent="0.2">
      <c r="B32" s="131"/>
      <c r="C32" s="132"/>
      <c r="D32" s="89"/>
      <c r="E32" s="110"/>
      <c r="F32" s="90"/>
      <c r="G32" s="91"/>
      <c r="H32" s="91"/>
      <c r="I32" s="91"/>
      <c r="J32" s="91"/>
      <c r="K32" s="91"/>
      <c r="L32" s="91"/>
      <c r="M32" s="91"/>
      <c r="N32" s="91"/>
      <c r="O32" s="91"/>
      <c r="P32" s="92"/>
      <c r="Q32" s="93"/>
      <c r="R32" s="91"/>
      <c r="S32" s="91"/>
      <c r="T32" s="91"/>
      <c r="U32" s="91"/>
      <c r="V32" s="91"/>
      <c r="W32" s="91"/>
      <c r="X32" s="91"/>
      <c r="Y32" s="91"/>
      <c r="Z32" s="91"/>
    </row>
    <row r="33" spans="2:26" ht="18" customHeight="1" x14ac:dyDescent="0.2">
      <c r="B33" s="129" t="s">
        <v>126</v>
      </c>
      <c r="C33" s="130"/>
      <c r="D33" s="94"/>
      <c r="E33" s="111"/>
      <c r="F33" s="95"/>
      <c r="G33" s="96"/>
      <c r="H33" s="96"/>
      <c r="I33" s="96"/>
      <c r="J33" s="96"/>
      <c r="K33" s="96"/>
      <c r="L33" s="96"/>
      <c r="M33" s="96"/>
      <c r="N33" s="96"/>
      <c r="O33" s="96"/>
      <c r="P33" s="97"/>
      <c r="Q33" s="98"/>
      <c r="R33" s="96"/>
      <c r="S33" s="96"/>
      <c r="T33" s="96"/>
      <c r="U33" s="96"/>
      <c r="V33" s="96"/>
      <c r="W33" s="96"/>
      <c r="X33" s="96"/>
      <c r="Y33" s="96"/>
      <c r="Z33" s="96"/>
    </row>
    <row r="34" spans="2:26" ht="18" customHeight="1" x14ac:dyDescent="0.2">
      <c r="B34" s="131"/>
      <c r="C34" s="132"/>
      <c r="D34" s="84"/>
      <c r="E34" s="109"/>
      <c r="F34" s="85"/>
      <c r="G34" s="86"/>
      <c r="H34" s="86"/>
      <c r="I34" s="86"/>
      <c r="J34" s="86"/>
      <c r="K34" s="86"/>
      <c r="L34" s="86"/>
      <c r="M34" s="86"/>
      <c r="N34" s="86"/>
      <c r="O34" s="86"/>
      <c r="P34" s="87"/>
      <c r="Q34" s="88"/>
      <c r="R34" s="86"/>
      <c r="S34" s="86"/>
      <c r="T34" s="86"/>
      <c r="U34" s="86"/>
      <c r="V34" s="86"/>
      <c r="W34" s="86"/>
      <c r="X34" s="86"/>
      <c r="Y34" s="86"/>
      <c r="Z34" s="86"/>
    </row>
    <row r="35" spans="2:26" ht="18" customHeight="1" x14ac:dyDescent="0.2">
      <c r="B35" s="131"/>
      <c r="C35" s="132"/>
      <c r="D35" s="84"/>
      <c r="E35" s="109"/>
      <c r="F35" s="85"/>
      <c r="G35" s="86"/>
      <c r="H35" s="86"/>
      <c r="I35" s="86"/>
      <c r="J35" s="86"/>
      <c r="K35" s="86"/>
      <c r="L35" s="86"/>
      <c r="M35" s="86"/>
      <c r="N35" s="86"/>
      <c r="O35" s="86"/>
      <c r="P35" s="87"/>
      <c r="Q35" s="88"/>
      <c r="R35" s="86"/>
      <c r="S35" s="86"/>
      <c r="T35" s="86"/>
      <c r="U35" s="86"/>
      <c r="V35" s="86"/>
      <c r="W35" s="86"/>
      <c r="X35" s="86"/>
      <c r="Y35" s="86"/>
      <c r="Z35" s="86"/>
    </row>
    <row r="36" spans="2:26" ht="18" customHeight="1" x14ac:dyDescent="0.2">
      <c r="B36" s="131"/>
      <c r="C36" s="132"/>
      <c r="D36" s="84"/>
      <c r="E36" s="109"/>
      <c r="F36" s="85"/>
      <c r="G36" s="86"/>
      <c r="H36" s="86"/>
      <c r="I36" s="86"/>
      <c r="J36" s="86"/>
      <c r="K36" s="86"/>
      <c r="L36" s="86"/>
      <c r="M36" s="86"/>
      <c r="N36" s="86"/>
      <c r="O36" s="86"/>
      <c r="P36" s="87"/>
      <c r="Q36" s="88"/>
      <c r="R36" s="86"/>
      <c r="S36" s="86"/>
      <c r="T36" s="86"/>
      <c r="U36" s="86"/>
      <c r="V36" s="86"/>
      <c r="W36" s="86"/>
      <c r="X36" s="86"/>
      <c r="Y36" s="86"/>
      <c r="Z36" s="86"/>
    </row>
    <row r="37" spans="2:26" ht="18" customHeight="1" x14ac:dyDescent="0.2">
      <c r="B37" s="131"/>
      <c r="C37" s="132"/>
      <c r="D37" s="84"/>
      <c r="E37" s="109"/>
      <c r="F37" s="85"/>
      <c r="G37" s="86"/>
      <c r="H37" s="86"/>
      <c r="I37" s="86"/>
      <c r="J37" s="86"/>
      <c r="K37" s="86"/>
      <c r="L37" s="86"/>
      <c r="M37" s="86"/>
      <c r="N37" s="86"/>
      <c r="O37" s="86"/>
      <c r="P37" s="87"/>
      <c r="Q37" s="88"/>
      <c r="R37" s="86"/>
      <c r="S37" s="86"/>
      <c r="T37" s="86"/>
      <c r="U37" s="86"/>
      <c r="V37" s="86"/>
      <c r="W37" s="86"/>
      <c r="X37" s="86"/>
      <c r="Y37" s="86"/>
      <c r="Z37" s="86"/>
    </row>
    <row r="38" spans="2:26" ht="18" customHeight="1" x14ac:dyDescent="0.2">
      <c r="B38" s="131"/>
      <c r="C38" s="132"/>
      <c r="D38" s="84"/>
      <c r="E38" s="109"/>
      <c r="F38" s="85"/>
      <c r="G38" s="86"/>
      <c r="H38" s="86"/>
      <c r="I38" s="86"/>
      <c r="J38" s="86"/>
      <c r="K38" s="86"/>
      <c r="L38" s="86"/>
      <c r="M38" s="86"/>
      <c r="N38" s="86"/>
      <c r="O38" s="86"/>
      <c r="P38" s="87"/>
      <c r="Q38" s="88"/>
      <c r="R38" s="86"/>
      <c r="S38" s="86"/>
      <c r="T38" s="86"/>
      <c r="U38" s="86"/>
      <c r="V38" s="86"/>
      <c r="W38" s="86"/>
      <c r="X38" s="86"/>
      <c r="Y38" s="86"/>
      <c r="Z38" s="86"/>
    </row>
    <row r="39" spans="2:26" ht="18" customHeight="1" x14ac:dyDescent="0.2">
      <c r="B39" s="131"/>
      <c r="C39" s="132"/>
      <c r="D39" s="84"/>
      <c r="E39" s="109"/>
      <c r="F39" s="85"/>
      <c r="G39" s="86"/>
      <c r="H39" s="86"/>
      <c r="I39" s="86"/>
      <c r="J39" s="86"/>
      <c r="K39" s="86"/>
      <c r="L39" s="86"/>
      <c r="M39" s="86"/>
      <c r="N39" s="86"/>
      <c r="O39" s="86"/>
      <c r="P39" s="87"/>
      <c r="Q39" s="88"/>
      <c r="R39" s="86"/>
      <c r="S39" s="86"/>
      <c r="T39" s="86"/>
      <c r="U39" s="86"/>
      <c r="V39" s="86"/>
      <c r="W39" s="86"/>
      <c r="X39" s="86"/>
      <c r="Y39" s="86"/>
      <c r="Z39" s="86"/>
    </row>
    <row r="40" spans="2:26" ht="18" customHeight="1" x14ac:dyDescent="0.2">
      <c r="B40" s="131"/>
      <c r="C40" s="132"/>
      <c r="D40" s="84"/>
      <c r="E40" s="109"/>
      <c r="F40" s="85"/>
      <c r="G40" s="86"/>
      <c r="H40" s="86"/>
      <c r="I40" s="86"/>
      <c r="J40" s="86"/>
      <c r="K40" s="86"/>
      <c r="L40" s="86"/>
      <c r="M40" s="86"/>
      <c r="N40" s="86"/>
      <c r="O40" s="86"/>
      <c r="P40" s="87"/>
      <c r="Q40" s="88"/>
      <c r="R40" s="86"/>
      <c r="S40" s="86"/>
      <c r="T40" s="86"/>
      <c r="U40" s="86"/>
      <c r="V40" s="86"/>
      <c r="W40" s="86"/>
      <c r="X40" s="86"/>
      <c r="Y40" s="86"/>
      <c r="Z40" s="86"/>
    </row>
    <row r="41" spans="2:26" ht="18" customHeight="1" x14ac:dyDescent="0.2">
      <c r="B41" s="131"/>
      <c r="C41" s="132"/>
      <c r="D41" s="84"/>
      <c r="E41" s="109"/>
      <c r="F41" s="85"/>
      <c r="G41" s="86"/>
      <c r="H41" s="86"/>
      <c r="I41" s="86"/>
      <c r="J41" s="86"/>
      <c r="K41" s="86"/>
      <c r="L41" s="86"/>
      <c r="M41" s="86"/>
      <c r="N41" s="86"/>
      <c r="O41" s="86"/>
      <c r="P41" s="87"/>
      <c r="Q41" s="88"/>
      <c r="R41" s="86"/>
      <c r="S41" s="86"/>
      <c r="T41" s="86"/>
      <c r="U41" s="86"/>
      <c r="V41" s="86"/>
      <c r="W41" s="86"/>
      <c r="X41" s="86"/>
      <c r="Y41" s="86"/>
      <c r="Z41" s="86"/>
    </row>
    <row r="42" spans="2:26" ht="18" customHeight="1" x14ac:dyDescent="0.2">
      <c r="B42" s="133"/>
      <c r="C42" s="134"/>
      <c r="D42" s="89"/>
      <c r="E42" s="112"/>
      <c r="F42" s="90"/>
      <c r="G42" s="91"/>
      <c r="H42" s="91"/>
      <c r="I42" s="91"/>
      <c r="J42" s="91"/>
      <c r="K42" s="91"/>
      <c r="L42" s="91"/>
      <c r="M42" s="91"/>
      <c r="N42" s="91"/>
      <c r="O42" s="91"/>
      <c r="P42" s="92"/>
      <c r="Q42" s="93"/>
      <c r="R42" s="91"/>
      <c r="S42" s="91"/>
      <c r="T42" s="91"/>
      <c r="U42" s="91"/>
      <c r="V42" s="91"/>
      <c r="W42" s="91"/>
      <c r="X42" s="91"/>
      <c r="Y42" s="91"/>
      <c r="Z42" s="91"/>
    </row>
    <row r="43" spans="2:26" ht="18" customHeight="1" x14ac:dyDescent="0.2">
      <c r="B43" s="135" t="s">
        <v>127</v>
      </c>
      <c r="C43" s="136"/>
      <c r="D43" s="84"/>
      <c r="E43" s="109"/>
      <c r="F43" s="85"/>
      <c r="G43" s="86"/>
      <c r="H43" s="86"/>
      <c r="I43" s="86"/>
      <c r="J43" s="86"/>
      <c r="K43" s="86"/>
      <c r="L43" s="86"/>
      <c r="M43" s="86"/>
      <c r="N43" s="86"/>
      <c r="O43" s="86"/>
      <c r="P43" s="87"/>
      <c r="Q43" s="88"/>
      <c r="R43" s="86"/>
      <c r="S43" s="86"/>
      <c r="T43" s="86"/>
      <c r="U43" s="86"/>
      <c r="V43" s="86"/>
      <c r="W43" s="86"/>
      <c r="X43" s="86"/>
      <c r="Y43" s="86"/>
      <c r="Z43" s="86"/>
    </row>
    <row r="44" spans="2:26" ht="18" customHeight="1" x14ac:dyDescent="0.2">
      <c r="B44" s="135"/>
      <c r="C44" s="136"/>
      <c r="D44" s="84"/>
      <c r="E44" s="109"/>
      <c r="F44" s="85"/>
      <c r="G44" s="86"/>
      <c r="H44" s="86"/>
      <c r="I44" s="86"/>
      <c r="J44" s="86"/>
      <c r="K44" s="86"/>
      <c r="L44" s="86"/>
      <c r="M44" s="86"/>
      <c r="N44" s="86"/>
      <c r="O44" s="86"/>
      <c r="P44" s="87"/>
      <c r="Q44" s="88"/>
      <c r="R44" s="86"/>
      <c r="S44" s="86"/>
      <c r="T44" s="86"/>
      <c r="U44" s="86"/>
      <c r="V44" s="86"/>
      <c r="W44" s="86"/>
      <c r="X44" s="86"/>
      <c r="Y44" s="86"/>
      <c r="Z44" s="86"/>
    </row>
    <row r="45" spans="2:26" ht="18" customHeight="1" x14ac:dyDescent="0.2">
      <c r="B45" s="135"/>
      <c r="C45" s="136"/>
      <c r="D45" s="84"/>
      <c r="E45" s="109"/>
      <c r="F45" s="85"/>
      <c r="G45" s="86"/>
      <c r="H45" s="86"/>
      <c r="I45" s="86"/>
      <c r="J45" s="86"/>
      <c r="K45" s="86"/>
      <c r="L45" s="86"/>
      <c r="M45" s="86"/>
      <c r="N45" s="86"/>
      <c r="O45" s="86"/>
      <c r="P45" s="87"/>
      <c r="Q45" s="88"/>
      <c r="R45" s="86"/>
      <c r="S45" s="86"/>
      <c r="T45" s="86"/>
      <c r="U45" s="86"/>
      <c r="V45" s="86"/>
      <c r="W45" s="86"/>
      <c r="X45" s="86"/>
      <c r="Y45" s="86"/>
      <c r="Z45" s="86"/>
    </row>
    <row r="46" spans="2:26" ht="18" customHeight="1" x14ac:dyDescent="0.2">
      <c r="B46" s="135"/>
      <c r="C46" s="136"/>
      <c r="D46" s="84"/>
      <c r="E46" s="109"/>
      <c r="F46" s="85"/>
      <c r="G46" s="86"/>
      <c r="H46" s="86"/>
      <c r="I46" s="86"/>
      <c r="J46" s="86"/>
      <c r="K46" s="86"/>
      <c r="L46" s="86"/>
      <c r="M46" s="86"/>
      <c r="N46" s="86"/>
      <c r="O46" s="86"/>
      <c r="P46" s="87"/>
      <c r="Q46" s="88"/>
      <c r="R46" s="86"/>
      <c r="S46" s="86"/>
      <c r="T46" s="86"/>
      <c r="U46" s="86"/>
      <c r="V46" s="86"/>
      <c r="W46" s="86"/>
      <c r="X46" s="86"/>
      <c r="Y46" s="86"/>
      <c r="Z46" s="86"/>
    </row>
    <row r="47" spans="2:26" ht="18" customHeight="1" x14ac:dyDescent="0.2">
      <c r="B47" s="135"/>
      <c r="C47" s="136"/>
      <c r="D47" s="84"/>
      <c r="E47" s="109"/>
      <c r="F47" s="85"/>
      <c r="G47" s="86"/>
      <c r="H47" s="86"/>
      <c r="I47" s="86"/>
      <c r="J47" s="86"/>
      <c r="K47" s="86"/>
      <c r="L47" s="86"/>
      <c r="M47" s="86"/>
      <c r="N47" s="86"/>
      <c r="O47" s="86"/>
      <c r="P47" s="87"/>
      <c r="Q47" s="88"/>
      <c r="R47" s="86"/>
      <c r="S47" s="86"/>
      <c r="T47" s="86"/>
      <c r="U47" s="86"/>
      <c r="V47" s="86"/>
      <c r="W47" s="86"/>
      <c r="X47" s="86"/>
      <c r="Y47" s="86"/>
      <c r="Z47" s="86"/>
    </row>
    <row r="48" spans="2:26" ht="18" customHeight="1" x14ac:dyDescent="0.2">
      <c r="B48" s="135"/>
      <c r="C48" s="136"/>
      <c r="D48" s="84"/>
      <c r="E48" s="109"/>
      <c r="F48" s="85"/>
      <c r="G48" s="86"/>
      <c r="H48" s="86"/>
      <c r="I48" s="86"/>
      <c r="J48" s="86"/>
      <c r="K48" s="86"/>
      <c r="L48" s="86"/>
      <c r="M48" s="86"/>
      <c r="N48" s="86"/>
      <c r="O48" s="86"/>
      <c r="P48" s="87"/>
      <c r="Q48" s="88"/>
      <c r="R48" s="86"/>
      <c r="S48" s="86"/>
      <c r="T48" s="86"/>
      <c r="U48" s="86"/>
      <c r="V48" s="86"/>
      <c r="W48" s="86"/>
      <c r="X48" s="86"/>
      <c r="Y48" s="86"/>
      <c r="Z48" s="86"/>
    </row>
    <row r="49" spans="1:26" ht="18" customHeight="1" x14ac:dyDescent="0.2">
      <c r="B49" s="135"/>
      <c r="C49" s="136"/>
      <c r="D49" s="84"/>
      <c r="E49" s="109"/>
      <c r="F49" s="85"/>
      <c r="G49" s="86"/>
      <c r="H49" s="86"/>
      <c r="I49" s="86"/>
      <c r="J49" s="86"/>
      <c r="K49" s="86"/>
      <c r="L49" s="86"/>
      <c r="M49" s="86"/>
      <c r="N49" s="86"/>
      <c r="O49" s="86"/>
      <c r="P49" s="87"/>
      <c r="Q49" s="88"/>
      <c r="R49" s="86"/>
      <c r="S49" s="86"/>
      <c r="T49" s="86"/>
      <c r="U49" s="86"/>
      <c r="V49" s="86"/>
      <c r="W49" s="86"/>
      <c r="X49" s="86"/>
      <c r="Y49" s="86"/>
      <c r="Z49" s="86"/>
    </row>
    <row r="50" spans="1:26" ht="18" customHeight="1" x14ac:dyDescent="0.2">
      <c r="B50" s="135"/>
      <c r="C50" s="136"/>
      <c r="D50" s="84"/>
      <c r="E50" s="109"/>
      <c r="F50" s="85"/>
      <c r="G50" s="86"/>
      <c r="H50" s="86"/>
      <c r="I50" s="86"/>
      <c r="J50" s="86"/>
      <c r="K50" s="86"/>
      <c r="L50" s="86"/>
      <c r="M50" s="86"/>
      <c r="N50" s="86"/>
      <c r="O50" s="86"/>
      <c r="P50" s="87"/>
      <c r="Q50" s="88"/>
      <c r="R50" s="86"/>
      <c r="S50" s="86"/>
      <c r="T50" s="86"/>
      <c r="U50" s="86"/>
      <c r="V50" s="86"/>
      <c r="W50" s="86"/>
      <c r="X50" s="86"/>
      <c r="Y50" s="86"/>
      <c r="Z50" s="86"/>
    </row>
    <row r="51" spans="1:26" ht="18" customHeight="1" x14ac:dyDescent="0.2">
      <c r="B51" s="135"/>
      <c r="C51" s="136"/>
      <c r="D51" s="84"/>
      <c r="E51" s="109"/>
      <c r="F51" s="85"/>
      <c r="G51" s="86"/>
      <c r="H51" s="86"/>
      <c r="I51" s="86"/>
      <c r="J51" s="86"/>
      <c r="K51" s="86"/>
      <c r="L51" s="86"/>
      <c r="M51" s="86"/>
      <c r="N51" s="86"/>
      <c r="O51" s="86"/>
      <c r="P51" s="87"/>
      <c r="Q51" s="88"/>
      <c r="R51" s="86"/>
      <c r="S51" s="86"/>
      <c r="T51" s="86"/>
      <c r="U51" s="86"/>
      <c r="V51" s="86"/>
      <c r="W51" s="86"/>
      <c r="X51" s="86"/>
      <c r="Y51" s="86"/>
      <c r="Z51" s="86"/>
    </row>
    <row r="52" spans="1:26" ht="18" customHeight="1" thickBot="1" x14ac:dyDescent="0.25">
      <c r="B52" s="137"/>
      <c r="C52" s="138"/>
      <c r="D52" s="89"/>
      <c r="E52" s="112"/>
      <c r="F52" s="99"/>
      <c r="G52" s="100"/>
      <c r="H52" s="100"/>
      <c r="I52" s="100"/>
      <c r="J52" s="100"/>
      <c r="K52" s="100"/>
      <c r="L52" s="100"/>
      <c r="M52" s="100"/>
      <c r="N52" s="100"/>
      <c r="O52" s="100"/>
      <c r="P52" s="101"/>
      <c r="Q52" s="93"/>
      <c r="R52" s="91"/>
      <c r="S52" s="91"/>
      <c r="T52" s="91"/>
      <c r="U52" s="91"/>
      <c r="V52" s="91"/>
      <c r="W52" s="91"/>
      <c r="X52" s="91"/>
      <c r="Y52" s="91"/>
      <c r="Z52" s="91"/>
    </row>
    <row r="53" spans="1:26" ht="18" customHeight="1" x14ac:dyDescent="0.2">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x14ac:dyDescent="0.2">
      <c r="A54" s="8" t="s">
        <v>115</v>
      </c>
    </row>
    <row r="55" spans="1:26" ht="18.75" customHeight="1" x14ac:dyDescent="0.2">
      <c r="B55" s="142" t="s">
        <v>49</v>
      </c>
      <c r="C55" s="143"/>
      <c r="D55" s="4" t="s">
        <v>128</v>
      </c>
    </row>
    <row r="56" spans="1:26" ht="79.95" customHeight="1" x14ac:dyDescent="0.2">
      <c r="B56" s="139" t="s">
        <v>55</v>
      </c>
      <c r="C56" s="118" t="s">
        <v>50</v>
      </c>
      <c r="D56" s="67" t="s">
        <v>131</v>
      </c>
      <c r="E56" s="102"/>
      <c r="F56" s="102"/>
      <c r="G56" s="102"/>
      <c r="H56" s="102"/>
      <c r="I56" s="102"/>
      <c r="J56" s="102"/>
      <c r="K56" s="102"/>
      <c r="L56" s="102"/>
      <c r="M56" s="102"/>
      <c r="N56" s="102"/>
      <c r="O56" s="102"/>
      <c r="P56" s="102"/>
      <c r="Q56" s="102"/>
      <c r="R56" s="102"/>
      <c r="S56" s="102"/>
      <c r="T56" s="102"/>
      <c r="U56" s="102"/>
      <c r="V56" s="102"/>
      <c r="W56" s="102"/>
      <c r="X56" s="102"/>
      <c r="Y56" s="102"/>
      <c r="Z56" s="102"/>
    </row>
    <row r="57" spans="1:26" ht="79.95" customHeight="1" x14ac:dyDescent="0.2">
      <c r="B57" s="140"/>
      <c r="C57" s="119" t="s">
        <v>67</v>
      </c>
      <c r="D57" s="117" t="s">
        <v>136</v>
      </c>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79.95" customHeight="1" x14ac:dyDescent="0.2">
      <c r="B58" s="139" t="s">
        <v>56</v>
      </c>
      <c r="C58" s="120" t="s">
        <v>61</v>
      </c>
      <c r="D58" s="114" t="s">
        <v>132</v>
      </c>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79.95" customHeight="1" x14ac:dyDescent="0.2">
      <c r="B59" s="141"/>
      <c r="C59" s="121" t="s">
        <v>62</v>
      </c>
      <c r="D59" s="124" t="s">
        <v>133</v>
      </c>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79.95" customHeight="1" x14ac:dyDescent="0.2">
      <c r="B60" s="139" t="s">
        <v>57</v>
      </c>
      <c r="C60" s="120" t="s">
        <v>63</v>
      </c>
      <c r="D60" s="67" t="s">
        <v>134</v>
      </c>
      <c r="E60" s="103"/>
      <c r="F60" s="103"/>
      <c r="G60" s="103"/>
      <c r="H60" s="103"/>
      <c r="I60" s="103"/>
      <c r="J60" s="103"/>
      <c r="K60" s="103"/>
      <c r="L60" s="103"/>
      <c r="M60" s="103"/>
      <c r="N60" s="103"/>
      <c r="O60" s="103"/>
      <c r="P60" s="103"/>
      <c r="Q60" s="103"/>
      <c r="R60" s="103"/>
      <c r="S60" s="103"/>
      <c r="T60" s="103"/>
      <c r="U60" s="103"/>
      <c r="V60" s="103"/>
      <c r="W60" s="103"/>
      <c r="X60" s="103"/>
      <c r="Y60" s="103"/>
      <c r="Z60" s="103"/>
    </row>
    <row r="61" spans="1:26" ht="79.95" customHeight="1" x14ac:dyDescent="0.2">
      <c r="B61" s="141"/>
      <c r="C61" s="122" t="s">
        <v>64</v>
      </c>
      <c r="D61" s="117" t="s">
        <v>135</v>
      </c>
      <c r="E61" s="103"/>
      <c r="F61" s="103"/>
      <c r="G61" s="103"/>
      <c r="H61" s="103"/>
      <c r="I61" s="103"/>
      <c r="J61" s="103"/>
      <c r="K61" s="103"/>
      <c r="L61" s="103"/>
      <c r="M61" s="103"/>
      <c r="N61" s="103"/>
      <c r="O61" s="103"/>
      <c r="P61" s="103"/>
      <c r="Q61" s="103"/>
      <c r="R61" s="103"/>
      <c r="S61" s="103"/>
      <c r="T61" s="103"/>
      <c r="U61" s="103"/>
      <c r="V61" s="103"/>
      <c r="W61" s="103"/>
      <c r="X61" s="103"/>
      <c r="Y61" s="103"/>
      <c r="Z61" s="103"/>
    </row>
    <row r="62" spans="1:26" ht="79.95" customHeight="1" x14ac:dyDescent="0.2">
      <c r="B62" s="139" t="s">
        <v>68</v>
      </c>
      <c r="C62" s="118" t="s">
        <v>52</v>
      </c>
      <c r="D62" s="113" t="s">
        <v>140</v>
      </c>
      <c r="E62" s="103"/>
      <c r="F62" s="103"/>
      <c r="G62" s="103"/>
      <c r="H62" s="103"/>
      <c r="I62" s="103"/>
      <c r="J62" s="103"/>
      <c r="K62" s="103"/>
      <c r="L62" s="103"/>
      <c r="M62" s="103"/>
      <c r="N62" s="103"/>
      <c r="O62" s="103"/>
      <c r="P62" s="103"/>
      <c r="Q62" s="103"/>
      <c r="R62" s="103"/>
      <c r="S62" s="103"/>
      <c r="T62" s="103"/>
      <c r="U62" s="103"/>
      <c r="V62" s="103"/>
      <c r="W62" s="103"/>
      <c r="X62" s="103"/>
      <c r="Y62" s="103"/>
      <c r="Z62" s="103"/>
    </row>
    <row r="63" spans="1:26" ht="79.95" customHeight="1" x14ac:dyDescent="0.2">
      <c r="B63" s="141"/>
      <c r="C63" s="121" t="s">
        <v>54</v>
      </c>
      <c r="D63" s="117" t="s">
        <v>141</v>
      </c>
      <c r="E63" s="103"/>
      <c r="F63" s="103"/>
      <c r="G63" s="103"/>
      <c r="H63" s="103"/>
      <c r="I63" s="103"/>
      <c r="J63" s="103"/>
      <c r="K63" s="103"/>
      <c r="L63" s="103"/>
      <c r="M63" s="103"/>
      <c r="N63" s="103"/>
      <c r="O63" s="103"/>
      <c r="P63" s="103"/>
      <c r="Q63" s="103"/>
      <c r="R63" s="103"/>
      <c r="S63" s="103"/>
      <c r="T63" s="103"/>
      <c r="U63" s="103"/>
      <c r="V63" s="103"/>
      <c r="W63" s="103"/>
      <c r="X63" s="103"/>
      <c r="Y63" s="103"/>
      <c r="Z63" s="103"/>
    </row>
    <row r="64" spans="1:26" ht="101.4" customHeight="1" x14ac:dyDescent="0.2">
      <c r="B64" s="139" t="s">
        <v>69</v>
      </c>
      <c r="C64" s="120" t="s">
        <v>51</v>
      </c>
      <c r="D64" s="113" t="s">
        <v>137</v>
      </c>
      <c r="E64" s="103"/>
      <c r="F64" s="103"/>
      <c r="G64" s="103"/>
      <c r="H64" s="103"/>
      <c r="I64" s="103"/>
      <c r="J64" s="103"/>
      <c r="K64" s="103"/>
      <c r="L64" s="103"/>
      <c r="M64" s="103"/>
      <c r="N64" s="103"/>
      <c r="O64" s="103"/>
      <c r="P64" s="103"/>
      <c r="Q64" s="103"/>
      <c r="R64" s="103"/>
      <c r="S64" s="103"/>
      <c r="T64" s="103"/>
      <c r="U64" s="103"/>
      <c r="V64" s="103"/>
      <c r="W64" s="103"/>
      <c r="X64" s="103"/>
      <c r="Y64" s="103"/>
      <c r="Z64" s="103"/>
    </row>
    <row r="65" spans="1:26" ht="106.2" customHeight="1" x14ac:dyDescent="0.2">
      <c r="B65" s="140"/>
      <c r="C65" s="123" t="s">
        <v>65</v>
      </c>
      <c r="D65" s="116" t="s">
        <v>138</v>
      </c>
      <c r="E65" s="104"/>
      <c r="F65" s="104"/>
      <c r="G65" s="104"/>
      <c r="H65" s="104"/>
      <c r="I65" s="104"/>
      <c r="J65" s="104"/>
      <c r="K65" s="104"/>
      <c r="L65" s="104"/>
      <c r="M65" s="104"/>
      <c r="N65" s="104"/>
      <c r="O65" s="104"/>
      <c r="P65" s="104"/>
      <c r="Q65" s="104"/>
      <c r="R65" s="104"/>
      <c r="S65" s="104"/>
      <c r="T65" s="104"/>
      <c r="U65" s="104"/>
      <c r="V65" s="104"/>
      <c r="W65" s="104"/>
      <c r="X65" s="104"/>
      <c r="Y65" s="104"/>
      <c r="Z65" s="104"/>
    </row>
    <row r="66" spans="1:26" ht="79.95" customHeight="1" x14ac:dyDescent="0.2">
      <c r="B66" s="141"/>
      <c r="C66" s="122" t="s">
        <v>66</v>
      </c>
      <c r="D66" s="115" t="s">
        <v>139</v>
      </c>
      <c r="E66" s="104"/>
      <c r="F66" s="104"/>
      <c r="G66" s="104"/>
      <c r="H66" s="104"/>
      <c r="I66" s="104"/>
      <c r="J66" s="104"/>
      <c r="K66" s="104"/>
      <c r="L66" s="104"/>
      <c r="M66" s="104"/>
      <c r="N66" s="104"/>
      <c r="O66" s="104"/>
      <c r="P66" s="104"/>
      <c r="Q66" s="104"/>
      <c r="R66" s="104"/>
      <c r="S66" s="104"/>
      <c r="T66" s="104"/>
      <c r="U66" s="104"/>
      <c r="V66" s="104"/>
      <c r="W66" s="104"/>
      <c r="X66" s="104"/>
      <c r="Y66" s="104"/>
      <c r="Z66" s="104"/>
    </row>
    <row r="67" spans="1:26" ht="6" customHeight="1" x14ac:dyDescent="0.2"/>
    <row r="68" spans="1:26" ht="18.75" customHeight="1" x14ac:dyDescent="0.2">
      <c r="A68" s="8" t="s">
        <v>116</v>
      </c>
    </row>
    <row r="69" spans="1:26" ht="81.75" customHeight="1" x14ac:dyDescent="0.2">
      <c r="B69" s="16"/>
      <c r="C69" s="16"/>
      <c r="D69" s="66" t="s">
        <v>150</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2"/>
  </sheetData>
  <mergeCells count="19">
    <mergeCell ref="B23:C32"/>
    <mergeCell ref="A1:Z1"/>
    <mergeCell ref="A9:B9"/>
    <mergeCell ref="A11:B11"/>
    <mergeCell ref="A13:B13"/>
    <mergeCell ref="A15:B15"/>
    <mergeCell ref="Y3:Z3"/>
    <mergeCell ref="A7:Z7"/>
    <mergeCell ref="B4:C4"/>
    <mergeCell ref="B5:C5"/>
    <mergeCell ref="F21:Z21"/>
    <mergeCell ref="B33:C42"/>
    <mergeCell ref="B43:C52"/>
    <mergeCell ref="B64:B66"/>
    <mergeCell ref="B62:B63"/>
    <mergeCell ref="B55:C55"/>
    <mergeCell ref="B60:B61"/>
    <mergeCell ref="B56:B57"/>
    <mergeCell ref="B58:B59"/>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2" fitToHeight="0" orientation="landscape" r:id="rId1"/>
  <rowBreaks count="2" manualBreakCount="2">
    <brk id="52" max="25" man="1"/>
    <brk id="67"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85" zoomScaleNormal="100" zoomScaleSheetLayoutView="85" workbookViewId="0">
      <selection activeCell="G16" sqref="G16"/>
    </sheetView>
  </sheetViews>
  <sheetFormatPr defaultColWidth="9" defaultRowHeight="18.75" customHeight="1" x14ac:dyDescent="0.2"/>
  <cols>
    <col min="1" max="1" width="2.77734375" style="8" customWidth="1"/>
    <col min="2" max="2" width="27.88671875" style="8" customWidth="1"/>
    <col min="3" max="3" width="8" style="8" customWidth="1"/>
    <col min="4" max="4" width="8.21875" style="8" customWidth="1"/>
    <col min="5" max="19" width="6.109375" style="8" customWidth="1"/>
    <col min="20" max="20" width="6.6640625" style="8" customWidth="1"/>
    <col min="21" max="16384" width="9" style="8"/>
  </cols>
  <sheetData>
    <row r="1" spans="1:22" ht="18" customHeight="1" x14ac:dyDescent="0.2">
      <c r="T1" s="8" t="s">
        <v>84</v>
      </c>
    </row>
    <row r="2" spans="1:22" ht="18" customHeight="1" x14ac:dyDescent="0.2">
      <c r="A2" s="157" t="s">
        <v>94</v>
      </c>
      <c r="B2" s="157"/>
      <c r="C2" s="157"/>
      <c r="D2" s="157"/>
      <c r="E2" s="157"/>
      <c r="F2" s="157"/>
      <c r="G2" s="157"/>
      <c r="H2" s="157"/>
      <c r="I2" s="157"/>
      <c r="J2" s="157"/>
      <c r="K2" s="157"/>
      <c r="L2" s="157"/>
      <c r="M2" s="157"/>
      <c r="N2" s="157"/>
      <c r="O2" s="157"/>
      <c r="P2" s="157"/>
      <c r="Q2" s="157"/>
      <c r="R2" s="157"/>
      <c r="S2" s="157"/>
      <c r="T2" s="157"/>
    </row>
    <row r="3" spans="1:22" ht="7.5" customHeight="1" x14ac:dyDescent="0.2">
      <c r="A3" s="12"/>
      <c r="B3" s="12"/>
      <c r="C3" s="12"/>
      <c r="D3" s="12"/>
      <c r="E3" s="12"/>
      <c r="F3" s="12"/>
      <c r="G3" s="12"/>
      <c r="H3" s="12"/>
      <c r="I3" s="12"/>
      <c r="J3" s="12"/>
      <c r="K3" s="12"/>
      <c r="L3" s="12"/>
      <c r="M3" s="12"/>
      <c r="N3" s="12"/>
      <c r="O3" s="12"/>
      <c r="P3" s="12"/>
      <c r="Q3" s="12"/>
      <c r="R3" s="12"/>
      <c r="S3" s="12"/>
      <c r="T3" s="12"/>
    </row>
    <row r="4" spans="1:22" ht="18" customHeight="1" x14ac:dyDescent="0.2">
      <c r="A4" s="8" t="s">
        <v>71</v>
      </c>
      <c r="C4" s="21" t="s">
        <v>160</v>
      </c>
      <c r="D4" s="8" t="s">
        <v>112</v>
      </c>
      <c r="E4" s="41"/>
      <c r="F4" s="10"/>
      <c r="G4" s="12"/>
      <c r="H4" s="12"/>
      <c r="I4" s="12"/>
      <c r="J4" s="12"/>
      <c r="K4" s="12"/>
      <c r="L4" s="12"/>
      <c r="M4" s="12"/>
      <c r="N4" s="12"/>
      <c r="O4" s="12"/>
      <c r="P4" s="12"/>
      <c r="Q4" s="12"/>
      <c r="R4" s="12"/>
      <c r="S4" s="41"/>
      <c r="T4" s="41"/>
    </row>
    <row r="5" spans="1:22" ht="7.2" customHeight="1" x14ac:dyDescent="0.2">
      <c r="C5" s="22"/>
      <c r="D5" s="22"/>
      <c r="E5" s="22"/>
      <c r="F5" s="12"/>
      <c r="G5" s="12"/>
      <c r="H5" s="12"/>
      <c r="I5" s="12"/>
      <c r="J5" s="12"/>
      <c r="K5" s="12"/>
      <c r="L5" s="12"/>
      <c r="M5" s="12"/>
      <c r="N5" s="12"/>
      <c r="O5" s="12"/>
      <c r="P5" s="12"/>
      <c r="Q5" s="12"/>
      <c r="R5" s="12"/>
      <c r="S5" s="41"/>
      <c r="T5" s="41"/>
    </row>
    <row r="6" spans="1:22" ht="18" customHeight="1" x14ac:dyDescent="0.2">
      <c r="A6" s="8" t="s">
        <v>110</v>
      </c>
      <c r="B6" s="12"/>
      <c r="C6" s="12"/>
      <c r="D6" s="12"/>
      <c r="E6" s="12"/>
      <c r="F6" s="12"/>
      <c r="G6" s="12"/>
      <c r="H6" s="12"/>
      <c r="I6" s="12"/>
      <c r="J6" s="12"/>
      <c r="K6" s="12"/>
      <c r="L6" s="12"/>
      <c r="M6" s="12"/>
      <c r="N6" s="12"/>
      <c r="O6" s="12"/>
      <c r="P6" s="12"/>
      <c r="Q6" s="12"/>
      <c r="R6" s="12"/>
      <c r="S6" s="12"/>
      <c r="T6" s="12"/>
    </row>
    <row r="7" spans="1:22" ht="6" customHeight="1" x14ac:dyDescent="0.2">
      <c r="B7" s="12"/>
      <c r="C7" s="12"/>
      <c r="D7" s="12"/>
      <c r="E7" s="12"/>
      <c r="F7" s="12"/>
      <c r="G7" s="12"/>
      <c r="H7" s="12"/>
      <c r="I7" s="12"/>
      <c r="J7" s="12"/>
      <c r="K7" s="12"/>
      <c r="L7" s="12"/>
      <c r="M7" s="12"/>
      <c r="N7" s="12"/>
      <c r="O7" s="12"/>
      <c r="P7" s="12"/>
      <c r="Q7" s="12"/>
      <c r="R7" s="12"/>
      <c r="S7" s="12"/>
      <c r="T7" s="12"/>
    </row>
    <row r="8" spans="1:22" ht="18" customHeight="1" x14ac:dyDescent="0.2">
      <c r="B8" s="158" t="s">
        <v>43</v>
      </c>
      <c r="C8" s="154" t="s">
        <v>73</v>
      </c>
      <c r="D8" s="155"/>
      <c r="E8" s="160" t="s">
        <v>45</v>
      </c>
      <c r="F8" s="154" t="s">
        <v>38</v>
      </c>
      <c r="G8" s="156" t="s">
        <v>108</v>
      </c>
      <c r="H8" s="156"/>
      <c r="I8" s="156" t="s">
        <v>92</v>
      </c>
      <c r="J8" s="156"/>
      <c r="K8" s="156" t="s">
        <v>86</v>
      </c>
      <c r="L8" s="156"/>
      <c r="M8" s="156" t="s">
        <v>72</v>
      </c>
      <c r="N8" s="156"/>
      <c r="O8" s="156" t="s">
        <v>46</v>
      </c>
      <c r="P8" s="156"/>
      <c r="Q8" s="156" t="s">
        <v>47</v>
      </c>
      <c r="R8" s="167"/>
      <c r="S8" s="163" t="s">
        <v>35</v>
      </c>
      <c r="T8" s="165" t="s">
        <v>32</v>
      </c>
      <c r="V8" s="13"/>
    </row>
    <row r="9" spans="1:22" ht="16.95" customHeight="1" x14ac:dyDescent="0.2">
      <c r="B9" s="159"/>
      <c r="C9" s="1"/>
      <c r="D9" s="2" t="s">
        <v>111</v>
      </c>
      <c r="E9" s="161"/>
      <c r="F9" s="162"/>
      <c r="G9" s="40" t="s">
        <v>79</v>
      </c>
      <c r="H9" s="40" t="s">
        <v>29</v>
      </c>
      <c r="I9" s="40" t="s">
        <v>79</v>
      </c>
      <c r="J9" s="40" t="s">
        <v>29</v>
      </c>
      <c r="K9" s="40" t="s">
        <v>79</v>
      </c>
      <c r="L9" s="40" t="s">
        <v>29</v>
      </c>
      <c r="M9" s="40" t="s">
        <v>79</v>
      </c>
      <c r="N9" s="40" t="s">
        <v>29</v>
      </c>
      <c r="O9" s="40" t="s">
        <v>79</v>
      </c>
      <c r="P9" s="40" t="s">
        <v>29</v>
      </c>
      <c r="Q9" s="40" t="s">
        <v>79</v>
      </c>
      <c r="R9" s="40" t="s">
        <v>29</v>
      </c>
      <c r="S9" s="164"/>
      <c r="T9" s="166"/>
      <c r="V9" s="13"/>
    </row>
    <row r="10" spans="1:22" ht="18" customHeight="1" x14ac:dyDescent="0.2">
      <c r="A10" s="41"/>
      <c r="B10" s="42" t="s">
        <v>151</v>
      </c>
      <c r="C10" s="58">
        <v>323</v>
      </c>
      <c r="D10" s="64">
        <v>153</v>
      </c>
      <c r="E10" s="57">
        <v>80</v>
      </c>
      <c r="F10" s="58">
        <v>310</v>
      </c>
      <c r="G10" s="58">
        <v>73</v>
      </c>
      <c r="H10" s="58">
        <v>5</v>
      </c>
      <c r="I10" s="58">
        <v>77</v>
      </c>
      <c r="J10" s="58">
        <v>7</v>
      </c>
      <c r="K10" s="58">
        <v>82</v>
      </c>
      <c r="L10" s="58">
        <v>26</v>
      </c>
      <c r="M10" s="127"/>
      <c r="N10" s="127"/>
      <c r="O10" s="127"/>
      <c r="P10" s="127"/>
      <c r="Q10" s="127"/>
      <c r="R10" s="127"/>
      <c r="S10" s="3">
        <f>G10+K10+M10+O10+Q10</f>
        <v>155</v>
      </c>
      <c r="T10" s="43">
        <f>S10/F10</f>
        <v>0.5</v>
      </c>
    </row>
    <row r="11" spans="1:22" ht="18" customHeight="1" x14ac:dyDescent="0.2">
      <c r="A11" s="41"/>
      <c r="B11" s="42" t="s">
        <v>152</v>
      </c>
      <c r="C11" s="60">
        <v>333</v>
      </c>
      <c r="D11" s="62">
        <v>226</v>
      </c>
      <c r="E11" s="59">
        <v>75</v>
      </c>
      <c r="F11" s="60">
        <v>285</v>
      </c>
      <c r="G11" s="61">
        <v>87</v>
      </c>
      <c r="H11" s="61">
        <v>0</v>
      </c>
      <c r="I11" s="61">
        <v>80</v>
      </c>
      <c r="J11" s="61">
        <v>0</v>
      </c>
      <c r="K11" s="61">
        <v>79</v>
      </c>
      <c r="L11" s="61">
        <v>0</v>
      </c>
      <c r="M11" s="128"/>
      <c r="N11" s="128"/>
      <c r="O11" s="128"/>
      <c r="P11" s="128"/>
      <c r="Q11" s="128"/>
      <c r="R11" s="128"/>
      <c r="S11" s="45">
        <f t="shared" ref="S11:S29" si="0">G11+K11+M11+O11+Q11</f>
        <v>166</v>
      </c>
      <c r="T11" s="46">
        <f t="shared" ref="T11:T27" si="1">S11/F11</f>
        <v>0.58245614035087723</v>
      </c>
    </row>
    <row r="12" spans="1:22" ht="18" customHeight="1" x14ac:dyDescent="0.2">
      <c r="A12" s="41"/>
      <c r="B12" s="42" t="s">
        <v>153</v>
      </c>
      <c r="C12" s="60">
        <v>340</v>
      </c>
      <c r="D12" s="62">
        <v>305</v>
      </c>
      <c r="E12" s="59">
        <v>80</v>
      </c>
      <c r="F12" s="60">
        <v>320</v>
      </c>
      <c r="G12" s="61">
        <v>78</v>
      </c>
      <c r="H12" s="61">
        <v>1</v>
      </c>
      <c r="I12" s="61">
        <v>86</v>
      </c>
      <c r="J12" s="61">
        <v>18</v>
      </c>
      <c r="K12" s="61">
        <v>79</v>
      </c>
      <c r="L12" s="61">
        <v>19</v>
      </c>
      <c r="M12" s="128"/>
      <c r="N12" s="128"/>
      <c r="O12" s="128"/>
      <c r="P12" s="128"/>
      <c r="Q12" s="128"/>
      <c r="R12" s="128"/>
      <c r="S12" s="45">
        <f t="shared" si="0"/>
        <v>157</v>
      </c>
      <c r="T12" s="47">
        <f t="shared" si="1"/>
        <v>0.49062499999999998</v>
      </c>
    </row>
    <row r="13" spans="1:22" ht="18" customHeight="1" x14ac:dyDescent="0.2">
      <c r="A13" s="41"/>
      <c r="B13" s="44" t="s">
        <v>154</v>
      </c>
      <c r="C13" s="60">
        <v>570</v>
      </c>
      <c r="D13" s="62">
        <v>365</v>
      </c>
      <c r="E13" s="59">
        <v>90</v>
      </c>
      <c r="F13" s="60">
        <v>540</v>
      </c>
      <c r="G13" s="61">
        <v>96</v>
      </c>
      <c r="H13" s="61">
        <v>1</v>
      </c>
      <c r="I13" s="61">
        <v>92</v>
      </c>
      <c r="J13" s="61">
        <v>6</v>
      </c>
      <c r="K13" s="61">
        <v>95</v>
      </c>
      <c r="L13" s="61">
        <v>1</v>
      </c>
      <c r="M13" s="128"/>
      <c r="N13" s="128"/>
      <c r="O13" s="128"/>
      <c r="P13" s="128"/>
      <c r="Q13" s="128"/>
      <c r="R13" s="128"/>
      <c r="S13" s="45">
        <f t="shared" si="0"/>
        <v>191</v>
      </c>
      <c r="T13" s="47">
        <f t="shared" si="1"/>
        <v>0.35370370370370369</v>
      </c>
    </row>
    <row r="14" spans="1:22" ht="18" customHeight="1" x14ac:dyDescent="0.2">
      <c r="A14" s="41"/>
      <c r="B14" s="44" t="s">
        <v>155</v>
      </c>
      <c r="C14" s="60">
        <v>442</v>
      </c>
      <c r="D14" s="62">
        <v>389</v>
      </c>
      <c r="E14" s="59">
        <v>100</v>
      </c>
      <c r="F14" s="60">
        <v>400</v>
      </c>
      <c r="G14" s="61">
        <v>127</v>
      </c>
      <c r="H14" s="61">
        <v>0</v>
      </c>
      <c r="I14" s="61">
        <v>103</v>
      </c>
      <c r="J14" s="61">
        <v>1</v>
      </c>
      <c r="K14" s="61">
        <v>95</v>
      </c>
      <c r="L14" s="61">
        <v>0</v>
      </c>
      <c r="M14" s="128"/>
      <c r="N14" s="128"/>
      <c r="O14" s="128"/>
      <c r="P14" s="128"/>
      <c r="Q14" s="128"/>
      <c r="R14" s="128"/>
      <c r="S14" s="45">
        <f t="shared" si="0"/>
        <v>222</v>
      </c>
      <c r="T14" s="47">
        <f t="shared" si="1"/>
        <v>0.55500000000000005</v>
      </c>
    </row>
    <row r="15" spans="1:22" ht="18" customHeight="1" x14ac:dyDescent="0.2">
      <c r="A15" s="41"/>
      <c r="B15" s="44" t="s">
        <v>156</v>
      </c>
      <c r="C15" s="60">
        <v>193</v>
      </c>
      <c r="D15" s="62">
        <v>104</v>
      </c>
      <c r="E15" s="59">
        <v>40</v>
      </c>
      <c r="F15" s="60">
        <v>160</v>
      </c>
      <c r="G15" s="61">
        <v>9</v>
      </c>
      <c r="H15" s="61">
        <v>0</v>
      </c>
      <c r="I15" s="61">
        <v>35</v>
      </c>
      <c r="J15" s="61">
        <v>0</v>
      </c>
      <c r="K15" s="61">
        <v>25</v>
      </c>
      <c r="L15" s="61">
        <v>0</v>
      </c>
      <c r="M15" s="128"/>
      <c r="N15" s="128"/>
      <c r="O15" s="128"/>
      <c r="P15" s="128"/>
      <c r="Q15" s="128"/>
      <c r="R15" s="128"/>
      <c r="S15" s="45">
        <f t="shared" si="0"/>
        <v>34</v>
      </c>
      <c r="T15" s="47">
        <f t="shared" si="1"/>
        <v>0.21249999999999999</v>
      </c>
    </row>
    <row r="16" spans="1:22" ht="18" customHeight="1" x14ac:dyDescent="0.2">
      <c r="A16" s="41"/>
      <c r="B16" s="44" t="s">
        <v>157</v>
      </c>
      <c r="C16" s="60">
        <v>346</v>
      </c>
      <c r="D16" s="62">
        <v>288</v>
      </c>
      <c r="E16" s="59">
        <v>80</v>
      </c>
      <c r="F16" s="60">
        <v>320</v>
      </c>
      <c r="G16" s="61">
        <v>0</v>
      </c>
      <c r="H16" s="61">
        <v>0</v>
      </c>
      <c r="I16" s="61">
        <v>75</v>
      </c>
      <c r="J16" s="61">
        <v>1</v>
      </c>
      <c r="K16" s="61">
        <v>95</v>
      </c>
      <c r="L16" s="61">
        <v>0</v>
      </c>
      <c r="M16" s="128"/>
      <c r="N16" s="128"/>
      <c r="O16" s="128"/>
      <c r="P16" s="128"/>
      <c r="Q16" s="128"/>
      <c r="R16" s="128"/>
      <c r="S16" s="45">
        <f t="shared" si="0"/>
        <v>95</v>
      </c>
      <c r="T16" s="47">
        <f t="shared" si="1"/>
        <v>0.296875</v>
      </c>
    </row>
    <row r="17" spans="1:20" ht="18" customHeight="1" x14ac:dyDescent="0.2">
      <c r="A17" s="41"/>
      <c r="B17" s="44" t="s">
        <v>158</v>
      </c>
      <c r="C17" s="60">
        <v>344</v>
      </c>
      <c r="D17" s="62">
        <v>121</v>
      </c>
      <c r="E17" s="59">
        <v>75</v>
      </c>
      <c r="F17" s="60">
        <v>325</v>
      </c>
      <c r="G17" s="61">
        <v>89</v>
      </c>
      <c r="H17" s="61">
        <v>3</v>
      </c>
      <c r="I17" s="61">
        <v>87</v>
      </c>
      <c r="J17" s="61">
        <v>79</v>
      </c>
      <c r="K17" s="61">
        <v>85</v>
      </c>
      <c r="L17" s="61">
        <v>85</v>
      </c>
      <c r="M17" s="128"/>
      <c r="N17" s="128"/>
      <c r="O17" s="128"/>
      <c r="P17" s="128"/>
      <c r="Q17" s="128"/>
      <c r="R17" s="128"/>
      <c r="S17" s="45">
        <f>G17+K17+M17+O17+Q17</f>
        <v>174</v>
      </c>
      <c r="T17" s="47">
        <f t="shared" si="1"/>
        <v>0.53538461538461535</v>
      </c>
    </row>
    <row r="18" spans="1:20" ht="18" customHeight="1" x14ac:dyDescent="0.2">
      <c r="A18" s="41"/>
      <c r="B18" s="44"/>
      <c r="C18" s="60"/>
      <c r="D18" s="62"/>
      <c r="E18" s="59"/>
      <c r="F18" s="60"/>
      <c r="G18" s="61"/>
      <c r="H18" s="61"/>
      <c r="I18" s="61"/>
      <c r="J18" s="61"/>
      <c r="K18" s="61"/>
      <c r="L18" s="61"/>
      <c r="M18" s="61"/>
      <c r="N18" s="61"/>
      <c r="O18" s="61"/>
      <c r="P18" s="61"/>
      <c r="Q18" s="61"/>
      <c r="R18" s="61"/>
      <c r="S18" s="45">
        <f t="shared" si="0"/>
        <v>0</v>
      </c>
      <c r="T18" s="47" t="e">
        <f t="shared" si="1"/>
        <v>#DIV/0!</v>
      </c>
    </row>
    <row r="19" spans="1:20" ht="18" customHeight="1" x14ac:dyDescent="0.2">
      <c r="A19" s="41"/>
      <c r="B19" s="44"/>
      <c r="C19" s="60"/>
      <c r="D19" s="62"/>
      <c r="E19" s="59"/>
      <c r="F19" s="60"/>
      <c r="G19" s="61"/>
      <c r="H19" s="61"/>
      <c r="I19" s="61"/>
      <c r="J19" s="61"/>
      <c r="K19" s="61"/>
      <c r="L19" s="61"/>
      <c r="M19" s="61"/>
      <c r="N19" s="61"/>
      <c r="O19" s="61"/>
      <c r="P19" s="61"/>
      <c r="Q19" s="61"/>
      <c r="R19" s="61"/>
      <c r="S19" s="45">
        <f t="shared" si="0"/>
        <v>0</v>
      </c>
      <c r="T19" s="47" t="e">
        <f t="shared" si="1"/>
        <v>#DIV/0!</v>
      </c>
    </row>
    <row r="20" spans="1:20" ht="18" customHeight="1" x14ac:dyDescent="0.2">
      <c r="A20" s="41"/>
      <c r="B20" s="44"/>
      <c r="C20" s="60"/>
      <c r="D20" s="62"/>
      <c r="E20" s="59"/>
      <c r="F20" s="60"/>
      <c r="G20" s="61"/>
      <c r="H20" s="61"/>
      <c r="I20" s="61"/>
      <c r="J20" s="61"/>
      <c r="K20" s="61"/>
      <c r="L20" s="61"/>
      <c r="M20" s="61"/>
      <c r="N20" s="61"/>
      <c r="O20" s="61"/>
      <c r="P20" s="61"/>
      <c r="Q20" s="61"/>
      <c r="R20" s="61"/>
      <c r="S20" s="45">
        <f t="shared" si="0"/>
        <v>0</v>
      </c>
      <c r="T20" s="47" t="e">
        <f t="shared" si="1"/>
        <v>#DIV/0!</v>
      </c>
    </row>
    <row r="21" spans="1:20" ht="18" customHeight="1" x14ac:dyDescent="0.2">
      <c r="A21" s="41"/>
      <c r="B21" s="44"/>
      <c r="C21" s="60"/>
      <c r="D21" s="62"/>
      <c r="E21" s="59"/>
      <c r="F21" s="60"/>
      <c r="G21" s="61"/>
      <c r="H21" s="61"/>
      <c r="I21" s="61"/>
      <c r="J21" s="61"/>
      <c r="K21" s="61"/>
      <c r="L21" s="61"/>
      <c r="M21" s="61"/>
      <c r="N21" s="61"/>
      <c r="O21" s="61"/>
      <c r="P21" s="61"/>
      <c r="Q21" s="61"/>
      <c r="R21" s="61"/>
      <c r="S21" s="45">
        <f t="shared" si="0"/>
        <v>0</v>
      </c>
      <c r="T21" s="47" t="e">
        <f t="shared" si="1"/>
        <v>#DIV/0!</v>
      </c>
    </row>
    <row r="22" spans="1:20" ht="18" customHeight="1" x14ac:dyDescent="0.2">
      <c r="A22" s="41"/>
      <c r="B22" s="44"/>
      <c r="C22" s="60"/>
      <c r="D22" s="62"/>
      <c r="E22" s="59"/>
      <c r="F22" s="60"/>
      <c r="G22" s="61"/>
      <c r="H22" s="61"/>
      <c r="I22" s="61"/>
      <c r="J22" s="61"/>
      <c r="K22" s="61"/>
      <c r="L22" s="61"/>
      <c r="M22" s="61"/>
      <c r="N22" s="61"/>
      <c r="O22" s="61"/>
      <c r="P22" s="61"/>
      <c r="Q22" s="61"/>
      <c r="R22" s="61"/>
      <c r="S22" s="45">
        <f t="shared" si="0"/>
        <v>0</v>
      </c>
      <c r="T22" s="47" t="e">
        <f t="shared" si="1"/>
        <v>#DIV/0!</v>
      </c>
    </row>
    <row r="23" spans="1:20" ht="18" customHeight="1" x14ac:dyDescent="0.2">
      <c r="A23" s="41"/>
      <c r="B23" s="44"/>
      <c r="C23" s="60"/>
      <c r="D23" s="62"/>
      <c r="E23" s="59"/>
      <c r="F23" s="60"/>
      <c r="G23" s="61"/>
      <c r="H23" s="61"/>
      <c r="I23" s="61"/>
      <c r="J23" s="61"/>
      <c r="K23" s="61"/>
      <c r="L23" s="61"/>
      <c r="M23" s="61"/>
      <c r="N23" s="61"/>
      <c r="O23" s="61"/>
      <c r="P23" s="61"/>
      <c r="Q23" s="61"/>
      <c r="R23" s="61"/>
      <c r="S23" s="45">
        <f t="shared" si="0"/>
        <v>0</v>
      </c>
      <c r="T23" s="47" t="e">
        <f t="shared" si="1"/>
        <v>#DIV/0!</v>
      </c>
    </row>
    <row r="24" spans="1:20" ht="18" customHeight="1" x14ac:dyDescent="0.2">
      <c r="A24" s="41"/>
      <c r="B24" s="44"/>
      <c r="C24" s="60"/>
      <c r="D24" s="62"/>
      <c r="E24" s="59"/>
      <c r="F24" s="60"/>
      <c r="G24" s="61"/>
      <c r="H24" s="61"/>
      <c r="I24" s="61"/>
      <c r="J24" s="61"/>
      <c r="K24" s="61"/>
      <c r="L24" s="61"/>
      <c r="M24" s="61"/>
      <c r="N24" s="61"/>
      <c r="O24" s="61"/>
      <c r="P24" s="61"/>
      <c r="Q24" s="61"/>
      <c r="R24" s="61"/>
      <c r="S24" s="45">
        <f t="shared" si="0"/>
        <v>0</v>
      </c>
      <c r="T24" s="47" t="e">
        <f t="shared" si="1"/>
        <v>#DIV/0!</v>
      </c>
    </row>
    <row r="25" spans="1:20" ht="18" customHeight="1" x14ac:dyDescent="0.2">
      <c r="A25" s="41"/>
      <c r="B25" s="44"/>
      <c r="C25" s="60"/>
      <c r="D25" s="62"/>
      <c r="E25" s="59"/>
      <c r="F25" s="60"/>
      <c r="G25" s="61"/>
      <c r="H25" s="61"/>
      <c r="I25" s="61"/>
      <c r="J25" s="61"/>
      <c r="K25" s="61"/>
      <c r="L25" s="61"/>
      <c r="M25" s="61"/>
      <c r="N25" s="61"/>
      <c r="O25" s="61"/>
      <c r="P25" s="61"/>
      <c r="Q25" s="61"/>
      <c r="R25" s="61"/>
      <c r="S25" s="45">
        <f t="shared" si="0"/>
        <v>0</v>
      </c>
      <c r="T25" s="47" t="e">
        <f t="shared" si="1"/>
        <v>#DIV/0!</v>
      </c>
    </row>
    <row r="26" spans="1:20" ht="18" customHeight="1" x14ac:dyDescent="0.2">
      <c r="A26" s="41"/>
      <c r="B26" s="44"/>
      <c r="C26" s="60"/>
      <c r="D26" s="62"/>
      <c r="E26" s="59"/>
      <c r="F26" s="60"/>
      <c r="G26" s="61"/>
      <c r="H26" s="61"/>
      <c r="I26" s="61"/>
      <c r="J26" s="61"/>
      <c r="K26" s="61"/>
      <c r="L26" s="61"/>
      <c r="M26" s="61"/>
      <c r="N26" s="61"/>
      <c r="O26" s="61"/>
      <c r="P26" s="61"/>
      <c r="Q26" s="61"/>
      <c r="R26" s="61"/>
      <c r="S26" s="45">
        <f t="shared" si="0"/>
        <v>0</v>
      </c>
      <c r="T26" s="47" t="e">
        <f t="shared" si="1"/>
        <v>#DIV/0!</v>
      </c>
    </row>
    <row r="27" spans="1:20" ht="18" customHeight="1" x14ac:dyDescent="0.2">
      <c r="A27" s="41"/>
      <c r="B27" s="44"/>
      <c r="C27" s="60"/>
      <c r="D27" s="62"/>
      <c r="E27" s="63"/>
      <c r="F27" s="60"/>
      <c r="G27" s="61"/>
      <c r="H27" s="61"/>
      <c r="I27" s="61"/>
      <c r="J27" s="61"/>
      <c r="K27" s="61"/>
      <c r="L27" s="61"/>
      <c r="M27" s="61"/>
      <c r="N27" s="61"/>
      <c r="O27" s="61"/>
      <c r="P27" s="61"/>
      <c r="Q27" s="61"/>
      <c r="R27" s="61"/>
      <c r="S27" s="45">
        <f t="shared" si="0"/>
        <v>0</v>
      </c>
      <c r="T27" s="47" t="e">
        <f t="shared" si="1"/>
        <v>#DIV/0!</v>
      </c>
    </row>
    <row r="28" spans="1:20" ht="18" customHeight="1" x14ac:dyDescent="0.2">
      <c r="A28" s="41"/>
      <c r="B28" s="44"/>
      <c r="C28" s="60"/>
      <c r="D28" s="62"/>
      <c r="E28" s="63"/>
      <c r="F28" s="60"/>
      <c r="G28" s="61"/>
      <c r="H28" s="61"/>
      <c r="I28" s="61"/>
      <c r="J28" s="61"/>
      <c r="K28" s="61"/>
      <c r="L28" s="61"/>
      <c r="M28" s="61"/>
      <c r="N28" s="61"/>
      <c r="O28" s="61"/>
      <c r="P28" s="61"/>
      <c r="Q28" s="61"/>
      <c r="R28" s="61"/>
      <c r="S28" s="45">
        <f t="shared" si="0"/>
        <v>0</v>
      </c>
      <c r="T28" s="47" t="e">
        <f t="shared" ref="T28:T29" si="2">S28/F28</f>
        <v>#DIV/0!</v>
      </c>
    </row>
    <row r="29" spans="1:20" ht="18" customHeight="1" thickBot="1" x14ac:dyDescent="0.25">
      <c r="A29" s="41"/>
      <c r="B29" s="48"/>
      <c r="C29" s="58"/>
      <c r="D29" s="64"/>
      <c r="E29" s="65"/>
      <c r="F29" s="58"/>
      <c r="G29" s="58"/>
      <c r="H29" s="58"/>
      <c r="I29" s="58"/>
      <c r="J29" s="58"/>
      <c r="K29" s="58"/>
      <c r="L29" s="58"/>
      <c r="M29" s="58"/>
      <c r="N29" s="58"/>
      <c r="O29" s="58"/>
      <c r="P29" s="58"/>
      <c r="Q29" s="58"/>
      <c r="R29" s="58"/>
      <c r="S29" s="3">
        <f t="shared" si="0"/>
        <v>0</v>
      </c>
      <c r="T29" s="47" t="e">
        <f t="shared" si="2"/>
        <v>#DIV/0!</v>
      </c>
    </row>
    <row r="30" spans="1:20" ht="18" customHeight="1" thickTop="1" x14ac:dyDescent="0.2">
      <c r="B30" s="49" t="s">
        <v>33</v>
      </c>
      <c r="C30" s="51">
        <f t="shared" ref="C30" si="3">SUM(C10:C29)</f>
        <v>2891</v>
      </c>
      <c r="D30" s="105">
        <f>SUM(D10:D29)</f>
        <v>1951</v>
      </c>
      <c r="E30" s="50">
        <f t="shared" ref="E30:G30" si="4">SUM(E10:E29)</f>
        <v>620</v>
      </c>
      <c r="F30" s="51">
        <f t="shared" si="4"/>
        <v>2660</v>
      </c>
      <c r="G30" s="51">
        <f t="shared" si="4"/>
        <v>559</v>
      </c>
      <c r="H30" s="51">
        <f t="shared" ref="H30:K30" si="5">SUM(H10:H29)</f>
        <v>10</v>
      </c>
      <c r="I30" s="51">
        <f t="shared" si="5"/>
        <v>635</v>
      </c>
      <c r="J30" s="51">
        <f t="shared" si="5"/>
        <v>112</v>
      </c>
      <c r="K30" s="51">
        <f t="shared" si="5"/>
        <v>635</v>
      </c>
      <c r="L30" s="51">
        <f t="shared" ref="L30:M30" si="6">SUM(L10:L29)</f>
        <v>131</v>
      </c>
      <c r="M30" s="51">
        <f t="shared" si="6"/>
        <v>0</v>
      </c>
      <c r="N30" s="51">
        <f t="shared" ref="N30:S30" si="7">SUM(N10:N29)</f>
        <v>0</v>
      </c>
      <c r="O30" s="51">
        <f t="shared" si="7"/>
        <v>0</v>
      </c>
      <c r="P30" s="51">
        <f t="shared" si="7"/>
        <v>0</v>
      </c>
      <c r="Q30" s="51">
        <f t="shared" si="7"/>
        <v>0</v>
      </c>
      <c r="R30" s="51">
        <f t="shared" si="7"/>
        <v>0</v>
      </c>
      <c r="S30" s="51">
        <f t="shared" si="7"/>
        <v>1194</v>
      </c>
      <c r="T30" s="52">
        <f>S30/F30</f>
        <v>0.44887218045112781</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C10:R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8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zoomScale="85" zoomScaleNormal="100" zoomScaleSheetLayoutView="85" workbookViewId="0">
      <selection activeCell="H23" sqref="H23"/>
    </sheetView>
  </sheetViews>
  <sheetFormatPr defaultColWidth="11.33203125" defaultRowHeight="18.75" customHeight="1" x14ac:dyDescent="0.2"/>
  <cols>
    <col min="1" max="1" width="2.77734375" style="7" customWidth="1"/>
    <col min="2" max="2" width="8" style="8" customWidth="1"/>
    <col min="3" max="3" width="17.109375" style="8" bestFit="1" customWidth="1"/>
    <col min="4" max="4" width="41.6640625" style="8" customWidth="1"/>
    <col min="5" max="5" width="12.109375" style="8" customWidth="1"/>
    <col min="6" max="16384" width="11.33203125" style="8"/>
  </cols>
  <sheetData>
    <row r="1" spans="1:5" ht="18.75" customHeight="1" x14ac:dyDescent="0.2">
      <c r="A1" s="7" t="s">
        <v>58</v>
      </c>
      <c r="E1" s="9" t="s">
        <v>83</v>
      </c>
    </row>
    <row r="2" spans="1:5" ht="10.95" customHeight="1" x14ac:dyDescent="0.2">
      <c r="E2" s="10"/>
    </row>
    <row r="3" spans="1:5" ht="18.600000000000001" customHeight="1" x14ac:dyDescent="0.2">
      <c r="A3" s="157" t="s">
        <v>36</v>
      </c>
      <c r="B3" s="157"/>
      <c r="C3" s="157"/>
      <c r="D3" s="157"/>
      <c r="E3" s="157"/>
    </row>
    <row r="4" spans="1:5" ht="13.2" customHeight="1" x14ac:dyDescent="0.2">
      <c r="B4" s="12"/>
      <c r="C4" s="12"/>
      <c r="D4" s="12"/>
      <c r="E4" s="12"/>
    </row>
    <row r="5" spans="1:5" ht="18" customHeight="1" x14ac:dyDescent="0.2">
      <c r="A5" s="8" t="s">
        <v>0</v>
      </c>
      <c r="B5" s="146" t="s">
        <v>76</v>
      </c>
      <c r="C5" s="146"/>
      <c r="D5" s="146"/>
      <c r="E5" s="146"/>
    </row>
    <row r="6" spans="1:5" ht="18.600000000000001" customHeight="1" x14ac:dyDescent="0.2">
      <c r="B6" s="29" t="s">
        <v>77</v>
      </c>
      <c r="C6" s="126">
        <v>223</v>
      </c>
      <c r="D6" s="10" t="s">
        <v>1</v>
      </c>
      <c r="E6" s="14"/>
    </row>
    <row r="7" spans="1:5" ht="18.600000000000001" customHeight="1" x14ac:dyDescent="0.2">
      <c r="B7" s="29" t="s">
        <v>2</v>
      </c>
      <c r="C7" s="126">
        <v>148</v>
      </c>
      <c r="D7" s="10" t="s">
        <v>1</v>
      </c>
      <c r="E7" s="14"/>
    </row>
    <row r="8" spans="1:5" ht="18.600000000000001" customHeight="1" x14ac:dyDescent="0.2">
      <c r="B8" s="9"/>
      <c r="C8" s="9"/>
      <c r="D8" s="10"/>
      <c r="E8" s="14"/>
    </row>
    <row r="9" spans="1:5" ht="18" customHeight="1" x14ac:dyDescent="0.2">
      <c r="A9" s="8" t="s">
        <v>3</v>
      </c>
      <c r="B9" s="146" t="s">
        <v>122</v>
      </c>
      <c r="C9" s="146"/>
      <c r="D9" s="146"/>
      <c r="E9" s="146"/>
    </row>
    <row r="10" spans="1:5" ht="18" customHeight="1" x14ac:dyDescent="0.2">
      <c r="A10" s="8"/>
      <c r="B10" s="10"/>
      <c r="C10" s="125">
        <v>36</v>
      </c>
      <c r="D10" s="10" t="s">
        <v>1</v>
      </c>
      <c r="E10" s="10"/>
    </row>
    <row r="11" spans="1:5" ht="9" customHeight="1" x14ac:dyDescent="0.2">
      <c r="B11" s="12"/>
      <c r="C11" s="12"/>
      <c r="D11" s="12"/>
      <c r="E11" s="12"/>
    </row>
    <row r="12" spans="1:5" ht="18" customHeight="1" x14ac:dyDescent="0.2">
      <c r="A12" s="8" t="s">
        <v>4</v>
      </c>
      <c r="B12" s="146" t="s">
        <v>78</v>
      </c>
      <c r="C12" s="146"/>
      <c r="D12" s="146"/>
      <c r="E12" s="146"/>
    </row>
    <row r="13" spans="1:5" ht="18" customHeight="1" x14ac:dyDescent="0.2">
      <c r="C13" s="9" t="s">
        <v>41</v>
      </c>
      <c r="D13" s="69" t="s">
        <v>163</v>
      </c>
      <c r="E13" s="10"/>
    </row>
    <row r="14" spans="1:5" ht="18" customHeight="1" x14ac:dyDescent="0.2">
      <c r="C14" s="9" t="s">
        <v>10</v>
      </c>
      <c r="D14" s="69" t="s">
        <v>164</v>
      </c>
      <c r="E14" s="14"/>
    </row>
    <row r="15" spans="1:5" ht="10.199999999999999" customHeight="1" x14ac:dyDescent="0.2">
      <c r="B15" s="9"/>
      <c r="C15" s="10"/>
      <c r="D15" s="14"/>
      <c r="E15" s="14"/>
    </row>
    <row r="16" spans="1:5" ht="18" customHeight="1" x14ac:dyDescent="0.2">
      <c r="A16" s="8" t="s">
        <v>7</v>
      </c>
      <c r="B16" s="146" t="s">
        <v>74</v>
      </c>
      <c r="C16" s="146"/>
      <c r="D16" s="146"/>
      <c r="E16" s="146"/>
    </row>
    <row r="17" spans="1:10" ht="18" customHeight="1" x14ac:dyDescent="0.2">
      <c r="C17" s="9" t="s">
        <v>118</v>
      </c>
      <c r="D17" s="69" t="s">
        <v>179</v>
      </c>
      <c r="E17" s="10"/>
    </row>
    <row r="18" spans="1:10" ht="9" customHeight="1" x14ac:dyDescent="0.2">
      <c r="B18" s="12"/>
      <c r="C18" s="12"/>
      <c r="D18" s="12"/>
      <c r="E18" s="12"/>
    </row>
    <row r="19" spans="1:10" ht="18.75" customHeight="1" x14ac:dyDescent="0.2">
      <c r="A19" s="8" t="s">
        <v>5</v>
      </c>
      <c r="B19" s="145" t="s">
        <v>40</v>
      </c>
      <c r="C19" s="145"/>
      <c r="D19" s="145"/>
      <c r="E19" s="145"/>
    </row>
    <row r="20" spans="1:10" ht="18.75" customHeight="1" x14ac:dyDescent="0.2">
      <c r="A20" s="8"/>
      <c r="C20" s="9" t="s">
        <v>118</v>
      </c>
      <c r="D20" s="69" t="s">
        <v>180</v>
      </c>
      <c r="E20" s="10"/>
    </row>
    <row r="21" spans="1:10" ht="7.5" customHeight="1" x14ac:dyDescent="0.2">
      <c r="B21" s="12"/>
      <c r="C21" s="12"/>
      <c r="D21" s="12"/>
      <c r="E21" s="12"/>
    </row>
    <row r="22" spans="1:10" ht="18.75" customHeight="1" x14ac:dyDescent="0.2">
      <c r="A22" s="8" t="s">
        <v>8</v>
      </c>
      <c r="B22" s="145" t="s">
        <v>25</v>
      </c>
      <c r="C22" s="145"/>
      <c r="D22" s="145"/>
      <c r="E22" s="145"/>
    </row>
    <row r="23" spans="1:10" ht="180" customHeight="1" x14ac:dyDescent="0.2">
      <c r="A23" s="15"/>
      <c r="B23" s="16"/>
      <c r="C23" s="169" t="s">
        <v>181</v>
      </c>
      <c r="D23" s="170"/>
      <c r="E23" s="171"/>
    </row>
    <row r="24" spans="1:10" ht="7.5" customHeight="1" x14ac:dyDescent="0.2">
      <c r="A24" s="15"/>
      <c r="B24" s="15"/>
      <c r="C24" s="15"/>
      <c r="D24" s="15"/>
      <c r="E24" s="15"/>
    </row>
    <row r="25" spans="1:10" ht="18.75" customHeight="1" x14ac:dyDescent="0.2">
      <c r="A25" s="17" t="s">
        <v>6</v>
      </c>
      <c r="B25" s="174" t="s">
        <v>9</v>
      </c>
      <c r="C25" s="175"/>
      <c r="D25" s="175"/>
      <c r="E25" s="175"/>
    </row>
    <row r="26" spans="1:10" ht="180" customHeight="1" x14ac:dyDescent="0.2">
      <c r="A26" s="15"/>
      <c r="B26" s="16"/>
      <c r="C26" s="169" t="s">
        <v>178</v>
      </c>
      <c r="D26" s="170"/>
      <c r="E26" s="171"/>
    </row>
    <row r="27" spans="1:10" ht="7.5" customHeight="1" x14ac:dyDescent="0.2">
      <c r="A27" s="18"/>
      <c r="B27" s="18"/>
      <c r="C27" s="18"/>
      <c r="D27" s="18"/>
      <c r="E27" s="18"/>
    </row>
    <row r="28" spans="1:10" ht="18.75" customHeight="1" x14ac:dyDescent="0.2">
      <c r="A28" s="8" t="s">
        <v>31</v>
      </c>
      <c r="B28" s="145" t="s">
        <v>121</v>
      </c>
      <c r="C28" s="168"/>
      <c r="D28" s="168"/>
      <c r="E28" s="145"/>
    </row>
    <row r="29" spans="1:10" s="12" customFormat="1" ht="18.75" customHeight="1" x14ac:dyDescent="0.2">
      <c r="B29" s="25"/>
      <c r="C29" s="21" t="s">
        <v>123</v>
      </c>
      <c r="D29" s="30">
        <f>IFERROR('様式２ 履修者等数の実績'!T30, "（様式２より自動転記）")</f>
        <v>0.44887218045112781</v>
      </c>
      <c r="E29" s="26"/>
      <c r="F29" s="8"/>
      <c r="I29" s="8"/>
      <c r="J29" s="20"/>
    </row>
    <row r="30" spans="1:10" s="12" customFormat="1" ht="18.75" customHeight="1" x14ac:dyDescent="0.2">
      <c r="B30" s="25"/>
      <c r="C30" s="21" t="s">
        <v>75</v>
      </c>
      <c r="D30" s="30" t="s">
        <v>184</v>
      </c>
      <c r="E30" s="26"/>
      <c r="F30" s="8"/>
      <c r="I30" s="8"/>
      <c r="J30" s="20"/>
    </row>
    <row r="31" spans="1:10" s="12" customFormat="1" ht="18.75" customHeight="1" x14ac:dyDescent="0.2">
      <c r="B31" s="25"/>
      <c r="C31" s="21" t="s">
        <v>89</v>
      </c>
      <c r="D31" s="30" t="s">
        <v>185</v>
      </c>
      <c r="E31" s="26"/>
      <c r="F31" s="8"/>
      <c r="I31" s="8"/>
      <c r="J31" s="20"/>
    </row>
    <row r="32" spans="1:10" s="12" customFormat="1" ht="18.75" customHeight="1" x14ac:dyDescent="0.2">
      <c r="B32" s="22"/>
      <c r="C32" s="19" t="s">
        <v>119</v>
      </c>
      <c r="D32" s="30" t="s">
        <v>186</v>
      </c>
      <c r="E32" s="27"/>
      <c r="F32" s="8"/>
      <c r="I32" s="8"/>
      <c r="J32" s="20"/>
    </row>
    <row r="33" spans="1:11" s="12" customFormat="1" ht="18.75" customHeight="1" x14ac:dyDescent="0.2">
      <c r="B33" s="22"/>
      <c r="C33" s="19" t="s">
        <v>120</v>
      </c>
      <c r="D33" s="30" t="s">
        <v>171</v>
      </c>
      <c r="E33" s="27"/>
      <c r="F33" s="8"/>
      <c r="I33" s="8"/>
      <c r="J33" s="20"/>
    </row>
    <row r="34" spans="1:11" ht="18.75" customHeight="1" x14ac:dyDescent="0.2">
      <c r="A34" s="8"/>
      <c r="B34" s="173" t="s">
        <v>59</v>
      </c>
      <c r="C34" s="173"/>
      <c r="D34" s="173"/>
      <c r="E34" s="173"/>
      <c r="J34" s="20"/>
      <c r="K34" s="12"/>
    </row>
    <row r="35" spans="1:11" ht="180" customHeight="1" x14ac:dyDescent="0.2">
      <c r="A35" s="8"/>
      <c r="B35" s="16"/>
      <c r="C35" s="169" t="s">
        <v>182</v>
      </c>
      <c r="D35" s="170"/>
      <c r="E35" s="171"/>
      <c r="J35" s="20"/>
      <c r="K35" s="12"/>
    </row>
    <row r="36" spans="1:11" ht="7.5" customHeight="1" x14ac:dyDescent="0.2">
      <c r="A36" s="15"/>
      <c r="B36" s="15"/>
      <c r="C36" s="15"/>
      <c r="D36" s="15"/>
      <c r="E36" s="15"/>
    </row>
    <row r="37" spans="1:11" ht="18.75" customHeight="1" x14ac:dyDescent="0.2">
      <c r="A37" s="17" t="s">
        <v>34</v>
      </c>
      <c r="B37" s="145" t="s">
        <v>37</v>
      </c>
      <c r="C37" s="168"/>
      <c r="D37" s="168"/>
      <c r="E37" s="168"/>
    </row>
    <row r="38" spans="1:11" ht="180" customHeight="1" x14ac:dyDescent="0.2">
      <c r="A38" s="18"/>
      <c r="B38" s="16"/>
      <c r="C38" s="169" t="s">
        <v>170</v>
      </c>
      <c r="D38" s="170"/>
      <c r="E38" s="171"/>
    </row>
    <row r="39" spans="1:11" ht="7.5" customHeight="1" x14ac:dyDescent="0.2">
      <c r="A39" s="18"/>
      <c r="B39" s="18"/>
      <c r="C39" s="18"/>
      <c r="D39" s="18"/>
      <c r="E39" s="18"/>
    </row>
    <row r="40" spans="1:11" ht="18.75" customHeight="1" x14ac:dyDescent="0.2">
      <c r="A40" s="8" t="s">
        <v>11</v>
      </c>
      <c r="B40" s="145" t="s">
        <v>39</v>
      </c>
      <c r="C40" s="168"/>
      <c r="D40" s="168"/>
      <c r="E40" s="168"/>
    </row>
    <row r="41" spans="1:11" ht="180" customHeight="1" x14ac:dyDescent="0.2">
      <c r="A41" s="8"/>
      <c r="B41" s="16"/>
      <c r="C41" s="169" t="s">
        <v>177</v>
      </c>
      <c r="D41" s="170"/>
      <c r="E41" s="171"/>
    </row>
    <row r="42" spans="1:11" ht="7.5" customHeight="1" x14ac:dyDescent="0.2">
      <c r="A42" s="18"/>
      <c r="B42" s="18"/>
      <c r="C42" s="18"/>
      <c r="D42" s="18"/>
      <c r="E42" s="18"/>
    </row>
    <row r="43" spans="1:11" ht="18.75" customHeight="1" x14ac:dyDescent="0.2">
      <c r="A43" s="8" t="s">
        <v>42</v>
      </c>
      <c r="B43" s="145" t="s">
        <v>13</v>
      </c>
      <c r="C43" s="168"/>
      <c r="D43" s="168"/>
      <c r="E43" s="168"/>
    </row>
    <row r="44" spans="1:11" ht="180" customHeight="1" x14ac:dyDescent="0.2">
      <c r="A44" s="8"/>
      <c r="B44" s="16"/>
      <c r="C44" s="169" t="s">
        <v>161</v>
      </c>
      <c r="D44" s="170"/>
      <c r="E44" s="171"/>
    </row>
    <row r="45" spans="1:11" ht="7.5" customHeight="1" x14ac:dyDescent="0.2">
      <c r="A45" s="18"/>
      <c r="B45" s="18"/>
      <c r="C45" s="18"/>
      <c r="D45" s="18"/>
      <c r="E45" s="18"/>
    </row>
    <row r="46" spans="1:11" ht="18.75" customHeight="1" x14ac:dyDescent="0.2">
      <c r="A46" s="8" t="s">
        <v>30</v>
      </c>
      <c r="B46" s="145" t="s">
        <v>44</v>
      </c>
      <c r="C46" s="145"/>
      <c r="D46" s="145"/>
      <c r="E46" s="145"/>
    </row>
    <row r="47" spans="1:11" ht="180" customHeight="1" x14ac:dyDescent="0.2">
      <c r="A47" s="18"/>
      <c r="B47" s="16"/>
      <c r="C47" s="169" t="s">
        <v>162</v>
      </c>
      <c r="D47" s="170"/>
      <c r="E47" s="171"/>
    </row>
    <row r="48" spans="1:11" ht="7.5" customHeight="1" x14ac:dyDescent="0.2">
      <c r="A48" s="18"/>
      <c r="B48" s="23"/>
      <c r="C48" s="23"/>
      <c r="D48" s="23"/>
      <c r="E48" s="23"/>
    </row>
    <row r="49" spans="1:5" ht="18.75" customHeight="1" x14ac:dyDescent="0.2">
      <c r="A49" s="8"/>
      <c r="B49" s="172"/>
      <c r="C49" s="172"/>
      <c r="D49" s="172"/>
      <c r="E49" s="172"/>
    </row>
    <row r="50" spans="1:5" ht="18.75" customHeight="1" x14ac:dyDescent="0.2">
      <c r="A50" s="8"/>
      <c r="B50" s="172"/>
      <c r="C50" s="172"/>
      <c r="D50" s="172"/>
      <c r="E50" s="172"/>
    </row>
    <row r="51" spans="1:5" ht="18.75" customHeight="1" x14ac:dyDescent="0.2">
      <c r="A51" s="18"/>
      <c r="B51" s="16"/>
      <c r="C51" s="16"/>
      <c r="D51" s="16"/>
      <c r="E51" s="24"/>
    </row>
    <row r="52" spans="1:5" ht="18.75" customHeight="1" x14ac:dyDescent="0.2">
      <c r="A52" s="18"/>
      <c r="B52" s="24"/>
      <c r="C52" s="24"/>
      <c r="D52" s="24"/>
      <c r="E52" s="24"/>
    </row>
    <row r="53" spans="1:5" ht="18.75" customHeight="1" x14ac:dyDescent="0.2">
      <c r="A53" s="18"/>
      <c r="B53" s="24"/>
      <c r="C53" s="24"/>
      <c r="D53" s="24"/>
      <c r="E53" s="24"/>
    </row>
    <row r="54" spans="1:5" ht="18.75" customHeight="1" x14ac:dyDescent="0.2">
      <c r="A54" s="18"/>
      <c r="B54" s="24"/>
      <c r="C54" s="24"/>
      <c r="D54" s="24"/>
      <c r="E54" s="24"/>
    </row>
    <row r="55" spans="1:5" ht="18.75" customHeight="1" x14ac:dyDescent="0.2">
      <c r="A55" s="18"/>
      <c r="B55" s="24"/>
      <c r="C55" s="24"/>
      <c r="D55" s="24"/>
      <c r="E55" s="24"/>
    </row>
    <row r="56" spans="1:5" ht="18.75" customHeight="1" x14ac:dyDescent="0.2">
      <c r="A56" s="18"/>
      <c r="B56" s="24"/>
      <c r="C56" s="24"/>
      <c r="D56" s="24"/>
      <c r="E56" s="24"/>
    </row>
    <row r="57" spans="1:5" ht="18.75" customHeight="1" x14ac:dyDescent="0.2">
      <c r="A57" s="18"/>
      <c r="B57" s="24"/>
      <c r="C57" s="24"/>
      <c r="D57" s="24"/>
      <c r="E57" s="24"/>
    </row>
    <row r="58" spans="1:5" ht="18.75" customHeight="1" x14ac:dyDescent="0.2">
      <c r="A58" s="18"/>
      <c r="B58" s="24"/>
      <c r="C58" s="24"/>
      <c r="D58" s="24"/>
      <c r="E58" s="24"/>
    </row>
    <row r="59" spans="1:5" ht="18.75" customHeight="1" x14ac:dyDescent="0.2">
      <c r="A59" s="18"/>
      <c r="B59" s="24"/>
      <c r="C59" s="24"/>
      <c r="D59" s="24"/>
      <c r="E59" s="24"/>
    </row>
    <row r="60" spans="1:5" ht="18.75" customHeight="1" x14ac:dyDescent="0.2">
      <c r="A60" s="18"/>
      <c r="B60" s="24"/>
      <c r="C60" s="24"/>
      <c r="D60" s="24"/>
      <c r="E60" s="24"/>
    </row>
    <row r="61" spans="1:5" ht="14.4" x14ac:dyDescent="0.2">
      <c r="A61" s="18"/>
      <c r="B61" s="24"/>
      <c r="C61" s="24"/>
      <c r="D61" s="24"/>
      <c r="E61" s="24"/>
    </row>
    <row r="62" spans="1:5" ht="7.5" customHeight="1" x14ac:dyDescent="0.2">
      <c r="A62" s="18"/>
      <c r="B62" s="24"/>
      <c r="C62" s="24"/>
      <c r="D62" s="24"/>
      <c r="E62" s="24"/>
    </row>
  </sheetData>
  <mergeCells count="22">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 ref="B40:E40"/>
    <mergeCell ref="B43:E43"/>
    <mergeCell ref="C26:E26"/>
    <mergeCell ref="C35:E35"/>
    <mergeCell ref="C38:E38"/>
    <mergeCell ref="C41:E41"/>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tabSelected="1" view="pageBreakPreview" topLeftCell="A14" zoomScale="85" zoomScaleNormal="100" zoomScaleSheetLayoutView="85" workbookViewId="0">
      <selection activeCell="D14" sqref="D14"/>
    </sheetView>
  </sheetViews>
  <sheetFormatPr defaultColWidth="11.33203125" defaultRowHeight="22.5" customHeight="1" x14ac:dyDescent="0.2"/>
  <cols>
    <col min="1" max="1" width="5.88671875" style="8" customWidth="1"/>
    <col min="2" max="2" width="7.21875" style="8" customWidth="1"/>
    <col min="3" max="3" width="31.109375" style="8" customWidth="1"/>
    <col min="4" max="4" width="77.109375" style="8" customWidth="1"/>
    <col min="5" max="5" width="7.6640625" style="8" bestFit="1" customWidth="1"/>
    <col min="6" max="16384" width="11.33203125" style="8"/>
  </cols>
  <sheetData>
    <row r="1" spans="1:5" ht="18.75" customHeight="1" x14ac:dyDescent="0.2">
      <c r="A1" s="8" t="s">
        <v>60</v>
      </c>
      <c r="E1" s="9" t="s">
        <v>82</v>
      </c>
    </row>
    <row r="2" spans="1:5" ht="18.75" customHeight="1" x14ac:dyDescent="0.2">
      <c r="A2" s="157" t="s">
        <v>28</v>
      </c>
      <c r="B2" s="157"/>
      <c r="C2" s="157"/>
      <c r="D2" s="157"/>
      <c r="E2" s="157"/>
    </row>
    <row r="3" spans="1:5" ht="18.75" customHeight="1" x14ac:dyDescent="0.2">
      <c r="A3" s="11"/>
      <c r="B3" s="11"/>
      <c r="C3" s="11"/>
      <c r="D3" s="11"/>
    </row>
    <row r="4" spans="1:5" ht="18.75" customHeight="1" x14ac:dyDescent="0.2">
      <c r="A4" s="12" t="s">
        <v>0</v>
      </c>
      <c r="B4" s="176" t="s">
        <v>124</v>
      </c>
      <c r="C4" s="176"/>
      <c r="D4" s="107" t="s">
        <v>176</v>
      </c>
    </row>
    <row r="5" spans="1:5" ht="9" customHeight="1" x14ac:dyDescent="0.2">
      <c r="A5" s="11"/>
      <c r="B5" s="10"/>
      <c r="C5" s="10"/>
      <c r="D5" s="10"/>
    </row>
    <row r="6" spans="1:5" ht="18.75" customHeight="1" x14ac:dyDescent="0.2">
      <c r="A6" s="181" t="s">
        <v>41</v>
      </c>
      <c r="B6" s="182"/>
      <c r="C6" s="69" t="s">
        <v>165</v>
      </c>
    </row>
    <row r="7" spans="1:5" ht="18.75" customHeight="1" x14ac:dyDescent="0.2">
      <c r="A7" s="181" t="s">
        <v>10</v>
      </c>
      <c r="B7" s="182"/>
      <c r="C7" s="69" t="s">
        <v>164</v>
      </c>
      <c r="D7" s="10"/>
    </row>
    <row r="8" spans="1:5" ht="7.5" customHeight="1" x14ac:dyDescent="0.2">
      <c r="A8" s="11"/>
      <c r="B8" s="11"/>
      <c r="C8" s="11"/>
      <c r="D8" s="11"/>
    </row>
    <row r="9" spans="1:5" ht="18.75" customHeight="1" x14ac:dyDescent="0.2">
      <c r="A9" s="12" t="s">
        <v>3</v>
      </c>
      <c r="B9" s="8" t="s">
        <v>27</v>
      </c>
      <c r="C9" s="18"/>
      <c r="D9" s="18"/>
    </row>
    <row r="10" spans="1:5" ht="18.75" customHeight="1" x14ac:dyDescent="0.2">
      <c r="B10" s="150" t="s">
        <v>24</v>
      </c>
      <c r="C10" s="180"/>
      <c r="D10" s="31" t="s">
        <v>26</v>
      </c>
    </row>
    <row r="11" spans="1:5" ht="19.2" customHeight="1" x14ac:dyDescent="0.2">
      <c r="B11" s="183" t="s">
        <v>14</v>
      </c>
      <c r="C11" s="184"/>
      <c r="D11" s="185"/>
    </row>
    <row r="12" spans="1:5" ht="198" customHeight="1" x14ac:dyDescent="0.2">
      <c r="B12" s="33"/>
      <c r="C12" s="34" t="s">
        <v>15</v>
      </c>
      <c r="D12" s="53" t="s">
        <v>167</v>
      </c>
    </row>
    <row r="13" spans="1:5" ht="198" customHeight="1" x14ac:dyDescent="0.2">
      <c r="B13" s="33"/>
      <c r="C13" s="35" t="s">
        <v>16</v>
      </c>
      <c r="D13" s="53" t="s">
        <v>172</v>
      </c>
    </row>
    <row r="14" spans="1:5" ht="198" customHeight="1" x14ac:dyDescent="0.2">
      <c r="B14" s="33"/>
      <c r="C14" s="34" t="s">
        <v>17</v>
      </c>
      <c r="D14" s="53" t="s">
        <v>173</v>
      </c>
    </row>
    <row r="15" spans="1:5" ht="198" customHeight="1" x14ac:dyDescent="0.2">
      <c r="B15" s="33"/>
      <c r="C15" s="34" t="s">
        <v>18</v>
      </c>
      <c r="D15" s="53" t="s">
        <v>183</v>
      </c>
    </row>
    <row r="16" spans="1:5" ht="198" customHeight="1" x14ac:dyDescent="0.2">
      <c r="B16" s="36"/>
      <c r="C16" s="37" t="s">
        <v>19</v>
      </c>
      <c r="D16" s="54" t="s">
        <v>168</v>
      </c>
    </row>
    <row r="17" spans="2:4" ht="19.2" customHeight="1" x14ac:dyDescent="0.2">
      <c r="B17" s="32" t="s">
        <v>20</v>
      </c>
      <c r="C17" s="38"/>
      <c r="D17" s="39"/>
    </row>
    <row r="18" spans="2:4" ht="198" customHeight="1" x14ac:dyDescent="0.2">
      <c r="B18" s="33"/>
      <c r="C18" s="34" t="s">
        <v>21</v>
      </c>
      <c r="D18" s="53" t="s">
        <v>169</v>
      </c>
    </row>
    <row r="19" spans="2:4" ht="198" customHeight="1" x14ac:dyDescent="0.2">
      <c r="B19" s="36"/>
      <c r="C19" s="37" t="s">
        <v>22</v>
      </c>
      <c r="D19" s="54" t="s">
        <v>174</v>
      </c>
    </row>
    <row r="20" spans="2:4" ht="198" customHeight="1" x14ac:dyDescent="0.2">
      <c r="B20" s="178" t="s">
        <v>23</v>
      </c>
      <c r="C20" s="179"/>
      <c r="D20" s="55" t="s">
        <v>175</v>
      </c>
    </row>
    <row r="21" spans="2:4" ht="198" customHeight="1" x14ac:dyDescent="0.2">
      <c r="B21" s="177" t="s">
        <v>91</v>
      </c>
      <c r="C21" s="175"/>
      <c r="D21" s="56" t="s">
        <v>187</v>
      </c>
    </row>
    <row r="22" spans="2:4" ht="22.5" customHeight="1" x14ac:dyDescent="0.2">
      <c r="B22" s="18"/>
      <c r="C22" s="18"/>
      <c r="D22" s="18"/>
    </row>
    <row r="23" spans="2:4" ht="22.5" customHeight="1" x14ac:dyDescent="0.2">
      <c r="B23" s="18"/>
      <c r="C23" s="18"/>
      <c r="D23" s="18"/>
    </row>
    <row r="24" spans="2:4" ht="22.5" customHeight="1" x14ac:dyDescent="0.2">
      <c r="B24" s="18"/>
      <c r="C24" s="18"/>
      <c r="D24" s="18"/>
    </row>
    <row r="25" spans="2:4" ht="22.5" customHeight="1" x14ac:dyDescent="0.2">
      <c r="B25" s="18"/>
      <c r="C25" s="18"/>
      <c r="D25" s="18"/>
    </row>
    <row r="26" spans="2:4" ht="22.5" customHeight="1" x14ac:dyDescent="0.2">
      <c r="B26" s="18"/>
      <c r="C26" s="18"/>
      <c r="D26" s="18"/>
    </row>
    <row r="27" spans="2:4" ht="22.5" customHeight="1" x14ac:dyDescent="0.2">
      <c r="B27" s="15"/>
      <c r="C27" s="15"/>
      <c r="D27" s="15"/>
    </row>
    <row r="28" spans="2:4" ht="22.5" customHeight="1" x14ac:dyDescent="0.2">
      <c r="B28" s="15"/>
      <c r="C28" s="15"/>
      <c r="D28" s="15"/>
    </row>
    <row r="29" spans="2:4" ht="22.5" customHeight="1" x14ac:dyDescent="0.2">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8"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2025-10-09T06:43:13Z</dcterms:created>
  <dcterms:modified xsi:type="dcterms:W3CDTF">2025-12-05T01:30:35Z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