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120" yWindow="-16320" windowWidth="29040" windowHeight="15840" tabRatio="885"/>
  </bookViews>
  <sheets>
    <sheet name="様式１　構成する授業科目" sheetId="39" r:id="rId1"/>
    <sheet name="様式２ 履修者等数の実績" sheetId="40" r:id="rId2"/>
    <sheet name="様式３ 教育の質・履修者数を向上させる体制・計画" sheetId="41" r:id="rId3"/>
    <sheet name="様式４　自己点検・評価" sheetId="42" r:id="rId4"/>
  </sheets>
  <definedNames>
    <definedName name="_xlnm._FilterDatabase" localSheetId="0" hidden="1">'様式１　構成する授業科目'!#REF!</definedName>
    <definedName name="_xlnm._FilterDatabase" localSheetId="1" hidden="1">'様式２ 履修者等数の実績'!#REF!</definedName>
    <definedName name="_xlnm.Print_Area" localSheetId="0">'様式１　構成する授業科目'!$A$1:$Z$70</definedName>
    <definedName name="_xlnm.Print_Area" localSheetId="1">'様式２ 履修者等数の実績'!$A$1:$T$30</definedName>
    <definedName name="_xlnm.Print_Area" localSheetId="2">'様式３ 教育の質・履修者数を向上させる体制・計画'!$A$1:$E$47</definedName>
    <definedName name="_xlnm.Print_Area" localSheetId="3">'様式４　自己点検・評価'!$A$1:$E$21</definedName>
    <definedName name="_xlnm.Print_Titles" localSheetId="3">'様式４　自己点検・評価'!$10:$10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0" i="40" l="1"/>
  <c r="T10" i="40" s="1"/>
  <c r="S11" i="40"/>
  <c r="S12" i="40"/>
  <c r="S13" i="40"/>
  <c r="S14" i="40"/>
  <c r="S15" i="40"/>
  <c r="S16" i="40"/>
  <c r="S17" i="40"/>
  <c r="S18" i="40"/>
  <c r="S19" i="40"/>
  <c r="S20" i="40"/>
  <c r="S21" i="40"/>
  <c r="S22" i="40"/>
  <c r="S23" i="40"/>
  <c r="S24" i="40"/>
  <c r="S25" i="40"/>
  <c r="S26" i="40"/>
  <c r="S27" i="40"/>
  <c r="S28" i="40"/>
  <c r="T28" i="40" s="1"/>
  <c r="S29" i="40"/>
  <c r="T29" i="40" s="1"/>
  <c r="S30" i="40" l="1"/>
  <c r="D30" i="40"/>
  <c r="C30" i="40"/>
  <c r="I30" i="40" l="1"/>
  <c r="J30" i="40"/>
  <c r="L30" i="40" l="1"/>
  <c r="P30" i="40"/>
  <c r="R30" i="40"/>
  <c r="Q30" i="40"/>
  <c r="O30" i="40"/>
  <c r="M30" i="40"/>
  <c r="N30" i="40"/>
  <c r="K30" i="40"/>
  <c r="H30" i="40" l="1"/>
  <c r="G30" i="40" l="1"/>
  <c r="F30" i="40"/>
  <c r="E30" i="40"/>
  <c r="T27" i="40"/>
  <c r="T26" i="40"/>
  <c r="T25" i="40"/>
  <c r="T24" i="40"/>
  <c r="T23" i="40"/>
  <c r="T22" i="40"/>
  <c r="T21" i="40"/>
  <c r="T20" i="40"/>
  <c r="T19" i="40"/>
  <c r="T18" i="40"/>
  <c r="T17" i="40"/>
  <c r="T16" i="40"/>
  <c r="T15" i="40"/>
  <c r="T14" i="40"/>
  <c r="T13" i="40"/>
  <c r="T12" i="40"/>
  <c r="T11" i="40"/>
  <c r="T30" i="40" l="1"/>
  <c r="D29" i="41" s="1"/>
</calcChain>
</file>

<file path=xl/sharedStrings.xml><?xml version="1.0" encoding="utf-8"?>
<sst xmlns="http://schemas.openxmlformats.org/spreadsheetml/2006/main" count="215" uniqueCount="174">
  <si>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</si>
  <si>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</si>
  <si>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</si>
  <si>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</si>
  <si>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</si>
  <si>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</si>
  <si>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</si>
  <si>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</si>
  <si>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</si>
  <si>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</si>
  <si>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</si>
  <si>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</si>
  <si>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</si>
  <si>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</si>
  <si>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</si>
  <si>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</si>
  <si>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</si>
  <si>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</si>
  <si>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</si>
  <si>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</si>
  <si>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</si>
  <si>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</si>
  <si>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</si>
  <si>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</si>
  <si>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</si>
  <si>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</si>
  <si>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</si>
  <si>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</si>
  <si>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</si>
  <si>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</si>
  <si>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</si>
  <si>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</si>
  <si>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</si>
  <si>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</si>
  <si>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</si>
  <si>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</si>
  <si>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</si>
  <si>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</si>
  <si>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</si>
  <si>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</si>
  <si>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</si>
  <si>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</si>
  <si>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</si>
  <si>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</si>
  <si>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</si>
  <si>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</si>
  <si>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</si>
  <si>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</si>
  <si>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</si>
  <si>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</si>
  <si>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</si>
  <si>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</si>
  <si>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</si>
  <si>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</si>
  <si>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</si>
  <si>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</si>
  <si>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</si>
  <si>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</si>
  <si>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</si>
  <si>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</si>
  <si>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</si>
  <si>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</si>
  <si>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</si>
  <si>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</si>
  <si>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</si>
  <si>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</si>
  <si>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</si>
  <si>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</si>
  <si>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</si>
  <si>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</si>
  <si>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</si>
  <si>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①プログラム開設年度</t>
    <rPh sb="6" eb="8">
      <t>カイセツ</t>
    </rPh>
    <rPh sb="8" eb="10">
      <t>ネンド</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</si>
  <si>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</si>
  <si>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</si>
  <si>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</si>
  <si>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</si>
  <si>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</si>
  <si>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</si>
  <si>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プログラムの運営責任者</t>
    <rPh sb="6" eb="8">
      <t>ウンエイ</t>
    </rPh>
    <rPh sb="8" eb="11">
      <t>セキニンシャ</t>
    </rPh>
    <phoneticPr fontId="1"/>
  </si>
  <si>
    <t>履修者数</t>
    <rPh sb="0" eb="3">
      <t>リシュウシャ</t>
    </rPh>
    <rPh sb="3" eb="4">
      <t>スウ</t>
    </rPh>
    <phoneticPr fontId="1"/>
  </si>
  <si>
    <t>2-1</t>
  </si>
  <si>
    <t>プログラム名</t>
    <rPh sb="5" eb="6">
      <t>メイ</t>
    </rPh>
    <phoneticPr fontId="1"/>
  </si>
  <si>
    <t>様式４</t>
    <phoneticPr fontId="1"/>
  </si>
  <si>
    <t>様式３</t>
    <phoneticPr fontId="1"/>
  </si>
  <si>
    <t>様式２</t>
    <phoneticPr fontId="1"/>
  </si>
  <si>
    <t>大学等名</t>
    <rPh sb="0" eb="2">
      <t>ダイガク</t>
    </rPh>
    <rPh sb="2" eb="3">
      <t>トウ</t>
    </rPh>
    <rPh sb="3" eb="4">
      <t>メイ</t>
    </rPh>
    <phoneticPr fontId="1"/>
  </si>
  <si>
    <t>令和5年度</t>
    <rPh sb="0" eb="2">
      <t>レイワ</t>
    </rPh>
    <rPh sb="3" eb="5">
      <t>ネンド</t>
    </rPh>
    <phoneticPr fontId="1"/>
  </si>
  <si>
    <t>科目</t>
    <rPh sb="0" eb="2">
      <t>カモク</t>
    </rPh>
    <phoneticPr fontId="1"/>
  </si>
  <si>
    <t>単位</t>
    <rPh sb="0" eb="2">
      <t>タンイ</t>
    </rPh>
    <phoneticPr fontId="1"/>
  </si>
  <si>
    <t>令和９年度予定</t>
    <rPh sb="0" eb="2">
      <t>レイワ</t>
    </rPh>
    <rPh sb="3" eb="5">
      <t>ネンド</t>
    </rPh>
    <rPh sb="5" eb="7">
      <t>ヨテイ</t>
    </rPh>
    <phoneticPr fontId="1"/>
  </si>
  <si>
    <t>② 対象となる学部・学科名称</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</si>
  <si>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</si>
  <si>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令和6年度</t>
    <rPh sb="0" eb="2">
      <t>レイワ</t>
    </rPh>
    <rPh sb="3" eb="5">
      <t>ネンド</t>
    </rPh>
    <phoneticPr fontId="1"/>
  </si>
  <si>
    <t>リテラシーレベルのプログラムを構成する授業科目について</t>
    <phoneticPr fontId="1"/>
  </si>
  <si>
    <t>リテラシーレベルのプログラムの履修者数等の実績について</t>
    <phoneticPr fontId="1"/>
  </si>
  <si>
    <t>① 教育プログラムの修了要件</t>
    <phoneticPr fontId="1"/>
  </si>
  <si>
    <t>③ プログラム履修必須の有無</t>
    <rPh sb="7" eb="9">
      <t>リシュウ</t>
    </rPh>
    <rPh sb="9" eb="11">
      <t>ヒッス</t>
    </rPh>
    <rPh sb="12" eb="14">
      <t>ウム</t>
    </rPh>
    <phoneticPr fontId="1"/>
  </si>
  <si>
    <t>④ 修了要件</t>
    <phoneticPr fontId="1"/>
  </si>
  <si>
    <t>4-1</t>
    <phoneticPr fontId="1"/>
  </si>
  <si>
    <t>4-2</t>
  </si>
  <si>
    <t>4-3</t>
  </si>
  <si>
    <t>4-4</t>
  </si>
  <si>
    <t>4-5</t>
  </si>
  <si>
    <t>4-6</t>
  </si>
  <si>
    <t>4-7</t>
  </si>
  <si>
    <t>4-8</t>
  </si>
  <si>
    <t>4-9</t>
  </si>
  <si>
    <t>その他</t>
    <rPh sb="2" eb="3">
      <t>タ</t>
    </rPh>
    <phoneticPr fontId="1"/>
  </si>
  <si>
    <t>令和7年度</t>
    <rPh sb="0" eb="2">
      <t>レイワ</t>
    </rPh>
    <rPh sb="3" eb="5">
      <t>ネンド</t>
    </rPh>
    <phoneticPr fontId="1"/>
  </si>
  <si>
    <t>数理・データサイエンス・AI教育プログラム認定制度【リテラシーレベル】令和７年度申請用</t>
    <phoneticPr fontId="1"/>
  </si>
  <si>
    <t>②履修者・修了者の実績（「学生数」「入学定員」「収容定員」は令和７年５月１日時点で記載）</t>
    <rPh sb="1" eb="3">
      <t>リシュウ</t>
    </rPh>
    <rPh sb="3" eb="4">
      <t>シャ</t>
    </rPh>
    <rPh sb="5" eb="8">
      <t>シュウリョウシャ</t>
    </rPh>
    <rPh sb="9" eb="11">
      <t>ジッセキ</t>
    </rPh>
    <phoneticPr fontId="1"/>
  </si>
  <si>
    <t>うち女性</t>
    <rPh sb="2" eb="4">
      <t>ジョセイ</t>
    </rPh>
    <phoneticPr fontId="1"/>
  </si>
  <si>
    <t>年度（和暦）</t>
    <phoneticPr fontId="1"/>
  </si>
  <si>
    <t>⑤プログラム構成科目</t>
    <rPh sb="8" eb="10">
      <t>カモク</t>
    </rPh>
    <phoneticPr fontId="1"/>
  </si>
  <si>
    <t>必要最低科目数・単位数</t>
    <phoneticPr fontId="1"/>
  </si>
  <si>
    <t>⑥ プログラムを構成する授業の内容</t>
    <phoneticPr fontId="1"/>
  </si>
  <si>
    <t>⑦プログラムの学修成果（学生等が身に付けられる能力等）</t>
    <phoneticPr fontId="1"/>
  </si>
  <si>
    <t>モデルカリキュラム対応状況</t>
    <rPh sb="9" eb="11">
      <t>タイオウ</t>
    </rPh>
    <rPh sb="11" eb="13">
      <t>ジョウキョウ</t>
    </rPh>
    <phoneticPr fontId="1"/>
  </si>
  <si>
    <t>（名称）</t>
    <rPh sb="1" eb="3">
      <t>メイショウ</t>
    </rPh>
    <phoneticPr fontId="1"/>
  </si>
  <si>
    <t>令和10年度予定</t>
    <rPh sb="0" eb="2">
      <t>レイワ</t>
    </rPh>
    <rPh sb="4" eb="6">
      <t>ネンド</t>
    </rPh>
    <rPh sb="6" eb="8">
      <t>ヨテイ</t>
    </rPh>
    <phoneticPr fontId="1"/>
  </si>
  <si>
    <t>令和11年度予定</t>
    <rPh sb="0" eb="2">
      <t>レイワ</t>
    </rPh>
    <rPh sb="4" eb="6">
      <t>ネンド</t>
    </rPh>
    <rPh sb="6" eb="8">
      <t>ヨテイ</t>
    </rPh>
    <phoneticPr fontId="1"/>
  </si>
  <si>
    <t xml:space="preserve">履修者数・履修率の向上に向けた計画 </t>
    <rPh sb="5" eb="7">
      <t>リシュウ</t>
    </rPh>
    <rPh sb="7" eb="8">
      <t>リツ</t>
    </rPh>
    <phoneticPr fontId="1"/>
  </si>
  <si>
    <t>プログラムの授業を教えている教員数（令和７年度）</t>
    <rPh sb="6" eb="8">
      <t>ジュギョウ</t>
    </rPh>
    <rPh sb="9" eb="10">
      <t>オシ</t>
    </rPh>
    <rPh sb="14" eb="17">
      <t>キョウインスウ</t>
    </rPh>
    <rPh sb="18" eb="20">
      <t>レイワ</t>
    </rPh>
    <rPh sb="21" eb="23">
      <t>ネンド</t>
    </rPh>
    <phoneticPr fontId="1"/>
  </si>
  <si>
    <t>令和７年度履修率</t>
    <rPh sb="0" eb="2">
      <t>レイワ</t>
    </rPh>
    <rPh sb="3" eb="5">
      <t>ネンド</t>
    </rPh>
    <rPh sb="5" eb="8">
      <t>リシュウリツ</t>
    </rPh>
    <phoneticPr fontId="1"/>
  </si>
  <si>
    <t>プログラムの自己点検・評価を行う体制</t>
    <phoneticPr fontId="1"/>
  </si>
  <si>
    <r>
      <rPr>
        <b/>
        <sz val="12"/>
        <color theme="1"/>
        <rFont val="ＭＳ Ｐゴシック"/>
        <family val="3"/>
        <charset val="128"/>
        <scheme val="minor"/>
      </rPr>
      <t>（１）必須科目</t>
    </r>
    <r>
      <rPr>
        <sz val="12"/>
        <color theme="1"/>
        <rFont val="ＭＳ Ｐゴシック"/>
        <family val="3"/>
        <charset val="128"/>
        <scheme val="minor"/>
      </rPr>
      <t>（プログラムを修了するために必ず履修しなければならない科目）
※卒業要件上の必修科目とは必ずしもイコールではない</t>
    </r>
    <rPh sb="3" eb="5">
      <t>ヒッス</t>
    </rPh>
    <rPh sb="5" eb="7">
      <t>カモク</t>
    </rPh>
    <rPh sb="14" eb="16">
      <t>シュウリョウ</t>
    </rPh>
    <rPh sb="21" eb="22">
      <t>カナラ</t>
    </rPh>
    <rPh sb="23" eb="25">
      <t>リシュウ</t>
    </rPh>
    <rPh sb="34" eb="36">
      <t>カモク</t>
    </rPh>
    <rPh sb="40" eb="42">
      <t>ソツギョウ</t>
    </rPh>
    <rPh sb="42" eb="44">
      <t>ヨウケン</t>
    </rPh>
    <rPh sb="44" eb="45">
      <t>ジョウ</t>
    </rPh>
    <rPh sb="46" eb="48">
      <t>ヒッシュウ</t>
    </rPh>
    <rPh sb="48" eb="50">
      <t>カモク</t>
    </rPh>
    <rPh sb="52" eb="53">
      <t>カナラ</t>
    </rPh>
    <phoneticPr fontId="1"/>
  </si>
  <si>
    <r>
      <rPr>
        <b/>
        <sz val="12"/>
        <color theme="1"/>
        <rFont val="ＭＳ Ｐゴシック"/>
        <family val="3"/>
        <charset val="128"/>
        <scheme val="minor"/>
      </rPr>
      <t>（２）選択必須科目</t>
    </r>
    <r>
      <rPr>
        <sz val="12"/>
        <color theme="1"/>
        <rFont val="ＭＳ Ｐゴシック"/>
        <family val="3"/>
        <charset val="128"/>
        <scheme val="minor"/>
      </rPr>
      <t>（プログラムを修了するために一定の条件のもと履修しなければならない科目）</t>
    </r>
    <rPh sb="3" eb="5">
      <t>センタク</t>
    </rPh>
    <rPh sb="5" eb="7">
      <t>ヒッス</t>
    </rPh>
    <rPh sb="7" eb="9">
      <t>カモク</t>
    </rPh>
    <rPh sb="16" eb="18">
      <t>シュウリョウ</t>
    </rPh>
    <rPh sb="23" eb="25">
      <t>イッテイ</t>
    </rPh>
    <rPh sb="26" eb="28">
      <t>ジョウケン</t>
    </rPh>
    <rPh sb="31" eb="33">
      <t>リシュウ</t>
    </rPh>
    <rPh sb="42" eb="44">
      <t>カモク</t>
    </rPh>
    <phoneticPr fontId="1"/>
  </si>
  <si>
    <r>
      <t>（３）選択科目</t>
    </r>
    <r>
      <rPr>
        <sz val="12"/>
        <color theme="1"/>
        <rFont val="ＭＳ Ｐゴシック"/>
        <family val="3"/>
        <charset val="128"/>
        <scheme val="minor"/>
      </rPr>
      <t>（プログラムを構成する科目のうち「必須科目」「選択必須科目」のいずれにも該当しない科目）</t>
    </r>
    <rPh sb="3" eb="5">
      <t>センタク</t>
    </rPh>
    <rPh sb="5" eb="7">
      <t>カモク</t>
    </rPh>
    <phoneticPr fontId="1"/>
  </si>
  <si>
    <t>授業に含まれているスキルセットのキーワード</t>
    <rPh sb="0" eb="2">
      <t>ジュギョウ</t>
    </rPh>
    <rPh sb="3" eb="4">
      <t>フク</t>
    </rPh>
    <phoneticPr fontId="1"/>
  </si>
  <si>
    <t>美作大学</t>
    <rPh sb="0" eb="4">
      <t>ミマサカダイガク</t>
    </rPh>
    <phoneticPr fontId="1"/>
  </si>
  <si>
    <t>学部・学科によって、修了要件は相違しない</t>
  </si>
  <si>
    <t>情報リテラシー概論</t>
    <rPh sb="0" eb="2">
      <t>ジョウホウ</t>
    </rPh>
    <rPh sb="7" eb="9">
      <t>ガイロン</t>
    </rPh>
    <phoneticPr fontId="1"/>
  </si>
  <si>
    <t>○</t>
  </si>
  <si>
    <t>・ビッグデータ、IoT、AI、生成AI、ロボット
・データ量の増加、計算機の処理性能の向上、AIの非連続的進化
・第4次産業革命、Society 5.0、データ駆動型社会
・複数技術を組み合わせたAIサービス
・人間の知的活動とAIの関係性
・データを起点としたものの見方、人間の知的活動を起点としたものの見方</t>
    <phoneticPr fontId="1"/>
  </si>
  <si>
    <t>・AI最新技術の活用例（深層生成モデル、強化学習、転移学習、生成AIなど）
・AI等を活用した新しいビジネスモデル(シェアリングエコノミー、商品のレコメンデーションなど)
・基盤モデル、大規模言語モデル、拡散モデル</t>
    <phoneticPr fontId="1"/>
  </si>
  <si>
    <t>・調査データ、実験データ、人の行動ログデータ、機械の稼働ログデータなど
・1次データ、2次データ、データのメタ化
・構造化データ、非構造化データ（文章、画像/動画、音声/音楽など）
・データ作成（ビッグデータとアノテーション）
・データのオープン化（オープンデータ）</t>
    <phoneticPr fontId="1"/>
  </si>
  <si>
    <t>・データ・AI活用領域の広がり(生産、消費、文化活動など)
・研究開発、調達、製造、物流、販売、マーケティング、サービスなど
・仮説検証、知識発見、原因究明、計画策定、判断支援、活動代替、新規生成など
・対話、コンテンツ生成、翻訳・要約・執筆支援、コーディング支援など生成AIの応用</t>
    <phoneticPr fontId="1"/>
  </si>
  <si>
    <t>・データ解析：予測、グルーピング、パターン発見、最適化、モデル化とシミュレーション・データ同化など
・データ可視化：複合グラフ、2軸グラフ、多次元の可視化、関係性の可視化、地図上の可視化、
挙動・軌跡の可視化、リアルタイム可視化など
・非構造化データ処理：言語処理、画像/動画処理、音声/音楽処理など
・特化型AIと汎用AI、今のAIで出来ることと出来ないこと、AIとビッグデータ
・認識技術、ルールベース、自動化技術
・マルチモーダル（言語、画像、音声 など）、生成AIの活用（プロンプトエンジニアリング）</t>
    <phoneticPr fontId="1"/>
  </si>
  <si>
    <t>・データサイエンスのサイクル（課題抽出と定式化、データの取得・管理・加工、
探索的データ解析、データ解析と推論、結果の共有・伝達、課題解決に向けた提案）
・教育、芸術、流通、製造、金融、サービス、インフラ、公共、ヘルスケア等におけるデータ・AI利活用事例紹介</t>
    <phoneticPr fontId="1"/>
  </si>
  <si>
    <t>・倫理的・法的・社会的課題（ELSI：Ethical, Legal and Social Issues）
・個人情報保護、EU一般データ保護規則(GDPR)、忘れられる権利、オプトアウト
・データ倫理：データのねつ造、改ざん、盗用、プライバシー保護
・AI社会原則（公平性、説明責任、透明性、人間中心の判断）
・データバイアス、アルゴリズムバイアス
・AIサービスの責任論
・データガバナンス
・データ・AI活用における負の事例紹介
・生成AIの留意事項（ハルシネーションによる誤情報の生成、偽情報や有害コンテンツの生成・
氾濫 など）</t>
    <phoneticPr fontId="1"/>
  </si>
  <si>
    <t>（1）情報社会に関する基礎的知識を修得し、情報や情報通信技術を論理的かつ責任をもって活用しようとすることができる。
（2）データやAIの先端技術によって、社会が大きく変化していることを理解するとともに、これらを活用する価値を説明できる。</t>
    <rPh sb="3" eb="7">
      <t>ジョウホウシャカイ</t>
    </rPh>
    <rPh sb="8" eb="9">
      <t>カン</t>
    </rPh>
    <rPh sb="11" eb="16">
      <t>キソテキチシキ</t>
    </rPh>
    <rPh sb="17" eb="19">
      <t>シュウトク</t>
    </rPh>
    <rPh sb="21" eb="23">
      <t>ジョウホウ</t>
    </rPh>
    <rPh sb="24" eb="28">
      <t>ジョウホウツウシン</t>
    </rPh>
    <rPh sb="28" eb="30">
      <t>ギジュツ</t>
    </rPh>
    <rPh sb="31" eb="34">
      <t>ロンリテキ</t>
    </rPh>
    <rPh sb="36" eb="38">
      <t>セキニン</t>
    </rPh>
    <rPh sb="42" eb="44">
      <t>カツヨウ</t>
    </rPh>
    <rPh sb="68" eb="72">
      <t>センタンギジュツ</t>
    </rPh>
    <rPh sb="77" eb="79">
      <t>シャカイ</t>
    </rPh>
    <rPh sb="80" eb="81">
      <t>オオ</t>
    </rPh>
    <rPh sb="83" eb="85">
      <t>ヘンカ</t>
    </rPh>
    <rPh sb="92" eb="94">
      <t>リカイ</t>
    </rPh>
    <rPh sb="105" eb="107">
      <t>カツヨウ</t>
    </rPh>
    <rPh sb="109" eb="111">
      <t>カチ</t>
    </rPh>
    <rPh sb="112" eb="114">
      <t>セツメイ</t>
    </rPh>
    <phoneticPr fontId="1"/>
  </si>
  <si>
    <t>令和7</t>
    <rPh sb="0" eb="2">
      <t>レイワ</t>
    </rPh>
    <phoneticPr fontId="1"/>
  </si>
  <si>
    <t>生活科学部　食物学科</t>
    <rPh sb="0" eb="5">
      <t>セイカツカガクブ</t>
    </rPh>
    <rPh sb="6" eb="10">
      <t>ショクモツガッカ</t>
    </rPh>
    <phoneticPr fontId="1"/>
  </si>
  <si>
    <t>生活科学部　児童学科</t>
    <rPh sb="6" eb="8">
      <t>ジドウ</t>
    </rPh>
    <phoneticPr fontId="1"/>
  </si>
  <si>
    <t>生活科学部　社会福祉学科</t>
    <rPh sb="6" eb="10">
      <t>シャカイフクシ</t>
    </rPh>
    <phoneticPr fontId="1"/>
  </si>
  <si>
    <t>美作大学　数理・データサイエンス・AI教育プログラム（リテラシーレベル）</t>
    <rPh sb="0" eb="4">
      <t>ミマサカダイガク</t>
    </rPh>
    <phoneticPr fontId="1"/>
  </si>
  <si>
    <t>・データの種類（量的変数、質的変数）
・データの分布(ヒストグラム)と代表値（平均値、中央値、最頻値）
・代表値の性質の違い（実社会では平均値＝最頻値でないことが多い）
・データのばらつき（分散、標準偏差、偏差値）、外れ値
・相関と因果（相関係数、擬似相関、交絡）
・観測データに含まれる誤差の扱い
・打ち切りや欠測を含むデータ、層別の必要なデータ
・母集団と標本抽出（国勢調査、アンケート調査、全数調査、単純無作為抽出、層別抽出、多段抽出）
・クロス集計表、分割表、相関係数行列、散布図行列
・統計情報の正しい理解（誇張表現に惑わされない）</t>
    <phoneticPr fontId="1"/>
  </si>
  <si>
    <t>・データ表現（棒グラフ、折線グラフ、散布図、ヒートマップ、箱ひげ図）
・データの比較（条件をそろえた比較、処理の前後での比較、A/Bテスト)
・不適切なグラフ表現（チャートジャンク、不必要な視覚的要素）
・優れた可視化事例の紹介（可視化することによって新たな気づきがあった事例など）
・相手に的確かつ正確に情報を伝える技術や考え方（スライド作成、プレゼンテーションなど）</t>
    <phoneticPr fontId="1"/>
  </si>
  <si>
    <t>・データの取得（機械判読可能なデータの作成・表記方法）
・データの集計（和、平均）
・データの並び替え、ランキング
・データ解析ツール（スプレッドシート、BIツール）
・表形式のデータ（csv）</t>
    <phoneticPr fontId="1"/>
  </si>
  <si>
    <t>田中　涼</t>
    <rPh sb="0" eb="2">
      <t>タナカ</t>
    </rPh>
    <rPh sb="3" eb="4">
      <t>リョウ</t>
    </rPh>
    <phoneticPr fontId="1"/>
  </si>
  <si>
    <t>学修・学術情報センター長</t>
    <rPh sb="0" eb="2">
      <t>ガクシュウ</t>
    </rPh>
    <rPh sb="3" eb="7">
      <t>ガクジュツジョウホウ</t>
    </rPh>
    <rPh sb="11" eb="12">
      <t>チョウ</t>
    </rPh>
    <phoneticPr fontId="1"/>
  </si>
  <si>
    <t>情報教育委員会</t>
    <rPh sb="0" eb="7">
      <t>ジョウホウキョウイクイインカイ</t>
    </rPh>
    <phoneticPr fontId="1"/>
  </si>
  <si>
    <t>美作大学・美作大学短期大学部　情報教育委員会規程</t>
    <rPh sb="0" eb="4">
      <t>ミマサカダイガク</t>
    </rPh>
    <rPh sb="5" eb="14">
      <t>ミマサカダイガクタンキダイガクブ</t>
    </rPh>
    <rPh sb="15" eb="22">
      <t>ジョウホウキョウイクイインカイ</t>
    </rPh>
    <rPh sb="22" eb="24">
      <t>キテイ</t>
    </rPh>
    <phoneticPr fontId="1"/>
  </si>
  <si>
    <t>修了者はすべて在学中であり、進路、活躍状況、企業等の評価に関する情報はない。今後、情報収集についての検討を行う。</t>
    <rPh sb="0" eb="3">
      <t>シュウリョウシャ</t>
    </rPh>
    <rPh sb="7" eb="10">
      <t>ザイガクチュウ</t>
    </rPh>
    <rPh sb="14" eb="16">
      <t>シンロ</t>
    </rPh>
    <rPh sb="17" eb="19">
      <t>カツヤク</t>
    </rPh>
    <rPh sb="19" eb="21">
      <t>ジョウキョウ</t>
    </rPh>
    <rPh sb="22" eb="24">
      <t>キギョウ</t>
    </rPh>
    <rPh sb="24" eb="25">
      <t>トウ</t>
    </rPh>
    <rPh sb="26" eb="28">
      <t>ヒョウカ</t>
    </rPh>
    <rPh sb="29" eb="30">
      <t>カン</t>
    </rPh>
    <rPh sb="32" eb="34">
      <t>ジョウホウ</t>
    </rPh>
    <rPh sb="38" eb="40">
      <t>コンゴ</t>
    </rPh>
    <rPh sb="41" eb="45">
      <t>ジョウホウシュウシュウ</t>
    </rPh>
    <rPh sb="50" eb="52">
      <t>ケントウ</t>
    </rPh>
    <rPh sb="53" eb="54">
      <t>オコナ</t>
    </rPh>
    <phoneticPr fontId="1"/>
  </si>
  <si>
    <t>現時点では、意見収集を実施していない。
今後、意見収集方法などについて検討を行う。</t>
    <rPh sb="0" eb="3">
      <t>ゲンジテン</t>
    </rPh>
    <rPh sb="6" eb="10">
      <t>イケンシュウシュウ</t>
    </rPh>
    <rPh sb="11" eb="13">
      <t>ジッシ</t>
    </rPh>
    <rPh sb="20" eb="22">
      <t>コンゴ</t>
    </rPh>
    <rPh sb="23" eb="29">
      <t>イケンシュウシュウホウホウ</t>
    </rPh>
    <rPh sb="35" eb="37">
      <t>ケントウ</t>
    </rPh>
    <rPh sb="38" eb="39">
      <t>オコナ</t>
    </rPh>
    <phoneticPr fontId="1"/>
  </si>
  <si>
    <t>対象科目（「情報リテラシー概論」1単位、「調査と統計」2単位）を両方修得すること</t>
    <rPh sb="0" eb="4">
      <t>タイショウカモク</t>
    </rPh>
    <rPh sb="6" eb="8">
      <t>ジョウホウ</t>
    </rPh>
    <rPh sb="13" eb="15">
      <t>ガイロン</t>
    </rPh>
    <rPh sb="17" eb="19">
      <t>タンイ</t>
    </rPh>
    <rPh sb="21" eb="23">
      <t>チョウサ</t>
    </rPh>
    <rPh sb="24" eb="26">
      <t>トウケイ</t>
    </rPh>
    <rPh sb="28" eb="30">
      <t>タンイ</t>
    </rPh>
    <rPh sb="32" eb="34">
      <t>リョウホウ</t>
    </rPh>
    <rPh sb="34" eb="36">
      <t>シュウトク</t>
    </rPh>
    <phoneticPr fontId="1"/>
  </si>
  <si>
    <t>調査と統計</t>
    <rPh sb="0" eb="2">
      <t>チョウサ</t>
    </rPh>
    <rPh sb="3" eb="5">
      <t>トウケイ</t>
    </rPh>
    <phoneticPr fontId="1"/>
  </si>
  <si>
    <t>○</t>
    <phoneticPr fontId="1"/>
  </si>
  <si>
    <t>学修・学術情報センター委員長　社会福祉学科　准教授　田中　涼
教務部長　児童学科　教授　安田　純
教務課長　二宮　敦
学修・学術情報センター主任　児童学科　准教授　井上　功太郎
食物学科　講師　影山　鈴美、講師　下池　洋一
児童学科　教授　津々　清美、講師　閻　琳
社会福祉学科　准教授　稲益　智子、准教授　岡田　美佳子
栄養学科　助教　鈴木　真奈美
情報教育支援室　課長補佐　藤田　峰之、係長　椋代　理江、主事　谷村　愛実</t>
    <rPh sb="15" eb="21">
      <t>シャカイフクシガッカ</t>
    </rPh>
    <rPh sb="22" eb="25">
      <t>ジュンキョウジュ</t>
    </rPh>
    <rPh sb="26" eb="28">
      <t>タナカ</t>
    </rPh>
    <rPh sb="29" eb="30">
      <t>リョウ</t>
    </rPh>
    <rPh sb="36" eb="40">
      <t>ジドウガッカ</t>
    </rPh>
    <rPh sb="41" eb="43">
      <t>キョウジュ</t>
    </rPh>
    <rPh sb="44" eb="46">
      <t>ヤスダ</t>
    </rPh>
    <rPh sb="47" eb="48">
      <t>ジュン</t>
    </rPh>
    <rPh sb="54" eb="56">
      <t>ニノミヤ</t>
    </rPh>
    <rPh sb="57" eb="58">
      <t>アツシ</t>
    </rPh>
    <rPh sb="73" eb="77">
      <t>ジドウガッカ</t>
    </rPh>
    <rPh sb="78" eb="81">
      <t>ジュンキョウジュ</t>
    </rPh>
    <rPh sb="82" eb="84">
      <t>イノウエ</t>
    </rPh>
    <rPh sb="85" eb="88">
      <t>コウタロウ</t>
    </rPh>
    <rPh sb="89" eb="93">
      <t>ショクモツガッカ</t>
    </rPh>
    <rPh sb="94" eb="96">
      <t>コウシ</t>
    </rPh>
    <rPh sb="97" eb="99">
      <t>カゲヤマ</t>
    </rPh>
    <rPh sb="100" eb="102">
      <t>スズミ</t>
    </rPh>
    <rPh sb="103" eb="105">
      <t>コウシ</t>
    </rPh>
    <rPh sb="106" eb="108">
      <t>シモイケ</t>
    </rPh>
    <rPh sb="109" eb="111">
      <t>ヨウイチ</t>
    </rPh>
    <rPh sb="112" eb="116">
      <t>ジドウガッカ</t>
    </rPh>
    <rPh sb="117" eb="119">
      <t>キョウジュ</t>
    </rPh>
    <rPh sb="120" eb="122">
      <t>ツツ</t>
    </rPh>
    <rPh sb="123" eb="125">
      <t>キヨミ</t>
    </rPh>
    <rPh sb="126" eb="128">
      <t>コウシ</t>
    </rPh>
    <rPh sb="129" eb="130">
      <t>エン</t>
    </rPh>
    <rPh sb="131" eb="132">
      <t>リン</t>
    </rPh>
    <rPh sb="133" eb="139">
      <t>シャカイフクシガッカ</t>
    </rPh>
    <rPh sb="140" eb="143">
      <t>ジュンキョウジュ</t>
    </rPh>
    <rPh sb="150" eb="153">
      <t>ジュンキョウジュ</t>
    </rPh>
    <rPh sb="161" eb="165">
      <t>エイヨウガッカ</t>
    </rPh>
    <rPh sb="166" eb="168">
      <t>ジョキョウ</t>
    </rPh>
    <rPh sb="176" eb="183">
      <t>ジョウホウキョウイクシエンシツ</t>
    </rPh>
    <rPh sb="184" eb="188">
      <t>カチョウホサ</t>
    </rPh>
    <rPh sb="189" eb="191">
      <t>フジタ</t>
    </rPh>
    <rPh sb="192" eb="194">
      <t>ミネユキ</t>
    </rPh>
    <rPh sb="195" eb="197">
      <t>カカリチョウ</t>
    </rPh>
    <rPh sb="198" eb="200">
      <t>ムクダイ</t>
    </rPh>
    <rPh sb="201" eb="203">
      <t>リエ</t>
    </rPh>
    <rPh sb="204" eb="206">
      <t>シュジ</t>
    </rPh>
    <rPh sb="207" eb="209">
      <t>タニムラ</t>
    </rPh>
    <phoneticPr fontId="1"/>
  </si>
  <si>
    <t>令和6年度以前より開講している本学全学科共通の教養・基礎教育科目「調査と統計」に加え、令和7年度より、本学全学科共通の教養・基礎教育科目として、「情報リテラシー概論」を1年次必修科目として開講している。
「情報リテラシー概論」については、今後、年次進行に伴い、令和10年度以降は履修率は100%になる。（編入生についてのみ、既修得単位読替により履修しない可能性がある）</t>
    <rPh sb="0" eb="2">
      <t>レイワ</t>
    </rPh>
    <rPh sb="3" eb="7">
      <t>ネンドイゼン</t>
    </rPh>
    <rPh sb="9" eb="11">
      <t>カイコウ</t>
    </rPh>
    <rPh sb="33" eb="35">
      <t>チョウサ</t>
    </rPh>
    <rPh sb="36" eb="38">
      <t>トウケイ</t>
    </rPh>
    <rPh sb="40" eb="41">
      <t>クワ</t>
    </rPh>
    <rPh sb="43" eb="45">
      <t>レイワ</t>
    </rPh>
    <rPh sb="46" eb="48">
      <t>ネンド</t>
    </rPh>
    <rPh sb="85" eb="87">
      <t>ネンジ</t>
    </rPh>
    <rPh sb="87" eb="91">
      <t>ヒッシュウカモク</t>
    </rPh>
    <rPh sb="94" eb="96">
      <t>カイコウ</t>
    </rPh>
    <rPh sb="103" eb="105">
      <t>ジョウホウ</t>
    </rPh>
    <rPh sb="110" eb="112">
      <t>ガイロン</t>
    </rPh>
    <rPh sb="119" eb="121">
      <t>コンゴ</t>
    </rPh>
    <rPh sb="122" eb="126">
      <t>ネンジシンコウ</t>
    </rPh>
    <rPh sb="127" eb="128">
      <t>トモナ</t>
    </rPh>
    <rPh sb="130" eb="132">
      <t>レイワ</t>
    </rPh>
    <rPh sb="134" eb="136">
      <t>ネンド</t>
    </rPh>
    <rPh sb="136" eb="138">
      <t>イコウ</t>
    </rPh>
    <rPh sb="139" eb="142">
      <t>リシュウリツ</t>
    </rPh>
    <phoneticPr fontId="1"/>
  </si>
  <si>
    <t>「調査と統計」「情報リテラシー概論」のいずれも、本学全学科共通の教養・基礎教育科目として開講している。「情報リテラシー概論」は全学科の必修科目であり、学生全員が受講する。（編入生についてのみ、既修得単位読替により履修しない可能性がある）
「調査と統計」についても、同一のコマに同学年の複数授業を設置することはせず、希望する学生全員が受講可能な体制を続ける。</t>
    <rPh sb="44" eb="46">
      <t>カイコウ</t>
    </rPh>
    <rPh sb="63" eb="66">
      <t>ゼンガッカ</t>
    </rPh>
    <rPh sb="67" eb="71">
      <t>ヒッシュウカモク</t>
    </rPh>
    <rPh sb="75" eb="80">
      <t>ガクセイ</t>
    </rPh>
    <rPh sb="80" eb="82">
      <t>ジュコウ</t>
    </rPh>
    <rPh sb="86" eb="89">
      <t>ヘンニュウセイ</t>
    </rPh>
    <rPh sb="96" eb="101">
      <t>キシュウトクタンイ</t>
    </rPh>
    <rPh sb="101" eb="103">
      <t>ヨミカエ</t>
    </rPh>
    <rPh sb="106" eb="108">
      <t>リシュウ</t>
    </rPh>
    <rPh sb="111" eb="114">
      <t>カノウセイ</t>
    </rPh>
    <rPh sb="132" eb="134">
      <t>ドウイツ</t>
    </rPh>
    <rPh sb="138" eb="141">
      <t>ドウガクネン</t>
    </rPh>
    <rPh sb="142" eb="146">
      <t>フクスウジュギョウ</t>
    </rPh>
    <rPh sb="147" eb="149">
      <t>セッチ</t>
    </rPh>
    <rPh sb="157" eb="159">
      <t>キボウ</t>
    </rPh>
    <rPh sb="161" eb="165">
      <t>ガクセイゼンイン</t>
    </rPh>
    <rPh sb="166" eb="170">
      <t>ジュコウカノウ</t>
    </rPh>
    <rPh sb="171" eb="173">
      <t>タイセイ</t>
    </rPh>
    <rPh sb="174" eb="175">
      <t>ツヅ</t>
    </rPh>
    <phoneticPr fontId="1"/>
  </si>
  <si>
    <t>令和7年度より、本学全学科共通の教養・基礎教育科目として、「情報リテラシー概論」を1年次必修科目として開講しており、学生全員が受講する。（編入生についてのみ、既修得単位読替により履修しない可能性がある）
「調査と統計」についても、同一のコマに同学年の複数授業を設置することはせず、希望する学生全員が受講可能な体制を続ける。
また、全学生を対象として授業目的公衆送信補償金制度に加入し、かつ、LMSであるWebClassを活用することで、履修学生へのサポート体制を整えている。</t>
    <rPh sb="0" eb="2">
      <t>レイワ</t>
    </rPh>
    <rPh sb="3" eb="5">
      <t>ネンド</t>
    </rPh>
    <rPh sb="42" eb="44">
      <t>ネンジ</t>
    </rPh>
    <rPh sb="44" eb="48">
      <t>ヒッシュウカモク</t>
    </rPh>
    <rPh sb="51" eb="53">
      <t>カイコウ</t>
    </rPh>
    <rPh sb="58" eb="63">
      <t>ガクセイ</t>
    </rPh>
    <rPh sb="63" eb="65">
      <t>ジュコウ</t>
    </rPh>
    <rPh sb="69" eb="72">
      <t>ヘンニュウセイ</t>
    </rPh>
    <rPh sb="79" eb="84">
      <t>キシュウトクタンイ</t>
    </rPh>
    <rPh sb="84" eb="86">
      <t>ヨミカエ</t>
    </rPh>
    <rPh sb="89" eb="91">
      <t>リシュウ</t>
    </rPh>
    <rPh sb="94" eb="97">
      <t>カノウセイ</t>
    </rPh>
    <rPh sb="165" eb="168">
      <t>ゼンガクセイ</t>
    </rPh>
    <rPh sb="169" eb="171">
      <t>タイショウ</t>
    </rPh>
    <rPh sb="174" eb="187">
      <t>ジュギョウモクテキコウシュウソウシンホショウキンセイド</t>
    </rPh>
    <rPh sb="188" eb="190">
      <t>カニュウ</t>
    </rPh>
    <rPh sb="210" eb="212">
      <t>カツヨウ</t>
    </rPh>
    <rPh sb="218" eb="222">
      <t>リシュウガクセイ</t>
    </rPh>
    <rPh sb="228" eb="230">
      <t>タイセイ</t>
    </rPh>
    <rPh sb="231" eb="232">
      <t>トトノ</t>
    </rPh>
    <phoneticPr fontId="1"/>
  </si>
  <si>
    <t>令和7年度より、本学全学科共通の教養・基礎教育科目として、「情報リテラシー概論」を1年次必修科目として開講している。
令和7年度は学生数788名に対して189名が履修し、186名が単位修得している。
今後、年次進行に伴い、令和10年度以降は履修率は100%になる予定である。
（編入生についてのみ、既修得単位読替により履修しない可能性がある）
「調査と統計」についても、令和7年度は学生数788名に対して136名が履修し、現時点では前期で履修した4名全員が単位修得している。同一のコマに同学年の複数授業を設置することはせず、希望する学生全員が受講可能な体制を続ける。</t>
    <rPh sb="0" eb="2">
      <t>レイワ</t>
    </rPh>
    <rPh sb="3" eb="5">
      <t>ネンド</t>
    </rPh>
    <rPh sb="8" eb="10">
      <t>ホンガク</t>
    </rPh>
    <rPh sb="10" eb="11">
      <t>ゼン</t>
    </rPh>
    <rPh sb="11" eb="13">
      <t>ガッカ</t>
    </rPh>
    <rPh sb="13" eb="15">
      <t>キョウツウ</t>
    </rPh>
    <rPh sb="16" eb="18">
      <t>キョウヨウ</t>
    </rPh>
    <rPh sb="19" eb="21">
      <t>キソ</t>
    </rPh>
    <rPh sb="21" eb="23">
      <t>キョウイク</t>
    </rPh>
    <rPh sb="23" eb="25">
      <t>カモク</t>
    </rPh>
    <rPh sb="30" eb="32">
      <t>ジョウホウ</t>
    </rPh>
    <rPh sb="37" eb="39">
      <t>ガイロン</t>
    </rPh>
    <rPh sb="42" eb="43">
      <t>ネン</t>
    </rPh>
    <rPh sb="43" eb="44">
      <t>ジ</t>
    </rPh>
    <rPh sb="44" eb="46">
      <t>ヒッシュウ</t>
    </rPh>
    <rPh sb="46" eb="48">
      <t>カモク</t>
    </rPh>
    <rPh sb="51" eb="53">
      <t>カイコウ</t>
    </rPh>
    <rPh sb="59" eb="61">
      <t>レイワ</t>
    </rPh>
    <rPh sb="62" eb="64">
      <t>ネンド</t>
    </rPh>
    <rPh sb="65" eb="68">
      <t>ガクセイスウ</t>
    </rPh>
    <rPh sb="71" eb="72">
      <t>メイ</t>
    </rPh>
    <rPh sb="73" eb="74">
      <t>タイ</t>
    </rPh>
    <rPh sb="79" eb="80">
      <t>メイ</t>
    </rPh>
    <rPh sb="81" eb="83">
      <t>リシュウ</t>
    </rPh>
    <rPh sb="88" eb="89">
      <t>メイ</t>
    </rPh>
    <rPh sb="90" eb="92">
      <t>タンイ</t>
    </rPh>
    <rPh sb="92" eb="94">
      <t>シュウトク</t>
    </rPh>
    <rPh sb="131" eb="133">
      <t>ヨテイ</t>
    </rPh>
    <rPh sb="211" eb="214">
      <t>ゲンジテン</t>
    </rPh>
    <rPh sb="216" eb="218">
      <t>ゼンキ</t>
    </rPh>
    <rPh sb="219" eb="221">
      <t>リシュウ</t>
    </rPh>
    <rPh sb="224" eb="227">
      <t>メイゼンイン</t>
    </rPh>
    <phoneticPr fontId="1"/>
  </si>
  <si>
    <t>令和１０年度以降に履修必須とする計画、又は未定</t>
  </si>
  <si>
    <t>・情報セキュリティの3要素（機密性、完全性、可用性）
・匿名加工情報、暗号化と復号、ユーザ認証と、パスワード、アクセス制御、悪意ある情報搾取
・情報漏洩等によるセキュリティ事故の事例紹介
・サイバーセキュリティ</t>
    <phoneticPr fontId="1"/>
  </si>
  <si>
    <t>本プログラムは、本学全学科の教養・基礎教育科目である「情報リテラシー概論」「調査と統計」を開講しており、情報教育委員会にて本プログラムの自己点検・評価および教育内容改善検討を行う。
情報教育委員会は、学修・学術情報センター委員長を委員長とし、教務部長、教務課長、学修・学術情報センター主任、学長が委嘱した情報教育担当教職員（美作大学短期大学部の教員含む）にて構成される。</t>
    <rPh sb="0" eb="1">
      <t>ホン</t>
    </rPh>
    <rPh sb="8" eb="10">
      <t>ホンガク</t>
    </rPh>
    <rPh sb="10" eb="13">
      <t>ゼンガッカ</t>
    </rPh>
    <rPh sb="14" eb="16">
      <t>キョウヨウ</t>
    </rPh>
    <rPh sb="17" eb="23">
      <t>キソキョウイクカモク</t>
    </rPh>
    <rPh sb="27" eb="29">
      <t>ジョウホウ</t>
    </rPh>
    <rPh sb="34" eb="36">
      <t>ガイロン</t>
    </rPh>
    <rPh sb="38" eb="40">
      <t>チョウサ</t>
    </rPh>
    <rPh sb="41" eb="43">
      <t>トウケイ</t>
    </rPh>
    <rPh sb="45" eb="47">
      <t>カイコウ</t>
    </rPh>
    <rPh sb="52" eb="59">
      <t>ジョウホウキョウイクイインカイ</t>
    </rPh>
    <rPh sb="61" eb="62">
      <t>ホン</t>
    </rPh>
    <rPh sb="68" eb="72">
      <t>ジコテンケン</t>
    </rPh>
    <rPh sb="162" eb="171">
      <t>ミマサカダイガクタンキダイガクブ</t>
    </rPh>
    <rPh sb="172" eb="174">
      <t>キョウイン</t>
    </rPh>
    <rPh sb="174" eb="175">
      <t>フク</t>
    </rPh>
    <phoneticPr fontId="1"/>
  </si>
  <si>
    <t>令和7年度より、本学全学科共通の教養・基礎教育科目として、「情報リテラシー概論」を1年次必修科目として開講している。
令和7年度は学生数788名に対して189名が履修し、186名が単位修得している。
今後、年次進行に伴い、令和10年度以降は履修率は100%になる予定である。
（編入生についてのみ、既修得単位読替により履修しない可能性がある）
「調査と統計」については本学全学科共通の教養・基礎教育科目として令和6年度以前より開講しており、食物学科は1年次後期、児童学科は3年次前期、社会福祉学科は2年次後期に配当・開講している。
令和7年度は学生数788名に対して136名が履修し、前期終了時点で児童学科4名が単位修得している。食物学科91名、社会福祉学科41名については後期履修中である。</t>
    <rPh sb="0" eb="2">
      <t>レイワ</t>
    </rPh>
    <rPh sb="3" eb="5">
      <t>ネンド</t>
    </rPh>
    <rPh sb="8" eb="10">
      <t>ホンガク</t>
    </rPh>
    <rPh sb="10" eb="11">
      <t>ゼン</t>
    </rPh>
    <rPh sb="11" eb="13">
      <t>ガッカ</t>
    </rPh>
    <rPh sb="13" eb="15">
      <t>キョウツウ</t>
    </rPh>
    <rPh sb="16" eb="18">
      <t>キョウヨウ</t>
    </rPh>
    <rPh sb="19" eb="21">
      <t>キソ</t>
    </rPh>
    <rPh sb="21" eb="23">
      <t>キョウイク</t>
    </rPh>
    <rPh sb="23" eb="25">
      <t>カモク</t>
    </rPh>
    <rPh sb="30" eb="32">
      <t>ジョウホウ</t>
    </rPh>
    <rPh sb="37" eb="39">
      <t>ガイロン</t>
    </rPh>
    <rPh sb="42" eb="43">
      <t>ネン</t>
    </rPh>
    <rPh sb="43" eb="44">
      <t>ジ</t>
    </rPh>
    <rPh sb="44" eb="46">
      <t>ヒッシュウ</t>
    </rPh>
    <rPh sb="46" eb="48">
      <t>カモク</t>
    </rPh>
    <rPh sb="51" eb="53">
      <t>カイコウ</t>
    </rPh>
    <rPh sb="59" eb="61">
      <t>レイワ</t>
    </rPh>
    <rPh sb="62" eb="64">
      <t>ネンド</t>
    </rPh>
    <rPh sb="65" eb="68">
      <t>ガクセイスウ</t>
    </rPh>
    <rPh sb="71" eb="72">
      <t>メイ</t>
    </rPh>
    <rPh sb="73" eb="74">
      <t>タイ</t>
    </rPh>
    <rPh sb="79" eb="80">
      <t>メイ</t>
    </rPh>
    <rPh sb="81" eb="83">
      <t>リシュウ</t>
    </rPh>
    <rPh sb="88" eb="89">
      <t>メイ</t>
    </rPh>
    <rPh sb="90" eb="92">
      <t>タンイ</t>
    </rPh>
    <rPh sb="92" eb="94">
      <t>シュウトク</t>
    </rPh>
    <rPh sb="131" eb="133">
      <t>ヨテイ</t>
    </rPh>
    <rPh sb="173" eb="175">
      <t>チョウサ</t>
    </rPh>
    <rPh sb="176" eb="178">
      <t>トウケイ</t>
    </rPh>
    <rPh sb="204" eb="206">
      <t>レイワ</t>
    </rPh>
    <rPh sb="207" eb="211">
      <t>ネンドイゼン</t>
    </rPh>
    <rPh sb="213" eb="215">
      <t>カイコウ</t>
    </rPh>
    <rPh sb="220" eb="222">
      <t>ショクモツ</t>
    </rPh>
    <rPh sb="222" eb="224">
      <t>ガッカ</t>
    </rPh>
    <rPh sb="226" eb="230">
      <t>ネンジコウキ</t>
    </rPh>
    <rPh sb="231" eb="235">
      <t>ジドウガッカ</t>
    </rPh>
    <rPh sb="237" eb="241">
      <t>ネンジゼンキ</t>
    </rPh>
    <rPh sb="242" eb="248">
      <t>シャカイフクシガッカ</t>
    </rPh>
    <rPh sb="250" eb="252">
      <t>ネンジ</t>
    </rPh>
    <rPh sb="252" eb="254">
      <t>コウキ</t>
    </rPh>
    <rPh sb="255" eb="257">
      <t>ハイトウ</t>
    </rPh>
    <rPh sb="258" eb="260">
      <t>カイコウ</t>
    </rPh>
    <rPh sb="292" eb="296">
      <t>ゼンキシュウリョウ</t>
    </rPh>
    <rPh sb="296" eb="298">
      <t>ジテン</t>
    </rPh>
    <rPh sb="299" eb="303">
      <t>ジドウガッカ</t>
    </rPh>
    <rPh sb="315" eb="319">
      <t>ショクモツガッカ</t>
    </rPh>
    <rPh sb="321" eb="322">
      <t>メイ</t>
    </rPh>
    <rPh sb="323" eb="329">
      <t>シャカイフクシガッカ</t>
    </rPh>
    <rPh sb="331" eb="332">
      <t>メイ</t>
    </rPh>
    <rPh sb="337" eb="339">
      <t>コウキ</t>
    </rPh>
    <rPh sb="339" eb="342">
      <t>リシュウチュウ</t>
    </rPh>
    <phoneticPr fontId="1"/>
  </si>
  <si>
    <t>令和7年度の「情報リテラシー概論」では、履修生189名のうち、優178名、良6名、可2名、不可等3名となり、履修者のうち98.4%が単位修得した。
令和7年度の「調査と統計」のうち、前期開講である児童学科では、履修生4名のうち、優4名、良0名、可0名、不可等0名となり、履修者全員が単位修得した。</t>
    <rPh sb="20" eb="23">
      <t>リシュウセイ</t>
    </rPh>
    <rPh sb="26" eb="27">
      <t>メイ</t>
    </rPh>
    <rPh sb="31" eb="32">
      <t>ユウ</t>
    </rPh>
    <rPh sb="35" eb="36">
      <t>メイ</t>
    </rPh>
    <rPh sb="37" eb="38">
      <t>リョウ</t>
    </rPh>
    <rPh sb="39" eb="40">
      <t>メイ</t>
    </rPh>
    <rPh sb="41" eb="42">
      <t>カ</t>
    </rPh>
    <rPh sb="43" eb="44">
      <t>メイ</t>
    </rPh>
    <rPh sb="45" eb="47">
      <t>フカ</t>
    </rPh>
    <rPh sb="47" eb="48">
      <t>トウ</t>
    </rPh>
    <rPh sb="49" eb="50">
      <t>メイ</t>
    </rPh>
    <rPh sb="54" eb="56">
      <t>リシュウ</t>
    </rPh>
    <rPh sb="56" eb="57">
      <t>シャ</t>
    </rPh>
    <rPh sb="66" eb="68">
      <t>タンイ</t>
    </rPh>
    <rPh sb="68" eb="70">
      <t>シュウトク</t>
    </rPh>
    <rPh sb="81" eb="83">
      <t>チョウサ</t>
    </rPh>
    <rPh sb="84" eb="86">
      <t>トウケイ</t>
    </rPh>
    <rPh sb="91" eb="93">
      <t>ゼンキ</t>
    </rPh>
    <rPh sb="138" eb="140">
      <t>ゼンイン</t>
    </rPh>
    <phoneticPr fontId="1"/>
  </si>
  <si>
    <t>授業評価アンケートにより学生からの意見を収集しており、アンケート結果を踏まえて教員は分析と授業改善を行っている。
令和7年度の「情報リテラシー概論」の授業評価アンケートの結果は、「授業の内容は理解できましたか」の設問（有効回答数181件）に対し、64名（35.4%）が「そう思う」、81名（44.8%）が「まあそう思う」と回答している。
令和7年度の「調査と統計」については、児童学科では履修学生が少ない（4名）ためにアンケートを実施しておらず、食物学科、社会福祉学科では後期授業終了後に授業評価アンケートを実施予定である。</t>
    <rPh sb="0" eb="4">
      <t>ジュギョウヒョウカ</t>
    </rPh>
    <rPh sb="12" eb="14">
      <t>ガクセイ</t>
    </rPh>
    <rPh sb="17" eb="19">
      <t>イケン</t>
    </rPh>
    <rPh sb="20" eb="22">
      <t>シュウシュウ</t>
    </rPh>
    <rPh sb="32" eb="34">
      <t>ケッカ</t>
    </rPh>
    <rPh sb="35" eb="36">
      <t>フ</t>
    </rPh>
    <rPh sb="39" eb="41">
      <t>キョウイン</t>
    </rPh>
    <rPh sb="42" eb="44">
      <t>ブンセキ</t>
    </rPh>
    <rPh sb="45" eb="49">
      <t>ジュギョウカイゼン</t>
    </rPh>
    <rPh sb="50" eb="51">
      <t>オコナ</t>
    </rPh>
    <rPh sb="57" eb="59">
      <t>レイワ</t>
    </rPh>
    <rPh sb="60" eb="62">
      <t>ネンド</t>
    </rPh>
    <rPh sb="64" eb="66">
      <t>ジョウホウ</t>
    </rPh>
    <rPh sb="71" eb="73">
      <t>ガイロン</t>
    </rPh>
    <rPh sb="75" eb="79">
      <t>ジュギョウヒョウカ</t>
    </rPh>
    <rPh sb="85" eb="87">
      <t>ケッカ</t>
    </rPh>
    <rPh sb="90" eb="92">
      <t>ジュギョウ</t>
    </rPh>
    <rPh sb="93" eb="95">
      <t>ナイヨウ</t>
    </rPh>
    <rPh sb="96" eb="98">
      <t>リカイ</t>
    </rPh>
    <rPh sb="106" eb="108">
      <t>セツモン</t>
    </rPh>
    <rPh sb="120" eb="121">
      <t>タイ</t>
    </rPh>
    <rPh sb="125" eb="126">
      <t>メイ</t>
    </rPh>
    <rPh sb="137" eb="138">
      <t>オモ</t>
    </rPh>
    <rPh sb="143" eb="144">
      <t>メイ</t>
    </rPh>
    <rPh sb="157" eb="158">
      <t>オモ</t>
    </rPh>
    <rPh sb="161" eb="163">
      <t>カイトウ</t>
    </rPh>
    <rPh sb="176" eb="178">
      <t>チョウサ</t>
    </rPh>
    <rPh sb="179" eb="181">
      <t>トウケイ</t>
    </rPh>
    <rPh sb="188" eb="192">
      <t>ジドウガッカ</t>
    </rPh>
    <rPh sb="194" eb="198">
      <t>リシュウガクセイ</t>
    </rPh>
    <rPh sb="199" eb="200">
      <t>スク</t>
    </rPh>
    <rPh sb="204" eb="205">
      <t>メイ</t>
    </rPh>
    <rPh sb="215" eb="217">
      <t>ジッシ</t>
    </rPh>
    <rPh sb="223" eb="227">
      <t>ショクモツガッカ</t>
    </rPh>
    <rPh sb="228" eb="234">
      <t>シャカイフクシガッカ</t>
    </rPh>
    <rPh sb="236" eb="238">
      <t>コウキ</t>
    </rPh>
    <rPh sb="238" eb="243">
      <t>ジュギョウシュウリョウゴ</t>
    </rPh>
    <rPh sb="254" eb="256">
      <t>ジッシ</t>
    </rPh>
    <rPh sb="256" eb="258">
      <t>ヨテイ</t>
    </rPh>
    <phoneticPr fontId="1"/>
  </si>
  <si>
    <t>授業評価アンケートにより学生からの意見を収集しているが、「後輩等他の学生への推奨度」については設問がなく、確認していない。
ただし、「この授業は総合的に見て、良かったと思いますか」という設問があり、令和7年度の「情報リテラシー概論」の学生アンケート結果は、有効回答数181件に対し、102名（56.4%）が「そう思う」、58名（32.0%）が「まあそう思う」と回答している。
令和7年度の「調査と統計」については、児童学科では履修学生が少ない（4名）ためにアンケートを実施しておらず、食物学科、社会福祉学科では後期授業終了後に授業評価アンケートを実施予定である。</t>
    <rPh sb="0" eb="4">
      <t>ジュギョウヒョウカ</t>
    </rPh>
    <rPh sb="12" eb="14">
      <t>ガクセイ</t>
    </rPh>
    <rPh sb="17" eb="19">
      <t>イケン</t>
    </rPh>
    <rPh sb="20" eb="22">
      <t>シュウシュウ</t>
    </rPh>
    <rPh sb="29" eb="31">
      <t>コウハイ</t>
    </rPh>
    <rPh sb="31" eb="32">
      <t>トウ</t>
    </rPh>
    <rPh sb="32" eb="33">
      <t>ホカ</t>
    </rPh>
    <rPh sb="34" eb="36">
      <t>ガクセイ</t>
    </rPh>
    <rPh sb="38" eb="41">
      <t>スイショウド</t>
    </rPh>
    <rPh sb="47" eb="49">
      <t>セツモン</t>
    </rPh>
    <rPh sb="53" eb="55">
      <t>カクニン</t>
    </rPh>
    <rPh sb="69" eb="71">
      <t>ジュギョウ</t>
    </rPh>
    <rPh sb="72" eb="75">
      <t>ソウゴウテキ</t>
    </rPh>
    <rPh sb="76" eb="77">
      <t>ミ</t>
    </rPh>
    <rPh sb="79" eb="80">
      <t>ヨ</t>
    </rPh>
    <rPh sb="84" eb="85">
      <t>オモ</t>
    </rPh>
    <rPh sb="93" eb="95">
      <t>セツモン</t>
    </rPh>
    <rPh sb="117" eb="119">
      <t>ガクセイ</t>
    </rPh>
    <rPh sb="138" eb="139">
      <t>タイ</t>
    </rPh>
    <rPh sb="144" eb="145">
      <t>メイ</t>
    </rPh>
    <rPh sb="156" eb="157">
      <t>オモ</t>
    </rPh>
    <rPh sb="162" eb="163">
      <t>メイ</t>
    </rPh>
    <rPh sb="176" eb="177">
      <t>オモ</t>
    </rPh>
    <rPh sb="180" eb="182">
      <t>カイトウ</t>
    </rPh>
    <phoneticPr fontId="1"/>
  </si>
  <si>
    <t>数理・データサイエンス・AI分野を「自分ごと」として捉え、学ぶ楽しさや意義を実感できるよう、授業設計にさまざまな工夫をしている。
情報リテラシー概論では、身近なAI活用を題材としたクイズ形式の導入や、SNSやメールのマナー、剽窃、個人情報保護など大学生活に密接したテーマを扱い、実際に起こりうる失敗例の映像をもとにディスカッションを行っている。また、ビッグデータや学生自身から得た実データを用いた可視化・分析、さらに時事問題と関連づけた議論を通して、データの社会的意義やリスクへの理解を深めている。
調査と統計の授業では、初回に「なぜ調査と統計が必要なのか」という哲学的問いを提示し、理論の学習と並行して、学生自身が設計したアンケート調査を実施・分析する機会を設けている。学生考案の調査案は投票で選出し、FINER基準を用いて調査の意義を吟味させるなど、探究的学びを重視している。Googleフォームによる調査票作成やグループワーク、Excelでのデータ分析など、実践的な内容を多く取り入れることで、データサイエンスの実用性と学ぶ楽しさを体感させている。</t>
    <phoneticPr fontId="1"/>
  </si>
  <si>
    <t>社会や技術の変化に対応しながら、授業内容と方法を継続的に見直している。特に生成AIなど新しい技術の発展を踏まえ、AIが生成する文章や図表を例に、情報の信頼性・著作権・データ倫理といった課題を具体的に扱うなど、最新のトピックを授業に反映している。また、毎回の授業で「面白かったか」「理解できたか」「スピードや難易度は適切だったか」「説明はわかりやすかったか」「役立ちそうか」「積極的に取り組めたか」などを5件法で学生に尋ね、その傾向に基づいて翌回の授業内容や進め方を調整している。さらに、良い質問をした学生に加点する方式を導入し、学生の声を積極的に拾い上げている。こうした継続的なフィードバックと双方向的な調整により、授業の水準を維持しつつ、より「分かりやすく・納得感のある」授業づくりに努めている。</t>
    <phoneticPr fontId="1"/>
  </si>
  <si>
    <t>「調査と統計」「情報リテラシー概論」のいずれも、本学全学科共通の教養・基礎教育科目として開講している。「情報リテラシー概論」は全学科の必修科目であり、学生全員が受講する。（編入生についてのみ、既修得単位読替により履修しない可能性がある）
「調査と統計」についても、同一のコマに同学年の複数授業を設置することはせず、希望する学生全員が受講可能な体制を構築済みである。</t>
    <rPh sb="44" eb="46">
      <t>カイコウ</t>
    </rPh>
    <rPh sb="63" eb="66">
      <t>ゼンガッカ</t>
    </rPh>
    <rPh sb="67" eb="71">
      <t>ヒッシュウカモク</t>
    </rPh>
    <rPh sb="75" eb="80">
      <t>ガクセイ</t>
    </rPh>
    <rPh sb="80" eb="82">
      <t>ジュコウ</t>
    </rPh>
    <rPh sb="86" eb="89">
      <t>ヘンニュウセイ</t>
    </rPh>
    <rPh sb="96" eb="101">
      <t>キシュウトクタンイ</t>
    </rPh>
    <rPh sb="101" eb="103">
      <t>ヨミカエ</t>
    </rPh>
    <rPh sb="106" eb="108">
      <t>リシュウ</t>
    </rPh>
    <rPh sb="111" eb="114">
      <t>カノウセイ</t>
    </rPh>
    <rPh sb="132" eb="134">
      <t>ドウイツ</t>
    </rPh>
    <rPh sb="138" eb="141">
      <t>ドウガクネン</t>
    </rPh>
    <rPh sb="142" eb="146">
      <t>フクスウジュギョウ</t>
    </rPh>
    <rPh sb="147" eb="149">
      <t>セッチ</t>
    </rPh>
    <rPh sb="157" eb="159">
      <t>キボウ</t>
    </rPh>
    <rPh sb="161" eb="165">
      <t>ガクセイゼンイン</t>
    </rPh>
    <rPh sb="166" eb="170">
      <t>ジュコウカノウ</t>
    </rPh>
    <rPh sb="171" eb="173">
      <t>タイセイ</t>
    </rPh>
    <rPh sb="174" eb="177">
      <t>コウチクズ</t>
    </rPh>
    <phoneticPr fontId="1"/>
  </si>
  <si>
    <t>全学生を対象として授業目的公衆送信補償金制度に加入し、かつ、LMSであるWebClassを活用することで、「情報リテラシー概論」「調査と統計」においても授業で使用する資料等の情報を掲載している。
授業時間外での質問については、オフィスアワーを設け、決まった時間に気軽に教員に質問ができる体制を整えている。また、学修・学術情報センターのヘルプデスクを図書館カウンターに設け、学内ネットワーク等に関する質問を受け付けるとともに、必要に応じて教員との連携を取っている。</t>
    <rPh sb="45" eb="47">
      <t>カツヨウ</t>
    </rPh>
    <rPh sb="54" eb="56">
      <t>ジョウホウ</t>
    </rPh>
    <rPh sb="61" eb="63">
      <t>ガイロン</t>
    </rPh>
    <rPh sb="76" eb="78">
      <t>ジュギョウ</t>
    </rPh>
    <rPh sb="79" eb="81">
      <t>シヨウ</t>
    </rPh>
    <rPh sb="83" eb="86">
      <t>シリョウトウ</t>
    </rPh>
    <rPh sb="87" eb="89">
      <t>ジョウホウ</t>
    </rPh>
    <rPh sb="90" eb="92">
      <t>ケイサイ</t>
    </rPh>
    <rPh sb="98" eb="103">
      <t>ジュギョウジカンガイ</t>
    </rPh>
    <rPh sb="105" eb="107">
      <t>シツモン</t>
    </rPh>
    <rPh sb="121" eb="122">
      <t>モウ</t>
    </rPh>
    <rPh sb="124" eb="125">
      <t>キ</t>
    </rPh>
    <rPh sb="128" eb="130">
      <t>ジカン</t>
    </rPh>
    <rPh sb="131" eb="133">
      <t>キガル</t>
    </rPh>
    <rPh sb="134" eb="136">
      <t>キョウイン</t>
    </rPh>
    <rPh sb="137" eb="139">
      <t>シツモン</t>
    </rPh>
    <rPh sb="143" eb="145">
      <t>タイセイ</t>
    </rPh>
    <rPh sb="146" eb="147">
      <t>トトノ</t>
    </rPh>
    <rPh sb="155" eb="157">
      <t>ガクシュウ</t>
    </rPh>
    <rPh sb="158" eb="162">
      <t>ガクジュツジョウホウ</t>
    </rPh>
    <rPh sb="174" eb="177">
      <t>トショカン</t>
    </rPh>
    <rPh sb="183" eb="184">
      <t>モウ</t>
    </rPh>
    <rPh sb="186" eb="188">
      <t>ガクナイ</t>
    </rPh>
    <rPh sb="194" eb="195">
      <t>トウ</t>
    </rPh>
    <rPh sb="196" eb="197">
      <t>カン</t>
    </rPh>
    <rPh sb="199" eb="201">
      <t>シツモン</t>
    </rPh>
    <rPh sb="202" eb="203">
      <t>ウ</t>
    </rPh>
    <rPh sb="204" eb="205">
      <t>ツ</t>
    </rPh>
    <rPh sb="212" eb="214">
      <t>ヒツヨウ</t>
    </rPh>
    <rPh sb="215" eb="216">
      <t>オウ</t>
    </rPh>
    <rPh sb="218" eb="220">
      <t>キョウイン</t>
    </rPh>
    <rPh sb="222" eb="224">
      <t>レンケイ</t>
    </rPh>
    <rPh sb="225" eb="226">
      <t>ト</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</si>
</sst>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_ "/>
    <numFmt numFmtId="177" formatCode="0_);[Red]\(0\)"/>
    <numFmt numFmtId="178" formatCode="#,##0_);[Red]\(#,##0\)"/>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b/>
      <sz val="12"/>
      <color theme="1"/>
      <name val="ＭＳ Ｐゴシック"/>
      <family val="3"/>
      <charset val="128"/>
      <scheme val="minor"/>
    </font>
    <font>
      <b/>
      <sz val="18"/>
      <color theme="1"/>
      <name val="ＭＳ Ｐゴシック"/>
      <family val="3"/>
      <charset val="128"/>
      <scheme val="minor"/>
    </font>
    <font>
      <b/>
      <sz val="9"/>
      <color theme="1"/>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indexed="64"/>
      </left>
      <right style="thin">
        <color auto="1"/>
      </right>
      <top/>
      <bottom style="hair">
        <color auto="1"/>
      </bottom>
      <diagonal/>
    </border>
    <border>
      <left style="thin">
        <color auto="1"/>
      </left>
      <right style="medium">
        <color indexed="64"/>
      </right>
      <top/>
      <bottom style="hair">
        <color auto="1"/>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dotted">
        <color auto="1"/>
      </left>
      <right style="thin">
        <color auto="1"/>
      </right>
      <top style="dotted">
        <color auto="1"/>
      </top>
      <bottom style="thin">
        <color auto="1"/>
      </bottom>
      <diagonal/>
    </border>
    <border>
      <left style="dotted">
        <color auto="1"/>
      </left>
      <right style="thin">
        <color auto="1"/>
      </right>
      <top/>
      <bottom/>
      <diagonal/>
    </border>
    <border>
      <left style="dotted">
        <color auto="1"/>
      </left>
      <right style="thin">
        <color auto="1"/>
      </right>
      <top style="hair">
        <color auto="1"/>
      </top>
      <bottom style="hair">
        <color auto="1"/>
      </bottom>
      <diagonal/>
    </border>
    <border>
      <left style="dotted">
        <color auto="1"/>
      </left>
      <right/>
      <top style="double">
        <color auto="1"/>
      </top>
      <bottom style="thin">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182">
    <xf numFmtId="0" fontId="0" fillId="0" borderId="0" xfId="0">
      <alignment vertical="center"/>
    </xf>
    <xf numFmtId="0" fontId="7" fillId="2" borderId="11" xfId="0" applyFont="1" applyFill="1" applyBorder="1" applyAlignment="1">
      <alignment vertical="center" wrapText="1"/>
    </xf>
    <xf numFmtId="0" fontId="3" fillId="2" borderId="59" xfId="0" applyFont="1" applyFill="1" applyBorder="1" applyAlignment="1">
      <alignment vertical="center" wrapText="1"/>
    </xf>
    <xf numFmtId="38" fontId="2" fillId="2" borderId="5" xfId="2" applyFont="1" applyFill="1" applyBorder="1" applyAlignment="1">
      <alignment vertical="center" shrinkToFi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left" vertical="center"/>
    </xf>
    <xf numFmtId="0" fontId="3" fillId="2" borderId="0" xfId="0" applyFont="1" applyFill="1">
      <alignment vertical="center"/>
    </xf>
    <xf numFmtId="0" fontId="2"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6"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horizontal="left" vertical="center"/>
    </xf>
    <xf numFmtId="0" fontId="2" fillId="2" borderId="0" xfId="0" applyFont="1" applyFill="1" applyAlignment="1">
      <alignment vertical="top" wrapText="1"/>
    </xf>
    <xf numFmtId="0" fontId="2" fillId="2" borderId="0" xfId="0" applyFont="1" applyFill="1" applyAlignment="1">
      <alignment vertical="top" wrapText="1" shrinkToFit="1"/>
    </xf>
    <xf numFmtId="0" fontId="2" fillId="2" borderId="0" xfId="0" applyFont="1" applyFill="1" applyAlignment="1">
      <alignment vertical="center" wrapText="1"/>
    </xf>
    <xf numFmtId="0" fontId="3" fillId="2" borderId="0" xfId="0" applyFont="1" applyFill="1" applyAlignment="1">
      <alignment vertical="top" wrapText="1"/>
    </xf>
    <xf numFmtId="9" fontId="2" fillId="2" borderId="1" xfId="0" applyNumberFormat="1" applyFont="1" applyFill="1" applyBorder="1" applyAlignment="1">
      <alignment horizontal="center" vertical="center" shrinkToFit="1"/>
    </xf>
    <xf numFmtId="9" fontId="2" fillId="2" borderId="0" xfId="1" applyFont="1" applyFill="1" applyAlignment="1">
      <alignment horizontal="center" vertical="center"/>
    </xf>
    <xf numFmtId="0" fontId="2" fillId="2" borderId="1" xfId="0" applyFont="1" applyFill="1" applyBorder="1" applyAlignment="1">
      <alignment horizontal="center" vertical="center" shrinkToFit="1"/>
    </xf>
    <xf numFmtId="0" fontId="2" fillId="2" borderId="0" xfId="0" applyFont="1" applyFill="1" applyAlignment="1">
      <alignment horizontal="center" vertical="center" shrinkToFit="1"/>
    </xf>
    <xf numFmtId="0" fontId="3" fillId="2" borderId="0" xfId="0" applyFont="1" applyFill="1" applyAlignment="1">
      <alignment vertical="top" shrinkToFit="1"/>
    </xf>
    <xf numFmtId="0" fontId="2" fillId="2" borderId="0" xfId="0" applyFont="1" applyFill="1" applyAlignment="1">
      <alignment vertical="top" shrinkToFit="1"/>
    </xf>
    <xf numFmtId="0" fontId="2" fillId="2" borderId="0" xfId="0" applyFont="1" applyFill="1" applyAlignment="1">
      <alignment horizontal="center" vertical="center" wrapText="1" shrinkToFit="1"/>
    </xf>
    <xf numFmtId="9" fontId="2" fillId="2" borderId="0" xfId="0" applyNumberFormat="1" applyFont="1" applyFill="1" applyAlignment="1">
      <alignment horizontal="center" vertical="center" shrinkToFit="1"/>
    </xf>
    <xf numFmtId="176" fontId="2" fillId="2" borderId="0" xfId="0" applyNumberFormat="1" applyFont="1" applyFill="1" applyAlignment="1">
      <alignment horizontal="center" vertical="center" shrinkToFit="1"/>
    </xf>
    <xf numFmtId="0" fontId="2" fillId="2" borderId="0" xfId="0" applyFont="1" applyFill="1" applyAlignment="1">
      <alignment horizontal="left" vertical="center" shrinkToFit="1"/>
    </xf>
    <xf numFmtId="0" fontId="2" fillId="2" borderId="0" xfId="0" applyFont="1" applyFill="1" applyAlignment="1">
      <alignment horizontal="right" vertical="center" shrinkToFit="1"/>
    </xf>
    <xf numFmtId="9" fontId="2" fillId="2" borderId="1" xfId="0" applyNumberFormat="1" applyFont="1" applyFill="1" applyBorder="1" applyAlignment="1">
      <alignment horizontal="right" vertical="center" wrapText="1" shrinkToFit="1"/>
    </xf>
    <xf numFmtId="0" fontId="2" fillId="2" borderId="4" xfId="0" applyFont="1" applyFill="1" applyBorder="1" applyAlignment="1">
      <alignment horizontal="center" vertical="center"/>
    </xf>
    <xf numFmtId="0" fontId="2" fillId="2" borderId="7" xfId="0" applyFont="1" applyFill="1" applyBorder="1">
      <alignment vertical="center"/>
    </xf>
    <xf numFmtId="0" fontId="3" fillId="2" borderId="5" xfId="0" applyFont="1" applyFill="1" applyBorder="1" applyAlignment="1">
      <alignment vertical="top" wrapText="1"/>
    </xf>
    <xf numFmtId="0" fontId="2" fillId="2" borderId="16" xfId="0" applyFont="1" applyFill="1" applyBorder="1" applyAlignment="1">
      <alignment vertical="center" wrapText="1"/>
    </xf>
    <xf numFmtId="0" fontId="2" fillId="2" borderId="16" xfId="0" applyFont="1" applyFill="1" applyBorder="1">
      <alignment vertical="center"/>
    </xf>
    <xf numFmtId="0" fontId="3" fillId="2" borderId="11" xfId="0" applyFont="1" applyFill="1" applyBorder="1" applyAlignment="1">
      <alignment vertical="top" wrapText="1"/>
    </xf>
    <xf numFmtId="0" fontId="2" fillId="2" borderId="43" xfId="0" applyFont="1" applyFill="1" applyBorder="1" applyAlignment="1">
      <alignment vertical="center" wrapText="1"/>
    </xf>
    <xf numFmtId="0" fontId="3" fillId="2" borderId="29" xfId="0" applyFont="1" applyFill="1" applyBorder="1" applyAlignment="1">
      <alignment vertical="top" wrapText="1"/>
    </xf>
    <xf numFmtId="0" fontId="3" fillId="2" borderId="9" xfId="0" applyFont="1" applyFill="1" applyBorder="1" applyAlignment="1">
      <alignment vertical="top" shrinkToFit="1"/>
    </xf>
    <xf numFmtId="0" fontId="8" fillId="2" borderId="30" xfId="0" applyFont="1" applyFill="1" applyBorder="1" applyAlignment="1">
      <alignment horizontal="center" vertical="center"/>
    </xf>
    <xf numFmtId="0" fontId="2" fillId="2" borderId="0" xfId="0" applyFont="1" applyFill="1" applyAlignment="1">
      <alignment vertical="center" shrinkToFit="1"/>
    </xf>
    <xf numFmtId="0" fontId="2" fillId="2" borderId="44" xfId="0" applyFont="1" applyFill="1" applyBorder="1" applyAlignment="1">
      <alignment horizontal="left" vertical="center" shrinkToFit="1"/>
    </xf>
    <xf numFmtId="9" fontId="2" fillId="2" borderId="14" xfId="0" applyNumberFormat="1" applyFont="1" applyFill="1" applyBorder="1" applyAlignment="1">
      <alignment vertical="center" shrinkToFit="1"/>
    </xf>
    <xf numFmtId="0" fontId="2" fillId="2" borderId="20" xfId="0" applyFont="1" applyFill="1" applyBorder="1" applyAlignment="1">
      <alignment horizontal="left" vertical="center" shrinkToFit="1"/>
    </xf>
    <xf numFmtId="38" fontId="2" fillId="2" borderId="42" xfId="2" applyFont="1" applyFill="1" applyBorder="1" applyAlignment="1">
      <alignment vertical="center" shrinkToFit="1"/>
    </xf>
    <xf numFmtId="9" fontId="2" fillId="2" borderId="44" xfId="0" applyNumberFormat="1" applyFont="1" applyFill="1" applyBorder="1" applyAlignment="1">
      <alignment vertical="center" shrinkToFit="1"/>
    </xf>
    <xf numFmtId="9" fontId="2" fillId="2" borderId="20" xfId="0" applyNumberFormat="1" applyFont="1" applyFill="1" applyBorder="1" applyAlignment="1">
      <alignment vertical="center" shrinkToFit="1"/>
    </xf>
    <xf numFmtId="0" fontId="2" fillId="2" borderId="21" xfId="0" applyFont="1" applyFill="1" applyBorder="1" applyAlignment="1">
      <alignment horizontal="left" vertical="center" shrinkToFit="1"/>
    </xf>
    <xf numFmtId="0" fontId="2" fillId="2" borderId="23" xfId="0" applyFont="1" applyFill="1" applyBorder="1" applyAlignment="1">
      <alignment horizontal="center" vertical="center" shrinkToFit="1"/>
    </xf>
    <xf numFmtId="38" fontId="2" fillId="2" borderId="23" xfId="2" applyFont="1" applyFill="1" applyBorder="1" applyAlignment="1">
      <alignment vertical="center" shrinkToFit="1"/>
    </xf>
    <xf numFmtId="38" fontId="2" fillId="2" borderId="22" xfId="2" applyFont="1" applyFill="1" applyBorder="1" applyAlignment="1">
      <alignment vertical="center" shrinkToFit="1"/>
    </xf>
    <xf numFmtId="9" fontId="2" fillId="2" borderId="23" xfId="0" applyNumberFormat="1" applyFont="1" applyFill="1" applyBorder="1" applyAlignment="1">
      <alignment vertical="center" shrinkToFit="1"/>
    </xf>
    <xf numFmtId="0" fontId="2" fillId="2" borderId="20" xfId="0" applyFont="1" applyFill="1" applyBorder="1" applyAlignment="1">
      <alignment horizontal="justify" vertical="top" wrapText="1" shrinkToFit="1"/>
    </xf>
    <xf numFmtId="0" fontId="2" fillId="2" borderId="32" xfId="0" applyFont="1" applyFill="1" applyBorder="1" applyAlignment="1">
      <alignment horizontal="justify" vertical="top" wrapText="1" shrinkToFit="1"/>
    </xf>
    <xf numFmtId="38" fontId="2" fillId="2" borderId="0" xfId="2" applyFont="1" applyFill="1" applyAlignment="1">
      <alignment horizontal="right" vertical="center" shrinkToFit="1"/>
    </xf>
    <xf numFmtId="38" fontId="2" fillId="2" borderId="5" xfId="2" applyFont="1" applyFill="1" applyBorder="1" applyAlignment="1">
      <alignment horizontal="right" vertical="center" shrinkToFit="1"/>
    </xf>
    <xf numFmtId="38" fontId="2" fillId="2" borderId="19" xfId="2" applyFont="1" applyFill="1" applyBorder="1" applyAlignment="1">
      <alignment horizontal="right" vertical="center" shrinkToFit="1"/>
    </xf>
    <xf numFmtId="38" fontId="2" fillId="2" borderId="18" xfId="2" applyFont="1" applyFill="1" applyBorder="1" applyAlignment="1">
      <alignment horizontal="right" vertical="center" shrinkToFit="1"/>
    </xf>
    <xf numFmtId="38" fontId="2" fillId="2" borderId="42" xfId="2" applyFont="1" applyFill="1" applyBorder="1" applyAlignment="1">
      <alignment horizontal="right" vertical="center" shrinkToFit="1"/>
    </xf>
    <xf numFmtId="38" fontId="2" fillId="2" borderId="61" xfId="2" applyFont="1" applyFill="1" applyBorder="1" applyAlignment="1">
      <alignment horizontal="right" vertical="center" shrinkToFit="1"/>
    </xf>
    <xf numFmtId="38" fontId="2" fillId="2" borderId="17" xfId="2" applyFont="1" applyFill="1" applyBorder="1" applyAlignment="1">
      <alignment horizontal="right" vertical="center" shrinkToFit="1"/>
    </xf>
    <xf numFmtId="38" fontId="2" fillId="2" borderId="60" xfId="2" applyFont="1" applyFill="1" applyBorder="1" applyAlignment="1">
      <alignment horizontal="right" vertical="center" shrinkToFit="1"/>
    </xf>
    <xf numFmtId="38" fontId="2" fillId="2" borderId="10" xfId="2" applyFont="1" applyFill="1" applyBorder="1" applyAlignment="1">
      <alignment horizontal="right" vertical="center" shrinkToFit="1"/>
    </xf>
    <xf numFmtId="0" fontId="2" fillId="2" borderId="1" xfId="0" applyFont="1" applyFill="1" applyBorder="1" applyAlignment="1">
      <alignment horizontal="left" vertical="top" wrapText="1" shrinkToFi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shrinkToFit="1"/>
    </xf>
    <xf numFmtId="0" fontId="5" fillId="2" borderId="0" xfId="0" applyFont="1" applyFill="1" applyAlignment="1">
      <alignment horizontal="center" vertical="center"/>
    </xf>
    <xf numFmtId="0" fontId="2" fillId="2" borderId="1" xfId="0" applyFont="1" applyFill="1" applyBorder="1" applyAlignment="1">
      <alignment horizontal="justify" vertical="top" wrapText="1" shrinkToFit="1"/>
    </xf>
    <xf numFmtId="0" fontId="3" fillId="2" borderId="2" xfId="0" applyFont="1" applyFill="1" applyBorder="1" applyAlignment="1">
      <alignment horizontal="center" vertical="center" shrinkToFit="1"/>
    </xf>
    <xf numFmtId="49" fontId="11" fillId="2" borderId="45" xfId="0" applyNumberFormat="1" applyFont="1" applyFill="1" applyBorder="1" applyAlignment="1">
      <alignment horizontal="center" vertical="center"/>
    </xf>
    <xf numFmtId="49" fontId="11" fillId="2" borderId="46" xfId="0" applyNumberFormat="1" applyFont="1" applyFill="1" applyBorder="1" applyAlignment="1">
      <alignment horizontal="center" vertical="center"/>
    </xf>
    <xf numFmtId="49" fontId="11" fillId="2" borderId="47"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shrinkToFit="1"/>
    </xf>
    <xf numFmtId="0" fontId="2" fillId="2" borderId="27" xfId="0" applyFont="1" applyFill="1" applyBorder="1" applyAlignment="1">
      <alignment horizontal="left" vertical="center" shrinkToFit="1"/>
    </xf>
    <xf numFmtId="0" fontId="2" fillId="2" borderId="48" xfId="0" applyFont="1" applyFill="1" applyBorder="1" applyAlignment="1">
      <alignment horizontal="center" vertical="center" shrinkToFit="1"/>
    </xf>
    <xf numFmtId="0" fontId="2" fillId="2" borderId="14" xfId="0" applyFont="1" applyFill="1" applyBorder="1" applyAlignment="1">
      <alignment horizontal="center" vertical="center" shrinkToFit="1"/>
    </xf>
    <xf numFmtId="0" fontId="2" fillId="2" borderId="49" xfId="0" applyFont="1" applyFill="1" applyBorder="1" applyAlignment="1">
      <alignment horizontal="center" vertical="center" shrinkToFit="1"/>
    </xf>
    <xf numFmtId="0" fontId="2" fillId="2" borderId="28" xfId="0" applyFont="1" applyFill="1" applyBorder="1" applyAlignment="1">
      <alignment horizontal="center" vertical="center" shrinkToFit="1"/>
    </xf>
    <xf numFmtId="0" fontId="2" fillId="2" borderId="18" xfId="0" applyFont="1" applyFill="1" applyBorder="1" applyAlignment="1">
      <alignment horizontal="left" vertical="center" shrinkToFit="1"/>
    </xf>
    <xf numFmtId="0" fontId="2" fillId="2" borderId="50" xfId="0" applyFont="1" applyFill="1" applyBorder="1" applyAlignment="1">
      <alignment horizontal="center" vertical="center" shrinkToFit="1"/>
    </xf>
    <xf numFmtId="0" fontId="2" fillId="2" borderId="20" xfId="0" applyFont="1" applyFill="1" applyBorder="1" applyAlignment="1">
      <alignment horizontal="center" vertical="center" shrinkToFit="1"/>
    </xf>
    <xf numFmtId="0" fontId="2" fillId="2" borderId="51" xfId="0" applyFont="1" applyFill="1" applyBorder="1" applyAlignment="1">
      <alignment horizontal="center" vertical="center" shrinkToFit="1"/>
    </xf>
    <xf numFmtId="0" fontId="2" fillId="2" borderId="17" xfId="0" applyFont="1" applyFill="1" applyBorder="1" applyAlignment="1">
      <alignment horizontal="center" vertical="center" shrinkToFit="1"/>
    </xf>
    <xf numFmtId="0" fontId="2" fillId="2" borderId="30" xfId="0" applyFont="1" applyFill="1" applyBorder="1" applyAlignment="1">
      <alignment horizontal="left" vertical="center" shrinkToFit="1"/>
    </xf>
    <xf numFmtId="0" fontId="2" fillId="2" borderId="52" xfId="0" applyFont="1" applyFill="1" applyBorder="1" applyAlignment="1">
      <alignment horizontal="center" vertical="center" shrinkToFit="1"/>
    </xf>
    <xf numFmtId="0" fontId="2" fillId="2" borderId="32" xfId="0" applyFont="1" applyFill="1" applyBorder="1" applyAlignment="1">
      <alignment horizontal="center" vertical="center" shrinkToFit="1"/>
    </xf>
    <xf numFmtId="0" fontId="2" fillId="2" borderId="53" xfId="0" applyFont="1" applyFill="1" applyBorder="1" applyAlignment="1">
      <alignment horizontal="center" vertical="center" shrinkToFit="1"/>
    </xf>
    <xf numFmtId="0" fontId="2" fillId="2" borderId="31" xfId="0" applyFont="1" applyFill="1" applyBorder="1" applyAlignment="1">
      <alignment horizontal="center" vertical="center" shrinkToFit="1"/>
    </xf>
    <xf numFmtId="0" fontId="2" fillId="2" borderId="33" xfId="0" applyFont="1" applyFill="1" applyBorder="1" applyAlignment="1">
      <alignment horizontal="left" vertical="center" shrinkToFit="1"/>
    </xf>
    <xf numFmtId="0" fontId="2" fillId="2" borderId="54" xfId="0" applyFont="1" applyFill="1" applyBorder="1" applyAlignment="1">
      <alignment horizontal="center" vertical="center" shrinkToFit="1"/>
    </xf>
    <xf numFmtId="0" fontId="2" fillId="2" borderId="44" xfId="0" applyFont="1" applyFill="1" applyBorder="1" applyAlignment="1">
      <alignment horizontal="center" vertical="center" shrinkToFit="1"/>
    </xf>
    <xf numFmtId="0" fontId="2" fillId="2" borderId="55" xfId="0" applyFont="1" applyFill="1" applyBorder="1" applyAlignment="1">
      <alignment horizontal="center" vertical="center" shrinkToFit="1"/>
    </xf>
    <xf numFmtId="0" fontId="2" fillId="2" borderId="35" xfId="0" applyFont="1" applyFill="1" applyBorder="1" applyAlignment="1">
      <alignment horizontal="center" vertical="center" shrinkToFit="1"/>
    </xf>
    <xf numFmtId="0" fontId="2" fillId="2" borderId="56" xfId="0" applyFont="1" applyFill="1" applyBorder="1" applyAlignment="1">
      <alignment horizontal="center" vertical="center" shrinkToFit="1"/>
    </xf>
    <xf numFmtId="0" fontId="2" fillId="2" borderId="57" xfId="0" applyFont="1" applyFill="1" applyBorder="1" applyAlignment="1">
      <alignment horizontal="center" vertical="center" shrinkToFit="1"/>
    </xf>
    <xf numFmtId="0" fontId="2" fillId="2" borderId="58" xfId="0" applyFont="1" applyFill="1" applyBorder="1" applyAlignment="1">
      <alignment horizontal="center" vertical="center" shrinkToFit="1"/>
    </xf>
    <xf numFmtId="49" fontId="2" fillId="2" borderId="40" xfId="0" applyNumberFormat="1" applyFont="1" applyFill="1" applyBorder="1" applyAlignment="1">
      <alignment horizontal="center" vertical="center"/>
    </xf>
    <xf numFmtId="49" fontId="2" fillId="2" borderId="0" xfId="0" applyNumberFormat="1" applyFont="1" applyFill="1" applyAlignment="1">
      <alignment vertical="top"/>
    </xf>
    <xf numFmtId="49" fontId="2" fillId="2" borderId="41" xfId="0" applyNumberFormat="1" applyFont="1" applyFill="1" applyBorder="1" applyAlignment="1">
      <alignment horizontal="center" vertical="center"/>
    </xf>
    <xf numFmtId="49" fontId="3" fillId="2" borderId="0" xfId="0" applyNumberFormat="1" applyFont="1" applyFill="1" applyAlignment="1">
      <alignment vertical="top"/>
    </xf>
    <xf numFmtId="49" fontId="2" fillId="2" borderId="36" xfId="0" applyNumberFormat="1" applyFont="1" applyFill="1" applyBorder="1" applyAlignment="1">
      <alignment horizontal="center" vertical="center"/>
    </xf>
    <xf numFmtId="49" fontId="2" fillId="2" borderId="24" xfId="0" applyNumberFormat="1" applyFont="1" applyFill="1" applyBorder="1" applyAlignment="1">
      <alignment horizontal="center" vertical="center"/>
    </xf>
    <xf numFmtId="49" fontId="2" fillId="2" borderId="39" xfId="0" applyNumberFormat="1" applyFont="1" applyFill="1" applyBorder="1" applyAlignment="1">
      <alignment horizontal="center" vertical="center"/>
    </xf>
    <xf numFmtId="49" fontId="2" fillId="2" borderId="26" xfId="0" applyNumberFormat="1" applyFont="1" applyFill="1" applyBorder="1" applyAlignment="1">
      <alignment horizontal="center" vertical="center"/>
    </xf>
    <xf numFmtId="49" fontId="3" fillId="2" borderId="0" xfId="0" applyNumberFormat="1" applyFont="1" applyFill="1">
      <alignment vertical="center"/>
    </xf>
    <xf numFmtId="38" fontId="2" fillId="2" borderId="62" xfId="2" applyFont="1" applyFill="1" applyBorder="1" applyAlignment="1">
      <alignment vertical="center" shrinkToFit="1"/>
    </xf>
    <xf numFmtId="177" fontId="2" fillId="2" borderId="1" xfId="0" applyNumberFormat="1" applyFont="1" applyFill="1" applyBorder="1" applyAlignment="1">
      <alignment horizontal="right" vertical="center"/>
    </xf>
    <xf numFmtId="177" fontId="2" fillId="2" borderId="27" xfId="0" applyNumberFormat="1" applyFont="1" applyFill="1" applyBorder="1" applyAlignment="1">
      <alignment horizontal="center" vertical="center" shrinkToFit="1"/>
    </xf>
    <xf numFmtId="177" fontId="2" fillId="2" borderId="18" xfId="0" applyNumberFormat="1" applyFont="1" applyFill="1" applyBorder="1" applyAlignment="1">
      <alignment horizontal="center" vertical="center" shrinkToFit="1"/>
    </xf>
    <xf numFmtId="177" fontId="2" fillId="2" borderId="30" xfId="0" applyNumberFormat="1" applyFont="1" applyFill="1" applyBorder="1" applyAlignment="1">
      <alignment horizontal="center" vertical="center" shrinkToFit="1"/>
    </xf>
    <xf numFmtId="177" fontId="2" fillId="2" borderId="33" xfId="0" applyNumberFormat="1" applyFont="1" applyFill="1" applyBorder="1" applyAlignment="1">
      <alignment horizontal="center" vertical="center" shrinkToFit="1"/>
    </xf>
    <xf numFmtId="177" fontId="2" fillId="2" borderId="11" xfId="0" applyNumberFormat="1" applyFont="1" applyFill="1" applyBorder="1" applyAlignment="1">
      <alignment horizontal="center" vertical="center" shrinkToFit="1"/>
    </xf>
    <xf numFmtId="178" fontId="2" fillId="2" borderId="1" xfId="0" applyNumberFormat="1" applyFont="1" applyFill="1" applyBorder="1" applyAlignment="1">
      <alignment horizontal="right" vertical="center"/>
    </xf>
    <xf numFmtId="49" fontId="2" fillId="0" borderId="15" xfId="0" applyNumberFormat="1" applyFont="1" applyFill="1" applyBorder="1" applyAlignment="1">
      <alignment horizontal="left" vertical="top" wrapText="1"/>
    </xf>
    <xf numFmtId="49" fontId="2" fillId="0" borderId="32" xfId="0" applyNumberFormat="1" applyFont="1" applyFill="1" applyBorder="1" applyAlignment="1">
      <alignment horizontal="left" vertical="top" wrapText="1"/>
    </xf>
    <xf numFmtId="49" fontId="2" fillId="0" borderId="14" xfId="0" applyNumberFormat="1" applyFont="1" applyFill="1" applyBorder="1" applyAlignment="1">
      <alignment horizontal="left" vertical="top" wrapText="1"/>
    </xf>
    <xf numFmtId="49" fontId="2" fillId="0" borderId="13" xfId="0" applyNumberFormat="1" applyFont="1" applyFill="1" applyBorder="1" applyAlignment="1">
      <alignment horizontal="left" vertical="top" wrapText="1"/>
    </xf>
    <xf numFmtId="49" fontId="2" fillId="2" borderId="20" xfId="0" applyNumberFormat="1" applyFont="1" applyFill="1" applyBorder="1" applyAlignment="1">
      <alignment horizontal="left" vertical="center" wrapText="1"/>
    </xf>
    <xf numFmtId="49" fontId="2" fillId="2" borderId="13" xfId="0" applyNumberFormat="1" applyFont="1" applyFill="1" applyBorder="1" applyAlignment="1">
      <alignment horizontal="left" vertical="center" wrapText="1"/>
    </xf>
    <xf numFmtId="0" fontId="2" fillId="0" borderId="44" xfId="0" applyFont="1" applyFill="1" applyBorder="1" applyAlignment="1">
      <alignment horizontal="justify" vertical="top" wrapText="1" shrinkToFit="1"/>
    </xf>
    <xf numFmtId="0" fontId="2" fillId="0" borderId="13" xfId="0" applyFont="1" applyFill="1" applyBorder="1" applyAlignment="1">
      <alignment horizontal="justify" vertical="top" wrapText="1" shrinkToFit="1"/>
    </xf>
    <xf numFmtId="0" fontId="2" fillId="2" borderId="7" xfId="0" applyFont="1" applyFill="1" applyBorder="1" applyAlignment="1">
      <alignment horizontal="justify" vertical="top" wrapText="1"/>
    </xf>
    <xf numFmtId="0" fontId="2" fillId="2" borderId="9" xfId="0" applyFont="1" applyFill="1" applyBorder="1" applyAlignment="1">
      <alignment horizontal="justify" vertical="top" wrapText="1"/>
    </xf>
    <xf numFmtId="0" fontId="2" fillId="2" borderId="5" xfId="0" applyFont="1" applyFill="1" applyBorder="1" applyAlignment="1">
      <alignment horizontal="justify" vertical="top" wrapText="1"/>
    </xf>
    <xf numFmtId="0" fontId="2" fillId="2" borderId="10" xfId="0" applyFont="1" applyFill="1" applyBorder="1" applyAlignment="1">
      <alignment horizontal="justify" vertical="top" wrapText="1"/>
    </xf>
    <xf numFmtId="0" fontId="2" fillId="2" borderId="0" xfId="0" applyFont="1" applyFill="1" applyAlignment="1">
      <alignment horizontal="center" vertical="center"/>
    </xf>
    <xf numFmtId="0" fontId="2" fillId="2" borderId="0" xfId="0" applyFont="1" applyFill="1">
      <alignment vertical="center"/>
    </xf>
    <xf numFmtId="0" fontId="2" fillId="2" borderId="0" xfId="0" applyFont="1" applyFill="1" applyAlignment="1">
      <alignment horizontal="left" vertical="center"/>
    </xf>
    <xf numFmtId="0" fontId="2" fillId="2" borderId="0" xfId="0" applyFont="1" applyFill="1" applyAlignment="1">
      <alignment vertical="top"/>
    </xf>
    <xf numFmtId="0" fontId="10"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1" xfId="0" applyFont="1" applyFill="1" applyBorder="1" applyAlignment="1">
      <alignment horizontal="justify" vertical="top" wrapText="1"/>
    </xf>
    <xf numFmtId="0" fontId="2" fillId="2" borderId="12" xfId="0" applyFont="1" applyFill="1" applyBorder="1" applyAlignment="1">
      <alignment horizontal="justify" vertical="top" wrapText="1"/>
    </xf>
    <xf numFmtId="0" fontId="9" fillId="2" borderId="5" xfId="0" applyFont="1" applyFill="1" applyBorder="1" applyAlignment="1">
      <alignment horizontal="justify" vertical="top" wrapText="1"/>
    </xf>
    <xf numFmtId="0" fontId="9" fillId="2" borderId="10" xfId="0" applyFont="1" applyFill="1" applyBorder="1" applyAlignment="1">
      <alignment horizontal="justify" vertical="top" wrapText="1"/>
    </xf>
    <xf numFmtId="0" fontId="9" fillId="2" borderId="11" xfId="0" applyFont="1" applyFill="1" applyBorder="1" applyAlignment="1">
      <alignment horizontal="justify" vertical="top" wrapText="1"/>
    </xf>
    <xf numFmtId="0" fontId="9" fillId="2" borderId="12" xfId="0" applyFont="1" applyFill="1" applyBorder="1" applyAlignment="1">
      <alignment horizontal="justify" vertical="top" wrapText="1"/>
    </xf>
    <xf numFmtId="0" fontId="2" fillId="2" borderId="37" xfId="0" applyFont="1" applyFill="1" applyBorder="1" applyAlignment="1">
      <alignment horizontal="justify" vertical="center" wrapText="1"/>
    </xf>
    <xf numFmtId="0" fontId="2" fillId="2" borderId="25" xfId="0" applyFont="1" applyFill="1" applyBorder="1" applyAlignment="1">
      <alignment horizontal="justify" vertical="center" wrapText="1"/>
    </xf>
    <xf numFmtId="0" fontId="2" fillId="2" borderId="38" xfId="0" applyFont="1" applyFill="1" applyBorder="1" applyAlignment="1">
      <alignment horizontal="justify" vertical="center" wrapText="1"/>
    </xf>
    <xf numFmtId="0" fontId="2" fillId="2" borderId="2" xfId="0" applyFont="1" applyFill="1" applyBorder="1" applyAlignment="1">
      <alignment horizontal="center" vertical="center" shrinkToFit="1"/>
    </xf>
    <xf numFmtId="0" fontId="2" fillId="2" borderId="4" xfId="0" applyFont="1" applyFill="1" applyBorder="1" applyAlignment="1">
      <alignment horizontal="center" vertical="center" shrinkToFit="1"/>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14" xfId="0" applyFont="1" applyFill="1" applyBorder="1" applyAlignment="1">
      <alignment horizontal="center" vertical="center"/>
    </xf>
    <xf numFmtId="0" fontId="6" fillId="2" borderId="0" xfId="0" applyFont="1" applyFill="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0" xfId="0" applyFont="1" applyFill="1" applyAlignment="1">
      <alignment horizontal="left" vertical="center" wrapText="1"/>
    </xf>
    <xf numFmtId="0" fontId="2" fillId="2" borderId="0" xfId="0" applyFont="1" applyFill="1" applyAlignment="1">
      <alignment horizontal="left" vertical="center" shrinkToFit="1"/>
    </xf>
    <xf numFmtId="0" fontId="2" fillId="2" borderId="2" xfId="0" applyFont="1" applyFill="1" applyBorder="1" applyAlignment="1">
      <alignment horizontal="justify" vertical="top" wrapText="1" shrinkToFit="1"/>
    </xf>
    <xf numFmtId="0" fontId="2" fillId="2" borderId="3" xfId="0" applyFont="1" applyFill="1" applyBorder="1" applyAlignment="1">
      <alignment horizontal="justify" vertical="top" wrapText="1" shrinkToFit="1"/>
    </xf>
    <xf numFmtId="0" fontId="2" fillId="2" borderId="4" xfId="0" applyFont="1" applyFill="1" applyBorder="1" applyAlignment="1">
      <alignment horizontal="justify" vertical="top" wrapText="1" shrinkToFit="1"/>
    </xf>
    <xf numFmtId="0" fontId="2" fillId="2" borderId="0" xfId="0" applyFont="1" applyFill="1" applyAlignment="1">
      <alignment vertical="center" wrapText="1"/>
    </xf>
    <xf numFmtId="0" fontId="2" fillId="2" borderId="6" xfId="0" applyFont="1" applyFill="1" applyBorder="1" applyAlignment="1">
      <alignment vertical="center" wrapText="1"/>
    </xf>
    <xf numFmtId="0" fontId="2" fillId="2" borderId="6" xfId="0" applyFont="1" applyFill="1" applyBorder="1">
      <alignment vertical="center"/>
    </xf>
    <xf numFmtId="0" fontId="2" fillId="2" borderId="0" xfId="0" applyFont="1" applyFill="1" applyAlignment="1">
      <alignment horizontal="center" vertical="center" shrinkToFit="1"/>
    </xf>
    <xf numFmtId="0" fontId="2" fillId="0" borderId="11" xfId="0" applyFont="1" applyFill="1" applyBorder="1" applyAlignment="1">
      <alignment vertical="center" wrapText="1"/>
    </xf>
    <xf numFmtId="0" fontId="2" fillId="0" borderId="6" xfId="0" applyFont="1" applyFill="1" applyBorder="1" applyAlignment="1">
      <alignment vertical="center" wrapText="1"/>
    </xf>
    <xf numFmtId="0" fontId="2" fillId="0" borderId="33" xfId="0" applyFont="1" applyFill="1" applyBorder="1" applyAlignment="1">
      <alignment vertical="center" wrapText="1"/>
    </xf>
    <xf numFmtId="0" fontId="2" fillId="0" borderId="34" xfId="0" applyFont="1" applyFill="1" applyBorder="1" applyAlignment="1">
      <alignment vertical="center" wrapText="1"/>
    </xf>
    <xf numFmtId="0" fontId="2" fillId="2" borderId="3" xfId="0" applyFont="1" applyFill="1" applyBorder="1" applyAlignment="1">
      <alignment horizontal="center" vertical="center"/>
    </xf>
    <xf numFmtId="0" fontId="2" fillId="2" borderId="0" xfId="0" applyFont="1" applyFill="1" applyAlignment="1">
      <alignment horizontal="right" vertical="center" shrinkToFit="1"/>
    </xf>
    <xf numFmtId="0" fontId="2" fillId="2" borderId="10" xfId="0" applyFont="1" applyFill="1" applyBorder="1" applyAlignment="1">
      <alignment horizontal="right" vertical="center" shrinkToFit="1"/>
    </xf>
    <xf numFmtId="0" fontId="2" fillId="2" borderId="7" xfId="0" applyFont="1" applyFill="1" applyBorder="1">
      <alignment vertical="center"/>
    </xf>
    <xf numFmtId="0" fontId="2" fillId="2" borderId="8" xfId="0" applyFont="1" applyFill="1" applyBorder="1">
      <alignment vertical="center"/>
    </xf>
    <xf numFmtId="0" fontId="2" fillId="2" borderId="9" xfId="0" applyFont="1" applyFill="1" applyBorder="1">
      <alignment vertical="center"/>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s>
  <tableStyles count="0" defaultTableStyle="TableStyleMedium9"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B72"/>
  <sheetViews>
    <sheetView showZeros="0" tabSelected="1" view="pageBreakPreview" zoomScaleNormal="100" zoomScaleSheetLayoutView="100" workbookViewId="0">
      <selection sqref="A1:Z1"/>
    </sheetView>
  </sheetViews>
  <sheetFormatPr defaultColWidth="9" defaultRowHeight="18.75" customHeight="1" x14ac:dyDescent="0.15"/>
  <cols>
    <col min="1" max="1" width="2.5" style="8" customWidth="1"/>
    <col min="2" max="2" width="28.25" style="8" customWidth="1"/>
    <col min="3" max="3" width="6.25" style="8" customWidth="1"/>
    <col min="4" max="4" width="80.625" style="8" customWidth="1"/>
    <col min="5" max="5" width="6.5" style="8" bestFit="1" customWidth="1"/>
    <col min="6" max="26" width="5.625" style="8" customWidth="1"/>
    <col min="27" max="27" width="9" style="8" customWidth="1"/>
    <col min="28" max="16384" width="9" style="8"/>
  </cols>
  <sheetData>
    <row r="1" spans="1:28" ht="18.75" customHeight="1" x14ac:dyDescent="0.15">
      <c r="A1" s="128" t="s">
        <v>109</v>
      </c>
      <c r="B1" s="128"/>
      <c r="C1" s="128"/>
      <c r="D1" s="128"/>
      <c r="E1" s="128"/>
      <c r="F1" s="128"/>
      <c r="G1" s="128"/>
      <c r="H1" s="128"/>
      <c r="I1" s="128"/>
      <c r="J1" s="128"/>
      <c r="K1" s="128"/>
      <c r="L1" s="128"/>
      <c r="M1" s="128"/>
      <c r="N1" s="128"/>
      <c r="O1" s="128"/>
      <c r="P1" s="128"/>
      <c r="Q1" s="128"/>
      <c r="R1" s="128"/>
      <c r="S1" s="128"/>
      <c r="T1" s="128"/>
      <c r="U1" s="128"/>
      <c r="V1" s="128"/>
      <c r="W1" s="128"/>
      <c r="X1" s="128"/>
      <c r="Y1" s="128"/>
      <c r="Z1" s="128"/>
    </row>
    <row r="3" spans="1:28" ht="18.600000000000001" customHeight="1" x14ac:dyDescent="0.15">
      <c r="Y3" s="128" t="s">
        <v>12</v>
      </c>
      <c r="Z3" s="128"/>
      <c r="AA3" s="9"/>
      <c r="AB3" s="13"/>
    </row>
    <row r="4" spans="1:28" ht="18.75" customHeight="1" x14ac:dyDescent="0.15">
      <c r="B4" s="133" t="s">
        <v>85</v>
      </c>
      <c r="C4" s="134"/>
      <c r="D4" s="66" t="s">
        <v>129</v>
      </c>
      <c r="P4" s="9"/>
      <c r="Q4" s="41"/>
      <c r="R4" s="41"/>
      <c r="S4" s="41"/>
      <c r="T4" s="41"/>
      <c r="U4" s="41"/>
      <c r="V4" s="41"/>
      <c r="W4" s="41"/>
      <c r="X4" s="41"/>
      <c r="Y4" s="41"/>
      <c r="Z4" s="41"/>
    </row>
    <row r="5" spans="1:28" ht="18.75" customHeight="1" x14ac:dyDescent="0.15">
      <c r="B5" s="133" t="s">
        <v>81</v>
      </c>
      <c r="C5" s="134"/>
      <c r="D5" s="66" t="s">
        <v>145</v>
      </c>
      <c r="P5" s="9"/>
      <c r="Q5" s="41"/>
      <c r="R5" s="41"/>
      <c r="S5" s="41"/>
      <c r="T5" s="41"/>
      <c r="U5" s="41"/>
      <c r="V5" s="41"/>
      <c r="W5" s="41"/>
      <c r="X5" s="41"/>
      <c r="Y5" s="41"/>
      <c r="Z5" s="41"/>
    </row>
    <row r="6" spans="1:28" ht="15" customHeight="1" x14ac:dyDescent="0.15">
      <c r="Q6" s="9"/>
      <c r="R6" s="28"/>
      <c r="S6" s="28"/>
      <c r="T6" s="28"/>
      <c r="U6" s="28"/>
      <c r="V6" s="28"/>
      <c r="W6" s="28"/>
      <c r="X6" s="28"/>
      <c r="Y6" s="28"/>
      <c r="Z6" s="28"/>
    </row>
    <row r="7" spans="1:28" ht="18" customHeight="1" x14ac:dyDescent="0.15">
      <c r="A7" s="132" t="s">
        <v>93</v>
      </c>
      <c r="B7" s="132"/>
      <c r="C7" s="132"/>
      <c r="D7" s="132"/>
      <c r="E7" s="132"/>
      <c r="F7" s="132"/>
      <c r="G7" s="132"/>
      <c r="H7" s="132"/>
      <c r="I7" s="132"/>
      <c r="J7" s="132"/>
      <c r="K7" s="132"/>
      <c r="L7" s="132"/>
      <c r="M7" s="132"/>
      <c r="N7" s="132"/>
      <c r="O7" s="132"/>
      <c r="P7" s="132"/>
      <c r="Q7" s="132"/>
      <c r="R7" s="132"/>
      <c r="S7" s="132"/>
      <c r="T7" s="132"/>
      <c r="U7" s="132"/>
      <c r="V7" s="132"/>
      <c r="W7" s="132"/>
      <c r="X7" s="132"/>
      <c r="Y7" s="132"/>
      <c r="Z7" s="132"/>
    </row>
    <row r="8" spans="1:28" ht="18" customHeight="1" x14ac:dyDescent="0.15">
      <c r="A8" s="11"/>
      <c r="B8" s="11"/>
      <c r="C8" s="11"/>
      <c r="D8" s="11"/>
      <c r="E8" s="11"/>
      <c r="F8" s="11"/>
      <c r="G8" s="11"/>
      <c r="H8" s="11"/>
      <c r="I8" s="11"/>
      <c r="J8" s="11"/>
      <c r="K8" s="11"/>
      <c r="L8" s="11"/>
      <c r="M8" s="11"/>
      <c r="N8" s="11"/>
      <c r="O8" s="11"/>
      <c r="P8" s="11"/>
      <c r="Q8" s="11"/>
      <c r="R8" s="11"/>
      <c r="S8" s="11"/>
      <c r="T8" s="11"/>
      <c r="U8" s="11"/>
      <c r="V8" s="11"/>
      <c r="W8" s="11"/>
      <c r="X8" s="11"/>
      <c r="Y8" s="11"/>
      <c r="Z8" s="11"/>
    </row>
    <row r="9" spans="1:28" ht="20.25" customHeight="1" x14ac:dyDescent="0.15">
      <c r="A9" s="129" t="s">
        <v>95</v>
      </c>
      <c r="B9" s="129"/>
      <c r="D9" s="6" t="s">
        <v>130</v>
      </c>
    </row>
    <row r="10" spans="1:28" ht="20.25" customHeight="1" x14ac:dyDescent="0.15">
      <c r="B10" s="12"/>
      <c r="C10" s="12"/>
      <c r="D10" s="12"/>
      <c r="Q10" s="12"/>
      <c r="R10" s="12"/>
      <c r="S10" s="12"/>
      <c r="T10" s="12"/>
      <c r="U10" s="12"/>
      <c r="V10" s="12"/>
      <c r="W10" s="12"/>
      <c r="X10" s="12"/>
      <c r="Y10" s="12"/>
      <c r="Z10" s="12"/>
    </row>
    <row r="11" spans="1:28" ht="20.25" customHeight="1" x14ac:dyDescent="0.15">
      <c r="A11" s="129" t="s">
        <v>90</v>
      </c>
      <c r="B11" s="129"/>
      <c r="D11" s="65"/>
    </row>
    <row r="12" spans="1:28" ht="20.25" customHeight="1" x14ac:dyDescent="0.15">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8" ht="20.25" customHeight="1" x14ac:dyDescent="0.15">
      <c r="A13" s="130" t="s">
        <v>96</v>
      </c>
      <c r="B13" s="130"/>
      <c r="C13" s="12"/>
      <c r="D13" s="66" t="s">
        <v>163</v>
      </c>
      <c r="E13" s="41"/>
      <c r="F13" s="41"/>
      <c r="G13" s="41"/>
      <c r="H13" s="41"/>
      <c r="I13" s="41"/>
      <c r="J13" s="41"/>
      <c r="K13" s="41"/>
      <c r="L13" s="41"/>
      <c r="M13" s="41"/>
      <c r="N13" s="41"/>
      <c r="O13" s="41"/>
      <c r="P13" s="41"/>
      <c r="Q13" s="67"/>
      <c r="R13" s="67"/>
      <c r="S13" s="67"/>
      <c r="T13" s="67"/>
      <c r="U13" s="67"/>
      <c r="V13" s="67"/>
      <c r="W13" s="67"/>
      <c r="X13" s="67"/>
      <c r="Y13" s="67"/>
      <c r="Z13" s="67"/>
    </row>
    <row r="14" spans="1:28" ht="20.25" customHeight="1" x14ac:dyDescent="0.15">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8" ht="132" customHeight="1" x14ac:dyDescent="0.15">
      <c r="A15" s="131" t="s">
        <v>97</v>
      </c>
      <c r="B15" s="131"/>
      <c r="C15" s="12"/>
      <c r="D15" s="68" t="s">
        <v>155</v>
      </c>
      <c r="E15" s="16"/>
      <c r="F15" s="16"/>
      <c r="G15" s="16"/>
      <c r="H15" s="16"/>
      <c r="I15" s="16"/>
      <c r="J15" s="16"/>
      <c r="K15" s="16"/>
      <c r="L15" s="16"/>
      <c r="M15" s="16"/>
      <c r="N15" s="16"/>
      <c r="O15" s="16"/>
      <c r="P15" s="16"/>
      <c r="Q15" s="16"/>
      <c r="R15" s="16"/>
      <c r="S15" s="16"/>
      <c r="T15" s="16"/>
      <c r="U15" s="16"/>
      <c r="V15" s="16"/>
      <c r="W15" s="16"/>
      <c r="X15" s="16"/>
      <c r="Y15" s="16"/>
      <c r="Z15" s="16"/>
    </row>
    <row r="16" spans="1:28" ht="13.15" customHeight="1" x14ac:dyDescent="0.15">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20.25" customHeight="1" x14ac:dyDescent="0.15">
      <c r="A17" s="8" t="s">
        <v>113</v>
      </c>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0.15" customHeight="1" x14ac:dyDescent="0.15">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20.25" customHeight="1" x14ac:dyDescent="0.15">
      <c r="B19" s="9" t="s">
        <v>114</v>
      </c>
      <c r="C19" s="109">
        <v>2</v>
      </c>
      <c r="D19" s="10" t="s">
        <v>87</v>
      </c>
      <c r="G19" s="12"/>
      <c r="H19" s="12"/>
      <c r="I19" s="12"/>
      <c r="J19" s="12"/>
      <c r="K19" s="12"/>
      <c r="L19" s="12"/>
      <c r="M19" s="12"/>
      <c r="N19" s="12"/>
      <c r="O19" s="12"/>
      <c r="P19" s="12"/>
      <c r="Q19" s="12"/>
      <c r="R19" s="12"/>
      <c r="S19" s="12"/>
      <c r="T19" s="12"/>
      <c r="U19" s="12"/>
      <c r="V19" s="12"/>
      <c r="W19" s="12"/>
      <c r="X19" s="12"/>
      <c r="Y19" s="12"/>
      <c r="Z19" s="12"/>
    </row>
    <row r="20" spans="1:26" ht="20.25" customHeight="1" x14ac:dyDescent="0.15">
      <c r="B20" s="12"/>
      <c r="C20" s="109">
        <v>3</v>
      </c>
      <c r="D20" s="10" t="s">
        <v>88</v>
      </c>
      <c r="G20" s="12"/>
      <c r="H20" s="12"/>
      <c r="I20" s="12"/>
      <c r="J20" s="12"/>
      <c r="K20" s="12"/>
      <c r="L20" s="12"/>
      <c r="M20" s="12"/>
      <c r="N20" s="12"/>
      <c r="O20" s="12"/>
      <c r="P20" s="12"/>
      <c r="Q20" s="12"/>
      <c r="R20" s="12"/>
      <c r="S20" s="12"/>
      <c r="T20" s="12"/>
      <c r="U20" s="12"/>
      <c r="V20" s="12"/>
      <c r="W20" s="12"/>
      <c r="X20" s="12"/>
      <c r="Y20" s="12"/>
      <c r="Z20" s="12"/>
    </row>
    <row r="21" spans="1:26" ht="20.25" customHeight="1" thickBot="1" x14ac:dyDescent="0.2">
      <c r="F21" s="135" t="s">
        <v>117</v>
      </c>
      <c r="G21" s="136"/>
      <c r="H21" s="136"/>
      <c r="I21" s="136"/>
      <c r="J21" s="136"/>
      <c r="K21" s="136"/>
      <c r="L21" s="136"/>
      <c r="M21" s="136"/>
      <c r="N21" s="136"/>
      <c r="O21" s="136"/>
      <c r="P21" s="136"/>
      <c r="Q21" s="136"/>
      <c r="R21" s="136"/>
      <c r="S21" s="136"/>
      <c r="T21" s="136"/>
      <c r="U21" s="136"/>
      <c r="V21" s="136"/>
      <c r="W21" s="136"/>
      <c r="X21" s="136"/>
      <c r="Y21" s="136"/>
      <c r="Z21" s="137"/>
    </row>
    <row r="22" spans="1:26" ht="18" customHeight="1" x14ac:dyDescent="0.15">
      <c r="B22" s="17"/>
      <c r="C22" s="17"/>
      <c r="D22" s="5" t="s">
        <v>48</v>
      </c>
      <c r="E22" s="69" t="s">
        <v>70</v>
      </c>
      <c r="F22" s="70" t="s">
        <v>50</v>
      </c>
      <c r="G22" s="71" t="s">
        <v>61</v>
      </c>
      <c r="H22" s="71" t="s">
        <v>62</v>
      </c>
      <c r="I22" s="71" t="s">
        <v>63</v>
      </c>
      <c r="J22" s="71" t="s">
        <v>64</v>
      </c>
      <c r="K22" s="71" t="s">
        <v>53</v>
      </c>
      <c r="L22" s="71" t="s">
        <v>80</v>
      </c>
      <c r="M22" s="71" t="s">
        <v>65</v>
      </c>
      <c r="N22" s="71" t="s">
        <v>66</v>
      </c>
      <c r="O22" s="71" t="s">
        <v>52</v>
      </c>
      <c r="P22" s="72" t="s">
        <v>54</v>
      </c>
      <c r="Q22" s="73" t="s">
        <v>98</v>
      </c>
      <c r="R22" s="74" t="s">
        <v>99</v>
      </c>
      <c r="S22" s="74" t="s">
        <v>100</v>
      </c>
      <c r="T22" s="74" t="s">
        <v>101</v>
      </c>
      <c r="U22" s="74" t="s">
        <v>102</v>
      </c>
      <c r="V22" s="74" t="s">
        <v>103</v>
      </c>
      <c r="W22" s="74" t="s">
        <v>104</v>
      </c>
      <c r="X22" s="74" t="s">
        <v>105</v>
      </c>
      <c r="Y22" s="74" t="s">
        <v>106</v>
      </c>
      <c r="Z22" s="75" t="s">
        <v>107</v>
      </c>
    </row>
    <row r="23" spans="1:26" ht="18" customHeight="1" x14ac:dyDescent="0.15">
      <c r="B23" s="124" t="s">
        <v>125</v>
      </c>
      <c r="C23" s="125"/>
      <c r="D23" s="76" t="s">
        <v>131</v>
      </c>
      <c r="E23" s="110">
        <v>1</v>
      </c>
      <c r="F23" s="77" t="s">
        <v>132</v>
      </c>
      <c r="G23" s="78" t="s">
        <v>132</v>
      </c>
      <c r="H23" s="78" t="s">
        <v>132</v>
      </c>
      <c r="I23" s="78" t="s">
        <v>132</v>
      </c>
      <c r="J23" s="78" t="s">
        <v>132</v>
      </c>
      <c r="K23" s="78" t="s">
        <v>132</v>
      </c>
      <c r="L23" s="78"/>
      <c r="M23" s="78"/>
      <c r="N23" s="78"/>
      <c r="O23" s="78" t="s">
        <v>132</v>
      </c>
      <c r="P23" s="79" t="s">
        <v>132</v>
      </c>
      <c r="Q23" s="80"/>
      <c r="R23" s="78"/>
      <c r="S23" s="78"/>
      <c r="T23" s="78"/>
      <c r="U23" s="78"/>
      <c r="V23" s="78"/>
      <c r="W23" s="78"/>
      <c r="X23" s="78"/>
      <c r="Y23" s="78"/>
      <c r="Z23" s="78"/>
    </row>
    <row r="24" spans="1:26" ht="18" customHeight="1" x14ac:dyDescent="0.15">
      <c r="B24" s="126"/>
      <c r="C24" s="127"/>
      <c r="D24" s="81" t="s">
        <v>156</v>
      </c>
      <c r="E24" s="111">
        <v>2</v>
      </c>
      <c r="F24" s="82" t="s">
        <v>132</v>
      </c>
      <c r="G24" s="83" t="s">
        <v>157</v>
      </c>
      <c r="H24" s="83"/>
      <c r="I24" s="83" t="s">
        <v>157</v>
      </c>
      <c r="J24" s="83"/>
      <c r="K24" s="83"/>
      <c r="L24" s="83" t="s">
        <v>157</v>
      </c>
      <c r="M24" s="83" t="s">
        <v>157</v>
      </c>
      <c r="N24" s="83" t="s">
        <v>157</v>
      </c>
      <c r="O24" s="83"/>
      <c r="P24" s="84"/>
      <c r="Q24" s="85"/>
      <c r="R24" s="83"/>
      <c r="S24" s="83"/>
      <c r="T24" s="83"/>
      <c r="U24" s="83"/>
      <c r="V24" s="83"/>
      <c r="W24" s="83"/>
      <c r="X24" s="83"/>
      <c r="Y24" s="83"/>
      <c r="Z24" s="83"/>
    </row>
    <row r="25" spans="1:26" ht="18" customHeight="1" x14ac:dyDescent="0.15">
      <c r="B25" s="126"/>
      <c r="C25" s="127"/>
      <c r="D25" s="81"/>
      <c r="E25" s="111"/>
      <c r="F25" s="82"/>
      <c r="G25" s="83"/>
      <c r="H25" s="83"/>
      <c r="I25" s="83"/>
      <c r="J25" s="83"/>
      <c r="K25" s="83"/>
      <c r="L25" s="83"/>
      <c r="M25" s="83"/>
      <c r="N25" s="83"/>
      <c r="O25" s="83"/>
      <c r="P25" s="84"/>
      <c r="Q25" s="85"/>
      <c r="R25" s="83"/>
      <c r="S25" s="83"/>
      <c r="T25" s="83"/>
      <c r="U25" s="83"/>
      <c r="V25" s="83"/>
      <c r="W25" s="83"/>
      <c r="X25" s="83"/>
      <c r="Y25" s="83"/>
      <c r="Z25" s="83"/>
    </row>
    <row r="26" spans="1:26" ht="18" customHeight="1" x14ac:dyDescent="0.15">
      <c r="B26" s="126"/>
      <c r="C26" s="127"/>
      <c r="D26" s="81"/>
      <c r="E26" s="111"/>
      <c r="F26" s="82"/>
      <c r="G26" s="83"/>
      <c r="H26" s="83"/>
      <c r="I26" s="83"/>
      <c r="J26" s="83"/>
      <c r="K26" s="83"/>
      <c r="L26" s="83"/>
      <c r="M26" s="83"/>
      <c r="N26" s="83"/>
      <c r="O26" s="83"/>
      <c r="P26" s="84"/>
      <c r="Q26" s="85"/>
      <c r="R26" s="83"/>
      <c r="S26" s="83"/>
      <c r="T26" s="83"/>
      <c r="U26" s="83"/>
      <c r="V26" s="83"/>
      <c r="W26" s="83"/>
      <c r="X26" s="83"/>
      <c r="Y26" s="83"/>
      <c r="Z26" s="83"/>
    </row>
    <row r="27" spans="1:26" ht="18" customHeight="1" x14ac:dyDescent="0.15">
      <c r="B27" s="126"/>
      <c r="C27" s="127"/>
      <c r="D27" s="81"/>
      <c r="E27" s="111"/>
      <c r="F27" s="82"/>
      <c r="G27" s="83"/>
      <c r="H27" s="83"/>
      <c r="I27" s="83"/>
      <c r="J27" s="83"/>
      <c r="K27" s="83"/>
      <c r="L27" s="83"/>
      <c r="M27" s="83"/>
      <c r="N27" s="83"/>
      <c r="O27" s="83"/>
      <c r="P27" s="84"/>
      <c r="Q27" s="85"/>
      <c r="R27" s="83"/>
      <c r="S27" s="83"/>
      <c r="T27" s="83"/>
      <c r="U27" s="83"/>
      <c r="V27" s="83"/>
      <c r="W27" s="83"/>
      <c r="X27" s="83"/>
      <c r="Y27" s="83"/>
      <c r="Z27" s="83"/>
    </row>
    <row r="28" spans="1:26" ht="18" customHeight="1" x14ac:dyDescent="0.15">
      <c r="B28" s="126"/>
      <c r="C28" s="127"/>
      <c r="D28" s="81"/>
      <c r="E28" s="111"/>
      <c r="F28" s="82"/>
      <c r="G28" s="83"/>
      <c r="H28" s="83"/>
      <c r="I28" s="83"/>
      <c r="J28" s="83"/>
      <c r="K28" s="83"/>
      <c r="L28" s="83"/>
      <c r="M28" s="83"/>
      <c r="N28" s="83"/>
      <c r="O28" s="83"/>
      <c r="P28" s="84"/>
      <c r="Q28" s="85"/>
      <c r="R28" s="83"/>
      <c r="S28" s="83"/>
      <c r="T28" s="83"/>
      <c r="U28" s="83"/>
      <c r="V28" s="83"/>
      <c r="W28" s="83"/>
      <c r="X28" s="83"/>
      <c r="Y28" s="83"/>
      <c r="Z28" s="83"/>
    </row>
    <row r="29" spans="1:26" ht="18" customHeight="1" x14ac:dyDescent="0.15">
      <c r="B29" s="126"/>
      <c r="C29" s="127"/>
      <c r="D29" s="81"/>
      <c r="E29" s="111"/>
      <c r="F29" s="82"/>
      <c r="G29" s="83"/>
      <c r="H29" s="83"/>
      <c r="I29" s="83"/>
      <c r="J29" s="83"/>
      <c r="K29" s="83"/>
      <c r="L29" s="83"/>
      <c r="M29" s="83"/>
      <c r="N29" s="83"/>
      <c r="O29" s="83"/>
      <c r="P29" s="84"/>
      <c r="Q29" s="85"/>
      <c r="R29" s="83"/>
      <c r="S29" s="83"/>
      <c r="T29" s="83"/>
      <c r="U29" s="83"/>
      <c r="V29" s="83"/>
      <c r="W29" s="83"/>
      <c r="X29" s="83"/>
      <c r="Y29" s="83"/>
      <c r="Z29" s="83"/>
    </row>
    <row r="30" spans="1:26" ht="18" customHeight="1" x14ac:dyDescent="0.15">
      <c r="B30" s="126"/>
      <c r="C30" s="127"/>
      <c r="D30" s="81"/>
      <c r="E30" s="111"/>
      <c r="F30" s="82"/>
      <c r="G30" s="83"/>
      <c r="H30" s="83"/>
      <c r="I30" s="83"/>
      <c r="J30" s="83"/>
      <c r="K30" s="83"/>
      <c r="L30" s="83"/>
      <c r="M30" s="83"/>
      <c r="N30" s="83"/>
      <c r="O30" s="83"/>
      <c r="P30" s="84"/>
      <c r="Q30" s="85"/>
      <c r="R30" s="83"/>
      <c r="S30" s="83"/>
      <c r="T30" s="83"/>
      <c r="U30" s="83"/>
      <c r="V30" s="83"/>
      <c r="W30" s="83"/>
      <c r="X30" s="83"/>
      <c r="Y30" s="83"/>
      <c r="Z30" s="83"/>
    </row>
    <row r="31" spans="1:26" ht="18" customHeight="1" x14ac:dyDescent="0.15">
      <c r="B31" s="126"/>
      <c r="C31" s="127"/>
      <c r="D31" s="81"/>
      <c r="E31" s="111"/>
      <c r="F31" s="82"/>
      <c r="G31" s="83"/>
      <c r="H31" s="83"/>
      <c r="I31" s="83"/>
      <c r="J31" s="83"/>
      <c r="K31" s="83"/>
      <c r="L31" s="83"/>
      <c r="M31" s="83"/>
      <c r="N31" s="83"/>
      <c r="O31" s="83"/>
      <c r="P31" s="84"/>
      <c r="Q31" s="85"/>
      <c r="R31" s="83"/>
      <c r="S31" s="83"/>
      <c r="T31" s="83"/>
      <c r="U31" s="83"/>
      <c r="V31" s="83"/>
      <c r="W31" s="83"/>
      <c r="X31" s="83"/>
      <c r="Y31" s="83"/>
      <c r="Z31" s="83"/>
    </row>
    <row r="32" spans="1:26" ht="18" customHeight="1" x14ac:dyDescent="0.15">
      <c r="B32" s="126"/>
      <c r="C32" s="127"/>
      <c r="D32" s="86"/>
      <c r="E32" s="112"/>
      <c r="F32" s="87"/>
      <c r="G32" s="88"/>
      <c r="H32" s="88"/>
      <c r="I32" s="88"/>
      <c r="J32" s="88"/>
      <c r="K32" s="88"/>
      <c r="L32" s="88"/>
      <c r="M32" s="88"/>
      <c r="N32" s="88"/>
      <c r="O32" s="88"/>
      <c r="P32" s="89"/>
      <c r="Q32" s="90"/>
      <c r="R32" s="88"/>
      <c r="S32" s="88"/>
      <c r="T32" s="88"/>
      <c r="U32" s="88"/>
      <c r="V32" s="88"/>
      <c r="W32" s="88"/>
      <c r="X32" s="88"/>
      <c r="Y32" s="88"/>
      <c r="Z32" s="88"/>
    </row>
    <row r="33" spans="2:26" ht="18" customHeight="1" x14ac:dyDescent="0.15">
      <c r="B33" s="124" t="s">
        <v>126</v>
      </c>
      <c r="C33" s="125"/>
      <c r="D33" s="91"/>
      <c r="E33" s="113"/>
      <c r="F33" s="92"/>
      <c r="G33" s="93"/>
      <c r="H33" s="93"/>
      <c r="I33" s="93"/>
      <c r="J33" s="93"/>
      <c r="K33" s="93"/>
      <c r="L33" s="93"/>
      <c r="M33" s="93"/>
      <c r="N33" s="93"/>
      <c r="O33" s="93"/>
      <c r="P33" s="94"/>
      <c r="Q33" s="95"/>
      <c r="R33" s="93"/>
      <c r="S33" s="93"/>
      <c r="T33" s="93"/>
      <c r="U33" s="93"/>
      <c r="V33" s="93"/>
      <c r="W33" s="93"/>
      <c r="X33" s="93"/>
      <c r="Y33" s="93"/>
      <c r="Z33" s="93"/>
    </row>
    <row r="34" spans="2:26" ht="18" customHeight="1" x14ac:dyDescent="0.15">
      <c r="B34" s="126"/>
      <c r="C34" s="127"/>
      <c r="D34" s="81"/>
      <c r="E34" s="111"/>
      <c r="F34" s="82"/>
      <c r="G34" s="83"/>
      <c r="H34" s="83"/>
      <c r="I34" s="83"/>
      <c r="J34" s="83"/>
      <c r="K34" s="83"/>
      <c r="L34" s="83"/>
      <c r="M34" s="83"/>
      <c r="N34" s="83"/>
      <c r="O34" s="83"/>
      <c r="P34" s="84"/>
      <c r="Q34" s="85"/>
      <c r="R34" s="83"/>
      <c r="S34" s="83"/>
      <c r="T34" s="83"/>
      <c r="U34" s="83"/>
      <c r="V34" s="83"/>
      <c r="W34" s="83"/>
      <c r="X34" s="83"/>
      <c r="Y34" s="83"/>
      <c r="Z34" s="83"/>
    </row>
    <row r="35" spans="2:26" ht="18" customHeight="1" x14ac:dyDescent="0.15">
      <c r="B35" s="126"/>
      <c r="C35" s="127"/>
      <c r="D35" s="81"/>
      <c r="E35" s="111"/>
      <c r="F35" s="82"/>
      <c r="G35" s="83"/>
      <c r="H35" s="83"/>
      <c r="I35" s="83"/>
      <c r="J35" s="83"/>
      <c r="K35" s="83"/>
      <c r="L35" s="83"/>
      <c r="M35" s="83"/>
      <c r="N35" s="83"/>
      <c r="O35" s="83"/>
      <c r="P35" s="84"/>
      <c r="Q35" s="85"/>
      <c r="R35" s="83"/>
      <c r="S35" s="83"/>
      <c r="T35" s="83"/>
      <c r="U35" s="83"/>
      <c r="V35" s="83"/>
      <c r="W35" s="83"/>
      <c r="X35" s="83"/>
      <c r="Y35" s="83"/>
      <c r="Z35" s="83"/>
    </row>
    <row r="36" spans="2:26" ht="18" customHeight="1" x14ac:dyDescent="0.15">
      <c r="B36" s="126"/>
      <c r="C36" s="127"/>
      <c r="D36" s="81"/>
      <c r="E36" s="111"/>
      <c r="F36" s="82"/>
      <c r="G36" s="83"/>
      <c r="H36" s="83"/>
      <c r="I36" s="83"/>
      <c r="J36" s="83"/>
      <c r="K36" s="83"/>
      <c r="L36" s="83"/>
      <c r="M36" s="83"/>
      <c r="N36" s="83"/>
      <c r="O36" s="83"/>
      <c r="P36" s="84"/>
      <c r="Q36" s="85"/>
      <c r="R36" s="83"/>
      <c r="S36" s="83"/>
      <c r="T36" s="83"/>
      <c r="U36" s="83"/>
      <c r="V36" s="83"/>
      <c r="W36" s="83"/>
      <c r="X36" s="83"/>
      <c r="Y36" s="83"/>
      <c r="Z36" s="83"/>
    </row>
    <row r="37" spans="2:26" ht="18" customHeight="1" x14ac:dyDescent="0.15">
      <c r="B37" s="126"/>
      <c r="C37" s="127"/>
      <c r="D37" s="81"/>
      <c r="E37" s="111"/>
      <c r="F37" s="82"/>
      <c r="G37" s="83"/>
      <c r="H37" s="83"/>
      <c r="I37" s="83"/>
      <c r="J37" s="83"/>
      <c r="K37" s="83"/>
      <c r="L37" s="83"/>
      <c r="M37" s="83"/>
      <c r="N37" s="83"/>
      <c r="O37" s="83"/>
      <c r="P37" s="84"/>
      <c r="Q37" s="85"/>
      <c r="R37" s="83"/>
      <c r="S37" s="83"/>
      <c r="T37" s="83"/>
      <c r="U37" s="83"/>
      <c r="V37" s="83"/>
      <c r="W37" s="83"/>
      <c r="X37" s="83"/>
      <c r="Y37" s="83"/>
      <c r="Z37" s="83"/>
    </row>
    <row r="38" spans="2:26" ht="18" customHeight="1" x14ac:dyDescent="0.15">
      <c r="B38" s="126"/>
      <c r="C38" s="127"/>
      <c r="D38" s="81"/>
      <c r="E38" s="111"/>
      <c r="F38" s="82"/>
      <c r="G38" s="83"/>
      <c r="H38" s="83"/>
      <c r="I38" s="83"/>
      <c r="J38" s="83"/>
      <c r="K38" s="83"/>
      <c r="L38" s="83"/>
      <c r="M38" s="83"/>
      <c r="N38" s="83"/>
      <c r="O38" s="83"/>
      <c r="P38" s="84"/>
      <c r="Q38" s="85"/>
      <c r="R38" s="83"/>
      <c r="S38" s="83"/>
      <c r="T38" s="83"/>
      <c r="U38" s="83"/>
      <c r="V38" s="83"/>
      <c r="W38" s="83"/>
      <c r="X38" s="83"/>
      <c r="Y38" s="83"/>
      <c r="Z38" s="83"/>
    </row>
    <row r="39" spans="2:26" ht="18" customHeight="1" x14ac:dyDescent="0.15">
      <c r="B39" s="126"/>
      <c r="C39" s="127"/>
      <c r="D39" s="81"/>
      <c r="E39" s="111"/>
      <c r="F39" s="82"/>
      <c r="G39" s="83"/>
      <c r="H39" s="83"/>
      <c r="I39" s="83"/>
      <c r="J39" s="83"/>
      <c r="K39" s="83"/>
      <c r="L39" s="83"/>
      <c r="M39" s="83"/>
      <c r="N39" s="83"/>
      <c r="O39" s="83"/>
      <c r="P39" s="84"/>
      <c r="Q39" s="85"/>
      <c r="R39" s="83"/>
      <c r="S39" s="83"/>
      <c r="T39" s="83"/>
      <c r="U39" s="83"/>
      <c r="V39" s="83"/>
      <c r="W39" s="83"/>
      <c r="X39" s="83"/>
      <c r="Y39" s="83"/>
      <c r="Z39" s="83"/>
    </row>
    <row r="40" spans="2:26" ht="18" customHeight="1" x14ac:dyDescent="0.15">
      <c r="B40" s="126"/>
      <c r="C40" s="127"/>
      <c r="D40" s="81"/>
      <c r="E40" s="111"/>
      <c r="F40" s="82"/>
      <c r="G40" s="83"/>
      <c r="H40" s="83"/>
      <c r="I40" s="83"/>
      <c r="J40" s="83"/>
      <c r="K40" s="83"/>
      <c r="L40" s="83"/>
      <c r="M40" s="83"/>
      <c r="N40" s="83"/>
      <c r="O40" s="83"/>
      <c r="P40" s="84"/>
      <c r="Q40" s="85"/>
      <c r="R40" s="83"/>
      <c r="S40" s="83"/>
      <c r="T40" s="83"/>
      <c r="U40" s="83"/>
      <c r="V40" s="83"/>
      <c r="W40" s="83"/>
      <c r="X40" s="83"/>
      <c r="Y40" s="83"/>
      <c r="Z40" s="83"/>
    </row>
    <row r="41" spans="2:26" ht="18" customHeight="1" x14ac:dyDescent="0.15">
      <c r="B41" s="126"/>
      <c r="C41" s="127"/>
      <c r="D41" s="81"/>
      <c r="E41" s="111"/>
      <c r="F41" s="82"/>
      <c r="G41" s="83"/>
      <c r="H41" s="83"/>
      <c r="I41" s="83"/>
      <c r="J41" s="83"/>
      <c r="K41" s="83"/>
      <c r="L41" s="83"/>
      <c r="M41" s="83"/>
      <c r="N41" s="83"/>
      <c r="O41" s="83"/>
      <c r="P41" s="84"/>
      <c r="Q41" s="85"/>
      <c r="R41" s="83"/>
      <c r="S41" s="83"/>
      <c r="T41" s="83"/>
      <c r="U41" s="83"/>
      <c r="V41" s="83"/>
      <c r="W41" s="83"/>
      <c r="X41" s="83"/>
      <c r="Y41" s="83"/>
      <c r="Z41" s="83"/>
    </row>
    <row r="42" spans="2:26" ht="18" customHeight="1" x14ac:dyDescent="0.15">
      <c r="B42" s="138"/>
      <c r="C42" s="139"/>
      <c r="D42" s="86"/>
      <c r="E42" s="114"/>
      <c r="F42" s="87"/>
      <c r="G42" s="88"/>
      <c r="H42" s="88"/>
      <c r="I42" s="88"/>
      <c r="J42" s="88"/>
      <c r="K42" s="88"/>
      <c r="L42" s="88"/>
      <c r="M42" s="88"/>
      <c r="N42" s="88"/>
      <c r="O42" s="88"/>
      <c r="P42" s="89"/>
      <c r="Q42" s="90"/>
      <c r="R42" s="88"/>
      <c r="S42" s="88"/>
      <c r="T42" s="88"/>
      <c r="U42" s="88"/>
      <c r="V42" s="88"/>
      <c r="W42" s="88"/>
      <c r="X42" s="88"/>
      <c r="Y42" s="88"/>
      <c r="Z42" s="88"/>
    </row>
    <row r="43" spans="2:26" ht="18" customHeight="1" x14ac:dyDescent="0.15">
      <c r="B43" s="140" t="s">
        <v>127</v>
      </c>
      <c r="C43" s="141"/>
      <c r="D43" s="81"/>
      <c r="E43" s="111"/>
      <c r="F43" s="82"/>
      <c r="G43" s="83"/>
      <c r="H43" s="83"/>
      <c r="I43" s="83"/>
      <c r="J43" s="83"/>
      <c r="K43" s="83"/>
      <c r="L43" s="83"/>
      <c r="M43" s="83"/>
      <c r="N43" s="83"/>
      <c r="O43" s="83"/>
      <c r="P43" s="84"/>
      <c r="Q43" s="85"/>
      <c r="R43" s="83"/>
      <c r="S43" s="83"/>
      <c r="T43" s="83"/>
      <c r="U43" s="83"/>
      <c r="V43" s="83"/>
      <c r="W43" s="83"/>
      <c r="X43" s="83"/>
      <c r="Y43" s="83"/>
      <c r="Z43" s="83"/>
    </row>
    <row r="44" spans="2:26" ht="18" customHeight="1" x14ac:dyDescent="0.15">
      <c r="B44" s="140"/>
      <c r="C44" s="141"/>
      <c r="D44" s="81"/>
      <c r="E44" s="111"/>
      <c r="F44" s="82"/>
      <c r="G44" s="83"/>
      <c r="H44" s="83"/>
      <c r="I44" s="83"/>
      <c r="J44" s="83"/>
      <c r="K44" s="83"/>
      <c r="L44" s="83"/>
      <c r="M44" s="83"/>
      <c r="N44" s="83"/>
      <c r="O44" s="83"/>
      <c r="P44" s="84"/>
      <c r="Q44" s="85"/>
      <c r="R44" s="83"/>
      <c r="S44" s="83"/>
      <c r="T44" s="83"/>
      <c r="U44" s="83"/>
      <c r="V44" s="83"/>
      <c r="W44" s="83"/>
      <c r="X44" s="83"/>
      <c r="Y44" s="83"/>
      <c r="Z44" s="83"/>
    </row>
    <row r="45" spans="2:26" ht="18" customHeight="1" x14ac:dyDescent="0.15">
      <c r="B45" s="140"/>
      <c r="C45" s="141"/>
      <c r="D45" s="81"/>
      <c r="E45" s="111"/>
      <c r="F45" s="82"/>
      <c r="G45" s="83"/>
      <c r="H45" s="83"/>
      <c r="I45" s="83"/>
      <c r="J45" s="83"/>
      <c r="K45" s="83"/>
      <c r="L45" s="83"/>
      <c r="M45" s="83"/>
      <c r="N45" s="83"/>
      <c r="O45" s="83"/>
      <c r="P45" s="84"/>
      <c r="Q45" s="85"/>
      <c r="R45" s="83"/>
      <c r="S45" s="83"/>
      <c r="T45" s="83"/>
      <c r="U45" s="83"/>
      <c r="V45" s="83"/>
      <c r="W45" s="83"/>
      <c r="X45" s="83"/>
      <c r="Y45" s="83"/>
      <c r="Z45" s="83"/>
    </row>
    <row r="46" spans="2:26" ht="18" customHeight="1" x14ac:dyDescent="0.15">
      <c r="B46" s="140"/>
      <c r="C46" s="141"/>
      <c r="D46" s="81"/>
      <c r="E46" s="111"/>
      <c r="F46" s="82"/>
      <c r="G46" s="83"/>
      <c r="H46" s="83"/>
      <c r="I46" s="83"/>
      <c r="J46" s="83"/>
      <c r="K46" s="83"/>
      <c r="L46" s="83"/>
      <c r="M46" s="83"/>
      <c r="N46" s="83"/>
      <c r="O46" s="83"/>
      <c r="P46" s="84"/>
      <c r="Q46" s="85"/>
      <c r="R46" s="83"/>
      <c r="S46" s="83"/>
      <c r="T46" s="83"/>
      <c r="U46" s="83"/>
      <c r="V46" s="83"/>
      <c r="W46" s="83"/>
      <c r="X46" s="83"/>
      <c r="Y46" s="83"/>
      <c r="Z46" s="83"/>
    </row>
    <row r="47" spans="2:26" ht="18" customHeight="1" x14ac:dyDescent="0.15">
      <c r="B47" s="140"/>
      <c r="C47" s="141"/>
      <c r="D47" s="81"/>
      <c r="E47" s="111"/>
      <c r="F47" s="82"/>
      <c r="G47" s="83"/>
      <c r="H47" s="83"/>
      <c r="I47" s="83"/>
      <c r="J47" s="83"/>
      <c r="K47" s="83"/>
      <c r="L47" s="83"/>
      <c r="M47" s="83"/>
      <c r="N47" s="83"/>
      <c r="O47" s="83"/>
      <c r="P47" s="84"/>
      <c r="Q47" s="85"/>
      <c r="R47" s="83"/>
      <c r="S47" s="83"/>
      <c r="T47" s="83"/>
      <c r="U47" s="83"/>
      <c r="V47" s="83"/>
      <c r="W47" s="83"/>
      <c r="X47" s="83"/>
      <c r="Y47" s="83"/>
      <c r="Z47" s="83"/>
    </row>
    <row r="48" spans="2:26" ht="18" customHeight="1" x14ac:dyDescent="0.15">
      <c r="B48" s="140"/>
      <c r="C48" s="141"/>
      <c r="D48" s="81"/>
      <c r="E48" s="111"/>
      <c r="F48" s="82"/>
      <c r="G48" s="83"/>
      <c r="H48" s="83"/>
      <c r="I48" s="83"/>
      <c r="J48" s="83"/>
      <c r="K48" s="83"/>
      <c r="L48" s="83"/>
      <c r="M48" s="83"/>
      <c r="N48" s="83"/>
      <c r="O48" s="83"/>
      <c r="P48" s="84"/>
      <c r="Q48" s="85"/>
      <c r="R48" s="83"/>
      <c r="S48" s="83"/>
      <c r="T48" s="83"/>
      <c r="U48" s="83"/>
      <c r="V48" s="83"/>
      <c r="W48" s="83"/>
      <c r="X48" s="83"/>
      <c r="Y48" s="83"/>
      <c r="Z48" s="83"/>
    </row>
    <row r="49" spans="1:26" ht="18" customHeight="1" x14ac:dyDescent="0.15">
      <c r="B49" s="140"/>
      <c r="C49" s="141"/>
      <c r="D49" s="81"/>
      <c r="E49" s="111"/>
      <c r="F49" s="82"/>
      <c r="G49" s="83"/>
      <c r="H49" s="83"/>
      <c r="I49" s="83"/>
      <c r="J49" s="83"/>
      <c r="K49" s="83"/>
      <c r="L49" s="83"/>
      <c r="M49" s="83"/>
      <c r="N49" s="83"/>
      <c r="O49" s="83"/>
      <c r="P49" s="84"/>
      <c r="Q49" s="85"/>
      <c r="R49" s="83"/>
      <c r="S49" s="83"/>
      <c r="T49" s="83"/>
      <c r="U49" s="83"/>
      <c r="V49" s="83"/>
      <c r="W49" s="83"/>
      <c r="X49" s="83"/>
      <c r="Y49" s="83"/>
      <c r="Z49" s="83"/>
    </row>
    <row r="50" spans="1:26" ht="18" customHeight="1" x14ac:dyDescent="0.15">
      <c r="B50" s="140"/>
      <c r="C50" s="141"/>
      <c r="D50" s="81"/>
      <c r="E50" s="111"/>
      <c r="F50" s="82"/>
      <c r="G50" s="83"/>
      <c r="H50" s="83"/>
      <c r="I50" s="83"/>
      <c r="J50" s="83"/>
      <c r="K50" s="83"/>
      <c r="L50" s="83"/>
      <c r="M50" s="83"/>
      <c r="N50" s="83"/>
      <c r="O50" s="83"/>
      <c r="P50" s="84"/>
      <c r="Q50" s="85"/>
      <c r="R50" s="83"/>
      <c r="S50" s="83"/>
      <c r="T50" s="83"/>
      <c r="U50" s="83"/>
      <c r="V50" s="83"/>
      <c r="W50" s="83"/>
      <c r="X50" s="83"/>
      <c r="Y50" s="83"/>
      <c r="Z50" s="83"/>
    </row>
    <row r="51" spans="1:26" ht="18" customHeight="1" x14ac:dyDescent="0.15">
      <c r="B51" s="140"/>
      <c r="C51" s="141"/>
      <c r="D51" s="81"/>
      <c r="E51" s="111"/>
      <c r="F51" s="82"/>
      <c r="G51" s="83"/>
      <c r="H51" s="83"/>
      <c r="I51" s="83"/>
      <c r="J51" s="83"/>
      <c r="K51" s="83"/>
      <c r="L51" s="83"/>
      <c r="M51" s="83"/>
      <c r="N51" s="83"/>
      <c r="O51" s="83"/>
      <c r="P51" s="84"/>
      <c r="Q51" s="85"/>
      <c r="R51" s="83"/>
      <c r="S51" s="83"/>
      <c r="T51" s="83"/>
      <c r="U51" s="83"/>
      <c r="V51" s="83"/>
      <c r="W51" s="83"/>
      <c r="X51" s="83"/>
      <c r="Y51" s="83"/>
      <c r="Z51" s="83"/>
    </row>
    <row r="52" spans="1:26" ht="18" customHeight="1" thickBot="1" x14ac:dyDescent="0.2">
      <c r="B52" s="142"/>
      <c r="C52" s="143"/>
      <c r="D52" s="86"/>
      <c r="E52" s="114"/>
      <c r="F52" s="96"/>
      <c r="G52" s="97"/>
      <c r="H52" s="97"/>
      <c r="I52" s="97"/>
      <c r="J52" s="97"/>
      <c r="K52" s="97"/>
      <c r="L52" s="97"/>
      <c r="M52" s="97"/>
      <c r="N52" s="97"/>
      <c r="O52" s="97"/>
      <c r="P52" s="98"/>
      <c r="Q52" s="90"/>
      <c r="R52" s="88"/>
      <c r="S52" s="88"/>
      <c r="T52" s="88"/>
      <c r="U52" s="88"/>
      <c r="V52" s="88"/>
      <c r="W52" s="88"/>
      <c r="X52" s="88"/>
      <c r="Y52" s="88"/>
      <c r="Z52" s="88"/>
    </row>
    <row r="53" spans="1:26" ht="18" customHeight="1" x14ac:dyDescent="0.15">
      <c r="A53" s="12"/>
      <c r="B53" s="41"/>
      <c r="C53" s="41"/>
      <c r="D53" s="41"/>
      <c r="E53" s="41"/>
      <c r="F53" s="41"/>
      <c r="G53" s="22"/>
      <c r="H53" s="22"/>
      <c r="I53" s="22"/>
      <c r="J53" s="22"/>
      <c r="K53" s="22"/>
      <c r="L53" s="22"/>
      <c r="M53" s="22"/>
      <c r="N53" s="22"/>
      <c r="O53" s="22"/>
      <c r="P53" s="41"/>
      <c r="Q53" s="41"/>
      <c r="R53" s="41"/>
      <c r="S53" s="41"/>
      <c r="T53" s="41"/>
      <c r="U53" s="41"/>
      <c r="V53" s="41"/>
      <c r="W53" s="22"/>
      <c r="X53" s="22"/>
      <c r="Y53" s="22"/>
      <c r="Z53" s="22"/>
    </row>
    <row r="54" spans="1:26" ht="18.75" customHeight="1" x14ac:dyDescent="0.15">
      <c r="A54" s="8" t="s">
        <v>115</v>
      </c>
    </row>
    <row r="55" spans="1:26" ht="18.75" customHeight="1" x14ac:dyDescent="0.15">
      <c r="B55" s="147" t="s">
        <v>49</v>
      </c>
      <c r="C55" s="148"/>
      <c r="D55" s="4" t="s">
        <v>128</v>
      </c>
    </row>
    <row r="56" spans="1:26" ht="85.5" x14ac:dyDescent="0.15">
      <c r="B56" s="144" t="s">
        <v>55</v>
      </c>
      <c r="C56" s="99" t="s">
        <v>50</v>
      </c>
      <c r="D56" s="116" t="s">
        <v>133</v>
      </c>
      <c r="E56" s="100"/>
      <c r="F56" s="100"/>
      <c r="G56" s="100"/>
      <c r="H56" s="100"/>
      <c r="I56" s="100"/>
      <c r="J56" s="100"/>
      <c r="K56" s="100"/>
      <c r="L56" s="100"/>
      <c r="M56" s="100"/>
      <c r="N56" s="100"/>
      <c r="O56" s="100"/>
      <c r="P56" s="100"/>
      <c r="Q56" s="100"/>
      <c r="R56" s="100"/>
      <c r="S56" s="100"/>
      <c r="T56" s="100"/>
      <c r="U56" s="100"/>
      <c r="V56" s="100"/>
      <c r="W56" s="100"/>
      <c r="X56" s="100"/>
      <c r="Y56" s="100"/>
      <c r="Z56" s="100"/>
    </row>
    <row r="57" spans="1:26" ht="42.75" x14ac:dyDescent="0.15">
      <c r="B57" s="145"/>
      <c r="C57" s="101" t="s">
        <v>67</v>
      </c>
      <c r="D57" s="117" t="s">
        <v>134</v>
      </c>
      <c r="E57" s="102"/>
      <c r="F57" s="102"/>
      <c r="G57" s="102"/>
      <c r="H57" s="102"/>
      <c r="I57" s="102"/>
      <c r="J57" s="102"/>
      <c r="K57" s="102"/>
      <c r="L57" s="102"/>
      <c r="M57" s="102"/>
      <c r="N57" s="102"/>
      <c r="O57" s="102"/>
      <c r="P57" s="102"/>
      <c r="Q57" s="102"/>
      <c r="R57" s="102"/>
      <c r="S57" s="102"/>
      <c r="T57" s="102"/>
      <c r="U57" s="102"/>
      <c r="V57" s="102"/>
      <c r="W57" s="102"/>
      <c r="X57" s="102"/>
      <c r="Y57" s="102"/>
      <c r="Z57" s="102"/>
    </row>
    <row r="58" spans="1:26" ht="79.900000000000006" customHeight="1" x14ac:dyDescent="0.15">
      <c r="B58" s="144" t="s">
        <v>56</v>
      </c>
      <c r="C58" s="103" t="s">
        <v>61</v>
      </c>
      <c r="D58" s="118" t="s">
        <v>135</v>
      </c>
      <c r="E58" s="102"/>
      <c r="F58" s="102"/>
      <c r="G58" s="102"/>
      <c r="H58" s="102"/>
      <c r="I58" s="102"/>
      <c r="J58" s="102"/>
      <c r="K58" s="102"/>
      <c r="L58" s="102"/>
      <c r="M58" s="102"/>
      <c r="N58" s="102"/>
      <c r="O58" s="102"/>
      <c r="P58" s="102"/>
      <c r="Q58" s="102"/>
      <c r="R58" s="102"/>
      <c r="S58" s="102"/>
      <c r="T58" s="102"/>
      <c r="U58" s="102"/>
      <c r="V58" s="102"/>
      <c r="W58" s="102"/>
      <c r="X58" s="102"/>
      <c r="Y58" s="102"/>
      <c r="Z58" s="102"/>
    </row>
    <row r="59" spans="1:26" ht="57" x14ac:dyDescent="0.15">
      <c r="B59" s="146"/>
      <c r="C59" s="104" t="s">
        <v>62</v>
      </c>
      <c r="D59" s="119" t="s">
        <v>136</v>
      </c>
      <c r="E59" s="102"/>
      <c r="F59" s="102"/>
      <c r="G59" s="102"/>
      <c r="H59" s="102"/>
      <c r="I59" s="102"/>
      <c r="J59" s="102"/>
      <c r="K59" s="102"/>
      <c r="L59" s="102"/>
      <c r="M59" s="102"/>
      <c r="N59" s="102"/>
      <c r="O59" s="102"/>
      <c r="P59" s="102"/>
      <c r="Q59" s="102"/>
      <c r="R59" s="102"/>
      <c r="S59" s="102"/>
      <c r="T59" s="102"/>
      <c r="U59" s="102"/>
      <c r="V59" s="102"/>
      <c r="W59" s="102"/>
      <c r="X59" s="102"/>
      <c r="Y59" s="102"/>
      <c r="Z59" s="102"/>
    </row>
    <row r="60" spans="1:26" ht="114" x14ac:dyDescent="0.15">
      <c r="B60" s="144" t="s">
        <v>57</v>
      </c>
      <c r="C60" s="103" t="s">
        <v>63</v>
      </c>
      <c r="D60" s="116" t="s">
        <v>137</v>
      </c>
      <c r="E60" s="102"/>
      <c r="F60" s="102"/>
      <c r="G60" s="102"/>
      <c r="H60" s="102"/>
      <c r="I60" s="102"/>
      <c r="J60" s="102"/>
      <c r="K60" s="102"/>
      <c r="L60" s="102"/>
      <c r="M60" s="102"/>
      <c r="N60" s="102"/>
      <c r="O60" s="102"/>
      <c r="P60" s="102"/>
      <c r="Q60" s="102"/>
      <c r="R60" s="102"/>
      <c r="S60" s="102"/>
      <c r="T60" s="102"/>
      <c r="U60" s="102"/>
      <c r="V60" s="102"/>
      <c r="W60" s="102"/>
      <c r="X60" s="102"/>
      <c r="Y60" s="102"/>
      <c r="Z60" s="102"/>
    </row>
    <row r="61" spans="1:26" ht="57" x14ac:dyDescent="0.15">
      <c r="B61" s="146"/>
      <c r="C61" s="105" t="s">
        <v>64</v>
      </c>
      <c r="D61" s="117" t="s">
        <v>138</v>
      </c>
      <c r="E61" s="102"/>
      <c r="F61" s="102"/>
      <c r="G61" s="102"/>
      <c r="H61" s="102"/>
      <c r="I61" s="102"/>
      <c r="J61" s="102"/>
      <c r="K61" s="102"/>
      <c r="L61" s="102"/>
      <c r="M61" s="102"/>
      <c r="N61" s="102"/>
      <c r="O61" s="102"/>
      <c r="P61" s="102"/>
      <c r="Q61" s="102"/>
      <c r="R61" s="102"/>
      <c r="S61" s="102"/>
      <c r="T61" s="102"/>
      <c r="U61" s="102"/>
      <c r="V61" s="102"/>
      <c r="W61" s="102"/>
      <c r="X61" s="102"/>
      <c r="Y61" s="102"/>
      <c r="Z61" s="102"/>
    </row>
    <row r="62" spans="1:26" ht="79.900000000000006" customHeight="1" x14ac:dyDescent="0.15">
      <c r="B62" s="144" t="s">
        <v>68</v>
      </c>
      <c r="C62" s="99" t="s">
        <v>52</v>
      </c>
      <c r="D62" s="116" t="s">
        <v>139</v>
      </c>
      <c r="E62" s="102"/>
      <c r="F62" s="102"/>
      <c r="G62" s="102"/>
      <c r="H62" s="102"/>
      <c r="I62" s="102"/>
      <c r="J62" s="102"/>
      <c r="K62" s="102"/>
      <c r="L62" s="102"/>
      <c r="M62" s="102"/>
      <c r="N62" s="102"/>
      <c r="O62" s="102"/>
      <c r="P62" s="102"/>
      <c r="Q62" s="102"/>
      <c r="R62" s="102"/>
      <c r="S62" s="102"/>
      <c r="T62" s="102"/>
      <c r="U62" s="102"/>
      <c r="V62" s="102"/>
      <c r="W62" s="102"/>
      <c r="X62" s="102"/>
      <c r="Y62" s="102"/>
      <c r="Z62" s="102"/>
    </row>
    <row r="63" spans="1:26" ht="57" x14ac:dyDescent="0.15">
      <c r="B63" s="146"/>
      <c r="C63" s="104" t="s">
        <v>54</v>
      </c>
      <c r="D63" s="117" t="s">
        <v>164</v>
      </c>
      <c r="E63" s="102"/>
      <c r="F63" s="102"/>
      <c r="G63" s="102"/>
      <c r="H63" s="102"/>
      <c r="I63" s="102"/>
      <c r="J63" s="102"/>
      <c r="K63" s="102"/>
      <c r="L63" s="102"/>
      <c r="M63" s="102"/>
      <c r="N63" s="102"/>
      <c r="O63" s="102"/>
      <c r="P63" s="102"/>
      <c r="Q63" s="102"/>
      <c r="R63" s="102"/>
      <c r="S63" s="102"/>
      <c r="T63" s="102"/>
      <c r="U63" s="102"/>
      <c r="V63" s="102"/>
      <c r="W63" s="102"/>
      <c r="X63" s="102"/>
      <c r="Y63" s="102"/>
      <c r="Z63" s="102"/>
    </row>
    <row r="64" spans="1:26" ht="156.75" x14ac:dyDescent="0.15">
      <c r="B64" s="144" t="s">
        <v>69</v>
      </c>
      <c r="C64" s="103" t="s">
        <v>51</v>
      </c>
      <c r="D64" s="116" t="s">
        <v>146</v>
      </c>
      <c r="E64" s="102"/>
      <c r="F64" s="102"/>
      <c r="G64" s="102"/>
      <c r="H64" s="102"/>
      <c r="I64" s="102"/>
      <c r="J64" s="102"/>
      <c r="K64" s="102"/>
      <c r="L64" s="102"/>
      <c r="M64" s="102"/>
      <c r="N64" s="102"/>
      <c r="O64" s="102"/>
      <c r="P64" s="102"/>
      <c r="Q64" s="102"/>
      <c r="R64" s="102"/>
      <c r="S64" s="102"/>
      <c r="T64" s="102"/>
      <c r="U64" s="102"/>
      <c r="V64" s="102"/>
      <c r="W64" s="102"/>
      <c r="X64" s="102"/>
      <c r="Y64" s="102"/>
      <c r="Z64" s="102"/>
    </row>
    <row r="65" spans="1:26" ht="79.900000000000006" customHeight="1" x14ac:dyDescent="0.15">
      <c r="B65" s="145"/>
      <c r="C65" s="106" t="s">
        <v>65</v>
      </c>
      <c r="D65" s="120" t="s">
        <v>147</v>
      </c>
      <c r="E65" s="107"/>
      <c r="F65" s="107"/>
      <c r="G65" s="107"/>
      <c r="H65" s="107"/>
      <c r="I65" s="107"/>
      <c r="J65" s="107"/>
      <c r="K65" s="107"/>
      <c r="L65" s="107"/>
      <c r="M65" s="107"/>
      <c r="N65" s="107"/>
      <c r="O65" s="107"/>
      <c r="P65" s="107"/>
      <c r="Q65" s="107"/>
      <c r="R65" s="107"/>
      <c r="S65" s="107"/>
      <c r="T65" s="107"/>
      <c r="U65" s="107"/>
      <c r="V65" s="107"/>
      <c r="W65" s="107"/>
      <c r="X65" s="107"/>
      <c r="Y65" s="107"/>
      <c r="Z65" s="107"/>
    </row>
    <row r="66" spans="1:26" ht="79.900000000000006" customHeight="1" x14ac:dyDescent="0.15">
      <c r="B66" s="146"/>
      <c r="C66" s="105" t="s">
        <v>66</v>
      </c>
      <c r="D66" s="121" t="s">
        <v>148</v>
      </c>
      <c r="E66" s="107"/>
      <c r="F66" s="107"/>
      <c r="G66" s="107"/>
      <c r="H66" s="107"/>
      <c r="I66" s="107"/>
      <c r="J66" s="107"/>
      <c r="K66" s="107"/>
      <c r="L66" s="107"/>
      <c r="M66" s="107"/>
      <c r="N66" s="107"/>
      <c r="O66" s="107"/>
      <c r="P66" s="107"/>
      <c r="Q66" s="107"/>
      <c r="R66" s="107"/>
      <c r="S66" s="107"/>
      <c r="T66" s="107"/>
      <c r="U66" s="107"/>
      <c r="V66" s="107"/>
      <c r="W66" s="107"/>
      <c r="X66" s="107"/>
      <c r="Y66" s="107"/>
      <c r="Z66" s="107"/>
    </row>
    <row r="67" spans="1:26" ht="6" customHeight="1" x14ac:dyDescent="0.15"/>
    <row r="68" spans="1:26" ht="18.75" customHeight="1" x14ac:dyDescent="0.15">
      <c r="A68" s="8" t="s">
        <v>116</v>
      </c>
    </row>
    <row r="69" spans="1:26" ht="81.75" customHeight="1" x14ac:dyDescent="0.15">
      <c r="B69" s="16"/>
      <c r="C69" s="16"/>
      <c r="D69" s="64" t="s">
        <v>140</v>
      </c>
      <c r="E69" s="16"/>
      <c r="F69" s="16"/>
      <c r="G69" s="16"/>
      <c r="H69" s="16"/>
      <c r="I69" s="16"/>
      <c r="J69" s="16"/>
      <c r="K69" s="16"/>
      <c r="L69" s="16"/>
      <c r="M69" s="16"/>
      <c r="N69" s="16"/>
      <c r="O69" s="16"/>
      <c r="P69" s="16"/>
      <c r="Q69" s="16"/>
      <c r="R69" s="16"/>
      <c r="S69" s="16"/>
      <c r="T69" s="16"/>
      <c r="U69" s="16"/>
      <c r="V69" s="16"/>
      <c r="W69" s="16"/>
      <c r="X69" s="16"/>
      <c r="Y69" s="16"/>
      <c r="Z69" s="16"/>
    </row>
    <row r="72" spans="1:26" ht="18" customHeight="1" x14ac:dyDescent="0.15"/>
  </sheetData>
  <mergeCells count="19">
    <mergeCell ref="B33:C42"/>
    <mergeCell ref="B43:C52"/>
    <mergeCell ref="B64:B66"/>
    <mergeCell ref="B62:B63"/>
    <mergeCell ref="B55:C55"/>
    <mergeCell ref="B60:B61"/>
    <mergeCell ref="B56:B57"/>
    <mergeCell ref="B58:B59"/>
    <mergeCell ref="B23:C32"/>
    <mergeCell ref="A1:Z1"/>
    <mergeCell ref="A9:B9"/>
    <mergeCell ref="A11:B11"/>
    <mergeCell ref="A13:B13"/>
    <mergeCell ref="A15:B15"/>
    <mergeCell ref="Y3:Z3"/>
    <mergeCell ref="A7:Z7"/>
    <mergeCell ref="B4:C4"/>
    <mergeCell ref="B5:C5"/>
    <mergeCell ref="F21:Z21"/>
  </mergeCells>
  <phoneticPr fontId="1"/>
  <conditionalFormatting sqref="D11">
    <cfRule type="expression" dxfId="2" priority="1">
      <formula>$D$9="学部・学科によって、修了要件は相違しない"</formula>
    </cfRule>
    <cfRule type="containsText" dxfId="1" priority="2" operator="containsText" text="学部・学科によって、修了要件は相違しない">
      <formula>NOT(ISERROR(SEARCH("学部・学科によって、修了要件は相違しない",D11)))</formula>
    </cfRule>
    <cfRule type="expression" dxfId="0" priority="4">
      <formula>#REF!="学部・学科によって、修了要件は相違しない"</formula>
    </cfRule>
  </conditionalFormatting>
  <dataValidations count="4">
    <dataValidation type="list" allowBlank="1" showInputMessage="1" showErrorMessage="1" sqref="F23:Z52">
      <formula1>"○"</formula1>
    </dataValidation>
    <dataValidation type="list" allowBlank="1" showInputMessage="1" showErrorMessage="1" sqref="D9">
      <formula1>"学部・学科によって、修了要件は相違する,学部・学科によって、修了要件は相違しない"</formula1>
    </dataValidation>
    <dataValidation type="list" allowBlank="1" showInputMessage="1" showErrorMessage="1" sqref="G53:O53 W53:Z5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13">
      <formula1>"令和６年度以前又は令和７年度より、履修することが必須のプログラムとして実施, 令和９年度までに履修必須とする計画, 令和１０年度以降に履修必須とする計画、又は未定"</formula1>
    </dataValidation>
  </dataValidations>
  <printOptions horizontalCentered="1"/>
  <pageMargins left="0.78740157480314965" right="0.78740157480314965" top="0.78740157480314965" bottom="0.19685039370078741" header="0.31496062992125984" footer="0.19685039370078741"/>
  <pageSetup paperSize="8" scale="5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V30"/>
  <sheetViews>
    <sheetView view="pageBreakPreview" zoomScaleNormal="100" zoomScaleSheetLayoutView="100" workbookViewId="0"/>
  </sheetViews>
  <sheetFormatPr defaultColWidth="9" defaultRowHeight="18.75" customHeight="1" x14ac:dyDescent="0.15"/>
  <cols>
    <col min="1" max="1" width="2.75" style="8" customWidth="1"/>
    <col min="2" max="2" width="27.875" style="8" customWidth="1"/>
    <col min="3" max="3" width="8" style="8" customWidth="1"/>
    <col min="4" max="4" width="8.25" style="8" customWidth="1"/>
    <col min="5" max="19" width="6.125" style="8" customWidth="1"/>
    <col min="20" max="20" width="6.625" style="8" customWidth="1"/>
    <col min="21" max="16384" width="9" style="8"/>
  </cols>
  <sheetData>
    <row r="1" spans="1:22" ht="18" customHeight="1" x14ac:dyDescent="0.15">
      <c r="T1" s="8" t="s">
        <v>84</v>
      </c>
    </row>
    <row r="2" spans="1:22" ht="18" customHeight="1" x14ac:dyDescent="0.15">
      <c r="A2" s="152" t="s">
        <v>94</v>
      </c>
      <c r="B2" s="152"/>
      <c r="C2" s="152"/>
      <c r="D2" s="152"/>
      <c r="E2" s="152"/>
      <c r="F2" s="152"/>
      <c r="G2" s="152"/>
      <c r="H2" s="152"/>
      <c r="I2" s="152"/>
      <c r="J2" s="152"/>
      <c r="K2" s="152"/>
      <c r="L2" s="152"/>
      <c r="M2" s="152"/>
      <c r="N2" s="152"/>
      <c r="O2" s="152"/>
      <c r="P2" s="152"/>
      <c r="Q2" s="152"/>
      <c r="R2" s="152"/>
      <c r="S2" s="152"/>
      <c r="T2" s="152"/>
    </row>
    <row r="3" spans="1:22" ht="7.5" customHeight="1" x14ac:dyDescent="0.15">
      <c r="A3" s="12"/>
      <c r="B3" s="12"/>
      <c r="C3" s="12"/>
      <c r="D3" s="12"/>
      <c r="E3" s="12"/>
      <c r="F3" s="12"/>
      <c r="G3" s="12"/>
      <c r="H3" s="12"/>
      <c r="I3" s="12"/>
      <c r="J3" s="12"/>
      <c r="K3" s="12"/>
      <c r="L3" s="12"/>
      <c r="M3" s="12"/>
      <c r="N3" s="12"/>
      <c r="O3" s="12"/>
      <c r="P3" s="12"/>
      <c r="Q3" s="12"/>
      <c r="R3" s="12"/>
      <c r="S3" s="12"/>
      <c r="T3" s="12"/>
    </row>
    <row r="4" spans="1:22" ht="18" customHeight="1" x14ac:dyDescent="0.15">
      <c r="A4" s="8" t="s">
        <v>71</v>
      </c>
      <c r="C4" s="21" t="s">
        <v>141</v>
      </c>
      <c r="D4" s="8" t="s">
        <v>112</v>
      </c>
      <c r="E4" s="41"/>
      <c r="F4" s="10"/>
      <c r="G4" s="12"/>
      <c r="H4" s="12"/>
      <c r="I4" s="12"/>
      <c r="J4" s="12"/>
      <c r="K4" s="12"/>
      <c r="L4" s="12"/>
      <c r="M4" s="12"/>
      <c r="N4" s="12"/>
      <c r="O4" s="12"/>
      <c r="P4" s="12"/>
      <c r="Q4" s="12"/>
      <c r="R4" s="12"/>
      <c r="S4" s="41"/>
      <c r="T4" s="41"/>
    </row>
    <row r="5" spans="1:22" ht="7.15" customHeight="1" x14ac:dyDescent="0.15">
      <c r="C5" s="22"/>
      <c r="D5" s="22"/>
      <c r="E5" s="22"/>
      <c r="F5" s="12"/>
      <c r="G5" s="12"/>
      <c r="H5" s="12"/>
      <c r="I5" s="12"/>
      <c r="J5" s="12"/>
      <c r="K5" s="12"/>
      <c r="L5" s="12"/>
      <c r="M5" s="12"/>
      <c r="N5" s="12"/>
      <c r="O5" s="12"/>
      <c r="P5" s="12"/>
      <c r="Q5" s="12"/>
      <c r="R5" s="12"/>
      <c r="S5" s="41"/>
      <c r="T5" s="41"/>
    </row>
    <row r="6" spans="1:22" ht="18" customHeight="1" x14ac:dyDescent="0.15">
      <c r="A6" s="8" t="s">
        <v>110</v>
      </c>
      <c r="B6" s="12"/>
      <c r="C6" s="12"/>
      <c r="D6" s="12"/>
      <c r="E6" s="12"/>
      <c r="F6" s="12"/>
      <c r="G6" s="12"/>
      <c r="H6" s="12"/>
      <c r="I6" s="12"/>
      <c r="J6" s="12"/>
      <c r="K6" s="12"/>
      <c r="L6" s="12"/>
      <c r="M6" s="12"/>
      <c r="N6" s="12"/>
      <c r="O6" s="12"/>
      <c r="P6" s="12"/>
      <c r="Q6" s="12"/>
      <c r="R6" s="12"/>
      <c r="S6" s="12"/>
      <c r="T6" s="12"/>
    </row>
    <row r="7" spans="1:22" ht="6" customHeight="1" x14ac:dyDescent="0.15">
      <c r="B7" s="12"/>
      <c r="C7" s="12"/>
      <c r="D7" s="12"/>
      <c r="E7" s="12"/>
      <c r="F7" s="12"/>
      <c r="G7" s="12"/>
      <c r="H7" s="12"/>
      <c r="I7" s="12"/>
      <c r="J7" s="12"/>
      <c r="K7" s="12"/>
      <c r="L7" s="12"/>
      <c r="M7" s="12"/>
      <c r="N7" s="12"/>
      <c r="O7" s="12"/>
      <c r="P7" s="12"/>
      <c r="Q7" s="12"/>
      <c r="R7" s="12"/>
      <c r="S7" s="12"/>
      <c r="T7" s="12"/>
    </row>
    <row r="8" spans="1:22" ht="18" customHeight="1" x14ac:dyDescent="0.15">
      <c r="B8" s="153" t="s">
        <v>43</v>
      </c>
      <c r="C8" s="149" t="s">
        <v>73</v>
      </c>
      <c r="D8" s="150"/>
      <c r="E8" s="155" t="s">
        <v>45</v>
      </c>
      <c r="F8" s="149" t="s">
        <v>38</v>
      </c>
      <c r="G8" s="151" t="s">
        <v>108</v>
      </c>
      <c r="H8" s="151"/>
      <c r="I8" s="151" t="s">
        <v>92</v>
      </c>
      <c r="J8" s="151"/>
      <c r="K8" s="151" t="s">
        <v>86</v>
      </c>
      <c r="L8" s="151"/>
      <c r="M8" s="151" t="s">
        <v>72</v>
      </c>
      <c r="N8" s="151"/>
      <c r="O8" s="151" t="s">
        <v>46</v>
      </c>
      <c r="P8" s="151"/>
      <c r="Q8" s="151" t="s">
        <v>47</v>
      </c>
      <c r="R8" s="162"/>
      <c r="S8" s="158" t="s">
        <v>35</v>
      </c>
      <c r="T8" s="160" t="s">
        <v>32</v>
      </c>
      <c r="V8" s="13"/>
    </row>
    <row r="9" spans="1:22" ht="16.899999999999999" customHeight="1" x14ac:dyDescent="0.15">
      <c r="B9" s="154"/>
      <c r="C9" s="1"/>
      <c r="D9" s="2" t="s">
        <v>111</v>
      </c>
      <c r="E9" s="156"/>
      <c r="F9" s="157"/>
      <c r="G9" s="40" t="s">
        <v>79</v>
      </c>
      <c r="H9" s="40" t="s">
        <v>29</v>
      </c>
      <c r="I9" s="40" t="s">
        <v>79</v>
      </c>
      <c r="J9" s="40" t="s">
        <v>29</v>
      </c>
      <c r="K9" s="40" t="s">
        <v>79</v>
      </c>
      <c r="L9" s="40" t="s">
        <v>29</v>
      </c>
      <c r="M9" s="40" t="s">
        <v>79</v>
      </c>
      <c r="N9" s="40" t="s">
        <v>29</v>
      </c>
      <c r="O9" s="40" t="s">
        <v>79</v>
      </c>
      <c r="P9" s="40" t="s">
        <v>29</v>
      </c>
      <c r="Q9" s="40" t="s">
        <v>79</v>
      </c>
      <c r="R9" s="40" t="s">
        <v>29</v>
      </c>
      <c r="S9" s="159"/>
      <c r="T9" s="161"/>
      <c r="V9" s="13"/>
    </row>
    <row r="10" spans="1:22" ht="18" customHeight="1" x14ac:dyDescent="0.15">
      <c r="A10" s="41"/>
      <c r="B10" s="42" t="s">
        <v>142</v>
      </c>
      <c r="C10" s="56">
        <v>349</v>
      </c>
      <c r="D10" s="62">
        <v>304</v>
      </c>
      <c r="E10" s="55">
        <v>80</v>
      </c>
      <c r="F10" s="56">
        <v>330</v>
      </c>
      <c r="G10" s="56">
        <v>94</v>
      </c>
      <c r="H10" s="56">
        <v>87</v>
      </c>
      <c r="I10" s="56"/>
      <c r="J10" s="56"/>
      <c r="K10" s="56"/>
      <c r="L10" s="56"/>
      <c r="M10" s="56"/>
      <c r="N10" s="56"/>
      <c r="O10" s="56"/>
      <c r="P10" s="56"/>
      <c r="Q10" s="56"/>
      <c r="R10" s="56"/>
      <c r="S10" s="3">
        <f>G10+K10+M10+O10+Q10</f>
        <v>94</v>
      </c>
      <c r="T10" s="43">
        <f>S10/F10</f>
        <v>0.28484848484848485</v>
      </c>
    </row>
    <row r="11" spans="1:22" ht="18" customHeight="1" x14ac:dyDescent="0.15">
      <c r="A11" s="41"/>
      <c r="B11" s="44" t="s">
        <v>143</v>
      </c>
      <c r="C11" s="58">
        <v>276</v>
      </c>
      <c r="D11" s="60">
        <v>218</v>
      </c>
      <c r="E11" s="57">
        <v>80</v>
      </c>
      <c r="F11" s="58">
        <v>326</v>
      </c>
      <c r="G11" s="59">
        <v>73</v>
      </c>
      <c r="H11" s="59">
        <v>67</v>
      </c>
      <c r="I11" s="59"/>
      <c r="J11" s="59"/>
      <c r="K11" s="59"/>
      <c r="L11" s="59"/>
      <c r="M11" s="59"/>
      <c r="N11" s="59"/>
      <c r="O11" s="59"/>
      <c r="P11" s="59"/>
      <c r="Q11" s="59"/>
      <c r="R11" s="59"/>
      <c r="S11" s="45">
        <f t="shared" ref="S11:S29" si="0">G11+K11+M11+O11+Q11</f>
        <v>73</v>
      </c>
      <c r="T11" s="46">
        <f t="shared" ref="T11:T27" si="1">S11/F11</f>
        <v>0.22392638036809817</v>
      </c>
    </row>
    <row r="12" spans="1:22" ht="18" customHeight="1" x14ac:dyDescent="0.15">
      <c r="A12" s="41"/>
      <c r="B12" s="44" t="s">
        <v>144</v>
      </c>
      <c r="C12" s="58">
        <v>163</v>
      </c>
      <c r="D12" s="60">
        <v>113</v>
      </c>
      <c r="E12" s="57">
        <v>50</v>
      </c>
      <c r="F12" s="58">
        <v>206</v>
      </c>
      <c r="G12" s="59">
        <v>73</v>
      </c>
      <c r="H12" s="59">
        <v>32</v>
      </c>
      <c r="I12" s="59"/>
      <c r="J12" s="59"/>
      <c r="K12" s="59"/>
      <c r="L12" s="59"/>
      <c r="M12" s="59"/>
      <c r="N12" s="59"/>
      <c r="O12" s="59"/>
      <c r="P12" s="59"/>
      <c r="Q12" s="59"/>
      <c r="R12" s="59"/>
      <c r="S12" s="45">
        <f t="shared" si="0"/>
        <v>73</v>
      </c>
      <c r="T12" s="47">
        <f t="shared" si="1"/>
        <v>0.35436893203883496</v>
      </c>
    </row>
    <row r="13" spans="1:22" ht="18" customHeight="1" x14ac:dyDescent="0.15">
      <c r="A13" s="41"/>
      <c r="B13" s="44"/>
      <c r="C13" s="58"/>
      <c r="D13" s="60"/>
      <c r="E13" s="57"/>
      <c r="F13" s="58"/>
      <c r="G13" s="59"/>
      <c r="H13" s="59"/>
      <c r="I13" s="59"/>
      <c r="J13" s="59"/>
      <c r="K13" s="59"/>
      <c r="L13" s="59"/>
      <c r="M13" s="59"/>
      <c r="N13" s="59"/>
      <c r="O13" s="59"/>
      <c r="P13" s="59"/>
      <c r="Q13" s="59"/>
      <c r="R13" s="59"/>
      <c r="S13" s="45">
        <f t="shared" si="0"/>
        <v>0</v>
      </c>
      <c r="T13" s="47" t="e">
        <f t="shared" si="1"/>
        <v>#DIV/0!</v>
      </c>
    </row>
    <row r="14" spans="1:22" ht="18" customHeight="1" x14ac:dyDescent="0.15">
      <c r="A14" s="41"/>
      <c r="B14" s="44"/>
      <c r="C14" s="58"/>
      <c r="D14" s="60"/>
      <c r="E14" s="57"/>
      <c r="F14" s="58"/>
      <c r="G14" s="59"/>
      <c r="H14" s="59"/>
      <c r="I14" s="59"/>
      <c r="J14" s="59"/>
      <c r="K14" s="59"/>
      <c r="L14" s="59"/>
      <c r="M14" s="59"/>
      <c r="N14" s="59"/>
      <c r="O14" s="59"/>
      <c r="P14" s="59"/>
      <c r="Q14" s="59"/>
      <c r="R14" s="59"/>
      <c r="S14" s="45">
        <f t="shared" si="0"/>
        <v>0</v>
      </c>
      <c r="T14" s="47" t="e">
        <f t="shared" si="1"/>
        <v>#DIV/0!</v>
      </c>
    </row>
    <row r="15" spans="1:22" ht="18" customHeight="1" x14ac:dyDescent="0.15">
      <c r="A15" s="41"/>
      <c r="B15" s="44"/>
      <c r="C15" s="58"/>
      <c r="D15" s="60"/>
      <c r="E15" s="57"/>
      <c r="F15" s="58"/>
      <c r="G15" s="59"/>
      <c r="H15" s="59"/>
      <c r="I15" s="59"/>
      <c r="J15" s="59"/>
      <c r="K15" s="59"/>
      <c r="L15" s="59"/>
      <c r="M15" s="59"/>
      <c r="N15" s="59"/>
      <c r="O15" s="59"/>
      <c r="P15" s="59"/>
      <c r="Q15" s="59"/>
      <c r="R15" s="59"/>
      <c r="S15" s="45">
        <f t="shared" si="0"/>
        <v>0</v>
      </c>
      <c r="T15" s="47" t="e">
        <f t="shared" si="1"/>
        <v>#DIV/0!</v>
      </c>
    </row>
    <row r="16" spans="1:22" ht="18" customHeight="1" x14ac:dyDescent="0.15">
      <c r="A16" s="41"/>
      <c r="B16" s="44"/>
      <c r="C16" s="58"/>
      <c r="D16" s="60"/>
      <c r="E16" s="57"/>
      <c r="F16" s="58"/>
      <c r="G16" s="59"/>
      <c r="H16" s="59"/>
      <c r="I16" s="59"/>
      <c r="J16" s="59"/>
      <c r="K16" s="59"/>
      <c r="L16" s="59"/>
      <c r="M16" s="59"/>
      <c r="N16" s="59"/>
      <c r="O16" s="59"/>
      <c r="P16" s="59"/>
      <c r="Q16" s="59"/>
      <c r="R16" s="59"/>
      <c r="S16" s="45">
        <f t="shared" si="0"/>
        <v>0</v>
      </c>
      <c r="T16" s="47" t="e">
        <f t="shared" si="1"/>
        <v>#DIV/0!</v>
      </c>
    </row>
    <row r="17" spans="1:20" ht="18" customHeight="1" x14ac:dyDescent="0.15">
      <c r="A17" s="41"/>
      <c r="B17" s="44"/>
      <c r="C17" s="58"/>
      <c r="D17" s="60"/>
      <c r="E17" s="57"/>
      <c r="F17" s="58"/>
      <c r="G17" s="59"/>
      <c r="H17" s="59"/>
      <c r="I17" s="59"/>
      <c r="J17" s="59"/>
      <c r="K17" s="59"/>
      <c r="L17" s="59"/>
      <c r="M17" s="59"/>
      <c r="N17" s="59"/>
      <c r="O17" s="59"/>
      <c r="P17" s="59"/>
      <c r="Q17" s="59"/>
      <c r="R17" s="59"/>
      <c r="S17" s="45">
        <f t="shared" si="0"/>
        <v>0</v>
      </c>
      <c r="T17" s="47" t="e">
        <f t="shared" si="1"/>
        <v>#DIV/0!</v>
      </c>
    </row>
    <row r="18" spans="1:20" ht="18" customHeight="1" x14ac:dyDescent="0.15">
      <c r="A18" s="41"/>
      <c r="B18" s="44"/>
      <c r="C18" s="58"/>
      <c r="D18" s="60"/>
      <c r="E18" s="57"/>
      <c r="F18" s="58"/>
      <c r="G18" s="59"/>
      <c r="H18" s="59"/>
      <c r="I18" s="59"/>
      <c r="J18" s="59"/>
      <c r="K18" s="59"/>
      <c r="L18" s="59"/>
      <c r="M18" s="59"/>
      <c r="N18" s="59"/>
      <c r="O18" s="59"/>
      <c r="P18" s="59"/>
      <c r="Q18" s="59"/>
      <c r="R18" s="59"/>
      <c r="S18" s="45">
        <f t="shared" si="0"/>
        <v>0</v>
      </c>
      <c r="T18" s="47" t="e">
        <f t="shared" si="1"/>
        <v>#DIV/0!</v>
      </c>
    </row>
    <row r="19" spans="1:20" ht="18" customHeight="1" x14ac:dyDescent="0.15">
      <c r="A19" s="41"/>
      <c r="B19" s="44"/>
      <c r="C19" s="58"/>
      <c r="D19" s="60"/>
      <c r="E19" s="57"/>
      <c r="F19" s="58"/>
      <c r="G19" s="59"/>
      <c r="H19" s="59"/>
      <c r="I19" s="59"/>
      <c r="J19" s="59"/>
      <c r="K19" s="59"/>
      <c r="L19" s="59"/>
      <c r="M19" s="59"/>
      <c r="N19" s="59"/>
      <c r="O19" s="59"/>
      <c r="P19" s="59"/>
      <c r="Q19" s="59"/>
      <c r="R19" s="59"/>
      <c r="S19" s="45">
        <f t="shared" si="0"/>
        <v>0</v>
      </c>
      <c r="T19" s="47" t="e">
        <f t="shared" si="1"/>
        <v>#DIV/0!</v>
      </c>
    </row>
    <row r="20" spans="1:20" ht="18" customHeight="1" x14ac:dyDescent="0.15">
      <c r="A20" s="41"/>
      <c r="B20" s="44"/>
      <c r="C20" s="58"/>
      <c r="D20" s="60"/>
      <c r="E20" s="57"/>
      <c r="F20" s="58"/>
      <c r="G20" s="59"/>
      <c r="H20" s="59"/>
      <c r="I20" s="59"/>
      <c r="J20" s="59"/>
      <c r="K20" s="59"/>
      <c r="L20" s="59"/>
      <c r="M20" s="59"/>
      <c r="N20" s="59"/>
      <c r="O20" s="59"/>
      <c r="P20" s="59"/>
      <c r="Q20" s="59"/>
      <c r="R20" s="59"/>
      <c r="S20" s="45">
        <f t="shared" si="0"/>
        <v>0</v>
      </c>
      <c r="T20" s="47" t="e">
        <f t="shared" si="1"/>
        <v>#DIV/0!</v>
      </c>
    </row>
    <row r="21" spans="1:20" ht="18" customHeight="1" x14ac:dyDescent="0.15">
      <c r="A21" s="41"/>
      <c r="B21" s="44"/>
      <c r="C21" s="58"/>
      <c r="D21" s="60"/>
      <c r="E21" s="57"/>
      <c r="F21" s="58"/>
      <c r="G21" s="59"/>
      <c r="H21" s="59"/>
      <c r="I21" s="59"/>
      <c r="J21" s="59"/>
      <c r="K21" s="59"/>
      <c r="L21" s="59"/>
      <c r="M21" s="59"/>
      <c r="N21" s="59"/>
      <c r="O21" s="59"/>
      <c r="P21" s="59"/>
      <c r="Q21" s="59"/>
      <c r="R21" s="59"/>
      <c r="S21" s="45">
        <f t="shared" si="0"/>
        <v>0</v>
      </c>
      <c r="T21" s="47" t="e">
        <f t="shared" si="1"/>
        <v>#DIV/0!</v>
      </c>
    </row>
    <row r="22" spans="1:20" ht="18" customHeight="1" x14ac:dyDescent="0.15">
      <c r="A22" s="41"/>
      <c r="B22" s="44"/>
      <c r="C22" s="58"/>
      <c r="D22" s="60"/>
      <c r="E22" s="57"/>
      <c r="F22" s="58"/>
      <c r="G22" s="59"/>
      <c r="H22" s="59"/>
      <c r="I22" s="59"/>
      <c r="J22" s="59"/>
      <c r="K22" s="59"/>
      <c r="L22" s="59"/>
      <c r="M22" s="59"/>
      <c r="N22" s="59"/>
      <c r="O22" s="59"/>
      <c r="P22" s="59"/>
      <c r="Q22" s="59"/>
      <c r="R22" s="59"/>
      <c r="S22" s="45">
        <f t="shared" si="0"/>
        <v>0</v>
      </c>
      <c r="T22" s="47" t="e">
        <f t="shared" si="1"/>
        <v>#DIV/0!</v>
      </c>
    </row>
    <row r="23" spans="1:20" ht="18" customHeight="1" x14ac:dyDescent="0.15">
      <c r="A23" s="41"/>
      <c r="B23" s="44"/>
      <c r="C23" s="58"/>
      <c r="D23" s="60"/>
      <c r="E23" s="57"/>
      <c r="F23" s="58"/>
      <c r="G23" s="59"/>
      <c r="H23" s="59"/>
      <c r="I23" s="59"/>
      <c r="J23" s="59"/>
      <c r="K23" s="59"/>
      <c r="L23" s="59"/>
      <c r="M23" s="59"/>
      <c r="N23" s="59"/>
      <c r="O23" s="59"/>
      <c r="P23" s="59"/>
      <c r="Q23" s="59"/>
      <c r="R23" s="59"/>
      <c r="S23" s="45">
        <f t="shared" si="0"/>
        <v>0</v>
      </c>
      <c r="T23" s="47" t="e">
        <f t="shared" si="1"/>
        <v>#DIV/0!</v>
      </c>
    </row>
    <row r="24" spans="1:20" ht="18" customHeight="1" x14ac:dyDescent="0.15">
      <c r="A24" s="41"/>
      <c r="B24" s="44"/>
      <c r="C24" s="58"/>
      <c r="D24" s="60"/>
      <c r="E24" s="57"/>
      <c r="F24" s="58"/>
      <c r="G24" s="59"/>
      <c r="H24" s="59"/>
      <c r="I24" s="59"/>
      <c r="J24" s="59"/>
      <c r="K24" s="59"/>
      <c r="L24" s="59"/>
      <c r="M24" s="59"/>
      <c r="N24" s="59"/>
      <c r="O24" s="59"/>
      <c r="P24" s="59"/>
      <c r="Q24" s="59"/>
      <c r="R24" s="59"/>
      <c r="S24" s="45">
        <f t="shared" si="0"/>
        <v>0</v>
      </c>
      <c r="T24" s="47" t="e">
        <f t="shared" si="1"/>
        <v>#DIV/0!</v>
      </c>
    </row>
    <row r="25" spans="1:20" ht="18" customHeight="1" x14ac:dyDescent="0.15">
      <c r="A25" s="41"/>
      <c r="B25" s="44"/>
      <c r="C25" s="58"/>
      <c r="D25" s="60"/>
      <c r="E25" s="57"/>
      <c r="F25" s="58"/>
      <c r="G25" s="59"/>
      <c r="H25" s="59"/>
      <c r="I25" s="59"/>
      <c r="J25" s="59"/>
      <c r="K25" s="59"/>
      <c r="L25" s="59"/>
      <c r="M25" s="59"/>
      <c r="N25" s="59"/>
      <c r="O25" s="59"/>
      <c r="P25" s="59"/>
      <c r="Q25" s="59"/>
      <c r="R25" s="59"/>
      <c r="S25" s="45">
        <f t="shared" si="0"/>
        <v>0</v>
      </c>
      <c r="T25" s="47" t="e">
        <f t="shared" si="1"/>
        <v>#DIV/0!</v>
      </c>
    </row>
    <row r="26" spans="1:20" ht="18" customHeight="1" x14ac:dyDescent="0.15">
      <c r="A26" s="41"/>
      <c r="B26" s="44"/>
      <c r="C26" s="58"/>
      <c r="D26" s="60"/>
      <c r="E26" s="57"/>
      <c r="F26" s="58"/>
      <c r="G26" s="59"/>
      <c r="H26" s="59"/>
      <c r="I26" s="59"/>
      <c r="J26" s="59"/>
      <c r="K26" s="59"/>
      <c r="L26" s="59"/>
      <c r="M26" s="59"/>
      <c r="N26" s="59"/>
      <c r="O26" s="59"/>
      <c r="P26" s="59"/>
      <c r="Q26" s="59"/>
      <c r="R26" s="59"/>
      <c r="S26" s="45">
        <f t="shared" si="0"/>
        <v>0</v>
      </c>
      <c r="T26" s="47" t="e">
        <f t="shared" si="1"/>
        <v>#DIV/0!</v>
      </c>
    </row>
    <row r="27" spans="1:20" ht="18" customHeight="1" x14ac:dyDescent="0.15">
      <c r="A27" s="41"/>
      <c r="B27" s="44"/>
      <c r="C27" s="58"/>
      <c r="D27" s="60"/>
      <c r="E27" s="61"/>
      <c r="F27" s="58"/>
      <c r="G27" s="59"/>
      <c r="H27" s="59"/>
      <c r="I27" s="59"/>
      <c r="J27" s="59"/>
      <c r="K27" s="59"/>
      <c r="L27" s="59"/>
      <c r="M27" s="59"/>
      <c r="N27" s="59"/>
      <c r="O27" s="59"/>
      <c r="P27" s="59"/>
      <c r="Q27" s="59"/>
      <c r="R27" s="59"/>
      <c r="S27" s="45">
        <f t="shared" si="0"/>
        <v>0</v>
      </c>
      <c r="T27" s="47" t="e">
        <f t="shared" si="1"/>
        <v>#DIV/0!</v>
      </c>
    </row>
    <row r="28" spans="1:20" ht="18" customHeight="1" x14ac:dyDescent="0.15">
      <c r="A28" s="41"/>
      <c r="B28" s="44"/>
      <c r="C28" s="58"/>
      <c r="D28" s="60"/>
      <c r="E28" s="61"/>
      <c r="F28" s="58"/>
      <c r="G28" s="59"/>
      <c r="H28" s="59"/>
      <c r="I28" s="59"/>
      <c r="J28" s="59"/>
      <c r="K28" s="59"/>
      <c r="L28" s="59"/>
      <c r="M28" s="59"/>
      <c r="N28" s="59"/>
      <c r="O28" s="59"/>
      <c r="P28" s="59"/>
      <c r="Q28" s="59"/>
      <c r="R28" s="59"/>
      <c r="S28" s="45">
        <f t="shared" si="0"/>
        <v>0</v>
      </c>
      <c r="T28" s="47" t="e">
        <f t="shared" ref="T28:T29" si="2">S28/F28</f>
        <v>#DIV/0!</v>
      </c>
    </row>
    <row r="29" spans="1:20" ht="18" customHeight="1" thickBot="1" x14ac:dyDescent="0.2">
      <c r="A29" s="41"/>
      <c r="B29" s="48"/>
      <c r="C29" s="56"/>
      <c r="D29" s="62"/>
      <c r="E29" s="63"/>
      <c r="F29" s="56"/>
      <c r="G29" s="56"/>
      <c r="H29" s="56"/>
      <c r="I29" s="56"/>
      <c r="J29" s="56"/>
      <c r="K29" s="56"/>
      <c r="L29" s="56"/>
      <c r="M29" s="56"/>
      <c r="N29" s="56"/>
      <c r="O29" s="56"/>
      <c r="P29" s="56"/>
      <c r="Q29" s="56"/>
      <c r="R29" s="56"/>
      <c r="S29" s="3">
        <f t="shared" si="0"/>
        <v>0</v>
      </c>
      <c r="T29" s="47" t="e">
        <f t="shared" si="2"/>
        <v>#DIV/0!</v>
      </c>
    </row>
    <row r="30" spans="1:20" ht="18" customHeight="1" thickTop="1" x14ac:dyDescent="0.15">
      <c r="B30" s="49" t="s">
        <v>33</v>
      </c>
      <c r="C30" s="51">
        <f t="shared" ref="C30" si="3">SUM(C10:C29)</f>
        <v>788</v>
      </c>
      <c r="D30" s="108">
        <f>SUM(D10:D29)</f>
        <v>635</v>
      </c>
      <c r="E30" s="50">
        <f t="shared" ref="E30:G30" si="4">SUM(E10:E29)</f>
        <v>210</v>
      </c>
      <c r="F30" s="51">
        <f t="shared" si="4"/>
        <v>862</v>
      </c>
      <c r="G30" s="51">
        <f t="shared" si="4"/>
        <v>240</v>
      </c>
      <c r="H30" s="51">
        <f t="shared" ref="H30:K30" si="5">SUM(H10:H29)</f>
        <v>186</v>
      </c>
      <c r="I30" s="51">
        <f t="shared" si="5"/>
        <v>0</v>
      </c>
      <c r="J30" s="51">
        <f t="shared" si="5"/>
        <v>0</v>
      </c>
      <c r="K30" s="51">
        <f t="shared" si="5"/>
        <v>0</v>
      </c>
      <c r="L30" s="51">
        <f t="shared" ref="L30:M30" si="6">SUM(L10:L29)</f>
        <v>0</v>
      </c>
      <c r="M30" s="51">
        <f t="shared" si="6"/>
        <v>0</v>
      </c>
      <c r="N30" s="51">
        <f t="shared" ref="N30:S30" si="7">SUM(N10:N29)</f>
        <v>0</v>
      </c>
      <c r="O30" s="51">
        <f t="shared" si="7"/>
        <v>0</v>
      </c>
      <c r="P30" s="51">
        <f t="shared" si="7"/>
        <v>0</v>
      </c>
      <c r="Q30" s="51">
        <f t="shared" si="7"/>
        <v>0</v>
      </c>
      <c r="R30" s="51">
        <f t="shared" si="7"/>
        <v>0</v>
      </c>
      <c r="S30" s="51">
        <f t="shared" si="7"/>
        <v>240</v>
      </c>
      <c r="T30" s="52">
        <f>S30/F30</f>
        <v>0.27842227378190254</v>
      </c>
    </row>
  </sheetData>
  <mergeCells count="13">
    <mergeCell ref="C8:D8"/>
    <mergeCell ref="K8:L8"/>
    <mergeCell ref="M8:N8"/>
    <mergeCell ref="O8:P8"/>
    <mergeCell ref="A2:T2"/>
    <mergeCell ref="B8:B9"/>
    <mergeCell ref="E8:E9"/>
    <mergeCell ref="F8:F9"/>
    <mergeCell ref="G8:H8"/>
    <mergeCell ref="S8:S9"/>
    <mergeCell ref="T8:T9"/>
    <mergeCell ref="Q8:R8"/>
    <mergeCell ref="I8:J8"/>
  </mergeCells>
  <phoneticPr fontId="1"/>
  <conditionalFormatting sqref="C4:E5">
    <cfRule type="cellIs" priority="1" operator="equal">
      <formula>0</formula>
    </cfRule>
  </conditionalFormatting>
  <dataValidations count="1">
    <dataValidation type="whole" allowBlank="1" showInputMessage="1" showErrorMessage="1" sqref="G10:R29 C10:F29">
      <formula1>0</formula1>
      <formula2>99999</formula2>
    </dataValidation>
  </dataValidations>
  <printOptions horizontalCentered="1"/>
  <pageMargins left="0.78740157480314965" right="0.78740157480314965" top="0.78740157480314965" bottom="0.59055118110236227" header="0.31496062992125984" footer="0.31496062992125984"/>
  <pageSetup paperSize="9" scale="9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K62"/>
  <sheetViews>
    <sheetView showZeros="0" view="pageBreakPreview" zoomScaleNormal="100" zoomScaleSheetLayoutView="100" workbookViewId="0"/>
  </sheetViews>
  <sheetFormatPr defaultColWidth="11.375" defaultRowHeight="18.75" customHeight="1" x14ac:dyDescent="0.15"/>
  <cols>
    <col min="1" max="1" width="2.75" style="7" customWidth="1"/>
    <col min="2" max="2" width="8" style="8" customWidth="1"/>
    <col min="3" max="3" width="17.125" style="8" bestFit="1" customWidth="1"/>
    <col min="4" max="4" width="41.625" style="8" customWidth="1"/>
    <col min="5" max="5" width="12.125" style="8" customWidth="1"/>
    <col min="6" max="16384" width="11.375" style="8"/>
  </cols>
  <sheetData>
    <row r="1" spans="1:5" ht="18.75" customHeight="1" x14ac:dyDescent="0.15">
      <c r="A1" s="7" t="s">
        <v>58</v>
      </c>
      <c r="E1" s="9" t="s">
        <v>83</v>
      </c>
    </row>
    <row r="2" spans="1:5" ht="10.9" customHeight="1" x14ac:dyDescent="0.15">
      <c r="E2" s="10"/>
    </row>
    <row r="3" spans="1:5" ht="18.600000000000001" customHeight="1" x14ac:dyDescent="0.15">
      <c r="A3" s="152" t="s">
        <v>36</v>
      </c>
      <c r="B3" s="152"/>
      <c r="C3" s="152"/>
      <c r="D3" s="152"/>
      <c r="E3" s="152"/>
    </row>
    <row r="4" spans="1:5" ht="13.15" customHeight="1" x14ac:dyDescent="0.15">
      <c r="B4" s="12"/>
      <c r="C4" s="12"/>
      <c r="D4" s="12"/>
      <c r="E4" s="12"/>
    </row>
    <row r="5" spans="1:5" ht="18" customHeight="1" x14ac:dyDescent="0.15">
      <c r="A5" s="8" t="s">
        <v>0</v>
      </c>
      <c r="B5" s="130" t="s">
        <v>76</v>
      </c>
      <c r="C5" s="130"/>
      <c r="D5" s="130"/>
      <c r="E5" s="130"/>
    </row>
    <row r="6" spans="1:5" ht="18.600000000000001" customHeight="1" x14ac:dyDescent="0.15">
      <c r="B6" s="29" t="s">
        <v>77</v>
      </c>
      <c r="C6" s="115">
        <v>48</v>
      </c>
      <c r="D6" s="10" t="s">
        <v>1</v>
      </c>
      <c r="E6" s="14"/>
    </row>
    <row r="7" spans="1:5" ht="18.600000000000001" customHeight="1" x14ac:dyDescent="0.15">
      <c r="B7" s="29" t="s">
        <v>2</v>
      </c>
      <c r="C7" s="115">
        <v>71</v>
      </c>
      <c r="D7" s="10" t="s">
        <v>1</v>
      </c>
      <c r="E7" s="14"/>
    </row>
    <row r="8" spans="1:5" ht="18.600000000000001" customHeight="1" x14ac:dyDescent="0.15">
      <c r="B8" s="9"/>
      <c r="C8" s="9"/>
      <c r="D8" s="10"/>
      <c r="E8" s="14"/>
    </row>
    <row r="9" spans="1:5" ht="18" customHeight="1" x14ac:dyDescent="0.15">
      <c r="A9" s="8" t="s">
        <v>3</v>
      </c>
      <c r="B9" s="130" t="s">
        <v>122</v>
      </c>
      <c r="C9" s="130"/>
      <c r="D9" s="130"/>
      <c r="E9" s="130"/>
    </row>
    <row r="10" spans="1:5" ht="18" customHeight="1" x14ac:dyDescent="0.15">
      <c r="A10" s="8"/>
      <c r="B10" s="10"/>
      <c r="C10" s="115">
        <v>1</v>
      </c>
      <c r="D10" s="10" t="s">
        <v>1</v>
      </c>
      <c r="E10" s="10"/>
    </row>
    <row r="11" spans="1:5" ht="9" customHeight="1" x14ac:dyDescent="0.15">
      <c r="B11" s="12"/>
      <c r="C11" s="12"/>
      <c r="D11" s="12"/>
      <c r="E11" s="12"/>
    </row>
    <row r="12" spans="1:5" ht="18" customHeight="1" x14ac:dyDescent="0.15">
      <c r="A12" s="8" t="s">
        <v>4</v>
      </c>
      <c r="B12" s="130" t="s">
        <v>78</v>
      </c>
      <c r="C12" s="130"/>
      <c r="D12" s="130"/>
      <c r="E12" s="130"/>
    </row>
    <row r="13" spans="1:5" ht="18" customHeight="1" x14ac:dyDescent="0.15">
      <c r="C13" s="9" t="s">
        <v>41</v>
      </c>
      <c r="D13" s="66" t="s">
        <v>149</v>
      </c>
      <c r="E13" s="10"/>
    </row>
    <row r="14" spans="1:5" ht="18" customHeight="1" x14ac:dyDescent="0.15">
      <c r="C14" s="9" t="s">
        <v>10</v>
      </c>
      <c r="D14" s="66" t="s">
        <v>150</v>
      </c>
      <c r="E14" s="14"/>
    </row>
    <row r="15" spans="1:5" ht="10.15" customHeight="1" x14ac:dyDescent="0.15">
      <c r="B15" s="9"/>
      <c r="C15" s="10"/>
      <c r="D15" s="14"/>
      <c r="E15" s="14"/>
    </row>
    <row r="16" spans="1:5" ht="18" customHeight="1" x14ac:dyDescent="0.15">
      <c r="A16" s="8" t="s">
        <v>7</v>
      </c>
      <c r="B16" s="130" t="s">
        <v>74</v>
      </c>
      <c r="C16" s="130"/>
      <c r="D16" s="130"/>
      <c r="E16" s="130"/>
    </row>
    <row r="17" spans="1:10" ht="18" customHeight="1" x14ac:dyDescent="0.15">
      <c r="C17" s="9" t="s">
        <v>118</v>
      </c>
      <c r="D17" s="66" t="s">
        <v>151</v>
      </c>
      <c r="E17" s="10"/>
    </row>
    <row r="18" spans="1:10" ht="9" customHeight="1" x14ac:dyDescent="0.15">
      <c r="B18" s="12"/>
      <c r="C18" s="12"/>
      <c r="D18" s="12"/>
      <c r="E18" s="12"/>
    </row>
    <row r="19" spans="1:10" ht="18.75" customHeight="1" x14ac:dyDescent="0.15">
      <c r="A19" s="8" t="s">
        <v>5</v>
      </c>
      <c r="B19" s="129" t="s">
        <v>40</v>
      </c>
      <c r="C19" s="129"/>
      <c r="D19" s="129"/>
      <c r="E19" s="129"/>
    </row>
    <row r="20" spans="1:10" ht="18.75" customHeight="1" x14ac:dyDescent="0.15">
      <c r="A20" s="8"/>
      <c r="C20" s="9" t="s">
        <v>118</v>
      </c>
      <c r="D20" s="66" t="s">
        <v>152</v>
      </c>
      <c r="E20" s="10"/>
    </row>
    <row r="21" spans="1:10" ht="7.5" customHeight="1" x14ac:dyDescent="0.15">
      <c r="B21" s="12"/>
      <c r="C21" s="12"/>
      <c r="D21" s="12"/>
      <c r="E21" s="12"/>
    </row>
    <row r="22" spans="1:10" ht="18.75" customHeight="1" x14ac:dyDescent="0.15">
      <c r="A22" s="8" t="s">
        <v>8</v>
      </c>
      <c r="B22" s="129" t="s">
        <v>25</v>
      </c>
      <c r="C22" s="129"/>
      <c r="D22" s="129"/>
      <c r="E22" s="129"/>
    </row>
    <row r="23" spans="1:10" ht="180" customHeight="1" x14ac:dyDescent="0.15">
      <c r="A23" s="15"/>
      <c r="B23" s="16"/>
      <c r="C23" s="165" t="s">
        <v>165</v>
      </c>
      <c r="D23" s="166"/>
      <c r="E23" s="167"/>
    </row>
    <row r="24" spans="1:10" ht="7.5" customHeight="1" x14ac:dyDescent="0.15">
      <c r="A24" s="15"/>
      <c r="B24" s="15"/>
      <c r="C24" s="15"/>
      <c r="D24" s="15"/>
      <c r="E24" s="15"/>
    </row>
    <row r="25" spans="1:10" ht="18.75" customHeight="1" x14ac:dyDescent="0.15">
      <c r="A25" s="17" t="s">
        <v>6</v>
      </c>
      <c r="B25" s="168" t="s">
        <v>9</v>
      </c>
      <c r="C25" s="169"/>
      <c r="D25" s="169"/>
      <c r="E25" s="169"/>
    </row>
    <row r="26" spans="1:10" ht="180" customHeight="1" x14ac:dyDescent="0.15">
      <c r="A26" s="15"/>
      <c r="B26" s="16"/>
      <c r="C26" s="165" t="s">
        <v>158</v>
      </c>
      <c r="D26" s="166"/>
      <c r="E26" s="167"/>
    </row>
    <row r="27" spans="1:10" ht="7.5" customHeight="1" x14ac:dyDescent="0.15">
      <c r="A27" s="18"/>
      <c r="B27" s="18"/>
      <c r="C27" s="18"/>
      <c r="D27" s="18"/>
      <c r="E27" s="18"/>
    </row>
    <row r="28" spans="1:10" ht="18.75" customHeight="1" x14ac:dyDescent="0.15">
      <c r="A28" s="8" t="s">
        <v>31</v>
      </c>
      <c r="B28" s="129" t="s">
        <v>121</v>
      </c>
      <c r="C28" s="170"/>
      <c r="D28" s="170"/>
      <c r="E28" s="129"/>
    </row>
    <row r="29" spans="1:10" s="12" customFormat="1" ht="18.75" customHeight="1" x14ac:dyDescent="0.15">
      <c r="B29" s="25"/>
      <c r="C29" s="21" t="s">
        <v>123</v>
      </c>
      <c r="D29" s="30">
        <f>IFERROR('様式２ 履修者等数の実績'!T30, "（様式２より自動転記）")</f>
        <v>0.27842227378190254</v>
      </c>
      <c r="E29" s="26"/>
      <c r="F29" s="8"/>
      <c r="I29" s="8"/>
      <c r="J29" s="20"/>
    </row>
    <row r="30" spans="1:10" s="12" customFormat="1" ht="18.75" customHeight="1" x14ac:dyDescent="0.15">
      <c r="B30" s="25"/>
      <c r="C30" s="21" t="s">
        <v>75</v>
      </c>
      <c r="D30" s="30">
        <v>0.5</v>
      </c>
      <c r="E30" s="26"/>
      <c r="F30" s="8"/>
      <c r="I30" s="8"/>
      <c r="J30" s="20"/>
    </row>
    <row r="31" spans="1:10" s="12" customFormat="1" ht="18.75" customHeight="1" x14ac:dyDescent="0.15">
      <c r="B31" s="25"/>
      <c r="C31" s="21" t="s">
        <v>89</v>
      </c>
      <c r="D31" s="30">
        <v>0.75</v>
      </c>
      <c r="E31" s="26"/>
      <c r="F31" s="8"/>
      <c r="I31" s="8"/>
      <c r="J31" s="20"/>
    </row>
    <row r="32" spans="1:10" s="12" customFormat="1" ht="18.75" customHeight="1" x14ac:dyDescent="0.15">
      <c r="B32" s="22"/>
      <c r="C32" s="19" t="s">
        <v>119</v>
      </c>
      <c r="D32" s="30">
        <v>1</v>
      </c>
      <c r="E32" s="27"/>
      <c r="F32" s="8"/>
      <c r="I32" s="8"/>
      <c r="J32" s="20"/>
    </row>
    <row r="33" spans="1:11" s="12" customFormat="1" ht="18.75" customHeight="1" x14ac:dyDescent="0.15">
      <c r="B33" s="22"/>
      <c r="C33" s="19" t="s">
        <v>120</v>
      </c>
      <c r="D33" s="30">
        <v>1</v>
      </c>
      <c r="E33" s="27"/>
      <c r="F33" s="8"/>
      <c r="I33" s="8"/>
      <c r="J33" s="20"/>
    </row>
    <row r="34" spans="1:11" ht="18.75" customHeight="1" x14ac:dyDescent="0.15">
      <c r="A34" s="8"/>
      <c r="B34" s="164" t="s">
        <v>59</v>
      </c>
      <c r="C34" s="164"/>
      <c r="D34" s="164"/>
      <c r="E34" s="164"/>
      <c r="J34" s="20"/>
      <c r="K34" s="12"/>
    </row>
    <row r="35" spans="1:11" ht="180" customHeight="1" x14ac:dyDescent="0.15">
      <c r="A35" s="8"/>
      <c r="B35" s="16"/>
      <c r="C35" s="165" t="s">
        <v>159</v>
      </c>
      <c r="D35" s="166"/>
      <c r="E35" s="167"/>
      <c r="J35" s="20"/>
      <c r="K35" s="12"/>
    </row>
    <row r="36" spans="1:11" ht="7.5" customHeight="1" x14ac:dyDescent="0.15">
      <c r="A36" s="15"/>
      <c r="B36" s="15"/>
      <c r="C36" s="15"/>
      <c r="D36" s="15"/>
      <c r="E36" s="15"/>
    </row>
    <row r="37" spans="1:11" ht="18.75" customHeight="1" x14ac:dyDescent="0.15">
      <c r="A37" s="17" t="s">
        <v>34</v>
      </c>
      <c r="B37" s="129" t="s">
        <v>37</v>
      </c>
      <c r="C37" s="170"/>
      <c r="D37" s="170"/>
      <c r="E37" s="170"/>
    </row>
    <row r="38" spans="1:11" ht="180" customHeight="1" x14ac:dyDescent="0.15">
      <c r="A38" s="18"/>
      <c r="B38" s="16"/>
      <c r="C38" s="165" t="s">
        <v>172</v>
      </c>
      <c r="D38" s="166"/>
      <c r="E38" s="167"/>
    </row>
    <row r="39" spans="1:11" ht="7.5" customHeight="1" x14ac:dyDescent="0.15">
      <c r="A39" s="18"/>
      <c r="B39" s="18"/>
      <c r="C39" s="18"/>
      <c r="D39" s="18"/>
      <c r="E39" s="18"/>
    </row>
    <row r="40" spans="1:11" ht="18.75" customHeight="1" x14ac:dyDescent="0.15">
      <c r="A40" s="8" t="s">
        <v>11</v>
      </c>
      <c r="B40" s="129" t="s">
        <v>39</v>
      </c>
      <c r="C40" s="170"/>
      <c r="D40" s="170"/>
      <c r="E40" s="170"/>
    </row>
    <row r="41" spans="1:11" ht="180" customHeight="1" x14ac:dyDescent="0.15">
      <c r="A41" s="8"/>
      <c r="B41" s="16"/>
      <c r="C41" s="165" t="s">
        <v>160</v>
      </c>
      <c r="D41" s="166"/>
      <c r="E41" s="167"/>
    </row>
    <row r="42" spans="1:11" ht="7.5" customHeight="1" x14ac:dyDescent="0.15">
      <c r="A42" s="18"/>
      <c r="B42" s="18"/>
      <c r="C42" s="18"/>
      <c r="D42" s="18"/>
      <c r="E42" s="18"/>
    </row>
    <row r="43" spans="1:11" ht="18.75" customHeight="1" x14ac:dyDescent="0.15">
      <c r="A43" s="8" t="s">
        <v>42</v>
      </c>
      <c r="B43" s="129" t="s">
        <v>13</v>
      </c>
      <c r="C43" s="170"/>
      <c r="D43" s="170"/>
      <c r="E43" s="170"/>
    </row>
    <row r="44" spans="1:11" ht="180" customHeight="1" x14ac:dyDescent="0.15">
      <c r="A44" s="8"/>
      <c r="B44" s="16"/>
      <c r="C44" s="165" t="s">
        <v>161</v>
      </c>
      <c r="D44" s="166"/>
      <c r="E44" s="167"/>
    </row>
    <row r="45" spans="1:11" ht="7.5" customHeight="1" x14ac:dyDescent="0.15">
      <c r="A45" s="18"/>
      <c r="B45" s="18"/>
      <c r="C45" s="18"/>
      <c r="D45" s="18"/>
      <c r="E45" s="18"/>
    </row>
    <row r="46" spans="1:11" ht="18.75" customHeight="1" x14ac:dyDescent="0.15">
      <c r="A46" s="8" t="s">
        <v>30</v>
      </c>
      <c r="B46" s="129" t="s">
        <v>44</v>
      </c>
      <c r="C46" s="129"/>
      <c r="D46" s="129"/>
      <c r="E46" s="129"/>
    </row>
    <row r="47" spans="1:11" ht="180" customHeight="1" x14ac:dyDescent="0.15">
      <c r="A47" s="18"/>
      <c r="B47" s="16"/>
      <c r="C47" s="165" t="s">
        <v>173</v>
      </c>
      <c r="D47" s="166"/>
      <c r="E47" s="167"/>
    </row>
    <row r="48" spans="1:11" ht="7.5" customHeight="1" x14ac:dyDescent="0.15">
      <c r="A48" s="18"/>
      <c r="B48" s="23"/>
      <c r="C48" s="23"/>
      <c r="D48" s="23"/>
      <c r="E48" s="23"/>
    </row>
    <row r="49" spans="1:5" ht="18.75" customHeight="1" x14ac:dyDescent="0.15">
      <c r="A49" s="8"/>
      <c r="B49" s="163"/>
      <c r="C49" s="163"/>
      <c r="D49" s="163"/>
      <c r="E49" s="163"/>
    </row>
    <row r="50" spans="1:5" ht="18.75" customHeight="1" x14ac:dyDescent="0.15">
      <c r="A50" s="8"/>
      <c r="B50" s="163"/>
      <c r="C50" s="163"/>
      <c r="D50" s="163"/>
      <c r="E50" s="163"/>
    </row>
    <row r="51" spans="1:5" ht="18.75" customHeight="1" x14ac:dyDescent="0.15">
      <c r="A51" s="18"/>
      <c r="B51" s="16"/>
      <c r="C51" s="16"/>
      <c r="D51" s="16"/>
      <c r="E51" s="24"/>
    </row>
    <row r="52" spans="1:5" ht="18.75" customHeight="1" x14ac:dyDescent="0.15">
      <c r="A52" s="18"/>
      <c r="B52" s="24"/>
      <c r="C52" s="24"/>
      <c r="D52" s="24"/>
      <c r="E52" s="24"/>
    </row>
    <row r="53" spans="1:5" ht="18.75" customHeight="1" x14ac:dyDescent="0.15">
      <c r="A53" s="18"/>
      <c r="B53" s="24"/>
      <c r="C53" s="24"/>
      <c r="D53" s="24"/>
      <c r="E53" s="24"/>
    </row>
    <row r="54" spans="1:5" ht="18.75" customHeight="1" x14ac:dyDescent="0.15">
      <c r="A54" s="18"/>
      <c r="B54" s="24"/>
      <c r="C54" s="24"/>
      <c r="D54" s="24"/>
      <c r="E54" s="24"/>
    </row>
    <row r="55" spans="1:5" ht="18.75" customHeight="1" x14ac:dyDescent="0.15">
      <c r="A55" s="18"/>
      <c r="B55" s="24"/>
      <c r="C55" s="24"/>
      <c r="D55" s="24"/>
      <c r="E55" s="24"/>
    </row>
    <row r="56" spans="1:5" ht="18.75" customHeight="1" x14ac:dyDescent="0.15">
      <c r="A56" s="18"/>
      <c r="B56" s="24"/>
      <c r="C56" s="24"/>
      <c r="D56" s="24"/>
      <c r="E56" s="24"/>
    </row>
    <row r="57" spans="1:5" ht="18.75" customHeight="1" x14ac:dyDescent="0.15">
      <c r="A57" s="18"/>
      <c r="B57" s="24"/>
      <c r="C57" s="24"/>
      <c r="D57" s="24"/>
      <c r="E57" s="24"/>
    </row>
    <row r="58" spans="1:5" ht="18.75" customHeight="1" x14ac:dyDescent="0.15">
      <c r="A58" s="18"/>
      <c r="B58" s="24"/>
      <c r="C58" s="24"/>
      <c r="D58" s="24"/>
      <c r="E58" s="24"/>
    </row>
    <row r="59" spans="1:5" ht="18.75" customHeight="1" x14ac:dyDescent="0.15">
      <c r="A59" s="18"/>
      <c r="B59" s="24"/>
      <c r="C59" s="24"/>
      <c r="D59" s="24"/>
      <c r="E59" s="24"/>
    </row>
    <row r="60" spans="1:5" ht="18.75" customHeight="1" x14ac:dyDescent="0.15">
      <c r="A60" s="18"/>
      <c r="B60" s="24"/>
      <c r="C60" s="24"/>
      <c r="D60" s="24"/>
      <c r="E60" s="24"/>
    </row>
    <row r="61" spans="1:5" ht="14.25" x14ac:dyDescent="0.15">
      <c r="A61" s="18"/>
      <c r="B61" s="24"/>
      <c r="C61" s="24"/>
      <c r="D61" s="24"/>
      <c r="E61" s="24"/>
    </row>
    <row r="62" spans="1:5" ht="7.5" customHeight="1" x14ac:dyDescent="0.15">
      <c r="A62" s="18"/>
      <c r="B62" s="24"/>
      <c r="C62" s="24"/>
      <c r="D62" s="24"/>
      <c r="E62" s="24"/>
    </row>
  </sheetData>
  <mergeCells count="22">
    <mergeCell ref="B40:E40"/>
    <mergeCell ref="B43:E43"/>
    <mergeCell ref="C26:E26"/>
    <mergeCell ref="C35:E35"/>
    <mergeCell ref="C38:E38"/>
    <mergeCell ref="C41:E41"/>
    <mergeCell ref="B49:E50"/>
    <mergeCell ref="A3:E3"/>
    <mergeCell ref="B46:E46"/>
    <mergeCell ref="B34:E34"/>
    <mergeCell ref="C23:E23"/>
    <mergeCell ref="B22:E22"/>
    <mergeCell ref="B5:E5"/>
    <mergeCell ref="B9:E9"/>
    <mergeCell ref="B12:E12"/>
    <mergeCell ref="B16:E16"/>
    <mergeCell ref="B19:E19"/>
    <mergeCell ref="C44:E44"/>
    <mergeCell ref="C47:E47"/>
    <mergeCell ref="B25:E25"/>
    <mergeCell ref="B28:E28"/>
    <mergeCell ref="B37:E37"/>
  </mergeCells>
  <phoneticPr fontId="1"/>
  <dataValidations count="1">
    <dataValidation type="whole" allowBlank="1" showInputMessage="1" showErrorMessage="1" sqref="C6:C7 C10">
      <formula1>0</formula1>
      <formula2>99999</formula2>
    </dataValidation>
  </dataValidations>
  <printOptions horizontalCentered="1"/>
  <pageMargins left="0.59055118110236227" right="0.59055118110236227" top="0.78740157480314965" bottom="0.39370078740157483" header="0.31496062992125984" footer="0.19685039370078741"/>
  <pageSetup paperSize="9" fitToHeight="0" orientation="portrait" r:id="rId1"/>
  <rowBreaks count="2" manualBreakCount="2">
    <brk id="27" max="8" man="1"/>
    <brk id="4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E29"/>
  <sheetViews>
    <sheetView showZeros="0" view="pageBreakPreview" zoomScale="90" zoomScaleNormal="100" zoomScaleSheetLayoutView="90" workbookViewId="0"/>
  </sheetViews>
  <sheetFormatPr defaultColWidth="11.375" defaultRowHeight="22.5" customHeight="1" x14ac:dyDescent="0.15"/>
  <cols>
    <col min="1" max="1" width="5.875" style="8" customWidth="1"/>
    <col min="2" max="2" width="7.25" style="8" customWidth="1"/>
    <col min="3" max="3" width="31.125" style="8" customWidth="1"/>
    <col min="4" max="4" width="77.125" style="8" customWidth="1"/>
    <col min="5" max="5" width="7.625" style="8" bestFit="1" customWidth="1"/>
    <col min="6" max="16384" width="11.375" style="8"/>
  </cols>
  <sheetData>
    <row r="1" spans="1:5" ht="18.75" customHeight="1" x14ac:dyDescent="0.15">
      <c r="A1" s="8" t="s">
        <v>60</v>
      </c>
      <c r="E1" s="9" t="s">
        <v>82</v>
      </c>
    </row>
    <row r="2" spans="1:5" ht="18.75" customHeight="1" x14ac:dyDescent="0.15">
      <c r="A2" s="152" t="s">
        <v>28</v>
      </c>
      <c r="B2" s="152"/>
      <c r="C2" s="152"/>
      <c r="D2" s="152"/>
      <c r="E2" s="152"/>
    </row>
    <row r="3" spans="1:5" ht="18.75" customHeight="1" x14ac:dyDescent="0.15">
      <c r="A3" s="11"/>
      <c r="B3" s="11"/>
      <c r="C3" s="11"/>
      <c r="D3" s="11"/>
    </row>
    <row r="4" spans="1:5" ht="18.75" customHeight="1" x14ac:dyDescent="0.15">
      <c r="A4" s="12" t="s">
        <v>0</v>
      </c>
      <c r="B4" s="171" t="s">
        <v>124</v>
      </c>
      <c r="C4" s="171"/>
      <c r="D4" s="66" t="s">
        <v>151</v>
      </c>
    </row>
    <row r="5" spans="1:5" ht="9" customHeight="1" x14ac:dyDescent="0.15">
      <c r="A5" s="11"/>
      <c r="B5" s="10"/>
      <c r="C5" s="10"/>
      <c r="D5" s="10"/>
    </row>
    <row r="6" spans="1:5" ht="18.75" customHeight="1" x14ac:dyDescent="0.15">
      <c r="A6" s="177" t="s">
        <v>41</v>
      </c>
      <c r="B6" s="178"/>
      <c r="C6" s="66" t="s">
        <v>149</v>
      </c>
    </row>
    <row r="7" spans="1:5" ht="18.75" customHeight="1" x14ac:dyDescent="0.15">
      <c r="A7" s="177" t="s">
        <v>10</v>
      </c>
      <c r="B7" s="178"/>
      <c r="C7" s="66" t="s">
        <v>150</v>
      </c>
      <c r="D7" s="10"/>
    </row>
    <row r="8" spans="1:5" ht="7.5" customHeight="1" x14ac:dyDescent="0.15">
      <c r="A8" s="11"/>
      <c r="B8" s="11"/>
      <c r="C8" s="11"/>
      <c r="D8" s="11"/>
    </row>
    <row r="9" spans="1:5" ht="18.75" customHeight="1" x14ac:dyDescent="0.15">
      <c r="A9" s="12" t="s">
        <v>3</v>
      </c>
      <c r="B9" s="8" t="s">
        <v>27</v>
      </c>
      <c r="C9" s="18"/>
      <c r="D9" s="18"/>
    </row>
    <row r="10" spans="1:5" ht="18.75" customHeight="1" x14ac:dyDescent="0.15">
      <c r="B10" s="134" t="s">
        <v>24</v>
      </c>
      <c r="C10" s="176"/>
      <c r="D10" s="31" t="s">
        <v>26</v>
      </c>
    </row>
    <row r="11" spans="1:5" ht="19.149999999999999" customHeight="1" x14ac:dyDescent="0.15">
      <c r="B11" s="179" t="s">
        <v>14</v>
      </c>
      <c r="C11" s="180"/>
      <c r="D11" s="181"/>
    </row>
    <row r="12" spans="1:5" ht="198" customHeight="1" x14ac:dyDescent="0.15">
      <c r="B12" s="33"/>
      <c r="C12" s="34" t="s">
        <v>15</v>
      </c>
      <c r="D12" s="53" t="s">
        <v>166</v>
      </c>
    </row>
    <row r="13" spans="1:5" ht="198" customHeight="1" x14ac:dyDescent="0.15">
      <c r="B13" s="33"/>
      <c r="C13" s="35" t="s">
        <v>16</v>
      </c>
      <c r="D13" s="53" t="s">
        <v>167</v>
      </c>
    </row>
    <row r="14" spans="1:5" ht="198" customHeight="1" x14ac:dyDescent="0.15">
      <c r="B14" s="33"/>
      <c r="C14" s="34" t="s">
        <v>17</v>
      </c>
      <c r="D14" s="53" t="s">
        <v>168</v>
      </c>
    </row>
    <row r="15" spans="1:5" ht="198" customHeight="1" x14ac:dyDescent="0.15">
      <c r="B15" s="33"/>
      <c r="C15" s="34" t="s">
        <v>18</v>
      </c>
      <c r="D15" s="53" t="s">
        <v>169</v>
      </c>
    </row>
    <row r="16" spans="1:5" ht="198" customHeight="1" x14ac:dyDescent="0.15">
      <c r="B16" s="36"/>
      <c r="C16" s="37" t="s">
        <v>19</v>
      </c>
      <c r="D16" s="53" t="s">
        <v>162</v>
      </c>
    </row>
    <row r="17" spans="2:4" ht="19.149999999999999" customHeight="1" x14ac:dyDescent="0.15">
      <c r="B17" s="32" t="s">
        <v>20</v>
      </c>
      <c r="C17" s="38"/>
      <c r="D17" s="39"/>
    </row>
    <row r="18" spans="2:4" ht="198" customHeight="1" x14ac:dyDescent="0.15">
      <c r="B18" s="33"/>
      <c r="C18" s="34" t="s">
        <v>21</v>
      </c>
      <c r="D18" s="53" t="s">
        <v>153</v>
      </c>
    </row>
    <row r="19" spans="2:4" ht="198" customHeight="1" x14ac:dyDescent="0.15">
      <c r="B19" s="36"/>
      <c r="C19" s="37" t="s">
        <v>22</v>
      </c>
      <c r="D19" s="54" t="s">
        <v>154</v>
      </c>
    </row>
    <row r="20" spans="2:4" ht="198" customHeight="1" x14ac:dyDescent="0.15">
      <c r="B20" s="174" t="s">
        <v>23</v>
      </c>
      <c r="C20" s="175"/>
      <c r="D20" s="122" t="s">
        <v>170</v>
      </c>
    </row>
    <row r="21" spans="2:4" ht="198" customHeight="1" x14ac:dyDescent="0.15">
      <c r="B21" s="172" t="s">
        <v>91</v>
      </c>
      <c r="C21" s="173"/>
      <c r="D21" s="123" t="s">
        <v>171</v>
      </c>
    </row>
    <row r="22" spans="2:4" ht="22.5" customHeight="1" x14ac:dyDescent="0.15">
      <c r="B22" s="18"/>
      <c r="C22" s="18"/>
      <c r="D22" s="18"/>
    </row>
    <row r="23" spans="2:4" ht="22.5" customHeight="1" x14ac:dyDescent="0.15">
      <c r="B23" s="18"/>
      <c r="C23" s="18"/>
      <c r="D23" s="18"/>
    </row>
    <row r="24" spans="2:4" ht="22.5" customHeight="1" x14ac:dyDescent="0.15">
      <c r="B24" s="18"/>
      <c r="C24" s="18"/>
      <c r="D24" s="18"/>
    </row>
    <row r="25" spans="2:4" ht="22.5" customHeight="1" x14ac:dyDescent="0.15">
      <c r="B25" s="18"/>
      <c r="C25" s="18"/>
      <c r="D25" s="18"/>
    </row>
    <row r="26" spans="2:4" ht="22.5" customHeight="1" x14ac:dyDescent="0.15">
      <c r="B26" s="18"/>
      <c r="C26" s="18"/>
      <c r="D26" s="18"/>
    </row>
    <row r="27" spans="2:4" ht="22.5" customHeight="1" x14ac:dyDescent="0.15">
      <c r="B27" s="15"/>
      <c r="C27" s="15"/>
      <c r="D27" s="15"/>
    </row>
    <row r="28" spans="2:4" ht="22.5" customHeight="1" x14ac:dyDescent="0.15">
      <c r="B28" s="15"/>
      <c r="C28" s="15"/>
      <c r="D28" s="15"/>
    </row>
    <row r="29" spans="2:4" ht="22.5" customHeight="1" x14ac:dyDescent="0.15">
      <c r="B29" s="15"/>
      <c r="C29" s="15"/>
      <c r="D29" s="15"/>
    </row>
  </sheetData>
  <mergeCells count="8">
    <mergeCell ref="A2:E2"/>
    <mergeCell ref="B4:C4"/>
    <mergeCell ref="B21:C21"/>
    <mergeCell ref="B20:C20"/>
    <mergeCell ref="B10:C10"/>
    <mergeCell ref="A6:B6"/>
    <mergeCell ref="A7:B7"/>
    <mergeCell ref="B11:D11"/>
  </mergeCells>
  <phoneticPr fontId="1"/>
  <printOptions horizontalCentered="1"/>
  <pageMargins left="0.78740157480314965" right="0.78740157480314965" top="0.78740157480314965" bottom="0.59055118110236227" header="0.31496062992125984" footer="0.31496062992125984"/>
  <pageSetup paperSize="9" scale="67" fitToHeight="0" orientation="portrait" r:id="rId1"/>
  <rowBreaks count="1" manualBreakCount="1">
    <brk id="16"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構成する授業科目</vt:lpstr>
      <vt:lpstr>様式２ 履修者等数の実績</vt:lpstr>
      <vt:lpstr>様式３ 教育の質・履修者数を向上させる体制・計画</vt:lpstr>
      <vt:lpstr>様式４　自己点検・評価</vt:lpstr>
      <vt:lpstr>'様式１　構成する授業科目'!Print_Area</vt:lpstr>
      <vt:lpstr>'様式２ 履修者等数の実績'!Print_Area</vt:lpstr>
      <vt:lpstr>'様式３ 教育の質・履修者数を向上させる体制・計画'!Print_Area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2025-10-09T06:43:13Z</dcterms:created>
  <dcterms:modified xsi:type="dcterms:W3CDTF">2025-11-13T02:01:44Z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