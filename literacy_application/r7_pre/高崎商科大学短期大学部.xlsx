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codeName="ThisWorkbook" defaultThemeVersion="124226"/>
  <xr:revisionPtr revIDLastSave="0" documentId="13_ncr:1_{A1D19919-9209-458D-B4F7-84F9D66E8EC2}" xr6:coauthVersionLast="36" xr6:coauthVersionMax="36" xr10:uidLastSave="{00000000-0000-0000-0000-000000000000}"/>
  <bookViews>
    <workbookView xWindow="0" yWindow="0" windowWidth="23040" windowHeight="8844" tabRatio="885" activeTab="2"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 name="Sheet1" sheetId="43" r:id="rId5"/>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構成する授業科目'!$A$1:$Z$70</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workbook>
</file>

<file path=xl/calcChain.xml><?xml version="1.0" encoding="utf-8"?>
<calcChain xmlns="http://schemas.openxmlformats.org/spreadsheetml/2006/main">
  <c r="T10" i="40" l="1"/>
  <c r="S10" i="40"/>
  <c r="S11" i="40" l="1"/>
  <c r="S12" i="40"/>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<sst xmlns="http://schemas.openxmlformats.org/spreadsheetml/2006/main" count="226" uniqueCount="174">
  <si>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</si>
  <si>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</si>
  <si>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</si>
  <si>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</si>
  <si>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</si>
  <si>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</si>
  <si>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</si>
  <si>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</si>
  <si>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</si>
  <si>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</si>
  <si>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</si>
  <si>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</si>
  <si>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</si>
  <si>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</si>
  <si>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</si>
  <si>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</si>
  <si>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</si>
  <si>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</si>
  <si>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</si>
  <si>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</si>
  <si>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</si>
  <si>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</si>
  <si>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</si>
  <si>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</si>
  <si>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</si>
  <si>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</si>
  <si>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</si>
  <si>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</si>
  <si>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</si>
  <si>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</si>
  <si>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</si>
  <si>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</si>
  <si>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</si>
  <si>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</si>
  <si>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</si>
  <si>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</si>
  <si>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</si>
  <si>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</si>
  <si>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</si>
  <si>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</si>
  <si>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</si>
  <si>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</si>
  <si>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</si>
  <si>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</si>
  <si>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</si>
  <si>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</si>
  <si>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</si>
  <si>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</si>
  <si>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</si>
  <si>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</si>
  <si>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</si>
  <si>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</si>
  <si>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</si>
  <si>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</si>
  <si>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</si>
  <si>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</si>
  <si>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</si>
  <si>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</si>
  <si>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</si>
  <si>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</si>
  <si>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</si>
  <si>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</si>
  <si>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</si>
  <si>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</si>
  <si>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</si>
  <si>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</si>
  <si>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</si>
  <si>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</si>
  <si>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</si>
  <si>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</si>
  <si>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</si>
  <si>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</si>
  <si>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</si>
  <si>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</si>
  <si>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</si>
  <si>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</si>
  <si>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</si>
  <si>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</si>
  <si>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</si>
  <si>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</si>
  <si>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</si>
  <si>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</si>
  <si>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</si>
  <si>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</si>
  <si>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</si>
  <si>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</si>
  <si>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</si>
  <si>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</si>
  <si>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</si>
  <si>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</si>
  <si>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</si>
  <si>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</si>
  <si>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</si>
  <si>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</si>
  <si>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</si>
  <si>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</si>
  <si>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</si>
  <si>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</si>
  <si>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</si>
  <si>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</si>
  <si>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</si>
  <si>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</si>
  <si>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</si>
  <si>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</si>
  <si>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</si>
  <si>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</si>
  <si>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</si>
  <si>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</si>
  <si>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</si>
  <si>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</si>
  <si>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</si>
  <si>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</si>
  <si>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</si>
  <si>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</si>
  <si>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</si>
  <si>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</si>
  <si>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</si>
  <si>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</si>
  <si>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</si>
  <si>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</si>
  <si>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</si>
  <si>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</si>
  <si>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</si>
  <si>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</si>
  <si>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</si>
  <si>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</si>
  <si>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</si>
  <si>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</si>
  <si>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</si>
  <si>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高崎商科大学短期大学部</t>
    <rPh sb="0" eb="6">
      <t>タカサキショウカダイガク</t>
    </rPh>
    <rPh sb="6" eb="11">
      <t>タンキダイガクブ</t>
    </rPh>
    <phoneticPr fontId="1"/>
  </si>
  <si>
    <t>TUC₂ AI ・データサイエンス教育プログラム</t>
    <phoneticPr fontId="1"/>
  </si>
  <si>
    <t>学部・学科によって、修了要件は相違しない</t>
  </si>
  <si>
    <t>令和６年度以前又は令和７年度より、履修することが必須のプログラムとして実施</t>
  </si>
  <si>
    <t>必須科目3単位を修得すること。</t>
    <rPh sb="0" eb="2">
      <t>ヒッス</t>
    </rPh>
    <rPh sb="2" eb="4">
      <t>カモク</t>
    </rPh>
    <rPh sb="5" eb="7">
      <t>タンイ</t>
    </rPh>
    <rPh sb="8" eb="10">
      <t>シュウトク</t>
    </rPh>
    <phoneticPr fontId="1"/>
  </si>
  <si>
    <t>データリテラシー</t>
    <phoneticPr fontId="1"/>
  </si>
  <si>
    <t>情報リテラシー</t>
    <rPh sb="0" eb="2">
      <t>ジョウホウ</t>
    </rPh>
    <phoneticPr fontId="1"/>
  </si>
  <si>
    <t>ビジネスソフト活用</t>
    <rPh sb="7" eb="9">
      <t>カツヨウ</t>
    </rPh>
    <phoneticPr fontId="1"/>
  </si>
  <si>
    <t>令和7</t>
    <rPh sb="0" eb="2">
      <t>レイワ</t>
    </rPh>
    <phoneticPr fontId="1"/>
  </si>
  <si>
    <t>短期大学部・経営学科</t>
    <rPh sb="0" eb="5">
      <t>タンキダイガクブ</t>
    </rPh>
    <rPh sb="6" eb="10">
      <t>ケイエイガッカ</t>
    </rPh>
    <phoneticPr fontId="1"/>
  </si>
  <si>
    <t>カリキュラム検討委員会・短大教務委員会</t>
    <rPh sb="6" eb="11">
      <t>ケントウイインカイ</t>
    </rPh>
    <rPh sb="12" eb="14">
      <t>タンダイ</t>
    </rPh>
    <rPh sb="14" eb="19">
      <t>キョウムイインカイ</t>
    </rPh>
    <phoneticPr fontId="1"/>
  </si>
  <si>
    <t>カリキュラム検討委員会細則・短大教務委員会細則</t>
    <rPh sb="11" eb="13">
      <t>サイソク</t>
    </rPh>
    <phoneticPr fontId="1"/>
  </si>
  <si>
    <t>　カリキュラム検討委員会については、本プログラムのカリキュラム内容の精査や教育の質向上の観点からの再検証を協議・実行するための体制と位置づける。
　短大教務委員会については、オリエンテーションなどの履修者数向上のための仕組みづくりや該当科目の認定単位を踏まえたプログラム履修認定の審査を行うこととする。</t>
    <rPh sb="74" eb="76">
      <t>タンダイ</t>
    </rPh>
    <phoneticPr fontId="1"/>
  </si>
  <si>
    <t>中村　雅典</t>
  </si>
  <si>
    <t>中村　雅典</t>
    <phoneticPr fontId="1"/>
  </si>
  <si>
    <t>短期大学部　経営学科長</t>
    <rPh sb="0" eb="5">
      <t>タンキダイガクブ</t>
    </rPh>
    <rPh sb="6" eb="11">
      <t>ケイエイガッカチョウ</t>
    </rPh>
    <phoneticPr fontId="1"/>
  </si>
  <si>
    <t>カリキュラム検討委員会・短大教務委員会</t>
    <rPh sb="6" eb="11">
      <t>ケントウイインカイ</t>
    </rPh>
    <phoneticPr fontId="1"/>
  </si>
  <si>
    <t>○</t>
  </si>
  <si>
    <t>プログラムを構成する授業科目全てを全学開講・必修科目としており、在籍者全員が受講可能な体制を敷いている。
また、プログラムを構成する授業科目全てを修得すると「修了証」が発行される旨をガイダンス・オリエンテーションや学内Webポータルサイトを通じて、学生に周知を行い、受講促進を行っている。</t>
    <rPh sb="22" eb="24">
      <t>ヒッシュウ</t>
    </rPh>
    <rPh sb="32" eb="35">
      <t>ザイセキシャ</t>
    </rPh>
    <rPh sb="35" eb="37">
      <t>ゼンイン</t>
    </rPh>
    <rPh sb="46" eb="47">
      <t>シ</t>
    </rPh>
    <phoneticPr fontId="1"/>
  </si>
  <si>
    <t>プログラムの概要・特徴や修得できる能力・スキルについて、対象学生全体に向けた「履修ガイダンス」や「学内Webポータルサイト」等で周知することで、学生が情報を受け取りやすい環境を整備している。
また、入学前の段階で実施する「スクーリング＆交流会」及び「新入生オリエンテーション」内でも、当該プログラムに関する各種案内を行い、当該プログラムの有効性等について周知を行っている。
その他、シラバスでも当該プログラム対象科目であることを明示して履修の便宜を図っている。</t>
    <rPh sb="99" eb="102">
      <t>ニュウガクマエ</t>
    </rPh>
    <rPh sb="103" eb="105">
      <t>ダンカイ</t>
    </rPh>
    <rPh sb="106" eb="108">
      <t>ジッシ</t>
    </rPh>
    <rPh sb="118" eb="121">
      <t>コウリュウカイ</t>
    </rPh>
    <rPh sb="122" eb="123">
      <t>オヨ</t>
    </rPh>
    <rPh sb="158" eb="159">
      <t>オコナ</t>
    </rPh>
    <phoneticPr fontId="1"/>
  </si>
  <si>
    <t>授業時間内外関係なく、授業担当教員へ質問できる学内専用の「教育用SNSシステム（Melly）」を使用し、履修者からの質問や問い合わせに適宜対応を行っている。
また、「オフィスアワー制度」を導入していることから、随時質問を受けられる体制を整備している。
その他、学修全般の相談について、学生生活・学習支援センターの教職員が対面及び遠隔（Zoom）にて面談に応じている。</t>
    <rPh sb="67" eb="69">
      <t>テキギ</t>
    </rPh>
    <rPh sb="72" eb="73">
      <t>オコナ</t>
    </rPh>
    <rPh sb="94" eb="96">
      <t>ドウニュウ</t>
    </rPh>
    <rPh sb="128" eb="129">
      <t>ホカ</t>
    </rPh>
    <rPh sb="130" eb="132">
      <t>ガクシュウ</t>
    </rPh>
    <rPh sb="162" eb="163">
      <t>オヨ</t>
    </rPh>
    <phoneticPr fontId="1"/>
  </si>
  <si>
    <t>・ＡＩの発達で社会や人々の生活がどのように変化しているかを理解する
・社会や人々の生活においてデータがどのように活用されているか理解する
・様々な業界におけるデータの活用事例を知る
・セキュリティや倫理、コンプライアンスなどを理解する
・データの活用を行うための基本的スキルを身に付ける</t>
    <phoneticPr fontId="1"/>
  </si>
  <si>
    <t xml:space="preserve">・データ駆動型社会、IoT、ビッグデータ、生成AI　「情報リテラシー」
・AI、生成AI　「データリテラシー」
</t>
    <rPh sb="21" eb="23">
      <t>セイセイ</t>
    </rPh>
    <rPh sb="40" eb="42">
      <t>セイセイ</t>
    </rPh>
    <phoneticPr fontId="1"/>
  </si>
  <si>
    <t>・人の行動ログデータ　「データリテラシー」
・オープンデータ（e-Stat）の活用　「ビジネスソフト活用」</t>
    <rPh sb="1" eb="2">
      <t>ヒト</t>
    </rPh>
    <rPh sb="3" eb="5">
      <t>コウドウ</t>
    </rPh>
    <phoneticPr fontId="1"/>
  </si>
  <si>
    <t>・仮説検証　「データリテラシー」「ビジネスソフト活用」
・サービス　「データリテラシー」
・判断支援　「データリテラシー」
・要約、生成AIの応用　「情報リテラシー」　</t>
    <rPh sb="63" eb="65">
      <t>ヨウヤク</t>
    </rPh>
    <rPh sb="66" eb="68">
      <t>セイセイ</t>
    </rPh>
    <rPh sb="71" eb="73">
      <t>オウヨウ</t>
    </rPh>
    <phoneticPr fontId="1"/>
  </si>
  <si>
    <t>・課題解決に向けた提案　「情報リテラシー」「データリテラシー」
・データサイエンスのサイクル（データの取得）　「ビジネスソフト活用」
・サービス、インフラ、ヘルスケア等におけるデータ・AI利活用事例紹介　「データリテラシー」</t>
    <rPh sb="1" eb="5">
      <t>カダイカイケツ</t>
    </rPh>
    <rPh sb="6" eb="7">
      <t>ム</t>
    </rPh>
    <rPh sb="9" eb="11">
      <t>テイアン</t>
    </rPh>
    <rPh sb="51" eb="53">
      <t>シュトク</t>
    </rPh>
    <rPh sb="83" eb="84">
      <t>トウ</t>
    </rPh>
    <rPh sb="94" eb="97">
      <t>リカツヨウ</t>
    </rPh>
    <rPh sb="97" eb="101">
      <t>ジレイショウカイ</t>
    </rPh>
    <phoneticPr fontId="1"/>
  </si>
  <si>
    <t>・サイバーセキュリティ　「情報リテラシー」
・匿名加工情報　「情報リテラシー」
・情報セキュリティの3要素（機密性、完全性、可用性）　「情報リテラシー」</t>
    <rPh sb="51" eb="53">
      <t>ヨウソ</t>
    </rPh>
    <rPh sb="54" eb="57">
      <t>キミツセイ</t>
    </rPh>
    <rPh sb="58" eb="61">
      <t>カンゼンセイ</t>
    </rPh>
    <rPh sb="62" eb="65">
      <t>カヨウセイ</t>
    </rPh>
    <phoneticPr fontId="1"/>
  </si>
  <si>
    <t>・データの種類（量的変数、質的変数）　「データリテラシー」
・データの分布（ヒストグラム）と代表値（平均値、中央値、最頻値）　「データリテラシー」
・データのばらつき（分散、標準偏差）、外れ値　「データリテラシー」
・相関係数行列、散布図行列　「ビジネスソフト活用」</t>
    <rPh sb="35" eb="37">
      <t>ブンプ</t>
    </rPh>
    <rPh sb="52" eb="53">
      <t>アタイ</t>
    </rPh>
    <rPh sb="113" eb="115">
      <t>ギョウレツ</t>
    </rPh>
    <rPh sb="119" eb="121">
      <t>ギョウレツ</t>
    </rPh>
    <phoneticPr fontId="1"/>
  </si>
  <si>
    <t xml:space="preserve">・データ表現（棒グラフ、折れ線グラフ、散布図、箱ひげ図）　「データリテラシー」「「情報リテラシー」「ビジネスソフト活用」
・相手に的確かつ正確に情報を伝える技術や考え方（スライド作成、プレゼンテーションなど）　「情報リテラシー」
</t>
    <rPh sb="7" eb="8">
      <t>ボウ</t>
    </rPh>
    <rPh sb="12" eb="13">
      <t>オ</t>
    </rPh>
    <rPh sb="14" eb="15">
      <t>セン</t>
    </rPh>
    <rPh sb="23" eb="24">
      <t>ハコ</t>
    </rPh>
    <rPh sb="26" eb="27">
      <t>ズ</t>
    </rPh>
    <rPh sb="62" eb="64">
      <t>アイテ</t>
    </rPh>
    <rPh sb="65" eb="67">
      <t>テキカク</t>
    </rPh>
    <rPh sb="69" eb="71">
      <t>セイカク</t>
    </rPh>
    <rPh sb="72" eb="74">
      <t>ジョウホウ</t>
    </rPh>
    <rPh sb="75" eb="76">
      <t>ツタ</t>
    </rPh>
    <rPh sb="78" eb="80">
      <t>ギジュツ</t>
    </rPh>
    <rPh sb="81" eb="82">
      <t>カンガ</t>
    </rPh>
    <rPh sb="83" eb="84">
      <t>カタ</t>
    </rPh>
    <rPh sb="89" eb="91">
      <t>サクセイ</t>
    </rPh>
    <phoneticPr fontId="1"/>
  </si>
  <si>
    <t>・大規模言語モデル　「情報リテラシー」
・AI等を活用した新しいビジネスモデル（シェアリングエコノミー）　「情報リテラシー」
・AI最新技術の活用例　「データリテラシー」</t>
    <rPh sb="23" eb="24">
      <t>トウ</t>
    </rPh>
    <rPh sb="66" eb="70">
      <t>サイシンギジュツ</t>
    </rPh>
    <rPh sb="71" eb="74">
      <t>カツヨウレイ</t>
    </rPh>
    <phoneticPr fontId="1"/>
  </si>
  <si>
    <t>・データ可視化：複合グラフ、2軸グラフ、関係性の可視化　「データリテラシー」「情報リテラシー」「ビジネスソフト活用」
・データ解析、生成AIの活用　「情報リテラシー」</t>
    <rPh sb="8" eb="10">
      <t>フクゴウ</t>
    </rPh>
    <rPh sb="15" eb="16">
      <t>ジク</t>
    </rPh>
    <rPh sb="20" eb="23">
      <t>カンケイセイ</t>
    </rPh>
    <rPh sb="24" eb="27">
      <t>カシカ</t>
    </rPh>
    <rPh sb="63" eb="65">
      <t>カイセキ</t>
    </rPh>
    <rPh sb="66" eb="68">
      <t>セイセイ</t>
    </rPh>
    <rPh sb="71" eb="73">
      <t>カツヨウ</t>
    </rPh>
    <phoneticPr fontId="1"/>
  </si>
  <si>
    <t>・データガバナンス、個人情報保護　「情報リテラシー」
・プライバシー保護　「データリテラシー」
・生成AIの留意事項（ハルシネーションによる誤情報の生成、偽情報や有害コンテンツの生成・氾濫など）　「情報リテラシー」
・データバイアス　「データリテラシー」
・AI社会原則（公平性、説明責任、透明性、人間中心の判断）　「データリテラシー」</t>
    <rPh sb="49" eb="51">
      <t>セイセイ</t>
    </rPh>
    <rPh sb="54" eb="58">
      <t>リュウイジコウ</t>
    </rPh>
    <rPh sb="70" eb="73">
      <t>ゴジョウホウ</t>
    </rPh>
    <rPh sb="74" eb="76">
      <t>セイセイ</t>
    </rPh>
    <rPh sb="77" eb="80">
      <t>ニセジョウホウ</t>
    </rPh>
    <rPh sb="81" eb="83">
      <t>ユウガイ</t>
    </rPh>
    <rPh sb="89" eb="91">
      <t>セイセイ</t>
    </rPh>
    <rPh sb="92" eb="94">
      <t>ハンラン</t>
    </rPh>
    <rPh sb="131" eb="135">
      <t>シャカイゲンソク</t>
    </rPh>
    <rPh sb="136" eb="139">
      <t>コウヘイセイ</t>
    </rPh>
    <rPh sb="140" eb="144">
      <t>セツメイセキニン</t>
    </rPh>
    <rPh sb="145" eb="148">
      <t>トウメイセイ</t>
    </rPh>
    <rPh sb="149" eb="153">
      <t>ニンゲンチュウシン</t>
    </rPh>
    <rPh sb="154" eb="156">
      <t>ハンダン</t>
    </rPh>
    <phoneticPr fontId="1"/>
  </si>
  <si>
    <t>・データの取得　「ビジネスソフト活用」
・データの集計（和、平均）　「データリテラシー」
・データの並び替え、ランキング　「データリテラシー」
・データ解析ツール（スプレッドシート）　「ビジネスソフト活用」「情報リテラシー」
・表形式のデータ（csv）「データリテラシー」「情報リテラシー」</t>
    <rPh sb="50" eb="51">
      <t>ナラ</t>
    </rPh>
    <rPh sb="52" eb="53">
      <t>カ</t>
    </rPh>
    <phoneticPr fontId="1"/>
  </si>
  <si>
    <t>数理・データサイエンス・AIに関する全学的な教育を実施することを目的に、令和6年度入学者より、現在のカリキュラムに刷新し、令和7年度入学者より本教育プログラムを全学必修として展開している。また、プログラムを構成する全3科目については、卒業要件上も必修科目として位置付けていることから、多くの履修者が受講できる環境を整備している。
また、令和7年度のプログラム修了認定対象者（修了要件充足者）については、令和7年度中に「修了証」の発行を行うこととする。当該修了証の発行により、就職活動をはじめ、第三者に対して当該プログラム修了の事実とリテラシーレベルとしての知識・スキルを明示することが可能となる。</t>
    <rPh sb="18" eb="21">
      <t>ゼンガクテキ</t>
    </rPh>
    <rPh sb="32" eb="34">
      <t>モクテキ</t>
    </rPh>
    <rPh sb="47" eb="49">
      <t>ゲンザイ</t>
    </rPh>
    <rPh sb="72" eb="74">
      <t>キョウイク</t>
    </rPh>
    <rPh sb="80" eb="82">
      <t>ゼンガク</t>
    </rPh>
    <rPh sb="82" eb="84">
      <t>ヒッシュウ</t>
    </rPh>
    <rPh sb="87" eb="89">
      <t>テンカイ</t>
    </rPh>
    <rPh sb="107" eb="108">
      <t>ゼン</t>
    </rPh>
    <rPh sb="117" eb="119">
      <t>ソツギョウ</t>
    </rPh>
    <rPh sb="119" eb="122">
      <t>ヨウケンジョウ</t>
    </rPh>
    <rPh sb="123" eb="127">
      <t>ヒッシュウカモク</t>
    </rPh>
    <rPh sb="130" eb="132">
      <t>イチ</t>
    </rPh>
    <rPh sb="132" eb="133">
      <t>ヅケ</t>
    </rPh>
    <rPh sb="142" eb="143">
      <t>オオ</t>
    </rPh>
    <rPh sb="145" eb="148">
      <t>リシュウシャ</t>
    </rPh>
    <rPh sb="149" eb="151">
      <t>ジュコウ</t>
    </rPh>
    <rPh sb="154" eb="156">
      <t>カンキョウ</t>
    </rPh>
    <rPh sb="157" eb="159">
      <t>セイビ</t>
    </rPh>
    <rPh sb="168" eb="170">
      <t>レイワ</t>
    </rPh>
    <rPh sb="171" eb="173">
      <t>ネンド</t>
    </rPh>
    <rPh sb="183" eb="186">
      <t>タイショウシャ</t>
    </rPh>
    <rPh sb="187" eb="189">
      <t>シュウリョウ</t>
    </rPh>
    <rPh sb="189" eb="191">
      <t>ヨウケン</t>
    </rPh>
    <rPh sb="191" eb="194">
      <t>ジュウソクシャ</t>
    </rPh>
    <rPh sb="201" eb="203">
      <t>レイワ</t>
    </rPh>
    <rPh sb="204" eb="207">
      <t>ネンドチュウ</t>
    </rPh>
    <rPh sb="217" eb="218">
      <t>オコナ</t>
    </rPh>
    <rPh sb="225" eb="227">
      <t>トウガイ</t>
    </rPh>
    <rPh sb="227" eb="230">
      <t>シュウリョウショウ</t>
    </rPh>
    <rPh sb="231" eb="233">
      <t>ハッコウ</t>
    </rPh>
    <rPh sb="237" eb="241">
      <t>シュウショクカツドウ</t>
    </rPh>
    <rPh sb="278" eb="280">
      <t>チシキ</t>
    </rPh>
    <phoneticPr fontId="1"/>
  </si>
  <si>
    <t>プログラムにおける履修サポートについては、教務担当教職員にて、定期的に履修相談に応じられる体制を整備している。また、プログラム修得におけるサポートとしては対象科目の教員が履修者の各種相談に応じられる体制も整備している。その他、授業に必要なパソコンやタブレット貸与も無償で実施している他、学内のWi－Fiポイントの増設やパソコン教室を設けて、学修環境の充実に努めている。</t>
    <rPh sb="21" eb="28">
      <t>キョウムタントウキョウショクイン</t>
    </rPh>
    <rPh sb="63" eb="65">
      <t>シュウトク</t>
    </rPh>
    <rPh sb="85" eb="88">
      <t>リシュウシャ</t>
    </rPh>
    <rPh sb="102" eb="104">
      <t>セイビ</t>
    </rPh>
    <rPh sb="111" eb="112">
      <t>ホカ</t>
    </rPh>
    <rPh sb="113" eb="115">
      <t>ジュギョウ</t>
    </rPh>
    <rPh sb="116" eb="118">
      <t>ヒツヨウ</t>
    </rPh>
    <rPh sb="132" eb="134">
      <t>ムショウモジ</t>
    </rPh>
    <phoneticPr fontId="1"/>
  </si>
  <si>
    <t>本学では、全学的な数理・データサイエンス・AI教育の普及を目指し、基礎的なリテラシーレベルの「AIデータサイエンスプログラム」（※今回の申請対象プログラム）と、より発展的な応用基礎レベルの「AIデータサイエンスプラスプログラム」の2段階の教育プログラムを提供している。 AIデータサイエンスプログラムに関しては、1年生全員を対象とした必修3科目（合計3単位）で構成されており、令和7年度の各科目における履修・修得状況は、データリテラシー（１単位）：履修者71名、修得者69名、修得率97.18％、情報リテラシー（１単位）：履修者71名、修得者69名、修得率97.18％、ビジネスソフト活用（１単位）：履修者71名、修得者64名、修得率90.14％であった。なお、リテラシーレベルの「AI・データサイエンスプログラム」全体の修得率は88.73％と概ね9割の学生が修得することができた。</t>
    <rPh sb="65" eb="67">
      <t>コンカイ</t>
    </rPh>
    <rPh sb="68" eb="72">
      <t>シンセイタイショウ</t>
    </rPh>
    <rPh sb="151" eb="152">
      <t>カン</t>
    </rPh>
    <rPh sb="188" eb="190">
      <t>レイワ</t>
    </rPh>
    <rPh sb="191" eb="193">
      <t>ネンド</t>
    </rPh>
    <rPh sb="194" eb="197">
      <t>カクカモク</t>
    </rPh>
    <rPh sb="224" eb="227">
      <t>リシュウシャ</t>
    </rPh>
    <rPh sb="229" eb="230">
      <t>メイ</t>
    </rPh>
    <rPh sb="231" eb="234">
      <t>シュウトクシャ</t>
    </rPh>
    <rPh sb="236" eb="237">
      <t>メイ</t>
    </rPh>
    <rPh sb="238" eb="241">
      <t>シュウトクリツ</t>
    </rPh>
    <rPh sb="358" eb="360">
      <t>ゼンタイ</t>
    </rPh>
    <rPh sb="361" eb="363">
      <t>シュウトク</t>
    </rPh>
    <rPh sb="363" eb="364">
      <t>リツ</t>
    </rPh>
    <rPh sb="372" eb="373">
      <t>オオム</t>
    </rPh>
    <rPh sb="375" eb="376">
      <t>ワリ</t>
    </rPh>
    <rPh sb="377" eb="379">
      <t>ガクセイ</t>
    </rPh>
    <rPh sb="380" eb="382">
      <t>シュウトク</t>
    </rPh>
    <phoneticPr fontId="1"/>
  </si>
  <si>
    <t>AI・データサイエンスプログラムは、1年生全員が履修する必修科目群で構成されている。厳格な成績評価のもと、修得率が概ね9割という高い水準を達成したことは、本学が定めるリテラシーレベルの能力を、多くの学生が基準を満たして着実に身につけたことを示している。これは、全学的なAI・データサイエンス教育の基盤が確立され、その質が保証されているものと判断している。</t>
    <rPh sb="57" eb="58">
      <t>オオム</t>
    </rPh>
    <rPh sb="60" eb="61">
      <t>ワリ</t>
    </rPh>
    <rPh sb="96" eb="97">
      <t>オオ</t>
    </rPh>
    <phoneticPr fontId="1"/>
  </si>
  <si>
    <t xml:space="preserve"> 「AI・データサイエンス」関連科目に該当する3科目(情報リテラシー、ビジネスソフト活用、データリテラシー）の令和７年度授業評価アンケートより、理解度及び学修成果について分析する。アンケート項目の「到達目標を達成（理解）できた」との質問に対して、「情報リテラシー」では、　5：そう思う　（35.0%）、4：どちらかといえばそう思う　（47.4%）、3：どちらでもない　（12.3%）、2：どちらかといえばそう思わない　（5.3%）、1：そう思わない　（0%）となり、82.4%の履修者が授業内容を理解し、学修目標達成している。また「ビジネスソフト活用」は、5（28.8%）、4（51.9%）、3（13.5%）、2（5.8%）、1（0%）と80.7%が授業内容を理解し学修目標達成している。さらに、「データリテラシー」では、5（36.2%）、4（48.3%）、3（10.3%）、2(5.2%）、1（0%）と84.5%が授業内容を理解し,学修目標達成している状況である(数値は全て小数点第2位四捨五入）。なお、2割弱程度の理解不足の受講者については、授業内外で質問を受けられる体制にしており、理解度向上に努めている。</t>
    <rPh sb="55" eb="57">
      <t>レイワ</t>
    </rPh>
    <rPh sb="58" eb="60">
      <t>ネンド</t>
    </rPh>
    <rPh sb="273" eb="275">
      <t>カツヨウ</t>
    </rPh>
    <rPh sb="454" eb="455">
      <t>ワリ</t>
    </rPh>
    <rPh sb="455" eb="456">
      <t>ジャク</t>
    </rPh>
    <rPh sb="456" eb="458">
      <t>テイド</t>
    </rPh>
    <rPh sb="459" eb="463">
      <t>リカイブソク</t>
    </rPh>
    <rPh sb="464" eb="467">
      <t>ジュコウシャ</t>
    </rPh>
    <rPh sb="473" eb="477">
      <t>ジュギョウナイガイ</t>
    </rPh>
    <rPh sb="478" eb="480">
      <t>シツモン</t>
    </rPh>
    <rPh sb="481" eb="482">
      <t>ウ</t>
    </rPh>
    <rPh sb="486" eb="488">
      <t>タイセイ</t>
    </rPh>
    <rPh sb="494" eb="497">
      <t>リカイド</t>
    </rPh>
    <rPh sb="497" eb="499">
      <t>コウジョウ</t>
    </rPh>
    <rPh sb="500" eb="501">
      <t>ツト</t>
    </rPh>
    <phoneticPr fontId="1"/>
  </si>
  <si>
    <t>受講者の振り返りや今後の履修における参考になるよう、本学ポータルサイトにて、本プログラムを構成している科目の授業アンケート結果を学生が閲覧できるようにしている。また後輩学生達や他学生への推奨については、入学前のスクーリングや交流会を通じて、先輩学生である2年生が新入生へ、本プログラムの大切さ及び科目の重要性などについて周知していく予定である。</t>
    <rPh sb="0" eb="3">
      <t>ジュコウシャ</t>
    </rPh>
    <rPh sb="4" eb="5">
      <t>フ</t>
    </rPh>
    <rPh sb="6" eb="7">
      <t>カエ</t>
    </rPh>
    <rPh sb="9" eb="11">
      <t>コンゴ</t>
    </rPh>
    <rPh sb="12" eb="14">
      <t>リシュウ</t>
    </rPh>
    <rPh sb="18" eb="20">
      <t>サンコウ</t>
    </rPh>
    <rPh sb="61" eb="63">
      <t>ケッカ</t>
    </rPh>
    <rPh sb="112" eb="115">
      <t>コウリュウカイ</t>
    </rPh>
    <rPh sb="116" eb="117">
      <t>ツウ</t>
    </rPh>
    <rPh sb="120" eb="124">
      <t>センパイガクセイ</t>
    </rPh>
    <phoneticPr fontId="1"/>
  </si>
  <si>
    <t>本学では、リテラシーレベルを1年生71名全員が履修する必修科目としており、「全学生にAI・データサイエンスの基礎的素養を身につけさせる」という計画は達成しており、全学的な教育基盤は確立されたと判断している。</t>
    <phoneticPr fontId="1"/>
  </si>
  <si>
    <t>本プログラムは令和7年度の入学生より正式導入されていることから、まだ卒業者は出ていない状況である。但し、経営学科「情報デザインフィールド」選択者においては、データサイエンスの知識を活かせる職種を希望する学生も少なくない。そこで、当該プログラムを修得したことがデータサイエンスやAIに関する基礎的知識とスキルを身に付けているひとつの指標として企業へのアピール材料となり、Society5.0社会のビジネス現場において、学生が活躍していくことが期待される。なお、プログラム修了者が卒業後に、実社会でどのように活躍しているか、就職先の企業でどのように評価されているか、については「企業向けアンケート調査」を取り、検証していく予定。</t>
    <rPh sb="7" eb="9">
      <t>レイワ</t>
    </rPh>
    <rPh sb="10" eb="12">
      <t>ネンド</t>
    </rPh>
    <rPh sb="18" eb="22">
      <t>セイシキドウニュウ</t>
    </rPh>
    <rPh sb="49" eb="50">
      <t>タダ</t>
    </rPh>
    <rPh sb="69" eb="72">
      <t>センタクシャ</t>
    </rPh>
    <rPh sb="234" eb="236">
      <t>シュウリョウ</t>
    </rPh>
    <rPh sb="236" eb="237">
      <t>シャ</t>
    </rPh>
    <rPh sb="238" eb="240">
      <t>ソツギョウ</t>
    </rPh>
    <rPh sb="240" eb="241">
      <t>ゴ</t>
    </rPh>
    <rPh sb="243" eb="246">
      <t>ジツシャカイ</t>
    </rPh>
    <rPh sb="252" eb="254">
      <t>カツヤク</t>
    </rPh>
    <rPh sb="260" eb="263">
      <t>シュウショクサキ</t>
    </rPh>
    <rPh sb="264" eb="266">
      <t>キギョウ</t>
    </rPh>
    <rPh sb="272" eb="274">
      <t>ヒョウカ</t>
    </rPh>
    <rPh sb="287" eb="289">
      <t>キギョウ</t>
    </rPh>
    <rPh sb="289" eb="290">
      <t>ム</t>
    </rPh>
    <rPh sb="296" eb="298">
      <t>チョウサ</t>
    </rPh>
    <rPh sb="300" eb="301">
      <t>ト</t>
    </rPh>
    <rPh sb="303" eb="305">
      <t>ケンショウ</t>
    </rPh>
    <rPh sb="309" eb="311">
      <t>ヨテイ</t>
    </rPh>
    <phoneticPr fontId="1"/>
  </si>
  <si>
    <t>令和7年3月18日に開催された外部評価委員会において、産業界の委員から、主に大学で計画されている情報・IT分野に対し、地域の現状と将来の技術トレンドを踏まえた貴重な意見が多数寄せられた。これらの意見は、大学のみならず、同一キャンパスで情報デザイン分野の教育を行う本短期大学部にとっても、教育内容を改善する上で極めて重要な指針となるものである。特に、地域における深刻な情報人材不足の解消という課題は、本学園全体で取り組むべきテーマである。また、ChatGPTに代表される最新技術トレンドを踏まえ、文系学生も含む多様な人材が活躍する可能性が示されたことは、デザイン思考を重視する本学の情報デザインフィールドにおいても重要な視点となる。 産業界が求める「市場ニーズに即したカリキュ-ラム」や「企業との強固な連携」といった要望に応えるため、短期大学部においてもこれらの外部からの視点を真摯に受け止め、大学と連携しながら、社会の期待に応える人材育成に努めていく。</t>
    <rPh sb="0" eb="2">
      <t>レイワ</t>
    </rPh>
    <phoneticPr fontId="1"/>
  </si>
  <si>
    <t>「データリテラシー」では学生が実際に利用する上信電鉄の過去5年分の駅別輸送人員データを用いた分析演習を実施し、コロナ前後の変化など、身近な路線の見えていなかった特徴をデータから発見する気づきの体験を通じて、「見える化」の重要性、学ぶ楽しさを体感している。「情報リテラシー」では学内コンビニのPOSレジデータを利用し、ChatGPT等の生成AIを活用したグループプロジェクト形式のデータ分析演習を行い、学生自身が日常的に利用する店舗の購買傾向を分析し、協働学修とプレゼンテーションを通じて、学び合いの楽しさを体得している。「ビジネスソフト活用」ではe-Statから学生自身が仮説を立て検証する主体的な学修を通じて、データドリブンな意思決定の重要性を学修している。</t>
    <rPh sb="227" eb="229">
      <t>ガクシュウ</t>
    </rPh>
    <phoneticPr fontId="1"/>
  </si>
  <si>
    <t>学生に対して「授業評価アンケート」を各学期末に実施している。教育プログラムの3科目全てにおいて授業アンケートを行い、学生の満足度、授業の分かりやすさ、改善点などの把握に努めている。科目担当者が点検・評価を行うことで、授業内容・水準が学生に適切であるか検証し、教育の質向上に向けた改善を図っている。また、生成AIの急速な発展を踏まえ、令和7年度シラバスにおいてChatGPTやClaude等の最新の生成AIを活用した演習を拡充し、ハルシネーションや偽情報拡散などAI特有の倫理的課題についても学修内容に組み込むなど、社会の変化や技術の発展に対応した教育内容の継続的な見直しを行っている。</t>
    <rPh sb="245" eb="247">
      <t>ガクシュウ</t>
    </rPh>
    <phoneticPr fontId="1"/>
  </si>
  <si>
    <t>【カリキュラム検討委員会】
①中村雅典（経営学科長）　②森川幸紀雄（経営学科　教授）
③上條隆（経営学科　特任教授）　④森本圭祐（法人本部長・学長補佐）
⑤遠藤康生（教務課長）　⑥富所弘美（キャリアサポート課長）
⑦迫田千嘉（社会連携課 係長）　⑧間瀬柚規（学生課 係員）
【短大教務委員会】
①中村雅典（経営学科長）　②森川幸紀雄（経営学科　教授）
③遠藤康生（教務課長）　④川又彩夏（教務課 主任）
⑤渡邉司（教務課 係員）</t>
    <rPh sb="7" eb="12">
      <t>ケントウイインカイ</t>
    </rPh>
    <rPh sb="20" eb="25">
      <t>ケイエイガッカチョウ</t>
    </rPh>
    <rPh sb="34" eb="38">
      <t>ケイエイガッカ</t>
    </rPh>
    <rPh sb="39" eb="41">
      <t>キョウジュ</t>
    </rPh>
    <rPh sb="48" eb="52">
      <t>ケイエイガッカ</t>
    </rPh>
    <rPh sb="53" eb="57">
      <t>トクニンキョウジュ</t>
    </rPh>
    <rPh sb="65" eb="67">
      <t>ホウジン</t>
    </rPh>
    <rPh sb="67" eb="70">
      <t>ホンブチョウ</t>
    </rPh>
    <rPh sb="71" eb="75">
      <t>ガクチョウホサ</t>
    </rPh>
    <rPh sb="83" eb="87">
      <t>キョウムカチョウ</t>
    </rPh>
    <rPh sb="103" eb="105">
      <t>カチョウ</t>
    </rPh>
    <rPh sb="113" eb="118">
      <t>シャカイレンケイカ</t>
    </rPh>
    <rPh sb="119" eb="121">
      <t>カカリチョウ</t>
    </rPh>
    <rPh sb="129" eb="132">
      <t>ガクセイカ</t>
    </rPh>
    <rPh sb="133" eb="135">
      <t>カカリイン</t>
    </rPh>
    <rPh sb="137" eb="139">
      <t>タンダイ</t>
    </rPh>
    <rPh sb="178" eb="180">
      <t>エンドウ</t>
    </rPh>
    <rPh sb="195" eb="198">
      <t>キョウムカ</t>
    </rPh>
    <rPh sb="199" eb="201">
      <t>シュニン</t>
    </rPh>
    <rPh sb="208" eb="211">
      <t>キョウムカ</t>
    </rPh>
    <rPh sb="212" eb="214">
      <t>カカリイン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</si>
</sst>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95">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0" fontId="2" fillId="2" borderId="1" xfId="0" applyNumberFormat="1" applyFont="1" applyFill="1" applyBorder="1" applyAlignment="1">
      <alignment horizontal="right" vertical="center"/>
    </xf>
    <xf numFmtId="0" fontId="2" fillId="0" borderId="1" xfId="0" applyNumberFormat="1" applyFont="1" applyFill="1" applyBorder="1" applyAlignment="1">
      <alignment horizontal="right" vertical="center"/>
    </xf>
    <xf numFmtId="0" fontId="2" fillId="0" borderId="1" xfId="0" applyFont="1" applyFill="1" applyBorder="1" applyAlignment="1">
      <alignment horizontal="left" vertical="center" shrinkToFit="1"/>
    </xf>
    <xf numFmtId="0" fontId="13" fillId="0" borderId="20" xfId="0" applyFont="1" applyFill="1" applyBorder="1" applyAlignment="1">
      <alignment horizontal="justify" vertical="top" wrapText="1" shrinkToFit="1"/>
    </xf>
    <xf numFmtId="0" fontId="2" fillId="0" borderId="48" xfId="0" applyFont="1" applyFill="1" applyBorder="1" applyAlignment="1">
      <alignment horizontal="center" vertical="center" shrinkToFit="1"/>
    </xf>
    <xf numFmtId="0" fontId="2" fillId="0" borderId="14" xfId="0" applyFont="1" applyFill="1" applyBorder="1" applyAlignment="1">
      <alignment horizontal="center" vertical="center" shrinkToFit="1"/>
    </xf>
    <xf numFmtId="0" fontId="2" fillId="0" borderId="49" xfId="0" applyFont="1" applyFill="1" applyBorder="1" applyAlignment="1">
      <alignment horizontal="center" vertical="center" shrinkToFit="1"/>
    </xf>
    <xf numFmtId="0" fontId="2" fillId="0" borderId="50" xfId="0" applyFont="1" applyFill="1" applyBorder="1" applyAlignment="1">
      <alignment horizontal="center" vertical="center" shrinkToFit="1"/>
    </xf>
    <xf numFmtId="0" fontId="2" fillId="0" borderId="20" xfId="0" applyFont="1" applyFill="1" applyBorder="1" applyAlignment="1">
      <alignment horizontal="center" vertical="center" shrinkToFit="1"/>
    </xf>
    <xf numFmtId="0" fontId="2" fillId="0" borderId="51" xfId="0" applyFont="1" applyFill="1" applyBorder="1" applyAlignment="1">
      <alignment horizontal="center" vertical="center" shrinkToFit="1"/>
    </xf>
    <xf numFmtId="0" fontId="2" fillId="0" borderId="28" xfId="0" applyFont="1" applyFill="1" applyBorder="1" applyAlignment="1">
      <alignment horizontal="center" vertical="center" shrinkToFit="1"/>
    </xf>
    <xf numFmtId="0" fontId="2" fillId="0" borderId="17" xfId="0" applyFont="1" applyFill="1" applyBorder="1" applyAlignment="1">
      <alignment horizontal="center" vertical="center" shrinkToFit="1"/>
    </xf>
    <xf numFmtId="49" fontId="2" fillId="0" borderId="15" xfId="0" applyNumberFormat="1" applyFont="1" applyFill="1" applyBorder="1" applyAlignment="1">
      <alignment horizontal="left" vertical="top" wrapText="1"/>
    </xf>
    <xf numFmtId="49" fontId="2" fillId="0" borderId="32" xfId="0" applyNumberFormat="1" applyFont="1" applyFill="1" applyBorder="1" applyAlignment="1">
      <alignment horizontal="left" vertical="top" wrapText="1"/>
    </xf>
    <xf numFmtId="49" fontId="2" fillId="0" borderId="13" xfId="0" applyNumberFormat="1" applyFont="1" applyFill="1" applyBorder="1" applyAlignment="1">
      <alignment horizontal="left" vertical="top" wrapText="1"/>
    </xf>
    <xf numFmtId="49" fontId="2" fillId="0" borderId="20" xfId="0" applyNumberFormat="1" applyFont="1" applyFill="1" applyBorder="1" applyAlignment="1">
      <alignment horizontal="left" vertical="center" wrapText="1"/>
    </xf>
    <xf numFmtId="49" fontId="2" fillId="0" borderId="13" xfId="0" applyNumberFormat="1" applyFont="1" applyFill="1" applyBorder="1" applyAlignment="1">
      <alignment horizontal="left" vertical="center" wrapText="1"/>
    </xf>
    <xf numFmtId="49" fontId="13" fillId="0" borderId="15" xfId="0" applyNumberFormat="1" applyFont="1" applyFill="1" applyBorder="1" applyAlignment="1">
      <alignment horizontal="left" vertical="top" wrapText="1"/>
    </xf>
    <xf numFmtId="49" fontId="13" fillId="0" borderId="32" xfId="0" applyNumberFormat="1" applyFont="1" applyFill="1" applyBorder="1" applyAlignment="1">
      <alignment horizontal="left" vertical="top" wrapText="1"/>
    </xf>
    <xf numFmtId="49" fontId="13" fillId="0" borderId="14" xfId="0" applyNumberFormat="1" applyFont="1" applyFill="1" applyBorder="1" applyAlignment="1">
      <alignment horizontal="left" vertical="top" wrapText="1"/>
    </xf>
    <xf numFmtId="0" fontId="13" fillId="0" borderId="32" xfId="0" applyFont="1" applyFill="1" applyBorder="1" applyAlignment="1">
      <alignment horizontal="justify" vertical="top" wrapText="1" shrinkToFit="1"/>
    </xf>
    <xf numFmtId="0" fontId="14" fillId="2" borderId="9" xfId="0" applyFont="1" applyFill="1" applyBorder="1" applyAlignment="1">
      <alignment vertical="top" shrinkToFit="1"/>
    </xf>
    <xf numFmtId="0" fontId="13" fillId="0" borderId="44" xfId="0" applyFont="1" applyFill="1" applyBorder="1" applyAlignment="1">
      <alignment horizontal="justify" vertical="top" wrapText="1" shrinkToFit="1"/>
    </xf>
    <xf numFmtId="0" fontId="13" fillId="0" borderId="13" xfId="0" applyFont="1" applyFill="1" applyBorder="1" applyAlignment="1">
      <alignment horizontal="justify" vertical="top" wrapText="1" shrinkToFi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6" xfId="0" applyFont="1" applyFill="1" applyBorder="1">
      <alignment vertical="center"/>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13" fillId="0" borderId="2" xfId="0" applyFont="1" applyFill="1" applyBorder="1" applyAlignment="1">
      <alignment horizontal="justify" vertical="top" wrapText="1" shrinkToFit="1"/>
    </xf>
    <xf numFmtId="0" fontId="13" fillId="0" borderId="3" xfId="0" applyFont="1" applyFill="1" applyBorder="1" applyAlignment="1">
      <alignment horizontal="justify" vertical="top" wrapText="1" shrinkToFit="1"/>
    </xf>
    <xf numFmtId="0" fontId="13" fillId="0" borderId="4" xfId="0" applyFont="1" applyFill="1" applyBorder="1" applyAlignment="1">
      <alignment horizontal="justify" vertical="top" wrapText="1" shrinkToFit="1"/>
    </xf>
    <xf numFmtId="0" fontId="12" fillId="0" borderId="3" xfId="0" applyFont="1" applyFill="1" applyBorder="1" applyAlignment="1">
      <alignment horizontal="justify" vertical="top" wrapText="1" shrinkToFit="1"/>
    </xf>
    <xf numFmtId="0" fontId="12" fillId="0" borderId="4" xfId="0" applyFont="1" applyFill="1" applyBorder="1" applyAlignment="1">
      <alignment horizontal="justify" vertical="top" wrapText="1" shrinkToFit="1"/>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view="pageBreakPreview" topLeftCell="A19" zoomScaleNormal="100" zoomScaleSheetLayoutView="100" workbookViewId="0">
      <selection activeCell="D66" sqref="D66"/>
    </sheetView>
  </sheetViews>
  <sheetFormatPr defaultColWidth="9" defaultRowHeight="18.75" customHeight="1" x14ac:dyDescent="0.2"/>
  <cols>
    <col min="1" max="1" width="2.44140625" style="8" customWidth="1"/>
    <col min="2" max="2" width="28.21875" style="8" customWidth="1"/>
    <col min="3" max="3" width="6.21875" style="8" customWidth="1"/>
    <col min="4" max="4" width="80.6640625" style="8" customWidth="1"/>
    <col min="5" max="5" width="6.44140625" style="8" bestFit="1" customWidth="1"/>
    <col min="6" max="26" width="5.6640625" style="8" customWidth="1"/>
    <col min="27" max="27" width="9" style="8" customWidth="1"/>
    <col min="28" max="16384" width="9" style="8"/>
  </cols>
  <sheetData>
    <row r="1" spans="1:28" ht="18.75" customHeight="1" x14ac:dyDescent="0.2">
      <c r="A1" s="148" t="s">
        <v>109</v>
      </c>
      <c r="B1" s="148"/>
      <c r="C1" s="148"/>
      <c r="D1" s="148"/>
      <c r="E1" s="148"/>
      <c r="F1" s="148"/>
      <c r="G1" s="148"/>
      <c r="H1" s="148"/>
      <c r="I1" s="148"/>
      <c r="J1" s="148"/>
      <c r="K1" s="148"/>
      <c r="L1" s="148"/>
      <c r="M1" s="148"/>
      <c r="N1" s="148"/>
      <c r="O1" s="148"/>
      <c r="P1" s="148"/>
      <c r="Q1" s="148"/>
      <c r="R1" s="148"/>
      <c r="S1" s="148"/>
      <c r="T1" s="148"/>
      <c r="U1" s="148"/>
      <c r="V1" s="148"/>
      <c r="W1" s="148"/>
      <c r="X1" s="148"/>
      <c r="Y1" s="148"/>
      <c r="Z1" s="148"/>
    </row>
    <row r="3" spans="1:28" ht="18.600000000000001" customHeight="1" x14ac:dyDescent="0.2">
      <c r="Y3" s="148" t="s">
        <v>12</v>
      </c>
      <c r="Z3" s="148"/>
      <c r="AA3" s="9"/>
      <c r="AB3" s="13"/>
    </row>
    <row r="4" spans="1:28" ht="18.75" customHeight="1" x14ac:dyDescent="0.2">
      <c r="B4" s="153" t="s">
        <v>85</v>
      </c>
      <c r="C4" s="154"/>
      <c r="D4" s="63" t="s">
        <v>129</v>
      </c>
      <c r="P4" s="9"/>
      <c r="Q4" s="40"/>
      <c r="R4" s="40"/>
      <c r="S4" s="40"/>
      <c r="T4" s="40"/>
      <c r="U4" s="40"/>
      <c r="V4" s="40"/>
      <c r="W4" s="40"/>
      <c r="X4" s="40"/>
      <c r="Y4" s="40"/>
      <c r="Z4" s="40"/>
    </row>
    <row r="5" spans="1:28" ht="18.75" customHeight="1" x14ac:dyDescent="0.2">
      <c r="B5" s="153" t="s">
        <v>81</v>
      </c>
      <c r="C5" s="154"/>
      <c r="D5" s="63" t="s">
        <v>130</v>
      </c>
      <c r="P5" s="9"/>
      <c r="Q5" s="40"/>
      <c r="R5" s="40"/>
      <c r="S5" s="40"/>
      <c r="T5" s="40"/>
      <c r="U5" s="40"/>
      <c r="V5" s="40"/>
      <c r="W5" s="40"/>
      <c r="X5" s="40"/>
      <c r="Y5" s="40"/>
      <c r="Z5" s="40"/>
    </row>
    <row r="6" spans="1:28" ht="15" customHeight="1" x14ac:dyDescent="0.2">
      <c r="Q6" s="9"/>
      <c r="R6" s="28"/>
      <c r="S6" s="28"/>
      <c r="T6" s="28"/>
      <c r="U6" s="28"/>
      <c r="V6" s="28"/>
      <c r="W6" s="28"/>
      <c r="X6" s="28"/>
      <c r="Y6" s="28"/>
      <c r="Z6" s="28"/>
    </row>
    <row r="7" spans="1:28" ht="18" customHeight="1" x14ac:dyDescent="0.2">
      <c r="A7" s="152" t="s">
        <v>93</v>
      </c>
      <c r="B7" s="152"/>
      <c r="C7" s="152"/>
      <c r="D7" s="152"/>
      <c r="E7" s="152"/>
      <c r="F7" s="152"/>
      <c r="G7" s="152"/>
      <c r="H7" s="152"/>
      <c r="I7" s="152"/>
      <c r="J7" s="152"/>
      <c r="K7" s="152"/>
      <c r="L7" s="152"/>
      <c r="M7" s="152"/>
      <c r="N7" s="152"/>
      <c r="O7" s="152"/>
      <c r="P7" s="152"/>
      <c r="Q7" s="152"/>
      <c r="R7" s="152"/>
      <c r="S7" s="152"/>
      <c r="T7" s="152"/>
      <c r="U7" s="152"/>
      <c r="V7" s="152"/>
      <c r="W7" s="152"/>
      <c r="X7" s="152"/>
      <c r="Y7" s="152"/>
      <c r="Z7" s="152"/>
    </row>
    <row r="8" spans="1:28" ht="18" customHeight="1" x14ac:dyDescent="0.2">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2">
      <c r="A9" s="149" t="s">
        <v>95</v>
      </c>
      <c r="B9" s="149"/>
      <c r="D9" s="6" t="s">
        <v>131</v>
      </c>
    </row>
    <row r="10" spans="1:28" ht="20.25" customHeight="1" x14ac:dyDescent="0.2">
      <c r="B10" s="12"/>
      <c r="C10" s="12"/>
      <c r="D10" s="12"/>
      <c r="Q10" s="12"/>
      <c r="R10" s="12"/>
      <c r="S10" s="12"/>
      <c r="T10" s="12"/>
      <c r="U10" s="12"/>
      <c r="V10" s="12"/>
      <c r="W10" s="12"/>
      <c r="X10" s="12"/>
      <c r="Y10" s="12"/>
      <c r="Z10" s="12"/>
    </row>
    <row r="11" spans="1:28" ht="20.25" customHeight="1" x14ac:dyDescent="0.2">
      <c r="A11" s="149" t="s">
        <v>90</v>
      </c>
      <c r="B11" s="149"/>
      <c r="D11" s="62"/>
    </row>
    <row r="12" spans="1:28" ht="20.25" customHeight="1" x14ac:dyDescent="0.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2">
      <c r="A13" s="150" t="s">
        <v>96</v>
      </c>
      <c r="B13" s="150"/>
      <c r="C13" s="12"/>
      <c r="D13" s="63" t="s">
        <v>132</v>
      </c>
      <c r="E13" s="40"/>
      <c r="F13" s="40"/>
      <c r="G13" s="40"/>
      <c r="H13" s="40"/>
      <c r="I13" s="40"/>
      <c r="J13" s="40"/>
      <c r="K13" s="40"/>
      <c r="L13" s="40"/>
      <c r="M13" s="40"/>
      <c r="N13" s="40"/>
      <c r="O13" s="40"/>
      <c r="P13" s="40"/>
      <c r="Q13" s="64"/>
      <c r="R13" s="64"/>
      <c r="S13" s="64"/>
      <c r="T13" s="64"/>
      <c r="U13" s="64"/>
      <c r="V13" s="64"/>
      <c r="W13" s="64"/>
      <c r="X13" s="64"/>
      <c r="Y13" s="64"/>
      <c r="Z13" s="64"/>
    </row>
    <row r="14" spans="1:28" ht="20.25" customHeight="1" x14ac:dyDescent="0.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32" customHeight="1" x14ac:dyDescent="0.2">
      <c r="A15" s="151" t="s">
        <v>97</v>
      </c>
      <c r="B15" s="151"/>
      <c r="C15" s="12"/>
      <c r="D15" s="65" t="s">
        <v>133</v>
      </c>
      <c r="E15" s="16"/>
      <c r="F15" s="16"/>
      <c r="G15" s="16"/>
      <c r="H15" s="16"/>
      <c r="I15" s="16"/>
      <c r="J15" s="16"/>
      <c r="K15" s="16"/>
      <c r="L15" s="16"/>
      <c r="M15" s="16"/>
      <c r="N15" s="16"/>
      <c r="O15" s="16"/>
      <c r="P15" s="16"/>
      <c r="Q15" s="16"/>
      <c r="R15" s="16"/>
      <c r="S15" s="16"/>
      <c r="T15" s="16"/>
      <c r="U15" s="16"/>
      <c r="V15" s="16"/>
      <c r="W15" s="16"/>
      <c r="X15" s="16"/>
      <c r="Y15" s="16"/>
      <c r="Z15" s="16"/>
    </row>
    <row r="16" spans="1:28" ht="13.2" customHeight="1" x14ac:dyDescent="0.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2">
      <c r="A17" s="8" t="s">
        <v>113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99999999999999" customHeight="1"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2">
      <c r="B19" s="9" t="s">
        <v>114</v>
      </c>
      <c r="C19" s="102">
        <v>3</v>
      </c>
      <c r="D19" s="10" t="s">
        <v>87</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2">
      <c r="B20" s="12"/>
      <c r="C20" s="102">
        <v>3</v>
      </c>
      <c r="D20" s="10" t="s">
        <v>88</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5">
      <c r="F21" s="155" t="s">
        <v>117</v>
      </c>
      <c r="G21" s="156"/>
      <c r="H21" s="156"/>
      <c r="I21" s="156"/>
      <c r="J21" s="156"/>
      <c r="K21" s="156"/>
      <c r="L21" s="156"/>
      <c r="M21" s="156"/>
      <c r="N21" s="156"/>
      <c r="O21" s="156"/>
      <c r="P21" s="156"/>
      <c r="Q21" s="156"/>
      <c r="R21" s="156"/>
      <c r="S21" s="156"/>
      <c r="T21" s="156"/>
      <c r="U21" s="156"/>
      <c r="V21" s="156"/>
      <c r="W21" s="156"/>
      <c r="X21" s="156"/>
      <c r="Y21" s="156"/>
      <c r="Z21" s="157"/>
    </row>
    <row r="22" spans="1:26" ht="18" customHeight="1" x14ac:dyDescent="0.2">
      <c r="B22" s="17"/>
      <c r="C22" s="17"/>
      <c r="D22" s="5" t="s">
        <v>48</v>
      </c>
      <c r="E22" s="66" t="s">
        <v>70</v>
      </c>
      <c r="F22" s="67" t="s">
        <v>50</v>
      </c>
      <c r="G22" s="68" t="s">
        <v>61</v>
      </c>
      <c r="H22" s="68" t="s">
        <v>62</v>
      </c>
      <c r="I22" s="68" t="s">
        <v>63</v>
      </c>
      <c r="J22" s="68" t="s">
        <v>64</v>
      </c>
      <c r="K22" s="68" t="s">
        <v>53</v>
      </c>
      <c r="L22" s="68" t="s">
        <v>80</v>
      </c>
      <c r="M22" s="68" t="s">
        <v>65</v>
      </c>
      <c r="N22" s="68" t="s">
        <v>66</v>
      </c>
      <c r="O22" s="68" t="s">
        <v>52</v>
      </c>
      <c r="P22" s="69" t="s">
        <v>54</v>
      </c>
      <c r="Q22" s="70" t="s">
        <v>98</v>
      </c>
      <c r="R22" s="71" t="s">
        <v>99</v>
      </c>
      <c r="S22" s="71" t="s">
        <v>100</v>
      </c>
      <c r="T22" s="71" t="s">
        <v>101</v>
      </c>
      <c r="U22" s="71" t="s">
        <v>102</v>
      </c>
      <c r="V22" s="71" t="s">
        <v>103</v>
      </c>
      <c r="W22" s="71" t="s">
        <v>104</v>
      </c>
      <c r="X22" s="71" t="s">
        <v>105</v>
      </c>
      <c r="Y22" s="71" t="s">
        <v>106</v>
      </c>
      <c r="Z22" s="72" t="s">
        <v>107</v>
      </c>
    </row>
    <row r="23" spans="1:26" ht="18" customHeight="1" x14ac:dyDescent="0.2">
      <c r="B23" s="133" t="s">
        <v>125</v>
      </c>
      <c r="C23" s="134"/>
      <c r="D23" s="73" t="s">
        <v>134</v>
      </c>
      <c r="E23" s="104">
        <v>1</v>
      </c>
      <c r="F23" s="113" t="s">
        <v>146</v>
      </c>
      <c r="G23" s="114" t="s">
        <v>146</v>
      </c>
      <c r="H23" s="114" t="s">
        <v>146</v>
      </c>
      <c r="I23" s="114" t="s">
        <v>146</v>
      </c>
      <c r="J23" s="114" t="s">
        <v>146</v>
      </c>
      <c r="K23" s="114" t="s">
        <v>146</v>
      </c>
      <c r="L23" s="114" t="s">
        <v>146</v>
      </c>
      <c r="M23" s="114" t="s">
        <v>146</v>
      </c>
      <c r="N23" s="114" t="s">
        <v>146</v>
      </c>
      <c r="O23" s="114" t="s">
        <v>146</v>
      </c>
      <c r="P23" s="115"/>
      <c r="Q23" s="119"/>
      <c r="R23" s="114"/>
      <c r="S23" s="114"/>
      <c r="T23" s="114"/>
      <c r="U23" s="114"/>
      <c r="V23" s="114"/>
      <c r="W23" s="114"/>
      <c r="X23" s="114"/>
      <c r="Y23" s="114"/>
      <c r="Z23" s="114"/>
    </row>
    <row r="24" spans="1:26" ht="18" customHeight="1" x14ac:dyDescent="0.2">
      <c r="B24" s="135"/>
      <c r="C24" s="136"/>
      <c r="D24" s="74" t="s">
        <v>135</v>
      </c>
      <c r="E24" s="105">
        <v>1</v>
      </c>
      <c r="F24" s="116" t="s">
        <v>146</v>
      </c>
      <c r="G24" s="117"/>
      <c r="H24" s="117" t="s">
        <v>146</v>
      </c>
      <c r="I24" s="117" t="s">
        <v>146</v>
      </c>
      <c r="J24" s="117" t="s">
        <v>146</v>
      </c>
      <c r="K24" s="117" t="s">
        <v>146</v>
      </c>
      <c r="L24" s="117"/>
      <c r="M24" s="117" t="s">
        <v>146</v>
      </c>
      <c r="N24" s="117" t="s">
        <v>146</v>
      </c>
      <c r="O24" s="117" t="s">
        <v>146</v>
      </c>
      <c r="P24" s="118" t="s">
        <v>146</v>
      </c>
      <c r="Q24" s="120"/>
      <c r="R24" s="117"/>
      <c r="S24" s="117"/>
      <c r="T24" s="117"/>
      <c r="U24" s="117"/>
      <c r="V24" s="117"/>
      <c r="W24" s="117"/>
      <c r="X24" s="117"/>
      <c r="Y24" s="117"/>
      <c r="Z24" s="117"/>
    </row>
    <row r="25" spans="1:26" ht="18" customHeight="1" x14ac:dyDescent="0.2">
      <c r="B25" s="135"/>
      <c r="C25" s="136"/>
      <c r="D25" s="74" t="s">
        <v>136</v>
      </c>
      <c r="E25" s="105">
        <v>1</v>
      </c>
      <c r="F25" s="116"/>
      <c r="G25" s="117" t="s">
        <v>146</v>
      </c>
      <c r="H25" s="117" t="s">
        <v>146</v>
      </c>
      <c r="I25" s="117" t="s">
        <v>146</v>
      </c>
      <c r="J25" s="117" t="s">
        <v>146</v>
      </c>
      <c r="K25" s="117"/>
      <c r="L25" s="117" t="s">
        <v>146</v>
      </c>
      <c r="M25" s="117" t="s">
        <v>146</v>
      </c>
      <c r="N25" s="117" t="s">
        <v>146</v>
      </c>
      <c r="O25" s="117"/>
      <c r="P25" s="118"/>
      <c r="Q25" s="120"/>
      <c r="R25" s="117"/>
      <c r="S25" s="117"/>
      <c r="T25" s="117"/>
      <c r="U25" s="117"/>
      <c r="V25" s="117"/>
      <c r="W25" s="117"/>
      <c r="X25" s="117"/>
      <c r="Y25" s="117"/>
      <c r="Z25" s="117"/>
    </row>
    <row r="26" spans="1:26" ht="18" customHeight="1" x14ac:dyDescent="0.2">
      <c r="B26" s="135"/>
      <c r="C26" s="136"/>
      <c r="D26" s="74"/>
      <c r="E26" s="105"/>
      <c r="F26" s="75"/>
      <c r="G26" s="76"/>
      <c r="H26" s="76"/>
      <c r="I26" s="76"/>
      <c r="J26" s="76"/>
      <c r="K26" s="76"/>
      <c r="L26" s="76"/>
      <c r="M26" s="76"/>
      <c r="N26" s="76"/>
      <c r="O26" s="76"/>
      <c r="P26" s="77"/>
      <c r="Q26" s="78"/>
      <c r="R26" s="76"/>
      <c r="S26" s="76"/>
      <c r="T26" s="76"/>
      <c r="U26" s="76"/>
      <c r="V26" s="76"/>
      <c r="W26" s="76"/>
      <c r="X26" s="76"/>
      <c r="Y26" s="76"/>
      <c r="Z26" s="76"/>
    </row>
    <row r="27" spans="1:26" ht="18" customHeight="1" x14ac:dyDescent="0.2">
      <c r="B27" s="135"/>
      <c r="C27" s="136"/>
      <c r="D27" s="74"/>
      <c r="E27" s="105"/>
      <c r="F27" s="75"/>
      <c r="G27" s="76"/>
      <c r="H27" s="76"/>
      <c r="I27" s="76"/>
      <c r="J27" s="76"/>
      <c r="K27" s="76"/>
      <c r="L27" s="76"/>
      <c r="M27" s="76"/>
      <c r="N27" s="76"/>
      <c r="O27" s="76"/>
      <c r="P27" s="77"/>
      <c r="Q27" s="78"/>
      <c r="R27" s="76"/>
      <c r="S27" s="76"/>
      <c r="T27" s="76"/>
      <c r="U27" s="76"/>
      <c r="V27" s="76"/>
      <c r="W27" s="76"/>
      <c r="X27" s="76"/>
      <c r="Y27" s="76"/>
      <c r="Z27" s="76"/>
    </row>
    <row r="28" spans="1:26" ht="18" customHeight="1" x14ac:dyDescent="0.2">
      <c r="B28" s="135"/>
      <c r="C28" s="136"/>
      <c r="D28" s="74"/>
      <c r="E28" s="105"/>
      <c r="F28" s="75"/>
      <c r="G28" s="76"/>
      <c r="H28" s="76"/>
      <c r="I28" s="76"/>
      <c r="J28" s="76"/>
      <c r="K28" s="76"/>
      <c r="L28" s="76"/>
      <c r="M28" s="76"/>
      <c r="N28" s="76"/>
      <c r="O28" s="76"/>
      <c r="P28" s="77"/>
      <c r="Q28" s="78"/>
      <c r="R28" s="76"/>
      <c r="S28" s="76"/>
      <c r="T28" s="76"/>
      <c r="U28" s="76"/>
      <c r="V28" s="76"/>
      <c r="W28" s="76"/>
      <c r="X28" s="76"/>
      <c r="Y28" s="76"/>
      <c r="Z28" s="76"/>
    </row>
    <row r="29" spans="1:26" ht="18" customHeight="1" x14ac:dyDescent="0.2">
      <c r="B29" s="135"/>
      <c r="C29" s="136"/>
      <c r="D29" s="74"/>
      <c r="E29" s="105"/>
      <c r="F29" s="75"/>
      <c r="G29" s="76"/>
      <c r="H29" s="76"/>
      <c r="I29" s="76"/>
      <c r="J29" s="76"/>
      <c r="K29" s="76"/>
      <c r="L29" s="76"/>
      <c r="M29" s="76"/>
      <c r="N29" s="76"/>
      <c r="O29" s="76"/>
      <c r="P29" s="77"/>
      <c r="Q29" s="78"/>
      <c r="R29" s="76"/>
      <c r="S29" s="76"/>
      <c r="T29" s="76"/>
      <c r="U29" s="76"/>
      <c r="V29" s="76"/>
      <c r="W29" s="76"/>
      <c r="X29" s="76"/>
      <c r="Y29" s="76"/>
      <c r="Z29" s="76"/>
    </row>
    <row r="30" spans="1:26" ht="18" customHeight="1" x14ac:dyDescent="0.2">
      <c r="B30" s="135"/>
      <c r="C30" s="136"/>
      <c r="D30" s="74"/>
      <c r="E30" s="105"/>
      <c r="F30" s="75"/>
      <c r="G30" s="76"/>
      <c r="H30" s="76"/>
      <c r="I30" s="76"/>
      <c r="J30" s="76"/>
      <c r="K30" s="76"/>
      <c r="L30" s="76"/>
      <c r="M30" s="76"/>
      <c r="N30" s="76"/>
      <c r="O30" s="76"/>
      <c r="P30" s="77"/>
      <c r="Q30" s="78"/>
      <c r="R30" s="76"/>
      <c r="S30" s="76"/>
      <c r="T30" s="76"/>
      <c r="U30" s="76"/>
      <c r="V30" s="76"/>
      <c r="W30" s="76"/>
      <c r="X30" s="76"/>
      <c r="Y30" s="76"/>
      <c r="Z30" s="76"/>
    </row>
    <row r="31" spans="1:26" ht="18" customHeight="1" x14ac:dyDescent="0.2">
      <c r="B31" s="135"/>
      <c r="C31" s="136"/>
      <c r="D31" s="74"/>
      <c r="E31" s="105"/>
      <c r="F31" s="75"/>
      <c r="G31" s="76"/>
      <c r="H31" s="76"/>
      <c r="I31" s="76"/>
      <c r="J31" s="76"/>
      <c r="K31" s="76"/>
      <c r="L31" s="76"/>
      <c r="M31" s="76"/>
      <c r="N31" s="76"/>
      <c r="O31" s="76"/>
      <c r="P31" s="77"/>
      <c r="Q31" s="78"/>
      <c r="R31" s="76"/>
      <c r="S31" s="76"/>
      <c r="T31" s="76"/>
      <c r="U31" s="76"/>
      <c r="V31" s="76"/>
      <c r="W31" s="76"/>
      <c r="X31" s="76"/>
      <c r="Y31" s="76"/>
      <c r="Z31" s="76"/>
    </row>
    <row r="32" spans="1:26" ht="18" customHeight="1" x14ac:dyDescent="0.2">
      <c r="B32" s="135"/>
      <c r="C32" s="136"/>
      <c r="D32" s="79"/>
      <c r="E32" s="106"/>
      <c r="F32" s="80"/>
      <c r="G32" s="81"/>
      <c r="H32" s="81"/>
      <c r="I32" s="81"/>
      <c r="J32" s="81"/>
      <c r="K32" s="81"/>
      <c r="L32" s="81"/>
      <c r="M32" s="81"/>
      <c r="N32" s="81"/>
      <c r="O32" s="81"/>
      <c r="P32" s="82"/>
      <c r="Q32" s="83"/>
      <c r="R32" s="81"/>
      <c r="S32" s="81"/>
      <c r="T32" s="81"/>
      <c r="U32" s="81"/>
      <c r="V32" s="81"/>
      <c r="W32" s="81"/>
      <c r="X32" s="81"/>
      <c r="Y32" s="81"/>
      <c r="Z32" s="81"/>
    </row>
    <row r="33" spans="2:26" ht="18" customHeight="1" x14ac:dyDescent="0.2">
      <c r="B33" s="133" t="s">
        <v>126</v>
      </c>
      <c r="C33" s="134"/>
      <c r="D33" s="84"/>
      <c r="E33" s="107"/>
      <c r="F33" s="85"/>
      <c r="G33" s="86"/>
      <c r="H33" s="86"/>
      <c r="I33" s="86"/>
      <c r="J33" s="86"/>
      <c r="K33" s="86"/>
      <c r="L33" s="86"/>
      <c r="M33" s="86"/>
      <c r="N33" s="86"/>
      <c r="O33" s="86"/>
      <c r="P33" s="87"/>
      <c r="Q33" s="88"/>
      <c r="R33" s="86"/>
      <c r="S33" s="86"/>
      <c r="T33" s="86"/>
      <c r="U33" s="86"/>
      <c r="V33" s="86"/>
      <c r="W33" s="86"/>
      <c r="X33" s="86"/>
      <c r="Y33" s="86"/>
      <c r="Z33" s="86"/>
    </row>
    <row r="34" spans="2:26" ht="18" customHeight="1" x14ac:dyDescent="0.2">
      <c r="B34" s="135"/>
      <c r="C34" s="136"/>
      <c r="D34" s="74"/>
      <c r="E34" s="105"/>
      <c r="F34" s="75"/>
      <c r="G34" s="76"/>
      <c r="H34" s="76"/>
      <c r="I34" s="76"/>
      <c r="J34" s="76"/>
      <c r="K34" s="76"/>
      <c r="L34" s="76"/>
      <c r="M34" s="76"/>
      <c r="N34" s="76"/>
      <c r="O34" s="76"/>
      <c r="P34" s="77"/>
      <c r="Q34" s="78"/>
      <c r="R34" s="76"/>
      <c r="S34" s="76"/>
      <c r="T34" s="76"/>
      <c r="U34" s="76"/>
      <c r="V34" s="76"/>
      <c r="W34" s="76"/>
      <c r="X34" s="76"/>
      <c r="Y34" s="76"/>
      <c r="Z34" s="76"/>
    </row>
    <row r="35" spans="2:26" ht="18" customHeight="1" x14ac:dyDescent="0.2">
      <c r="B35" s="135"/>
      <c r="C35" s="136"/>
      <c r="D35" s="74"/>
      <c r="E35" s="105"/>
      <c r="F35" s="75"/>
      <c r="G35" s="76"/>
      <c r="H35" s="76"/>
      <c r="I35" s="76"/>
      <c r="J35" s="76"/>
      <c r="K35" s="76"/>
      <c r="L35" s="76"/>
      <c r="M35" s="76"/>
      <c r="N35" s="76"/>
      <c r="O35" s="76"/>
      <c r="P35" s="77"/>
      <c r="Q35" s="78"/>
      <c r="R35" s="76"/>
      <c r="S35" s="76"/>
      <c r="T35" s="76"/>
      <c r="U35" s="76"/>
      <c r="V35" s="76"/>
      <c r="W35" s="76"/>
      <c r="X35" s="76"/>
      <c r="Y35" s="76"/>
      <c r="Z35" s="76"/>
    </row>
    <row r="36" spans="2:26" ht="18" customHeight="1" x14ac:dyDescent="0.2">
      <c r="B36" s="135"/>
      <c r="C36" s="136"/>
      <c r="D36" s="74"/>
      <c r="E36" s="105"/>
      <c r="F36" s="75"/>
      <c r="G36" s="76"/>
      <c r="H36" s="76"/>
      <c r="I36" s="76"/>
      <c r="J36" s="76"/>
      <c r="K36" s="76"/>
      <c r="L36" s="76"/>
      <c r="M36" s="76"/>
      <c r="N36" s="76"/>
      <c r="O36" s="76"/>
      <c r="P36" s="77"/>
      <c r="Q36" s="78"/>
      <c r="R36" s="76"/>
      <c r="S36" s="76"/>
      <c r="T36" s="76"/>
      <c r="U36" s="76"/>
      <c r="V36" s="76"/>
      <c r="W36" s="76"/>
      <c r="X36" s="76"/>
      <c r="Y36" s="76"/>
      <c r="Z36" s="76"/>
    </row>
    <row r="37" spans="2:26" ht="18" customHeight="1" x14ac:dyDescent="0.2">
      <c r="B37" s="135"/>
      <c r="C37" s="136"/>
      <c r="D37" s="74"/>
      <c r="E37" s="105"/>
      <c r="F37" s="75"/>
      <c r="G37" s="76"/>
      <c r="H37" s="76"/>
      <c r="I37" s="76"/>
      <c r="J37" s="76"/>
      <c r="K37" s="76"/>
      <c r="L37" s="76"/>
      <c r="M37" s="76"/>
      <c r="N37" s="76"/>
      <c r="O37" s="76"/>
      <c r="P37" s="77"/>
      <c r="Q37" s="78"/>
      <c r="R37" s="76"/>
      <c r="S37" s="76"/>
      <c r="T37" s="76"/>
      <c r="U37" s="76"/>
      <c r="V37" s="76"/>
      <c r="W37" s="76"/>
      <c r="X37" s="76"/>
      <c r="Y37" s="76"/>
      <c r="Z37" s="76"/>
    </row>
    <row r="38" spans="2:26" ht="18" customHeight="1" x14ac:dyDescent="0.2">
      <c r="B38" s="135"/>
      <c r="C38" s="136"/>
      <c r="D38" s="74"/>
      <c r="E38" s="105"/>
      <c r="F38" s="75"/>
      <c r="G38" s="76"/>
      <c r="H38" s="76"/>
      <c r="I38" s="76"/>
      <c r="J38" s="76"/>
      <c r="K38" s="76"/>
      <c r="L38" s="76"/>
      <c r="M38" s="76"/>
      <c r="N38" s="76"/>
      <c r="O38" s="76"/>
      <c r="P38" s="77"/>
      <c r="Q38" s="78"/>
      <c r="R38" s="76"/>
      <c r="S38" s="76"/>
      <c r="T38" s="76"/>
      <c r="U38" s="76"/>
      <c r="V38" s="76"/>
      <c r="W38" s="76"/>
      <c r="X38" s="76"/>
      <c r="Y38" s="76"/>
      <c r="Z38" s="76"/>
    </row>
    <row r="39" spans="2:26" ht="18" customHeight="1" x14ac:dyDescent="0.2">
      <c r="B39" s="135"/>
      <c r="C39" s="136"/>
      <c r="D39" s="74"/>
      <c r="E39" s="105"/>
      <c r="F39" s="75"/>
      <c r="G39" s="76"/>
      <c r="H39" s="76"/>
      <c r="I39" s="76"/>
      <c r="J39" s="76"/>
      <c r="K39" s="76"/>
      <c r="L39" s="76"/>
      <c r="M39" s="76"/>
      <c r="N39" s="76"/>
      <c r="O39" s="76"/>
      <c r="P39" s="77"/>
      <c r="Q39" s="78"/>
      <c r="R39" s="76"/>
      <c r="S39" s="76"/>
      <c r="T39" s="76"/>
      <c r="U39" s="76"/>
      <c r="V39" s="76"/>
      <c r="W39" s="76"/>
      <c r="X39" s="76"/>
      <c r="Y39" s="76"/>
      <c r="Z39" s="76"/>
    </row>
    <row r="40" spans="2:26" ht="18" customHeight="1" x14ac:dyDescent="0.2">
      <c r="B40" s="135"/>
      <c r="C40" s="136"/>
      <c r="D40" s="74"/>
      <c r="E40" s="105"/>
      <c r="F40" s="75"/>
      <c r="G40" s="76"/>
      <c r="H40" s="76"/>
      <c r="I40" s="76"/>
      <c r="J40" s="76"/>
      <c r="K40" s="76"/>
      <c r="L40" s="76"/>
      <c r="M40" s="76"/>
      <c r="N40" s="76"/>
      <c r="O40" s="76"/>
      <c r="P40" s="77"/>
      <c r="Q40" s="78"/>
      <c r="R40" s="76"/>
      <c r="S40" s="76"/>
      <c r="T40" s="76"/>
      <c r="U40" s="76"/>
      <c r="V40" s="76"/>
      <c r="W40" s="76"/>
      <c r="X40" s="76"/>
      <c r="Y40" s="76"/>
      <c r="Z40" s="76"/>
    </row>
    <row r="41" spans="2:26" ht="18" customHeight="1" x14ac:dyDescent="0.2">
      <c r="B41" s="135"/>
      <c r="C41" s="136"/>
      <c r="D41" s="74"/>
      <c r="E41" s="105"/>
      <c r="F41" s="75"/>
      <c r="G41" s="76"/>
      <c r="H41" s="76"/>
      <c r="I41" s="76"/>
      <c r="J41" s="76"/>
      <c r="K41" s="76"/>
      <c r="L41" s="76"/>
      <c r="M41" s="76"/>
      <c r="N41" s="76"/>
      <c r="O41" s="76"/>
      <c r="P41" s="77"/>
      <c r="Q41" s="78"/>
      <c r="R41" s="76"/>
      <c r="S41" s="76"/>
      <c r="T41" s="76"/>
      <c r="U41" s="76"/>
      <c r="V41" s="76"/>
      <c r="W41" s="76"/>
      <c r="X41" s="76"/>
      <c r="Y41" s="76"/>
      <c r="Z41" s="76"/>
    </row>
    <row r="42" spans="2:26" ht="18" customHeight="1" x14ac:dyDescent="0.2">
      <c r="B42" s="137"/>
      <c r="C42" s="138"/>
      <c r="D42" s="79"/>
      <c r="E42" s="108"/>
      <c r="F42" s="80"/>
      <c r="G42" s="81"/>
      <c r="H42" s="81"/>
      <c r="I42" s="81"/>
      <c r="J42" s="81"/>
      <c r="K42" s="81"/>
      <c r="L42" s="81"/>
      <c r="M42" s="81"/>
      <c r="N42" s="81"/>
      <c r="O42" s="81"/>
      <c r="P42" s="82"/>
      <c r="Q42" s="83"/>
      <c r="R42" s="81"/>
      <c r="S42" s="81"/>
      <c r="T42" s="81"/>
      <c r="U42" s="81"/>
      <c r="V42" s="81"/>
      <c r="W42" s="81"/>
      <c r="X42" s="81"/>
      <c r="Y42" s="81"/>
      <c r="Z42" s="81"/>
    </row>
    <row r="43" spans="2:26" ht="18" customHeight="1" x14ac:dyDescent="0.2">
      <c r="B43" s="139" t="s">
        <v>127</v>
      </c>
      <c r="C43" s="140"/>
      <c r="D43" s="74"/>
      <c r="E43" s="105"/>
      <c r="F43" s="75"/>
      <c r="G43" s="76"/>
      <c r="H43" s="76"/>
      <c r="I43" s="76"/>
      <c r="J43" s="76"/>
      <c r="K43" s="76"/>
      <c r="L43" s="76"/>
      <c r="M43" s="76"/>
      <c r="N43" s="76"/>
      <c r="O43" s="76"/>
      <c r="P43" s="77"/>
      <c r="Q43" s="78"/>
      <c r="R43" s="76"/>
      <c r="S43" s="76"/>
      <c r="T43" s="76"/>
      <c r="U43" s="76"/>
      <c r="V43" s="76"/>
      <c r="W43" s="76"/>
      <c r="X43" s="76"/>
      <c r="Y43" s="76"/>
      <c r="Z43" s="76"/>
    </row>
    <row r="44" spans="2:26" ht="18" customHeight="1" x14ac:dyDescent="0.2">
      <c r="B44" s="139"/>
      <c r="C44" s="140"/>
      <c r="D44" s="74"/>
      <c r="E44" s="105"/>
      <c r="F44" s="75"/>
      <c r="G44" s="76"/>
      <c r="H44" s="76"/>
      <c r="I44" s="76"/>
      <c r="J44" s="76"/>
      <c r="K44" s="76"/>
      <c r="L44" s="76"/>
      <c r="M44" s="76"/>
      <c r="N44" s="76"/>
      <c r="O44" s="76"/>
      <c r="P44" s="77"/>
      <c r="Q44" s="78"/>
      <c r="R44" s="76"/>
      <c r="S44" s="76"/>
      <c r="T44" s="76"/>
      <c r="U44" s="76"/>
      <c r="V44" s="76"/>
      <c r="W44" s="76"/>
      <c r="X44" s="76"/>
      <c r="Y44" s="76"/>
      <c r="Z44" s="76"/>
    </row>
    <row r="45" spans="2:26" ht="18" customHeight="1" x14ac:dyDescent="0.2">
      <c r="B45" s="139"/>
      <c r="C45" s="140"/>
      <c r="D45" s="74"/>
      <c r="E45" s="105"/>
      <c r="F45" s="75"/>
      <c r="G45" s="76"/>
      <c r="H45" s="76"/>
      <c r="I45" s="76"/>
      <c r="J45" s="76"/>
      <c r="K45" s="76"/>
      <c r="L45" s="76"/>
      <c r="M45" s="76"/>
      <c r="N45" s="76"/>
      <c r="O45" s="76"/>
      <c r="P45" s="77"/>
      <c r="Q45" s="78"/>
      <c r="R45" s="76"/>
      <c r="S45" s="76"/>
      <c r="T45" s="76"/>
      <c r="U45" s="76"/>
      <c r="V45" s="76"/>
      <c r="W45" s="76"/>
      <c r="X45" s="76"/>
      <c r="Y45" s="76"/>
      <c r="Z45" s="76"/>
    </row>
    <row r="46" spans="2:26" ht="18" customHeight="1" x14ac:dyDescent="0.2">
      <c r="B46" s="139"/>
      <c r="C46" s="140"/>
      <c r="D46" s="74"/>
      <c r="E46" s="105"/>
      <c r="F46" s="75"/>
      <c r="G46" s="76"/>
      <c r="H46" s="76"/>
      <c r="I46" s="76"/>
      <c r="J46" s="76"/>
      <c r="K46" s="76"/>
      <c r="L46" s="76"/>
      <c r="M46" s="76"/>
      <c r="N46" s="76"/>
      <c r="O46" s="76"/>
      <c r="P46" s="77"/>
      <c r="Q46" s="78"/>
      <c r="R46" s="76"/>
      <c r="S46" s="76"/>
      <c r="T46" s="76"/>
      <c r="U46" s="76"/>
      <c r="V46" s="76"/>
      <c r="W46" s="76"/>
      <c r="X46" s="76"/>
      <c r="Y46" s="76"/>
      <c r="Z46" s="76"/>
    </row>
    <row r="47" spans="2:26" ht="18" customHeight="1" x14ac:dyDescent="0.2">
      <c r="B47" s="139"/>
      <c r="C47" s="140"/>
      <c r="D47" s="74"/>
      <c r="E47" s="105"/>
      <c r="F47" s="75"/>
      <c r="G47" s="76"/>
      <c r="H47" s="76"/>
      <c r="I47" s="76"/>
      <c r="J47" s="76"/>
      <c r="K47" s="76"/>
      <c r="L47" s="76"/>
      <c r="M47" s="76"/>
      <c r="N47" s="76"/>
      <c r="O47" s="76"/>
      <c r="P47" s="77"/>
      <c r="Q47" s="78"/>
      <c r="R47" s="76"/>
      <c r="S47" s="76"/>
      <c r="T47" s="76"/>
      <c r="U47" s="76"/>
      <c r="V47" s="76"/>
      <c r="W47" s="76"/>
      <c r="X47" s="76"/>
      <c r="Y47" s="76"/>
      <c r="Z47" s="76"/>
    </row>
    <row r="48" spans="2:26" ht="18" customHeight="1" x14ac:dyDescent="0.2">
      <c r="B48" s="139"/>
      <c r="C48" s="140"/>
      <c r="D48" s="74"/>
      <c r="E48" s="105"/>
      <c r="F48" s="75"/>
      <c r="G48" s="76"/>
      <c r="H48" s="76"/>
      <c r="I48" s="76"/>
      <c r="J48" s="76"/>
      <c r="K48" s="76"/>
      <c r="L48" s="76"/>
      <c r="M48" s="76"/>
      <c r="N48" s="76"/>
      <c r="O48" s="76"/>
      <c r="P48" s="77"/>
      <c r="Q48" s="78"/>
      <c r="R48" s="76"/>
      <c r="S48" s="76"/>
      <c r="T48" s="76"/>
      <c r="U48" s="76"/>
      <c r="V48" s="76"/>
      <c r="W48" s="76"/>
      <c r="X48" s="76"/>
      <c r="Y48" s="76"/>
      <c r="Z48" s="76"/>
    </row>
    <row r="49" spans="1:26" ht="18" customHeight="1" x14ac:dyDescent="0.2">
      <c r="B49" s="139"/>
      <c r="C49" s="140"/>
      <c r="D49" s="74"/>
      <c r="E49" s="105"/>
      <c r="F49" s="75"/>
      <c r="G49" s="76"/>
      <c r="H49" s="76"/>
      <c r="I49" s="76"/>
      <c r="J49" s="76"/>
      <c r="K49" s="76"/>
      <c r="L49" s="76"/>
      <c r="M49" s="76"/>
      <c r="N49" s="76"/>
      <c r="O49" s="76"/>
      <c r="P49" s="77"/>
      <c r="Q49" s="78"/>
      <c r="R49" s="76"/>
      <c r="S49" s="76"/>
      <c r="T49" s="76"/>
      <c r="U49" s="76"/>
      <c r="V49" s="76"/>
      <c r="W49" s="76"/>
      <c r="X49" s="76"/>
      <c r="Y49" s="76"/>
      <c r="Z49" s="76"/>
    </row>
    <row r="50" spans="1:26" ht="18" customHeight="1" x14ac:dyDescent="0.2">
      <c r="B50" s="139"/>
      <c r="C50" s="140"/>
      <c r="D50" s="74"/>
      <c r="E50" s="105"/>
      <c r="F50" s="75"/>
      <c r="G50" s="76"/>
      <c r="H50" s="76"/>
      <c r="I50" s="76"/>
      <c r="J50" s="76"/>
      <c r="K50" s="76"/>
      <c r="L50" s="76"/>
      <c r="M50" s="76"/>
      <c r="N50" s="76"/>
      <c r="O50" s="76"/>
      <c r="P50" s="77"/>
      <c r="Q50" s="78"/>
      <c r="R50" s="76"/>
      <c r="S50" s="76"/>
      <c r="T50" s="76"/>
      <c r="U50" s="76"/>
      <c r="V50" s="76"/>
      <c r="W50" s="76"/>
      <c r="X50" s="76"/>
      <c r="Y50" s="76"/>
      <c r="Z50" s="76"/>
    </row>
    <row r="51" spans="1:26" ht="18" customHeight="1" x14ac:dyDescent="0.2">
      <c r="B51" s="139"/>
      <c r="C51" s="140"/>
      <c r="D51" s="74"/>
      <c r="E51" s="105"/>
      <c r="F51" s="75"/>
      <c r="G51" s="76"/>
      <c r="H51" s="76"/>
      <c r="I51" s="76"/>
      <c r="J51" s="76"/>
      <c r="K51" s="76"/>
      <c r="L51" s="76"/>
      <c r="M51" s="76"/>
      <c r="N51" s="76"/>
      <c r="O51" s="76"/>
      <c r="P51" s="77"/>
      <c r="Q51" s="78"/>
      <c r="R51" s="76"/>
      <c r="S51" s="76"/>
      <c r="T51" s="76"/>
      <c r="U51" s="76"/>
      <c r="V51" s="76"/>
      <c r="W51" s="76"/>
      <c r="X51" s="76"/>
      <c r="Y51" s="76"/>
      <c r="Z51" s="76"/>
    </row>
    <row r="52" spans="1:26" ht="18" customHeight="1" thickBot="1" x14ac:dyDescent="0.25">
      <c r="B52" s="141"/>
      <c r="C52" s="142"/>
      <c r="D52" s="79"/>
      <c r="E52" s="108"/>
      <c r="F52" s="89"/>
      <c r="G52" s="90"/>
      <c r="H52" s="90"/>
      <c r="I52" s="90"/>
      <c r="J52" s="90"/>
      <c r="K52" s="90"/>
      <c r="L52" s="90"/>
      <c r="M52" s="90"/>
      <c r="N52" s="90"/>
      <c r="O52" s="90"/>
      <c r="P52" s="91"/>
      <c r="Q52" s="83"/>
      <c r="R52" s="81"/>
      <c r="S52" s="81"/>
      <c r="T52" s="81"/>
      <c r="U52" s="81"/>
      <c r="V52" s="81"/>
      <c r="W52" s="81"/>
      <c r="X52" s="81"/>
      <c r="Y52" s="81"/>
      <c r="Z52" s="81"/>
    </row>
    <row r="53" spans="1:26" ht="18" customHeight="1" x14ac:dyDescent="0.2">
      <c r="A53" s="12"/>
      <c r="B53" s="40"/>
      <c r="C53" s="40"/>
      <c r="D53" s="40"/>
      <c r="E53" s="40"/>
      <c r="F53" s="40"/>
      <c r="G53" s="22"/>
      <c r="H53" s="22"/>
      <c r="I53" s="22"/>
      <c r="J53" s="22"/>
      <c r="K53" s="22"/>
      <c r="L53" s="22"/>
      <c r="M53" s="22"/>
      <c r="N53" s="22"/>
      <c r="O53" s="22"/>
      <c r="P53" s="40"/>
      <c r="Q53" s="40"/>
      <c r="R53" s="40"/>
      <c r="S53" s="40"/>
      <c r="T53" s="40"/>
      <c r="U53" s="40"/>
      <c r="V53" s="40"/>
      <c r="W53" s="22"/>
      <c r="X53" s="22"/>
      <c r="Y53" s="22"/>
      <c r="Z53" s="22"/>
    </row>
    <row r="54" spans="1:26" ht="18.75" customHeight="1" x14ac:dyDescent="0.2">
      <c r="A54" s="8" t="s">
        <v>115</v>
      </c>
    </row>
    <row r="55" spans="1:26" ht="18.75" customHeight="1" x14ac:dyDescent="0.2">
      <c r="B55" s="146" t="s">
        <v>49</v>
      </c>
      <c r="C55" s="147"/>
      <c r="D55" s="4" t="s">
        <v>128</v>
      </c>
    </row>
    <row r="56" spans="1:26" ht="43.2" x14ac:dyDescent="0.2">
      <c r="B56" s="143" t="s">
        <v>55</v>
      </c>
      <c r="C56" s="92" t="s">
        <v>50</v>
      </c>
      <c r="D56" s="126" t="s">
        <v>151</v>
      </c>
      <c r="E56" s="93"/>
      <c r="F56" s="93"/>
      <c r="G56" s="93"/>
      <c r="H56" s="93"/>
      <c r="I56" s="93"/>
      <c r="J56" s="93"/>
      <c r="K56" s="93"/>
      <c r="L56" s="93"/>
      <c r="M56" s="93"/>
      <c r="N56" s="93"/>
      <c r="O56" s="93"/>
      <c r="P56" s="93"/>
      <c r="Q56" s="93"/>
      <c r="R56" s="93"/>
      <c r="S56" s="93"/>
      <c r="T56" s="93"/>
      <c r="U56" s="93"/>
      <c r="V56" s="93"/>
      <c r="W56" s="93"/>
      <c r="X56" s="93"/>
      <c r="Y56" s="93"/>
      <c r="Z56" s="93"/>
    </row>
    <row r="57" spans="1:26" ht="43.2" x14ac:dyDescent="0.2">
      <c r="B57" s="144"/>
      <c r="C57" s="94" t="s">
        <v>67</v>
      </c>
      <c r="D57" s="127" t="s">
        <v>158</v>
      </c>
      <c r="E57" s="95"/>
      <c r="F57" s="95"/>
      <c r="G57" s="95"/>
      <c r="H57" s="95"/>
      <c r="I57" s="95"/>
      <c r="J57" s="95"/>
      <c r="K57" s="95"/>
      <c r="L57" s="95"/>
      <c r="M57" s="95"/>
      <c r="N57" s="95"/>
      <c r="O57" s="95"/>
      <c r="P57" s="95"/>
      <c r="Q57" s="95"/>
      <c r="R57" s="95"/>
      <c r="S57" s="95"/>
      <c r="T57" s="95"/>
      <c r="U57" s="95"/>
      <c r="V57" s="95"/>
      <c r="W57" s="95"/>
      <c r="X57" s="95"/>
      <c r="Y57" s="95"/>
      <c r="Z57" s="95"/>
    </row>
    <row r="58" spans="1:26" ht="28.8" x14ac:dyDescent="0.2">
      <c r="B58" s="143" t="s">
        <v>56</v>
      </c>
      <c r="C58" s="96" t="s">
        <v>61</v>
      </c>
      <c r="D58" s="128" t="s">
        <v>152</v>
      </c>
      <c r="E58" s="95"/>
      <c r="F58" s="95"/>
      <c r="G58" s="95"/>
      <c r="H58" s="95"/>
      <c r="I58" s="95"/>
      <c r="J58" s="95"/>
      <c r="K58" s="95"/>
      <c r="L58" s="95"/>
      <c r="M58" s="95"/>
      <c r="N58" s="95"/>
      <c r="O58" s="95"/>
      <c r="P58" s="95"/>
      <c r="Q58" s="95"/>
      <c r="R58" s="95"/>
      <c r="S58" s="95"/>
      <c r="T58" s="95"/>
      <c r="U58" s="95"/>
      <c r="V58" s="95"/>
      <c r="W58" s="95"/>
      <c r="X58" s="95"/>
      <c r="Y58" s="95"/>
      <c r="Z58" s="95"/>
    </row>
    <row r="59" spans="1:26" ht="57.6" x14ac:dyDescent="0.2">
      <c r="B59" s="145"/>
      <c r="C59" s="97" t="s">
        <v>62</v>
      </c>
      <c r="D59" s="123" t="s">
        <v>153</v>
      </c>
      <c r="E59" s="95"/>
      <c r="F59" s="95"/>
      <c r="G59" s="95"/>
      <c r="H59" s="95"/>
      <c r="I59" s="95"/>
      <c r="J59" s="95"/>
      <c r="K59" s="95"/>
      <c r="L59" s="95"/>
      <c r="M59" s="95"/>
      <c r="N59" s="95"/>
      <c r="O59" s="95"/>
      <c r="P59" s="95"/>
      <c r="Q59" s="95"/>
      <c r="R59" s="95"/>
      <c r="S59" s="95"/>
      <c r="T59" s="95"/>
      <c r="U59" s="95"/>
      <c r="V59" s="95"/>
      <c r="W59" s="95"/>
      <c r="X59" s="95"/>
      <c r="Y59" s="95"/>
      <c r="Z59" s="95"/>
    </row>
    <row r="60" spans="1:26" ht="79.8" customHeight="1" x14ac:dyDescent="0.2">
      <c r="B60" s="143" t="s">
        <v>57</v>
      </c>
      <c r="C60" s="96" t="s">
        <v>63</v>
      </c>
      <c r="D60" s="121" t="s">
        <v>159</v>
      </c>
      <c r="E60" s="95"/>
      <c r="F60" s="95"/>
      <c r="G60" s="95"/>
      <c r="H60" s="95"/>
      <c r="I60" s="95"/>
      <c r="J60" s="95"/>
      <c r="K60" s="95"/>
      <c r="L60" s="95"/>
      <c r="M60" s="95"/>
      <c r="N60" s="95"/>
      <c r="O60" s="95"/>
      <c r="P60" s="95"/>
      <c r="Q60" s="95"/>
      <c r="R60" s="95"/>
      <c r="S60" s="95"/>
      <c r="T60" s="95"/>
      <c r="U60" s="95"/>
      <c r="V60" s="95"/>
      <c r="W60" s="95"/>
      <c r="X60" s="95"/>
      <c r="Y60" s="95"/>
      <c r="Z60" s="95"/>
    </row>
    <row r="61" spans="1:26" ht="79.8" customHeight="1" x14ac:dyDescent="0.2">
      <c r="B61" s="145"/>
      <c r="C61" s="98" t="s">
        <v>64</v>
      </c>
      <c r="D61" s="122" t="s">
        <v>154</v>
      </c>
      <c r="E61" s="95"/>
      <c r="F61" s="95"/>
      <c r="G61" s="95"/>
      <c r="H61" s="95"/>
      <c r="I61" s="95"/>
      <c r="J61" s="95"/>
      <c r="K61" s="95"/>
      <c r="L61" s="95"/>
      <c r="M61" s="95"/>
      <c r="N61" s="95"/>
      <c r="O61" s="95"/>
      <c r="P61" s="95"/>
      <c r="Q61" s="95"/>
      <c r="R61" s="95"/>
      <c r="S61" s="95"/>
      <c r="T61" s="95"/>
      <c r="U61" s="95"/>
      <c r="V61" s="95"/>
      <c r="W61" s="95"/>
      <c r="X61" s="95"/>
      <c r="Y61" s="95"/>
      <c r="Z61" s="95"/>
    </row>
    <row r="62" spans="1:26" ht="86.4" x14ac:dyDescent="0.2">
      <c r="B62" s="143" t="s">
        <v>68</v>
      </c>
      <c r="C62" s="92" t="s">
        <v>52</v>
      </c>
      <c r="D62" s="121" t="s">
        <v>160</v>
      </c>
      <c r="E62" s="95"/>
      <c r="F62" s="95"/>
      <c r="G62" s="95"/>
      <c r="H62" s="95"/>
      <c r="I62" s="95"/>
      <c r="J62" s="95"/>
      <c r="K62" s="95"/>
      <c r="L62" s="95"/>
      <c r="M62" s="95"/>
      <c r="N62" s="95"/>
      <c r="O62" s="95"/>
      <c r="P62" s="95"/>
      <c r="Q62" s="95"/>
      <c r="R62" s="95"/>
      <c r="S62" s="95"/>
      <c r="T62" s="95"/>
      <c r="U62" s="95"/>
      <c r="V62" s="95"/>
      <c r="W62" s="95"/>
      <c r="X62" s="95"/>
      <c r="Y62" s="95"/>
      <c r="Z62" s="95"/>
    </row>
    <row r="63" spans="1:26" ht="79.8" customHeight="1" x14ac:dyDescent="0.2">
      <c r="B63" s="145"/>
      <c r="C63" s="97" t="s">
        <v>54</v>
      </c>
      <c r="D63" s="122" t="s">
        <v>155</v>
      </c>
      <c r="E63" s="95"/>
      <c r="F63" s="95"/>
      <c r="G63" s="95"/>
      <c r="H63" s="95"/>
      <c r="I63" s="95"/>
      <c r="J63" s="95"/>
      <c r="K63" s="95"/>
      <c r="L63" s="95"/>
      <c r="M63" s="95"/>
      <c r="N63" s="95"/>
      <c r="O63" s="95"/>
      <c r="P63" s="95"/>
      <c r="Q63" s="95"/>
      <c r="R63" s="95"/>
      <c r="S63" s="95"/>
      <c r="T63" s="95"/>
      <c r="U63" s="95"/>
      <c r="V63" s="95"/>
      <c r="W63" s="95"/>
      <c r="X63" s="95"/>
      <c r="Y63" s="95"/>
      <c r="Z63" s="95"/>
    </row>
    <row r="64" spans="1:26" ht="57.6" x14ac:dyDescent="0.2">
      <c r="B64" s="143" t="s">
        <v>69</v>
      </c>
      <c r="C64" s="96" t="s">
        <v>51</v>
      </c>
      <c r="D64" s="121" t="s">
        <v>156</v>
      </c>
      <c r="E64" s="95"/>
      <c r="F64" s="95"/>
      <c r="G64" s="95"/>
      <c r="H64" s="95"/>
      <c r="I64" s="95"/>
      <c r="J64" s="95"/>
      <c r="K64" s="95"/>
      <c r="L64" s="95"/>
      <c r="M64" s="95"/>
      <c r="N64" s="95"/>
      <c r="O64" s="95"/>
      <c r="P64" s="95"/>
      <c r="Q64" s="95"/>
      <c r="R64" s="95"/>
      <c r="S64" s="95"/>
      <c r="T64" s="95"/>
      <c r="U64" s="95"/>
      <c r="V64" s="95"/>
      <c r="W64" s="95"/>
      <c r="X64" s="95"/>
      <c r="Y64" s="95"/>
      <c r="Z64" s="95"/>
    </row>
    <row r="65" spans="1:26" ht="79.8" customHeight="1" x14ac:dyDescent="0.2">
      <c r="B65" s="144"/>
      <c r="C65" s="99" t="s">
        <v>65</v>
      </c>
      <c r="D65" s="124" t="s">
        <v>157</v>
      </c>
      <c r="E65" s="100"/>
      <c r="F65" s="100"/>
      <c r="G65" s="100"/>
      <c r="H65" s="100"/>
      <c r="I65" s="100"/>
      <c r="J65" s="100"/>
      <c r="K65" s="100"/>
      <c r="L65" s="100"/>
      <c r="M65" s="100"/>
      <c r="N65" s="100"/>
      <c r="O65" s="100"/>
      <c r="P65" s="100"/>
      <c r="Q65" s="100"/>
      <c r="R65" s="100"/>
      <c r="S65" s="100"/>
      <c r="T65" s="100"/>
      <c r="U65" s="100"/>
      <c r="V65" s="100"/>
      <c r="W65" s="100"/>
      <c r="X65" s="100"/>
      <c r="Y65" s="100"/>
      <c r="Z65" s="100"/>
    </row>
    <row r="66" spans="1:26" ht="72" x14ac:dyDescent="0.2">
      <c r="B66" s="145"/>
      <c r="C66" s="98" t="s">
        <v>66</v>
      </c>
      <c r="D66" s="125" t="s">
        <v>161</v>
      </c>
      <c r="E66" s="100"/>
      <c r="F66" s="100"/>
      <c r="G66" s="100"/>
      <c r="H66" s="100"/>
      <c r="I66" s="100"/>
      <c r="J66" s="100"/>
      <c r="K66" s="100"/>
      <c r="L66" s="100"/>
      <c r="M66" s="100"/>
      <c r="N66" s="100"/>
      <c r="O66" s="100"/>
      <c r="P66" s="100"/>
      <c r="Q66" s="100"/>
      <c r="R66" s="100"/>
      <c r="S66" s="100"/>
      <c r="T66" s="100"/>
      <c r="U66" s="100"/>
      <c r="V66" s="100"/>
      <c r="W66" s="100"/>
      <c r="X66" s="100"/>
      <c r="Y66" s="100"/>
      <c r="Z66" s="100"/>
    </row>
    <row r="67" spans="1:26" ht="6" customHeight="1" x14ac:dyDescent="0.2"/>
    <row r="68" spans="1:26" ht="18.75" customHeight="1" x14ac:dyDescent="0.2">
      <c r="A68" s="8" t="s">
        <v>116</v>
      </c>
    </row>
    <row r="69" spans="1:26" ht="72" x14ac:dyDescent="0.2">
      <c r="B69" s="16"/>
      <c r="C69" s="16"/>
      <c r="D69" s="61" t="s">
        <v>150</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x14ac:dyDescent="0.2"/>
  </sheetData>
  <mergeCells count="19">
    <mergeCell ref="B23:C32"/>
    <mergeCell ref="A1:Z1"/>
    <mergeCell ref="A9:B9"/>
    <mergeCell ref="A11:B11"/>
    <mergeCell ref="A13:B13"/>
    <mergeCell ref="A15:B15"/>
    <mergeCell ref="Y3:Z3"/>
    <mergeCell ref="A7:Z7"/>
    <mergeCell ref="B4:C4"/>
    <mergeCell ref="B5:C5"/>
    <mergeCell ref="F21:Z21"/>
    <mergeCell ref="B33:C42"/>
    <mergeCell ref="B43:C52"/>
    <mergeCell ref="B64:B66"/>
    <mergeCell ref="B62:B63"/>
    <mergeCell ref="B55:C55"/>
    <mergeCell ref="B60:B61"/>
    <mergeCell ref="B56:B57"/>
    <mergeCell ref="B58:B59"/>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E12" sqref="E12"/>
    </sheetView>
  </sheetViews>
  <sheetFormatPr defaultColWidth="9" defaultRowHeight="18.75" customHeight="1" x14ac:dyDescent="0.2"/>
  <cols>
    <col min="1" max="1" width="2.77734375" style="8" customWidth="1"/>
    <col min="2" max="2" width="27.88671875" style="8" customWidth="1"/>
    <col min="3" max="3" width="8" style="8" customWidth="1"/>
    <col min="4" max="4" width="8.21875" style="8" customWidth="1"/>
    <col min="5" max="19" width="6.109375" style="8" customWidth="1"/>
    <col min="20" max="20" width="6.6640625" style="8" customWidth="1"/>
    <col min="21" max="16384" width="9" style="8"/>
  </cols>
  <sheetData>
    <row r="1" spans="1:22" ht="18" customHeight="1" x14ac:dyDescent="0.2">
      <c r="T1" s="8" t="s">
        <v>84</v>
      </c>
    </row>
    <row r="2" spans="1:22" ht="18" customHeight="1" x14ac:dyDescent="0.2">
      <c r="A2" s="161" t="s">
        <v>94</v>
      </c>
      <c r="B2" s="161"/>
      <c r="C2" s="161"/>
      <c r="D2" s="161"/>
      <c r="E2" s="161"/>
      <c r="F2" s="161"/>
      <c r="G2" s="161"/>
      <c r="H2" s="161"/>
      <c r="I2" s="161"/>
      <c r="J2" s="161"/>
      <c r="K2" s="161"/>
      <c r="L2" s="161"/>
      <c r="M2" s="161"/>
      <c r="N2" s="161"/>
      <c r="O2" s="161"/>
      <c r="P2" s="161"/>
      <c r="Q2" s="161"/>
      <c r="R2" s="161"/>
      <c r="S2" s="161"/>
      <c r="T2" s="161"/>
    </row>
    <row r="3" spans="1:22" ht="7.5" customHeight="1" x14ac:dyDescent="0.2">
      <c r="A3" s="12"/>
      <c r="B3" s="12"/>
      <c r="C3" s="12"/>
      <c r="D3" s="12"/>
      <c r="E3" s="12"/>
      <c r="F3" s="12"/>
      <c r="G3" s="12"/>
      <c r="H3" s="12"/>
      <c r="I3" s="12"/>
      <c r="J3" s="12"/>
      <c r="K3" s="12"/>
      <c r="L3" s="12"/>
      <c r="M3" s="12"/>
      <c r="N3" s="12"/>
      <c r="O3" s="12"/>
      <c r="P3" s="12"/>
      <c r="Q3" s="12"/>
      <c r="R3" s="12"/>
      <c r="S3" s="12"/>
      <c r="T3" s="12"/>
    </row>
    <row r="4" spans="1:22" ht="18" customHeight="1" x14ac:dyDescent="0.2">
      <c r="A4" s="8" t="s">
        <v>71</v>
      </c>
      <c r="C4" s="21" t="s">
        <v>137</v>
      </c>
      <c r="D4" s="8" t="s">
        <v>112</v>
      </c>
      <c r="E4" s="40"/>
      <c r="F4" s="10"/>
      <c r="G4" s="12"/>
      <c r="H4" s="12"/>
      <c r="I4" s="12"/>
      <c r="J4" s="12"/>
      <c r="K4" s="12"/>
      <c r="L4" s="12"/>
      <c r="M4" s="12"/>
      <c r="N4" s="12"/>
      <c r="O4" s="12"/>
      <c r="P4" s="12"/>
      <c r="Q4" s="12"/>
      <c r="R4" s="12"/>
      <c r="S4" s="40"/>
      <c r="T4" s="40"/>
    </row>
    <row r="5" spans="1:22" ht="7.2" customHeight="1" x14ac:dyDescent="0.2">
      <c r="C5" s="22"/>
      <c r="D5" s="22"/>
      <c r="E5" s="22"/>
      <c r="F5" s="12"/>
      <c r="G5" s="12"/>
      <c r="H5" s="12"/>
      <c r="I5" s="12"/>
      <c r="J5" s="12"/>
      <c r="K5" s="12"/>
      <c r="L5" s="12"/>
      <c r="M5" s="12"/>
      <c r="N5" s="12"/>
      <c r="O5" s="12"/>
      <c r="P5" s="12"/>
      <c r="Q5" s="12"/>
      <c r="R5" s="12"/>
      <c r="S5" s="40"/>
      <c r="T5" s="40"/>
    </row>
    <row r="6" spans="1:22" ht="18" customHeight="1" x14ac:dyDescent="0.2">
      <c r="A6" s="8" t="s">
        <v>110</v>
      </c>
      <c r="B6" s="12"/>
      <c r="C6" s="12"/>
      <c r="D6" s="12"/>
      <c r="E6" s="12"/>
      <c r="F6" s="12"/>
      <c r="G6" s="12"/>
      <c r="H6" s="12"/>
      <c r="I6" s="12"/>
      <c r="J6" s="12"/>
      <c r="K6" s="12"/>
      <c r="L6" s="12"/>
      <c r="M6" s="12"/>
      <c r="N6" s="12"/>
      <c r="O6" s="12"/>
      <c r="P6" s="12"/>
      <c r="Q6" s="12"/>
      <c r="R6" s="12"/>
      <c r="S6" s="12"/>
      <c r="T6" s="12"/>
    </row>
    <row r="7" spans="1:22" ht="6" customHeight="1" x14ac:dyDescent="0.2">
      <c r="B7" s="12"/>
      <c r="C7" s="12"/>
      <c r="D7" s="12"/>
      <c r="E7" s="12"/>
      <c r="F7" s="12"/>
      <c r="G7" s="12"/>
      <c r="H7" s="12"/>
      <c r="I7" s="12"/>
      <c r="J7" s="12"/>
      <c r="K7" s="12"/>
      <c r="L7" s="12"/>
      <c r="M7" s="12"/>
      <c r="N7" s="12"/>
      <c r="O7" s="12"/>
      <c r="P7" s="12"/>
      <c r="Q7" s="12"/>
      <c r="R7" s="12"/>
      <c r="S7" s="12"/>
      <c r="T7" s="12"/>
    </row>
    <row r="8" spans="1:22" ht="18" customHeight="1" x14ac:dyDescent="0.2">
      <c r="B8" s="162" t="s">
        <v>43</v>
      </c>
      <c r="C8" s="158" t="s">
        <v>73</v>
      </c>
      <c r="D8" s="159"/>
      <c r="E8" s="164" t="s">
        <v>45</v>
      </c>
      <c r="F8" s="158" t="s">
        <v>38</v>
      </c>
      <c r="G8" s="160" t="s">
        <v>108</v>
      </c>
      <c r="H8" s="160"/>
      <c r="I8" s="160" t="s">
        <v>92</v>
      </c>
      <c r="J8" s="160"/>
      <c r="K8" s="160" t="s">
        <v>86</v>
      </c>
      <c r="L8" s="160"/>
      <c r="M8" s="160" t="s">
        <v>72</v>
      </c>
      <c r="N8" s="160"/>
      <c r="O8" s="160" t="s">
        <v>46</v>
      </c>
      <c r="P8" s="160"/>
      <c r="Q8" s="160" t="s">
        <v>47</v>
      </c>
      <c r="R8" s="171"/>
      <c r="S8" s="167" t="s">
        <v>35</v>
      </c>
      <c r="T8" s="169" t="s">
        <v>32</v>
      </c>
      <c r="V8" s="13"/>
    </row>
    <row r="9" spans="1:22" ht="16.95" customHeight="1" x14ac:dyDescent="0.2">
      <c r="B9" s="163"/>
      <c r="C9" s="1"/>
      <c r="D9" s="2" t="s">
        <v>111</v>
      </c>
      <c r="E9" s="165"/>
      <c r="F9" s="166"/>
      <c r="G9" s="39" t="s">
        <v>79</v>
      </c>
      <c r="H9" s="39" t="s">
        <v>29</v>
      </c>
      <c r="I9" s="39" t="s">
        <v>79</v>
      </c>
      <c r="J9" s="39" t="s">
        <v>29</v>
      </c>
      <c r="K9" s="39" t="s">
        <v>79</v>
      </c>
      <c r="L9" s="39" t="s">
        <v>29</v>
      </c>
      <c r="M9" s="39" t="s">
        <v>79</v>
      </c>
      <c r="N9" s="39" t="s">
        <v>29</v>
      </c>
      <c r="O9" s="39" t="s">
        <v>79</v>
      </c>
      <c r="P9" s="39" t="s">
        <v>29</v>
      </c>
      <c r="Q9" s="39" t="s">
        <v>79</v>
      </c>
      <c r="R9" s="39" t="s">
        <v>29</v>
      </c>
      <c r="S9" s="168"/>
      <c r="T9" s="170"/>
      <c r="V9" s="13"/>
    </row>
    <row r="10" spans="1:22" ht="18" customHeight="1" x14ac:dyDescent="0.2">
      <c r="A10" s="40"/>
      <c r="B10" s="41" t="s">
        <v>138</v>
      </c>
      <c r="C10" s="53">
        <v>71</v>
      </c>
      <c r="D10" s="59">
        <v>59</v>
      </c>
      <c r="E10" s="52">
        <v>100</v>
      </c>
      <c r="F10" s="53">
        <v>100</v>
      </c>
      <c r="G10" s="53">
        <v>71</v>
      </c>
      <c r="H10" s="53">
        <v>63</v>
      </c>
      <c r="I10" s="53"/>
      <c r="J10" s="53"/>
      <c r="K10" s="53"/>
      <c r="L10" s="53"/>
      <c r="M10" s="53"/>
      <c r="N10" s="53"/>
      <c r="O10" s="53"/>
      <c r="P10" s="53"/>
      <c r="Q10" s="53"/>
      <c r="R10" s="53"/>
      <c r="S10" s="3">
        <f>G10+K10+M10+O10+Q10</f>
        <v>71</v>
      </c>
      <c r="T10" s="42">
        <f>S10/F10</f>
        <v>0.71</v>
      </c>
    </row>
    <row r="11" spans="1:22" ht="18" customHeight="1" x14ac:dyDescent="0.2">
      <c r="A11" s="40"/>
      <c r="B11" s="43"/>
      <c r="C11" s="55"/>
      <c r="D11" s="57"/>
      <c r="E11" s="54"/>
      <c r="F11" s="55"/>
      <c r="G11" s="56"/>
      <c r="H11" s="56"/>
      <c r="I11" s="56"/>
      <c r="J11" s="56"/>
      <c r="K11" s="56"/>
      <c r="L11" s="56"/>
      <c r="M11" s="56"/>
      <c r="N11" s="56"/>
      <c r="O11" s="56"/>
      <c r="P11" s="56"/>
      <c r="Q11" s="56"/>
      <c r="R11" s="56"/>
      <c r="S11" s="44">
        <f t="shared" ref="S11:S29" si="0">G11+K11+M11+O11+Q11</f>
        <v>0</v>
      </c>
      <c r="T11" s="45" t="e">
        <f t="shared" ref="T11:T27" si="1">S11/F11</f>
        <v>#DIV/0!</v>
      </c>
    </row>
    <row r="12" spans="1:22" ht="18" customHeight="1" x14ac:dyDescent="0.2">
      <c r="A12" s="40"/>
      <c r="B12" s="43"/>
      <c r="C12" s="55"/>
      <c r="D12" s="57"/>
      <c r="E12" s="54"/>
      <c r="F12" s="55"/>
      <c r="G12" s="56"/>
      <c r="H12" s="56"/>
      <c r="I12" s="56"/>
      <c r="J12" s="56"/>
      <c r="K12" s="56"/>
      <c r="L12" s="56"/>
      <c r="M12" s="56"/>
      <c r="N12" s="56"/>
      <c r="O12" s="56"/>
      <c r="P12" s="56"/>
      <c r="Q12" s="56"/>
      <c r="R12" s="56"/>
      <c r="S12" s="44">
        <f t="shared" si="0"/>
        <v>0</v>
      </c>
      <c r="T12" s="46" t="e">
        <f t="shared" si="1"/>
        <v>#DIV/0!</v>
      </c>
    </row>
    <row r="13" spans="1:22" ht="18" customHeight="1" x14ac:dyDescent="0.2">
      <c r="A13" s="40"/>
      <c r="B13" s="43"/>
      <c r="C13" s="55"/>
      <c r="D13" s="57"/>
      <c r="E13" s="54"/>
      <c r="F13" s="55"/>
      <c r="G13" s="56"/>
      <c r="H13" s="56"/>
      <c r="I13" s="56"/>
      <c r="J13" s="56"/>
      <c r="K13" s="56"/>
      <c r="L13" s="56"/>
      <c r="M13" s="56"/>
      <c r="N13" s="56"/>
      <c r="O13" s="56"/>
      <c r="P13" s="56"/>
      <c r="Q13" s="56"/>
      <c r="R13" s="56"/>
      <c r="S13" s="44">
        <f t="shared" si="0"/>
        <v>0</v>
      </c>
      <c r="T13" s="46" t="e">
        <f t="shared" si="1"/>
        <v>#DIV/0!</v>
      </c>
    </row>
    <row r="14" spans="1:22" ht="18" customHeight="1" x14ac:dyDescent="0.2">
      <c r="A14" s="40"/>
      <c r="B14" s="43"/>
      <c r="C14" s="55"/>
      <c r="D14" s="57"/>
      <c r="E14" s="54"/>
      <c r="F14" s="55"/>
      <c r="G14" s="56"/>
      <c r="H14" s="56"/>
      <c r="I14" s="56"/>
      <c r="J14" s="56"/>
      <c r="K14" s="56"/>
      <c r="L14" s="56"/>
      <c r="M14" s="56"/>
      <c r="N14" s="56"/>
      <c r="O14" s="56"/>
      <c r="P14" s="56"/>
      <c r="Q14" s="56"/>
      <c r="R14" s="56"/>
      <c r="S14" s="44">
        <f t="shared" si="0"/>
        <v>0</v>
      </c>
      <c r="T14" s="46" t="e">
        <f t="shared" si="1"/>
        <v>#DIV/0!</v>
      </c>
    </row>
    <row r="15" spans="1:22" ht="18" customHeight="1" x14ac:dyDescent="0.2">
      <c r="A15" s="40"/>
      <c r="B15" s="43"/>
      <c r="C15" s="55"/>
      <c r="D15" s="57"/>
      <c r="E15" s="54"/>
      <c r="F15" s="55"/>
      <c r="G15" s="56"/>
      <c r="H15" s="56"/>
      <c r="I15" s="56"/>
      <c r="J15" s="56"/>
      <c r="K15" s="56"/>
      <c r="L15" s="56"/>
      <c r="M15" s="56"/>
      <c r="N15" s="56"/>
      <c r="O15" s="56"/>
      <c r="P15" s="56"/>
      <c r="Q15" s="56"/>
      <c r="R15" s="56"/>
      <c r="S15" s="44">
        <f t="shared" si="0"/>
        <v>0</v>
      </c>
      <c r="T15" s="46" t="e">
        <f t="shared" si="1"/>
        <v>#DIV/0!</v>
      </c>
    </row>
    <row r="16" spans="1:22" ht="18" customHeight="1" x14ac:dyDescent="0.2">
      <c r="A16" s="40"/>
      <c r="B16" s="43"/>
      <c r="C16" s="55"/>
      <c r="D16" s="57"/>
      <c r="E16" s="54"/>
      <c r="F16" s="55"/>
      <c r="G16" s="56"/>
      <c r="H16" s="56"/>
      <c r="I16" s="56"/>
      <c r="J16" s="56"/>
      <c r="K16" s="56"/>
      <c r="L16" s="56"/>
      <c r="M16" s="56"/>
      <c r="N16" s="56"/>
      <c r="O16" s="56"/>
      <c r="P16" s="56"/>
      <c r="Q16" s="56"/>
      <c r="R16" s="56"/>
      <c r="S16" s="44">
        <f t="shared" si="0"/>
        <v>0</v>
      </c>
      <c r="T16" s="46" t="e">
        <f t="shared" si="1"/>
        <v>#DIV/0!</v>
      </c>
    </row>
    <row r="17" spans="1:20" ht="18" customHeight="1" x14ac:dyDescent="0.2">
      <c r="A17" s="40"/>
      <c r="B17" s="43"/>
      <c r="C17" s="55"/>
      <c r="D17" s="57"/>
      <c r="E17" s="54"/>
      <c r="F17" s="55"/>
      <c r="G17" s="56"/>
      <c r="H17" s="56"/>
      <c r="I17" s="56"/>
      <c r="J17" s="56"/>
      <c r="K17" s="56"/>
      <c r="L17" s="56"/>
      <c r="M17" s="56"/>
      <c r="N17" s="56"/>
      <c r="O17" s="56"/>
      <c r="P17" s="56"/>
      <c r="Q17" s="56"/>
      <c r="R17" s="56"/>
      <c r="S17" s="44">
        <f t="shared" si="0"/>
        <v>0</v>
      </c>
      <c r="T17" s="46" t="e">
        <f t="shared" si="1"/>
        <v>#DIV/0!</v>
      </c>
    </row>
    <row r="18" spans="1:20" ht="18" customHeight="1" x14ac:dyDescent="0.2">
      <c r="A18" s="40"/>
      <c r="B18" s="43"/>
      <c r="C18" s="55"/>
      <c r="D18" s="57"/>
      <c r="E18" s="54"/>
      <c r="F18" s="55"/>
      <c r="G18" s="56"/>
      <c r="H18" s="56"/>
      <c r="I18" s="56"/>
      <c r="J18" s="56"/>
      <c r="K18" s="56"/>
      <c r="L18" s="56"/>
      <c r="M18" s="56"/>
      <c r="N18" s="56"/>
      <c r="O18" s="56"/>
      <c r="P18" s="56"/>
      <c r="Q18" s="56"/>
      <c r="R18" s="56"/>
      <c r="S18" s="44">
        <f t="shared" si="0"/>
        <v>0</v>
      </c>
      <c r="T18" s="46" t="e">
        <f t="shared" si="1"/>
        <v>#DIV/0!</v>
      </c>
    </row>
    <row r="19" spans="1:20" ht="18" customHeight="1" x14ac:dyDescent="0.2">
      <c r="A19" s="40"/>
      <c r="B19" s="43"/>
      <c r="C19" s="55"/>
      <c r="D19" s="57"/>
      <c r="E19" s="54"/>
      <c r="F19" s="55"/>
      <c r="G19" s="56"/>
      <c r="H19" s="56"/>
      <c r="I19" s="56"/>
      <c r="J19" s="56"/>
      <c r="K19" s="56"/>
      <c r="L19" s="56"/>
      <c r="M19" s="56"/>
      <c r="N19" s="56"/>
      <c r="O19" s="56"/>
      <c r="P19" s="56"/>
      <c r="Q19" s="56"/>
      <c r="R19" s="56"/>
      <c r="S19" s="44">
        <f t="shared" si="0"/>
        <v>0</v>
      </c>
      <c r="T19" s="46" t="e">
        <f t="shared" si="1"/>
        <v>#DIV/0!</v>
      </c>
    </row>
    <row r="20" spans="1:20" ht="18" customHeight="1" x14ac:dyDescent="0.2">
      <c r="A20" s="40"/>
      <c r="B20" s="43"/>
      <c r="C20" s="55"/>
      <c r="D20" s="57"/>
      <c r="E20" s="54"/>
      <c r="F20" s="55"/>
      <c r="G20" s="56"/>
      <c r="H20" s="56"/>
      <c r="I20" s="56"/>
      <c r="J20" s="56"/>
      <c r="K20" s="56"/>
      <c r="L20" s="56"/>
      <c r="M20" s="56"/>
      <c r="N20" s="56"/>
      <c r="O20" s="56"/>
      <c r="P20" s="56"/>
      <c r="Q20" s="56"/>
      <c r="R20" s="56"/>
      <c r="S20" s="44">
        <f t="shared" si="0"/>
        <v>0</v>
      </c>
      <c r="T20" s="46" t="e">
        <f t="shared" si="1"/>
        <v>#DIV/0!</v>
      </c>
    </row>
    <row r="21" spans="1:20" ht="18" customHeight="1" x14ac:dyDescent="0.2">
      <c r="A21" s="40"/>
      <c r="B21" s="43"/>
      <c r="C21" s="55"/>
      <c r="D21" s="57"/>
      <c r="E21" s="54"/>
      <c r="F21" s="55"/>
      <c r="G21" s="56"/>
      <c r="H21" s="56"/>
      <c r="I21" s="56"/>
      <c r="J21" s="56"/>
      <c r="K21" s="56"/>
      <c r="L21" s="56"/>
      <c r="M21" s="56"/>
      <c r="N21" s="56"/>
      <c r="O21" s="56"/>
      <c r="P21" s="56"/>
      <c r="Q21" s="56"/>
      <c r="R21" s="56"/>
      <c r="S21" s="44">
        <f t="shared" si="0"/>
        <v>0</v>
      </c>
      <c r="T21" s="46" t="e">
        <f t="shared" si="1"/>
        <v>#DIV/0!</v>
      </c>
    </row>
    <row r="22" spans="1:20" ht="18" customHeight="1" x14ac:dyDescent="0.2">
      <c r="A22" s="40"/>
      <c r="B22" s="43"/>
      <c r="C22" s="55"/>
      <c r="D22" s="57"/>
      <c r="E22" s="54"/>
      <c r="F22" s="55"/>
      <c r="G22" s="56"/>
      <c r="H22" s="56"/>
      <c r="I22" s="56"/>
      <c r="J22" s="56"/>
      <c r="K22" s="56"/>
      <c r="L22" s="56"/>
      <c r="M22" s="56"/>
      <c r="N22" s="56"/>
      <c r="O22" s="56"/>
      <c r="P22" s="56"/>
      <c r="Q22" s="56"/>
      <c r="R22" s="56"/>
      <c r="S22" s="44">
        <f t="shared" si="0"/>
        <v>0</v>
      </c>
      <c r="T22" s="46" t="e">
        <f t="shared" si="1"/>
        <v>#DIV/0!</v>
      </c>
    </row>
    <row r="23" spans="1:20" ht="18" customHeight="1" x14ac:dyDescent="0.2">
      <c r="A23" s="40"/>
      <c r="B23" s="43"/>
      <c r="C23" s="55"/>
      <c r="D23" s="57"/>
      <c r="E23" s="54"/>
      <c r="F23" s="55"/>
      <c r="G23" s="56"/>
      <c r="H23" s="56"/>
      <c r="I23" s="56"/>
      <c r="J23" s="56"/>
      <c r="K23" s="56"/>
      <c r="L23" s="56"/>
      <c r="M23" s="56"/>
      <c r="N23" s="56"/>
      <c r="O23" s="56"/>
      <c r="P23" s="56"/>
      <c r="Q23" s="56"/>
      <c r="R23" s="56"/>
      <c r="S23" s="44">
        <f t="shared" si="0"/>
        <v>0</v>
      </c>
      <c r="T23" s="46" t="e">
        <f t="shared" si="1"/>
        <v>#DIV/0!</v>
      </c>
    </row>
    <row r="24" spans="1:20" ht="18" customHeight="1" x14ac:dyDescent="0.2">
      <c r="A24" s="40"/>
      <c r="B24" s="43"/>
      <c r="C24" s="55"/>
      <c r="D24" s="57"/>
      <c r="E24" s="54"/>
      <c r="F24" s="55"/>
      <c r="G24" s="56"/>
      <c r="H24" s="56"/>
      <c r="I24" s="56"/>
      <c r="J24" s="56"/>
      <c r="K24" s="56"/>
      <c r="L24" s="56"/>
      <c r="M24" s="56"/>
      <c r="N24" s="56"/>
      <c r="O24" s="56"/>
      <c r="P24" s="56"/>
      <c r="Q24" s="56"/>
      <c r="R24" s="56"/>
      <c r="S24" s="44">
        <f t="shared" si="0"/>
        <v>0</v>
      </c>
      <c r="T24" s="46" t="e">
        <f t="shared" si="1"/>
        <v>#DIV/0!</v>
      </c>
    </row>
    <row r="25" spans="1:20" ht="18" customHeight="1" x14ac:dyDescent="0.2">
      <c r="A25" s="40"/>
      <c r="B25" s="43"/>
      <c r="C25" s="55"/>
      <c r="D25" s="57"/>
      <c r="E25" s="54"/>
      <c r="F25" s="55"/>
      <c r="G25" s="56"/>
      <c r="H25" s="56"/>
      <c r="I25" s="56"/>
      <c r="J25" s="56"/>
      <c r="K25" s="56"/>
      <c r="L25" s="56"/>
      <c r="M25" s="56"/>
      <c r="N25" s="56"/>
      <c r="O25" s="56"/>
      <c r="P25" s="56"/>
      <c r="Q25" s="56"/>
      <c r="R25" s="56"/>
      <c r="S25" s="44">
        <f t="shared" si="0"/>
        <v>0</v>
      </c>
      <c r="T25" s="46" t="e">
        <f t="shared" si="1"/>
        <v>#DIV/0!</v>
      </c>
    </row>
    <row r="26" spans="1:20" ht="18" customHeight="1" x14ac:dyDescent="0.2">
      <c r="A26" s="40"/>
      <c r="B26" s="43"/>
      <c r="C26" s="55"/>
      <c r="D26" s="57"/>
      <c r="E26" s="54"/>
      <c r="F26" s="55"/>
      <c r="G26" s="56"/>
      <c r="H26" s="56"/>
      <c r="I26" s="56"/>
      <c r="J26" s="56"/>
      <c r="K26" s="56"/>
      <c r="L26" s="56"/>
      <c r="M26" s="56"/>
      <c r="N26" s="56"/>
      <c r="O26" s="56"/>
      <c r="P26" s="56"/>
      <c r="Q26" s="56"/>
      <c r="R26" s="56"/>
      <c r="S26" s="44">
        <f t="shared" si="0"/>
        <v>0</v>
      </c>
      <c r="T26" s="46" t="e">
        <f t="shared" si="1"/>
        <v>#DIV/0!</v>
      </c>
    </row>
    <row r="27" spans="1:20" ht="18" customHeight="1" x14ac:dyDescent="0.2">
      <c r="A27" s="40"/>
      <c r="B27" s="43"/>
      <c r="C27" s="55"/>
      <c r="D27" s="57"/>
      <c r="E27" s="58"/>
      <c r="F27" s="55"/>
      <c r="G27" s="56"/>
      <c r="H27" s="56"/>
      <c r="I27" s="56"/>
      <c r="J27" s="56"/>
      <c r="K27" s="56"/>
      <c r="L27" s="56"/>
      <c r="M27" s="56"/>
      <c r="N27" s="56"/>
      <c r="O27" s="56"/>
      <c r="P27" s="56"/>
      <c r="Q27" s="56"/>
      <c r="R27" s="56"/>
      <c r="S27" s="44">
        <f t="shared" si="0"/>
        <v>0</v>
      </c>
      <c r="T27" s="46" t="e">
        <f t="shared" si="1"/>
        <v>#DIV/0!</v>
      </c>
    </row>
    <row r="28" spans="1:20" ht="18" customHeight="1" x14ac:dyDescent="0.2">
      <c r="A28" s="40"/>
      <c r="B28" s="43"/>
      <c r="C28" s="55"/>
      <c r="D28" s="57"/>
      <c r="E28" s="58"/>
      <c r="F28" s="55"/>
      <c r="G28" s="56"/>
      <c r="H28" s="56"/>
      <c r="I28" s="56"/>
      <c r="J28" s="56"/>
      <c r="K28" s="56"/>
      <c r="L28" s="56"/>
      <c r="M28" s="56"/>
      <c r="N28" s="56"/>
      <c r="O28" s="56"/>
      <c r="P28" s="56"/>
      <c r="Q28" s="56"/>
      <c r="R28" s="56"/>
      <c r="S28" s="44">
        <f t="shared" si="0"/>
        <v>0</v>
      </c>
      <c r="T28" s="46" t="e">
        <f t="shared" ref="T28:T29" si="2">S28/F28</f>
        <v>#DIV/0!</v>
      </c>
    </row>
    <row r="29" spans="1:20" ht="18" customHeight="1" thickBot="1" x14ac:dyDescent="0.25">
      <c r="A29" s="40"/>
      <c r="B29" s="47"/>
      <c r="C29" s="53"/>
      <c r="D29" s="59"/>
      <c r="E29" s="60"/>
      <c r="F29" s="53"/>
      <c r="G29" s="53"/>
      <c r="H29" s="53"/>
      <c r="I29" s="53"/>
      <c r="J29" s="53"/>
      <c r="K29" s="53"/>
      <c r="L29" s="53"/>
      <c r="M29" s="53"/>
      <c r="N29" s="53"/>
      <c r="O29" s="53"/>
      <c r="P29" s="53"/>
      <c r="Q29" s="53"/>
      <c r="R29" s="53"/>
      <c r="S29" s="3">
        <f t="shared" si="0"/>
        <v>0</v>
      </c>
      <c r="T29" s="46" t="e">
        <f t="shared" si="2"/>
        <v>#DIV/0!</v>
      </c>
    </row>
    <row r="30" spans="1:20" ht="18" customHeight="1" thickTop="1" x14ac:dyDescent="0.2">
      <c r="B30" s="48" t="s">
        <v>33</v>
      </c>
      <c r="C30" s="50">
        <f t="shared" ref="C30" si="3">SUM(C10:C29)</f>
        <v>71</v>
      </c>
      <c r="D30" s="101">
        <f>SUM(D10:D29)</f>
        <v>59</v>
      </c>
      <c r="E30" s="49">
        <f t="shared" ref="E30:G30" si="4">SUM(E10:E29)</f>
        <v>100</v>
      </c>
      <c r="F30" s="50">
        <f t="shared" si="4"/>
        <v>100</v>
      </c>
      <c r="G30" s="50">
        <f t="shared" si="4"/>
        <v>71</v>
      </c>
      <c r="H30" s="50">
        <f t="shared" ref="H30:K30" si="5">SUM(H10:H29)</f>
        <v>63</v>
      </c>
      <c r="I30" s="50">
        <f t="shared" si="5"/>
        <v>0</v>
      </c>
      <c r="J30" s="50">
        <f t="shared" si="5"/>
        <v>0</v>
      </c>
      <c r="K30" s="50">
        <f t="shared" si="5"/>
        <v>0</v>
      </c>
      <c r="L30" s="50">
        <f t="shared" ref="L30:M30" si="6">SUM(L10:L29)</f>
        <v>0</v>
      </c>
      <c r="M30" s="50">
        <f t="shared" si="6"/>
        <v>0</v>
      </c>
      <c r="N30" s="50">
        <f t="shared" ref="N30:S30" si="7">SUM(N10:N29)</f>
        <v>0</v>
      </c>
      <c r="O30" s="50">
        <f t="shared" si="7"/>
        <v>0</v>
      </c>
      <c r="P30" s="50">
        <f t="shared" si="7"/>
        <v>0</v>
      </c>
      <c r="Q30" s="50">
        <f t="shared" si="7"/>
        <v>0</v>
      </c>
      <c r="R30" s="50">
        <f t="shared" si="7"/>
        <v>0</v>
      </c>
      <c r="S30" s="50">
        <f t="shared" si="7"/>
        <v>71</v>
      </c>
      <c r="T30" s="51">
        <f>S30/F30</f>
        <v>0.71</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G10:R29 C10:F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8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tabSelected="1" view="pageBreakPreview" topLeftCell="A22" zoomScaleNormal="100" zoomScaleSheetLayoutView="100" workbookViewId="0">
      <selection activeCell="C26" sqref="C26:E26"/>
    </sheetView>
  </sheetViews>
  <sheetFormatPr defaultColWidth="11.33203125" defaultRowHeight="18.75" customHeight="1" x14ac:dyDescent="0.2"/>
  <cols>
    <col min="1" max="1" width="2.77734375" style="7" customWidth="1"/>
    <col min="2" max="2" width="8" style="8" customWidth="1"/>
    <col min="3" max="3" width="17.109375" style="8" bestFit="1" customWidth="1"/>
    <col min="4" max="4" width="41.6640625" style="8" customWidth="1"/>
    <col min="5" max="5" width="12.109375" style="8" customWidth="1"/>
    <col min="6" max="16384" width="11.33203125" style="8"/>
  </cols>
  <sheetData>
    <row r="1" spans="1:5" ht="18.75" customHeight="1" x14ac:dyDescent="0.2">
      <c r="A1" s="7" t="s">
        <v>58</v>
      </c>
      <c r="E1" s="9" t="s">
        <v>83</v>
      </c>
    </row>
    <row r="2" spans="1:5" ht="10.8" customHeight="1" x14ac:dyDescent="0.2">
      <c r="E2" s="10"/>
    </row>
    <row r="3" spans="1:5" ht="18.600000000000001" customHeight="1" x14ac:dyDescent="0.2">
      <c r="A3" s="161" t="s">
        <v>36</v>
      </c>
      <c r="B3" s="161"/>
      <c r="C3" s="161"/>
      <c r="D3" s="161"/>
      <c r="E3" s="161"/>
    </row>
    <row r="4" spans="1:5" ht="13.2" customHeight="1" x14ac:dyDescent="0.2">
      <c r="B4" s="12"/>
      <c r="C4" s="12"/>
      <c r="D4" s="12"/>
      <c r="E4" s="12"/>
    </row>
    <row r="5" spans="1:5" ht="18" customHeight="1" x14ac:dyDescent="0.2">
      <c r="A5" s="8" t="s">
        <v>0</v>
      </c>
      <c r="B5" s="150" t="s">
        <v>76</v>
      </c>
      <c r="C5" s="150"/>
      <c r="D5" s="150"/>
      <c r="E5" s="150"/>
    </row>
    <row r="6" spans="1:5" ht="18.600000000000001" customHeight="1" x14ac:dyDescent="0.2">
      <c r="B6" s="29" t="s">
        <v>77</v>
      </c>
      <c r="C6" s="110">
        <v>10</v>
      </c>
      <c r="D6" s="10" t="s">
        <v>1</v>
      </c>
      <c r="E6" s="14"/>
    </row>
    <row r="7" spans="1:5" ht="18.600000000000001" customHeight="1" x14ac:dyDescent="0.2">
      <c r="B7" s="29" t="s">
        <v>2</v>
      </c>
      <c r="C7" s="110">
        <v>26</v>
      </c>
      <c r="D7" s="10" t="s">
        <v>1</v>
      </c>
      <c r="E7" s="14"/>
    </row>
    <row r="8" spans="1:5" ht="18.600000000000001" customHeight="1" x14ac:dyDescent="0.2">
      <c r="B8" s="9"/>
      <c r="C8" s="9"/>
      <c r="D8" s="10"/>
      <c r="E8" s="14"/>
    </row>
    <row r="9" spans="1:5" ht="18" customHeight="1" x14ac:dyDescent="0.2">
      <c r="A9" s="8" t="s">
        <v>3</v>
      </c>
      <c r="B9" s="150" t="s">
        <v>122</v>
      </c>
      <c r="C9" s="150"/>
      <c r="D9" s="150"/>
      <c r="E9" s="150"/>
    </row>
    <row r="10" spans="1:5" ht="18" customHeight="1" x14ac:dyDescent="0.2">
      <c r="A10" s="8"/>
      <c r="B10" s="10"/>
      <c r="C10" s="109">
        <v>2</v>
      </c>
      <c r="D10" s="10" t="s">
        <v>1</v>
      </c>
      <c r="E10" s="10"/>
    </row>
    <row r="11" spans="1:5" ht="9" customHeight="1" x14ac:dyDescent="0.2">
      <c r="B11" s="12"/>
      <c r="C11" s="12"/>
      <c r="D11" s="12"/>
      <c r="E11" s="12"/>
    </row>
    <row r="12" spans="1:5" ht="18" customHeight="1" x14ac:dyDescent="0.2">
      <c r="A12" s="8" t="s">
        <v>4</v>
      </c>
      <c r="B12" s="150" t="s">
        <v>78</v>
      </c>
      <c r="C12" s="150"/>
      <c r="D12" s="150"/>
      <c r="E12" s="150"/>
    </row>
    <row r="13" spans="1:5" ht="18" customHeight="1" x14ac:dyDescent="0.2">
      <c r="C13" s="9" t="s">
        <v>41</v>
      </c>
      <c r="D13" s="111" t="s">
        <v>143</v>
      </c>
      <c r="E13" s="10"/>
    </row>
    <row r="14" spans="1:5" ht="18" customHeight="1" x14ac:dyDescent="0.2">
      <c r="C14" s="9" t="s">
        <v>10</v>
      </c>
      <c r="D14" s="111" t="s">
        <v>144</v>
      </c>
      <c r="E14" s="14"/>
    </row>
    <row r="15" spans="1:5" ht="10.199999999999999" customHeight="1" x14ac:dyDescent="0.2">
      <c r="B15" s="9"/>
      <c r="C15" s="10"/>
      <c r="D15" s="14"/>
      <c r="E15" s="14"/>
    </row>
    <row r="16" spans="1:5" ht="18" customHeight="1" x14ac:dyDescent="0.2">
      <c r="A16" s="8" t="s">
        <v>7</v>
      </c>
      <c r="B16" s="150" t="s">
        <v>74</v>
      </c>
      <c r="C16" s="150"/>
      <c r="D16" s="150"/>
      <c r="E16" s="150"/>
    </row>
    <row r="17" spans="1:10" ht="18" customHeight="1" x14ac:dyDescent="0.2">
      <c r="C17" s="9" t="s">
        <v>118</v>
      </c>
      <c r="D17" s="63" t="s">
        <v>139</v>
      </c>
      <c r="E17" s="10"/>
    </row>
    <row r="18" spans="1:10" ht="9" customHeight="1" x14ac:dyDescent="0.2">
      <c r="B18" s="12"/>
      <c r="C18" s="12"/>
      <c r="D18" s="12"/>
      <c r="E18" s="12"/>
    </row>
    <row r="19" spans="1:10" ht="18.75" customHeight="1" x14ac:dyDescent="0.2">
      <c r="A19" s="8" t="s">
        <v>5</v>
      </c>
      <c r="B19" s="149" t="s">
        <v>40</v>
      </c>
      <c r="C19" s="149"/>
      <c r="D19" s="149"/>
      <c r="E19" s="149"/>
    </row>
    <row r="20" spans="1:10" ht="18.75" customHeight="1" x14ac:dyDescent="0.2">
      <c r="A20" s="8"/>
      <c r="C20" s="9" t="s">
        <v>118</v>
      </c>
      <c r="D20" s="63" t="s">
        <v>140</v>
      </c>
      <c r="E20" s="10"/>
    </row>
    <row r="21" spans="1:10" ht="7.5" customHeight="1" x14ac:dyDescent="0.2">
      <c r="B21" s="12"/>
      <c r="C21" s="12"/>
      <c r="D21" s="12"/>
      <c r="E21" s="12"/>
    </row>
    <row r="22" spans="1:10" ht="18.75" customHeight="1" x14ac:dyDescent="0.2">
      <c r="A22" s="8" t="s">
        <v>8</v>
      </c>
      <c r="B22" s="149" t="s">
        <v>25</v>
      </c>
      <c r="C22" s="149"/>
      <c r="D22" s="149"/>
      <c r="E22" s="149"/>
    </row>
    <row r="23" spans="1:10" ht="180" customHeight="1" x14ac:dyDescent="0.2">
      <c r="A23" s="15"/>
      <c r="B23" s="16"/>
      <c r="C23" s="173" t="s">
        <v>141</v>
      </c>
      <c r="D23" s="174"/>
      <c r="E23" s="175"/>
    </row>
    <row r="24" spans="1:10" ht="7.5" customHeight="1" x14ac:dyDescent="0.2">
      <c r="A24" s="15"/>
      <c r="B24" s="15"/>
      <c r="C24" s="15"/>
      <c r="D24" s="15"/>
      <c r="E24" s="15"/>
    </row>
    <row r="25" spans="1:10" ht="18.75" customHeight="1" x14ac:dyDescent="0.2">
      <c r="A25" s="17" t="s">
        <v>6</v>
      </c>
      <c r="B25" s="183" t="s">
        <v>9</v>
      </c>
      <c r="C25" s="184"/>
      <c r="D25" s="184"/>
      <c r="E25" s="184"/>
    </row>
    <row r="26" spans="1:10" ht="180" customHeight="1" x14ac:dyDescent="0.2">
      <c r="A26" s="15"/>
      <c r="B26" s="16"/>
      <c r="C26" s="173" t="s">
        <v>173</v>
      </c>
      <c r="D26" s="174"/>
      <c r="E26" s="175"/>
    </row>
    <row r="27" spans="1:10" ht="7.5" customHeight="1" x14ac:dyDescent="0.2">
      <c r="A27" s="18"/>
      <c r="B27" s="18"/>
      <c r="C27" s="18"/>
      <c r="D27" s="18"/>
      <c r="E27" s="18"/>
    </row>
    <row r="28" spans="1:10" ht="18.75" customHeight="1" x14ac:dyDescent="0.2">
      <c r="A28" s="8" t="s">
        <v>31</v>
      </c>
      <c r="B28" s="149" t="s">
        <v>121</v>
      </c>
      <c r="C28" s="172"/>
      <c r="D28" s="172"/>
      <c r="E28" s="149"/>
    </row>
    <row r="29" spans="1:10" s="12" customFormat="1" ht="18.75" customHeight="1" x14ac:dyDescent="0.2">
      <c r="B29" s="25"/>
      <c r="C29" s="21" t="s">
        <v>123</v>
      </c>
      <c r="D29" s="30">
        <f>IFERROR('様式２ 履修者等数の実績'!T30, "（様式２より自動転記）")</f>
        <v>0.71</v>
      </c>
      <c r="E29" s="26"/>
      <c r="F29" s="8"/>
      <c r="I29" s="8"/>
      <c r="J29" s="20"/>
    </row>
    <row r="30" spans="1:10" s="12" customFormat="1" ht="18.75" customHeight="1" x14ac:dyDescent="0.2">
      <c r="B30" s="25"/>
      <c r="C30" s="21" t="s">
        <v>75</v>
      </c>
      <c r="D30" s="30">
        <v>0.8</v>
      </c>
      <c r="E30" s="26"/>
      <c r="F30" s="8"/>
      <c r="I30" s="8"/>
      <c r="J30" s="20"/>
    </row>
    <row r="31" spans="1:10" s="12" customFormat="1" ht="18.75" customHeight="1" x14ac:dyDescent="0.2">
      <c r="B31" s="25"/>
      <c r="C31" s="21" t="s">
        <v>89</v>
      </c>
      <c r="D31" s="30">
        <v>0.85</v>
      </c>
      <c r="E31" s="26"/>
      <c r="F31" s="8"/>
      <c r="I31" s="8"/>
      <c r="J31" s="20"/>
    </row>
    <row r="32" spans="1:10" s="12" customFormat="1" ht="18.75" customHeight="1" x14ac:dyDescent="0.2">
      <c r="B32" s="22"/>
      <c r="C32" s="19" t="s">
        <v>119</v>
      </c>
      <c r="D32" s="30">
        <v>0.9</v>
      </c>
      <c r="E32" s="27"/>
      <c r="F32" s="8"/>
      <c r="I32" s="8"/>
      <c r="J32" s="20"/>
    </row>
    <row r="33" spans="1:11" s="12" customFormat="1" ht="18.75" customHeight="1" x14ac:dyDescent="0.2">
      <c r="B33" s="22"/>
      <c r="C33" s="19" t="s">
        <v>120</v>
      </c>
      <c r="D33" s="30">
        <v>1</v>
      </c>
      <c r="E33" s="27"/>
      <c r="F33" s="8"/>
      <c r="I33" s="8"/>
      <c r="J33" s="20"/>
    </row>
    <row r="34" spans="1:11" ht="18.75" customHeight="1" x14ac:dyDescent="0.2">
      <c r="A34" s="8"/>
      <c r="B34" s="182" t="s">
        <v>59</v>
      </c>
      <c r="C34" s="182"/>
      <c r="D34" s="182"/>
      <c r="E34" s="182"/>
      <c r="J34" s="20"/>
      <c r="K34" s="12"/>
    </row>
    <row r="35" spans="1:11" ht="180" customHeight="1" x14ac:dyDescent="0.2">
      <c r="A35" s="8"/>
      <c r="B35" s="16"/>
      <c r="C35" s="176" t="s">
        <v>162</v>
      </c>
      <c r="D35" s="177"/>
      <c r="E35" s="178"/>
      <c r="J35" s="20"/>
      <c r="K35" s="12"/>
    </row>
    <row r="36" spans="1:11" ht="7.5" customHeight="1" x14ac:dyDescent="0.2">
      <c r="A36" s="15"/>
      <c r="B36" s="15"/>
      <c r="C36" s="15"/>
      <c r="D36" s="15"/>
      <c r="E36" s="15"/>
    </row>
    <row r="37" spans="1:11" ht="18.75" customHeight="1" x14ac:dyDescent="0.2">
      <c r="A37" s="17" t="s">
        <v>34</v>
      </c>
      <c r="B37" s="149" t="s">
        <v>37</v>
      </c>
      <c r="C37" s="172"/>
      <c r="D37" s="172"/>
      <c r="E37" s="172"/>
    </row>
    <row r="38" spans="1:11" ht="180" customHeight="1" x14ac:dyDescent="0.2">
      <c r="A38" s="18"/>
      <c r="B38" s="16"/>
      <c r="C38" s="176" t="s">
        <v>147</v>
      </c>
      <c r="D38" s="179"/>
      <c r="E38" s="180"/>
    </row>
    <row r="39" spans="1:11" ht="7.5" customHeight="1" x14ac:dyDescent="0.2">
      <c r="A39" s="18"/>
      <c r="B39" s="18"/>
      <c r="C39" s="18"/>
      <c r="D39" s="18"/>
      <c r="E39" s="18"/>
    </row>
    <row r="40" spans="1:11" ht="18.75" customHeight="1" x14ac:dyDescent="0.2">
      <c r="A40" s="8" t="s">
        <v>11</v>
      </c>
      <c r="B40" s="149" t="s">
        <v>39</v>
      </c>
      <c r="C40" s="172"/>
      <c r="D40" s="172"/>
      <c r="E40" s="172"/>
    </row>
    <row r="41" spans="1:11" ht="180" customHeight="1" x14ac:dyDescent="0.2">
      <c r="A41" s="8"/>
      <c r="B41" s="16"/>
      <c r="C41" s="176" t="s">
        <v>148</v>
      </c>
      <c r="D41" s="179"/>
      <c r="E41" s="180"/>
    </row>
    <row r="42" spans="1:11" ht="7.5" customHeight="1" x14ac:dyDescent="0.2">
      <c r="A42" s="18"/>
      <c r="B42" s="18"/>
      <c r="C42" s="18"/>
      <c r="D42" s="18"/>
      <c r="E42" s="18"/>
    </row>
    <row r="43" spans="1:11" ht="18.75" customHeight="1" x14ac:dyDescent="0.2">
      <c r="A43" s="8" t="s">
        <v>42</v>
      </c>
      <c r="B43" s="149" t="s">
        <v>13</v>
      </c>
      <c r="C43" s="172"/>
      <c r="D43" s="172"/>
      <c r="E43" s="172"/>
    </row>
    <row r="44" spans="1:11" ht="180" customHeight="1" x14ac:dyDescent="0.2">
      <c r="A44" s="8"/>
      <c r="B44" s="16"/>
      <c r="C44" s="176" t="s">
        <v>163</v>
      </c>
      <c r="D44" s="177"/>
      <c r="E44" s="178"/>
    </row>
    <row r="45" spans="1:11" ht="7.5" customHeight="1" x14ac:dyDescent="0.2">
      <c r="A45" s="18"/>
      <c r="B45" s="18"/>
      <c r="C45" s="18"/>
      <c r="D45" s="18"/>
      <c r="E45" s="18"/>
    </row>
    <row r="46" spans="1:11" ht="18.75" customHeight="1" x14ac:dyDescent="0.2">
      <c r="A46" s="8" t="s">
        <v>30</v>
      </c>
      <c r="B46" s="149" t="s">
        <v>44</v>
      </c>
      <c r="C46" s="149"/>
      <c r="D46" s="149"/>
      <c r="E46" s="149"/>
    </row>
    <row r="47" spans="1:11" ht="180" customHeight="1" x14ac:dyDescent="0.2">
      <c r="A47" s="18"/>
      <c r="B47" s="16"/>
      <c r="C47" s="176" t="s">
        <v>149</v>
      </c>
      <c r="D47" s="177"/>
      <c r="E47" s="178"/>
    </row>
    <row r="48" spans="1:11" ht="7.5" customHeight="1" x14ac:dyDescent="0.2">
      <c r="A48" s="18"/>
      <c r="B48" s="23"/>
      <c r="C48" s="23"/>
      <c r="D48" s="23"/>
      <c r="E48" s="23"/>
    </row>
    <row r="49" spans="1:5" ht="18.75" customHeight="1" x14ac:dyDescent="0.2">
      <c r="A49" s="8"/>
      <c r="B49" s="181"/>
      <c r="C49" s="181"/>
      <c r="D49" s="181"/>
      <c r="E49" s="181"/>
    </row>
    <row r="50" spans="1:5" ht="18.75" customHeight="1" x14ac:dyDescent="0.2">
      <c r="A50" s="8"/>
      <c r="B50" s="181"/>
      <c r="C50" s="181"/>
      <c r="D50" s="181"/>
      <c r="E50" s="181"/>
    </row>
    <row r="51" spans="1:5" ht="18.75" customHeight="1" x14ac:dyDescent="0.2">
      <c r="A51" s="18"/>
      <c r="B51" s="16"/>
      <c r="C51" s="16"/>
      <c r="D51" s="16"/>
      <c r="E51" s="24"/>
    </row>
    <row r="52" spans="1:5" ht="18.75" customHeight="1" x14ac:dyDescent="0.2">
      <c r="A52" s="18"/>
      <c r="B52" s="24"/>
      <c r="C52" s="24"/>
      <c r="D52" s="24"/>
      <c r="E52" s="24"/>
    </row>
    <row r="53" spans="1:5" ht="18.75" customHeight="1" x14ac:dyDescent="0.2">
      <c r="A53" s="18"/>
      <c r="B53" s="24"/>
      <c r="C53" s="24"/>
      <c r="D53" s="24"/>
      <c r="E53" s="24"/>
    </row>
    <row r="54" spans="1:5" ht="18.75" customHeight="1" x14ac:dyDescent="0.2">
      <c r="A54" s="18"/>
      <c r="B54" s="24"/>
      <c r="C54" s="24"/>
      <c r="D54" s="24"/>
      <c r="E54" s="24"/>
    </row>
    <row r="55" spans="1:5" ht="18.75" customHeight="1" x14ac:dyDescent="0.2">
      <c r="A55" s="18"/>
      <c r="B55" s="24"/>
      <c r="C55" s="24"/>
      <c r="D55" s="24"/>
      <c r="E55" s="24"/>
    </row>
    <row r="56" spans="1:5" ht="18.75" customHeight="1" x14ac:dyDescent="0.2">
      <c r="A56" s="18"/>
      <c r="B56" s="24"/>
      <c r="C56" s="24"/>
      <c r="D56" s="24"/>
      <c r="E56" s="24"/>
    </row>
    <row r="57" spans="1:5" ht="18.75" customHeight="1" x14ac:dyDescent="0.2">
      <c r="A57" s="18"/>
      <c r="B57" s="24"/>
      <c r="C57" s="24"/>
      <c r="D57" s="24"/>
      <c r="E57" s="24"/>
    </row>
    <row r="58" spans="1:5" ht="18.75" customHeight="1" x14ac:dyDescent="0.2">
      <c r="A58" s="18"/>
      <c r="B58" s="24"/>
      <c r="C58" s="24"/>
      <c r="D58" s="24"/>
      <c r="E58" s="24"/>
    </row>
    <row r="59" spans="1:5" ht="18.75" customHeight="1" x14ac:dyDescent="0.2">
      <c r="A59" s="18"/>
      <c r="B59" s="24"/>
      <c r="C59" s="24"/>
      <c r="D59" s="24"/>
      <c r="E59" s="24"/>
    </row>
    <row r="60" spans="1:5" ht="18.75" customHeight="1" x14ac:dyDescent="0.2">
      <c r="A60" s="18"/>
      <c r="B60" s="24"/>
      <c r="C60" s="24"/>
      <c r="D60" s="24"/>
      <c r="E60" s="24"/>
    </row>
    <row r="61" spans="1:5" ht="14.4" x14ac:dyDescent="0.2">
      <c r="A61" s="18"/>
      <c r="B61" s="24"/>
      <c r="C61" s="24"/>
      <c r="D61" s="24"/>
      <c r="E61" s="24"/>
    </row>
    <row r="62" spans="1:5" ht="7.5" customHeight="1" x14ac:dyDescent="0.2">
      <c r="A62" s="18"/>
      <c r="B62" s="24"/>
      <c r="C62" s="24"/>
      <c r="D62" s="24"/>
      <c r="E62" s="24"/>
    </row>
  </sheetData>
  <mergeCells count="22">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 ref="B40:E40"/>
    <mergeCell ref="B43:E43"/>
    <mergeCell ref="C26:E26"/>
    <mergeCell ref="C35:E35"/>
    <mergeCell ref="C38:E38"/>
    <mergeCell ref="C41:E41"/>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view="pageBreakPreview" topLeftCell="A19" zoomScale="90" zoomScaleNormal="100" zoomScaleSheetLayoutView="90" workbookViewId="0">
      <selection activeCell="D20" sqref="D20"/>
    </sheetView>
  </sheetViews>
  <sheetFormatPr defaultColWidth="11.33203125" defaultRowHeight="22.5" customHeight="1" x14ac:dyDescent="0.2"/>
  <cols>
    <col min="1" max="1" width="5.88671875" style="8" customWidth="1"/>
    <col min="2" max="2" width="7.21875" style="8" customWidth="1"/>
    <col min="3" max="3" width="31.109375" style="8" customWidth="1"/>
    <col min="4" max="4" width="77.109375" style="8" customWidth="1"/>
    <col min="5" max="5" width="7.6640625" style="8" bestFit="1" customWidth="1"/>
    <col min="6" max="16384" width="11.33203125" style="8"/>
  </cols>
  <sheetData>
    <row r="1" spans="1:5" ht="18.75" customHeight="1" x14ac:dyDescent="0.2">
      <c r="A1" s="8" t="s">
        <v>60</v>
      </c>
      <c r="E1" s="9" t="s">
        <v>82</v>
      </c>
    </row>
    <row r="2" spans="1:5" ht="18.75" customHeight="1" x14ac:dyDescent="0.2">
      <c r="A2" s="161" t="s">
        <v>28</v>
      </c>
      <c r="B2" s="161"/>
      <c r="C2" s="161"/>
      <c r="D2" s="161"/>
      <c r="E2" s="161"/>
    </row>
    <row r="3" spans="1:5" ht="18.75" customHeight="1" x14ac:dyDescent="0.2">
      <c r="A3" s="11"/>
      <c r="B3" s="11"/>
      <c r="C3" s="11"/>
      <c r="D3" s="11"/>
    </row>
    <row r="4" spans="1:5" ht="18.75" customHeight="1" x14ac:dyDescent="0.2">
      <c r="A4" s="12" t="s">
        <v>0</v>
      </c>
      <c r="B4" s="185" t="s">
        <v>124</v>
      </c>
      <c r="C4" s="185"/>
      <c r="D4" s="103" t="s">
        <v>145</v>
      </c>
    </row>
    <row r="5" spans="1:5" ht="9" customHeight="1" x14ac:dyDescent="0.2">
      <c r="A5" s="11"/>
      <c r="B5" s="10"/>
      <c r="C5" s="10"/>
      <c r="D5" s="10"/>
    </row>
    <row r="6" spans="1:5" ht="18.75" customHeight="1" x14ac:dyDescent="0.2">
      <c r="A6" s="190" t="s">
        <v>41</v>
      </c>
      <c r="B6" s="191"/>
      <c r="C6" s="111" t="s">
        <v>142</v>
      </c>
    </row>
    <row r="7" spans="1:5" ht="18.75" customHeight="1" x14ac:dyDescent="0.2">
      <c r="A7" s="190" t="s">
        <v>10</v>
      </c>
      <c r="B7" s="191"/>
      <c r="C7" s="111" t="s">
        <v>144</v>
      </c>
      <c r="D7" s="10"/>
    </row>
    <row r="8" spans="1:5" ht="7.5" customHeight="1" x14ac:dyDescent="0.2">
      <c r="A8" s="11"/>
      <c r="B8" s="11"/>
      <c r="C8" s="11"/>
      <c r="D8" s="11"/>
    </row>
    <row r="9" spans="1:5" ht="18.75" customHeight="1" x14ac:dyDescent="0.2">
      <c r="A9" s="12" t="s">
        <v>3</v>
      </c>
      <c r="B9" s="8" t="s">
        <v>27</v>
      </c>
      <c r="C9" s="18"/>
      <c r="D9" s="18"/>
    </row>
    <row r="10" spans="1:5" ht="18.75" customHeight="1" x14ac:dyDescent="0.2">
      <c r="B10" s="154" t="s">
        <v>24</v>
      </c>
      <c r="C10" s="189"/>
      <c r="D10" s="31" t="s">
        <v>26</v>
      </c>
    </row>
    <row r="11" spans="1:5" ht="19.2" customHeight="1" x14ac:dyDescent="0.2">
      <c r="B11" s="192" t="s">
        <v>14</v>
      </c>
      <c r="C11" s="193"/>
      <c r="D11" s="194"/>
    </row>
    <row r="12" spans="1:5" ht="198" customHeight="1" x14ac:dyDescent="0.2">
      <c r="B12" s="33"/>
      <c r="C12" s="34" t="s">
        <v>15</v>
      </c>
      <c r="D12" s="112" t="s">
        <v>164</v>
      </c>
    </row>
    <row r="13" spans="1:5" ht="198" customHeight="1" x14ac:dyDescent="0.2">
      <c r="B13" s="33"/>
      <c r="C13" s="35" t="s">
        <v>16</v>
      </c>
      <c r="D13" s="112" t="s">
        <v>165</v>
      </c>
    </row>
    <row r="14" spans="1:5" ht="198" customHeight="1" x14ac:dyDescent="0.2">
      <c r="B14" s="33"/>
      <c r="C14" s="34" t="s">
        <v>17</v>
      </c>
      <c r="D14" s="112" t="s">
        <v>166</v>
      </c>
    </row>
    <row r="15" spans="1:5" ht="198" customHeight="1" x14ac:dyDescent="0.2">
      <c r="B15" s="33"/>
      <c r="C15" s="34" t="s">
        <v>18</v>
      </c>
      <c r="D15" s="112" t="s">
        <v>167</v>
      </c>
    </row>
    <row r="16" spans="1:5" ht="198" customHeight="1" x14ac:dyDescent="0.2">
      <c r="B16" s="36"/>
      <c r="C16" s="37" t="s">
        <v>19</v>
      </c>
      <c r="D16" s="129" t="s">
        <v>168</v>
      </c>
    </row>
    <row r="17" spans="2:4" ht="19.2" customHeight="1" x14ac:dyDescent="0.2">
      <c r="B17" s="32" t="s">
        <v>20</v>
      </c>
      <c r="C17" s="38"/>
      <c r="D17" s="130"/>
    </row>
    <row r="18" spans="2:4" ht="198" customHeight="1" x14ac:dyDescent="0.2">
      <c r="B18" s="33"/>
      <c r="C18" s="34" t="s">
        <v>21</v>
      </c>
      <c r="D18" s="112" t="s">
        <v>169</v>
      </c>
    </row>
    <row r="19" spans="2:4" ht="198" customHeight="1" x14ac:dyDescent="0.2">
      <c r="B19" s="36"/>
      <c r="C19" s="37" t="s">
        <v>22</v>
      </c>
      <c r="D19" s="129" t="s">
        <v>170</v>
      </c>
    </row>
    <row r="20" spans="2:4" ht="198" customHeight="1" x14ac:dyDescent="0.2">
      <c r="B20" s="187" t="s">
        <v>23</v>
      </c>
      <c r="C20" s="188"/>
      <c r="D20" s="131" t="s">
        <v>171</v>
      </c>
    </row>
    <row r="21" spans="2:4" ht="198" customHeight="1" x14ac:dyDescent="0.2">
      <c r="B21" s="186" t="s">
        <v>91</v>
      </c>
      <c r="C21" s="184"/>
      <c r="D21" s="132" t="s">
        <v>172</v>
      </c>
    </row>
    <row r="22" spans="2:4" ht="22.5" customHeight="1" x14ac:dyDescent="0.2">
      <c r="B22" s="18"/>
      <c r="C22" s="18"/>
      <c r="D22" s="18"/>
    </row>
    <row r="23" spans="2:4" ht="22.5" customHeight="1" x14ac:dyDescent="0.2">
      <c r="B23" s="18"/>
      <c r="C23" s="18"/>
      <c r="D23" s="18"/>
    </row>
    <row r="24" spans="2:4" ht="22.5" customHeight="1" x14ac:dyDescent="0.2">
      <c r="B24" s="18"/>
      <c r="C24" s="18"/>
      <c r="D24" s="18"/>
    </row>
    <row r="25" spans="2:4" ht="22.5" customHeight="1" x14ac:dyDescent="0.2">
      <c r="B25" s="18"/>
      <c r="C25" s="18"/>
      <c r="D25" s="18"/>
    </row>
    <row r="26" spans="2:4" ht="22.5" customHeight="1" x14ac:dyDescent="0.2">
      <c r="B26" s="18"/>
      <c r="C26" s="18"/>
      <c r="D26" s="18"/>
    </row>
    <row r="27" spans="2:4" ht="22.5" customHeight="1" x14ac:dyDescent="0.2">
      <c r="B27" s="15"/>
      <c r="C27" s="15"/>
      <c r="D27" s="15"/>
    </row>
    <row r="28" spans="2:4" ht="22.5" customHeight="1" x14ac:dyDescent="0.2">
      <c r="B28" s="15"/>
      <c r="C28" s="15"/>
      <c r="D28" s="15"/>
    </row>
    <row r="29" spans="2:4" ht="22.5" customHeight="1" x14ac:dyDescent="0.2">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8" fitToHeight="0" orientation="portrait" r:id="rId1"/>
  <rowBreaks count="1" manualBreakCount="1">
    <brk id="16"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988AE-AC2A-4820-82CF-F417AC7EDD94}">
  <dimension ref="A1"/>
  <sheetViews>
    <sheetView workbookViewId="0"/>
  </sheetViews>
  <sheetFormatPr defaultRowHeight="13.2" x14ac:dyDescent="0.2"/>
  <sheetData/>
  <phoneticPr fontId="1"/>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構成する授業科目</vt:lpstr>
      <vt:lpstr>様式２ 履修者等数の実績</vt:lpstr>
      <vt:lpstr>様式３ 教育の質・履修者数を向上させる体制・計画</vt:lpstr>
      <vt:lpstr>様式４　自己点検・評価</vt:lpstr>
      <vt:lpstr>Sheet1</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2025-10-09T06:43:13Z</dcterms:created>
  <dcterms:modified xsi:type="dcterms:W3CDTF">2025-12-04T00:00:19Z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