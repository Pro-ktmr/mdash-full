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defaultThemeVersion="124226"/>
  <xr:revisionPtr revIDLastSave="0" documentId="13_ncr:1_{4FF7D7BA-E1AC-4D11-97B2-D15D5285BABE}" xr6:coauthVersionLast="47" xr6:coauthVersionMax="47" xr10:uidLastSave="{00000000-0000-0000-0000-000000000000}"/>
  <bookViews>
    <workbookView xWindow="0" yWindow="60" windowWidth="21135" windowHeight="13110" tabRatio="885" activeTab="3"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構成する授業科目'!$A$1:$Z$70</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 i="40" l="1"/>
  <c r="T10" i="40" s="1"/>
  <c r="S11" i="40"/>
  <c r="S12" i="40"/>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<sst xmlns="http://schemas.openxmlformats.org/spreadsheetml/2006/main" count="213" uniqueCount="174">
  <si>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</si>
  <si>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</si>
  <si>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</si>
  <si>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</si>
  <si>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</si>
  <si>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</si>
  <si>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</si>
  <si>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</si>
  <si>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</si>
  <si>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</si>
  <si>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</si>
  <si>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</si>
  <si>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</si>
  <si>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</si>
  <si>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</si>
  <si>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</si>
  <si>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</si>
  <si>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</si>
  <si>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</si>
  <si>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</si>
  <si>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</si>
  <si>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</si>
  <si>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</si>
  <si>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</si>
  <si>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</si>
  <si>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</si>
  <si>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</si>
  <si>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</si>
  <si>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</si>
  <si>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</si>
  <si>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</si>
  <si>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</si>
  <si>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</si>
  <si>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</si>
  <si>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</si>
  <si>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</si>
  <si>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</si>
  <si>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</si>
  <si>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</si>
  <si>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</si>
  <si>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</si>
  <si>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</si>
  <si>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</si>
  <si>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</si>
  <si>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</si>
  <si>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</si>
  <si>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</si>
  <si>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</si>
  <si>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</si>
  <si>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</si>
  <si>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</si>
  <si>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</si>
  <si>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</si>
  <si>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</si>
  <si>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</si>
  <si>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</si>
  <si>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</si>
  <si>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</si>
  <si>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</si>
  <si>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</si>
  <si>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</si>
  <si>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</si>
  <si>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</si>
  <si>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</si>
  <si>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</si>
  <si>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</si>
  <si>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</si>
  <si>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</si>
  <si>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</si>
  <si>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</si>
  <si>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</si>
  <si>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</si>
  <si>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</si>
  <si>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</si>
  <si>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</si>
  <si>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</si>
  <si>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</si>
  <si>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</si>
  <si>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</si>
  <si>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</si>
  <si>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</si>
  <si>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</si>
  <si>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</si>
  <si>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</si>
  <si>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</si>
  <si>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</si>
  <si>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</si>
  <si>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</si>
  <si>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</si>
  <si>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</si>
  <si>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</si>
  <si>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</si>
  <si>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</si>
  <si>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</si>
  <si>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</si>
  <si>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</si>
  <si>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</si>
  <si>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</si>
  <si>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</si>
  <si>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</si>
  <si>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</si>
  <si>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</si>
  <si>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</si>
  <si>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</si>
  <si>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</si>
  <si>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</si>
  <si>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</si>
  <si>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</si>
  <si>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</si>
  <si>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</si>
  <si>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</si>
  <si>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</si>
  <si>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</si>
  <si>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</si>
  <si>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</si>
  <si>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</si>
  <si>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</si>
  <si>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</si>
  <si>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</si>
  <si>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</si>
  <si>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</si>
  <si>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</si>
  <si>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</si>
  <si>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</si>
  <si>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</si>
  <si>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</si>
  <si>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</si>
  <si>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</si>
  <si>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</si>
  <si>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駿河台大学</t>
  </si>
  <si>
    <t>数理・データサイエンス・AI教育プログラム（リテラシー）</t>
  </si>
  <si>
    <t>学部・学科によって、修了要件は相違しない</t>
  </si>
  <si>
    <t>令和６年度以前又は令和７年度より、履修することが必須のプログラムとして実施</t>
  </si>
  <si>
    <t>令和6年度（2024年度）以降入学者は「データリテラシー演習」を履修し、2単位を修得すること。</t>
  </si>
  <si>
    <t>データリテラシー演習</t>
  </si>
  <si>
    <t>○</t>
  </si>
  <si>
    <t xml:space="preserve">・ビッグデータ、IoT、生成AI、ロボット　「データリテラシー演習」（1回目）
・Society5.0、データ駆動型社会　「データリテラシー演習」（1回目）
</t>
    <phoneticPr fontId="1"/>
  </si>
  <si>
    <t xml:space="preserve">・教育、芸術、流通、製造、金融、サービス、インフラ、公共、ヘルスケア等におけるデータ・AI利活用事例紹介　「データリテラシー演習」（4回目）
</t>
    <phoneticPr fontId="1"/>
  </si>
  <si>
    <t xml:space="preserve">・調査データ、実験データ、ログデータ　「データリテラシー演習」（7回目）
・データのオープン化（オープンデータ）　「データリテラシー演習」（7回目）
</t>
    <phoneticPr fontId="1"/>
  </si>
  <si>
    <t xml:space="preserve">・データ・AIの活用領域の広がり　「データリテラシー演習」（4回目）
・判断支援、活動代替、新規生成など　「データリテラシー演習」（4回目）
・対話、コンテンツ生成、翻訳・要約・執筆支援、コーディングなど生成AIの応用　「データリテラシー演習」（4回目）
</t>
    <phoneticPr fontId="1"/>
  </si>
  <si>
    <t xml:space="preserve">・AI最新技術の活用例（深層生成モデル、強化学習、生成AIなど）　「データリテラシー演習」（3回目）
・AI等を活用した新しいビジネスモデル（シェアリングエコノミー、商品のレコメンデーションなど）「データリテラシー演習」（4回目）
・大規模言語モデル　「データリテラシー演習」（2回目）
</t>
    <phoneticPr fontId="1"/>
  </si>
  <si>
    <t xml:space="preserve">・データ解析：予測、グルーピング、パターン発見、最適化、シミュレーション　「データリテラシー演習」（3回目）
・今のAIに出来ることとできないこと、AIとビッグデータ　「データリテラシー演習」（4回目）
・マルチモーダル（言語、画像、音声など）、生成AIの活用（プロンプトエンジニアリング）　「データリテラシー演習」（2回目）
</t>
    <phoneticPr fontId="1"/>
  </si>
  <si>
    <t xml:space="preserve">・情報セキュリティの3要素（機密性、完全性、可用性）　「データリテラシー演習」（6回目）
・情報漏洩等によるセキュリティ事故の事例紹介　「データリテラシー演習」（6回目）
</t>
    <phoneticPr fontId="1"/>
  </si>
  <si>
    <t xml:space="preserve">・データの分布と代表値　「データリテラシー演習」（9回目）
・代表値の性質の違い　「データリテラシー演習」（9回目）
・データのばらつき、外れ値　「データリテラシー演習」（9回目）
・相関と因果　「データリテラシー演習」（11回目）
・統計情報の正しい理解　「データリテラシー演習」（10回目）
</t>
    <phoneticPr fontId="1"/>
  </si>
  <si>
    <t xml:space="preserve">・データの表現　「データリテラシー演習」（10回目）
・不適切なグラフ表現　「データリテラシー演習」（10回目）
・相手に的確かつ正確に情報を伝える技術や考え方　「データリテラシー演習」（13・14回目）
</t>
    <phoneticPr fontId="1"/>
  </si>
  <si>
    <t xml:space="preserve">・データの取得（機械判読可能なデータの作成・表記方法）　「データリテラシー演習」（8回目）
・データの集計（和、平均） 「データリテラシー演習」（9回目）
・データ解析ツール（スプレッドシート）　「データリテラシー演習」（8～12回目）
</t>
    <phoneticPr fontId="1"/>
  </si>
  <si>
    <t xml:space="preserve">・倫理的・法的・社会的課題（ELSI：Ethical, Legal and Social Issues） 　「データリテラシー演習」（5回目）
・個人情報保護　「データリテラシー演習」（6回目）
・データ倫理：データのねつ造、改ざん、盗用、プライバシー保護　「データリテラシー演習」（6回目）
・AI社会原則（公平性、説明責任、透明性、人間中心の判断）　「データリテラシー演習」（6回目）
・AIサービスの責任論　「データリテラシー演習」（5回目）
・データバイアス　「データリテラシー演習」（5回目）
・生成AIの留意事項（ハルシネーション、偽情報や有害コンテンツの生成・氾濫など）　「データリテラシー演習」（5回目）
・データ・AI活用における負の事例紹介　「データリテラシー演習」（5回目）
</t>
    <phoneticPr fontId="1"/>
  </si>
  <si>
    <t>令和7</t>
  </si>
  <si>
    <t>法学部・法律学科</t>
  </si>
  <si>
    <t>経済経営学部・経済経営学科</t>
  </si>
  <si>
    <t>メディア情報学部・メディア情報学科</t>
  </si>
  <si>
    <t>スポーツ科学部・スポーツ科学科</t>
  </si>
  <si>
    <t>心理学部・心理学科</t>
  </si>
  <si>
    <t>船場ひさお</t>
  </si>
  <si>
    <t>情報処理教育センター長</t>
  </si>
  <si>
    <t>情報処理教育センター運営会議</t>
  </si>
  <si>
    <t>駿河台大学における情報処理基礎教育を一元的な組織の下で、統一的かつ円滑に実施し、学生の情報処理能力を向上させること及び本学の数理・データサイエンス・AI教育を推進するため、本プログラムの自己点検・評価等により改善・進化に向けた取組を行うことを目的とする。</t>
    <phoneticPr fontId="1"/>
  </si>
  <si>
    <t>授業アンケートでは、後輩等他の学生への推奨度に関する質問は設けていないが、「Q7：担当教員の説明の分かりやすさ」や「Q14：授業に対する満足度」の結果はいずれも全学平均を上回っており、本プログラムの授業に対する学生の評価は総じて高い。これらの結果から、後輩学生への推奨度も高いものと推察される。</t>
  </si>
  <si>
    <t>本プログラム科目を履修している学生は在籍中のため社会での活躍状況及び企業等の評価を得られていないが、今後、本プログラム科目を履修した卒業生の状況について企業等に対してアンケート等を通じて評価をいただき、改善・進化に資する予定である。</t>
  </si>
  <si>
    <t>本プログラム科目は専任教員5名が担当し、企業等での勤務経験も含め様々な経歴のある教員により、社会や産業界での求められる知識、能力等を把握し、実社会で役立つ内容の講義を展開している。今後も産業界が求める人材像について意見を求め、プログラムに反映する予定である。</t>
  </si>
  <si>
    <t>授業の導入では、Society5.0時代に求められる力や社会の姿を提示し、数理・データサイエンス・AIの基礎的素養は文理を問わず必要となる力であることを説明している。そのうえで、学部の専門分野や将来の進路と関連付けながら、AI活用事例の調査やディープフェイク、フィルターバブルなど身近な話題を題材に、数理・データサイエンス・AIを自分ごととして捉えられるよう工夫している。AIへの関心の高さを踏まえ、生成AIを実際に操作する体験的実習の時間を設けるとともに、グループワークやディスカッション、プレゼンテーションを積極的に取り入れた参加型授業を展開している。</t>
  </si>
  <si>
    <t xml:space="preserve">1.データ・AIによる社会変化を自分事として捉え、興味関心を持って主体的に知識を習得し活用できる。
2.データ・AIの活用領域の広がりを理解し、その価値を具体的な事例を用いて説明できる。
3.データの収集、読み取り、分析ができ、適切な可視化手法を用いて他者に説明できる。
4.データ・AI利活用に関するリスク・モラルの基礎知識を習得し、これらを適切に利活用できる。
</t>
    <phoneticPr fontId="1"/>
  </si>
  <si>
    <t xml:space="preserve">授業内では学生アシスタント（Student Assistant）を各回に1名配置し、PC操作やデータ分析演習のサポートやグループワークのファシリテートを行っている。授業外では、情報処理教育センター窓口において「データリテラシー演習」の担当教員による学習相談を随時受け付け、課題作成や欠席時のフォローアップなどを個別に支援している。
また、Microsoft365包括ライセンス契約により、Word・Excel・PowerPoint等のソフトウェアを全学生が無償で利用できるほか、メディアセンター内には自由に利用可能な共用パソコンを多数設置している。授業資料や課題は学習管理システムMoodle上で公開し、学生は自宅からもアクセス可能である。
本科目は全学必修科目として開講しており、原則として全ての学生が履修することになるが、他科目との重複を避けるため、一部学部では履修クラスを選択できる体制としている。これにより、学生の時間割や履修計画に配慮しつつ、学修機会の均等化を実現している。
</t>
    <phoneticPr fontId="1"/>
  </si>
  <si>
    <t>⑪にも記載した通り、授業中は担当教員が机間巡視を行い、PC操作や課題内容などに関する質問にその場で対応するとともに、学生アシスタント（Student Assistant）が個々の学生やグループに対して補助的な支援を行っている。授業外では、情報処理教育センター窓口において科目担当教員が事前予約不要で随時相談・質問を受け付けている。相談内容は教員間で共有し、必要に応じて支援の充実や授業設計の改善に反映している。学生からの質問は、メールでも受け付けるほか、学習管理システムMoodle上での課題提出に対して教員が個別フィードバックを行っている。</t>
    <phoneticPr fontId="1"/>
  </si>
  <si>
    <t>数学やデータ分析に苦手意識を持つ学生にも理解しやすい授業を重視している。AIの仕組みやデータ分析の解説では、数式の使用を控え、図解や実例を多用して概念的に理解できるよう工夫している。全学部の１年次必修科目でPCとOfficeソフトの基本操作を学ぶが、操作に不安を持つ学生も多いため、既習内容も丁寧に扱っている。各授業には学生アシスタント（Student Assistant）を配置し、PC操作やワークをきめ細かく支援して理解を補っている。教材や講義スライドはMoodle上で公開し、欠席者を含めた全学生がいつでも確認できる環境を整備している。さらに、AIやデータ技術の進歩や社会的トレンドの変化に対応し、担当教員間で情報共有を行い、教材や実習内容を随時アップデートしている。</t>
    <phoneticPr fontId="1"/>
  </si>
  <si>
    <t>本プログラムの履修・修得状況は、出席管理システムによる出欠状況および学習管理システム（Moodle）のアクセスログや課題提出状況により把握している。これらの情報は教務課職員やゼミ担当教員も参照可能で、欠席者の早期把握や学習支援につなげている。令和7年度（2025年度）春学期の単位修得率は、経済経営学部87.7％、スポーツ科学部91.3％であった。履修率は、クラス指定の必修科目であるため休学者を除く２年生全員が履修している。学期末には、担当教員が成績評価状況や出席状況をまとめた「実施報告書」を作成し、教授会で全学部に共有している。また、約2か月に1回の頻度で担当教員によるFDを実施し、授業運営の状況報告や課題共有を行い、授業改善に活かしている。</t>
    <rPh sb="121" eb="123">
      <t>レイワ</t>
    </rPh>
    <rPh sb="124" eb="125">
      <t>ネン</t>
    </rPh>
    <rPh sb="125" eb="126">
      <t>ド</t>
    </rPh>
    <rPh sb="132" eb="133">
      <t>ド</t>
    </rPh>
    <phoneticPr fontId="1"/>
  </si>
  <si>
    <t>成績評価は、実習やワークの取り組み状況、プレゼンテーション、用語理解を測る期末試験などを総合的に判断し、絶対評価で行っている。令和7年度（2025年度）春学期の成績評価分布は、経済経営学部がA34.6%、B32.4%、C13.5%、D7.0%、F12.2%、スポーツ科学部がA25.8%、B30.1%、C19.3%、D16.1%、F8.6%であり、両学部とも半数を超える学生がAまたはBの良好な成績であった。課題提出や理解度が十分でない学生には、情報処理教育センター窓口で個別支援を行い、学修到達度の向上を図っている。成績評価分布や履修者の状況は、情報処理教育センターFD、数理・データサイエンス・AI教育運営会議を通じて関係教職員と共有し、授業内容や評価方法の改善に活用している。</t>
    <rPh sb="67" eb="68">
      <t>ド</t>
    </rPh>
    <rPh sb="74" eb="75">
      <t>ド</t>
    </rPh>
    <phoneticPr fontId="1"/>
  </si>
  <si>
    <t>本学では、全学的に学期末の授業アンケートを実施しており、本プログラムでは「Q7：担当教員の説明の分かりやすさ」「Q12：知識や技術が身についてきていると感じるか」「Q14：授業に対する満足度」などの設問を通じて学生の理解度を把握している。令和7年度（2025年度）春学期の結果では、授業進度は適切で、教員の説明は概ねわかりやすく、配付資料も授業理解に役立っているとの回答が多く見られた。一方で、知識や技術の習得実感については個人差がみられる。授業アンケートの結果は担当教員によるFDで共有し、シラバスや教材の改善に活用している。加えて、各回で確認問題やリアクションペーパーを実施し、学生の理解度や反応を把握しながら授業運営を行っている。</t>
    <rPh sb="119" eb="121">
      <t>レイワ</t>
    </rPh>
    <rPh sb="122" eb="123">
      <t>ネン</t>
    </rPh>
    <rPh sb="123" eb="124">
      <t>ド</t>
    </rPh>
    <rPh sb="130" eb="131">
      <t>ド</t>
    </rPh>
    <phoneticPr fontId="1"/>
  </si>
  <si>
    <t>令和6年度（2024年度）の全学的なカリキュラム改訂において、本プログラムの「データリテラシー演習」を全学部共通の2年次必修科目として新設した。これにより、令和7年度（2025年度）からは計画どおり全学部で同科目を開講しており、休学者を除く全学生が履修している。開講にあたっては、他科目との重複を避けるために曜日・時限を調整し、一部学部では履修クラスを選択できる体制としたことで、学生の時間割や履修計画に配慮しつつ、学修機会の均等化を実現している。今後も履修状況や授業運営の実績を情報処理教育センター運営会議やFDを通じて検証し、授業規模やクラス編成の最適化を図っていく。</t>
    <rPh sb="4" eb="5">
      <t>ド</t>
    </rPh>
    <rPh sb="11" eb="12">
      <t>ド</t>
    </rPh>
    <rPh sb="82" eb="83">
      <t>ド</t>
    </rPh>
    <rPh sb="89" eb="90">
      <t>ド</t>
    </rPh>
    <phoneticPr fontId="1"/>
  </si>
  <si>
    <t>情報処理教育センター長・メディア情報学部教授　船場ひさお
法学部教授　菊田秀雄
法学部講師　黒木美來
経済経営学部教授　孔炳龍
経済経営学部准教授　太田康友
メディア情報学部准教授　竹内俊彦
メディア情報学部助教　髙田昌裕
スポーツ科学部教授　天野宏司
スポーツ科学部准教授　小丸超
心理学部教授　和智妙子
心理学部准教授　村井千寿子
情報処理教育センター准教授　内田いづみ
情報処理教育センター助教　新井葉子
情報処理教育センター助教　大西未希
情報処理教育センター助教　濱野和人
情報処理教育センター助教　藤野真行
メディアセンター事務部長　谷萩行長
副学長（教務担当）・法学部教授　朴昌明
学務部長　斎藤丈洋</t>
    <rPh sb="109" eb="111">
      <t>マサヒロ</t>
    </rPh>
    <phoneticPr fontId="1"/>
  </si>
  <si>
    <t>情報処理教育センター規程
情報処理教育センター運営会議細則
「数理・データサイエンス・AI教育プログラム」について（申し合わせ）</t>
    <phoneticPr fontId="1"/>
  </si>
  <si>
    <t>令和6年度（2024年度）以降入学者は全ての学部・学科で「データリテラシー演習」を2年次生の必修科目としているため、基本的には年度進行に伴い2年次生以上の全ての学生が卒業までに履修する計画である。</t>
    <rPh sb="42" eb="43">
      <t>ネン</t>
    </rPh>
    <rPh sb="43" eb="44">
      <t>ジ</t>
    </rPh>
    <rPh sb="44" eb="45">
      <t>セイ</t>
    </rPh>
    <rPh sb="71" eb="72">
      <t>ネン</t>
    </rPh>
    <rPh sb="72" eb="73">
      <t>ジ</t>
    </rPh>
    <rPh sb="73" eb="74">
      <t>セイ</t>
    </rPh>
    <rPh sb="74" eb="76">
      <t>イジョウ</t>
    </rPh>
    <rPh sb="77" eb="78">
      <t>スベ</t>
    </rPh>
    <phoneticPr fontId="1"/>
  </si>
  <si>
    <t>令和6年度（2024年度）以降入学者は全ての学部・学科で「データリテラシー演習」を2年次生の必修科目としているので、2年次生以上の学生全員が受講可能となる。また、「データリテラシー演習」を行うパソコン教室には一人1台パソコンを用意しており、全ての学生に適切な学習環境を提供している。</t>
    <rPh sb="42" eb="43">
      <t>ネン</t>
    </rPh>
    <rPh sb="43" eb="44">
      <t>ジ</t>
    </rPh>
    <rPh sb="44" eb="45">
      <t>セイ</t>
    </rPh>
    <rPh sb="59" eb="60">
      <t>ネン</t>
    </rPh>
    <rPh sb="60" eb="61">
      <t>ジ</t>
    </rPh>
    <rPh sb="61" eb="62">
      <t>セイ</t>
    </rPh>
    <rPh sb="62" eb="64">
      <t>イジョウ</t>
    </rPh>
    <phoneticPr fontId="1"/>
  </si>
  <si>
    <t>令和6年度（2024年度）以降入学者は全ての学部・学科で「データリテラシー演習」を2年次生の必修科目としているので、2年次生以上の学生全員が履修できる。入学後の新入生ガイダンス及び年度初めに実施する学年別ガイダンス等で説明するとともに、シラバス及び履修ガイド等でプログラム科目の意義、身に付く能力を周知している。</t>
    <rPh sb="42" eb="43">
      <t>ネン</t>
    </rPh>
    <rPh sb="43" eb="44">
      <t>ジ</t>
    </rPh>
    <rPh sb="44" eb="45">
      <t>セイ</t>
    </rPh>
    <rPh sb="59" eb="60">
      <t>ネン</t>
    </rPh>
    <rPh sb="60" eb="61">
      <t>ジ</t>
    </rPh>
    <rPh sb="61" eb="62">
      <t>セイ</t>
    </rPh>
    <rPh sb="62" eb="64">
      <t>イジョウ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</si>
</sst>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_);[Red]\(#,##0\)"/>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82">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49" fontId="2" fillId="2" borderId="15" xfId="0" applyNumberFormat="1"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49" fontId="2" fillId="2" borderId="32" xfId="0" applyNumberFormat="1" applyFont="1" applyFill="1" applyBorder="1" applyAlignment="1">
      <alignment horizontal="left" vertical="top" wrapText="1"/>
    </xf>
    <xf numFmtId="49" fontId="2" fillId="2" borderId="14" xfId="0" applyNumberFormat="1" applyFont="1" applyFill="1" applyBorder="1" applyAlignment="1">
      <alignment horizontal="left" vertical="top" wrapText="1"/>
    </xf>
    <xf numFmtId="49" fontId="2" fillId="2" borderId="13" xfId="0" applyNumberFormat="1" applyFont="1" applyFill="1" applyBorder="1" applyAlignment="1">
      <alignment horizontal="left" vertical="top" wrapText="1"/>
    </xf>
    <xf numFmtId="49" fontId="2" fillId="2" borderId="20" xfId="0" applyNumberFormat="1" applyFont="1" applyFill="1" applyBorder="1" applyAlignment="1">
      <alignment horizontal="left" vertical="top" wrapText="1"/>
    </xf>
    <xf numFmtId="0" fontId="2" fillId="2" borderId="0" xfId="0" applyFont="1" applyFill="1" applyAlignment="1">
      <alignment horizontal="left" vertical="top"/>
    </xf>
    <xf numFmtId="178" fontId="2" fillId="2" borderId="1" xfId="0" applyNumberFormat="1" applyFont="1" applyFill="1" applyBorder="1" applyAlignment="1">
      <alignment horizontal="right" vertical="center"/>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6" xfId="0" applyFont="1" applyFill="1" applyBorder="1">
      <alignment vertical="center"/>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view="pageBreakPreview" topLeftCell="C65" zoomScaleNormal="100" zoomScaleSheetLayoutView="100" workbookViewId="0">
      <selection activeCell="D65" sqref="D65"/>
    </sheetView>
  </sheetViews>
  <sheetFormatPr defaultColWidth="9" defaultRowHeight="18.75" customHeight="1" x14ac:dyDescent="0.15"/>
  <cols>
    <col min="1" max="1" width="2.5" style="8" customWidth="1"/>
    <col min="2" max="2" width="28.25" style="8" customWidth="1"/>
    <col min="3" max="3" width="6.25" style="8" customWidth="1"/>
    <col min="4" max="4" width="80.625" style="8" customWidth="1"/>
    <col min="5" max="5" width="6.5" style="8" bestFit="1" customWidth="1"/>
    <col min="6" max="26" width="5.625" style="8" customWidth="1"/>
    <col min="27" max="27" width="9" style="8" customWidth="1"/>
    <col min="28" max="16384" width="9" style="8"/>
  </cols>
  <sheetData>
    <row r="1" spans="1:28" ht="18.75" customHeight="1" x14ac:dyDescent="0.15">
      <c r="A1" s="140" t="s">
        <v>109</v>
      </c>
      <c r="B1" s="140"/>
      <c r="C1" s="140"/>
      <c r="D1" s="140"/>
      <c r="E1" s="140"/>
      <c r="F1" s="140"/>
      <c r="G1" s="140"/>
      <c r="H1" s="140"/>
      <c r="I1" s="140"/>
      <c r="J1" s="140"/>
      <c r="K1" s="140"/>
      <c r="L1" s="140"/>
      <c r="M1" s="140"/>
      <c r="N1" s="140"/>
      <c r="O1" s="140"/>
      <c r="P1" s="140"/>
      <c r="Q1" s="140"/>
      <c r="R1" s="140"/>
      <c r="S1" s="140"/>
      <c r="T1" s="140"/>
      <c r="U1" s="140"/>
      <c r="V1" s="140"/>
      <c r="W1" s="140"/>
      <c r="X1" s="140"/>
      <c r="Y1" s="140"/>
      <c r="Z1" s="140"/>
    </row>
    <row r="3" spans="1:28" ht="18.600000000000001" customHeight="1" x14ac:dyDescent="0.15">
      <c r="Y3" s="140" t="s">
        <v>12</v>
      </c>
      <c r="Z3" s="140"/>
      <c r="AA3" s="9"/>
      <c r="AB3" s="13"/>
    </row>
    <row r="4" spans="1:28" ht="18.75" customHeight="1" x14ac:dyDescent="0.15">
      <c r="B4" s="145" t="s">
        <v>85</v>
      </c>
      <c r="C4" s="146"/>
      <c r="D4" s="69" t="s">
        <v>129</v>
      </c>
      <c r="P4" s="9"/>
      <c r="Q4" s="41"/>
      <c r="R4" s="41"/>
      <c r="S4" s="41"/>
      <c r="T4" s="41"/>
      <c r="U4" s="41"/>
      <c r="V4" s="41"/>
      <c r="W4" s="41"/>
      <c r="X4" s="41"/>
      <c r="Y4" s="41"/>
      <c r="Z4" s="41"/>
    </row>
    <row r="5" spans="1:28" ht="18.75" customHeight="1" x14ac:dyDescent="0.15">
      <c r="B5" s="145" t="s">
        <v>81</v>
      </c>
      <c r="C5" s="146"/>
      <c r="D5" s="69" t="s">
        <v>130</v>
      </c>
      <c r="P5" s="9"/>
      <c r="Q5" s="41"/>
      <c r="R5" s="41"/>
      <c r="S5" s="41"/>
      <c r="T5" s="41"/>
      <c r="U5" s="41"/>
      <c r="V5" s="41"/>
      <c r="W5" s="41"/>
      <c r="X5" s="41"/>
      <c r="Y5" s="41"/>
      <c r="Z5" s="41"/>
    </row>
    <row r="6" spans="1:28" ht="15" customHeight="1" x14ac:dyDescent="0.15">
      <c r="Q6" s="9"/>
      <c r="R6" s="28"/>
      <c r="S6" s="28"/>
      <c r="T6" s="28"/>
      <c r="U6" s="28"/>
      <c r="V6" s="28"/>
      <c r="W6" s="28"/>
      <c r="X6" s="28"/>
      <c r="Y6" s="28"/>
      <c r="Z6" s="28"/>
    </row>
    <row r="7" spans="1:28" ht="18" customHeight="1" x14ac:dyDescent="0.15">
      <c r="A7" s="144" t="s">
        <v>93</v>
      </c>
      <c r="B7" s="144"/>
      <c r="C7" s="144"/>
      <c r="D7" s="144"/>
      <c r="E7" s="144"/>
      <c r="F7" s="144"/>
      <c r="G7" s="144"/>
      <c r="H7" s="144"/>
      <c r="I7" s="144"/>
      <c r="J7" s="144"/>
      <c r="K7" s="144"/>
      <c r="L7" s="144"/>
      <c r="M7" s="144"/>
      <c r="N7" s="144"/>
      <c r="O7" s="144"/>
      <c r="P7" s="144"/>
      <c r="Q7" s="144"/>
      <c r="R7" s="144"/>
      <c r="S7" s="144"/>
      <c r="T7" s="144"/>
      <c r="U7" s="144"/>
      <c r="V7" s="144"/>
      <c r="W7" s="144"/>
      <c r="X7" s="144"/>
      <c r="Y7" s="144"/>
      <c r="Z7" s="144"/>
    </row>
    <row r="8" spans="1:28" ht="18"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15">
      <c r="A9" s="141" t="s">
        <v>95</v>
      </c>
      <c r="B9" s="141"/>
      <c r="D9" s="6" t="s">
        <v>131</v>
      </c>
    </row>
    <row r="10" spans="1:28" ht="20.25" customHeight="1" x14ac:dyDescent="0.15">
      <c r="B10" s="12"/>
      <c r="C10" s="12"/>
      <c r="D10" s="12"/>
      <c r="Q10" s="12"/>
      <c r="R10" s="12"/>
      <c r="S10" s="12"/>
      <c r="T10" s="12"/>
      <c r="U10" s="12"/>
      <c r="V10" s="12"/>
      <c r="W10" s="12"/>
      <c r="X10" s="12"/>
      <c r="Y10" s="12"/>
      <c r="Z10" s="12"/>
    </row>
    <row r="11" spans="1:28" ht="20.25" customHeight="1" x14ac:dyDescent="0.15">
      <c r="A11" s="141" t="s">
        <v>90</v>
      </c>
      <c r="B11" s="141"/>
      <c r="D11" s="68"/>
    </row>
    <row r="12" spans="1:28" ht="20.25" customHeight="1" x14ac:dyDescent="0.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15">
      <c r="A13" s="142" t="s">
        <v>96</v>
      </c>
      <c r="B13" s="142"/>
      <c r="C13" s="12"/>
      <c r="D13" s="69" t="s">
        <v>132</v>
      </c>
      <c r="E13" s="41"/>
      <c r="F13" s="41"/>
      <c r="G13" s="41"/>
      <c r="H13" s="41"/>
      <c r="I13" s="41"/>
      <c r="J13" s="41"/>
      <c r="K13" s="41"/>
      <c r="L13" s="41"/>
      <c r="M13" s="41"/>
      <c r="N13" s="41"/>
      <c r="O13" s="41"/>
      <c r="P13" s="41"/>
      <c r="Q13" s="70"/>
      <c r="R13" s="70"/>
      <c r="S13" s="70"/>
      <c r="T13" s="70"/>
      <c r="U13" s="70"/>
      <c r="V13" s="70"/>
      <c r="W13" s="70"/>
      <c r="X13" s="70"/>
      <c r="Y13" s="70"/>
      <c r="Z13" s="70"/>
    </row>
    <row r="14" spans="1:28" ht="20.25" customHeight="1"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27.5" customHeight="1" x14ac:dyDescent="0.15">
      <c r="A15" s="143" t="s">
        <v>97</v>
      </c>
      <c r="B15" s="143"/>
      <c r="C15" s="12"/>
      <c r="D15" s="71" t="s">
        <v>133</v>
      </c>
      <c r="E15" s="16"/>
      <c r="F15" s="16"/>
      <c r="G15" s="16"/>
      <c r="H15" s="16"/>
      <c r="I15" s="16"/>
      <c r="J15" s="16"/>
      <c r="K15" s="16"/>
      <c r="L15" s="16"/>
      <c r="M15" s="16"/>
      <c r="N15" s="16"/>
      <c r="O15" s="16"/>
      <c r="P15" s="16"/>
      <c r="Q15" s="16"/>
      <c r="R15" s="16"/>
      <c r="S15" s="16"/>
      <c r="T15" s="16"/>
      <c r="U15" s="16"/>
      <c r="V15" s="16"/>
      <c r="W15" s="16"/>
      <c r="X15" s="16"/>
      <c r="Y15" s="16"/>
      <c r="Z15" s="16"/>
    </row>
    <row r="16" spans="1:28" ht="13.15" customHeight="1" x14ac:dyDescent="0.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15">
      <c r="A17" s="8" t="s">
        <v>113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5" customHeight="1" x14ac:dyDescent="0.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15">
      <c r="B19" s="9" t="s">
        <v>114</v>
      </c>
      <c r="C19" s="112">
        <v>1</v>
      </c>
      <c r="D19" s="10" t="s">
        <v>87</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15">
      <c r="B20" s="12"/>
      <c r="C20" s="112">
        <v>2</v>
      </c>
      <c r="D20" s="10" t="s">
        <v>88</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
      <c r="F21" s="147" t="s">
        <v>117</v>
      </c>
      <c r="G21" s="148"/>
      <c r="H21" s="148"/>
      <c r="I21" s="148"/>
      <c r="J21" s="148"/>
      <c r="K21" s="148"/>
      <c r="L21" s="148"/>
      <c r="M21" s="148"/>
      <c r="N21" s="148"/>
      <c r="O21" s="148"/>
      <c r="P21" s="148"/>
      <c r="Q21" s="148"/>
      <c r="R21" s="148"/>
      <c r="S21" s="148"/>
      <c r="T21" s="148"/>
      <c r="U21" s="148"/>
      <c r="V21" s="148"/>
      <c r="W21" s="148"/>
      <c r="X21" s="148"/>
      <c r="Y21" s="148"/>
      <c r="Z21" s="149"/>
    </row>
    <row r="22" spans="1:26" ht="18" customHeight="1" x14ac:dyDescent="0.15">
      <c r="B22" s="17"/>
      <c r="C22" s="17"/>
      <c r="D22" s="5" t="s">
        <v>48</v>
      </c>
      <c r="E22" s="72" t="s">
        <v>70</v>
      </c>
      <c r="F22" s="73" t="s">
        <v>50</v>
      </c>
      <c r="G22" s="74" t="s">
        <v>61</v>
      </c>
      <c r="H22" s="74" t="s">
        <v>62</v>
      </c>
      <c r="I22" s="74" t="s">
        <v>63</v>
      </c>
      <c r="J22" s="74" t="s">
        <v>64</v>
      </c>
      <c r="K22" s="74" t="s">
        <v>53</v>
      </c>
      <c r="L22" s="74" t="s">
        <v>80</v>
      </c>
      <c r="M22" s="74" t="s">
        <v>65</v>
      </c>
      <c r="N22" s="74" t="s">
        <v>66</v>
      </c>
      <c r="O22" s="74" t="s">
        <v>52</v>
      </c>
      <c r="P22" s="75" t="s">
        <v>54</v>
      </c>
      <c r="Q22" s="76" t="s">
        <v>98</v>
      </c>
      <c r="R22" s="77" t="s">
        <v>99</v>
      </c>
      <c r="S22" s="77" t="s">
        <v>100</v>
      </c>
      <c r="T22" s="77" t="s">
        <v>101</v>
      </c>
      <c r="U22" s="77" t="s">
        <v>102</v>
      </c>
      <c r="V22" s="77" t="s">
        <v>103</v>
      </c>
      <c r="W22" s="77" t="s">
        <v>104</v>
      </c>
      <c r="X22" s="77" t="s">
        <v>105</v>
      </c>
      <c r="Y22" s="77" t="s">
        <v>106</v>
      </c>
      <c r="Z22" s="78" t="s">
        <v>107</v>
      </c>
    </row>
    <row r="23" spans="1:26" ht="18" customHeight="1" x14ac:dyDescent="0.15">
      <c r="B23" s="125" t="s">
        <v>125</v>
      </c>
      <c r="C23" s="126"/>
      <c r="D23" s="79" t="s">
        <v>134</v>
      </c>
      <c r="E23" s="114">
        <v>2</v>
      </c>
      <c r="F23" s="80" t="s">
        <v>135</v>
      </c>
      <c r="G23" s="81" t="s">
        <v>135</v>
      </c>
      <c r="H23" s="81" t="s">
        <v>135</v>
      </c>
      <c r="I23" s="81" t="s">
        <v>135</v>
      </c>
      <c r="J23" s="81" t="s">
        <v>135</v>
      </c>
      <c r="K23" s="81" t="s">
        <v>135</v>
      </c>
      <c r="L23" s="81" t="s">
        <v>135</v>
      </c>
      <c r="M23" s="81" t="s">
        <v>135</v>
      </c>
      <c r="N23" s="81" t="s">
        <v>135</v>
      </c>
      <c r="O23" s="81" t="s">
        <v>135</v>
      </c>
      <c r="P23" s="82" t="s">
        <v>135</v>
      </c>
      <c r="Q23" s="83"/>
      <c r="R23" s="81"/>
      <c r="S23" s="81"/>
      <c r="T23" s="81"/>
      <c r="U23" s="81"/>
      <c r="V23" s="81"/>
      <c r="W23" s="81"/>
      <c r="X23" s="81"/>
      <c r="Y23" s="81"/>
      <c r="Z23" s="81"/>
    </row>
    <row r="24" spans="1:26" ht="18" customHeight="1" x14ac:dyDescent="0.15">
      <c r="B24" s="127"/>
      <c r="C24" s="128"/>
      <c r="D24" s="84"/>
      <c r="E24" s="115"/>
      <c r="F24" s="85"/>
      <c r="G24" s="86"/>
      <c r="H24" s="86"/>
      <c r="I24" s="86"/>
      <c r="J24" s="86"/>
      <c r="K24" s="86"/>
      <c r="L24" s="86"/>
      <c r="M24" s="86"/>
      <c r="N24" s="86"/>
      <c r="O24" s="86"/>
      <c r="P24" s="87"/>
      <c r="Q24" s="88"/>
      <c r="R24" s="86"/>
      <c r="S24" s="86"/>
      <c r="T24" s="86"/>
      <c r="U24" s="86"/>
      <c r="V24" s="86"/>
      <c r="W24" s="86"/>
      <c r="X24" s="86"/>
      <c r="Y24" s="86"/>
      <c r="Z24" s="86"/>
    </row>
    <row r="25" spans="1:26" ht="18" customHeight="1" x14ac:dyDescent="0.15">
      <c r="B25" s="127"/>
      <c r="C25" s="128"/>
      <c r="D25" s="84"/>
      <c r="E25" s="115"/>
      <c r="F25" s="85"/>
      <c r="G25" s="86"/>
      <c r="H25" s="86"/>
      <c r="I25" s="86"/>
      <c r="J25" s="86"/>
      <c r="K25" s="86"/>
      <c r="L25" s="86"/>
      <c r="M25" s="86"/>
      <c r="N25" s="86"/>
      <c r="O25" s="86"/>
      <c r="P25" s="87"/>
      <c r="Q25" s="88"/>
      <c r="R25" s="86"/>
      <c r="S25" s="86"/>
      <c r="T25" s="86"/>
      <c r="U25" s="86"/>
      <c r="V25" s="86"/>
      <c r="W25" s="86"/>
      <c r="X25" s="86"/>
      <c r="Y25" s="86"/>
      <c r="Z25" s="86"/>
    </row>
    <row r="26" spans="1:26" ht="18" customHeight="1" x14ac:dyDescent="0.15">
      <c r="B26" s="127"/>
      <c r="C26" s="128"/>
      <c r="D26" s="84"/>
      <c r="E26" s="115"/>
      <c r="F26" s="85"/>
      <c r="G26" s="86"/>
      <c r="H26" s="86"/>
      <c r="I26" s="86"/>
      <c r="J26" s="86"/>
      <c r="K26" s="86"/>
      <c r="L26" s="86"/>
      <c r="M26" s="86"/>
      <c r="N26" s="86"/>
      <c r="O26" s="86"/>
      <c r="P26" s="87"/>
      <c r="Q26" s="88"/>
      <c r="R26" s="86"/>
      <c r="S26" s="86"/>
      <c r="T26" s="86"/>
      <c r="U26" s="86"/>
      <c r="V26" s="86"/>
      <c r="W26" s="86"/>
      <c r="X26" s="86"/>
      <c r="Y26" s="86"/>
      <c r="Z26" s="86"/>
    </row>
    <row r="27" spans="1:26" ht="18" customHeight="1" x14ac:dyDescent="0.15">
      <c r="B27" s="127"/>
      <c r="C27" s="128"/>
      <c r="D27" s="84"/>
      <c r="E27" s="115"/>
      <c r="F27" s="85"/>
      <c r="G27" s="86"/>
      <c r="H27" s="86"/>
      <c r="I27" s="86"/>
      <c r="J27" s="86"/>
      <c r="K27" s="86"/>
      <c r="L27" s="86"/>
      <c r="M27" s="86"/>
      <c r="N27" s="86"/>
      <c r="O27" s="86"/>
      <c r="P27" s="87"/>
      <c r="Q27" s="88"/>
      <c r="R27" s="86"/>
      <c r="S27" s="86"/>
      <c r="T27" s="86"/>
      <c r="U27" s="86"/>
      <c r="V27" s="86"/>
      <c r="W27" s="86"/>
      <c r="X27" s="86"/>
      <c r="Y27" s="86"/>
      <c r="Z27" s="86"/>
    </row>
    <row r="28" spans="1:26" ht="18" customHeight="1" x14ac:dyDescent="0.15">
      <c r="B28" s="127"/>
      <c r="C28" s="128"/>
      <c r="D28" s="84"/>
      <c r="E28" s="115"/>
      <c r="F28" s="85"/>
      <c r="G28" s="86"/>
      <c r="H28" s="86"/>
      <c r="I28" s="86"/>
      <c r="J28" s="86"/>
      <c r="K28" s="86"/>
      <c r="L28" s="86"/>
      <c r="M28" s="86"/>
      <c r="N28" s="86"/>
      <c r="O28" s="86"/>
      <c r="P28" s="87"/>
      <c r="Q28" s="88"/>
      <c r="R28" s="86"/>
      <c r="S28" s="86"/>
      <c r="T28" s="86"/>
      <c r="U28" s="86"/>
      <c r="V28" s="86"/>
      <c r="W28" s="86"/>
      <c r="X28" s="86"/>
      <c r="Y28" s="86"/>
      <c r="Z28" s="86"/>
    </row>
    <row r="29" spans="1:26" ht="18" customHeight="1" x14ac:dyDescent="0.15">
      <c r="B29" s="127"/>
      <c r="C29" s="128"/>
      <c r="D29" s="84"/>
      <c r="E29" s="115"/>
      <c r="F29" s="85"/>
      <c r="G29" s="86"/>
      <c r="H29" s="86"/>
      <c r="I29" s="86"/>
      <c r="J29" s="86"/>
      <c r="K29" s="86"/>
      <c r="L29" s="86"/>
      <c r="M29" s="86"/>
      <c r="N29" s="86"/>
      <c r="O29" s="86"/>
      <c r="P29" s="87"/>
      <c r="Q29" s="88"/>
      <c r="R29" s="86"/>
      <c r="S29" s="86"/>
      <c r="T29" s="86"/>
      <c r="U29" s="86"/>
      <c r="V29" s="86"/>
      <c r="W29" s="86"/>
      <c r="X29" s="86"/>
      <c r="Y29" s="86"/>
      <c r="Z29" s="86"/>
    </row>
    <row r="30" spans="1:26" ht="18" customHeight="1" x14ac:dyDescent="0.15">
      <c r="B30" s="127"/>
      <c r="C30" s="128"/>
      <c r="D30" s="84"/>
      <c r="E30" s="115"/>
      <c r="F30" s="85"/>
      <c r="G30" s="86"/>
      <c r="H30" s="86"/>
      <c r="I30" s="86"/>
      <c r="J30" s="86"/>
      <c r="K30" s="86"/>
      <c r="L30" s="86"/>
      <c r="M30" s="86"/>
      <c r="N30" s="86"/>
      <c r="O30" s="86"/>
      <c r="P30" s="87"/>
      <c r="Q30" s="88"/>
      <c r="R30" s="86"/>
      <c r="S30" s="86"/>
      <c r="T30" s="86"/>
      <c r="U30" s="86"/>
      <c r="V30" s="86"/>
      <c r="W30" s="86"/>
      <c r="X30" s="86"/>
      <c r="Y30" s="86"/>
      <c r="Z30" s="86"/>
    </row>
    <row r="31" spans="1:26" ht="18" customHeight="1" x14ac:dyDescent="0.15">
      <c r="B31" s="127"/>
      <c r="C31" s="128"/>
      <c r="D31" s="84"/>
      <c r="E31" s="115"/>
      <c r="F31" s="85"/>
      <c r="G31" s="86"/>
      <c r="H31" s="86"/>
      <c r="I31" s="86"/>
      <c r="J31" s="86"/>
      <c r="K31" s="86"/>
      <c r="L31" s="86"/>
      <c r="M31" s="86"/>
      <c r="N31" s="86"/>
      <c r="O31" s="86"/>
      <c r="P31" s="87"/>
      <c r="Q31" s="88"/>
      <c r="R31" s="86"/>
      <c r="S31" s="86"/>
      <c r="T31" s="86"/>
      <c r="U31" s="86"/>
      <c r="V31" s="86"/>
      <c r="W31" s="86"/>
      <c r="X31" s="86"/>
      <c r="Y31" s="86"/>
      <c r="Z31" s="86"/>
    </row>
    <row r="32" spans="1:26" ht="18" customHeight="1" x14ac:dyDescent="0.15">
      <c r="B32" s="127"/>
      <c r="C32" s="128"/>
      <c r="D32" s="89"/>
      <c r="E32" s="116"/>
      <c r="F32" s="90"/>
      <c r="G32" s="91"/>
      <c r="H32" s="91"/>
      <c r="I32" s="91"/>
      <c r="J32" s="91"/>
      <c r="K32" s="91"/>
      <c r="L32" s="91"/>
      <c r="M32" s="91"/>
      <c r="N32" s="91"/>
      <c r="O32" s="91"/>
      <c r="P32" s="92"/>
      <c r="Q32" s="93"/>
      <c r="R32" s="91"/>
      <c r="S32" s="91"/>
      <c r="T32" s="91"/>
      <c r="U32" s="91"/>
      <c r="V32" s="91"/>
      <c r="W32" s="91"/>
      <c r="X32" s="91"/>
      <c r="Y32" s="91"/>
      <c r="Z32" s="91"/>
    </row>
    <row r="33" spans="2:26" ht="18" customHeight="1" x14ac:dyDescent="0.15">
      <c r="B33" s="125" t="s">
        <v>126</v>
      </c>
      <c r="C33" s="126"/>
      <c r="D33" s="94"/>
      <c r="E33" s="117"/>
      <c r="F33" s="95"/>
      <c r="G33" s="96"/>
      <c r="H33" s="96"/>
      <c r="I33" s="96"/>
      <c r="J33" s="96"/>
      <c r="K33" s="96"/>
      <c r="L33" s="96"/>
      <c r="M33" s="96"/>
      <c r="N33" s="96"/>
      <c r="O33" s="96"/>
      <c r="P33" s="97"/>
      <c r="Q33" s="98"/>
      <c r="R33" s="96"/>
      <c r="S33" s="96"/>
      <c r="T33" s="96"/>
      <c r="U33" s="96"/>
      <c r="V33" s="96"/>
      <c r="W33" s="96"/>
      <c r="X33" s="96"/>
      <c r="Y33" s="96"/>
      <c r="Z33" s="96"/>
    </row>
    <row r="34" spans="2:26" ht="18" customHeight="1" x14ac:dyDescent="0.15">
      <c r="B34" s="127"/>
      <c r="C34" s="128"/>
      <c r="D34" s="84"/>
      <c r="E34" s="115"/>
      <c r="F34" s="85"/>
      <c r="G34" s="86"/>
      <c r="H34" s="86"/>
      <c r="I34" s="86"/>
      <c r="J34" s="86"/>
      <c r="K34" s="86"/>
      <c r="L34" s="86"/>
      <c r="M34" s="86"/>
      <c r="N34" s="86"/>
      <c r="O34" s="86"/>
      <c r="P34" s="87"/>
      <c r="Q34" s="88"/>
      <c r="R34" s="86"/>
      <c r="S34" s="86"/>
      <c r="T34" s="86"/>
      <c r="U34" s="86"/>
      <c r="V34" s="86"/>
      <c r="W34" s="86"/>
      <c r="X34" s="86"/>
      <c r="Y34" s="86"/>
      <c r="Z34" s="86"/>
    </row>
    <row r="35" spans="2:26" ht="18" customHeight="1" x14ac:dyDescent="0.15">
      <c r="B35" s="127"/>
      <c r="C35" s="128"/>
      <c r="D35" s="84"/>
      <c r="E35" s="115"/>
      <c r="F35" s="85"/>
      <c r="G35" s="86"/>
      <c r="H35" s="86"/>
      <c r="I35" s="86"/>
      <c r="J35" s="86"/>
      <c r="K35" s="86"/>
      <c r="L35" s="86"/>
      <c r="M35" s="86"/>
      <c r="N35" s="86"/>
      <c r="O35" s="86"/>
      <c r="P35" s="87"/>
      <c r="Q35" s="88"/>
      <c r="R35" s="86"/>
      <c r="S35" s="86"/>
      <c r="T35" s="86"/>
      <c r="U35" s="86"/>
      <c r="V35" s="86"/>
      <c r="W35" s="86"/>
      <c r="X35" s="86"/>
      <c r="Y35" s="86"/>
      <c r="Z35" s="86"/>
    </row>
    <row r="36" spans="2:26" ht="18" customHeight="1" x14ac:dyDescent="0.15">
      <c r="B36" s="127"/>
      <c r="C36" s="128"/>
      <c r="D36" s="84"/>
      <c r="E36" s="115"/>
      <c r="F36" s="85"/>
      <c r="G36" s="86"/>
      <c r="H36" s="86"/>
      <c r="I36" s="86"/>
      <c r="J36" s="86"/>
      <c r="K36" s="86"/>
      <c r="L36" s="86"/>
      <c r="M36" s="86"/>
      <c r="N36" s="86"/>
      <c r="O36" s="86"/>
      <c r="P36" s="87"/>
      <c r="Q36" s="88"/>
      <c r="R36" s="86"/>
      <c r="S36" s="86"/>
      <c r="T36" s="86"/>
      <c r="U36" s="86"/>
      <c r="V36" s="86"/>
      <c r="W36" s="86"/>
      <c r="X36" s="86"/>
      <c r="Y36" s="86"/>
      <c r="Z36" s="86"/>
    </row>
    <row r="37" spans="2:26" ht="18" customHeight="1" x14ac:dyDescent="0.15">
      <c r="B37" s="127"/>
      <c r="C37" s="128"/>
      <c r="D37" s="84"/>
      <c r="E37" s="115"/>
      <c r="F37" s="85"/>
      <c r="G37" s="86"/>
      <c r="H37" s="86"/>
      <c r="I37" s="86"/>
      <c r="J37" s="86"/>
      <c r="K37" s="86"/>
      <c r="L37" s="86"/>
      <c r="M37" s="86"/>
      <c r="N37" s="86"/>
      <c r="O37" s="86"/>
      <c r="P37" s="87"/>
      <c r="Q37" s="88"/>
      <c r="R37" s="86"/>
      <c r="S37" s="86"/>
      <c r="T37" s="86"/>
      <c r="U37" s="86"/>
      <c r="V37" s="86"/>
      <c r="W37" s="86"/>
      <c r="X37" s="86"/>
      <c r="Y37" s="86"/>
      <c r="Z37" s="86"/>
    </row>
    <row r="38" spans="2:26" ht="18" customHeight="1" x14ac:dyDescent="0.15">
      <c r="B38" s="127"/>
      <c r="C38" s="128"/>
      <c r="D38" s="84"/>
      <c r="E38" s="115"/>
      <c r="F38" s="85"/>
      <c r="G38" s="86"/>
      <c r="H38" s="86"/>
      <c r="I38" s="86"/>
      <c r="J38" s="86"/>
      <c r="K38" s="86"/>
      <c r="L38" s="86"/>
      <c r="M38" s="86"/>
      <c r="N38" s="86"/>
      <c r="O38" s="86"/>
      <c r="P38" s="87"/>
      <c r="Q38" s="88"/>
      <c r="R38" s="86"/>
      <c r="S38" s="86"/>
      <c r="T38" s="86"/>
      <c r="U38" s="86"/>
      <c r="V38" s="86"/>
      <c r="W38" s="86"/>
      <c r="X38" s="86"/>
      <c r="Y38" s="86"/>
      <c r="Z38" s="86"/>
    </row>
    <row r="39" spans="2:26" ht="18" customHeight="1" x14ac:dyDescent="0.15">
      <c r="B39" s="127"/>
      <c r="C39" s="128"/>
      <c r="D39" s="84"/>
      <c r="E39" s="115"/>
      <c r="F39" s="85"/>
      <c r="G39" s="86"/>
      <c r="H39" s="86"/>
      <c r="I39" s="86"/>
      <c r="J39" s="86"/>
      <c r="K39" s="86"/>
      <c r="L39" s="86"/>
      <c r="M39" s="86"/>
      <c r="N39" s="86"/>
      <c r="O39" s="86"/>
      <c r="P39" s="87"/>
      <c r="Q39" s="88"/>
      <c r="R39" s="86"/>
      <c r="S39" s="86"/>
      <c r="T39" s="86"/>
      <c r="U39" s="86"/>
      <c r="V39" s="86"/>
      <c r="W39" s="86"/>
      <c r="X39" s="86"/>
      <c r="Y39" s="86"/>
      <c r="Z39" s="86"/>
    </row>
    <row r="40" spans="2:26" ht="18" customHeight="1" x14ac:dyDescent="0.15">
      <c r="B40" s="127"/>
      <c r="C40" s="128"/>
      <c r="D40" s="84"/>
      <c r="E40" s="115"/>
      <c r="F40" s="85"/>
      <c r="G40" s="86"/>
      <c r="H40" s="86"/>
      <c r="I40" s="86"/>
      <c r="J40" s="86"/>
      <c r="K40" s="86"/>
      <c r="L40" s="86"/>
      <c r="M40" s="86"/>
      <c r="N40" s="86"/>
      <c r="O40" s="86"/>
      <c r="P40" s="87"/>
      <c r="Q40" s="88"/>
      <c r="R40" s="86"/>
      <c r="S40" s="86"/>
      <c r="T40" s="86"/>
      <c r="U40" s="86"/>
      <c r="V40" s="86"/>
      <c r="W40" s="86"/>
      <c r="X40" s="86"/>
      <c r="Y40" s="86"/>
      <c r="Z40" s="86"/>
    </row>
    <row r="41" spans="2:26" ht="18" customHeight="1" x14ac:dyDescent="0.15">
      <c r="B41" s="127"/>
      <c r="C41" s="128"/>
      <c r="D41" s="84"/>
      <c r="E41" s="115"/>
      <c r="F41" s="85"/>
      <c r="G41" s="86"/>
      <c r="H41" s="86"/>
      <c r="I41" s="86"/>
      <c r="J41" s="86"/>
      <c r="K41" s="86"/>
      <c r="L41" s="86"/>
      <c r="M41" s="86"/>
      <c r="N41" s="86"/>
      <c r="O41" s="86"/>
      <c r="P41" s="87"/>
      <c r="Q41" s="88"/>
      <c r="R41" s="86"/>
      <c r="S41" s="86"/>
      <c r="T41" s="86"/>
      <c r="U41" s="86"/>
      <c r="V41" s="86"/>
      <c r="W41" s="86"/>
      <c r="X41" s="86"/>
      <c r="Y41" s="86"/>
      <c r="Z41" s="86"/>
    </row>
    <row r="42" spans="2:26" ht="18" customHeight="1" x14ac:dyDescent="0.15">
      <c r="B42" s="129"/>
      <c r="C42" s="130"/>
      <c r="D42" s="89"/>
      <c r="E42" s="118"/>
      <c r="F42" s="90"/>
      <c r="G42" s="91"/>
      <c r="H42" s="91"/>
      <c r="I42" s="91"/>
      <c r="J42" s="91"/>
      <c r="K42" s="91"/>
      <c r="L42" s="91"/>
      <c r="M42" s="91"/>
      <c r="N42" s="91"/>
      <c r="O42" s="91"/>
      <c r="P42" s="92"/>
      <c r="Q42" s="93"/>
      <c r="R42" s="91"/>
      <c r="S42" s="91"/>
      <c r="T42" s="91"/>
      <c r="U42" s="91"/>
      <c r="V42" s="91"/>
      <c r="W42" s="91"/>
      <c r="X42" s="91"/>
      <c r="Y42" s="91"/>
      <c r="Z42" s="91"/>
    </row>
    <row r="43" spans="2:26" ht="18" customHeight="1" x14ac:dyDescent="0.15">
      <c r="B43" s="131" t="s">
        <v>127</v>
      </c>
      <c r="C43" s="132"/>
      <c r="D43" s="84"/>
      <c r="E43" s="115"/>
      <c r="F43" s="85"/>
      <c r="G43" s="86"/>
      <c r="H43" s="86"/>
      <c r="I43" s="86"/>
      <c r="J43" s="86"/>
      <c r="K43" s="86"/>
      <c r="L43" s="86"/>
      <c r="M43" s="86"/>
      <c r="N43" s="86"/>
      <c r="O43" s="86"/>
      <c r="P43" s="87"/>
      <c r="Q43" s="88"/>
      <c r="R43" s="86"/>
      <c r="S43" s="86"/>
      <c r="T43" s="86"/>
      <c r="U43" s="86"/>
      <c r="V43" s="86"/>
      <c r="W43" s="86"/>
      <c r="X43" s="86"/>
      <c r="Y43" s="86"/>
      <c r="Z43" s="86"/>
    </row>
    <row r="44" spans="2:26" ht="18" customHeight="1" x14ac:dyDescent="0.15">
      <c r="B44" s="131"/>
      <c r="C44" s="132"/>
      <c r="D44" s="84"/>
      <c r="E44" s="115"/>
      <c r="F44" s="85"/>
      <c r="G44" s="86"/>
      <c r="H44" s="86"/>
      <c r="I44" s="86"/>
      <c r="J44" s="86"/>
      <c r="K44" s="86"/>
      <c r="L44" s="86"/>
      <c r="M44" s="86"/>
      <c r="N44" s="86"/>
      <c r="O44" s="86"/>
      <c r="P44" s="87"/>
      <c r="Q44" s="88"/>
      <c r="R44" s="86"/>
      <c r="S44" s="86"/>
      <c r="T44" s="86"/>
      <c r="U44" s="86"/>
      <c r="V44" s="86"/>
      <c r="W44" s="86"/>
      <c r="X44" s="86"/>
      <c r="Y44" s="86"/>
      <c r="Z44" s="86"/>
    </row>
    <row r="45" spans="2:26" ht="18" customHeight="1" x14ac:dyDescent="0.15">
      <c r="B45" s="131"/>
      <c r="C45" s="132"/>
      <c r="D45" s="84"/>
      <c r="E45" s="115"/>
      <c r="F45" s="85"/>
      <c r="G45" s="86"/>
      <c r="H45" s="86"/>
      <c r="I45" s="86"/>
      <c r="J45" s="86"/>
      <c r="K45" s="86"/>
      <c r="L45" s="86"/>
      <c r="M45" s="86"/>
      <c r="N45" s="86"/>
      <c r="O45" s="86"/>
      <c r="P45" s="87"/>
      <c r="Q45" s="88"/>
      <c r="R45" s="86"/>
      <c r="S45" s="86"/>
      <c r="T45" s="86"/>
      <c r="U45" s="86"/>
      <c r="V45" s="86"/>
      <c r="W45" s="86"/>
      <c r="X45" s="86"/>
      <c r="Y45" s="86"/>
      <c r="Z45" s="86"/>
    </row>
    <row r="46" spans="2:26" ht="18" customHeight="1" x14ac:dyDescent="0.15">
      <c r="B46" s="131"/>
      <c r="C46" s="132"/>
      <c r="D46" s="84"/>
      <c r="E46" s="115"/>
      <c r="F46" s="85"/>
      <c r="G46" s="86"/>
      <c r="H46" s="86"/>
      <c r="I46" s="86"/>
      <c r="J46" s="86"/>
      <c r="K46" s="86"/>
      <c r="L46" s="86"/>
      <c r="M46" s="86"/>
      <c r="N46" s="86"/>
      <c r="O46" s="86"/>
      <c r="P46" s="87"/>
      <c r="Q46" s="88"/>
      <c r="R46" s="86"/>
      <c r="S46" s="86"/>
      <c r="T46" s="86"/>
      <c r="U46" s="86"/>
      <c r="V46" s="86"/>
      <c r="W46" s="86"/>
      <c r="X46" s="86"/>
      <c r="Y46" s="86"/>
      <c r="Z46" s="86"/>
    </row>
    <row r="47" spans="2:26" ht="18" customHeight="1" x14ac:dyDescent="0.15">
      <c r="B47" s="131"/>
      <c r="C47" s="132"/>
      <c r="D47" s="84"/>
      <c r="E47" s="115"/>
      <c r="F47" s="85"/>
      <c r="G47" s="86"/>
      <c r="H47" s="86"/>
      <c r="I47" s="86"/>
      <c r="J47" s="86"/>
      <c r="K47" s="86"/>
      <c r="L47" s="86"/>
      <c r="M47" s="86"/>
      <c r="N47" s="86"/>
      <c r="O47" s="86"/>
      <c r="P47" s="87"/>
      <c r="Q47" s="88"/>
      <c r="R47" s="86"/>
      <c r="S47" s="86"/>
      <c r="T47" s="86"/>
      <c r="U47" s="86"/>
      <c r="V47" s="86"/>
      <c r="W47" s="86"/>
      <c r="X47" s="86"/>
      <c r="Y47" s="86"/>
      <c r="Z47" s="86"/>
    </row>
    <row r="48" spans="2:26" ht="18" customHeight="1" x14ac:dyDescent="0.15">
      <c r="B48" s="131"/>
      <c r="C48" s="132"/>
      <c r="D48" s="84"/>
      <c r="E48" s="115"/>
      <c r="F48" s="85"/>
      <c r="G48" s="86"/>
      <c r="H48" s="86"/>
      <c r="I48" s="86"/>
      <c r="J48" s="86"/>
      <c r="K48" s="86"/>
      <c r="L48" s="86"/>
      <c r="M48" s="86"/>
      <c r="N48" s="86"/>
      <c r="O48" s="86"/>
      <c r="P48" s="87"/>
      <c r="Q48" s="88"/>
      <c r="R48" s="86"/>
      <c r="S48" s="86"/>
      <c r="T48" s="86"/>
      <c r="U48" s="86"/>
      <c r="V48" s="86"/>
      <c r="W48" s="86"/>
      <c r="X48" s="86"/>
      <c r="Y48" s="86"/>
      <c r="Z48" s="86"/>
    </row>
    <row r="49" spans="1:26" ht="18" customHeight="1" x14ac:dyDescent="0.15">
      <c r="B49" s="131"/>
      <c r="C49" s="132"/>
      <c r="D49" s="84"/>
      <c r="E49" s="115"/>
      <c r="F49" s="85"/>
      <c r="G49" s="86"/>
      <c r="H49" s="86"/>
      <c r="I49" s="86"/>
      <c r="J49" s="86"/>
      <c r="K49" s="86"/>
      <c r="L49" s="86"/>
      <c r="M49" s="86"/>
      <c r="N49" s="86"/>
      <c r="O49" s="86"/>
      <c r="P49" s="87"/>
      <c r="Q49" s="88"/>
      <c r="R49" s="86"/>
      <c r="S49" s="86"/>
      <c r="T49" s="86"/>
      <c r="U49" s="86"/>
      <c r="V49" s="86"/>
      <c r="W49" s="86"/>
      <c r="X49" s="86"/>
      <c r="Y49" s="86"/>
      <c r="Z49" s="86"/>
    </row>
    <row r="50" spans="1:26" ht="18" customHeight="1" x14ac:dyDescent="0.15">
      <c r="B50" s="131"/>
      <c r="C50" s="132"/>
      <c r="D50" s="84"/>
      <c r="E50" s="115"/>
      <c r="F50" s="85"/>
      <c r="G50" s="86"/>
      <c r="H50" s="86"/>
      <c r="I50" s="86"/>
      <c r="J50" s="86"/>
      <c r="K50" s="86"/>
      <c r="L50" s="86"/>
      <c r="M50" s="86"/>
      <c r="N50" s="86"/>
      <c r="O50" s="86"/>
      <c r="P50" s="87"/>
      <c r="Q50" s="88"/>
      <c r="R50" s="86"/>
      <c r="S50" s="86"/>
      <c r="T50" s="86"/>
      <c r="U50" s="86"/>
      <c r="V50" s="86"/>
      <c r="W50" s="86"/>
      <c r="X50" s="86"/>
      <c r="Y50" s="86"/>
      <c r="Z50" s="86"/>
    </row>
    <row r="51" spans="1:26" ht="18" customHeight="1" x14ac:dyDescent="0.15">
      <c r="B51" s="131"/>
      <c r="C51" s="132"/>
      <c r="D51" s="84"/>
      <c r="E51" s="115"/>
      <c r="F51" s="85"/>
      <c r="G51" s="86"/>
      <c r="H51" s="86"/>
      <c r="I51" s="86"/>
      <c r="J51" s="86"/>
      <c r="K51" s="86"/>
      <c r="L51" s="86"/>
      <c r="M51" s="86"/>
      <c r="N51" s="86"/>
      <c r="O51" s="86"/>
      <c r="P51" s="87"/>
      <c r="Q51" s="88"/>
      <c r="R51" s="86"/>
      <c r="S51" s="86"/>
      <c r="T51" s="86"/>
      <c r="U51" s="86"/>
      <c r="V51" s="86"/>
      <c r="W51" s="86"/>
      <c r="X51" s="86"/>
      <c r="Y51" s="86"/>
      <c r="Z51" s="86"/>
    </row>
    <row r="52" spans="1:26" ht="18" customHeight="1" thickBot="1" x14ac:dyDescent="0.2">
      <c r="B52" s="133"/>
      <c r="C52" s="134"/>
      <c r="D52" s="89"/>
      <c r="E52" s="118"/>
      <c r="F52" s="99"/>
      <c r="G52" s="100"/>
      <c r="H52" s="100"/>
      <c r="I52" s="100"/>
      <c r="J52" s="100"/>
      <c r="K52" s="100"/>
      <c r="L52" s="100"/>
      <c r="M52" s="100"/>
      <c r="N52" s="100"/>
      <c r="O52" s="100"/>
      <c r="P52" s="101"/>
      <c r="Q52" s="93"/>
      <c r="R52" s="91"/>
      <c r="S52" s="91"/>
      <c r="T52" s="91"/>
      <c r="U52" s="91"/>
      <c r="V52" s="91"/>
      <c r="W52" s="91"/>
      <c r="X52" s="91"/>
      <c r="Y52" s="91"/>
      <c r="Z52" s="91"/>
    </row>
    <row r="53" spans="1:26" ht="18" customHeight="1" x14ac:dyDescent="0.15">
      <c r="A53" s="12"/>
      <c r="B53" s="41"/>
      <c r="C53" s="41"/>
      <c r="D53" s="41"/>
      <c r="E53" s="41"/>
      <c r="F53" s="41"/>
      <c r="G53" s="22"/>
      <c r="H53" s="22"/>
      <c r="I53" s="22"/>
      <c r="J53" s="22"/>
      <c r="K53" s="22"/>
      <c r="L53" s="22"/>
      <c r="M53" s="22"/>
      <c r="N53" s="22"/>
      <c r="O53" s="22"/>
      <c r="P53" s="41"/>
      <c r="Q53" s="41"/>
      <c r="R53" s="41"/>
      <c r="S53" s="41"/>
      <c r="T53" s="41"/>
      <c r="U53" s="41"/>
      <c r="V53" s="41"/>
      <c r="W53" s="22"/>
      <c r="X53" s="22"/>
      <c r="Y53" s="22"/>
      <c r="Z53" s="22"/>
    </row>
    <row r="54" spans="1:26" ht="18.75" customHeight="1" x14ac:dyDescent="0.15">
      <c r="A54" s="8" t="s">
        <v>115</v>
      </c>
    </row>
    <row r="55" spans="1:26" ht="18.75" customHeight="1" x14ac:dyDescent="0.15">
      <c r="B55" s="138" t="s">
        <v>49</v>
      </c>
      <c r="C55" s="139"/>
      <c r="D55" s="4" t="s">
        <v>128</v>
      </c>
    </row>
    <row r="56" spans="1:26" ht="42" customHeight="1" x14ac:dyDescent="0.15">
      <c r="B56" s="135" t="s">
        <v>55</v>
      </c>
      <c r="C56" s="102" t="s">
        <v>50</v>
      </c>
      <c r="D56" s="67" t="s">
        <v>136</v>
      </c>
      <c r="E56" s="103"/>
      <c r="F56" s="103"/>
      <c r="G56" s="103"/>
      <c r="H56" s="103"/>
      <c r="I56" s="103"/>
      <c r="J56" s="103"/>
      <c r="K56" s="103"/>
      <c r="L56" s="103"/>
      <c r="M56" s="103"/>
      <c r="N56" s="103"/>
      <c r="O56" s="103"/>
      <c r="P56" s="103"/>
      <c r="Q56" s="103"/>
      <c r="R56" s="103"/>
      <c r="S56" s="103"/>
      <c r="T56" s="103"/>
      <c r="U56" s="103"/>
      <c r="V56" s="103"/>
      <c r="W56" s="103"/>
      <c r="X56" s="103"/>
      <c r="Y56" s="103"/>
      <c r="Z56" s="103"/>
    </row>
    <row r="57" spans="1:26" ht="85.5" x14ac:dyDescent="0.15">
      <c r="B57" s="136"/>
      <c r="C57" s="104" t="s">
        <v>67</v>
      </c>
      <c r="D57" s="119" t="s">
        <v>140</v>
      </c>
      <c r="E57" s="105"/>
      <c r="F57" s="105"/>
      <c r="G57" s="105"/>
      <c r="H57" s="105"/>
      <c r="I57" s="105"/>
      <c r="J57" s="105"/>
      <c r="K57" s="105"/>
      <c r="L57" s="105"/>
      <c r="M57" s="105"/>
      <c r="N57" s="105"/>
      <c r="O57" s="105"/>
      <c r="P57" s="105"/>
      <c r="Q57" s="105"/>
      <c r="R57" s="105"/>
      <c r="S57" s="105"/>
      <c r="T57" s="105"/>
      <c r="U57" s="105"/>
      <c r="V57" s="105"/>
      <c r="W57" s="105"/>
      <c r="X57" s="105"/>
      <c r="Y57" s="105"/>
      <c r="Z57" s="105"/>
    </row>
    <row r="58" spans="1:26" ht="42" customHeight="1" x14ac:dyDescent="0.15">
      <c r="B58" s="135" t="s">
        <v>56</v>
      </c>
      <c r="C58" s="106" t="s">
        <v>61</v>
      </c>
      <c r="D58" s="120" t="s">
        <v>138</v>
      </c>
      <c r="E58" s="105"/>
      <c r="F58" s="105"/>
      <c r="G58" s="105"/>
      <c r="H58" s="105"/>
      <c r="I58" s="105"/>
      <c r="J58" s="105"/>
      <c r="K58" s="105"/>
      <c r="L58" s="105"/>
      <c r="M58" s="105"/>
      <c r="N58" s="105"/>
      <c r="O58" s="105"/>
      <c r="P58" s="105"/>
      <c r="Q58" s="105"/>
      <c r="R58" s="105"/>
      <c r="S58" s="105"/>
      <c r="T58" s="105"/>
      <c r="U58" s="105"/>
      <c r="V58" s="105"/>
      <c r="W58" s="105"/>
      <c r="X58" s="105"/>
      <c r="Y58" s="105"/>
      <c r="Z58" s="105"/>
    </row>
    <row r="59" spans="1:26" ht="71.25" x14ac:dyDescent="0.15">
      <c r="B59" s="137"/>
      <c r="C59" s="107" t="s">
        <v>62</v>
      </c>
      <c r="D59" s="121" t="s">
        <v>139</v>
      </c>
      <c r="E59" s="105"/>
      <c r="F59" s="105"/>
      <c r="G59" s="105"/>
      <c r="H59" s="105"/>
      <c r="I59" s="105"/>
      <c r="J59" s="105"/>
      <c r="K59" s="105"/>
      <c r="L59" s="105"/>
      <c r="M59" s="105"/>
      <c r="N59" s="105"/>
      <c r="O59" s="105"/>
      <c r="P59" s="105"/>
      <c r="Q59" s="105"/>
      <c r="R59" s="105"/>
      <c r="S59" s="105"/>
      <c r="T59" s="105"/>
      <c r="U59" s="105"/>
      <c r="V59" s="105"/>
      <c r="W59" s="105"/>
      <c r="X59" s="105"/>
      <c r="Y59" s="105"/>
      <c r="Z59" s="105"/>
    </row>
    <row r="60" spans="1:26" ht="85.5" x14ac:dyDescent="0.15">
      <c r="B60" s="135" t="s">
        <v>57</v>
      </c>
      <c r="C60" s="106" t="s">
        <v>63</v>
      </c>
      <c r="D60" s="67" t="s">
        <v>141</v>
      </c>
      <c r="E60" s="105"/>
      <c r="F60" s="105"/>
      <c r="G60" s="105"/>
      <c r="H60" s="105"/>
      <c r="I60" s="105"/>
      <c r="J60" s="105"/>
      <c r="K60" s="105"/>
      <c r="L60" s="105"/>
      <c r="M60" s="105"/>
      <c r="N60" s="105"/>
      <c r="O60" s="105"/>
      <c r="P60" s="105"/>
      <c r="Q60" s="105"/>
      <c r="R60" s="105"/>
      <c r="S60" s="105"/>
      <c r="T60" s="105"/>
      <c r="U60" s="105"/>
      <c r="V60" s="105"/>
      <c r="W60" s="105"/>
      <c r="X60" s="105"/>
      <c r="Y60" s="105"/>
      <c r="Z60" s="105"/>
    </row>
    <row r="61" spans="1:26" ht="42" customHeight="1" x14ac:dyDescent="0.15">
      <c r="B61" s="137"/>
      <c r="C61" s="108" t="s">
        <v>64</v>
      </c>
      <c r="D61" s="119" t="s">
        <v>137</v>
      </c>
      <c r="E61" s="105"/>
      <c r="F61" s="105"/>
      <c r="G61" s="105"/>
      <c r="H61" s="105"/>
      <c r="I61" s="105"/>
      <c r="J61" s="105"/>
      <c r="K61" s="105"/>
      <c r="L61" s="105"/>
      <c r="M61" s="105"/>
      <c r="N61" s="105"/>
      <c r="O61" s="105"/>
      <c r="P61" s="105"/>
      <c r="Q61" s="105"/>
      <c r="R61" s="105"/>
      <c r="S61" s="105"/>
      <c r="T61" s="105"/>
      <c r="U61" s="105"/>
      <c r="V61" s="105"/>
      <c r="W61" s="105"/>
      <c r="X61" s="105"/>
      <c r="Y61" s="105"/>
      <c r="Z61" s="105"/>
    </row>
    <row r="62" spans="1:26" ht="185.25" x14ac:dyDescent="0.15">
      <c r="B62" s="135" t="s">
        <v>68</v>
      </c>
      <c r="C62" s="102" t="s">
        <v>52</v>
      </c>
      <c r="D62" s="67" t="s">
        <v>146</v>
      </c>
      <c r="E62" s="105"/>
      <c r="F62" s="105"/>
      <c r="G62" s="105"/>
      <c r="H62" s="105"/>
      <c r="I62" s="105"/>
      <c r="J62" s="105"/>
      <c r="K62" s="105"/>
      <c r="L62" s="105"/>
      <c r="M62" s="105"/>
      <c r="N62" s="105"/>
      <c r="O62" s="105"/>
      <c r="P62" s="105"/>
      <c r="Q62" s="105"/>
      <c r="R62" s="105"/>
      <c r="S62" s="105"/>
      <c r="T62" s="105"/>
      <c r="U62" s="105"/>
      <c r="V62" s="105"/>
      <c r="W62" s="105"/>
      <c r="X62" s="105"/>
      <c r="Y62" s="105"/>
      <c r="Z62" s="105"/>
    </row>
    <row r="63" spans="1:26" ht="42" customHeight="1" x14ac:dyDescent="0.15">
      <c r="B63" s="137"/>
      <c r="C63" s="107" t="s">
        <v>54</v>
      </c>
      <c r="D63" s="119" t="s">
        <v>142</v>
      </c>
      <c r="E63" s="105"/>
      <c r="F63" s="105"/>
      <c r="G63" s="105"/>
      <c r="H63" s="105"/>
      <c r="I63" s="105"/>
      <c r="J63" s="105"/>
      <c r="K63" s="105"/>
      <c r="L63" s="105"/>
      <c r="M63" s="105"/>
      <c r="N63" s="105"/>
      <c r="O63" s="105"/>
      <c r="P63" s="105"/>
      <c r="Q63" s="105"/>
      <c r="R63" s="105"/>
      <c r="S63" s="105"/>
      <c r="T63" s="105"/>
      <c r="U63" s="105"/>
      <c r="V63" s="105"/>
      <c r="W63" s="105"/>
      <c r="X63" s="105"/>
      <c r="Y63" s="105"/>
      <c r="Z63" s="105"/>
    </row>
    <row r="64" spans="1:26" ht="85.5" x14ac:dyDescent="0.15">
      <c r="B64" s="135" t="s">
        <v>69</v>
      </c>
      <c r="C64" s="106" t="s">
        <v>51</v>
      </c>
      <c r="D64" s="67" t="s">
        <v>143</v>
      </c>
      <c r="E64" s="105"/>
      <c r="F64" s="105"/>
      <c r="G64" s="105"/>
      <c r="H64" s="105"/>
      <c r="I64" s="105"/>
      <c r="J64" s="105"/>
      <c r="K64" s="105"/>
      <c r="L64" s="105"/>
      <c r="M64" s="105"/>
      <c r="N64" s="105"/>
      <c r="O64" s="105"/>
      <c r="P64" s="105"/>
      <c r="Q64" s="105"/>
      <c r="R64" s="105"/>
      <c r="S64" s="105"/>
      <c r="T64" s="105"/>
      <c r="U64" s="105"/>
      <c r="V64" s="105"/>
      <c r="W64" s="105"/>
      <c r="X64" s="105"/>
      <c r="Y64" s="105"/>
      <c r="Z64" s="105"/>
    </row>
    <row r="65" spans="1:26" ht="63" customHeight="1" x14ac:dyDescent="0.15">
      <c r="B65" s="136"/>
      <c r="C65" s="109" t="s">
        <v>65</v>
      </c>
      <c r="D65" s="122" t="s">
        <v>144</v>
      </c>
      <c r="E65" s="110"/>
      <c r="F65" s="110"/>
      <c r="G65" s="110"/>
      <c r="H65" s="110"/>
      <c r="I65" s="110"/>
      <c r="J65" s="110"/>
      <c r="K65" s="110"/>
      <c r="L65" s="110"/>
      <c r="M65" s="110"/>
      <c r="N65" s="110"/>
      <c r="O65" s="110"/>
      <c r="P65" s="110"/>
      <c r="Q65" s="110"/>
      <c r="R65" s="110"/>
      <c r="S65" s="110"/>
      <c r="T65" s="110"/>
      <c r="U65" s="110"/>
      <c r="V65" s="110"/>
      <c r="W65" s="110"/>
      <c r="X65" s="110"/>
      <c r="Y65" s="110"/>
      <c r="Z65" s="110"/>
    </row>
    <row r="66" spans="1:26" ht="63" customHeight="1" x14ac:dyDescent="0.15">
      <c r="B66" s="137"/>
      <c r="C66" s="108" t="s">
        <v>66</v>
      </c>
      <c r="D66" s="121" t="s">
        <v>145</v>
      </c>
      <c r="E66" s="110"/>
      <c r="F66" s="110"/>
      <c r="G66" s="110"/>
      <c r="H66" s="110"/>
      <c r="I66" s="110"/>
      <c r="J66" s="110"/>
      <c r="K66" s="110"/>
      <c r="L66" s="110"/>
      <c r="M66" s="110"/>
      <c r="N66" s="110"/>
      <c r="O66" s="110"/>
      <c r="P66" s="110"/>
      <c r="Q66" s="110"/>
      <c r="R66" s="110"/>
      <c r="S66" s="110"/>
      <c r="T66" s="110"/>
      <c r="U66" s="110"/>
      <c r="V66" s="110"/>
      <c r="W66" s="110"/>
      <c r="X66" s="110"/>
      <c r="Y66" s="110"/>
      <c r="Z66" s="110"/>
    </row>
    <row r="67" spans="1:26" ht="6" customHeight="1" x14ac:dyDescent="0.15">
      <c r="D67" s="123"/>
    </row>
    <row r="68" spans="1:26" ht="18.75" customHeight="1" x14ac:dyDescent="0.15">
      <c r="A68" s="8" t="s">
        <v>116</v>
      </c>
      <c r="D68" s="123"/>
    </row>
    <row r="69" spans="1:26" ht="135" customHeight="1" x14ac:dyDescent="0.15">
      <c r="B69" s="16"/>
      <c r="C69" s="16"/>
      <c r="D69" s="66" t="s">
        <v>161</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x14ac:dyDescent="0.15"/>
  </sheetData>
  <mergeCells count="19">
    <mergeCell ref="B23:C32"/>
    <mergeCell ref="A1:Z1"/>
    <mergeCell ref="A9:B9"/>
    <mergeCell ref="A11:B11"/>
    <mergeCell ref="A13:B13"/>
    <mergeCell ref="A15:B15"/>
    <mergeCell ref="Y3:Z3"/>
    <mergeCell ref="A7:Z7"/>
    <mergeCell ref="B4:C4"/>
    <mergeCell ref="B5:C5"/>
    <mergeCell ref="F21:Z21"/>
    <mergeCell ref="B33:C42"/>
    <mergeCell ref="B43:C52"/>
    <mergeCell ref="B64:B66"/>
    <mergeCell ref="B62:B63"/>
    <mergeCell ref="B55:C55"/>
    <mergeCell ref="B60:B61"/>
    <mergeCell ref="B56:B57"/>
    <mergeCell ref="B58:B59"/>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G17" sqref="G17"/>
    </sheetView>
  </sheetViews>
  <sheetFormatPr defaultColWidth="9" defaultRowHeight="18.75" customHeight="1" x14ac:dyDescent="0.15"/>
  <cols>
    <col min="1" max="1" width="2.75" style="8" customWidth="1"/>
    <col min="2" max="2" width="27.875" style="8" customWidth="1"/>
    <col min="3" max="3" width="8" style="8" customWidth="1"/>
    <col min="4" max="4" width="8.25" style="8" customWidth="1"/>
    <col min="5" max="19" width="6.125" style="8" customWidth="1"/>
    <col min="20" max="20" width="6.625" style="8" customWidth="1"/>
    <col min="21" max="16384" width="9" style="8"/>
  </cols>
  <sheetData>
    <row r="1" spans="1:22" ht="18" customHeight="1" x14ac:dyDescent="0.15">
      <c r="T1" s="8" t="s">
        <v>84</v>
      </c>
    </row>
    <row r="2" spans="1:22" ht="18" customHeight="1" x14ac:dyDescent="0.15">
      <c r="A2" s="153" t="s">
        <v>94</v>
      </c>
      <c r="B2" s="153"/>
      <c r="C2" s="153"/>
      <c r="D2" s="153"/>
      <c r="E2" s="153"/>
      <c r="F2" s="153"/>
      <c r="G2" s="153"/>
      <c r="H2" s="153"/>
      <c r="I2" s="153"/>
      <c r="J2" s="153"/>
      <c r="K2" s="153"/>
      <c r="L2" s="153"/>
      <c r="M2" s="153"/>
      <c r="N2" s="153"/>
      <c r="O2" s="153"/>
      <c r="P2" s="153"/>
      <c r="Q2" s="153"/>
      <c r="R2" s="153"/>
      <c r="S2" s="153"/>
      <c r="T2" s="153"/>
    </row>
    <row r="3" spans="1:22" ht="7.5" customHeight="1" x14ac:dyDescent="0.15">
      <c r="A3" s="12"/>
      <c r="B3" s="12"/>
      <c r="C3" s="12"/>
      <c r="D3" s="12"/>
      <c r="E3" s="12"/>
      <c r="F3" s="12"/>
      <c r="G3" s="12"/>
      <c r="H3" s="12"/>
      <c r="I3" s="12"/>
      <c r="J3" s="12"/>
      <c r="K3" s="12"/>
      <c r="L3" s="12"/>
      <c r="M3" s="12"/>
      <c r="N3" s="12"/>
      <c r="O3" s="12"/>
      <c r="P3" s="12"/>
      <c r="Q3" s="12"/>
      <c r="R3" s="12"/>
      <c r="S3" s="12"/>
      <c r="T3" s="12"/>
    </row>
    <row r="4" spans="1:22" ht="18" customHeight="1" x14ac:dyDescent="0.15">
      <c r="A4" s="8" t="s">
        <v>71</v>
      </c>
      <c r="C4" s="21" t="s">
        <v>147</v>
      </c>
      <c r="D4" s="8" t="s">
        <v>112</v>
      </c>
      <c r="E4" s="41"/>
      <c r="F4" s="10"/>
      <c r="G4" s="12"/>
      <c r="H4" s="12"/>
      <c r="I4" s="12"/>
      <c r="J4" s="12"/>
      <c r="K4" s="12"/>
      <c r="L4" s="12"/>
      <c r="M4" s="12"/>
      <c r="N4" s="12"/>
      <c r="O4" s="12"/>
      <c r="P4" s="12"/>
      <c r="Q4" s="12"/>
      <c r="R4" s="12"/>
      <c r="S4" s="41"/>
      <c r="T4" s="41"/>
    </row>
    <row r="5" spans="1:22" ht="7.15" customHeight="1" x14ac:dyDescent="0.15">
      <c r="C5" s="22"/>
      <c r="D5" s="22"/>
      <c r="E5" s="22"/>
      <c r="F5" s="12"/>
      <c r="G5" s="12"/>
      <c r="H5" s="12"/>
      <c r="I5" s="12"/>
      <c r="J5" s="12"/>
      <c r="K5" s="12"/>
      <c r="L5" s="12"/>
      <c r="M5" s="12"/>
      <c r="N5" s="12"/>
      <c r="O5" s="12"/>
      <c r="P5" s="12"/>
      <c r="Q5" s="12"/>
      <c r="R5" s="12"/>
      <c r="S5" s="41"/>
      <c r="T5" s="41"/>
    </row>
    <row r="6" spans="1:22" ht="18" customHeight="1" x14ac:dyDescent="0.15">
      <c r="A6" s="8" t="s">
        <v>110</v>
      </c>
      <c r="B6" s="12"/>
      <c r="C6" s="12"/>
      <c r="D6" s="12"/>
      <c r="E6" s="12"/>
      <c r="F6" s="12"/>
      <c r="G6" s="12"/>
      <c r="H6" s="12"/>
      <c r="I6" s="12"/>
      <c r="J6" s="12"/>
      <c r="K6" s="12"/>
      <c r="L6" s="12"/>
      <c r="M6" s="12"/>
      <c r="N6" s="12"/>
      <c r="O6" s="12"/>
      <c r="P6" s="12"/>
      <c r="Q6" s="12"/>
      <c r="R6" s="12"/>
      <c r="S6" s="12"/>
      <c r="T6" s="12"/>
    </row>
    <row r="7" spans="1:22" ht="6" customHeight="1" x14ac:dyDescent="0.15">
      <c r="B7" s="12"/>
      <c r="C7" s="12"/>
      <c r="D7" s="12"/>
      <c r="E7" s="12"/>
      <c r="F7" s="12"/>
      <c r="G7" s="12"/>
      <c r="H7" s="12"/>
      <c r="I7" s="12"/>
      <c r="J7" s="12"/>
      <c r="K7" s="12"/>
      <c r="L7" s="12"/>
      <c r="M7" s="12"/>
      <c r="N7" s="12"/>
      <c r="O7" s="12"/>
      <c r="P7" s="12"/>
      <c r="Q7" s="12"/>
      <c r="R7" s="12"/>
      <c r="S7" s="12"/>
      <c r="T7" s="12"/>
    </row>
    <row r="8" spans="1:22" ht="18" customHeight="1" x14ac:dyDescent="0.15">
      <c r="B8" s="154" t="s">
        <v>43</v>
      </c>
      <c r="C8" s="150" t="s">
        <v>73</v>
      </c>
      <c r="D8" s="151"/>
      <c r="E8" s="156" t="s">
        <v>45</v>
      </c>
      <c r="F8" s="150" t="s">
        <v>38</v>
      </c>
      <c r="G8" s="152" t="s">
        <v>108</v>
      </c>
      <c r="H8" s="152"/>
      <c r="I8" s="152" t="s">
        <v>92</v>
      </c>
      <c r="J8" s="152"/>
      <c r="K8" s="152" t="s">
        <v>86</v>
      </c>
      <c r="L8" s="152"/>
      <c r="M8" s="152" t="s">
        <v>72</v>
      </c>
      <c r="N8" s="152"/>
      <c r="O8" s="152" t="s">
        <v>46</v>
      </c>
      <c r="P8" s="152"/>
      <c r="Q8" s="152" t="s">
        <v>47</v>
      </c>
      <c r="R8" s="163"/>
      <c r="S8" s="159" t="s">
        <v>35</v>
      </c>
      <c r="T8" s="161" t="s">
        <v>32</v>
      </c>
      <c r="V8" s="13"/>
    </row>
    <row r="9" spans="1:22" ht="16.899999999999999" customHeight="1" x14ac:dyDescent="0.15">
      <c r="B9" s="155"/>
      <c r="C9" s="1"/>
      <c r="D9" s="2" t="s">
        <v>111</v>
      </c>
      <c r="E9" s="157"/>
      <c r="F9" s="158"/>
      <c r="G9" s="40" t="s">
        <v>79</v>
      </c>
      <c r="H9" s="40" t="s">
        <v>29</v>
      </c>
      <c r="I9" s="40" t="s">
        <v>79</v>
      </c>
      <c r="J9" s="40" t="s">
        <v>29</v>
      </c>
      <c r="K9" s="40" t="s">
        <v>79</v>
      </c>
      <c r="L9" s="40" t="s">
        <v>29</v>
      </c>
      <c r="M9" s="40" t="s">
        <v>79</v>
      </c>
      <c r="N9" s="40" t="s">
        <v>29</v>
      </c>
      <c r="O9" s="40" t="s">
        <v>79</v>
      </c>
      <c r="P9" s="40" t="s">
        <v>29</v>
      </c>
      <c r="Q9" s="40" t="s">
        <v>79</v>
      </c>
      <c r="R9" s="40" t="s">
        <v>29</v>
      </c>
      <c r="S9" s="160"/>
      <c r="T9" s="162"/>
      <c r="V9" s="13"/>
    </row>
    <row r="10" spans="1:22" ht="18" customHeight="1" x14ac:dyDescent="0.15">
      <c r="A10" s="41"/>
      <c r="B10" s="42" t="s">
        <v>148</v>
      </c>
      <c r="C10" s="58">
        <v>816</v>
      </c>
      <c r="D10" s="64">
        <v>144</v>
      </c>
      <c r="E10" s="57">
        <v>220</v>
      </c>
      <c r="F10" s="58">
        <v>890</v>
      </c>
      <c r="G10" s="58">
        <v>164</v>
      </c>
      <c r="H10" s="58">
        <v>0</v>
      </c>
      <c r="I10" s="58"/>
      <c r="J10" s="58"/>
      <c r="K10" s="58"/>
      <c r="L10" s="58"/>
      <c r="M10" s="58"/>
      <c r="N10" s="58"/>
      <c r="O10" s="58"/>
      <c r="P10" s="58"/>
      <c r="Q10" s="58"/>
      <c r="R10" s="58"/>
      <c r="S10" s="3">
        <f>G10+K10+M10+O10+Q10</f>
        <v>164</v>
      </c>
      <c r="T10" s="43">
        <f>S10/F10</f>
        <v>0.1842696629213483</v>
      </c>
    </row>
    <row r="11" spans="1:22" ht="18" customHeight="1" x14ac:dyDescent="0.15">
      <c r="A11" s="41"/>
      <c r="B11" s="44" t="s">
        <v>149</v>
      </c>
      <c r="C11" s="60">
        <v>979</v>
      </c>
      <c r="D11" s="62">
        <v>168</v>
      </c>
      <c r="E11" s="59">
        <v>210</v>
      </c>
      <c r="F11" s="60">
        <v>890</v>
      </c>
      <c r="G11" s="61">
        <v>229</v>
      </c>
      <c r="H11" s="61">
        <v>200</v>
      </c>
      <c r="I11" s="61"/>
      <c r="J11" s="61"/>
      <c r="K11" s="61"/>
      <c r="L11" s="61"/>
      <c r="M11" s="61"/>
      <c r="N11" s="61"/>
      <c r="O11" s="61"/>
      <c r="P11" s="61"/>
      <c r="Q11" s="61"/>
      <c r="R11" s="61"/>
      <c r="S11" s="45">
        <f t="shared" ref="S11:S29" si="0">G11+K11+M11+O11+Q11</f>
        <v>229</v>
      </c>
      <c r="T11" s="46">
        <f t="shared" ref="T11:T27" si="1">S11/F11</f>
        <v>0.25730337078651683</v>
      </c>
    </row>
    <row r="12" spans="1:22" ht="18" customHeight="1" x14ac:dyDescent="0.15">
      <c r="A12" s="41"/>
      <c r="B12" s="44" t="s">
        <v>150</v>
      </c>
      <c r="C12" s="60">
        <v>628</v>
      </c>
      <c r="D12" s="62">
        <v>199</v>
      </c>
      <c r="E12" s="59">
        <v>140</v>
      </c>
      <c r="F12" s="60">
        <v>590</v>
      </c>
      <c r="G12" s="61">
        <v>146</v>
      </c>
      <c r="H12" s="61">
        <v>0</v>
      </c>
      <c r="I12" s="61"/>
      <c r="J12" s="61"/>
      <c r="K12" s="61"/>
      <c r="L12" s="61"/>
      <c r="M12" s="61"/>
      <c r="N12" s="61"/>
      <c r="O12" s="61"/>
      <c r="P12" s="61"/>
      <c r="Q12" s="61"/>
      <c r="R12" s="61"/>
      <c r="S12" s="45">
        <f t="shared" si="0"/>
        <v>146</v>
      </c>
      <c r="T12" s="47">
        <f t="shared" si="1"/>
        <v>0.24745762711864408</v>
      </c>
    </row>
    <row r="13" spans="1:22" ht="18" customHeight="1" x14ac:dyDescent="0.15">
      <c r="A13" s="41"/>
      <c r="B13" s="44" t="s">
        <v>151</v>
      </c>
      <c r="C13" s="60">
        <v>884</v>
      </c>
      <c r="D13" s="62">
        <v>149</v>
      </c>
      <c r="E13" s="59">
        <v>200</v>
      </c>
      <c r="F13" s="60">
        <v>800</v>
      </c>
      <c r="G13" s="61">
        <v>186</v>
      </c>
      <c r="H13" s="61">
        <v>171</v>
      </c>
      <c r="I13" s="61"/>
      <c r="J13" s="61"/>
      <c r="K13" s="61"/>
      <c r="L13" s="61"/>
      <c r="M13" s="61"/>
      <c r="N13" s="61"/>
      <c r="O13" s="61"/>
      <c r="P13" s="61"/>
      <c r="Q13" s="61"/>
      <c r="R13" s="61"/>
      <c r="S13" s="45">
        <f t="shared" si="0"/>
        <v>186</v>
      </c>
      <c r="T13" s="47">
        <f t="shared" si="1"/>
        <v>0.23250000000000001</v>
      </c>
    </row>
    <row r="14" spans="1:22" ht="18" customHeight="1" x14ac:dyDescent="0.15">
      <c r="A14" s="41"/>
      <c r="B14" s="44" t="s">
        <v>152</v>
      </c>
      <c r="C14" s="60">
        <v>624</v>
      </c>
      <c r="D14" s="62">
        <v>360</v>
      </c>
      <c r="E14" s="59">
        <v>140</v>
      </c>
      <c r="F14" s="60">
        <v>570</v>
      </c>
      <c r="G14" s="61">
        <v>132</v>
      </c>
      <c r="H14" s="61">
        <v>0</v>
      </c>
      <c r="I14" s="61"/>
      <c r="J14" s="61"/>
      <c r="K14" s="61"/>
      <c r="L14" s="61"/>
      <c r="M14" s="61"/>
      <c r="N14" s="61"/>
      <c r="O14" s="61"/>
      <c r="P14" s="61"/>
      <c r="Q14" s="61"/>
      <c r="R14" s="61"/>
      <c r="S14" s="45">
        <f t="shared" si="0"/>
        <v>132</v>
      </c>
      <c r="T14" s="47">
        <f t="shared" si="1"/>
        <v>0.23157894736842105</v>
      </c>
    </row>
    <row r="15" spans="1:22" ht="18" customHeight="1" x14ac:dyDescent="0.15">
      <c r="A15" s="41"/>
      <c r="B15" s="44"/>
      <c r="C15" s="60"/>
      <c r="D15" s="62"/>
      <c r="E15" s="59"/>
      <c r="F15" s="60"/>
      <c r="G15" s="61"/>
      <c r="H15" s="61"/>
      <c r="I15" s="61"/>
      <c r="J15" s="61"/>
      <c r="K15" s="61"/>
      <c r="L15" s="61"/>
      <c r="M15" s="61"/>
      <c r="N15" s="61"/>
      <c r="O15" s="61"/>
      <c r="P15" s="61"/>
      <c r="Q15" s="61"/>
      <c r="R15" s="61"/>
      <c r="S15" s="45">
        <f t="shared" si="0"/>
        <v>0</v>
      </c>
      <c r="T15" s="47" t="e">
        <f t="shared" si="1"/>
        <v>#DIV/0!</v>
      </c>
    </row>
    <row r="16" spans="1:22" ht="18" customHeight="1" x14ac:dyDescent="0.15">
      <c r="A16" s="41"/>
      <c r="B16" s="44"/>
      <c r="C16" s="60"/>
      <c r="D16" s="62"/>
      <c r="E16" s="59"/>
      <c r="F16" s="60"/>
      <c r="G16" s="61"/>
      <c r="H16" s="61"/>
      <c r="I16" s="61"/>
      <c r="J16" s="61"/>
      <c r="K16" s="61"/>
      <c r="L16" s="61"/>
      <c r="M16" s="61"/>
      <c r="N16" s="61"/>
      <c r="O16" s="61"/>
      <c r="P16" s="61"/>
      <c r="Q16" s="61"/>
      <c r="R16" s="61"/>
      <c r="S16" s="45">
        <f t="shared" si="0"/>
        <v>0</v>
      </c>
      <c r="T16" s="47" t="e">
        <f t="shared" si="1"/>
        <v>#DIV/0!</v>
      </c>
    </row>
    <row r="17" spans="1:20" ht="18" customHeight="1" x14ac:dyDescent="0.15">
      <c r="A17" s="41"/>
      <c r="B17" s="44"/>
      <c r="C17" s="60"/>
      <c r="D17" s="62"/>
      <c r="E17" s="59"/>
      <c r="F17" s="60"/>
      <c r="G17" s="61"/>
      <c r="H17" s="61"/>
      <c r="I17" s="61"/>
      <c r="J17" s="61"/>
      <c r="K17" s="61"/>
      <c r="L17" s="61"/>
      <c r="M17" s="61"/>
      <c r="N17" s="61"/>
      <c r="O17" s="61"/>
      <c r="P17" s="61"/>
      <c r="Q17" s="61"/>
      <c r="R17" s="61"/>
      <c r="S17" s="45">
        <f t="shared" si="0"/>
        <v>0</v>
      </c>
      <c r="T17" s="47" t="e">
        <f t="shared" si="1"/>
        <v>#DIV/0!</v>
      </c>
    </row>
    <row r="18" spans="1:20" ht="18" customHeight="1" x14ac:dyDescent="0.15">
      <c r="A18" s="41"/>
      <c r="B18" s="44"/>
      <c r="C18" s="60"/>
      <c r="D18" s="62"/>
      <c r="E18" s="59"/>
      <c r="F18" s="60"/>
      <c r="G18" s="61"/>
      <c r="H18" s="61"/>
      <c r="I18" s="61"/>
      <c r="J18" s="61"/>
      <c r="K18" s="61"/>
      <c r="L18" s="61"/>
      <c r="M18" s="61"/>
      <c r="N18" s="61"/>
      <c r="O18" s="61"/>
      <c r="P18" s="61"/>
      <c r="Q18" s="61"/>
      <c r="R18" s="61"/>
      <c r="S18" s="45">
        <f t="shared" si="0"/>
        <v>0</v>
      </c>
      <c r="T18" s="47" t="e">
        <f t="shared" si="1"/>
        <v>#DIV/0!</v>
      </c>
    </row>
    <row r="19" spans="1:20" ht="18" customHeight="1" x14ac:dyDescent="0.15">
      <c r="A19" s="41"/>
      <c r="B19" s="44"/>
      <c r="C19" s="60"/>
      <c r="D19" s="62"/>
      <c r="E19" s="59"/>
      <c r="F19" s="60"/>
      <c r="G19" s="61"/>
      <c r="H19" s="61"/>
      <c r="I19" s="61"/>
      <c r="J19" s="61"/>
      <c r="K19" s="61"/>
      <c r="L19" s="61"/>
      <c r="M19" s="61"/>
      <c r="N19" s="61"/>
      <c r="O19" s="61"/>
      <c r="P19" s="61"/>
      <c r="Q19" s="61"/>
      <c r="R19" s="61"/>
      <c r="S19" s="45">
        <f t="shared" si="0"/>
        <v>0</v>
      </c>
      <c r="T19" s="47" t="e">
        <f t="shared" si="1"/>
        <v>#DIV/0!</v>
      </c>
    </row>
    <row r="20" spans="1:20" ht="18" customHeight="1" x14ac:dyDescent="0.15">
      <c r="A20" s="41"/>
      <c r="B20" s="44"/>
      <c r="C20" s="60"/>
      <c r="D20" s="62"/>
      <c r="E20" s="59"/>
      <c r="F20" s="60"/>
      <c r="G20" s="61"/>
      <c r="H20" s="61"/>
      <c r="I20" s="61"/>
      <c r="J20" s="61"/>
      <c r="K20" s="61"/>
      <c r="L20" s="61"/>
      <c r="M20" s="61"/>
      <c r="N20" s="61"/>
      <c r="O20" s="61"/>
      <c r="P20" s="61"/>
      <c r="Q20" s="61"/>
      <c r="R20" s="61"/>
      <c r="S20" s="45">
        <f t="shared" si="0"/>
        <v>0</v>
      </c>
      <c r="T20" s="47" t="e">
        <f t="shared" si="1"/>
        <v>#DIV/0!</v>
      </c>
    </row>
    <row r="21" spans="1:20" ht="18" customHeight="1" x14ac:dyDescent="0.15">
      <c r="A21" s="41"/>
      <c r="B21" s="44"/>
      <c r="C21" s="60"/>
      <c r="D21" s="62"/>
      <c r="E21" s="59"/>
      <c r="F21" s="60"/>
      <c r="G21" s="61"/>
      <c r="H21" s="61"/>
      <c r="I21" s="61"/>
      <c r="J21" s="61"/>
      <c r="K21" s="61"/>
      <c r="L21" s="61"/>
      <c r="M21" s="61"/>
      <c r="N21" s="61"/>
      <c r="O21" s="61"/>
      <c r="P21" s="61"/>
      <c r="Q21" s="61"/>
      <c r="R21" s="61"/>
      <c r="S21" s="45">
        <f t="shared" si="0"/>
        <v>0</v>
      </c>
      <c r="T21" s="47" t="e">
        <f t="shared" si="1"/>
        <v>#DIV/0!</v>
      </c>
    </row>
    <row r="22" spans="1:20" ht="18" customHeight="1" x14ac:dyDescent="0.15">
      <c r="A22" s="41"/>
      <c r="B22" s="44"/>
      <c r="C22" s="60"/>
      <c r="D22" s="62"/>
      <c r="E22" s="59"/>
      <c r="F22" s="60"/>
      <c r="G22" s="61"/>
      <c r="H22" s="61"/>
      <c r="I22" s="61"/>
      <c r="J22" s="61"/>
      <c r="K22" s="61"/>
      <c r="L22" s="61"/>
      <c r="M22" s="61"/>
      <c r="N22" s="61"/>
      <c r="O22" s="61"/>
      <c r="P22" s="61"/>
      <c r="Q22" s="61"/>
      <c r="R22" s="61"/>
      <c r="S22" s="45">
        <f t="shared" si="0"/>
        <v>0</v>
      </c>
      <c r="T22" s="47" t="e">
        <f t="shared" si="1"/>
        <v>#DIV/0!</v>
      </c>
    </row>
    <row r="23" spans="1:20" ht="18" customHeight="1" x14ac:dyDescent="0.15">
      <c r="A23" s="41"/>
      <c r="B23" s="44"/>
      <c r="C23" s="60"/>
      <c r="D23" s="62"/>
      <c r="E23" s="59"/>
      <c r="F23" s="60"/>
      <c r="G23" s="61"/>
      <c r="H23" s="61"/>
      <c r="I23" s="61"/>
      <c r="J23" s="61"/>
      <c r="K23" s="61"/>
      <c r="L23" s="61"/>
      <c r="M23" s="61"/>
      <c r="N23" s="61"/>
      <c r="O23" s="61"/>
      <c r="P23" s="61"/>
      <c r="Q23" s="61"/>
      <c r="R23" s="61"/>
      <c r="S23" s="45">
        <f t="shared" si="0"/>
        <v>0</v>
      </c>
      <c r="T23" s="47" t="e">
        <f t="shared" si="1"/>
        <v>#DIV/0!</v>
      </c>
    </row>
    <row r="24" spans="1:20" ht="18" customHeight="1" x14ac:dyDescent="0.15">
      <c r="A24" s="41"/>
      <c r="B24" s="44"/>
      <c r="C24" s="60"/>
      <c r="D24" s="62"/>
      <c r="E24" s="59"/>
      <c r="F24" s="60"/>
      <c r="G24" s="61"/>
      <c r="H24" s="61"/>
      <c r="I24" s="61"/>
      <c r="J24" s="61"/>
      <c r="K24" s="61"/>
      <c r="L24" s="61"/>
      <c r="M24" s="61"/>
      <c r="N24" s="61"/>
      <c r="O24" s="61"/>
      <c r="P24" s="61"/>
      <c r="Q24" s="61"/>
      <c r="R24" s="61"/>
      <c r="S24" s="45">
        <f t="shared" si="0"/>
        <v>0</v>
      </c>
      <c r="T24" s="47" t="e">
        <f t="shared" si="1"/>
        <v>#DIV/0!</v>
      </c>
    </row>
    <row r="25" spans="1:20" ht="18" customHeight="1" x14ac:dyDescent="0.15">
      <c r="A25" s="41"/>
      <c r="B25" s="44"/>
      <c r="C25" s="60"/>
      <c r="D25" s="62"/>
      <c r="E25" s="59"/>
      <c r="F25" s="60"/>
      <c r="G25" s="61"/>
      <c r="H25" s="61"/>
      <c r="I25" s="61"/>
      <c r="J25" s="61"/>
      <c r="K25" s="61"/>
      <c r="L25" s="61"/>
      <c r="M25" s="61"/>
      <c r="N25" s="61"/>
      <c r="O25" s="61"/>
      <c r="P25" s="61"/>
      <c r="Q25" s="61"/>
      <c r="R25" s="61"/>
      <c r="S25" s="45">
        <f t="shared" si="0"/>
        <v>0</v>
      </c>
      <c r="T25" s="47" t="e">
        <f t="shared" si="1"/>
        <v>#DIV/0!</v>
      </c>
    </row>
    <row r="26" spans="1:20" ht="18" customHeight="1" x14ac:dyDescent="0.15">
      <c r="A26" s="41"/>
      <c r="B26" s="44"/>
      <c r="C26" s="60"/>
      <c r="D26" s="62"/>
      <c r="E26" s="59"/>
      <c r="F26" s="60"/>
      <c r="G26" s="61"/>
      <c r="H26" s="61"/>
      <c r="I26" s="61"/>
      <c r="J26" s="61"/>
      <c r="K26" s="61"/>
      <c r="L26" s="61"/>
      <c r="M26" s="61"/>
      <c r="N26" s="61"/>
      <c r="O26" s="61"/>
      <c r="P26" s="61"/>
      <c r="Q26" s="61"/>
      <c r="R26" s="61"/>
      <c r="S26" s="45">
        <f t="shared" si="0"/>
        <v>0</v>
      </c>
      <c r="T26" s="47" t="e">
        <f t="shared" si="1"/>
        <v>#DIV/0!</v>
      </c>
    </row>
    <row r="27" spans="1:20" ht="18" customHeight="1" x14ac:dyDescent="0.15">
      <c r="A27" s="41"/>
      <c r="B27" s="44"/>
      <c r="C27" s="60"/>
      <c r="D27" s="62"/>
      <c r="E27" s="63"/>
      <c r="F27" s="60"/>
      <c r="G27" s="61"/>
      <c r="H27" s="61"/>
      <c r="I27" s="61"/>
      <c r="J27" s="61"/>
      <c r="K27" s="61"/>
      <c r="L27" s="61"/>
      <c r="M27" s="61"/>
      <c r="N27" s="61"/>
      <c r="O27" s="61"/>
      <c r="P27" s="61"/>
      <c r="Q27" s="61"/>
      <c r="R27" s="61"/>
      <c r="S27" s="45">
        <f t="shared" si="0"/>
        <v>0</v>
      </c>
      <c r="T27" s="47" t="e">
        <f t="shared" si="1"/>
        <v>#DIV/0!</v>
      </c>
    </row>
    <row r="28" spans="1:20" ht="18" customHeight="1" x14ac:dyDescent="0.15">
      <c r="A28" s="41"/>
      <c r="B28" s="44"/>
      <c r="C28" s="60"/>
      <c r="D28" s="62"/>
      <c r="E28" s="63"/>
      <c r="F28" s="60"/>
      <c r="G28" s="61"/>
      <c r="H28" s="61"/>
      <c r="I28" s="61"/>
      <c r="J28" s="61"/>
      <c r="K28" s="61"/>
      <c r="L28" s="61"/>
      <c r="M28" s="61"/>
      <c r="N28" s="61"/>
      <c r="O28" s="61"/>
      <c r="P28" s="61"/>
      <c r="Q28" s="61"/>
      <c r="R28" s="61"/>
      <c r="S28" s="45">
        <f t="shared" si="0"/>
        <v>0</v>
      </c>
      <c r="T28" s="47" t="e">
        <f t="shared" ref="T28:T29" si="2">S28/F28</f>
        <v>#DIV/0!</v>
      </c>
    </row>
    <row r="29" spans="1:20" ht="18" customHeight="1" thickBot="1" x14ac:dyDescent="0.2">
      <c r="A29" s="41"/>
      <c r="B29" s="48"/>
      <c r="C29" s="58"/>
      <c r="D29" s="64"/>
      <c r="E29" s="65"/>
      <c r="F29" s="58"/>
      <c r="G29" s="58"/>
      <c r="H29" s="58"/>
      <c r="I29" s="58"/>
      <c r="J29" s="58"/>
      <c r="K29" s="58"/>
      <c r="L29" s="58"/>
      <c r="M29" s="58"/>
      <c r="N29" s="58"/>
      <c r="O29" s="58"/>
      <c r="P29" s="58"/>
      <c r="Q29" s="58"/>
      <c r="R29" s="58"/>
      <c r="S29" s="3">
        <f t="shared" si="0"/>
        <v>0</v>
      </c>
      <c r="T29" s="47" t="e">
        <f t="shared" si="2"/>
        <v>#DIV/0!</v>
      </c>
    </row>
    <row r="30" spans="1:20" ht="18" customHeight="1" thickTop="1" x14ac:dyDescent="0.15">
      <c r="B30" s="49" t="s">
        <v>33</v>
      </c>
      <c r="C30" s="51">
        <f t="shared" ref="C30" si="3">SUM(C10:C29)</f>
        <v>3931</v>
      </c>
      <c r="D30" s="111">
        <f>SUM(D10:D29)</f>
        <v>1020</v>
      </c>
      <c r="E30" s="50">
        <f t="shared" ref="E30:G30" si="4">SUM(E10:E29)</f>
        <v>910</v>
      </c>
      <c r="F30" s="51">
        <f t="shared" si="4"/>
        <v>3740</v>
      </c>
      <c r="G30" s="51">
        <f t="shared" si="4"/>
        <v>857</v>
      </c>
      <c r="H30" s="51">
        <f t="shared" ref="H30:K30" si="5">SUM(H10:H29)</f>
        <v>371</v>
      </c>
      <c r="I30" s="51">
        <f t="shared" si="5"/>
        <v>0</v>
      </c>
      <c r="J30" s="51">
        <f t="shared" si="5"/>
        <v>0</v>
      </c>
      <c r="K30" s="51">
        <f t="shared" si="5"/>
        <v>0</v>
      </c>
      <c r="L30" s="51">
        <f t="shared" ref="L30:M30" si="6">SUM(L10:L29)</f>
        <v>0</v>
      </c>
      <c r="M30" s="51">
        <f t="shared" si="6"/>
        <v>0</v>
      </c>
      <c r="N30" s="51">
        <f t="shared" ref="N30:S30" si="7">SUM(N10:N29)</f>
        <v>0</v>
      </c>
      <c r="O30" s="51">
        <f t="shared" si="7"/>
        <v>0</v>
      </c>
      <c r="P30" s="51">
        <f t="shared" si="7"/>
        <v>0</v>
      </c>
      <c r="Q30" s="51">
        <f t="shared" si="7"/>
        <v>0</v>
      </c>
      <c r="R30" s="51">
        <f t="shared" si="7"/>
        <v>0</v>
      </c>
      <c r="S30" s="51">
        <f t="shared" si="7"/>
        <v>857</v>
      </c>
      <c r="T30" s="52">
        <f>S30/F30</f>
        <v>0.22914438502673798</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G10:R29 C10:F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9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topLeftCell="A44" zoomScaleNormal="100" zoomScaleSheetLayoutView="100" workbookViewId="0">
      <selection activeCell="C41" sqref="C41:E41"/>
    </sheetView>
  </sheetViews>
  <sheetFormatPr defaultColWidth="11.375" defaultRowHeight="18.75" customHeight="1" x14ac:dyDescent="0.15"/>
  <cols>
    <col min="1" max="1" width="2.75" style="7" customWidth="1"/>
    <col min="2" max="2" width="8" style="8" customWidth="1"/>
    <col min="3" max="3" width="17.125" style="8" bestFit="1" customWidth="1"/>
    <col min="4" max="4" width="41.625" style="8" customWidth="1"/>
    <col min="5" max="5" width="12.125" style="8" customWidth="1"/>
    <col min="6" max="16384" width="11.375" style="8"/>
  </cols>
  <sheetData>
    <row r="1" spans="1:5" ht="18.75" customHeight="1" x14ac:dyDescent="0.15">
      <c r="A1" s="7" t="s">
        <v>58</v>
      </c>
      <c r="E1" s="9" t="s">
        <v>83</v>
      </c>
    </row>
    <row r="2" spans="1:5" ht="10.9" customHeight="1" x14ac:dyDescent="0.15">
      <c r="E2" s="10"/>
    </row>
    <row r="3" spans="1:5" ht="18.600000000000001" customHeight="1" x14ac:dyDescent="0.15">
      <c r="A3" s="153" t="s">
        <v>36</v>
      </c>
      <c r="B3" s="153"/>
      <c r="C3" s="153"/>
      <c r="D3" s="153"/>
      <c r="E3" s="153"/>
    </row>
    <row r="4" spans="1:5" ht="13.15" customHeight="1" x14ac:dyDescent="0.15">
      <c r="B4" s="12"/>
      <c r="C4" s="12"/>
      <c r="D4" s="12"/>
      <c r="E4" s="12"/>
    </row>
    <row r="5" spans="1:5" ht="18" customHeight="1" x14ac:dyDescent="0.15">
      <c r="A5" s="8" t="s">
        <v>0</v>
      </c>
      <c r="B5" s="142" t="s">
        <v>76</v>
      </c>
      <c r="C5" s="142"/>
      <c r="D5" s="142"/>
      <c r="E5" s="142"/>
    </row>
    <row r="6" spans="1:5" ht="18.600000000000001" customHeight="1" x14ac:dyDescent="0.15">
      <c r="B6" s="29" t="s">
        <v>77</v>
      </c>
      <c r="C6" s="124">
        <v>123</v>
      </c>
      <c r="D6" s="10" t="s">
        <v>1</v>
      </c>
      <c r="E6" s="14"/>
    </row>
    <row r="7" spans="1:5" ht="18.600000000000001" customHeight="1" x14ac:dyDescent="0.15">
      <c r="B7" s="29" t="s">
        <v>2</v>
      </c>
      <c r="C7" s="124">
        <v>150</v>
      </c>
      <c r="D7" s="10" t="s">
        <v>1</v>
      </c>
      <c r="E7" s="14"/>
    </row>
    <row r="8" spans="1:5" ht="18.600000000000001" customHeight="1" x14ac:dyDescent="0.15">
      <c r="B8" s="9"/>
      <c r="C8" s="9"/>
      <c r="D8" s="10"/>
      <c r="E8" s="14"/>
    </row>
    <row r="9" spans="1:5" ht="18" customHeight="1" x14ac:dyDescent="0.15">
      <c r="A9" s="8" t="s">
        <v>3</v>
      </c>
      <c r="B9" s="142" t="s">
        <v>122</v>
      </c>
      <c r="C9" s="142"/>
      <c r="D9" s="142"/>
      <c r="E9" s="142"/>
    </row>
    <row r="10" spans="1:5" ht="18" customHeight="1" x14ac:dyDescent="0.15">
      <c r="A10" s="8"/>
      <c r="B10" s="10"/>
      <c r="C10" s="124">
        <v>5</v>
      </c>
      <c r="D10" s="10" t="s">
        <v>1</v>
      </c>
      <c r="E10" s="10"/>
    </row>
    <row r="11" spans="1:5" ht="9" customHeight="1" x14ac:dyDescent="0.15">
      <c r="B11" s="12"/>
      <c r="C11" s="12"/>
      <c r="D11" s="12"/>
      <c r="E11" s="12"/>
    </row>
    <row r="12" spans="1:5" ht="18" customHeight="1" x14ac:dyDescent="0.15">
      <c r="A12" s="8" t="s">
        <v>4</v>
      </c>
      <c r="B12" s="142" t="s">
        <v>78</v>
      </c>
      <c r="C12" s="142"/>
      <c r="D12" s="142"/>
      <c r="E12" s="142"/>
    </row>
    <row r="13" spans="1:5" ht="18" customHeight="1" x14ac:dyDescent="0.15">
      <c r="C13" s="9" t="s">
        <v>41</v>
      </c>
      <c r="D13" s="69" t="s">
        <v>153</v>
      </c>
      <c r="E13" s="10"/>
    </row>
    <row r="14" spans="1:5" ht="18" customHeight="1" x14ac:dyDescent="0.15">
      <c r="C14" s="9" t="s">
        <v>10</v>
      </c>
      <c r="D14" s="69" t="s">
        <v>154</v>
      </c>
      <c r="E14" s="14"/>
    </row>
    <row r="15" spans="1:5" ht="10.15" customHeight="1" x14ac:dyDescent="0.15">
      <c r="B15" s="9"/>
      <c r="C15" s="10"/>
      <c r="D15" s="14"/>
      <c r="E15" s="14"/>
    </row>
    <row r="16" spans="1:5" ht="18" customHeight="1" x14ac:dyDescent="0.15">
      <c r="A16" s="8" t="s">
        <v>7</v>
      </c>
      <c r="B16" s="142" t="s">
        <v>74</v>
      </c>
      <c r="C16" s="142"/>
      <c r="D16" s="142"/>
      <c r="E16" s="142"/>
    </row>
    <row r="17" spans="1:10" ht="18" customHeight="1" x14ac:dyDescent="0.15">
      <c r="C17" s="9" t="s">
        <v>118</v>
      </c>
      <c r="D17" s="69" t="s">
        <v>155</v>
      </c>
      <c r="E17" s="10"/>
    </row>
    <row r="18" spans="1:10" ht="9" customHeight="1" x14ac:dyDescent="0.15">
      <c r="B18" s="12"/>
      <c r="C18" s="12"/>
      <c r="D18" s="12"/>
      <c r="E18" s="12"/>
    </row>
    <row r="19" spans="1:10" ht="18.75" customHeight="1" x14ac:dyDescent="0.15">
      <c r="A19" s="8" t="s">
        <v>5</v>
      </c>
      <c r="B19" s="141" t="s">
        <v>40</v>
      </c>
      <c r="C19" s="141"/>
      <c r="D19" s="141"/>
      <c r="E19" s="141"/>
    </row>
    <row r="20" spans="1:10" ht="63" customHeight="1" x14ac:dyDescent="0.15">
      <c r="A20" s="8"/>
      <c r="C20" s="9" t="s">
        <v>118</v>
      </c>
      <c r="D20" s="66" t="s">
        <v>170</v>
      </c>
      <c r="E20" s="10"/>
    </row>
    <row r="21" spans="1:10" ht="7.5" customHeight="1" x14ac:dyDescent="0.15">
      <c r="B21" s="12"/>
      <c r="C21" s="12"/>
      <c r="D21" s="12"/>
      <c r="E21" s="12"/>
    </row>
    <row r="22" spans="1:10" ht="18.75" customHeight="1" x14ac:dyDescent="0.15">
      <c r="A22" s="8" t="s">
        <v>8</v>
      </c>
      <c r="B22" s="141" t="s">
        <v>25</v>
      </c>
      <c r="C22" s="141"/>
      <c r="D22" s="141"/>
      <c r="E22" s="141"/>
    </row>
    <row r="23" spans="1:10" ht="90" customHeight="1" x14ac:dyDescent="0.15">
      <c r="A23" s="15"/>
      <c r="B23" s="16"/>
      <c r="C23" s="165" t="s">
        <v>156</v>
      </c>
      <c r="D23" s="166"/>
      <c r="E23" s="167"/>
    </row>
    <row r="24" spans="1:10" ht="7.5" customHeight="1" x14ac:dyDescent="0.15">
      <c r="A24" s="15"/>
      <c r="B24" s="15"/>
      <c r="C24" s="15"/>
      <c r="D24" s="15"/>
      <c r="E24" s="15"/>
    </row>
    <row r="25" spans="1:10" ht="18.75" customHeight="1" x14ac:dyDescent="0.15">
      <c r="A25" s="17" t="s">
        <v>6</v>
      </c>
      <c r="B25" s="170" t="s">
        <v>9</v>
      </c>
      <c r="C25" s="171"/>
      <c r="D25" s="171"/>
      <c r="E25" s="171"/>
    </row>
    <row r="26" spans="1:10" ht="285" customHeight="1" x14ac:dyDescent="0.15">
      <c r="A26" s="15"/>
      <c r="B26" s="16"/>
      <c r="C26" s="165" t="s">
        <v>169</v>
      </c>
      <c r="D26" s="166"/>
      <c r="E26" s="167"/>
    </row>
    <row r="27" spans="1:10" ht="7.5" customHeight="1" x14ac:dyDescent="0.15">
      <c r="A27" s="18"/>
      <c r="B27" s="18"/>
      <c r="C27" s="18"/>
      <c r="D27" s="18"/>
      <c r="E27" s="18"/>
    </row>
    <row r="28" spans="1:10" ht="18.75" customHeight="1" x14ac:dyDescent="0.15">
      <c r="A28" s="8" t="s">
        <v>31</v>
      </c>
      <c r="B28" s="141" t="s">
        <v>121</v>
      </c>
      <c r="C28" s="164"/>
      <c r="D28" s="164"/>
      <c r="E28" s="141"/>
    </row>
    <row r="29" spans="1:10" s="12" customFormat="1" ht="18.75" customHeight="1" x14ac:dyDescent="0.15">
      <c r="B29" s="25"/>
      <c r="C29" s="21" t="s">
        <v>123</v>
      </c>
      <c r="D29" s="30">
        <f>IFERROR('様式２ 履修者等数の実績'!T30, "（様式２より自動転記）")</f>
        <v>0.22914438502673798</v>
      </c>
      <c r="E29" s="26"/>
      <c r="F29" s="8"/>
      <c r="I29" s="8"/>
      <c r="J29" s="20"/>
    </row>
    <row r="30" spans="1:10" s="12" customFormat="1" ht="18.75" customHeight="1" x14ac:dyDescent="0.15">
      <c r="B30" s="25"/>
      <c r="C30" s="21" t="s">
        <v>75</v>
      </c>
      <c r="D30" s="30">
        <v>0.5</v>
      </c>
      <c r="E30" s="26"/>
      <c r="F30" s="8"/>
      <c r="I30" s="8"/>
      <c r="J30" s="20"/>
    </row>
    <row r="31" spans="1:10" s="12" customFormat="1" ht="18.75" customHeight="1" x14ac:dyDescent="0.15">
      <c r="B31" s="25"/>
      <c r="C31" s="21" t="s">
        <v>89</v>
      </c>
      <c r="D31" s="30">
        <v>0.75</v>
      </c>
      <c r="E31" s="26"/>
      <c r="F31" s="8"/>
      <c r="I31" s="8"/>
      <c r="J31" s="20"/>
    </row>
    <row r="32" spans="1:10" s="12" customFormat="1" ht="18.75" customHeight="1" x14ac:dyDescent="0.15">
      <c r="B32" s="22"/>
      <c r="C32" s="19" t="s">
        <v>119</v>
      </c>
      <c r="D32" s="30">
        <v>0.75</v>
      </c>
      <c r="E32" s="27"/>
      <c r="F32" s="8"/>
      <c r="I32" s="8"/>
      <c r="J32" s="20"/>
    </row>
    <row r="33" spans="1:11" s="12" customFormat="1" ht="18.75" customHeight="1" x14ac:dyDescent="0.15">
      <c r="B33" s="22"/>
      <c r="C33" s="19" t="s">
        <v>120</v>
      </c>
      <c r="D33" s="30">
        <v>0.75</v>
      </c>
      <c r="E33" s="27"/>
      <c r="F33" s="8"/>
      <c r="I33" s="8"/>
      <c r="J33" s="20"/>
    </row>
    <row r="34" spans="1:11" ht="18.75" customHeight="1" x14ac:dyDescent="0.15">
      <c r="A34" s="8"/>
      <c r="B34" s="169" t="s">
        <v>59</v>
      </c>
      <c r="C34" s="169"/>
      <c r="D34" s="169"/>
      <c r="E34" s="169"/>
      <c r="J34" s="20"/>
      <c r="K34" s="12"/>
    </row>
    <row r="35" spans="1:11" ht="180" customHeight="1" x14ac:dyDescent="0.15">
      <c r="A35" s="8"/>
      <c r="B35" s="16"/>
      <c r="C35" s="165" t="s">
        <v>171</v>
      </c>
      <c r="D35" s="166"/>
      <c r="E35" s="167"/>
      <c r="J35" s="20"/>
      <c r="K35" s="12"/>
    </row>
    <row r="36" spans="1:11" ht="7.5" customHeight="1" x14ac:dyDescent="0.15">
      <c r="A36" s="15"/>
      <c r="B36" s="15"/>
      <c r="C36" s="15"/>
      <c r="D36" s="15"/>
      <c r="E36" s="15"/>
    </row>
    <row r="37" spans="1:11" ht="18.75" customHeight="1" x14ac:dyDescent="0.15">
      <c r="A37" s="17" t="s">
        <v>34</v>
      </c>
      <c r="B37" s="141" t="s">
        <v>37</v>
      </c>
      <c r="C37" s="164"/>
      <c r="D37" s="164"/>
      <c r="E37" s="164"/>
    </row>
    <row r="38" spans="1:11" ht="180" customHeight="1" x14ac:dyDescent="0.15">
      <c r="A38" s="18"/>
      <c r="B38" s="16"/>
      <c r="C38" s="165" t="s">
        <v>172</v>
      </c>
      <c r="D38" s="166"/>
      <c r="E38" s="167"/>
    </row>
    <row r="39" spans="1:11" ht="7.5" customHeight="1" x14ac:dyDescent="0.15">
      <c r="A39" s="18"/>
      <c r="B39" s="18"/>
      <c r="C39" s="18"/>
      <c r="D39" s="18"/>
      <c r="E39" s="18"/>
    </row>
    <row r="40" spans="1:11" ht="18.75" customHeight="1" x14ac:dyDescent="0.15">
      <c r="A40" s="8" t="s">
        <v>11</v>
      </c>
      <c r="B40" s="141" t="s">
        <v>39</v>
      </c>
      <c r="C40" s="164"/>
      <c r="D40" s="164"/>
      <c r="E40" s="164"/>
    </row>
    <row r="41" spans="1:11" ht="180" customHeight="1" x14ac:dyDescent="0.15">
      <c r="A41" s="8"/>
      <c r="B41" s="16"/>
      <c r="C41" s="165" t="s">
        <v>173</v>
      </c>
      <c r="D41" s="166"/>
      <c r="E41" s="167"/>
    </row>
    <row r="42" spans="1:11" ht="7.5" customHeight="1" x14ac:dyDescent="0.15">
      <c r="A42" s="18"/>
      <c r="B42" s="18"/>
      <c r="C42" s="18"/>
      <c r="D42" s="18"/>
      <c r="E42" s="18"/>
    </row>
    <row r="43" spans="1:11" ht="18.75" customHeight="1" x14ac:dyDescent="0.15">
      <c r="A43" s="8" t="s">
        <v>42</v>
      </c>
      <c r="B43" s="141" t="s">
        <v>13</v>
      </c>
      <c r="C43" s="164"/>
      <c r="D43" s="164"/>
      <c r="E43" s="164"/>
    </row>
    <row r="44" spans="1:11" ht="208.5" customHeight="1" x14ac:dyDescent="0.15">
      <c r="A44" s="8"/>
      <c r="B44" s="16"/>
      <c r="C44" s="165" t="s">
        <v>162</v>
      </c>
      <c r="D44" s="166"/>
      <c r="E44" s="167"/>
    </row>
    <row r="45" spans="1:11" ht="7.5" customHeight="1" x14ac:dyDescent="0.15">
      <c r="A45" s="18"/>
      <c r="B45" s="18"/>
      <c r="C45" s="18"/>
      <c r="D45" s="18"/>
      <c r="E45" s="18"/>
    </row>
    <row r="46" spans="1:11" ht="18.75" customHeight="1" x14ac:dyDescent="0.15">
      <c r="A46" s="8" t="s">
        <v>30</v>
      </c>
      <c r="B46" s="141" t="s">
        <v>44</v>
      </c>
      <c r="C46" s="141"/>
      <c r="D46" s="141"/>
      <c r="E46" s="141"/>
    </row>
    <row r="47" spans="1:11" ht="175.5" customHeight="1" x14ac:dyDescent="0.15">
      <c r="A47" s="18"/>
      <c r="B47" s="16"/>
      <c r="C47" s="165" t="s">
        <v>163</v>
      </c>
      <c r="D47" s="166"/>
      <c r="E47" s="167"/>
    </row>
    <row r="48" spans="1:11" ht="7.5" customHeight="1" x14ac:dyDescent="0.15">
      <c r="A48" s="18"/>
      <c r="B48" s="23"/>
      <c r="C48" s="23"/>
      <c r="D48" s="23"/>
      <c r="E48" s="23"/>
    </row>
    <row r="49" spans="1:5" ht="18.75" customHeight="1" x14ac:dyDescent="0.15">
      <c r="A49" s="8"/>
      <c r="B49" s="168"/>
      <c r="C49" s="168"/>
      <c r="D49" s="168"/>
      <c r="E49" s="168"/>
    </row>
    <row r="50" spans="1:5" ht="18.75" customHeight="1" x14ac:dyDescent="0.15">
      <c r="A50" s="8"/>
      <c r="B50" s="168"/>
      <c r="C50" s="168"/>
      <c r="D50" s="168"/>
      <c r="E50" s="168"/>
    </row>
    <row r="51" spans="1:5" ht="18.75" customHeight="1" x14ac:dyDescent="0.15">
      <c r="A51" s="18"/>
      <c r="B51" s="16"/>
      <c r="C51" s="16"/>
      <c r="D51" s="16"/>
      <c r="E51" s="24"/>
    </row>
    <row r="52" spans="1:5" ht="18.75" customHeight="1" x14ac:dyDescent="0.15">
      <c r="A52" s="18"/>
      <c r="B52" s="24"/>
      <c r="C52" s="24"/>
      <c r="D52" s="24"/>
      <c r="E52" s="24"/>
    </row>
    <row r="53" spans="1:5" ht="18.75" customHeight="1" x14ac:dyDescent="0.15">
      <c r="A53" s="18"/>
      <c r="B53" s="24"/>
      <c r="C53" s="24"/>
      <c r="D53" s="24"/>
      <c r="E53" s="24"/>
    </row>
    <row r="54" spans="1:5" ht="18.75" customHeight="1" x14ac:dyDescent="0.15">
      <c r="A54" s="18"/>
      <c r="B54" s="24"/>
      <c r="C54" s="24"/>
      <c r="D54" s="24"/>
      <c r="E54" s="24"/>
    </row>
    <row r="55" spans="1:5" ht="18.75" customHeight="1" x14ac:dyDescent="0.15">
      <c r="A55" s="18"/>
      <c r="B55" s="24"/>
      <c r="C55" s="24"/>
      <c r="D55" s="24"/>
      <c r="E55" s="24"/>
    </row>
    <row r="56" spans="1:5" ht="18.75" customHeight="1" x14ac:dyDescent="0.15">
      <c r="A56" s="18"/>
      <c r="B56" s="24"/>
      <c r="C56" s="24"/>
      <c r="D56" s="24"/>
      <c r="E56" s="24"/>
    </row>
    <row r="57" spans="1:5" ht="18.75" customHeight="1" x14ac:dyDescent="0.15">
      <c r="A57" s="18"/>
      <c r="B57" s="24"/>
      <c r="C57" s="24"/>
      <c r="D57" s="24"/>
      <c r="E57" s="24"/>
    </row>
    <row r="58" spans="1:5" ht="18.75" customHeight="1" x14ac:dyDescent="0.15">
      <c r="A58" s="18"/>
      <c r="B58" s="24"/>
      <c r="C58" s="24"/>
      <c r="D58" s="24"/>
      <c r="E58" s="24"/>
    </row>
    <row r="59" spans="1:5" ht="18.75" customHeight="1" x14ac:dyDescent="0.15">
      <c r="A59" s="18"/>
      <c r="B59" s="24"/>
      <c r="C59" s="24"/>
      <c r="D59" s="24"/>
      <c r="E59" s="24"/>
    </row>
    <row r="60" spans="1:5" ht="18.75" customHeight="1" x14ac:dyDescent="0.15">
      <c r="A60" s="18"/>
      <c r="B60" s="24"/>
      <c r="C60" s="24"/>
      <c r="D60" s="24"/>
      <c r="E60" s="24"/>
    </row>
    <row r="61" spans="1:5" ht="14.25" x14ac:dyDescent="0.15">
      <c r="A61" s="18"/>
      <c r="B61" s="24"/>
      <c r="C61" s="24"/>
      <c r="D61" s="24"/>
      <c r="E61" s="24"/>
    </row>
    <row r="62" spans="1:5" ht="7.5" customHeight="1" x14ac:dyDescent="0.15">
      <c r="A62" s="18"/>
      <c r="B62" s="24"/>
      <c r="C62" s="24"/>
      <c r="D62" s="24"/>
      <c r="E62" s="24"/>
    </row>
  </sheetData>
  <mergeCells count="22">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 ref="B40:E40"/>
    <mergeCell ref="B43:E43"/>
    <mergeCell ref="C26:E26"/>
    <mergeCell ref="C35:E35"/>
    <mergeCell ref="C38:E38"/>
    <mergeCell ref="C41:E41"/>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tabSelected="1" view="pageBreakPreview" zoomScaleNormal="100" zoomScaleSheetLayoutView="100" workbookViewId="0">
      <selection activeCell="D21" sqref="D21"/>
    </sheetView>
  </sheetViews>
  <sheetFormatPr defaultColWidth="11.375" defaultRowHeight="22.5" customHeight="1" x14ac:dyDescent="0.15"/>
  <cols>
    <col min="1" max="1" width="5.875" style="8" customWidth="1"/>
    <col min="2" max="2" width="7.25" style="8" customWidth="1"/>
    <col min="3" max="3" width="31.125" style="8" customWidth="1"/>
    <col min="4" max="4" width="77.125" style="8" customWidth="1"/>
    <col min="5" max="5" width="7.625" style="8" bestFit="1" customWidth="1"/>
    <col min="6" max="16384" width="11.375" style="8"/>
  </cols>
  <sheetData>
    <row r="1" spans="1:5" ht="18.75" customHeight="1" x14ac:dyDescent="0.15">
      <c r="A1" s="8" t="s">
        <v>60</v>
      </c>
      <c r="E1" s="9" t="s">
        <v>82</v>
      </c>
    </row>
    <row r="2" spans="1:5" ht="18.75" customHeight="1" x14ac:dyDescent="0.15">
      <c r="A2" s="153" t="s">
        <v>28</v>
      </c>
      <c r="B2" s="153"/>
      <c r="C2" s="153"/>
      <c r="D2" s="153"/>
      <c r="E2" s="153"/>
    </row>
    <row r="3" spans="1:5" ht="18.75" customHeight="1" x14ac:dyDescent="0.15">
      <c r="A3" s="11"/>
      <c r="B3" s="11"/>
      <c r="C3" s="11"/>
      <c r="D3" s="11"/>
    </row>
    <row r="4" spans="1:5" ht="18.75" customHeight="1" x14ac:dyDescent="0.15">
      <c r="A4" s="12" t="s">
        <v>0</v>
      </c>
      <c r="B4" s="172" t="s">
        <v>124</v>
      </c>
      <c r="C4" s="172"/>
      <c r="D4" s="113" t="s">
        <v>155</v>
      </c>
    </row>
    <row r="5" spans="1:5" ht="9" customHeight="1" x14ac:dyDescent="0.15">
      <c r="A5" s="11"/>
      <c r="B5" s="10"/>
      <c r="C5" s="10"/>
      <c r="D5" s="10"/>
    </row>
    <row r="6" spans="1:5" ht="18.75" customHeight="1" x14ac:dyDescent="0.15">
      <c r="A6" s="177" t="s">
        <v>41</v>
      </c>
      <c r="B6" s="178"/>
      <c r="C6" s="69" t="s">
        <v>153</v>
      </c>
    </row>
    <row r="7" spans="1:5" ht="18.75" customHeight="1" x14ac:dyDescent="0.15">
      <c r="A7" s="177" t="s">
        <v>10</v>
      </c>
      <c r="B7" s="178"/>
      <c r="C7" s="69" t="s">
        <v>154</v>
      </c>
      <c r="D7" s="10"/>
    </row>
    <row r="8" spans="1:5" ht="7.5" customHeight="1" x14ac:dyDescent="0.15">
      <c r="A8" s="11"/>
      <c r="B8" s="11"/>
      <c r="C8" s="11"/>
      <c r="D8" s="11"/>
    </row>
    <row r="9" spans="1:5" ht="18.75" customHeight="1" x14ac:dyDescent="0.15">
      <c r="A9" s="12" t="s">
        <v>3</v>
      </c>
      <c r="B9" s="8" t="s">
        <v>27</v>
      </c>
      <c r="C9" s="18"/>
      <c r="D9" s="18"/>
    </row>
    <row r="10" spans="1:5" ht="18.75" customHeight="1" x14ac:dyDescent="0.15">
      <c r="B10" s="146" t="s">
        <v>24</v>
      </c>
      <c r="C10" s="176"/>
      <c r="D10" s="31" t="s">
        <v>26</v>
      </c>
    </row>
    <row r="11" spans="1:5" ht="19.149999999999999" customHeight="1" x14ac:dyDescent="0.15">
      <c r="B11" s="179" t="s">
        <v>14</v>
      </c>
      <c r="C11" s="180"/>
      <c r="D11" s="181"/>
    </row>
    <row r="12" spans="1:5" ht="198" customHeight="1" x14ac:dyDescent="0.15">
      <c r="B12" s="33"/>
      <c r="C12" s="34" t="s">
        <v>15</v>
      </c>
      <c r="D12" s="53" t="s">
        <v>165</v>
      </c>
    </row>
    <row r="13" spans="1:5" ht="198" customHeight="1" x14ac:dyDescent="0.15">
      <c r="B13" s="33"/>
      <c r="C13" s="35" t="s">
        <v>16</v>
      </c>
      <c r="D13" s="53" t="s">
        <v>166</v>
      </c>
    </row>
    <row r="14" spans="1:5" ht="198" customHeight="1" x14ac:dyDescent="0.15">
      <c r="B14" s="33"/>
      <c r="C14" s="34" t="s">
        <v>17</v>
      </c>
      <c r="D14" s="53" t="s">
        <v>167</v>
      </c>
    </row>
    <row r="15" spans="1:5" ht="198" customHeight="1" x14ac:dyDescent="0.15">
      <c r="B15" s="33"/>
      <c r="C15" s="34" t="s">
        <v>18</v>
      </c>
      <c r="D15" s="53" t="s">
        <v>157</v>
      </c>
    </row>
    <row r="16" spans="1:5" ht="198" customHeight="1" x14ac:dyDescent="0.15">
      <c r="B16" s="36"/>
      <c r="C16" s="37" t="s">
        <v>19</v>
      </c>
      <c r="D16" s="54" t="s">
        <v>168</v>
      </c>
    </row>
    <row r="17" spans="2:4" ht="19.149999999999999" customHeight="1" x14ac:dyDescent="0.15">
      <c r="B17" s="32" t="s">
        <v>20</v>
      </c>
      <c r="C17" s="38"/>
      <c r="D17" s="39"/>
    </row>
    <row r="18" spans="2:4" ht="198" customHeight="1" x14ac:dyDescent="0.15">
      <c r="B18" s="33"/>
      <c r="C18" s="34" t="s">
        <v>21</v>
      </c>
      <c r="D18" s="53" t="s">
        <v>158</v>
      </c>
    </row>
    <row r="19" spans="2:4" ht="198" customHeight="1" x14ac:dyDescent="0.15">
      <c r="B19" s="36"/>
      <c r="C19" s="37" t="s">
        <v>22</v>
      </c>
      <c r="D19" s="54" t="s">
        <v>159</v>
      </c>
    </row>
    <row r="20" spans="2:4" ht="198" customHeight="1" x14ac:dyDescent="0.15">
      <c r="B20" s="174" t="s">
        <v>23</v>
      </c>
      <c r="C20" s="175"/>
      <c r="D20" s="55" t="s">
        <v>160</v>
      </c>
    </row>
    <row r="21" spans="2:4" ht="198" customHeight="1" x14ac:dyDescent="0.15">
      <c r="B21" s="173" t="s">
        <v>91</v>
      </c>
      <c r="C21" s="171"/>
      <c r="D21" s="56" t="s">
        <v>164</v>
      </c>
    </row>
    <row r="22" spans="2:4" ht="22.5" customHeight="1" x14ac:dyDescent="0.15">
      <c r="B22" s="18"/>
      <c r="C22" s="18"/>
      <c r="D22" s="18"/>
    </row>
    <row r="23" spans="2:4" ht="22.5" customHeight="1" x14ac:dyDescent="0.15">
      <c r="B23" s="18"/>
      <c r="C23" s="18"/>
      <c r="D23" s="18"/>
    </row>
    <row r="24" spans="2:4" ht="22.5" customHeight="1" x14ac:dyDescent="0.15">
      <c r="B24" s="18"/>
      <c r="C24" s="18"/>
      <c r="D24" s="18"/>
    </row>
    <row r="25" spans="2:4" ht="22.5" customHeight="1" x14ac:dyDescent="0.15">
      <c r="B25" s="18"/>
      <c r="C25" s="18"/>
      <c r="D25" s="18"/>
    </row>
    <row r="26" spans="2:4" ht="22.5" customHeight="1" x14ac:dyDescent="0.15">
      <c r="B26" s="18"/>
      <c r="C26" s="18"/>
      <c r="D26" s="18"/>
    </row>
    <row r="27" spans="2:4" ht="22.5" customHeight="1" x14ac:dyDescent="0.15">
      <c r="B27" s="15"/>
      <c r="C27" s="15"/>
      <c r="D27" s="15"/>
    </row>
    <row r="28" spans="2:4" ht="22.5" customHeight="1" x14ac:dyDescent="0.15">
      <c r="B28" s="15"/>
      <c r="C28" s="15"/>
      <c r="D28" s="15"/>
    </row>
    <row r="29" spans="2:4" ht="22.5" customHeight="1" x14ac:dyDescent="0.15">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7"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2025-10-09T06:43:13Z</dcterms:created>
  <dcterms:modified xsi:type="dcterms:W3CDTF">2025-12-05T03:41:45Z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