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defaultThemeVersion="124226"/>
  <mc:AlternateContent xmlns:mc="http://schemas.openxmlformats.org/markup-compatibility/2006">
    <mc:Choice Requires="x15">
      <x15ac:absPath xmlns:x15ac="http://schemas.microsoft.com/office/spreadsheetml/2010/11/ac" url="C:\Users\kiyosawa\AppData\Local\Box\Box Edit\Documents\ju_1Rc5Juk2ABKMUjooWdg==\"/>
    </mc:Choice>
  </mc:AlternateContent>
  <xr:revisionPtr revIDLastSave="0" documentId="13_ncr:1_{B4355E69-DAE2-44B6-9993-A747BD30FAFB}" xr6:coauthVersionLast="47" xr6:coauthVersionMax="47" xr10:uidLastSave="{00000000-0000-0000-0000-000000000000}"/>
  <bookViews>
    <workbookView xWindow="-28920" yWindow="-12180" windowWidth="29040" windowHeight="15840" tabRatio="885" activeTab="2" xr2:uid="{00000000-000D-0000-FFFF-FFFF00000000}"/>
  </bookViews>
  <sheets>
    <sheet name="様式１-1　プログラムを構成する授業科目" sheetId="39" r:id="rId1"/>
    <sheet name="様式１-2　プログラムを構成する授業科目" sheetId="43" r:id="rId2"/>
    <sheet name="様式１-3　プログラムを構成する授業科目" sheetId="44"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'様式１-1　プログラムを構成する授業科目'!$X$16:$X$18</definedName>
    <definedName name="_xlnm._FilterDatabase" localSheetId="1" hidden="1">'様式１-2　プログラムを構成する授業科目'!$X$16:$X$18</definedName>
    <definedName name="_xlnm._FilterDatabase" localSheetId="2" hidden="1">'様式１-3　プログラムを構成する授業科目'!$X$16:$X$18</definedName>
    <definedName name="_xlnm._FilterDatabase" localSheetId="3" hidden="1">'様式２ 履修者等数の実績'!#REF!</definedName>
    <definedName name="_xlnm.Print_Area" localSheetId="0">'様式１-1　プログラムを構成する授業科目'!$A$1:$U$112</definedName>
    <definedName name="_xlnm.Print_Area" localSheetId="1">'様式１-2　プログラムを構成する授業科目'!$A$1:$U$112</definedName>
    <definedName name="_xlnm.Print_Area" localSheetId="2">'様式１-3　プログラムを構成する授業科目'!$A$1:$U$112</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4" i="40" l="1"/>
  <c r="R14" i="40"/>
  <c r="M7" i="40"/>
  <c r="I2" i="42"/>
  <c r="H2" i="41"/>
  <c r="Q2" i="40"/>
  <c r="I33" i="40" l="1"/>
  <c r="M33" i="40"/>
  <c r="P33" i="40"/>
  <c r="Q33" i="40"/>
  <c r="O33" i="40"/>
  <c r="N33" i="40"/>
  <c r="L33" i="40"/>
  <c r="J33" i="40"/>
  <c r="K33" i="40"/>
  <c r="H33" i="40"/>
  <c r="R15" i="40" l="1"/>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R33" i="40" l="1"/>
  <c r="S33" i="40" s="1"/>
  <c r="C49" i="41" s="1"/>
</calcChain>
</file>

<file path=xl/sharedStrings.xml><?xml version="1.0" encoding="utf-8"?>
<sst xmlns="http://schemas.openxmlformats.org/spreadsheetml/2006/main" count="615" uniqueCount="203">
  <si>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</si>
  <si>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</si>
  <si>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</si>
  <si>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</si>
  <si>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</si>
  <si>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</si>
  <si>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</si>
  <si>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</si>
  <si>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</si>
  <si>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</si>
  <si>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</si>
  <si>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</si>
  <si>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</si>
  <si>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</si>
  <si>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</si>
  <si>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</si>
  <si>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</si>
  <si>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</si>
  <si>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</si>
  <si>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</si>
  <si>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</si>
  <si>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</si>
  <si>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</si>
  <si>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</si>
  <si>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</si>
  <si>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</si>
  <si>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</si>
  <si>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</si>
  <si>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</si>
  <si>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</si>
  <si>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</si>
  <si>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</si>
  <si>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</si>
  <si>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</si>
  <si>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</si>
  <si>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</si>
  <si>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</si>
  <si>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</si>
  <si>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</si>
  <si>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</si>
  <si>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</si>
  <si>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</si>
  <si>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</si>
  <si>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</si>
  <si>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</si>
  <si>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</si>
  <si>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</si>
  <si>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</si>
  <si>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</si>
  <si>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</si>
  <si>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</si>
  <si>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</si>
  <si>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</si>
  <si>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</si>
  <si>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</si>
  <si>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</si>
  <si>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</si>
  <si>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</si>
  <si>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</si>
  <si>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</si>
  <si>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</si>
  <si>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</si>
  <si>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</si>
  <si>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</si>
  <si>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</si>
  <si>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</si>
  <si>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</si>
  <si>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</si>
  <si>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</si>
  <si>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</si>
  <si>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</si>
  <si>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</si>
  <si>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</si>
  <si>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</si>
  <si>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</si>
  <si>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</si>
  <si>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</si>
  <si>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</si>
  <si>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</si>
  <si>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</si>
  <si>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</si>
  <si>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</si>
  <si>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</si>
  <si>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</si>
  <si>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</si>
  <si>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</si>
  <si>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</si>
  <si>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</si>
  <si>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</si>
  <si>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</si>
  <si>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</si>
  <si>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</si>
  <si>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</si>
  <si>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</si>
  <si>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</si>
  <si>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</si>
  <si>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</si>
  <si>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</si>
  <si>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</si>
  <si>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</si>
  <si>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</si>
  <si>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</si>
  <si>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</si>
  <si>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</si>
  <si>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</si>
  <si>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</si>
  <si>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</si>
  <si>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</si>
  <si>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</si>
  <si>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</si>
  <si>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</si>
  <si>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</si>
  <si>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</si>
  <si>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</si>
  <si>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</si>
  <si>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</si>
  <si>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</si>
  <si>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</si>
  <si>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</si>
  <si>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</si>
  <si>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</si>
  <si>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</si>
  <si>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</si>
  <si>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</si>
  <si>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</si>
  <si>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</si>
  <si>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</si>
  <si>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</si>
  <si>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</si>
  <si>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</si>
  <si>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</si>
  <si>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</si>
  <si>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</si>
  <si>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</si>
  <si>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</si>
  <si>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</si>
  <si>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環太平洋大学</t>
    <rPh sb="0" eb="6">
      <t>カンタイヘイヨウダイガク</t>
    </rPh>
    <phoneticPr fontId="1"/>
  </si>
  <si>
    <t>コンピュータリテラシーⅠ</t>
    <phoneticPr fontId="1"/>
  </si>
  <si>
    <t>○</t>
  </si>
  <si>
    <t>コンピュータリテラシーⅡ</t>
    <phoneticPr fontId="1"/>
  </si>
  <si>
    <t>令和５</t>
    <rPh sb="0" eb="2">
      <t>レイワ</t>
    </rPh>
    <phoneticPr fontId="1"/>
  </si>
  <si>
    <t>体育学部</t>
    <rPh sb="0" eb="4">
      <t>タイイクガクブ</t>
    </rPh>
    <phoneticPr fontId="1"/>
  </si>
  <si>
    <t>経済経営学部</t>
    <rPh sb="0" eb="6">
      <t>ケイザイケイエイガクブ</t>
    </rPh>
    <phoneticPr fontId="1"/>
  </si>
  <si>
    <t xml:space="preserve">全学必修科目である、「コンピュータリテラシーI」・「コンピュータリテラシーII」の4単位を取得すること。
更に、経済経営学部は「データサイエンス入門」の２単位を取得すること。                                                                                                                                                        
                                                                                                                                 </t>
    <phoneticPr fontId="1"/>
  </si>
  <si>
    <t>データサイエンス入門</t>
    <rPh sb="8" eb="10">
      <t>ニュウモン</t>
    </rPh>
    <phoneticPr fontId="1"/>
  </si>
  <si>
    <t>データサイエンス入門</t>
    <phoneticPr fontId="1"/>
  </si>
  <si>
    <t>スポーツデータサイエンス入門</t>
    <rPh sb="12" eb="14">
      <t>ニュウモン</t>
    </rPh>
    <phoneticPr fontId="1"/>
  </si>
  <si>
    <t>　環太平洋大学では入学予定者に対する入学前教育を実施して、本学教育プログラムの周知徹底を図っている。本申請プログラムに関連するPC機器の必携化、ICT、情報リテラシープログラム入門等の入学前教育を一層充実させている。また入学後のガイダンス、オリエンテーションや両学部授業開始時などにおいて新入生に広く周知させる体制を構築した。今年度からは段階的に入学後のガイダンスやSNSなどを利用した周知、また本学HPのトップ画面に本申請プログラム専用ページへのリンクを掲載し、周知方法の最適化に取り組む。さらに次年度以降本申請プログラムに関連する内容として、履修学生の感想や関連進路などを順次発信し、最新のDXとやAI・データサイエンスの進展と社会への実装状況を発信して、体育・経済経営系の学生が現代社会と教育プログラムとの関連情報を受け取り、身近に感じられるような環境を整備する。</t>
    <rPh sb="29" eb="31">
      <t>ホンガク</t>
    </rPh>
    <rPh sb="31" eb="33">
      <t>キョウイク</t>
    </rPh>
    <rPh sb="39" eb="43">
      <t>シュウチテッテイ</t>
    </rPh>
    <rPh sb="44" eb="45">
      <t>ハカ</t>
    </rPh>
    <rPh sb="65" eb="67">
      <t>キキ</t>
    </rPh>
    <rPh sb="68" eb="71">
      <t>ヒッケイカ</t>
    </rPh>
    <rPh sb="76" eb="78">
      <t>ジョウホウ</t>
    </rPh>
    <rPh sb="131" eb="133">
      <t>ガクブ</t>
    </rPh>
    <rPh sb="330" eb="332">
      <t>タイイク</t>
    </rPh>
    <phoneticPr fontId="1"/>
  </si>
  <si>
    <t>　体育学部・経済経営学部の全科目に対し学生による授業評価アンケートを前期・後期の中間で実施し、授業への満足度（含理解度）等を調査している。その他に学生に対しては、予定者の入学前教育、入学後のガイダンス、オリエンテーション、1・２年の「基礎ゼミナール」・３・４年の「専門ゼミナール」で、ICTの入門基礎教育や現代社会との関連を教育しアンケートを取得している。学生アンケートに関しては、回転の速いGoogleアプリによる経営総合学科内LMSの中でも有効に試行しており、学生の理解度に関し高い評価が得られているが、本教育プログラムに関しては、これを敷衍して全学LMSシステムとの有機的結合を図り、学生理解度の向上、PBL、反転授業等、今後の授業展開を進める。</t>
    <phoneticPr fontId="1"/>
  </si>
  <si>
    <t>　COVID-19（新型コロナウィルス）の影響でハイブリッド型授業であったが、学生による授業評価や学修時間等に関するアンケートも実施して学生の履修状況や理解度も把握でき、各学生へのアドバイスやサポート、他学生や後輩への推奨も可能となった。今はまだ後輩推奨度の定量的評価には至らないが、今後、本プログラムの改善も含めた推奨度の全学データを集めることが可能である。本学は体育学部・経済経営学部・次世代教育学部の３学部を有し、教育内容や学生志向が広範囲に渡るので、本申請プログラムを新入学生へ推奨できるよう、入学時からのデータ社会との各学生の関わりを明示し学修意欲を向上させ、目標の可視化や各自の将来との関連性を構築する。</t>
    <rPh sb="10" eb="12">
      <t>シンガタ</t>
    </rPh>
    <rPh sb="183" eb="187">
      <t>タイイクガクブ</t>
    </rPh>
    <rPh sb="188" eb="194">
      <t>ケイザイケイエイガクブ</t>
    </rPh>
    <rPh sb="195" eb="202">
      <t>ジセダイキョウイクガクブ</t>
    </rPh>
    <rPh sb="204" eb="206">
      <t>ガクブ</t>
    </rPh>
    <rPh sb="238" eb="239">
      <t>シン</t>
    </rPh>
    <rPh sb="239" eb="240">
      <t>ニュウ</t>
    </rPh>
    <phoneticPr fontId="1"/>
  </si>
  <si>
    <t>　本教育プログラムを構成する「コンピュータリテラシーⅠ」「コンピュータリテラシーⅡ」が教養科目の必修科目であり、基本的に全員が履修する。また体育学部・経済経営学部では数理・データサイエンス・AI教育に関し、現在まで科目新設等の整備・充実が進んでいるが、次世代教育学部（保育者・教育者養成学部）のカリキュラムにまだ必要十分な授業設定の検討を要している。なお、本プログラムの計画に従い、今後もカリキュラム・シラバスの改善を続け、ICT・DX関連の正規演習科目への新設・改編など、本プログラムの一層の充実を図る。　　　　</t>
    <rPh sb="70" eb="74">
      <t>タイイクガクブ</t>
    </rPh>
    <rPh sb="75" eb="81">
      <t>ケイザイケイエイガクブ</t>
    </rPh>
    <rPh sb="126" eb="133">
      <t>ジセダイキョウイクガクブ</t>
    </rPh>
    <rPh sb="134" eb="137">
      <t>ホイクシャ</t>
    </rPh>
    <rPh sb="138" eb="141">
      <t>キョウイクシャ</t>
    </rPh>
    <rPh sb="141" eb="143">
      <t>ヨウセイ</t>
    </rPh>
    <rPh sb="143" eb="145">
      <t>ガクブ</t>
    </rPh>
    <rPh sb="229" eb="231">
      <t>シンセツ</t>
    </rPh>
    <phoneticPr fontId="1"/>
  </si>
  <si>
    <t>　産業界からの視点については、これまで外部団体との連携協定など通して外部視点を反映させてきた。現行の体育学部・経済経営学部から本教育プログラム関連学科目の充実を進め全学教育への浸透を図っている。これまでの外部意見から、学生に対しては数理やデータサイエンス開発を直接前面に出すことよりも、学生各自の将来の専門分野にICT・データやDXがどう関わっているかを可視化する教育手法が重要と判断している。今後は理数・データ科学の本質に迫り得る教育カリキュラムの構築、興味を引く入門の概念と、最新の社会情勢と関連進路への可視化などを重視する。</t>
    <phoneticPr fontId="1"/>
  </si>
  <si>
    <t>　現代社会では数理・データ科学・AIが人々の前面に出ることは少ないが、GAFAに代表される現代企業では活動の基本全てに大きな影響を及ぼしている。一方で全ての若い世代にスマホやWeb・ Youtubeが浸透している。本教育プログラムはこれらの現象のギャップを教育的に埋めるものとして極めて重要であり、本学でも、学生の向かう将来の社会とICT/DXとが密接に結びつくことが分かりやすく可視化できることを重点にプログラムを構築する。例えば簿記とExcelやVBA・スクリプト言語などの関連、体育系企業やスポーツ団体、起業、アントレプレナーなどとICT・AIとの関連など、各学生の将来と社会の実例を繋ぎ、学ぶ楽しさと意義を実感できるような座学・演習の構築を図る。</t>
    <rPh sb="242" eb="245">
      <t>タイイクケイ</t>
    </rPh>
    <rPh sb="245" eb="247">
      <t>キギョウ</t>
    </rPh>
    <rPh sb="252" eb="254">
      <t>ダンタイ</t>
    </rPh>
    <rPh sb="255" eb="257">
      <t>キギョウ</t>
    </rPh>
    <phoneticPr fontId="1"/>
  </si>
  <si>
    <t>スポーツデータサイエンス入門</t>
    <phoneticPr fontId="1"/>
  </si>
  <si>
    <t>統計学</t>
  </si>
  <si>
    <t>4-1統計および数理基礎</t>
  </si>
  <si>
    <t>コンピュータリテラシーⅢ</t>
  </si>
  <si>
    <t>4‐3データ構造とプログラミング基礎</t>
  </si>
  <si>
    <t>コンピュータリテラシーⅣ</t>
  </si>
  <si>
    <t>AI、第4次産業革命、Society 5.0、データ駆動型社会「コンピュータリテラシーI」(1回目)</t>
  </si>
  <si>
    <t>調査データ、実験データ、データ作成（ビッグデータとアノテーション）、データのオープン化（オープンデータ）
「コンピュータリテラシーI」(2回目)</t>
  </si>
  <si>
    <t>データ・AI活用領域の広がり(生産、消費、文化活動など)「コンピュータリテラシーⅡ」(1回目)</t>
  </si>
  <si>
    <t>データ解析：予測、グルーピング、パターン発見、最適化「コンピュータリテラシーⅡ」(3回目)</t>
  </si>
  <si>
    <t>倫理的・法的・社会的課題（ELSI）「コンピュータリテラシーI」(2回目)
個人情報保護、忘れられる権利、オプトアウト、データ倫理「コンピュータリテラシーI」(11回目)</t>
  </si>
  <si>
    <t>情報セキュリティの3要素（機密性、完全性、可用性）「コンピュータリテラシーⅡ」(８回目)</t>
  </si>
  <si>
    <t>コンピュータリテラシーⅠ</t>
    <phoneticPr fontId="1"/>
  </si>
  <si>
    <t>様式１－１</t>
    <rPh sb="0" eb="2">
      <t>ヨウシキ</t>
    </rPh>
    <phoneticPr fontId="1"/>
  </si>
  <si>
    <t>AI最新技術の活用例「スポーツデータサイエンス入門」(２回目)</t>
    <phoneticPr fontId="1"/>
  </si>
  <si>
    <t xml:space="preserve">データサイエンスのサイクル・AI利活用事例紹介「スポーツデータサイエンス入門」(１回目) </t>
    <phoneticPr fontId="1"/>
  </si>
  <si>
    <t>データの種類、データの分布と代表値、データのばらつき「スポーツデータサイエンス入門」(2−4回目)</t>
    <phoneticPr fontId="1"/>
  </si>
  <si>
    <t>データ表現・データの比較「コンピュータリテラシーⅡ」(９回目)
データ表現・データの比較「スポーツデータサイエンス入門」(5・6回目)</t>
    <phoneticPr fontId="1"/>
  </si>
  <si>
    <t>データの取得・データの集計（和、平均）・データの並び替え、ランキング「スポーツデータサイエンス入門」(8-15回目)</t>
    <phoneticPr fontId="1"/>
  </si>
  <si>
    <t>様式１－２</t>
    <rPh sb="0" eb="2">
      <t>ヨウシキ</t>
    </rPh>
    <phoneticPr fontId="1"/>
  </si>
  <si>
    <t>AI最新技術の活用例「データサイエンス入門」(２回目)</t>
    <phoneticPr fontId="1"/>
  </si>
  <si>
    <t>データサイエンスのサイクル・AI利活用事例紹介「データサイエンス入門」(１回目)</t>
    <phoneticPr fontId="1"/>
  </si>
  <si>
    <t>データの種類、データの分布と代表値「データサイエンス入門」(13回目)</t>
    <phoneticPr fontId="1"/>
  </si>
  <si>
    <t>データ表現・データの比較「コンピュータリテラシーⅡ」(９回目)
データ表現・データの比較「データサイエンス入門」(15回目)　</t>
    <phoneticPr fontId="1"/>
  </si>
  <si>
    <t>データの取得・データの集計（和、平均）・データの並び替え「データサイエンス入門」(14回目)　</t>
    <phoneticPr fontId="1"/>
  </si>
  <si>
    <t>数理・データサイエンス・AI社会で求められる基礎と、活用にあたっての様々な留意事項を身につけ、ICT機器を適正に利活用して、ディプロマポリシーに合わせたデータを的確に生成・分析・伝達するための基本的なスキルを修得することができるようになる。</t>
    <rPh sb="96" eb="99">
      <t>キホンテキ</t>
    </rPh>
    <phoneticPr fontId="1"/>
  </si>
  <si>
    <t>数理・データサイエンス・AI社会で求められる基礎と、活用にあたっての様々な留意事項を身につけ、ICT機器を適正に利活用して、ディプロマポリシーに合わせたデータを的確に生成・分析・伝達するための基本的なスキルを修得することができるようになる。　　</t>
    <rPh sb="96" eb="99">
      <t>キホンテキ</t>
    </rPh>
    <phoneticPr fontId="1"/>
  </si>
  <si>
    <t>　全学的な協力のもとで、体育学部・経済経営学部で整備されてきた数理・データサイエンス・AI・ICT関連の教育コンテンツ、および本申請プログラムの最適化に向け、全学的な教育、座学・演習内容の見直し、および全学学生の受講（他学部・他学科受講制度の活用）が可能となるシステムの構築支援を令和５年度より段階的に開始している。具体的には令和５年度よりさらに、両学部必修科目・選択科目の最適配置、全学共通教養科目に相当する本申請プログラム関連の演習科目設置やオンデマンド教材開発などを進め、希望する学生全員が受講可能となる体制を整備して行く。さらに、先端的なICTを活用する教育プログラムや教材の開発、国内外の他機関との連携、地域・産学連携も含め、DX社会に関するシンポジウム等を通して、学生の進路とDX社会の密接な関係性と興味を啓発する。</t>
    <rPh sb="12" eb="16">
      <t>タイイクガクブ</t>
    </rPh>
    <rPh sb="17" eb="23">
      <t>ケイザイケイエイガクブ</t>
    </rPh>
    <rPh sb="109" eb="112">
      <t>タガクブ</t>
    </rPh>
    <rPh sb="113" eb="116">
      <t>タガッカ</t>
    </rPh>
    <rPh sb="116" eb="120">
      <t>ジュコウセイド</t>
    </rPh>
    <rPh sb="121" eb="123">
      <t>カツヨウ</t>
    </rPh>
    <rPh sb="175" eb="177">
      <t>ガクブ</t>
    </rPh>
    <rPh sb="179" eb="181">
      <t>カモク</t>
    </rPh>
    <rPh sb="196" eb="198">
      <t>キョウヨウ</t>
    </rPh>
    <rPh sb="198" eb="200">
      <t>カモク</t>
    </rPh>
    <phoneticPr fontId="1"/>
  </si>
  <si>
    <t>　本学が開学から実施している総合教育成果（教育とスポーツの融合）の蓄積に基づき、体育学部・経済経営学部の両学部の教育研究活動や運営、教養教育プログラム、情報システム課と密に連携し、大学内のLMSやオンデマンド・アーカイブ教育試行等、できる限り多くの学生が履修・習得できるようなサポート体制確立を試みている。特に、体育学部、経済経営学部の専門性とカリキュラムの特徴を踏まえ、体育・経済経営系学生への数理・データサイエンス・AIの先端的利活用に関して、分かりやすく、取り組みやすい座学・演習の研究開発を行っている。今後もさらに現代DX社会の要請に答え、最適の教育・学生サポート体制を構築してゆく。4年制大学の1～2年次という教養教育全般のもと、本教育プログラムの横串を全学に通し、できる限り多くの学生への学修の機会を設けて、各自の専門に対する興味と直結するDX社会への対応スキルを身につけることを目指し、教育研究開発を続けている。</t>
    <rPh sb="4" eb="6">
      <t>カイガク</t>
    </rPh>
    <rPh sb="8" eb="10">
      <t>ジッシ</t>
    </rPh>
    <rPh sb="14" eb="16">
      <t>ソウゴウ</t>
    </rPh>
    <rPh sb="21" eb="23">
      <t>キョウイク</t>
    </rPh>
    <rPh sb="29" eb="31">
      <t>ユウゴウ</t>
    </rPh>
    <rPh sb="40" eb="44">
      <t>タイイクガクブ</t>
    </rPh>
    <rPh sb="45" eb="49">
      <t>ケイザイケイエイ</t>
    </rPh>
    <rPh sb="49" eb="51">
      <t>ガクブ</t>
    </rPh>
    <rPh sb="53" eb="55">
      <t>ガクブ</t>
    </rPh>
    <rPh sb="56" eb="62">
      <t>キョウイクケンキュウカツドウ</t>
    </rPh>
    <rPh sb="63" eb="65">
      <t>ウンエイ</t>
    </rPh>
    <rPh sb="66" eb="70">
      <t>キョウヨウキョウイク</t>
    </rPh>
    <rPh sb="76" eb="78">
      <t>ジョウホウ</t>
    </rPh>
    <rPh sb="82" eb="83">
      <t>カ</t>
    </rPh>
    <rPh sb="92" eb="93">
      <t>ナイ</t>
    </rPh>
    <rPh sb="156" eb="160">
      <t>タイイクガクブ</t>
    </rPh>
    <rPh sb="161" eb="167">
      <t>ケイザイケイエイガクブ</t>
    </rPh>
    <rPh sb="186" eb="188">
      <t>タイイク</t>
    </rPh>
    <rPh sb="189" eb="194">
      <t>ケイザイケイエイケイ</t>
    </rPh>
    <rPh sb="297" eb="301">
      <t>ネンセイダイガク</t>
    </rPh>
    <rPh sb="305" eb="307">
      <t>ネンジ</t>
    </rPh>
    <rPh sb="310" eb="314">
      <t>キョウヨウキョウイク</t>
    </rPh>
    <rPh sb="314" eb="316">
      <t>ゼンパン</t>
    </rPh>
    <rPh sb="350" eb="352">
      <t>ガクシュウ</t>
    </rPh>
    <rPh sb="353" eb="355">
      <t>キカイ</t>
    </rPh>
    <rPh sb="356" eb="357">
      <t>モウ</t>
    </rPh>
    <phoneticPr fontId="1"/>
  </si>
  <si>
    <t>　本教育プログラムの履修に関しては、ハイブリッド型授業の実施に際してLMSシステムを利用して全学生にGoogleシステムによるメールアドレスを付与し、Google classroom等のアプリケーションを利活用した授業体系を構築している。　このアプリ利用システムを充分に活用し、学生の出欠、資料の作成配布、授業の実施とその感想、授業時間内外の質問の受付、さらに各授業における学生アンケート集計等をシステム化している。現在、体育学部・経済経営学部の学生に関して本プログラム実施の各授業に対する演習やレポート・アンケート等を集め、本教育システムの内容向上に反映させている。今後は授業・演習の実施画像・動画等のアーカイビングと、学生のQ＆A集やインタビュー画像・動画なども充実させて行く。　　</t>
    <rPh sb="211" eb="215">
      <t>タイイクガクブ</t>
    </rPh>
    <rPh sb="216" eb="222">
      <t>ケイザイケイエイガクブ</t>
    </rPh>
    <rPh sb="295" eb="297">
      <t>ガゾウ</t>
    </rPh>
    <rPh sb="298" eb="300">
      <t>ドウガ</t>
    </rPh>
    <rPh sb="328" eb="330">
      <t>ドウガ</t>
    </rPh>
    <phoneticPr fontId="1"/>
  </si>
  <si>
    <t>　本学では、全学生にPC端末の必携化を実施しているため、各学生にICT教育やゼミナール等の授業ができ、学内ポータルサイト（ユニバーサルパスポート）によるWeb登録申請やWebアンケート実施が可能であるが、大学全体では、試行的にGoogle系アプリを利用した授業と素早い学生アンケート等で、学生の授業の理解度把握を実施し学修成果を挙げている。さらに現在、上記の結果を踏まえ、DX関連教育の全学的学修調査の充実のため上記Google系のLMSアプリ運用と全学LMSシステムの有機的利用を目指している。これらの活動は今後、全学生のより高い学修成果に反映できる。</t>
    <rPh sb="102" eb="106">
      <t>ダイガクゼンタイ</t>
    </rPh>
    <rPh sb="222" eb="224">
      <t>ウンヨウ</t>
    </rPh>
    <phoneticPr fontId="1"/>
  </si>
  <si>
    <t>　本学では卒業生の進路先や活躍状況の把握を従来より実施し、また、企業などの評価も教育に反映させているが、本教育プログラムに関してはまだ体系的な学外評価はできていない。しかし、企業等学外からの要請も高く、教育充実をはかり本プログラム申請に至っている。今後は民間企業、公務員団体に対して企業調査を実施し、本プログラム修了卒業生の採用状況や企業評価を把握する仕組みを設けて、全学的な協力体制のもとで産学連携、企業等の評価、プログラム修了者の進路や活躍状況を体系的に評価・集計し、全学的な教育体制充実を実現して行く。</t>
    <phoneticPr fontId="1"/>
  </si>
  <si>
    <t>　元々開学からは体育系・教育系大学であった本学では、従来は数理・データサイエンス・AI教育の充分な展開は難しかった。しかし、今後の国内外の産業やビジネスの進展を考慮すると、DXの社会浸透に対し、ICTを利活用できる若く有意な人材育成の必要性は極めて大きい。よって、体育学部・経済経営学部・次世代教育学部の幅広い分野に教育的横串を通せるよう、３学部と協働して、ICT系企業や外部意見も参考に、必要な教育水準と内容を維持し向上をはかる。</t>
    <rPh sb="1" eb="3">
      <t>モトモト</t>
    </rPh>
    <rPh sb="3" eb="5">
      <t>カイガク</t>
    </rPh>
    <rPh sb="8" eb="11">
      <t>タイイクケイ</t>
    </rPh>
    <rPh sb="12" eb="15">
      <t>キョウイクケイ</t>
    </rPh>
    <rPh sb="15" eb="17">
      <t>ダイガク</t>
    </rPh>
    <rPh sb="132" eb="136">
      <t>タイイクガクブ</t>
    </rPh>
    <rPh sb="137" eb="143">
      <t>ケイザイケイエイガクブ</t>
    </rPh>
    <rPh sb="144" eb="151">
      <t>ジセダイキョウイクガクブ</t>
    </rPh>
    <rPh sb="171" eb="173">
      <t>ガクブ</t>
    </rPh>
    <phoneticPr fontId="1"/>
  </si>
  <si>
    <t>早田　剛</t>
    <rPh sb="0" eb="2">
      <t>ハヤタ</t>
    </rPh>
    <rPh sb="3" eb="4">
      <t>ゴウ</t>
    </rPh>
    <phoneticPr fontId="1"/>
  </si>
  <si>
    <t>次世代情報センター長</t>
    <rPh sb="0" eb="5">
      <t>ジセダイジョウホウ</t>
    </rPh>
    <rPh sb="9" eb="10">
      <t>チョウ</t>
    </rPh>
    <phoneticPr fontId="1"/>
  </si>
  <si>
    <t>次世代情報センター</t>
    <rPh sb="0" eb="5">
      <t>ジセダイジョウホウ</t>
    </rPh>
    <phoneticPr fontId="1"/>
  </si>
  <si>
    <t>環太平洋大学　次世代情報センター規程</t>
    <rPh sb="0" eb="6">
      <t>カンタイヘイヨウダイガク</t>
    </rPh>
    <rPh sb="7" eb="12">
      <t>ジセダイジョウホウ</t>
    </rPh>
    <rPh sb="16" eb="18">
      <t>キテイ</t>
    </rPh>
    <phoneticPr fontId="1"/>
  </si>
  <si>
    <t>環太平洋大学　自己点検評価委員会規程</t>
    <phoneticPr fontId="1"/>
  </si>
  <si>
    <t>井上　聡</t>
    <rPh sb="0" eb="2">
      <t>イノウエ</t>
    </rPh>
    <rPh sb="3" eb="4">
      <t>サトシ</t>
    </rPh>
    <phoneticPr fontId="1"/>
  </si>
  <si>
    <t>委員長・大学評価・IR室長</t>
    <rPh sb="0" eb="3">
      <t>イインチョウ</t>
    </rPh>
    <rPh sb="4" eb="6">
      <t>ダイガク</t>
    </rPh>
    <rPh sb="6" eb="8">
      <t>ヒョウカ</t>
    </rPh>
    <rPh sb="11" eb="13">
      <t>シツチョウ</t>
    </rPh>
    <phoneticPr fontId="1"/>
  </si>
  <si>
    <t>　本申請プログラムに関し、体育学部・経済経営学部では「コンピュータリテラシーⅠ」「コンピュータリテラシーⅡ」が教養科目の必修科目であり、基本的に全員が履修する。さらに本プログラムの選択科目の「スポーツデータサイエンス入門（体育学部）」、「データサイエンス入門（経済経営学部）」の履修者数と履修率が現在のデータとなるが、同時に本申請プログラムの主旨に沿って全学的な構成科目の改善と実質化を段階的に進めており、全学的な協力のもと、科目名変更、新設、演習科目などの実質化、既設数理・ICT関連科目の全学的履修可能への科目変更などカリキュラムとシラバスの段階的充実を図り、履修者数・履修率の目標値を達成する予定である。</t>
    <rPh sb="13" eb="17">
      <t>タイイクガクブ</t>
    </rPh>
    <rPh sb="18" eb="24">
      <t>ケイザイケイエイガクブ</t>
    </rPh>
    <rPh sb="55" eb="57">
      <t>キョウヨウ</t>
    </rPh>
    <rPh sb="108" eb="110">
      <t>ニュウモン</t>
    </rPh>
    <rPh sb="111" eb="115">
      <t>タイイクガクブ</t>
    </rPh>
    <rPh sb="127" eb="129">
      <t>ニュウモン</t>
    </rPh>
    <rPh sb="130" eb="136">
      <t>ケイザイケイエイガクブ</t>
    </rPh>
    <phoneticPr fontId="1"/>
  </si>
  <si>
    <t xml:space="preserve">　自己点検評価委員会等の意見を踏まえ、新入生ガイダンス、オリエンテーション、1・２年の「基礎ゼミナール」・３・４年の「専門ゼミナール」等により、体育学部・経済経営学部で、ICTの基礎や現代社会経済との関連を教育し、学生アンケート等で教育に反映している。 全学のICT関連では、本プログラムの必修科目と関連選択科目以外に、まだ共通の履修体制が十分ではなく、今後、全学的な体制確立が必要である。なお、経済経営学部ではMOS資格を取得推奨しており、学科教育の評価も高いが、まだ履修体制に偏りがあり、全学的な実質科目単位への移行を目指す。      </t>
    <rPh sb="10" eb="11">
      <t>トウ</t>
    </rPh>
    <rPh sb="56" eb="57">
      <t>ネン</t>
    </rPh>
    <rPh sb="72" eb="76">
      <t>タイイクガクブ</t>
    </rPh>
    <rPh sb="77" eb="83">
      <t>ケイザイケイエイガクブ</t>
    </rPh>
    <rPh sb="198" eb="204">
      <t>ケイザイケイエイガクブ</t>
    </rPh>
    <rPh sb="221" eb="223">
      <t>ガッカ</t>
    </rPh>
    <phoneticPr fontId="1"/>
  </si>
  <si>
    <t>　本学では、今日の進展がめざましい情報通信技術の分野およびデジタル技術科学分野において、その成果を高度に活用し、様々な産業やビジネス分野で効果的に利活用できる人材の育成を目指す。
　次世代情報センターは、情報ネットワークに関する専門的業務を行い、情報を広く教育、研究に活用することを図ることを目的とする。さらに、国内外の教育・研究機関・企業等と連携協力しながら先端の教育体制に関する研究を推進するとともに、その研究成果を実教育に還元し、データを活用し現代社会の課題を発見、解決できる人材を育成することも目的とする。
　同センターは、本学学長の下に、数理・データサイエンス・AI教育の全学的な普及を視野に置き、学内の異なる分野の学部との横断的なカリキュラムの研究開発を行うとともに、各学部・学科と連携して関連科目の整備・新設を行い、体育系・経済経営系・教育系大学として将来のDX社会に活躍できる人材教育を実現して行く。</t>
    <phoneticPr fontId="1"/>
  </si>
  <si>
    <t>環太平洋大学　次世代情報センター
センター長：早田　剛（体育学部体育学科学科長）
センター構成員：
教員：木戸和彦（次世代教育学部教育経営学科准教授）、本庄慶樹（次世代教育学部こども発達学科准教授）、倉田知秋（経済経営学部現代経営学科講師）、佐々木史之（体育学部競技スポーツ科学科講師）、坂本賢広（体育学部健康科学科講師）、仙波慎平（体育学部体育学科講師）
職員：戸田康（教育事務局局長）、北﨑　潤（教育事務局次長・教務課長）、大賀吉功（総務事務局情報システム課課長）</t>
    <rPh sb="0" eb="6">
      <t>カンタイヘイヨウダイガク</t>
    </rPh>
    <rPh sb="7" eb="12">
      <t>ジセダイジョウホウ</t>
    </rPh>
    <rPh sb="23" eb="25">
      <t>ハヤタ</t>
    </rPh>
    <rPh sb="26" eb="27">
      <t>ゴウ</t>
    </rPh>
    <rPh sb="28" eb="32">
      <t>タイイクガクブ</t>
    </rPh>
    <rPh sb="32" eb="36">
      <t>タイイクガッカ</t>
    </rPh>
    <rPh sb="36" eb="38">
      <t>ガッカ</t>
    </rPh>
    <rPh sb="38" eb="39">
      <t>チョウ</t>
    </rPh>
    <rPh sb="45" eb="48">
      <t>コウセイイン</t>
    </rPh>
    <rPh sb="50" eb="52">
      <t>キョウイン</t>
    </rPh>
    <rPh sb="53" eb="55">
      <t>キド</t>
    </rPh>
    <rPh sb="55" eb="57">
      <t>カズヒコ</t>
    </rPh>
    <rPh sb="58" eb="63">
      <t>ジセダイキョウイク</t>
    </rPh>
    <rPh sb="63" eb="65">
      <t>ガクブ</t>
    </rPh>
    <rPh sb="65" eb="71">
      <t>キョウイクケイエイガッカ</t>
    </rPh>
    <rPh sb="71" eb="74">
      <t>ジュンキョウジュ</t>
    </rPh>
    <rPh sb="76" eb="78">
      <t>ホンジョウ</t>
    </rPh>
    <rPh sb="78" eb="79">
      <t>ケイ</t>
    </rPh>
    <rPh sb="79" eb="80">
      <t>キ</t>
    </rPh>
    <rPh sb="81" eb="88">
      <t>ジセダイキョウイクガクブ</t>
    </rPh>
    <rPh sb="91" eb="93">
      <t>ハッタツ</t>
    </rPh>
    <rPh sb="93" eb="95">
      <t>ガッカ</t>
    </rPh>
    <rPh sb="95" eb="98">
      <t>ジュンキョウジュ</t>
    </rPh>
    <rPh sb="100" eb="102">
      <t>クラタ</t>
    </rPh>
    <rPh sb="102" eb="103">
      <t>トモ</t>
    </rPh>
    <rPh sb="103" eb="104">
      <t>アキ</t>
    </rPh>
    <rPh sb="127" eb="131">
      <t>タイイクガクブ</t>
    </rPh>
    <rPh sb="131" eb="133">
      <t>キョウギ</t>
    </rPh>
    <rPh sb="137" eb="140">
      <t>カガクカ</t>
    </rPh>
    <rPh sb="140" eb="142">
      <t>コウシ</t>
    </rPh>
    <rPh sb="144" eb="146">
      <t>サカモト</t>
    </rPh>
    <rPh sb="146" eb="147">
      <t>ケン</t>
    </rPh>
    <rPh sb="147" eb="148">
      <t>ヒロ</t>
    </rPh>
    <rPh sb="149" eb="153">
      <t>タイイクガクブ</t>
    </rPh>
    <rPh sb="153" eb="158">
      <t>ケンコウカガクカ</t>
    </rPh>
    <rPh sb="158" eb="160">
      <t>コウシ</t>
    </rPh>
    <rPh sb="167" eb="171">
      <t>タイイクガクブ</t>
    </rPh>
    <rPh sb="171" eb="175">
      <t>タイイクガッカ</t>
    </rPh>
    <rPh sb="175" eb="177">
      <t>コウシ</t>
    </rPh>
    <rPh sb="179" eb="181">
      <t>ショクイン</t>
    </rPh>
    <rPh sb="182" eb="184">
      <t>トダ</t>
    </rPh>
    <rPh sb="184" eb="185">
      <t>ヤスシ</t>
    </rPh>
    <rPh sb="186" eb="191">
      <t>キョウイクジムキョク</t>
    </rPh>
    <rPh sb="191" eb="193">
      <t>キョクチョウ</t>
    </rPh>
    <rPh sb="195" eb="197">
      <t>キタザキ</t>
    </rPh>
    <rPh sb="198" eb="199">
      <t>ジュン</t>
    </rPh>
    <rPh sb="200" eb="205">
      <t>キョウイクジムキョク</t>
    </rPh>
    <rPh sb="205" eb="207">
      <t>ジチョウ</t>
    </rPh>
    <rPh sb="208" eb="212">
      <t>キョウムカチョウ</t>
    </rPh>
    <rPh sb="219" eb="224">
      <t>ソウムジムキョク</t>
    </rPh>
    <rPh sb="224" eb="226">
      <t>ジョウホウ</t>
    </rPh>
    <rPh sb="230" eb="231">
      <t>カ</t>
    </rPh>
    <rPh sb="231" eb="233">
      <t>カチョウ</t>
    </rPh>
    <phoneticPr fontId="1"/>
  </si>
  <si>
    <t>次世代教育学部</t>
    <rPh sb="0" eb="5">
      <t>ジセダイキョウイク</t>
    </rPh>
    <rPh sb="5" eb="7">
      <t>ガクブ</t>
    </rPh>
    <phoneticPr fontId="1"/>
  </si>
  <si>
    <t>次世代教育学部</t>
    <rPh sb="0" eb="3">
      <t>ジセダイ</t>
    </rPh>
    <rPh sb="3" eb="5">
      <t>キョウイク</t>
    </rPh>
    <rPh sb="5" eb="7">
      <t>ガクブ</t>
    </rPh>
    <phoneticPr fontId="1"/>
  </si>
  <si>
    <t xml:space="preserve">全学必修科目である、「コンピュータリテラシーI」・「コンピュータリテラシーII」の4単位を取得すること。
更に、次世代教育学部は他学科履修で「スポーツデータサイエンス入門」「データサイエンス入門」のいずれか２単位を取得すること。                                                                                                                                                        
                                                                                                                                 </t>
    <rPh sb="56" eb="61">
      <t>ジセダイキョウイク</t>
    </rPh>
    <rPh sb="64" eb="67">
      <t>タガッカ</t>
    </rPh>
    <rPh sb="67" eb="69">
      <t>リシュウ</t>
    </rPh>
    <rPh sb="83" eb="85">
      <t>ニュウモン</t>
    </rPh>
    <phoneticPr fontId="1"/>
  </si>
  <si>
    <t xml:space="preserve">全学必修科目である、「コンピュータリテラシーI」・「コンピュータリテラシーII」の4単位を取得すること。
更に、体育学部は「スポーツデータサイエンス入門」の２単位を取得すること。
ただし、健康科学科は、他学科履修にて「スポーツデータサイエンス入門」の２単位を取得すること。                                                                                                                                     
                                                                                                                                 </t>
    <rPh sb="94" eb="98">
      <t>ケンコウカガク</t>
    </rPh>
    <rPh sb="98" eb="99">
      <t>カ</t>
    </rPh>
    <rPh sb="101" eb="104">
      <t>タガッカ</t>
    </rPh>
    <rPh sb="104" eb="106">
      <t>リシュウ</t>
    </rPh>
    <phoneticPr fontId="1"/>
  </si>
  <si>
    <t>教育とスポーツの融合を用いた地方創生に利活用できるリテラシー教育プログラム</t>
  </si>
  <si>
    <t>様式１－３</t>
    <rPh sb="0" eb="2">
      <t>ヨウシキ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</si>
</sst>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rgb="FFFF0000"/>
      <name val="MS PGothic"/>
      <family val="3"/>
    </font>
    <font>
      <sz val="12"/>
      <color theme="1"/>
      <name val="MS PGothic"/>
      <family val="3"/>
      <charset val="128"/>
    </font>
    <font>
      <sz val="12"/>
      <name val="MS PGothic"/>
      <family val="3"/>
    </font>
    <font>
      <sz val="12"/>
      <name val="MS PGothic"/>
      <family val="3"/>
      <charset val="128"/>
    </font>
  </fonts>
  <fills count="3">
    <fill>
      <patternFill patternType="none"/>
    </fill>
    <fill>
      <patternFill patternType="gray125"/>
    </fill>
    <fill>
      <patternFill patternType="solid">
        <fgColor theme="0" tint="-4.9989318521683403E-2"/>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17" xfId="0" applyFont="1" applyBorder="1" applyAlignment="1">
      <alignment horizontal="center" vertical="center" shrinkToFit="1"/>
    </xf>
    <xf numFmtId="0" fontId="2" fillId="0" borderId="19" xfId="0" applyFont="1" applyBorder="1" applyAlignment="1">
      <alignment horizontal="left" vertical="center"/>
    </xf>
    <xf numFmtId="0" fontId="2" fillId="0" borderId="17" xfId="0" applyFont="1" applyBorder="1" applyAlignment="1">
      <alignment horizontal="left" vertical="center"/>
    </xf>
    <xf numFmtId="0" fontId="10" fillId="0" borderId="18" xfId="0" applyFont="1" applyBorder="1" applyAlignment="1">
      <alignment horizontal="lef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9" fontId="2" fillId="0" borderId="14" xfId="0" applyNumberFormat="1" applyFont="1" applyBorder="1" applyAlignment="1">
      <alignment vertical="center" shrinkToFi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0" borderId="4" xfId="0" applyFont="1" applyBorder="1" applyAlignment="1">
      <alignment horizontal="left" vertical="center" wrapText="1"/>
    </xf>
    <xf numFmtId="0" fontId="12" fillId="0" borderId="0" xfId="0" applyFont="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49" xfId="0" applyFont="1" applyBorder="1" applyAlignment="1">
      <alignment vertical="center" shrinkToFit="1"/>
    </xf>
    <xf numFmtId="0" fontId="2" fillId="0" borderId="50" xfId="0" applyFont="1" applyBorder="1" applyAlignment="1">
      <alignment vertical="center" shrinkToFit="1"/>
    </xf>
    <xf numFmtId="0" fontId="2" fillId="0" borderId="51" xfId="0" applyFont="1" applyBorder="1" applyAlignment="1">
      <alignment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18" fillId="0" borderId="18" xfId="0" applyFont="1" applyBorder="1" applyAlignment="1">
      <alignment vertical="center" wrapText="1"/>
    </xf>
    <xf numFmtId="0" fontId="18" fillId="0" borderId="19" xfId="0" applyFont="1" applyBorder="1" applyAlignment="1">
      <alignment vertical="center" wrapText="1"/>
    </xf>
    <xf numFmtId="0" fontId="18" fillId="0" borderId="17"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27" xfId="0" applyFont="1" applyBorder="1" applyAlignment="1">
      <alignment vertical="center" wrapText="1"/>
    </xf>
    <xf numFmtId="0" fontId="12" fillId="0" borderId="6" xfId="0" applyFont="1" applyBorder="1" applyAlignment="1">
      <alignment horizontal="lef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8" fillId="0" borderId="29" xfId="0" applyFont="1" applyBorder="1" applyAlignment="1">
      <alignment vertical="center" wrapText="1"/>
    </xf>
    <xf numFmtId="0" fontId="18" fillId="0" borderId="31" xfId="0" applyFont="1" applyBorder="1" applyAlignment="1">
      <alignment vertical="center" wrapText="1"/>
    </xf>
    <xf numFmtId="0" fontId="18" fillId="0" borderId="30" xfId="0" applyFont="1" applyBorder="1" applyAlignment="1">
      <alignmen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17" fillId="0" borderId="54" xfId="0" applyFont="1" applyBorder="1" applyAlignment="1">
      <alignment vertical="center" wrapText="1"/>
    </xf>
    <xf numFmtId="0" fontId="17" fillId="0" borderId="52" xfId="0" applyFont="1" applyBorder="1" applyAlignment="1">
      <alignment vertical="center" wrapText="1"/>
    </xf>
    <xf numFmtId="0" fontId="17" fillId="0" borderId="53"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9" fillId="0" borderId="54" xfId="0" applyFont="1" applyBorder="1" applyAlignment="1">
      <alignment vertical="center" wrapText="1"/>
    </xf>
    <xf numFmtId="0" fontId="20" fillId="0" borderId="52" xfId="0" applyFont="1" applyBorder="1" applyAlignment="1">
      <alignment vertical="center" wrapText="1"/>
    </xf>
    <xf numFmtId="0" fontId="20" fillId="0" borderId="53" xfId="0" applyFont="1" applyBorder="1" applyAlignment="1">
      <alignment vertical="center" wrapTex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view="pageBreakPreview" zoomScaleNormal="100" zoomScaleSheetLayoutView="100" workbookViewId="0">
      <selection activeCell="C3" sqref="C3:J3"/>
    </sheetView>
  </sheetViews>
  <sheetFormatPr defaultColWidth="9" defaultRowHeight="18.75" customHeight="1"/>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c r="A1" s="74"/>
      <c r="B1" s="74"/>
      <c r="C1" s="74"/>
      <c r="D1" s="74"/>
      <c r="E1" s="74"/>
      <c r="F1" s="74"/>
      <c r="G1" s="74"/>
      <c r="H1" s="74"/>
      <c r="I1" s="74"/>
      <c r="J1" s="74"/>
      <c r="K1" s="74"/>
      <c r="L1" s="74"/>
      <c r="M1" s="74"/>
      <c r="N1" s="74"/>
      <c r="O1" s="74"/>
      <c r="P1" s="74"/>
      <c r="Q1" s="74"/>
      <c r="R1" s="74"/>
      <c r="S1" s="74"/>
      <c r="T1" s="139" t="s">
        <v>166</v>
      </c>
      <c r="U1" s="139"/>
      <c r="V1" s="2" t="s">
        <v>99</v>
      </c>
    </row>
    <row r="2" spans="1:24" ht="18.75" customHeight="1">
      <c r="A2" s="74"/>
      <c r="B2" s="75" t="s">
        <v>98</v>
      </c>
      <c r="C2" s="140" t="s">
        <v>136</v>
      </c>
      <c r="D2" s="141"/>
      <c r="E2" s="141"/>
      <c r="F2" s="141"/>
      <c r="G2" s="141"/>
      <c r="H2" s="141"/>
      <c r="I2" s="141"/>
      <c r="J2" s="142"/>
      <c r="K2" s="76"/>
      <c r="L2" s="77"/>
      <c r="M2" s="77"/>
      <c r="N2" s="77"/>
      <c r="O2" s="77"/>
      <c r="P2" s="77"/>
      <c r="Q2" s="77"/>
      <c r="R2" s="77"/>
      <c r="S2" s="77"/>
      <c r="T2" s="77"/>
      <c r="U2" s="77"/>
    </row>
    <row r="3" spans="1:24" ht="30.75" customHeight="1">
      <c r="A3" s="74"/>
      <c r="B3" s="75" t="s">
        <v>93</v>
      </c>
      <c r="C3" s="96" t="s">
        <v>201</v>
      </c>
      <c r="D3" s="97"/>
      <c r="E3" s="97"/>
      <c r="F3" s="97"/>
      <c r="G3" s="97"/>
      <c r="H3" s="97"/>
      <c r="I3" s="97"/>
      <c r="J3" s="98"/>
      <c r="K3" s="76"/>
      <c r="L3" s="77"/>
      <c r="M3" s="77"/>
      <c r="N3" s="77"/>
      <c r="O3" s="77"/>
      <c r="P3" s="77"/>
      <c r="Q3" s="77"/>
      <c r="R3" s="77"/>
      <c r="S3" s="77"/>
      <c r="T3" s="77"/>
      <c r="U3" s="77"/>
    </row>
    <row r="4" spans="1:24" ht="15" customHeight="1">
      <c r="A4" s="74"/>
      <c r="B4" s="74"/>
      <c r="C4" s="74"/>
      <c r="D4" s="74"/>
      <c r="E4" s="74"/>
      <c r="F4" s="74"/>
      <c r="G4" s="74"/>
      <c r="H4" s="74"/>
      <c r="I4" s="74"/>
      <c r="J4" s="74"/>
      <c r="K4" s="74"/>
      <c r="L4" s="76"/>
      <c r="M4" s="78"/>
      <c r="N4" s="78"/>
      <c r="O4" s="78"/>
      <c r="P4" s="78"/>
      <c r="Q4" s="78"/>
      <c r="R4" s="78"/>
      <c r="S4" s="78"/>
      <c r="T4" s="78"/>
      <c r="U4" s="78"/>
    </row>
    <row r="5" spans="1:24" ht="18" customHeight="1">
      <c r="A5" s="145" t="s">
        <v>37</v>
      </c>
      <c r="B5" s="145"/>
      <c r="C5" s="145"/>
      <c r="D5" s="145"/>
      <c r="E5" s="145"/>
      <c r="F5" s="145"/>
      <c r="G5" s="145"/>
      <c r="H5" s="145"/>
      <c r="I5" s="145"/>
      <c r="J5" s="145"/>
      <c r="K5" s="145"/>
      <c r="L5" s="145"/>
      <c r="M5" s="145"/>
      <c r="N5" s="145"/>
      <c r="O5" s="145"/>
      <c r="P5" s="145"/>
      <c r="Q5" s="145"/>
      <c r="R5" s="145"/>
      <c r="S5" s="145"/>
      <c r="T5" s="145"/>
      <c r="U5" s="145"/>
    </row>
    <row r="6" spans="1:24" ht="15" customHeight="1">
      <c r="A6" s="74"/>
      <c r="B6" s="79"/>
      <c r="C6" s="79"/>
      <c r="D6" s="79"/>
      <c r="E6" s="79"/>
      <c r="F6" s="79"/>
      <c r="G6" s="79"/>
      <c r="H6" s="79"/>
      <c r="I6" s="79"/>
      <c r="J6" s="79"/>
      <c r="K6" s="79"/>
      <c r="L6" s="79"/>
      <c r="M6" s="79"/>
      <c r="N6" s="79"/>
      <c r="O6" s="79"/>
      <c r="P6" s="79"/>
      <c r="Q6" s="79"/>
      <c r="R6" s="79"/>
      <c r="S6" s="79"/>
      <c r="T6" s="79"/>
      <c r="U6" s="79"/>
    </row>
    <row r="7" spans="1:24" ht="15" customHeight="1">
      <c r="A7" s="74" t="s">
        <v>131</v>
      </c>
      <c r="B7" s="79"/>
      <c r="C7" s="79"/>
      <c r="D7" s="79"/>
      <c r="E7" s="79"/>
      <c r="F7" s="73"/>
      <c r="G7" s="73"/>
      <c r="H7" s="73"/>
      <c r="I7" s="73"/>
      <c r="J7" s="73"/>
      <c r="K7" s="73"/>
      <c r="L7" s="112" t="s">
        <v>129</v>
      </c>
      <c r="M7" s="113"/>
      <c r="N7" s="113"/>
      <c r="O7" s="113"/>
      <c r="P7" s="113"/>
      <c r="Q7" s="113"/>
      <c r="R7" s="113"/>
      <c r="S7" s="113"/>
      <c r="T7" s="113"/>
      <c r="U7" s="114"/>
    </row>
    <row r="8" spans="1:24" ht="6" customHeight="1">
      <c r="A8" s="74"/>
      <c r="B8" s="79"/>
      <c r="C8" s="79"/>
      <c r="D8" s="79"/>
      <c r="E8" s="79"/>
      <c r="F8" s="79"/>
      <c r="G8" s="79"/>
      <c r="H8" s="79"/>
      <c r="I8" s="79"/>
      <c r="J8" s="79"/>
      <c r="K8" s="79"/>
      <c r="L8" s="79"/>
      <c r="M8" s="79"/>
      <c r="N8" s="79"/>
      <c r="O8" s="79"/>
      <c r="P8" s="79"/>
      <c r="Q8" s="79"/>
      <c r="R8" s="79"/>
      <c r="S8" s="79"/>
      <c r="T8" s="79"/>
      <c r="U8" s="79"/>
    </row>
    <row r="9" spans="1:24" ht="18" customHeight="1">
      <c r="A9" s="74" t="s">
        <v>132</v>
      </c>
      <c r="B9" s="74"/>
      <c r="C9" s="79"/>
      <c r="D9" s="79"/>
      <c r="E9" s="74"/>
      <c r="F9" s="74"/>
      <c r="G9" s="74"/>
      <c r="H9" s="74"/>
      <c r="I9" s="74"/>
      <c r="J9" s="74"/>
      <c r="K9" s="76"/>
      <c r="L9" s="73"/>
      <c r="M9" s="73"/>
      <c r="N9" s="73"/>
      <c r="O9" s="73"/>
      <c r="P9" s="73"/>
      <c r="Q9" s="73"/>
      <c r="R9" s="73"/>
      <c r="S9" s="73"/>
      <c r="T9" s="73"/>
      <c r="U9" s="73"/>
    </row>
    <row r="10" spans="1:24" ht="6" customHeight="1">
      <c r="A10" s="74"/>
      <c r="B10" s="79"/>
      <c r="C10" s="79"/>
      <c r="D10" s="79"/>
      <c r="E10" s="79"/>
      <c r="F10" s="79"/>
      <c r="G10" s="79"/>
      <c r="H10" s="79"/>
      <c r="I10" s="79"/>
      <c r="J10" s="79"/>
      <c r="K10" s="79"/>
      <c r="L10" s="80"/>
      <c r="M10" s="79"/>
      <c r="N10" s="79"/>
      <c r="O10" s="79"/>
      <c r="P10" s="79"/>
      <c r="Q10" s="79"/>
      <c r="R10" s="79"/>
      <c r="S10" s="79"/>
      <c r="T10" s="79"/>
      <c r="U10" s="79"/>
    </row>
    <row r="11" spans="1:24" ht="18" customHeight="1">
      <c r="A11" s="74"/>
      <c r="B11" s="118" t="s">
        <v>141</v>
      </c>
      <c r="C11" s="119"/>
      <c r="D11" s="119"/>
      <c r="E11" s="119"/>
      <c r="F11" s="119"/>
      <c r="G11" s="119"/>
      <c r="H11" s="119"/>
      <c r="I11" s="119"/>
      <c r="J11" s="119"/>
      <c r="K11" s="119"/>
      <c r="L11" s="119"/>
      <c r="M11" s="119"/>
      <c r="N11" s="119"/>
      <c r="O11" s="119"/>
      <c r="P11" s="119"/>
      <c r="Q11" s="119"/>
      <c r="R11" s="119"/>
      <c r="S11" s="119"/>
      <c r="T11" s="119"/>
      <c r="U11" s="120"/>
    </row>
    <row r="12" spans="1:24" ht="18" customHeight="1">
      <c r="A12" s="74"/>
      <c r="B12" s="121"/>
      <c r="C12" s="122"/>
      <c r="D12" s="122"/>
      <c r="E12" s="122"/>
      <c r="F12" s="122"/>
      <c r="G12" s="122"/>
      <c r="H12" s="122"/>
      <c r="I12" s="122"/>
      <c r="J12" s="122"/>
      <c r="K12" s="122"/>
      <c r="L12" s="122"/>
      <c r="M12" s="122"/>
      <c r="N12" s="122"/>
      <c r="O12" s="122"/>
      <c r="P12" s="122"/>
      <c r="Q12" s="122"/>
      <c r="R12" s="122"/>
      <c r="S12" s="122"/>
      <c r="T12" s="122"/>
      <c r="U12" s="123"/>
    </row>
    <row r="13" spans="1:24" ht="6" customHeight="1">
      <c r="A13" s="74"/>
      <c r="B13" s="79"/>
      <c r="C13" s="79"/>
      <c r="D13" s="79"/>
      <c r="E13" s="79"/>
      <c r="F13" s="79"/>
      <c r="G13" s="79"/>
      <c r="H13" s="79"/>
      <c r="I13" s="79"/>
      <c r="J13" s="79"/>
      <c r="K13" s="79"/>
      <c r="L13" s="80"/>
      <c r="M13" s="79"/>
      <c r="N13" s="79"/>
      <c r="O13" s="79"/>
      <c r="P13" s="79"/>
      <c r="Q13" s="79"/>
      <c r="R13" s="79"/>
      <c r="S13" s="79"/>
      <c r="T13" s="79"/>
      <c r="U13" s="79"/>
    </row>
    <row r="14" spans="1:24" ht="18" customHeight="1">
      <c r="A14" s="74" t="s">
        <v>100</v>
      </c>
      <c r="B14" s="79"/>
      <c r="C14" s="79"/>
      <c r="D14" s="79"/>
      <c r="E14" s="76"/>
      <c r="F14" s="76"/>
      <c r="G14" s="76"/>
      <c r="H14" s="76"/>
      <c r="I14" s="76"/>
      <c r="J14" s="76"/>
      <c r="K14" s="76"/>
      <c r="L14" s="81"/>
      <c r="M14" s="81"/>
      <c r="N14" s="81"/>
      <c r="O14" s="81"/>
      <c r="P14" s="81"/>
      <c r="Q14" s="81"/>
      <c r="R14" s="81"/>
      <c r="S14" s="81"/>
      <c r="T14" s="81"/>
      <c r="U14" s="81"/>
    </row>
    <row r="15" spans="1:24" ht="18" customHeight="1">
      <c r="A15" s="74"/>
      <c r="B15" s="146" t="s">
        <v>200</v>
      </c>
      <c r="C15" s="147"/>
      <c r="D15" s="147"/>
      <c r="E15" s="147"/>
      <c r="F15" s="147"/>
      <c r="G15" s="147"/>
      <c r="H15" s="147"/>
      <c r="I15" s="147"/>
      <c r="J15" s="147"/>
      <c r="K15" s="147"/>
      <c r="L15" s="147"/>
      <c r="M15" s="147"/>
      <c r="N15" s="147"/>
      <c r="O15" s="147"/>
      <c r="P15" s="147"/>
      <c r="Q15" s="147"/>
      <c r="R15" s="147"/>
      <c r="S15" s="147"/>
      <c r="T15" s="147"/>
      <c r="U15" s="148"/>
      <c r="X15" s="1" t="s">
        <v>94</v>
      </c>
    </row>
    <row r="16" spans="1:24" ht="18" customHeight="1">
      <c r="A16" s="74"/>
      <c r="B16" s="149"/>
      <c r="C16" s="150"/>
      <c r="D16" s="150"/>
      <c r="E16" s="150"/>
      <c r="F16" s="150"/>
      <c r="G16" s="150"/>
      <c r="H16" s="150"/>
      <c r="I16" s="150"/>
      <c r="J16" s="150"/>
      <c r="K16" s="150"/>
      <c r="L16" s="150"/>
      <c r="M16" s="150"/>
      <c r="N16" s="150"/>
      <c r="O16" s="150"/>
      <c r="P16" s="150"/>
      <c r="Q16" s="150"/>
      <c r="R16" s="150"/>
      <c r="S16" s="150"/>
      <c r="T16" s="150"/>
      <c r="U16" s="151"/>
      <c r="X16" s="1" t="s">
        <v>114</v>
      </c>
    </row>
    <row r="17" spans="1:24" ht="18" customHeight="1">
      <c r="A17" s="74"/>
      <c r="B17" s="149"/>
      <c r="C17" s="150"/>
      <c r="D17" s="150"/>
      <c r="E17" s="150"/>
      <c r="F17" s="150"/>
      <c r="G17" s="150"/>
      <c r="H17" s="150"/>
      <c r="I17" s="150"/>
      <c r="J17" s="150"/>
      <c r="K17" s="150"/>
      <c r="L17" s="150"/>
      <c r="M17" s="150"/>
      <c r="N17" s="150"/>
      <c r="O17" s="150"/>
      <c r="P17" s="150"/>
      <c r="Q17" s="150"/>
      <c r="R17" s="150"/>
      <c r="S17" s="150"/>
      <c r="T17" s="150"/>
      <c r="U17" s="151"/>
      <c r="X17" s="1" t="s">
        <v>115</v>
      </c>
    </row>
    <row r="18" spans="1:24" ht="18" customHeight="1">
      <c r="A18" s="74"/>
      <c r="B18" s="149"/>
      <c r="C18" s="150"/>
      <c r="D18" s="150"/>
      <c r="E18" s="150"/>
      <c r="F18" s="150"/>
      <c r="G18" s="150"/>
      <c r="H18" s="150"/>
      <c r="I18" s="150"/>
      <c r="J18" s="150"/>
      <c r="K18" s="150"/>
      <c r="L18" s="150"/>
      <c r="M18" s="150"/>
      <c r="N18" s="150"/>
      <c r="O18" s="150"/>
      <c r="P18" s="150"/>
      <c r="Q18" s="150"/>
      <c r="R18" s="150"/>
      <c r="S18" s="150"/>
      <c r="T18" s="150"/>
      <c r="U18" s="151"/>
      <c r="X18" s="1" t="s">
        <v>116</v>
      </c>
    </row>
    <row r="19" spans="1:24" ht="18" customHeight="1">
      <c r="A19" s="74"/>
      <c r="B19" s="149"/>
      <c r="C19" s="150"/>
      <c r="D19" s="150"/>
      <c r="E19" s="150"/>
      <c r="F19" s="150"/>
      <c r="G19" s="150"/>
      <c r="H19" s="150"/>
      <c r="I19" s="150"/>
      <c r="J19" s="150"/>
      <c r="K19" s="150"/>
      <c r="L19" s="150"/>
      <c r="M19" s="150"/>
      <c r="N19" s="150"/>
      <c r="O19" s="150"/>
      <c r="P19" s="150"/>
      <c r="Q19" s="150"/>
      <c r="R19" s="150"/>
      <c r="S19" s="150"/>
      <c r="T19" s="150"/>
      <c r="U19" s="151"/>
    </row>
    <row r="20" spans="1:24" ht="18" customHeight="1">
      <c r="A20" s="74"/>
      <c r="B20" s="152"/>
      <c r="C20" s="153"/>
      <c r="D20" s="153"/>
      <c r="E20" s="153"/>
      <c r="F20" s="153"/>
      <c r="G20" s="153"/>
      <c r="H20" s="153"/>
      <c r="I20" s="153"/>
      <c r="J20" s="153"/>
      <c r="K20" s="153"/>
      <c r="L20" s="153"/>
      <c r="M20" s="153"/>
      <c r="N20" s="153"/>
      <c r="O20" s="153"/>
      <c r="P20" s="153"/>
      <c r="Q20" s="153"/>
      <c r="R20" s="153"/>
      <c r="S20" s="153"/>
      <c r="T20" s="153"/>
      <c r="U20" s="154"/>
    </row>
    <row r="21" spans="1:24" ht="7.5" customHeight="1">
      <c r="A21" s="74"/>
      <c r="B21" s="79"/>
      <c r="C21" s="79"/>
      <c r="D21" s="79"/>
      <c r="E21" s="79"/>
      <c r="F21" s="79"/>
      <c r="G21" s="79"/>
      <c r="H21" s="79"/>
      <c r="I21" s="79"/>
      <c r="J21" s="79"/>
      <c r="K21" s="79"/>
      <c r="L21" s="79"/>
      <c r="M21" s="79"/>
      <c r="N21" s="79"/>
      <c r="O21" s="79"/>
      <c r="P21" s="79"/>
      <c r="Q21" s="79"/>
      <c r="R21" s="79"/>
      <c r="S21" s="79"/>
      <c r="T21" s="79"/>
      <c r="U21" s="79"/>
    </row>
    <row r="22" spans="1:24" ht="19.95" customHeight="1">
      <c r="A22" s="74"/>
      <c r="B22" s="74" t="s">
        <v>133</v>
      </c>
      <c r="C22" s="74"/>
      <c r="D22" s="74"/>
      <c r="E22" s="82">
        <v>3</v>
      </c>
      <c r="F22" s="74" t="s">
        <v>112</v>
      </c>
      <c r="G22" s="74"/>
      <c r="H22" s="83">
        <v>6</v>
      </c>
      <c r="I22" s="79" t="s">
        <v>113</v>
      </c>
      <c r="J22" s="79"/>
      <c r="K22" s="76"/>
      <c r="L22" s="74"/>
      <c r="M22" s="76" t="s">
        <v>109</v>
      </c>
      <c r="N22" s="109" t="s">
        <v>114</v>
      </c>
      <c r="O22" s="110"/>
      <c r="P22" s="110"/>
      <c r="Q22" s="110"/>
      <c r="R22" s="110"/>
      <c r="S22" s="110"/>
      <c r="T22" s="110"/>
      <c r="U22" s="111"/>
    </row>
    <row r="23" spans="1:24" ht="7.5" customHeight="1">
      <c r="A23" s="74"/>
      <c r="B23" s="79"/>
      <c r="C23" s="79"/>
      <c r="D23" s="79"/>
      <c r="E23" s="79"/>
      <c r="F23" s="79"/>
      <c r="G23" s="79"/>
      <c r="H23" s="79"/>
      <c r="I23" s="79"/>
      <c r="J23" s="79"/>
      <c r="K23" s="79"/>
      <c r="L23" s="79"/>
      <c r="M23" s="79"/>
      <c r="N23" s="79"/>
      <c r="O23" s="79"/>
      <c r="P23" s="79"/>
      <c r="Q23" s="79"/>
      <c r="R23" s="79"/>
      <c r="S23" s="79"/>
      <c r="T23" s="79"/>
      <c r="U23" s="79"/>
    </row>
    <row r="24" spans="1:24" ht="18" customHeight="1">
      <c r="A24" s="155" t="s">
        <v>101</v>
      </c>
      <c r="B24" s="155"/>
      <c r="C24" s="155"/>
      <c r="D24" s="155"/>
      <c r="E24" s="155"/>
      <c r="F24" s="155"/>
      <c r="G24" s="155"/>
      <c r="H24" s="155"/>
      <c r="I24" s="155"/>
      <c r="J24" s="155"/>
      <c r="K24" s="155"/>
      <c r="L24" s="155"/>
      <c r="M24" s="155"/>
      <c r="N24" s="155"/>
      <c r="O24" s="155"/>
      <c r="P24" s="155"/>
      <c r="Q24" s="155"/>
      <c r="R24" s="155"/>
      <c r="S24" s="155"/>
      <c r="T24" s="155"/>
      <c r="U24" s="155"/>
    </row>
    <row r="25" spans="1:24" ht="18" customHeight="1">
      <c r="A25" s="155"/>
      <c r="B25" s="155"/>
      <c r="C25" s="155"/>
      <c r="D25" s="155"/>
      <c r="E25" s="155"/>
      <c r="F25" s="155"/>
      <c r="G25" s="155"/>
      <c r="H25" s="155"/>
      <c r="I25" s="155"/>
      <c r="J25" s="155"/>
      <c r="K25" s="155"/>
      <c r="L25" s="155"/>
      <c r="M25" s="155"/>
      <c r="N25" s="155"/>
      <c r="O25" s="155"/>
      <c r="P25" s="155"/>
      <c r="Q25" s="155"/>
      <c r="R25" s="155"/>
      <c r="S25" s="155"/>
      <c r="T25" s="155"/>
      <c r="U25" s="155"/>
    </row>
    <row r="26" spans="1:24" ht="18" customHeight="1">
      <c r="B26" s="115" t="s">
        <v>51</v>
      </c>
      <c r="C26" s="116"/>
      <c r="D26" s="116"/>
      <c r="E26" s="116"/>
      <c r="F26" s="117"/>
      <c r="G26" s="50" t="s">
        <v>77</v>
      </c>
      <c r="H26" s="49" t="s">
        <v>80</v>
      </c>
      <c r="I26" s="16" t="s">
        <v>54</v>
      </c>
      <c r="J26" s="16" t="s">
        <v>57</v>
      </c>
      <c r="K26" s="115" t="s">
        <v>51</v>
      </c>
      <c r="L26" s="116"/>
      <c r="M26" s="116"/>
      <c r="N26" s="116"/>
      <c r="O26" s="116"/>
      <c r="P26" s="116"/>
      <c r="Q26" s="117"/>
      <c r="R26" s="50" t="s">
        <v>77</v>
      </c>
      <c r="S26" s="49" t="s">
        <v>80</v>
      </c>
      <c r="T26" s="16" t="s">
        <v>54</v>
      </c>
      <c r="U26" s="16" t="s">
        <v>57</v>
      </c>
    </row>
    <row r="27" spans="1:24" ht="18" customHeight="1">
      <c r="B27" s="130" t="s">
        <v>137</v>
      </c>
      <c r="C27" s="131"/>
      <c r="D27" s="131"/>
      <c r="E27" s="131"/>
      <c r="F27" s="132"/>
      <c r="G27" s="17">
        <v>2</v>
      </c>
      <c r="H27" s="17" t="s">
        <v>138</v>
      </c>
      <c r="I27" s="17" t="s">
        <v>138</v>
      </c>
      <c r="J27" s="17"/>
      <c r="K27" s="130"/>
      <c r="L27" s="131"/>
      <c r="M27" s="131"/>
      <c r="N27" s="131"/>
      <c r="O27" s="131"/>
      <c r="P27" s="131"/>
      <c r="Q27" s="132"/>
      <c r="R27" s="17"/>
      <c r="S27" s="17"/>
      <c r="T27" s="17"/>
      <c r="U27" s="17"/>
    </row>
    <row r="28" spans="1:24" ht="18" customHeight="1">
      <c r="B28" s="124" t="s">
        <v>146</v>
      </c>
      <c r="C28" s="125"/>
      <c r="D28" s="125"/>
      <c r="E28" s="125"/>
      <c r="F28" s="126"/>
      <c r="G28" s="18">
        <v>2</v>
      </c>
      <c r="H28" s="18" t="s">
        <v>138</v>
      </c>
      <c r="I28" s="18"/>
      <c r="J28" s="18" t="s">
        <v>138</v>
      </c>
      <c r="K28" s="124"/>
      <c r="L28" s="125"/>
      <c r="M28" s="125"/>
      <c r="N28" s="125"/>
      <c r="O28" s="125"/>
      <c r="P28" s="125"/>
      <c r="Q28" s="126"/>
      <c r="R28" s="18"/>
      <c r="S28" s="18"/>
      <c r="T28" s="18"/>
      <c r="U28" s="18"/>
    </row>
    <row r="29" spans="1:24" ht="18" customHeight="1">
      <c r="B29" s="124"/>
      <c r="C29" s="125"/>
      <c r="D29" s="125"/>
      <c r="E29" s="125"/>
      <c r="F29" s="126"/>
      <c r="G29" s="18"/>
      <c r="H29" s="18"/>
      <c r="I29" s="18"/>
      <c r="J29" s="18"/>
      <c r="K29" s="124"/>
      <c r="L29" s="125"/>
      <c r="M29" s="125"/>
      <c r="N29" s="125"/>
      <c r="O29" s="125"/>
      <c r="P29" s="125"/>
      <c r="Q29" s="126"/>
      <c r="R29" s="18"/>
      <c r="S29" s="18"/>
      <c r="T29" s="18"/>
      <c r="U29" s="18"/>
    </row>
    <row r="30" spans="1:24" ht="18" customHeight="1">
      <c r="B30" s="124"/>
      <c r="C30" s="125"/>
      <c r="D30" s="125"/>
      <c r="E30" s="125"/>
      <c r="F30" s="126"/>
      <c r="G30" s="18"/>
      <c r="H30" s="18"/>
      <c r="I30" s="18"/>
      <c r="J30" s="18"/>
      <c r="K30" s="124"/>
      <c r="L30" s="125"/>
      <c r="M30" s="125"/>
      <c r="N30" s="125"/>
      <c r="O30" s="125"/>
      <c r="P30" s="125"/>
      <c r="Q30" s="126"/>
      <c r="R30" s="18"/>
      <c r="S30" s="18"/>
      <c r="T30" s="18"/>
      <c r="U30" s="18"/>
    </row>
    <row r="31" spans="1:24" ht="18" customHeight="1">
      <c r="B31" s="124"/>
      <c r="C31" s="125"/>
      <c r="D31" s="125"/>
      <c r="E31" s="125"/>
      <c r="F31" s="126"/>
      <c r="G31" s="18"/>
      <c r="H31" s="18"/>
      <c r="I31" s="18"/>
      <c r="J31" s="18"/>
      <c r="K31" s="124"/>
      <c r="L31" s="125"/>
      <c r="M31" s="125"/>
      <c r="N31" s="125"/>
      <c r="O31" s="125"/>
      <c r="P31" s="125"/>
      <c r="Q31" s="126"/>
      <c r="R31" s="18"/>
      <c r="S31" s="18"/>
      <c r="T31" s="18"/>
      <c r="U31" s="18"/>
    </row>
    <row r="32" spans="1:24" ht="18" customHeight="1">
      <c r="A32" s="3"/>
      <c r="B32" s="124"/>
      <c r="C32" s="125"/>
      <c r="D32" s="125"/>
      <c r="E32" s="125"/>
      <c r="F32" s="126"/>
      <c r="G32" s="18"/>
      <c r="H32" s="18"/>
      <c r="I32" s="18"/>
      <c r="J32" s="18"/>
      <c r="K32" s="124"/>
      <c r="L32" s="125"/>
      <c r="M32" s="125"/>
      <c r="N32" s="125"/>
      <c r="O32" s="125"/>
      <c r="P32" s="125"/>
      <c r="Q32" s="126"/>
      <c r="R32" s="18"/>
      <c r="S32" s="18"/>
      <c r="T32" s="18"/>
      <c r="U32" s="18"/>
    </row>
    <row r="33" spans="1:21" ht="18" customHeight="1">
      <c r="A33" s="3"/>
      <c r="B33" s="127"/>
      <c r="C33" s="128"/>
      <c r="D33" s="128"/>
      <c r="E33" s="128"/>
      <c r="F33" s="129"/>
      <c r="G33" s="19"/>
      <c r="H33" s="19"/>
      <c r="I33" s="20"/>
      <c r="J33" s="20"/>
      <c r="K33" s="127"/>
      <c r="L33" s="128"/>
      <c r="M33" s="128"/>
      <c r="N33" s="128"/>
      <c r="O33" s="128"/>
      <c r="P33" s="128"/>
      <c r="Q33" s="129"/>
      <c r="R33" s="19"/>
      <c r="S33" s="19"/>
      <c r="T33" s="20"/>
      <c r="U33" s="20"/>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33" t="s">
        <v>102</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c r="B37" s="115" t="s">
        <v>51</v>
      </c>
      <c r="C37" s="116"/>
      <c r="D37" s="116"/>
      <c r="E37" s="116"/>
      <c r="F37" s="117"/>
      <c r="G37" s="50" t="s">
        <v>77</v>
      </c>
      <c r="H37" s="49" t="s">
        <v>80</v>
      </c>
      <c r="I37" s="16" t="s">
        <v>68</v>
      </c>
      <c r="J37" s="16" t="s">
        <v>69</v>
      </c>
      <c r="K37" s="115" t="s">
        <v>51</v>
      </c>
      <c r="L37" s="116"/>
      <c r="M37" s="116"/>
      <c r="N37" s="116"/>
      <c r="O37" s="116"/>
      <c r="P37" s="116"/>
      <c r="Q37" s="117"/>
      <c r="R37" s="50" t="s">
        <v>77</v>
      </c>
      <c r="S37" s="49" t="s">
        <v>80</v>
      </c>
      <c r="T37" s="16" t="s">
        <v>68</v>
      </c>
      <c r="U37" s="16" t="s">
        <v>69</v>
      </c>
    </row>
    <row r="38" spans="1:21" ht="18" customHeight="1">
      <c r="B38" s="130" t="s">
        <v>165</v>
      </c>
      <c r="C38" s="131"/>
      <c r="D38" s="131"/>
      <c r="E38" s="131"/>
      <c r="F38" s="132"/>
      <c r="G38" s="17">
        <v>2</v>
      </c>
      <c r="H38" s="17" t="s">
        <v>138</v>
      </c>
      <c r="I38" s="17" t="s">
        <v>138</v>
      </c>
      <c r="J38" s="17"/>
      <c r="K38" s="130"/>
      <c r="L38" s="131"/>
      <c r="M38" s="131"/>
      <c r="N38" s="131"/>
      <c r="O38" s="131"/>
      <c r="P38" s="131"/>
      <c r="Q38" s="132"/>
      <c r="R38" s="17"/>
      <c r="S38" s="17"/>
      <c r="T38" s="17"/>
      <c r="U38" s="17"/>
    </row>
    <row r="39" spans="1:21" ht="18" customHeight="1">
      <c r="B39" s="136" t="s">
        <v>139</v>
      </c>
      <c r="C39" s="137"/>
      <c r="D39" s="137"/>
      <c r="E39" s="137"/>
      <c r="F39" s="138"/>
      <c r="G39" s="18">
        <v>2</v>
      </c>
      <c r="H39" s="18" t="s">
        <v>138</v>
      </c>
      <c r="I39" s="18"/>
      <c r="J39" s="18" t="s">
        <v>138</v>
      </c>
      <c r="K39" s="124"/>
      <c r="L39" s="125"/>
      <c r="M39" s="125"/>
      <c r="N39" s="125"/>
      <c r="O39" s="125"/>
      <c r="P39" s="125"/>
      <c r="Q39" s="126"/>
      <c r="R39" s="18"/>
      <c r="S39" s="18"/>
      <c r="T39" s="18"/>
      <c r="U39" s="18"/>
    </row>
    <row r="40" spans="1:21" ht="18" customHeight="1">
      <c r="B40" s="178"/>
      <c r="C40" s="179"/>
      <c r="D40" s="179"/>
      <c r="E40" s="179"/>
      <c r="F40" s="180"/>
      <c r="G40" s="18"/>
      <c r="H40" s="18"/>
      <c r="I40" s="18"/>
      <c r="J40" s="18"/>
      <c r="K40" s="124"/>
      <c r="L40" s="125"/>
      <c r="M40" s="125"/>
      <c r="N40" s="125"/>
      <c r="O40" s="125"/>
      <c r="P40" s="125"/>
      <c r="Q40" s="126"/>
      <c r="R40" s="18"/>
      <c r="S40" s="18"/>
      <c r="T40" s="18"/>
      <c r="U40" s="18"/>
    </row>
    <row r="41" spans="1:21" ht="18" customHeight="1">
      <c r="B41" s="178"/>
      <c r="C41" s="179"/>
      <c r="D41" s="179"/>
      <c r="E41" s="179"/>
      <c r="F41" s="180"/>
      <c r="G41" s="18"/>
      <c r="H41" s="18"/>
      <c r="I41" s="18"/>
      <c r="J41" s="18"/>
      <c r="K41" s="124"/>
      <c r="L41" s="125"/>
      <c r="M41" s="125"/>
      <c r="N41" s="125"/>
      <c r="O41" s="125"/>
      <c r="P41" s="125"/>
      <c r="Q41" s="126"/>
      <c r="R41" s="18"/>
      <c r="S41" s="18"/>
      <c r="T41" s="18"/>
      <c r="U41" s="18"/>
    </row>
    <row r="42" spans="1:21" ht="18" customHeight="1">
      <c r="B42" s="124"/>
      <c r="C42" s="125"/>
      <c r="D42" s="125"/>
      <c r="E42" s="125"/>
      <c r="F42" s="126"/>
      <c r="G42" s="18"/>
      <c r="H42" s="18"/>
      <c r="I42" s="18"/>
      <c r="J42" s="18"/>
      <c r="K42" s="124"/>
      <c r="L42" s="125"/>
      <c r="M42" s="125"/>
      <c r="N42" s="125"/>
      <c r="O42" s="125"/>
      <c r="P42" s="125"/>
      <c r="Q42" s="126"/>
      <c r="R42" s="18"/>
      <c r="S42" s="18"/>
      <c r="T42" s="18"/>
      <c r="U42" s="18"/>
    </row>
    <row r="43" spans="1:21" ht="18" customHeight="1">
      <c r="B43" s="124"/>
      <c r="C43" s="125"/>
      <c r="D43" s="125"/>
      <c r="E43" s="125"/>
      <c r="F43" s="126"/>
      <c r="G43" s="18"/>
      <c r="H43" s="18"/>
      <c r="I43" s="18"/>
      <c r="J43" s="18"/>
      <c r="K43" s="124"/>
      <c r="L43" s="125"/>
      <c r="M43" s="125"/>
      <c r="N43" s="125"/>
      <c r="O43" s="125"/>
      <c r="P43" s="125"/>
      <c r="Q43" s="126"/>
      <c r="R43" s="18"/>
      <c r="S43" s="18"/>
      <c r="T43" s="18"/>
      <c r="U43" s="18"/>
    </row>
    <row r="44" spans="1:21" ht="18" customHeight="1">
      <c r="B44" s="127"/>
      <c r="C44" s="128"/>
      <c r="D44" s="128"/>
      <c r="E44" s="128"/>
      <c r="F44" s="129"/>
      <c r="G44" s="19"/>
      <c r="H44" s="19"/>
      <c r="I44" s="20"/>
      <c r="J44" s="20"/>
      <c r="K44" s="127"/>
      <c r="L44" s="128"/>
      <c r="M44" s="128"/>
      <c r="N44" s="128"/>
      <c r="O44" s="128"/>
      <c r="P44" s="128"/>
      <c r="Q44" s="129"/>
      <c r="R44" s="19"/>
      <c r="S44" s="19"/>
      <c r="T44" s="20"/>
      <c r="U44" s="20"/>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33" t="s">
        <v>103</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c r="B48" s="115" t="s">
        <v>51</v>
      </c>
      <c r="C48" s="116"/>
      <c r="D48" s="116"/>
      <c r="E48" s="116"/>
      <c r="F48" s="117"/>
      <c r="G48" s="50" t="s">
        <v>77</v>
      </c>
      <c r="H48" s="49" t="s">
        <v>80</v>
      </c>
      <c r="I48" s="16" t="s">
        <v>70</v>
      </c>
      <c r="J48" s="16" t="s">
        <v>71</v>
      </c>
      <c r="K48" s="115" t="s">
        <v>51</v>
      </c>
      <c r="L48" s="116"/>
      <c r="M48" s="116"/>
      <c r="N48" s="116"/>
      <c r="O48" s="116"/>
      <c r="P48" s="116"/>
      <c r="Q48" s="117"/>
      <c r="R48" s="50" t="s">
        <v>77</v>
      </c>
      <c r="S48" s="49" t="s">
        <v>80</v>
      </c>
      <c r="T48" s="16" t="s">
        <v>70</v>
      </c>
      <c r="U48" s="16" t="s">
        <v>71</v>
      </c>
    </row>
    <row r="49" spans="1:21" ht="18" customHeight="1">
      <c r="A49" s="3"/>
      <c r="B49" s="124" t="s">
        <v>139</v>
      </c>
      <c r="C49" s="125"/>
      <c r="D49" s="125"/>
      <c r="E49" s="125"/>
      <c r="F49" s="126"/>
      <c r="G49" s="18">
        <v>2</v>
      </c>
      <c r="H49" s="18" t="s">
        <v>138</v>
      </c>
      <c r="I49" s="18" t="s">
        <v>138</v>
      </c>
      <c r="J49" s="18"/>
      <c r="K49" s="130"/>
      <c r="L49" s="131"/>
      <c r="M49" s="131"/>
      <c r="N49" s="131"/>
      <c r="O49" s="131"/>
      <c r="P49" s="131"/>
      <c r="Q49" s="132"/>
      <c r="R49" s="17"/>
      <c r="S49" s="17"/>
      <c r="T49" s="17"/>
      <c r="U49" s="17"/>
    </row>
    <row r="50" spans="1:21" ht="18" customHeight="1">
      <c r="A50" s="3"/>
      <c r="B50" s="124" t="s">
        <v>146</v>
      </c>
      <c r="C50" s="125"/>
      <c r="D50" s="125"/>
      <c r="E50" s="125"/>
      <c r="F50" s="126"/>
      <c r="G50" s="18">
        <v>2</v>
      </c>
      <c r="H50" s="18"/>
      <c r="I50" s="18"/>
      <c r="J50" s="18" t="s">
        <v>138</v>
      </c>
      <c r="K50" s="124"/>
      <c r="L50" s="125"/>
      <c r="M50" s="125"/>
      <c r="N50" s="125"/>
      <c r="O50" s="125"/>
      <c r="P50" s="125"/>
      <c r="Q50" s="126"/>
      <c r="R50" s="18"/>
      <c r="S50" s="18"/>
      <c r="T50" s="18"/>
      <c r="U50" s="18"/>
    </row>
    <row r="51" spans="1:21" ht="18" customHeight="1">
      <c r="A51" s="3"/>
      <c r="B51" s="124"/>
      <c r="C51" s="125"/>
      <c r="D51" s="125"/>
      <c r="E51" s="125"/>
      <c r="F51" s="126"/>
      <c r="G51" s="18"/>
      <c r="H51" s="18"/>
      <c r="I51" s="18"/>
      <c r="J51" s="18"/>
      <c r="K51" s="124"/>
      <c r="L51" s="125"/>
      <c r="M51" s="125"/>
      <c r="N51" s="125"/>
      <c r="O51" s="125"/>
      <c r="P51" s="125"/>
      <c r="Q51" s="126"/>
      <c r="R51" s="18"/>
      <c r="S51" s="18"/>
      <c r="T51" s="18"/>
      <c r="U51" s="18"/>
    </row>
    <row r="52" spans="1:21" ht="18" customHeight="1">
      <c r="A52" s="3"/>
      <c r="B52" s="124"/>
      <c r="C52" s="125"/>
      <c r="D52" s="125"/>
      <c r="E52" s="125"/>
      <c r="F52" s="126"/>
      <c r="G52" s="18"/>
      <c r="H52" s="18"/>
      <c r="I52" s="18"/>
      <c r="J52" s="18"/>
      <c r="K52" s="124"/>
      <c r="L52" s="125"/>
      <c r="M52" s="125"/>
      <c r="N52" s="125"/>
      <c r="O52" s="125"/>
      <c r="P52" s="125"/>
      <c r="Q52" s="126"/>
      <c r="R52" s="18"/>
      <c r="S52" s="18"/>
      <c r="T52" s="18"/>
      <c r="U52" s="18"/>
    </row>
    <row r="53" spans="1:21" ht="18" customHeight="1">
      <c r="A53" s="3"/>
      <c r="B53" s="124"/>
      <c r="C53" s="125"/>
      <c r="D53" s="125"/>
      <c r="E53" s="125"/>
      <c r="F53" s="126"/>
      <c r="G53" s="18"/>
      <c r="H53" s="18"/>
      <c r="I53" s="18"/>
      <c r="J53" s="18"/>
      <c r="K53" s="124"/>
      <c r="L53" s="125"/>
      <c r="M53" s="125"/>
      <c r="N53" s="125"/>
      <c r="O53" s="125"/>
      <c r="P53" s="125"/>
      <c r="Q53" s="126"/>
      <c r="R53" s="18"/>
      <c r="S53" s="18"/>
      <c r="T53" s="18"/>
      <c r="U53" s="18"/>
    </row>
    <row r="54" spans="1:21" ht="18" customHeight="1">
      <c r="A54" s="3"/>
      <c r="B54" s="124"/>
      <c r="C54" s="125"/>
      <c r="D54" s="125"/>
      <c r="E54" s="125"/>
      <c r="F54" s="126"/>
      <c r="G54" s="18"/>
      <c r="H54" s="18"/>
      <c r="I54" s="18"/>
      <c r="J54" s="18"/>
      <c r="K54" s="124"/>
      <c r="L54" s="125"/>
      <c r="M54" s="125"/>
      <c r="N54" s="125"/>
      <c r="O54" s="125"/>
      <c r="P54" s="125"/>
      <c r="Q54" s="126"/>
      <c r="R54" s="18"/>
      <c r="S54" s="18"/>
      <c r="T54" s="18"/>
      <c r="U54" s="18"/>
    </row>
    <row r="55" spans="1:21" ht="18" customHeight="1">
      <c r="A55" s="3"/>
      <c r="B55" s="127"/>
      <c r="C55" s="128"/>
      <c r="D55" s="128"/>
      <c r="E55" s="128"/>
      <c r="F55" s="129"/>
      <c r="G55" s="19"/>
      <c r="H55" s="19"/>
      <c r="I55" s="20"/>
      <c r="J55" s="20"/>
      <c r="K55" s="127"/>
      <c r="L55" s="128"/>
      <c r="M55" s="128"/>
      <c r="N55" s="128"/>
      <c r="O55" s="128"/>
      <c r="P55" s="128"/>
      <c r="Q55" s="129"/>
      <c r="R55" s="19"/>
      <c r="S55" s="19"/>
      <c r="T55" s="20"/>
      <c r="U55" s="20"/>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33" t="s">
        <v>104</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c r="B59" s="115" t="s">
        <v>51</v>
      </c>
      <c r="C59" s="116"/>
      <c r="D59" s="116"/>
      <c r="E59" s="116"/>
      <c r="F59" s="117"/>
      <c r="G59" s="50" t="s">
        <v>77</v>
      </c>
      <c r="H59" s="49" t="s">
        <v>80</v>
      </c>
      <c r="I59" s="16" t="s">
        <v>56</v>
      </c>
      <c r="J59" s="16" t="s">
        <v>58</v>
      </c>
      <c r="K59" s="115" t="s">
        <v>51</v>
      </c>
      <c r="L59" s="116"/>
      <c r="M59" s="116"/>
      <c r="N59" s="116"/>
      <c r="O59" s="116"/>
      <c r="P59" s="116"/>
      <c r="Q59" s="117"/>
      <c r="R59" s="50" t="s">
        <v>77</v>
      </c>
      <c r="S59" s="49" t="s">
        <v>80</v>
      </c>
      <c r="T59" s="16" t="s">
        <v>56</v>
      </c>
      <c r="U59" s="16" t="s">
        <v>58</v>
      </c>
    </row>
    <row r="60" spans="1:21" ht="18" customHeight="1">
      <c r="A60" s="3"/>
      <c r="B60" s="130" t="s">
        <v>137</v>
      </c>
      <c r="C60" s="131"/>
      <c r="D60" s="131"/>
      <c r="E60" s="131"/>
      <c r="F60" s="132"/>
      <c r="G60" s="17">
        <v>2</v>
      </c>
      <c r="H60" s="17" t="s">
        <v>138</v>
      </c>
      <c r="I60" s="17" t="s">
        <v>138</v>
      </c>
      <c r="J60" s="17"/>
      <c r="K60" s="130"/>
      <c r="L60" s="131"/>
      <c r="M60" s="131"/>
      <c r="N60" s="131"/>
      <c r="O60" s="131"/>
      <c r="P60" s="131"/>
      <c r="Q60" s="132"/>
      <c r="R60" s="17"/>
      <c r="S60" s="17"/>
      <c r="T60" s="17"/>
      <c r="U60" s="17"/>
    </row>
    <row r="61" spans="1:21" ht="18" customHeight="1">
      <c r="A61" s="3"/>
      <c r="B61" s="124" t="s">
        <v>139</v>
      </c>
      <c r="C61" s="125"/>
      <c r="D61" s="125"/>
      <c r="E61" s="125"/>
      <c r="F61" s="126"/>
      <c r="G61" s="18">
        <v>2</v>
      </c>
      <c r="H61" s="18" t="s">
        <v>138</v>
      </c>
      <c r="I61" s="18"/>
      <c r="J61" s="18" t="s">
        <v>138</v>
      </c>
      <c r="K61" s="124"/>
      <c r="L61" s="125"/>
      <c r="M61" s="125"/>
      <c r="N61" s="125"/>
      <c r="O61" s="125"/>
      <c r="P61" s="125"/>
      <c r="Q61" s="126"/>
      <c r="R61" s="18"/>
      <c r="S61" s="18"/>
      <c r="T61" s="18"/>
      <c r="U61" s="18"/>
    </row>
    <row r="62" spans="1:21" ht="18" customHeight="1">
      <c r="A62" s="3"/>
      <c r="B62" s="124"/>
      <c r="C62" s="125"/>
      <c r="D62" s="125"/>
      <c r="E62" s="125"/>
      <c r="F62" s="126"/>
      <c r="G62" s="18"/>
      <c r="H62" s="18"/>
      <c r="I62" s="18"/>
      <c r="J62" s="18"/>
      <c r="K62" s="124"/>
      <c r="L62" s="125"/>
      <c r="M62" s="125"/>
      <c r="N62" s="125"/>
      <c r="O62" s="125"/>
      <c r="P62" s="125"/>
      <c r="Q62" s="126"/>
      <c r="R62" s="18"/>
      <c r="S62" s="18"/>
      <c r="T62" s="18"/>
      <c r="U62" s="18"/>
    </row>
    <row r="63" spans="1:21" ht="18" customHeight="1">
      <c r="A63" s="3"/>
      <c r="B63" s="124"/>
      <c r="C63" s="125"/>
      <c r="D63" s="125"/>
      <c r="E63" s="125"/>
      <c r="F63" s="126"/>
      <c r="G63" s="18"/>
      <c r="H63" s="18"/>
      <c r="I63" s="18"/>
      <c r="J63" s="18"/>
      <c r="K63" s="124"/>
      <c r="L63" s="125"/>
      <c r="M63" s="125"/>
      <c r="N63" s="125"/>
      <c r="O63" s="125"/>
      <c r="P63" s="125"/>
      <c r="Q63" s="126"/>
      <c r="R63" s="18"/>
      <c r="S63" s="18"/>
      <c r="T63" s="18"/>
      <c r="U63" s="18"/>
    </row>
    <row r="64" spans="1:21" ht="18" customHeight="1">
      <c r="A64" s="3"/>
      <c r="B64" s="124"/>
      <c r="C64" s="125"/>
      <c r="D64" s="125"/>
      <c r="E64" s="125"/>
      <c r="F64" s="126"/>
      <c r="G64" s="18"/>
      <c r="H64" s="18"/>
      <c r="I64" s="18"/>
      <c r="J64" s="18"/>
      <c r="K64" s="124"/>
      <c r="L64" s="125"/>
      <c r="M64" s="125"/>
      <c r="N64" s="125"/>
      <c r="O64" s="125"/>
      <c r="P64" s="125"/>
      <c r="Q64" s="126"/>
      <c r="R64" s="18"/>
      <c r="S64" s="18"/>
      <c r="T64" s="18"/>
      <c r="U64" s="18"/>
    </row>
    <row r="65" spans="1:21" ht="18" customHeight="1">
      <c r="A65" s="3"/>
      <c r="B65" s="124"/>
      <c r="C65" s="125"/>
      <c r="D65" s="125"/>
      <c r="E65" s="125"/>
      <c r="F65" s="126"/>
      <c r="G65" s="18"/>
      <c r="H65" s="18"/>
      <c r="I65" s="18"/>
      <c r="J65" s="18"/>
      <c r="K65" s="124"/>
      <c r="L65" s="125"/>
      <c r="M65" s="125"/>
      <c r="N65" s="125"/>
      <c r="O65" s="125"/>
      <c r="P65" s="125"/>
      <c r="Q65" s="126"/>
      <c r="R65" s="18"/>
      <c r="S65" s="18"/>
      <c r="T65" s="18"/>
      <c r="U65" s="18"/>
    </row>
    <row r="66" spans="1:21" ht="18" customHeight="1">
      <c r="A66" s="3"/>
      <c r="B66" s="127"/>
      <c r="C66" s="128"/>
      <c r="D66" s="128"/>
      <c r="E66" s="128"/>
      <c r="F66" s="129"/>
      <c r="G66" s="19"/>
      <c r="H66" s="19"/>
      <c r="I66" s="20"/>
      <c r="J66" s="20"/>
      <c r="K66" s="127"/>
      <c r="L66" s="128"/>
      <c r="M66" s="128"/>
      <c r="N66" s="128"/>
      <c r="O66" s="128"/>
      <c r="P66" s="128"/>
      <c r="Q66" s="129"/>
      <c r="R66" s="19"/>
      <c r="S66" s="19"/>
      <c r="T66" s="20"/>
      <c r="U66" s="20"/>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33" t="s">
        <v>105</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c r="B70" s="115" t="s">
        <v>51</v>
      </c>
      <c r="C70" s="116"/>
      <c r="D70" s="116"/>
      <c r="E70" s="116"/>
      <c r="F70" s="50" t="s">
        <v>77</v>
      </c>
      <c r="G70" s="49" t="s">
        <v>80</v>
      </c>
      <c r="H70" s="16" t="s">
        <v>92</v>
      </c>
      <c r="I70" s="16" t="s">
        <v>72</v>
      </c>
      <c r="J70" s="16" t="s">
        <v>73</v>
      </c>
      <c r="K70" s="115" t="s">
        <v>51</v>
      </c>
      <c r="L70" s="116"/>
      <c r="M70" s="116"/>
      <c r="N70" s="116"/>
      <c r="O70" s="116"/>
      <c r="P70" s="117"/>
      <c r="Q70" s="50" t="s">
        <v>77</v>
      </c>
      <c r="R70" s="49" t="s">
        <v>80</v>
      </c>
      <c r="S70" s="16" t="s">
        <v>92</v>
      </c>
      <c r="T70" s="16" t="s">
        <v>72</v>
      </c>
      <c r="U70" s="16" t="s">
        <v>73</v>
      </c>
    </row>
    <row r="71" spans="1:21" ht="18" customHeight="1">
      <c r="A71" s="3"/>
      <c r="B71" s="130" t="s">
        <v>139</v>
      </c>
      <c r="C71" s="131"/>
      <c r="D71" s="131"/>
      <c r="E71" s="132"/>
      <c r="F71" s="17">
        <v>2</v>
      </c>
      <c r="G71" s="17" t="s">
        <v>138</v>
      </c>
      <c r="H71" s="17"/>
      <c r="I71" s="17" t="s">
        <v>138</v>
      </c>
      <c r="J71" s="17"/>
      <c r="K71" s="130"/>
      <c r="L71" s="131"/>
      <c r="M71" s="131"/>
      <c r="N71" s="131"/>
      <c r="O71" s="131"/>
      <c r="P71" s="132"/>
      <c r="Q71" s="17"/>
      <c r="R71" s="17"/>
      <c r="S71" s="17"/>
      <c r="T71" s="17"/>
      <c r="U71" s="17"/>
    </row>
    <row r="72" spans="1:21" ht="18" customHeight="1">
      <c r="A72" s="3"/>
      <c r="B72" s="124" t="s">
        <v>153</v>
      </c>
      <c r="C72" s="125"/>
      <c r="D72" s="125"/>
      <c r="E72" s="126"/>
      <c r="F72" s="18">
        <v>2</v>
      </c>
      <c r="G72" s="18"/>
      <c r="H72" s="18" t="s">
        <v>138</v>
      </c>
      <c r="I72" s="18" t="s">
        <v>138</v>
      </c>
      <c r="J72" s="18" t="s">
        <v>138</v>
      </c>
      <c r="K72" s="124"/>
      <c r="L72" s="125"/>
      <c r="M72" s="125"/>
      <c r="N72" s="125"/>
      <c r="O72" s="125"/>
      <c r="P72" s="126"/>
      <c r="Q72" s="18"/>
      <c r="R72" s="18"/>
      <c r="S72" s="18"/>
      <c r="T72" s="18"/>
      <c r="U72" s="18"/>
    </row>
    <row r="73" spans="1:21" ht="18" customHeight="1">
      <c r="A73" s="3"/>
      <c r="B73" s="124"/>
      <c r="C73" s="125"/>
      <c r="D73" s="125"/>
      <c r="E73" s="125"/>
      <c r="F73" s="18"/>
      <c r="G73" s="18"/>
      <c r="H73" s="18"/>
      <c r="I73" s="18"/>
      <c r="J73" s="18"/>
      <c r="K73" s="124"/>
      <c r="L73" s="125"/>
      <c r="M73" s="125"/>
      <c r="N73" s="125"/>
      <c r="O73" s="125"/>
      <c r="P73" s="126"/>
      <c r="Q73" s="18"/>
      <c r="R73" s="18"/>
      <c r="S73" s="18"/>
      <c r="T73" s="18"/>
      <c r="U73" s="18"/>
    </row>
    <row r="74" spans="1:21" ht="18" customHeight="1">
      <c r="A74" s="3"/>
      <c r="B74" s="124"/>
      <c r="C74" s="125"/>
      <c r="D74" s="125"/>
      <c r="E74" s="125"/>
      <c r="F74" s="18"/>
      <c r="G74" s="18"/>
      <c r="H74" s="18"/>
      <c r="I74" s="18"/>
      <c r="J74" s="18"/>
      <c r="K74" s="124"/>
      <c r="L74" s="125"/>
      <c r="M74" s="125"/>
      <c r="N74" s="125"/>
      <c r="O74" s="125"/>
      <c r="P74" s="126"/>
      <c r="Q74" s="18"/>
      <c r="R74" s="18"/>
      <c r="S74" s="18"/>
      <c r="T74" s="18"/>
      <c r="U74" s="18"/>
    </row>
    <row r="75" spans="1:21" ht="18" customHeight="1">
      <c r="A75" s="3"/>
      <c r="B75" s="124"/>
      <c r="C75" s="125"/>
      <c r="D75" s="125"/>
      <c r="E75" s="125"/>
      <c r="F75" s="18"/>
      <c r="G75" s="18"/>
      <c r="H75" s="18"/>
      <c r="I75" s="18"/>
      <c r="J75" s="18"/>
      <c r="K75" s="124"/>
      <c r="L75" s="125"/>
      <c r="M75" s="125"/>
      <c r="N75" s="125"/>
      <c r="O75" s="125"/>
      <c r="P75" s="126"/>
      <c r="Q75" s="18"/>
      <c r="R75" s="18"/>
      <c r="S75" s="18"/>
      <c r="T75" s="18"/>
      <c r="U75" s="18"/>
    </row>
    <row r="76" spans="1:21" ht="18" customHeight="1">
      <c r="A76" s="3"/>
      <c r="B76" s="124"/>
      <c r="C76" s="125"/>
      <c r="D76" s="125"/>
      <c r="E76" s="125"/>
      <c r="F76" s="18"/>
      <c r="G76" s="18"/>
      <c r="H76" s="18"/>
      <c r="I76" s="18"/>
      <c r="J76" s="18"/>
      <c r="K76" s="124"/>
      <c r="L76" s="125"/>
      <c r="M76" s="125"/>
      <c r="N76" s="125"/>
      <c r="O76" s="125"/>
      <c r="P76" s="126"/>
      <c r="Q76" s="18"/>
      <c r="R76" s="18"/>
      <c r="S76" s="18"/>
      <c r="T76" s="18"/>
      <c r="U76" s="18"/>
    </row>
    <row r="77" spans="1:21" ht="18" customHeight="1">
      <c r="A77" s="3"/>
      <c r="B77" s="127"/>
      <c r="C77" s="128"/>
      <c r="D77" s="128"/>
      <c r="E77" s="128"/>
      <c r="F77" s="19"/>
      <c r="G77" s="19"/>
      <c r="H77" s="20"/>
      <c r="I77" s="20"/>
      <c r="J77" s="20"/>
      <c r="K77" s="127"/>
      <c r="L77" s="128"/>
      <c r="M77" s="128"/>
      <c r="N77" s="128"/>
      <c r="O77" s="128"/>
      <c r="P77" s="129"/>
      <c r="Q77" s="19"/>
      <c r="R77" s="19"/>
      <c r="S77" s="20"/>
      <c r="T77" s="20"/>
      <c r="U77" s="20"/>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106</v>
      </c>
      <c r="I79" s="3"/>
      <c r="J79" s="3"/>
      <c r="K79" s="3"/>
      <c r="L79" s="3"/>
      <c r="M79" s="3"/>
      <c r="N79" s="3"/>
      <c r="O79" s="3"/>
      <c r="P79" s="3"/>
      <c r="Q79" s="3"/>
      <c r="R79" s="3"/>
      <c r="S79" s="3"/>
      <c r="T79" s="3"/>
      <c r="U79" s="3"/>
    </row>
    <row r="80" spans="1:21" ht="18" customHeight="1">
      <c r="B80" s="115" t="s">
        <v>51</v>
      </c>
      <c r="C80" s="116"/>
      <c r="D80" s="116"/>
      <c r="E80" s="116"/>
      <c r="F80" s="117"/>
      <c r="G80" s="115" t="s">
        <v>78</v>
      </c>
      <c r="H80" s="116"/>
      <c r="I80" s="116"/>
      <c r="J80" s="117"/>
      <c r="K80" s="181" t="s">
        <v>51</v>
      </c>
      <c r="L80" s="182"/>
      <c r="M80" s="182"/>
      <c r="N80" s="182"/>
      <c r="O80" s="182"/>
      <c r="P80" s="182"/>
      <c r="Q80" s="183"/>
      <c r="R80" s="115" t="s">
        <v>78</v>
      </c>
      <c r="S80" s="116"/>
      <c r="T80" s="116"/>
      <c r="U80" s="117"/>
    </row>
    <row r="81" spans="1:21" ht="18" customHeight="1">
      <c r="A81" s="3"/>
      <c r="B81" s="173" t="s">
        <v>154</v>
      </c>
      <c r="C81" s="174"/>
      <c r="D81" s="174"/>
      <c r="E81" s="174"/>
      <c r="F81" s="175"/>
      <c r="G81" s="170" t="s">
        <v>155</v>
      </c>
      <c r="H81" s="171"/>
      <c r="I81" s="171"/>
      <c r="J81" s="172"/>
      <c r="K81" s="130"/>
      <c r="L81" s="131"/>
      <c r="M81" s="131"/>
      <c r="N81" s="131"/>
      <c r="O81" s="131"/>
      <c r="P81" s="131"/>
      <c r="Q81" s="132"/>
      <c r="R81" s="170"/>
      <c r="S81" s="171"/>
      <c r="T81" s="171"/>
      <c r="U81" s="172"/>
    </row>
    <row r="82" spans="1:21" ht="18" customHeight="1">
      <c r="A82" s="3"/>
      <c r="B82" s="162" t="s">
        <v>156</v>
      </c>
      <c r="C82" s="163"/>
      <c r="D82" s="163"/>
      <c r="E82" s="163"/>
      <c r="F82" s="164"/>
      <c r="G82" s="165" t="s">
        <v>157</v>
      </c>
      <c r="H82" s="166"/>
      <c r="I82" s="166"/>
      <c r="J82" s="167"/>
      <c r="K82" s="124"/>
      <c r="L82" s="125"/>
      <c r="M82" s="125"/>
      <c r="N82" s="125"/>
      <c r="O82" s="125"/>
      <c r="P82" s="125"/>
      <c r="Q82" s="126"/>
      <c r="R82" s="165"/>
      <c r="S82" s="166"/>
      <c r="T82" s="166"/>
      <c r="U82" s="167"/>
    </row>
    <row r="83" spans="1:21" ht="18" customHeight="1">
      <c r="A83" s="3"/>
      <c r="B83" s="162" t="s">
        <v>158</v>
      </c>
      <c r="C83" s="163"/>
      <c r="D83" s="163"/>
      <c r="E83" s="163"/>
      <c r="F83" s="164"/>
      <c r="G83" s="165" t="s">
        <v>157</v>
      </c>
      <c r="H83" s="166"/>
      <c r="I83" s="166"/>
      <c r="J83" s="167"/>
      <c r="K83" s="124"/>
      <c r="L83" s="125"/>
      <c r="M83" s="125"/>
      <c r="N83" s="125"/>
      <c r="O83" s="125"/>
      <c r="P83" s="125"/>
      <c r="Q83" s="126"/>
      <c r="R83" s="165"/>
      <c r="S83" s="166"/>
      <c r="T83" s="166"/>
      <c r="U83" s="167"/>
    </row>
    <row r="84" spans="1:21" ht="18" customHeight="1">
      <c r="A84" s="3"/>
      <c r="B84" s="162"/>
      <c r="C84" s="163"/>
      <c r="D84" s="163"/>
      <c r="E84" s="163"/>
      <c r="F84" s="164"/>
      <c r="G84" s="165"/>
      <c r="H84" s="166"/>
      <c r="I84" s="166"/>
      <c r="J84" s="167"/>
      <c r="K84" s="124"/>
      <c r="L84" s="125"/>
      <c r="M84" s="125"/>
      <c r="N84" s="125"/>
      <c r="O84" s="125"/>
      <c r="P84" s="125"/>
      <c r="Q84" s="126"/>
      <c r="R84" s="165"/>
      <c r="S84" s="166"/>
      <c r="T84" s="166"/>
      <c r="U84" s="167"/>
    </row>
    <row r="85" spans="1:21" ht="18" customHeight="1">
      <c r="A85" s="3"/>
      <c r="B85" s="162"/>
      <c r="C85" s="163"/>
      <c r="D85" s="163"/>
      <c r="E85" s="163"/>
      <c r="F85" s="164"/>
      <c r="G85" s="165"/>
      <c r="H85" s="166"/>
      <c r="I85" s="166"/>
      <c r="J85" s="167"/>
      <c r="K85" s="124"/>
      <c r="L85" s="125"/>
      <c r="M85" s="125"/>
      <c r="N85" s="125"/>
      <c r="O85" s="125"/>
      <c r="P85" s="125"/>
      <c r="Q85" s="126"/>
      <c r="R85" s="165"/>
      <c r="S85" s="166"/>
      <c r="T85" s="166"/>
      <c r="U85" s="167"/>
    </row>
    <row r="86" spans="1:21" ht="18" customHeight="1">
      <c r="A86" s="3"/>
      <c r="B86" s="124"/>
      <c r="C86" s="125"/>
      <c r="D86" s="125"/>
      <c r="E86" s="125"/>
      <c r="F86" s="126"/>
      <c r="G86" s="165"/>
      <c r="H86" s="166"/>
      <c r="I86" s="166"/>
      <c r="J86" s="167"/>
      <c r="K86" s="124"/>
      <c r="L86" s="125"/>
      <c r="M86" s="125"/>
      <c r="N86" s="125"/>
      <c r="O86" s="125"/>
      <c r="P86" s="125"/>
      <c r="Q86" s="126"/>
      <c r="R86" s="165"/>
      <c r="S86" s="166"/>
      <c r="T86" s="166"/>
      <c r="U86" s="167"/>
    </row>
    <row r="87" spans="1:21" ht="18" customHeight="1">
      <c r="A87" s="3"/>
      <c r="B87" s="127"/>
      <c r="C87" s="128"/>
      <c r="D87" s="128"/>
      <c r="E87" s="128"/>
      <c r="F87" s="129"/>
      <c r="G87" s="159"/>
      <c r="H87" s="160"/>
      <c r="I87" s="160"/>
      <c r="J87" s="161"/>
      <c r="K87" s="127"/>
      <c r="L87" s="128"/>
      <c r="M87" s="128"/>
      <c r="N87" s="128"/>
      <c r="O87" s="128"/>
      <c r="P87" s="128"/>
      <c r="Q87" s="129"/>
      <c r="R87" s="159"/>
      <c r="S87" s="160"/>
      <c r="T87" s="160"/>
      <c r="U87" s="161"/>
    </row>
    <row r="88" spans="1:21" ht="18" customHeight="1">
      <c r="A88" s="3"/>
      <c r="B88" s="6"/>
      <c r="C88" s="6"/>
      <c r="D88" s="6"/>
      <c r="E88" s="6"/>
      <c r="F88" s="6"/>
      <c r="G88" s="21"/>
      <c r="H88" s="21"/>
      <c r="I88" s="21"/>
      <c r="J88" s="21"/>
      <c r="K88" s="6"/>
      <c r="L88" s="6"/>
      <c r="M88" s="6"/>
      <c r="N88" s="6"/>
      <c r="O88" s="6"/>
      <c r="P88" s="6"/>
      <c r="Q88" s="6"/>
      <c r="R88" s="21"/>
      <c r="S88" s="21"/>
      <c r="T88" s="21"/>
      <c r="U88" s="21"/>
    </row>
    <row r="89" spans="1:21" ht="18.75" customHeight="1">
      <c r="A89" s="1" t="s">
        <v>107</v>
      </c>
    </row>
    <row r="90" spans="1:21" ht="18.75" customHeight="1">
      <c r="B90" s="134" t="s">
        <v>52</v>
      </c>
      <c r="C90" s="135"/>
      <c r="D90" s="115" t="s">
        <v>53</v>
      </c>
      <c r="E90" s="116"/>
      <c r="F90" s="116"/>
      <c r="G90" s="116"/>
      <c r="H90" s="116"/>
      <c r="I90" s="116"/>
      <c r="J90" s="116"/>
      <c r="K90" s="116"/>
      <c r="L90" s="116"/>
      <c r="M90" s="116"/>
      <c r="N90" s="116"/>
      <c r="O90" s="116"/>
      <c r="P90" s="116"/>
      <c r="Q90" s="116"/>
      <c r="R90" s="116"/>
      <c r="S90" s="116"/>
      <c r="T90" s="116"/>
      <c r="U90" s="117"/>
    </row>
    <row r="91" spans="1:21" ht="97.5" customHeight="1">
      <c r="B91" s="143" t="s">
        <v>59</v>
      </c>
      <c r="C91" s="22" t="s">
        <v>54</v>
      </c>
      <c r="D91" s="92" t="s">
        <v>159</v>
      </c>
      <c r="E91" s="93"/>
      <c r="F91" s="93"/>
      <c r="G91" s="93"/>
      <c r="H91" s="93"/>
      <c r="I91" s="93"/>
      <c r="J91" s="93"/>
      <c r="K91" s="93"/>
      <c r="L91" s="93"/>
      <c r="M91" s="93"/>
      <c r="N91" s="93"/>
      <c r="O91" s="93"/>
      <c r="P91" s="93"/>
      <c r="Q91" s="93"/>
      <c r="R91" s="93"/>
      <c r="S91" s="93"/>
      <c r="T91" s="93"/>
      <c r="U91" s="94"/>
    </row>
    <row r="92" spans="1:21" ht="97.5" customHeight="1">
      <c r="B92" s="168"/>
      <c r="C92" s="23" t="s">
        <v>74</v>
      </c>
      <c r="D92" s="89" t="s">
        <v>167</v>
      </c>
      <c r="E92" s="90"/>
      <c r="F92" s="90"/>
      <c r="G92" s="90"/>
      <c r="H92" s="90"/>
      <c r="I92" s="90"/>
      <c r="J92" s="90"/>
      <c r="K92" s="90"/>
      <c r="L92" s="90"/>
      <c r="M92" s="90"/>
      <c r="N92" s="90"/>
      <c r="O92" s="90"/>
      <c r="P92" s="90"/>
      <c r="Q92" s="90"/>
      <c r="R92" s="90"/>
      <c r="S92" s="90"/>
      <c r="T92" s="90"/>
      <c r="U92" s="91"/>
    </row>
    <row r="93" spans="1:21" ht="97.5" customHeight="1">
      <c r="B93" s="143" t="s">
        <v>60</v>
      </c>
      <c r="C93" s="24" t="s">
        <v>68</v>
      </c>
      <c r="D93" s="100" t="s">
        <v>160</v>
      </c>
      <c r="E93" s="101"/>
      <c r="F93" s="101"/>
      <c r="G93" s="101"/>
      <c r="H93" s="101"/>
      <c r="I93" s="101"/>
      <c r="J93" s="101"/>
      <c r="K93" s="101"/>
      <c r="L93" s="101"/>
      <c r="M93" s="101"/>
      <c r="N93" s="101"/>
      <c r="O93" s="101"/>
      <c r="P93" s="101"/>
      <c r="Q93" s="101"/>
      <c r="R93" s="101"/>
      <c r="S93" s="101"/>
      <c r="T93" s="101"/>
      <c r="U93" s="102"/>
    </row>
    <row r="94" spans="1:21" ht="97.5" customHeight="1">
      <c r="B94" s="144"/>
      <c r="C94" s="25" t="s">
        <v>69</v>
      </c>
      <c r="D94" s="89" t="s">
        <v>161</v>
      </c>
      <c r="E94" s="90"/>
      <c r="F94" s="90"/>
      <c r="G94" s="90"/>
      <c r="H94" s="90"/>
      <c r="I94" s="90"/>
      <c r="J94" s="90"/>
      <c r="K94" s="90"/>
      <c r="L94" s="90"/>
      <c r="M94" s="90"/>
      <c r="N94" s="90"/>
      <c r="O94" s="90"/>
      <c r="P94" s="90"/>
      <c r="Q94" s="90"/>
      <c r="R94" s="90"/>
      <c r="S94" s="90"/>
      <c r="T94" s="90"/>
      <c r="U94" s="91"/>
    </row>
    <row r="95" spans="1:21" ht="97.5" customHeight="1">
      <c r="B95" s="143" t="s">
        <v>61</v>
      </c>
      <c r="C95" s="24" t="s">
        <v>70</v>
      </c>
      <c r="D95" s="92" t="s">
        <v>162</v>
      </c>
      <c r="E95" s="93"/>
      <c r="F95" s="93"/>
      <c r="G95" s="93"/>
      <c r="H95" s="93"/>
      <c r="I95" s="93"/>
      <c r="J95" s="93"/>
      <c r="K95" s="93"/>
      <c r="L95" s="93"/>
      <c r="M95" s="93"/>
      <c r="N95" s="93"/>
      <c r="O95" s="93"/>
      <c r="P95" s="93"/>
      <c r="Q95" s="93"/>
      <c r="R95" s="93"/>
      <c r="S95" s="93"/>
      <c r="T95" s="93"/>
      <c r="U95" s="94"/>
    </row>
    <row r="96" spans="1:21" ht="97.5" customHeight="1">
      <c r="B96" s="144"/>
      <c r="C96" s="26" t="s">
        <v>71</v>
      </c>
      <c r="D96" s="106" t="s">
        <v>168</v>
      </c>
      <c r="E96" s="107"/>
      <c r="F96" s="107"/>
      <c r="G96" s="107"/>
      <c r="H96" s="107"/>
      <c r="I96" s="107"/>
      <c r="J96" s="107"/>
      <c r="K96" s="107"/>
      <c r="L96" s="107"/>
      <c r="M96" s="107"/>
      <c r="N96" s="107"/>
      <c r="O96" s="107"/>
      <c r="P96" s="107"/>
      <c r="Q96" s="107"/>
      <c r="R96" s="107"/>
      <c r="S96" s="107"/>
      <c r="T96" s="107"/>
      <c r="U96" s="108"/>
    </row>
    <row r="97" spans="1:33" ht="97.5" customHeight="1">
      <c r="B97" s="143" t="s">
        <v>75</v>
      </c>
      <c r="C97" s="22" t="s">
        <v>56</v>
      </c>
      <c r="D97" s="100" t="s">
        <v>163</v>
      </c>
      <c r="E97" s="101"/>
      <c r="F97" s="101"/>
      <c r="G97" s="101"/>
      <c r="H97" s="101"/>
      <c r="I97" s="101"/>
      <c r="J97" s="101"/>
      <c r="K97" s="101"/>
      <c r="L97" s="101"/>
      <c r="M97" s="101"/>
      <c r="N97" s="101"/>
      <c r="O97" s="101"/>
      <c r="P97" s="101"/>
      <c r="Q97" s="101"/>
      <c r="R97" s="101"/>
      <c r="S97" s="101"/>
      <c r="T97" s="101"/>
      <c r="U97" s="102"/>
    </row>
    <row r="98" spans="1:33" ht="97.5" customHeight="1">
      <c r="B98" s="144"/>
      <c r="C98" s="25" t="s">
        <v>58</v>
      </c>
      <c r="D98" s="89" t="s">
        <v>164</v>
      </c>
      <c r="E98" s="90"/>
      <c r="F98" s="90"/>
      <c r="G98" s="90"/>
      <c r="H98" s="90"/>
      <c r="I98" s="90"/>
      <c r="J98" s="90"/>
      <c r="K98" s="90"/>
      <c r="L98" s="90"/>
      <c r="M98" s="90"/>
      <c r="N98" s="90"/>
      <c r="O98" s="90"/>
      <c r="P98" s="90"/>
      <c r="Q98" s="90"/>
      <c r="R98" s="90"/>
      <c r="S98" s="90"/>
      <c r="T98" s="90"/>
      <c r="U98" s="91"/>
    </row>
    <row r="99" spans="1:33" ht="97.5" customHeight="1">
      <c r="B99" s="143" t="s">
        <v>76</v>
      </c>
      <c r="C99" s="24" t="s">
        <v>55</v>
      </c>
      <c r="D99" s="100" t="s">
        <v>169</v>
      </c>
      <c r="E99" s="101"/>
      <c r="F99" s="101"/>
      <c r="G99" s="101"/>
      <c r="H99" s="101"/>
      <c r="I99" s="101"/>
      <c r="J99" s="101"/>
      <c r="K99" s="101"/>
      <c r="L99" s="101"/>
      <c r="M99" s="101"/>
      <c r="N99" s="101"/>
      <c r="O99" s="101"/>
      <c r="P99" s="101"/>
      <c r="Q99" s="101"/>
      <c r="R99" s="101"/>
      <c r="S99" s="101"/>
      <c r="T99" s="101"/>
      <c r="U99" s="102"/>
    </row>
    <row r="100" spans="1:33" ht="97.5" customHeight="1">
      <c r="B100" s="168"/>
      <c r="C100" s="27" t="s">
        <v>72</v>
      </c>
      <c r="D100" s="103" t="s">
        <v>170</v>
      </c>
      <c r="E100" s="104"/>
      <c r="F100" s="104"/>
      <c r="G100" s="104"/>
      <c r="H100" s="104"/>
      <c r="I100" s="104"/>
      <c r="J100" s="104"/>
      <c r="K100" s="104"/>
      <c r="L100" s="104"/>
      <c r="M100" s="104"/>
      <c r="N100" s="104"/>
      <c r="O100" s="104"/>
      <c r="P100" s="104"/>
      <c r="Q100" s="104"/>
      <c r="R100" s="104"/>
      <c r="S100" s="104"/>
      <c r="T100" s="104"/>
      <c r="U100" s="105"/>
    </row>
    <row r="101" spans="1:33" ht="97.5" customHeight="1">
      <c r="B101" s="144"/>
      <c r="C101" s="26" t="s">
        <v>73</v>
      </c>
      <c r="D101" s="106" t="s">
        <v>171</v>
      </c>
      <c r="E101" s="107"/>
      <c r="F101" s="107"/>
      <c r="G101" s="107"/>
      <c r="H101" s="107"/>
      <c r="I101" s="107"/>
      <c r="J101" s="107"/>
      <c r="K101" s="107"/>
      <c r="L101" s="107"/>
      <c r="M101" s="107"/>
      <c r="N101" s="107"/>
      <c r="O101" s="107"/>
      <c r="P101" s="107"/>
      <c r="Q101" s="107"/>
      <c r="R101" s="107"/>
      <c r="S101" s="107"/>
      <c r="T101" s="107"/>
      <c r="U101" s="108"/>
    </row>
    <row r="102" spans="1:33" ht="6" customHeight="1"/>
    <row r="103" spans="1:33" ht="18.75" customHeight="1">
      <c r="A103" s="1" t="s">
        <v>108</v>
      </c>
    </row>
    <row r="104" spans="1:33" ht="81.75" customHeight="1">
      <c r="B104" s="156" t="s">
        <v>179</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3" t="s">
        <v>124</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c r="A107" s="73" t="s">
        <v>126</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c r="A108" s="73"/>
      <c r="B108" s="99" t="s">
        <v>130</v>
      </c>
      <c r="C108" s="99"/>
      <c r="D108" s="99"/>
      <c r="E108" s="99"/>
      <c r="F108" s="99"/>
      <c r="G108" s="99"/>
      <c r="H108" s="99"/>
      <c r="I108" s="99"/>
      <c r="J108" s="99"/>
      <c r="K108" s="99"/>
      <c r="L108" s="99"/>
      <c r="M108" s="99"/>
      <c r="N108" s="99"/>
      <c r="O108" s="99"/>
      <c r="P108" s="99"/>
      <c r="Q108" s="99"/>
      <c r="R108" s="99"/>
      <c r="S108" s="99"/>
      <c r="T108" s="99"/>
      <c r="U108" s="99"/>
      <c r="V108" s="69"/>
      <c r="W108" s="69"/>
      <c r="X108" s="69"/>
      <c r="Y108" s="69"/>
      <c r="Z108" s="69"/>
      <c r="AA108" s="69"/>
      <c r="AB108" s="69"/>
      <c r="AC108" s="69"/>
      <c r="AD108" s="69"/>
      <c r="AE108" s="69"/>
      <c r="AF108" s="69"/>
      <c r="AG108" s="69"/>
    </row>
    <row r="109" spans="1:33" ht="37.200000000000003" customHeight="1">
      <c r="A109" s="73"/>
      <c r="B109" s="99"/>
      <c r="C109" s="99"/>
      <c r="D109" s="99"/>
      <c r="E109" s="99"/>
      <c r="F109" s="99"/>
      <c r="G109" s="99"/>
      <c r="H109" s="99"/>
      <c r="I109" s="99"/>
      <c r="J109" s="99"/>
      <c r="K109" s="99"/>
      <c r="L109" s="99"/>
      <c r="M109" s="99"/>
      <c r="N109" s="99"/>
      <c r="O109" s="99"/>
      <c r="P109" s="99"/>
      <c r="Q109" s="99"/>
      <c r="R109" s="99"/>
      <c r="S109" s="99"/>
      <c r="T109" s="99"/>
      <c r="U109" s="99"/>
      <c r="V109" s="69"/>
      <c r="W109" s="69"/>
      <c r="X109" s="69"/>
      <c r="Y109" s="69"/>
      <c r="Z109" s="69"/>
      <c r="AA109" s="69"/>
      <c r="AB109" s="69"/>
      <c r="AC109" s="69"/>
      <c r="AD109" s="69"/>
      <c r="AE109" s="69"/>
      <c r="AF109" s="69"/>
      <c r="AG109" s="69"/>
    </row>
    <row r="110" spans="1:33" ht="18.75" customHeight="1">
      <c r="A110" s="73"/>
      <c r="B110" s="169" t="s">
        <v>125</v>
      </c>
      <c r="C110" s="169"/>
      <c r="D110" s="169"/>
      <c r="E110" s="169"/>
      <c r="F110" s="169"/>
      <c r="G110" s="169"/>
      <c r="H110" s="169"/>
      <c r="I110" s="169"/>
      <c r="J110" s="169"/>
      <c r="K110" s="169"/>
      <c r="L110" s="169"/>
      <c r="M110" s="169"/>
      <c r="N110" s="169"/>
      <c r="O110" s="169"/>
      <c r="P110" s="169"/>
      <c r="Q110" s="169"/>
      <c r="R110" s="169"/>
      <c r="S110" s="169"/>
      <c r="T110" s="169"/>
      <c r="U110" s="169"/>
      <c r="V110" s="69"/>
      <c r="W110" s="69"/>
      <c r="X110" s="69"/>
      <c r="Y110" s="69"/>
      <c r="Z110" s="69"/>
      <c r="AA110" s="69"/>
      <c r="AB110" s="69"/>
      <c r="AC110" s="69"/>
      <c r="AD110" s="69"/>
      <c r="AE110" s="69"/>
      <c r="AF110" s="69"/>
      <c r="AG110" s="69"/>
    </row>
    <row r="111" spans="1:33" ht="18.75" customHeight="1">
      <c r="A111" s="73"/>
      <c r="B111" s="176" t="s">
        <v>53</v>
      </c>
      <c r="C111" s="176"/>
      <c r="D111" s="176"/>
      <c r="E111" s="176"/>
      <c r="F111" s="176"/>
      <c r="G111" s="176"/>
      <c r="H111" s="176"/>
      <c r="I111" s="176"/>
      <c r="J111" s="176"/>
      <c r="K111" s="176"/>
      <c r="L111" s="176"/>
      <c r="M111" s="176"/>
      <c r="N111" s="176"/>
      <c r="O111" s="176"/>
      <c r="P111" s="176"/>
      <c r="Q111" s="176"/>
      <c r="R111" s="176"/>
      <c r="S111" s="176"/>
      <c r="T111" s="176"/>
      <c r="U111" s="176"/>
      <c r="V111" s="68"/>
      <c r="W111" s="68"/>
      <c r="X111" s="68"/>
      <c r="Y111" s="68"/>
      <c r="Z111" s="68"/>
      <c r="AA111" s="68"/>
      <c r="AB111" s="68"/>
      <c r="AC111" s="68"/>
      <c r="AD111" s="68"/>
      <c r="AE111" s="68"/>
      <c r="AF111" s="68"/>
      <c r="AG111" s="68"/>
    </row>
    <row r="112" spans="1:33" ht="132" customHeight="1">
      <c r="A112" s="73"/>
      <c r="B112" s="177"/>
      <c r="C112" s="177"/>
      <c r="D112" s="177"/>
      <c r="E112" s="177"/>
      <c r="F112" s="177"/>
      <c r="G112" s="177"/>
      <c r="H112" s="177"/>
      <c r="I112" s="177"/>
      <c r="J112" s="177"/>
      <c r="K112" s="177"/>
      <c r="L112" s="177"/>
      <c r="M112" s="177"/>
      <c r="N112" s="177"/>
      <c r="O112" s="177"/>
      <c r="P112" s="177"/>
      <c r="Q112" s="177"/>
      <c r="R112" s="177"/>
      <c r="S112" s="177"/>
      <c r="T112" s="177"/>
      <c r="U112" s="177"/>
      <c r="V112" s="70"/>
      <c r="W112" s="70"/>
      <c r="X112" s="70"/>
      <c r="Y112" s="70"/>
      <c r="Z112" s="70"/>
      <c r="AA112" s="70"/>
      <c r="AB112" s="70"/>
      <c r="AC112" s="70"/>
      <c r="AD112" s="70"/>
      <c r="AE112" s="70"/>
      <c r="AF112" s="70"/>
      <c r="AG112" s="70"/>
    </row>
    <row r="114" ht="18" customHeight="1"/>
  </sheetData>
  <mergeCells count="143">
    <mergeCell ref="B111:U111"/>
    <mergeCell ref="B112:U112"/>
    <mergeCell ref="K39:Q39"/>
    <mergeCell ref="K40:Q40"/>
    <mergeCell ref="K59:Q59"/>
    <mergeCell ref="K60:Q60"/>
    <mergeCell ref="B40:F40"/>
    <mergeCell ref="B41:F41"/>
    <mergeCell ref="B42:F42"/>
    <mergeCell ref="B43:F43"/>
    <mergeCell ref="B44:F44"/>
    <mergeCell ref="K49:Q49"/>
    <mergeCell ref="K50:Q50"/>
    <mergeCell ref="K51:Q51"/>
    <mergeCell ref="K52:Q52"/>
    <mergeCell ref="K53:Q53"/>
    <mergeCell ref="K54:Q54"/>
    <mergeCell ref="K77:P77"/>
    <mergeCell ref="A68:U69"/>
    <mergeCell ref="B73:E73"/>
    <mergeCell ref="B74:E74"/>
    <mergeCell ref="R84:U84"/>
    <mergeCell ref="G80:J80"/>
    <mergeCell ref="K80:Q80"/>
    <mergeCell ref="B71:E71"/>
    <mergeCell ref="B72:E72"/>
    <mergeCell ref="B110:U110"/>
    <mergeCell ref="R83:U83"/>
    <mergeCell ref="K70:P70"/>
    <mergeCell ref="B65:F65"/>
    <mergeCell ref="B66:F66"/>
    <mergeCell ref="A57:U58"/>
    <mergeCell ref="B62:F62"/>
    <mergeCell ref="B63:F63"/>
    <mergeCell ref="B64:F64"/>
    <mergeCell ref="K81:Q81"/>
    <mergeCell ref="R81:U81"/>
    <mergeCell ref="R80:U80"/>
    <mergeCell ref="B81:F81"/>
    <mergeCell ref="K61:Q61"/>
    <mergeCell ref="B80:F80"/>
    <mergeCell ref="G81:J81"/>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B93:B94"/>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B52:F52"/>
    <mergeCell ref="B53:F53"/>
    <mergeCell ref="B54:F54"/>
    <mergeCell ref="B55:F55"/>
    <mergeCell ref="K42:Q42"/>
    <mergeCell ref="K43:Q43"/>
    <mergeCell ref="K44:Q44"/>
    <mergeCell ref="A46:U47"/>
    <mergeCell ref="K41:Q41"/>
    <mergeCell ref="B48:F48"/>
    <mergeCell ref="B49:F49"/>
    <mergeCell ref="B50:F50"/>
    <mergeCell ref="K55:Q55"/>
    <mergeCell ref="C3:J3"/>
    <mergeCell ref="B108:U109"/>
    <mergeCell ref="D99:U99"/>
    <mergeCell ref="D100:U100"/>
    <mergeCell ref="D101:U101"/>
    <mergeCell ref="N22:U22"/>
    <mergeCell ref="L7:U7"/>
    <mergeCell ref="D90:U90"/>
    <mergeCell ref="D93:U93"/>
    <mergeCell ref="D96:U96"/>
    <mergeCell ref="D97:U97"/>
    <mergeCell ref="B11:U12"/>
    <mergeCell ref="K62:Q62"/>
    <mergeCell ref="K63:Q63"/>
    <mergeCell ref="K64:Q64"/>
    <mergeCell ref="K65:Q65"/>
    <mergeCell ref="K66:Q66"/>
    <mergeCell ref="B70:E70"/>
    <mergeCell ref="B60:F60"/>
    <mergeCell ref="B61:F61"/>
    <mergeCell ref="K37:Q37"/>
    <mergeCell ref="K48:Q48"/>
    <mergeCell ref="B51:F51"/>
    <mergeCell ref="K38:Q38"/>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H27:J33 S27:U33 R71:U77 S38:U44 G71:J77 S49:U55 H49:J55 S60:U66 H60:J66 H38:J44"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H81:J81 R81:R88 S81:U82 H85:J88 S85:U88 G81:G88 H83:J8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C3919-658D-4925-A203-9F8CCE7E8F10}">
  <sheetPr>
    <pageSetUpPr fitToPage="1"/>
  </sheetPr>
  <dimension ref="A1:AG114"/>
  <sheetViews>
    <sheetView showZeros="0" view="pageBreakPreview" zoomScaleNormal="100" zoomScaleSheetLayoutView="100" workbookViewId="0">
      <selection activeCell="K1" sqref="K1:K1048576"/>
    </sheetView>
  </sheetViews>
  <sheetFormatPr defaultColWidth="9" defaultRowHeight="18.75" customHeight="1"/>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c r="A1" s="74"/>
      <c r="B1" s="74"/>
      <c r="C1" s="74"/>
      <c r="D1" s="74"/>
      <c r="E1" s="74"/>
      <c r="F1" s="74"/>
      <c r="G1" s="74"/>
      <c r="H1" s="74"/>
      <c r="I1" s="74"/>
      <c r="J1" s="74"/>
      <c r="K1" s="74"/>
      <c r="L1" s="74"/>
      <c r="M1" s="74"/>
      <c r="N1" s="74"/>
      <c r="O1" s="74"/>
      <c r="P1" s="74"/>
      <c r="Q1" s="74"/>
      <c r="R1" s="74"/>
      <c r="S1" s="74"/>
      <c r="T1" s="139" t="s">
        <v>172</v>
      </c>
      <c r="U1" s="139"/>
      <c r="V1" s="2" t="s">
        <v>99</v>
      </c>
    </row>
    <row r="2" spans="1:24" ht="18.75" customHeight="1">
      <c r="A2" s="74"/>
      <c r="B2" s="75" t="s">
        <v>98</v>
      </c>
      <c r="C2" s="140" t="s">
        <v>136</v>
      </c>
      <c r="D2" s="141"/>
      <c r="E2" s="141"/>
      <c r="F2" s="141"/>
      <c r="G2" s="141"/>
      <c r="H2" s="141"/>
      <c r="I2" s="141"/>
      <c r="J2" s="142"/>
      <c r="K2" s="76"/>
      <c r="L2" s="77"/>
      <c r="M2" s="77"/>
      <c r="N2" s="77"/>
      <c r="O2" s="77"/>
      <c r="P2" s="77"/>
      <c r="Q2" s="77"/>
      <c r="R2" s="77"/>
      <c r="S2" s="77"/>
      <c r="T2" s="77"/>
      <c r="U2" s="77"/>
    </row>
    <row r="3" spans="1:24" ht="30.75" customHeight="1">
      <c r="A3" s="74"/>
      <c r="B3" s="75" t="s">
        <v>93</v>
      </c>
      <c r="C3" s="96" t="s">
        <v>201</v>
      </c>
      <c r="D3" s="97"/>
      <c r="E3" s="97"/>
      <c r="F3" s="97"/>
      <c r="G3" s="97"/>
      <c r="H3" s="97"/>
      <c r="I3" s="97"/>
      <c r="J3" s="98"/>
      <c r="K3" s="76"/>
      <c r="L3" s="77"/>
      <c r="M3" s="77"/>
      <c r="N3" s="77"/>
      <c r="O3" s="77"/>
      <c r="P3" s="77"/>
      <c r="Q3" s="77"/>
      <c r="R3" s="77"/>
      <c r="S3" s="77"/>
      <c r="T3" s="77"/>
      <c r="U3" s="77"/>
    </row>
    <row r="4" spans="1:24" ht="15" customHeight="1">
      <c r="A4" s="74"/>
      <c r="B4" s="74"/>
      <c r="C4" s="74"/>
      <c r="D4" s="74"/>
      <c r="E4" s="74"/>
      <c r="F4" s="74"/>
      <c r="G4" s="74"/>
      <c r="H4" s="74"/>
      <c r="I4" s="74"/>
      <c r="J4" s="74"/>
      <c r="K4" s="74"/>
      <c r="L4" s="76"/>
      <c r="M4" s="78"/>
      <c r="N4" s="78"/>
      <c r="O4" s="78"/>
      <c r="P4" s="78"/>
      <c r="Q4" s="78"/>
      <c r="R4" s="78"/>
      <c r="S4" s="78"/>
      <c r="T4" s="78"/>
      <c r="U4" s="78"/>
    </row>
    <row r="5" spans="1:24" ht="18" customHeight="1">
      <c r="A5" s="145" t="s">
        <v>37</v>
      </c>
      <c r="B5" s="145"/>
      <c r="C5" s="145"/>
      <c r="D5" s="145"/>
      <c r="E5" s="145"/>
      <c r="F5" s="145"/>
      <c r="G5" s="145"/>
      <c r="H5" s="145"/>
      <c r="I5" s="145"/>
      <c r="J5" s="145"/>
      <c r="K5" s="145"/>
      <c r="L5" s="145"/>
      <c r="M5" s="145"/>
      <c r="N5" s="145"/>
      <c r="O5" s="145"/>
      <c r="P5" s="145"/>
      <c r="Q5" s="145"/>
      <c r="R5" s="145"/>
      <c r="S5" s="145"/>
      <c r="T5" s="145"/>
      <c r="U5" s="145"/>
    </row>
    <row r="6" spans="1:24" ht="15" customHeight="1">
      <c r="A6" s="74"/>
      <c r="B6" s="79"/>
      <c r="C6" s="79"/>
      <c r="D6" s="79"/>
      <c r="E6" s="79"/>
      <c r="F6" s="79"/>
      <c r="G6" s="79"/>
      <c r="H6" s="79"/>
      <c r="I6" s="79"/>
      <c r="J6" s="79"/>
      <c r="K6" s="79"/>
      <c r="L6" s="79"/>
      <c r="M6" s="79"/>
      <c r="N6" s="79"/>
      <c r="O6" s="79"/>
      <c r="P6" s="79"/>
      <c r="Q6" s="79"/>
      <c r="R6" s="79"/>
      <c r="S6" s="79"/>
      <c r="T6" s="79"/>
      <c r="U6" s="79"/>
    </row>
    <row r="7" spans="1:24" ht="15" customHeight="1">
      <c r="A7" s="74" t="s">
        <v>131</v>
      </c>
      <c r="B7" s="79"/>
      <c r="C7" s="79"/>
      <c r="D7" s="79"/>
      <c r="E7" s="79"/>
      <c r="F7" s="73"/>
      <c r="G7" s="73"/>
      <c r="H7" s="73"/>
      <c r="I7" s="73"/>
      <c r="J7" s="73"/>
      <c r="K7" s="73"/>
      <c r="L7" s="112" t="s">
        <v>129</v>
      </c>
      <c r="M7" s="113"/>
      <c r="N7" s="113"/>
      <c r="O7" s="113"/>
      <c r="P7" s="113"/>
      <c r="Q7" s="113"/>
      <c r="R7" s="113"/>
      <c r="S7" s="113"/>
      <c r="T7" s="113"/>
      <c r="U7" s="114"/>
    </row>
    <row r="8" spans="1:24" ht="6" customHeight="1">
      <c r="A8" s="74"/>
      <c r="B8" s="79"/>
      <c r="C8" s="79"/>
      <c r="D8" s="79"/>
      <c r="E8" s="79"/>
      <c r="F8" s="79"/>
      <c r="G8" s="79"/>
      <c r="H8" s="79"/>
      <c r="I8" s="79"/>
      <c r="J8" s="79"/>
      <c r="K8" s="79"/>
      <c r="L8" s="79"/>
      <c r="M8" s="79"/>
      <c r="N8" s="79"/>
      <c r="O8" s="79"/>
      <c r="P8" s="79"/>
      <c r="Q8" s="79"/>
      <c r="R8" s="79"/>
      <c r="S8" s="79"/>
      <c r="T8" s="79"/>
      <c r="U8" s="79"/>
    </row>
    <row r="9" spans="1:24" ht="18" customHeight="1">
      <c r="A9" s="74" t="s">
        <v>132</v>
      </c>
      <c r="B9" s="74"/>
      <c r="C9" s="79"/>
      <c r="D9" s="79"/>
      <c r="E9" s="74"/>
      <c r="F9" s="74"/>
      <c r="G9" s="74"/>
      <c r="H9" s="74"/>
      <c r="I9" s="74"/>
      <c r="J9" s="74"/>
      <c r="K9" s="76"/>
      <c r="L9" s="73"/>
      <c r="M9" s="73"/>
      <c r="N9" s="73"/>
      <c r="O9" s="73"/>
      <c r="P9" s="73"/>
      <c r="Q9" s="73"/>
      <c r="R9" s="73"/>
      <c r="S9" s="73"/>
      <c r="T9" s="73"/>
      <c r="U9" s="73"/>
    </row>
    <row r="10" spans="1:24" ht="6" customHeight="1">
      <c r="A10" s="74"/>
      <c r="B10" s="79"/>
      <c r="C10" s="79"/>
      <c r="D10" s="79"/>
      <c r="E10" s="79"/>
      <c r="F10" s="79"/>
      <c r="G10" s="79"/>
      <c r="H10" s="79"/>
      <c r="I10" s="79"/>
      <c r="J10" s="79"/>
      <c r="K10" s="79"/>
      <c r="L10" s="80"/>
      <c r="M10" s="79"/>
      <c r="N10" s="79"/>
      <c r="O10" s="79"/>
      <c r="P10" s="79"/>
      <c r="Q10" s="79"/>
      <c r="R10" s="79"/>
      <c r="S10" s="79"/>
      <c r="T10" s="79"/>
      <c r="U10" s="79"/>
    </row>
    <row r="11" spans="1:24" ht="18" customHeight="1">
      <c r="A11" s="74"/>
      <c r="B11" s="118" t="s">
        <v>142</v>
      </c>
      <c r="C11" s="119"/>
      <c r="D11" s="119"/>
      <c r="E11" s="119"/>
      <c r="F11" s="119"/>
      <c r="G11" s="119"/>
      <c r="H11" s="119"/>
      <c r="I11" s="119"/>
      <c r="J11" s="119"/>
      <c r="K11" s="119"/>
      <c r="L11" s="119"/>
      <c r="M11" s="119"/>
      <c r="N11" s="119"/>
      <c r="O11" s="119"/>
      <c r="P11" s="119"/>
      <c r="Q11" s="119"/>
      <c r="R11" s="119"/>
      <c r="S11" s="119"/>
      <c r="T11" s="119"/>
      <c r="U11" s="120"/>
    </row>
    <row r="12" spans="1:24" ht="18" customHeight="1">
      <c r="A12" s="74"/>
      <c r="B12" s="121"/>
      <c r="C12" s="122"/>
      <c r="D12" s="122"/>
      <c r="E12" s="122"/>
      <c r="F12" s="122"/>
      <c r="G12" s="122"/>
      <c r="H12" s="122"/>
      <c r="I12" s="122"/>
      <c r="J12" s="122"/>
      <c r="K12" s="122"/>
      <c r="L12" s="122"/>
      <c r="M12" s="122"/>
      <c r="N12" s="122"/>
      <c r="O12" s="122"/>
      <c r="P12" s="122"/>
      <c r="Q12" s="122"/>
      <c r="R12" s="122"/>
      <c r="S12" s="122"/>
      <c r="T12" s="122"/>
      <c r="U12" s="123"/>
    </row>
    <row r="13" spans="1:24" ht="6" customHeight="1">
      <c r="A13" s="74"/>
      <c r="B13" s="79"/>
      <c r="C13" s="79"/>
      <c r="D13" s="79"/>
      <c r="E13" s="79"/>
      <c r="F13" s="79"/>
      <c r="G13" s="79"/>
      <c r="H13" s="79"/>
      <c r="I13" s="79"/>
      <c r="J13" s="79"/>
      <c r="K13" s="79"/>
      <c r="L13" s="80"/>
      <c r="M13" s="79"/>
      <c r="N13" s="79"/>
      <c r="O13" s="79"/>
      <c r="P13" s="79"/>
      <c r="Q13" s="79"/>
      <c r="R13" s="79"/>
      <c r="S13" s="79"/>
      <c r="T13" s="79"/>
      <c r="U13" s="79"/>
    </row>
    <row r="14" spans="1:24" ht="18" customHeight="1">
      <c r="A14" s="74" t="s">
        <v>100</v>
      </c>
      <c r="B14" s="79"/>
      <c r="C14" s="79"/>
      <c r="D14" s="79"/>
      <c r="E14" s="76"/>
      <c r="F14" s="76"/>
      <c r="G14" s="76"/>
      <c r="H14" s="76"/>
      <c r="I14" s="76"/>
      <c r="J14" s="76"/>
      <c r="K14" s="76"/>
      <c r="L14" s="81"/>
      <c r="M14" s="81"/>
      <c r="N14" s="81"/>
      <c r="O14" s="81"/>
      <c r="P14" s="81"/>
      <c r="Q14" s="81"/>
      <c r="R14" s="81"/>
      <c r="S14" s="81"/>
      <c r="T14" s="81"/>
      <c r="U14" s="81"/>
    </row>
    <row r="15" spans="1:24" ht="18" customHeight="1">
      <c r="A15" s="74"/>
      <c r="B15" s="146" t="s">
        <v>143</v>
      </c>
      <c r="C15" s="147"/>
      <c r="D15" s="147"/>
      <c r="E15" s="147"/>
      <c r="F15" s="147"/>
      <c r="G15" s="147"/>
      <c r="H15" s="147"/>
      <c r="I15" s="147"/>
      <c r="J15" s="147"/>
      <c r="K15" s="147"/>
      <c r="L15" s="147"/>
      <c r="M15" s="147"/>
      <c r="N15" s="147"/>
      <c r="O15" s="147"/>
      <c r="P15" s="147"/>
      <c r="Q15" s="147"/>
      <c r="R15" s="147"/>
      <c r="S15" s="147"/>
      <c r="T15" s="147"/>
      <c r="U15" s="148"/>
      <c r="X15" s="1" t="s">
        <v>94</v>
      </c>
    </row>
    <row r="16" spans="1:24" ht="18" customHeight="1">
      <c r="A16" s="74"/>
      <c r="B16" s="149"/>
      <c r="C16" s="150"/>
      <c r="D16" s="150"/>
      <c r="E16" s="150"/>
      <c r="F16" s="150"/>
      <c r="G16" s="150"/>
      <c r="H16" s="150"/>
      <c r="I16" s="150"/>
      <c r="J16" s="150"/>
      <c r="K16" s="150"/>
      <c r="L16" s="150"/>
      <c r="M16" s="150"/>
      <c r="N16" s="150"/>
      <c r="O16" s="150"/>
      <c r="P16" s="150"/>
      <c r="Q16" s="150"/>
      <c r="R16" s="150"/>
      <c r="S16" s="150"/>
      <c r="T16" s="150"/>
      <c r="U16" s="151"/>
      <c r="X16" s="1" t="s">
        <v>114</v>
      </c>
    </row>
    <row r="17" spans="1:24" ht="18" customHeight="1">
      <c r="A17" s="74"/>
      <c r="B17" s="149"/>
      <c r="C17" s="150"/>
      <c r="D17" s="150"/>
      <c r="E17" s="150"/>
      <c r="F17" s="150"/>
      <c r="G17" s="150"/>
      <c r="H17" s="150"/>
      <c r="I17" s="150"/>
      <c r="J17" s="150"/>
      <c r="K17" s="150"/>
      <c r="L17" s="150"/>
      <c r="M17" s="150"/>
      <c r="N17" s="150"/>
      <c r="O17" s="150"/>
      <c r="P17" s="150"/>
      <c r="Q17" s="150"/>
      <c r="R17" s="150"/>
      <c r="S17" s="150"/>
      <c r="T17" s="150"/>
      <c r="U17" s="151"/>
      <c r="X17" s="1" t="s">
        <v>115</v>
      </c>
    </row>
    <row r="18" spans="1:24" ht="18" customHeight="1">
      <c r="A18" s="74"/>
      <c r="B18" s="149"/>
      <c r="C18" s="150"/>
      <c r="D18" s="150"/>
      <c r="E18" s="150"/>
      <c r="F18" s="150"/>
      <c r="G18" s="150"/>
      <c r="H18" s="150"/>
      <c r="I18" s="150"/>
      <c r="J18" s="150"/>
      <c r="K18" s="150"/>
      <c r="L18" s="150"/>
      <c r="M18" s="150"/>
      <c r="N18" s="150"/>
      <c r="O18" s="150"/>
      <c r="P18" s="150"/>
      <c r="Q18" s="150"/>
      <c r="R18" s="150"/>
      <c r="S18" s="150"/>
      <c r="T18" s="150"/>
      <c r="U18" s="151"/>
      <c r="X18" s="1" t="s">
        <v>116</v>
      </c>
    </row>
    <row r="19" spans="1:24" ht="18" customHeight="1">
      <c r="A19" s="74"/>
      <c r="B19" s="149"/>
      <c r="C19" s="150"/>
      <c r="D19" s="150"/>
      <c r="E19" s="150"/>
      <c r="F19" s="150"/>
      <c r="G19" s="150"/>
      <c r="H19" s="150"/>
      <c r="I19" s="150"/>
      <c r="J19" s="150"/>
      <c r="K19" s="150"/>
      <c r="L19" s="150"/>
      <c r="M19" s="150"/>
      <c r="N19" s="150"/>
      <c r="O19" s="150"/>
      <c r="P19" s="150"/>
      <c r="Q19" s="150"/>
      <c r="R19" s="150"/>
      <c r="S19" s="150"/>
      <c r="T19" s="150"/>
      <c r="U19" s="151"/>
    </row>
    <row r="20" spans="1:24" ht="18" customHeight="1">
      <c r="A20" s="74"/>
      <c r="B20" s="152"/>
      <c r="C20" s="153"/>
      <c r="D20" s="153"/>
      <c r="E20" s="153"/>
      <c r="F20" s="153"/>
      <c r="G20" s="153"/>
      <c r="H20" s="153"/>
      <c r="I20" s="153"/>
      <c r="J20" s="153"/>
      <c r="K20" s="153"/>
      <c r="L20" s="153"/>
      <c r="M20" s="153"/>
      <c r="N20" s="153"/>
      <c r="O20" s="153"/>
      <c r="P20" s="153"/>
      <c r="Q20" s="153"/>
      <c r="R20" s="153"/>
      <c r="S20" s="153"/>
      <c r="T20" s="153"/>
      <c r="U20" s="154"/>
    </row>
    <row r="21" spans="1:24" ht="7.5" customHeight="1">
      <c r="A21" s="74"/>
      <c r="B21" s="79"/>
      <c r="C21" s="79"/>
      <c r="D21" s="79"/>
      <c r="E21" s="79"/>
      <c r="F21" s="79"/>
      <c r="G21" s="79"/>
      <c r="H21" s="79"/>
      <c r="I21" s="79"/>
      <c r="J21" s="79"/>
      <c r="K21" s="79"/>
      <c r="L21" s="79"/>
      <c r="M21" s="79"/>
      <c r="N21" s="79"/>
      <c r="O21" s="79"/>
      <c r="P21" s="79"/>
      <c r="Q21" s="79"/>
      <c r="R21" s="79"/>
      <c r="S21" s="79"/>
      <c r="T21" s="79"/>
      <c r="U21" s="79"/>
    </row>
    <row r="22" spans="1:24" ht="19.95" customHeight="1">
      <c r="A22" s="74"/>
      <c r="B22" s="74" t="s">
        <v>133</v>
      </c>
      <c r="C22" s="74"/>
      <c r="D22" s="74"/>
      <c r="E22" s="82">
        <v>3</v>
      </c>
      <c r="F22" s="74" t="s">
        <v>112</v>
      </c>
      <c r="G22" s="74"/>
      <c r="H22" s="83">
        <v>6</v>
      </c>
      <c r="I22" s="79" t="s">
        <v>113</v>
      </c>
      <c r="J22" s="79"/>
      <c r="K22" s="76"/>
      <c r="L22" s="74"/>
      <c r="M22" s="76" t="s">
        <v>109</v>
      </c>
      <c r="N22" s="109" t="s">
        <v>114</v>
      </c>
      <c r="O22" s="110"/>
      <c r="P22" s="110"/>
      <c r="Q22" s="110"/>
      <c r="R22" s="110"/>
      <c r="S22" s="110"/>
      <c r="T22" s="110"/>
      <c r="U22" s="111"/>
    </row>
    <row r="23" spans="1:24" ht="7.5" customHeight="1">
      <c r="A23" s="74"/>
      <c r="B23" s="79"/>
      <c r="C23" s="79"/>
      <c r="D23" s="79"/>
      <c r="E23" s="79"/>
      <c r="F23" s="79"/>
      <c r="G23" s="79"/>
      <c r="H23" s="79"/>
      <c r="I23" s="79"/>
      <c r="J23" s="79"/>
      <c r="K23" s="79"/>
      <c r="L23" s="79"/>
      <c r="M23" s="79"/>
      <c r="N23" s="79"/>
      <c r="O23" s="79"/>
      <c r="P23" s="79"/>
      <c r="Q23" s="79"/>
      <c r="R23" s="79"/>
      <c r="S23" s="79"/>
      <c r="T23" s="79"/>
      <c r="U23" s="79"/>
    </row>
    <row r="24" spans="1:24" ht="18" customHeight="1">
      <c r="A24" s="155" t="s">
        <v>101</v>
      </c>
      <c r="B24" s="155"/>
      <c r="C24" s="155"/>
      <c r="D24" s="155"/>
      <c r="E24" s="155"/>
      <c r="F24" s="155"/>
      <c r="G24" s="155"/>
      <c r="H24" s="155"/>
      <c r="I24" s="155"/>
      <c r="J24" s="155"/>
      <c r="K24" s="155"/>
      <c r="L24" s="155"/>
      <c r="M24" s="155"/>
      <c r="N24" s="155"/>
      <c r="O24" s="155"/>
      <c r="P24" s="155"/>
      <c r="Q24" s="155"/>
      <c r="R24" s="155"/>
      <c r="S24" s="155"/>
      <c r="T24" s="155"/>
      <c r="U24" s="155"/>
    </row>
    <row r="25" spans="1:24" ht="18" customHeight="1">
      <c r="A25" s="155"/>
      <c r="B25" s="155"/>
      <c r="C25" s="155"/>
      <c r="D25" s="155"/>
      <c r="E25" s="155"/>
      <c r="F25" s="155"/>
      <c r="G25" s="155"/>
      <c r="H25" s="155"/>
      <c r="I25" s="155"/>
      <c r="J25" s="155"/>
      <c r="K25" s="155"/>
      <c r="L25" s="155"/>
      <c r="M25" s="155"/>
      <c r="N25" s="155"/>
      <c r="O25" s="155"/>
      <c r="P25" s="155"/>
      <c r="Q25" s="155"/>
      <c r="R25" s="155"/>
      <c r="S25" s="155"/>
      <c r="T25" s="155"/>
      <c r="U25" s="155"/>
    </row>
    <row r="26" spans="1:24" ht="18" customHeight="1">
      <c r="B26" s="115" t="s">
        <v>51</v>
      </c>
      <c r="C26" s="116"/>
      <c r="D26" s="116"/>
      <c r="E26" s="116"/>
      <c r="F26" s="117"/>
      <c r="G26" s="50" t="s">
        <v>77</v>
      </c>
      <c r="H26" s="49" t="s">
        <v>80</v>
      </c>
      <c r="I26" s="16" t="s">
        <v>54</v>
      </c>
      <c r="J26" s="16" t="s">
        <v>57</v>
      </c>
      <c r="K26" s="115" t="s">
        <v>51</v>
      </c>
      <c r="L26" s="116"/>
      <c r="M26" s="116"/>
      <c r="N26" s="116"/>
      <c r="O26" s="116"/>
      <c r="P26" s="116"/>
      <c r="Q26" s="117"/>
      <c r="R26" s="50" t="s">
        <v>77</v>
      </c>
      <c r="S26" s="49" t="s">
        <v>80</v>
      </c>
      <c r="T26" s="16" t="s">
        <v>54</v>
      </c>
      <c r="U26" s="16" t="s">
        <v>57</v>
      </c>
    </row>
    <row r="27" spans="1:24" ht="18" customHeight="1">
      <c r="B27" s="130" t="s">
        <v>137</v>
      </c>
      <c r="C27" s="131"/>
      <c r="D27" s="131"/>
      <c r="E27" s="131"/>
      <c r="F27" s="132"/>
      <c r="G27" s="17">
        <v>2</v>
      </c>
      <c r="H27" s="17" t="s">
        <v>138</v>
      </c>
      <c r="I27" s="17" t="s">
        <v>138</v>
      </c>
      <c r="J27" s="17"/>
      <c r="K27" s="130"/>
      <c r="L27" s="131"/>
      <c r="M27" s="131"/>
      <c r="N27" s="131"/>
      <c r="O27" s="131"/>
      <c r="P27" s="131"/>
      <c r="Q27" s="132"/>
      <c r="R27" s="17"/>
      <c r="S27" s="17"/>
      <c r="T27" s="17"/>
      <c r="U27" s="17"/>
    </row>
    <row r="28" spans="1:24" ht="18" customHeight="1">
      <c r="B28" s="184" t="s">
        <v>144</v>
      </c>
      <c r="C28" s="185"/>
      <c r="D28" s="185"/>
      <c r="E28" s="185"/>
      <c r="F28" s="186"/>
      <c r="G28" s="18">
        <v>2</v>
      </c>
      <c r="H28" s="18" t="s">
        <v>138</v>
      </c>
      <c r="I28" s="18"/>
      <c r="J28" s="18" t="s">
        <v>138</v>
      </c>
      <c r="K28" s="124"/>
      <c r="L28" s="125"/>
      <c r="M28" s="125"/>
      <c r="N28" s="125"/>
      <c r="O28" s="125"/>
      <c r="P28" s="125"/>
      <c r="Q28" s="126"/>
      <c r="R28" s="18"/>
      <c r="S28" s="18"/>
      <c r="T28" s="18"/>
      <c r="U28" s="18"/>
    </row>
    <row r="29" spans="1:24" ht="18" customHeight="1">
      <c r="B29" s="124"/>
      <c r="C29" s="125"/>
      <c r="D29" s="125"/>
      <c r="E29" s="125"/>
      <c r="F29" s="126"/>
      <c r="G29" s="18"/>
      <c r="H29" s="18"/>
      <c r="I29" s="18"/>
      <c r="J29" s="18"/>
      <c r="K29" s="124"/>
      <c r="L29" s="125"/>
      <c r="M29" s="125"/>
      <c r="N29" s="125"/>
      <c r="O29" s="125"/>
      <c r="P29" s="125"/>
      <c r="Q29" s="126"/>
      <c r="R29" s="18"/>
      <c r="S29" s="18"/>
      <c r="T29" s="18"/>
      <c r="U29" s="18"/>
    </row>
    <row r="30" spans="1:24" ht="18" customHeight="1">
      <c r="B30" s="124"/>
      <c r="C30" s="125"/>
      <c r="D30" s="125"/>
      <c r="E30" s="125"/>
      <c r="F30" s="126"/>
      <c r="G30" s="18"/>
      <c r="H30" s="18"/>
      <c r="I30" s="18"/>
      <c r="J30" s="18"/>
      <c r="K30" s="124"/>
      <c r="L30" s="125"/>
      <c r="M30" s="125"/>
      <c r="N30" s="125"/>
      <c r="O30" s="125"/>
      <c r="P30" s="125"/>
      <c r="Q30" s="126"/>
      <c r="R30" s="18"/>
      <c r="S30" s="18"/>
      <c r="T30" s="18"/>
      <c r="U30" s="18"/>
    </row>
    <row r="31" spans="1:24" ht="18" customHeight="1">
      <c r="B31" s="124"/>
      <c r="C31" s="125"/>
      <c r="D31" s="125"/>
      <c r="E31" s="125"/>
      <c r="F31" s="126"/>
      <c r="G31" s="18"/>
      <c r="H31" s="18"/>
      <c r="I31" s="18"/>
      <c r="J31" s="18"/>
      <c r="K31" s="124"/>
      <c r="L31" s="125"/>
      <c r="M31" s="125"/>
      <c r="N31" s="125"/>
      <c r="O31" s="125"/>
      <c r="P31" s="125"/>
      <c r="Q31" s="126"/>
      <c r="R31" s="18"/>
      <c r="S31" s="18"/>
      <c r="T31" s="18"/>
      <c r="U31" s="18"/>
    </row>
    <row r="32" spans="1:24" ht="18" customHeight="1">
      <c r="A32" s="3"/>
      <c r="B32" s="124"/>
      <c r="C32" s="125"/>
      <c r="D32" s="125"/>
      <c r="E32" s="125"/>
      <c r="F32" s="126"/>
      <c r="G32" s="18"/>
      <c r="H32" s="18"/>
      <c r="I32" s="18"/>
      <c r="J32" s="18"/>
      <c r="K32" s="124"/>
      <c r="L32" s="125"/>
      <c r="M32" s="125"/>
      <c r="N32" s="125"/>
      <c r="O32" s="125"/>
      <c r="P32" s="125"/>
      <c r="Q32" s="126"/>
      <c r="R32" s="18"/>
      <c r="S32" s="18"/>
      <c r="T32" s="18"/>
      <c r="U32" s="18"/>
    </row>
    <row r="33" spans="1:21" ht="18" customHeight="1">
      <c r="A33" s="3"/>
      <c r="B33" s="127"/>
      <c r="C33" s="128"/>
      <c r="D33" s="128"/>
      <c r="E33" s="128"/>
      <c r="F33" s="129"/>
      <c r="G33" s="19"/>
      <c r="H33" s="19"/>
      <c r="I33" s="20"/>
      <c r="J33" s="20"/>
      <c r="K33" s="127"/>
      <c r="L33" s="128"/>
      <c r="M33" s="128"/>
      <c r="N33" s="128"/>
      <c r="O33" s="128"/>
      <c r="P33" s="128"/>
      <c r="Q33" s="129"/>
      <c r="R33" s="19"/>
      <c r="S33" s="19"/>
      <c r="T33" s="20"/>
      <c r="U33" s="20"/>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33" t="s">
        <v>102</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c r="B37" s="115" t="s">
        <v>51</v>
      </c>
      <c r="C37" s="116"/>
      <c r="D37" s="116"/>
      <c r="E37" s="116"/>
      <c r="F37" s="117"/>
      <c r="G37" s="50" t="s">
        <v>77</v>
      </c>
      <c r="H37" s="49" t="s">
        <v>80</v>
      </c>
      <c r="I37" s="16" t="s">
        <v>68</v>
      </c>
      <c r="J37" s="16" t="s">
        <v>69</v>
      </c>
      <c r="K37" s="115" t="s">
        <v>51</v>
      </c>
      <c r="L37" s="116"/>
      <c r="M37" s="116"/>
      <c r="N37" s="116"/>
      <c r="O37" s="116"/>
      <c r="P37" s="116"/>
      <c r="Q37" s="117"/>
      <c r="R37" s="50" t="s">
        <v>77</v>
      </c>
      <c r="S37" s="49" t="s">
        <v>80</v>
      </c>
      <c r="T37" s="16" t="s">
        <v>68</v>
      </c>
      <c r="U37" s="16" t="s">
        <v>69</v>
      </c>
    </row>
    <row r="38" spans="1:21" ht="18" customHeight="1">
      <c r="B38" s="136" t="s">
        <v>137</v>
      </c>
      <c r="C38" s="137"/>
      <c r="D38" s="137"/>
      <c r="E38" s="137"/>
      <c r="F38" s="138"/>
      <c r="G38" s="17">
        <v>2</v>
      </c>
      <c r="H38" s="17" t="s">
        <v>138</v>
      </c>
      <c r="I38" s="17" t="s">
        <v>138</v>
      </c>
      <c r="J38" s="17"/>
      <c r="K38" s="130"/>
      <c r="L38" s="131"/>
      <c r="M38" s="131"/>
      <c r="N38" s="131"/>
      <c r="O38" s="131"/>
      <c r="P38" s="131"/>
      <c r="Q38" s="132"/>
      <c r="R38" s="17"/>
      <c r="S38" s="17"/>
      <c r="T38" s="17"/>
      <c r="U38" s="17"/>
    </row>
    <row r="39" spans="1:21" ht="18" customHeight="1">
      <c r="B39" s="136" t="s">
        <v>139</v>
      </c>
      <c r="C39" s="137"/>
      <c r="D39" s="137"/>
      <c r="E39" s="137"/>
      <c r="F39" s="138"/>
      <c r="G39" s="18">
        <v>2</v>
      </c>
      <c r="H39" s="18" t="s">
        <v>138</v>
      </c>
      <c r="I39" s="18"/>
      <c r="J39" s="18" t="s">
        <v>138</v>
      </c>
      <c r="K39" s="124"/>
      <c r="L39" s="125"/>
      <c r="M39" s="125"/>
      <c r="N39" s="125"/>
      <c r="O39" s="125"/>
      <c r="P39" s="125"/>
      <c r="Q39" s="126"/>
      <c r="R39" s="18"/>
      <c r="S39" s="18"/>
      <c r="T39" s="18"/>
      <c r="U39" s="18"/>
    </row>
    <row r="40" spans="1:21" ht="18" customHeight="1">
      <c r="B40" s="124"/>
      <c r="C40" s="125"/>
      <c r="D40" s="125"/>
      <c r="E40" s="125"/>
      <c r="F40" s="126"/>
      <c r="G40" s="18"/>
      <c r="H40" s="18"/>
      <c r="I40" s="18"/>
      <c r="J40" s="18"/>
      <c r="K40" s="124"/>
      <c r="L40" s="125"/>
      <c r="M40" s="125"/>
      <c r="N40" s="125"/>
      <c r="O40" s="125"/>
      <c r="P40" s="125"/>
      <c r="Q40" s="126"/>
      <c r="R40" s="18"/>
      <c r="S40" s="18"/>
      <c r="T40" s="18"/>
      <c r="U40" s="18"/>
    </row>
    <row r="41" spans="1:21" ht="18" customHeight="1">
      <c r="B41" s="124"/>
      <c r="C41" s="125"/>
      <c r="D41" s="125"/>
      <c r="E41" s="125"/>
      <c r="F41" s="126"/>
      <c r="G41" s="18"/>
      <c r="H41" s="18"/>
      <c r="I41" s="18"/>
      <c r="J41" s="18"/>
      <c r="K41" s="124"/>
      <c r="L41" s="125"/>
      <c r="M41" s="125"/>
      <c r="N41" s="125"/>
      <c r="O41" s="125"/>
      <c r="P41" s="125"/>
      <c r="Q41" s="126"/>
      <c r="R41" s="18"/>
      <c r="S41" s="18"/>
      <c r="T41" s="18"/>
      <c r="U41" s="18"/>
    </row>
    <row r="42" spans="1:21" ht="18" customHeight="1">
      <c r="B42" s="124"/>
      <c r="C42" s="125"/>
      <c r="D42" s="125"/>
      <c r="E42" s="125"/>
      <c r="F42" s="126"/>
      <c r="G42" s="18"/>
      <c r="H42" s="18"/>
      <c r="I42" s="18"/>
      <c r="J42" s="18"/>
      <c r="K42" s="124"/>
      <c r="L42" s="125"/>
      <c r="M42" s="125"/>
      <c r="N42" s="125"/>
      <c r="O42" s="125"/>
      <c r="P42" s="125"/>
      <c r="Q42" s="126"/>
      <c r="R42" s="18"/>
      <c r="S42" s="18"/>
      <c r="T42" s="18"/>
      <c r="U42" s="18"/>
    </row>
    <row r="43" spans="1:21" ht="18" customHeight="1">
      <c r="B43" s="124"/>
      <c r="C43" s="125"/>
      <c r="D43" s="125"/>
      <c r="E43" s="125"/>
      <c r="F43" s="126"/>
      <c r="G43" s="18"/>
      <c r="H43" s="18"/>
      <c r="I43" s="18"/>
      <c r="J43" s="18"/>
      <c r="K43" s="124"/>
      <c r="L43" s="125"/>
      <c r="M43" s="125"/>
      <c r="N43" s="125"/>
      <c r="O43" s="125"/>
      <c r="P43" s="125"/>
      <c r="Q43" s="126"/>
      <c r="R43" s="18"/>
      <c r="S43" s="18"/>
      <c r="T43" s="18"/>
      <c r="U43" s="18"/>
    </row>
    <row r="44" spans="1:21" ht="18" customHeight="1">
      <c r="B44" s="127"/>
      <c r="C44" s="128"/>
      <c r="D44" s="128"/>
      <c r="E44" s="128"/>
      <c r="F44" s="129"/>
      <c r="G44" s="19"/>
      <c r="H44" s="19"/>
      <c r="I44" s="20"/>
      <c r="J44" s="20"/>
      <c r="K44" s="127"/>
      <c r="L44" s="128"/>
      <c r="M44" s="128"/>
      <c r="N44" s="128"/>
      <c r="O44" s="128"/>
      <c r="P44" s="128"/>
      <c r="Q44" s="129"/>
      <c r="R44" s="19"/>
      <c r="S44" s="19"/>
      <c r="T44" s="20"/>
      <c r="U44" s="20"/>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33" t="s">
        <v>103</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c r="B48" s="115" t="s">
        <v>51</v>
      </c>
      <c r="C48" s="116"/>
      <c r="D48" s="116"/>
      <c r="E48" s="116"/>
      <c r="F48" s="117"/>
      <c r="G48" s="50" t="s">
        <v>77</v>
      </c>
      <c r="H48" s="49" t="s">
        <v>80</v>
      </c>
      <c r="I48" s="16" t="s">
        <v>70</v>
      </c>
      <c r="J48" s="16" t="s">
        <v>71</v>
      </c>
      <c r="K48" s="115" t="s">
        <v>51</v>
      </c>
      <c r="L48" s="116"/>
      <c r="M48" s="116"/>
      <c r="N48" s="116"/>
      <c r="O48" s="116"/>
      <c r="P48" s="116"/>
      <c r="Q48" s="117"/>
      <c r="R48" s="50" t="s">
        <v>77</v>
      </c>
      <c r="S48" s="49" t="s">
        <v>80</v>
      </c>
      <c r="T48" s="16" t="s">
        <v>70</v>
      </c>
      <c r="U48" s="16" t="s">
        <v>71</v>
      </c>
    </row>
    <row r="49" spans="1:21" ht="18" customHeight="1">
      <c r="A49" s="3"/>
      <c r="B49" s="136" t="s">
        <v>139</v>
      </c>
      <c r="C49" s="137"/>
      <c r="D49" s="137"/>
      <c r="E49" s="137"/>
      <c r="F49" s="138"/>
      <c r="G49" s="18">
        <v>2</v>
      </c>
      <c r="H49" s="18" t="s">
        <v>138</v>
      </c>
      <c r="I49" s="18" t="s">
        <v>138</v>
      </c>
      <c r="J49" s="18"/>
      <c r="K49" s="130"/>
      <c r="L49" s="131"/>
      <c r="M49" s="131"/>
      <c r="N49" s="131"/>
      <c r="O49" s="131"/>
      <c r="P49" s="131"/>
      <c r="Q49" s="132"/>
      <c r="R49" s="17"/>
      <c r="S49" s="17"/>
      <c r="T49" s="17"/>
      <c r="U49" s="17"/>
    </row>
    <row r="50" spans="1:21" ht="18" customHeight="1">
      <c r="A50" s="3"/>
      <c r="B50" s="184" t="s">
        <v>144</v>
      </c>
      <c r="C50" s="185"/>
      <c r="D50" s="185"/>
      <c r="E50" s="185"/>
      <c r="F50" s="186"/>
      <c r="G50" s="18">
        <v>2</v>
      </c>
      <c r="H50" s="18"/>
      <c r="I50" s="18"/>
      <c r="J50" s="18" t="s">
        <v>138</v>
      </c>
      <c r="K50" s="124"/>
      <c r="L50" s="125"/>
      <c r="M50" s="125"/>
      <c r="N50" s="125"/>
      <c r="O50" s="125"/>
      <c r="P50" s="125"/>
      <c r="Q50" s="126"/>
      <c r="R50" s="18"/>
      <c r="S50" s="18"/>
      <c r="T50" s="18"/>
      <c r="U50" s="18"/>
    </row>
    <row r="51" spans="1:21" ht="18" customHeight="1">
      <c r="A51" s="3"/>
      <c r="B51" s="178"/>
      <c r="C51" s="179"/>
      <c r="D51" s="179"/>
      <c r="E51" s="179"/>
      <c r="F51" s="180"/>
      <c r="G51" s="85"/>
      <c r="H51" s="18"/>
      <c r="I51" s="18"/>
      <c r="J51" s="18"/>
      <c r="K51" s="124"/>
      <c r="L51" s="125"/>
      <c r="M51" s="125"/>
      <c r="N51" s="125"/>
      <c r="O51" s="125"/>
      <c r="P51" s="125"/>
      <c r="Q51" s="126"/>
      <c r="R51" s="18"/>
      <c r="S51" s="18"/>
      <c r="T51" s="18"/>
      <c r="U51" s="18"/>
    </row>
    <row r="52" spans="1:21" ht="18" customHeight="1">
      <c r="A52" s="3"/>
      <c r="B52" s="178"/>
      <c r="C52" s="179"/>
      <c r="D52" s="179"/>
      <c r="E52" s="179"/>
      <c r="F52" s="180"/>
      <c r="G52" s="85"/>
      <c r="H52" s="18"/>
      <c r="I52" s="18"/>
      <c r="J52" s="18"/>
      <c r="K52" s="124"/>
      <c r="L52" s="125"/>
      <c r="M52" s="125"/>
      <c r="N52" s="125"/>
      <c r="O52" s="125"/>
      <c r="P52" s="125"/>
      <c r="Q52" s="126"/>
      <c r="R52" s="18"/>
      <c r="S52" s="18"/>
      <c r="T52" s="18"/>
      <c r="U52" s="18"/>
    </row>
    <row r="53" spans="1:21" ht="18" customHeight="1">
      <c r="A53" s="3"/>
      <c r="B53" s="187"/>
      <c r="C53" s="188"/>
      <c r="D53" s="188"/>
      <c r="E53" s="188"/>
      <c r="F53" s="189"/>
      <c r="G53" s="18"/>
      <c r="H53" s="18"/>
      <c r="I53" s="18"/>
      <c r="J53" s="18"/>
      <c r="K53" s="124"/>
      <c r="L53" s="125"/>
      <c r="M53" s="125"/>
      <c r="N53" s="125"/>
      <c r="O53" s="125"/>
      <c r="P53" s="125"/>
      <c r="Q53" s="126"/>
      <c r="R53" s="18"/>
      <c r="S53" s="18"/>
      <c r="T53" s="18"/>
      <c r="U53" s="18"/>
    </row>
    <row r="54" spans="1:21" ht="18" customHeight="1">
      <c r="A54" s="3"/>
      <c r="B54" s="124"/>
      <c r="C54" s="125"/>
      <c r="D54" s="125"/>
      <c r="E54" s="125"/>
      <c r="F54" s="126"/>
      <c r="G54" s="18"/>
      <c r="H54" s="18"/>
      <c r="I54" s="18"/>
      <c r="J54" s="18"/>
      <c r="K54" s="124"/>
      <c r="L54" s="125"/>
      <c r="M54" s="125"/>
      <c r="N54" s="125"/>
      <c r="O54" s="125"/>
      <c r="P54" s="125"/>
      <c r="Q54" s="126"/>
      <c r="R54" s="18"/>
      <c r="S54" s="18"/>
      <c r="T54" s="18"/>
      <c r="U54" s="18"/>
    </row>
    <row r="55" spans="1:21" ht="18" customHeight="1">
      <c r="A55" s="3"/>
      <c r="B55" s="127"/>
      <c r="C55" s="128"/>
      <c r="D55" s="128"/>
      <c r="E55" s="128"/>
      <c r="F55" s="129"/>
      <c r="G55" s="19"/>
      <c r="H55" s="19"/>
      <c r="I55" s="20"/>
      <c r="J55" s="20"/>
      <c r="K55" s="127"/>
      <c r="L55" s="128"/>
      <c r="M55" s="128"/>
      <c r="N55" s="128"/>
      <c r="O55" s="128"/>
      <c r="P55" s="128"/>
      <c r="Q55" s="129"/>
      <c r="R55" s="19"/>
      <c r="S55" s="19"/>
      <c r="T55" s="20"/>
      <c r="U55" s="20"/>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33" t="s">
        <v>104</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c r="B59" s="115" t="s">
        <v>51</v>
      </c>
      <c r="C59" s="116"/>
      <c r="D59" s="116"/>
      <c r="E59" s="116"/>
      <c r="F59" s="117"/>
      <c r="G59" s="50" t="s">
        <v>77</v>
      </c>
      <c r="H59" s="49" t="s">
        <v>80</v>
      </c>
      <c r="I59" s="16" t="s">
        <v>56</v>
      </c>
      <c r="J59" s="16" t="s">
        <v>58</v>
      </c>
      <c r="K59" s="115" t="s">
        <v>51</v>
      </c>
      <c r="L59" s="116"/>
      <c r="M59" s="116"/>
      <c r="N59" s="116"/>
      <c r="O59" s="116"/>
      <c r="P59" s="116"/>
      <c r="Q59" s="117"/>
      <c r="R59" s="50" t="s">
        <v>77</v>
      </c>
      <c r="S59" s="49" t="s">
        <v>80</v>
      </c>
      <c r="T59" s="16" t="s">
        <v>56</v>
      </c>
      <c r="U59" s="16" t="s">
        <v>58</v>
      </c>
    </row>
    <row r="60" spans="1:21" ht="18" customHeight="1">
      <c r="A60" s="3"/>
      <c r="B60" s="130" t="s">
        <v>137</v>
      </c>
      <c r="C60" s="131"/>
      <c r="D60" s="131"/>
      <c r="E60" s="131"/>
      <c r="F60" s="132"/>
      <c r="G60" s="17">
        <v>2</v>
      </c>
      <c r="H60" s="17" t="s">
        <v>138</v>
      </c>
      <c r="I60" s="17" t="s">
        <v>138</v>
      </c>
      <c r="J60" s="17"/>
      <c r="K60" s="130"/>
      <c r="L60" s="131"/>
      <c r="M60" s="131"/>
      <c r="N60" s="131"/>
      <c r="O60" s="131"/>
      <c r="P60" s="131"/>
      <c r="Q60" s="132"/>
      <c r="R60" s="17"/>
      <c r="S60" s="17"/>
      <c r="T60" s="17"/>
      <c r="U60" s="17"/>
    </row>
    <row r="61" spans="1:21" ht="18" customHeight="1">
      <c r="A61" s="3"/>
      <c r="B61" s="124" t="s">
        <v>139</v>
      </c>
      <c r="C61" s="125"/>
      <c r="D61" s="125"/>
      <c r="E61" s="125"/>
      <c r="F61" s="126"/>
      <c r="G61" s="18">
        <v>2</v>
      </c>
      <c r="H61" s="18" t="s">
        <v>138</v>
      </c>
      <c r="I61" s="18"/>
      <c r="J61" s="18" t="s">
        <v>138</v>
      </c>
      <c r="K61" s="124"/>
      <c r="L61" s="125"/>
      <c r="M61" s="125"/>
      <c r="N61" s="125"/>
      <c r="O61" s="125"/>
      <c r="P61" s="125"/>
      <c r="Q61" s="126"/>
      <c r="R61" s="18"/>
      <c r="S61" s="18"/>
      <c r="T61" s="18"/>
      <c r="U61" s="18"/>
    </row>
    <row r="62" spans="1:21" ht="18" customHeight="1">
      <c r="A62" s="3"/>
      <c r="B62" s="124"/>
      <c r="C62" s="125"/>
      <c r="D62" s="125"/>
      <c r="E62" s="125"/>
      <c r="F62" s="126"/>
      <c r="G62" s="18"/>
      <c r="H62" s="18"/>
      <c r="I62" s="18"/>
      <c r="J62" s="18"/>
      <c r="K62" s="124"/>
      <c r="L62" s="125"/>
      <c r="M62" s="125"/>
      <c r="N62" s="125"/>
      <c r="O62" s="125"/>
      <c r="P62" s="125"/>
      <c r="Q62" s="126"/>
      <c r="R62" s="18"/>
      <c r="S62" s="18"/>
      <c r="T62" s="18"/>
      <c r="U62" s="18"/>
    </row>
    <row r="63" spans="1:21" ht="18" customHeight="1">
      <c r="A63" s="3"/>
      <c r="B63" s="124"/>
      <c r="C63" s="125"/>
      <c r="D63" s="125"/>
      <c r="E63" s="125"/>
      <c r="F63" s="126"/>
      <c r="G63" s="18"/>
      <c r="H63" s="18"/>
      <c r="I63" s="18"/>
      <c r="J63" s="18"/>
      <c r="K63" s="124"/>
      <c r="L63" s="125"/>
      <c r="M63" s="125"/>
      <c r="N63" s="125"/>
      <c r="O63" s="125"/>
      <c r="P63" s="125"/>
      <c r="Q63" s="126"/>
      <c r="R63" s="18"/>
      <c r="S63" s="18"/>
      <c r="T63" s="18"/>
      <c r="U63" s="18"/>
    </row>
    <row r="64" spans="1:21" ht="18" customHeight="1">
      <c r="A64" s="3"/>
      <c r="B64" s="124"/>
      <c r="C64" s="125"/>
      <c r="D64" s="125"/>
      <c r="E64" s="125"/>
      <c r="F64" s="126"/>
      <c r="G64" s="18"/>
      <c r="H64" s="18"/>
      <c r="I64" s="18"/>
      <c r="J64" s="18"/>
      <c r="K64" s="124"/>
      <c r="L64" s="125"/>
      <c r="M64" s="125"/>
      <c r="N64" s="125"/>
      <c r="O64" s="125"/>
      <c r="P64" s="125"/>
      <c r="Q64" s="126"/>
      <c r="R64" s="18"/>
      <c r="S64" s="18"/>
      <c r="T64" s="18"/>
      <c r="U64" s="18"/>
    </row>
    <row r="65" spans="1:21" ht="18" customHeight="1">
      <c r="A65" s="3"/>
      <c r="B65" s="124"/>
      <c r="C65" s="125"/>
      <c r="D65" s="125"/>
      <c r="E65" s="125"/>
      <c r="F65" s="126"/>
      <c r="G65" s="18"/>
      <c r="H65" s="18"/>
      <c r="I65" s="18"/>
      <c r="J65" s="18"/>
      <c r="K65" s="124"/>
      <c r="L65" s="125"/>
      <c r="M65" s="125"/>
      <c r="N65" s="125"/>
      <c r="O65" s="125"/>
      <c r="P65" s="125"/>
      <c r="Q65" s="126"/>
      <c r="R65" s="18"/>
      <c r="S65" s="18"/>
      <c r="T65" s="18"/>
      <c r="U65" s="18"/>
    </row>
    <row r="66" spans="1:21" ht="18" customHeight="1">
      <c r="A66" s="3"/>
      <c r="B66" s="127"/>
      <c r="C66" s="128"/>
      <c r="D66" s="128"/>
      <c r="E66" s="128"/>
      <c r="F66" s="129"/>
      <c r="G66" s="19"/>
      <c r="H66" s="19"/>
      <c r="I66" s="20"/>
      <c r="J66" s="20"/>
      <c r="K66" s="127"/>
      <c r="L66" s="128"/>
      <c r="M66" s="128"/>
      <c r="N66" s="128"/>
      <c r="O66" s="128"/>
      <c r="P66" s="128"/>
      <c r="Q66" s="129"/>
      <c r="R66" s="19"/>
      <c r="S66" s="19"/>
      <c r="T66" s="20"/>
      <c r="U66" s="20"/>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33" t="s">
        <v>105</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c r="B70" s="115" t="s">
        <v>51</v>
      </c>
      <c r="C70" s="116"/>
      <c r="D70" s="116"/>
      <c r="E70" s="116"/>
      <c r="F70" s="50" t="s">
        <v>77</v>
      </c>
      <c r="G70" s="49" t="s">
        <v>80</v>
      </c>
      <c r="H70" s="16" t="s">
        <v>92</v>
      </c>
      <c r="I70" s="16" t="s">
        <v>72</v>
      </c>
      <c r="J70" s="16" t="s">
        <v>73</v>
      </c>
      <c r="K70" s="115" t="s">
        <v>51</v>
      </c>
      <c r="L70" s="116"/>
      <c r="M70" s="116"/>
      <c r="N70" s="116"/>
      <c r="O70" s="116"/>
      <c r="P70" s="117"/>
      <c r="Q70" s="50" t="s">
        <v>77</v>
      </c>
      <c r="R70" s="49" t="s">
        <v>80</v>
      </c>
      <c r="S70" s="16" t="s">
        <v>92</v>
      </c>
      <c r="T70" s="16" t="s">
        <v>72</v>
      </c>
      <c r="U70" s="16" t="s">
        <v>73</v>
      </c>
    </row>
    <row r="71" spans="1:21" ht="18" customHeight="1">
      <c r="A71" s="3"/>
      <c r="B71" s="130" t="s">
        <v>139</v>
      </c>
      <c r="C71" s="131"/>
      <c r="D71" s="131"/>
      <c r="E71" s="132"/>
      <c r="F71" s="17">
        <v>2</v>
      </c>
      <c r="G71" s="17" t="s">
        <v>138</v>
      </c>
      <c r="H71" s="17"/>
      <c r="I71" s="17" t="s">
        <v>138</v>
      </c>
      <c r="J71" s="17"/>
      <c r="K71" s="130"/>
      <c r="L71" s="131"/>
      <c r="M71" s="131"/>
      <c r="N71" s="131"/>
      <c r="O71" s="131"/>
      <c r="P71" s="132"/>
      <c r="Q71" s="17"/>
      <c r="R71" s="17"/>
      <c r="S71" s="17"/>
      <c r="T71" s="17"/>
      <c r="U71" s="17"/>
    </row>
    <row r="72" spans="1:21" ht="18" customHeight="1">
      <c r="A72" s="3"/>
      <c r="B72" s="124" t="s">
        <v>145</v>
      </c>
      <c r="C72" s="125"/>
      <c r="D72" s="125"/>
      <c r="E72" s="126"/>
      <c r="F72" s="18">
        <v>2</v>
      </c>
      <c r="G72" s="18"/>
      <c r="H72" s="18" t="s">
        <v>138</v>
      </c>
      <c r="I72" s="18" t="s">
        <v>138</v>
      </c>
      <c r="J72" s="18" t="s">
        <v>138</v>
      </c>
      <c r="K72" s="124"/>
      <c r="L72" s="125"/>
      <c r="M72" s="125"/>
      <c r="N72" s="125"/>
      <c r="O72" s="125"/>
      <c r="P72" s="126"/>
      <c r="Q72" s="18"/>
      <c r="R72" s="18"/>
      <c r="S72" s="18"/>
      <c r="T72" s="18"/>
      <c r="U72" s="18"/>
    </row>
    <row r="73" spans="1:21" ht="18" customHeight="1">
      <c r="A73" s="3"/>
      <c r="B73" s="88"/>
      <c r="C73" s="86"/>
      <c r="D73" s="86"/>
      <c r="E73" s="87"/>
      <c r="F73" s="18"/>
      <c r="G73" s="18"/>
      <c r="H73" s="18"/>
      <c r="I73" s="18"/>
      <c r="J73" s="18"/>
      <c r="K73" s="124"/>
      <c r="L73" s="125"/>
      <c r="M73" s="125"/>
      <c r="N73" s="125"/>
      <c r="O73" s="125"/>
      <c r="P73" s="126"/>
      <c r="Q73" s="18"/>
      <c r="R73" s="18"/>
      <c r="S73" s="18"/>
      <c r="T73" s="18"/>
      <c r="U73" s="18"/>
    </row>
    <row r="74" spans="1:21" ht="18" customHeight="1">
      <c r="A74" s="3"/>
      <c r="B74" s="88"/>
      <c r="C74" s="86"/>
      <c r="D74" s="86"/>
      <c r="E74" s="87"/>
      <c r="F74" s="18"/>
      <c r="G74" s="18"/>
      <c r="H74" s="18"/>
      <c r="I74" s="18"/>
      <c r="J74" s="18"/>
      <c r="K74" s="124"/>
      <c r="L74" s="125"/>
      <c r="M74" s="125"/>
      <c r="N74" s="125"/>
      <c r="O74" s="125"/>
      <c r="P74" s="126"/>
      <c r="Q74" s="18"/>
      <c r="R74" s="18"/>
      <c r="S74" s="18"/>
      <c r="T74" s="18"/>
      <c r="U74" s="18"/>
    </row>
    <row r="75" spans="1:21" ht="18" customHeight="1">
      <c r="A75" s="3"/>
      <c r="B75" s="124"/>
      <c r="C75" s="125"/>
      <c r="D75" s="125"/>
      <c r="E75" s="125"/>
      <c r="F75" s="18"/>
      <c r="G75" s="18"/>
      <c r="H75" s="18"/>
      <c r="I75" s="18"/>
      <c r="J75" s="18"/>
      <c r="K75" s="124"/>
      <c r="L75" s="125"/>
      <c r="M75" s="125"/>
      <c r="N75" s="125"/>
      <c r="O75" s="125"/>
      <c r="P75" s="126"/>
      <c r="Q75" s="18"/>
      <c r="R75" s="18"/>
      <c r="S75" s="18"/>
      <c r="T75" s="18"/>
      <c r="U75" s="18"/>
    </row>
    <row r="76" spans="1:21" ht="18" customHeight="1">
      <c r="A76" s="3"/>
      <c r="B76" s="124"/>
      <c r="C76" s="125"/>
      <c r="D76" s="125"/>
      <c r="E76" s="125"/>
      <c r="F76" s="18"/>
      <c r="G76" s="18"/>
      <c r="H76" s="18"/>
      <c r="I76" s="18"/>
      <c r="J76" s="18"/>
      <c r="K76" s="124"/>
      <c r="L76" s="125"/>
      <c r="M76" s="125"/>
      <c r="N76" s="125"/>
      <c r="O76" s="125"/>
      <c r="P76" s="126"/>
      <c r="Q76" s="18"/>
      <c r="R76" s="18"/>
      <c r="S76" s="18"/>
      <c r="T76" s="18"/>
      <c r="U76" s="18"/>
    </row>
    <row r="77" spans="1:21" ht="18" customHeight="1">
      <c r="A77" s="3"/>
      <c r="B77" s="127"/>
      <c r="C77" s="128"/>
      <c r="D77" s="128"/>
      <c r="E77" s="128"/>
      <c r="F77" s="19"/>
      <c r="G77" s="19"/>
      <c r="H77" s="20"/>
      <c r="I77" s="20"/>
      <c r="J77" s="20"/>
      <c r="K77" s="127"/>
      <c r="L77" s="128"/>
      <c r="M77" s="128"/>
      <c r="N77" s="128"/>
      <c r="O77" s="128"/>
      <c r="P77" s="129"/>
      <c r="Q77" s="19"/>
      <c r="R77" s="19"/>
      <c r="S77" s="20"/>
      <c r="T77" s="20"/>
      <c r="U77" s="20"/>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106</v>
      </c>
      <c r="I79" s="3"/>
      <c r="J79" s="3"/>
      <c r="K79" s="3"/>
      <c r="L79" s="3"/>
      <c r="M79" s="3"/>
      <c r="N79" s="3"/>
      <c r="O79" s="3"/>
      <c r="P79" s="3"/>
      <c r="Q79" s="3"/>
      <c r="R79" s="3"/>
      <c r="S79" s="3"/>
      <c r="T79" s="3"/>
      <c r="U79" s="3"/>
    </row>
    <row r="80" spans="1:21" ht="18" customHeight="1">
      <c r="B80" s="115" t="s">
        <v>51</v>
      </c>
      <c r="C80" s="116"/>
      <c r="D80" s="116"/>
      <c r="E80" s="116"/>
      <c r="F80" s="117"/>
      <c r="G80" s="115" t="s">
        <v>78</v>
      </c>
      <c r="H80" s="116"/>
      <c r="I80" s="116"/>
      <c r="J80" s="117"/>
      <c r="K80" s="181" t="s">
        <v>51</v>
      </c>
      <c r="L80" s="182"/>
      <c r="M80" s="182"/>
      <c r="N80" s="182"/>
      <c r="O80" s="182"/>
      <c r="P80" s="182"/>
      <c r="Q80" s="183"/>
      <c r="R80" s="115" t="s">
        <v>78</v>
      </c>
      <c r="S80" s="116"/>
      <c r="T80" s="116"/>
      <c r="U80" s="117"/>
    </row>
    <row r="81" spans="1:21" ht="18" customHeight="1">
      <c r="A81" s="3"/>
      <c r="B81" s="173" t="s">
        <v>154</v>
      </c>
      <c r="C81" s="174"/>
      <c r="D81" s="174"/>
      <c r="E81" s="174"/>
      <c r="F81" s="175"/>
      <c r="G81" s="170" t="s">
        <v>155</v>
      </c>
      <c r="H81" s="171"/>
      <c r="I81" s="171"/>
      <c r="J81" s="172"/>
      <c r="K81" s="130"/>
      <c r="L81" s="131"/>
      <c r="M81" s="131"/>
      <c r="N81" s="131"/>
      <c r="O81" s="131"/>
      <c r="P81" s="131"/>
      <c r="Q81" s="132"/>
      <c r="R81" s="170"/>
      <c r="S81" s="171"/>
      <c r="T81" s="171"/>
      <c r="U81" s="172"/>
    </row>
    <row r="82" spans="1:21" ht="18" customHeight="1">
      <c r="A82" s="3"/>
      <c r="B82" s="162" t="s">
        <v>156</v>
      </c>
      <c r="C82" s="163"/>
      <c r="D82" s="163"/>
      <c r="E82" s="163"/>
      <c r="F82" s="164"/>
      <c r="G82" s="165" t="s">
        <v>157</v>
      </c>
      <c r="H82" s="166"/>
      <c r="I82" s="166"/>
      <c r="J82" s="167"/>
      <c r="K82" s="124"/>
      <c r="L82" s="125"/>
      <c r="M82" s="125"/>
      <c r="N82" s="125"/>
      <c r="O82" s="125"/>
      <c r="P82" s="125"/>
      <c r="Q82" s="126"/>
      <c r="R82" s="165"/>
      <c r="S82" s="166"/>
      <c r="T82" s="166"/>
      <c r="U82" s="167"/>
    </row>
    <row r="83" spans="1:21" ht="18" customHeight="1">
      <c r="A83" s="3"/>
      <c r="B83" s="162" t="s">
        <v>158</v>
      </c>
      <c r="C83" s="163"/>
      <c r="D83" s="163"/>
      <c r="E83" s="163"/>
      <c r="F83" s="164"/>
      <c r="G83" s="165" t="s">
        <v>157</v>
      </c>
      <c r="H83" s="166"/>
      <c r="I83" s="166"/>
      <c r="J83" s="167"/>
      <c r="K83" s="124"/>
      <c r="L83" s="125"/>
      <c r="M83" s="125"/>
      <c r="N83" s="125"/>
      <c r="O83" s="125"/>
      <c r="P83" s="125"/>
      <c r="Q83" s="126"/>
      <c r="R83" s="165"/>
      <c r="S83" s="166"/>
      <c r="T83" s="166"/>
      <c r="U83" s="167"/>
    </row>
    <row r="84" spans="1:21" ht="18" customHeight="1">
      <c r="A84" s="3"/>
      <c r="B84" s="162"/>
      <c r="C84" s="163"/>
      <c r="D84" s="163"/>
      <c r="E84" s="163"/>
      <c r="F84" s="164"/>
      <c r="G84" s="165"/>
      <c r="H84" s="166"/>
      <c r="I84" s="166"/>
      <c r="J84" s="167"/>
      <c r="K84" s="124"/>
      <c r="L84" s="125"/>
      <c r="M84" s="125"/>
      <c r="N84" s="125"/>
      <c r="O84" s="125"/>
      <c r="P84" s="125"/>
      <c r="Q84" s="126"/>
      <c r="R84" s="165"/>
      <c r="S84" s="166"/>
      <c r="T84" s="166"/>
      <c r="U84" s="167"/>
    </row>
    <row r="85" spans="1:21" ht="18" customHeight="1">
      <c r="A85" s="3"/>
      <c r="B85" s="162"/>
      <c r="C85" s="163"/>
      <c r="D85" s="163"/>
      <c r="E85" s="163"/>
      <c r="F85" s="164"/>
      <c r="G85" s="165"/>
      <c r="H85" s="166"/>
      <c r="I85" s="166"/>
      <c r="J85" s="167"/>
      <c r="K85" s="124"/>
      <c r="L85" s="125"/>
      <c r="M85" s="125"/>
      <c r="N85" s="125"/>
      <c r="O85" s="125"/>
      <c r="P85" s="125"/>
      <c r="Q85" s="126"/>
      <c r="R85" s="165"/>
      <c r="S85" s="166"/>
      <c r="T85" s="166"/>
      <c r="U85" s="167"/>
    </row>
    <row r="86" spans="1:21" ht="18" customHeight="1">
      <c r="A86" s="3"/>
      <c r="B86" s="124"/>
      <c r="C86" s="125"/>
      <c r="D86" s="125"/>
      <c r="E86" s="125"/>
      <c r="F86" s="126"/>
      <c r="G86" s="165"/>
      <c r="H86" s="166"/>
      <c r="I86" s="166"/>
      <c r="J86" s="167"/>
      <c r="K86" s="124"/>
      <c r="L86" s="125"/>
      <c r="M86" s="125"/>
      <c r="N86" s="125"/>
      <c r="O86" s="125"/>
      <c r="P86" s="125"/>
      <c r="Q86" s="126"/>
      <c r="R86" s="165"/>
      <c r="S86" s="166"/>
      <c r="T86" s="166"/>
      <c r="U86" s="167"/>
    </row>
    <row r="87" spans="1:21" ht="18" customHeight="1">
      <c r="A87" s="3"/>
      <c r="B87" s="127"/>
      <c r="C87" s="128"/>
      <c r="D87" s="128"/>
      <c r="E87" s="128"/>
      <c r="F87" s="129"/>
      <c r="G87" s="159"/>
      <c r="H87" s="160"/>
      <c r="I87" s="160"/>
      <c r="J87" s="161"/>
      <c r="K87" s="127"/>
      <c r="L87" s="128"/>
      <c r="M87" s="128"/>
      <c r="N87" s="128"/>
      <c r="O87" s="128"/>
      <c r="P87" s="128"/>
      <c r="Q87" s="129"/>
      <c r="R87" s="159"/>
      <c r="S87" s="160"/>
      <c r="T87" s="160"/>
      <c r="U87" s="161"/>
    </row>
    <row r="88" spans="1:21" ht="18" customHeight="1">
      <c r="A88" s="3"/>
      <c r="B88" s="6"/>
      <c r="C88" s="6"/>
      <c r="D88" s="6"/>
      <c r="E88" s="6"/>
      <c r="F88" s="6"/>
      <c r="G88" s="21"/>
      <c r="H88" s="21"/>
      <c r="I88" s="21"/>
      <c r="J88" s="21"/>
      <c r="K88" s="6"/>
      <c r="L88" s="6"/>
      <c r="M88" s="6"/>
      <c r="N88" s="6"/>
      <c r="O88" s="6"/>
      <c r="P88" s="6"/>
      <c r="Q88" s="6"/>
      <c r="R88" s="21"/>
      <c r="S88" s="21"/>
      <c r="T88" s="21"/>
      <c r="U88" s="21"/>
    </row>
    <row r="89" spans="1:21" ht="18.75" customHeight="1">
      <c r="A89" s="1" t="s">
        <v>107</v>
      </c>
    </row>
    <row r="90" spans="1:21" ht="18.75" customHeight="1">
      <c r="B90" s="134" t="s">
        <v>52</v>
      </c>
      <c r="C90" s="135"/>
      <c r="D90" s="115" t="s">
        <v>53</v>
      </c>
      <c r="E90" s="116"/>
      <c r="F90" s="116"/>
      <c r="G90" s="116"/>
      <c r="H90" s="116"/>
      <c r="I90" s="116"/>
      <c r="J90" s="116"/>
      <c r="K90" s="116"/>
      <c r="L90" s="116"/>
      <c r="M90" s="116"/>
      <c r="N90" s="116"/>
      <c r="O90" s="116"/>
      <c r="P90" s="116"/>
      <c r="Q90" s="116"/>
      <c r="R90" s="116"/>
      <c r="S90" s="116"/>
      <c r="T90" s="116"/>
      <c r="U90" s="117"/>
    </row>
    <row r="91" spans="1:21" ht="97.5" customHeight="1">
      <c r="B91" s="143" t="s">
        <v>59</v>
      </c>
      <c r="C91" s="22" t="s">
        <v>54</v>
      </c>
      <c r="D91" s="92" t="s">
        <v>159</v>
      </c>
      <c r="E91" s="93"/>
      <c r="F91" s="93"/>
      <c r="G91" s="93"/>
      <c r="H91" s="93"/>
      <c r="I91" s="93"/>
      <c r="J91" s="93"/>
      <c r="K91" s="93"/>
      <c r="L91" s="93"/>
      <c r="M91" s="93"/>
      <c r="N91" s="93"/>
      <c r="O91" s="93"/>
      <c r="P91" s="93"/>
      <c r="Q91" s="93"/>
      <c r="R91" s="93"/>
      <c r="S91" s="93"/>
      <c r="T91" s="93"/>
      <c r="U91" s="94"/>
    </row>
    <row r="92" spans="1:21" ht="97.5" customHeight="1">
      <c r="B92" s="168"/>
      <c r="C92" s="23" t="s">
        <v>74</v>
      </c>
      <c r="D92" s="89" t="s">
        <v>173</v>
      </c>
      <c r="E92" s="90"/>
      <c r="F92" s="90"/>
      <c r="G92" s="90"/>
      <c r="H92" s="90"/>
      <c r="I92" s="90"/>
      <c r="J92" s="90"/>
      <c r="K92" s="90"/>
      <c r="L92" s="90"/>
      <c r="M92" s="90"/>
      <c r="N92" s="90"/>
      <c r="O92" s="90"/>
      <c r="P92" s="90"/>
      <c r="Q92" s="90"/>
      <c r="R92" s="90"/>
      <c r="S92" s="90"/>
      <c r="T92" s="90"/>
      <c r="U92" s="91"/>
    </row>
    <row r="93" spans="1:21" ht="97.5" customHeight="1">
      <c r="B93" s="143" t="s">
        <v>60</v>
      </c>
      <c r="C93" s="24" t="s">
        <v>68</v>
      </c>
      <c r="D93" s="100" t="s">
        <v>160</v>
      </c>
      <c r="E93" s="101"/>
      <c r="F93" s="101"/>
      <c r="G93" s="101"/>
      <c r="H93" s="101"/>
      <c r="I93" s="101"/>
      <c r="J93" s="101"/>
      <c r="K93" s="101"/>
      <c r="L93" s="101"/>
      <c r="M93" s="101"/>
      <c r="N93" s="101"/>
      <c r="O93" s="101"/>
      <c r="P93" s="101"/>
      <c r="Q93" s="101"/>
      <c r="R93" s="101"/>
      <c r="S93" s="101"/>
      <c r="T93" s="101"/>
      <c r="U93" s="102"/>
    </row>
    <row r="94" spans="1:21" ht="97.5" customHeight="1">
      <c r="B94" s="144"/>
      <c r="C94" s="25" t="s">
        <v>69</v>
      </c>
      <c r="D94" s="89" t="s">
        <v>161</v>
      </c>
      <c r="E94" s="90"/>
      <c r="F94" s="90"/>
      <c r="G94" s="90"/>
      <c r="H94" s="90"/>
      <c r="I94" s="90"/>
      <c r="J94" s="90"/>
      <c r="K94" s="90"/>
      <c r="L94" s="90"/>
      <c r="M94" s="90"/>
      <c r="N94" s="90"/>
      <c r="O94" s="90"/>
      <c r="P94" s="90"/>
      <c r="Q94" s="90"/>
      <c r="R94" s="90"/>
      <c r="S94" s="90"/>
      <c r="T94" s="90"/>
      <c r="U94" s="91"/>
    </row>
    <row r="95" spans="1:21" ht="97.5" customHeight="1">
      <c r="B95" s="143" t="s">
        <v>61</v>
      </c>
      <c r="C95" s="24" t="s">
        <v>70</v>
      </c>
      <c r="D95" s="92" t="s">
        <v>162</v>
      </c>
      <c r="E95" s="93"/>
      <c r="F95" s="93"/>
      <c r="G95" s="93"/>
      <c r="H95" s="93"/>
      <c r="I95" s="93"/>
      <c r="J95" s="93"/>
      <c r="K95" s="93"/>
      <c r="L95" s="93"/>
      <c r="M95" s="93"/>
      <c r="N95" s="93"/>
      <c r="O95" s="93"/>
      <c r="P95" s="93"/>
      <c r="Q95" s="93"/>
      <c r="R95" s="93"/>
      <c r="S95" s="93"/>
      <c r="T95" s="93"/>
      <c r="U95" s="94"/>
    </row>
    <row r="96" spans="1:21" ht="97.5" customHeight="1">
      <c r="B96" s="144"/>
      <c r="C96" s="26" t="s">
        <v>71</v>
      </c>
      <c r="D96" s="106" t="s">
        <v>174</v>
      </c>
      <c r="E96" s="107"/>
      <c r="F96" s="107"/>
      <c r="G96" s="107"/>
      <c r="H96" s="107"/>
      <c r="I96" s="107"/>
      <c r="J96" s="107"/>
      <c r="K96" s="107"/>
      <c r="L96" s="107"/>
      <c r="M96" s="107"/>
      <c r="N96" s="107"/>
      <c r="O96" s="107"/>
      <c r="P96" s="107"/>
      <c r="Q96" s="107"/>
      <c r="R96" s="107"/>
      <c r="S96" s="107"/>
      <c r="T96" s="107"/>
      <c r="U96" s="108"/>
    </row>
    <row r="97" spans="1:33" ht="97.5" customHeight="1">
      <c r="B97" s="143" t="s">
        <v>75</v>
      </c>
      <c r="C97" s="22" t="s">
        <v>56</v>
      </c>
      <c r="D97" s="100" t="s">
        <v>163</v>
      </c>
      <c r="E97" s="101"/>
      <c r="F97" s="101"/>
      <c r="G97" s="101"/>
      <c r="H97" s="101"/>
      <c r="I97" s="101"/>
      <c r="J97" s="101"/>
      <c r="K97" s="101"/>
      <c r="L97" s="101"/>
      <c r="M97" s="101"/>
      <c r="N97" s="101"/>
      <c r="O97" s="101"/>
      <c r="P97" s="101"/>
      <c r="Q97" s="101"/>
      <c r="R97" s="101"/>
      <c r="S97" s="101"/>
      <c r="T97" s="101"/>
      <c r="U97" s="102"/>
    </row>
    <row r="98" spans="1:33" ht="97.5" customHeight="1">
      <c r="B98" s="144"/>
      <c r="C98" s="25" t="s">
        <v>58</v>
      </c>
      <c r="D98" s="89" t="s">
        <v>164</v>
      </c>
      <c r="E98" s="90"/>
      <c r="F98" s="90"/>
      <c r="G98" s="90"/>
      <c r="H98" s="90"/>
      <c r="I98" s="90"/>
      <c r="J98" s="90"/>
      <c r="K98" s="90"/>
      <c r="L98" s="90"/>
      <c r="M98" s="90"/>
      <c r="N98" s="90"/>
      <c r="O98" s="90"/>
      <c r="P98" s="90"/>
      <c r="Q98" s="90"/>
      <c r="R98" s="90"/>
      <c r="S98" s="90"/>
      <c r="T98" s="90"/>
      <c r="U98" s="91"/>
    </row>
    <row r="99" spans="1:33" ht="97.5" customHeight="1">
      <c r="B99" s="143" t="s">
        <v>76</v>
      </c>
      <c r="C99" s="24" t="s">
        <v>55</v>
      </c>
      <c r="D99" s="100" t="s">
        <v>175</v>
      </c>
      <c r="E99" s="101"/>
      <c r="F99" s="101"/>
      <c r="G99" s="101"/>
      <c r="H99" s="101"/>
      <c r="I99" s="101"/>
      <c r="J99" s="101"/>
      <c r="K99" s="101"/>
      <c r="L99" s="101"/>
      <c r="M99" s="101"/>
      <c r="N99" s="101"/>
      <c r="O99" s="101"/>
      <c r="P99" s="101"/>
      <c r="Q99" s="101"/>
      <c r="R99" s="101"/>
      <c r="S99" s="101"/>
      <c r="T99" s="101"/>
      <c r="U99" s="102"/>
    </row>
    <row r="100" spans="1:33" ht="97.5" customHeight="1">
      <c r="B100" s="168"/>
      <c r="C100" s="27" t="s">
        <v>72</v>
      </c>
      <c r="D100" s="103" t="s">
        <v>176</v>
      </c>
      <c r="E100" s="104"/>
      <c r="F100" s="104"/>
      <c r="G100" s="104"/>
      <c r="H100" s="104"/>
      <c r="I100" s="104"/>
      <c r="J100" s="104"/>
      <c r="K100" s="104"/>
      <c r="L100" s="104"/>
      <c r="M100" s="104"/>
      <c r="N100" s="104"/>
      <c r="O100" s="104"/>
      <c r="P100" s="104"/>
      <c r="Q100" s="104"/>
      <c r="R100" s="104"/>
      <c r="S100" s="104"/>
      <c r="T100" s="104"/>
      <c r="U100" s="105"/>
    </row>
    <row r="101" spans="1:33" ht="97.5" customHeight="1">
      <c r="B101" s="144"/>
      <c r="C101" s="26" t="s">
        <v>73</v>
      </c>
      <c r="D101" s="106" t="s">
        <v>177</v>
      </c>
      <c r="E101" s="107"/>
      <c r="F101" s="107"/>
      <c r="G101" s="107"/>
      <c r="H101" s="107"/>
      <c r="I101" s="107"/>
      <c r="J101" s="107"/>
      <c r="K101" s="107"/>
      <c r="L101" s="107"/>
      <c r="M101" s="107"/>
      <c r="N101" s="107"/>
      <c r="O101" s="107"/>
      <c r="P101" s="107"/>
      <c r="Q101" s="107"/>
      <c r="R101" s="107"/>
      <c r="S101" s="107"/>
      <c r="T101" s="107"/>
      <c r="U101" s="108"/>
    </row>
    <row r="102" spans="1:33" ht="6" customHeight="1"/>
    <row r="103" spans="1:33" ht="18.75" customHeight="1">
      <c r="A103" s="1" t="s">
        <v>108</v>
      </c>
    </row>
    <row r="104" spans="1:33" ht="81.75" customHeight="1">
      <c r="B104" s="156" t="s">
        <v>178</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3" t="s">
        <v>124</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c r="A107" s="73" t="s">
        <v>126</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c r="A108" s="73"/>
      <c r="B108" s="99" t="s">
        <v>130</v>
      </c>
      <c r="C108" s="99"/>
      <c r="D108" s="99"/>
      <c r="E108" s="99"/>
      <c r="F108" s="99"/>
      <c r="G108" s="99"/>
      <c r="H108" s="99"/>
      <c r="I108" s="99"/>
      <c r="J108" s="99"/>
      <c r="K108" s="99"/>
      <c r="L108" s="99"/>
      <c r="M108" s="99"/>
      <c r="N108" s="99"/>
      <c r="O108" s="99"/>
      <c r="P108" s="99"/>
      <c r="Q108" s="99"/>
      <c r="R108" s="99"/>
      <c r="S108" s="99"/>
      <c r="T108" s="99"/>
      <c r="U108" s="99"/>
      <c r="V108" s="69"/>
      <c r="W108" s="69"/>
      <c r="X108" s="69"/>
      <c r="Y108" s="69"/>
      <c r="Z108" s="69"/>
      <c r="AA108" s="69"/>
      <c r="AB108" s="69"/>
      <c r="AC108" s="69"/>
      <c r="AD108" s="69"/>
      <c r="AE108" s="69"/>
      <c r="AF108" s="69"/>
      <c r="AG108" s="69"/>
    </row>
    <row r="109" spans="1:33" ht="37.200000000000003" customHeight="1">
      <c r="A109" s="73"/>
      <c r="B109" s="99"/>
      <c r="C109" s="99"/>
      <c r="D109" s="99"/>
      <c r="E109" s="99"/>
      <c r="F109" s="99"/>
      <c r="G109" s="99"/>
      <c r="H109" s="99"/>
      <c r="I109" s="99"/>
      <c r="J109" s="99"/>
      <c r="K109" s="99"/>
      <c r="L109" s="99"/>
      <c r="M109" s="99"/>
      <c r="N109" s="99"/>
      <c r="O109" s="99"/>
      <c r="P109" s="99"/>
      <c r="Q109" s="99"/>
      <c r="R109" s="99"/>
      <c r="S109" s="99"/>
      <c r="T109" s="99"/>
      <c r="U109" s="99"/>
      <c r="V109" s="69"/>
      <c r="W109" s="69"/>
      <c r="X109" s="69"/>
      <c r="Y109" s="69"/>
      <c r="Z109" s="69"/>
      <c r="AA109" s="69"/>
      <c r="AB109" s="69"/>
      <c r="AC109" s="69"/>
      <c r="AD109" s="69"/>
      <c r="AE109" s="69"/>
      <c r="AF109" s="69"/>
      <c r="AG109" s="69"/>
    </row>
    <row r="110" spans="1:33" ht="18.75" customHeight="1">
      <c r="A110" s="73"/>
      <c r="B110" s="169" t="s">
        <v>125</v>
      </c>
      <c r="C110" s="169"/>
      <c r="D110" s="169"/>
      <c r="E110" s="169"/>
      <c r="F110" s="169"/>
      <c r="G110" s="169"/>
      <c r="H110" s="169"/>
      <c r="I110" s="169"/>
      <c r="J110" s="169"/>
      <c r="K110" s="169"/>
      <c r="L110" s="169"/>
      <c r="M110" s="169"/>
      <c r="N110" s="169"/>
      <c r="O110" s="169"/>
      <c r="P110" s="169"/>
      <c r="Q110" s="169"/>
      <c r="R110" s="169"/>
      <c r="S110" s="169"/>
      <c r="T110" s="169"/>
      <c r="U110" s="169"/>
      <c r="V110" s="69"/>
      <c r="W110" s="69"/>
      <c r="X110" s="69"/>
      <c r="Y110" s="69"/>
      <c r="Z110" s="69"/>
      <c r="AA110" s="69"/>
      <c r="AB110" s="69"/>
      <c r="AC110" s="69"/>
      <c r="AD110" s="69"/>
      <c r="AE110" s="69"/>
      <c r="AF110" s="69"/>
      <c r="AG110" s="69"/>
    </row>
    <row r="111" spans="1:33" ht="18.75" customHeight="1">
      <c r="A111" s="73"/>
      <c r="B111" s="176" t="s">
        <v>53</v>
      </c>
      <c r="C111" s="176"/>
      <c r="D111" s="176"/>
      <c r="E111" s="176"/>
      <c r="F111" s="176"/>
      <c r="G111" s="176"/>
      <c r="H111" s="176"/>
      <c r="I111" s="176"/>
      <c r="J111" s="176"/>
      <c r="K111" s="176"/>
      <c r="L111" s="176"/>
      <c r="M111" s="176"/>
      <c r="N111" s="176"/>
      <c r="O111" s="176"/>
      <c r="P111" s="176"/>
      <c r="Q111" s="176"/>
      <c r="R111" s="176"/>
      <c r="S111" s="176"/>
      <c r="T111" s="176"/>
      <c r="U111" s="176"/>
      <c r="V111" s="68"/>
      <c r="W111" s="68"/>
      <c r="X111" s="68"/>
      <c r="Y111" s="68"/>
      <c r="Z111" s="68"/>
      <c r="AA111" s="68"/>
      <c r="AB111" s="68"/>
      <c r="AC111" s="68"/>
      <c r="AD111" s="68"/>
      <c r="AE111" s="68"/>
      <c r="AF111" s="68"/>
      <c r="AG111" s="68"/>
    </row>
    <row r="112" spans="1:33" ht="132" customHeight="1">
      <c r="A112" s="73"/>
      <c r="B112" s="177"/>
      <c r="C112" s="177"/>
      <c r="D112" s="177"/>
      <c r="E112" s="177"/>
      <c r="F112" s="177"/>
      <c r="G112" s="177"/>
      <c r="H112" s="177"/>
      <c r="I112" s="177"/>
      <c r="J112" s="177"/>
      <c r="K112" s="177"/>
      <c r="L112" s="177"/>
      <c r="M112" s="177"/>
      <c r="N112" s="177"/>
      <c r="O112" s="177"/>
      <c r="P112" s="177"/>
      <c r="Q112" s="177"/>
      <c r="R112" s="177"/>
      <c r="S112" s="177"/>
      <c r="T112" s="177"/>
      <c r="U112" s="177"/>
      <c r="V112" s="70"/>
      <c r="W112" s="70"/>
      <c r="X112" s="70"/>
      <c r="Y112" s="70"/>
      <c r="Z112" s="70"/>
      <c r="AA112" s="70"/>
      <c r="AB112" s="70"/>
      <c r="AC112" s="70"/>
      <c r="AD112" s="70"/>
      <c r="AE112" s="70"/>
      <c r="AF112" s="70"/>
      <c r="AG112" s="70"/>
    </row>
    <row r="114" ht="18" customHeight="1"/>
  </sheetData>
  <mergeCells count="141">
    <mergeCell ref="B110:U110"/>
    <mergeCell ref="B111:U111"/>
    <mergeCell ref="B112:U112"/>
    <mergeCell ref="B99:B101"/>
    <mergeCell ref="D99:U99"/>
    <mergeCell ref="D100:U100"/>
    <mergeCell ref="D101:U101"/>
    <mergeCell ref="B104:U104"/>
    <mergeCell ref="B108:U109"/>
    <mergeCell ref="B95:B96"/>
    <mergeCell ref="D96:U96"/>
    <mergeCell ref="B97:B98"/>
    <mergeCell ref="D97:U97"/>
    <mergeCell ref="B91:B92"/>
    <mergeCell ref="B93:B94"/>
    <mergeCell ref="D93:U93"/>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K73:P73"/>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N22:U22"/>
    <mergeCell ref="A24:U25"/>
    <mergeCell ref="B26:F26"/>
    <mergeCell ref="K26:Q26"/>
    <mergeCell ref="B27:F27"/>
    <mergeCell ref="K27:Q27"/>
    <mergeCell ref="A35:U36"/>
    <mergeCell ref="T1:U1"/>
    <mergeCell ref="C2:J2"/>
    <mergeCell ref="A5:U5"/>
    <mergeCell ref="L7:U7"/>
    <mergeCell ref="B11:U12"/>
    <mergeCell ref="B15:U20"/>
    <mergeCell ref="B28:F28"/>
    <mergeCell ref="K28:Q28"/>
    <mergeCell ref="B29:F29"/>
    <mergeCell ref="K29:Q29"/>
    <mergeCell ref="C3:J3"/>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xr:uid="{7DC94B61-2C84-4C1B-9418-BBDD999C3395}">
      <formula1>$X$16:$X$18</formula1>
    </dataValidation>
    <dataValidation type="list" allowBlank="1" showInputMessage="1" showErrorMessage="1" sqref="S85:U88 R81:R88 H85:J88 S81:U82 H81:J81 G81:G88 H83:J83" xr:uid="{5D318613-F53C-49FE-A431-AC31304CBE1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EA4C0ED3-3FB0-4B28-A968-4629617F37C3}">
      <formula1>"学部・学科によって、修了要件は相違する,学部・学科によって、修了要件は相違しない"</formula1>
    </dataValidation>
    <dataValidation type="list" allowBlank="1" showInputMessage="1" showErrorMessage="1" sqref="U34 U45 E34:H34 E45:H45" xr:uid="{DF1695AE-9778-4D16-B66B-0D66A77CC9F7}">
      <formula1>"全学開講,一部開講"</formula1>
    </dataValidation>
    <dataValidation type="list" allowBlank="1" showInputMessage="1" showErrorMessage="1" sqref="H60:J66 S27:U33 R71:U77 S38:U44 H38:J44 S49:U55 H27:J33 S60:U66 G71:J77 H49:J55" xr:uid="{AE55C723-C7E4-4427-8C76-C0EE666D07AD}">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61B-AD4D-4E4C-81AE-40C0EA942D4A}">
  <sheetPr>
    <pageSetUpPr fitToPage="1"/>
  </sheetPr>
  <dimension ref="A1:AG114"/>
  <sheetViews>
    <sheetView showZeros="0" tabSelected="1" view="pageBreakPreview" zoomScaleNormal="100" zoomScaleSheetLayoutView="100" workbookViewId="0">
      <selection activeCell="T2" sqref="T2"/>
    </sheetView>
  </sheetViews>
  <sheetFormatPr defaultColWidth="9" defaultRowHeight="18.75" customHeight="1"/>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c r="A1" s="74"/>
      <c r="B1" s="74"/>
      <c r="C1" s="74"/>
      <c r="D1" s="74"/>
      <c r="E1" s="74"/>
      <c r="F1" s="74"/>
      <c r="G1" s="74"/>
      <c r="H1" s="74"/>
      <c r="I1" s="74"/>
      <c r="J1" s="74"/>
      <c r="K1" s="74"/>
      <c r="L1" s="74"/>
      <c r="M1" s="74"/>
      <c r="N1" s="74"/>
      <c r="O1" s="74"/>
      <c r="P1" s="74"/>
      <c r="Q1" s="74"/>
      <c r="R1" s="74"/>
      <c r="S1" s="74"/>
      <c r="T1" s="139" t="s">
        <v>202</v>
      </c>
      <c r="U1" s="139"/>
      <c r="V1" s="2" t="s">
        <v>99</v>
      </c>
    </row>
    <row r="2" spans="1:24" ht="18.75" customHeight="1">
      <c r="A2" s="74"/>
      <c r="B2" s="75" t="s">
        <v>98</v>
      </c>
      <c r="C2" s="140" t="s">
        <v>136</v>
      </c>
      <c r="D2" s="141"/>
      <c r="E2" s="141"/>
      <c r="F2" s="141"/>
      <c r="G2" s="141"/>
      <c r="H2" s="141"/>
      <c r="I2" s="141"/>
      <c r="J2" s="142"/>
      <c r="K2" s="76"/>
      <c r="L2" s="77"/>
      <c r="M2" s="77"/>
      <c r="N2" s="77"/>
      <c r="O2" s="77"/>
      <c r="P2" s="77"/>
      <c r="Q2" s="77"/>
      <c r="R2" s="77"/>
      <c r="S2" s="77"/>
      <c r="T2" s="77"/>
      <c r="U2" s="77"/>
    </row>
    <row r="3" spans="1:24" ht="30.75" customHeight="1">
      <c r="A3" s="74"/>
      <c r="B3" s="75" t="s">
        <v>93</v>
      </c>
      <c r="C3" s="96" t="s">
        <v>201</v>
      </c>
      <c r="D3" s="97"/>
      <c r="E3" s="97"/>
      <c r="F3" s="97"/>
      <c r="G3" s="97"/>
      <c r="H3" s="97"/>
      <c r="I3" s="97"/>
      <c r="J3" s="98"/>
      <c r="K3" s="76"/>
      <c r="L3" s="77"/>
      <c r="M3" s="77"/>
      <c r="N3" s="77"/>
      <c r="O3" s="77"/>
      <c r="P3" s="77"/>
      <c r="Q3" s="77"/>
      <c r="R3" s="77"/>
      <c r="S3" s="77"/>
      <c r="T3" s="77"/>
      <c r="U3" s="77"/>
    </row>
    <row r="4" spans="1:24" ht="15" customHeight="1">
      <c r="A4" s="74"/>
      <c r="B4" s="74"/>
      <c r="C4" s="74"/>
      <c r="D4" s="74"/>
      <c r="E4" s="74"/>
      <c r="F4" s="74"/>
      <c r="G4" s="74"/>
      <c r="H4" s="74"/>
      <c r="I4" s="74"/>
      <c r="J4" s="74"/>
      <c r="K4" s="74"/>
      <c r="L4" s="76"/>
      <c r="M4" s="78"/>
      <c r="N4" s="78"/>
      <c r="O4" s="78"/>
      <c r="P4" s="78"/>
      <c r="Q4" s="78"/>
      <c r="R4" s="78"/>
      <c r="S4" s="78"/>
      <c r="T4" s="78"/>
      <c r="U4" s="78"/>
    </row>
    <row r="5" spans="1:24" ht="18" customHeight="1">
      <c r="A5" s="145" t="s">
        <v>37</v>
      </c>
      <c r="B5" s="145"/>
      <c r="C5" s="145"/>
      <c r="D5" s="145"/>
      <c r="E5" s="145"/>
      <c r="F5" s="145"/>
      <c r="G5" s="145"/>
      <c r="H5" s="145"/>
      <c r="I5" s="145"/>
      <c r="J5" s="145"/>
      <c r="K5" s="145"/>
      <c r="L5" s="145"/>
      <c r="M5" s="145"/>
      <c r="N5" s="145"/>
      <c r="O5" s="145"/>
      <c r="P5" s="145"/>
      <c r="Q5" s="145"/>
      <c r="R5" s="145"/>
      <c r="S5" s="145"/>
      <c r="T5" s="145"/>
      <c r="U5" s="145"/>
    </row>
    <row r="6" spans="1:24" ht="15" customHeight="1">
      <c r="A6" s="74"/>
      <c r="B6" s="79"/>
      <c r="C6" s="79"/>
      <c r="D6" s="79"/>
      <c r="E6" s="79"/>
      <c r="F6" s="79"/>
      <c r="G6" s="79"/>
      <c r="H6" s="79"/>
      <c r="I6" s="79"/>
      <c r="J6" s="79"/>
      <c r="K6" s="79"/>
      <c r="L6" s="79"/>
      <c r="M6" s="79"/>
      <c r="N6" s="79"/>
      <c r="O6" s="79"/>
      <c r="P6" s="79"/>
      <c r="Q6" s="79"/>
      <c r="R6" s="79"/>
      <c r="S6" s="79"/>
      <c r="T6" s="79"/>
      <c r="U6" s="79"/>
    </row>
    <row r="7" spans="1:24" ht="15" customHeight="1">
      <c r="A7" s="74" t="s">
        <v>131</v>
      </c>
      <c r="B7" s="79"/>
      <c r="C7" s="79"/>
      <c r="D7" s="79"/>
      <c r="E7" s="79"/>
      <c r="F7" s="73"/>
      <c r="G7" s="73"/>
      <c r="H7" s="73"/>
      <c r="I7" s="73"/>
      <c r="J7" s="73"/>
      <c r="K7" s="73"/>
      <c r="L7" s="112" t="s">
        <v>129</v>
      </c>
      <c r="M7" s="113"/>
      <c r="N7" s="113"/>
      <c r="O7" s="113"/>
      <c r="P7" s="113"/>
      <c r="Q7" s="113"/>
      <c r="R7" s="113"/>
      <c r="S7" s="113"/>
      <c r="T7" s="113"/>
      <c r="U7" s="114"/>
    </row>
    <row r="8" spans="1:24" ht="6" customHeight="1">
      <c r="A8" s="74"/>
      <c r="B8" s="79"/>
      <c r="C8" s="79"/>
      <c r="D8" s="79"/>
      <c r="E8" s="79"/>
      <c r="F8" s="79"/>
      <c r="G8" s="79"/>
      <c r="H8" s="79"/>
      <c r="I8" s="79"/>
      <c r="J8" s="79"/>
      <c r="K8" s="79"/>
      <c r="L8" s="79"/>
      <c r="M8" s="79"/>
      <c r="N8" s="79"/>
      <c r="O8" s="79"/>
      <c r="P8" s="79"/>
      <c r="Q8" s="79"/>
      <c r="R8" s="79"/>
      <c r="S8" s="79"/>
      <c r="T8" s="79"/>
      <c r="U8" s="79"/>
    </row>
    <row r="9" spans="1:24" ht="18" customHeight="1">
      <c r="A9" s="74" t="s">
        <v>132</v>
      </c>
      <c r="B9" s="74"/>
      <c r="C9" s="79"/>
      <c r="D9" s="79"/>
      <c r="E9" s="74"/>
      <c r="F9" s="74"/>
      <c r="G9" s="74"/>
      <c r="H9" s="74"/>
      <c r="I9" s="74"/>
      <c r="J9" s="74"/>
      <c r="K9" s="76"/>
      <c r="L9" s="73"/>
      <c r="M9" s="73"/>
      <c r="N9" s="73"/>
      <c r="O9" s="73"/>
      <c r="P9" s="73"/>
      <c r="Q9" s="73"/>
      <c r="R9" s="73"/>
      <c r="S9" s="73"/>
      <c r="T9" s="73"/>
      <c r="U9" s="73"/>
    </row>
    <row r="10" spans="1:24" ht="6" customHeight="1">
      <c r="A10" s="74"/>
      <c r="B10" s="79"/>
      <c r="C10" s="79"/>
      <c r="D10" s="79"/>
      <c r="E10" s="79"/>
      <c r="F10" s="79"/>
      <c r="G10" s="79"/>
      <c r="H10" s="79"/>
      <c r="I10" s="79"/>
      <c r="J10" s="79"/>
      <c r="K10" s="79"/>
      <c r="L10" s="80"/>
      <c r="M10" s="79"/>
      <c r="N10" s="79"/>
      <c r="O10" s="79"/>
      <c r="P10" s="79"/>
      <c r="Q10" s="79"/>
      <c r="R10" s="79"/>
      <c r="S10" s="79"/>
      <c r="T10" s="79"/>
      <c r="U10" s="79"/>
    </row>
    <row r="11" spans="1:24" ht="18" customHeight="1">
      <c r="A11" s="74"/>
      <c r="B11" s="118" t="s">
        <v>198</v>
      </c>
      <c r="C11" s="119"/>
      <c r="D11" s="119"/>
      <c r="E11" s="119"/>
      <c r="F11" s="119"/>
      <c r="G11" s="119"/>
      <c r="H11" s="119"/>
      <c r="I11" s="119"/>
      <c r="J11" s="119"/>
      <c r="K11" s="119"/>
      <c r="L11" s="119"/>
      <c r="M11" s="119"/>
      <c r="N11" s="119"/>
      <c r="O11" s="119"/>
      <c r="P11" s="119"/>
      <c r="Q11" s="119"/>
      <c r="R11" s="119"/>
      <c r="S11" s="119"/>
      <c r="T11" s="119"/>
      <c r="U11" s="120"/>
    </row>
    <row r="12" spans="1:24" ht="18" customHeight="1">
      <c r="A12" s="74"/>
      <c r="B12" s="121"/>
      <c r="C12" s="122"/>
      <c r="D12" s="122"/>
      <c r="E12" s="122"/>
      <c r="F12" s="122"/>
      <c r="G12" s="122"/>
      <c r="H12" s="122"/>
      <c r="I12" s="122"/>
      <c r="J12" s="122"/>
      <c r="K12" s="122"/>
      <c r="L12" s="122"/>
      <c r="M12" s="122"/>
      <c r="N12" s="122"/>
      <c r="O12" s="122"/>
      <c r="P12" s="122"/>
      <c r="Q12" s="122"/>
      <c r="R12" s="122"/>
      <c r="S12" s="122"/>
      <c r="T12" s="122"/>
      <c r="U12" s="123"/>
    </row>
    <row r="13" spans="1:24" ht="6" customHeight="1">
      <c r="A13" s="74"/>
      <c r="B13" s="79"/>
      <c r="C13" s="79"/>
      <c r="D13" s="79"/>
      <c r="E13" s="79"/>
      <c r="F13" s="79"/>
      <c r="G13" s="79"/>
      <c r="H13" s="79"/>
      <c r="I13" s="79"/>
      <c r="J13" s="79"/>
      <c r="K13" s="79"/>
      <c r="L13" s="80"/>
      <c r="M13" s="79"/>
      <c r="N13" s="79"/>
      <c r="O13" s="79"/>
      <c r="P13" s="79"/>
      <c r="Q13" s="79"/>
      <c r="R13" s="79"/>
      <c r="S13" s="79"/>
      <c r="T13" s="79"/>
      <c r="U13" s="79"/>
    </row>
    <row r="14" spans="1:24" ht="18" customHeight="1">
      <c r="A14" s="74" t="s">
        <v>100</v>
      </c>
      <c r="B14" s="79"/>
      <c r="C14" s="79"/>
      <c r="D14" s="79"/>
      <c r="E14" s="76"/>
      <c r="F14" s="76"/>
      <c r="G14" s="76"/>
      <c r="H14" s="76"/>
      <c r="I14" s="76"/>
      <c r="J14" s="76"/>
      <c r="K14" s="76"/>
      <c r="L14" s="81"/>
      <c r="M14" s="81"/>
      <c r="N14" s="81"/>
      <c r="O14" s="81"/>
      <c r="P14" s="81"/>
      <c r="Q14" s="81"/>
      <c r="R14" s="81"/>
      <c r="S14" s="81"/>
      <c r="T14" s="81"/>
      <c r="U14" s="81"/>
    </row>
    <row r="15" spans="1:24" ht="18" customHeight="1">
      <c r="A15" s="74"/>
      <c r="B15" s="146" t="s">
        <v>199</v>
      </c>
      <c r="C15" s="147"/>
      <c r="D15" s="147"/>
      <c r="E15" s="147"/>
      <c r="F15" s="147"/>
      <c r="G15" s="147"/>
      <c r="H15" s="147"/>
      <c r="I15" s="147"/>
      <c r="J15" s="147"/>
      <c r="K15" s="147"/>
      <c r="L15" s="147"/>
      <c r="M15" s="147"/>
      <c r="N15" s="147"/>
      <c r="O15" s="147"/>
      <c r="P15" s="147"/>
      <c r="Q15" s="147"/>
      <c r="R15" s="147"/>
      <c r="S15" s="147"/>
      <c r="T15" s="147"/>
      <c r="U15" s="148"/>
      <c r="X15" s="1" t="s">
        <v>94</v>
      </c>
    </row>
    <row r="16" spans="1:24" ht="18" customHeight="1">
      <c r="A16" s="74"/>
      <c r="B16" s="149"/>
      <c r="C16" s="150"/>
      <c r="D16" s="150"/>
      <c r="E16" s="150"/>
      <c r="F16" s="150"/>
      <c r="G16" s="150"/>
      <c r="H16" s="150"/>
      <c r="I16" s="150"/>
      <c r="J16" s="150"/>
      <c r="K16" s="150"/>
      <c r="L16" s="150"/>
      <c r="M16" s="150"/>
      <c r="N16" s="150"/>
      <c r="O16" s="150"/>
      <c r="P16" s="150"/>
      <c r="Q16" s="150"/>
      <c r="R16" s="150"/>
      <c r="S16" s="150"/>
      <c r="T16" s="150"/>
      <c r="U16" s="151"/>
      <c r="X16" s="1" t="s">
        <v>114</v>
      </c>
    </row>
    <row r="17" spans="1:24" ht="18" customHeight="1">
      <c r="A17" s="74"/>
      <c r="B17" s="149"/>
      <c r="C17" s="150"/>
      <c r="D17" s="150"/>
      <c r="E17" s="150"/>
      <c r="F17" s="150"/>
      <c r="G17" s="150"/>
      <c r="H17" s="150"/>
      <c r="I17" s="150"/>
      <c r="J17" s="150"/>
      <c r="K17" s="150"/>
      <c r="L17" s="150"/>
      <c r="M17" s="150"/>
      <c r="N17" s="150"/>
      <c r="O17" s="150"/>
      <c r="P17" s="150"/>
      <c r="Q17" s="150"/>
      <c r="R17" s="150"/>
      <c r="S17" s="150"/>
      <c r="T17" s="150"/>
      <c r="U17" s="151"/>
      <c r="X17" s="1" t="s">
        <v>115</v>
      </c>
    </row>
    <row r="18" spans="1:24" ht="18" customHeight="1">
      <c r="A18" s="74"/>
      <c r="B18" s="149"/>
      <c r="C18" s="150"/>
      <c r="D18" s="150"/>
      <c r="E18" s="150"/>
      <c r="F18" s="150"/>
      <c r="G18" s="150"/>
      <c r="H18" s="150"/>
      <c r="I18" s="150"/>
      <c r="J18" s="150"/>
      <c r="K18" s="150"/>
      <c r="L18" s="150"/>
      <c r="M18" s="150"/>
      <c r="N18" s="150"/>
      <c r="O18" s="150"/>
      <c r="P18" s="150"/>
      <c r="Q18" s="150"/>
      <c r="R18" s="150"/>
      <c r="S18" s="150"/>
      <c r="T18" s="150"/>
      <c r="U18" s="151"/>
      <c r="X18" s="1" t="s">
        <v>116</v>
      </c>
    </row>
    <row r="19" spans="1:24" ht="18" customHeight="1">
      <c r="A19" s="74"/>
      <c r="B19" s="149"/>
      <c r="C19" s="150"/>
      <c r="D19" s="150"/>
      <c r="E19" s="150"/>
      <c r="F19" s="150"/>
      <c r="G19" s="150"/>
      <c r="H19" s="150"/>
      <c r="I19" s="150"/>
      <c r="J19" s="150"/>
      <c r="K19" s="150"/>
      <c r="L19" s="150"/>
      <c r="M19" s="150"/>
      <c r="N19" s="150"/>
      <c r="O19" s="150"/>
      <c r="P19" s="150"/>
      <c r="Q19" s="150"/>
      <c r="R19" s="150"/>
      <c r="S19" s="150"/>
      <c r="T19" s="150"/>
      <c r="U19" s="151"/>
    </row>
    <row r="20" spans="1:24" ht="18" customHeight="1">
      <c r="A20" s="74"/>
      <c r="B20" s="152"/>
      <c r="C20" s="153"/>
      <c r="D20" s="153"/>
      <c r="E20" s="153"/>
      <c r="F20" s="153"/>
      <c r="G20" s="153"/>
      <c r="H20" s="153"/>
      <c r="I20" s="153"/>
      <c r="J20" s="153"/>
      <c r="K20" s="153"/>
      <c r="L20" s="153"/>
      <c r="M20" s="153"/>
      <c r="N20" s="153"/>
      <c r="O20" s="153"/>
      <c r="P20" s="153"/>
      <c r="Q20" s="153"/>
      <c r="R20" s="153"/>
      <c r="S20" s="153"/>
      <c r="T20" s="153"/>
      <c r="U20" s="154"/>
    </row>
    <row r="21" spans="1:24" ht="7.5" customHeight="1">
      <c r="A21" s="74"/>
      <c r="B21" s="79"/>
      <c r="C21" s="79"/>
      <c r="D21" s="79"/>
      <c r="E21" s="79"/>
      <c r="F21" s="79"/>
      <c r="G21" s="79"/>
      <c r="H21" s="79"/>
      <c r="I21" s="79"/>
      <c r="J21" s="79"/>
      <c r="K21" s="79"/>
      <c r="L21" s="79"/>
      <c r="M21" s="79"/>
      <c r="N21" s="79"/>
      <c r="O21" s="79"/>
      <c r="P21" s="79"/>
      <c r="Q21" s="79"/>
      <c r="R21" s="79"/>
      <c r="S21" s="79"/>
      <c r="T21" s="79"/>
      <c r="U21" s="79"/>
    </row>
    <row r="22" spans="1:24" ht="19.95" customHeight="1">
      <c r="A22" s="74"/>
      <c r="B22" s="74" t="s">
        <v>133</v>
      </c>
      <c r="C22" s="74"/>
      <c r="D22" s="74"/>
      <c r="E22" s="82">
        <v>3</v>
      </c>
      <c r="F22" s="74" t="s">
        <v>112</v>
      </c>
      <c r="G22" s="74"/>
      <c r="H22" s="83">
        <v>6</v>
      </c>
      <c r="I22" s="79" t="s">
        <v>113</v>
      </c>
      <c r="J22" s="79"/>
      <c r="K22" s="76"/>
      <c r="L22" s="74"/>
      <c r="M22" s="76" t="s">
        <v>109</v>
      </c>
      <c r="N22" s="109" t="s">
        <v>114</v>
      </c>
      <c r="O22" s="110"/>
      <c r="P22" s="110"/>
      <c r="Q22" s="110"/>
      <c r="R22" s="110"/>
      <c r="S22" s="110"/>
      <c r="T22" s="110"/>
      <c r="U22" s="111"/>
    </row>
    <row r="23" spans="1:24" ht="7.5" customHeight="1">
      <c r="A23" s="74"/>
      <c r="B23" s="79"/>
      <c r="C23" s="79"/>
      <c r="D23" s="79"/>
      <c r="E23" s="79"/>
      <c r="F23" s="79"/>
      <c r="G23" s="79"/>
      <c r="H23" s="79"/>
      <c r="I23" s="79"/>
      <c r="J23" s="79"/>
      <c r="K23" s="79"/>
      <c r="L23" s="79"/>
      <c r="M23" s="79"/>
      <c r="N23" s="79"/>
      <c r="O23" s="79"/>
      <c r="P23" s="79"/>
      <c r="Q23" s="79"/>
      <c r="R23" s="79"/>
      <c r="S23" s="79"/>
      <c r="T23" s="79"/>
      <c r="U23" s="79"/>
    </row>
    <row r="24" spans="1:24" ht="18" customHeight="1">
      <c r="A24" s="155" t="s">
        <v>101</v>
      </c>
      <c r="B24" s="155"/>
      <c r="C24" s="155"/>
      <c r="D24" s="155"/>
      <c r="E24" s="155"/>
      <c r="F24" s="155"/>
      <c r="G24" s="155"/>
      <c r="H24" s="155"/>
      <c r="I24" s="155"/>
      <c r="J24" s="155"/>
      <c r="K24" s="155"/>
      <c r="L24" s="155"/>
      <c r="M24" s="155"/>
      <c r="N24" s="155"/>
      <c r="O24" s="155"/>
      <c r="P24" s="155"/>
      <c r="Q24" s="155"/>
      <c r="R24" s="155"/>
      <c r="S24" s="155"/>
      <c r="T24" s="155"/>
      <c r="U24" s="155"/>
    </row>
    <row r="25" spans="1:24" ht="18" customHeight="1">
      <c r="A25" s="155"/>
      <c r="B25" s="155"/>
      <c r="C25" s="155"/>
      <c r="D25" s="155"/>
      <c r="E25" s="155"/>
      <c r="F25" s="155"/>
      <c r="G25" s="155"/>
      <c r="H25" s="155"/>
      <c r="I25" s="155"/>
      <c r="J25" s="155"/>
      <c r="K25" s="155"/>
      <c r="L25" s="155"/>
      <c r="M25" s="155"/>
      <c r="N25" s="155"/>
      <c r="O25" s="155"/>
      <c r="P25" s="155"/>
      <c r="Q25" s="155"/>
      <c r="R25" s="155"/>
      <c r="S25" s="155"/>
      <c r="T25" s="155"/>
      <c r="U25" s="155"/>
    </row>
    <row r="26" spans="1:24" ht="18" customHeight="1">
      <c r="B26" s="115" t="s">
        <v>51</v>
      </c>
      <c r="C26" s="116"/>
      <c r="D26" s="116"/>
      <c r="E26" s="116"/>
      <c r="F26" s="117"/>
      <c r="G26" s="50" t="s">
        <v>77</v>
      </c>
      <c r="H26" s="49" t="s">
        <v>80</v>
      </c>
      <c r="I26" s="16" t="s">
        <v>54</v>
      </c>
      <c r="J26" s="16" t="s">
        <v>57</v>
      </c>
      <c r="K26" s="115" t="s">
        <v>51</v>
      </c>
      <c r="L26" s="116"/>
      <c r="M26" s="116"/>
      <c r="N26" s="116"/>
      <c r="O26" s="116"/>
      <c r="P26" s="116"/>
      <c r="Q26" s="117"/>
      <c r="R26" s="50" t="s">
        <v>77</v>
      </c>
      <c r="S26" s="49" t="s">
        <v>80</v>
      </c>
      <c r="T26" s="16" t="s">
        <v>54</v>
      </c>
      <c r="U26" s="16" t="s">
        <v>57</v>
      </c>
    </row>
    <row r="27" spans="1:24" ht="18" customHeight="1">
      <c r="B27" s="130" t="s">
        <v>137</v>
      </c>
      <c r="C27" s="131"/>
      <c r="D27" s="131"/>
      <c r="E27" s="131"/>
      <c r="F27" s="132"/>
      <c r="G27" s="17">
        <v>2</v>
      </c>
      <c r="H27" s="17" t="s">
        <v>138</v>
      </c>
      <c r="I27" s="17" t="s">
        <v>138</v>
      </c>
      <c r="J27" s="17"/>
      <c r="K27" s="130"/>
      <c r="L27" s="131"/>
      <c r="M27" s="131"/>
      <c r="N27" s="131"/>
      <c r="O27" s="131"/>
      <c r="P27" s="131"/>
      <c r="Q27" s="132"/>
      <c r="R27" s="17"/>
      <c r="S27" s="17"/>
      <c r="T27" s="17"/>
      <c r="U27" s="17"/>
    </row>
    <row r="28" spans="1:24" ht="18" customHeight="1">
      <c r="B28" s="124" t="s">
        <v>153</v>
      </c>
      <c r="C28" s="125"/>
      <c r="D28" s="125"/>
      <c r="E28" s="125"/>
      <c r="F28" s="126"/>
      <c r="G28" s="18">
        <v>2</v>
      </c>
      <c r="H28" s="18" t="s">
        <v>138</v>
      </c>
      <c r="I28" s="18"/>
      <c r="J28" s="18" t="s">
        <v>138</v>
      </c>
      <c r="K28" s="124"/>
      <c r="L28" s="125"/>
      <c r="M28" s="125"/>
      <c r="N28" s="125"/>
      <c r="O28" s="125"/>
      <c r="P28" s="125"/>
      <c r="Q28" s="126"/>
      <c r="R28" s="18"/>
      <c r="S28" s="18"/>
      <c r="T28" s="18"/>
      <c r="U28" s="18"/>
    </row>
    <row r="29" spans="1:24" ht="18" customHeight="1">
      <c r="B29" s="184" t="s">
        <v>144</v>
      </c>
      <c r="C29" s="185"/>
      <c r="D29" s="185"/>
      <c r="E29" s="185"/>
      <c r="F29" s="186"/>
      <c r="G29" s="18">
        <v>2</v>
      </c>
      <c r="H29" s="18" t="s">
        <v>138</v>
      </c>
      <c r="I29" s="18"/>
      <c r="J29" s="18" t="s">
        <v>138</v>
      </c>
      <c r="K29" s="124"/>
      <c r="L29" s="125"/>
      <c r="M29" s="125"/>
      <c r="N29" s="125"/>
      <c r="O29" s="125"/>
      <c r="P29" s="125"/>
      <c r="Q29" s="126"/>
      <c r="R29" s="18"/>
      <c r="S29" s="18"/>
      <c r="T29" s="18"/>
      <c r="U29" s="18"/>
    </row>
    <row r="30" spans="1:24" ht="18" customHeight="1">
      <c r="B30" s="124"/>
      <c r="C30" s="125"/>
      <c r="D30" s="125"/>
      <c r="E30" s="125"/>
      <c r="F30" s="126"/>
      <c r="G30" s="18"/>
      <c r="H30" s="18"/>
      <c r="I30" s="18"/>
      <c r="J30" s="18"/>
      <c r="K30" s="124"/>
      <c r="L30" s="125"/>
      <c r="M30" s="125"/>
      <c r="N30" s="125"/>
      <c r="O30" s="125"/>
      <c r="P30" s="125"/>
      <c r="Q30" s="126"/>
      <c r="R30" s="18"/>
      <c r="S30" s="18"/>
      <c r="T30" s="18"/>
      <c r="U30" s="18"/>
    </row>
    <row r="31" spans="1:24" ht="18" customHeight="1">
      <c r="B31" s="124"/>
      <c r="C31" s="125"/>
      <c r="D31" s="125"/>
      <c r="E31" s="125"/>
      <c r="F31" s="126"/>
      <c r="G31" s="18"/>
      <c r="H31" s="18"/>
      <c r="I31" s="18"/>
      <c r="J31" s="18"/>
      <c r="K31" s="124"/>
      <c r="L31" s="125"/>
      <c r="M31" s="125"/>
      <c r="N31" s="125"/>
      <c r="O31" s="125"/>
      <c r="P31" s="125"/>
      <c r="Q31" s="126"/>
      <c r="R31" s="18"/>
      <c r="S31" s="18"/>
      <c r="T31" s="18"/>
      <c r="U31" s="18"/>
    </row>
    <row r="32" spans="1:24" ht="18" customHeight="1">
      <c r="A32" s="3"/>
      <c r="B32" s="124"/>
      <c r="C32" s="125"/>
      <c r="D32" s="125"/>
      <c r="E32" s="125"/>
      <c r="F32" s="126"/>
      <c r="G32" s="18"/>
      <c r="H32" s="18"/>
      <c r="I32" s="18"/>
      <c r="J32" s="18"/>
      <c r="K32" s="124"/>
      <c r="L32" s="125"/>
      <c r="M32" s="125"/>
      <c r="N32" s="125"/>
      <c r="O32" s="125"/>
      <c r="P32" s="125"/>
      <c r="Q32" s="126"/>
      <c r="R32" s="18"/>
      <c r="S32" s="18"/>
      <c r="T32" s="18"/>
      <c r="U32" s="18"/>
    </row>
    <row r="33" spans="1:21" ht="18" customHeight="1">
      <c r="A33" s="3"/>
      <c r="B33" s="127"/>
      <c r="C33" s="128"/>
      <c r="D33" s="128"/>
      <c r="E33" s="128"/>
      <c r="F33" s="129"/>
      <c r="G33" s="19"/>
      <c r="H33" s="19"/>
      <c r="I33" s="20"/>
      <c r="J33" s="20"/>
      <c r="K33" s="127"/>
      <c r="L33" s="128"/>
      <c r="M33" s="128"/>
      <c r="N33" s="128"/>
      <c r="O33" s="128"/>
      <c r="P33" s="128"/>
      <c r="Q33" s="129"/>
      <c r="R33" s="19"/>
      <c r="S33" s="19"/>
      <c r="T33" s="20"/>
      <c r="U33" s="20"/>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33" t="s">
        <v>102</v>
      </c>
      <c r="B35" s="133"/>
      <c r="C35" s="133"/>
      <c r="D35" s="133"/>
      <c r="E35" s="133"/>
      <c r="F35" s="133"/>
      <c r="G35" s="133"/>
      <c r="H35" s="133"/>
      <c r="I35" s="133"/>
      <c r="J35" s="133"/>
      <c r="K35" s="133"/>
      <c r="L35" s="133"/>
      <c r="M35" s="133"/>
      <c r="N35" s="133"/>
      <c r="O35" s="133"/>
      <c r="P35" s="133"/>
      <c r="Q35" s="133"/>
      <c r="R35" s="133"/>
      <c r="S35" s="133"/>
      <c r="T35" s="133"/>
      <c r="U35" s="133"/>
    </row>
    <row r="36" spans="1:21" ht="18" customHeight="1">
      <c r="A36" s="133"/>
      <c r="B36" s="133"/>
      <c r="C36" s="133"/>
      <c r="D36" s="133"/>
      <c r="E36" s="133"/>
      <c r="F36" s="133"/>
      <c r="G36" s="133"/>
      <c r="H36" s="133"/>
      <c r="I36" s="133"/>
      <c r="J36" s="133"/>
      <c r="K36" s="133"/>
      <c r="L36" s="133"/>
      <c r="M36" s="133"/>
      <c r="N36" s="133"/>
      <c r="O36" s="133"/>
      <c r="P36" s="133"/>
      <c r="Q36" s="133"/>
      <c r="R36" s="133"/>
      <c r="S36" s="133"/>
      <c r="T36" s="133"/>
      <c r="U36" s="133"/>
    </row>
    <row r="37" spans="1:21" ht="18" customHeight="1">
      <c r="B37" s="115" t="s">
        <v>51</v>
      </c>
      <c r="C37" s="116"/>
      <c r="D37" s="116"/>
      <c r="E37" s="116"/>
      <c r="F37" s="117"/>
      <c r="G37" s="50" t="s">
        <v>77</v>
      </c>
      <c r="H37" s="49" t="s">
        <v>80</v>
      </c>
      <c r="I37" s="16" t="s">
        <v>68</v>
      </c>
      <c r="J37" s="16" t="s">
        <v>69</v>
      </c>
      <c r="K37" s="115" t="s">
        <v>51</v>
      </c>
      <c r="L37" s="116"/>
      <c r="M37" s="116"/>
      <c r="N37" s="116"/>
      <c r="O37" s="116"/>
      <c r="P37" s="116"/>
      <c r="Q37" s="117"/>
      <c r="R37" s="50" t="s">
        <v>77</v>
      </c>
      <c r="S37" s="49" t="s">
        <v>80</v>
      </c>
      <c r="T37" s="16" t="s">
        <v>68</v>
      </c>
      <c r="U37" s="16" t="s">
        <v>69</v>
      </c>
    </row>
    <row r="38" spans="1:21" ht="18" customHeight="1">
      <c r="B38" s="136" t="s">
        <v>137</v>
      </c>
      <c r="C38" s="137"/>
      <c r="D38" s="137"/>
      <c r="E38" s="137"/>
      <c r="F38" s="138"/>
      <c r="G38" s="17">
        <v>2</v>
      </c>
      <c r="H38" s="17" t="s">
        <v>138</v>
      </c>
      <c r="I38" s="17" t="s">
        <v>138</v>
      </c>
      <c r="J38" s="17"/>
      <c r="K38" s="130"/>
      <c r="L38" s="131"/>
      <c r="M38" s="131"/>
      <c r="N38" s="131"/>
      <c r="O38" s="131"/>
      <c r="P38" s="131"/>
      <c r="Q38" s="132"/>
      <c r="R38" s="17"/>
      <c r="S38" s="17"/>
      <c r="T38" s="17"/>
      <c r="U38" s="17"/>
    </row>
    <row r="39" spans="1:21" ht="18" customHeight="1">
      <c r="B39" s="136" t="s">
        <v>139</v>
      </c>
      <c r="C39" s="137"/>
      <c r="D39" s="137"/>
      <c r="E39" s="137"/>
      <c r="F39" s="138"/>
      <c r="G39" s="18">
        <v>2</v>
      </c>
      <c r="H39" s="18" t="s">
        <v>138</v>
      </c>
      <c r="I39" s="18"/>
      <c r="J39" s="18" t="s">
        <v>138</v>
      </c>
      <c r="K39" s="124"/>
      <c r="L39" s="125"/>
      <c r="M39" s="125"/>
      <c r="N39" s="125"/>
      <c r="O39" s="125"/>
      <c r="P39" s="125"/>
      <c r="Q39" s="126"/>
      <c r="R39" s="18"/>
      <c r="S39" s="18"/>
      <c r="T39" s="18"/>
      <c r="U39" s="18"/>
    </row>
    <row r="40" spans="1:21" ht="18" customHeight="1">
      <c r="B40" s="124"/>
      <c r="C40" s="125"/>
      <c r="D40" s="125"/>
      <c r="E40" s="125"/>
      <c r="F40" s="126"/>
      <c r="G40" s="18"/>
      <c r="H40" s="18"/>
      <c r="I40" s="18"/>
      <c r="J40" s="18"/>
      <c r="K40" s="124"/>
      <c r="L40" s="125"/>
      <c r="M40" s="125"/>
      <c r="N40" s="125"/>
      <c r="O40" s="125"/>
      <c r="P40" s="125"/>
      <c r="Q40" s="126"/>
      <c r="R40" s="18"/>
      <c r="S40" s="18"/>
      <c r="T40" s="18"/>
      <c r="U40" s="18"/>
    </row>
    <row r="41" spans="1:21" ht="18" customHeight="1">
      <c r="B41" s="124"/>
      <c r="C41" s="125"/>
      <c r="D41" s="125"/>
      <c r="E41" s="125"/>
      <c r="F41" s="126"/>
      <c r="G41" s="18"/>
      <c r="H41" s="18"/>
      <c r="I41" s="18"/>
      <c r="J41" s="18"/>
      <c r="K41" s="124"/>
      <c r="L41" s="125"/>
      <c r="M41" s="125"/>
      <c r="N41" s="125"/>
      <c r="O41" s="125"/>
      <c r="P41" s="125"/>
      <c r="Q41" s="126"/>
      <c r="R41" s="18"/>
      <c r="S41" s="18"/>
      <c r="T41" s="18"/>
      <c r="U41" s="18"/>
    </row>
    <row r="42" spans="1:21" ht="18" customHeight="1">
      <c r="B42" s="124"/>
      <c r="C42" s="125"/>
      <c r="D42" s="125"/>
      <c r="E42" s="125"/>
      <c r="F42" s="126"/>
      <c r="G42" s="18"/>
      <c r="H42" s="18"/>
      <c r="I42" s="18"/>
      <c r="J42" s="18"/>
      <c r="K42" s="124"/>
      <c r="L42" s="125"/>
      <c r="M42" s="125"/>
      <c r="N42" s="125"/>
      <c r="O42" s="125"/>
      <c r="P42" s="125"/>
      <c r="Q42" s="126"/>
      <c r="R42" s="18"/>
      <c r="S42" s="18"/>
      <c r="T42" s="18"/>
      <c r="U42" s="18"/>
    </row>
    <row r="43" spans="1:21" ht="18" customHeight="1">
      <c r="B43" s="124"/>
      <c r="C43" s="125"/>
      <c r="D43" s="125"/>
      <c r="E43" s="125"/>
      <c r="F43" s="126"/>
      <c r="G43" s="18"/>
      <c r="H43" s="18"/>
      <c r="I43" s="18"/>
      <c r="J43" s="18"/>
      <c r="K43" s="124"/>
      <c r="L43" s="125"/>
      <c r="M43" s="125"/>
      <c r="N43" s="125"/>
      <c r="O43" s="125"/>
      <c r="P43" s="125"/>
      <c r="Q43" s="126"/>
      <c r="R43" s="18"/>
      <c r="S43" s="18"/>
      <c r="T43" s="18"/>
      <c r="U43" s="18"/>
    </row>
    <row r="44" spans="1:21" ht="18" customHeight="1">
      <c r="B44" s="127"/>
      <c r="C44" s="128"/>
      <c r="D44" s="128"/>
      <c r="E44" s="128"/>
      <c r="F44" s="129"/>
      <c r="G44" s="19"/>
      <c r="H44" s="19"/>
      <c r="I44" s="20"/>
      <c r="J44" s="20"/>
      <c r="K44" s="127"/>
      <c r="L44" s="128"/>
      <c r="M44" s="128"/>
      <c r="N44" s="128"/>
      <c r="O44" s="128"/>
      <c r="P44" s="128"/>
      <c r="Q44" s="129"/>
      <c r="R44" s="19"/>
      <c r="S44" s="19"/>
      <c r="T44" s="20"/>
      <c r="U44" s="20"/>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33" t="s">
        <v>103</v>
      </c>
      <c r="B46" s="133"/>
      <c r="C46" s="133"/>
      <c r="D46" s="133"/>
      <c r="E46" s="133"/>
      <c r="F46" s="133"/>
      <c r="G46" s="133"/>
      <c r="H46" s="133"/>
      <c r="I46" s="133"/>
      <c r="J46" s="133"/>
      <c r="K46" s="133"/>
      <c r="L46" s="133"/>
      <c r="M46" s="133"/>
      <c r="N46" s="133"/>
      <c r="O46" s="133"/>
      <c r="P46" s="133"/>
      <c r="Q46" s="133"/>
      <c r="R46" s="133"/>
      <c r="S46" s="133"/>
      <c r="T46" s="133"/>
      <c r="U46" s="133"/>
    </row>
    <row r="47" spans="1:21" ht="18" customHeight="1">
      <c r="A47" s="133"/>
      <c r="B47" s="133"/>
      <c r="C47" s="133"/>
      <c r="D47" s="133"/>
      <c r="E47" s="133"/>
      <c r="F47" s="133"/>
      <c r="G47" s="133"/>
      <c r="H47" s="133"/>
      <c r="I47" s="133"/>
      <c r="J47" s="133"/>
      <c r="K47" s="133"/>
      <c r="L47" s="133"/>
      <c r="M47" s="133"/>
      <c r="N47" s="133"/>
      <c r="O47" s="133"/>
      <c r="P47" s="133"/>
      <c r="Q47" s="133"/>
      <c r="R47" s="133"/>
      <c r="S47" s="133"/>
      <c r="T47" s="133"/>
      <c r="U47" s="133"/>
    </row>
    <row r="48" spans="1:21" ht="18" customHeight="1">
      <c r="B48" s="115" t="s">
        <v>51</v>
      </c>
      <c r="C48" s="116"/>
      <c r="D48" s="116"/>
      <c r="E48" s="116"/>
      <c r="F48" s="117"/>
      <c r="G48" s="50" t="s">
        <v>77</v>
      </c>
      <c r="H48" s="49" t="s">
        <v>80</v>
      </c>
      <c r="I48" s="16" t="s">
        <v>70</v>
      </c>
      <c r="J48" s="16" t="s">
        <v>71</v>
      </c>
      <c r="K48" s="115" t="s">
        <v>51</v>
      </c>
      <c r="L48" s="116"/>
      <c r="M48" s="116"/>
      <c r="N48" s="116"/>
      <c r="O48" s="116"/>
      <c r="P48" s="116"/>
      <c r="Q48" s="117"/>
      <c r="R48" s="50" t="s">
        <v>77</v>
      </c>
      <c r="S48" s="49" t="s">
        <v>80</v>
      </c>
      <c r="T48" s="16" t="s">
        <v>70</v>
      </c>
      <c r="U48" s="16" t="s">
        <v>71</v>
      </c>
    </row>
    <row r="49" spans="1:21" ht="18" customHeight="1">
      <c r="A49" s="3"/>
      <c r="B49" s="136" t="s">
        <v>139</v>
      </c>
      <c r="C49" s="137"/>
      <c r="D49" s="137"/>
      <c r="E49" s="137"/>
      <c r="F49" s="138"/>
      <c r="G49" s="18">
        <v>2</v>
      </c>
      <c r="H49" s="18" t="s">
        <v>138</v>
      </c>
      <c r="I49" s="18" t="s">
        <v>138</v>
      </c>
      <c r="J49" s="18"/>
      <c r="K49" s="130"/>
      <c r="L49" s="131"/>
      <c r="M49" s="131"/>
      <c r="N49" s="131"/>
      <c r="O49" s="131"/>
      <c r="P49" s="131"/>
      <c r="Q49" s="132"/>
      <c r="R49" s="17"/>
      <c r="S49" s="17"/>
      <c r="T49" s="17"/>
      <c r="U49" s="17"/>
    </row>
    <row r="50" spans="1:21" ht="18" customHeight="1">
      <c r="A50" s="3"/>
      <c r="B50" s="124" t="s">
        <v>153</v>
      </c>
      <c r="C50" s="125"/>
      <c r="D50" s="125"/>
      <c r="E50" s="125"/>
      <c r="F50" s="126"/>
      <c r="G50" s="18">
        <v>2</v>
      </c>
      <c r="H50" s="18"/>
      <c r="I50" s="18"/>
      <c r="J50" s="18" t="s">
        <v>138</v>
      </c>
      <c r="K50" s="124"/>
      <c r="L50" s="125"/>
      <c r="M50" s="125"/>
      <c r="N50" s="125"/>
      <c r="O50" s="125"/>
      <c r="P50" s="125"/>
      <c r="Q50" s="126"/>
      <c r="R50" s="18"/>
      <c r="S50" s="18"/>
      <c r="T50" s="18"/>
      <c r="U50" s="18"/>
    </row>
    <row r="51" spans="1:21" ht="18" customHeight="1">
      <c r="A51" s="3"/>
      <c r="B51" s="184" t="s">
        <v>144</v>
      </c>
      <c r="C51" s="185"/>
      <c r="D51" s="185"/>
      <c r="E51" s="185"/>
      <c r="F51" s="186"/>
      <c r="G51" s="18">
        <v>2</v>
      </c>
      <c r="H51" s="18"/>
      <c r="I51" s="18"/>
      <c r="J51" s="18" t="s">
        <v>138</v>
      </c>
      <c r="K51" s="124"/>
      <c r="L51" s="125"/>
      <c r="M51" s="125"/>
      <c r="N51" s="125"/>
      <c r="O51" s="125"/>
      <c r="P51" s="125"/>
      <c r="Q51" s="126"/>
      <c r="R51" s="18"/>
      <c r="S51" s="18"/>
      <c r="T51" s="18"/>
      <c r="U51" s="18"/>
    </row>
    <row r="52" spans="1:21" ht="18" customHeight="1">
      <c r="A52" s="3"/>
      <c r="B52" s="178"/>
      <c r="C52" s="179"/>
      <c r="D52" s="179"/>
      <c r="E52" s="179"/>
      <c r="F52" s="180"/>
      <c r="G52" s="85"/>
      <c r="H52" s="18"/>
      <c r="I52" s="18"/>
      <c r="J52" s="18"/>
      <c r="K52" s="124"/>
      <c r="L52" s="125"/>
      <c r="M52" s="125"/>
      <c r="N52" s="125"/>
      <c r="O52" s="125"/>
      <c r="P52" s="125"/>
      <c r="Q52" s="126"/>
      <c r="R52" s="18"/>
      <c r="S52" s="18"/>
      <c r="T52" s="18"/>
      <c r="U52" s="18"/>
    </row>
    <row r="53" spans="1:21" ht="18" customHeight="1">
      <c r="A53" s="3"/>
      <c r="B53" s="187"/>
      <c r="C53" s="188"/>
      <c r="D53" s="188"/>
      <c r="E53" s="188"/>
      <c r="F53" s="189"/>
      <c r="G53" s="18"/>
      <c r="H53" s="18"/>
      <c r="I53" s="18"/>
      <c r="J53" s="18"/>
      <c r="K53" s="124"/>
      <c r="L53" s="125"/>
      <c r="M53" s="125"/>
      <c r="N53" s="125"/>
      <c r="O53" s="125"/>
      <c r="P53" s="125"/>
      <c r="Q53" s="126"/>
      <c r="R53" s="18"/>
      <c r="S53" s="18"/>
      <c r="T53" s="18"/>
      <c r="U53" s="18"/>
    </row>
    <row r="54" spans="1:21" ht="18" customHeight="1">
      <c r="A54" s="3"/>
      <c r="B54" s="124"/>
      <c r="C54" s="125"/>
      <c r="D54" s="125"/>
      <c r="E54" s="125"/>
      <c r="F54" s="126"/>
      <c r="G54" s="18"/>
      <c r="H54" s="18"/>
      <c r="I54" s="18"/>
      <c r="J54" s="18"/>
      <c r="K54" s="124"/>
      <c r="L54" s="125"/>
      <c r="M54" s="125"/>
      <c r="N54" s="125"/>
      <c r="O54" s="125"/>
      <c r="P54" s="125"/>
      <c r="Q54" s="126"/>
      <c r="R54" s="18"/>
      <c r="S54" s="18"/>
      <c r="T54" s="18"/>
      <c r="U54" s="18"/>
    </row>
    <row r="55" spans="1:21" ht="18" customHeight="1">
      <c r="A55" s="3"/>
      <c r="B55" s="127"/>
      <c r="C55" s="128"/>
      <c r="D55" s="128"/>
      <c r="E55" s="128"/>
      <c r="F55" s="129"/>
      <c r="G55" s="19"/>
      <c r="H55" s="19"/>
      <c r="I55" s="20"/>
      <c r="J55" s="20"/>
      <c r="K55" s="127"/>
      <c r="L55" s="128"/>
      <c r="M55" s="128"/>
      <c r="N55" s="128"/>
      <c r="O55" s="128"/>
      <c r="P55" s="128"/>
      <c r="Q55" s="129"/>
      <c r="R55" s="19"/>
      <c r="S55" s="19"/>
      <c r="T55" s="20"/>
      <c r="U55" s="20"/>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33" t="s">
        <v>104</v>
      </c>
      <c r="B57" s="133"/>
      <c r="C57" s="133"/>
      <c r="D57" s="133"/>
      <c r="E57" s="133"/>
      <c r="F57" s="133"/>
      <c r="G57" s="133"/>
      <c r="H57" s="133"/>
      <c r="I57" s="133"/>
      <c r="J57" s="133"/>
      <c r="K57" s="133"/>
      <c r="L57" s="133"/>
      <c r="M57" s="133"/>
      <c r="N57" s="133"/>
      <c r="O57" s="133"/>
      <c r="P57" s="133"/>
      <c r="Q57" s="133"/>
      <c r="R57" s="133"/>
      <c r="S57" s="133"/>
      <c r="T57" s="133"/>
      <c r="U57" s="133"/>
    </row>
    <row r="58" spans="1:21" ht="18" customHeight="1">
      <c r="A58" s="133"/>
      <c r="B58" s="133"/>
      <c r="C58" s="133"/>
      <c r="D58" s="133"/>
      <c r="E58" s="133"/>
      <c r="F58" s="133"/>
      <c r="G58" s="133"/>
      <c r="H58" s="133"/>
      <c r="I58" s="133"/>
      <c r="J58" s="133"/>
      <c r="K58" s="133"/>
      <c r="L58" s="133"/>
      <c r="M58" s="133"/>
      <c r="N58" s="133"/>
      <c r="O58" s="133"/>
      <c r="P58" s="133"/>
      <c r="Q58" s="133"/>
      <c r="R58" s="133"/>
      <c r="S58" s="133"/>
      <c r="T58" s="133"/>
      <c r="U58" s="133"/>
    </row>
    <row r="59" spans="1:21" ht="18" customHeight="1">
      <c r="B59" s="115" t="s">
        <v>51</v>
      </c>
      <c r="C59" s="116"/>
      <c r="D59" s="116"/>
      <c r="E59" s="116"/>
      <c r="F59" s="117"/>
      <c r="G59" s="50" t="s">
        <v>77</v>
      </c>
      <c r="H59" s="49" t="s">
        <v>80</v>
      </c>
      <c r="I59" s="16" t="s">
        <v>56</v>
      </c>
      <c r="J59" s="16" t="s">
        <v>58</v>
      </c>
      <c r="K59" s="115" t="s">
        <v>51</v>
      </c>
      <c r="L59" s="116"/>
      <c r="M59" s="116"/>
      <c r="N59" s="116"/>
      <c r="O59" s="116"/>
      <c r="P59" s="116"/>
      <c r="Q59" s="117"/>
      <c r="R59" s="50" t="s">
        <v>77</v>
      </c>
      <c r="S59" s="49" t="s">
        <v>80</v>
      </c>
      <c r="T59" s="16" t="s">
        <v>56</v>
      </c>
      <c r="U59" s="16" t="s">
        <v>58</v>
      </c>
    </row>
    <row r="60" spans="1:21" ht="18" customHeight="1">
      <c r="A60" s="3"/>
      <c r="B60" s="130" t="s">
        <v>137</v>
      </c>
      <c r="C60" s="131"/>
      <c r="D60" s="131"/>
      <c r="E60" s="131"/>
      <c r="F60" s="132"/>
      <c r="G60" s="17">
        <v>2</v>
      </c>
      <c r="H60" s="17" t="s">
        <v>138</v>
      </c>
      <c r="I60" s="17" t="s">
        <v>138</v>
      </c>
      <c r="J60" s="17"/>
      <c r="K60" s="130"/>
      <c r="L60" s="131"/>
      <c r="M60" s="131"/>
      <c r="N60" s="131"/>
      <c r="O60" s="131"/>
      <c r="P60" s="131"/>
      <c r="Q60" s="132"/>
      <c r="R60" s="17"/>
      <c r="S60" s="17"/>
      <c r="T60" s="17"/>
      <c r="U60" s="17"/>
    </row>
    <row r="61" spans="1:21" ht="18" customHeight="1">
      <c r="A61" s="3"/>
      <c r="B61" s="124" t="s">
        <v>139</v>
      </c>
      <c r="C61" s="125"/>
      <c r="D61" s="125"/>
      <c r="E61" s="125"/>
      <c r="F61" s="126"/>
      <c r="G61" s="18">
        <v>2</v>
      </c>
      <c r="H61" s="18" t="s">
        <v>138</v>
      </c>
      <c r="I61" s="18"/>
      <c r="J61" s="18" t="s">
        <v>138</v>
      </c>
      <c r="K61" s="124"/>
      <c r="L61" s="125"/>
      <c r="M61" s="125"/>
      <c r="N61" s="125"/>
      <c r="O61" s="125"/>
      <c r="P61" s="125"/>
      <c r="Q61" s="126"/>
      <c r="R61" s="18"/>
      <c r="S61" s="18"/>
      <c r="T61" s="18"/>
      <c r="U61" s="18"/>
    </row>
    <row r="62" spans="1:21" ht="18" customHeight="1">
      <c r="A62" s="3"/>
      <c r="B62" s="124"/>
      <c r="C62" s="125"/>
      <c r="D62" s="125"/>
      <c r="E62" s="125"/>
      <c r="F62" s="126"/>
      <c r="G62" s="18"/>
      <c r="H62" s="18"/>
      <c r="I62" s="18"/>
      <c r="J62" s="18"/>
      <c r="K62" s="124"/>
      <c r="L62" s="125"/>
      <c r="M62" s="125"/>
      <c r="N62" s="125"/>
      <c r="O62" s="125"/>
      <c r="P62" s="125"/>
      <c r="Q62" s="126"/>
      <c r="R62" s="18"/>
      <c r="S62" s="18"/>
      <c r="T62" s="18"/>
      <c r="U62" s="18"/>
    </row>
    <row r="63" spans="1:21" ht="18" customHeight="1">
      <c r="A63" s="3"/>
      <c r="B63" s="124"/>
      <c r="C63" s="125"/>
      <c r="D63" s="125"/>
      <c r="E63" s="125"/>
      <c r="F63" s="126"/>
      <c r="G63" s="18"/>
      <c r="H63" s="18"/>
      <c r="I63" s="18"/>
      <c r="J63" s="18"/>
      <c r="K63" s="124"/>
      <c r="L63" s="125"/>
      <c r="M63" s="125"/>
      <c r="N63" s="125"/>
      <c r="O63" s="125"/>
      <c r="P63" s="125"/>
      <c r="Q63" s="126"/>
      <c r="R63" s="18"/>
      <c r="S63" s="18"/>
      <c r="T63" s="18"/>
      <c r="U63" s="18"/>
    </row>
    <row r="64" spans="1:21" ht="18" customHeight="1">
      <c r="A64" s="3"/>
      <c r="B64" s="124"/>
      <c r="C64" s="125"/>
      <c r="D64" s="125"/>
      <c r="E64" s="125"/>
      <c r="F64" s="126"/>
      <c r="G64" s="18"/>
      <c r="H64" s="18"/>
      <c r="I64" s="18"/>
      <c r="J64" s="18"/>
      <c r="K64" s="124"/>
      <c r="L64" s="125"/>
      <c r="M64" s="125"/>
      <c r="N64" s="125"/>
      <c r="O64" s="125"/>
      <c r="P64" s="125"/>
      <c r="Q64" s="126"/>
      <c r="R64" s="18"/>
      <c r="S64" s="18"/>
      <c r="T64" s="18"/>
      <c r="U64" s="18"/>
    </row>
    <row r="65" spans="1:21" ht="18" customHeight="1">
      <c r="A65" s="3"/>
      <c r="B65" s="124"/>
      <c r="C65" s="125"/>
      <c r="D65" s="125"/>
      <c r="E65" s="125"/>
      <c r="F65" s="126"/>
      <c r="G65" s="18"/>
      <c r="H65" s="18"/>
      <c r="I65" s="18"/>
      <c r="J65" s="18"/>
      <c r="K65" s="124"/>
      <c r="L65" s="125"/>
      <c r="M65" s="125"/>
      <c r="N65" s="125"/>
      <c r="O65" s="125"/>
      <c r="P65" s="125"/>
      <c r="Q65" s="126"/>
      <c r="R65" s="18"/>
      <c r="S65" s="18"/>
      <c r="T65" s="18"/>
      <c r="U65" s="18"/>
    </row>
    <row r="66" spans="1:21" ht="18" customHeight="1">
      <c r="A66" s="3"/>
      <c r="B66" s="127"/>
      <c r="C66" s="128"/>
      <c r="D66" s="128"/>
      <c r="E66" s="128"/>
      <c r="F66" s="129"/>
      <c r="G66" s="19"/>
      <c r="H66" s="19"/>
      <c r="I66" s="20"/>
      <c r="J66" s="20"/>
      <c r="K66" s="127"/>
      <c r="L66" s="128"/>
      <c r="M66" s="128"/>
      <c r="N66" s="128"/>
      <c r="O66" s="128"/>
      <c r="P66" s="128"/>
      <c r="Q66" s="129"/>
      <c r="R66" s="19"/>
      <c r="S66" s="19"/>
      <c r="T66" s="20"/>
      <c r="U66" s="20"/>
    </row>
    <row r="67" spans="1:21" ht="7.5" customHeight="1">
      <c r="B67" s="14"/>
      <c r="C67" s="14"/>
      <c r="D67" s="14"/>
      <c r="E67" s="14"/>
      <c r="F67" s="14"/>
      <c r="G67" s="14"/>
      <c r="H67" s="14"/>
      <c r="I67" s="14"/>
      <c r="J67" s="14"/>
      <c r="K67" s="14"/>
      <c r="L67" s="14"/>
      <c r="M67" s="14"/>
      <c r="N67" s="14"/>
      <c r="O67" s="14"/>
      <c r="P67" s="14"/>
      <c r="Q67" s="14"/>
      <c r="R67" s="14"/>
      <c r="S67" s="14"/>
      <c r="T67" s="14"/>
    </row>
    <row r="68" spans="1:21" ht="18" customHeight="1">
      <c r="A68" s="133" t="s">
        <v>105</v>
      </c>
      <c r="B68" s="133"/>
      <c r="C68" s="133"/>
      <c r="D68" s="133"/>
      <c r="E68" s="133"/>
      <c r="F68" s="133"/>
      <c r="G68" s="133"/>
      <c r="H68" s="133"/>
      <c r="I68" s="133"/>
      <c r="J68" s="133"/>
      <c r="K68" s="133"/>
      <c r="L68" s="133"/>
      <c r="M68" s="133"/>
      <c r="N68" s="133"/>
      <c r="O68" s="133"/>
      <c r="P68" s="133"/>
      <c r="Q68" s="133"/>
      <c r="R68" s="133"/>
      <c r="S68" s="133"/>
      <c r="T68" s="133"/>
      <c r="U68" s="133"/>
    </row>
    <row r="69" spans="1:21" ht="18" customHeight="1">
      <c r="A69" s="133"/>
      <c r="B69" s="133"/>
      <c r="C69" s="133"/>
      <c r="D69" s="133"/>
      <c r="E69" s="133"/>
      <c r="F69" s="133"/>
      <c r="G69" s="133"/>
      <c r="H69" s="133"/>
      <c r="I69" s="133"/>
      <c r="J69" s="133"/>
      <c r="K69" s="133"/>
      <c r="L69" s="133"/>
      <c r="M69" s="133"/>
      <c r="N69" s="133"/>
      <c r="O69" s="133"/>
      <c r="P69" s="133"/>
      <c r="Q69" s="133"/>
      <c r="R69" s="133"/>
      <c r="S69" s="133"/>
      <c r="T69" s="133"/>
      <c r="U69" s="133"/>
    </row>
    <row r="70" spans="1:21" ht="18" customHeight="1">
      <c r="B70" s="115" t="s">
        <v>51</v>
      </c>
      <c r="C70" s="116"/>
      <c r="D70" s="116"/>
      <c r="E70" s="116"/>
      <c r="F70" s="50" t="s">
        <v>77</v>
      </c>
      <c r="G70" s="49" t="s">
        <v>80</v>
      </c>
      <c r="H70" s="16" t="s">
        <v>92</v>
      </c>
      <c r="I70" s="16" t="s">
        <v>72</v>
      </c>
      <c r="J70" s="16" t="s">
        <v>73</v>
      </c>
      <c r="K70" s="115" t="s">
        <v>51</v>
      </c>
      <c r="L70" s="116"/>
      <c r="M70" s="116"/>
      <c r="N70" s="116"/>
      <c r="O70" s="116"/>
      <c r="P70" s="117"/>
      <c r="Q70" s="50" t="s">
        <v>77</v>
      </c>
      <c r="R70" s="49" t="s">
        <v>80</v>
      </c>
      <c r="S70" s="16" t="s">
        <v>92</v>
      </c>
      <c r="T70" s="16" t="s">
        <v>72</v>
      </c>
      <c r="U70" s="16" t="s">
        <v>73</v>
      </c>
    </row>
    <row r="71" spans="1:21" ht="18" customHeight="1">
      <c r="A71" s="3"/>
      <c r="B71" s="130" t="s">
        <v>139</v>
      </c>
      <c r="C71" s="131"/>
      <c r="D71" s="131"/>
      <c r="E71" s="132"/>
      <c r="F71" s="17">
        <v>2</v>
      </c>
      <c r="G71" s="17" t="s">
        <v>138</v>
      </c>
      <c r="H71" s="17"/>
      <c r="I71" s="17" t="s">
        <v>138</v>
      </c>
      <c r="J71" s="17"/>
      <c r="K71" s="130"/>
      <c r="L71" s="131"/>
      <c r="M71" s="131"/>
      <c r="N71" s="131"/>
      <c r="O71" s="131"/>
      <c r="P71" s="132"/>
      <c r="Q71" s="17"/>
      <c r="R71" s="17"/>
      <c r="S71" s="17"/>
      <c r="T71" s="17"/>
      <c r="U71" s="17"/>
    </row>
    <row r="72" spans="1:21" ht="18" customHeight="1">
      <c r="A72" s="3"/>
      <c r="B72" s="124" t="s">
        <v>153</v>
      </c>
      <c r="C72" s="125"/>
      <c r="D72" s="125"/>
      <c r="E72" s="126"/>
      <c r="F72" s="18">
        <v>2</v>
      </c>
      <c r="G72" s="18"/>
      <c r="H72" s="18" t="s">
        <v>138</v>
      </c>
      <c r="I72" s="18" t="s">
        <v>138</v>
      </c>
      <c r="J72" s="18" t="s">
        <v>138</v>
      </c>
      <c r="K72" s="124"/>
      <c r="L72" s="125"/>
      <c r="M72" s="125"/>
      <c r="N72" s="125"/>
      <c r="O72" s="125"/>
      <c r="P72" s="126"/>
      <c r="Q72" s="18"/>
      <c r="R72" s="18"/>
      <c r="S72" s="18"/>
      <c r="T72" s="18"/>
      <c r="U72" s="18"/>
    </row>
    <row r="73" spans="1:21" ht="18" customHeight="1">
      <c r="A73" s="3"/>
      <c r="B73" s="124" t="s">
        <v>145</v>
      </c>
      <c r="C73" s="125"/>
      <c r="D73" s="125"/>
      <c r="E73" s="126"/>
      <c r="F73" s="18">
        <v>2</v>
      </c>
      <c r="G73" s="18"/>
      <c r="H73" s="18" t="s">
        <v>138</v>
      </c>
      <c r="I73" s="18" t="s">
        <v>138</v>
      </c>
      <c r="J73" s="18" t="s">
        <v>138</v>
      </c>
      <c r="K73" s="124"/>
      <c r="L73" s="125"/>
      <c r="M73" s="125"/>
      <c r="N73" s="125"/>
      <c r="O73" s="125"/>
      <c r="P73" s="126"/>
      <c r="Q73" s="18"/>
      <c r="R73" s="18"/>
      <c r="S73" s="18"/>
      <c r="T73" s="18"/>
      <c r="U73" s="18"/>
    </row>
    <row r="74" spans="1:21" ht="18" customHeight="1">
      <c r="A74" s="3"/>
      <c r="B74" s="88"/>
      <c r="C74" s="86"/>
      <c r="D74" s="86"/>
      <c r="E74" s="87"/>
      <c r="F74" s="18"/>
      <c r="G74" s="18"/>
      <c r="H74" s="18"/>
      <c r="I74" s="18"/>
      <c r="J74" s="18"/>
      <c r="K74" s="124"/>
      <c r="L74" s="125"/>
      <c r="M74" s="125"/>
      <c r="N74" s="125"/>
      <c r="O74" s="125"/>
      <c r="P74" s="126"/>
      <c r="Q74" s="18"/>
      <c r="R74" s="18"/>
      <c r="S74" s="18"/>
      <c r="T74" s="18"/>
      <c r="U74" s="18"/>
    </row>
    <row r="75" spans="1:21" ht="18" customHeight="1">
      <c r="A75" s="3"/>
      <c r="B75" s="124"/>
      <c r="C75" s="125"/>
      <c r="D75" s="125"/>
      <c r="E75" s="125"/>
      <c r="F75" s="18"/>
      <c r="G75" s="18"/>
      <c r="H75" s="18"/>
      <c r="I75" s="18"/>
      <c r="J75" s="18"/>
      <c r="K75" s="124"/>
      <c r="L75" s="125"/>
      <c r="M75" s="125"/>
      <c r="N75" s="125"/>
      <c r="O75" s="125"/>
      <c r="P75" s="126"/>
      <c r="Q75" s="18"/>
      <c r="R75" s="18"/>
      <c r="S75" s="18"/>
      <c r="T75" s="18"/>
      <c r="U75" s="18"/>
    </row>
    <row r="76" spans="1:21" ht="18" customHeight="1">
      <c r="A76" s="3"/>
      <c r="B76" s="124"/>
      <c r="C76" s="125"/>
      <c r="D76" s="125"/>
      <c r="E76" s="125"/>
      <c r="F76" s="18"/>
      <c r="G76" s="18"/>
      <c r="H76" s="18"/>
      <c r="I76" s="18"/>
      <c r="J76" s="18"/>
      <c r="K76" s="124"/>
      <c r="L76" s="125"/>
      <c r="M76" s="125"/>
      <c r="N76" s="125"/>
      <c r="O76" s="125"/>
      <c r="P76" s="126"/>
      <c r="Q76" s="18"/>
      <c r="R76" s="18"/>
      <c r="S76" s="18"/>
      <c r="T76" s="18"/>
      <c r="U76" s="18"/>
    </row>
    <row r="77" spans="1:21" ht="18" customHeight="1">
      <c r="A77" s="3"/>
      <c r="B77" s="127"/>
      <c r="C77" s="128"/>
      <c r="D77" s="128"/>
      <c r="E77" s="128"/>
      <c r="F77" s="19"/>
      <c r="G77" s="19"/>
      <c r="H77" s="20"/>
      <c r="I77" s="20"/>
      <c r="J77" s="20"/>
      <c r="K77" s="127"/>
      <c r="L77" s="128"/>
      <c r="M77" s="128"/>
      <c r="N77" s="128"/>
      <c r="O77" s="128"/>
      <c r="P77" s="129"/>
      <c r="Q77" s="19"/>
      <c r="R77" s="19"/>
      <c r="S77" s="20"/>
      <c r="T77" s="20"/>
      <c r="U77" s="20"/>
    </row>
    <row r="78" spans="1:21" ht="7.5" customHeight="1">
      <c r="B78" s="14"/>
      <c r="C78" s="14"/>
      <c r="D78" s="14"/>
      <c r="E78" s="14"/>
      <c r="F78" s="14"/>
      <c r="G78" s="14"/>
      <c r="H78" s="14"/>
      <c r="I78" s="14"/>
      <c r="J78" s="14"/>
      <c r="K78" s="14"/>
      <c r="L78" s="14"/>
      <c r="M78" s="14"/>
      <c r="N78" s="14"/>
      <c r="O78" s="14"/>
      <c r="P78" s="14"/>
      <c r="Q78" s="14"/>
      <c r="R78" s="14"/>
      <c r="S78" s="14"/>
      <c r="T78" s="14"/>
    </row>
    <row r="79" spans="1:21" ht="18" customHeight="1">
      <c r="A79" s="1" t="s">
        <v>106</v>
      </c>
      <c r="I79" s="3"/>
      <c r="J79" s="3"/>
      <c r="K79" s="3"/>
      <c r="L79" s="3"/>
      <c r="M79" s="3"/>
      <c r="N79" s="3"/>
      <c r="O79" s="3"/>
      <c r="P79" s="3"/>
      <c r="Q79" s="3"/>
      <c r="R79" s="3"/>
      <c r="S79" s="3"/>
      <c r="T79" s="3"/>
      <c r="U79" s="3"/>
    </row>
    <row r="80" spans="1:21" ht="18" customHeight="1">
      <c r="B80" s="115" t="s">
        <v>51</v>
      </c>
      <c r="C80" s="116"/>
      <c r="D80" s="116"/>
      <c r="E80" s="116"/>
      <c r="F80" s="117"/>
      <c r="G80" s="115" t="s">
        <v>78</v>
      </c>
      <c r="H80" s="116"/>
      <c r="I80" s="116"/>
      <c r="J80" s="117"/>
      <c r="K80" s="181" t="s">
        <v>51</v>
      </c>
      <c r="L80" s="182"/>
      <c r="M80" s="182"/>
      <c r="N80" s="182"/>
      <c r="O80" s="182"/>
      <c r="P80" s="182"/>
      <c r="Q80" s="183"/>
      <c r="R80" s="115" t="s">
        <v>78</v>
      </c>
      <c r="S80" s="116"/>
      <c r="T80" s="116"/>
      <c r="U80" s="117"/>
    </row>
    <row r="81" spans="1:21" ht="18" customHeight="1">
      <c r="A81" s="3"/>
      <c r="B81" s="173" t="s">
        <v>154</v>
      </c>
      <c r="C81" s="174"/>
      <c r="D81" s="174"/>
      <c r="E81" s="174"/>
      <c r="F81" s="175"/>
      <c r="G81" s="170" t="s">
        <v>155</v>
      </c>
      <c r="H81" s="171"/>
      <c r="I81" s="171"/>
      <c r="J81" s="172"/>
      <c r="K81" s="130"/>
      <c r="L81" s="131"/>
      <c r="M81" s="131"/>
      <c r="N81" s="131"/>
      <c r="O81" s="131"/>
      <c r="P81" s="131"/>
      <c r="Q81" s="132"/>
      <c r="R81" s="170"/>
      <c r="S81" s="171"/>
      <c r="T81" s="171"/>
      <c r="U81" s="172"/>
    </row>
    <row r="82" spans="1:21" ht="18" customHeight="1">
      <c r="A82" s="3"/>
      <c r="B82" s="162" t="s">
        <v>156</v>
      </c>
      <c r="C82" s="163"/>
      <c r="D82" s="163"/>
      <c r="E82" s="163"/>
      <c r="F82" s="164"/>
      <c r="G82" s="165" t="s">
        <v>157</v>
      </c>
      <c r="H82" s="166"/>
      <c r="I82" s="166"/>
      <c r="J82" s="167"/>
      <c r="K82" s="124"/>
      <c r="L82" s="125"/>
      <c r="M82" s="125"/>
      <c r="N82" s="125"/>
      <c r="O82" s="125"/>
      <c r="P82" s="125"/>
      <c r="Q82" s="126"/>
      <c r="R82" s="165"/>
      <c r="S82" s="166"/>
      <c r="T82" s="166"/>
      <c r="U82" s="167"/>
    </row>
    <row r="83" spans="1:21" ht="18" customHeight="1">
      <c r="A83" s="3"/>
      <c r="B83" s="162" t="s">
        <v>158</v>
      </c>
      <c r="C83" s="163"/>
      <c r="D83" s="163"/>
      <c r="E83" s="163"/>
      <c r="F83" s="164"/>
      <c r="G83" s="165" t="s">
        <v>157</v>
      </c>
      <c r="H83" s="166"/>
      <c r="I83" s="166"/>
      <c r="J83" s="167"/>
      <c r="K83" s="124"/>
      <c r="L83" s="125"/>
      <c r="M83" s="125"/>
      <c r="N83" s="125"/>
      <c r="O83" s="125"/>
      <c r="P83" s="125"/>
      <c r="Q83" s="126"/>
      <c r="R83" s="165"/>
      <c r="S83" s="166"/>
      <c r="T83" s="166"/>
      <c r="U83" s="167"/>
    </row>
    <row r="84" spans="1:21" ht="18" customHeight="1">
      <c r="A84" s="3"/>
      <c r="B84" s="162"/>
      <c r="C84" s="163"/>
      <c r="D84" s="163"/>
      <c r="E84" s="163"/>
      <c r="F84" s="164"/>
      <c r="G84" s="165"/>
      <c r="H84" s="166"/>
      <c r="I84" s="166"/>
      <c r="J84" s="167"/>
      <c r="K84" s="124"/>
      <c r="L84" s="125"/>
      <c r="M84" s="125"/>
      <c r="N84" s="125"/>
      <c r="O84" s="125"/>
      <c r="P84" s="125"/>
      <c r="Q84" s="126"/>
      <c r="R84" s="165"/>
      <c r="S84" s="166"/>
      <c r="T84" s="166"/>
      <c r="U84" s="167"/>
    </row>
    <row r="85" spans="1:21" ht="18" customHeight="1">
      <c r="A85" s="3"/>
      <c r="B85" s="162"/>
      <c r="C85" s="163"/>
      <c r="D85" s="163"/>
      <c r="E85" s="163"/>
      <c r="F85" s="164"/>
      <c r="G85" s="165"/>
      <c r="H85" s="166"/>
      <c r="I85" s="166"/>
      <c r="J85" s="167"/>
      <c r="K85" s="124"/>
      <c r="L85" s="125"/>
      <c r="M85" s="125"/>
      <c r="N85" s="125"/>
      <c r="O85" s="125"/>
      <c r="P85" s="125"/>
      <c r="Q85" s="126"/>
      <c r="R85" s="165"/>
      <c r="S85" s="166"/>
      <c r="T85" s="166"/>
      <c r="U85" s="167"/>
    </row>
    <row r="86" spans="1:21" ht="18" customHeight="1">
      <c r="A86" s="3"/>
      <c r="B86" s="124"/>
      <c r="C86" s="125"/>
      <c r="D86" s="125"/>
      <c r="E86" s="125"/>
      <c r="F86" s="126"/>
      <c r="G86" s="165"/>
      <c r="H86" s="166"/>
      <c r="I86" s="166"/>
      <c r="J86" s="167"/>
      <c r="K86" s="124"/>
      <c r="L86" s="125"/>
      <c r="M86" s="125"/>
      <c r="N86" s="125"/>
      <c r="O86" s="125"/>
      <c r="P86" s="125"/>
      <c r="Q86" s="126"/>
      <c r="R86" s="165"/>
      <c r="S86" s="166"/>
      <c r="T86" s="166"/>
      <c r="U86" s="167"/>
    </row>
    <row r="87" spans="1:21" ht="18" customHeight="1">
      <c r="A87" s="3"/>
      <c r="B87" s="127"/>
      <c r="C87" s="128"/>
      <c r="D87" s="128"/>
      <c r="E87" s="128"/>
      <c r="F87" s="129"/>
      <c r="G87" s="159"/>
      <c r="H87" s="160"/>
      <c r="I87" s="160"/>
      <c r="J87" s="161"/>
      <c r="K87" s="127"/>
      <c r="L87" s="128"/>
      <c r="M87" s="128"/>
      <c r="N87" s="128"/>
      <c r="O87" s="128"/>
      <c r="P87" s="128"/>
      <c r="Q87" s="129"/>
      <c r="R87" s="159"/>
      <c r="S87" s="160"/>
      <c r="T87" s="160"/>
      <c r="U87" s="161"/>
    </row>
    <row r="88" spans="1:21" ht="18" customHeight="1">
      <c r="A88" s="3"/>
      <c r="B88" s="6"/>
      <c r="C88" s="6"/>
      <c r="D88" s="6"/>
      <c r="E88" s="6"/>
      <c r="F88" s="6"/>
      <c r="G88" s="21"/>
      <c r="H88" s="21"/>
      <c r="I88" s="21"/>
      <c r="J88" s="21"/>
      <c r="K88" s="6"/>
      <c r="L88" s="6"/>
      <c r="M88" s="6"/>
      <c r="N88" s="6"/>
      <c r="O88" s="6"/>
      <c r="P88" s="6"/>
      <c r="Q88" s="6"/>
      <c r="R88" s="21"/>
      <c r="S88" s="21"/>
      <c r="T88" s="21"/>
      <c r="U88" s="21"/>
    </row>
    <row r="89" spans="1:21" ht="18.75" customHeight="1">
      <c r="A89" s="1" t="s">
        <v>107</v>
      </c>
    </row>
    <row r="90" spans="1:21" ht="18.75" customHeight="1">
      <c r="B90" s="134" t="s">
        <v>52</v>
      </c>
      <c r="C90" s="135"/>
      <c r="D90" s="115" t="s">
        <v>53</v>
      </c>
      <c r="E90" s="116"/>
      <c r="F90" s="116"/>
      <c r="G90" s="116"/>
      <c r="H90" s="116"/>
      <c r="I90" s="116"/>
      <c r="J90" s="116"/>
      <c r="K90" s="116"/>
      <c r="L90" s="116"/>
      <c r="M90" s="116"/>
      <c r="N90" s="116"/>
      <c r="O90" s="116"/>
      <c r="P90" s="116"/>
      <c r="Q90" s="116"/>
      <c r="R90" s="116"/>
      <c r="S90" s="116"/>
      <c r="T90" s="116"/>
      <c r="U90" s="117"/>
    </row>
    <row r="91" spans="1:21" ht="97.5" customHeight="1">
      <c r="B91" s="143" t="s">
        <v>59</v>
      </c>
      <c r="C91" s="22" t="s">
        <v>54</v>
      </c>
      <c r="D91" s="92" t="s">
        <v>159</v>
      </c>
      <c r="E91" s="93"/>
      <c r="F91" s="93"/>
      <c r="G91" s="93"/>
      <c r="H91" s="93"/>
      <c r="I91" s="93"/>
      <c r="J91" s="93"/>
      <c r="K91" s="93"/>
      <c r="L91" s="93"/>
      <c r="M91" s="93"/>
      <c r="N91" s="93"/>
      <c r="O91" s="93"/>
      <c r="P91" s="93"/>
      <c r="Q91" s="93"/>
      <c r="R91" s="93"/>
      <c r="S91" s="93"/>
      <c r="T91" s="93"/>
      <c r="U91" s="94"/>
    </row>
    <row r="92" spans="1:21" ht="97.5" customHeight="1">
      <c r="B92" s="168"/>
      <c r="C92" s="23" t="s">
        <v>74</v>
      </c>
      <c r="D92" s="89" t="s">
        <v>173</v>
      </c>
      <c r="E92" s="90"/>
      <c r="F92" s="90"/>
      <c r="G92" s="90"/>
      <c r="H92" s="90"/>
      <c r="I92" s="90"/>
      <c r="J92" s="90"/>
      <c r="K92" s="90"/>
      <c r="L92" s="90"/>
      <c r="M92" s="90"/>
      <c r="N92" s="90"/>
      <c r="O92" s="90"/>
      <c r="P92" s="90"/>
      <c r="Q92" s="90"/>
      <c r="R92" s="90"/>
      <c r="S92" s="90"/>
      <c r="T92" s="90"/>
      <c r="U92" s="91"/>
    </row>
    <row r="93" spans="1:21" ht="97.5" customHeight="1">
      <c r="B93" s="143" t="s">
        <v>60</v>
      </c>
      <c r="C93" s="24" t="s">
        <v>68</v>
      </c>
      <c r="D93" s="100" t="s">
        <v>160</v>
      </c>
      <c r="E93" s="101"/>
      <c r="F93" s="101"/>
      <c r="G93" s="101"/>
      <c r="H93" s="101"/>
      <c r="I93" s="101"/>
      <c r="J93" s="101"/>
      <c r="K93" s="101"/>
      <c r="L93" s="101"/>
      <c r="M93" s="101"/>
      <c r="N93" s="101"/>
      <c r="O93" s="101"/>
      <c r="P93" s="101"/>
      <c r="Q93" s="101"/>
      <c r="R93" s="101"/>
      <c r="S93" s="101"/>
      <c r="T93" s="101"/>
      <c r="U93" s="102"/>
    </row>
    <row r="94" spans="1:21" ht="97.5" customHeight="1">
      <c r="B94" s="144"/>
      <c r="C94" s="25" t="s">
        <v>69</v>
      </c>
      <c r="D94" s="89" t="s">
        <v>161</v>
      </c>
      <c r="E94" s="90"/>
      <c r="F94" s="90"/>
      <c r="G94" s="90"/>
      <c r="H94" s="90"/>
      <c r="I94" s="90"/>
      <c r="J94" s="90"/>
      <c r="K94" s="90"/>
      <c r="L94" s="90"/>
      <c r="M94" s="90"/>
      <c r="N94" s="90"/>
      <c r="O94" s="90"/>
      <c r="P94" s="90"/>
      <c r="Q94" s="90"/>
      <c r="R94" s="90"/>
      <c r="S94" s="90"/>
      <c r="T94" s="90"/>
      <c r="U94" s="91"/>
    </row>
    <row r="95" spans="1:21" ht="97.5" customHeight="1">
      <c r="B95" s="143" t="s">
        <v>61</v>
      </c>
      <c r="C95" s="24" t="s">
        <v>70</v>
      </c>
      <c r="D95" s="92" t="s">
        <v>162</v>
      </c>
      <c r="E95" s="93"/>
      <c r="F95" s="93"/>
      <c r="G95" s="93"/>
      <c r="H95" s="93"/>
      <c r="I95" s="93"/>
      <c r="J95" s="93"/>
      <c r="K95" s="93"/>
      <c r="L95" s="93"/>
      <c r="M95" s="93"/>
      <c r="N95" s="93"/>
      <c r="O95" s="93"/>
      <c r="P95" s="93"/>
      <c r="Q95" s="93"/>
      <c r="R95" s="93"/>
      <c r="S95" s="93"/>
      <c r="T95" s="93"/>
      <c r="U95" s="94"/>
    </row>
    <row r="96" spans="1:21" ht="97.5" customHeight="1">
      <c r="B96" s="144"/>
      <c r="C96" s="26" t="s">
        <v>71</v>
      </c>
      <c r="D96" s="106" t="s">
        <v>174</v>
      </c>
      <c r="E96" s="107"/>
      <c r="F96" s="107"/>
      <c r="G96" s="107"/>
      <c r="H96" s="107"/>
      <c r="I96" s="107"/>
      <c r="J96" s="107"/>
      <c r="K96" s="107"/>
      <c r="L96" s="107"/>
      <c r="M96" s="107"/>
      <c r="N96" s="107"/>
      <c r="O96" s="107"/>
      <c r="P96" s="107"/>
      <c r="Q96" s="107"/>
      <c r="R96" s="107"/>
      <c r="S96" s="107"/>
      <c r="T96" s="107"/>
      <c r="U96" s="108"/>
    </row>
    <row r="97" spans="1:33" ht="97.5" customHeight="1">
      <c r="B97" s="143" t="s">
        <v>75</v>
      </c>
      <c r="C97" s="22" t="s">
        <v>56</v>
      </c>
      <c r="D97" s="100" t="s">
        <v>163</v>
      </c>
      <c r="E97" s="101"/>
      <c r="F97" s="101"/>
      <c r="G97" s="101"/>
      <c r="H97" s="101"/>
      <c r="I97" s="101"/>
      <c r="J97" s="101"/>
      <c r="K97" s="101"/>
      <c r="L97" s="101"/>
      <c r="M97" s="101"/>
      <c r="N97" s="101"/>
      <c r="O97" s="101"/>
      <c r="P97" s="101"/>
      <c r="Q97" s="101"/>
      <c r="R97" s="101"/>
      <c r="S97" s="101"/>
      <c r="T97" s="101"/>
      <c r="U97" s="102"/>
    </row>
    <row r="98" spans="1:33" ht="97.5" customHeight="1">
      <c r="B98" s="144"/>
      <c r="C98" s="25" t="s">
        <v>58</v>
      </c>
      <c r="D98" s="89" t="s">
        <v>164</v>
      </c>
      <c r="E98" s="90"/>
      <c r="F98" s="90"/>
      <c r="G98" s="90"/>
      <c r="H98" s="90"/>
      <c r="I98" s="90"/>
      <c r="J98" s="90"/>
      <c r="K98" s="90"/>
      <c r="L98" s="90"/>
      <c r="M98" s="90"/>
      <c r="N98" s="90"/>
      <c r="O98" s="90"/>
      <c r="P98" s="90"/>
      <c r="Q98" s="90"/>
      <c r="R98" s="90"/>
      <c r="S98" s="90"/>
      <c r="T98" s="90"/>
      <c r="U98" s="91"/>
    </row>
    <row r="99" spans="1:33" ht="97.5" customHeight="1">
      <c r="B99" s="143" t="s">
        <v>76</v>
      </c>
      <c r="C99" s="24" t="s">
        <v>55</v>
      </c>
      <c r="D99" s="100" t="s">
        <v>175</v>
      </c>
      <c r="E99" s="101"/>
      <c r="F99" s="101"/>
      <c r="G99" s="101"/>
      <c r="H99" s="101"/>
      <c r="I99" s="101"/>
      <c r="J99" s="101"/>
      <c r="K99" s="101"/>
      <c r="L99" s="101"/>
      <c r="M99" s="101"/>
      <c r="N99" s="101"/>
      <c r="O99" s="101"/>
      <c r="P99" s="101"/>
      <c r="Q99" s="101"/>
      <c r="R99" s="101"/>
      <c r="S99" s="101"/>
      <c r="T99" s="101"/>
      <c r="U99" s="102"/>
    </row>
    <row r="100" spans="1:33" ht="97.5" customHeight="1">
      <c r="B100" s="168"/>
      <c r="C100" s="27" t="s">
        <v>72</v>
      </c>
      <c r="D100" s="103" t="s">
        <v>176</v>
      </c>
      <c r="E100" s="104"/>
      <c r="F100" s="104"/>
      <c r="G100" s="104"/>
      <c r="H100" s="104"/>
      <c r="I100" s="104"/>
      <c r="J100" s="104"/>
      <c r="K100" s="104"/>
      <c r="L100" s="104"/>
      <c r="M100" s="104"/>
      <c r="N100" s="104"/>
      <c r="O100" s="104"/>
      <c r="P100" s="104"/>
      <c r="Q100" s="104"/>
      <c r="R100" s="104"/>
      <c r="S100" s="104"/>
      <c r="T100" s="104"/>
      <c r="U100" s="105"/>
    </row>
    <row r="101" spans="1:33" ht="97.5" customHeight="1">
      <c r="B101" s="144"/>
      <c r="C101" s="26" t="s">
        <v>73</v>
      </c>
      <c r="D101" s="106" t="s">
        <v>177</v>
      </c>
      <c r="E101" s="107"/>
      <c r="F101" s="107"/>
      <c r="G101" s="107"/>
      <c r="H101" s="107"/>
      <c r="I101" s="107"/>
      <c r="J101" s="107"/>
      <c r="K101" s="107"/>
      <c r="L101" s="107"/>
      <c r="M101" s="107"/>
      <c r="N101" s="107"/>
      <c r="O101" s="107"/>
      <c r="P101" s="107"/>
      <c r="Q101" s="107"/>
      <c r="R101" s="107"/>
      <c r="S101" s="107"/>
      <c r="T101" s="107"/>
      <c r="U101" s="108"/>
    </row>
    <row r="102" spans="1:33" ht="6" customHeight="1"/>
    <row r="103" spans="1:33" ht="18.75" customHeight="1">
      <c r="A103" s="1" t="s">
        <v>108</v>
      </c>
    </row>
    <row r="104" spans="1:33" ht="81.75" customHeight="1">
      <c r="B104" s="156" t="s">
        <v>178</v>
      </c>
      <c r="C104" s="157"/>
      <c r="D104" s="157"/>
      <c r="E104" s="157"/>
      <c r="F104" s="157"/>
      <c r="G104" s="157"/>
      <c r="H104" s="157"/>
      <c r="I104" s="157"/>
      <c r="J104" s="157"/>
      <c r="K104" s="157"/>
      <c r="L104" s="157"/>
      <c r="M104" s="157"/>
      <c r="N104" s="157"/>
      <c r="O104" s="157"/>
      <c r="P104" s="157"/>
      <c r="Q104" s="157"/>
      <c r="R104" s="157"/>
      <c r="S104" s="157"/>
      <c r="T104" s="157"/>
      <c r="U104" s="158"/>
    </row>
    <row r="106" spans="1:33" ht="18.75" customHeight="1">
      <c r="A106" s="73" t="s">
        <v>124</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c r="A107" s="73" t="s">
        <v>126</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c r="A108" s="73"/>
      <c r="B108" s="99" t="s">
        <v>130</v>
      </c>
      <c r="C108" s="99"/>
      <c r="D108" s="99"/>
      <c r="E108" s="99"/>
      <c r="F108" s="99"/>
      <c r="G108" s="99"/>
      <c r="H108" s="99"/>
      <c r="I108" s="99"/>
      <c r="J108" s="99"/>
      <c r="K108" s="99"/>
      <c r="L108" s="99"/>
      <c r="M108" s="99"/>
      <c r="N108" s="99"/>
      <c r="O108" s="99"/>
      <c r="P108" s="99"/>
      <c r="Q108" s="99"/>
      <c r="R108" s="99"/>
      <c r="S108" s="99"/>
      <c r="T108" s="99"/>
      <c r="U108" s="99"/>
      <c r="V108" s="69"/>
      <c r="W108" s="69"/>
      <c r="X108" s="69"/>
      <c r="Y108" s="69"/>
      <c r="Z108" s="69"/>
      <c r="AA108" s="69"/>
      <c r="AB108" s="69"/>
      <c r="AC108" s="69"/>
      <c r="AD108" s="69"/>
      <c r="AE108" s="69"/>
      <c r="AF108" s="69"/>
      <c r="AG108" s="69"/>
    </row>
    <row r="109" spans="1:33" ht="37.200000000000003" customHeight="1">
      <c r="A109" s="73"/>
      <c r="B109" s="99"/>
      <c r="C109" s="99"/>
      <c r="D109" s="99"/>
      <c r="E109" s="99"/>
      <c r="F109" s="99"/>
      <c r="G109" s="99"/>
      <c r="H109" s="99"/>
      <c r="I109" s="99"/>
      <c r="J109" s="99"/>
      <c r="K109" s="99"/>
      <c r="L109" s="99"/>
      <c r="M109" s="99"/>
      <c r="N109" s="99"/>
      <c r="O109" s="99"/>
      <c r="P109" s="99"/>
      <c r="Q109" s="99"/>
      <c r="R109" s="99"/>
      <c r="S109" s="99"/>
      <c r="T109" s="99"/>
      <c r="U109" s="99"/>
      <c r="V109" s="69"/>
      <c r="W109" s="69"/>
      <c r="X109" s="69"/>
      <c r="Y109" s="69"/>
      <c r="Z109" s="69"/>
      <c r="AA109" s="69"/>
      <c r="AB109" s="69"/>
      <c r="AC109" s="69"/>
      <c r="AD109" s="69"/>
      <c r="AE109" s="69"/>
      <c r="AF109" s="69"/>
      <c r="AG109" s="69"/>
    </row>
    <row r="110" spans="1:33" ht="18.75" customHeight="1">
      <c r="A110" s="73"/>
      <c r="B110" s="169" t="s">
        <v>125</v>
      </c>
      <c r="C110" s="169"/>
      <c r="D110" s="169"/>
      <c r="E110" s="169"/>
      <c r="F110" s="169"/>
      <c r="G110" s="169"/>
      <c r="H110" s="169"/>
      <c r="I110" s="169"/>
      <c r="J110" s="169"/>
      <c r="K110" s="169"/>
      <c r="L110" s="169"/>
      <c r="M110" s="169"/>
      <c r="N110" s="169"/>
      <c r="O110" s="169"/>
      <c r="P110" s="169"/>
      <c r="Q110" s="169"/>
      <c r="R110" s="169"/>
      <c r="S110" s="169"/>
      <c r="T110" s="169"/>
      <c r="U110" s="169"/>
      <c r="V110" s="69"/>
      <c r="W110" s="69"/>
      <c r="X110" s="69"/>
      <c r="Y110" s="69"/>
      <c r="Z110" s="69"/>
      <c r="AA110" s="69"/>
      <c r="AB110" s="69"/>
      <c r="AC110" s="69"/>
      <c r="AD110" s="69"/>
      <c r="AE110" s="69"/>
      <c r="AF110" s="69"/>
      <c r="AG110" s="69"/>
    </row>
    <row r="111" spans="1:33" ht="18.75" customHeight="1">
      <c r="A111" s="73"/>
      <c r="B111" s="176" t="s">
        <v>53</v>
      </c>
      <c r="C111" s="176"/>
      <c r="D111" s="176"/>
      <c r="E111" s="176"/>
      <c r="F111" s="176"/>
      <c r="G111" s="176"/>
      <c r="H111" s="176"/>
      <c r="I111" s="176"/>
      <c r="J111" s="176"/>
      <c r="K111" s="176"/>
      <c r="L111" s="176"/>
      <c r="M111" s="176"/>
      <c r="N111" s="176"/>
      <c r="O111" s="176"/>
      <c r="P111" s="176"/>
      <c r="Q111" s="176"/>
      <c r="R111" s="176"/>
      <c r="S111" s="176"/>
      <c r="T111" s="176"/>
      <c r="U111" s="176"/>
      <c r="V111" s="68"/>
      <c r="W111" s="68"/>
      <c r="X111" s="68"/>
      <c r="Y111" s="68"/>
      <c r="Z111" s="68"/>
      <c r="AA111" s="68"/>
      <c r="AB111" s="68"/>
      <c r="AC111" s="68"/>
      <c r="AD111" s="68"/>
      <c r="AE111" s="68"/>
      <c r="AF111" s="68"/>
      <c r="AG111" s="68"/>
    </row>
    <row r="112" spans="1:33" ht="132" customHeight="1">
      <c r="A112" s="73"/>
      <c r="B112" s="177"/>
      <c r="C112" s="177"/>
      <c r="D112" s="177"/>
      <c r="E112" s="177"/>
      <c r="F112" s="177"/>
      <c r="G112" s="177"/>
      <c r="H112" s="177"/>
      <c r="I112" s="177"/>
      <c r="J112" s="177"/>
      <c r="K112" s="177"/>
      <c r="L112" s="177"/>
      <c r="M112" s="177"/>
      <c r="N112" s="177"/>
      <c r="O112" s="177"/>
      <c r="P112" s="177"/>
      <c r="Q112" s="177"/>
      <c r="R112" s="177"/>
      <c r="S112" s="177"/>
      <c r="T112" s="177"/>
      <c r="U112" s="177"/>
      <c r="V112" s="70"/>
      <c r="W112" s="70"/>
      <c r="X112" s="70"/>
      <c r="Y112" s="70"/>
      <c r="Z112" s="70"/>
      <c r="AA112" s="70"/>
      <c r="AB112" s="70"/>
      <c r="AC112" s="70"/>
      <c r="AD112" s="70"/>
      <c r="AE112" s="70"/>
      <c r="AF112" s="70"/>
      <c r="AG112" s="70"/>
    </row>
    <row r="114" ht="18" customHeight="1"/>
  </sheetData>
  <mergeCells count="142">
    <mergeCell ref="B110:U110"/>
    <mergeCell ref="B111:U111"/>
    <mergeCell ref="B112:U112"/>
    <mergeCell ref="B73:E73"/>
    <mergeCell ref="B99:B101"/>
    <mergeCell ref="D99:U99"/>
    <mergeCell ref="D100:U100"/>
    <mergeCell ref="D101:U101"/>
    <mergeCell ref="B104:U104"/>
    <mergeCell ref="B108:U109"/>
    <mergeCell ref="B91:B92"/>
    <mergeCell ref="B93:B94"/>
    <mergeCell ref="D93:U93"/>
    <mergeCell ref="B95:B96"/>
    <mergeCell ref="D96:U96"/>
    <mergeCell ref="B97:B98"/>
    <mergeCell ref="D97:U97"/>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81:F81"/>
    <mergeCell ref="G81:J81"/>
    <mergeCell ref="K81:Q81"/>
    <mergeCell ref="R81:U81"/>
    <mergeCell ref="B82:F82"/>
    <mergeCell ref="G82:J82"/>
    <mergeCell ref="K82:Q82"/>
    <mergeCell ref="R82:U82"/>
    <mergeCell ref="B77:E77"/>
    <mergeCell ref="K77:P77"/>
    <mergeCell ref="B80:F80"/>
    <mergeCell ref="G80:J80"/>
    <mergeCell ref="K80:Q80"/>
    <mergeCell ref="R80:U80"/>
    <mergeCell ref="K73:P73"/>
    <mergeCell ref="K74:P74"/>
    <mergeCell ref="B75:E75"/>
    <mergeCell ref="K75:P75"/>
    <mergeCell ref="B76:E76"/>
    <mergeCell ref="K76:P76"/>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29:F29"/>
    <mergeCell ref="K28:Q28"/>
    <mergeCell ref="B28:F28"/>
    <mergeCell ref="K29:Q29"/>
    <mergeCell ref="B30:F30"/>
    <mergeCell ref="K30:Q30"/>
    <mergeCell ref="N22:U22"/>
    <mergeCell ref="A24:U25"/>
    <mergeCell ref="B26:F26"/>
    <mergeCell ref="K26:Q26"/>
    <mergeCell ref="B27:F27"/>
    <mergeCell ref="K27:Q27"/>
    <mergeCell ref="T1:U1"/>
    <mergeCell ref="C2:J2"/>
    <mergeCell ref="A5:U5"/>
    <mergeCell ref="L7:U7"/>
    <mergeCell ref="B11:U12"/>
    <mergeCell ref="B15:U20"/>
    <mergeCell ref="C3:J3"/>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60:J66 S27:U33 R71:U77 S38:U44 H38:J44 S49:U55 H27:J33 S60:U66 H49:J55 G71:J77" xr:uid="{E45730CC-7437-4A10-B3B2-3739F672F210}">
      <formula1>"○"</formula1>
    </dataValidation>
    <dataValidation type="list" allowBlank="1" showInputMessage="1" showErrorMessage="1" sqref="U34 U45 E34:H34 E45:H45" xr:uid="{F2BDC7D9-EE6D-4299-969F-5BAFA257E8F6}">
      <formula1>"全学開講,一部開講"</formula1>
    </dataValidation>
    <dataValidation type="list" allowBlank="1" showInputMessage="1" showErrorMessage="1" sqref="L14 L7:U7" xr:uid="{1D2542E6-5B71-4485-A3BB-B3F2B4F188F8}">
      <formula1>"学部・学科によって、修了要件は相違する,学部・学科によって、修了要件は相違しない"</formula1>
    </dataValidation>
    <dataValidation type="list" allowBlank="1" showInputMessage="1" showErrorMessage="1" sqref="S85:U88 R81:R88 H85:J88 S81:U82 H81:J81 G81:G88 H83:J83" xr:uid="{0FC687F3-2D09-481F-824E-5B75CD9F613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6E41E67D-FC2D-4198-8279-E708DAA100F7}">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H28" sqref="H28"/>
    </sheetView>
  </sheetViews>
  <sheetFormatPr defaultColWidth="9" defaultRowHeight="18.75" customHeight="1"/>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c r="A1" s="74"/>
      <c r="B1" s="74"/>
      <c r="C1" s="74"/>
      <c r="D1" s="74"/>
      <c r="E1" s="74"/>
      <c r="F1" s="74"/>
      <c r="G1" s="74"/>
      <c r="H1" s="74"/>
      <c r="I1" s="74"/>
      <c r="J1" s="74"/>
      <c r="K1" s="74"/>
      <c r="L1" s="74"/>
      <c r="M1" s="74"/>
      <c r="N1" s="74"/>
      <c r="O1" s="74"/>
      <c r="P1" s="74"/>
      <c r="Q1" s="74"/>
      <c r="R1" s="74"/>
      <c r="S1" s="74" t="s">
        <v>97</v>
      </c>
    </row>
    <row r="2" spans="1:21" ht="18" customHeight="1">
      <c r="A2" s="74"/>
      <c r="B2" s="74"/>
      <c r="C2" s="74"/>
      <c r="D2" s="74"/>
      <c r="E2" s="74"/>
      <c r="F2" s="74"/>
      <c r="G2" s="74"/>
      <c r="H2" s="74"/>
      <c r="I2" s="74"/>
      <c r="J2" s="74"/>
      <c r="K2" s="74"/>
      <c r="L2" s="74"/>
      <c r="M2" s="74"/>
      <c r="N2" s="74"/>
      <c r="O2" s="74"/>
      <c r="P2" s="74"/>
      <c r="Q2" s="191" t="str">
        <f>'様式１-1　プログラムを構成する授業科目'!C2</f>
        <v>環太平洋大学</v>
      </c>
      <c r="R2" s="191"/>
      <c r="S2" s="191"/>
    </row>
    <row r="3" spans="1:21" ht="18" customHeight="1">
      <c r="A3" s="145" t="s">
        <v>46</v>
      </c>
      <c r="B3" s="145"/>
      <c r="C3" s="145"/>
      <c r="D3" s="145"/>
      <c r="E3" s="145"/>
      <c r="F3" s="145"/>
      <c r="G3" s="145"/>
      <c r="H3" s="145"/>
      <c r="I3" s="145"/>
      <c r="J3" s="145"/>
      <c r="K3" s="145"/>
      <c r="L3" s="145"/>
      <c r="M3" s="145"/>
      <c r="N3" s="145"/>
      <c r="O3" s="145"/>
      <c r="P3" s="145"/>
      <c r="Q3" s="145"/>
      <c r="R3" s="145"/>
      <c r="S3" s="145"/>
    </row>
    <row r="4" spans="1:21" ht="7.5" customHeight="1">
      <c r="A4" s="79"/>
      <c r="B4" s="79"/>
      <c r="C4" s="79"/>
      <c r="D4" s="79"/>
      <c r="E4" s="79"/>
      <c r="F4" s="79"/>
      <c r="G4" s="79"/>
      <c r="H4" s="79"/>
      <c r="I4" s="79"/>
      <c r="J4" s="79"/>
      <c r="K4" s="79"/>
      <c r="L4" s="79"/>
      <c r="M4" s="79"/>
      <c r="N4" s="79"/>
      <c r="O4" s="79"/>
      <c r="P4" s="79"/>
      <c r="Q4" s="79"/>
      <c r="R4" s="79"/>
      <c r="S4" s="79"/>
    </row>
    <row r="5" spans="1:21" ht="18" customHeight="1">
      <c r="A5" s="74" t="s">
        <v>79</v>
      </c>
      <c r="B5" s="74"/>
      <c r="C5" s="192" t="s">
        <v>140</v>
      </c>
      <c r="D5" s="193"/>
      <c r="E5" s="79" t="s">
        <v>50</v>
      </c>
      <c r="F5" s="79"/>
      <c r="G5" s="79"/>
      <c r="H5" s="79"/>
      <c r="I5" s="79"/>
      <c r="J5" s="79"/>
      <c r="K5" s="79"/>
      <c r="L5" s="79"/>
      <c r="M5" s="79"/>
      <c r="N5" s="79"/>
      <c r="O5" s="79"/>
      <c r="P5" s="79"/>
      <c r="Q5" s="79"/>
      <c r="R5" s="77"/>
      <c r="S5" s="77"/>
    </row>
    <row r="6" spans="1:21" ht="7.2" customHeight="1">
      <c r="A6" s="74"/>
      <c r="B6" s="74"/>
      <c r="C6" s="84"/>
      <c r="D6" s="84"/>
      <c r="E6" s="79"/>
      <c r="F6" s="79"/>
      <c r="G6" s="79"/>
      <c r="H6" s="79"/>
      <c r="I6" s="79"/>
      <c r="J6" s="79"/>
      <c r="K6" s="79"/>
      <c r="L6" s="79"/>
      <c r="M6" s="79"/>
      <c r="N6" s="79"/>
      <c r="O6" s="79"/>
      <c r="P6" s="79"/>
      <c r="Q6" s="79"/>
      <c r="R6" s="77"/>
      <c r="S6" s="77"/>
    </row>
    <row r="7" spans="1:21" ht="18" customHeight="1">
      <c r="A7" s="74" t="s">
        <v>117</v>
      </c>
      <c r="B7" s="74"/>
      <c r="C7" s="84"/>
      <c r="D7" s="84"/>
      <c r="E7" s="79" t="s">
        <v>118</v>
      </c>
      <c r="F7" s="82">
        <v>1925</v>
      </c>
      <c r="G7" s="80" t="s">
        <v>119</v>
      </c>
      <c r="H7" s="79" t="s">
        <v>120</v>
      </c>
      <c r="I7" s="82">
        <v>1019</v>
      </c>
      <c r="J7" s="80" t="s">
        <v>119</v>
      </c>
      <c r="K7" s="76" t="s">
        <v>121</v>
      </c>
      <c r="L7" s="79" t="s">
        <v>122</v>
      </c>
      <c r="M7" s="82">
        <f>F7+I7</f>
        <v>2944</v>
      </c>
      <c r="N7" s="79" t="s">
        <v>1</v>
      </c>
      <c r="O7" s="80" t="s">
        <v>123</v>
      </c>
      <c r="P7" s="79"/>
      <c r="Q7" s="79"/>
      <c r="R7" s="77"/>
      <c r="S7" s="77"/>
    </row>
    <row r="8" spans="1:21" ht="6" customHeight="1">
      <c r="A8" s="79"/>
      <c r="B8" s="79"/>
      <c r="C8" s="79"/>
      <c r="D8" s="79"/>
      <c r="E8" s="79"/>
      <c r="F8" s="79"/>
      <c r="G8" s="79"/>
      <c r="H8" s="79"/>
      <c r="I8" s="79"/>
      <c r="J8" s="79"/>
      <c r="K8" s="79"/>
      <c r="L8" s="79"/>
      <c r="M8" s="79"/>
      <c r="N8" s="79"/>
      <c r="O8" s="79"/>
      <c r="P8" s="79"/>
      <c r="Q8" s="79"/>
      <c r="R8" s="79"/>
      <c r="S8" s="79"/>
    </row>
    <row r="9" spans="1:21" ht="18" customHeight="1">
      <c r="A9" s="74" t="s">
        <v>134</v>
      </c>
      <c r="B9" s="79"/>
      <c r="C9" s="79"/>
      <c r="D9" s="79"/>
      <c r="E9" s="79"/>
      <c r="F9" s="79"/>
      <c r="G9" s="79"/>
      <c r="H9" s="79"/>
      <c r="I9" s="79"/>
      <c r="J9" s="79"/>
      <c r="K9" s="79"/>
      <c r="L9" s="79"/>
      <c r="M9" s="79"/>
      <c r="N9" s="79"/>
      <c r="O9" s="79"/>
      <c r="P9" s="79"/>
      <c r="Q9" s="79"/>
      <c r="R9" s="79"/>
      <c r="S9" s="79"/>
    </row>
    <row r="10" spans="1:21" ht="6" customHeight="1">
      <c r="B10" s="3"/>
      <c r="C10" s="3"/>
      <c r="D10" s="3"/>
      <c r="E10" s="3"/>
      <c r="F10" s="3"/>
      <c r="G10" s="3"/>
      <c r="H10" s="3"/>
      <c r="I10" s="3"/>
      <c r="J10" s="3"/>
      <c r="K10" s="3"/>
      <c r="L10" s="3"/>
      <c r="M10" s="3"/>
      <c r="N10" s="3"/>
      <c r="O10" s="3"/>
      <c r="P10" s="3"/>
      <c r="Q10" s="3"/>
      <c r="R10" s="3"/>
      <c r="S10" s="3"/>
    </row>
    <row r="11" spans="1:21" ht="18" customHeight="1">
      <c r="B11" s="194" t="s">
        <v>43</v>
      </c>
      <c r="C11" s="204" t="s">
        <v>82</v>
      </c>
      <c r="D11" s="196" t="s">
        <v>45</v>
      </c>
      <c r="E11" s="198" t="s">
        <v>38</v>
      </c>
      <c r="F11" s="190" t="s">
        <v>111</v>
      </c>
      <c r="G11" s="190"/>
      <c r="H11" s="190" t="s">
        <v>81</v>
      </c>
      <c r="I11" s="190"/>
      <c r="J11" s="190" t="s">
        <v>47</v>
      </c>
      <c r="K11" s="190"/>
      <c r="L11" s="190" t="s">
        <v>48</v>
      </c>
      <c r="M11" s="190"/>
      <c r="N11" s="190" t="s">
        <v>91</v>
      </c>
      <c r="O11" s="190"/>
      <c r="P11" s="190" t="s">
        <v>49</v>
      </c>
      <c r="Q11" s="190"/>
      <c r="R11" s="200" t="s">
        <v>34</v>
      </c>
      <c r="S11" s="202" t="s">
        <v>31</v>
      </c>
      <c r="U11" s="2"/>
    </row>
    <row r="12" spans="1:21" ht="16.95" customHeight="1">
      <c r="B12" s="195"/>
      <c r="C12" s="205"/>
      <c r="D12" s="197"/>
      <c r="E12" s="199"/>
      <c r="F12" s="63" t="s">
        <v>90</v>
      </c>
      <c r="G12" s="63" t="s">
        <v>28</v>
      </c>
      <c r="H12" s="63" t="s">
        <v>90</v>
      </c>
      <c r="I12" s="63" t="s">
        <v>28</v>
      </c>
      <c r="J12" s="63" t="s">
        <v>90</v>
      </c>
      <c r="K12" s="63" t="s">
        <v>28</v>
      </c>
      <c r="L12" s="63" t="s">
        <v>90</v>
      </c>
      <c r="M12" s="63" t="s">
        <v>28</v>
      </c>
      <c r="N12" s="63" t="s">
        <v>90</v>
      </c>
      <c r="O12" s="63" t="s">
        <v>28</v>
      </c>
      <c r="P12" s="63" t="s">
        <v>90</v>
      </c>
      <c r="Q12" s="64" t="s">
        <v>28</v>
      </c>
      <c r="R12" s="201"/>
      <c r="S12" s="203"/>
      <c r="U12" s="2"/>
    </row>
    <row r="13" spans="1:21" ht="18" customHeight="1">
      <c r="A13" s="6"/>
      <c r="B13" s="65" t="s">
        <v>141</v>
      </c>
      <c r="C13" s="51">
        <v>1479</v>
      </c>
      <c r="D13" s="52">
        <v>360</v>
      </c>
      <c r="E13" s="53">
        <v>1440</v>
      </c>
      <c r="F13" s="53">
        <v>848</v>
      </c>
      <c r="G13" s="53">
        <v>664</v>
      </c>
      <c r="H13" s="53"/>
      <c r="I13" s="53"/>
      <c r="J13" s="53"/>
      <c r="K13" s="53"/>
      <c r="L13" s="53"/>
      <c r="M13" s="53"/>
      <c r="N13" s="53"/>
      <c r="O13" s="53"/>
      <c r="P13" s="53"/>
      <c r="Q13" s="66"/>
      <c r="R13" s="52">
        <f t="shared" ref="R13:R32" si="0">F13+H13+J13+L13+N13+P13</f>
        <v>848</v>
      </c>
      <c r="S13" s="95">
        <f>R13/E13</f>
        <v>0.58888888888888891</v>
      </c>
    </row>
    <row r="14" spans="1:21" ht="18" customHeight="1">
      <c r="A14" s="6"/>
      <c r="B14" s="11" t="s">
        <v>142</v>
      </c>
      <c r="C14" s="54">
        <v>724</v>
      </c>
      <c r="D14" s="55">
        <v>250</v>
      </c>
      <c r="E14" s="56">
        <v>1000</v>
      </c>
      <c r="F14" s="57">
        <v>426</v>
      </c>
      <c r="G14" s="57">
        <v>395</v>
      </c>
      <c r="H14" s="57"/>
      <c r="I14" s="57"/>
      <c r="J14" s="57"/>
      <c r="K14" s="57"/>
      <c r="L14" s="57"/>
      <c r="M14" s="57"/>
      <c r="N14" s="57"/>
      <c r="O14" s="57"/>
      <c r="P14" s="57"/>
      <c r="Q14" s="54"/>
      <c r="R14" s="55">
        <f>F14+H14+J14+L14+N14+P14</f>
        <v>426</v>
      </c>
      <c r="S14" s="8">
        <f>R14/E14</f>
        <v>0.42599999999999999</v>
      </c>
    </row>
    <row r="15" spans="1:21" ht="18" customHeight="1">
      <c r="A15" s="6"/>
      <c r="B15" s="11" t="s">
        <v>197</v>
      </c>
      <c r="C15" s="54">
        <v>741</v>
      </c>
      <c r="D15" s="55">
        <v>200</v>
      </c>
      <c r="E15" s="56">
        <v>800</v>
      </c>
      <c r="F15" s="57">
        <v>345</v>
      </c>
      <c r="G15" s="57">
        <v>0</v>
      </c>
      <c r="H15" s="57"/>
      <c r="I15" s="57"/>
      <c r="J15" s="57"/>
      <c r="K15" s="57"/>
      <c r="L15" s="57"/>
      <c r="M15" s="57"/>
      <c r="N15" s="57"/>
      <c r="O15" s="57"/>
      <c r="P15" s="57"/>
      <c r="Q15" s="54"/>
      <c r="R15" s="55">
        <f t="shared" si="0"/>
        <v>345</v>
      </c>
      <c r="S15" s="8">
        <f t="shared" ref="S15:S33" si="1">R15/E15</f>
        <v>0.43125000000000002</v>
      </c>
    </row>
    <row r="16" spans="1:21" ht="18" customHeight="1">
      <c r="A16" s="6"/>
      <c r="B16" s="11"/>
      <c r="C16" s="54"/>
      <c r="D16" s="55"/>
      <c r="E16" s="56"/>
      <c r="F16" s="57"/>
      <c r="G16" s="57"/>
      <c r="H16" s="57"/>
      <c r="I16" s="57"/>
      <c r="J16" s="57"/>
      <c r="K16" s="57"/>
      <c r="L16" s="57"/>
      <c r="M16" s="57"/>
      <c r="N16" s="57"/>
      <c r="O16" s="57"/>
      <c r="P16" s="57"/>
      <c r="Q16" s="54"/>
      <c r="R16" s="55">
        <f t="shared" si="0"/>
        <v>0</v>
      </c>
      <c r="S16" s="8" t="e">
        <f t="shared" si="1"/>
        <v>#DIV/0!</v>
      </c>
    </row>
    <row r="17" spans="1:19" ht="18" customHeight="1">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c r="B33" s="13" t="s">
        <v>32</v>
      </c>
      <c r="C33" s="60">
        <f t="shared" ref="C33" si="2">SUM(C13:C32)</f>
        <v>2944</v>
      </c>
      <c r="D33" s="61">
        <f t="shared" ref="D33:R33" si="3">SUM(D13:D32)</f>
        <v>810</v>
      </c>
      <c r="E33" s="62">
        <f t="shared" si="3"/>
        <v>3240</v>
      </c>
      <c r="F33" s="62">
        <f t="shared" si="3"/>
        <v>1619</v>
      </c>
      <c r="G33" s="62">
        <f t="shared" ref="G33:H33" si="4">SUM(G13:G32)</f>
        <v>1059</v>
      </c>
      <c r="H33" s="62">
        <f t="shared" si="4"/>
        <v>0</v>
      </c>
      <c r="I33" s="62">
        <f t="shared" ref="I33:J33" si="5">SUM(I13:I32)</f>
        <v>0</v>
      </c>
      <c r="J33" s="62">
        <f t="shared" si="5"/>
        <v>0</v>
      </c>
      <c r="K33" s="62">
        <f t="shared" ref="K33:O33" si="6">SUM(K13:K32)</f>
        <v>0</v>
      </c>
      <c r="L33" s="62">
        <f t="shared" si="6"/>
        <v>0</v>
      </c>
      <c r="M33" s="62">
        <f t="shared" si="6"/>
        <v>0</v>
      </c>
      <c r="N33" s="62">
        <f t="shared" si="6"/>
        <v>0</v>
      </c>
      <c r="O33" s="62">
        <f t="shared" si="6"/>
        <v>0</v>
      </c>
      <c r="P33" s="62">
        <f t="shared" ref="P33:Q33" si="7">SUM(P13:P32)</f>
        <v>0</v>
      </c>
      <c r="Q33" s="60">
        <f t="shared" si="7"/>
        <v>0</v>
      </c>
      <c r="R33" s="61">
        <f t="shared" si="3"/>
        <v>1619</v>
      </c>
      <c r="S33" s="9">
        <f t="shared" si="1"/>
        <v>0.49969135802469133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35" sqref="B35:I46"/>
    </sheetView>
  </sheetViews>
  <sheetFormatPr defaultColWidth="11.33203125" defaultRowHeight="18.75" customHeight="1"/>
  <cols>
    <col min="1" max="1" width="2.77734375" style="3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c r="A1" s="31" t="s">
        <v>62</v>
      </c>
      <c r="I1" s="29" t="s">
        <v>96</v>
      </c>
    </row>
    <row r="2" spans="1:9" ht="18.75" customHeight="1">
      <c r="G2" s="29" t="s">
        <v>98</v>
      </c>
      <c r="H2" s="115" t="str">
        <f>'様式１-1　プログラムを構成する授業科目'!C2</f>
        <v>環太平洋大学</v>
      </c>
      <c r="I2" s="117"/>
    </row>
    <row r="3" spans="1:9" ht="18.75" customHeight="1">
      <c r="G3" s="29"/>
      <c r="H3" s="10"/>
      <c r="I3" s="10"/>
    </row>
    <row r="4" spans="1:9" ht="18.600000000000001" customHeight="1">
      <c r="A4" s="234" t="s">
        <v>35</v>
      </c>
      <c r="B4" s="234"/>
      <c r="C4" s="234"/>
      <c r="D4" s="234"/>
      <c r="E4" s="234"/>
      <c r="F4" s="234"/>
      <c r="G4" s="234"/>
      <c r="H4" s="234"/>
      <c r="I4" s="234"/>
    </row>
    <row r="5" spans="1:9" ht="13.2" customHeight="1">
      <c r="B5" s="3"/>
      <c r="C5" s="3"/>
      <c r="D5" s="3"/>
      <c r="E5" s="3"/>
      <c r="F5" s="3"/>
      <c r="G5" s="3"/>
      <c r="H5" s="3"/>
      <c r="I5" s="3"/>
    </row>
    <row r="6" spans="1:9" ht="18" customHeight="1">
      <c r="A6" s="1" t="s">
        <v>0</v>
      </c>
      <c r="B6" s="10" t="s">
        <v>85</v>
      </c>
      <c r="C6" s="254" t="s">
        <v>86</v>
      </c>
      <c r="D6" s="254"/>
      <c r="E6" s="28">
        <v>124</v>
      </c>
      <c r="F6" s="3" t="s">
        <v>1</v>
      </c>
      <c r="G6" s="3" t="s">
        <v>2</v>
      </c>
      <c r="H6" s="28">
        <v>48</v>
      </c>
      <c r="I6" s="10" t="s">
        <v>1</v>
      </c>
    </row>
    <row r="7" spans="1:9" ht="12" customHeight="1">
      <c r="C7" s="2"/>
      <c r="D7" s="2"/>
      <c r="E7" s="2"/>
      <c r="F7" s="2"/>
      <c r="G7" s="2"/>
      <c r="H7" s="2"/>
      <c r="I7" s="32"/>
    </row>
    <row r="8" spans="1:9" ht="18" customHeight="1">
      <c r="A8" s="1" t="s">
        <v>3</v>
      </c>
      <c r="B8" s="10" t="s">
        <v>87</v>
      </c>
      <c r="E8" s="3"/>
      <c r="F8" s="3"/>
      <c r="G8" s="3"/>
      <c r="H8" s="28">
        <v>12</v>
      </c>
      <c r="I8" s="10" t="s">
        <v>1</v>
      </c>
    </row>
    <row r="9" spans="1:9" ht="9" customHeight="1">
      <c r="B9" s="3"/>
      <c r="C9" s="3"/>
      <c r="D9" s="3"/>
      <c r="E9" s="3"/>
      <c r="F9" s="3"/>
      <c r="G9" s="3"/>
      <c r="H9" s="3"/>
      <c r="I9" s="3"/>
    </row>
    <row r="10" spans="1:9" ht="18" customHeight="1">
      <c r="A10" s="1" t="s">
        <v>4</v>
      </c>
      <c r="B10" s="10" t="s">
        <v>88</v>
      </c>
      <c r="C10" s="3"/>
      <c r="D10" s="3"/>
      <c r="E10" s="3"/>
      <c r="F10" s="3"/>
      <c r="G10" s="3"/>
      <c r="H10" s="3"/>
      <c r="I10" s="3"/>
    </row>
    <row r="11" spans="1:9" ht="18" customHeight="1">
      <c r="B11" s="29" t="s">
        <v>41</v>
      </c>
      <c r="C11" s="249" t="s">
        <v>186</v>
      </c>
      <c r="D11" s="252"/>
      <c r="E11" s="253"/>
      <c r="F11" s="32"/>
      <c r="G11" s="29" t="s">
        <v>10</v>
      </c>
      <c r="H11" s="249" t="s">
        <v>187</v>
      </c>
      <c r="I11" s="253"/>
    </row>
    <row r="12" spans="1:9" ht="10.199999999999999" customHeight="1">
      <c r="B12" s="29"/>
      <c r="C12" s="10"/>
      <c r="D12" s="32"/>
      <c r="E12" s="32"/>
      <c r="F12" s="32"/>
      <c r="G12" s="29"/>
      <c r="H12" s="10"/>
      <c r="I12" s="32"/>
    </row>
    <row r="13" spans="1:9" ht="18" customHeight="1">
      <c r="A13" s="1" t="s">
        <v>7</v>
      </c>
      <c r="B13" s="10" t="s">
        <v>83</v>
      </c>
      <c r="C13" s="3"/>
      <c r="D13" s="3"/>
      <c r="E13" s="3"/>
      <c r="F13" s="3"/>
      <c r="G13" s="3"/>
      <c r="H13" s="3"/>
      <c r="I13" s="3"/>
    </row>
    <row r="14" spans="1:9" ht="18" customHeight="1">
      <c r="B14" s="249" t="s">
        <v>188</v>
      </c>
      <c r="C14" s="250"/>
      <c r="D14" s="250"/>
      <c r="E14" s="250"/>
      <c r="F14" s="250"/>
      <c r="G14" s="250"/>
      <c r="H14" s="250"/>
      <c r="I14" s="251"/>
    </row>
    <row r="15" spans="1:9" ht="9" customHeight="1">
      <c r="B15" s="3"/>
      <c r="C15" s="3"/>
      <c r="D15" s="3"/>
      <c r="E15" s="3"/>
      <c r="F15" s="3"/>
      <c r="G15" s="3"/>
      <c r="H15" s="3"/>
      <c r="I15" s="3"/>
    </row>
    <row r="16" spans="1:9" ht="18" customHeight="1">
      <c r="B16" s="29" t="s">
        <v>41</v>
      </c>
      <c r="C16" s="249" t="s">
        <v>186</v>
      </c>
      <c r="D16" s="252"/>
      <c r="E16" s="253"/>
      <c r="F16" s="32"/>
      <c r="G16" s="29" t="s">
        <v>10</v>
      </c>
      <c r="H16" s="249" t="s">
        <v>187</v>
      </c>
      <c r="I16" s="253"/>
    </row>
    <row r="17" spans="1:9" ht="18" customHeight="1">
      <c r="B17" s="3"/>
      <c r="C17" s="3"/>
      <c r="D17" s="3"/>
      <c r="E17" s="3"/>
      <c r="F17" s="3"/>
      <c r="G17" s="3"/>
      <c r="H17" s="3"/>
      <c r="I17" s="3"/>
    </row>
    <row r="18" spans="1:9" ht="18.75" customHeight="1">
      <c r="A18" s="1" t="s">
        <v>5</v>
      </c>
      <c r="B18" s="1" t="s">
        <v>40</v>
      </c>
      <c r="I18" s="3"/>
    </row>
    <row r="19" spans="1:9" ht="18.75" customHeight="1">
      <c r="A19" s="1"/>
      <c r="B19" s="235" t="s">
        <v>189</v>
      </c>
      <c r="C19" s="236"/>
      <c r="D19" s="236"/>
      <c r="E19" s="236"/>
      <c r="F19" s="236"/>
      <c r="G19" s="236"/>
      <c r="H19" s="236"/>
      <c r="I19" s="237"/>
    </row>
    <row r="20" spans="1:9" ht="7.5" customHeight="1">
      <c r="B20" s="3"/>
      <c r="C20" s="3"/>
      <c r="D20" s="3"/>
      <c r="E20" s="3"/>
      <c r="F20" s="3"/>
      <c r="G20" s="3"/>
      <c r="H20" s="3"/>
      <c r="I20" s="3"/>
    </row>
    <row r="21" spans="1:9" ht="18.75" customHeight="1">
      <c r="A21" s="1" t="s">
        <v>8</v>
      </c>
      <c r="B21" s="1" t="s">
        <v>24</v>
      </c>
    </row>
    <row r="22" spans="1:9" ht="18.75" customHeight="1">
      <c r="A22" s="14"/>
      <c r="B22" s="238" t="s">
        <v>195</v>
      </c>
      <c r="C22" s="239"/>
      <c r="D22" s="239"/>
      <c r="E22" s="239"/>
      <c r="F22" s="239"/>
      <c r="G22" s="239"/>
      <c r="H22" s="239"/>
      <c r="I22" s="240"/>
    </row>
    <row r="23" spans="1:9" ht="18.75" customHeight="1">
      <c r="A23" s="14"/>
      <c r="B23" s="241"/>
      <c r="C23" s="242"/>
      <c r="D23" s="242"/>
      <c r="E23" s="242"/>
      <c r="F23" s="242"/>
      <c r="G23" s="242"/>
      <c r="H23" s="242"/>
      <c r="I23" s="243"/>
    </row>
    <row r="24" spans="1:9" ht="18.75" customHeight="1">
      <c r="A24" s="14"/>
      <c r="B24" s="241"/>
      <c r="C24" s="242"/>
      <c r="D24" s="242"/>
      <c r="E24" s="242"/>
      <c r="F24" s="242"/>
      <c r="G24" s="242"/>
      <c r="H24" s="242"/>
      <c r="I24" s="243"/>
    </row>
    <row r="25" spans="1:9" ht="18.75" customHeight="1">
      <c r="A25" s="14"/>
      <c r="B25" s="241"/>
      <c r="C25" s="242"/>
      <c r="D25" s="242"/>
      <c r="E25" s="242"/>
      <c r="F25" s="242"/>
      <c r="G25" s="242"/>
      <c r="H25" s="242"/>
      <c r="I25" s="243"/>
    </row>
    <row r="26" spans="1:9" ht="18.75" customHeight="1">
      <c r="A26" s="14"/>
      <c r="B26" s="241"/>
      <c r="C26" s="242"/>
      <c r="D26" s="242"/>
      <c r="E26" s="242"/>
      <c r="F26" s="242"/>
      <c r="G26" s="242"/>
      <c r="H26" s="242"/>
      <c r="I26" s="243"/>
    </row>
    <row r="27" spans="1:9" ht="18.75" customHeight="1">
      <c r="A27" s="14"/>
      <c r="B27" s="241"/>
      <c r="C27" s="242"/>
      <c r="D27" s="242"/>
      <c r="E27" s="242"/>
      <c r="F27" s="242"/>
      <c r="G27" s="242"/>
      <c r="H27" s="242"/>
      <c r="I27" s="243"/>
    </row>
    <row r="28" spans="1:9" ht="18.75" customHeight="1">
      <c r="A28" s="14"/>
      <c r="B28" s="241"/>
      <c r="C28" s="242"/>
      <c r="D28" s="242"/>
      <c r="E28" s="242"/>
      <c r="F28" s="242"/>
      <c r="G28" s="242"/>
      <c r="H28" s="242"/>
      <c r="I28" s="243"/>
    </row>
    <row r="29" spans="1:9" ht="18.75" customHeight="1">
      <c r="A29" s="14"/>
      <c r="B29" s="241"/>
      <c r="C29" s="242"/>
      <c r="D29" s="242"/>
      <c r="E29" s="242"/>
      <c r="F29" s="242"/>
      <c r="G29" s="242"/>
      <c r="H29" s="242"/>
      <c r="I29" s="243"/>
    </row>
    <row r="30" spans="1:9" ht="18.75" customHeight="1">
      <c r="A30" s="14"/>
      <c r="B30" s="244"/>
      <c r="C30" s="245"/>
      <c r="D30" s="245"/>
      <c r="E30" s="245"/>
      <c r="F30" s="245"/>
      <c r="G30" s="245"/>
      <c r="H30" s="245"/>
      <c r="I30" s="243"/>
    </row>
    <row r="31" spans="1:9" ht="18.75" customHeight="1">
      <c r="A31" s="14"/>
      <c r="B31" s="244"/>
      <c r="C31" s="245"/>
      <c r="D31" s="245"/>
      <c r="E31" s="245"/>
      <c r="F31" s="245"/>
      <c r="G31" s="245"/>
      <c r="H31" s="245"/>
      <c r="I31" s="243"/>
    </row>
    <row r="32" spans="1:9" ht="18.75" customHeight="1">
      <c r="A32" s="14"/>
      <c r="B32" s="246"/>
      <c r="C32" s="247"/>
      <c r="D32" s="247"/>
      <c r="E32" s="247"/>
      <c r="F32" s="247"/>
      <c r="G32" s="247"/>
      <c r="H32" s="247"/>
      <c r="I32" s="248"/>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238" t="s">
        <v>196</v>
      </c>
      <c r="C35" s="239"/>
      <c r="D35" s="239"/>
      <c r="E35" s="239"/>
      <c r="F35" s="239"/>
      <c r="G35" s="239"/>
      <c r="H35" s="239"/>
      <c r="I35" s="240"/>
    </row>
    <row r="36" spans="1:9" ht="18.75" customHeight="1">
      <c r="A36" s="14"/>
      <c r="B36" s="244"/>
      <c r="C36" s="245"/>
      <c r="D36" s="245"/>
      <c r="E36" s="245"/>
      <c r="F36" s="245"/>
      <c r="G36" s="245"/>
      <c r="H36" s="245"/>
      <c r="I36" s="243"/>
    </row>
    <row r="37" spans="1:9" ht="18.75" customHeight="1">
      <c r="A37" s="14"/>
      <c r="B37" s="244"/>
      <c r="C37" s="245"/>
      <c r="D37" s="245"/>
      <c r="E37" s="245"/>
      <c r="F37" s="245"/>
      <c r="G37" s="245"/>
      <c r="H37" s="245"/>
      <c r="I37" s="243"/>
    </row>
    <row r="38" spans="1:9" ht="18.75" customHeight="1">
      <c r="A38" s="14"/>
      <c r="B38" s="244"/>
      <c r="C38" s="245"/>
      <c r="D38" s="245"/>
      <c r="E38" s="245"/>
      <c r="F38" s="245"/>
      <c r="G38" s="245"/>
      <c r="H38" s="245"/>
      <c r="I38" s="243"/>
    </row>
    <row r="39" spans="1:9" ht="18.75" customHeight="1">
      <c r="A39" s="14"/>
      <c r="B39" s="244"/>
      <c r="C39" s="245"/>
      <c r="D39" s="245"/>
      <c r="E39" s="245"/>
      <c r="F39" s="245"/>
      <c r="G39" s="245"/>
      <c r="H39" s="245"/>
      <c r="I39" s="243"/>
    </row>
    <row r="40" spans="1:9" ht="18.75" customHeight="1">
      <c r="A40" s="14"/>
      <c r="B40" s="244"/>
      <c r="C40" s="245"/>
      <c r="D40" s="245"/>
      <c r="E40" s="245"/>
      <c r="F40" s="245"/>
      <c r="G40" s="245"/>
      <c r="H40" s="245"/>
      <c r="I40" s="243"/>
    </row>
    <row r="41" spans="1:9" ht="18.75" customHeight="1">
      <c r="A41" s="14"/>
      <c r="B41" s="244"/>
      <c r="C41" s="245"/>
      <c r="D41" s="245"/>
      <c r="E41" s="245"/>
      <c r="F41" s="245"/>
      <c r="G41" s="245"/>
      <c r="H41" s="245"/>
      <c r="I41" s="243"/>
    </row>
    <row r="42" spans="1:9" ht="18.75" customHeight="1">
      <c r="A42" s="14"/>
      <c r="B42" s="244"/>
      <c r="C42" s="245"/>
      <c r="D42" s="245"/>
      <c r="E42" s="245"/>
      <c r="F42" s="245"/>
      <c r="G42" s="245"/>
      <c r="H42" s="245"/>
      <c r="I42" s="243"/>
    </row>
    <row r="43" spans="1:9" ht="18.75" customHeight="1">
      <c r="A43" s="14"/>
      <c r="B43" s="244"/>
      <c r="C43" s="245"/>
      <c r="D43" s="245"/>
      <c r="E43" s="245"/>
      <c r="F43" s="245"/>
      <c r="G43" s="245"/>
      <c r="H43" s="245"/>
      <c r="I43" s="243"/>
    </row>
    <row r="44" spans="1:9" ht="18.75" customHeight="1">
      <c r="A44" s="14"/>
      <c r="B44" s="244"/>
      <c r="C44" s="245"/>
      <c r="D44" s="245"/>
      <c r="E44" s="245"/>
      <c r="F44" s="245"/>
      <c r="G44" s="245"/>
      <c r="H44" s="245"/>
      <c r="I44" s="243"/>
    </row>
    <row r="45" spans="1:9" ht="18.75" customHeight="1">
      <c r="A45" s="14"/>
      <c r="B45" s="244"/>
      <c r="C45" s="245"/>
      <c r="D45" s="245"/>
      <c r="E45" s="245"/>
      <c r="F45" s="245"/>
      <c r="G45" s="245"/>
      <c r="H45" s="245"/>
      <c r="I45" s="243"/>
    </row>
    <row r="46" spans="1:9" ht="18.75" customHeight="1">
      <c r="A46" s="14"/>
      <c r="B46" s="246"/>
      <c r="C46" s="247"/>
      <c r="D46" s="247"/>
      <c r="E46" s="247"/>
      <c r="F46" s="247"/>
      <c r="G46" s="247"/>
      <c r="H46" s="247"/>
      <c r="I46" s="248"/>
    </row>
    <row r="47" spans="1:9" ht="7.5" customHeight="1">
      <c r="A47" s="4"/>
      <c r="B47" s="4"/>
      <c r="C47" s="4"/>
      <c r="D47" s="4"/>
      <c r="E47" s="4"/>
      <c r="F47" s="4"/>
      <c r="G47" s="4"/>
      <c r="H47" s="4"/>
      <c r="I47" s="4"/>
    </row>
    <row r="48" spans="1:9" ht="18.75" customHeight="1">
      <c r="A48" s="1" t="s">
        <v>30</v>
      </c>
      <c r="B48" s="1" t="s">
        <v>110</v>
      </c>
    </row>
    <row r="49" spans="1:15" s="3" customFormat="1" ht="18.75" customHeight="1">
      <c r="B49" s="33" t="s">
        <v>127</v>
      </c>
      <c r="C49" s="223">
        <f>'様式２ 履修者等数の実績'!S33</f>
        <v>0.49969135802469133</v>
      </c>
      <c r="D49" s="223"/>
      <c r="E49" s="33" t="s">
        <v>63</v>
      </c>
      <c r="F49" s="223">
        <v>0.6</v>
      </c>
      <c r="G49" s="223"/>
      <c r="H49" s="33" t="s">
        <v>64</v>
      </c>
      <c r="I49" s="34">
        <v>0.7</v>
      </c>
      <c r="J49" s="1"/>
      <c r="M49" s="1"/>
      <c r="N49" s="35"/>
    </row>
    <row r="50" spans="1:15" s="3" customFormat="1" ht="18.75" customHeight="1">
      <c r="B50" s="36" t="s">
        <v>84</v>
      </c>
      <c r="C50" s="206">
        <v>0.8</v>
      </c>
      <c r="D50" s="206"/>
      <c r="E50" s="36" t="s">
        <v>128</v>
      </c>
      <c r="F50" s="206">
        <v>0.85</v>
      </c>
      <c r="G50" s="206"/>
      <c r="H50" s="36" t="s">
        <v>65</v>
      </c>
      <c r="I50" s="37">
        <f>'様式２ 履修者等数の実績'!E33</f>
        <v>3240</v>
      </c>
      <c r="J50" s="1"/>
      <c r="M50" s="1"/>
      <c r="N50" s="35"/>
    </row>
    <row r="51" spans="1:15" ht="18.75" customHeight="1">
      <c r="A51" s="1"/>
      <c r="B51" s="256" t="s">
        <v>66</v>
      </c>
      <c r="C51" s="257"/>
      <c r="D51" s="257"/>
      <c r="E51" s="257"/>
      <c r="F51" s="257"/>
      <c r="G51" s="257"/>
      <c r="H51" s="257"/>
      <c r="I51" s="258"/>
      <c r="N51" s="35"/>
      <c r="O51" s="3"/>
    </row>
    <row r="52" spans="1:15" ht="18.75" customHeight="1">
      <c r="A52" s="1"/>
      <c r="B52" s="224" t="s">
        <v>193</v>
      </c>
      <c r="C52" s="225"/>
      <c r="D52" s="225"/>
      <c r="E52" s="225"/>
      <c r="F52" s="225"/>
      <c r="G52" s="225"/>
      <c r="H52" s="225"/>
      <c r="I52" s="226"/>
      <c r="N52" s="35"/>
      <c r="O52" s="3"/>
    </row>
    <row r="53" spans="1:15" ht="18.75" customHeight="1">
      <c r="A53" s="1"/>
      <c r="B53" s="227"/>
      <c r="C53" s="228"/>
      <c r="D53" s="228"/>
      <c r="E53" s="228"/>
      <c r="F53" s="228"/>
      <c r="G53" s="228"/>
      <c r="H53" s="228"/>
      <c r="I53" s="229"/>
      <c r="N53" s="35"/>
      <c r="O53" s="3"/>
    </row>
    <row r="54" spans="1:15" ht="18.75" customHeight="1">
      <c r="A54" s="1"/>
      <c r="B54" s="227"/>
      <c r="C54" s="228"/>
      <c r="D54" s="228"/>
      <c r="E54" s="228"/>
      <c r="F54" s="228"/>
      <c r="G54" s="228"/>
      <c r="H54" s="228"/>
      <c r="I54" s="229"/>
    </row>
    <row r="55" spans="1:15" ht="18.75" customHeight="1">
      <c r="A55" s="1"/>
      <c r="B55" s="227"/>
      <c r="C55" s="228"/>
      <c r="D55" s="228"/>
      <c r="E55" s="228"/>
      <c r="F55" s="228"/>
      <c r="G55" s="228"/>
      <c r="H55" s="228"/>
      <c r="I55" s="229"/>
    </row>
    <row r="56" spans="1:15" ht="18.75" customHeight="1">
      <c r="A56" s="1"/>
      <c r="B56" s="227"/>
      <c r="C56" s="228"/>
      <c r="D56" s="228"/>
      <c r="E56" s="228"/>
      <c r="F56" s="228"/>
      <c r="G56" s="228"/>
      <c r="H56" s="228"/>
      <c r="I56" s="229"/>
    </row>
    <row r="57" spans="1:15" ht="18.75" customHeight="1">
      <c r="A57" s="1"/>
      <c r="B57" s="227"/>
      <c r="C57" s="228"/>
      <c r="D57" s="228"/>
      <c r="E57" s="228"/>
      <c r="F57" s="228"/>
      <c r="G57" s="228"/>
      <c r="H57" s="228"/>
      <c r="I57" s="229"/>
    </row>
    <row r="58" spans="1:15" ht="18.75" customHeight="1">
      <c r="A58" s="1"/>
      <c r="B58" s="227"/>
      <c r="C58" s="228"/>
      <c r="D58" s="228"/>
      <c r="E58" s="228"/>
      <c r="F58" s="228"/>
      <c r="G58" s="228"/>
      <c r="H58" s="228"/>
      <c r="I58" s="229"/>
    </row>
    <row r="59" spans="1:15" ht="18.75" customHeight="1">
      <c r="A59" s="1"/>
      <c r="B59" s="227"/>
      <c r="C59" s="228"/>
      <c r="D59" s="228"/>
      <c r="E59" s="228"/>
      <c r="F59" s="228"/>
      <c r="G59" s="228"/>
      <c r="H59" s="228"/>
      <c r="I59" s="229"/>
    </row>
    <row r="60" spans="1:15" ht="18.75" customHeight="1">
      <c r="A60" s="1"/>
      <c r="B60" s="227"/>
      <c r="C60" s="228"/>
      <c r="D60" s="228"/>
      <c r="E60" s="228"/>
      <c r="F60" s="228"/>
      <c r="G60" s="228"/>
      <c r="H60" s="228"/>
      <c r="I60" s="229"/>
    </row>
    <row r="61" spans="1:15" ht="18.75" customHeight="1">
      <c r="A61" s="1"/>
      <c r="B61" s="227"/>
      <c r="C61" s="228"/>
      <c r="D61" s="228"/>
      <c r="E61" s="228"/>
      <c r="F61" s="228"/>
      <c r="G61" s="228"/>
      <c r="H61" s="228"/>
      <c r="I61" s="229"/>
    </row>
    <row r="62" spans="1:15" ht="18.75" customHeight="1">
      <c r="A62" s="1"/>
      <c r="B62" s="227"/>
      <c r="C62" s="228"/>
      <c r="D62" s="228"/>
      <c r="E62" s="228"/>
      <c r="F62" s="228"/>
      <c r="G62" s="228"/>
      <c r="H62" s="228"/>
      <c r="I62" s="229"/>
    </row>
    <row r="63" spans="1:15" ht="18.75" customHeight="1">
      <c r="A63" s="1"/>
      <c r="B63" s="230"/>
      <c r="C63" s="231"/>
      <c r="D63" s="231"/>
      <c r="E63" s="231"/>
      <c r="F63" s="231"/>
      <c r="G63" s="231"/>
      <c r="H63" s="231"/>
      <c r="I63" s="232"/>
    </row>
    <row r="64" spans="1:15" ht="7.5" customHeight="1">
      <c r="A64" s="14"/>
      <c r="B64" s="14"/>
      <c r="C64" s="14"/>
      <c r="D64" s="14"/>
      <c r="E64" s="14"/>
      <c r="F64" s="14"/>
      <c r="G64" s="14"/>
      <c r="H64" s="14"/>
      <c r="I64" s="14"/>
    </row>
    <row r="65" spans="1:9" ht="18.75" customHeight="1">
      <c r="A65" s="15" t="s">
        <v>33</v>
      </c>
      <c r="B65" s="1" t="s">
        <v>36</v>
      </c>
      <c r="I65" s="15"/>
    </row>
    <row r="66" spans="1:9" ht="18.75" customHeight="1">
      <c r="A66" s="4"/>
      <c r="B66" s="207" t="s">
        <v>180</v>
      </c>
      <c r="C66" s="208"/>
      <c r="D66" s="208"/>
      <c r="E66" s="208"/>
      <c r="F66" s="208"/>
      <c r="G66" s="208"/>
      <c r="H66" s="208"/>
      <c r="I66" s="209"/>
    </row>
    <row r="67" spans="1:9" ht="18.75" customHeight="1">
      <c r="A67" s="4"/>
      <c r="B67" s="210"/>
      <c r="C67" s="211"/>
      <c r="D67" s="211"/>
      <c r="E67" s="211"/>
      <c r="F67" s="211"/>
      <c r="G67" s="211"/>
      <c r="H67" s="211"/>
      <c r="I67" s="212"/>
    </row>
    <row r="68" spans="1:9" ht="18.75" customHeight="1">
      <c r="A68" s="4"/>
      <c r="B68" s="210"/>
      <c r="C68" s="211"/>
      <c r="D68" s="211"/>
      <c r="E68" s="211"/>
      <c r="F68" s="211"/>
      <c r="G68" s="211"/>
      <c r="H68" s="211"/>
      <c r="I68" s="212"/>
    </row>
    <row r="69" spans="1:9" ht="18.75" customHeight="1">
      <c r="A69" s="4"/>
      <c r="B69" s="210"/>
      <c r="C69" s="211"/>
      <c r="D69" s="211"/>
      <c r="E69" s="211"/>
      <c r="F69" s="211"/>
      <c r="G69" s="211"/>
      <c r="H69" s="211"/>
      <c r="I69" s="212"/>
    </row>
    <row r="70" spans="1:9" ht="18.75" customHeight="1">
      <c r="A70" s="4"/>
      <c r="B70" s="210"/>
      <c r="C70" s="211"/>
      <c r="D70" s="211"/>
      <c r="E70" s="211"/>
      <c r="F70" s="211"/>
      <c r="G70" s="211"/>
      <c r="H70" s="211"/>
      <c r="I70" s="212"/>
    </row>
    <row r="71" spans="1:9" ht="18.75" customHeight="1">
      <c r="A71" s="4"/>
      <c r="B71" s="210"/>
      <c r="C71" s="211"/>
      <c r="D71" s="211"/>
      <c r="E71" s="211"/>
      <c r="F71" s="211"/>
      <c r="G71" s="211"/>
      <c r="H71" s="211"/>
      <c r="I71" s="212"/>
    </row>
    <row r="72" spans="1:9" ht="18.75" customHeight="1">
      <c r="A72" s="4"/>
      <c r="B72" s="210"/>
      <c r="C72" s="211"/>
      <c r="D72" s="211"/>
      <c r="E72" s="211"/>
      <c r="F72" s="211"/>
      <c r="G72" s="211"/>
      <c r="H72" s="211"/>
      <c r="I72" s="212"/>
    </row>
    <row r="73" spans="1:9" ht="18.75" customHeight="1">
      <c r="A73" s="4"/>
      <c r="B73" s="210"/>
      <c r="C73" s="211"/>
      <c r="D73" s="211"/>
      <c r="E73" s="211"/>
      <c r="F73" s="211"/>
      <c r="G73" s="211"/>
      <c r="H73" s="211"/>
      <c r="I73" s="212"/>
    </row>
    <row r="74" spans="1:9" ht="18.75" customHeight="1">
      <c r="A74" s="4"/>
      <c r="B74" s="210"/>
      <c r="C74" s="211"/>
      <c r="D74" s="211"/>
      <c r="E74" s="211"/>
      <c r="F74" s="211"/>
      <c r="G74" s="211"/>
      <c r="H74" s="211"/>
      <c r="I74" s="212"/>
    </row>
    <row r="75" spans="1:9" ht="18.75" customHeight="1">
      <c r="A75" s="4"/>
      <c r="B75" s="210"/>
      <c r="C75" s="211"/>
      <c r="D75" s="211"/>
      <c r="E75" s="211"/>
      <c r="F75" s="211"/>
      <c r="G75" s="211"/>
      <c r="H75" s="211"/>
      <c r="I75" s="212"/>
    </row>
    <row r="76" spans="1:9" ht="18.75" customHeight="1">
      <c r="A76" s="4"/>
      <c r="B76" s="210"/>
      <c r="C76" s="211"/>
      <c r="D76" s="211"/>
      <c r="E76" s="211"/>
      <c r="F76" s="211"/>
      <c r="G76" s="211"/>
      <c r="H76" s="211"/>
      <c r="I76" s="212"/>
    </row>
    <row r="77" spans="1:9" ht="18.75" customHeight="1">
      <c r="A77" s="4"/>
      <c r="B77" s="213"/>
      <c r="C77" s="214"/>
      <c r="D77" s="214"/>
      <c r="E77" s="214"/>
      <c r="F77" s="214"/>
      <c r="G77" s="214"/>
      <c r="H77" s="214"/>
      <c r="I77" s="215"/>
    </row>
    <row r="78" spans="1:9" ht="7.5" customHeight="1">
      <c r="A78" s="4"/>
      <c r="B78" s="4"/>
      <c r="C78" s="4"/>
      <c r="D78" s="4"/>
      <c r="E78" s="4"/>
      <c r="F78" s="4"/>
      <c r="G78" s="4"/>
      <c r="H78" s="4"/>
      <c r="I78" s="4"/>
    </row>
    <row r="79" spans="1:9" ht="18.75" customHeight="1">
      <c r="A79" s="1" t="s">
        <v>11</v>
      </c>
      <c r="B79" s="1" t="s">
        <v>39</v>
      </c>
    </row>
    <row r="80" spans="1:9" ht="18.75" customHeight="1">
      <c r="A80" s="1"/>
      <c r="B80" s="207" t="s">
        <v>147</v>
      </c>
      <c r="C80" s="208"/>
      <c r="D80" s="208"/>
      <c r="E80" s="208"/>
      <c r="F80" s="208"/>
      <c r="G80" s="208"/>
      <c r="H80" s="208"/>
      <c r="I80" s="216"/>
    </row>
    <row r="81" spans="1:9" ht="18.75" customHeight="1">
      <c r="A81" s="1"/>
      <c r="B81" s="217"/>
      <c r="C81" s="218"/>
      <c r="D81" s="218"/>
      <c r="E81" s="218"/>
      <c r="F81" s="218"/>
      <c r="G81" s="218"/>
      <c r="H81" s="218"/>
      <c r="I81" s="219"/>
    </row>
    <row r="82" spans="1:9" ht="18.75" customHeight="1">
      <c r="A82" s="1"/>
      <c r="B82" s="217"/>
      <c r="C82" s="218"/>
      <c r="D82" s="218"/>
      <c r="E82" s="218"/>
      <c r="F82" s="218"/>
      <c r="G82" s="218"/>
      <c r="H82" s="218"/>
      <c r="I82" s="219"/>
    </row>
    <row r="83" spans="1:9" ht="18.75" customHeight="1">
      <c r="A83" s="1"/>
      <c r="B83" s="217"/>
      <c r="C83" s="218"/>
      <c r="D83" s="218"/>
      <c r="E83" s="218"/>
      <c r="F83" s="218"/>
      <c r="G83" s="218"/>
      <c r="H83" s="218"/>
      <c r="I83" s="219"/>
    </row>
    <row r="84" spans="1:9" ht="18.75" customHeight="1">
      <c r="A84" s="1"/>
      <c r="B84" s="217"/>
      <c r="C84" s="218"/>
      <c r="D84" s="218"/>
      <c r="E84" s="218"/>
      <c r="F84" s="218"/>
      <c r="G84" s="218"/>
      <c r="H84" s="218"/>
      <c r="I84" s="219"/>
    </row>
    <row r="85" spans="1:9" ht="18.75" customHeight="1">
      <c r="A85" s="1"/>
      <c r="B85" s="217"/>
      <c r="C85" s="218"/>
      <c r="D85" s="218"/>
      <c r="E85" s="218"/>
      <c r="F85" s="218"/>
      <c r="G85" s="218"/>
      <c r="H85" s="218"/>
      <c r="I85" s="219"/>
    </row>
    <row r="86" spans="1:9" ht="18.75" customHeight="1">
      <c r="A86" s="1"/>
      <c r="B86" s="217"/>
      <c r="C86" s="218"/>
      <c r="D86" s="218"/>
      <c r="E86" s="218"/>
      <c r="F86" s="218"/>
      <c r="G86" s="218"/>
      <c r="H86" s="218"/>
      <c r="I86" s="219"/>
    </row>
    <row r="87" spans="1:9" ht="18.75" customHeight="1">
      <c r="A87" s="1"/>
      <c r="B87" s="217"/>
      <c r="C87" s="218"/>
      <c r="D87" s="218"/>
      <c r="E87" s="218"/>
      <c r="F87" s="218"/>
      <c r="G87" s="218"/>
      <c r="H87" s="218"/>
      <c r="I87" s="219"/>
    </row>
    <row r="88" spans="1:9" ht="18.75" customHeight="1">
      <c r="A88" s="1"/>
      <c r="B88" s="217"/>
      <c r="C88" s="218"/>
      <c r="D88" s="218"/>
      <c r="E88" s="218"/>
      <c r="F88" s="218"/>
      <c r="G88" s="218"/>
      <c r="H88" s="218"/>
      <c r="I88" s="219"/>
    </row>
    <row r="89" spans="1:9" ht="18.75" customHeight="1">
      <c r="A89" s="1"/>
      <c r="B89" s="217"/>
      <c r="C89" s="218"/>
      <c r="D89" s="218"/>
      <c r="E89" s="218"/>
      <c r="F89" s="218"/>
      <c r="G89" s="218"/>
      <c r="H89" s="218"/>
      <c r="I89" s="219"/>
    </row>
    <row r="90" spans="1:9" ht="18.75" customHeight="1">
      <c r="A90" s="4"/>
      <c r="B90" s="217"/>
      <c r="C90" s="218"/>
      <c r="D90" s="218"/>
      <c r="E90" s="218"/>
      <c r="F90" s="218"/>
      <c r="G90" s="218"/>
      <c r="H90" s="218"/>
      <c r="I90" s="219"/>
    </row>
    <row r="91" spans="1:9" ht="18.75" customHeight="1">
      <c r="A91" s="4"/>
      <c r="B91" s="220"/>
      <c r="C91" s="221"/>
      <c r="D91" s="221"/>
      <c r="E91" s="221"/>
      <c r="F91" s="221"/>
      <c r="G91" s="221"/>
      <c r="H91" s="221"/>
      <c r="I91" s="222"/>
    </row>
    <row r="92" spans="1:9" ht="7.5" customHeight="1">
      <c r="A92" s="4"/>
      <c r="B92" s="4"/>
      <c r="C92" s="4"/>
      <c r="D92" s="4"/>
      <c r="E92" s="4"/>
      <c r="F92" s="4"/>
      <c r="G92" s="4"/>
      <c r="H92" s="4"/>
      <c r="I92" s="4"/>
    </row>
    <row r="93" spans="1:9" ht="18.75" customHeight="1">
      <c r="A93" s="1" t="s">
        <v>42</v>
      </c>
      <c r="B93" s="1" t="s">
        <v>12</v>
      </c>
    </row>
    <row r="94" spans="1:9" ht="18.75" customHeight="1">
      <c r="A94" s="1"/>
      <c r="B94" s="238" t="s">
        <v>181</v>
      </c>
      <c r="C94" s="239"/>
      <c r="D94" s="239"/>
      <c r="E94" s="239"/>
      <c r="F94" s="239"/>
      <c r="G94" s="239"/>
      <c r="H94" s="239"/>
      <c r="I94" s="240"/>
    </row>
    <row r="95" spans="1:9" ht="18.75" customHeight="1">
      <c r="A95" s="1"/>
      <c r="B95" s="244"/>
      <c r="C95" s="245"/>
      <c r="D95" s="245"/>
      <c r="E95" s="245"/>
      <c r="F95" s="245"/>
      <c r="G95" s="245"/>
      <c r="H95" s="245"/>
      <c r="I95" s="243"/>
    </row>
    <row r="96" spans="1:9" ht="18.75" customHeight="1">
      <c r="A96" s="1"/>
      <c r="B96" s="244"/>
      <c r="C96" s="245"/>
      <c r="D96" s="245"/>
      <c r="E96" s="245"/>
      <c r="F96" s="245"/>
      <c r="G96" s="245"/>
      <c r="H96" s="245"/>
      <c r="I96" s="243"/>
    </row>
    <row r="97" spans="1:9" ht="18.75" customHeight="1">
      <c r="A97" s="1"/>
      <c r="B97" s="244"/>
      <c r="C97" s="245"/>
      <c r="D97" s="245"/>
      <c r="E97" s="245"/>
      <c r="F97" s="245"/>
      <c r="G97" s="245"/>
      <c r="H97" s="245"/>
      <c r="I97" s="243"/>
    </row>
    <row r="98" spans="1:9" ht="18.75" customHeight="1">
      <c r="A98" s="1"/>
      <c r="B98" s="244"/>
      <c r="C98" s="245"/>
      <c r="D98" s="245"/>
      <c r="E98" s="245"/>
      <c r="F98" s="245"/>
      <c r="G98" s="245"/>
      <c r="H98" s="245"/>
      <c r="I98" s="243"/>
    </row>
    <row r="99" spans="1:9" ht="18.75" customHeight="1">
      <c r="A99" s="1"/>
      <c r="B99" s="244"/>
      <c r="C99" s="245"/>
      <c r="D99" s="245"/>
      <c r="E99" s="245"/>
      <c r="F99" s="245"/>
      <c r="G99" s="245"/>
      <c r="H99" s="245"/>
      <c r="I99" s="243"/>
    </row>
    <row r="100" spans="1:9" ht="18.75" customHeight="1">
      <c r="A100" s="1"/>
      <c r="B100" s="244"/>
      <c r="C100" s="245"/>
      <c r="D100" s="245"/>
      <c r="E100" s="245"/>
      <c r="F100" s="245"/>
      <c r="G100" s="245"/>
      <c r="H100" s="245"/>
      <c r="I100" s="243"/>
    </row>
    <row r="101" spans="1:9" ht="18.75" customHeight="1">
      <c r="A101" s="1"/>
      <c r="B101" s="244"/>
      <c r="C101" s="245"/>
      <c r="D101" s="245"/>
      <c r="E101" s="245"/>
      <c r="F101" s="245"/>
      <c r="G101" s="245"/>
      <c r="H101" s="245"/>
      <c r="I101" s="243"/>
    </row>
    <row r="102" spans="1:9" ht="18.75" customHeight="1">
      <c r="A102" s="1"/>
      <c r="B102" s="244"/>
      <c r="C102" s="245"/>
      <c r="D102" s="245"/>
      <c r="E102" s="245"/>
      <c r="F102" s="245"/>
      <c r="G102" s="245"/>
      <c r="H102" s="245"/>
      <c r="I102" s="243"/>
    </row>
    <row r="103" spans="1:9" ht="18.75" customHeight="1">
      <c r="A103" s="1"/>
      <c r="B103" s="244"/>
      <c r="C103" s="245"/>
      <c r="D103" s="245"/>
      <c r="E103" s="245"/>
      <c r="F103" s="245"/>
      <c r="G103" s="245"/>
      <c r="H103" s="245"/>
      <c r="I103" s="243"/>
    </row>
    <row r="104" spans="1:9" ht="18.75" customHeight="1">
      <c r="A104" s="1"/>
      <c r="B104" s="244"/>
      <c r="C104" s="245"/>
      <c r="D104" s="245"/>
      <c r="E104" s="245"/>
      <c r="F104" s="245"/>
      <c r="G104" s="245"/>
      <c r="H104" s="245"/>
      <c r="I104" s="243"/>
    </row>
    <row r="105" spans="1:9" ht="18.75" customHeight="1">
      <c r="A105" s="4"/>
      <c r="B105" s="246"/>
      <c r="C105" s="247"/>
      <c r="D105" s="247"/>
      <c r="E105" s="247"/>
      <c r="F105" s="247"/>
      <c r="G105" s="247"/>
      <c r="H105" s="247"/>
      <c r="I105" s="248"/>
    </row>
    <row r="106" spans="1:9" ht="7.5" customHeight="1">
      <c r="A106" s="4"/>
      <c r="B106" s="4"/>
      <c r="C106" s="4"/>
      <c r="D106" s="4"/>
      <c r="E106" s="4"/>
      <c r="F106" s="4"/>
      <c r="G106" s="4"/>
      <c r="H106" s="4"/>
      <c r="I106" s="4"/>
    </row>
    <row r="107" spans="1:9" ht="18.75" customHeight="1">
      <c r="A107" s="1" t="s">
        <v>29</v>
      </c>
      <c r="B107" s="255" t="s">
        <v>44</v>
      </c>
      <c r="C107" s="255"/>
      <c r="D107" s="255"/>
      <c r="E107" s="255"/>
      <c r="F107" s="255"/>
      <c r="G107" s="255"/>
      <c r="H107" s="255"/>
      <c r="I107" s="255"/>
    </row>
    <row r="108" spans="1:9" ht="18.75" customHeight="1">
      <c r="A108" s="4"/>
      <c r="B108" s="238" t="s">
        <v>182</v>
      </c>
      <c r="C108" s="239"/>
      <c r="D108" s="239"/>
      <c r="E108" s="239"/>
      <c r="F108" s="239"/>
      <c r="G108" s="239"/>
      <c r="H108" s="239"/>
      <c r="I108" s="240"/>
    </row>
    <row r="109" spans="1:9" ht="18.75" customHeight="1">
      <c r="A109" s="4"/>
      <c r="B109" s="244"/>
      <c r="C109" s="245"/>
      <c r="D109" s="245"/>
      <c r="E109" s="245"/>
      <c r="F109" s="245"/>
      <c r="G109" s="245"/>
      <c r="H109" s="245"/>
      <c r="I109" s="243"/>
    </row>
    <row r="110" spans="1:9" ht="18.75" customHeight="1">
      <c r="A110" s="4"/>
      <c r="B110" s="244"/>
      <c r="C110" s="245"/>
      <c r="D110" s="245"/>
      <c r="E110" s="245"/>
      <c r="F110" s="245"/>
      <c r="G110" s="245"/>
      <c r="H110" s="245"/>
      <c r="I110" s="243"/>
    </row>
    <row r="111" spans="1:9" ht="18.75" customHeight="1">
      <c r="A111" s="4"/>
      <c r="B111" s="244"/>
      <c r="C111" s="245"/>
      <c r="D111" s="245"/>
      <c r="E111" s="245"/>
      <c r="F111" s="245"/>
      <c r="G111" s="245"/>
      <c r="H111" s="245"/>
      <c r="I111" s="243"/>
    </row>
    <row r="112" spans="1:9" ht="18.75" customHeight="1">
      <c r="A112" s="4"/>
      <c r="B112" s="244"/>
      <c r="C112" s="245"/>
      <c r="D112" s="245"/>
      <c r="E112" s="245"/>
      <c r="F112" s="245"/>
      <c r="G112" s="245"/>
      <c r="H112" s="245"/>
      <c r="I112" s="243"/>
    </row>
    <row r="113" spans="1:9" ht="18.75" customHeight="1">
      <c r="A113" s="4"/>
      <c r="B113" s="244"/>
      <c r="C113" s="245"/>
      <c r="D113" s="245"/>
      <c r="E113" s="245"/>
      <c r="F113" s="245"/>
      <c r="G113" s="245"/>
      <c r="H113" s="245"/>
      <c r="I113" s="243"/>
    </row>
    <row r="114" spans="1:9" ht="18.75" customHeight="1">
      <c r="A114" s="4"/>
      <c r="B114" s="244"/>
      <c r="C114" s="245"/>
      <c r="D114" s="245"/>
      <c r="E114" s="245"/>
      <c r="F114" s="245"/>
      <c r="G114" s="245"/>
      <c r="H114" s="245"/>
      <c r="I114" s="243"/>
    </row>
    <row r="115" spans="1:9" ht="18.75" customHeight="1">
      <c r="A115" s="4"/>
      <c r="B115" s="244"/>
      <c r="C115" s="245"/>
      <c r="D115" s="245"/>
      <c r="E115" s="245"/>
      <c r="F115" s="245"/>
      <c r="G115" s="245"/>
      <c r="H115" s="245"/>
      <c r="I115" s="243"/>
    </row>
    <row r="116" spans="1:9" ht="18.75" customHeight="1">
      <c r="A116" s="4"/>
      <c r="B116" s="244"/>
      <c r="C116" s="245"/>
      <c r="D116" s="245"/>
      <c r="E116" s="245"/>
      <c r="F116" s="245"/>
      <c r="G116" s="245"/>
      <c r="H116" s="245"/>
      <c r="I116" s="243"/>
    </row>
    <row r="117" spans="1:9" ht="18.75" customHeight="1">
      <c r="A117" s="4"/>
      <c r="B117" s="244"/>
      <c r="C117" s="245"/>
      <c r="D117" s="245"/>
      <c r="E117" s="245"/>
      <c r="F117" s="245"/>
      <c r="G117" s="245"/>
      <c r="H117" s="245"/>
      <c r="I117" s="243"/>
    </row>
    <row r="118" spans="1:9" ht="18.75" customHeight="1">
      <c r="A118" s="4"/>
      <c r="B118" s="244"/>
      <c r="C118" s="245"/>
      <c r="D118" s="245"/>
      <c r="E118" s="245"/>
      <c r="F118" s="245"/>
      <c r="G118" s="245"/>
      <c r="H118" s="245"/>
      <c r="I118" s="243"/>
    </row>
    <row r="119" spans="1:9" ht="18.75" customHeight="1">
      <c r="A119" s="4"/>
      <c r="B119" s="246"/>
      <c r="C119" s="247"/>
      <c r="D119" s="247"/>
      <c r="E119" s="247"/>
      <c r="F119" s="247"/>
      <c r="G119" s="247"/>
      <c r="H119" s="247"/>
      <c r="I119" s="248"/>
    </row>
    <row r="120" spans="1:9" ht="7.5" customHeight="1">
      <c r="A120" s="4"/>
      <c r="B120" s="38"/>
      <c r="C120" s="38"/>
      <c r="D120" s="38"/>
      <c r="E120" s="38"/>
      <c r="F120" s="38"/>
      <c r="G120" s="38"/>
      <c r="H120" s="38"/>
      <c r="I120" s="38"/>
    </row>
    <row r="121" spans="1:9" ht="18.75" customHeight="1">
      <c r="A121" s="67"/>
      <c r="B121" s="233"/>
      <c r="C121" s="233"/>
      <c r="D121" s="233"/>
      <c r="E121" s="233"/>
      <c r="F121" s="233"/>
      <c r="G121" s="233"/>
      <c r="H121" s="233"/>
      <c r="I121" s="233"/>
    </row>
    <row r="122" spans="1:9" ht="18.75" customHeight="1">
      <c r="A122" s="67"/>
      <c r="B122" s="233"/>
      <c r="C122" s="233"/>
      <c r="D122" s="233"/>
      <c r="E122" s="233"/>
      <c r="F122" s="233"/>
      <c r="G122" s="233"/>
      <c r="H122" s="233"/>
      <c r="I122" s="233"/>
    </row>
    <row r="123" spans="1:9" ht="18.75" customHeight="1">
      <c r="A123" s="4"/>
      <c r="B123" s="71"/>
      <c r="C123" s="71"/>
      <c r="D123" s="71"/>
      <c r="E123" s="71"/>
      <c r="F123" s="71"/>
      <c r="G123" s="71"/>
      <c r="H123" s="71"/>
      <c r="I123" s="72"/>
    </row>
    <row r="124" spans="1:9" ht="18.75" customHeight="1">
      <c r="A124" s="4"/>
      <c r="B124" s="72"/>
      <c r="C124" s="72"/>
      <c r="D124" s="72"/>
      <c r="E124" s="72"/>
      <c r="F124" s="72"/>
      <c r="G124" s="72"/>
      <c r="H124" s="72"/>
      <c r="I124" s="72"/>
    </row>
    <row r="125" spans="1:9" ht="18.75" customHeight="1">
      <c r="A125" s="4"/>
      <c r="B125" s="72"/>
      <c r="C125" s="72"/>
      <c r="D125" s="72"/>
      <c r="E125" s="72"/>
      <c r="F125" s="72"/>
      <c r="G125" s="72"/>
      <c r="H125" s="72"/>
      <c r="I125" s="72"/>
    </row>
    <row r="126" spans="1:9" ht="18.75" customHeight="1">
      <c r="A126" s="4"/>
      <c r="B126" s="72"/>
      <c r="C126" s="72"/>
      <c r="D126" s="72"/>
      <c r="E126" s="72"/>
      <c r="F126" s="72"/>
      <c r="G126" s="72"/>
      <c r="H126" s="72"/>
      <c r="I126" s="72"/>
    </row>
    <row r="127" spans="1:9" ht="18.75" customHeight="1">
      <c r="A127" s="4"/>
      <c r="B127" s="72"/>
      <c r="C127" s="72"/>
      <c r="D127" s="72"/>
      <c r="E127" s="72"/>
      <c r="F127" s="72"/>
      <c r="G127" s="72"/>
      <c r="H127" s="72"/>
      <c r="I127" s="72"/>
    </row>
    <row r="128" spans="1:9" ht="18.75" customHeight="1">
      <c r="A128" s="4"/>
      <c r="B128" s="72"/>
      <c r="C128" s="72"/>
      <c r="D128" s="72"/>
      <c r="E128" s="72"/>
      <c r="F128" s="72"/>
      <c r="G128" s="72"/>
      <c r="H128" s="72"/>
      <c r="I128" s="72"/>
    </row>
    <row r="129" spans="1:9" ht="18.75" customHeight="1">
      <c r="A129" s="4"/>
      <c r="B129" s="72"/>
      <c r="C129" s="72"/>
      <c r="D129" s="72"/>
      <c r="E129" s="72"/>
      <c r="F129" s="72"/>
      <c r="G129" s="72"/>
      <c r="H129" s="72"/>
      <c r="I129" s="72"/>
    </row>
    <row r="130" spans="1:9" ht="18.75" customHeight="1">
      <c r="A130" s="4"/>
      <c r="B130" s="72"/>
      <c r="C130" s="72"/>
      <c r="D130" s="72"/>
      <c r="E130" s="72"/>
      <c r="F130" s="72"/>
      <c r="G130" s="72"/>
      <c r="H130" s="72"/>
      <c r="I130" s="72"/>
    </row>
    <row r="131" spans="1:9" ht="18.75" customHeight="1">
      <c r="A131" s="4"/>
      <c r="B131" s="72"/>
      <c r="C131" s="72"/>
      <c r="D131" s="72"/>
      <c r="E131" s="72"/>
      <c r="F131" s="72"/>
      <c r="G131" s="72"/>
      <c r="H131" s="72"/>
      <c r="I131" s="72"/>
    </row>
    <row r="132" spans="1:9" ht="18.75" customHeight="1">
      <c r="A132" s="4"/>
      <c r="B132" s="72"/>
      <c r="C132" s="72"/>
      <c r="D132" s="72"/>
      <c r="E132" s="72"/>
      <c r="F132" s="72"/>
      <c r="G132" s="72"/>
      <c r="H132" s="72"/>
      <c r="I132" s="72"/>
    </row>
    <row r="133" spans="1:9" ht="14.4">
      <c r="A133" s="4"/>
      <c r="B133" s="72"/>
      <c r="C133" s="72"/>
      <c r="D133" s="72"/>
      <c r="E133" s="72"/>
      <c r="F133" s="72"/>
      <c r="G133" s="72"/>
      <c r="H133" s="72"/>
      <c r="I133" s="72"/>
    </row>
    <row r="134" spans="1:9" ht="7.5" customHeight="1">
      <c r="A134" s="4"/>
      <c r="B134" s="72"/>
      <c r="C134" s="72"/>
      <c r="D134" s="72"/>
      <c r="E134" s="72"/>
      <c r="F134" s="72"/>
      <c r="G134" s="72"/>
      <c r="H134" s="72"/>
      <c r="I134" s="7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K22" sqref="K22"/>
    </sheetView>
  </sheetViews>
  <sheetFormatPr defaultColWidth="11.33203125" defaultRowHeight="22.5" customHeight="1"/>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c r="A1" s="1" t="s">
        <v>67</v>
      </c>
      <c r="I1" s="29" t="s">
        <v>95</v>
      </c>
    </row>
    <row r="2" spans="1:9" ht="18.75" customHeight="1">
      <c r="H2" s="29" t="s">
        <v>98</v>
      </c>
      <c r="I2" s="28" t="str">
        <f>'様式１-1　プログラムを構成する授業科目'!C2</f>
        <v>環太平洋大学</v>
      </c>
    </row>
    <row r="3" spans="1:9" ht="18.75" customHeight="1">
      <c r="A3" s="234" t="s">
        <v>27</v>
      </c>
      <c r="B3" s="234"/>
      <c r="C3" s="234"/>
      <c r="D3" s="234"/>
      <c r="E3" s="234"/>
      <c r="F3" s="234"/>
      <c r="G3" s="234"/>
      <c r="H3" s="234"/>
      <c r="I3" s="234"/>
    </row>
    <row r="4" spans="1:9" ht="18.75" customHeight="1">
      <c r="A4" s="5"/>
      <c r="B4" s="5"/>
      <c r="C4" s="5"/>
      <c r="D4" s="5"/>
      <c r="E4" s="5"/>
      <c r="F4" s="5"/>
      <c r="G4" s="5"/>
      <c r="H4" s="5"/>
      <c r="I4" s="5"/>
    </row>
    <row r="5" spans="1:9" ht="18.75" customHeight="1">
      <c r="A5" s="1" t="s">
        <v>0</v>
      </c>
      <c r="B5" s="10" t="s">
        <v>89</v>
      </c>
      <c r="C5" s="5"/>
      <c r="D5" s="5"/>
      <c r="E5" s="5"/>
      <c r="F5" s="5"/>
      <c r="G5" s="5"/>
      <c r="H5" s="5"/>
      <c r="I5" s="5"/>
    </row>
    <row r="6" spans="1:9" ht="26.25" customHeight="1">
      <c r="A6" s="5"/>
      <c r="B6" s="249" t="s">
        <v>190</v>
      </c>
      <c r="C6" s="281"/>
      <c r="D6" s="281"/>
      <c r="E6" s="281"/>
      <c r="F6" s="281"/>
      <c r="G6" s="281"/>
      <c r="H6" s="282"/>
      <c r="I6" s="3"/>
    </row>
    <row r="7" spans="1:9" ht="9" customHeight="1">
      <c r="A7" s="5"/>
      <c r="B7" s="10"/>
      <c r="C7" s="10"/>
      <c r="D7" s="10"/>
      <c r="E7" s="10"/>
      <c r="F7" s="10"/>
      <c r="G7" s="10"/>
      <c r="H7" s="10"/>
      <c r="I7" s="3"/>
    </row>
    <row r="8" spans="1:9" ht="18.75" customHeight="1">
      <c r="A8" s="5"/>
      <c r="B8" s="3"/>
      <c r="C8" s="3"/>
      <c r="D8" s="29" t="s">
        <v>41</v>
      </c>
      <c r="E8" s="30" t="s">
        <v>191</v>
      </c>
      <c r="F8" s="3"/>
      <c r="G8" s="29" t="s">
        <v>10</v>
      </c>
      <c r="H8" s="30" t="s">
        <v>192</v>
      </c>
      <c r="I8" s="3"/>
    </row>
    <row r="9" spans="1:9" ht="7.5" customHeight="1">
      <c r="A9" s="5"/>
      <c r="B9" s="5"/>
      <c r="C9" s="5"/>
      <c r="D9" s="5"/>
      <c r="E9" s="5"/>
      <c r="F9" s="5"/>
      <c r="G9" s="5"/>
      <c r="H9" s="5"/>
      <c r="I9" s="5"/>
    </row>
    <row r="10" spans="1:9" ht="18.75" customHeight="1">
      <c r="A10" s="1" t="s">
        <v>3</v>
      </c>
      <c r="B10" s="1" t="s">
        <v>26</v>
      </c>
      <c r="C10" s="4"/>
      <c r="D10" s="4"/>
      <c r="E10" s="4"/>
      <c r="F10" s="4"/>
      <c r="G10" s="4"/>
      <c r="H10" s="4"/>
      <c r="I10" s="4"/>
    </row>
    <row r="11" spans="1:9" ht="18.75" customHeight="1">
      <c r="B11" s="115" t="s">
        <v>23</v>
      </c>
      <c r="C11" s="116"/>
      <c r="D11" s="117"/>
      <c r="E11" s="116" t="s">
        <v>25</v>
      </c>
      <c r="F11" s="116"/>
      <c r="G11" s="116"/>
      <c r="H11" s="116"/>
      <c r="I11" s="117"/>
    </row>
    <row r="12" spans="1:9" ht="26.25" customHeight="1">
      <c r="B12" s="39" t="s">
        <v>13</v>
      </c>
      <c r="C12" s="46"/>
      <c r="D12" s="40"/>
      <c r="E12" s="47"/>
      <c r="F12" s="47"/>
      <c r="G12" s="47"/>
      <c r="H12" s="47"/>
      <c r="I12" s="40"/>
    </row>
    <row r="13" spans="1:9" ht="210.75" customHeight="1">
      <c r="B13" s="41"/>
      <c r="C13" s="264" t="s">
        <v>14</v>
      </c>
      <c r="D13" s="265"/>
      <c r="E13" s="277" t="s">
        <v>194</v>
      </c>
      <c r="F13" s="266"/>
      <c r="G13" s="266"/>
      <c r="H13" s="266"/>
      <c r="I13" s="267"/>
    </row>
    <row r="14" spans="1:9" ht="210.75" customHeight="1">
      <c r="B14" s="41"/>
      <c r="C14" s="279" t="s">
        <v>15</v>
      </c>
      <c r="D14" s="280"/>
      <c r="E14" s="277" t="s">
        <v>183</v>
      </c>
      <c r="F14" s="266"/>
      <c r="G14" s="266"/>
      <c r="H14" s="266"/>
      <c r="I14" s="267"/>
    </row>
    <row r="15" spans="1:9" ht="210.75" customHeight="1">
      <c r="B15" s="41"/>
      <c r="C15" s="264" t="s">
        <v>16</v>
      </c>
      <c r="D15" s="265"/>
      <c r="E15" s="277" t="s">
        <v>148</v>
      </c>
      <c r="F15" s="266"/>
      <c r="G15" s="266"/>
      <c r="H15" s="266"/>
      <c r="I15" s="267"/>
    </row>
    <row r="16" spans="1:9" ht="210.75" customHeight="1">
      <c r="B16" s="41"/>
      <c r="C16" s="264" t="s">
        <v>17</v>
      </c>
      <c r="D16" s="265"/>
      <c r="E16" s="277" t="s">
        <v>149</v>
      </c>
      <c r="F16" s="266"/>
      <c r="G16" s="266"/>
      <c r="H16" s="266"/>
      <c r="I16" s="267"/>
    </row>
    <row r="17" spans="2:9" ht="210.75" customHeight="1">
      <c r="B17" s="42"/>
      <c r="C17" s="268" t="s">
        <v>18</v>
      </c>
      <c r="D17" s="269"/>
      <c r="E17" s="278" t="s">
        <v>150</v>
      </c>
      <c r="F17" s="270"/>
      <c r="G17" s="270"/>
      <c r="H17" s="270"/>
      <c r="I17" s="271"/>
    </row>
    <row r="18" spans="2:9" ht="24" customHeight="1">
      <c r="B18" s="39" t="s">
        <v>19</v>
      </c>
      <c r="C18" s="43"/>
      <c r="D18" s="44"/>
      <c r="E18" s="45"/>
      <c r="F18" s="45"/>
      <c r="G18" s="45"/>
      <c r="H18" s="45"/>
      <c r="I18" s="48"/>
    </row>
    <row r="19" spans="2:9" ht="218.25" customHeight="1">
      <c r="B19" s="41"/>
      <c r="C19" s="264" t="s">
        <v>20</v>
      </c>
      <c r="D19" s="265"/>
      <c r="E19" s="266" t="s">
        <v>184</v>
      </c>
      <c r="F19" s="266"/>
      <c r="G19" s="266"/>
      <c r="H19" s="266"/>
      <c r="I19" s="267"/>
    </row>
    <row r="20" spans="2:9" ht="218.25" customHeight="1">
      <c r="B20" s="42"/>
      <c r="C20" s="268" t="s">
        <v>21</v>
      </c>
      <c r="D20" s="269"/>
      <c r="E20" s="270" t="s">
        <v>151</v>
      </c>
      <c r="F20" s="270"/>
      <c r="G20" s="270"/>
      <c r="H20" s="270"/>
      <c r="I20" s="271"/>
    </row>
    <row r="21" spans="2:9" ht="218.25" customHeight="1">
      <c r="B21" s="272" t="s">
        <v>22</v>
      </c>
      <c r="C21" s="273"/>
      <c r="D21" s="274"/>
      <c r="E21" s="275" t="s">
        <v>152</v>
      </c>
      <c r="F21" s="275"/>
      <c r="G21" s="275"/>
      <c r="H21" s="275"/>
      <c r="I21" s="276"/>
    </row>
    <row r="22" spans="2:9" ht="218.25" customHeight="1">
      <c r="B22" s="259" t="s">
        <v>135</v>
      </c>
      <c r="C22" s="260"/>
      <c r="D22" s="261"/>
      <c r="E22" s="262" t="s">
        <v>185</v>
      </c>
      <c r="F22" s="262"/>
      <c r="G22" s="262"/>
      <c r="H22" s="262"/>
      <c r="I22" s="263"/>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様式１-1　プログラムを構成する授業科目</vt:lpstr>
      <vt:lpstr>様式１-2　プログラムを構成する授業科目</vt:lpstr>
      <vt:lpstr>様式１-3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'様式１-3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清澤梨花</cp:lastModifiedBy>
  <cp:lastPrinted>2024-06-12T11:08:11Z</cp:lastPrinted>
  <dcterms:created xsi:type="dcterms:W3CDTF">2011-06-14T05:32:50Z</dcterms:created>
  <dcterms:modified xsi:type="dcterms:W3CDTF">2024-07-23T06:38:13Z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