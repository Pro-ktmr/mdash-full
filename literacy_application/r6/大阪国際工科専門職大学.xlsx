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ostdsv61\管理\管理部\フォルダ構成\A.定款・契約\数理・データサイエンス・AI申請書_240513\大阪国際工科専門職大学\大阪国際工科専門職大学_リテラシー\"/>
    </mc:Choice>
  </mc:AlternateContent>
  <xr:revisionPtr revIDLastSave="0" documentId="13_ncr:1_{1FDF65A3-D2F2-494F-BDB4-25781F4E206D}" xr6:coauthVersionLast="47" xr6:coauthVersionMax="47" xr10:uidLastSave="{00000000-0000-0000-0000-000000000000}"/>
  <bookViews>
    <workbookView xWindow="29700" yWindow="2325" windowWidth="21600" windowHeight="11295" tabRatio="885" xr2:uid="{00000000-000D-0000-FFFF-FFFF00000000}"/>
  </bookViews>
  <sheets>
    <sheet name="様式１-1　プログラムを構成する授業科目" sheetId="39" r:id="rId1"/>
    <sheet name="様式１-2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I50" i="41"/>
  <c r="M7" i="40"/>
  <c r="I2" i="42"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<sst xmlns="http://schemas.openxmlformats.org/spreadsheetml/2006/main" count="479" uniqueCount="208">
  <si>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</si>
  <si>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</si>
  <si>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</si>
  <si>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</si>
  <si>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</si>
  <si>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</si>
  <si>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</si>
  <si>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</si>
  <si>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</si>
  <si>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</si>
  <si>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</si>
  <si>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</si>
  <si>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</si>
  <si>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</si>
  <si>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</si>
  <si>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</si>
  <si>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</si>
  <si>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</si>
  <si>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</si>
  <si>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</si>
  <si>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</si>
  <si>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</si>
  <si>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</si>
  <si>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</si>
  <si>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</si>
  <si>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</si>
  <si>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</si>
  <si>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</si>
  <si>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</si>
  <si>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</si>
  <si>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</si>
  <si>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</si>
  <si>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</si>
  <si>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</si>
  <si>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</si>
  <si>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</si>
  <si>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</si>
  <si>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</si>
  <si>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</si>
  <si>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</si>
  <si>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</si>
  <si>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</si>
  <si>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</si>
  <si>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</si>
  <si>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</si>
  <si>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</si>
  <si>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</si>
  <si>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</si>
  <si>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</si>
  <si>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</si>
  <si>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</si>
  <si>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</si>
  <si>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</si>
  <si>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</si>
  <si>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</si>
  <si>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</si>
  <si>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</si>
  <si>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</si>
  <si>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</si>
  <si>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</si>
  <si>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</si>
  <si>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</si>
  <si>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</si>
  <si>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</si>
  <si>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</si>
  <si>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</si>
  <si>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</si>
  <si>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</si>
  <si>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</si>
  <si>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</si>
  <si>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</si>
  <si>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</si>
  <si>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</si>
  <si>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</si>
  <si>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</si>
  <si>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</si>
  <si>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</si>
  <si>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</si>
  <si>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</si>
  <si>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</si>
  <si>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</si>
  <si>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</si>
  <si>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</si>
  <si>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</si>
  <si>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</si>
  <si>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</si>
  <si>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</si>
  <si>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</si>
  <si>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</si>
  <si>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</si>
  <si>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</si>
  <si>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</si>
  <si>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</si>
  <si>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</si>
  <si>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</si>
  <si>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</si>
  <si>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</si>
  <si>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</si>
  <si>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</si>
  <si>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</si>
  <si>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</si>
  <si>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</si>
  <si>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</si>
  <si>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</si>
  <si>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</si>
  <si>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</si>
  <si>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</si>
  <si>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</si>
  <si>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</si>
  <si>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</si>
  <si>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</si>
  <si>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</si>
  <si>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</si>
  <si>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</si>
  <si>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</si>
  <si>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</si>
  <si>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</si>
  <si>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</si>
  <si>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</si>
  <si>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</si>
  <si>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</si>
  <si>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</si>
  <si>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</si>
  <si>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</si>
  <si>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</si>
  <si>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</si>
  <si>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</si>
  <si>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</si>
  <si>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</si>
  <si>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</si>
  <si>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</si>
  <si>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</si>
  <si>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</si>
  <si>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</si>
  <si>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</si>
  <si>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</si>
  <si>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大阪国際工科専門職大学</t>
    <phoneticPr fontId="1"/>
  </si>
  <si>
    <t>数理・データサイエンス・ＡＩ教育リテラシープログラム</t>
    <phoneticPr fontId="1"/>
  </si>
  <si>
    <t>工科学部・情報工学科</t>
    <rPh sb="0" eb="4">
      <t>コウカガクブ</t>
    </rPh>
    <rPh sb="5" eb="10">
      <t>ジョウホウコウガッカ</t>
    </rPh>
    <phoneticPr fontId="1"/>
  </si>
  <si>
    <t>情報工学概論</t>
    <rPh sb="0" eb="2">
      <t>ジョウホウ</t>
    </rPh>
    <rPh sb="2" eb="4">
      <t>コウガク</t>
    </rPh>
    <rPh sb="4" eb="6">
      <t>ガイロン</t>
    </rPh>
    <phoneticPr fontId="1"/>
  </si>
  <si>
    <t>○</t>
  </si>
  <si>
    <t>○</t>
    <phoneticPr fontId="1"/>
  </si>
  <si>
    <t>コンピュータシステム</t>
    <phoneticPr fontId="1"/>
  </si>
  <si>
    <t>確率統計論</t>
    <rPh sb="0" eb="2">
      <t>カクリツ</t>
    </rPh>
    <rPh sb="2" eb="5">
      <t>トウケイロン</t>
    </rPh>
    <phoneticPr fontId="1"/>
  </si>
  <si>
    <t>情報工学概論</t>
    <rPh sb="0" eb="4">
      <t>ジョウホウコウガク</t>
    </rPh>
    <rPh sb="4" eb="6">
      <t>ガイロン</t>
    </rPh>
    <phoneticPr fontId="1"/>
  </si>
  <si>
    <t>4-1統計および数理基礎</t>
  </si>
  <si>
    <t>・特化型AIと汎用AI、今のAIで出来ることと出来ないこと、AIとビッグデータ「情報工学概論」（5，6回）、「コンピュータシステム」（15回目）
・マルチモーダル（言語、画像、音声など）、生成AIの活用（プロンプトエンジニアリング）「情報工学概論」（5，6回目）</t>
    <rPh sb="1" eb="4">
      <t>トッカガタ</t>
    </rPh>
    <rPh sb="7" eb="9">
      <t>ハンヨウ</t>
    </rPh>
    <rPh sb="12" eb="13">
      <t>イマ</t>
    </rPh>
    <rPh sb="17" eb="19">
      <t>デキ</t>
    </rPh>
    <rPh sb="23" eb="25">
      <t>デキ</t>
    </rPh>
    <rPh sb="40" eb="44">
      <t>ジョウホウコウガク</t>
    </rPh>
    <rPh sb="44" eb="46">
      <t>ガイロン</t>
    </rPh>
    <rPh sb="51" eb="52">
      <t>カイ</t>
    </rPh>
    <rPh sb="69" eb="70">
      <t>カイ</t>
    </rPh>
    <rPh sb="82" eb="84">
      <t>ゲンゴ</t>
    </rPh>
    <rPh sb="85" eb="87">
      <t>ガゾウ</t>
    </rPh>
    <rPh sb="88" eb="90">
      <t>オンセイ</t>
    </rPh>
    <rPh sb="94" eb="96">
      <t>セイセイ</t>
    </rPh>
    <rPh sb="99" eb="101">
      <t>カツヨウ</t>
    </rPh>
    <rPh sb="117" eb="121">
      <t>ジョウホウコウガク</t>
    </rPh>
    <rPh sb="121" eb="123">
      <t>ガイロン</t>
    </rPh>
    <rPh sb="128" eb="129">
      <t>カイ</t>
    </rPh>
    <phoneticPr fontId="1"/>
  </si>
  <si>
    <t>情報工学の学問体系の概要、技術動向、およびこれらの背後に存在する様々な学問体系について理解し、以下の能力・知識を獲得する。
・コンピュータを組み込んだ製品 (embedded system)、情報システムの社会での応用例についての説明能力
・AIシステム／IoTシステム／ロボットの原理、歴史、応用例に関する基礎知識</t>
    <phoneticPr fontId="1"/>
  </si>
  <si>
    <t>情報工学概論の中で、生成AIの活用事例の解説などを行っている。</t>
    <phoneticPr fontId="1"/>
  </si>
  <si>
    <t>様式１-１</t>
    <rPh sb="0" eb="2">
      <t>ヨウシキ</t>
    </rPh>
    <phoneticPr fontId="1"/>
  </si>
  <si>
    <t>様式１-2</t>
    <rPh sb="0" eb="2">
      <t>ヨウシキ</t>
    </rPh>
    <phoneticPr fontId="1"/>
  </si>
  <si>
    <t>工科学部・デジタルエンタテインメント学科</t>
    <rPh sb="0" eb="2">
      <t>コウカ</t>
    </rPh>
    <rPh sb="2" eb="4">
      <t>ガクブ</t>
    </rPh>
    <rPh sb="18" eb="20">
      <t>ガッカ</t>
    </rPh>
    <phoneticPr fontId="1"/>
  </si>
  <si>
    <t>デジタルエンタテインメント学科では、１年次開講の「コンテンツデザイン概論」、「電子情報工学概論」と２年次開講の「統計論」の各2単位の科目をすべて履修し、合計6単位を取得すること。</t>
    <phoneticPr fontId="1"/>
  </si>
  <si>
    <t>コンテンツデザイン概論</t>
    <rPh sb="9" eb="11">
      <t>ガイロン</t>
    </rPh>
    <phoneticPr fontId="1"/>
  </si>
  <si>
    <t>電子情報工学概論</t>
    <rPh sb="0" eb="4">
      <t>デンシジョウホウ</t>
    </rPh>
    <rPh sb="4" eb="6">
      <t>コウガク</t>
    </rPh>
    <rPh sb="6" eb="8">
      <t>ガイロン</t>
    </rPh>
    <phoneticPr fontId="1"/>
  </si>
  <si>
    <t>統計論</t>
    <rPh sb="0" eb="3">
      <t>トウケイロン</t>
    </rPh>
    <phoneticPr fontId="1"/>
  </si>
  <si>
    <t>電子情報工学概論</t>
    <rPh sb="0" eb="2">
      <t>デンシ</t>
    </rPh>
    <rPh sb="2" eb="6">
      <t>ジョウホウコウガク</t>
    </rPh>
    <rPh sb="6" eb="8">
      <t>ガイロン</t>
    </rPh>
    <phoneticPr fontId="1"/>
  </si>
  <si>
    <t>・ビッグデータ、IoT 、AI 、生成AI、ロボット「情報工学概論」（5，6，7，8，9，10，15回目）
・データ量の増加、計算機の処理性能の向上、AIの非連続的進化「情報工学概論」（5.6回目）、「コンピュータシステム」（15回目）
・第４次産業革命、Society5.0、データ駆動型社会「情報工学概論」（1，3，4，5，6，15回目）</t>
    <rPh sb="17" eb="19">
      <t>セイセイ</t>
    </rPh>
    <rPh sb="27" eb="33">
      <t>ジョウホウコウガクガイロン</t>
    </rPh>
    <rPh sb="50" eb="52">
      <t>カイメ</t>
    </rPh>
    <rPh sb="58" eb="59">
      <t>リョウ</t>
    </rPh>
    <rPh sb="60" eb="62">
      <t>ゾウカ</t>
    </rPh>
    <rPh sb="63" eb="66">
      <t>ケイサンキ</t>
    </rPh>
    <rPh sb="67" eb="69">
      <t>ショリ</t>
    </rPh>
    <rPh sb="69" eb="71">
      <t>セイノウ</t>
    </rPh>
    <rPh sb="72" eb="74">
      <t>コウジョウ</t>
    </rPh>
    <rPh sb="78" eb="82">
      <t>ヒレンゾクテキ</t>
    </rPh>
    <rPh sb="82" eb="84">
      <t>シンカ</t>
    </rPh>
    <rPh sb="96" eb="98">
      <t>カイメ</t>
    </rPh>
    <rPh sb="115" eb="117">
      <t>カイメ</t>
    </rPh>
    <rPh sb="120" eb="121">
      <t>ダイ</t>
    </rPh>
    <rPh sb="122" eb="123">
      <t>ジ</t>
    </rPh>
    <rPh sb="123" eb="125">
      <t>サンギョウ</t>
    </rPh>
    <rPh sb="125" eb="127">
      <t>カクメイ</t>
    </rPh>
    <rPh sb="142" eb="145">
      <t>クドウガタ</t>
    </rPh>
    <rPh sb="145" eb="147">
      <t>シャカイ</t>
    </rPh>
    <rPh sb="168" eb="170">
      <t>カイメ</t>
    </rPh>
    <phoneticPr fontId="1"/>
  </si>
  <si>
    <t>・調査データ、実験データ、人の行動ログデータ、機械の稼働ログデータなど「情報工学概論」（1，5，6，7，8，9，10，11，12回目）
・データ作成（ビッグデータとアノテーション）「コンピュータシステム」（13，14回目）</t>
    <rPh sb="1" eb="3">
      <t>チョウサ</t>
    </rPh>
    <rPh sb="7" eb="9">
      <t>ジッケン</t>
    </rPh>
    <rPh sb="13" eb="14">
      <t>ヒト</t>
    </rPh>
    <rPh sb="15" eb="17">
      <t>コウドウ</t>
    </rPh>
    <rPh sb="23" eb="25">
      <t>キカイ</t>
    </rPh>
    <rPh sb="26" eb="28">
      <t>カドウ</t>
    </rPh>
    <rPh sb="36" eb="40">
      <t>ジョウホウコウガク</t>
    </rPh>
    <rPh sb="40" eb="42">
      <t>ガイロン</t>
    </rPh>
    <rPh sb="64" eb="65">
      <t>カイ</t>
    </rPh>
    <rPh sb="72" eb="74">
      <t>サクセイ</t>
    </rPh>
    <rPh sb="108" eb="109">
      <t>カイ</t>
    </rPh>
    <phoneticPr fontId="1"/>
  </si>
  <si>
    <t>・データ・AI活用領域の広がり（生産、消費、文化活動など）「情報工学概論」（5，6，7，8，9，10回目）、「コンピュータシステム」（15回目）</t>
    <rPh sb="7" eb="11">
      <t>カツヨウリョウイキ</t>
    </rPh>
    <rPh sb="12" eb="13">
      <t>ヒロ</t>
    </rPh>
    <rPh sb="16" eb="18">
      <t>セイサン</t>
    </rPh>
    <rPh sb="19" eb="21">
      <t>ショウヒ</t>
    </rPh>
    <rPh sb="22" eb="26">
      <t>ブンカカツドウ</t>
    </rPh>
    <rPh sb="30" eb="34">
      <t>ジョウホウコウガク</t>
    </rPh>
    <rPh sb="34" eb="36">
      <t>ガイロン</t>
    </rPh>
    <rPh sb="50" eb="51">
      <t>カイ</t>
    </rPh>
    <rPh sb="69" eb="70">
      <t>カイ</t>
    </rPh>
    <phoneticPr fontId="1"/>
  </si>
  <si>
    <t>・教育、芸術、流通、製造、金融、サービス、インフラ、公共、ヘルスケア等におけるデータ・AI利活用事例紹介「情報工学概論」（11，12，14回目）、「コンピュータシステム」（15回目）、「確率統計論」（1回目）</t>
    <rPh sb="1" eb="3">
      <t>キョウイク</t>
    </rPh>
    <rPh sb="4" eb="6">
      <t>ゲイジュツ</t>
    </rPh>
    <rPh sb="7" eb="9">
      <t>リュウツウ</t>
    </rPh>
    <rPh sb="10" eb="12">
      <t>セイゾウ</t>
    </rPh>
    <rPh sb="13" eb="15">
      <t>キンユウ</t>
    </rPh>
    <rPh sb="26" eb="28">
      <t>コウキョウ</t>
    </rPh>
    <rPh sb="34" eb="35">
      <t>ナド</t>
    </rPh>
    <rPh sb="45" eb="48">
      <t>リカツヨウ</t>
    </rPh>
    <rPh sb="48" eb="52">
      <t>ジレイショウカイ</t>
    </rPh>
    <rPh sb="53" eb="57">
      <t>ジョウホウコウガク</t>
    </rPh>
    <rPh sb="57" eb="59">
      <t>ガイロン</t>
    </rPh>
    <rPh sb="69" eb="70">
      <t>カイ</t>
    </rPh>
    <rPh sb="88" eb="89">
      <t>カイ</t>
    </rPh>
    <rPh sb="93" eb="95">
      <t>カクリツ</t>
    </rPh>
    <rPh sb="95" eb="98">
      <t>トウケイロン</t>
    </rPh>
    <rPh sb="101" eb="103">
      <t>カイメ</t>
    </rPh>
    <phoneticPr fontId="1"/>
  </si>
  <si>
    <t>・データの分布（ヒストグラム）と代表値（平均値、中央値、最頻値）「確率統計論」（2回目）
・データのばらつき（分散、標準偏差、偏差値）、外れ値「確率統計論」（2，11回目）
・相関と因果（相関係数、疑似相関、交絡）「確率統計論」（2,10回目）</t>
    <rPh sb="5" eb="7">
      <t>ブンプ</t>
    </rPh>
    <rPh sb="16" eb="19">
      <t>ダイヒョウチ</t>
    </rPh>
    <rPh sb="20" eb="23">
      <t>ヘイキンチ</t>
    </rPh>
    <rPh sb="24" eb="27">
      <t>チュウオウチ</t>
    </rPh>
    <rPh sb="28" eb="31">
      <t>サイヒンチ</t>
    </rPh>
    <rPh sb="55" eb="57">
      <t>ブンサン</t>
    </rPh>
    <rPh sb="58" eb="62">
      <t>ヒョウジュンヘンサ</t>
    </rPh>
    <rPh sb="63" eb="66">
      <t>ヘンサチ</t>
    </rPh>
    <rPh sb="68" eb="69">
      <t>ハズ</t>
    </rPh>
    <rPh sb="70" eb="71">
      <t>チ</t>
    </rPh>
    <rPh sb="88" eb="90">
      <t>ソウカン</t>
    </rPh>
    <rPh sb="91" eb="93">
      <t>インガ</t>
    </rPh>
    <rPh sb="94" eb="98">
      <t>ソウカンケイスウ</t>
    </rPh>
    <rPh sb="99" eb="103">
      <t>ギジソウカン</t>
    </rPh>
    <rPh sb="104" eb="106">
      <t>コウラク</t>
    </rPh>
    <phoneticPr fontId="1"/>
  </si>
  <si>
    <t>・データ表現（棒グラフ、折線グラフ、散布図、ヒートマップ、箱ひげ図）「確率統計論」（2回目）
・データの比較（条件をそろえた比較、処理の前後での比較、A/Bテスト）「確率統計論」（2，15回目）</t>
    <rPh sb="4" eb="6">
      <t>ヒョウゲン</t>
    </rPh>
    <rPh sb="7" eb="8">
      <t>ボウ</t>
    </rPh>
    <rPh sb="12" eb="13">
      <t>オ</t>
    </rPh>
    <rPh sb="13" eb="14">
      <t>セン</t>
    </rPh>
    <rPh sb="18" eb="21">
      <t>サンプズ</t>
    </rPh>
    <rPh sb="29" eb="30">
      <t>ハコ</t>
    </rPh>
    <rPh sb="32" eb="33">
      <t>ズ</t>
    </rPh>
    <rPh sb="52" eb="54">
      <t>ヒカク</t>
    </rPh>
    <rPh sb="55" eb="57">
      <t>ジョウケン</t>
    </rPh>
    <rPh sb="62" eb="64">
      <t>ヒカク</t>
    </rPh>
    <rPh sb="65" eb="67">
      <t>ショリ</t>
    </rPh>
    <rPh sb="68" eb="70">
      <t>ゼンゴ</t>
    </rPh>
    <rPh sb="72" eb="74">
      <t>ヒカク</t>
    </rPh>
    <phoneticPr fontId="1"/>
  </si>
  <si>
    <t>・データの取得（機械判読可能なデータの作成・表記方法）「確率統計論」（4回目）
・データの集計（和、平均）「確率統計論」（5回目）
・データの並び替え、ランキング「確率統計論」（5回目）</t>
    <rPh sb="5" eb="7">
      <t>シュトク</t>
    </rPh>
    <rPh sb="8" eb="10">
      <t>キカイ</t>
    </rPh>
    <rPh sb="10" eb="14">
      <t>ハンドクカノウ</t>
    </rPh>
    <rPh sb="19" eb="21">
      <t>サクセイ</t>
    </rPh>
    <rPh sb="22" eb="24">
      <t>ヒョウキ</t>
    </rPh>
    <rPh sb="24" eb="26">
      <t>ホウホウ</t>
    </rPh>
    <rPh sb="28" eb="30">
      <t>カクリツ</t>
    </rPh>
    <rPh sb="30" eb="32">
      <t>トウケイ</t>
    </rPh>
    <rPh sb="32" eb="33">
      <t>ロン</t>
    </rPh>
    <rPh sb="36" eb="38">
      <t>カイメ</t>
    </rPh>
    <rPh sb="45" eb="47">
      <t>シュウケイ</t>
    </rPh>
    <rPh sb="48" eb="49">
      <t>ワ</t>
    </rPh>
    <rPh sb="50" eb="52">
      <t>ヘイキン</t>
    </rPh>
    <rPh sb="71" eb="72">
      <t>ナラ</t>
    </rPh>
    <rPh sb="73" eb="74">
      <t>カ</t>
    </rPh>
    <phoneticPr fontId="1"/>
  </si>
  <si>
    <t xml:space="preserve">・AI最新技術の活用例（深層生成モデル、強化学習、転移学習、生成AIなど）「コンテンツデザイン概論」（2，3，13回目）、「統計論」（1回目）
</t>
    <rPh sb="3" eb="7">
      <t>サイシンギジュツ</t>
    </rPh>
    <rPh sb="8" eb="11">
      <t>カツヨウレイ</t>
    </rPh>
    <rPh sb="12" eb="16">
      <t>シンソウセイセイ</t>
    </rPh>
    <rPh sb="20" eb="22">
      <t>キョウカ</t>
    </rPh>
    <rPh sb="22" eb="24">
      <t>ガクシュウ</t>
    </rPh>
    <rPh sb="25" eb="27">
      <t>テンイ</t>
    </rPh>
    <rPh sb="27" eb="29">
      <t>ガクシュウ</t>
    </rPh>
    <rPh sb="30" eb="32">
      <t>セイセイ</t>
    </rPh>
    <rPh sb="47" eb="49">
      <t>ガイロン</t>
    </rPh>
    <rPh sb="57" eb="58">
      <t>カイ</t>
    </rPh>
    <rPh sb="62" eb="65">
      <t>トウケイロン</t>
    </rPh>
    <rPh sb="68" eb="70">
      <t>カイメ</t>
    </rPh>
    <phoneticPr fontId="1"/>
  </si>
  <si>
    <t>・調査データ、実験データ、人の行動ログデータ、機械の稼働ログデータなど「コンテンツデザイン概論」（2，3，13回目）
・データ作成（ビッグデータとアノテーション）「電子情報工学概論」（4，7回目）</t>
    <rPh sb="1" eb="3">
      <t>チョウサ</t>
    </rPh>
    <rPh sb="7" eb="9">
      <t>ジッケン</t>
    </rPh>
    <rPh sb="13" eb="14">
      <t>ヒト</t>
    </rPh>
    <rPh sb="15" eb="17">
      <t>コウドウ</t>
    </rPh>
    <rPh sb="23" eb="25">
      <t>キカイ</t>
    </rPh>
    <rPh sb="26" eb="28">
      <t>カドウ</t>
    </rPh>
    <rPh sb="45" eb="47">
      <t>ガイロン</t>
    </rPh>
    <rPh sb="55" eb="56">
      <t>カイ</t>
    </rPh>
    <rPh sb="63" eb="65">
      <t>サクセイ</t>
    </rPh>
    <rPh sb="82" eb="86">
      <t>デンシジョウホウ</t>
    </rPh>
    <rPh sb="86" eb="88">
      <t>コウガク</t>
    </rPh>
    <rPh sb="88" eb="90">
      <t>ガイロン</t>
    </rPh>
    <rPh sb="95" eb="96">
      <t>カイ</t>
    </rPh>
    <phoneticPr fontId="1"/>
  </si>
  <si>
    <t>・特化型AIと汎用AI、今のAIで出来ることと出来ないこと、AIとビッグデータ「コンテンツデザイン概論」（2，3，13回目）
・マルチモーダル（言語、画像、音声など）、生成AIの活用（プロンプトエンジニアリング）「コンテンツデザイン概論」（13回目）</t>
    <rPh sb="1" eb="4">
      <t>トッカガタ</t>
    </rPh>
    <rPh sb="7" eb="9">
      <t>ハンヨウ</t>
    </rPh>
    <rPh sb="12" eb="13">
      <t>イマ</t>
    </rPh>
    <rPh sb="17" eb="19">
      <t>デキ</t>
    </rPh>
    <rPh sb="23" eb="25">
      <t>デキ</t>
    </rPh>
    <rPh sb="49" eb="51">
      <t>ガイロン</t>
    </rPh>
    <rPh sb="59" eb="60">
      <t>カイ</t>
    </rPh>
    <rPh sb="60" eb="61">
      <t>メ</t>
    </rPh>
    <rPh sb="72" eb="74">
      <t>ゲンゴ</t>
    </rPh>
    <rPh sb="75" eb="77">
      <t>ガゾウ</t>
    </rPh>
    <rPh sb="78" eb="80">
      <t>オンセイ</t>
    </rPh>
    <rPh sb="84" eb="86">
      <t>セイセイ</t>
    </rPh>
    <rPh sb="89" eb="91">
      <t>カツヨウ</t>
    </rPh>
    <rPh sb="116" eb="118">
      <t>ガイロン</t>
    </rPh>
    <rPh sb="122" eb="123">
      <t>カイ</t>
    </rPh>
    <phoneticPr fontId="1"/>
  </si>
  <si>
    <t>高度な芸術的表現能力をもった高次のコンテンツクリエータを目指すために必要な以下の能力・知識を獲得する。
・数理的知識やプログラミング能力などの論理的思考能力
・メディアテクノロジーの進展にともなうコンテンツ領域の拡大、新たなコンテンツ文化の醸成、デジタルコンテンツにおける歴史的背景に関する基礎知識</t>
    <phoneticPr fontId="1"/>
  </si>
  <si>
    <t>令和3</t>
    <rPh sb="0" eb="2">
      <t>レイワ</t>
    </rPh>
    <phoneticPr fontId="1"/>
  </si>
  <si>
    <t>工科学部・情報工学科</t>
    <rPh sb="0" eb="2">
      <t>コウカ</t>
    </rPh>
    <rPh sb="2" eb="4">
      <t>ガクブ</t>
    </rPh>
    <rPh sb="5" eb="10">
      <t>ジョウホウコウガッカ</t>
    </rPh>
    <phoneticPr fontId="1"/>
  </si>
  <si>
    <t>工科学部・デジタルエンタテインメント学科</t>
    <rPh sb="0" eb="4">
      <t>コウカガクブ</t>
    </rPh>
    <rPh sb="18" eb="20">
      <t>ガッカ</t>
    </rPh>
    <phoneticPr fontId="1"/>
  </si>
  <si>
    <t>浅田　稔</t>
    <rPh sb="0" eb="2">
      <t>アサダ</t>
    </rPh>
    <rPh sb="3" eb="4">
      <t>ミノル</t>
    </rPh>
    <phoneticPr fontId="1"/>
  </si>
  <si>
    <t>副学長</t>
    <rPh sb="0" eb="3">
      <t>フクガクチョウ</t>
    </rPh>
    <phoneticPr fontId="1"/>
  </si>
  <si>
    <t>自己点検・評価委員会、FD委員会</t>
    <rPh sb="0" eb="2">
      <t>ジコ</t>
    </rPh>
    <rPh sb="2" eb="4">
      <t>テンケン</t>
    </rPh>
    <rPh sb="5" eb="10">
      <t>ヒョウカイインカイ</t>
    </rPh>
    <rPh sb="13" eb="16">
      <t>イインカイ</t>
    </rPh>
    <phoneticPr fontId="1"/>
  </si>
  <si>
    <t>味戸　克裕</t>
    <rPh sb="0" eb="2">
      <t>アジト</t>
    </rPh>
    <rPh sb="3" eb="5">
      <t>カツヒロ</t>
    </rPh>
    <phoneticPr fontId="1"/>
  </si>
  <si>
    <t>工科学部　学部長</t>
    <rPh sb="0" eb="4">
      <t>コウカガクブ</t>
    </rPh>
    <rPh sb="5" eb="8">
      <t>ガクブチョウ</t>
    </rPh>
    <phoneticPr fontId="1"/>
  </si>
  <si>
    <t>本学カリキュラムの中で、「数理・データサイエンス・AI」に関する科目の履修と、教育内容の高度化を図り、当該領域の基盤を固めるとともに、接続科目との整合性を調整してし、教育効果の改善を推進していく。</t>
    <phoneticPr fontId="1"/>
  </si>
  <si>
    <t>味戸　克裕（工科学部 学部長、情報工学科、教授）
中村　幸博（情報工学科、学科長、教授）
中田　尚（情報工学科、准教授）
山口　尚（デジタルエンタテインメント学科、学科長、教授）</t>
    <phoneticPr fontId="1"/>
  </si>
  <si>
    <t>本学ではプログラムを構成する授業科目が全学生に対して必修科目となっているため、現体制を維持することにより、履修者数・履修率が向上していく。</t>
    <rPh sb="19" eb="22">
      <t>ゼンガクセイ</t>
    </rPh>
    <rPh sb="23" eb="24">
      <t>タイ</t>
    </rPh>
    <phoneticPr fontId="1"/>
  </si>
  <si>
    <t>情報工学科の「情報工学概論」「コンピュータシステム」「確率統計論」とデジタルエンタテイメント学科の「コンテンツデザイン概論」「電子情報工学概論」「統計論」は、それぞれともに本学の数理・データサイエンス・AIに関する基礎科目であり、各学科で卒業必修科目に位置付けられているため、すべての学生が履修する。</t>
    <phoneticPr fontId="1"/>
  </si>
  <si>
    <t>情報工学科の「情報工学概論」「コンピュータシステム」「確率統計論」とデジタルエンタテイメント学科の「コンテンツデザイン概論」「電子情報工学概論」「統計論」は、それぞれともに本学の数理、データサイエンス、AIに関する基礎科目であり、各学科で卒業必修科目に位置付けられている。そのため、自動的に履修登録がなされ、すべての学生がもれなく履修するようになっている。</t>
    <phoneticPr fontId="1"/>
  </si>
  <si>
    <t>情報工学科の「情報工学概論」「コンピュータシステム」「確率統計論」とデジタルエンタテイメント学科の「コンテンツデザイン概論」「統計論」「電子情報工学概論」は、それぞれともに本学の数理、データサイエンス、AIに関する基礎科目であり、各学科でな卒業必修科目に位置付けられているため、すべての学生が履修する。履修の状況や修得の状況は、担任教員・職員がサポートしている。</t>
    <phoneticPr fontId="1"/>
  </si>
  <si>
    <t>全学共通の施策として以下の２点が実施されている。
(1)LMSによる課題の提出を行い、評価のフィードバックを行えるような環境を提供している。
(2)LMSやTeamsを通じて授業の補足情報を配信したり、オフィスアワーを利用し学生から各科目の教員に質問を行うことができる環境を提供している。</t>
    <phoneticPr fontId="1"/>
  </si>
  <si>
    <t>自己点検・評価委員会、FD委員会</t>
    <rPh sb="13" eb="16">
      <t>イインカイ</t>
    </rPh>
    <phoneticPr fontId="1"/>
  </si>
  <si>
    <t>工科学部　学部長</t>
    <rPh sb="0" eb="2">
      <t>コウカ</t>
    </rPh>
    <rPh sb="2" eb="4">
      <t>ガクブ</t>
    </rPh>
    <rPh sb="5" eb="8">
      <t>ガクブチョウ</t>
    </rPh>
    <phoneticPr fontId="1"/>
  </si>
  <si>
    <t>出欠に関してはLMSで把握することができ、単位の取得情報は成績管理システムで担任が把握出来るような仕組みが整っている。LMSでの出欠情報は、授業翌日に全教員に情報共有がなされるため、担当科目の履修・単位修得状況の向上に努めることができている。</t>
    <phoneticPr fontId="1"/>
  </si>
  <si>
    <t>各講義の履修者全員に対して、授業終了後に授業アンケートを実施している。アンケート結果をもとに、学生の理解度の分析を行い、学生からの意見も参考にして、学修成果の確認を行っている。</t>
    <phoneticPr fontId="1"/>
  </si>
  <si>
    <t>各科目はすべて卒業要件に入る必修科目のため、履修する上での先輩から後輩、他学生への推奨、ということは発生しない。ただし、学内で使用しているコミュニケーションツール（Microsoft Teams）による学年を超えた交流や、サークル活動、自主学習などを通じて、上級生と下級生が交流する場面もあり、本教育プログラムで身につけた知識やスキル、数理、データ、AIなどの話題が学びの基盤となることが下級生にも共有されていると考える。</t>
    <phoneticPr fontId="1"/>
  </si>
  <si>
    <t>各科目はすべて卒業要件に入る必修科目としての位置付けである。卒業までにすべての履修者は本プログラムを修了することになる。</t>
    <phoneticPr fontId="1"/>
  </si>
  <si>
    <t>令和3年度から始まった講義であり、令和5年度の時点では、まだ修了者の進路、活躍状況、企業の評価は調査されていない。今後の就職活動における評価や卒業生の活躍状況調査を行うことを予定している。</t>
    <phoneticPr fontId="1"/>
  </si>
  <si>
    <t>本学では、産業界からの視点を教育に反映させるため、産業界と「教育課程連携協議会」を運営し、さらには地域共創デザイン実習や臨地実務実習、その他企業との連携を行っている実習科目において、意見を頂戴している。その中でも、数理・データサイエンス・AIに関する基礎学力の強化を求める意見・期待は多く上がってきている。</t>
    <phoneticPr fontId="1"/>
  </si>
  <si>
    <t>情報工学科の「情報工学概論」科目とデジタルエンタテイメント学科の「コンテンツデザイン概論」科目では、AI・深層学習の分野において第一線で活躍されている研究者や、産業界で活躍されている有識者を外部講師として招き、外部講演を実施するなど、数理・データサイエンス・AIを学ぶ楽しさを感じることができるような機会を与えるようにしている。</t>
    <phoneticPr fontId="1"/>
  </si>
  <si>
    <t>授業アンケートから学生の意見を抽出する仕組みがあり、学生がつまずきやすいポイントなどの洗い出しを行い、FD活動などを通じて授業内容の改善を図り、より「分かりやすい」授業となるよう工夫を行っている。また、生成AIの事例紹介などを交えることで、学修へのモチベーション向上につなげている。</t>
    <phoneticPr fontId="1"/>
  </si>
  <si>
    <t>情報工学科では、１年前期開講の「情報工学概論」、「コンピュータシステム」と２年前期開講の「確率統計論」の各2単位の科目をすべて履修し、合計6単位を取得すること。</t>
    <rPh sb="10" eb="12">
      <t>ゼンキ</t>
    </rPh>
    <rPh sb="39" eb="41">
      <t>ゼンキ</t>
    </rPh>
    <phoneticPr fontId="1"/>
  </si>
  <si>
    <t>・AI最新技術の活用例（深層生成モデル、強化学習、転移学習、生成AIなど）「情報工学概論」（1，11，12，14回目）、「確率統計論」（1回目）</t>
    <rPh sb="3" eb="7">
      <t>サイシンギジュツ</t>
    </rPh>
    <rPh sb="8" eb="11">
      <t>カツヨウレイ</t>
    </rPh>
    <rPh sb="12" eb="16">
      <t>シンソウセイセイ</t>
    </rPh>
    <rPh sb="20" eb="22">
      <t>キョウカ</t>
    </rPh>
    <rPh sb="22" eb="24">
      <t>ガクシュウ</t>
    </rPh>
    <rPh sb="25" eb="27">
      <t>テンイ</t>
    </rPh>
    <rPh sb="27" eb="29">
      <t>ガクシュウ</t>
    </rPh>
    <rPh sb="30" eb="32">
      <t>セイセイ</t>
    </rPh>
    <rPh sb="38" eb="42">
      <t>ジョウホウコウガク</t>
    </rPh>
    <rPh sb="42" eb="44">
      <t>ガイロン</t>
    </rPh>
    <rPh sb="56" eb="57">
      <t>カイ</t>
    </rPh>
    <rPh sb="61" eb="63">
      <t>カクリツ</t>
    </rPh>
    <rPh sb="63" eb="66">
      <t>トウケイロン</t>
    </rPh>
    <rPh sb="69" eb="71">
      <t>カイメ</t>
    </rPh>
    <phoneticPr fontId="1"/>
  </si>
  <si>
    <t>・倫理的・法的・社会的課題「情報工学概論」（2，15回目）、「コンピュータシステム」（11，12，13，14，15回目）
・データ倫理：データのねつ造、改ざん、盗用、プライバシー保護「情報工学概論」（2，15回目）、「コンピュータシステム」（11，12，13，14，15回目）
・データ・AI活用における負の事例紹介「情報工学概論」（2，15回目）、「コンピュータシステム」（11，12，13，14，15回目）</t>
    <rPh sb="1" eb="4">
      <t>リンリテキ</t>
    </rPh>
    <rPh sb="5" eb="7">
      <t>ホウテキ</t>
    </rPh>
    <rPh sb="8" eb="13">
      <t>シャカイテキカダイ</t>
    </rPh>
    <rPh sb="14" eb="18">
      <t>ジョウホウコウガク</t>
    </rPh>
    <rPh sb="18" eb="20">
      <t>ガイロン</t>
    </rPh>
    <rPh sb="26" eb="28">
      <t>カイメ</t>
    </rPh>
    <rPh sb="65" eb="67">
      <t>リンリ</t>
    </rPh>
    <rPh sb="74" eb="75">
      <t>ゾウ</t>
    </rPh>
    <rPh sb="76" eb="77">
      <t>カイ</t>
    </rPh>
    <rPh sb="80" eb="82">
      <t>トウヨウ</t>
    </rPh>
    <rPh sb="89" eb="91">
      <t>ホゴ</t>
    </rPh>
    <rPh sb="136" eb="137">
      <t>メ</t>
    </rPh>
    <rPh sb="146" eb="148">
      <t>カツヨウ</t>
    </rPh>
    <rPh sb="152" eb="153">
      <t>フ</t>
    </rPh>
    <rPh sb="154" eb="158">
      <t>ジレイショウカイ</t>
    </rPh>
    <phoneticPr fontId="1"/>
  </si>
  <si>
    <t>・情報セキュリティの３要素（機密性、完全性、可用性）「コンピュータシステム」（11，12，13，14，15回目）
・情報漏洩等によるセキュリティ事故の事例紹介「コンピュータシステム」（11，12，13，14，15回目）</t>
    <rPh sb="1" eb="3">
      <t>ジョウホウ</t>
    </rPh>
    <rPh sb="11" eb="13">
      <t>ヨウソ</t>
    </rPh>
    <rPh sb="14" eb="16">
      <t>キミツ</t>
    </rPh>
    <rPh sb="16" eb="17">
      <t>セイ</t>
    </rPh>
    <rPh sb="18" eb="21">
      <t>カンゼンセイ</t>
    </rPh>
    <rPh sb="22" eb="25">
      <t>カヨウセイ</t>
    </rPh>
    <rPh sb="53" eb="55">
      <t>カイメ</t>
    </rPh>
    <rPh sb="58" eb="62">
      <t>ジョウホウロウエイ</t>
    </rPh>
    <rPh sb="62" eb="63">
      <t>ナド</t>
    </rPh>
    <rPh sb="72" eb="74">
      <t>ジコ</t>
    </rPh>
    <rPh sb="75" eb="77">
      <t>ジレイ</t>
    </rPh>
    <rPh sb="77" eb="79">
      <t>ショウカイ</t>
    </rPh>
    <phoneticPr fontId="1"/>
  </si>
  <si>
    <t>・ビッグデータ、IoT 、AI 、生成AI、ロボット「コンテンツデザイン概論」（2，3，13回目）
・データ量の増加、計算機の処理性能の向上、AIの非連続的進化「電子情報工学概論」（2，7回目）
・第４次産業革命、Society5.0、データ駆動型社会「コンテンデザイン概論」（2，3，13回目）</t>
    <rPh sb="17" eb="19">
      <t>セイセイ</t>
    </rPh>
    <rPh sb="36" eb="38">
      <t>ガイロン</t>
    </rPh>
    <rPh sb="46" eb="48">
      <t>カイメ</t>
    </rPh>
    <rPh sb="54" eb="55">
      <t>リョウ</t>
    </rPh>
    <rPh sb="56" eb="58">
      <t>ゾウカ</t>
    </rPh>
    <rPh sb="59" eb="62">
      <t>ケイサンキ</t>
    </rPh>
    <rPh sb="63" eb="65">
      <t>ショリ</t>
    </rPh>
    <rPh sb="65" eb="67">
      <t>セイノウ</t>
    </rPh>
    <rPh sb="68" eb="70">
      <t>コウジョウ</t>
    </rPh>
    <rPh sb="74" eb="78">
      <t>ヒレンゾクテキ</t>
    </rPh>
    <rPh sb="78" eb="80">
      <t>シンカ</t>
    </rPh>
    <rPh sb="81" eb="87">
      <t>デンシジョウホウコウガク</t>
    </rPh>
    <rPh sb="87" eb="89">
      <t>ガイロン</t>
    </rPh>
    <rPh sb="94" eb="96">
      <t>カイメ</t>
    </rPh>
    <rPh sb="99" eb="100">
      <t>ダイ</t>
    </rPh>
    <rPh sb="101" eb="102">
      <t>ジ</t>
    </rPh>
    <rPh sb="102" eb="104">
      <t>サンギョウ</t>
    </rPh>
    <rPh sb="104" eb="106">
      <t>カクメイ</t>
    </rPh>
    <rPh sb="121" eb="124">
      <t>クドウガタ</t>
    </rPh>
    <rPh sb="124" eb="126">
      <t>シャカイ</t>
    </rPh>
    <rPh sb="145" eb="147">
      <t>カイメ</t>
    </rPh>
    <phoneticPr fontId="1"/>
  </si>
  <si>
    <t>・データ・AI活用領域の広がり（生産、消費、文化活動など）「コンテンツデザイン概論」（2，3，11，12，13回目）、「電子情報工学概論」（4，7回目）</t>
    <rPh sb="7" eb="11">
      <t>カツヨウリョウイキ</t>
    </rPh>
    <rPh sb="12" eb="13">
      <t>ヒロ</t>
    </rPh>
    <rPh sb="16" eb="18">
      <t>セイサン</t>
    </rPh>
    <rPh sb="19" eb="21">
      <t>ショウヒ</t>
    </rPh>
    <rPh sb="22" eb="26">
      <t>ブンカカツドウ</t>
    </rPh>
    <rPh sb="39" eb="41">
      <t>ガイロン</t>
    </rPh>
    <rPh sb="55" eb="56">
      <t>カイ</t>
    </rPh>
    <rPh sb="60" eb="64">
      <t>デンシジョウホウ</t>
    </rPh>
    <rPh sb="64" eb="66">
      <t>コウガク</t>
    </rPh>
    <rPh sb="66" eb="68">
      <t>ガイロン</t>
    </rPh>
    <rPh sb="73" eb="74">
      <t>カイ</t>
    </rPh>
    <phoneticPr fontId="1"/>
  </si>
  <si>
    <t>・教育、芸術、流通、製造、金融、サービス、インフラ、公共、ヘルスケア等におけるデータ・AI利活用事例紹介「コンテンツデザイン概論」（2，3，11，12，13回目）、「電子情報工学概論」（4，7回目）、「統計論」（1回目）</t>
    <rPh sb="1" eb="3">
      <t>キョウイク</t>
    </rPh>
    <rPh sb="4" eb="6">
      <t>ゲイジュツ</t>
    </rPh>
    <rPh sb="7" eb="9">
      <t>リュウツウ</t>
    </rPh>
    <rPh sb="10" eb="12">
      <t>セイゾウ</t>
    </rPh>
    <rPh sb="13" eb="15">
      <t>キンユウ</t>
    </rPh>
    <rPh sb="26" eb="28">
      <t>コウキョウ</t>
    </rPh>
    <rPh sb="34" eb="35">
      <t>ナド</t>
    </rPh>
    <rPh sb="45" eb="48">
      <t>リカツヨウ</t>
    </rPh>
    <rPh sb="48" eb="52">
      <t>ジレイショウカイ</t>
    </rPh>
    <rPh sb="62" eb="64">
      <t>ガイロン</t>
    </rPh>
    <rPh sb="78" eb="79">
      <t>カイ</t>
    </rPh>
    <phoneticPr fontId="1"/>
  </si>
  <si>
    <t>・倫理的・法的・社会的課題「コンテンツデザイン概論」（2，3，9，10回目）、「電子情報工学概論」（14，15回目）
・データ倫理：データのねつ造、改ざん、盗用、プライバシー保護「コンテンツデザイン概論」（2，3，9，10回目）、「電子情報工学概論」（14，15回目）
・データ・AI活用における負の事例紹介「コンテンツデザイン概論」（13回目）、「電子情報工学概論」（14，15回目）</t>
    <rPh sb="1" eb="4">
      <t>リンリテキ</t>
    </rPh>
    <rPh sb="5" eb="7">
      <t>ホウテキ</t>
    </rPh>
    <rPh sb="8" eb="13">
      <t>シャカイテキカダイ</t>
    </rPh>
    <rPh sb="35" eb="36">
      <t>カイ</t>
    </rPh>
    <rPh sb="36" eb="37">
      <t>メ</t>
    </rPh>
    <rPh sb="63" eb="65">
      <t>リンリ</t>
    </rPh>
    <rPh sb="72" eb="73">
      <t>ゾウ</t>
    </rPh>
    <rPh sb="74" eb="75">
      <t>カイ</t>
    </rPh>
    <rPh sb="78" eb="80">
      <t>トウヨウ</t>
    </rPh>
    <rPh sb="87" eb="89">
      <t>ホゴ</t>
    </rPh>
    <rPh sb="99" eb="101">
      <t>ガイロン</t>
    </rPh>
    <rPh sb="142" eb="144">
      <t>カツヨウ</t>
    </rPh>
    <rPh sb="148" eb="149">
      <t>フ</t>
    </rPh>
    <rPh sb="150" eb="154">
      <t>ジレイショウカイ</t>
    </rPh>
    <rPh sb="170" eb="171">
      <t>カイ</t>
    </rPh>
    <rPh sb="171" eb="172">
      <t>メ</t>
    </rPh>
    <phoneticPr fontId="1"/>
  </si>
  <si>
    <t>授業アンケートの分析結果等により、数理の理解度が高くないことが判明している。そのため、講義資料や課題の見直しを行うなど、講義内容の改善を行っている。</t>
    <phoneticPr fontId="1"/>
  </si>
  <si>
    <t>・情報セキュリティの３要素（機密性、完全性、可用性）「電子情報工学概論」（14，15回目）
・情報漏洩等によるセキュリティ事故の事例紹介「電子情報工学概論」（14，15回目）</t>
    <rPh sb="1" eb="3">
      <t>ジョウホウ</t>
    </rPh>
    <rPh sb="11" eb="13">
      <t>ヨウソ</t>
    </rPh>
    <rPh sb="14" eb="16">
      <t>キミツ</t>
    </rPh>
    <rPh sb="16" eb="17">
      <t>セイ</t>
    </rPh>
    <rPh sb="18" eb="21">
      <t>カンゼンセイ</t>
    </rPh>
    <rPh sb="22" eb="25">
      <t>カヨウセイ</t>
    </rPh>
    <rPh sb="27" eb="33">
      <t>デンシジョウホウコウガク</t>
    </rPh>
    <rPh sb="33" eb="35">
      <t>ガイロン</t>
    </rPh>
    <rPh sb="42" eb="44">
      <t>カイメ</t>
    </rPh>
    <rPh sb="47" eb="51">
      <t>ジョウホウロウエイ</t>
    </rPh>
    <rPh sb="51" eb="52">
      <t>ナド</t>
    </rPh>
    <rPh sb="61" eb="63">
      <t>ジコ</t>
    </rPh>
    <rPh sb="64" eb="66">
      <t>ジレイ</t>
    </rPh>
    <rPh sb="66" eb="68">
      <t>ショウカイ</t>
    </rPh>
    <phoneticPr fontId="1"/>
  </si>
  <si>
    <t>・データの分布（ヒストグラム）と代表値（平均値、中央値、最頻値）「統計論」（2回目）
・データのばらつき（分散、標準偏差、偏差値）、外れ値「統計論」（2，11回目）
・相関と因果（相関係数、疑似相関、交絡）「統計論」（2,10回目）</t>
    <rPh sb="5" eb="7">
      <t>ブンプ</t>
    </rPh>
    <rPh sb="16" eb="19">
      <t>ダイヒョウチ</t>
    </rPh>
    <rPh sb="20" eb="23">
      <t>ヘイキンチ</t>
    </rPh>
    <rPh sb="24" eb="27">
      <t>チュウオウチ</t>
    </rPh>
    <rPh sb="28" eb="31">
      <t>サイヒンチ</t>
    </rPh>
    <rPh sb="53" eb="55">
      <t>ブンサン</t>
    </rPh>
    <rPh sb="56" eb="60">
      <t>ヒョウジュンヘンサ</t>
    </rPh>
    <rPh sb="61" eb="64">
      <t>ヘンサチ</t>
    </rPh>
    <rPh sb="66" eb="67">
      <t>ハズ</t>
    </rPh>
    <rPh sb="68" eb="69">
      <t>チ</t>
    </rPh>
    <rPh sb="84" eb="86">
      <t>ソウカン</t>
    </rPh>
    <rPh sb="87" eb="89">
      <t>インガ</t>
    </rPh>
    <rPh sb="90" eb="94">
      <t>ソウカンケイスウ</t>
    </rPh>
    <rPh sb="95" eb="99">
      <t>ギジソウカン</t>
    </rPh>
    <rPh sb="100" eb="102">
      <t>コウラク</t>
    </rPh>
    <phoneticPr fontId="1"/>
  </si>
  <si>
    <t>・データ表現（棒グラフ、折線グラフ、散布図、ヒートマップ、箱ひげ図）「統計論」（2回目）
・データの比較（条件をそろえた比較、処理の前後での比較、A/Bテスト）「統計論」（2，15回目）</t>
    <rPh sb="4" eb="6">
      <t>ヒョウゲン</t>
    </rPh>
    <rPh sb="7" eb="8">
      <t>ボウ</t>
    </rPh>
    <rPh sb="12" eb="13">
      <t>オ</t>
    </rPh>
    <rPh sb="13" eb="14">
      <t>セン</t>
    </rPh>
    <rPh sb="18" eb="21">
      <t>サンプズ</t>
    </rPh>
    <rPh sb="29" eb="30">
      <t>ハコ</t>
    </rPh>
    <rPh sb="32" eb="33">
      <t>ズ</t>
    </rPh>
    <rPh sb="50" eb="52">
      <t>ヒカク</t>
    </rPh>
    <rPh sb="53" eb="55">
      <t>ジョウケン</t>
    </rPh>
    <rPh sb="60" eb="62">
      <t>ヒカク</t>
    </rPh>
    <rPh sb="63" eb="65">
      <t>ショリ</t>
    </rPh>
    <rPh sb="66" eb="68">
      <t>ゼンゴ</t>
    </rPh>
    <rPh sb="70" eb="72">
      <t>ヒカク</t>
    </rPh>
    <phoneticPr fontId="1"/>
  </si>
  <si>
    <t>・データの取得（機械判読可能なデータの作成・表記方法）「統計論」（4回目）
・データの集計（和、平均）「統計論」（5回目）
・データの並び替え、ランキング「統計論」（5回目）</t>
    <rPh sb="5" eb="7">
      <t>シュトク</t>
    </rPh>
    <rPh sb="8" eb="10">
      <t>キカイ</t>
    </rPh>
    <rPh sb="10" eb="14">
      <t>ハンドクカノウ</t>
    </rPh>
    <rPh sb="19" eb="21">
      <t>サクセイ</t>
    </rPh>
    <rPh sb="22" eb="24">
      <t>ヒョウキ</t>
    </rPh>
    <rPh sb="24" eb="26">
      <t>ホウホウ</t>
    </rPh>
    <rPh sb="34" eb="36">
      <t>カイメ</t>
    </rPh>
    <rPh sb="43" eb="45">
      <t>シュウケイ</t>
    </rPh>
    <rPh sb="46" eb="47">
      <t>ワ</t>
    </rPh>
    <rPh sb="48" eb="50">
      <t>ヘイキン</t>
    </rPh>
    <rPh sb="67" eb="68">
      <t>ナラ</t>
    </rPh>
    <rPh sb="69" eb="70">
      <t>カ</t>
    </rPh>
    <phoneticPr fontId="1"/>
  </si>
  <si>
    <t>コンテンツデザイン概論の中で、生成AIの活用事例の解説などを行っている。</t>
    <phoneticPr fontId="1"/>
  </si>
  <si>
    <t>大阪国際工科専門職大学 自己点検・評価規程
大阪国際工科専門職大学 ＦＤ（ファカルティ・ディベロップメント）委員会規程</t>
    <rPh sb="22" eb="33">
      <t>オオサカ</t>
    </rPh>
    <rPh sb="54" eb="57">
      <t>イインカイ</t>
    </rPh>
    <rPh sb="57" eb="59">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</si>
</sst>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2" xfId="0" applyNumberFormat="1" applyFont="1" applyBorder="1" applyAlignment="1">
      <alignment horizontal="center" vertical="center" wrapText="1" shrinkToFit="1"/>
    </xf>
    <xf numFmtId="9" fontId="2" fillId="0" borderId="4"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20" fontId="2" fillId="0" borderId="32" xfId="0" applyNumberFormat="1" applyFont="1" applyBorder="1" applyAlignment="1">
      <alignment horizontal="center" vertical="center" shrinkToFit="1"/>
    </xf>
    <xf numFmtId="20" fontId="2" fillId="0" borderId="33" xfId="0" applyNumberFormat="1" applyFont="1" applyBorder="1" applyAlignment="1">
      <alignment horizontal="center" vertical="center" shrinkToFit="1"/>
    </xf>
    <xf numFmtId="20" fontId="2" fillId="0" borderId="34" xfId="0" applyNumberFormat="1" applyFont="1" applyBorder="1" applyAlignment="1">
      <alignment horizontal="center" vertical="center" shrinkToFit="1"/>
    </xf>
    <xf numFmtId="20" fontId="2" fillId="0" borderId="0" xfId="0" applyNumberFormat="1" applyFont="1">
      <alignmen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AG114"/>
  <sheetViews>
    <sheetView showZeros="0" tabSelected="1" view="pageBreakPreview" zoomScaleNormal="100" zoomScaleSheetLayoutView="100" workbookViewId="0">
      <selection activeCell="K59" sqref="K59:Q59"/>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43" t="s">
        <v>149</v>
      </c>
      <c r="U1" s="143"/>
      <c r="V1" s="2" t="s">
        <v>99</v>
      </c>
    </row>
    <row r="2" spans="1:24" ht="18.75" customHeight="1" x14ac:dyDescent="0.15">
      <c r="A2" s="76"/>
      <c r="B2" s="78" t="s">
        <v>98</v>
      </c>
      <c r="C2" s="144" t="s">
        <v>136</v>
      </c>
      <c r="D2" s="145"/>
      <c r="E2" s="145"/>
      <c r="F2" s="145"/>
      <c r="G2" s="145"/>
      <c r="H2" s="145"/>
      <c r="I2" s="145"/>
      <c r="J2" s="146"/>
      <c r="K2" s="77"/>
      <c r="L2" s="79"/>
      <c r="M2" s="79"/>
      <c r="N2" s="79"/>
      <c r="O2" s="79"/>
      <c r="P2" s="79"/>
      <c r="Q2" s="79"/>
      <c r="R2" s="79"/>
      <c r="S2" s="79"/>
      <c r="T2" s="79"/>
      <c r="U2" s="79"/>
    </row>
    <row r="3" spans="1:24" ht="18.75" customHeight="1" x14ac:dyDescent="0.15">
      <c r="A3" s="76"/>
      <c r="B3" s="78" t="s">
        <v>93</v>
      </c>
      <c r="C3" s="147" t="s">
        <v>137</v>
      </c>
      <c r="D3" s="148"/>
      <c r="E3" s="148"/>
      <c r="F3" s="148"/>
      <c r="G3" s="148"/>
      <c r="H3" s="148"/>
      <c r="I3" s="148"/>
      <c r="J3" s="149"/>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50" t="s">
        <v>37</v>
      </c>
      <c r="B5" s="150"/>
      <c r="C5" s="150"/>
      <c r="D5" s="150"/>
      <c r="E5" s="150"/>
      <c r="F5" s="150"/>
      <c r="G5" s="150"/>
      <c r="H5" s="150"/>
      <c r="I5" s="150"/>
      <c r="J5" s="150"/>
      <c r="K5" s="150"/>
      <c r="L5" s="150"/>
      <c r="M5" s="150"/>
      <c r="N5" s="150"/>
      <c r="O5" s="150"/>
      <c r="P5" s="150"/>
      <c r="Q5" s="150"/>
      <c r="R5" s="150"/>
      <c r="S5" s="150"/>
      <c r="T5" s="150"/>
      <c r="U5" s="150"/>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75"/>
      <c r="G7" s="75"/>
      <c r="H7" s="75"/>
      <c r="I7" s="75"/>
      <c r="J7" s="75"/>
      <c r="K7" s="75"/>
      <c r="L7" s="154" t="s">
        <v>129</v>
      </c>
      <c r="M7" s="155"/>
      <c r="N7" s="155"/>
      <c r="O7" s="155"/>
      <c r="P7" s="155"/>
      <c r="Q7" s="155"/>
      <c r="R7" s="155"/>
      <c r="S7" s="155"/>
      <c r="T7" s="155"/>
      <c r="U7" s="156"/>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60" t="s">
        <v>138</v>
      </c>
      <c r="C11" s="161"/>
      <c r="D11" s="161"/>
      <c r="E11" s="161"/>
      <c r="F11" s="161"/>
      <c r="G11" s="161"/>
      <c r="H11" s="161"/>
      <c r="I11" s="161"/>
      <c r="J11" s="161"/>
      <c r="K11" s="161"/>
      <c r="L11" s="161"/>
      <c r="M11" s="161"/>
      <c r="N11" s="161"/>
      <c r="O11" s="161"/>
      <c r="P11" s="161"/>
      <c r="Q11" s="161"/>
      <c r="R11" s="161"/>
      <c r="S11" s="161"/>
      <c r="T11" s="161"/>
      <c r="U11" s="162"/>
    </row>
    <row r="12" spans="1:24" ht="18" customHeight="1" x14ac:dyDescent="0.15">
      <c r="A12" s="76"/>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100</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25" t="s">
        <v>193</v>
      </c>
      <c r="C15" s="126"/>
      <c r="D15" s="126"/>
      <c r="E15" s="126"/>
      <c r="F15" s="126"/>
      <c r="G15" s="126"/>
      <c r="H15" s="126"/>
      <c r="I15" s="126"/>
      <c r="J15" s="126"/>
      <c r="K15" s="126"/>
      <c r="L15" s="126"/>
      <c r="M15" s="126"/>
      <c r="N15" s="126"/>
      <c r="O15" s="126"/>
      <c r="P15" s="126"/>
      <c r="Q15" s="126"/>
      <c r="R15" s="126"/>
      <c r="S15" s="126"/>
      <c r="T15" s="126"/>
      <c r="U15" s="127"/>
      <c r="X15" s="1" t="s">
        <v>94</v>
      </c>
    </row>
    <row r="16" spans="1:24" ht="18" customHeight="1" x14ac:dyDescent="0.15">
      <c r="A16" s="76"/>
      <c r="B16" s="128"/>
      <c r="C16" s="129"/>
      <c r="D16" s="129"/>
      <c r="E16" s="129"/>
      <c r="F16" s="129"/>
      <c r="G16" s="129"/>
      <c r="H16" s="129"/>
      <c r="I16" s="129"/>
      <c r="J16" s="129"/>
      <c r="K16" s="129"/>
      <c r="L16" s="129"/>
      <c r="M16" s="129"/>
      <c r="N16" s="129"/>
      <c r="O16" s="129"/>
      <c r="P16" s="129"/>
      <c r="Q16" s="129"/>
      <c r="R16" s="129"/>
      <c r="S16" s="129"/>
      <c r="T16" s="129"/>
      <c r="U16" s="130"/>
      <c r="X16" s="1" t="s">
        <v>114</v>
      </c>
    </row>
    <row r="17" spans="1:24" ht="18" customHeight="1" x14ac:dyDescent="0.15">
      <c r="A17" s="76"/>
      <c r="B17" s="128"/>
      <c r="C17" s="129"/>
      <c r="D17" s="129"/>
      <c r="E17" s="129"/>
      <c r="F17" s="129"/>
      <c r="G17" s="129"/>
      <c r="H17" s="129"/>
      <c r="I17" s="129"/>
      <c r="J17" s="129"/>
      <c r="K17" s="129"/>
      <c r="L17" s="129"/>
      <c r="M17" s="129"/>
      <c r="N17" s="129"/>
      <c r="O17" s="129"/>
      <c r="P17" s="129"/>
      <c r="Q17" s="129"/>
      <c r="R17" s="129"/>
      <c r="S17" s="129"/>
      <c r="T17" s="129"/>
      <c r="U17" s="130"/>
      <c r="X17" s="1" t="s">
        <v>115</v>
      </c>
    </row>
    <row r="18" spans="1:24" ht="18" customHeight="1" x14ac:dyDescent="0.15">
      <c r="A18" s="76"/>
      <c r="B18" s="128"/>
      <c r="C18" s="129"/>
      <c r="D18" s="129"/>
      <c r="E18" s="129"/>
      <c r="F18" s="129"/>
      <c r="G18" s="129"/>
      <c r="H18" s="129"/>
      <c r="I18" s="129"/>
      <c r="J18" s="129"/>
      <c r="K18" s="129"/>
      <c r="L18" s="129"/>
      <c r="M18" s="129"/>
      <c r="N18" s="129"/>
      <c r="O18" s="129"/>
      <c r="P18" s="129"/>
      <c r="Q18" s="129"/>
      <c r="R18" s="129"/>
      <c r="S18" s="129"/>
      <c r="T18" s="129"/>
      <c r="U18" s="130"/>
      <c r="X18" s="1" t="s">
        <v>116</v>
      </c>
    </row>
    <row r="19" spans="1:24" ht="18" customHeight="1" x14ac:dyDescent="0.15">
      <c r="A19" s="76"/>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15">
      <c r="A20" s="76"/>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133</v>
      </c>
      <c r="C22" s="76"/>
      <c r="D22" s="76"/>
      <c r="E22" s="84">
        <v>3</v>
      </c>
      <c r="F22" s="76" t="s">
        <v>112</v>
      </c>
      <c r="G22" s="76"/>
      <c r="H22" s="85">
        <v>6</v>
      </c>
      <c r="I22" s="81" t="s">
        <v>113</v>
      </c>
      <c r="J22" s="81"/>
      <c r="K22" s="77"/>
      <c r="L22" s="76"/>
      <c r="M22" s="77" t="s">
        <v>109</v>
      </c>
      <c r="N22" s="151" t="s">
        <v>114</v>
      </c>
      <c r="O22" s="152"/>
      <c r="P22" s="152"/>
      <c r="Q22" s="152"/>
      <c r="R22" s="152"/>
      <c r="S22" s="152"/>
      <c r="T22" s="152"/>
      <c r="U22" s="153"/>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34" t="s">
        <v>101</v>
      </c>
      <c r="B24" s="134"/>
      <c r="C24" s="134"/>
      <c r="D24" s="134"/>
      <c r="E24" s="134"/>
      <c r="F24" s="134"/>
      <c r="G24" s="134"/>
      <c r="H24" s="134"/>
      <c r="I24" s="134"/>
      <c r="J24" s="134"/>
      <c r="K24" s="134"/>
      <c r="L24" s="134"/>
      <c r="M24" s="134"/>
      <c r="N24" s="134"/>
      <c r="O24" s="134"/>
      <c r="P24" s="134"/>
      <c r="Q24" s="134"/>
      <c r="R24" s="134"/>
      <c r="S24" s="134"/>
      <c r="T24" s="134"/>
      <c r="U24" s="134"/>
    </row>
    <row r="25" spans="1:24" ht="18" customHeight="1" x14ac:dyDescent="0.15">
      <c r="A25" s="134"/>
      <c r="B25" s="134"/>
      <c r="C25" s="134"/>
      <c r="D25" s="134"/>
      <c r="E25" s="134"/>
      <c r="F25" s="134"/>
      <c r="G25" s="134"/>
      <c r="H25" s="134"/>
      <c r="I25" s="134"/>
      <c r="J25" s="134"/>
      <c r="K25" s="134"/>
      <c r="L25" s="134"/>
      <c r="M25" s="134"/>
      <c r="N25" s="134"/>
      <c r="O25" s="134"/>
      <c r="P25" s="134"/>
      <c r="Q25" s="134"/>
      <c r="R25" s="134"/>
      <c r="S25" s="134"/>
      <c r="T25" s="134"/>
      <c r="U25" s="134"/>
    </row>
    <row r="26" spans="1:24" ht="18" customHeight="1" x14ac:dyDescent="0.15">
      <c r="B26" s="92" t="s">
        <v>51</v>
      </c>
      <c r="C26" s="93"/>
      <c r="D26" s="93"/>
      <c r="E26" s="93"/>
      <c r="F26" s="94"/>
      <c r="G26" s="51" t="s">
        <v>77</v>
      </c>
      <c r="H26" s="50" t="s">
        <v>80</v>
      </c>
      <c r="I26" s="17" t="s">
        <v>54</v>
      </c>
      <c r="J26" s="17" t="s">
        <v>57</v>
      </c>
      <c r="K26" s="92" t="s">
        <v>51</v>
      </c>
      <c r="L26" s="93"/>
      <c r="M26" s="93"/>
      <c r="N26" s="93"/>
      <c r="O26" s="93"/>
      <c r="P26" s="93"/>
      <c r="Q26" s="94"/>
      <c r="R26" s="51" t="s">
        <v>77</v>
      </c>
      <c r="S26" s="50" t="s">
        <v>80</v>
      </c>
      <c r="T26" s="17" t="s">
        <v>54</v>
      </c>
      <c r="U26" s="17" t="s">
        <v>57</v>
      </c>
    </row>
    <row r="27" spans="1:24" ht="18" customHeight="1" x14ac:dyDescent="0.15">
      <c r="B27" s="95" t="s">
        <v>139</v>
      </c>
      <c r="C27" s="96"/>
      <c r="D27" s="96"/>
      <c r="E27" s="96"/>
      <c r="F27" s="97"/>
      <c r="G27" s="18">
        <v>2</v>
      </c>
      <c r="H27" s="18" t="s">
        <v>140</v>
      </c>
      <c r="I27" s="18" t="s">
        <v>141</v>
      </c>
      <c r="J27" s="18" t="s">
        <v>140</v>
      </c>
      <c r="K27" s="95"/>
      <c r="L27" s="96"/>
      <c r="M27" s="96"/>
      <c r="N27" s="96"/>
      <c r="O27" s="96"/>
      <c r="P27" s="96"/>
      <c r="Q27" s="97"/>
      <c r="R27" s="18"/>
      <c r="S27" s="18"/>
      <c r="T27" s="18"/>
      <c r="U27" s="18"/>
    </row>
    <row r="28" spans="1:24" ht="18" customHeight="1" x14ac:dyDescent="0.15">
      <c r="B28" s="89" t="s">
        <v>142</v>
      </c>
      <c r="C28" s="90"/>
      <c r="D28" s="90"/>
      <c r="E28" s="90"/>
      <c r="F28" s="91"/>
      <c r="G28" s="19">
        <v>2</v>
      </c>
      <c r="H28" s="19" t="s">
        <v>140</v>
      </c>
      <c r="I28" s="19" t="s">
        <v>140</v>
      </c>
      <c r="J28" s="19"/>
      <c r="K28" s="89"/>
      <c r="L28" s="90"/>
      <c r="M28" s="90"/>
      <c r="N28" s="90"/>
      <c r="O28" s="90"/>
      <c r="P28" s="90"/>
      <c r="Q28" s="91"/>
      <c r="R28" s="19"/>
      <c r="S28" s="19"/>
      <c r="T28" s="19"/>
      <c r="U28" s="19"/>
    </row>
    <row r="29" spans="1:24" ht="18" customHeight="1" x14ac:dyDescent="0.15">
      <c r="B29" s="89" t="s">
        <v>143</v>
      </c>
      <c r="C29" s="90"/>
      <c r="D29" s="90"/>
      <c r="E29" s="90"/>
      <c r="F29" s="91"/>
      <c r="G29" s="19">
        <v>2</v>
      </c>
      <c r="H29" s="19" t="s">
        <v>140</v>
      </c>
      <c r="I29" s="19"/>
      <c r="J29" s="19" t="s">
        <v>140</v>
      </c>
      <c r="K29" s="89"/>
      <c r="L29" s="90"/>
      <c r="M29" s="90"/>
      <c r="N29" s="90"/>
      <c r="O29" s="90"/>
      <c r="P29" s="90"/>
      <c r="Q29" s="91"/>
      <c r="R29" s="19"/>
      <c r="S29" s="19"/>
      <c r="T29" s="19"/>
      <c r="U29" s="19"/>
    </row>
    <row r="30" spans="1:24" ht="18" customHeight="1" x14ac:dyDescent="0.15">
      <c r="B30" s="89"/>
      <c r="C30" s="90"/>
      <c r="D30" s="90"/>
      <c r="E30" s="90"/>
      <c r="F30" s="91"/>
      <c r="G30" s="19"/>
      <c r="H30" s="19"/>
      <c r="I30" s="19"/>
      <c r="J30" s="19"/>
      <c r="K30" s="89"/>
      <c r="L30" s="90"/>
      <c r="M30" s="90"/>
      <c r="N30" s="90"/>
      <c r="O30" s="90"/>
      <c r="P30" s="90"/>
      <c r="Q30" s="91"/>
      <c r="R30" s="19"/>
      <c r="S30" s="19"/>
      <c r="T30" s="19"/>
      <c r="U30" s="19"/>
    </row>
    <row r="31" spans="1:24" ht="18" customHeight="1" x14ac:dyDescent="0.15">
      <c r="B31" s="89"/>
      <c r="C31" s="90"/>
      <c r="D31" s="90"/>
      <c r="E31" s="90"/>
      <c r="F31" s="91"/>
      <c r="G31" s="19"/>
      <c r="H31" s="19"/>
      <c r="I31" s="19"/>
      <c r="J31" s="19"/>
      <c r="K31" s="89"/>
      <c r="L31" s="90"/>
      <c r="M31" s="90"/>
      <c r="N31" s="90"/>
      <c r="O31" s="90"/>
      <c r="P31" s="90"/>
      <c r="Q31" s="91"/>
      <c r="R31" s="19"/>
      <c r="S31" s="19"/>
      <c r="T31" s="19"/>
      <c r="U31" s="19"/>
    </row>
    <row r="32" spans="1:24" ht="18" customHeight="1" x14ac:dyDescent="0.15">
      <c r="A32" s="3"/>
      <c r="B32" s="89"/>
      <c r="C32" s="90"/>
      <c r="D32" s="90"/>
      <c r="E32" s="90"/>
      <c r="F32" s="91"/>
      <c r="G32" s="19"/>
      <c r="H32" s="19"/>
      <c r="I32" s="19"/>
      <c r="J32" s="19"/>
      <c r="K32" s="89"/>
      <c r="L32" s="90"/>
      <c r="M32" s="90"/>
      <c r="N32" s="90"/>
      <c r="O32" s="90"/>
      <c r="P32" s="90"/>
      <c r="Q32" s="91"/>
      <c r="R32" s="19"/>
      <c r="S32" s="19"/>
      <c r="T32" s="19"/>
      <c r="U32" s="19"/>
    </row>
    <row r="33" spans="1:21" ht="18" customHeight="1" x14ac:dyDescent="0.15">
      <c r="A33" s="3"/>
      <c r="B33" s="98"/>
      <c r="C33" s="99"/>
      <c r="D33" s="99"/>
      <c r="E33" s="99"/>
      <c r="F33" s="100"/>
      <c r="G33" s="20"/>
      <c r="H33" s="20"/>
      <c r="I33" s="21"/>
      <c r="J33" s="21"/>
      <c r="K33" s="98"/>
      <c r="L33" s="99"/>
      <c r="M33" s="99"/>
      <c r="N33" s="99"/>
      <c r="O33" s="99"/>
      <c r="P33" s="99"/>
      <c r="Q33" s="100"/>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1" t="s">
        <v>102</v>
      </c>
      <c r="B35" s="101"/>
      <c r="C35" s="101"/>
      <c r="D35" s="101"/>
      <c r="E35" s="101"/>
      <c r="F35" s="101"/>
      <c r="G35" s="101"/>
      <c r="H35" s="101"/>
      <c r="I35" s="101"/>
      <c r="J35" s="101"/>
      <c r="K35" s="101"/>
      <c r="L35" s="101"/>
      <c r="M35" s="101"/>
      <c r="N35" s="101"/>
      <c r="O35" s="101"/>
      <c r="P35" s="101"/>
      <c r="Q35" s="101"/>
      <c r="R35" s="101"/>
      <c r="S35" s="101"/>
      <c r="T35" s="101"/>
      <c r="U35" s="101"/>
    </row>
    <row r="36" spans="1:21" ht="18" customHeight="1" x14ac:dyDescent="0.15">
      <c r="A36" s="101"/>
      <c r="B36" s="101"/>
      <c r="C36" s="101"/>
      <c r="D36" s="101"/>
      <c r="E36" s="101"/>
      <c r="F36" s="101"/>
      <c r="G36" s="101"/>
      <c r="H36" s="101"/>
      <c r="I36" s="101"/>
      <c r="J36" s="101"/>
      <c r="K36" s="101"/>
      <c r="L36" s="101"/>
      <c r="M36" s="101"/>
      <c r="N36" s="101"/>
      <c r="O36" s="101"/>
      <c r="P36" s="101"/>
      <c r="Q36" s="101"/>
      <c r="R36" s="101"/>
      <c r="S36" s="101"/>
      <c r="T36" s="101"/>
      <c r="U36" s="101"/>
    </row>
    <row r="37" spans="1:21" ht="18" customHeight="1" x14ac:dyDescent="0.15">
      <c r="B37" s="92" t="s">
        <v>51</v>
      </c>
      <c r="C37" s="93"/>
      <c r="D37" s="93"/>
      <c r="E37" s="93"/>
      <c r="F37" s="94"/>
      <c r="G37" s="51" t="s">
        <v>77</v>
      </c>
      <c r="H37" s="50" t="s">
        <v>80</v>
      </c>
      <c r="I37" s="17" t="s">
        <v>68</v>
      </c>
      <c r="J37" s="17" t="s">
        <v>69</v>
      </c>
      <c r="K37" s="92" t="s">
        <v>51</v>
      </c>
      <c r="L37" s="93"/>
      <c r="M37" s="93"/>
      <c r="N37" s="93"/>
      <c r="O37" s="93"/>
      <c r="P37" s="93"/>
      <c r="Q37" s="94"/>
      <c r="R37" s="51" t="s">
        <v>77</v>
      </c>
      <c r="S37" s="50" t="s">
        <v>80</v>
      </c>
      <c r="T37" s="17" t="s">
        <v>68</v>
      </c>
      <c r="U37" s="17" t="s">
        <v>69</v>
      </c>
    </row>
    <row r="38" spans="1:21" ht="18" customHeight="1" x14ac:dyDescent="0.15">
      <c r="B38" s="95" t="s">
        <v>139</v>
      </c>
      <c r="C38" s="96"/>
      <c r="D38" s="96"/>
      <c r="E38" s="96"/>
      <c r="F38" s="97"/>
      <c r="G38" s="18">
        <v>2</v>
      </c>
      <c r="H38" s="18" t="s">
        <v>140</v>
      </c>
      <c r="I38" s="18" t="s">
        <v>140</v>
      </c>
      <c r="J38" s="18" t="s">
        <v>140</v>
      </c>
      <c r="K38" s="95"/>
      <c r="L38" s="96"/>
      <c r="M38" s="96"/>
      <c r="N38" s="96"/>
      <c r="O38" s="96"/>
      <c r="P38" s="96"/>
      <c r="Q38" s="97"/>
      <c r="R38" s="18"/>
      <c r="S38" s="18"/>
      <c r="T38" s="18"/>
      <c r="U38" s="18"/>
    </row>
    <row r="39" spans="1:21" ht="18" customHeight="1" x14ac:dyDescent="0.15">
      <c r="B39" s="89" t="s">
        <v>142</v>
      </c>
      <c r="C39" s="90"/>
      <c r="D39" s="90"/>
      <c r="E39" s="90"/>
      <c r="F39" s="91"/>
      <c r="G39" s="19">
        <v>2</v>
      </c>
      <c r="H39" s="19" t="s">
        <v>140</v>
      </c>
      <c r="I39" s="19" t="s">
        <v>140</v>
      </c>
      <c r="J39" s="19" t="s">
        <v>140</v>
      </c>
      <c r="K39" s="89"/>
      <c r="L39" s="90"/>
      <c r="M39" s="90"/>
      <c r="N39" s="90"/>
      <c r="O39" s="90"/>
      <c r="P39" s="90"/>
      <c r="Q39" s="91"/>
      <c r="R39" s="19"/>
      <c r="S39" s="19"/>
      <c r="T39" s="19"/>
      <c r="U39" s="19"/>
    </row>
    <row r="40" spans="1:21" ht="18" customHeight="1" x14ac:dyDescent="0.15">
      <c r="B40" s="89" t="s">
        <v>143</v>
      </c>
      <c r="C40" s="90"/>
      <c r="D40" s="90"/>
      <c r="E40" s="90"/>
      <c r="F40" s="91"/>
      <c r="G40" s="19">
        <v>2</v>
      </c>
      <c r="H40" s="19" t="s">
        <v>140</v>
      </c>
      <c r="I40" s="19"/>
      <c r="J40" s="19"/>
      <c r="K40" s="89"/>
      <c r="L40" s="90"/>
      <c r="M40" s="90"/>
      <c r="N40" s="90"/>
      <c r="O40" s="90"/>
      <c r="P40" s="90"/>
      <c r="Q40" s="91"/>
      <c r="R40" s="19"/>
      <c r="S40" s="19"/>
      <c r="T40" s="19"/>
      <c r="U40" s="19"/>
    </row>
    <row r="41" spans="1:21" ht="18" customHeight="1" x14ac:dyDescent="0.15">
      <c r="B41" s="89"/>
      <c r="C41" s="90"/>
      <c r="D41" s="90"/>
      <c r="E41" s="90"/>
      <c r="F41" s="91"/>
      <c r="G41" s="19"/>
      <c r="H41" s="19"/>
      <c r="I41" s="19"/>
      <c r="K41" s="89"/>
      <c r="L41" s="90"/>
      <c r="M41" s="90"/>
      <c r="N41" s="90"/>
      <c r="O41" s="90"/>
      <c r="P41" s="90"/>
      <c r="Q41" s="91"/>
      <c r="R41" s="19"/>
      <c r="S41" s="19"/>
      <c r="T41" s="19"/>
      <c r="U41" s="19"/>
    </row>
    <row r="42" spans="1:21" ht="18" customHeight="1" x14ac:dyDescent="0.15">
      <c r="B42" s="89"/>
      <c r="C42" s="90"/>
      <c r="D42" s="90"/>
      <c r="E42" s="90"/>
      <c r="F42" s="91"/>
      <c r="G42" s="19"/>
      <c r="H42" s="19"/>
      <c r="I42" s="19"/>
      <c r="J42" s="19"/>
      <c r="K42" s="89"/>
      <c r="L42" s="90"/>
      <c r="M42" s="90"/>
      <c r="N42" s="90"/>
      <c r="O42" s="90"/>
      <c r="P42" s="90"/>
      <c r="Q42" s="91"/>
      <c r="R42" s="19"/>
      <c r="S42" s="19"/>
      <c r="T42" s="19"/>
      <c r="U42" s="19"/>
    </row>
    <row r="43" spans="1:21" ht="18" customHeight="1" x14ac:dyDescent="0.15">
      <c r="B43" s="89"/>
      <c r="C43" s="90"/>
      <c r="D43" s="90"/>
      <c r="E43" s="90"/>
      <c r="F43" s="91"/>
      <c r="G43" s="19"/>
      <c r="H43" s="19"/>
      <c r="I43" s="19"/>
      <c r="J43" s="19"/>
      <c r="K43" s="89"/>
      <c r="L43" s="90"/>
      <c r="M43" s="90"/>
      <c r="N43" s="90"/>
      <c r="O43" s="90"/>
      <c r="P43" s="90"/>
      <c r="Q43" s="91"/>
      <c r="R43" s="19"/>
      <c r="S43" s="19"/>
      <c r="T43" s="19"/>
      <c r="U43" s="19"/>
    </row>
    <row r="44" spans="1:21" ht="18" customHeight="1" x14ac:dyDescent="0.15">
      <c r="B44" s="98"/>
      <c r="C44" s="99"/>
      <c r="D44" s="99"/>
      <c r="E44" s="99"/>
      <c r="F44" s="100"/>
      <c r="G44" s="20"/>
      <c r="H44" s="20"/>
      <c r="I44" s="21"/>
      <c r="J44" s="21"/>
      <c r="K44" s="98"/>
      <c r="L44" s="99"/>
      <c r="M44" s="99"/>
      <c r="N44" s="99"/>
      <c r="O44" s="99"/>
      <c r="P44" s="99"/>
      <c r="Q44" s="100"/>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1" t="s">
        <v>103</v>
      </c>
      <c r="B46" s="101"/>
      <c r="C46" s="101"/>
      <c r="D46" s="101"/>
      <c r="E46" s="101"/>
      <c r="F46" s="101"/>
      <c r="G46" s="101"/>
      <c r="H46" s="101"/>
      <c r="I46" s="101"/>
      <c r="J46" s="101"/>
      <c r="K46" s="101"/>
      <c r="L46" s="101"/>
      <c r="M46" s="101"/>
      <c r="N46" s="101"/>
      <c r="O46" s="101"/>
      <c r="P46" s="101"/>
      <c r="Q46" s="101"/>
      <c r="R46" s="101"/>
      <c r="S46" s="101"/>
      <c r="T46" s="101"/>
      <c r="U46" s="101"/>
    </row>
    <row r="47" spans="1:21" ht="18" customHeight="1" x14ac:dyDescent="0.15">
      <c r="A47" s="101"/>
      <c r="B47" s="101"/>
      <c r="C47" s="101"/>
      <c r="D47" s="101"/>
      <c r="E47" s="101"/>
      <c r="F47" s="101"/>
      <c r="G47" s="101"/>
      <c r="H47" s="101"/>
      <c r="I47" s="101"/>
      <c r="J47" s="101"/>
      <c r="K47" s="101"/>
      <c r="L47" s="101"/>
      <c r="M47" s="101"/>
      <c r="N47" s="101"/>
      <c r="O47" s="101"/>
      <c r="P47" s="101"/>
      <c r="Q47" s="101"/>
      <c r="R47" s="101"/>
      <c r="S47" s="101"/>
      <c r="T47" s="101"/>
      <c r="U47" s="101"/>
    </row>
    <row r="48" spans="1:21" ht="18" customHeight="1" x14ac:dyDescent="0.15">
      <c r="B48" s="92" t="s">
        <v>51</v>
      </c>
      <c r="C48" s="93"/>
      <c r="D48" s="93"/>
      <c r="E48" s="93"/>
      <c r="F48" s="94"/>
      <c r="G48" s="51" t="s">
        <v>77</v>
      </c>
      <c r="H48" s="50" t="s">
        <v>80</v>
      </c>
      <c r="I48" s="17" t="s">
        <v>70</v>
      </c>
      <c r="J48" s="17" t="s">
        <v>71</v>
      </c>
      <c r="K48" s="92" t="s">
        <v>51</v>
      </c>
      <c r="L48" s="93"/>
      <c r="M48" s="93"/>
      <c r="N48" s="93"/>
      <c r="O48" s="93"/>
      <c r="P48" s="93"/>
      <c r="Q48" s="94"/>
      <c r="R48" s="51" t="s">
        <v>77</v>
      </c>
      <c r="S48" s="50" t="s">
        <v>80</v>
      </c>
      <c r="T48" s="17" t="s">
        <v>70</v>
      </c>
      <c r="U48" s="17" t="s">
        <v>71</v>
      </c>
    </row>
    <row r="49" spans="1:21" ht="18" customHeight="1" x14ac:dyDescent="0.15">
      <c r="A49" s="3"/>
      <c r="B49" s="95" t="s">
        <v>139</v>
      </c>
      <c r="C49" s="96"/>
      <c r="D49" s="96"/>
      <c r="E49" s="96"/>
      <c r="F49" s="97"/>
      <c r="G49" s="18">
        <v>2</v>
      </c>
      <c r="H49" s="18" t="s">
        <v>140</v>
      </c>
      <c r="I49" s="18" t="s">
        <v>141</v>
      </c>
      <c r="J49" s="18" t="s">
        <v>140</v>
      </c>
      <c r="K49" s="95"/>
      <c r="L49" s="96"/>
      <c r="M49" s="96"/>
      <c r="N49" s="96"/>
      <c r="O49" s="96"/>
      <c r="P49" s="96"/>
      <c r="Q49" s="97"/>
      <c r="R49" s="18"/>
      <c r="S49" s="18"/>
      <c r="T49" s="18"/>
      <c r="U49" s="18"/>
    </row>
    <row r="50" spans="1:21" ht="18" customHeight="1" x14ac:dyDescent="0.15">
      <c r="A50" s="3"/>
      <c r="B50" s="89" t="s">
        <v>142</v>
      </c>
      <c r="C50" s="90"/>
      <c r="D50" s="90"/>
      <c r="E50" s="90"/>
      <c r="F50" s="91"/>
      <c r="G50" s="19">
        <v>2</v>
      </c>
      <c r="H50" s="19" t="s">
        <v>140</v>
      </c>
      <c r="I50" s="19" t="s">
        <v>140</v>
      </c>
      <c r="J50" s="19" t="s">
        <v>140</v>
      </c>
      <c r="K50" s="89"/>
      <c r="L50" s="90"/>
      <c r="M50" s="90"/>
      <c r="N50" s="90"/>
      <c r="O50" s="90"/>
      <c r="P50" s="90"/>
      <c r="Q50" s="91"/>
      <c r="R50" s="19"/>
      <c r="S50" s="19"/>
      <c r="T50" s="19"/>
      <c r="U50" s="19"/>
    </row>
    <row r="51" spans="1:21" ht="18" customHeight="1" x14ac:dyDescent="0.15">
      <c r="A51" s="3"/>
      <c r="B51" s="89" t="s">
        <v>143</v>
      </c>
      <c r="C51" s="90"/>
      <c r="D51" s="90"/>
      <c r="E51" s="90"/>
      <c r="F51" s="91"/>
      <c r="G51" s="19">
        <v>2</v>
      </c>
      <c r="H51" s="19" t="s">
        <v>140</v>
      </c>
      <c r="I51" s="19"/>
      <c r="J51" s="19" t="s">
        <v>140</v>
      </c>
      <c r="K51" s="89"/>
      <c r="L51" s="90"/>
      <c r="M51" s="90"/>
      <c r="N51" s="90"/>
      <c r="O51" s="90"/>
      <c r="P51" s="90"/>
      <c r="Q51" s="91"/>
      <c r="R51" s="19"/>
      <c r="S51" s="19"/>
      <c r="T51" s="19"/>
      <c r="U51" s="19"/>
    </row>
    <row r="52" spans="1:21" ht="18" customHeight="1" x14ac:dyDescent="0.15">
      <c r="A52" s="3"/>
      <c r="B52" s="89"/>
      <c r="C52" s="90"/>
      <c r="D52" s="90"/>
      <c r="E52" s="90"/>
      <c r="F52" s="91"/>
      <c r="G52" s="19"/>
      <c r="H52" s="19"/>
      <c r="I52" s="19"/>
      <c r="J52" s="19"/>
      <c r="K52" s="89"/>
      <c r="L52" s="90"/>
      <c r="M52" s="90"/>
      <c r="N52" s="90"/>
      <c r="O52" s="90"/>
      <c r="P52" s="90"/>
      <c r="Q52" s="91"/>
      <c r="R52" s="19"/>
      <c r="S52" s="19"/>
      <c r="T52" s="19"/>
      <c r="U52" s="19"/>
    </row>
    <row r="53" spans="1:21" ht="18" customHeight="1" x14ac:dyDescent="0.15">
      <c r="A53" s="3"/>
      <c r="B53" s="89"/>
      <c r="C53" s="90"/>
      <c r="D53" s="90"/>
      <c r="E53" s="90"/>
      <c r="F53" s="91"/>
      <c r="G53" s="19"/>
      <c r="H53" s="19"/>
      <c r="I53" s="19"/>
      <c r="J53" s="19"/>
      <c r="K53" s="89"/>
      <c r="L53" s="90"/>
      <c r="M53" s="90"/>
      <c r="N53" s="90"/>
      <c r="O53" s="90"/>
      <c r="P53" s="90"/>
      <c r="Q53" s="91"/>
      <c r="R53" s="19"/>
      <c r="S53" s="19"/>
      <c r="T53" s="19"/>
      <c r="U53" s="19"/>
    </row>
    <row r="54" spans="1:21" ht="18" customHeight="1" x14ac:dyDescent="0.15">
      <c r="A54" s="3"/>
      <c r="B54" s="89"/>
      <c r="C54" s="90"/>
      <c r="D54" s="90"/>
      <c r="E54" s="90"/>
      <c r="F54" s="91"/>
      <c r="G54" s="19"/>
      <c r="H54" s="19"/>
      <c r="I54" s="19"/>
      <c r="J54" s="19"/>
      <c r="K54" s="89"/>
      <c r="L54" s="90"/>
      <c r="M54" s="90"/>
      <c r="N54" s="90"/>
      <c r="O54" s="90"/>
      <c r="P54" s="90"/>
      <c r="Q54" s="91"/>
      <c r="R54" s="19"/>
      <c r="S54" s="19"/>
      <c r="T54" s="19"/>
      <c r="U54" s="19"/>
    </row>
    <row r="55" spans="1:21" ht="18" customHeight="1" x14ac:dyDescent="0.15">
      <c r="A55" s="3"/>
      <c r="B55" s="98"/>
      <c r="C55" s="99"/>
      <c r="D55" s="99"/>
      <c r="E55" s="99"/>
      <c r="F55" s="100"/>
      <c r="G55" s="20"/>
      <c r="H55" s="20"/>
      <c r="I55" s="21"/>
      <c r="J55" s="21"/>
      <c r="K55" s="98"/>
      <c r="L55" s="99"/>
      <c r="M55" s="99"/>
      <c r="N55" s="99"/>
      <c r="O55" s="99"/>
      <c r="P55" s="99"/>
      <c r="Q55" s="100"/>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1" t="s">
        <v>104</v>
      </c>
      <c r="B57" s="101"/>
      <c r="C57" s="101"/>
      <c r="D57" s="101"/>
      <c r="E57" s="101"/>
      <c r="F57" s="101"/>
      <c r="G57" s="101"/>
      <c r="H57" s="101"/>
      <c r="I57" s="101"/>
      <c r="J57" s="101"/>
      <c r="K57" s="101"/>
      <c r="L57" s="101"/>
      <c r="M57" s="101"/>
      <c r="N57" s="101"/>
      <c r="O57" s="101"/>
      <c r="P57" s="101"/>
      <c r="Q57" s="101"/>
      <c r="R57" s="101"/>
      <c r="S57" s="101"/>
      <c r="T57" s="101"/>
      <c r="U57" s="101"/>
    </row>
    <row r="58" spans="1:21" ht="18" customHeight="1" x14ac:dyDescent="0.15">
      <c r="A58" s="101"/>
      <c r="B58" s="101"/>
      <c r="C58" s="101"/>
      <c r="D58" s="101"/>
      <c r="E58" s="101"/>
      <c r="F58" s="101"/>
      <c r="G58" s="101"/>
      <c r="H58" s="101"/>
      <c r="I58" s="101"/>
      <c r="J58" s="101"/>
      <c r="K58" s="101"/>
      <c r="L58" s="101"/>
      <c r="M58" s="101"/>
      <c r="N58" s="101"/>
      <c r="O58" s="101"/>
      <c r="P58" s="101"/>
      <c r="Q58" s="101"/>
      <c r="R58" s="101"/>
      <c r="S58" s="101"/>
      <c r="T58" s="101"/>
      <c r="U58" s="101"/>
    </row>
    <row r="59" spans="1:21" ht="18" customHeight="1" x14ac:dyDescent="0.15">
      <c r="B59" s="92" t="s">
        <v>51</v>
      </c>
      <c r="C59" s="93"/>
      <c r="D59" s="93"/>
      <c r="E59" s="93"/>
      <c r="F59" s="94"/>
      <c r="G59" s="51" t="s">
        <v>77</v>
      </c>
      <c r="H59" s="50" t="s">
        <v>80</v>
      </c>
      <c r="I59" s="17" t="s">
        <v>56</v>
      </c>
      <c r="J59" s="17" t="s">
        <v>58</v>
      </c>
      <c r="K59" s="92" t="s">
        <v>51</v>
      </c>
      <c r="L59" s="93"/>
      <c r="M59" s="93"/>
      <c r="N59" s="93"/>
      <c r="O59" s="93"/>
      <c r="P59" s="93"/>
      <c r="Q59" s="94"/>
      <c r="R59" s="51" t="s">
        <v>77</v>
      </c>
      <c r="S59" s="50" t="s">
        <v>80</v>
      </c>
      <c r="T59" s="17" t="s">
        <v>56</v>
      </c>
      <c r="U59" s="17" t="s">
        <v>58</v>
      </c>
    </row>
    <row r="60" spans="1:21" ht="18" customHeight="1" x14ac:dyDescent="0.15">
      <c r="A60" s="3"/>
      <c r="B60" s="95" t="s">
        <v>139</v>
      </c>
      <c r="C60" s="96"/>
      <c r="D60" s="96"/>
      <c r="E60" s="96"/>
      <c r="F60" s="97"/>
      <c r="G60" s="18">
        <v>2</v>
      </c>
      <c r="H60" s="18" t="s">
        <v>140</v>
      </c>
      <c r="I60" s="18" t="s">
        <v>140</v>
      </c>
      <c r="J60" s="18"/>
      <c r="K60" s="95"/>
      <c r="L60" s="96"/>
      <c r="M60" s="96"/>
      <c r="N60" s="96"/>
      <c r="O60" s="96"/>
      <c r="P60" s="96"/>
      <c r="Q60" s="97"/>
      <c r="R60" s="18"/>
      <c r="S60" s="18"/>
      <c r="T60" s="18"/>
      <c r="U60" s="18"/>
    </row>
    <row r="61" spans="1:21" ht="18" customHeight="1" x14ac:dyDescent="0.15">
      <c r="A61" s="3"/>
      <c r="B61" s="89" t="s">
        <v>142</v>
      </c>
      <c r="C61" s="90"/>
      <c r="D61" s="90"/>
      <c r="E61" s="90"/>
      <c r="F61" s="91"/>
      <c r="G61" s="19">
        <v>2</v>
      </c>
      <c r="H61" s="19" t="s">
        <v>140</v>
      </c>
      <c r="I61" s="19" t="s">
        <v>140</v>
      </c>
      <c r="J61" s="19" t="s">
        <v>140</v>
      </c>
      <c r="K61" s="89"/>
      <c r="L61" s="90"/>
      <c r="M61" s="90"/>
      <c r="N61" s="90"/>
      <c r="O61" s="90"/>
      <c r="P61" s="90"/>
      <c r="Q61" s="91"/>
      <c r="R61" s="19"/>
      <c r="S61" s="19"/>
      <c r="T61" s="19"/>
      <c r="U61" s="19"/>
    </row>
    <row r="62" spans="1:21" ht="18" customHeight="1" x14ac:dyDescent="0.15">
      <c r="A62" s="3"/>
      <c r="B62" s="89" t="s">
        <v>143</v>
      </c>
      <c r="C62" s="90"/>
      <c r="D62" s="90"/>
      <c r="E62" s="90"/>
      <c r="F62" s="91"/>
      <c r="G62" s="19">
        <v>2</v>
      </c>
      <c r="H62" s="19" t="s">
        <v>140</v>
      </c>
      <c r="I62" s="19"/>
      <c r="J62" s="19"/>
      <c r="K62" s="89"/>
      <c r="L62" s="90"/>
      <c r="M62" s="90"/>
      <c r="N62" s="90"/>
      <c r="O62" s="90"/>
      <c r="P62" s="90"/>
      <c r="Q62" s="91"/>
      <c r="R62" s="19"/>
      <c r="S62" s="19"/>
      <c r="T62" s="19"/>
      <c r="U62" s="19"/>
    </row>
    <row r="63" spans="1:21" ht="18" customHeight="1" x14ac:dyDescent="0.15">
      <c r="A63" s="3"/>
      <c r="B63" s="89"/>
      <c r="C63" s="90"/>
      <c r="D63" s="90"/>
      <c r="E63" s="90"/>
      <c r="F63" s="91"/>
      <c r="G63" s="19"/>
      <c r="H63" s="19"/>
      <c r="I63" s="19"/>
      <c r="J63" s="19"/>
      <c r="K63" s="89"/>
      <c r="L63" s="90"/>
      <c r="M63" s="90"/>
      <c r="N63" s="90"/>
      <c r="O63" s="90"/>
      <c r="P63" s="90"/>
      <c r="Q63" s="91"/>
      <c r="R63" s="19"/>
      <c r="S63" s="19"/>
      <c r="T63" s="19"/>
      <c r="U63" s="19"/>
    </row>
    <row r="64" spans="1:21" ht="18" customHeight="1" x14ac:dyDescent="0.15">
      <c r="A64" s="3"/>
      <c r="B64" s="89"/>
      <c r="C64" s="90"/>
      <c r="D64" s="90"/>
      <c r="E64" s="90"/>
      <c r="F64" s="91"/>
      <c r="G64" s="19"/>
      <c r="H64" s="19"/>
      <c r="I64" s="19"/>
      <c r="J64" s="19"/>
      <c r="K64" s="89"/>
      <c r="L64" s="90"/>
      <c r="M64" s="90"/>
      <c r="N64" s="90"/>
      <c r="O64" s="90"/>
      <c r="P64" s="90"/>
      <c r="Q64" s="91"/>
      <c r="R64" s="19"/>
      <c r="S64" s="19"/>
      <c r="T64" s="19"/>
      <c r="U64" s="19"/>
    </row>
    <row r="65" spans="1:21" ht="18" customHeight="1" x14ac:dyDescent="0.15">
      <c r="A65" s="3"/>
      <c r="B65" s="89"/>
      <c r="C65" s="90"/>
      <c r="D65" s="90"/>
      <c r="E65" s="90"/>
      <c r="F65" s="91"/>
      <c r="G65" s="19"/>
      <c r="H65" s="19"/>
      <c r="I65" s="19"/>
      <c r="J65" s="19"/>
      <c r="K65" s="89"/>
      <c r="L65" s="90"/>
      <c r="M65" s="90"/>
      <c r="N65" s="90"/>
      <c r="O65" s="90"/>
      <c r="P65" s="90"/>
      <c r="Q65" s="91"/>
      <c r="R65" s="19"/>
      <c r="S65" s="19"/>
      <c r="T65" s="19"/>
      <c r="U65" s="19"/>
    </row>
    <row r="66" spans="1:21" ht="18" customHeight="1" x14ac:dyDescent="0.15">
      <c r="A66" s="3"/>
      <c r="B66" s="98"/>
      <c r="C66" s="99"/>
      <c r="D66" s="99"/>
      <c r="E66" s="99"/>
      <c r="F66" s="100"/>
      <c r="G66" s="20"/>
      <c r="H66" s="20"/>
      <c r="I66" s="21"/>
      <c r="J66" s="21"/>
      <c r="K66" s="98"/>
      <c r="L66" s="99"/>
      <c r="M66" s="99"/>
      <c r="N66" s="99"/>
      <c r="O66" s="99"/>
      <c r="P66" s="99"/>
      <c r="Q66" s="100"/>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1" t="s">
        <v>105</v>
      </c>
      <c r="B68" s="101"/>
      <c r="C68" s="101"/>
      <c r="D68" s="101"/>
      <c r="E68" s="101"/>
      <c r="F68" s="101"/>
      <c r="G68" s="101"/>
      <c r="H68" s="101"/>
      <c r="I68" s="101"/>
      <c r="J68" s="101"/>
      <c r="K68" s="101"/>
      <c r="L68" s="101"/>
      <c r="M68" s="101"/>
      <c r="N68" s="101"/>
      <c r="O68" s="101"/>
      <c r="P68" s="101"/>
      <c r="Q68" s="101"/>
      <c r="R68" s="101"/>
      <c r="S68" s="101"/>
      <c r="T68" s="101"/>
      <c r="U68" s="101"/>
    </row>
    <row r="69" spans="1:21" ht="18" customHeight="1" x14ac:dyDescent="0.15">
      <c r="A69" s="101"/>
      <c r="B69" s="101"/>
      <c r="C69" s="101"/>
      <c r="D69" s="101"/>
      <c r="E69" s="101"/>
      <c r="F69" s="101"/>
      <c r="G69" s="101"/>
      <c r="H69" s="101"/>
      <c r="I69" s="101"/>
      <c r="J69" s="101"/>
      <c r="K69" s="101"/>
      <c r="L69" s="101"/>
      <c r="M69" s="101"/>
      <c r="N69" s="101"/>
      <c r="O69" s="101"/>
      <c r="P69" s="101"/>
      <c r="Q69" s="101"/>
      <c r="R69" s="101"/>
      <c r="S69" s="101"/>
      <c r="T69" s="101"/>
      <c r="U69" s="101"/>
    </row>
    <row r="70" spans="1:21" ht="18" customHeight="1" x14ac:dyDescent="0.15">
      <c r="B70" s="92" t="s">
        <v>51</v>
      </c>
      <c r="C70" s="93"/>
      <c r="D70" s="93"/>
      <c r="E70" s="93"/>
      <c r="F70" s="51" t="s">
        <v>77</v>
      </c>
      <c r="G70" s="50" t="s">
        <v>80</v>
      </c>
      <c r="H70" s="17" t="s">
        <v>92</v>
      </c>
      <c r="I70" s="17" t="s">
        <v>72</v>
      </c>
      <c r="J70" s="17" t="s">
        <v>73</v>
      </c>
      <c r="K70" s="92" t="s">
        <v>51</v>
      </c>
      <c r="L70" s="93"/>
      <c r="M70" s="93"/>
      <c r="N70" s="93"/>
      <c r="O70" s="93"/>
      <c r="P70" s="94"/>
      <c r="Q70" s="51" t="s">
        <v>77</v>
      </c>
      <c r="R70" s="50" t="s">
        <v>80</v>
      </c>
      <c r="S70" s="17" t="s">
        <v>92</v>
      </c>
      <c r="T70" s="17" t="s">
        <v>72</v>
      </c>
      <c r="U70" s="17" t="s">
        <v>73</v>
      </c>
    </row>
    <row r="71" spans="1:21" ht="18" customHeight="1" x14ac:dyDescent="0.15">
      <c r="A71" s="3"/>
      <c r="B71" s="95" t="s">
        <v>144</v>
      </c>
      <c r="C71" s="96"/>
      <c r="D71" s="96"/>
      <c r="E71" s="96"/>
      <c r="F71" s="18">
        <v>2</v>
      </c>
      <c r="G71" s="18" t="s">
        <v>140</v>
      </c>
      <c r="H71" s="18"/>
      <c r="I71" s="18"/>
      <c r="J71" s="18"/>
      <c r="K71" s="95"/>
      <c r="L71" s="96"/>
      <c r="M71" s="96"/>
      <c r="N71" s="96"/>
      <c r="O71" s="96"/>
      <c r="P71" s="97"/>
      <c r="Q71" s="18"/>
      <c r="R71" s="18"/>
      <c r="S71" s="18"/>
      <c r="T71" s="18"/>
      <c r="U71" s="18"/>
    </row>
    <row r="72" spans="1:21" ht="18" customHeight="1" x14ac:dyDescent="0.15">
      <c r="A72" s="3"/>
      <c r="B72" s="89" t="s">
        <v>142</v>
      </c>
      <c r="C72" s="90"/>
      <c r="D72" s="90"/>
      <c r="E72" s="90"/>
      <c r="F72" s="19">
        <v>2</v>
      </c>
      <c r="G72" s="19" t="s">
        <v>140</v>
      </c>
      <c r="H72" s="19"/>
      <c r="I72" s="19"/>
      <c r="J72" s="19"/>
      <c r="K72" s="89"/>
      <c r="L72" s="90"/>
      <c r="M72" s="90"/>
      <c r="N72" s="90"/>
      <c r="O72" s="90"/>
      <c r="P72" s="91"/>
      <c r="Q72" s="19"/>
      <c r="R72" s="19"/>
      <c r="S72" s="19"/>
      <c r="T72" s="19"/>
      <c r="U72" s="19"/>
    </row>
    <row r="73" spans="1:21" ht="18" customHeight="1" x14ac:dyDescent="0.15">
      <c r="A73" s="3"/>
      <c r="B73" s="89" t="s">
        <v>143</v>
      </c>
      <c r="C73" s="90"/>
      <c r="D73" s="90"/>
      <c r="E73" s="90"/>
      <c r="F73" s="19">
        <v>2</v>
      </c>
      <c r="G73" s="19" t="s">
        <v>140</v>
      </c>
      <c r="H73" s="19" t="s">
        <v>140</v>
      </c>
      <c r="I73" s="19" t="s">
        <v>140</v>
      </c>
      <c r="J73" s="19" t="s">
        <v>140</v>
      </c>
      <c r="K73" s="89"/>
      <c r="L73" s="90"/>
      <c r="M73" s="90"/>
      <c r="N73" s="90"/>
      <c r="O73" s="90"/>
      <c r="P73" s="91"/>
      <c r="Q73" s="19"/>
      <c r="R73" s="19"/>
      <c r="S73" s="19"/>
      <c r="T73" s="19"/>
      <c r="U73" s="19"/>
    </row>
    <row r="74" spans="1:21" ht="18" customHeight="1" x14ac:dyDescent="0.15">
      <c r="A74" s="3"/>
      <c r="B74" s="89"/>
      <c r="C74" s="90"/>
      <c r="D74" s="90"/>
      <c r="E74" s="90"/>
      <c r="F74" s="19"/>
      <c r="G74" s="19"/>
      <c r="H74" s="19"/>
      <c r="I74" s="19"/>
      <c r="J74" s="19"/>
      <c r="K74" s="89"/>
      <c r="L74" s="90"/>
      <c r="M74" s="90"/>
      <c r="N74" s="90"/>
      <c r="O74" s="90"/>
      <c r="P74" s="91"/>
      <c r="Q74" s="19"/>
      <c r="R74" s="19"/>
      <c r="S74" s="19"/>
      <c r="T74" s="19"/>
      <c r="U74" s="19"/>
    </row>
    <row r="75" spans="1:21" ht="18" customHeight="1" x14ac:dyDescent="0.15">
      <c r="A75" s="3"/>
      <c r="B75" s="89"/>
      <c r="C75" s="90"/>
      <c r="D75" s="90"/>
      <c r="E75" s="90"/>
      <c r="F75" s="19"/>
      <c r="G75" s="19"/>
      <c r="H75" s="19"/>
      <c r="I75" s="19"/>
      <c r="J75" s="19"/>
      <c r="K75" s="89"/>
      <c r="L75" s="90"/>
      <c r="M75" s="90"/>
      <c r="N75" s="90"/>
      <c r="O75" s="90"/>
      <c r="P75" s="91"/>
      <c r="Q75" s="19"/>
      <c r="R75" s="19"/>
      <c r="S75" s="19"/>
      <c r="T75" s="19"/>
      <c r="U75" s="19"/>
    </row>
    <row r="76" spans="1:21" ht="18" customHeight="1" x14ac:dyDescent="0.15">
      <c r="A76" s="3"/>
      <c r="B76" s="89"/>
      <c r="C76" s="90"/>
      <c r="D76" s="90"/>
      <c r="E76" s="90"/>
      <c r="F76" s="19"/>
      <c r="G76" s="19"/>
      <c r="H76" s="19"/>
      <c r="I76" s="19"/>
      <c r="J76" s="19"/>
      <c r="K76" s="89"/>
      <c r="L76" s="90"/>
      <c r="M76" s="90"/>
      <c r="N76" s="90"/>
      <c r="O76" s="90"/>
      <c r="P76" s="91"/>
      <c r="Q76" s="19"/>
      <c r="R76" s="19"/>
      <c r="S76" s="19"/>
      <c r="T76" s="19"/>
      <c r="U76" s="19"/>
    </row>
    <row r="77" spans="1:21" ht="18" customHeight="1" x14ac:dyDescent="0.15">
      <c r="A77" s="3"/>
      <c r="B77" s="98"/>
      <c r="C77" s="99"/>
      <c r="D77" s="99"/>
      <c r="E77" s="99"/>
      <c r="F77" s="20"/>
      <c r="G77" s="20"/>
      <c r="H77" s="21"/>
      <c r="I77" s="21"/>
      <c r="J77" s="21"/>
      <c r="K77" s="98"/>
      <c r="L77" s="99"/>
      <c r="M77" s="99"/>
      <c r="N77" s="99"/>
      <c r="O77" s="99"/>
      <c r="P77" s="100"/>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09" t="s">
        <v>51</v>
      </c>
      <c r="L80" s="110"/>
      <c r="M80" s="110"/>
      <c r="N80" s="110"/>
      <c r="O80" s="110"/>
      <c r="P80" s="110"/>
      <c r="Q80" s="111"/>
      <c r="R80" s="92" t="s">
        <v>78</v>
      </c>
      <c r="S80" s="93"/>
      <c r="T80" s="93"/>
      <c r="U80" s="94"/>
    </row>
    <row r="81" spans="1:21" ht="18" customHeight="1" x14ac:dyDescent="0.15">
      <c r="A81" s="3"/>
      <c r="B81" s="95" t="s">
        <v>143</v>
      </c>
      <c r="C81" s="96"/>
      <c r="D81" s="96"/>
      <c r="E81" s="96"/>
      <c r="F81" s="97"/>
      <c r="G81" s="102" t="s">
        <v>145</v>
      </c>
      <c r="H81" s="103"/>
      <c r="I81" s="103"/>
      <c r="J81" s="104"/>
      <c r="K81" s="95"/>
      <c r="L81" s="96"/>
      <c r="M81" s="96"/>
      <c r="N81" s="96"/>
      <c r="O81" s="96"/>
      <c r="P81" s="96"/>
      <c r="Q81" s="97"/>
      <c r="R81" s="102"/>
      <c r="S81" s="103"/>
      <c r="T81" s="103"/>
      <c r="U81" s="104"/>
    </row>
    <row r="82" spans="1:21" ht="18" customHeight="1" x14ac:dyDescent="0.15">
      <c r="A82" s="3"/>
      <c r="B82" s="89"/>
      <c r="C82" s="90"/>
      <c r="D82" s="90"/>
      <c r="E82" s="90"/>
      <c r="F82" s="91"/>
      <c r="G82" s="106"/>
      <c r="H82" s="107"/>
      <c r="I82" s="107"/>
      <c r="J82" s="108"/>
      <c r="K82" s="89"/>
      <c r="L82" s="90"/>
      <c r="M82" s="90"/>
      <c r="N82" s="90"/>
      <c r="O82" s="90"/>
      <c r="P82" s="90"/>
      <c r="Q82" s="91"/>
      <c r="R82" s="106"/>
      <c r="S82" s="107"/>
      <c r="T82" s="107"/>
      <c r="U82" s="108"/>
    </row>
    <row r="83" spans="1:21" ht="18" customHeight="1" x14ac:dyDescent="0.15">
      <c r="A83" s="3"/>
      <c r="B83" s="89"/>
      <c r="C83" s="90"/>
      <c r="D83" s="90"/>
      <c r="E83" s="90"/>
      <c r="F83" s="91"/>
      <c r="G83" s="106"/>
      <c r="H83" s="107"/>
      <c r="I83" s="107"/>
      <c r="J83" s="108"/>
      <c r="K83" s="89"/>
      <c r="L83" s="90"/>
      <c r="M83" s="90"/>
      <c r="N83" s="90"/>
      <c r="O83" s="90"/>
      <c r="P83" s="90"/>
      <c r="Q83" s="91"/>
      <c r="R83" s="106"/>
      <c r="S83" s="107"/>
      <c r="T83" s="107"/>
      <c r="U83" s="108"/>
    </row>
    <row r="84" spans="1:21" ht="18" customHeight="1" x14ac:dyDescent="0.15">
      <c r="A84" s="3"/>
      <c r="B84" s="89"/>
      <c r="C84" s="90"/>
      <c r="D84" s="90"/>
      <c r="E84" s="90"/>
      <c r="F84" s="91"/>
      <c r="G84" s="106"/>
      <c r="H84" s="107"/>
      <c r="I84" s="107"/>
      <c r="J84" s="108"/>
      <c r="K84" s="89"/>
      <c r="L84" s="90"/>
      <c r="M84" s="90"/>
      <c r="N84" s="90"/>
      <c r="O84" s="90"/>
      <c r="P84" s="90"/>
      <c r="Q84" s="91"/>
      <c r="R84" s="106"/>
      <c r="S84" s="107"/>
      <c r="T84" s="107"/>
      <c r="U84" s="108"/>
    </row>
    <row r="85" spans="1:21" ht="18" customHeight="1" x14ac:dyDescent="0.15">
      <c r="A85" s="3"/>
      <c r="B85" s="89"/>
      <c r="C85" s="90"/>
      <c r="D85" s="90"/>
      <c r="E85" s="90"/>
      <c r="F85" s="91"/>
      <c r="G85" s="106"/>
      <c r="H85" s="107"/>
      <c r="I85" s="107"/>
      <c r="J85" s="108"/>
      <c r="K85" s="89"/>
      <c r="L85" s="90"/>
      <c r="M85" s="90"/>
      <c r="N85" s="90"/>
      <c r="O85" s="90"/>
      <c r="P85" s="90"/>
      <c r="Q85" s="91"/>
      <c r="R85" s="106"/>
      <c r="S85" s="107"/>
      <c r="T85" s="107"/>
      <c r="U85" s="108"/>
    </row>
    <row r="86" spans="1:21" ht="18" customHeight="1" x14ac:dyDescent="0.15">
      <c r="A86" s="3"/>
      <c r="B86" s="89"/>
      <c r="C86" s="90"/>
      <c r="D86" s="90"/>
      <c r="E86" s="90"/>
      <c r="F86" s="91"/>
      <c r="G86" s="106"/>
      <c r="H86" s="107"/>
      <c r="I86" s="107"/>
      <c r="J86" s="108"/>
      <c r="K86" s="89"/>
      <c r="L86" s="90"/>
      <c r="M86" s="90"/>
      <c r="N86" s="90"/>
      <c r="O86" s="90"/>
      <c r="P86" s="90"/>
      <c r="Q86" s="91"/>
      <c r="R86" s="106"/>
      <c r="S86" s="107"/>
      <c r="T86" s="107"/>
      <c r="U86" s="108"/>
    </row>
    <row r="87" spans="1:21" ht="18" customHeight="1" x14ac:dyDescent="0.15">
      <c r="A87" s="3"/>
      <c r="B87" s="98"/>
      <c r="C87" s="99"/>
      <c r="D87" s="99"/>
      <c r="E87" s="99"/>
      <c r="F87" s="100"/>
      <c r="G87" s="138"/>
      <c r="H87" s="139"/>
      <c r="I87" s="139"/>
      <c r="J87" s="140"/>
      <c r="K87" s="98"/>
      <c r="L87" s="99"/>
      <c r="M87" s="99"/>
      <c r="N87" s="99"/>
      <c r="O87" s="99"/>
      <c r="P87" s="99"/>
      <c r="Q87" s="100"/>
      <c r="R87" s="258"/>
      <c r="S87" s="259"/>
      <c r="T87" s="259"/>
      <c r="U87" s="260"/>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41" t="s">
        <v>52</v>
      </c>
      <c r="C90" s="142"/>
      <c r="D90" s="92" t="s">
        <v>53</v>
      </c>
      <c r="E90" s="93"/>
      <c r="F90" s="93"/>
      <c r="G90" s="93"/>
      <c r="H90" s="93"/>
      <c r="I90" s="93"/>
      <c r="J90" s="93"/>
      <c r="K90" s="93"/>
      <c r="L90" s="93"/>
      <c r="M90" s="93"/>
      <c r="N90" s="93"/>
      <c r="O90" s="93"/>
      <c r="P90" s="93"/>
      <c r="Q90" s="93"/>
      <c r="R90" s="93"/>
      <c r="S90" s="93"/>
      <c r="T90" s="93"/>
      <c r="U90" s="94"/>
    </row>
    <row r="91" spans="1:21" ht="97.5" customHeight="1" x14ac:dyDescent="0.15">
      <c r="B91" s="122" t="s">
        <v>59</v>
      </c>
      <c r="C91" s="23" t="s">
        <v>54</v>
      </c>
      <c r="D91" s="116" t="s">
        <v>157</v>
      </c>
      <c r="E91" s="117"/>
      <c r="F91" s="117"/>
      <c r="G91" s="117"/>
      <c r="H91" s="117"/>
      <c r="I91" s="117"/>
      <c r="J91" s="117"/>
      <c r="K91" s="117"/>
      <c r="L91" s="117"/>
      <c r="M91" s="117"/>
      <c r="N91" s="117"/>
      <c r="O91" s="117"/>
      <c r="P91" s="117"/>
      <c r="Q91" s="117"/>
      <c r="R91" s="117"/>
      <c r="S91" s="117"/>
      <c r="T91" s="117"/>
      <c r="U91" s="118"/>
    </row>
    <row r="92" spans="1:21" ht="97.5" customHeight="1" x14ac:dyDescent="0.15">
      <c r="B92" s="124"/>
      <c r="C92" s="24" t="s">
        <v>74</v>
      </c>
      <c r="D92" s="157" t="s">
        <v>194</v>
      </c>
      <c r="E92" s="114"/>
      <c r="F92" s="114"/>
      <c r="G92" s="114"/>
      <c r="H92" s="114"/>
      <c r="I92" s="114"/>
      <c r="J92" s="114"/>
      <c r="K92" s="114"/>
      <c r="L92" s="114"/>
      <c r="M92" s="114"/>
      <c r="N92" s="114"/>
      <c r="O92" s="114"/>
      <c r="P92" s="114"/>
      <c r="Q92" s="114"/>
      <c r="R92" s="114"/>
      <c r="S92" s="114"/>
      <c r="T92" s="114"/>
      <c r="U92" s="115"/>
    </row>
    <row r="93" spans="1:21" ht="97.5" customHeight="1" x14ac:dyDescent="0.15">
      <c r="B93" s="122" t="s">
        <v>60</v>
      </c>
      <c r="C93" s="25" t="s">
        <v>68</v>
      </c>
      <c r="D93" s="116" t="s">
        <v>158</v>
      </c>
      <c r="E93" s="117"/>
      <c r="F93" s="117"/>
      <c r="G93" s="117"/>
      <c r="H93" s="117"/>
      <c r="I93" s="117"/>
      <c r="J93" s="117"/>
      <c r="K93" s="117"/>
      <c r="L93" s="117"/>
      <c r="M93" s="117"/>
      <c r="N93" s="117"/>
      <c r="O93" s="117"/>
      <c r="P93" s="117"/>
      <c r="Q93" s="117"/>
      <c r="R93" s="117"/>
      <c r="S93" s="117"/>
      <c r="T93" s="117"/>
      <c r="U93" s="118"/>
    </row>
    <row r="94" spans="1:21" ht="97.5" customHeight="1" x14ac:dyDescent="0.15">
      <c r="B94" s="123"/>
      <c r="C94" s="26" t="s">
        <v>69</v>
      </c>
      <c r="D94" s="157" t="s">
        <v>159</v>
      </c>
      <c r="E94" s="114"/>
      <c r="F94" s="114"/>
      <c r="G94" s="114"/>
      <c r="H94" s="114"/>
      <c r="I94" s="114"/>
      <c r="J94" s="114"/>
      <c r="K94" s="114"/>
      <c r="L94" s="114"/>
      <c r="M94" s="114"/>
      <c r="N94" s="114"/>
      <c r="O94" s="114"/>
      <c r="P94" s="114"/>
      <c r="Q94" s="114"/>
      <c r="R94" s="114"/>
      <c r="S94" s="114"/>
      <c r="T94" s="114"/>
      <c r="U94" s="115"/>
    </row>
    <row r="95" spans="1:21" ht="97.5" customHeight="1" x14ac:dyDescent="0.15">
      <c r="B95" s="122" t="s">
        <v>61</v>
      </c>
      <c r="C95" s="25" t="s">
        <v>70</v>
      </c>
      <c r="D95" s="116" t="s">
        <v>146</v>
      </c>
      <c r="E95" s="117"/>
      <c r="F95" s="117"/>
      <c r="G95" s="117"/>
      <c r="H95" s="117"/>
      <c r="I95" s="117"/>
      <c r="J95" s="117"/>
      <c r="K95" s="117"/>
      <c r="L95" s="117"/>
      <c r="M95" s="117"/>
      <c r="N95" s="117"/>
      <c r="O95" s="117"/>
      <c r="P95" s="117"/>
      <c r="Q95" s="117"/>
      <c r="R95" s="117"/>
      <c r="S95" s="117"/>
      <c r="T95" s="117"/>
      <c r="U95" s="118"/>
    </row>
    <row r="96" spans="1:21" ht="97.5" customHeight="1" x14ac:dyDescent="0.15">
      <c r="B96" s="123"/>
      <c r="C96" s="27" t="s">
        <v>71</v>
      </c>
      <c r="D96" s="113" t="s">
        <v>160</v>
      </c>
      <c r="E96" s="158"/>
      <c r="F96" s="158"/>
      <c r="G96" s="158"/>
      <c r="H96" s="158"/>
      <c r="I96" s="158"/>
      <c r="J96" s="158"/>
      <c r="K96" s="158"/>
      <c r="L96" s="158"/>
      <c r="M96" s="158"/>
      <c r="N96" s="158"/>
      <c r="O96" s="158"/>
      <c r="P96" s="158"/>
      <c r="Q96" s="158"/>
      <c r="R96" s="158"/>
      <c r="S96" s="158"/>
      <c r="T96" s="158"/>
      <c r="U96" s="159"/>
    </row>
    <row r="97" spans="1:33" ht="97.5" customHeight="1" x14ac:dyDescent="0.15">
      <c r="B97" s="122" t="s">
        <v>75</v>
      </c>
      <c r="C97" s="23" t="s">
        <v>56</v>
      </c>
      <c r="D97" s="116" t="s">
        <v>195</v>
      </c>
      <c r="E97" s="117"/>
      <c r="F97" s="117"/>
      <c r="G97" s="117"/>
      <c r="H97" s="117"/>
      <c r="I97" s="117"/>
      <c r="J97" s="117"/>
      <c r="K97" s="117"/>
      <c r="L97" s="117"/>
      <c r="M97" s="117"/>
      <c r="N97" s="117"/>
      <c r="O97" s="117"/>
      <c r="P97" s="117"/>
      <c r="Q97" s="117"/>
      <c r="R97" s="117"/>
      <c r="S97" s="117"/>
      <c r="T97" s="117"/>
      <c r="U97" s="118"/>
    </row>
    <row r="98" spans="1:33" ht="97.5" customHeight="1" x14ac:dyDescent="0.15">
      <c r="B98" s="123"/>
      <c r="C98" s="26" t="s">
        <v>58</v>
      </c>
      <c r="D98" s="113" t="s">
        <v>196</v>
      </c>
      <c r="E98" s="114"/>
      <c r="F98" s="114"/>
      <c r="G98" s="114"/>
      <c r="H98" s="114"/>
      <c r="I98" s="114"/>
      <c r="J98" s="114"/>
      <c r="K98" s="114"/>
      <c r="L98" s="114"/>
      <c r="M98" s="114"/>
      <c r="N98" s="114"/>
      <c r="O98" s="114"/>
      <c r="P98" s="114"/>
      <c r="Q98" s="114"/>
      <c r="R98" s="114"/>
      <c r="S98" s="114"/>
      <c r="T98" s="114"/>
      <c r="U98" s="115"/>
    </row>
    <row r="99" spans="1:33" ht="97.5" customHeight="1" x14ac:dyDescent="0.15">
      <c r="B99" s="122" t="s">
        <v>76</v>
      </c>
      <c r="C99" s="25" t="s">
        <v>55</v>
      </c>
      <c r="D99" s="116" t="s">
        <v>161</v>
      </c>
      <c r="E99" s="117"/>
      <c r="F99" s="117"/>
      <c r="G99" s="117"/>
      <c r="H99" s="117"/>
      <c r="I99" s="117"/>
      <c r="J99" s="117"/>
      <c r="K99" s="117"/>
      <c r="L99" s="117"/>
      <c r="M99" s="117"/>
      <c r="N99" s="117"/>
      <c r="O99" s="117"/>
      <c r="P99" s="117"/>
      <c r="Q99" s="117"/>
      <c r="R99" s="117"/>
      <c r="S99" s="117"/>
      <c r="T99" s="117"/>
      <c r="U99" s="118"/>
    </row>
    <row r="100" spans="1:33" ht="97.5" customHeight="1" x14ac:dyDescent="0.15">
      <c r="B100" s="124"/>
      <c r="C100" s="28" t="s">
        <v>72</v>
      </c>
      <c r="D100" s="119" t="s">
        <v>162</v>
      </c>
      <c r="E100" s="120"/>
      <c r="F100" s="120"/>
      <c r="G100" s="120"/>
      <c r="H100" s="120"/>
      <c r="I100" s="120"/>
      <c r="J100" s="120"/>
      <c r="K100" s="120"/>
      <c r="L100" s="120"/>
      <c r="M100" s="120"/>
      <c r="N100" s="120"/>
      <c r="O100" s="120"/>
      <c r="P100" s="120"/>
      <c r="Q100" s="120"/>
      <c r="R100" s="120"/>
      <c r="S100" s="120"/>
      <c r="T100" s="120"/>
      <c r="U100" s="121"/>
    </row>
    <row r="101" spans="1:33" ht="97.5" customHeight="1" x14ac:dyDescent="0.15">
      <c r="B101" s="123"/>
      <c r="C101" s="27" t="s">
        <v>73</v>
      </c>
      <c r="D101" s="113" t="s">
        <v>163</v>
      </c>
      <c r="E101" s="114"/>
      <c r="F101" s="114"/>
      <c r="G101" s="114"/>
      <c r="H101" s="114"/>
      <c r="I101" s="114"/>
      <c r="J101" s="114"/>
      <c r="K101" s="114"/>
      <c r="L101" s="114"/>
      <c r="M101" s="114"/>
      <c r="N101" s="114"/>
      <c r="O101" s="114"/>
      <c r="P101" s="114"/>
      <c r="Q101" s="114"/>
      <c r="R101" s="114"/>
      <c r="S101" s="114"/>
      <c r="T101" s="114"/>
      <c r="U101" s="115"/>
    </row>
    <row r="102" spans="1:33" ht="6" customHeight="1" x14ac:dyDescent="0.15"/>
    <row r="103" spans="1:33" ht="18.75" customHeight="1" x14ac:dyDescent="0.15">
      <c r="A103" s="1" t="s">
        <v>108</v>
      </c>
    </row>
    <row r="104" spans="1:33" ht="81.75" customHeight="1" x14ac:dyDescent="0.15">
      <c r="B104" s="135" t="s">
        <v>147</v>
      </c>
      <c r="C104" s="136"/>
      <c r="D104" s="136"/>
      <c r="E104" s="136"/>
      <c r="F104" s="136"/>
      <c r="G104" s="136"/>
      <c r="H104" s="136"/>
      <c r="I104" s="136"/>
      <c r="J104" s="136"/>
      <c r="K104" s="136"/>
      <c r="L104" s="136"/>
      <c r="M104" s="136"/>
      <c r="N104" s="136"/>
      <c r="O104" s="136"/>
      <c r="P104" s="136"/>
      <c r="Q104" s="136"/>
      <c r="R104" s="136"/>
      <c r="S104" s="136"/>
      <c r="T104" s="136"/>
      <c r="U104" s="137"/>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12" t="s">
        <v>130</v>
      </c>
      <c r="C108" s="112"/>
      <c r="D108" s="112"/>
      <c r="E108" s="112"/>
      <c r="F108" s="112"/>
      <c r="G108" s="112"/>
      <c r="H108" s="112"/>
      <c r="I108" s="112"/>
      <c r="J108" s="112"/>
      <c r="K108" s="112"/>
      <c r="L108" s="112"/>
      <c r="M108" s="112"/>
      <c r="N108" s="112"/>
      <c r="O108" s="112"/>
      <c r="P108" s="112"/>
      <c r="Q108" s="112"/>
      <c r="R108" s="112"/>
      <c r="S108" s="112"/>
      <c r="T108" s="112"/>
      <c r="U108" s="112"/>
      <c r="V108" s="71"/>
      <c r="W108" s="71"/>
      <c r="X108" s="71"/>
      <c r="Y108" s="71"/>
      <c r="Z108" s="71"/>
      <c r="AA108" s="71"/>
      <c r="AB108" s="71"/>
      <c r="AC108" s="71"/>
      <c r="AD108" s="71"/>
      <c r="AE108" s="71"/>
      <c r="AF108" s="71"/>
      <c r="AG108" s="71"/>
    </row>
    <row r="109" spans="1:33" ht="37.15" customHeight="1" x14ac:dyDescent="0.15">
      <c r="A109" s="75"/>
      <c r="B109" s="112"/>
      <c r="C109" s="112"/>
      <c r="D109" s="112"/>
      <c r="E109" s="112"/>
      <c r="F109" s="112"/>
      <c r="G109" s="112"/>
      <c r="H109" s="112"/>
      <c r="I109" s="112"/>
      <c r="J109" s="112"/>
      <c r="K109" s="112"/>
      <c r="L109" s="112"/>
      <c r="M109" s="112"/>
      <c r="N109" s="112"/>
      <c r="O109" s="112"/>
      <c r="P109" s="112"/>
      <c r="Q109" s="112"/>
      <c r="R109" s="112"/>
      <c r="S109" s="112"/>
      <c r="T109" s="112"/>
      <c r="U109" s="112"/>
      <c r="V109" s="71"/>
      <c r="W109" s="71"/>
      <c r="X109" s="71"/>
      <c r="Y109" s="71"/>
      <c r="Z109" s="71"/>
      <c r="AA109" s="71"/>
      <c r="AB109" s="71"/>
      <c r="AC109" s="71"/>
      <c r="AD109" s="71"/>
      <c r="AE109" s="71"/>
      <c r="AF109" s="71"/>
      <c r="AG109" s="71"/>
    </row>
    <row r="110" spans="1:33" ht="18.75" customHeight="1" x14ac:dyDescent="0.15">
      <c r="A110" s="75"/>
      <c r="B110" s="105" t="s">
        <v>125</v>
      </c>
      <c r="C110" s="105"/>
      <c r="D110" s="105"/>
      <c r="E110" s="105"/>
      <c r="F110" s="105"/>
      <c r="G110" s="105"/>
      <c r="H110" s="105"/>
      <c r="I110" s="105"/>
      <c r="J110" s="105"/>
      <c r="K110" s="105"/>
      <c r="L110" s="105"/>
      <c r="M110" s="105"/>
      <c r="N110" s="105"/>
      <c r="O110" s="105"/>
      <c r="P110" s="105"/>
      <c r="Q110" s="105"/>
      <c r="R110" s="105"/>
      <c r="S110" s="105"/>
      <c r="T110" s="105"/>
      <c r="U110" s="105"/>
      <c r="V110" s="71"/>
      <c r="W110" s="71"/>
      <c r="X110" s="71"/>
      <c r="Y110" s="71"/>
      <c r="Z110" s="71"/>
      <c r="AA110" s="71"/>
      <c r="AB110" s="71"/>
      <c r="AC110" s="71"/>
      <c r="AD110" s="71"/>
      <c r="AE110" s="71"/>
      <c r="AF110" s="71"/>
      <c r="AG110" s="71"/>
    </row>
    <row r="111" spans="1:33" ht="18.75" customHeight="1" x14ac:dyDescent="0.15">
      <c r="A111" s="75"/>
      <c r="B111" s="87" t="s">
        <v>53</v>
      </c>
      <c r="C111" s="87"/>
      <c r="D111" s="87"/>
      <c r="E111" s="87"/>
      <c r="F111" s="87"/>
      <c r="G111" s="87"/>
      <c r="H111" s="87"/>
      <c r="I111" s="87"/>
      <c r="J111" s="87"/>
      <c r="K111" s="87"/>
      <c r="L111" s="87"/>
      <c r="M111" s="87"/>
      <c r="N111" s="87"/>
      <c r="O111" s="87"/>
      <c r="P111" s="87"/>
      <c r="Q111" s="87"/>
      <c r="R111" s="87"/>
      <c r="S111" s="87"/>
      <c r="T111" s="87"/>
      <c r="U111" s="87"/>
      <c r="V111" s="70"/>
      <c r="W111" s="70"/>
      <c r="X111" s="70"/>
      <c r="Y111" s="70"/>
      <c r="Z111" s="70"/>
      <c r="AA111" s="70"/>
      <c r="AB111" s="70"/>
      <c r="AC111" s="70"/>
      <c r="AD111" s="70"/>
      <c r="AE111" s="70"/>
      <c r="AF111" s="70"/>
      <c r="AG111" s="70"/>
    </row>
    <row r="112" spans="1:33" ht="132" customHeight="1" x14ac:dyDescent="0.15">
      <c r="A112" s="75"/>
      <c r="B112" s="88" t="s">
        <v>148</v>
      </c>
      <c r="C112" s="88"/>
      <c r="D112" s="88"/>
      <c r="E112" s="88"/>
      <c r="F112" s="88"/>
      <c r="G112" s="88"/>
      <c r="H112" s="88"/>
      <c r="I112" s="88"/>
      <c r="J112" s="88"/>
      <c r="K112" s="88"/>
      <c r="L112" s="88"/>
      <c r="M112" s="88"/>
      <c r="N112" s="88"/>
      <c r="O112" s="88"/>
      <c r="P112" s="88"/>
      <c r="Q112" s="88"/>
      <c r="R112" s="88"/>
      <c r="S112" s="88"/>
      <c r="T112" s="88"/>
      <c r="U112" s="88"/>
      <c r="V112" s="72"/>
      <c r="W112" s="72"/>
      <c r="X112" s="72"/>
      <c r="Y112" s="72"/>
      <c r="Z112" s="72"/>
      <c r="AA112" s="72"/>
      <c r="AB112" s="72"/>
      <c r="AC112" s="72"/>
      <c r="AD112" s="72"/>
      <c r="AE112" s="72"/>
      <c r="AF112" s="72"/>
      <c r="AG112" s="72"/>
    </row>
    <row r="114" ht="18" customHeight="1" x14ac:dyDescent="0.15"/>
  </sheetData>
  <mergeCells count="148">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39:F39"/>
    <mergeCell ref="K55:Q55"/>
    <mergeCell ref="A35:U36"/>
    <mergeCell ref="B37:F37"/>
    <mergeCell ref="B38:F38"/>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K61:Q61"/>
    <mergeCell ref="B80:F80"/>
    <mergeCell ref="G81:J81"/>
    <mergeCell ref="B110:U110"/>
    <mergeCell ref="R83:U83"/>
    <mergeCell ref="K70:P70"/>
    <mergeCell ref="B65:F65"/>
    <mergeCell ref="B66:F66"/>
    <mergeCell ref="R84:U84"/>
    <mergeCell ref="G80:J80"/>
    <mergeCell ref="K80:Q80"/>
    <mergeCell ref="B71:E71"/>
    <mergeCell ref="B72:E72"/>
    <mergeCell ref="B108:U109"/>
    <mergeCell ref="D98:U98"/>
    <mergeCell ref="D99:U99"/>
    <mergeCell ref="D100:U100"/>
    <mergeCell ref="D101:U101"/>
    <mergeCell ref="D97:U97"/>
    <mergeCell ref="B95:B96"/>
    <mergeCell ref="B91:B92"/>
    <mergeCell ref="K71:P71"/>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A68:U69"/>
    <mergeCell ref="K81:Q81"/>
    <mergeCell ref="R81:U81"/>
    <mergeCell ref="R80:U80"/>
    <mergeCell ref="B81:F81"/>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H27:J33 S38:U44 S49:U55 H49:J55 S60:U66 H60:J66 G71:J77 J40 H38:J39 H42:J44 H40:I41"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85:U88 R81:R88 S81:U82 H85:J88 G81:G88 H81:J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59055118110236227" top="0.78740157480314965" bottom="0.19685039370078741" header="0.31496062992125984" footer="0.19685039370078741"/>
  <pageSetup paperSize="9" scale="69" fitToHeight="3" orientation="portrait" r:id="rId1"/>
  <headerFooter>
    <oddHeader>&amp;C数理・データサイエンス・AI教育プログラム認定制度【リテラシーレベル】令和６年度申請用</oddHeader>
  </headerFooter>
  <rowBreaks count="1" manualBreakCount="1">
    <brk id="6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3624-ABDE-4413-9C04-E808A7089DB6}">
  <sheetPr>
    <pageSetUpPr fitToPage="1"/>
  </sheetPr>
  <dimension ref="A1:AG114"/>
  <sheetViews>
    <sheetView showZeros="0" view="pageBreakPreview" zoomScale="85" zoomScaleNormal="100" zoomScaleSheetLayoutView="85" workbookViewId="0">
      <selection activeCell="R87" sqref="R87:U8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43" t="s">
        <v>150</v>
      </c>
      <c r="U1" s="143"/>
      <c r="V1" s="2" t="s">
        <v>99</v>
      </c>
    </row>
    <row r="2" spans="1:24" ht="18.75" customHeight="1" x14ac:dyDescent="0.15">
      <c r="A2" s="76"/>
      <c r="B2" s="78" t="s">
        <v>98</v>
      </c>
      <c r="C2" s="144" t="s">
        <v>136</v>
      </c>
      <c r="D2" s="145"/>
      <c r="E2" s="145"/>
      <c r="F2" s="145"/>
      <c r="G2" s="145"/>
      <c r="H2" s="145"/>
      <c r="I2" s="145"/>
      <c r="J2" s="146"/>
      <c r="K2" s="77"/>
      <c r="L2" s="79"/>
      <c r="M2" s="79"/>
      <c r="N2" s="79"/>
      <c r="O2" s="79"/>
      <c r="P2" s="79"/>
      <c r="Q2" s="79"/>
      <c r="R2" s="79"/>
      <c r="S2" s="79"/>
      <c r="T2" s="79"/>
      <c r="U2" s="79"/>
    </row>
    <row r="3" spans="1:24" ht="18.75" customHeight="1" x14ac:dyDescent="0.15">
      <c r="A3" s="76"/>
      <c r="B3" s="78" t="s">
        <v>93</v>
      </c>
      <c r="C3" s="147" t="s">
        <v>137</v>
      </c>
      <c r="D3" s="148"/>
      <c r="E3" s="148"/>
      <c r="F3" s="148"/>
      <c r="G3" s="148"/>
      <c r="H3" s="148"/>
      <c r="I3" s="148"/>
      <c r="J3" s="149"/>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50" t="s">
        <v>37</v>
      </c>
      <c r="B5" s="150"/>
      <c r="C5" s="150"/>
      <c r="D5" s="150"/>
      <c r="E5" s="150"/>
      <c r="F5" s="150"/>
      <c r="G5" s="150"/>
      <c r="H5" s="150"/>
      <c r="I5" s="150"/>
      <c r="J5" s="150"/>
      <c r="K5" s="150"/>
      <c r="L5" s="150"/>
      <c r="M5" s="150"/>
      <c r="N5" s="150"/>
      <c r="O5" s="150"/>
      <c r="P5" s="150"/>
      <c r="Q5" s="150"/>
      <c r="R5" s="150"/>
      <c r="S5" s="150"/>
      <c r="T5" s="150"/>
      <c r="U5" s="150"/>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75"/>
      <c r="G7" s="75"/>
      <c r="H7" s="75"/>
      <c r="I7" s="75"/>
      <c r="J7" s="75"/>
      <c r="K7" s="75"/>
      <c r="L7" s="154" t="s">
        <v>129</v>
      </c>
      <c r="M7" s="155"/>
      <c r="N7" s="155"/>
      <c r="O7" s="155"/>
      <c r="P7" s="155"/>
      <c r="Q7" s="155"/>
      <c r="R7" s="155"/>
      <c r="S7" s="155"/>
      <c r="T7" s="155"/>
      <c r="U7" s="156"/>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60" t="s">
        <v>151</v>
      </c>
      <c r="C11" s="161"/>
      <c r="D11" s="161"/>
      <c r="E11" s="161"/>
      <c r="F11" s="161"/>
      <c r="G11" s="161"/>
      <c r="H11" s="161"/>
      <c r="I11" s="161"/>
      <c r="J11" s="161"/>
      <c r="K11" s="161"/>
      <c r="L11" s="161"/>
      <c r="M11" s="161"/>
      <c r="N11" s="161"/>
      <c r="O11" s="161"/>
      <c r="P11" s="161"/>
      <c r="Q11" s="161"/>
      <c r="R11" s="161"/>
      <c r="S11" s="161"/>
      <c r="T11" s="161"/>
      <c r="U11" s="162"/>
    </row>
    <row r="12" spans="1:24" ht="18" customHeight="1" x14ac:dyDescent="0.15">
      <c r="A12" s="76"/>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100</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25" t="s">
        <v>152</v>
      </c>
      <c r="C15" s="126"/>
      <c r="D15" s="126"/>
      <c r="E15" s="126"/>
      <c r="F15" s="126"/>
      <c r="G15" s="126"/>
      <c r="H15" s="126"/>
      <c r="I15" s="126"/>
      <c r="J15" s="126"/>
      <c r="K15" s="126"/>
      <c r="L15" s="126"/>
      <c r="M15" s="126"/>
      <c r="N15" s="126"/>
      <c r="O15" s="126"/>
      <c r="P15" s="126"/>
      <c r="Q15" s="126"/>
      <c r="R15" s="126"/>
      <c r="S15" s="126"/>
      <c r="T15" s="126"/>
      <c r="U15" s="127"/>
      <c r="X15" s="1" t="s">
        <v>94</v>
      </c>
    </row>
    <row r="16" spans="1:24" ht="18" customHeight="1" x14ac:dyDescent="0.15">
      <c r="A16" s="76"/>
      <c r="B16" s="128"/>
      <c r="C16" s="129"/>
      <c r="D16" s="129"/>
      <c r="E16" s="129"/>
      <c r="F16" s="129"/>
      <c r="G16" s="129"/>
      <c r="H16" s="129"/>
      <c r="I16" s="129"/>
      <c r="J16" s="129"/>
      <c r="K16" s="129"/>
      <c r="L16" s="129"/>
      <c r="M16" s="129"/>
      <c r="N16" s="129"/>
      <c r="O16" s="129"/>
      <c r="P16" s="129"/>
      <c r="Q16" s="129"/>
      <c r="R16" s="129"/>
      <c r="S16" s="129"/>
      <c r="T16" s="129"/>
      <c r="U16" s="130"/>
      <c r="X16" s="1" t="s">
        <v>114</v>
      </c>
    </row>
    <row r="17" spans="1:24" ht="18" customHeight="1" x14ac:dyDescent="0.15">
      <c r="A17" s="76"/>
      <c r="B17" s="128"/>
      <c r="C17" s="129"/>
      <c r="D17" s="129"/>
      <c r="E17" s="129"/>
      <c r="F17" s="129"/>
      <c r="G17" s="129"/>
      <c r="H17" s="129"/>
      <c r="I17" s="129"/>
      <c r="J17" s="129"/>
      <c r="K17" s="129"/>
      <c r="L17" s="129"/>
      <c r="M17" s="129"/>
      <c r="N17" s="129"/>
      <c r="O17" s="129"/>
      <c r="P17" s="129"/>
      <c r="Q17" s="129"/>
      <c r="R17" s="129"/>
      <c r="S17" s="129"/>
      <c r="T17" s="129"/>
      <c r="U17" s="130"/>
      <c r="X17" s="1" t="s">
        <v>115</v>
      </c>
    </row>
    <row r="18" spans="1:24" ht="18" customHeight="1" x14ac:dyDescent="0.15">
      <c r="A18" s="76"/>
      <c r="B18" s="128"/>
      <c r="C18" s="129"/>
      <c r="D18" s="129"/>
      <c r="E18" s="129"/>
      <c r="F18" s="129"/>
      <c r="G18" s="129"/>
      <c r="H18" s="129"/>
      <c r="I18" s="129"/>
      <c r="J18" s="129"/>
      <c r="K18" s="129"/>
      <c r="L18" s="129"/>
      <c r="M18" s="129"/>
      <c r="N18" s="129"/>
      <c r="O18" s="129"/>
      <c r="P18" s="129"/>
      <c r="Q18" s="129"/>
      <c r="R18" s="129"/>
      <c r="S18" s="129"/>
      <c r="T18" s="129"/>
      <c r="U18" s="130"/>
      <c r="X18" s="1" t="s">
        <v>116</v>
      </c>
    </row>
    <row r="19" spans="1:24" ht="18" customHeight="1" x14ac:dyDescent="0.15">
      <c r="A19" s="76"/>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15">
      <c r="A20" s="76"/>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133</v>
      </c>
      <c r="C22" s="76"/>
      <c r="D22" s="76"/>
      <c r="E22" s="84">
        <v>3</v>
      </c>
      <c r="F22" s="76" t="s">
        <v>112</v>
      </c>
      <c r="G22" s="76"/>
      <c r="H22" s="85">
        <v>6</v>
      </c>
      <c r="I22" s="81" t="s">
        <v>113</v>
      </c>
      <c r="J22" s="81"/>
      <c r="K22" s="77"/>
      <c r="L22" s="76"/>
      <c r="M22" s="77" t="s">
        <v>109</v>
      </c>
      <c r="N22" s="151" t="s">
        <v>114</v>
      </c>
      <c r="O22" s="152"/>
      <c r="P22" s="152"/>
      <c r="Q22" s="152"/>
      <c r="R22" s="152"/>
      <c r="S22" s="152"/>
      <c r="T22" s="152"/>
      <c r="U22" s="153"/>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34" t="s">
        <v>101</v>
      </c>
      <c r="B24" s="134"/>
      <c r="C24" s="134"/>
      <c r="D24" s="134"/>
      <c r="E24" s="134"/>
      <c r="F24" s="134"/>
      <c r="G24" s="134"/>
      <c r="H24" s="134"/>
      <c r="I24" s="134"/>
      <c r="J24" s="134"/>
      <c r="K24" s="134"/>
      <c r="L24" s="134"/>
      <c r="M24" s="134"/>
      <c r="N24" s="134"/>
      <c r="O24" s="134"/>
      <c r="P24" s="134"/>
      <c r="Q24" s="134"/>
      <c r="R24" s="134"/>
      <c r="S24" s="134"/>
      <c r="T24" s="134"/>
      <c r="U24" s="134"/>
    </row>
    <row r="25" spans="1:24" ht="18" customHeight="1" x14ac:dyDescent="0.15">
      <c r="A25" s="134"/>
      <c r="B25" s="134"/>
      <c r="C25" s="134"/>
      <c r="D25" s="134"/>
      <c r="E25" s="134"/>
      <c r="F25" s="134"/>
      <c r="G25" s="134"/>
      <c r="H25" s="134"/>
      <c r="I25" s="134"/>
      <c r="J25" s="134"/>
      <c r="K25" s="134"/>
      <c r="L25" s="134"/>
      <c r="M25" s="134"/>
      <c r="N25" s="134"/>
      <c r="O25" s="134"/>
      <c r="P25" s="134"/>
      <c r="Q25" s="134"/>
      <c r="R25" s="134"/>
      <c r="S25" s="134"/>
      <c r="T25" s="134"/>
      <c r="U25" s="134"/>
    </row>
    <row r="26" spans="1:24" ht="18" customHeight="1" x14ac:dyDescent="0.15">
      <c r="B26" s="92" t="s">
        <v>51</v>
      </c>
      <c r="C26" s="93"/>
      <c r="D26" s="93"/>
      <c r="E26" s="93"/>
      <c r="F26" s="94"/>
      <c r="G26" s="51" t="s">
        <v>77</v>
      </c>
      <c r="H26" s="50" t="s">
        <v>80</v>
      </c>
      <c r="I26" s="17" t="s">
        <v>54</v>
      </c>
      <c r="J26" s="17" t="s">
        <v>57</v>
      </c>
      <c r="K26" s="92" t="s">
        <v>51</v>
      </c>
      <c r="L26" s="93"/>
      <c r="M26" s="93"/>
      <c r="N26" s="93"/>
      <c r="O26" s="93"/>
      <c r="P26" s="93"/>
      <c r="Q26" s="94"/>
      <c r="R26" s="51" t="s">
        <v>77</v>
      </c>
      <c r="S26" s="50" t="s">
        <v>80</v>
      </c>
      <c r="T26" s="17" t="s">
        <v>54</v>
      </c>
      <c r="U26" s="17" t="s">
        <v>57</v>
      </c>
    </row>
    <row r="27" spans="1:24" ht="18" customHeight="1" x14ac:dyDescent="0.15">
      <c r="B27" s="95" t="s">
        <v>153</v>
      </c>
      <c r="C27" s="96"/>
      <c r="D27" s="96"/>
      <c r="E27" s="96"/>
      <c r="F27" s="97"/>
      <c r="G27" s="18">
        <v>2</v>
      </c>
      <c r="H27" s="18" t="s">
        <v>140</v>
      </c>
      <c r="I27" s="18" t="s">
        <v>140</v>
      </c>
      <c r="J27" s="18" t="s">
        <v>140</v>
      </c>
      <c r="K27" s="95"/>
      <c r="L27" s="96"/>
      <c r="M27" s="96"/>
      <c r="N27" s="96"/>
      <c r="O27" s="96"/>
      <c r="P27" s="96"/>
      <c r="Q27" s="97"/>
      <c r="R27" s="18"/>
      <c r="S27" s="18"/>
      <c r="T27" s="18"/>
      <c r="U27" s="18"/>
    </row>
    <row r="28" spans="1:24" ht="18" customHeight="1" x14ac:dyDescent="0.15">
      <c r="B28" s="89" t="s">
        <v>154</v>
      </c>
      <c r="C28" s="90"/>
      <c r="D28" s="90"/>
      <c r="E28" s="90"/>
      <c r="F28" s="91"/>
      <c r="G28" s="19">
        <v>2</v>
      </c>
      <c r="H28" s="19" t="s">
        <v>140</v>
      </c>
      <c r="I28" s="19" t="s">
        <v>140</v>
      </c>
      <c r="J28" s="19"/>
      <c r="K28" s="89"/>
      <c r="L28" s="90"/>
      <c r="M28" s="90"/>
      <c r="N28" s="90"/>
      <c r="O28" s="90"/>
      <c r="P28" s="90"/>
      <c r="Q28" s="91"/>
      <c r="R28" s="19"/>
      <c r="S28" s="19"/>
      <c r="T28" s="19"/>
      <c r="U28" s="19"/>
    </row>
    <row r="29" spans="1:24" ht="18" customHeight="1" x14ac:dyDescent="0.15">
      <c r="B29" s="89" t="s">
        <v>155</v>
      </c>
      <c r="C29" s="90"/>
      <c r="D29" s="90"/>
      <c r="E29" s="90"/>
      <c r="F29" s="91"/>
      <c r="G29" s="19">
        <v>2</v>
      </c>
      <c r="H29" s="19" t="s">
        <v>140</v>
      </c>
      <c r="I29" s="19"/>
      <c r="J29" s="19" t="s">
        <v>140</v>
      </c>
      <c r="K29" s="89"/>
      <c r="L29" s="90"/>
      <c r="M29" s="90"/>
      <c r="N29" s="90"/>
      <c r="O29" s="90"/>
      <c r="P29" s="90"/>
      <c r="Q29" s="91"/>
      <c r="R29" s="19"/>
      <c r="S29" s="19"/>
      <c r="T29" s="19"/>
      <c r="U29" s="19"/>
    </row>
    <row r="30" spans="1:24" ht="18" customHeight="1" x14ac:dyDescent="0.15">
      <c r="B30" s="89"/>
      <c r="C30" s="90"/>
      <c r="D30" s="90"/>
      <c r="E30" s="90"/>
      <c r="F30" s="91"/>
      <c r="G30" s="19"/>
      <c r="H30" s="19"/>
      <c r="I30" s="19"/>
      <c r="J30" s="19"/>
      <c r="K30" s="89"/>
      <c r="L30" s="90"/>
      <c r="M30" s="90"/>
      <c r="N30" s="90"/>
      <c r="O30" s="90"/>
      <c r="P30" s="90"/>
      <c r="Q30" s="91"/>
      <c r="R30" s="19"/>
      <c r="S30" s="19"/>
      <c r="T30" s="19"/>
      <c r="U30" s="19"/>
    </row>
    <row r="31" spans="1:24" ht="18" customHeight="1" x14ac:dyDescent="0.15">
      <c r="B31" s="89"/>
      <c r="C31" s="90"/>
      <c r="D31" s="90"/>
      <c r="E31" s="90"/>
      <c r="F31" s="91"/>
      <c r="G31" s="19"/>
      <c r="H31" s="19"/>
      <c r="I31" s="19"/>
      <c r="J31" s="19"/>
      <c r="K31" s="89"/>
      <c r="L31" s="90"/>
      <c r="M31" s="90"/>
      <c r="N31" s="90"/>
      <c r="O31" s="90"/>
      <c r="P31" s="90"/>
      <c r="Q31" s="91"/>
      <c r="R31" s="19"/>
      <c r="S31" s="19"/>
      <c r="T31" s="19"/>
      <c r="U31" s="19"/>
    </row>
    <row r="32" spans="1:24" ht="18" customHeight="1" x14ac:dyDescent="0.15">
      <c r="A32" s="3"/>
      <c r="B32" s="89"/>
      <c r="C32" s="90"/>
      <c r="D32" s="90"/>
      <c r="E32" s="90"/>
      <c r="F32" s="91"/>
      <c r="G32" s="19"/>
      <c r="H32" s="19"/>
      <c r="I32" s="19"/>
      <c r="J32" s="19"/>
      <c r="K32" s="89"/>
      <c r="L32" s="90"/>
      <c r="M32" s="90"/>
      <c r="N32" s="90"/>
      <c r="O32" s="90"/>
      <c r="P32" s="90"/>
      <c r="Q32" s="91"/>
      <c r="R32" s="19"/>
      <c r="S32" s="19"/>
      <c r="T32" s="19"/>
      <c r="U32" s="19"/>
    </row>
    <row r="33" spans="1:21" ht="18" customHeight="1" x14ac:dyDescent="0.15">
      <c r="A33" s="3"/>
      <c r="B33" s="98"/>
      <c r="C33" s="99"/>
      <c r="D33" s="99"/>
      <c r="E33" s="99"/>
      <c r="F33" s="100"/>
      <c r="G33" s="20"/>
      <c r="H33" s="20"/>
      <c r="I33" s="21"/>
      <c r="J33" s="21"/>
      <c r="K33" s="98"/>
      <c r="L33" s="99"/>
      <c r="M33" s="99"/>
      <c r="N33" s="99"/>
      <c r="O33" s="99"/>
      <c r="P33" s="99"/>
      <c r="Q33" s="100"/>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1" t="s">
        <v>102</v>
      </c>
      <c r="B35" s="101"/>
      <c r="C35" s="101"/>
      <c r="D35" s="101"/>
      <c r="E35" s="101"/>
      <c r="F35" s="101"/>
      <c r="G35" s="101"/>
      <c r="H35" s="101"/>
      <c r="I35" s="101"/>
      <c r="J35" s="101"/>
      <c r="K35" s="101"/>
      <c r="L35" s="101"/>
      <c r="M35" s="101"/>
      <c r="N35" s="101"/>
      <c r="O35" s="101"/>
      <c r="P35" s="101"/>
      <c r="Q35" s="101"/>
      <c r="R35" s="101"/>
      <c r="S35" s="101"/>
      <c r="T35" s="101"/>
      <c r="U35" s="101"/>
    </row>
    <row r="36" spans="1:21" ht="18" customHeight="1" x14ac:dyDescent="0.15">
      <c r="A36" s="101"/>
      <c r="B36" s="101"/>
      <c r="C36" s="101"/>
      <c r="D36" s="101"/>
      <c r="E36" s="101"/>
      <c r="F36" s="101"/>
      <c r="G36" s="101"/>
      <c r="H36" s="101"/>
      <c r="I36" s="101"/>
      <c r="J36" s="101"/>
      <c r="K36" s="101"/>
      <c r="L36" s="101"/>
      <c r="M36" s="101"/>
      <c r="N36" s="101"/>
      <c r="O36" s="101"/>
      <c r="P36" s="101"/>
      <c r="Q36" s="101"/>
      <c r="R36" s="101"/>
      <c r="S36" s="101"/>
      <c r="T36" s="101"/>
      <c r="U36" s="101"/>
    </row>
    <row r="37" spans="1:21" ht="18" customHeight="1" x14ac:dyDescent="0.15">
      <c r="B37" s="92" t="s">
        <v>51</v>
      </c>
      <c r="C37" s="93"/>
      <c r="D37" s="93"/>
      <c r="E37" s="93"/>
      <c r="F37" s="94"/>
      <c r="G37" s="51" t="s">
        <v>77</v>
      </c>
      <c r="H37" s="50" t="s">
        <v>80</v>
      </c>
      <c r="I37" s="17" t="s">
        <v>68</v>
      </c>
      <c r="J37" s="17" t="s">
        <v>69</v>
      </c>
      <c r="K37" s="92" t="s">
        <v>51</v>
      </c>
      <c r="L37" s="93"/>
      <c r="M37" s="93"/>
      <c r="N37" s="93"/>
      <c r="O37" s="93"/>
      <c r="P37" s="93"/>
      <c r="Q37" s="94"/>
      <c r="R37" s="51" t="s">
        <v>77</v>
      </c>
      <c r="S37" s="50" t="s">
        <v>80</v>
      </c>
      <c r="T37" s="17" t="s">
        <v>68</v>
      </c>
      <c r="U37" s="17" t="s">
        <v>69</v>
      </c>
    </row>
    <row r="38" spans="1:21" ht="18" customHeight="1" x14ac:dyDescent="0.15">
      <c r="B38" s="95" t="s">
        <v>153</v>
      </c>
      <c r="C38" s="96"/>
      <c r="D38" s="96"/>
      <c r="E38" s="96"/>
      <c r="F38" s="97"/>
      <c r="G38" s="18">
        <v>2</v>
      </c>
      <c r="H38" s="18" t="s">
        <v>140</v>
      </c>
      <c r="I38" s="18" t="s">
        <v>140</v>
      </c>
      <c r="J38" s="18" t="s">
        <v>140</v>
      </c>
      <c r="K38" s="95"/>
      <c r="L38" s="96"/>
      <c r="M38" s="96"/>
      <c r="N38" s="96"/>
      <c r="O38" s="96"/>
      <c r="P38" s="96"/>
      <c r="Q38" s="97"/>
      <c r="R38" s="18"/>
      <c r="S38" s="18"/>
      <c r="T38" s="18"/>
      <c r="U38" s="18"/>
    </row>
    <row r="39" spans="1:21" ht="18" customHeight="1" x14ac:dyDescent="0.15">
      <c r="B39" s="89" t="s">
        <v>154</v>
      </c>
      <c r="C39" s="90"/>
      <c r="D39" s="90"/>
      <c r="E39" s="90"/>
      <c r="F39" s="91"/>
      <c r="G39" s="19">
        <v>2</v>
      </c>
      <c r="H39" s="19" t="s">
        <v>140</v>
      </c>
      <c r="I39" s="19" t="s">
        <v>140</v>
      </c>
      <c r="J39" s="19" t="s">
        <v>140</v>
      </c>
      <c r="K39" s="89"/>
      <c r="L39" s="90"/>
      <c r="M39" s="90"/>
      <c r="N39" s="90"/>
      <c r="O39" s="90"/>
      <c r="P39" s="90"/>
      <c r="Q39" s="91"/>
      <c r="R39" s="19"/>
      <c r="S39" s="19"/>
      <c r="T39" s="19"/>
      <c r="U39" s="19"/>
    </row>
    <row r="40" spans="1:21" ht="18" customHeight="1" x14ac:dyDescent="0.15">
      <c r="B40" s="89" t="s">
        <v>155</v>
      </c>
      <c r="C40" s="90"/>
      <c r="D40" s="90"/>
      <c r="E40" s="90"/>
      <c r="F40" s="91"/>
      <c r="G40" s="19">
        <v>2</v>
      </c>
      <c r="H40" s="19" t="s">
        <v>140</v>
      </c>
      <c r="I40" s="19"/>
      <c r="J40" s="19"/>
      <c r="K40" s="89"/>
      <c r="L40" s="90"/>
      <c r="M40" s="90"/>
      <c r="N40" s="90"/>
      <c r="O40" s="90"/>
      <c r="P40" s="90"/>
      <c r="Q40" s="91"/>
      <c r="R40" s="19"/>
      <c r="S40" s="19"/>
      <c r="T40" s="19"/>
      <c r="U40" s="19"/>
    </row>
    <row r="41" spans="1:21" ht="18" customHeight="1" x14ac:dyDescent="0.15">
      <c r="B41" s="89"/>
      <c r="C41" s="90"/>
      <c r="D41" s="90"/>
      <c r="E41" s="90"/>
      <c r="F41" s="91"/>
      <c r="G41" s="19"/>
      <c r="H41" s="19"/>
      <c r="I41" s="19"/>
      <c r="J41" s="19"/>
      <c r="K41" s="89"/>
      <c r="L41" s="90"/>
      <c r="M41" s="90"/>
      <c r="N41" s="90"/>
      <c r="O41" s="90"/>
      <c r="P41" s="90"/>
      <c r="Q41" s="91"/>
      <c r="R41" s="19"/>
      <c r="S41" s="19"/>
      <c r="T41" s="19"/>
      <c r="U41" s="19"/>
    </row>
    <row r="42" spans="1:21" ht="18" customHeight="1" x14ac:dyDescent="0.15">
      <c r="B42" s="89"/>
      <c r="C42" s="90"/>
      <c r="D42" s="90"/>
      <c r="E42" s="90"/>
      <c r="F42" s="91"/>
      <c r="G42" s="19"/>
      <c r="H42" s="19"/>
      <c r="I42" s="19"/>
      <c r="J42" s="19"/>
      <c r="K42" s="89"/>
      <c r="L42" s="90"/>
      <c r="M42" s="90"/>
      <c r="N42" s="90"/>
      <c r="O42" s="90"/>
      <c r="P42" s="90"/>
      <c r="Q42" s="91"/>
      <c r="R42" s="19"/>
      <c r="S42" s="19"/>
      <c r="T42" s="19"/>
      <c r="U42" s="19"/>
    </row>
    <row r="43" spans="1:21" ht="18" customHeight="1" x14ac:dyDescent="0.15">
      <c r="B43" s="89"/>
      <c r="C43" s="90"/>
      <c r="D43" s="90"/>
      <c r="E43" s="90"/>
      <c r="F43" s="91"/>
      <c r="G43" s="19"/>
      <c r="H43" s="19"/>
      <c r="I43" s="19"/>
      <c r="J43" s="19"/>
      <c r="K43" s="89"/>
      <c r="L43" s="90"/>
      <c r="M43" s="90"/>
      <c r="N43" s="90"/>
      <c r="O43" s="90"/>
      <c r="P43" s="90"/>
      <c r="Q43" s="91"/>
      <c r="R43" s="19"/>
      <c r="S43" s="19"/>
      <c r="T43" s="19"/>
      <c r="U43" s="19"/>
    </row>
    <row r="44" spans="1:21" ht="18" customHeight="1" x14ac:dyDescent="0.15">
      <c r="B44" s="98"/>
      <c r="C44" s="99"/>
      <c r="D44" s="99"/>
      <c r="E44" s="99"/>
      <c r="F44" s="100"/>
      <c r="G44" s="20"/>
      <c r="H44" s="20"/>
      <c r="I44" s="21"/>
      <c r="J44" s="21"/>
      <c r="K44" s="98"/>
      <c r="L44" s="99"/>
      <c r="M44" s="99"/>
      <c r="N44" s="99"/>
      <c r="O44" s="99"/>
      <c r="P44" s="99"/>
      <c r="Q44" s="100"/>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1" t="s">
        <v>103</v>
      </c>
      <c r="B46" s="101"/>
      <c r="C46" s="101"/>
      <c r="D46" s="101"/>
      <c r="E46" s="101"/>
      <c r="F46" s="101"/>
      <c r="G46" s="101"/>
      <c r="H46" s="101"/>
      <c r="I46" s="101"/>
      <c r="J46" s="101"/>
      <c r="K46" s="101"/>
      <c r="L46" s="101"/>
      <c r="M46" s="101"/>
      <c r="N46" s="101"/>
      <c r="O46" s="101"/>
      <c r="P46" s="101"/>
      <c r="Q46" s="101"/>
      <c r="R46" s="101"/>
      <c r="S46" s="101"/>
      <c r="T46" s="101"/>
      <c r="U46" s="101"/>
    </row>
    <row r="47" spans="1:21" ht="18" customHeight="1" x14ac:dyDescent="0.15">
      <c r="A47" s="101"/>
      <c r="B47" s="101"/>
      <c r="C47" s="101"/>
      <c r="D47" s="101"/>
      <c r="E47" s="101"/>
      <c r="F47" s="101"/>
      <c r="G47" s="101"/>
      <c r="H47" s="101"/>
      <c r="I47" s="101"/>
      <c r="J47" s="101"/>
      <c r="K47" s="101"/>
      <c r="L47" s="101"/>
      <c r="M47" s="101"/>
      <c r="N47" s="101"/>
      <c r="O47" s="101"/>
      <c r="P47" s="101"/>
      <c r="Q47" s="101"/>
      <c r="R47" s="101"/>
      <c r="S47" s="101"/>
      <c r="T47" s="101"/>
      <c r="U47" s="101"/>
    </row>
    <row r="48" spans="1:21" ht="18" customHeight="1" x14ac:dyDescent="0.15">
      <c r="B48" s="92" t="s">
        <v>51</v>
      </c>
      <c r="C48" s="93"/>
      <c r="D48" s="93"/>
      <c r="E48" s="93"/>
      <c r="F48" s="94"/>
      <c r="G48" s="51" t="s">
        <v>77</v>
      </c>
      <c r="H48" s="50" t="s">
        <v>80</v>
      </c>
      <c r="I48" s="17" t="s">
        <v>70</v>
      </c>
      <c r="J48" s="17" t="s">
        <v>71</v>
      </c>
      <c r="K48" s="92" t="s">
        <v>51</v>
      </c>
      <c r="L48" s="93"/>
      <c r="M48" s="93"/>
      <c r="N48" s="93"/>
      <c r="O48" s="93"/>
      <c r="P48" s="93"/>
      <c r="Q48" s="94"/>
      <c r="R48" s="51" t="s">
        <v>77</v>
      </c>
      <c r="S48" s="50" t="s">
        <v>80</v>
      </c>
      <c r="T48" s="17" t="s">
        <v>70</v>
      </c>
      <c r="U48" s="17" t="s">
        <v>71</v>
      </c>
    </row>
    <row r="49" spans="1:21" ht="18" customHeight="1" x14ac:dyDescent="0.15">
      <c r="A49" s="3"/>
      <c r="B49" s="95" t="s">
        <v>153</v>
      </c>
      <c r="C49" s="96"/>
      <c r="D49" s="96"/>
      <c r="E49" s="96"/>
      <c r="F49" s="97"/>
      <c r="G49" s="18">
        <v>2</v>
      </c>
      <c r="H49" s="18" t="s">
        <v>140</v>
      </c>
      <c r="I49" s="18" t="s">
        <v>140</v>
      </c>
      <c r="J49" s="18" t="s">
        <v>140</v>
      </c>
      <c r="K49" s="95"/>
      <c r="L49" s="96"/>
      <c r="M49" s="96"/>
      <c r="N49" s="96"/>
      <c r="O49" s="96"/>
      <c r="P49" s="96"/>
      <c r="Q49" s="97"/>
      <c r="R49" s="18"/>
      <c r="S49" s="18"/>
      <c r="T49" s="18"/>
      <c r="U49" s="18"/>
    </row>
    <row r="50" spans="1:21" ht="18" customHeight="1" x14ac:dyDescent="0.15">
      <c r="A50" s="3"/>
      <c r="B50" s="89" t="s">
        <v>154</v>
      </c>
      <c r="C50" s="90"/>
      <c r="D50" s="90"/>
      <c r="E50" s="90"/>
      <c r="F50" s="91"/>
      <c r="G50" s="19">
        <v>2</v>
      </c>
      <c r="H50" s="19" t="s">
        <v>140</v>
      </c>
      <c r="I50" s="19"/>
      <c r="J50" s="19" t="s">
        <v>140</v>
      </c>
      <c r="K50" s="89"/>
      <c r="L50" s="90"/>
      <c r="M50" s="90"/>
      <c r="N50" s="90"/>
      <c r="O50" s="90"/>
      <c r="P50" s="90"/>
      <c r="Q50" s="91"/>
      <c r="R50" s="19"/>
      <c r="S50" s="19"/>
      <c r="T50" s="19"/>
      <c r="U50" s="19"/>
    </row>
    <row r="51" spans="1:21" ht="18" customHeight="1" x14ac:dyDescent="0.15">
      <c r="A51" s="3"/>
      <c r="B51" s="89" t="s">
        <v>155</v>
      </c>
      <c r="C51" s="90"/>
      <c r="D51" s="90"/>
      <c r="E51" s="90"/>
      <c r="F51" s="91"/>
      <c r="G51" s="19">
        <v>2</v>
      </c>
      <c r="H51" s="19" t="s">
        <v>140</v>
      </c>
      <c r="I51" s="19"/>
      <c r="J51" s="19" t="s">
        <v>140</v>
      </c>
      <c r="K51" s="89"/>
      <c r="L51" s="90"/>
      <c r="M51" s="90"/>
      <c r="N51" s="90"/>
      <c r="O51" s="90"/>
      <c r="P51" s="90"/>
      <c r="Q51" s="91"/>
      <c r="R51" s="19"/>
      <c r="S51" s="19"/>
      <c r="T51" s="19"/>
      <c r="U51" s="19"/>
    </row>
    <row r="52" spans="1:21" ht="18" customHeight="1" x14ac:dyDescent="0.15">
      <c r="A52" s="3"/>
      <c r="B52" s="89"/>
      <c r="C52" s="90"/>
      <c r="D52" s="90"/>
      <c r="E52" s="90"/>
      <c r="F52" s="91"/>
      <c r="G52" s="19"/>
      <c r="H52" s="19"/>
      <c r="I52" s="19"/>
      <c r="J52" s="19"/>
      <c r="K52" s="89"/>
      <c r="L52" s="90"/>
      <c r="M52" s="90"/>
      <c r="N52" s="90"/>
      <c r="O52" s="90"/>
      <c r="P52" s="90"/>
      <c r="Q52" s="91"/>
      <c r="R52" s="19"/>
      <c r="S52" s="19"/>
      <c r="T52" s="19"/>
      <c r="U52" s="19"/>
    </row>
    <row r="53" spans="1:21" ht="18" customHeight="1" x14ac:dyDescent="0.15">
      <c r="A53" s="3"/>
      <c r="B53" s="89"/>
      <c r="C53" s="90"/>
      <c r="D53" s="90"/>
      <c r="E53" s="90"/>
      <c r="F53" s="91"/>
      <c r="G53" s="19"/>
      <c r="H53" s="19"/>
      <c r="I53" s="19"/>
      <c r="J53" s="19"/>
      <c r="K53" s="89"/>
      <c r="L53" s="90"/>
      <c r="M53" s="90"/>
      <c r="N53" s="90"/>
      <c r="O53" s="90"/>
      <c r="P53" s="90"/>
      <c r="Q53" s="91"/>
      <c r="R53" s="19"/>
      <c r="S53" s="19"/>
      <c r="T53" s="19"/>
      <c r="U53" s="19"/>
    </row>
    <row r="54" spans="1:21" ht="18" customHeight="1" x14ac:dyDescent="0.15">
      <c r="A54" s="3"/>
      <c r="B54" s="89"/>
      <c r="C54" s="90"/>
      <c r="D54" s="90"/>
      <c r="E54" s="90"/>
      <c r="F54" s="91"/>
      <c r="G54" s="19"/>
      <c r="H54" s="19"/>
      <c r="I54" s="19"/>
      <c r="J54" s="19"/>
      <c r="K54" s="89"/>
      <c r="L54" s="90"/>
      <c r="M54" s="90"/>
      <c r="N54" s="90"/>
      <c r="O54" s="90"/>
      <c r="P54" s="90"/>
      <c r="Q54" s="91"/>
      <c r="R54" s="19"/>
      <c r="S54" s="19"/>
      <c r="T54" s="19"/>
      <c r="U54" s="19"/>
    </row>
    <row r="55" spans="1:21" ht="18" customHeight="1" x14ac:dyDescent="0.15">
      <c r="A55" s="3"/>
      <c r="B55" s="98"/>
      <c r="C55" s="99"/>
      <c r="D55" s="99"/>
      <c r="E55" s="99"/>
      <c r="F55" s="100"/>
      <c r="G55" s="20"/>
      <c r="H55" s="20"/>
      <c r="I55" s="21"/>
      <c r="J55" s="21"/>
      <c r="K55" s="98"/>
      <c r="L55" s="99"/>
      <c r="M55" s="99"/>
      <c r="N55" s="99"/>
      <c r="O55" s="99"/>
      <c r="P55" s="99"/>
      <c r="Q55" s="100"/>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1" t="s">
        <v>104</v>
      </c>
      <c r="B57" s="101"/>
      <c r="C57" s="101"/>
      <c r="D57" s="101"/>
      <c r="E57" s="101"/>
      <c r="F57" s="101"/>
      <c r="G57" s="101"/>
      <c r="H57" s="101"/>
      <c r="I57" s="101"/>
      <c r="J57" s="101"/>
      <c r="K57" s="101"/>
      <c r="L57" s="101"/>
      <c r="M57" s="101"/>
      <c r="N57" s="101"/>
      <c r="O57" s="101"/>
      <c r="P57" s="101"/>
      <c r="Q57" s="101"/>
      <c r="R57" s="101"/>
      <c r="S57" s="101"/>
      <c r="T57" s="101"/>
      <c r="U57" s="101"/>
    </row>
    <row r="58" spans="1:21" ht="18" customHeight="1" x14ac:dyDescent="0.15">
      <c r="A58" s="101"/>
      <c r="B58" s="101"/>
      <c r="C58" s="101"/>
      <c r="D58" s="101"/>
      <c r="E58" s="101"/>
      <c r="F58" s="101"/>
      <c r="G58" s="101"/>
      <c r="H58" s="101"/>
      <c r="I58" s="101"/>
      <c r="J58" s="101"/>
      <c r="K58" s="101"/>
      <c r="L58" s="101"/>
      <c r="M58" s="101"/>
      <c r="N58" s="101"/>
      <c r="O58" s="101"/>
      <c r="P58" s="101"/>
      <c r="Q58" s="101"/>
      <c r="R58" s="101"/>
      <c r="S58" s="101"/>
      <c r="T58" s="101"/>
      <c r="U58" s="101"/>
    </row>
    <row r="59" spans="1:21" ht="18" customHeight="1" x14ac:dyDescent="0.15">
      <c r="B59" s="92" t="s">
        <v>51</v>
      </c>
      <c r="C59" s="93"/>
      <c r="D59" s="93"/>
      <c r="E59" s="93"/>
      <c r="F59" s="94"/>
      <c r="G59" s="51" t="s">
        <v>77</v>
      </c>
      <c r="H59" s="50" t="s">
        <v>80</v>
      </c>
      <c r="I59" s="17" t="s">
        <v>56</v>
      </c>
      <c r="J59" s="17" t="s">
        <v>58</v>
      </c>
      <c r="K59" s="92" t="s">
        <v>51</v>
      </c>
      <c r="L59" s="93"/>
      <c r="M59" s="93"/>
      <c r="N59" s="93"/>
      <c r="O59" s="93"/>
      <c r="P59" s="93"/>
      <c r="Q59" s="94"/>
      <c r="R59" s="51" t="s">
        <v>77</v>
      </c>
      <c r="S59" s="50" t="s">
        <v>80</v>
      </c>
      <c r="T59" s="17" t="s">
        <v>56</v>
      </c>
      <c r="U59" s="17" t="s">
        <v>58</v>
      </c>
    </row>
    <row r="60" spans="1:21" ht="18" customHeight="1" x14ac:dyDescent="0.15">
      <c r="A60" s="3"/>
      <c r="B60" s="95" t="s">
        <v>153</v>
      </c>
      <c r="C60" s="96"/>
      <c r="D60" s="96"/>
      <c r="E60" s="96"/>
      <c r="F60" s="97"/>
      <c r="G60" s="18">
        <v>2</v>
      </c>
      <c r="H60" s="18" t="s">
        <v>140</v>
      </c>
      <c r="I60" s="18" t="s">
        <v>140</v>
      </c>
      <c r="J60" s="18"/>
      <c r="K60" s="95"/>
      <c r="L60" s="96"/>
      <c r="M60" s="96"/>
      <c r="N60" s="96"/>
      <c r="O60" s="96"/>
      <c r="P60" s="96"/>
      <c r="Q60" s="97"/>
      <c r="R60" s="18"/>
      <c r="S60" s="18"/>
      <c r="T60" s="18"/>
      <c r="U60" s="18"/>
    </row>
    <row r="61" spans="1:21" ht="18" customHeight="1" x14ac:dyDescent="0.15">
      <c r="A61" s="3"/>
      <c r="B61" s="89" t="s">
        <v>154</v>
      </c>
      <c r="C61" s="90"/>
      <c r="D61" s="90"/>
      <c r="E61" s="90"/>
      <c r="F61" s="91"/>
      <c r="G61" s="19">
        <v>2</v>
      </c>
      <c r="H61" s="19" t="s">
        <v>140</v>
      </c>
      <c r="I61" s="19" t="s">
        <v>140</v>
      </c>
      <c r="J61" s="19" t="s">
        <v>140</v>
      </c>
      <c r="K61" s="89"/>
      <c r="L61" s="90"/>
      <c r="M61" s="90"/>
      <c r="N61" s="90"/>
      <c r="O61" s="90"/>
      <c r="P61" s="90"/>
      <c r="Q61" s="91"/>
      <c r="R61" s="19"/>
      <c r="S61" s="19"/>
      <c r="T61" s="19"/>
      <c r="U61" s="19"/>
    </row>
    <row r="62" spans="1:21" ht="18" customHeight="1" x14ac:dyDescent="0.15">
      <c r="A62" s="3"/>
      <c r="B62" s="89" t="s">
        <v>155</v>
      </c>
      <c r="C62" s="90"/>
      <c r="D62" s="90"/>
      <c r="E62" s="90"/>
      <c r="F62" s="91"/>
      <c r="G62" s="19">
        <v>2</v>
      </c>
      <c r="H62" s="19" t="s">
        <v>140</v>
      </c>
      <c r="I62" s="19"/>
      <c r="J62" s="19"/>
      <c r="K62" s="89"/>
      <c r="L62" s="90"/>
      <c r="M62" s="90"/>
      <c r="N62" s="90"/>
      <c r="O62" s="90"/>
      <c r="P62" s="90"/>
      <c r="Q62" s="91"/>
      <c r="R62" s="19"/>
      <c r="S62" s="19"/>
      <c r="T62" s="19"/>
      <c r="U62" s="19"/>
    </row>
    <row r="63" spans="1:21" ht="18" customHeight="1" x14ac:dyDescent="0.15">
      <c r="A63" s="3"/>
      <c r="B63" s="89"/>
      <c r="C63" s="90"/>
      <c r="D63" s="90"/>
      <c r="E63" s="90"/>
      <c r="F63" s="91"/>
      <c r="G63" s="19"/>
      <c r="H63" s="19"/>
      <c r="I63" s="19"/>
      <c r="J63" s="19"/>
      <c r="K63" s="89"/>
      <c r="L63" s="90"/>
      <c r="M63" s="90"/>
      <c r="N63" s="90"/>
      <c r="O63" s="90"/>
      <c r="P63" s="90"/>
      <c r="Q63" s="91"/>
      <c r="R63" s="19"/>
      <c r="S63" s="19"/>
      <c r="T63" s="19"/>
      <c r="U63" s="19"/>
    </row>
    <row r="64" spans="1:21" ht="18" customHeight="1" x14ac:dyDescent="0.15">
      <c r="A64" s="3"/>
      <c r="B64" s="89"/>
      <c r="C64" s="90"/>
      <c r="D64" s="90"/>
      <c r="E64" s="90"/>
      <c r="F64" s="91"/>
      <c r="G64" s="19"/>
      <c r="H64" s="19"/>
      <c r="I64" s="19"/>
      <c r="J64" s="19"/>
      <c r="K64" s="89"/>
      <c r="L64" s="90"/>
      <c r="M64" s="90"/>
      <c r="N64" s="90"/>
      <c r="O64" s="90"/>
      <c r="P64" s="90"/>
      <c r="Q64" s="91"/>
      <c r="R64" s="19"/>
      <c r="S64" s="19"/>
      <c r="T64" s="19"/>
      <c r="U64" s="19"/>
    </row>
    <row r="65" spans="1:21" ht="18" customHeight="1" x14ac:dyDescent="0.15">
      <c r="A65" s="3"/>
      <c r="B65" s="89"/>
      <c r="C65" s="90"/>
      <c r="D65" s="90"/>
      <c r="E65" s="90"/>
      <c r="F65" s="91"/>
      <c r="G65" s="19"/>
      <c r="H65" s="19"/>
      <c r="I65" s="19"/>
      <c r="J65" s="19"/>
      <c r="K65" s="89"/>
      <c r="L65" s="90"/>
      <c r="M65" s="90"/>
      <c r="N65" s="90"/>
      <c r="O65" s="90"/>
      <c r="P65" s="90"/>
      <c r="Q65" s="91"/>
      <c r="R65" s="19"/>
      <c r="S65" s="19"/>
      <c r="T65" s="19"/>
      <c r="U65" s="19"/>
    </row>
    <row r="66" spans="1:21" ht="18" customHeight="1" x14ac:dyDescent="0.15">
      <c r="A66" s="3"/>
      <c r="B66" s="98"/>
      <c r="C66" s="99"/>
      <c r="D66" s="99"/>
      <c r="E66" s="99"/>
      <c r="F66" s="100"/>
      <c r="G66" s="20"/>
      <c r="H66" s="20"/>
      <c r="I66" s="21"/>
      <c r="J66" s="21"/>
      <c r="K66" s="98"/>
      <c r="L66" s="99"/>
      <c r="M66" s="99"/>
      <c r="N66" s="99"/>
      <c r="O66" s="99"/>
      <c r="P66" s="99"/>
      <c r="Q66" s="100"/>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1" t="s">
        <v>105</v>
      </c>
      <c r="B68" s="101"/>
      <c r="C68" s="101"/>
      <c r="D68" s="101"/>
      <c r="E68" s="101"/>
      <c r="F68" s="101"/>
      <c r="G68" s="101"/>
      <c r="H68" s="101"/>
      <c r="I68" s="101"/>
      <c r="J68" s="101"/>
      <c r="K68" s="101"/>
      <c r="L68" s="101"/>
      <c r="M68" s="101"/>
      <c r="N68" s="101"/>
      <c r="O68" s="101"/>
      <c r="P68" s="101"/>
      <c r="Q68" s="101"/>
      <c r="R68" s="101"/>
      <c r="S68" s="101"/>
      <c r="T68" s="101"/>
      <c r="U68" s="101"/>
    </row>
    <row r="69" spans="1:21" ht="18" customHeight="1" x14ac:dyDescent="0.15">
      <c r="A69" s="101"/>
      <c r="B69" s="101"/>
      <c r="C69" s="101"/>
      <c r="D69" s="101"/>
      <c r="E69" s="101"/>
      <c r="F69" s="101"/>
      <c r="G69" s="101"/>
      <c r="H69" s="101"/>
      <c r="I69" s="101"/>
      <c r="J69" s="101"/>
      <c r="K69" s="101"/>
      <c r="L69" s="101"/>
      <c r="M69" s="101"/>
      <c r="N69" s="101"/>
      <c r="O69" s="101"/>
      <c r="P69" s="101"/>
      <c r="Q69" s="101"/>
      <c r="R69" s="101"/>
      <c r="S69" s="101"/>
      <c r="T69" s="101"/>
      <c r="U69" s="101"/>
    </row>
    <row r="70" spans="1:21" ht="18" customHeight="1" x14ac:dyDescent="0.15">
      <c r="B70" s="92" t="s">
        <v>51</v>
      </c>
      <c r="C70" s="93"/>
      <c r="D70" s="93"/>
      <c r="E70" s="93"/>
      <c r="F70" s="51" t="s">
        <v>77</v>
      </c>
      <c r="G70" s="50" t="s">
        <v>80</v>
      </c>
      <c r="H70" s="17" t="s">
        <v>92</v>
      </c>
      <c r="I70" s="17" t="s">
        <v>72</v>
      </c>
      <c r="J70" s="17" t="s">
        <v>73</v>
      </c>
      <c r="K70" s="92" t="s">
        <v>51</v>
      </c>
      <c r="L70" s="93"/>
      <c r="M70" s="93"/>
      <c r="N70" s="93"/>
      <c r="O70" s="93"/>
      <c r="P70" s="94"/>
      <c r="Q70" s="51" t="s">
        <v>77</v>
      </c>
      <c r="R70" s="50" t="s">
        <v>80</v>
      </c>
      <c r="S70" s="17" t="s">
        <v>92</v>
      </c>
      <c r="T70" s="17" t="s">
        <v>72</v>
      </c>
      <c r="U70" s="17" t="s">
        <v>73</v>
      </c>
    </row>
    <row r="71" spans="1:21" ht="18" customHeight="1" x14ac:dyDescent="0.15">
      <c r="A71" s="3"/>
      <c r="B71" s="95" t="s">
        <v>153</v>
      </c>
      <c r="C71" s="96"/>
      <c r="D71" s="96"/>
      <c r="E71" s="96"/>
      <c r="F71" s="18">
        <v>2</v>
      </c>
      <c r="G71" s="18" t="s">
        <v>140</v>
      </c>
      <c r="H71" s="18"/>
      <c r="I71" s="18"/>
      <c r="J71" s="18"/>
      <c r="K71" s="95"/>
      <c r="L71" s="96"/>
      <c r="M71" s="96"/>
      <c r="N71" s="96"/>
      <c r="O71" s="96"/>
      <c r="P71" s="97"/>
      <c r="Q71" s="18"/>
      <c r="R71" s="18"/>
      <c r="S71" s="18"/>
      <c r="T71" s="18"/>
      <c r="U71" s="18"/>
    </row>
    <row r="72" spans="1:21" ht="18" customHeight="1" x14ac:dyDescent="0.15">
      <c r="A72" s="3"/>
      <c r="B72" s="89" t="s">
        <v>156</v>
      </c>
      <c r="C72" s="90"/>
      <c r="D72" s="90"/>
      <c r="E72" s="90"/>
      <c r="F72" s="19">
        <v>2</v>
      </c>
      <c r="G72" s="19" t="s">
        <v>140</v>
      </c>
      <c r="H72" s="19"/>
      <c r="I72" s="19"/>
      <c r="J72" s="19"/>
      <c r="K72" s="89"/>
      <c r="L72" s="90"/>
      <c r="M72" s="90"/>
      <c r="N72" s="90"/>
      <c r="O72" s="90"/>
      <c r="P72" s="91"/>
      <c r="Q72" s="19"/>
      <c r="R72" s="19"/>
      <c r="S72" s="19"/>
      <c r="T72" s="19"/>
      <c r="U72" s="19"/>
    </row>
    <row r="73" spans="1:21" ht="18" customHeight="1" x14ac:dyDescent="0.15">
      <c r="A73" s="3"/>
      <c r="B73" s="89" t="s">
        <v>155</v>
      </c>
      <c r="C73" s="90"/>
      <c r="D73" s="90"/>
      <c r="E73" s="90"/>
      <c r="F73" s="19">
        <v>2</v>
      </c>
      <c r="G73" s="19" t="s">
        <v>140</v>
      </c>
      <c r="H73" s="19" t="s">
        <v>140</v>
      </c>
      <c r="I73" s="19" t="s">
        <v>140</v>
      </c>
      <c r="J73" s="19" t="s">
        <v>140</v>
      </c>
      <c r="K73" s="89"/>
      <c r="L73" s="90"/>
      <c r="M73" s="90"/>
      <c r="N73" s="90"/>
      <c r="O73" s="90"/>
      <c r="P73" s="91"/>
      <c r="Q73" s="19"/>
      <c r="R73" s="19"/>
      <c r="S73" s="19"/>
      <c r="T73" s="19"/>
      <c r="U73" s="19"/>
    </row>
    <row r="74" spans="1:21" ht="18" customHeight="1" x14ac:dyDescent="0.15">
      <c r="A74" s="3"/>
      <c r="B74" s="89"/>
      <c r="C74" s="90"/>
      <c r="D74" s="90"/>
      <c r="E74" s="90"/>
      <c r="F74" s="19"/>
      <c r="G74" s="19"/>
      <c r="H74" s="19"/>
      <c r="I74" s="19"/>
      <c r="J74" s="19"/>
      <c r="K74" s="89"/>
      <c r="L74" s="90"/>
      <c r="M74" s="90"/>
      <c r="N74" s="90"/>
      <c r="O74" s="90"/>
      <c r="P74" s="91"/>
      <c r="Q74" s="19"/>
      <c r="R74" s="19"/>
      <c r="S74" s="19"/>
      <c r="T74" s="19"/>
      <c r="U74" s="19"/>
    </row>
    <row r="75" spans="1:21" ht="18" customHeight="1" x14ac:dyDescent="0.15">
      <c r="A75" s="3"/>
      <c r="B75" s="89"/>
      <c r="C75" s="90"/>
      <c r="D75" s="90"/>
      <c r="E75" s="90"/>
      <c r="F75" s="19"/>
      <c r="G75" s="19"/>
      <c r="H75" s="19"/>
      <c r="I75" s="19"/>
      <c r="J75" s="19"/>
      <c r="K75" s="89"/>
      <c r="L75" s="90"/>
      <c r="M75" s="90"/>
      <c r="N75" s="90"/>
      <c r="O75" s="90"/>
      <c r="P75" s="91"/>
      <c r="Q75" s="19"/>
      <c r="R75" s="19"/>
      <c r="S75" s="19"/>
      <c r="T75" s="19"/>
      <c r="U75" s="19"/>
    </row>
    <row r="76" spans="1:21" ht="18" customHeight="1" x14ac:dyDescent="0.15">
      <c r="A76" s="3"/>
      <c r="B76" s="89"/>
      <c r="C76" s="90"/>
      <c r="D76" s="90"/>
      <c r="E76" s="90"/>
      <c r="F76" s="19"/>
      <c r="G76" s="19"/>
      <c r="H76" s="19"/>
      <c r="I76" s="19"/>
      <c r="J76" s="19"/>
      <c r="K76" s="89"/>
      <c r="L76" s="90"/>
      <c r="M76" s="90"/>
      <c r="N76" s="90"/>
      <c r="O76" s="90"/>
      <c r="P76" s="91"/>
      <c r="Q76" s="19"/>
      <c r="R76" s="19"/>
      <c r="S76" s="19"/>
      <c r="T76" s="19"/>
      <c r="U76" s="19"/>
    </row>
    <row r="77" spans="1:21" ht="18" customHeight="1" x14ac:dyDescent="0.15">
      <c r="A77" s="3"/>
      <c r="B77" s="98"/>
      <c r="C77" s="99"/>
      <c r="D77" s="99"/>
      <c r="E77" s="99"/>
      <c r="F77" s="20"/>
      <c r="G77" s="20"/>
      <c r="H77" s="21"/>
      <c r="I77" s="21"/>
      <c r="J77" s="21"/>
      <c r="K77" s="98"/>
      <c r="L77" s="99"/>
      <c r="M77" s="99"/>
      <c r="N77" s="99"/>
      <c r="O77" s="99"/>
      <c r="P77" s="100"/>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09" t="s">
        <v>51</v>
      </c>
      <c r="L80" s="110"/>
      <c r="M80" s="110"/>
      <c r="N80" s="110"/>
      <c r="O80" s="110"/>
      <c r="P80" s="110"/>
      <c r="Q80" s="111"/>
      <c r="R80" s="92" t="s">
        <v>78</v>
      </c>
      <c r="S80" s="93"/>
      <c r="T80" s="93"/>
      <c r="U80" s="94"/>
    </row>
    <row r="81" spans="1:21" ht="18" customHeight="1" x14ac:dyDescent="0.15">
      <c r="A81" s="3"/>
      <c r="B81" s="95" t="s">
        <v>155</v>
      </c>
      <c r="C81" s="96"/>
      <c r="D81" s="96"/>
      <c r="E81" s="96"/>
      <c r="F81" s="97"/>
      <c r="G81" s="102" t="s">
        <v>145</v>
      </c>
      <c r="H81" s="103"/>
      <c r="I81" s="103"/>
      <c r="J81" s="104"/>
      <c r="K81" s="95"/>
      <c r="L81" s="96"/>
      <c r="M81" s="96"/>
      <c r="N81" s="96"/>
      <c r="O81" s="96"/>
      <c r="P81" s="96"/>
      <c r="Q81" s="97"/>
      <c r="R81" s="102"/>
      <c r="S81" s="103"/>
      <c r="T81" s="103"/>
      <c r="U81" s="104"/>
    </row>
    <row r="82" spans="1:21" ht="18" customHeight="1" x14ac:dyDescent="0.15">
      <c r="A82" s="3"/>
      <c r="B82" s="89"/>
      <c r="C82" s="90"/>
      <c r="D82" s="90"/>
      <c r="E82" s="90"/>
      <c r="F82" s="91"/>
      <c r="G82" s="106"/>
      <c r="H82" s="107"/>
      <c r="I82" s="107"/>
      <c r="J82" s="108"/>
      <c r="K82" s="89"/>
      <c r="L82" s="90"/>
      <c r="M82" s="90"/>
      <c r="N82" s="90"/>
      <c r="O82" s="90"/>
      <c r="P82" s="90"/>
      <c r="Q82" s="91"/>
      <c r="R82" s="106"/>
      <c r="S82" s="107"/>
      <c r="T82" s="107"/>
      <c r="U82" s="108"/>
    </row>
    <row r="83" spans="1:21" ht="18" customHeight="1" x14ac:dyDescent="0.15">
      <c r="A83" s="3"/>
      <c r="B83" s="89"/>
      <c r="C83" s="90"/>
      <c r="D83" s="90"/>
      <c r="E83" s="90"/>
      <c r="F83" s="91"/>
      <c r="G83" s="106"/>
      <c r="H83" s="107"/>
      <c r="I83" s="107"/>
      <c r="J83" s="108"/>
      <c r="K83" s="89"/>
      <c r="L83" s="90"/>
      <c r="M83" s="90"/>
      <c r="N83" s="90"/>
      <c r="O83" s="90"/>
      <c r="P83" s="90"/>
      <c r="Q83" s="91"/>
      <c r="R83" s="106"/>
      <c r="S83" s="107"/>
      <c r="T83" s="107"/>
      <c r="U83" s="108"/>
    </row>
    <row r="84" spans="1:21" ht="18" customHeight="1" x14ac:dyDescent="0.15">
      <c r="A84" s="3"/>
      <c r="B84" s="89"/>
      <c r="C84" s="90"/>
      <c r="D84" s="90"/>
      <c r="E84" s="90"/>
      <c r="F84" s="91"/>
      <c r="G84" s="106"/>
      <c r="H84" s="107"/>
      <c r="I84" s="107"/>
      <c r="J84" s="108"/>
      <c r="K84" s="89"/>
      <c r="L84" s="90"/>
      <c r="M84" s="90"/>
      <c r="N84" s="90"/>
      <c r="O84" s="90"/>
      <c r="P84" s="90"/>
      <c r="Q84" s="91"/>
      <c r="R84" s="106"/>
      <c r="S84" s="107"/>
      <c r="T84" s="107"/>
      <c r="U84" s="108"/>
    </row>
    <row r="85" spans="1:21" ht="18" customHeight="1" x14ac:dyDescent="0.15">
      <c r="A85" s="3"/>
      <c r="B85" s="89"/>
      <c r="C85" s="90"/>
      <c r="D85" s="90"/>
      <c r="E85" s="90"/>
      <c r="F85" s="91"/>
      <c r="G85" s="106"/>
      <c r="H85" s="107"/>
      <c r="I85" s="107"/>
      <c r="J85" s="108"/>
      <c r="K85" s="89"/>
      <c r="L85" s="90"/>
      <c r="M85" s="90"/>
      <c r="N85" s="90"/>
      <c r="O85" s="90"/>
      <c r="P85" s="90"/>
      <c r="Q85" s="91"/>
      <c r="R85" s="106"/>
      <c r="S85" s="107"/>
      <c r="T85" s="107"/>
      <c r="U85" s="108"/>
    </row>
    <row r="86" spans="1:21" ht="18" customHeight="1" x14ac:dyDescent="0.15">
      <c r="A86" s="3"/>
      <c r="B86" s="89"/>
      <c r="C86" s="90"/>
      <c r="D86" s="90"/>
      <c r="E86" s="90"/>
      <c r="F86" s="91"/>
      <c r="G86" s="106"/>
      <c r="H86" s="107"/>
      <c r="I86" s="107"/>
      <c r="J86" s="108"/>
      <c r="K86" s="89"/>
      <c r="L86" s="90"/>
      <c r="M86" s="90"/>
      <c r="N86" s="90"/>
      <c r="O86" s="90"/>
      <c r="P86" s="90"/>
      <c r="Q86" s="91"/>
      <c r="R86" s="106"/>
      <c r="S86" s="107"/>
      <c r="T86" s="107"/>
      <c r="U86" s="108"/>
    </row>
    <row r="87" spans="1:21" ht="18" customHeight="1" x14ac:dyDescent="0.15">
      <c r="A87" s="3"/>
      <c r="B87" s="98"/>
      <c r="C87" s="99"/>
      <c r="D87" s="99"/>
      <c r="E87" s="99"/>
      <c r="F87" s="100"/>
      <c r="G87" s="138"/>
      <c r="H87" s="139"/>
      <c r="I87" s="139"/>
      <c r="J87" s="140"/>
      <c r="K87" s="98"/>
      <c r="L87" s="99"/>
      <c r="M87" s="99"/>
      <c r="N87" s="99"/>
      <c r="O87" s="99"/>
      <c r="P87" s="99"/>
      <c r="Q87" s="100"/>
      <c r="R87" s="258"/>
      <c r="S87" s="259"/>
      <c r="T87" s="259"/>
      <c r="U87" s="260"/>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41" t="s">
        <v>52</v>
      </c>
      <c r="C90" s="142"/>
      <c r="D90" s="92" t="s">
        <v>53</v>
      </c>
      <c r="E90" s="93"/>
      <c r="F90" s="93"/>
      <c r="G90" s="93"/>
      <c r="H90" s="93"/>
      <c r="I90" s="93"/>
      <c r="J90" s="93"/>
      <c r="K90" s="93"/>
      <c r="L90" s="93"/>
      <c r="M90" s="93"/>
      <c r="N90" s="93"/>
      <c r="O90" s="93"/>
      <c r="P90" s="93"/>
      <c r="Q90" s="93"/>
      <c r="R90" s="93"/>
      <c r="S90" s="93"/>
      <c r="T90" s="93"/>
      <c r="U90" s="94"/>
    </row>
    <row r="91" spans="1:21" ht="97.5" customHeight="1" x14ac:dyDescent="0.15">
      <c r="B91" s="122" t="s">
        <v>59</v>
      </c>
      <c r="C91" s="23" t="s">
        <v>54</v>
      </c>
      <c r="D91" s="116" t="s">
        <v>197</v>
      </c>
      <c r="E91" s="117"/>
      <c r="F91" s="117"/>
      <c r="G91" s="117"/>
      <c r="H91" s="117"/>
      <c r="I91" s="117"/>
      <c r="J91" s="117"/>
      <c r="K91" s="117"/>
      <c r="L91" s="117"/>
      <c r="M91" s="117"/>
      <c r="N91" s="117"/>
      <c r="O91" s="117"/>
      <c r="P91" s="117"/>
      <c r="Q91" s="117"/>
      <c r="R91" s="117"/>
      <c r="S91" s="117"/>
      <c r="T91" s="117"/>
      <c r="U91" s="118"/>
    </row>
    <row r="92" spans="1:21" ht="97.5" customHeight="1" x14ac:dyDescent="0.15">
      <c r="B92" s="124"/>
      <c r="C92" s="24" t="s">
        <v>74</v>
      </c>
      <c r="D92" s="113" t="s">
        <v>164</v>
      </c>
      <c r="E92" s="114"/>
      <c r="F92" s="114"/>
      <c r="G92" s="114"/>
      <c r="H92" s="114"/>
      <c r="I92" s="114"/>
      <c r="J92" s="114"/>
      <c r="K92" s="114"/>
      <c r="L92" s="114"/>
      <c r="M92" s="114"/>
      <c r="N92" s="114"/>
      <c r="O92" s="114"/>
      <c r="P92" s="114"/>
      <c r="Q92" s="114"/>
      <c r="R92" s="114"/>
      <c r="S92" s="114"/>
      <c r="T92" s="114"/>
      <c r="U92" s="115"/>
    </row>
    <row r="93" spans="1:21" ht="97.5" customHeight="1" x14ac:dyDescent="0.15">
      <c r="B93" s="122" t="s">
        <v>60</v>
      </c>
      <c r="C93" s="25" t="s">
        <v>68</v>
      </c>
      <c r="D93" s="116" t="s">
        <v>165</v>
      </c>
      <c r="E93" s="117"/>
      <c r="F93" s="117"/>
      <c r="G93" s="117"/>
      <c r="H93" s="117"/>
      <c r="I93" s="117"/>
      <c r="J93" s="117"/>
      <c r="K93" s="117"/>
      <c r="L93" s="117"/>
      <c r="M93" s="117"/>
      <c r="N93" s="117"/>
      <c r="O93" s="117"/>
      <c r="P93" s="117"/>
      <c r="Q93" s="117"/>
      <c r="R93" s="117"/>
      <c r="S93" s="117"/>
      <c r="T93" s="117"/>
      <c r="U93" s="118"/>
    </row>
    <row r="94" spans="1:21" ht="97.5" customHeight="1" x14ac:dyDescent="0.15">
      <c r="B94" s="123"/>
      <c r="C94" s="26" t="s">
        <v>69</v>
      </c>
      <c r="D94" s="157" t="s">
        <v>198</v>
      </c>
      <c r="E94" s="114"/>
      <c r="F94" s="114"/>
      <c r="G94" s="114"/>
      <c r="H94" s="114"/>
      <c r="I94" s="114"/>
      <c r="J94" s="114"/>
      <c r="K94" s="114"/>
      <c r="L94" s="114"/>
      <c r="M94" s="114"/>
      <c r="N94" s="114"/>
      <c r="O94" s="114"/>
      <c r="P94" s="114"/>
      <c r="Q94" s="114"/>
      <c r="R94" s="114"/>
      <c r="S94" s="114"/>
      <c r="T94" s="114"/>
      <c r="U94" s="115"/>
    </row>
    <row r="95" spans="1:21" ht="97.5" customHeight="1" x14ac:dyDescent="0.15">
      <c r="B95" s="122" t="s">
        <v>61</v>
      </c>
      <c r="C95" s="25" t="s">
        <v>70</v>
      </c>
      <c r="D95" s="116" t="s">
        <v>166</v>
      </c>
      <c r="E95" s="117"/>
      <c r="F95" s="117"/>
      <c r="G95" s="117"/>
      <c r="H95" s="117"/>
      <c r="I95" s="117"/>
      <c r="J95" s="117"/>
      <c r="K95" s="117"/>
      <c r="L95" s="117"/>
      <c r="M95" s="117"/>
      <c r="N95" s="117"/>
      <c r="O95" s="117"/>
      <c r="P95" s="117"/>
      <c r="Q95" s="117"/>
      <c r="R95" s="117"/>
      <c r="S95" s="117"/>
      <c r="T95" s="117"/>
      <c r="U95" s="118"/>
    </row>
    <row r="96" spans="1:21" ht="97.5" customHeight="1" x14ac:dyDescent="0.15">
      <c r="B96" s="123"/>
      <c r="C96" s="27" t="s">
        <v>71</v>
      </c>
      <c r="D96" s="113" t="s">
        <v>199</v>
      </c>
      <c r="E96" s="158"/>
      <c r="F96" s="158"/>
      <c r="G96" s="158"/>
      <c r="H96" s="158"/>
      <c r="I96" s="158"/>
      <c r="J96" s="158"/>
      <c r="K96" s="158"/>
      <c r="L96" s="158"/>
      <c r="M96" s="158"/>
      <c r="N96" s="158"/>
      <c r="O96" s="158"/>
      <c r="P96" s="158"/>
      <c r="Q96" s="158"/>
      <c r="R96" s="158"/>
      <c r="S96" s="158"/>
      <c r="T96" s="158"/>
      <c r="U96" s="159"/>
    </row>
    <row r="97" spans="1:33" ht="97.5" customHeight="1" x14ac:dyDescent="0.15">
      <c r="B97" s="122" t="s">
        <v>75</v>
      </c>
      <c r="C97" s="23" t="s">
        <v>56</v>
      </c>
      <c r="D97" s="116" t="s">
        <v>200</v>
      </c>
      <c r="E97" s="117"/>
      <c r="F97" s="117"/>
      <c r="G97" s="117"/>
      <c r="H97" s="117"/>
      <c r="I97" s="117"/>
      <c r="J97" s="117"/>
      <c r="K97" s="117"/>
      <c r="L97" s="117"/>
      <c r="M97" s="117"/>
      <c r="N97" s="117"/>
      <c r="O97" s="117"/>
      <c r="P97" s="117"/>
      <c r="Q97" s="117"/>
      <c r="R97" s="117"/>
      <c r="S97" s="117"/>
      <c r="T97" s="117"/>
      <c r="U97" s="118"/>
    </row>
    <row r="98" spans="1:33" ht="97.5" customHeight="1" x14ac:dyDescent="0.15">
      <c r="B98" s="123"/>
      <c r="C98" s="26" t="s">
        <v>58</v>
      </c>
      <c r="D98" s="113" t="s">
        <v>202</v>
      </c>
      <c r="E98" s="114"/>
      <c r="F98" s="114"/>
      <c r="G98" s="114"/>
      <c r="H98" s="114"/>
      <c r="I98" s="114"/>
      <c r="J98" s="114"/>
      <c r="K98" s="114"/>
      <c r="L98" s="114"/>
      <c r="M98" s="114"/>
      <c r="N98" s="114"/>
      <c r="O98" s="114"/>
      <c r="P98" s="114"/>
      <c r="Q98" s="114"/>
      <c r="R98" s="114"/>
      <c r="S98" s="114"/>
      <c r="T98" s="114"/>
      <c r="U98" s="115"/>
    </row>
    <row r="99" spans="1:33" ht="97.5" customHeight="1" x14ac:dyDescent="0.15">
      <c r="B99" s="122" t="s">
        <v>76</v>
      </c>
      <c r="C99" s="25" t="s">
        <v>55</v>
      </c>
      <c r="D99" s="116" t="s">
        <v>203</v>
      </c>
      <c r="E99" s="117"/>
      <c r="F99" s="117"/>
      <c r="G99" s="117"/>
      <c r="H99" s="117"/>
      <c r="I99" s="117"/>
      <c r="J99" s="117"/>
      <c r="K99" s="117"/>
      <c r="L99" s="117"/>
      <c r="M99" s="117"/>
      <c r="N99" s="117"/>
      <c r="O99" s="117"/>
      <c r="P99" s="117"/>
      <c r="Q99" s="117"/>
      <c r="R99" s="117"/>
      <c r="S99" s="117"/>
      <c r="T99" s="117"/>
      <c r="U99" s="118"/>
    </row>
    <row r="100" spans="1:33" ht="97.5" customHeight="1" x14ac:dyDescent="0.15">
      <c r="B100" s="124"/>
      <c r="C100" s="28" t="s">
        <v>72</v>
      </c>
      <c r="D100" s="119" t="s">
        <v>204</v>
      </c>
      <c r="E100" s="120"/>
      <c r="F100" s="120"/>
      <c r="G100" s="120"/>
      <c r="H100" s="120"/>
      <c r="I100" s="120"/>
      <c r="J100" s="120"/>
      <c r="K100" s="120"/>
      <c r="L100" s="120"/>
      <c r="M100" s="120"/>
      <c r="N100" s="120"/>
      <c r="O100" s="120"/>
      <c r="P100" s="120"/>
      <c r="Q100" s="120"/>
      <c r="R100" s="120"/>
      <c r="S100" s="120"/>
      <c r="T100" s="120"/>
      <c r="U100" s="121"/>
    </row>
    <row r="101" spans="1:33" ht="97.5" customHeight="1" x14ac:dyDescent="0.15">
      <c r="B101" s="123"/>
      <c r="C101" s="27" t="s">
        <v>73</v>
      </c>
      <c r="D101" s="113" t="s">
        <v>205</v>
      </c>
      <c r="E101" s="114"/>
      <c r="F101" s="114"/>
      <c r="G101" s="114"/>
      <c r="H101" s="114"/>
      <c r="I101" s="114"/>
      <c r="J101" s="114"/>
      <c r="K101" s="114"/>
      <c r="L101" s="114"/>
      <c r="M101" s="114"/>
      <c r="N101" s="114"/>
      <c r="O101" s="114"/>
      <c r="P101" s="114"/>
      <c r="Q101" s="114"/>
      <c r="R101" s="114"/>
      <c r="S101" s="114"/>
      <c r="T101" s="114"/>
      <c r="U101" s="115"/>
    </row>
    <row r="102" spans="1:33" ht="6" customHeight="1" x14ac:dyDescent="0.15"/>
    <row r="103" spans="1:33" ht="18.75" customHeight="1" x14ac:dyDescent="0.15">
      <c r="A103" s="1" t="s">
        <v>108</v>
      </c>
    </row>
    <row r="104" spans="1:33" ht="81.75" customHeight="1" x14ac:dyDescent="0.15">
      <c r="B104" s="135" t="s">
        <v>167</v>
      </c>
      <c r="C104" s="136"/>
      <c r="D104" s="136"/>
      <c r="E104" s="136"/>
      <c r="F104" s="136"/>
      <c r="G104" s="136"/>
      <c r="H104" s="136"/>
      <c r="I104" s="136"/>
      <c r="J104" s="136"/>
      <c r="K104" s="136"/>
      <c r="L104" s="136"/>
      <c r="M104" s="136"/>
      <c r="N104" s="136"/>
      <c r="O104" s="136"/>
      <c r="P104" s="136"/>
      <c r="Q104" s="136"/>
      <c r="R104" s="136"/>
      <c r="S104" s="136"/>
      <c r="T104" s="136"/>
      <c r="U104" s="137"/>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12" t="s">
        <v>130</v>
      </c>
      <c r="C108" s="112"/>
      <c r="D108" s="112"/>
      <c r="E108" s="112"/>
      <c r="F108" s="112"/>
      <c r="G108" s="112"/>
      <c r="H108" s="112"/>
      <c r="I108" s="112"/>
      <c r="J108" s="112"/>
      <c r="K108" s="112"/>
      <c r="L108" s="112"/>
      <c r="M108" s="112"/>
      <c r="N108" s="112"/>
      <c r="O108" s="112"/>
      <c r="P108" s="112"/>
      <c r="Q108" s="112"/>
      <c r="R108" s="112"/>
      <c r="S108" s="112"/>
      <c r="T108" s="112"/>
      <c r="U108" s="112"/>
      <c r="V108" s="71"/>
      <c r="W108" s="71"/>
      <c r="X108" s="71"/>
      <c r="Y108" s="71"/>
      <c r="Z108" s="71"/>
      <c r="AA108" s="71"/>
      <c r="AB108" s="71"/>
      <c r="AC108" s="71"/>
      <c r="AD108" s="71"/>
      <c r="AE108" s="71"/>
      <c r="AF108" s="71"/>
      <c r="AG108" s="71"/>
    </row>
    <row r="109" spans="1:33" ht="37.15" customHeight="1" x14ac:dyDescent="0.15">
      <c r="A109" s="75"/>
      <c r="B109" s="112"/>
      <c r="C109" s="112"/>
      <c r="D109" s="112"/>
      <c r="E109" s="112"/>
      <c r="F109" s="112"/>
      <c r="G109" s="112"/>
      <c r="H109" s="112"/>
      <c r="I109" s="112"/>
      <c r="J109" s="112"/>
      <c r="K109" s="112"/>
      <c r="L109" s="112"/>
      <c r="M109" s="112"/>
      <c r="N109" s="112"/>
      <c r="O109" s="112"/>
      <c r="P109" s="112"/>
      <c r="Q109" s="112"/>
      <c r="R109" s="112"/>
      <c r="S109" s="112"/>
      <c r="T109" s="112"/>
      <c r="U109" s="112"/>
      <c r="V109" s="71"/>
      <c r="W109" s="71"/>
      <c r="X109" s="71"/>
      <c r="Y109" s="71"/>
      <c r="Z109" s="71"/>
      <c r="AA109" s="71"/>
      <c r="AB109" s="71"/>
      <c r="AC109" s="71"/>
      <c r="AD109" s="71"/>
      <c r="AE109" s="71"/>
      <c r="AF109" s="71"/>
      <c r="AG109" s="71"/>
    </row>
    <row r="110" spans="1:33" ht="18.75" customHeight="1" x14ac:dyDescent="0.15">
      <c r="A110" s="75"/>
      <c r="B110" s="105" t="s">
        <v>125</v>
      </c>
      <c r="C110" s="105"/>
      <c r="D110" s="105"/>
      <c r="E110" s="105"/>
      <c r="F110" s="105"/>
      <c r="G110" s="105"/>
      <c r="H110" s="105"/>
      <c r="I110" s="105"/>
      <c r="J110" s="105"/>
      <c r="K110" s="105"/>
      <c r="L110" s="105"/>
      <c r="M110" s="105"/>
      <c r="N110" s="105"/>
      <c r="O110" s="105"/>
      <c r="P110" s="105"/>
      <c r="Q110" s="105"/>
      <c r="R110" s="105"/>
      <c r="S110" s="105"/>
      <c r="T110" s="105"/>
      <c r="U110" s="105"/>
      <c r="V110" s="71"/>
      <c r="W110" s="71"/>
      <c r="X110" s="71"/>
      <c r="Y110" s="71"/>
      <c r="Z110" s="71"/>
      <c r="AA110" s="71"/>
      <c r="AB110" s="71"/>
      <c r="AC110" s="71"/>
      <c r="AD110" s="71"/>
      <c r="AE110" s="71"/>
      <c r="AF110" s="71"/>
      <c r="AG110" s="71"/>
    </row>
    <row r="111" spans="1:33" ht="18.75" customHeight="1" x14ac:dyDescent="0.15">
      <c r="A111" s="75"/>
      <c r="B111" s="87" t="s">
        <v>53</v>
      </c>
      <c r="C111" s="87"/>
      <c r="D111" s="87"/>
      <c r="E111" s="87"/>
      <c r="F111" s="87"/>
      <c r="G111" s="87"/>
      <c r="H111" s="87"/>
      <c r="I111" s="87"/>
      <c r="J111" s="87"/>
      <c r="K111" s="87"/>
      <c r="L111" s="87"/>
      <c r="M111" s="87"/>
      <c r="N111" s="87"/>
      <c r="O111" s="87"/>
      <c r="P111" s="87"/>
      <c r="Q111" s="87"/>
      <c r="R111" s="87"/>
      <c r="S111" s="87"/>
      <c r="T111" s="87"/>
      <c r="U111" s="87"/>
      <c r="V111" s="70"/>
      <c r="W111" s="70"/>
      <c r="X111" s="70"/>
      <c r="Y111" s="70"/>
      <c r="Z111" s="70"/>
      <c r="AA111" s="70"/>
      <c r="AB111" s="70"/>
      <c r="AC111" s="70"/>
      <c r="AD111" s="70"/>
      <c r="AE111" s="70"/>
      <c r="AF111" s="70"/>
      <c r="AG111" s="70"/>
    </row>
    <row r="112" spans="1:33" ht="132" customHeight="1" x14ac:dyDescent="0.15">
      <c r="A112" s="75"/>
      <c r="B112" s="88" t="s">
        <v>206</v>
      </c>
      <c r="C112" s="88"/>
      <c r="D112" s="88"/>
      <c r="E112" s="88"/>
      <c r="F112" s="88"/>
      <c r="G112" s="88"/>
      <c r="H112" s="88"/>
      <c r="I112" s="88"/>
      <c r="J112" s="88"/>
      <c r="K112" s="88"/>
      <c r="L112" s="88"/>
      <c r="M112" s="88"/>
      <c r="N112" s="88"/>
      <c r="O112" s="88"/>
      <c r="P112" s="88"/>
      <c r="Q112" s="88"/>
      <c r="R112" s="88"/>
      <c r="S112" s="88"/>
      <c r="T112" s="88"/>
      <c r="U112" s="88"/>
      <c r="V112" s="72"/>
      <c r="W112" s="72"/>
      <c r="X112" s="72"/>
      <c r="Y112" s="72"/>
      <c r="Z112" s="72"/>
      <c r="AA112" s="72"/>
      <c r="AB112" s="72"/>
      <c r="AC112" s="72"/>
      <c r="AD112" s="72"/>
      <c r="AE112" s="72"/>
      <c r="AF112" s="72"/>
      <c r="AG112" s="72"/>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2B83D6C6-77D0-4B6B-A24E-8FEF3A95AD3E}">
      <formula1>$X$16:$X$18</formula1>
    </dataValidation>
    <dataValidation type="list" allowBlank="1" showInputMessage="1" showErrorMessage="1" sqref="S85:U88 R81:R88 S81:U82 H85:J88 H81:J82 G81:G88" xr:uid="{800BCD60-E0A7-401B-B100-E7416D92912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FB971E54-8948-4FC3-A62C-1C5791B79F53}">
      <formula1>"学部・学科によって、修了要件は相違する,学部・学科によって、修了要件は相違しない"</formula1>
    </dataValidation>
    <dataValidation type="list" allowBlank="1" showInputMessage="1" showErrorMessage="1" sqref="U34 U45 E34:H34 E45:H45" xr:uid="{211F1E35-1871-4F44-93C5-80BF364C61BF}">
      <formula1>"全学開講,一部開講"</formula1>
    </dataValidation>
    <dataValidation type="list" allowBlank="1" showInputMessage="1" showErrorMessage="1" sqref="R71:U77 S27:U33 H60:J66 S38:U44 G71:J77 S49:U55 H38:J44 S60:U66 H49:J55 H27:J33" xr:uid="{FEE261A2-6C6E-48BC-9352-7BFF9E45A8C4}">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87"/>
  <sheetViews>
    <sheetView view="pageBreakPreview" zoomScaleNormal="100" zoomScaleSheetLayoutView="100" workbookViewId="0">
      <selection activeCell="R87" sqref="R87:U87"/>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97</v>
      </c>
    </row>
    <row r="2" spans="1:21" ht="18" customHeight="1" x14ac:dyDescent="0.15">
      <c r="A2" s="76"/>
      <c r="B2" s="76"/>
      <c r="C2" s="76"/>
      <c r="D2" s="76"/>
      <c r="E2" s="76"/>
      <c r="F2" s="76"/>
      <c r="G2" s="76"/>
      <c r="H2" s="76"/>
      <c r="I2" s="76"/>
      <c r="J2" s="76"/>
      <c r="K2" s="76"/>
      <c r="L2" s="76"/>
      <c r="M2" s="76"/>
      <c r="N2" s="76"/>
      <c r="O2" s="76"/>
      <c r="P2" s="76"/>
      <c r="Q2" s="167" t="str">
        <f>'様式１-1　プログラムを構成する授業科目'!C2</f>
        <v>大阪国際工科専門職大学</v>
      </c>
      <c r="R2" s="167"/>
      <c r="S2" s="167"/>
    </row>
    <row r="3" spans="1:21" ht="18" customHeight="1" x14ac:dyDescent="0.15">
      <c r="A3" s="150" t="s">
        <v>46</v>
      </c>
      <c r="B3" s="150"/>
      <c r="C3" s="150"/>
      <c r="D3" s="150"/>
      <c r="E3" s="150"/>
      <c r="F3" s="150"/>
      <c r="G3" s="150"/>
      <c r="H3" s="150"/>
      <c r="I3" s="150"/>
      <c r="J3" s="150"/>
      <c r="K3" s="150"/>
      <c r="L3" s="150"/>
      <c r="M3" s="150"/>
      <c r="N3" s="150"/>
      <c r="O3" s="150"/>
      <c r="P3" s="150"/>
      <c r="Q3" s="150"/>
      <c r="R3" s="150"/>
      <c r="S3" s="150"/>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79</v>
      </c>
      <c r="B5" s="76"/>
      <c r="C5" s="147" t="s">
        <v>168</v>
      </c>
      <c r="D5" s="149"/>
      <c r="E5" s="81" t="s">
        <v>50</v>
      </c>
      <c r="F5" s="81"/>
      <c r="G5" s="81"/>
      <c r="H5" s="81"/>
      <c r="I5" s="81"/>
      <c r="J5" s="81"/>
      <c r="K5" s="81"/>
      <c r="L5" s="81"/>
      <c r="M5" s="81"/>
      <c r="N5" s="81"/>
      <c r="O5" s="81"/>
      <c r="P5" s="81"/>
      <c r="Q5" s="81"/>
      <c r="R5" s="79"/>
      <c r="S5" s="79"/>
    </row>
    <row r="6" spans="1:21" ht="7.1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117</v>
      </c>
      <c r="B7" s="76"/>
      <c r="C7" s="86"/>
      <c r="D7" s="86"/>
      <c r="E7" s="81" t="s">
        <v>118</v>
      </c>
      <c r="F7" s="84">
        <v>430</v>
      </c>
      <c r="G7" s="82" t="s">
        <v>119</v>
      </c>
      <c r="H7" s="81" t="s">
        <v>120</v>
      </c>
      <c r="I7" s="84">
        <v>45</v>
      </c>
      <c r="J7" s="82" t="s">
        <v>119</v>
      </c>
      <c r="K7" s="77" t="s">
        <v>121</v>
      </c>
      <c r="L7" s="81" t="s">
        <v>122</v>
      </c>
      <c r="M7" s="84">
        <f>F7+I7</f>
        <v>475</v>
      </c>
      <c r="N7" s="81" t="s">
        <v>1</v>
      </c>
      <c r="O7" s="82" t="s">
        <v>123</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134</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8" t="s">
        <v>43</v>
      </c>
      <c r="C11" s="178" t="s">
        <v>82</v>
      </c>
      <c r="D11" s="170" t="s">
        <v>45</v>
      </c>
      <c r="E11" s="172" t="s">
        <v>38</v>
      </c>
      <c r="F11" s="166" t="s">
        <v>111</v>
      </c>
      <c r="G11" s="166"/>
      <c r="H11" s="166" t="s">
        <v>81</v>
      </c>
      <c r="I11" s="166"/>
      <c r="J11" s="166" t="s">
        <v>47</v>
      </c>
      <c r="K11" s="166"/>
      <c r="L11" s="166" t="s">
        <v>48</v>
      </c>
      <c r="M11" s="166"/>
      <c r="N11" s="166" t="s">
        <v>91</v>
      </c>
      <c r="O11" s="166"/>
      <c r="P11" s="166" t="s">
        <v>49</v>
      </c>
      <c r="Q11" s="166"/>
      <c r="R11" s="174" t="s">
        <v>34</v>
      </c>
      <c r="S11" s="176" t="s">
        <v>31</v>
      </c>
      <c r="U11" s="2"/>
    </row>
    <row r="12" spans="1:21" ht="16.899999999999999" customHeight="1" x14ac:dyDescent="0.15">
      <c r="B12" s="169"/>
      <c r="C12" s="179"/>
      <c r="D12" s="171"/>
      <c r="E12" s="173"/>
      <c r="F12" s="64" t="s">
        <v>90</v>
      </c>
      <c r="G12" s="64" t="s">
        <v>28</v>
      </c>
      <c r="H12" s="64" t="s">
        <v>90</v>
      </c>
      <c r="I12" s="64" t="s">
        <v>28</v>
      </c>
      <c r="J12" s="64" t="s">
        <v>90</v>
      </c>
      <c r="K12" s="64" t="s">
        <v>28</v>
      </c>
      <c r="L12" s="64" t="s">
        <v>90</v>
      </c>
      <c r="M12" s="64" t="s">
        <v>28</v>
      </c>
      <c r="N12" s="64" t="s">
        <v>90</v>
      </c>
      <c r="O12" s="64" t="s">
        <v>28</v>
      </c>
      <c r="P12" s="64" t="s">
        <v>90</v>
      </c>
      <c r="Q12" s="65" t="s">
        <v>28</v>
      </c>
      <c r="R12" s="175"/>
      <c r="S12" s="177"/>
      <c r="U12" s="2"/>
    </row>
    <row r="13" spans="1:21" ht="18" customHeight="1" x14ac:dyDescent="0.15">
      <c r="A13" s="6"/>
      <c r="B13" s="66" t="s">
        <v>169</v>
      </c>
      <c r="C13" s="52">
        <v>333</v>
      </c>
      <c r="D13" s="53">
        <v>120</v>
      </c>
      <c r="E13" s="54">
        <v>480</v>
      </c>
      <c r="F13" s="54">
        <v>103</v>
      </c>
      <c r="G13" s="54">
        <v>115</v>
      </c>
      <c r="H13" s="54">
        <v>140</v>
      </c>
      <c r="I13" s="54">
        <v>89</v>
      </c>
      <c r="J13" s="54">
        <v>111</v>
      </c>
      <c r="K13" s="54">
        <v>0</v>
      </c>
      <c r="L13" s="54"/>
      <c r="M13" s="54"/>
      <c r="N13" s="54"/>
      <c r="O13" s="54"/>
      <c r="P13" s="54"/>
      <c r="Q13" s="67"/>
      <c r="R13" s="53">
        <f t="shared" ref="R13:R32" si="0">F13+H13+J13+L13+N13+P13</f>
        <v>354</v>
      </c>
      <c r="S13" s="68">
        <f t="shared" ref="S13:S33" si="1">R13/E13</f>
        <v>0.73750000000000004</v>
      </c>
    </row>
    <row r="14" spans="1:21" ht="18" customHeight="1" x14ac:dyDescent="0.15">
      <c r="A14" s="6"/>
      <c r="B14" s="11" t="s">
        <v>170</v>
      </c>
      <c r="C14" s="55">
        <v>142</v>
      </c>
      <c r="D14" s="56">
        <v>40</v>
      </c>
      <c r="E14" s="57">
        <v>160</v>
      </c>
      <c r="F14" s="58">
        <v>49</v>
      </c>
      <c r="G14" s="58">
        <v>41</v>
      </c>
      <c r="H14" s="58">
        <v>48</v>
      </c>
      <c r="I14" s="58">
        <v>42</v>
      </c>
      <c r="J14" s="58">
        <v>45</v>
      </c>
      <c r="K14" s="58">
        <v>0</v>
      </c>
      <c r="L14" s="58"/>
      <c r="M14" s="58"/>
      <c r="N14" s="58"/>
      <c r="O14" s="58"/>
      <c r="P14" s="58"/>
      <c r="Q14" s="55"/>
      <c r="R14" s="56">
        <f t="shared" si="0"/>
        <v>142</v>
      </c>
      <c r="S14" s="16">
        <f t="shared" si="1"/>
        <v>0.88749999999999996</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475</v>
      </c>
      <c r="D33" s="62">
        <f t="shared" ref="D33:R33" si="3">SUM(D13:D32)</f>
        <v>160</v>
      </c>
      <c r="E33" s="63">
        <f t="shared" si="3"/>
        <v>640</v>
      </c>
      <c r="F33" s="63">
        <f t="shared" si="3"/>
        <v>152</v>
      </c>
      <c r="G33" s="63">
        <f t="shared" ref="G33:H33" si="4">SUM(G13:G32)</f>
        <v>156</v>
      </c>
      <c r="H33" s="63">
        <f t="shared" si="4"/>
        <v>188</v>
      </c>
      <c r="I33" s="63">
        <f t="shared" ref="I33:J33" si="5">SUM(I13:I32)</f>
        <v>131</v>
      </c>
      <c r="J33" s="63">
        <f t="shared" si="5"/>
        <v>156</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496</v>
      </c>
      <c r="S33" s="9">
        <f t="shared" si="1"/>
        <v>0.77500000000000002</v>
      </c>
    </row>
    <row r="87" spans="18:21" ht="18.75" customHeight="1" x14ac:dyDescent="0.15">
      <c r="R87" s="261"/>
      <c r="S87" s="261"/>
      <c r="T87" s="261"/>
      <c r="U87" s="261"/>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U134"/>
  <sheetViews>
    <sheetView showZeros="0" view="pageBreakPreview" topLeftCell="A12" zoomScaleNormal="100" zoomScaleSheetLayoutView="100" workbookViewId="0">
      <selection activeCell="R87" sqref="R87:U87"/>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92" t="str">
        <f>'様式１-1　プログラムを構成する授業科目'!C2</f>
        <v>大阪国際工科専門職大学</v>
      </c>
      <c r="I2" s="94"/>
    </row>
    <row r="3" spans="1:9" ht="18.75" customHeight="1" x14ac:dyDescent="0.15">
      <c r="G3" s="30"/>
      <c r="H3" s="10"/>
      <c r="I3" s="10"/>
    </row>
    <row r="4" spans="1:9" ht="18.600000000000001" customHeight="1" x14ac:dyDescent="0.15">
      <c r="A4" s="181" t="s">
        <v>35</v>
      </c>
      <c r="B4" s="181"/>
      <c r="C4" s="181"/>
      <c r="D4" s="181"/>
      <c r="E4" s="181"/>
      <c r="F4" s="181"/>
      <c r="G4" s="181"/>
      <c r="H4" s="181"/>
      <c r="I4" s="181"/>
    </row>
    <row r="5" spans="1:9" ht="13.15" customHeight="1" x14ac:dyDescent="0.15">
      <c r="B5" s="3"/>
      <c r="C5" s="3"/>
      <c r="D5" s="3"/>
      <c r="E5" s="3"/>
      <c r="F5" s="3"/>
      <c r="G5" s="3"/>
      <c r="H5" s="3"/>
      <c r="I5" s="3"/>
    </row>
    <row r="6" spans="1:9" ht="18" customHeight="1" x14ac:dyDescent="0.15">
      <c r="A6" s="1" t="s">
        <v>0</v>
      </c>
      <c r="B6" s="10" t="s">
        <v>85</v>
      </c>
      <c r="C6" s="200" t="s">
        <v>86</v>
      </c>
      <c r="D6" s="200"/>
      <c r="E6" s="29">
        <v>33</v>
      </c>
      <c r="F6" s="3" t="s">
        <v>1</v>
      </c>
      <c r="G6" s="3" t="s">
        <v>2</v>
      </c>
      <c r="H6" s="29">
        <v>15</v>
      </c>
      <c r="I6" s="10" t="s">
        <v>1</v>
      </c>
    </row>
    <row r="7" spans="1:9" ht="12" customHeight="1" x14ac:dyDescent="0.15">
      <c r="C7" s="2"/>
      <c r="D7" s="2"/>
      <c r="E7" s="2"/>
      <c r="F7" s="2"/>
      <c r="G7" s="2"/>
      <c r="H7" s="2"/>
      <c r="I7" s="33"/>
    </row>
    <row r="8" spans="1:9" ht="18" customHeight="1" x14ac:dyDescent="0.15">
      <c r="A8" s="1" t="s">
        <v>3</v>
      </c>
      <c r="B8" s="10" t="s">
        <v>87</v>
      </c>
      <c r="E8" s="3"/>
      <c r="F8" s="3"/>
      <c r="G8" s="3"/>
      <c r="H8" s="29">
        <v>8</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195" t="s">
        <v>171</v>
      </c>
      <c r="D11" s="198"/>
      <c r="E11" s="199"/>
      <c r="F11" s="33"/>
      <c r="G11" s="30" t="s">
        <v>10</v>
      </c>
      <c r="H11" s="195" t="s">
        <v>172</v>
      </c>
      <c r="I11" s="199"/>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195" t="s">
        <v>173</v>
      </c>
      <c r="C14" s="196"/>
      <c r="D14" s="196"/>
      <c r="E14" s="196"/>
      <c r="F14" s="196"/>
      <c r="G14" s="196"/>
      <c r="H14" s="196"/>
      <c r="I14" s="197"/>
    </row>
    <row r="15" spans="1:9" ht="9" customHeight="1" x14ac:dyDescent="0.15">
      <c r="B15" s="3"/>
      <c r="C15" s="3"/>
      <c r="D15" s="3"/>
      <c r="E15" s="3"/>
      <c r="F15" s="3"/>
      <c r="G15" s="3"/>
      <c r="H15" s="3"/>
      <c r="I15" s="3"/>
    </row>
    <row r="16" spans="1:9" ht="18" customHeight="1" x14ac:dyDescent="0.15">
      <c r="B16" s="30" t="s">
        <v>41</v>
      </c>
      <c r="C16" s="195" t="s">
        <v>174</v>
      </c>
      <c r="D16" s="198"/>
      <c r="E16" s="199"/>
      <c r="F16" s="33"/>
      <c r="G16" s="30" t="s">
        <v>10</v>
      </c>
      <c r="H16" s="195" t="s">
        <v>175</v>
      </c>
      <c r="I16" s="199"/>
    </row>
    <row r="17" spans="1:9" ht="18" customHeight="1" x14ac:dyDescent="0.15">
      <c r="B17" s="3"/>
      <c r="C17" s="3"/>
      <c r="D17" s="3"/>
      <c r="E17" s="3"/>
      <c r="F17" s="3"/>
      <c r="G17" s="3"/>
      <c r="H17" s="3"/>
      <c r="I17" s="3"/>
    </row>
    <row r="18" spans="1:9" ht="18.75" customHeight="1" x14ac:dyDescent="0.15">
      <c r="A18" s="1" t="s">
        <v>5</v>
      </c>
      <c r="B18" s="1" t="s">
        <v>40</v>
      </c>
      <c r="I18" s="3"/>
    </row>
    <row r="19" spans="1:9" ht="39" customHeight="1" x14ac:dyDescent="0.15">
      <c r="A19" s="1"/>
      <c r="B19" s="135" t="s">
        <v>207</v>
      </c>
      <c r="C19" s="182"/>
      <c r="D19" s="182"/>
      <c r="E19" s="182"/>
      <c r="F19" s="182"/>
      <c r="G19" s="182"/>
      <c r="H19" s="182"/>
      <c r="I19" s="183"/>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84" t="s">
        <v>176</v>
      </c>
      <c r="C22" s="185"/>
      <c r="D22" s="185"/>
      <c r="E22" s="185"/>
      <c r="F22" s="185"/>
      <c r="G22" s="185"/>
      <c r="H22" s="185"/>
      <c r="I22" s="186"/>
    </row>
    <row r="23" spans="1:9" ht="18.75" customHeight="1" x14ac:dyDescent="0.15">
      <c r="A23" s="14"/>
      <c r="B23" s="187"/>
      <c r="C23" s="188"/>
      <c r="D23" s="188"/>
      <c r="E23" s="188"/>
      <c r="F23" s="188"/>
      <c r="G23" s="188"/>
      <c r="H23" s="188"/>
      <c r="I23" s="189"/>
    </row>
    <row r="24" spans="1:9" ht="18.75" customHeight="1" x14ac:dyDescent="0.15">
      <c r="A24" s="14"/>
      <c r="B24" s="187"/>
      <c r="C24" s="188"/>
      <c r="D24" s="188"/>
      <c r="E24" s="188"/>
      <c r="F24" s="188"/>
      <c r="G24" s="188"/>
      <c r="H24" s="188"/>
      <c r="I24" s="189"/>
    </row>
    <row r="25" spans="1:9" ht="18.75" customHeight="1" x14ac:dyDescent="0.15">
      <c r="A25" s="14"/>
      <c r="B25" s="187"/>
      <c r="C25" s="188"/>
      <c r="D25" s="188"/>
      <c r="E25" s="188"/>
      <c r="F25" s="188"/>
      <c r="G25" s="188"/>
      <c r="H25" s="188"/>
      <c r="I25" s="189"/>
    </row>
    <row r="26" spans="1:9" ht="18.75" customHeight="1" x14ac:dyDescent="0.15">
      <c r="A26" s="14"/>
      <c r="B26" s="187"/>
      <c r="C26" s="188"/>
      <c r="D26" s="188"/>
      <c r="E26" s="188"/>
      <c r="F26" s="188"/>
      <c r="G26" s="188"/>
      <c r="H26" s="188"/>
      <c r="I26" s="189"/>
    </row>
    <row r="27" spans="1:9" ht="18.75" customHeight="1" x14ac:dyDescent="0.15">
      <c r="A27" s="14"/>
      <c r="B27" s="187"/>
      <c r="C27" s="188"/>
      <c r="D27" s="188"/>
      <c r="E27" s="188"/>
      <c r="F27" s="188"/>
      <c r="G27" s="188"/>
      <c r="H27" s="188"/>
      <c r="I27" s="189"/>
    </row>
    <row r="28" spans="1:9" ht="18.75" customHeight="1" x14ac:dyDescent="0.15">
      <c r="A28" s="14"/>
      <c r="B28" s="187"/>
      <c r="C28" s="188"/>
      <c r="D28" s="188"/>
      <c r="E28" s="188"/>
      <c r="F28" s="188"/>
      <c r="G28" s="188"/>
      <c r="H28" s="188"/>
      <c r="I28" s="189"/>
    </row>
    <row r="29" spans="1:9" ht="18.75" customHeight="1" x14ac:dyDescent="0.15">
      <c r="A29" s="14"/>
      <c r="B29" s="187"/>
      <c r="C29" s="188"/>
      <c r="D29" s="188"/>
      <c r="E29" s="188"/>
      <c r="F29" s="188"/>
      <c r="G29" s="188"/>
      <c r="H29" s="188"/>
      <c r="I29" s="189"/>
    </row>
    <row r="30" spans="1:9" ht="18.75" customHeight="1" x14ac:dyDescent="0.15">
      <c r="A30" s="14"/>
      <c r="B30" s="190"/>
      <c r="C30" s="191"/>
      <c r="D30" s="191"/>
      <c r="E30" s="191"/>
      <c r="F30" s="191"/>
      <c r="G30" s="191"/>
      <c r="H30" s="191"/>
      <c r="I30" s="189"/>
    </row>
    <row r="31" spans="1:9" ht="18.75" customHeight="1" x14ac:dyDescent="0.15">
      <c r="A31" s="14"/>
      <c r="B31" s="190"/>
      <c r="C31" s="191"/>
      <c r="D31" s="191"/>
      <c r="E31" s="191"/>
      <c r="F31" s="191"/>
      <c r="G31" s="191"/>
      <c r="H31" s="191"/>
      <c r="I31" s="189"/>
    </row>
    <row r="32" spans="1:9" ht="18.75" customHeight="1" x14ac:dyDescent="0.15">
      <c r="A32" s="14"/>
      <c r="B32" s="192"/>
      <c r="C32" s="193"/>
      <c r="D32" s="193"/>
      <c r="E32" s="193"/>
      <c r="F32" s="193"/>
      <c r="G32" s="193"/>
      <c r="H32" s="193"/>
      <c r="I32" s="19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4" t="s">
        <v>177</v>
      </c>
      <c r="C35" s="185"/>
      <c r="D35" s="185"/>
      <c r="E35" s="185"/>
      <c r="F35" s="185"/>
      <c r="G35" s="185"/>
      <c r="H35" s="185"/>
      <c r="I35" s="186"/>
    </row>
    <row r="36" spans="1:9" ht="18.75" customHeight="1" x14ac:dyDescent="0.15">
      <c r="A36" s="14"/>
      <c r="B36" s="190"/>
      <c r="C36" s="191"/>
      <c r="D36" s="191"/>
      <c r="E36" s="191"/>
      <c r="F36" s="191"/>
      <c r="G36" s="191"/>
      <c r="H36" s="191"/>
      <c r="I36" s="189"/>
    </row>
    <row r="37" spans="1:9" ht="18.75" customHeight="1" x14ac:dyDescent="0.15">
      <c r="A37" s="14"/>
      <c r="B37" s="190"/>
      <c r="C37" s="191"/>
      <c r="D37" s="191"/>
      <c r="E37" s="191"/>
      <c r="F37" s="191"/>
      <c r="G37" s="191"/>
      <c r="H37" s="191"/>
      <c r="I37" s="189"/>
    </row>
    <row r="38" spans="1:9" ht="18.75" customHeight="1" x14ac:dyDescent="0.15">
      <c r="A38" s="14"/>
      <c r="B38" s="190"/>
      <c r="C38" s="191"/>
      <c r="D38" s="191"/>
      <c r="E38" s="191"/>
      <c r="F38" s="191"/>
      <c r="G38" s="191"/>
      <c r="H38" s="191"/>
      <c r="I38" s="189"/>
    </row>
    <row r="39" spans="1:9" ht="18.75" customHeight="1" x14ac:dyDescent="0.15">
      <c r="A39" s="14"/>
      <c r="B39" s="190"/>
      <c r="C39" s="191"/>
      <c r="D39" s="191"/>
      <c r="E39" s="191"/>
      <c r="F39" s="191"/>
      <c r="G39" s="191"/>
      <c r="H39" s="191"/>
      <c r="I39" s="189"/>
    </row>
    <row r="40" spans="1:9" ht="18.75" customHeight="1" x14ac:dyDescent="0.15">
      <c r="A40" s="14"/>
      <c r="B40" s="190"/>
      <c r="C40" s="191"/>
      <c r="D40" s="191"/>
      <c r="E40" s="191"/>
      <c r="F40" s="191"/>
      <c r="G40" s="191"/>
      <c r="H40" s="191"/>
      <c r="I40" s="189"/>
    </row>
    <row r="41" spans="1:9" ht="18.75" customHeight="1" x14ac:dyDescent="0.15">
      <c r="A41" s="14"/>
      <c r="B41" s="190"/>
      <c r="C41" s="191"/>
      <c r="D41" s="191"/>
      <c r="E41" s="191"/>
      <c r="F41" s="191"/>
      <c r="G41" s="191"/>
      <c r="H41" s="191"/>
      <c r="I41" s="189"/>
    </row>
    <row r="42" spans="1:9" ht="18.75" customHeight="1" x14ac:dyDescent="0.15">
      <c r="A42" s="14"/>
      <c r="B42" s="190"/>
      <c r="C42" s="191"/>
      <c r="D42" s="191"/>
      <c r="E42" s="191"/>
      <c r="F42" s="191"/>
      <c r="G42" s="191"/>
      <c r="H42" s="191"/>
      <c r="I42" s="189"/>
    </row>
    <row r="43" spans="1:9" ht="18.75" customHeight="1" x14ac:dyDescent="0.15">
      <c r="A43" s="14"/>
      <c r="B43" s="190"/>
      <c r="C43" s="191"/>
      <c r="D43" s="191"/>
      <c r="E43" s="191"/>
      <c r="F43" s="191"/>
      <c r="G43" s="191"/>
      <c r="H43" s="191"/>
      <c r="I43" s="189"/>
    </row>
    <row r="44" spans="1:9" ht="18.75" customHeight="1" x14ac:dyDescent="0.15">
      <c r="A44" s="14"/>
      <c r="B44" s="190"/>
      <c r="C44" s="191"/>
      <c r="D44" s="191"/>
      <c r="E44" s="191"/>
      <c r="F44" s="191"/>
      <c r="G44" s="191"/>
      <c r="H44" s="191"/>
      <c r="I44" s="189"/>
    </row>
    <row r="45" spans="1:9" ht="18.75" customHeight="1" x14ac:dyDescent="0.15">
      <c r="A45" s="14"/>
      <c r="B45" s="190"/>
      <c r="C45" s="191"/>
      <c r="D45" s="191"/>
      <c r="E45" s="191"/>
      <c r="F45" s="191"/>
      <c r="G45" s="191"/>
      <c r="H45" s="191"/>
      <c r="I45" s="189"/>
    </row>
    <row r="46" spans="1:9" ht="18.75" customHeight="1" x14ac:dyDescent="0.15">
      <c r="A46" s="14"/>
      <c r="B46" s="192"/>
      <c r="C46" s="193"/>
      <c r="D46" s="193"/>
      <c r="E46" s="193"/>
      <c r="F46" s="193"/>
      <c r="G46" s="193"/>
      <c r="H46" s="193"/>
      <c r="I46" s="194"/>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223">
        <f>'様式２ 履修者等数の実績'!S33</f>
        <v>0.77500000000000002</v>
      </c>
      <c r="D49" s="224"/>
      <c r="E49" s="34" t="s">
        <v>63</v>
      </c>
      <c r="F49" s="223">
        <v>1</v>
      </c>
      <c r="G49" s="224"/>
      <c r="H49" s="34" t="s">
        <v>64</v>
      </c>
      <c r="I49" s="35">
        <v>1</v>
      </c>
      <c r="J49" s="1"/>
      <c r="M49" s="1"/>
      <c r="N49" s="36"/>
    </row>
    <row r="50" spans="1:15" s="3" customFormat="1" ht="18.75" customHeight="1" x14ac:dyDescent="0.15">
      <c r="B50" s="37" t="s">
        <v>84</v>
      </c>
      <c r="C50" s="205">
        <v>1</v>
      </c>
      <c r="D50" s="206"/>
      <c r="E50" s="37" t="s">
        <v>128</v>
      </c>
      <c r="F50" s="205">
        <v>1</v>
      </c>
      <c r="G50" s="206"/>
      <c r="H50" s="37" t="s">
        <v>65</v>
      </c>
      <c r="I50" s="38">
        <f>'様式２ 履修者等数の実績'!E33</f>
        <v>640</v>
      </c>
      <c r="J50" s="1"/>
      <c r="M50" s="1"/>
      <c r="N50" s="36"/>
    </row>
    <row r="51" spans="1:15" ht="18.75" customHeight="1" x14ac:dyDescent="0.15">
      <c r="A51" s="1"/>
      <c r="B51" s="202" t="s">
        <v>66</v>
      </c>
      <c r="C51" s="203"/>
      <c r="D51" s="203"/>
      <c r="E51" s="203"/>
      <c r="F51" s="203"/>
      <c r="G51" s="203"/>
      <c r="H51" s="203"/>
      <c r="I51" s="204"/>
      <c r="N51" s="36"/>
      <c r="O51" s="3"/>
    </row>
    <row r="52" spans="1:15" ht="18.75" customHeight="1" x14ac:dyDescent="0.15">
      <c r="A52" s="1"/>
      <c r="B52" s="225" t="s">
        <v>178</v>
      </c>
      <c r="C52" s="226"/>
      <c r="D52" s="226"/>
      <c r="E52" s="226"/>
      <c r="F52" s="226"/>
      <c r="G52" s="226"/>
      <c r="H52" s="226"/>
      <c r="I52" s="227"/>
      <c r="N52" s="36"/>
      <c r="O52" s="3"/>
    </row>
    <row r="53" spans="1:15" ht="18.75" customHeight="1" x14ac:dyDescent="0.15">
      <c r="A53" s="1"/>
      <c r="B53" s="228"/>
      <c r="C53" s="229"/>
      <c r="D53" s="229"/>
      <c r="E53" s="229"/>
      <c r="F53" s="229"/>
      <c r="G53" s="229"/>
      <c r="H53" s="229"/>
      <c r="I53" s="230"/>
      <c r="N53" s="36"/>
      <c r="O53" s="3"/>
    </row>
    <row r="54" spans="1:15" ht="18.75" customHeight="1" x14ac:dyDescent="0.15">
      <c r="A54" s="1"/>
      <c r="B54" s="228"/>
      <c r="C54" s="229"/>
      <c r="D54" s="229"/>
      <c r="E54" s="229"/>
      <c r="F54" s="229"/>
      <c r="G54" s="229"/>
      <c r="H54" s="229"/>
      <c r="I54" s="230"/>
    </row>
    <row r="55" spans="1:15" ht="18.75" customHeight="1" x14ac:dyDescent="0.15">
      <c r="A55" s="1"/>
      <c r="B55" s="228"/>
      <c r="C55" s="229"/>
      <c r="D55" s="229"/>
      <c r="E55" s="229"/>
      <c r="F55" s="229"/>
      <c r="G55" s="229"/>
      <c r="H55" s="229"/>
      <c r="I55" s="230"/>
    </row>
    <row r="56" spans="1:15" ht="18.75" customHeight="1" x14ac:dyDescent="0.15">
      <c r="A56" s="1"/>
      <c r="B56" s="228"/>
      <c r="C56" s="229"/>
      <c r="D56" s="229"/>
      <c r="E56" s="229"/>
      <c r="F56" s="229"/>
      <c r="G56" s="229"/>
      <c r="H56" s="229"/>
      <c r="I56" s="230"/>
    </row>
    <row r="57" spans="1:15" ht="18.75" customHeight="1" x14ac:dyDescent="0.15">
      <c r="A57" s="1"/>
      <c r="B57" s="228"/>
      <c r="C57" s="229"/>
      <c r="D57" s="229"/>
      <c r="E57" s="229"/>
      <c r="F57" s="229"/>
      <c r="G57" s="229"/>
      <c r="H57" s="229"/>
      <c r="I57" s="230"/>
    </row>
    <row r="58" spans="1:15" ht="18.75" customHeight="1" x14ac:dyDescent="0.15">
      <c r="A58" s="1"/>
      <c r="B58" s="228"/>
      <c r="C58" s="229"/>
      <c r="D58" s="229"/>
      <c r="E58" s="229"/>
      <c r="F58" s="229"/>
      <c r="G58" s="229"/>
      <c r="H58" s="229"/>
      <c r="I58" s="230"/>
    </row>
    <row r="59" spans="1:15" ht="18.75" customHeight="1" x14ac:dyDescent="0.15">
      <c r="A59" s="1"/>
      <c r="B59" s="228"/>
      <c r="C59" s="229"/>
      <c r="D59" s="229"/>
      <c r="E59" s="229"/>
      <c r="F59" s="229"/>
      <c r="G59" s="229"/>
      <c r="H59" s="229"/>
      <c r="I59" s="230"/>
    </row>
    <row r="60" spans="1:15" ht="18.75" customHeight="1" x14ac:dyDescent="0.15">
      <c r="A60" s="1"/>
      <c r="B60" s="228"/>
      <c r="C60" s="229"/>
      <c r="D60" s="229"/>
      <c r="E60" s="229"/>
      <c r="F60" s="229"/>
      <c r="G60" s="229"/>
      <c r="H60" s="229"/>
      <c r="I60" s="230"/>
    </row>
    <row r="61" spans="1:15" ht="18.75" customHeight="1" x14ac:dyDescent="0.15">
      <c r="A61" s="1"/>
      <c r="B61" s="228"/>
      <c r="C61" s="229"/>
      <c r="D61" s="229"/>
      <c r="E61" s="229"/>
      <c r="F61" s="229"/>
      <c r="G61" s="229"/>
      <c r="H61" s="229"/>
      <c r="I61" s="230"/>
    </row>
    <row r="62" spans="1:15" ht="18.75" customHeight="1" x14ac:dyDescent="0.15">
      <c r="A62" s="1"/>
      <c r="B62" s="228"/>
      <c r="C62" s="229"/>
      <c r="D62" s="229"/>
      <c r="E62" s="229"/>
      <c r="F62" s="229"/>
      <c r="G62" s="229"/>
      <c r="H62" s="229"/>
      <c r="I62" s="230"/>
    </row>
    <row r="63" spans="1:15" ht="18.75" customHeight="1" x14ac:dyDescent="0.15">
      <c r="A63" s="1"/>
      <c r="B63" s="231"/>
      <c r="C63" s="232"/>
      <c r="D63" s="232"/>
      <c r="E63" s="232"/>
      <c r="F63" s="232"/>
      <c r="G63" s="232"/>
      <c r="H63" s="232"/>
      <c r="I63" s="233"/>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07" t="s">
        <v>179</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7" t="s">
        <v>180</v>
      </c>
      <c r="C80" s="208"/>
      <c r="D80" s="208"/>
      <c r="E80" s="208"/>
      <c r="F80" s="208"/>
      <c r="G80" s="208"/>
      <c r="H80" s="208"/>
      <c r="I80" s="216"/>
    </row>
    <row r="81" spans="1:21" ht="18.75" customHeight="1" x14ac:dyDescent="0.15">
      <c r="A81" s="1"/>
      <c r="B81" s="217"/>
      <c r="C81" s="218"/>
      <c r="D81" s="218"/>
      <c r="E81" s="218"/>
      <c r="F81" s="218"/>
      <c r="G81" s="218"/>
      <c r="H81" s="218"/>
      <c r="I81" s="219"/>
    </row>
    <row r="82" spans="1:21" ht="18.75" customHeight="1" x14ac:dyDescent="0.15">
      <c r="A82" s="1"/>
      <c r="B82" s="217"/>
      <c r="C82" s="218"/>
      <c r="D82" s="218"/>
      <c r="E82" s="218"/>
      <c r="F82" s="218"/>
      <c r="G82" s="218"/>
      <c r="H82" s="218"/>
      <c r="I82" s="219"/>
    </row>
    <row r="83" spans="1:21" ht="18.75" customHeight="1" x14ac:dyDescent="0.15">
      <c r="A83" s="1"/>
      <c r="B83" s="217"/>
      <c r="C83" s="218"/>
      <c r="D83" s="218"/>
      <c r="E83" s="218"/>
      <c r="F83" s="218"/>
      <c r="G83" s="218"/>
      <c r="H83" s="218"/>
      <c r="I83" s="219"/>
    </row>
    <row r="84" spans="1:21" ht="18.75" customHeight="1" x14ac:dyDescent="0.15">
      <c r="A84" s="1"/>
      <c r="B84" s="217"/>
      <c r="C84" s="218"/>
      <c r="D84" s="218"/>
      <c r="E84" s="218"/>
      <c r="F84" s="218"/>
      <c r="G84" s="218"/>
      <c r="H84" s="218"/>
      <c r="I84" s="219"/>
    </row>
    <row r="85" spans="1:21" ht="18.75" customHeight="1" x14ac:dyDescent="0.15">
      <c r="A85" s="1"/>
      <c r="B85" s="217"/>
      <c r="C85" s="218"/>
      <c r="D85" s="218"/>
      <c r="E85" s="218"/>
      <c r="F85" s="218"/>
      <c r="G85" s="218"/>
      <c r="H85" s="218"/>
      <c r="I85" s="219"/>
    </row>
    <row r="86" spans="1:21" ht="18.75" customHeight="1" x14ac:dyDescent="0.15">
      <c r="A86" s="1"/>
      <c r="B86" s="217"/>
      <c r="C86" s="218"/>
      <c r="D86" s="218"/>
      <c r="E86" s="218"/>
      <c r="F86" s="218"/>
      <c r="G86" s="218"/>
      <c r="H86" s="218"/>
      <c r="I86" s="219"/>
    </row>
    <row r="87" spans="1:21" ht="18.75" customHeight="1" x14ac:dyDescent="0.15">
      <c r="A87" s="1"/>
      <c r="B87" s="217"/>
      <c r="C87" s="218"/>
      <c r="D87" s="218"/>
      <c r="E87" s="218"/>
      <c r="F87" s="218"/>
      <c r="G87" s="218"/>
      <c r="H87" s="218"/>
      <c r="I87" s="219"/>
      <c r="R87" s="261"/>
      <c r="S87" s="261"/>
      <c r="T87" s="261"/>
      <c r="U87" s="261"/>
    </row>
    <row r="88" spans="1:21" ht="18.75" customHeight="1" x14ac:dyDescent="0.15">
      <c r="A88" s="1"/>
      <c r="B88" s="217"/>
      <c r="C88" s="218"/>
      <c r="D88" s="218"/>
      <c r="E88" s="218"/>
      <c r="F88" s="218"/>
      <c r="G88" s="218"/>
      <c r="H88" s="218"/>
      <c r="I88" s="219"/>
    </row>
    <row r="89" spans="1:21" ht="18.75" customHeight="1" x14ac:dyDescent="0.15">
      <c r="A89" s="1"/>
      <c r="B89" s="217"/>
      <c r="C89" s="218"/>
      <c r="D89" s="218"/>
      <c r="E89" s="218"/>
      <c r="F89" s="218"/>
      <c r="G89" s="218"/>
      <c r="H89" s="218"/>
      <c r="I89" s="219"/>
    </row>
    <row r="90" spans="1:21" ht="18.75" customHeight="1" x14ac:dyDescent="0.15">
      <c r="A90" s="4"/>
      <c r="B90" s="217"/>
      <c r="C90" s="218"/>
      <c r="D90" s="218"/>
      <c r="E90" s="218"/>
      <c r="F90" s="218"/>
      <c r="G90" s="218"/>
      <c r="H90" s="218"/>
      <c r="I90" s="219"/>
    </row>
    <row r="91" spans="1:21" ht="18.75" customHeight="1" x14ac:dyDescent="0.15">
      <c r="A91" s="4"/>
      <c r="B91" s="220"/>
      <c r="C91" s="221"/>
      <c r="D91" s="221"/>
      <c r="E91" s="221"/>
      <c r="F91" s="221"/>
      <c r="G91" s="221"/>
      <c r="H91" s="221"/>
      <c r="I91" s="222"/>
    </row>
    <row r="92" spans="1:21" ht="7.5" customHeight="1" x14ac:dyDescent="0.15">
      <c r="A92" s="4"/>
      <c r="B92" s="4"/>
      <c r="C92" s="4"/>
      <c r="D92" s="4"/>
      <c r="E92" s="4"/>
      <c r="F92" s="4"/>
      <c r="G92" s="4"/>
      <c r="H92" s="4"/>
      <c r="I92" s="4"/>
    </row>
    <row r="93" spans="1:21" ht="18.75" customHeight="1" x14ac:dyDescent="0.15">
      <c r="A93" s="1" t="s">
        <v>42</v>
      </c>
      <c r="B93" s="1" t="s">
        <v>12</v>
      </c>
    </row>
    <row r="94" spans="1:21" ht="18.75" customHeight="1" x14ac:dyDescent="0.15">
      <c r="A94" s="1"/>
      <c r="B94" s="184" t="s">
        <v>181</v>
      </c>
      <c r="C94" s="185"/>
      <c r="D94" s="185"/>
      <c r="E94" s="185"/>
      <c r="F94" s="185"/>
      <c r="G94" s="185"/>
      <c r="H94" s="185"/>
      <c r="I94" s="186"/>
    </row>
    <row r="95" spans="1:21" ht="18.75" customHeight="1" x14ac:dyDescent="0.15">
      <c r="A95" s="1"/>
      <c r="B95" s="190"/>
      <c r="C95" s="191"/>
      <c r="D95" s="191"/>
      <c r="E95" s="191"/>
      <c r="F95" s="191"/>
      <c r="G95" s="191"/>
      <c r="H95" s="191"/>
      <c r="I95" s="189"/>
    </row>
    <row r="96" spans="1:21" ht="18.75" customHeight="1" x14ac:dyDescent="0.15">
      <c r="A96" s="1"/>
      <c r="B96" s="190"/>
      <c r="C96" s="191"/>
      <c r="D96" s="191"/>
      <c r="E96" s="191"/>
      <c r="F96" s="191"/>
      <c r="G96" s="191"/>
      <c r="H96" s="191"/>
      <c r="I96" s="189"/>
    </row>
    <row r="97" spans="1:9" ht="18.75" customHeight="1" x14ac:dyDescent="0.15">
      <c r="A97" s="1"/>
      <c r="B97" s="190"/>
      <c r="C97" s="191"/>
      <c r="D97" s="191"/>
      <c r="E97" s="191"/>
      <c r="F97" s="191"/>
      <c r="G97" s="191"/>
      <c r="H97" s="191"/>
      <c r="I97" s="189"/>
    </row>
    <row r="98" spans="1:9" ht="18.75" customHeight="1" x14ac:dyDescent="0.15">
      <c r="A98" s="1"/>
      <c r="B98" s="190"/>
      <c r="C98" s="191"/>
      <c r="D98" s="191"/>
      <c r="E98" s="191"/>
      <c r="F98" s="191"/>
      <c r="G98" s="191"/>
      <c r="H98" s="191"/>
      <c r="I98" s="189"/>
    </row>
    <row r="99" spans="1:9" ht="18.75" customHeight="1" x14ac:dyDescent="0.15">
      <c r="A99" s="1"/>
      <c r="B99" s="190"/>
      <c r="C99" s="191"/>
      <c r="D99" s="191"/>
      <c r="E99" s="191"/>
      <c r="F99" s="191"/>
      <c r="G99" s="191"/>
      <c r="H99" s="191"/>
      <c r="I99" s="189"/>
    </row>
    <row r="100" spans="1:9" ht="18.75" customHeight="1" x14ac:dyDescent="0.15">
      <c r="A100" s="1"/>
      <c r="B100" s="190"/>
      <c r="C100" s="191"/>
      <c r="D100" s="191"/>
      <c r="E100" s="191"/>
      <c r="F100" s="191"/>
      <c r="G100" s="191"/>
      <c r="H100" s="191"/>
      <c r="I100" s="189"/>
    </row>
    <row r="101" spans="1:9" ht="18.75" customHeight="1" x14ac:dyDescent="0.15">
      <c r="A101" s="1"/>
      <c r="B101" s="190"/>
      <c r="C101" s="191"/>
      <c r="D101" s="191"/>
      <c r="E101" s="191"/>
      <c r="F101" s="191"/>
      <c r="G101" s="191"/>
      <c r="H101" s="191"/>
      <c r="I101" s="189"/>
    </row>
    <row r="102" spans="1:9" ht="18.75" customHeight="1" x14ac:dyDescent="0.15">
      <c r="A102" s="1"/>
      <c r="B102" s="190"/>
      <c r="C102" s="191"/>
      <c r="D102" s="191"/>
      <c r="E102" s="191"/>
      <c r="F102" s="191"/>
      <c r="G102" s="191"/>
      <c r="H102" s="191"/>
      <c r="I102" s="189"/>
    </row>
    <row r="103" spans="1:9" ht="18.75" customHeight="1" x14ac:dyDescent="0.15">
      <c r="A103" s="1"/>
      <c r="B103" s="190"/>
      <c r="C103" s="191"/>
      <c r="D103" s="191"/>
      <c r="E103" s="191"/>
      <c r="F103" s="191"/>
      <c r="G103" s="191"/>
      <c r="H103" s="191"/>
      <c r="I103" s="189"/>
    </row>
    <row r="104" spans="1:9" ht="18.75" customHeight="1" x14ac:dyDescent="0.15">
      <c r="A104" s="1"/>
      <c r="B104" s="190"/>
      <c r="C104" s="191"/>
      <c r="D104" s="191"/>
      <c r="E104" s="191"/>
      <c r="F104" s="191"/>
      <c r="G104" s="191"/>
      <c r="H104" s="191"/>
      <c r="I104" s="189"/>
    </row>
    <row r="105" spans="1:9" ht="18.75" customHeight="1" x14ac:dyDescent="0.15">
      <c r="A105" s="4"/>
      <c r="B105" s="192"/>
      <c r="C105" s="193"/>
      <c r="D105" s="193"/>
      <c r="E105" s="193"/>
      <c r="F105" s="193"/>
      <c r="G105" s="193"/>
      <c r="H105" s="193"/>
      <c r="I105" s="194"/>
    </row>
    <row r="106" spans="1:9" ht="7.5" customHeight="1" x14ac:dyDescent="0.15">
      <c r="A106" s="4"/>
      <c r="B106" s="4"/>
      <c r="C106" s="4"/>
      <c r="D106" s="4"/>
      <c r="E106" s="4"/>
      <c r="F106" s="4"/>
      <c r="G106" s="4"/>
      <c r="H106" s="4"/>
      <c r="I106" s="4"/>
    </row>
    <row r="107" spans="1:9" ht="18.75" customHeight="1" x14ac:dyDescent="0.15">
      <c r="A107" s="1" t="s">
        <v>29</v>
      </c>
      <c r="B107" s="201" t="s">
        <v>44</v>
      </c>
      <c r="C107" s="201"/>
      <c r="D107" s="201"/>
      <c r="E107" s="201"/>
      <c r="F107" s="201"/>
      <c r="G107" s="201"/>
      <c r="H107" s="201"/>
      <c r="I107" s="201"/>
    </row>
    <row r="108" spans="1:9" ht="18.75" customHeight="1" x14ac:dyDescent="0.15">
      <c r="A108" s="4"/>
      <c r="B108" s="184" t="s">
        <v>182</v>
      </c>
      <c r="C108" s="185"/>
      <c r="D108" s="185"/>
      <c r="E108" s="185"/>
      <c r="F108" s="185"/>
      <c r="G108" s="185"/>
      <c r="H108" s="185"/>
      <c r="I108" s="186"/>
    </row>
    <row r="109" spans="1:9" ht="18.75" customHeight="1" x14ac:dyDescent="0.15">
      <c r="A109" s="4"/>
      <c r="B109" s="190"/>
      <c r="C109" s="191"/>
      <c r="D109" s="191"/>
      <c r="E109" s="191"/>
      <c r="F109" s="191"/>
      <c r="G109" s="191"/>
      <c r="H109" s="191"/>
      <c r="I109" s="189"/>
    </row>
    <row r="110" spans="1:9" ht="18.75" customHeight="1" x14ac:dyDescent="0.15">
      <c r="A110" s="4"/>
      <c r="B110" s="190"/>
      <c r="C110" s="191"/>
      <c r="D110" s="191"/>
      <c r="E110" s="191"/>
      <c r="F110" s="191"/>
      <c r="G110" s="191"/>
      <c r="H110" s="191"/>
      <c r="I110" s="189"/>
    </row>
    <row r="111" spans="1:9" ht="18.75" customHeight="1" x14ac:dyDescent="0.15">
      <c r="A111" s="4"/>
      <c r="B111" s="190"/>
      <c r="C111" s="191"/>
      <c r="D111" s="191"/>
      <c r="E111" s="191"/>
      <c r="F111" s="191"/>
      <c r="G111" s="191"/>
      <c r="H111" s="191"/>
      <c r="I111" s="189"/>
    </row>
    <row r="112" spans="1:9" ht="18.75" customHeight="1" x14ac:dyDescent="0.15">
      <c r="A112" s="4"/>
      <c r="B112" s="190"/>
      <c r="C112" s="191"/>
      <c r="D112" s="191"/>
      <c r="E112" s="191"/>
      <c r="F112" s="191"/>
      <c r="G112" s="191"/>
      <c r="H112" s="191"/>
      <c r="I112" s="189"/>
    </row>
    <row r="113" spans="1:9" ht="18.75" customHeight="1" x14ac:dyDescent="0.15">
      <c r="A113" s="4"/>
      <c r="B113" s="190"/>
      <c r="C113" s="191"/>
      <c r="D113" s="191"/>
      <c r="E113" s="191"/>
      <c r="F113" s="191"/>
      <c r="G113" s="191"/>
      <c r="H113" s="191"/>
      <c r="I113" s="189"/>
    </row>
    <row r="114" spans="1:9" ht="18.75" customHeight="1" x14ac:dyDescent="0.15">
      <c r="A114" s="4"/>
      <c r="B114" s="190"/>
      <c r="C114" s="191"/>
      <c r="D114" s="191"/>
      <c r="E114" s="191"/>
      <c r="F114" s="191"/>
      <c r="G114" s="191"/>
      <c r="H114" s="191"/>
      <c r="I114" s="189"/>
    </row>
    <row r="115" spans="1:9" ht="18.75" customHeight="1" x14ac:dyDescent="0.15">
      <c r="A115" s="4"/>
      <c r="B115" s="190"/>
      <c r="C115" s="191"/>
      <c r="D115" s="191"/>
      <c r="E115" s="191"/>
      <c r="F115" s="191"/>
      <c r="G115" s="191"/>
      <c r="H115" s="191"/>
      <c r="I115" s="189"/>
    </row>
    <row r="116" spans="1:9" ht="18.75" customHeight="1" x14ac:dyDescent="0.15">
      <c r="A116" s="4"/>
      <c r="B116" s="190"/>
      <c r="C116" s="191"/>
      <c r="D116" s="191"/>
      <c r="E116" s="191"/>
      <c r="F116" s="191"/>
      <c r="G116" s="191"/>
      <c r="H116" s="191"/>
      <c r="I116" s="189"/>
    </row>
    <row r="117" spans="1:9" ht="18.75" customHeight="1" x14ac:dyDescent="0.15">
      <c r="A117" s="4"/>
      <c r="B117" s="190"/>
      <c r="C117" s="191"/>
      <c r="D117" s="191"/>
      <c r="E117" s="191"/>
      <c r="F117" s="191"/>
      <c r="G117" s="191"/>
      <c r="H117" s="191"/>
      <c r="I117" s="189"/>
    </row>
    <row r="118" spans="1:9" ht="18.75" customHeight="1" x14ac:dyDescent="0.15">
      <c r="A118" s="4"/>
      <c r="B118" s="190"/>
      <c r="C118" s="191"/>
      <c r="D118" s="191"/>
      <c r="E118" s="191"/>
      <c r="F118" s="191"/>
      <c r="G118" s="191"/>
      <c r="H118" s="191"/>
      <c r="I118" s="189"/>
    </row>
    <row r="119" spans="1:9" ht="18.75" customHeight="1" x14ac:dyDescent="0.15">
      <c r="A119" s="4"/>
      <c r="B119" s="192"/>
      <c r="C119" s="193"/>
      <c r="D119" s="193"/>
      <c r="E119" s="193"/>
      <c r="F119" s="193"/>
      <c r="G119" s="193"/>
      <c r="H119" s="193"/>
      <c r="I119" s="194"/>
    </row>
    <row r="120" spans="1:9" ht="7.5" customHeight="1" x14ac:dyDescent="0.15">
      <c r="A120" s="4"/>
      <c r="B120" s="39"/>
      <c r="C120" s="39"/>
      <c r="D120" s="39"/>
      <c r="E120" s="39"/>
      <c r="F120" s="39"/>
      <c r="G120" s="39"/>
      <c r="H120" s="39"/>
      <c r="I120" s="39"/>
    </row>
    <row r="121" spans="1:9" ht="18.75" customHeight="1" x14ac:dyDescent="0.15">
      <c r="A121" s="69"/>
      <c r="B121" s="180"/>
      <c r="C121" s="180"/>
      <c r="D121" s="180"/>
      <c r="E121" s="180"/>
      <c r="F121" s="180"/>
      <c r="G121" s="180"/>
      <c r="H121" s="180"/>
      <c r="I121" s="180"/>
    </row>
    <row r="122" spans="1:9" ht="18.75" customHeight="1" x14ac:dyDescent="0.15">
      <c r="A122" s="69"/>
      <c r="B122" s="180"/>
      <c r="C122" s="180"/>
      <c r="D122" s="180"/>
      <c r="E122" s="180"/>
      <c r="F122" s="180"/>
      <c r="G122" s="180"/>
      <c r="H122" s="180"/>
      <c r="I122" s="180"/>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59055118110236227" bottom="0.19685039370078741"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U87"/>
  <sheetViews>
    <sheetView showZeros="0" view="pageBreakPreview" zoomScale="55" zoomScaleNormal="100" zoomScaleSheetLayoutView="55" workbookViewId="0">
      <selection activeCell="R87" sqref="R87:U87"/>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'様式１-1　プログラムを構成する授業科目'!C2</f>
        <v>大阪国際工科専門職大学</v>
      </c>
    </row>
    <row r="3" spans="1:9" ht="18.75" customHeight="1" x14ac:dyDescent="0.15">
      <c r="A3" s="181" t="s">
        <v>27</v>
      </c>
      <c r="B3" s="181"/>
      <c r="C3" s="181"/>
      <c r="D3" s="181"/>
      <c r="E3" s="181"/>
      <c r="F3" s="181"/>
      <c r="G3" s="181"/>
      <c r="H3" s="181"/>
      <c r="I3" s="181"/>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195" t="s">
        <v>183</v>
      </c>
      <c r="C6" s="241"/>
      <c r="D6" s="241"/>
      <c r="E6" s="241"/>
      <c r="F6" s="241"/>
      <c r="G6" s="241"/>
      <c r="H6" s="242"/>
      <c r="I6" s="3"/>
    </row>
    <row r="7" spans="1:9" ht="9" customHeight="1" x14ac:dyDescent="0.15">
      <c r="A7" s="5"/>
      <c r="B7" s="10"/>
      <c r="C7" s="10"/>
      <c r="D7" s="10"/>
      <c r="E7" s="10"/>
      <c r="F7" s="10"/>
      <c r="G7" s="10"/>
      <c r="H7" s="10"/>
      <c r="I7" s="3"/>
    </row>
    <row r="8" spans="1:9" ht="18.75" customHeight="1" x14ac:dyDescent="0.15">
      <c r="A8" s="5"/>
      <c r="B8" s="3"/>
      <c r="C8" s="3"/>
      <c r="D8" s="30" t="s">
        <v>41</v>
      </c>
      <c r="E8" s="31" t="s">
        <v>174</v>
      </c>
      <c r="F8" s="3"/>
      <c r="G8" s="30" t="s">
        <v>10</v>
      </c>
      <c r="H8" s="31" t="s">
        <v>184</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2" t="s">
        <v>23</v>
      </c>
      <c r="C11" s="93"/>
      <c r="D11" s="94"/>
      <c r="E11" s="93" t="s">
        <v>25</v>
      </c>
      <c r="F11" s="93"/>
      <c r="G11" s="93"/>
      <c r="H11" s="93"/>
      <c r="I11" s="94"/>
    </row>
    <row r="12" spans="1:9" ht="26.25" customHeight="1" x14ac:dyDescent="0.15">
      <c r="B12" s="40" t="s">
        <v>13</v>
      </c>
      <c r="C12" s="47"/>
      <c r="D12" s="41"/>
      <c r="E12" s="48"/>
      <c r="F12" s="48"/>
      <c r="G12" s="48"/>
      <c r="H12" s="48"/>
      <c r="I12" s="41"/>
    </row>
    <row r="13" spans="1:9" ht="210.75" customHeight="1" x14ac:dyDescent="0.15">
      <c r="B13" s="42"/>
      <c r="C13" s="239" t="s">
        <v>14</v>
      </c>
      <c r="D13" s="240"/>
      <c r="E13" s="236" t="s">
        <v>185</v>
      </c>
      <c r="F13" s="237"/>
      <c r="G13" s="237"/>
      <c r="H13" s="237"/>
      <c r="I13" s="238"/>
    </row>
    <row r="14" spans="1:9" ht="210.75" customHeight="1" x14ac:dyDescent="0.15">
      <c r="B14" s="42"/>
      <c r="C14" s="234" t="s">
        <v>15</v>
      </c>
      <c r="D14" s="235"/>
      <c r="E14" s="236" t="s">
        <v>186</v>
      </c>
      <c r="F14" s="237"/>
      <c r="G14" s="237"/>
      <c r="H14" s="237"/>
      <c r="I14" s="238"/>
    </row>
    <row r="15" spans="1:9" ht="210.75" customHeight="1" x14ac:dyDescent="0.15">
      <c r="B15" s="42"/>
      <c r="C15" s="239" t="s">
        <v>16</v>
      </c>
      <c r="D15" s="240"/>
      <c r="E15" s="236" t="s">
        <v>201</v>
      </c>
      <c r="F15" s="237"/>
      <c r="G15" s="237"/>
      <c r="H15" s="237"/>
      <c r="I15" s="238"/>
    </row>
    <row r="16" spans="1:9" ht="190.5" customHeight="1" x14ac:dyDescent="0.15">
      <c r="B16" s="42"/>
      <c r="C16" s="239" t="s">
        <v>17</v>
      </c>
      <c r="D16" s="240"/>
      <c r="E16" s="236" t="s">
        <v>187</v>
      </c>
      <c r="F16" s="237"/>
      <c r="G16" s="237"/>
      <c r="H16" s="237"/>
      <c r="I16" s="238"/>
    </row>
    <row r="17" spans="2:9" ht="192" customHeight="1" x14ac:dyDescent="0.15">
      <c r="B17" s="43"/>
      <c r="C17" s="243" t="s">
        <v>18</v>
      </c>
      <c r="D17" s="244"/>
      <c r="E17" s="245" t="s">
        <v>188</v>
      </c>
      <c r="F17" s="246"/>
      <c r="G17" s="246"/>
      <c r="H17" s="246"/>
      <c r="I17" s="247"/>
    </row>
    <row r="18" spans="2:9" ht="24" customHeight="1" x14ac:dyDescent="0.15">
      <c r="B18" s="40" t="s">
        <v>19</v>
      </c>
      <c r="C18" s="44"/>
      <c r="D18" s="45"/>
      <c r="E18" s="46"/>
      <c r="F18" s="46"/>
      <c r="G18" s="46"/>
      <c r="H18" s="46"/>
      <c r="I18" s="49"/>
    </row>
    <row r="19" spans="2:9" ht="218.25" customHeight="1" x14ac:dyDescent="0.15">
      <c r="B19" s="42"/>
      <c r="C19" s="239" t="s">
        <v>20</v>
      </c>
      <c r="D19" s="240"/>
      <c r="E19" s="237" t="s">
        <v>189</v>
      </c>
      <c r="F19" s="237"/>
      <c r="G19" s="237"/>
      <c r="H19" s="237"/>
      <c r="I19" s="238"/>
    </row>
    <row r="20" spans="2:9" ht="218.25" customHeight="1" x14ac:dyDescent="0.15">
      <c r="B20" s="43"/>
      <c r="C20" s="243" t="s">
        <v>21</v>
      </c>
      <c r="D20" s="244"/>
      <c r="E20" s="246" t="s">
        <v>190</v>
      </c>
      <c r="F20" s="246"/>
      <c r="G20" s="246"/>
      <c r="H20" s="246"/>
      <c r="I20" s="247"/>
    </row>
    <row r="21" spans="2:9" ht="218.25" customHeight="1" x14ac:dyDescent="0.15">
      <c r="B21" s="253" t="s">
        <v>22</v>
      </c>
      <c r="C21" s="254"/>
      <c r="D21" s="255"/>
      <c r="E21" s="256" t="s">
        <v>191</v>
      </c>
      <c r="F21" s="256"/>
      <c r="G21" s="256"/>
      <c r="H21" s="256"/>
      <c r="I21" s="257"/>
    </row>
    <row r="22" spans="2:9" ht="218.25" customHeight="1" x14ac:dyDescent="0.15">
      <c r="B22" s="248" t="s">
        <v>135</v>
      </c>
      <c r="C22" s="249"/>
      <c r="D22" s="250"/>
      <c r="E22" s="251" t="s">
        <v>192</v>
      </c>
      <c r="F22" s="251"/>
      <c r="G22" s="251"/>
      <c r="H22" s="251"/>
      <c r="I22" s="25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row r="87" spans="18:21" ht="22.5" customHeight="1" x14ac:dyDescent="0.15">
      <c r="R87" s="261"/>
      <c r="S87" s="261"/>
      <c r="T87" s="261"/>
      <c r="U87" s="261"/>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59055118110236227" bottom="0.19685039370078741"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OK-STAFF 日野智司</cp:lastModifiedBy>
  <cp:lastPrinted>2024-06-14T05:30:37Z</cp:lastPrinted>
  <dcterms:created xsi:type="dcterms:W3CDTF">2011-06-14T05:32:50Z</dcterms:created>
  <dcterms:modified xsi:type="dcterms:W3CDTF">2024-06-14T05:36:15Z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