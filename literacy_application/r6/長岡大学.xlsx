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Nagaoka-Univ\Desktop\調査票・申請書\20240510数理データ申請書類\アップロード\01_長岡大学_リテラシー\"/>
    </mc:Choice>
  </mc:AlternateContent>
  <bookViews>
    <workbookView xWindow="0" yWindow="0" windowWidth="28800" windowHeight="12210" tabRatio="885"/>
  </bookViews>
  <sheets>
    <sheet name="様式１　プログラムを構成する授業科目" sheetId="39" r:id="rId1"/>
    <sheet name="様式２ 履修者等数の実績" sheetId="40" r:id="rId2"/>
    <sheet name="様式３ 教育の質・履修者数を向上させるための体制・計画" sheetId="45" r:id="rId3"/>
    <sheet name="様式４　自己点検・評価" sheetId="46"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45" l="1"/>
  <c r="C49" i="45"/>
  <c r="M7" i="40" l="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<sst xmlns="http://schemas.openxmlformats.org/spreadsheetml/2006/main" count="277" uniqueCount="183">
  <si>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</si>
  <si>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</si>
  <si>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</si>
  <si>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</si>
  <si>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</si>
  <si>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</si>
  <si>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</si>
  <si>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</si>
  <si>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</si>
  <si>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</si>
  <si>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</si>
  <si>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</si>
  <si>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</si>
  <si>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</si>
  <si>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</si>
  <si>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</si>
  <si>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</si>
  <si>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</si>
  <si>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</si>
  <si>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</si>
  <si>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</si>
  <si>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</si>
  <si>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</si>
  <si>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</si>
  <si>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</si>
  <si>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</si>
  <si>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</si>
  <si>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</si>
  <si>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</si>
  <si>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</si>
  <si>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</si>
  <si>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</si>
  <si>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</si>
  <si>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</si>
  <si>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</si>
  <si>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</si>
  <si>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</si>
  <si>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</si>
  <si>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</si>
  <si>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</si>
  <si>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</si>
  <si>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</si>
  <si>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</si>
  <si>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</si>
  <si>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</si>
  <si>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</si>
  <si>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</si>
  <si>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</si>
  <si>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</si>
  <si>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</si>
  <si>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</si>
  <si>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</si>
  <si>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</si>
  <si>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</si>
  <si>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</si>
  <si>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</si>
  <si>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</si>
  <si>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</si>
  <si>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</si>
  <si>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</si>
  <si>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</si>
  <si>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</si>
  <si>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</si>
  <si>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</si>
  <si>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</si>
  <si>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</si>
  <si>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</si>
  <si>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</si>
  <si>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</si>
  <si>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</si>
  <si>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</si>
  <si>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</si>
  <si>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</si>
  <si>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</si>
  <si>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</si>
  <si>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</si>
  <si>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</si>
  <si>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</si>
  <si>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</si>
  <si>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</si>
  <si>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</si>
  <si>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</si>
  <si>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</si>
  <si>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</si>
  <si>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</si>
  <si>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</si>
  <si>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</si>
  <si>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</si>
  <si>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</si>
  <si>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</si>
  <si>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</si>
  <si>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</si>
  <si>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</si>
  <si>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</si>
  <si>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</si>
  <si>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</si>
  <si>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</si>
  <si>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</si>
  <si>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</si>
  <si>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</si>
  <si>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</si>
  <si>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</si>
  <si>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</si>
  <si>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</si>
  <si>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</si>
  <si>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</si>
  <si>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</si>
  <si>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</si>
  <si>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</si>
  <si>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</si>
  <si>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</si>
  <si>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</si>
  <si>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</si>
  <si>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</si>
  <si>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</si>
  <si>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</si>
  <si>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</si>
  <si>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</si>
  <si>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</si>
  <si>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</si>
  <si>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</si>
  <si>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</si>
  <si>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</si>
  <si>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</si>
  <si>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</si>
  <si>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</si>
  <si>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</si>
  <si>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</si>
  <si>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</si>
  <si>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</si>
  <si>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</si>
  <si>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</si>
  <si>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</si>
  <si>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</si>
  <si>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</si>
  <si>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</si>
  <si>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長岡大学</t>
    <rPh sb="0" eb="4">
      <t>ナガオカダイガク</t>
    </rPh>
    <phoneticPr fontId="1"/>
  </si>
  <si>
    <t>データサイエンス基礎</t>
    <rPh sb="8" eb="10">
      <t>キソ</t>
    </rPh>
    <phoneticPr fontId="1"/>
  </si>
  <si>
    <t>○</t>
  </si>
  <si>
    <t>経済経営学部・経済経営学科</t>
    <rPh sb="0" eb="6">
      <t>ケイザイケイエイガクブ</t>
    </rPh>
    <rPh sb="7" eb="13">
      <t>ケイザイケイエイガッカ</t>
    </rPh>
    <phoneticPr fontId="1"/>
  </si>
  <si>
    <t>令和5</t>
    <rPh sb="0" eb="2">
      <t>レイワ</t>
    </rPh>
    <phoneticPr fontId="1"/>
  </si>
  <si>
    <t>学部・学科によって、修了要件は相違しない</t>
  </si>
  <si>
    <t>　・ビッグデータ、IoT、AI、ロボット　「データサイエンス基礎」　（1回目）
　・第4次産業革命、Society 5.0、データ駆動型社会　「データサイエンス基礎」　（1回目）</t>
    <rPh sb="80" eb="82">
      <t>キソ</t>
    </rPh>
    <rPh sb="86" eb="88">
      <t>カイメ</t>
    </rPh>
    <phoneticPr fontId="1"/>
  </si>
  <si>
    <t>　・調査データ、実験データ、人の行動ログデータ、機械の稼働ログデータなど　「データサイエンス基礎」　（2回目）
　・1次データ、2次データ、データのメタ化　「データサイエンス基礎」　（2回目）</t>
    <phoneticPr fontId="1"/>
  </si>
  <si>
    <t>　・データ・AI活用領域の広がり(生産、消費、文化活動など)　　「データサイエンス基礎」　（1回目、3回目）
　・研究開発、調達、製造、物流、販売、マーケティング、サービスなど　　「データサイエンス基礎」　（1回目、3回目）</t>
    <rPh sb="109" eb="111">
      <t>カイメ</t>
    </rPh>
    <phoneticPr fontId="1"/>
  </si>
  <si>
    <t>　・データ解析：予測、グルーピング、パターン発見、最適化、シミュレーション・データ同化など　　「データサイエンス基礎」　（7回目）
　・データ可視化：複合グラフ、2軸グラフ、多次元の可視化、関係性の可視化、地図上の可視化、挙動・軌跡の可視化、リアルタイム可視化など　　「データサイエンス基礎」　（3回目、4回目）</t>
    <rPh sb="153" eb="155">
      <t>カイメ</t>
    </rPh>
    <phoneticPr fontId="1"/>
  </si>
  <si>
    <t>　・データサイエンスのサイクル（課題抽出と定式化、データの取得・管理・加工、探索的データ解析、データ解析と推論、結果の共有・伝達、課題解決に向けた提案）　　「データサイエンス基礎」　（1回目、3回目）
　・流通、製造、金融、サービス、インフラ、公共、ヘルスケア等におけるデータ・AI利活用事例紹介　　「データサイエンス基礎」　（1回目、8回目）</t>
    <rPh sb="169" eb="171">
      <t>カイメ</t>
    </rPh>
    <phoneticPr fontId="1"/>
  </si>
  <si>
    <t>　・個人情報保護、EU一般データ保護規則(GDPR)、忘れられる権利、オプトアウト　「データサイエンス基礎」　（6回目）
　・データ倫理：データのねつ造、改ざん、盗用、プライバシー保護　　「データサイエンス基礎」　（6回目）
　・データバイアス、アルゴリズムバイアス　　「データサイエンス基礎」　（6回目）</t>
    <phoneticPr fontId="1"/>
  </si>
  <si>
    <t>　・情報セキュリティ：機密性、完全性、可用性　　「データサイエンス基礎」　（6回目、9回目）
　・匿名加工情報、暗号化、パスワード、悪意ある情報搾取　　「データサイエンス基礎」　（6回目、9回目）</t>
    <rPh sb="43" eb="45">
      <t>カイメ</t>
    </rPh>
    <rPh sb="95" eb="97">
      <t>カイメ</t>
    </rPh>
    <phoneticPr fontId="1"/>
  </si>
  <si>
    <t>　・データの種類（量的変数、質的変数）　「データサイエンス基礎」　（2回目）
　・データの分布(ヒストグラム)と代表値（平均値、中央値、最頻値）　「データサイエンス基礎」　（2回目、3回目）
　・代表値の性質の違い（実社会では平均値＝最頻値でないことが多い）　「データサイエンス基礎」　（9回目）
　・データのばらつき（分散、標準偏差、偏差値）　「データサイエンス基礎」　（10回目）
　・相関と因果（相関係数、擬似相関、交絡）　　「データサイエンス基礎」　（4回目）
　・母集団と標本抽出（国勢調査、アンケート調査、全数調査、単純無作為抽出、層別抽出、多段抽出）　「データサイエンス基礎」　（2回目）</t>
    <rPh sb="92" eb="94">
      <t>カイメ</t>
    </rPh>
    <phoneticPr fontId="1"/>
  </si>
  <si>
    <t xml:space="preserve">　・データ表現（棒グラフ、折線グラフ、散布図、ヒートマップ）　「データサイエンス基礎」　（11回目、12回目）
　・データの図表表現（チャート化）　「データサイエンス基礎」　（12回目）
</t>
    <rPh sb="52" eb="54">
      <t>カイメ</t>
    </rPh>
    <phoneticPr fontId="1"/>
  </si>
  <si>
    <t>　・データの集計（和、平均）　「データサイエンス基礎」　（9回目）
　・データの並び替え、ランキング　「データサイエンス基礎」　（9回目、10回目）
　・データ解析ツール（スプレッドシート）　「データサイエンス基礎」　（13回目、14回目）
　・表形式のデータ（csv）　「データサイエンス基礎」　（3回目、9回目）</t>
    <rPh sb="71" eb="73">
      <t>カイメ</t>
    </rPh>
    <rPh sb="117" eb="119">
      <t>カイメ</t>
    </rPh>
    <phoneticPr fontId="1"/>
  </si>
  <si>
    <t>(1) データが重要視されるようになった社会背景と、AI 活用の事例、データ倫理について具体的な事例を踏まえて説明できる。
(2) 与えられたデータについて、具体的な指示の下、データの集計・分析・最適な可視化ができる。
(3) 目的を達成するために必要なデータ収集を行い、そのデータを分析・収集・可視化する手法を考え、それらを具体的な資料としてまとめることができる。</t>
  </si>
  <si>
    <t>　大規模言語モデルの代表格であるChatGPTについての特徴を説明すると同時に、不得手な部分についても取り上げ，学生の適切な利用について説明をしている。
それ以外についても，画像生成AIで、生成された画像がXなどで数多くポストされているStable Diffusion なども紹介し、現状でこの水準感まで身近なパソコンレベルのデバイスで生成可能であることを説明している。
　「データサイエンス基礎」で説明。</t>
    <rPh sb="1" eb="4">
      <t>ダイキボ</t>
    </rPh>
    <rPh sb="4" eb="6">
      <t>ゲンゴ</t>
    </rPh>
    <rPh sb="10" eb="13">
      <t>ダイヒョウカク</t>
    </rPh>
    <rPh sb="28" eb="30">
      <t>トクチョウ</t>
    </rPh>
    <rPh sb="31" eb="33">
      <t>セツメイ</t>
    </rPh>
    <rPh sb="36" eb="38">
      <t>ドウジ</t>
    </rPh>
    <rPh sb="40" eb="43">
      <t>フエテ</t>
    </rPh>
    <rPh sb="44" eb="46">
      <t>ブブン</t>
    </rPh>
    <rPh sb="51" eb="52">
      <t>ト</t>
    </rPh>
    <rPh sb="53" eb="54">
      <t>ア</t>
    </rPh>
    <rPh sb="56" eb="58">
      <t>ガクセイ</t>
    </rPh>
    <rPh sb="59" eb="61">
      <t>テキセツ</t>
    </rPh>
    <rPh sb="62" eb="64">
      <t>リヨウ</t>
    </rPh>
    <rPh sb="68" eb="70">
      <t>セツメイ</t>
    </rPh>
    <rPh sb="79" eb="81">
      <t>イガイ</t>
    </rPh>
    <rPh sb="95" eb="97">
      <t>セイセイ</t>
    </rPh>
    <rPh sb="100" eb="102">
      <t>ガゾウ</t>
    </rPh>
    <rPh sb="107" eb="109">
      <t>カズオオ</t>
    </rPh>
    <rPh sb="138" eb="140">
      <t>ショウカイ</t>
    </rPh>
    <rPh sb="142" eb="144">
      <t>ゲンジョウ</t>
    </rPh>
    <rPh sb="147" eb="149">
      <t>スイジュン</t>
    </rPh>
    <rPh sb="149" eb="150">
      <t>カン</t>
    </rPh>
    <rPh sb="152" eb="154">
      <t>ミヂカ</t>
    </rPh>
    <rPh sb="168" eb="170">
      <t>セイセイ</t>
    </rPh>
    <rPh sb="170" eb="172">
      <t>カノウ</t>
    </rPh>
    <rPh sb="178" eb="180">
      <t>セツメイ</t>
    </rPh>
    <rPh sb="196" eb="198">
      <t>キソ</t>
    </rPh>
    <rPh sb="200" eb="202">
      <t>セツメイ</t>
    </rPh>
    <phoneticPr fontId="1"/>
  </si>
  <si>
    <t>坂井　一貴</t>
    <rPh sb="0" eb="2">
      <t>サカイ</t>
    </rPh>
    <rPh sb="3" eb="5">
      <t>カズタカ</t>
    </rPh>
    <phoneticPr fontId="1"/>
  </si>
  <si>
    <t>教授</t>
    <rPh sb="0" eb="2">
      <t>キョウジュ</t>
    </rPh>
    <phoneticPr fontId="1"/>
  </si>
  <si>
    <t>カリキュラム検討委員会</t>
    <rPh sb="6" eb="8">
      <t>ケントウ</t>
    </rPh>
    <rPh sb="8" eb="11">
      <t>イインカイ</t>
    </rPh>
    <phoneticPr fontId="1"/>
  </si>
  <si>
    <t>村山　光博</t>
    <rPh sb="0" eb="2">
      <t>ムラヤマ</t>
    </rPh>
    <rPh sb="3" eb="5">
      <t>ミツヒロ</t>
    </rPh>
    <phoneticPr fontId="1"/>
  </si>
  <si>
    <t>学長</t>
    <rPh sb="0" eb="2">
      <t>ガクチョウ</t>
    </rPh>
    <phoneticPr fontId="1"/>
  </si>
  <si>
    <t>カリキュラム検討委員会は、本学の教育に関する目標を達成するため、PDCAサイクルによる継続的なカリキュラムの点検と改善を目的としている。令和5（2023）年度に開始された本「認定教育プログラム」の導入と管理を担い、令和6（2024）年度以降の必修化のための検討・準備も進めた。月１回の頻度で開催される当該委員会において、プログラムの状況を常に確認し、プログラムの授業を担う担当教員との連携により、引き続き点検と改善を進める。</t>
    <phoneticPr fontId="1"/>
  </si>
  <si>
    <t>本教育プログラムは令和5（2023）年度に開始され、現時点で同プログラム修了者が卒業しておらず、企業等から修得内容の活用状況に関して評価が得られない状況である。</t>
    <rPh sb="26" eb="29">
      <t>ゲンジテン</t>
    </rPh>
    <rPh sb="36" eb="39">
      <t>シュウリョウシャ</t>
    </rPh>
    <rPh sb="66" eb="68">
      <t>ヒョウカ</t>
    </rPh>
    <rPh sb="69" eb="70">
      <t>エ</t>
    </rPh>
    <phoneticPr fontId="1"/>
  </si>
  <si>
    <t>本学では、教育体制の改善に向けた内部質保証の一環として、「長岡大学『地（知）の拠点』事業推進協議会」を設置し、毎半期協議会を開催し、教育カリキュラム等を始め教育内容全般を評価頂いている（学外委員９名：商工会議所・商工会、市役所、市内高等学校、異業種交流団体NPO、他の代表者）。
令和6（2024）年3月12日開催の令和5（2023）年度第２回協議会において、本プログラムの内容と実施状況を報告するとともに、令和6（2024）年度以降の入学者について、本プログラム修了が卒業要件になる変更を解説し、意見をいただいた。
外部委員出席者８名の質問紙調査で、本教育プログラムを含むカリキュラム改善に向けた取組への評価をうかがったところ、「大いに評価できる」7名、「評価できる」1名、「あまり評価できない」0名、「全く評価できない」0名という結果であった。
本協議会は本プログラムに対する学外評価を収集する重要な一つの場であり、引き続き議論いただく予定である。</t>
    <rPh sb="55" eb="56">
      <t>マイ</t>
    </rPh>
    <rPh sb="82" eb="84">
      <t>ゼンパン</t>
    </rPh>
    <rPh sb="132" eb="133">
      <t>ホカ</t>
    </rPh>
    <rPh sb="245" eb="247">
      <t>カイセツ</t>
    </rPh>
    <rPh sb="395" eb="397">
      <t>シュウシュウ</t>
    </rPh>
    <rPh sb="399" eb="401">
      <t>ジュウヨウ</t>
    </rPh>
    <rPh sb="405" eb="406">
      <t>バ</t>
    </rPh>
    <phoneticPr fontId="1"/>
  </si>
  <si>
    <t xml:space="preserve">本プログラムの修了は令和6（2024）年度以降の入学者に対して卒業要件となるため、授業内外でその告知を進めており、令和5（2023）年度以前の入学者に対しても、毎年の「履修ガイド」での掲載、4月授業開始前の学年別教務ガイダンスでも積極的に履修するよう指導してきている。同カリキュラムに対する認知が学内で浸透してきている。
</t>
    <phoneticPr fontId="1"/>
  </si>
  <si>
    <t>「データサイエンス基礎」の2単位を取得すること。</t>
    <rPh sb="9" eb="11">
      <t>キソ</t>
    </rPh>
    <rPh sb="14" eb="16">
      <t>タンイ</t>
    </rPh>
    <rPh sb="17" eb="19">
      <t>シュトク</t>
    </rPh>
    <phoneticPr fontId="1"/>
  </si>
  <si>
    <t>長岡大学数理・データサイエンスプログラム</t>
    <rPh sb="0" eb="2">
      <t>ナガオカ</t>
    </rPh>
    <rPh sb="2" eb="4">
      <t>ダイガク</t>
    </rPh>
    <rPh sb="4" eb="6">
      <t>スウリ</t>
    </rPh>
    <phoneticPr fontId="1"/>
  </si>
  <si>
    <t xml:space="preserve">委員長（学長） 村山　光博
副委員長（経済経営学部教授） 石川　英樹
委員（経済経営学部教授・副学長） 鯉江　康正
委員（経済経営学部専任講師） 関　義夫
委員（教務課課長） 長谷川　雅英
委員（教務課主任） 田辺　千紘
</t>
    <rPh sb="8" eb="10">
      <t>ムラヤマ</t>
    </rPh>
    <rPh sb="11" eb="13">
      <t>ミツヒロ</t>
    </rPh>
    <rPh sb="67" eb="69">
      <t>センニン</t>
    </rPh>
    <rPh sb="69" eb="71">
      <t>コウシ</t>
    </rPh>
    <phoneticPr fontId="1"/>
  </si>
  <si>
    <t>本学は経済経営学部・経済経営学科の単学科である。本「認定教育プログラム」の単一の授業科目「データサイエンス基礎」を令和6（2024）年度から全学的に卒業要件として必修化したことにより、令和6（2024）年度以降の全入学者が本プログラムを受講することなる。</t>
    <rPh sb="103" eb="105">
      <t>イコウ</t>
    </rPh>
    <rPh sb="106" eb="107">
      <t>ゼン</t>
    </rPh>
    <rPh sb="107" eb="110">
      <t>ニュウガクシャ</t>
    </rPh>
    <rPh sb="111" eb="112">
      <t>ホン</t>
    </rPh>
    <phoneticPr fontId="1"/>
  </si>
  <si>
    <t>本「認定教育プログラム」の単一の授業科目「データサイエンス基礎」を令和6（2024）年度以降の全入学者に対して卒業要件として必修化した。毎年４月の授業開始前の教務ガイダンスにおいて、各学生が履修登録漏れのないよう、各ゼミナール担当教員が個別面談で履修を徹底する。</t>
    <rPh sb="71" eb="72">
      <t>ガツ</t>
    </rPh>
    <rPh sb="113" eb="115">
      <t>タントウ</t>
    </rPh>
    <rPh sb="123" eb="125">
      <t>リシュウ</t>
    </rPh>
    <phoneticPr fontId="1"/>
  </si>
  <si>
    <t>本「認定教育プログラム」の単一の授業科目「データサイエンス基礎」は、令和6（2024）年度以降の全入学者に対して卒業要件として必修化された。各ゼミナールで実施されている「マンツーマン面談」（半期に２回実施し学生カルテへ入力し教務課に提出することが全担当教員に義務づけられている）において、同授業の学びで課題がないか確認するよう全学的に徹底する。そこで見いだされた個々の課題については、「データサイエンス基礎」の授業担当教員にフィードバックする。</t>
    <rPh sb="45" eb="47">
      <t>イコウ</t>
    </rPh>
    <rPh sb="48" eb="49">
      <t>ゼン</t>
    </rPh>
    <rPh sb="49" eb="52">
      <t>ニュウガクシャ</t>
    </rPh>
    <rPh sb="53" eb="54">
      <t>タイ</t>
    </rPh>
    <rPh sb="123" eb="124">
      <t>ゼン</t>
    </rPh>
    <phoneticPr fontId="1"/>
  </si>
  <si>
    <r>
      <t>本学では、授業科目毎にルーブリック（学修成果別到達基準）を定め、シラバスに公表し、それに基づき成績評価を行っている。
また、単位制の趣旨に基づいた授業外学修を行うことで、標準的な学生は「A」</t>
    </r>
    <r>
      <rPr>
        <sz val="12"/>
        <rFont val="ＭＳ Ｐゴシック"/>
        <family val="3"/>
        <charset val="128"/>
        <scheme val="minor"/>
      </rPr>
      <t>評価</t>
    </r>
    <r>
      <rPr>
        <sz val="12"/>
        <color theme="1"/>
        <rFont val="ＭＳ Ｐゴシック"/>
        <family val="3"/>
        <charset val="128"/>
        <scheme val="minor"/>
      </rPr>
      <t>水準になるよう授業を構成している。
「A」評価以上の履修者が、「失格」を除く単位認定が可能な履修者36人中11人で30.6％、「B」評価以上の履修者が22人で61.1％となっており、上記の条件を鑑みると、履修者は到達目標以上、または到達目標に近い学修成果を修得していると判断できる。
一方で、単位不認定になる履修者もおり、より興味・関心が持てる身近な事象等を組み込み、主体的に学修したいと動機づけられる授業内容への改善を継続的に行っていく。</t>
    </r>
    <rPh sb="0" eb="2">
      <t>ホンガク</t>
    </rPh>
    <rPh sb="5" eb="7">
      <t>ジュギョウ</t>
    </rPh>
    <rPh sb="7" eb="9">
      <t>カモク</t>
    </rPh>
    <rPh sb="9" eb="10">
      <t>マイ</t>
    </rPh>
    <rPh sb="18" eb="20">
      <t>ガクシュウ</t>
    </rPh>
    <rPh sb="20" eb="22">
      <t>セイカ</t>
    </rPh>
    <rPh sb="22" eb="23">
      <t>ベツ</t>
    </rPh>
    <rPh sb="23" eb="25">
      <t>トウタツ</t>
    </rPh>
    <rPh sb="25" eb="27">
      <t>キジュン</t>
    </rPh>
    <rPh sb="29" eb="30">
      <t>サダ</t>
    </rPh>
    <rPh sb="37" eb="39">
      <t>コウヒョウ</t>
    </rPh>
    <rPh sb="44" eb="45">
      <t>モト</t>
    </rPh>
    <rPh sb="47" eb="49">
      <t>セイセキ</t>
    </rPh>
    <rPh sb="49" eb="51">
      <t>ヒョウカ</t>
    </rPh>
    <rPh sb="52" eb="53">
      <t>オコナ</t>
    </rPh>
    <rPh sb="62" eb="65">
      <t>タンイセイ</t>
    </rPh>
    <rPh sb="66" eb="68">
      <t>シュシ</t>
    </rPh>
    <rPh sb="69" eb="70">
      <t>モト</t>
    </rPh>
    <rPh sb="73" eb="75">
      <t>ジュギョウ</t>
    </rPh>
    <rPh sb="75" eb="76">
      <t>ガイ</t>
    </rPh>
    <rPh sb="76" eb="78">
      <t>ガクシュウ</t>
    </rPh>
    <rPh sb="79" eb="80">
      <t>オコナ</t>
    </rPh>
    <rPh sb="85" eb="88">
      <t>ヒョウジュンテキ</t>
    </rPh>
    <rPh sb="89" eb="91">
      <t>ガクセイ</t>
    </rPh>
    <rPh sb="95" eb="97">
      <t>ヒョウカ</t>
    </rPh>
    <rPh sb="97" eb="99">
      <t>スイジュン</t>
    </rPh>
    <rPh sb="104" eb="106">
      <t>ジュギョウ</t>
    </rPh>
    <rPh sb="107" eb="109">
      <t>コウセイ</t>
    </rPh>
    <rPh sb="118" eb="120">
      <t>ヒョウカ</t>
    </rPh>
    <rPh sb="152" eb="153">
      <t>ニン</t>
    </rPh>
    <rPh sb="174" eb="175">
      <t>ニン</t>
    </rPh>
    <rPh sb="188" eb="190">
      <t>ジョウキ</t>
    </rPh>
    <rPh sb="191" eb="193">
      <t>ジョウケン</t>
    </rPh>
    <rPh sb="194" eb="195">
      <t>カンガ</t>
    </rPh>
    <rPh sb="199" eb="201">
      <t>リシュウ</t>
    </rPh>
    <rPh sb="201" eb="202">
      <t>シャ</t>
    </rPh>
    <rPh sb="203" eb="205">
      <t>トウタツ</t>
    </rPh>
    <rPh sb="205" eb="207">
      <t>モクヒョウ</t>
    </rPh>
    <rPh sb="239" eb="241">
      <t>イッポウ</t>
    </rPh>
    <rPh sb="243" eb="245">
      <t>タンイ</t>
    </rPh>
    <rPh sb="245" eb="246">
      <t>フ</t>
    </rPh>
    <rPh sb="246" eb="248">
      <t>ニンテイ</t>
    </rPh>
    <rPh sb="251" eb="253">
      <t>リシュウ</t>
    </rPh>
    <rPh sb="253" eb="254">
      <t>シャ</t>
    </rPh>
    <rPh sb="260" eb="262">
      <t>キョウミ</t>
    </rPh>
    <rPh sb="263" eb="265">
      <t>カンシン</t>
    </rPh>
    <rPh sb="266" eb="267">
      <t>モ</t>
    </rPh>
    <rPh sb="269" eb="271">
      <t>ミヂカ</t>
    </rPh>
    <rPh sb="272" eb="274">
      <t>ジショウ</t>
    </rPh>
    <rPh sb="274" eb="275">
      <t>トウ</t>
    </rPh>
    <rPh sb="276" eb="277">
      <t>ク</t>
    </rPh>
    <rPh sb="278" eb="279">
      <t>コ</t>
    </rPh>
    <rPh sb="281" eb="284">
      <t>シュタイテキ</t>
    </rPh>
    <rPh sb="285" eb="287">
      <t>ガクシュウ</t>
    </rPh>
    <rPh sb="291" eb="293">
      <t>ドウキ</t>
    </rPh>
    <rPh sb="298" eb="300">
      <t>ジュギョウ</t>
    </rPh>
    <rPh sb="300" eb="302">
      <t>ナイヨウ</t>
    </rPh>
    <rPh sb="304" eb="306">
      <t>カイゼン</t>
    </rPh>
    <rPh sb="307" eb="309">
      <t>ケイゾク</t>
    </rPh>
    <rPh sb="309" eb="310">
      <t>テキ</t>
    </rPh>
    <rPh sb="311" eb="312">
      <t>オコナ</t>
    </rPh>
    <phoneticPr fontId="1"/>
  </si>
  <si>
    <t>本学では、全ての授業について毎半期オンラインで履修者に対する授業アンケート調査を実施し、授業理解度等のデータを収集・分析している。その一環で本プログラム構成科目「データサイエンス基礎」（令和5（2023）年度）について実施された調査（調査期間：令和5（2023）年12月～令和6（2024）年1月）の集計結果は以下のとおりであった。
・履修者数39名、回答者33名（回答率84.6％）
・授業内容は理解できたか：
　「その通りだと思う」45.5％、「だいたいそう思う」27.3％、「あまりそう思わない」27.3％、「全くそう思わない」0％
・新しい知識・技能が身についたか：
　「その通りだと思う」66.7％、「だいたいそう思う」30.3％、「あまりそう思わない」0％、「全くそう思わない」3.0％
他の情報処理系の授業科目に比べ新たな知識・技能習得に対する満足度が高い結果となった。</t>
    <rPh sb="0" eb="2">
      <t>ホンガク</t>
    </rPh>
    <rPh sb="5" eb="6">
      <t>スベ</t>
    </rPh>
    <rPh sb="8" eb="10">
      <t>ジュギョウ</t>
    </rPh>
    <rPh sb="14" eb="15">
      <t>マイ</t>
    </rPh>
    <rPh sb="15" eb="17">
      <t>ハンキ</t>
    </rPh>
    <rPh sb="30" eb="32">
      <t>ジュギョウ</t>
    </rPh>
    <rPh sb="37" eb="39">
      <t>チョウサ</t>
    </rPh>
    <rPh sb="40" eb="42">
      <t>ジッシ</t>
    </rPh>
    <rPh sb="44" eb="46">
      <t>ジュギョウ</t>
    </rPh>
    <rPh sb="46" eb="49">
      <t>リカイド</t>
    </rPh>
    <rPh sb="49" eb="50">
      <t>トウ</t>
    </rPh>
    <rPh sb="55" eb="57">
      <t>シュウシュウ</t>
    </rPh>
    <rPh sb="58" eb="60">
      <t>ブンセキ</t>
    </rPh>
    <rPh sb="67" eb="69">
      <t>イッカン</t>
    </rPh>
    <rPh sb="385" eb="387">
      <t>ケッカ</t>
    </rPh>
    <phoneticPr fontId="1"/>
  </si>
  <si>
    <t>本プログラム構成科目「データサイエンス基礎」（令和5（2023）年度）の授業アンケート調査の結果によると（履修者39人中の回答者33人）、「この授業を受けての総合的な満足度」を問う設問に対して、「とても満足した」14人、「だいたい満足した」16人、「あまり,満足していない」3人、「全く満足していない」0人だった。91％が満足しており、この高い満足度が後輩学生の授業選択の検討において大いにプラスに寄与していると考えられよう（本学では、授業アンケート調査の結果を公表。総合満足度の集計結果は掲示板にも掲示する）。</t>
    <rPh sb="250" eb="252">
      <t>ケイジ</t>
    </rPh>
    <phoneticPr fontId="1"/>
  </si>
  <si>
    <t>履修者の一部においては、数学や数的処理について苦手意識を持っていることが少なくないが、履修者が実際に経験していたり、ヴィジュアル的に理解可能な画像生成AIなどの事象を授業で詳細に提示することによって履修者の集中度や関心が高まったり、リフレクションシートの回答で興味・関心を示す事例が多くなることが授業担当教員より報告された。
そのため、令和6（2024）年度は、履修者が経験している関連事例をより多く取り入れ、興味・関心を持たせることによって、主体的な学修に繋げ、かつそれらの背景にあるデータや数理的な扱いについても興味・関心を併せて持たせられるようにすることを目指す。</t>
    <rPh sb="0" eb="2">
      <t>リシュウ</t>
    </rPh>
    <rPh sb="2" eb="3">
      <t>シャ</t>
    </rPh>
    <rPh sb="4" eb="6">
      <t>イチブ</t>
    </rPh>
    <rPh sb="12" eb="14">
      <t>スウガク</t>
    </rPh>
    <rPh sb="15" eb="17">
      <t>スウテキ</t>
    </rPh>
    <rPh sb="17" eb="19">
      <t>ショリ</t>
    </rPh>
    <rPh sb="23" eb="25">
      <t>ニガテ</t>
    </rPh>
    <rPh sb="25" eb="27">
      <t>イシキ</t>
    </rPh>
    <rPh sb="28" eb="29">
      <t>モ</t>
    </rPh>
    <rPh sb="36" eb="37">
      <t>スク</t>
    </rPh>
    <rPh sb="64" eb="65">
      <t>テキ</t>
    </rPh>
    <rPh sb="66" eb="68">
      <t>リカイ</t>
    </rPh>
    <rPh sb="68" eb="70">
      <t>カノウ</t>
    </rPh>
    <rPh sb="71" eb="73">
      <t>ガゾウ</t>
    </rPh>
    <rPh sb="73" eb="75">
      <t>セイセイ</t>
    </rPh>
    <rPh sb="80" eb="82">
      <t>ジショウ</t>
    </rPh>
    <rPh sb="127" eb="129">
      <t>カイトウ</t>
    </rPh>
    <rPh sb="130" eb="132">
      <t>キョウミ</t>
    </rPh>
    <rPh sb="133" eb="135">
      <t>カンシン</t>
    </rPh>
    <rPh sb="136" eb="137">
      <t>シメ</t>
    </rPh>
    <rPh sb="141" eb="142">
      <t>オオ</t>
    </rPh>
    <rPh sb="202" eb="203">
      <t>イ</t>
    </rPh>
    <rPh sb="205" eb="207">
      <t>キョウミ</t>
    </rPh>
    <rPh sb="208" eb="210">
      <t>カンシン</t>
    </rPh>
    <rPh sb="211" eb="212">
      <t>モ</t>
    </rPh>
    <rPh sb="222" eb="225">
      <t>シュタイテキ</t>
    </rPh>
    <rPh sb="226" eb="228">
      <t>ガクシュウ</t>
    </rPh>
    <rPh sb="229" eb="230">
      <t>ツナ</t>
    </rPh>
    <rPh sb="238" eb="240">
      <t>ハイケイ</t>
    </rPh>
    <rPh sb="247" eb="250">
      <t>スウリテキ</t>
    </rPh>
    <rPh sb="251" eb="252">
      <t>アツカ</t>
    </rPh>
    <rPh sb="258" eb="260">
      <t>キョウミ</t>
    </rPh>
    <rPh sb="261" eb="263">
      <t>カンシン</t>
    </rPh>
    <rPh sb="264" eb="265">
      <t>アワ</t>
    </rPh>
    <rPh sb="267" eb="268">
      <t>モ</t>
    </rPh>
    <rPh sb="281" eb="283">
      <t>メザ</t>
    </rPh>
    <phoneticPr fontId="1"/>
  </si>
  <si>
    <r>
      <t>全授業について、教務委員会・FD部会が毎半期実施する授業アンケート</t>
    </r>
    <r>
      <rPr>
        <sz val="12"/>
        <rFont val="ＭＳ Ｐゴシック"/>
        <family val="3"/>
        <charset val="128"/>
        <scheme val="minor"/>
      </rPr>
      <t>調査の結果が当該担当教員にフィードバックされ、授業内容・手法の改善につないでいるが、とりわけ本プログラムの授業に関してカリキュラム検討委員会がチェック機能を担う。同委員会は授業アンケート調査の結果を確認し、授業に関する課題の有無を検討し、必要に応じて教務委員会・FD部会に具体的な改善策（個々の教員との協議、提案など）の実施を指示する。さらに、適宜、授業法の</t>
    </r>
    <r>
      <rPr>
        <sz val="12"/>
        <color theme="1"/>
        <rFont val="ＭＳ Ｐゴシック"/>
        <family val="3"/>
        <charset val="128"/>
        <scheme val="minor"/>
      </rPr>
      <t>開発のためのFD会議（授業改善の勉強会など）の開催の検討を指示する。</t>
    </r>
    <rPh sb="33" eb="35">
      <t>チョウサ</t>
    </rPh>
    <rPh sb="111" eb="112">
      <t>ニナ</t>
    </rPh>
    <rPh sb="114" eb="115">
      <t>ドウ</t>
    </rPh>
    <rPh sb="115" eb="118">
      <t>イインカイ</t>
    </rPh>
    <rPh sb="119" eb="121">
      <t>ジュギョウ</t>
    </rPh>
    <rPh sb="126" eb="128">
      <t>チョウサ</t>
    </rPh>
    <phoneticPr fontId="1"/>
  </si>
  <si>
    <t>大学評価室（自己点検・評価委員会）</t>
    <rPh sb="0" eb="2">
      <t>ダイガク</t>
    </rPh>
    <rPh sb="2" eb="5">
      <t>ヒョウカシツ</t>
    </rPh>
    <rPh sb="6" eb="8">
      <t>ジコ</t>
    </rPh>
    <rPh sb="8" eb="10">
      <t>テンケン</t>
    </rPh>
    <rPh sb="11" eb="13">
      <t>ヒョウカ</t>
    </rPh>
    <rPh sb="13" eb="16">
      <t>イインカイ</t>
    </rPh>
    <phoneticPr fontId="1"/>
  </si>
  <si>
    <t>　・AI等を活用した新しいビジネスモデル(シェアリングエコノミー、商品のレコメンデーションなど)　「データサイエンス基礎」　（8回目）
　・AI最新技術の活用例（深層生成モデル、敵対的生成ネットワーク、強化学習、転移学習など）　「データサイエンス基礎」　（8回目）</t>
    <phoneticPr fontId="1"/>
  </si>
  <si>
    <t>教務課で集約した授業科目の履修状況のデータは大学評価室がその他の教育関連データとあわせて分析し、個々の学生の学修支援につなぐとともにIRを推進している。令和6（2024）年度の本プログラム修了を卒業要件として必修化するに伴い、推進体制を一層強化する。
そこで集約したデータから、本教育プログラム導入初年度の令和5（2023）年度の本プログラム構成科目「データサイエンス基礎」の履修者数と成績は以下のとおりであった。
・1年生30人（評価：「S」3人、「A」5人、「B」10人、「C」5人、「D」5人、「失格」2人）
・2年生1人（評価：「S」1人、「A」0人、「B」0人、「C」0人、「D」0人、「失格」0人）
・3年生7人（評価：「S」0人、「A」2人、「B」1人、「C」3人、「D」1人、「失格」0人）
・4年生1人（評価：「S」0人、「A」0人、「B」0人、「C」0人、「D」0人、「失格」1人）
全学合計は以下のとおり：
・履修者数…39人（学内割合 8.7％： 収容定員数計450人に対する比率）
・修了者数…30人（学内割合 6.7％： 同上）</t>
    <rPh sb="94" eb="96">
      <t>シュウリョウ</t>
    </rPh>
    <rPh sb="113" eb="115">
      <t>スイシン</t>
    </rPh>
    <rPh sb="251" eb="253">
      <t>シッカク</t>
    </rPh>
    <rPh sb="437" eb="439">
      <t>シュウヨウ</t>
    </rPh>
    <rPh sb="439" eb="441">
      <t>テイイン</t>
    </rPh>
    <phoneticPr fontId="1"/>
  </si>
  <si>
    <t>長岡大学</t>
  </si>
  <si>
    <t>鯉江　康正</t>
    <rPh sb="0" eb="2">
      <t>コイエ</t>
    </rPh>
    <rPh sb="3" eb="5">
      <t>ヤスマサ</t>
    </rPh>
    <phoneticPr fontId="1"/>
  </si>
  <si>
    <t>室長（委員長）</t>
    <rPh sb="0" eb="2">
      <t>シツチョウ</t>
    </rPh>
    <rPh sb="3" eb="6">
      <t>イインチョウ</t>
    </rPh>
    <phoneticPr fontId="1"/>
  </si>
  <si>
    <t>令和6（2024）年度からのカリキュラム改善の一環として、「データサイエンス基礎」を卒業要件として1年次必修科目とした（教養科目、1年次配当、2単位）。あわせて、全学的に数理・データサイエンス・ＡＩ教育を重視する旨を明示するため、教育課程編成の方針（カリキュラム・ポリシー）も変更した。必修化後も「データサイエンス基礎」では前年度と同内容の教育を予定している。新カリキュラムの年次進行によって、令和9（2027）年度には在籍者の履修率100％をほぼ達成できる見込みである。
なお、令和5（2023）年度以前の入学者に対しては、4月のオリエンテーション時にゼミナール別で実施する履修確認の集合研修で、各ゼミナール担当教員が「データサイエンス基礎」の履修を促すよう個別指導を徹底する。さらに、毎年春に配布する「履修ガイド」においても、令和7（2025)年度より同授業の意義などを解説して履修につなぐ。</t>
    <rPh sb="20" eb="22">
      <t>カイゼン</t>
    </rPh>
    <rPh sb="42" eb="44">
      <t>ソツギョウ</t>
    </rPh>
    <rPh sb="44" eb="46">
      <t>ヨウケン</t>
    </rPh>
    <rPh sb="60" eb="62">
      <t>キョウヨウ</t>
    </rPh>
    <rPh sb="62" eb="64">
      <t>カモク</t>
    </rPh>
    <rPh sb="66" eb="68">
      <t>ネンジ</t>
    </rPh>
    <rPh sb="68" eb="70">
      <t>ハイトウ</t>
    </rPh>
    <rPh sb="72" eb="74">
      <t>タンイ</t>
    </rPh>
    <rPh sb="81" eb="84">
      <t>ゼンガクテキ</t>
    </rPh>
    <rPh sb="108" eb="110">
      <t>メイジ</t>
    </rPh>
    <rPh sb="115" eb="117">
      <t>キョウイク</t>
    </rPh>
    <rPh sb="117" eb="119">
      <t>カテイ</t>
    </rPh>
    <rPh sb="119" eb="121">
      <t>ヘンセイ</t>
    </rPh>
    <rPh sb="122" eb="124">
      <t>ホウシン</t>
    </rPh>
    <rPh sb="146" eb="147">
      <t>ノチ</t>
    </rPh>
    <rPh sb="162" eb="164">
      <t>ゼンネン</t>
    </rPh>
    <rPh sb="164" eb="165">
      <t>ド</t>
    </rPh>
    <rPh sb="170" eb="172">
      <t>キョウイク</t>
    </rPh>
    <rPh sb="210" eb="213">
      <t>ザイセキシャ</t>
    </rPh>
    <rPh sb="299" eb="300">
      <t>カク</t>
    </rPh>
    <rPh sb="305" eb="307">
      <t>タントウ</t>
    </rPh>
    <rPh sb="330" eb="332">
      <t>コベツ</t>
    </rPh>
    <rPh sb="332" eb="334">
      <t>シドウ</t>
    </rPh>
    <rPh sb="344" eb="346">
      <t>マイトシ</t>
    </rPh>
    <rPh sb="346" eb="347">
      <t>ハル</t>
    </rPh>
    <rPh sb="348" eb="350">
      <t>ハイフ</t>
    </rPh>
    <rPh sb="353" eb="355">
      <t>リシュウ</t>
    </rPh>
    <rPh sb="365" eb="367">
      <t>レイワ</t>
    </rPh>
    <phoneticPr fontId="1"/>
  </si>
  <si>
    <t>本「認定教育プログラム」の単一の授業科目「データサイエンス基礎」は、１クラスのサイズを最大40人程度におさえる予定である（令和6（2024）年度は１クラス平均履修者数29.3人）。授業での授業担当教員と学生とのインタラクティブな授業進行のための環境を保持する。
授業時間外においては、ICTを最大限に活用する。本学は全学的ＬＭＳとしてGoogle Workspaceを採用し、全学生に同アカデミック・アカウントを付与し、Gメール、Google Drive、Google Classroom等を授業で用いている（その利用法は１年次の全学生の必修科目である「コンピュータリテラシー1」で指導する）。その利用で学生の質問や課題提出・返却などが常に可能としている。学生に対し、引き続きICT利用を一層指導していく。
また、ICTによる指導以外にも、「オフィスアワー」という修学支援の制度があり、全教員が対面で学生の学習等の相談・質問を受け付ける時間を設定しており、ICTの活用が苦手な学生や、直接相談したい学生にも対応している。</t>
    <rPh sb="47" eb="48">
      <t>ニン</t>
    </rPh>
    <rPh sb="61" eb="63">
      <t>レイワ</t>
    </rPh>
    <rPh sb="70" eb="72">
      <t>ネンド</t>
    </rPh>
    <rPh sb="77" eb="79">
      <t>ヘイキン</t>
    </rPh>
    <rPh sb="79" eb="82">
      <t>リシュウシャ</t>
    </rPh>
    <rPh sb="82" eb="83">
      <t>スウ</t>
    </rPh>
    <rPh sb="87" eb="88">
      <t>ニン</t>
    </rPh>
    <rPh sb="363" eb="365">
      <t>シドウ</t>
    </rPh>
    <rPh sb="365" eb="367">
      <t>イガイ</t>
    </rPh>
    <rPh sb="382" eb="386">
      <t>シュウガクシエン</t>
    </rPh>
    <rPh sb="387" eb="389">
      <t>セイド</t>
    </rPh>
    <rPh sb="393" eb="396">
      <t>ゼンキョウイン</t>
    </rPh>
    <rPh sb="397" eb="399">
      <t>タイメン</t>
    </rPh>
    <rPh sb="400" eb="402">
      <t>ガクセイ</t>
    </rPh>
    <rPh sb="407" eb="409">
      <t>ソウダン</t>
    </rPh>
    <rPh sb="410" eb="412">
      <t>シツモン</t>
    </rPh>
    <rPh sb="413" eb="414">
      <t>ウ</t>
    </rPh>
    <rPh sb="415" eb="416">
      <t>ツ</t>
    </rPh>
    <rPh sb="418" eb="420">
      <t>ジカン</t>
    </rPh>
    <rPh sb="421" eb="423">
      <t>セッテイ</t>
    </rPh>
    <rPh sb="432" eb="434">
      <t>カツヨウ</t>
    </rPh>
    <rPh sb="435" eb="437">
      <t>ニガテ</t>
    </rPh>
    <rPh sb="438" eb="440">
      <t>ガクセイ</t>
    </rPh>
    <rPh sb="442" eb="446">
      <t>チョクセツソウダン</t>
    </rPh>
    <rPh sb="449" eb="451">
      <t>ガクセイ</t>
    </rPh>
    <rPh sb="453" eb="455">
      <t>タイオウ</t>
    </rPh>
    <phoneticPr fontId="1"/>
  </si>
  <si>
    <t>長岡大学カリキュラム検討委員会規程</t>
    <rPh sb="0" eb="4">
      <t>ナガオカダイガク</t>
    </rPh>
    <rPh sb="10" eb="12">
      <t>ケントウ</t>
    </rPh>
    <rPh sb="12" eb="15">
      <t>イインカイ</t>
    </rPh>
    <rPh sb="15" eb="17">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</si>
</sst>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0" xfId="0" applyFont="1" applyAlignment="1">
      <alignment vertical="top" wrapText="1" shrinkToFit="1"/>
    </xf>
    <xf numFmtId="0" fontId="2" fillId="0" borderId="0" xfId="0" applyFont="1">
      <alignment vertical="center"/>
    </xf>
    <xf numFmtId="0" fontId="2" fillId="0" borderId="0" xfId="0" applyFont="1" applyAlignment="1">
      <alignment vertical="center" wrapText="1"/>
    </xf>
    <xf numFmtId="0" fontId="6" fillId="0" borderId="0" xfId="0" applyFont="1" applyAlignment="1">
      <alignment horizontal="center" vertical="center"/>
    </xf>
    <xf numFmtId="0" fontId="2" fillId="0" borderId="0" xfId="0" applyFont="1" applyAlignment="1">
      <alignment vertical="top" shrinkToFit="1"/>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13" fillId="0" borderId="1" xfId="0" applyFont="1" applyBorder="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Border="1" applyAlignment="1">
      <alignment vertical="center" wrapText="1"/>
    </xf>
    <xf numFmtId="49" fontId="3" fillId="0" borderId="33" xfId="0" applyNumberFormat="1" applyFont="1" applyBorder="1" applyAlignment="1">
      <alignment vertical="center"/>
    </xf>
    <xf numFmtId="49" fontId="3" fillId="0" borderId="34" xfId="0" applyNumberFormat="1" applyFont="1" applyBorder="1" applyAlignment="1">
      <alignment vertical="center"/>
    </xf>
    <xf numFmtId="49" fontId="3" fillId="0" borderId="29" xfId="0" applyNumberFormat="1" applyFont="1" applyBorder="1" applyAlignment="1">
      <alignment vertical="center" wrapText="1"/>
    </xf>
    <xf numFmtId="49" fontId="3" fillId="0" borderId="31" xfId="0" applyNumberFormat="1" applyFont="1" applyBorder="1" applyAlignment="1">
      <alignment vertical="center"/>
    </xf>
    <xf numFmtId="49" fontId="3" fillId="0" borderId="30" xfId="0" applyNumberFormat="1" applyFont="1" applyBorder="1" applyAlignment="1">
      <alignment vertical="center"/>
    </xf>
    <xf numFmtId="49" fontId="3" fillId="0" borderId="18" xfId="0" applyNumberFormat="1" applyFont="1" applyBorder="1" applyAlignment="1">
      <alignment vertical="center" wrapText="1"/>
    </xf>
    <xf numFmtId="49" fontId="3" fillId="0" borderId="19" xfId="0" applyNumberFormat="1" applyFont="1" applyBorder="1" applyAlignment="1">
      <alignment vertical="center"/>
    </xf>
    <xf numFmtId="49" fontId="3" fillId="0" borderId="17" xfId="0" applyNumberFormat="1" applyFont="1" applyBorder="1" applyAlignment="1">
      <alignmen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5" fillId="0" borderId="32" xfId="0" applyNumberFormat="1" applyFont="1" applyBorder="1" applyAlignment="1">
      <alignment vertical="center" wrapText="1"/>
    </xf>
    <xf numFmtId="49" fontId="15" fillId="0" borderId="33" xfId="0" applyNumberFormat="1" applyFont="1" applyBorder="1" applyAlignment="1">
      <alignment vertical="center"/>
    </xf>
    <xf numFmtId="49" fontId="15" fillId="0" borderId="34" xfId="0" applyNumberFormat="1" applyFont="1" applyBorder="1" applyAlignment="1">
      <alignmen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wrapText="1" shrinkToFit="1"/>
    </xf>
    <xf numFmtId="0" fontId="6" fillId="0" borderId="0" xfId="0" applyFont="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0" xfId="0" applyFont="1">
      <alignment vertical="center"/>
    </xf>
    <xf numFmtId="0" fontId="10" fillId="0" borderId="0" xfId="0" applyFont="1" applyAlignment="1">
      <alignment horizontal="left" vertical="center" wrapText="1"/>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Fill="1" applyBorder="1" applyAlignment="1">
      <alignment vertical="top" wrapText="1" shrinkToFit="1"/>
    </xf>
    <xf numFmtId="0" fontId="2" fillId="0" borderId="19" xfId="0" applyFont="1" applyFill="1" applyBorder="1" applyAlignment="1">
      <alignment vertical="top" wrapText="1" shrinkToFit="1"/>
    </xf>
    <xf numFmtId="0" fontId="2" fillId="0" borderId="17" xfId="0" applyFont="1" applyFill="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Fill="1" applyBorder="1" applyAlignment="1">
      <alignment vertical="top" wrapText="1" shrinkToFit="1"/>
    </xf>
    <xf numFmtId="0" fontId="13" fillId="0" borderId="38" xfId="0" applyFont="1" applyFill="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2"/>
      <c r="B1" s="72"/>
      <c r="C1" s="72"/>
      <c r="D1" s="72"/>
      <c r="E1" s="72"/>
      <c r="F1" s="72"/>
      <c r="G1" s="72"/>
      <c r="H1" s="72"/>
      <c r="I1" s="72"/>
      <c r="J1" s="72"/>
      <c r="K1" s="72"/>
      <c r="L1" s="72"/>
      <c r="M1" s="72"/>
      <c r="N1" s="72"/>
      <c r="O1" s="72"/>
      <c r="P1" s="72"/>
      <c r="Q1" s="72"/>
      <c r="R1" s="72"/>
      <c r="S1" s="72"/>
      <c r="T1" s="131" t="s">
        <v>12</v>
      </c>
      <c r="U1" s="131"/>
      <c r="V1" s="2" t="s">
        <v>100</v>
      </c>
    </row>
    <row r="2" spans="1:24" ht="18.75" customHeight="1" x14ac:dyDescent="0.15">
      <c r="A2" s="72"/>
      <c r="B2" s="73" t="s">
        <v>99</v>
      </c>
      <c r="C2" s="132" t="s">
        <v>136</v>
      </c>
      <c r="D2" s="133"/>
      <c r="E2" s="133"/>
      <c r="F2" s="133"/>
      <c r="G2" s="133"/>
      <c r="H2" s="133"/>
      <c r="I2" s="133"/>
      <c r="J2" s="134"/>
      <c r="K2" s="74"/>
      <c r="L2" s="75"/>
      <c r="M2" s="75"/>
      <c r="N2" s="75"/>
      <c r="O2" s="75"/>
      <c r="P2" s="75"/>
      <c r="Q2" s="75"/>
      <c r="R2" s="75"/>
      <c r="S2" s="75"/>
      <c r="T2" s="75"/>
      <c r="U2" s="75"/>
    </row>
    <row r="3" spans="1:24" ht="18.75" customHeight="1" x14ac:dyDescent="0.15">
      <c r="A3" s="72"/>
      <c r="B3" s="73" t="s">
        <v>94</v>
      </c>
      <c r="C3" s="132" t="s">
        <v>164</v>
      </c>
      <c r="D3" s="133"/>
      <c r="E3" s="133"/>
      <c r="F3" s="133"/>
      <c r="G3" s="133"/>
      <c r="H3" s="133"/>
      <c r="I3" s="133"/>
      <c r="J3" s="134"/>
      <c r="K3" s="74"/>
      <c r="L3" s="75"/>
      <c r="M3" s="75"/>
      <c r="N3" s="75"/>
      <c r="O3" s="75"/>
      <c r="P3" s="75"/>
      <c r="Q3" s="75"/>
      <c r="R3" s="75"/>
      <c r="S3" s="75"/>
      <c r="T3" s="75"/>
      <c r="U3" s="75"/>
    </row>
    <row r="4" spans="1:24" ht="15" customHeight="1" x14ac:dyDescent="0.15">
      <c r="A4" s="72"/>
      <c r="B4" s="72"/>
      <c r="C4" s="72"/>
      <c r="D4" s="72"/>
      <c r="E4" s="72"/>
      <c r="F4" s="72"/>
      <c r="G4" s="72"/>
      <c r="H4" s="72"/>
      <c r="I4" s="72"/>
      <c r="J4" s="72"/>
      <c r="K4" s="72"/>
      <c r="L4" s="74"/>
      <c r="M4" s="76"/>
      <c r="N4" s="76"/>
      <c r="O4" s="76"/>
      <c r="P4" s="76"/>
      <c r="Q4" s="76"/>
      <c r="R4" s="76"/>
      <c r="S4" s="76"/>
      <c r="T4" s="76"/>
      <c r="U4" s="76"/>
    </row>
    <row r="5" spans="1:24" ht="18" customHeight="1" x14ac:dyDescent="0.15">
      <c r="A5" s="135" t="s">
        <v>38</v>
      </c>
      <c r="B5" s="135"/>
      <c r="C5" s="135"/>
      <c r="D5" s="135"/>
      <c r="E5" s="135"/>
      <c r="F5" s="135"/>
      <c r="G5" s="135"/>
      <c r="H5" s="135"/>
      <c r="I5" s="135"/>
      <c r="J5" s="135"/>
      <c r="K5" s="135"/>
      <c r="L5" s="135"/>
      <c r="M5" s="135"/>
      <c r="N5" s="135"/>
      <c r="O5" s="135"/>
      <c r="P5" s="135"/>
      <c r="Q5" s="135"/>
      <c r="R5" s="135"/>
      <c r="S5" s="135"/>
      <c r="T5" s="135"/>
      <c r="U5" s="135"/>
    </row>
    <row r="6" spans="1:24" ht="15" customHeight="1" x14ac:dyDescent="0.15">
      <c r="A6" s="72"/>
      <c r="B6" s="77"/>
      <c r="C6" s="77"/>
      <c r="D6" s="77"/>
      <c r="E6" s="77"/>
      <c r="F6" s="77"/>
      <c r="G6" s="77"/>
      <c r="H6" s="77"/>
      <c r="I6" s="77"/>
      <c r="J6" s="77"/>
      <c r="K6" s="77"/>
      <c r="L6" s="77"/>
      <c r="M6" s="77"/>
      <c r="N6" s="77"/>
      <c r="O6" s="77"/>
      <c r="P6" s="77"/>
      <c r="Q6" s="77"/>
      <c r="R6" s="77"/>
      <c r="S6" s="77"/>
      <c r="T6" s="77"/>
      <c r="U6" s="77"/>
    </row>
    <row r="7" spans="1:24" ht="15" customHeight="1" x14ac:dyDescent="0.15">
      <c r="A7" s="72" t="s">
        <v>131</v>
      </c>
      <c r="B7" s="77"/>
      <c r="C7" s="77"/>
      <c r="D7" s="77"/>
      <c r="E7" s="77"/>
      <c r="F7" s="78"/>
      <c r="G7" s="78"/>
      <c r="H7" s="78"/>
      <c r="I7" s="78"/>
      <c r="J7" s="78"/>
      <c r="K7" s="78"/>
      <c r="L7" s="106" t="s">
        <v>141</v>
      </c>
      <c r="M7" s="107"/>
      <c r="N7" s="107"/>
      <c r="O7" s="107"/>
      <c r="P7" s="107"/>
      <c r="Q7" s="107"/>
      <c r="R7" s="107"/>
      <c r="S7" s="107"/>
      <c r="T7" s="107"/>
      <c r="U7" s="108"/>
    </row>
    <row r="8" spans="1:24" ht="6" customHeight="1" x14ac:dyDescent="0.15">
      <c r="A8" s="72"/>
      <c r="B8" s="77"/>
      <c r="C8" s="77"/>
      <c r="D8" s="77"/>
      <c r="E8" s="77"/>
      <c r="F8" s="77"/>
      <c r="G8" s="77"/>
      <c r="H8" s="77"/>
      <c r="I8" s="77"/>
      <c r="J8" s="77"/>
      <c r="K8" s="77"/>
      <c r="L8" s="77"/>
      <c r="M8" s="77"/>
      <c r="N8" s="77"/>
      <c r="O8" s="77"/>
      <c r="P8" s="77"/>
      <c r="Q8" s="77"/>
      <c r="R8" s="77"/>
      <c r="S8" s="77"/>
      <c r="T8" s="77"/>
      <c r="U8" s="77"/>
    </row>
    <row r="9" spans="1:24" ht="18" customHeight="1" x14ac:dyDescent="0.15">
      <c r="A9" s="72" t="s">
        <v>132</v>
      </c>
      <c r="B9" s="72"/>
      <c r="C9" s="77"/>
      <c r="D9" s="77"/>
      <c r="E9" s="72"/>
      <c r="F9" s="72"/>
      <c r="G9" s="72"/>
      <c r="H9" s="72"/>
      <c r="I9" s="72"/>
      <c r="J9" s="72"/>
      <c r="K9" s="74"/>
      <c r="L9" s="78"/>
      <c r="M9" s="78"/>
      <c r="N9" s="78"/>
      <c r="O9" s="78"/>
      <c r="P9" s="78"/>
      <c r="Q9" s="78"/>
      <c r="R9" s="78"/>
      <c r="S9" s="78"/>
      <c r="T9" s="78"/>
      <c r="U9" s="78"/>
    </row>
    <row r="10" spans="1:24" ht="6" customHeight="1" x14ac:dyDescent="0.15">
      <c r="A10" s="72"/>
      <c r="B10" s="77"/>
      <c r="C10" s="77"/>
      <c r="D10" s="77"/>
      <c r="E10" s="77"/>
      <c r="F10" s="77"/>
      <c r="G10" s="77"/>
      <c r="H10" s="77"/>
      <c r="I10" s="77"/>
      <c r="J10" s="77"/>
      <c r="K10" s="77"/>
      <c r="L10" s="79"/>
      <c r="M10" s="77"/>
      <c r="N10" s="77"/>
      <c r="O10" s="77"/>
      <c r="P10" s="77"/>
      <c r="Q10" s="77"/>
      <c r="R10" s="77"/>
      <c r="S10" s="77"/>
      <c r="T10" s="77"/>
      <c r="U10" s="77"/>
    </row>
    <row r="11" spans="1:24" ht="18" customHeight="1" x14ac:dyDescent="0.15">
      <c r="A11" s="72"/>
      <c r="B11" s="115"/>
      <c r="C11" s="116"/>
      <c r="D11" s="116"/>
      <c r="E11" s="116"/>
      <c r="F11" s="116"/>
      <c r="G11" s="116"/>
      <c r="H11" s="116"/>
      <c r="I11" s="116"/>
      <c r="J11" s="116"/>
      <c r="K11" s="116"/>
      <c r="L11" s="116"/>
      <c r="M11" s="116"/>
      <c r="N11" s="116"/>
      <c r="O11" s="116"/>
      <c r="P11" s="116"/>
      <c r="Q11" s="116"/>
      <c r="R11" s="116"/>
      <c r="S11" s="116"/>
      <c r="T11" s="116"/>
      <c r="U11" s="117"/>
    </row>
    <row r="12" spans="1:24" ht="18" customHeight="1" x14ac:dyDescent="0.15">
      <c r="A12" s="72"/>
      <c r="B12" s="118"/>
      <c r="C12" s="119"/>
      <c r="D12" s="119"/>
      <c r="E12" s="119"/>
      <c r="F12" s="119"/>
      <c r="G12" s="119"/>
      <c r="H12" s="119"/>
      <c r="I12" s="119"/>
      <c r="J12" s="119"/>
      <c r="K12" s="119"/>
      <c r="L12" s="119"/>
      <c r="M12" s="119"/>
      <c r="N12" s="119"/>
      <c r="O12" s="119"/>
      <c r="P12" s="119"/>
      <c r="Q12" s="119"/>
      <c r="R12" s="119"/>
      <c r="S12" s="119"/>
      <c r="T12" s="119"/>
      <c r="U12" s="120"/>
    </row>
    <row r="13" spans="1:24" ht="6" customHeight="1" x14ac:dyDescent="0.15">
      <c r="A13" s="72"/>
      <c r="B13" s="77"/>
      <c r="C13" s="77"/>
      <c r="D13" s="77"/>
      <c r="E13" s="77"/>
      <c r="F13" s="77"/>
      <c r="G13" s="77"/>
      <c r="H13" s="77"/>
      <c r="I13" s="77"/>
      <c r="J13" s="77"/>
      <c r="K13" s="77"/>
      <c r="L13" s="79"/>
      <c r="M13" s="77"/>
      <c r="N13" s="77"/>
      <c r="O13" s="77"/>
      <c r="P13" s="77"/>
      <c r="Q13" s="77"/>
      <c r="R13" s="77"/>
      <c r="S13" s="77"/>
      <c r="T13" s="77"/>
      <c r="U13" s="77"/>
    </row>
    <row r="14" spans="1:24" ht="18" customHeight="1" x14ac:dyDescent="0.15">
      <c r="A14" s="72" t="s">
        <v>101</v>
      </c>
      <c r="B14" s="77"/>
      <c r="C14" s="77"/>
      <c r="D14" s="77"/>
      <c r="E14" s="74"/>
      <c r="F14" s="74"/>
      <c r="G14" s="74"/>
      <c r="H14" s="74"/>
      <c r="I14" s="74"/>
      <c r="J14" s="74"/>
      <c r="K14" s="74"/>
      <c r="L14" s="80"/>
      <c r="M14" s="80"/>
      <c r="N14" s="80"/>
      <c r="O14" s="80"/>
      <c r="P14" s="80"/>
      <c r="Q14" s="80"/>
      <c r="R14" s="80"/>
      <c r="S14" s="80"/>
      <c r="T14" s="80"/>
      <c r="U14" s="80"/>
    </row>
    <row r="15" spans="1:24" ht="18" customHeight="1" x14ac:dyDescent="0.15">
      <c r="A15" s="72"/>
      <c r="B15" s="136" t="s">
        <v>163</v>
      </c>
      <c r="C15" s="137"/>
      <c r="D15" s="137"/>
      <c r="E15" s="137"/>
      <c r="F15" s="137"/>
      <c r="G15" s="137"/>
      <c r="H15" s="137"/>
      <c r="I15" s="137"/>
      <c r="J15" s="137"/>
      <c r="K15" s="137"/>
      <c r="L15" s="137"/>
      <c r="M15" s="137"/>
      <c r="N15" s="137"/>
      <c r="O15" s="137"/>
      <c r="P15" s="137"/>
      <c r="Q15" s="137"/>
      <c r="R15" s="137"/>
      <c r="S15" s="137"/>
      <c r="T15" s="137"/>
      <c r="U15" s="138"/>
      <c r="X15" s="1" t="s">
        <v>95</v>
      </c>
    </row>
    <row r="16" spans="1:24" ht="18" customHeight="1" x14ac:dyDescent="0.15">
      <c r="A16" s="72"/>
      <c r="B16" s="139"/>
      <c r="C16" s="140"/>
      <c r="D16" s="140"/>
      <c r="E16" s="140"/>
      <c r="F16" s="140"/>
      <c r="G16" s="140"/>
      <c r="H16" s="140"/>
      <c r="I16" s="140"/>
      <c r="J16" s="140"/>
      <c r="K16" s="140"/>
      <c r="L16" s="140"/>
      <c r="M16" s="140"/>
      <c r="N16" s="140"/>
      <c r="O16" s="140"/>
      <c r="P16" s="140"/>
      <c r="Q16" s="140"/>
      <c r="R16" s="140"/>
      <c r="S16" s="140"/>
      <c r="T16" s="140"/>
      <c r="U16" s="141"/>
      <c r="X16" s="1" t="s">
        <v>115</v>
      </c>
    </row>
    <row r="17" spans="1:24" ht="18" customHeight="1" x14ac:dyDescent="0.15">
      <c r="A17" s="72"/>
      <c r="B17" s="139"/>
      <c r="C17" s="140"/>
      <c r="D17" s="140"/>
      <c r="E17" s="140"/>
      <c r="F17" s="140"/>
      <c r="G17" s="140"/>
      <c r="H17" s="140"/>
      <c r="I17" s="140"/>
      <c r="J17" s="140"/>
      <c r="K17" s="140"/>
      <c r="L17" s="140"/>
      <c r="M17" s="140"/>
      <c r="N17" s="140"/>
      <c r="O17" s="140"/>
      <c r="P17" s="140"/>
      <c r="Q17" s="140"/>
      <c r="R17" s="140"/>
      <c r="S17" s="140"/>
      <c r="T17" s="140"/>
      <c r="U17" s="141"/>
      <c r="X17" s="1" t="s">
        <v>116</v>
      </c>
    </row>
    <row r="18" spans="1:24" ht="18" customHeight="1" x14ac:dyDescent="0.15">
      <c r="A18" s="72"/>
      <c r="B18" s="139"/>
      <c r="C18" s="140"/>
      <c r="D18" s="140"/>
      <c r="E18" s="140"/>
      <c r="F18" s="140"/>
      <c r="G18" s="140"/>
      <c r="H18" s="140"/>
      <c r="I18" s="140"/>
      <c r="J18" s="140"/>
      <c r="K18" s="140"/>
      <c r="L18" s="140"/>
      <c r="M18" s="140"/>
      <c r="N18" s="140"/>
      <c r="O18" s="140"/>
      <c r="P18" s="140"/>
      <c r="Q18" s="140"/>
      <c r="R18" s="140"/>
      <c r="S18" s="140"/>
      <c r="T18" s="140"/>
      <c r="U18" s="141"/>
      <c r="X18" s="1" t="s">
        <v>117</v>
      </c>
    </row>
    <row r="19" spans="1:24" ht="18" customHeight="1" x14ac:dyDescent="0.15">
      <c r="A19" s="72"/>
      <c r="B19" s="139"/>
      <c r="C19" s="140"/>
      <c r="D19" s="140"/>
      <c r="E19" s="140"/>
      <c r="F19" s="140"/>
      <c r="G19" s="140"/>
      <c r="H19" s="140"/>
      <c r="I19" s="140"/>
      <c r="J19" s="140"/>
      <c r="K19" s="140"/>
      <c r="L19" s="140"/>
      <c r="M19" s="140"/>
      <c r="N19" s="140"/>
      <c r="O19" s="140"/>
      <c r="P19" s="140"/>
      <c r="Q19" s="140"/>
      <c r="R19" s="140"/>
      <c r="S19" s="140"/>
      <c r="T19" s="140"/>
      <c r="U19" s="141"/>
    </row>
    <row r="20" spans="1:24" ht="18" customHeight="1" x14ac:dyDescent="0.15">
      <c r="A20" s="72"/>
      <c r="B20" s="142"/>
      <c r="C20" s="143"/>
      <c r="D20" s="143"/>
      <c r="E20" s="143"/>
      <c r="F20" s="143"/>
      <c r="G20" s="143"/>
      <c r="H20" s="143"/>
      <c r="I20" s="143"/>
      <c r="J20" s="143"/>
      <c r="K20" s="143"/>
      <c r="L20" s="143"/>
      <c r="M20" s="143"/>
      <c r="N20" s="143"/>
      <c r="O20" s="143"/>
      <c r="P20" s="143"/>
      <c r="Q20" s="143"/>
      <c r="R20" s="143"/>
      <c r="S20" s="143"/>
      <c r="T20" s="143"/>
      <c r="U20" s="144"/>
    </row>
    <row r="21" spans="1:24" ht="7.5" customHeight="1" x14ac:dyDescent="0.15">
      <c r="A21" s="72"/>
      <c r="B21" s="77"/>
      <c r="C21" s="77"/>
      <c r="D21" s="77"/>
      <c r="E21" s="77"/>
      <c r="F21" s="77"/>
      <c r="G21" s="77"/>
      <c r="H21" s="77"/>
      <c r="I21" s="77"/>
      <c r="J21" s="77"/>
      <c r="K21" s="77"/>
      <c r="L21" s="77"/>
      <c r="M21" s="77"/>
      <c r="N21" s="77"/>
      <c r="O21" s="77"/>
      <c r="P21" s="77"/>
      <c r="Q21" s="77"/>
      <c r="R21" s="77"/>
      <c r="S21" s="77"/>
      <c r="T21" s="77"/>
      <c r="U21" s="77"/>
    </row>
    <row r="22" spans="1:24" ht="19.899999999999999" customHeight="1" x14ac:dyDescent="0.15">
      <c r="A22" s="72"/>
      <c r="B22" s="72" t="s">
        <v>133</v>
      </c>
      <c r="C22" s="72"/>
      <c r="D22" s="72"/>
      <c r="E22" s="81">
        <v>1</v>
      </c>
      <c r="F22" s="72" t="s">
        <v>113</v>
      </c>
      <c r="G22" s="72"/>
      <c r="H22" s="82">
        <v>2</v>
      </c>
      <c r="I22" s="77" t="s">
        <v>114</v>
      </c>
      <c r="J22" s="77"/>
      <c r="K22" s="74"/>
      <c r="L22" s="72"/>
      <c r="M22" s="74" t="s">
        <v>110</v>
      </c>
      <c r="N22" s="103" t="s">
        <v>116</v>
      </c>
      <c r="O22" s="104"/>
      <c r="P22" s="104"/>
      <c r="Q22" s="104"/>
      <c r="R22" s="104"/>
      <c r="S22" s="104"/>
      <c r="T22" s="104"/>
      <c r="U22" s="105"/>
    </row>
    <row r="23" spans="1:24" ht="7.5" customHeight="1" x14ac:dyDescent="0.15">
      <c r="A23" s="72"/>
      <c r="B23" s="77"/>
      <c r="C23" s="77"/>
      <c r="D23" s="77"/>
      <c r="E23" s="77"/>
      <c r="F23" s="77"/>
      <c r="G23" s="77"/>
      <c r="H23" s="77"/>
      <c r="I23" s="77"/>
      <c r="J23" s="77"/>
      <c r="K23" s="77"/>
      <c r="L23" s="77"/>
      <c r="M23" s="77"/>
      <c r="N23" s="77"/>
      <c r="O23" s="77"/>
      <c r="P23" s="77"/>
      <c r="Q23" s="77"/>
      <c r="R23" s="77"/>
      <c r="S23" s="77"/>
      <c r="T23" s="77"/>
      <c r="U23" s="77"/>
    </row>
    <row r="24" spans="1:24" ht="18" customHeight="1" x14ac:dyDescent="0.15">
      <c r="A24" s="145" t="s">
        <v>102</v>
      </c>
      <c r="B24" s="145"/>
      <c r="C24" s="145"/>
      <c r="D24" s="145"/>
      <c r="E24" s="145"/>
      <c r="F24" s="145"/>
      <c r="G24" s="145"/>
      <c r="H24" s="145"/>
      <c r="I24" s="145"/>
      <c r="J24" s="145"/>
      <c r="K24" s="145"/>
      <c r="L24" s="145"/>
      <c r="M24" s="145"/>
      <c r="N24" s="145"/>
      <c r="O24" s="145"/>
      <c r="P24" s="145"/>
      <c r="Q24" s="145"/>
      <c r="R24" s="145"/>
      <c r="S24" s="145"/>
      <c r="T24" s="145"/>
      <c r="U24" s="145"/>
    </row>
    <row r="25" spans="1:24" ht="18" customHeight="1" x14ac:dyDescent="0.15">
      <c r="A25" s="145"/>
      <c r="B25" s="145"/>
      <c r="C25" s="145"/>
      <c r="D25" s="145"/>
      <c r="E25" s="145"/>
      <c r="F25" s="145"/>
      <c r="G25" s="145"/>
      <c r="H25" s="145"/>
      <c r="I25" s="145"/>
      <c r="J25" s="145"/>
      <c r="K25" s="145"/>
      <c r="L25" s="145"/>
      <c r="M25" s="145"/>
      <c r="N25" s="145"/>
      <c r="O25" s="145"/>
      <c r="P25" s="145"/>
      <c r="Q25" s="145"/>
      <c r="R25" s="145"/>
      <c r="S25" s="145"/>
      <c r="T25" s="145"/>
      <c r="U25" s="145"/>
    </row>
    <row r="26" spans="1:24" ht="18" customHeight="1" x14ac:dyDescent="0.15">
      <c r="B26" s="109" t="s">
        <v>52</v>
      </c>
      <c r="C26" s="110"/>
      <c r="D26" s="110"/>
      <c r="E26" s="110"/>
      <c r="F26" s="111"/>
      <c r="G26" s="48" t="s">
        <v>78</v>
      </c>
      <c r="H26" s="47" t="s">
        <v>81</v>
      </c>
      <c r="I26" s="15" t="s">
        <v>55</v>
      </c>
      <c r="J26" s="15" t="s">
        <v>58</v>
      </c>
      <c r="K26" s="109" t="s">
        <v>52</v>
      </c>
      <c r="L26" s="110"/>
      <c r="M26" s="110"/>
      <c r="N26" s="110"/>
      <c r="O26" s="110"/>
      <c r="P26" s="110"/>
      <c r="Q26" s="111"/>
      <c r="R26" s="48" t="s">
        <v>78</v>
      </c>
      <c r="S26" s="47" t="s">
        <v>81</v>
      </c>
      <c r="T26" s="15" t="s">
        <v>55</v>
      </c>
      <c r="U26" s="15" t="s">
        <v>58</v>
      </c>
    </row>
    <row r="27" spans="1:24" ht="18" customHeight="1" x14ac:dyDescent="0.15">
      <c r="B27" s="127" t="s">
        <v>137</v>
      </c>
      <c r="C27" s="128"/>
      <c r="D27" s="128"/>
      <c r="E27" s="128"/>
      <c r="F27" s="129"/>
      <c r="G27" s="16">
        <v>2</v>
      </c>
      <c r="H27" s="16" t="s">
        <v>138</v>
      </c>
      <c r="I27" s="16" t="s">
        <v>138</v>
      </c>
      <c r="J27" s="16" t="s">
        <v>138</v>
      </c>
      <c r="K27" s="127"/>
      <c r="L27" s="128"/>
      <c r="M27" s="128"/>
      <c r="N27" s="128"/>
      <c r="O27" s="128"/>
      <c r="P27" s="128"/>
      <c r="Q27" s="129"/>
      <c r="R27" s="16"/>
      <c r="S27" s="16"/>
      <c r="T27" s="16"/>
      <c r="U27" s="16"/>
    </row>
    <row r="28" spans="1:24" ht="18" customHeight="1" x14ac:dyDescent="0.15">
      <c r="B28" s="121"/>
      <c r="C28" s="122"/>
      <c r="D28" s="122"/>
      <c r="E28" s="122"/>
      <c r="F28" s="123"/>
      <c r="G28" s="17"/>
      <c r="H28" s="17"/>
      <c r="I28" s="17"/>
      <c r="J28" s="17"/>
      <c r="K28" s="121"/>
      <c r="L28" s="122"/>
      <c r="M28" s="122"/>
      <c r="N28" s="122"/>
      <c r="O28" s="122"/>
      <c r="P28" s="122"/>
      <c r="Q28" s="123"/>
      <c r="R28" s="17"/>
      <c r="S28" s="17"/>
      <c r="T28" s="17"/>
      <c r="U28" s="17"/>
    </row>
    <row r="29" spans="1:24" ht="18" customHeight="1" x14ac:dyDescent="0.15">
      <c r="B29" s="121"/>
      <c r="C29" s="122"/>
      <c r="D29" s="122"/>
      <c r="E29" s="122"/>
      <c r="F29" s="123"/>
      <c r="G29" s="17"/>
      <c r="H29" s="17"/>
      <c r="I29" s="17"/>
      <c r="J29" s="17"/>
      <c r="K29" s="121"/>
      <c r="L29" s="122"/>
      <c r="M29" s="122"/>
      <c r="N29" s="122"/>
      <c r="O29" s="122"/>
      <c r="P29" s="122"/>
      <c r="Q29" s="123"/>
      <c r="R29" s="17"/>
      <c r="S29" s="17"/>
      <c r="T29" s="17"/>
      <c r="U29" s="17"/>
    </row>
    <row r="30" spans="1:24" ht="18" customHeight="1" x14ac:dyDescent="0.15">
      <c r="B30" s="121"/>
      <c r="C30" s="122"/>
      <c r="D30" s="122"/>
      <c r="E30" s="122"/>
      <c r="F30" s="123"/>
      <c r="G30" s="17"/>
      <c r="H30" s="17"/>
      <c r="I30" s="17"/>
      <c r="J30" s="17"/>
      <c r="K30" s="121"/>
      <c r="L30" s="122"/>
      <c r="M30" s="122"/>
      <c r="N30" s="122"/>
      <c r="O30" s="122"/>
      <c r="P30" s="122"/>
      <c r="Q30" s="123"/>
      <c r="R30" s="17"/>
      <c r="S30" s="17"/>
      <c r="T30" s="17"/>
      <c r="U30" s="17"/>
    </row>
    <row r="31" spans="1:24" ht="18" customHeight="1" x14ac:dyDescent="0.15">
      <c r="B31" s="121"/>
      <c r="C31" s="122"/>
      <c r="D31" s="122"/>
      <c r="E31" s="122"/>
      <c r="F31" s="123"/>
      <c r="G31" s="17"/>
      <c r="H31" s="17"/>
      <c r="I31" s="17"/>
      <c r="J31" s="17"/>
      <c r="K31" s="121"/>
      <c r="L31" s="122"/>
      <c r="M31" s="122"/>
      <c r="N31" s="122"/>
      <c r="O31" s="122"/>
      <c r="P31" s="122"/>
      <c r="Q31" s="123"/>
      <c r="R31" s="17"/>
      <c r="S31" s="17"/>
      <c r="T31" s="17"/>
      <c r="U31" s="17"/>
    </row>
    <row r="32" spans="1:24" ht="18" customHeight="1" x14ac:dyDescent="0.15">
      <c r="A32" s="3"/>
      <c r="B32" s="121"/>
      <c r="C32" s="122"/>
      <c r="D32" s="122"/>
      <c r="E32" s="122"/>
      <c r="F32" s="123"/>
      <c r="G32" s="17"/>
      <c r="H32" s="17"/>
      <c r="I32" s="17"/>
      <c r="J32" s="17"/>
      <c r="K32" s="121"/>
      <c r="L32" s="122"/>
      <c r="M32" s="122"/>
      <c r="N32" s="122"/>
      <c r="O32" s="122"/>
      <c r="P32" s="122"/>
      <c r="Q32" s="123"/>
      <c r="R32" s="17"/>
      <c r="S32" s="17"/>
      <c r="T32" s="17"/>
      <c r="U32" s="17"/>
    </row>
    <row r="33" spans="1:21" ht="18" customHeight="1" x14ac:dyDescent="0.15">
      <c r="A33" s="3"/>
      <c r="B33" s="124"/>
      <c r="C33" s="125"/>
      <c r="D33" s="125"/>
      <c r="E33" s="125"/>
      <c r="F33" s="126"/>
      <c r="G33" s="18"/>
      <c r="H33" s="18"/>
      <c r="I33" s="19"/>
      <c r="J33" s="19"/>
      <c r="K33" s="124"/>
      <c r="L33" s="125"/>
      <c r="M33" s="125"/>
      <c r="N33" s="125"/>
      <c r="O33" s="125"/>
      <c r="P33" s="125"/>
      <c r="Q33" s="126"/>
      <c r="R33" s="18"/>
      <c r="S33" s="18"/>
      <c r="T33" s="19"/>
      <c r="U33" s="19"/>
    </row>
    <row r="34" spans="1:21" ht="7.5" customHeight="1" x14ac:dyDescent="0.15">
      <c r="A34" s="3"/>
      <c r="B34" s="5"/>
      <c r="C34" s="5"/>
      <c r="D34" s="5"/>
      <c r="E34" s="3"/>
      <c r="F34" s="3"/>
      <c r="G34" s="3"/>
      <c r="H34" s="3"/>
      <c r="I34" s="5"/>
      <c r="J34" s="5"/>
      <c r="K34" s="5"/>
      <c r="L34" s="5"/>
      <c r="M34" s="5"/>
      <c r="N34" s="5"/>
      <c r="O34" s="5"/>
      <c r="P34" s="5"/>
      <c r="Q34" s="5"/>
      <c r="R34" s="5"/>
      <c r="S34" s="5"/>
      <c r="T34" s="5"/>
      <c r="U34" s="3"/>
    </row>
    <row r="35" spans="1:21" ht="18" customHeight="1" x14ac:dyDescent="0.15">
      <c r="A35" s="130" t="s">
        <v>103</v>
      </c>
      <c r="B35" s="130"/>
      <c r="C35" s="130"/>
      <c r="D35" s="130"/>
      <c r="E35" s="130"/>
      <c r="F35" s="130"/>
      <c r="G35" s="130"/>
      <c r="H35" s="130"/>
      <c r="I35" s="130"/>
      <c r="J35" s="130"/>
      <c r="K35" s="130"/>
      <c r="L35" s="130"/>
      <c r="M35" s="130"/>
      <c r="N35" s="130"/>
      <c r="O35" s="130"/>
      <c r="P35" s="130"/>
      <c r="Q35" s="130"/>
      <c r="R35" s="130"/>
      <c r="S35" s="130"/>
      <c r="T35" s="130"/>
      <c r="U35" s="130"/>
    </row>
    <row r="36" spans="1:21" ht="18" customHeight="1" x14ac:dyDescent="0.15">
      <c r="A36" s="130"/>
      <c r="B36" s="130"/>
      <c r="C36" s="130"/>
      <c r="D36" s="130"/>
      <c r="E36" s="130"/>
      <c r="F36" s="130"/>
      <c r="G36" s="130"/>
      <c r="H36" s="130"/>
      <c r="I36" s="130"/>
      <c r="J36" s="130"/>
      <c r="K36" s="130"/>
      <c r="L36" s="130"/>
      <c r="M36" s="130"/>
      <c r="N36" s="130"/>
      <c r="O36" s="130"/>
      <c r="P36" s="130"/>
      <c r="Q36" s="130"/>
      <c r="R36" s="130"/>
      <c r="S36" s="130"/>
      <c r="T36" s="130"/>
      <c r="U36" s="130"/>
    </row>
    <row r="37" spans="1:21" ht="18" customHeight="1" x14ac:dyDescent="0.15">
      <c r="B37" s="109" t="s">
        <v>52</v>
      </c>
      <c r="C37" s="110"/>
      <c r="D37" s="110"/>
      <c r="E37" s="110"/>
      <c r="F37" s="111"/>
      <c r="G37" s="48" t="s">
        <v>78</v>
      </c>
      <c r="H37" s="47" t="s">
        <v>81</v>
      </c>
      <c r="I37" s="15" t="s">
        <v>69</v>
      </c>
      <c r="J37" s="15" t="s">
        <v>70</v>
      </c>
      <c r="K37" s="109" t="s">
        <v>52</v>
      </c>
      <c r="L37" s="110"/>
      <c r="M37" s="110"/>
      <c r="N37" s="110"/>
      <c r="O37" s="110"/>
      <c r="P37" s="110"/>
      <c r="Q37" s="111"/>
      <c r="R37" s="48" t="s">
        <v>78</v>
      </c>
      <c r="S37" s="47" t="s">
        <v>81</v>
      </c>
      <c r="T37" s="15" t="s">
        <v>69</v>
      </c>
      <c r="U37" s="15" t="s">
        <v>70</v>
      </c>
    </row>
    <row r="38" spans="1:21" ht="18" customHeight="1" x14ac:dyDescent="0.15">
      <c r="B38" s="127" t="s">
        <v>137</v>
      </c>
      <c r="C38" s="128"/>
      <c r="D38" s="128"/>
      <c r="E38" s="128"/>
      <c r="F38" s="129"/>
      <c r="G38" s="16">
        <v>2</v>
      </c>
      <c r="H38" s="16" t="s">
        <v>138</v>
      </c>
      <c r="I38" s="16" t="s">
        <v>138</v>
      </c>
      <c r="J38" s="16" t="s">
        <v>138</v>
      </c>
      <c r="K38" s="127"/>
      <c r="L38" s="128"/>
      <c r="M38" s="128"/>
      <c r="N38" s="128"/>
      <c r="O38" s="128"/>
      <c r="P38" s="128"/>
      <c r="Q38" s="129"/>
      <c r="R38" s="16"/>
      <c r="S38" s="16"/>
      <c r="T38" s="16"/>
      <c r="U38" s="16"/>
    </row>
    <row r="39" spans="1:21" ht="18" customHeight="1" x14ac:dyDescent="0.15">
      <c r="B39" s="121"/>
      <c r="C39" s="122"/>
      <c r="D39" s="122"/>
      <c r="E39" s="122"/>
      <c r="F39" s="123"/>
      <c r="G39" s="17"/>
      <c r="H39" s="17"/>
      <c r="I39" s="17"/>
      <c r="J39" s="17"/>
      <c r="K39" s="121"/>
      <c r="L39" s="122"/>
      <c r="M39" s="122"/>
      <c r="N39" s="122"/>
      <c r="O39" s="122"/>
      <c r="P39" s="122"/>
      <c r="Q39" s="123"/>
      <c r="R39" s="17"/>
      <c r="S39" s="17"/>
      <c r="T39" s="17"/>
      <c r="U39" s="17"/>
    </row>
    <row r="40" spans="1:21" ht="18" customHeight="1" x14ac:dyDescent="0.15">
      <c r="B40" s="121"/>
      <c r="C40" s="122"/>
      <c r="D40" s="122"/>
      <c r="E40" s="122"/>
      <c r="F40" s="123"/>
      <c r="G40" s="17"/>
      <c r="H40" s="17"/>
      <c r="I40" s="17"/>
      <c r="J40" s="17"/>
      <c r="K40" s="121"/>
      <c r="L40" s="122"/>
      <c r="M40" s="122"/>
      <c r="N40" s="122"/>
      <c r="O40" s="122"/>
      <c r="P40" s="122"/>
      <c r="Q40" s="123"/>
      <c r="R40" s="17"/>
      <c r="S40" s="17"/>
      <c r="T40" s="17"/>
      <c r="U40" s="17"/>
    </row>
    <row r="41" spans="1:21" ht="18" customHeight="1" x14ac:dyDescent="0.15">
      <c r="B41" s="121"/>
      <c r="C41" s="122"/>
      <c r="D41" s="122"/>
      <c r="E41" s="122"/>
      <c r="F41" s="123"/>
      <c r="G41" s="17"/>
      <c r="H41" s="17"/>
      <c r="I41" s="17"/>
      <c r="J41" s="17"/>
      <c r="K41" s="121"/>
      <c r="L41" s="122"/>
      <c r="M41" s="122"/>
      <c r="N41" s="122"/>
      <c r="O41" s="122"/>
      <c r="P41" s="122"/>
      <c r="Q41" s="123"/>
      <c r="R41" s="17"/>
      <c r="S41" s="17"/>
      <c r="T41" s="17"/>
      <c r="U41" s="17"/>
    </row>
    <row r="42" spans="1:21" ht="18" customHeight="1" x14ac:dyDescent="0.15">
      <c r="B42" s="121"/>
      <c r="C42" s="122"/>
      <c r="D42" s="122"/>
      <c r="E42" s="122"/>
      <c r="F42" s="123"/>
      <c r="G42" s="17"/>
      <c r="H42" s="17"/>
      <c r="I42" s="17"/>
      <c r="J42" s="17"/>
      <c r="K42" s="121"/>
      <c r="L42" s="122"/>
      <c r="M42" s="122"/>
      <c r="N42" s="122"/>
      <c r="O42" s="122"/>
      <c r="P42" s="122"/>
      <c r="Q42" s="123"/>
      <c r="R42" s="17"/>
      <c r="S42" s="17"/>
      <c r="T42" s="17"/>
      <c r="U42" s="17"/>
    </row>
    <row r="43" spans="1:21" ht="18" customHeight="1" x14ac:dyDescent="0.15">
      <c r="B43" s="121"/>
      <c r="C43" s="122"/>
      <c r="D43" s="122"/>
      <c r="E43" s="122"/>
      <c r="F43" s="123"/>
      <c r="G43" s="17"/>
      <c r="H43" s="17"/>
      <c r="I43" s="17"/>
      <c r="J43" s="17"/>
      <c r="K43" s="121"/>
      <c r="L43" s="122"/>
      <c r="M43" s="122"/>
      <c r="N43" s="122"/>
      <c r="O43" s="122"/>
      <c r="P43" s="122"/>
      <c r="Q43" s="123"/>
      <c r="R43" s="17"/>
      <c r="S43" s="17"/>
      <c r="T43" s="17"/>
      <c r="U43" s="17"/>
    </row>
    <row r="44" spans="1:21" ht="18" customHeight="1" x14ac:dyDescent="0.15">
      <c r="B44" s="124"/>
      <c r="C44" s="125"/>
      <c r="D44" s="125"/>
      <c r="E44" s="125"/>
      <c r="F44" s="126"/>
      <c r="G44" s="18"/>
      <c r="H44" s="18"/>
      <c r="I44" s="19"/>
      <c r="J44" s="19"/>
      <c r="K44" s="124"/>
      <c r="L44" s="125"/>
      <c r="M44" s="125"/>
      <c r="N44" s="125"/>
      <c r="O44" s="125"/>
      <c r="P44" s="125"/>
      <c r="Q44" s="126"/>
      <c r="R44" s="18"/>
      <c r="S44" s="18"/>
      <c r="T44" s="19"/>
      <c r="U44" s="19"/>
    </row>
    <row r="45" spans="1:21" ht="7.5" customHeight="1" x14ac:dyDescent="0.15">
      <c r="A45" s="3"/>
      <c r="B45" s="5"/>
      <c r="C45" s="5"/>
      <c r="D45" s="5"/>
      <c r="E45" s="3"/>
      <c r="F45" s="3"/>
      <c r="G45" s="3"/>
      <c r="H45" s="3"/>
      <c r="I45" s="5"/>
      <c r="J45" s="5"/>
      <c r="K45" s="5"/>
      <c r="L45" s="5"/>
      <c r="M45" s="5"/>
      <c r="N45" s="5"/>
      <c r="O45" s="5"/>
      <c r="P45" s="5"/>
      <c r="Q45" s="5"/>
      <c r="R45" s="5"/>
      <c r="S45" s="5"/>
      <c r="T45" s="5"/>
      <c r="U45" s="3"/>
    </row>
    <row r="46" spans="1:21" ht="18" customHeight="1" x14ac:dyDescent="0.15">
      <c r="A46" s="130" t="s">
        <v>104</v>
      </c>
      <c r="B46" s="130"/>
      <c r="C46" s="130"/>
      <c r="D46" s="130"/>
      <c r="E46" s="130"/>
      <c r="F46" s="130"/>
      <c r="G46" s="130"/>
      <c r="H46" s="130"/>
      <c r="I46" s="130"/>
      <c r="J46" s="130"/>
      <c r="K46" s="130"/>
      <c r="L46" s="130"/>
      <c r="M46" s="130"/>
      <c r="N46" s="130"/>
      <c r="O46" s="130"/>
      <c r="P46" s="130"/>
      <c r="Q46" s="130"/>
      <c r="R46" s="130"/>
      <c r="S46" s="130"/>
      <c r="T46" s="130"/>
      <c r="U46" s="130"/>
    </row>
    <row r="47" spans="1:21" ht="18" customHeight="1" x14ac:dyDescent="0.15">
      <c r="A47" s="130"/>
      <c r="B47" s="130"/>
      <c r="C47" s="130"/>
      <c r="D47" s="130"/>
      <c r="E47" s="130"/>
      <c r="F47" s="130"/>
      <c r="G47" s="130"/>
      <c r="H47" s="130"/>
      <c r="I47" s="130"/>
      <c r="J47" s="130"/>
      <c r="K47" s="130"/>
      <c r="L47" s="130"/>
      <c r="M47" s="130"/>
      <c r="N47" s="130"/>
      <c r="O47" s="130"/>
      <c r="P47" s="130"/>
      <c r="Q47" s="130"/>
      <c r="R47" s="130"/>
      <c r="S47" s="130"/>
      <c r="T47" s="130"/>
      <c r="U47" s="130"/>
    </row>
    <row r="48" spans="1:21" ht="18" customHeight="1" x14ac:dyDescent="0.15">
      <c r="B48" s="109" t="s">
        <v>52</v>
      </c>
      <c r="C48" s="110"/>
      <c r="D48" s="110"/>
      <c r="E48" s="110"/>
      <c r="F48" s="111"/>
      <c r="G48" s="48" t="s">
        <v>78</v>
      </c>
      <c r="H48" s="47" t="s">
        <v>81</v>
      </c>
      <c r="I48" s="15" t="s">
        <v>71</v>
      </c>
      <c r="J48" s="15" t="s">
        <v>72</v>
      </c>
      <c r="K48" s="109" t="s">
        <v>52</v>
      </c>
      <c r="L48" s="110"/>
      <c r="M48" s="110"/>
      <c r="N48" s="110"/>
      <c r="O48" s="110"/>
      <c r="P48" s="110"/>
      <c r="Q48" s="111"/>
      <c r="R48" s="48" t="s">
        <v>78</v>
      </c>
      <c r="S48" s="47" t="s">
        <v>81</v>
      </c>
      <c r="T48" s="15" t="s">
        <v>71</v>
      </c>
      <c r="U48" s="15" t="s">
        <v>72</v>
      </c>
    </row>
    <row r="49" spans="1:21" ht="18" customHeight="1" x14ac:dyDescent="0.15">
      <c r="A49" s="3"/>
      <c r="B49" s="127" t="s">
        <v>137</v>
      </c>
      <c r="C49" s="128"/>
      <c r="D49" s="128"/>
      <c r="E49" s="128"/>
      <c r="F49" s="129"/>
      <c r="G49" s="16">
        <v>2</v>
      </c>
      <c r="H49" s="16" t="s">
        <v>138</v>
      </c>
      <c r="I49" s="16" t="s">
        <v>138</v>
      </c>
      <c r="J49" s="16" t="s">
        <v>138</v>
      </c>
      <c r="K49" s="127"/>
      <c r="L49" s="128"/>
      <c r="M49" s="128"/>
      <c r="N49" s="128"/>
      <c r="O49" s="128"/>
      <c r="P49" s="128"/>
      <c r="Q49" s="129"/>
      <c r="R49" s="16"/>
      <c r="S49" s="16"/>
      <c r="T49" s="16"/>
      <c r="U49" s="16"/>
    </row>
    <row r="50" spans="1:21" ht="18" customHeight="1" x14ac:dyDescent="0.15">
      <c r="A50" s="3"/>
      <c r="B50" s="121"/>
      <c r="C50" s="122"/>
      <c r="D50" s="122"/>
      <c r="E50" s="122"/>
      <c r="F50" s="123"/>
      <c r="G50" s="17"/>
      <c r="H50" s="17"/>
      <c r="I50" s="17"/>
      <c r="J50" s="17"/>
      <c r="K50" s="121"/>
      <c r="L50" s="122"/>
      <c r="M50" s="122"/>
      <c r="N50" s="122"/>
      <c r="O50" s="122"/>
      <c r="P50" s="122"/>
      <c r="Q50" s="123"/>
      <c r="R50" s="17"/>
      <c r="S50" s="17"/>
      <c r="T50" s="17"/>
      <c r="U50" s="17"/>
    </row>
    <row r="51" spans="1:21" ht="18" customHeight="1" x14ac:dyDescent="0.15">
      <c r="A51" s="3"/>
      <c r="B51" s="121"/>
      <c r="C51" s="122"/>
      <c r="D51" s="122"/>
      <c r="E51" s="122"/>
      <c r="F51" s="123"/>
      <c r="G51" s="17"/>
      <c r="H51" s="17"/>
      <c r="I51" s="17"/>
      <c r="J51" s="17"/>
      <c r="K51" s="121"/>
      <c r="L51" s="122"/>
      <c r="M51" s="122"/>
      <c r="N51" s="122"/>
      <c r="O51" s="122"/>
      <c r="P51" s="122"/>
      <c r="Q51" s="123"/>
      <c r="R51" s="17"/>
      <c r="S51" s="17"/>
      <c r="T51" s="17"/>
      <c r="U51" s="17"/>
    </row>
    <row r="52" spans="1:21" ht="18" customHeight="1" x14ac:dyDescent="0.15">
      <c r="A52" s="3"/>
      <c r="B52" s="121"/>
      <c r="C52" s="122"/>
      <c r="D52" s="122"/>
      <c r="E52" s="122"/>
      <c r="F52" s="123"/>
      <c r="G52" s="17"/>
      <c r="H52" s="17"/>
      <c r="I52" s="17"/>
      <c r="J52" s="17"/>
      <c r="K52" s="121"/>
      <c r="L52" s="122"/>
      <c r="M52" s="122"/>
      <c r="N52" s="122"/>
      <c r="O52" s="122"/>
      <c r="P52" s="122"/>
      <c r="Q52" s="123"/>
      <c r="R52" s="17"/>
      <c r="S52" s="17"/>
      <c r="T52" s="17"/>
      <c r="U52" s="17"/>
    </row>
    <row r="53" spans="1:21" ht="18" customHeight="1" x14ac:dyDescent="0.15">
      <c r="A53" s="3"/>
      <c r="B53" s="121"/>
      <c r="C53" s="122"/>
      <c r="D53" s="122"/>
      <c r="E53" s="122"/>
      <c r="F53" s="123"/>
      <c r="G53" s="17"/>
      <c r="H53" s="17"/>
      <c r="I53" s="17"/>
      <c r="J53" s="17"/>
      <c r="K53" s="121"/>
      <c r="L53" s="122"/>
      <c r="M53" s="122"/>
      <c r="N53" s="122"/>
      <c r="O53" s="122"/>
      <c r="P53" s="122"/>
      <c r="Q53" s="123"/>
      <c r="R53" s="17"/>
      <c r="S53" s="17"/>
      <c r="T53" s="17"/>
      <c r="U53" s="17"/>
    </row>
    <row r="54" spans="1:21" ht="18" customHeight="1" x14ac:dyDescent="0.15">
      <c r="A54" s="3"/>
      <c r="B54" s="121"/>
      <c r="C54" s="122"/>
      <c r="D54" s="122"/>
      <c r="E54" s="122"/>
      <c r="F54" s="123"/>
      <c r="G54" s="17"/>
      <c r="H54" s="17"/>
      <c r="I54" s="17"/>
      <c r="J54" s="17"/>
      <c r="K54" s="121"/>
      <c r="L54" s="122"/>
      <c r="M54" s="122"/>
      <c r="N54" s="122"/>
      <c r="O54" s="122"/>
      <c r="P54" s="122"/>
      <c r="Q54" s="123"/>
      <c r="R54" s="17"/>
      <c r="S54" s="17"/>
      <c r="T54" s="17"/>
      <c r="U54" s="17"/>
    </row>
    <row r="55" spans="1:21" ht="18" customHeight="1" x14ac:dyDescent="0.15">
      <c r="A55" s="3"/>
      <c r="B55" s="124"/>
      <c r="C55" s="125"/>
      <c r="D55" s="125"/>
      <c r="E55" s="125"/>
      <c r="F55" s="126"/>
      <c r="G55" s="18"/>
      <c r="H55" s="18"/>
      <c r="I55" s="19"/>
      <c r="J55" s="19"/>
      <c r="K55" s="124"/>
      <c r="L55" s="125"/>
      <c r="M55" s="125"/>
      <c r="N55" s="125"/>
      <c r="O55" s="125"/>
      <c r="P55" s="125"/>
      <c r="Q55" s="126"/>
      <c r="R55" s="18"/>
      <c r="S55" s="18"/>
      <c r="T55" s="19"/>
      <c r="U55" s="19"/>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30" t="s">
        <v>105</v>
      </c>
      <c r="B57" s="130"/>
      <c r="C57" s="130"/>
      <c r="D57" s="130"/>
      <c r="E57" s="130"/>
      <c r="F57" s="130"/>
      <c r="G57" s="130"/>
      <c r="H57" s="130"/>
      <c r="I57" s="130"/>
      <c r="J57" s="130"/>
      <c r="K57" s="130"/>
      <c r="L57" s="130"/>
      <c r="M57" s="130"/>
      <c r="N57" s="130"/>
      <c r="O57" s="130"/>
      <c r="P57" s="130"/>
      <c r="Q57" s="130"/>
      <c r="R57" s="130"/>
      <c r="S57" s="130"/>
      <c r="T57" s="130"/>
      <c r="U57" s="130"/>
    </row>
    <row r="58" spans="1:21" ht="18" customHeight="1" x14ac:dyDescent="0.15">
      <c r="A58" s="130"/>
      <c r="B58" s="130"/>
      <c r="C58" s="130"/>
      <c r="D58" s="130"/>
      <c r="E58" s="130"/>
      <c r="F58" s="130"/>
      <c r="G58" s="130"/>
      <c r="H58" s="130"/>
      <c r="I58" s="130"/>
      <c r="J58" s="130"/>
      <c r="K58" s="130"/>
      <c r="L58" s="130"/>
      <c r="M58" s="130"/>
      <c r="N58" s="130"/>
      <c r="O58" s="130"/>
      <c r="P58" s="130"/>
      <c r="Q58" s="130"/>
      <c r="R58" s="130"/>
      <c r="S58" s="130"/>
      <c r="T58" s="130"/>
      <c r="U58" s="130"/>
    </row>
    <row r="59" spans="1:21" ht="18" customHeight="1" x14ac:dyDescent="0.15">
      <c r="B59" s="109" t="s">
        <v>52</v>
      </c>
      <c r="C59" s="110"/>
      <c r="D59" s="110"/>
      <c r="E59" s="110"/>
      <c r="F59" s="111"/>
      <c r="G59" s="48" t="s">
        <v>78</v>
      </c>
      <c r="H59" s="47" t="s">
        <v>81</v>
      </c>
      <c r="I59" s="15" t="s">
        <v>57</v>
      </c>
      <c r="J59" s="15" t="s">
        <v>59</v>
      </c>
      <c r="K59" s="109" t="s">
        <v>52</v>
      </c>
      <c r="L59" s="110"/>
      <c r="M59" s="110"/>
      <c r="N59" s="110"/>
      <c r="O59" s="110"/>
      <c r="P59" s="110"/>
      <c r="Q59" s="111"/>
      <c r="R59" s="48" t="s">
        <v>78</v>
      </c>
      <c r="S59" s="47" t="s">
        <v>81</v>
      </c>
      <c r="T59" s="15" t="s">
        <v>57</v>
      </c>
      <c r="U59" s="15" t="s">
        <v>59</v>
      </c>
    </row>
    <row r="60" spans="1:21" ht="18" customHeight="1" x14ac:dyDescent="0.15">
      <c r="A60" s="3"/>
      <c r="B60" s="127" t="s">
        <v>137</v>
      </c>
      <c r="C60" s="128"/>
      <c r="D60" s="128"/>
      <c r="E60" s="128"/>
      <c r="F60" s="129"/>
      <c r="G60" s="16">
        <v>2</v>
      </c>
      <c r="H60" s="16" t="s">
        <v>138</v>
      </c>
      <c r="I60" s="16" t="s">
        <v>138</v>
      </c>
      <c r="J60" s="16" t="s">
        <v>138</v>
      </c>
      <c r="K60" s="127"/>
      <c r="L60" s="128"/>
      <c r="M60" s="128"/>
      <c r="N60" s="128"/>
      <c r="O60" s="128"/>
      <c r="P60" s="128"/>
      <c r="Q60" s="129"/>
      <c r="R60" s="16"/>
      <c r="S60" s="16"/>
      <c r="T60" s="16"/>
      <c r="U60" s="16"/>
    </row>
    <row r="61" spans="1:21" ht="18" customHeight="1" x14ac:dyDescent="0.15">
      <c r="A61" s="3"/>
      <c r="B61" s="121"/>
      <c r="C61" s="122"/>
      <c r="D61" s="122"/>
      <c r="E61" s="122"/>
      <c r="F61" s="123"/>
      <c r="G61" s="17"/>
      <c r="H61" s="17"/>
      <c r="I61" s="17"/>
      <c r="J61" s="17"/>
      <c r="K61" s="121"/>
      <c r="L61" s="122"/>
      <c r="M61" s="122"/>
      <c r="N61" s="122"/>
      <c r="O61" s="122"/>
      <c r="P61" s="122"/>
      <c r="Q61" s="123"/>
      <c r="R61" s="17"/>
      <c r="S61" s="17"/>
      <c r="T61" s="17"/>
      <c r="U61" s="17"/>
    </row>
    <row r="62" spans="1:21" ht="18" customHeight="1" x14ac:dyDescent="0.15">
      <c r="A62" s="3"/>
      <c r="B62" s="121"/>
      <c r="C62" s="122"/>
      <c r="D62" s="122"/>
      <c r="E62" s="122"/>
      <c r="F62" s="123"/>
      <c r="G62" s="17"/>
      <c r="H62" s="17"/>
      <c r="I62" s="17"/>
      <c r="J62" s="17"/>
      <c r="K62" s="121"/>
      <c r="L62" s="122"/>
      <c r="M62" s="122"/>
      <c r="N62" s="122"/>
      <c r="O62" s="122"/>
      <c r="P62" s="122"/>
      <c r="Q62" s="123"/>
      <c r="R62" s="17"/>
      <c r="S62" s="17"/>
      <c r="T62" s="17"/>
      <c r="U62" s="17"/>
    </row>
    <row r="63" spans="1:21" ht="18" customHeight="1" x14ac:dyDescent="0.15">
      <c r="A63" s="3"/>
      <c r="B63" s="121"/>
      <c r="C63" s="122"/>
      <c r="D63" s="122"/>
      <c r="E63" s="122"/>
      <c r="F63" s="123"/>
      <c r="G63" s="17"/>
      <c r="H63" s="17"/>
      <c r="I63" s="17"/>
      <c r="J63" s="17"/>
      <c r="K63" s="121"/>
      <c r="L63" s="122"/>
      <c r="M63" s="122"/>
      <c r="N63" s="122"/>
      <c r="O63" s="122"/>
      <c r="P63" s="122"/>
      <c r="Q63" s="123"/>
      <c r="R63" s="17"/>
      <c r="S63" s="17"/>
      <c r="T63" s="17"/>
      <c r="U63" s="17"/>
    </row>
    <row r="64" spans="1:21" ht="18" customHeight="1" x14ac:dyDescent="0.15">
      <c r="A64" s="3"/>
      <c r="B64" s="121"/>
      <c r="C64" s="122"/>
      <c r="D64" s="122"/>
      <c r="E64" s="122"/>
      <c r="F64" s="123"/>
      <c r="G64" s="17"/>
      <c r="H64" s="17"/>
      <c r="I64" s="17"/>
      <c r="J64" s="17"/>
      <c r="K64" s="121"/>
      <c r="L64" s="122"/>
      <c r="M64" s="122"/>
      <c r="N64" s="122"/>
      <c r="O64" s="122"/>
      <c r="P64" s="122"/>
      <c r="Q64" s="123"/>
      <c r="R64" s="17"/>
      <c r="S64" s="17"/>
      <c r="T64" s="17"/>
      <c r="U64" s="17"/>
    </row>
    <row r="65" spans="1:21" ht="18" customHeight="1" x14ac:dyDescent="0.15">
      <c r="A65" s="3"/>
      <c r="B65" s="121"/>
      <c r="C65" s="122"/>
      <c r="D65" s="122"/>
      <c r="E65" s="122"/>
      <c r="F65" s="123"/>
      <c r="G65" s="17"/>
      <c r="H65" s="17"/>
      <c r="I65" s="17"/>
      <c r="J65" s="17"/>
      <c r="K65" s="121"/>
      <c r="L65" s="122"/>
      <c r="M65" s="122"/>
      <c r="N65" s="122"/>
      <c r="O65" s="122"/>
      <c r="P65" s="122"/>
      <c r="Q65" s="123"/>
      <c r="R65" s="17"/>
      <c r="S65" s="17"/>
      <c r="T65" s="17"/>
      <c r="U65" s="17"/>
    </row>
    <row r="66" spans="1:21" ht="18" customHeight="1" x14ac:dyDescent="0.15">
      <c r="A66" s="3"/>
      <c r="B66" s="124"/>
      <c r="C66" s="125"/>
      <c r="D66" s="125"/>
      <c r="E66" s="125"/>
      <c r="F66" s="126"/>
      <c r="G66" s="18"/>
      <c r="H66" s="18"/>
      <c r="I66" s="19"/>
      <c r="J66" s="19"/>
      <c r="K66" s="124"/>
      <c r="L66" s="125"/>
      <c r="M66" s="125"/>
      <c r="N66" s="125"/>
      <c r="O66" s="125"/>
      <c r="P66" s="125"/>
      <c r="Q66" s="126"/>
      <c r="R66" s="18"/>
      <c r="S66" s="18"/>
      <c r="T66" s="19"/>
      <c r="U66" s="19"/>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30" t="s">
        <v>106</v>
      </c>
      <c r="B68" s="130"/>
      <c r="C68" s="130"/>
      <c r="D68" s="130"/>
      <c r="E68" s="130"/>
      <c r="F68" s="130"/>
      <c r="G68" s="130"/>
      <c r="H68" s="130"/>
      <c r="I68" s="130"/>
      <c r="J68" s="130"/>
      <c r="K68" s="130"/>
      <c r="L68" s="130"/>
      <c r="M68" s="130"/>
      <c r="N68" s="130"/>
      <c r="O68" s="130"/>
      <c r="P68" s="130"/>
      <c r="Q68" s="130"/>
      <c r="R68" s="130"/>
      <c r="S68" s="130"/>
      <c r="T68" s="130"/>
      <c r="U68" s="130"/>
    </row>
    <row r="69" spans="1:21" ht="18" customHeight="1" x14ac:dyDescent="0.15">
      <c r="A69" s="130"/>
      <c r="B69" s="130"/>
      <c r="C69" s="130"/>
      <c r="D69" s="130"/>
      <c r="E69" s="130"/>
      <c r="F69" s="130"/>
      <c r="G69" s="130"/>
      <c r="H69" s="130"/>
      <c r="I69" s="130"/>
      <c r="J69" s="130"/>
      <c r="K69" s="130"/>
      <c r="L69" s="130"/>
      <c r="M69" s="130"/>
      <c r="N69" s="130"/>
      <c r="O69" s="130"/>
      <c r="P69" s="130"/>
      <c r="Q69" s="130"/>
      <c r="R69" s="130"/>
      <c r="S69" s="130"/>
      <c r="T69" s="130"/>
      <c r="U69" s="130"/>
    </row>
    <row r="70" spans="1:21" ht="18" customHeight="1" x14ac:dyDescent="0.15">
      <c r="B70" s="109" t="s">
        <v>52</v>
      </c>
      <c r="C70" s="110"/>
      <c r="D70" s="110"/>
      <c r="E70" s="110"/>
      <c r="F70" s="48" t="s">
        <v>78</v>
      </c>
      <c r="G70" s="47" t="s">
        <v>81</v>
      </c>
      <c r="H70" s="15" t="s">
        <v>93</v>
      </c>
      <c r="I70" s="15" t="s">
        <v>73</v>
      </c>
      <c r="J70" s="15" t="s">
        <v>74</v>
      </c>
      <c r="K70" s="109" t="s">
        <v>52</v>
      </c>
      <c r="L70" s="110"/>
      <c r="M70" s="110"/>
      <c r="N70" s="110"/>
      <c r="O70" s="110"/>
      <c r="P70" s="111"/>
      <c r="Q70" s="48" t="s">
        <v>78</v>
      </c>
      <c r="R70" s="47" t="s">
        <v>81</v>
      </c>
      <c r="S70" s="15" t="s">
        <v>93</v>
      </c>
      <c r="T70" s="15" t="s">
        <v>73</v>
      </c>
      <c r="U70" s="15" t="s">
        <v>74</v>
      </c>
    </row>
    <row r="71" spans="1:21" ht="18" customHeight="1" x14ac:dyDescent="0.15">
      <c r="A71" s="3"/>
      <c r="B71" s="163" t="s">
        <v>137</v>
      </c>
      <c r="C71" s="164"/>
      <c r="D71" s="164"/>
      <c r="E71" s="164"/>
      <c r="F71" s="16">
        <v>2</v>
      </c>
      <c r="G71" s="16" t="s">
        <v>138</v>
      </c>
      <c r="H71" s="16" t="s">
        <v>138</v>
      </c>
      <c r="I71" s="16" t="s">
        <v>138</v>
      </c>
      <c r="J71" s="16" t="s">
        <v>138</v>
      </c>
      <c r="K71" s="127"/>
      <c r="L71" s="128"/>
      <c r="M71" s="128"/>
      <c r="N71" s="128"/>
      <c r="O71" s="128"/>
      <c r="P71" s="129"/>
      <c r="Q71" s="16"/>
      <c r="R71" s="16"/>
      <c r="S71" s="16"/>
      <c r="T71" s="16"/>
      <c r="U71" s="16"/>
    </row>
    <row r="72" spans="1:21" ht="18" customHeight="1" x14ac:dyDescent="0.15">
      <c r="A72" s="3"/>
      <c r="B72" s="121"/>
      <c r="C72" s="122"/>
      <c r="D72" s="122"/>
      <c r="E72" s="122"/>
      <c r="F72" s="17"/>
      <c r="G72" s="17"/>
      <c r="H72" s="17"/>
      <c r="I72" s="17"/>
      <c r="J72" s="17"/>
      <c r="K72" s="121"/>
      <c r="L72" s="122"/>
      <c r="M72" s="122"/>
      <c r="N72" s="122"/>
      <c r="O72" s="122"/>
      <c r="P72" s="123"/>
      <c r="Q72" s="17"/>
      <c r="R72" s="17"/>
      <c r="S72" s="17"/>
      <c r="T72" s="17"/>
      <c r="U72" s="17"/>
    </row>
    <row r="73" spans="1:21" ht="18" customHeight="1" x14ac:dyDescent="0.15">
      <c r="A73" s="3"/>
      <c r="B73" s="121"/>
      <c r="C73" s="122"/>
      <c r="D73" s="122"/>
      <c r="E73" s="122"/>
      <c r="F73" s="17"/>
      <c r="G73" s="17"/>
      <c r="H73" s="17"/>
      <c r="I73" s="17"/>
      <c r="J73" s="17"/>
      <c r="K73" s="121"/>
      <c r="L73" s="122"/>
      <c r="M73" s="122"/>
      <c r="N73" s="122"/>
      <c r="O73" s="122"/>
      <c r="P73" s="123"/>
      <c r="Q73" s="17"/>
      <c r="R73" s="17"/>
      <c r="S73" s="17"/>
      <c r="T73" s="17"/>
      <c r="U73" s="17"/>
    </row>
    <row r="74" spans="1:21" ht="18" customHeight="1" x14ac:dyDescent="0.15">
      <c r="A74" s="3"/>
      <c r="B74" s="121"/>
      <c r="C74" s="122"/>
      <c r="D74" s="122"/>
      <c r="E74" s="122"/>
      <c r="F74" s="17"/>
      <c r="G74" s="17"/>
      <c r="H74" s="17"/>
      <c r="I74" s="17"/>
      <c r="J74" s="17"/>
      <c r="K74" s="121"/>
      <c r="L74" s="122"/>
      <c r="M74" s="122"/>
      <c r="N74" s="122"/>
      <c r="O74" s="122"/>
      <c r="P74" s="123"/>
      <c r="Q74" s="17"/>
      <c r="R74" s="17"/>
      <c r="S74" s="17"/>
      <c r="T74" s="17"/>
      <c r="U74" s="17"/>
    </row>
    <row r="75" spans="1:21" ht="18" customHeight="1" x14ac:dyDescent="0.15">
      <c r="A75" s="3"/>
      <c r="B75" s="121"/>
      <c r="C75" s="122"/>
      <c r="D75" s="122"/>
      <c r="E75" s="122"/>
      <c r="F75" s="17"/>
      <c r="G75" s="17"/>
      <c r="H75" s="17"/>
      <c r="I75" s="17"/>
      <c r="J75" s="17"/>
      <c r="K75" s="121"/>
      <c r="L75" s="122"/>
      <c r="M75" s="122"/>
      <c r="N75" s="122"/>
      <c r="O75" s="122"/>
      <c r="P75" s="123"/>
      <c r="Q75" s="17"/>
      <c r="R75" s="17"/>
      <c r="S75" s="17"/>
      <c r="T75" s="17"/>
      <c r="U75" s="17"/>
    </row>
    <row r="76" spans="1:21" ht="18" customHeight="1" x14ac:dyDescent="0.15">
      <c r="A76" s="3"/>
      <c r="B76" s="121"/>
      <c r="C76" s="122"/>
      <c r="D76" s="122"/>
      <c r="E76" s="122"/>
      <c r="F76" s="17"/>
      <c r="G76" s="17"/>
      <c r="H76" s="17"/>
      <c r="I76" s="17"/>
      <c r="J76" s="17"/>
      <c r="K76" s="121"/>
      <c r="L76" s="122"/>
      <c r="M76" s="122"/>
      <c r="N76" s="122"/>
      <c r="O76" s="122"/>
      <c r="P76" s="123"/>
      <c r="Q76" s="17"/>
      <c r="R76" s="17"/>
      <c r="S76" s="17"/>
      <c r="T76" s="17"/>
      <c r="U76" s="17"/>
    </row>
    <row r="77" spans="1:21" ht="18" customHeight="1" x14ac:dyDescent="0.15">
      <c r="A77" s="3"/>
      <c r="B77" s="124"/>
      <c r="C77" s="125"/>
      <c r="D77" s="125"/>
      <c r="E77" s="125"/>
      <c r="F77" s="18"/>
      <c r="G77" s="18"/>
      <c r="H77" s="19"/>
      <c r="I77" s="19"/>
      <c r="J77" s="19"/>
      <c r="K77" s="124"/>
      <c r="L77" s="125"/>
      <c r="M77" s="125"/>
      <c r="N77" s="125"/>
      <c r="O77" s="125"/>
      <c r="P77" s="126"/>
      <c r="Q77" s="18"/>
      <c r="R77" s="18"/>
      <c r="S77" s="19"/>
      <c r="T77" s="19"/>
      <c r="U77" s="19"/>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107</v>
      </c>
      <c r="I79" s="3"/>
      <c r="J79" s="3"/>
      <c r="K79" s="3"/>
      <c r="L79" s="3"/>
      <c r="M79" s="3"/>
      <c r="N79" s="3"/>
      <c r="O79" s="3"/>
      <c r="P79" s="3"/>
      <c r="Q79" s="3"/>
      <c r="R79" s="3"/>
      <c r="S79" s="3"/>
      <c r="T79" s="3"/>
      <c r="U79" s="3"/>
    </row>
    <row r="80" spans="1:21" ht="18" customHeight="1" x14ac:dyDescent="0.15">
      <c r="B80" s="109" t="s">
        <v>52</v>
      </c>
      <c r="C80" s="110"/>
      <c r="D80" s="110"/>
      <c r="E80" s="110"/>
      <c r="F80" s="111"/>
      <c r="G80" s="109" t="s">
        <v>79</v>
      </c>
      <c r="H80" s="110"/>
      <c r="I80" s="110"/>
      <c r="J80" s="111"/>
      <c r="K80" s="160" t="s">
        <v>52</v>
      </c>
      <c r="L80" s="161"/>
      <c r="M80" s="161"/>
      <c r="N80" s="161"/>
      <c r="O80" s="161"/>
      <c r="P80" s="161"/>
      <c r="Q80" s="162"/>
      <c r="R80" s="109" t="s">
        <v>79</v>
      </c>
      <c r="S80" s="110"/>
      <c r="T80" s="110"/>
      <c r="U80" s="111"/>
    </row>
    <row r="81" spans="1:21" ht="18" customHeight="1" x14ac:dyDescent="0.15">
      <c r="A81" s="3"/>
      <c r="B81" s="127"/>
      <c r="C81" s="128"/>
      <c r="D81" s="128"/>
      <c r="E81" s="128"/>
      <c r="F81" s="129"/>
      <c r="G81" s="165"/>
      <c r="H81" s="166"/>
      <c r="I81" s="166"/>
      <c r="J81" s="167"/>
      <c r="K81" s="127"/>
      <c r="L81" s="128"/>
      <c r="M81" s="128"/>
      <c r="N81" s="128"/>
      <c r="O81" s="128"/>
      <c r="P81" s="128"/>
      <c r="Q81" s="129"/>
      <c r="R81" s="165"/>
      <c r="S81" s="166"/>
      <c r="T81" s="166"/>
      <c r="U81" s="167"/>
    </row>
    <row r="82" spans="1:21" ht="18" customHeight="1" x14ac:dyDescent="0.15">
      <c r="A82" s="3"/>
      <c r="B82" s="121"/>
      <c r="C82" s="122"/>
      <c r="D82" s="122"/>
      <c r="E82" s="122"/>
      <c r="F82" s="123"/>
      <c r="G82" s="152"/>
      <c r="H82" s="153"/>
      <c r="I82" s="153"/>
      <c r="J82" s="154"/>
      <c r="K82" s="121"/>
      <c r="L82" s="122"/>
      <c r="M82" s="122"/>
      <c r="N82" s="122"/>
      <c r="O82" s="122"/>
      <c r="P82" s="122"/>
      <c r="Q82" s="123"/>
      <c r="R82" s="152"/>
      <c r="S82" s="153"/>
      <c r="T82" s="153"/>
      <c r="U82" s="154"/>
    </row>
    <row r="83" spans="1:21" ht="18" customHeight="1" x14ac:dyDescent="0.15">
      <c r="A83" s="3"/>
      <c r="B83" s="121"/>
      <c r="C83" s="122"/>
      <c r="D83" s="122"/>
      <c r="E83" s="122"/>
      <c r="F83" s="123"/>
      <c r="G83" s="152"/>
      <c r="H83" s="153"/>
      <c r="I83" s="153"/>
      <c r="J83" s="154"/>
      <c r="K83" s="121"/>
      <c r="L83" s="122"/>
      <c r="M83" s="122"/>
      <c r="N83" s="122"/>
      <c r="O83" s="122"/>
      <c r="P83" s="122"/>
      <c r="Q83" s="123"/>
      <c r="R83" s="152"/>
      <c r="S83" s="153"/>
      <c r="T83" s="153"/>
      <c r="U83" s="154"/>
    </row>
    <row r="84" spans="1:21" ht="18" customHeight="1" x14ac:dyDescent="0.15">
      <c r="A84" s="3"/>
      <c r="B84" s="121"/>
      <c r="C84" s="122"/>
      <c r="D84" s="122"/>
      <c r="E84" s="122"/>
      <c r="F84" s="123"/>
      <c r="G84" s="152"/>
      <c r="H84" s="153"/>
      <c r="I84" s="153"/>
      <c r="J84" s="154"/>
      <c r="K84" s="121"/>
      <c r="L84" s="122"/>
      <c r="M84" s="122"/>
      <c r="N84" s="122"/>
      <c r="O84" s="122"/>
      <c r="P84" s="122"/>
      <c r="Q84" s="123"/>
      <c r="R84" s="152"/>
      <c r="S84" s="153"/>
      <c r="T84" s="153"/>
      <c r="U84" s="154"/>
    </row>
    <row r="85" spans="1:21" ht="18" customHeight="1" x14ac:dyDescent="0.15">
      <c r="A85" s="3"/>
      <c r="B85" s="121"/>
      <c r="C85" s="122"/>
      <c r="D85" s="122"/>
      <c r="E85" s="122"/>
      <c r="F85" s="123"/>
      <c r="G85" s="152"/>
      <c r="H85" s="153"/>
      <c r="I85" s="153"/>
      <c r="J85" s="154"/>
      <c r="K85" s="121"/>
      <c r="L85" s="122"/>
      <c r="M85" s="122"/>
      <c r="N85" s="122"/>
      <c r="O85" s="122"/>
      <c r="P85" s="122"/>
      <c r="Q85" s="123"/>
      <c r="R85" s="152"/>
      <c r="S85" s="153"/>
      <c r="T85" s="153"/>
      <c r="U85" s="154"/>
    </row>
    <row r="86" spans="1:21" ht="18" customHeight="1" x14ac:dyDescent="0.15">
      <c r="A86" s="3"/>
      <c r="B86" s="121"/>
      <c r="C86" s="122"/>
      <c r="D86" s="122"/>
      <c r="E86" s="122"/>
      <c r="F86" s="123"/>
      <c r="G86" s="152"/>
      <c r="H86" s="153"/>
      <c r="I86" s="153"/>
      <c r="J86" s="154"/>
      <c r="K86" s="121"/>
      <c r="L86" s="122"/>
      <c r="M86" s="122"/>
      <c r="N86" s="122"/>
      <c r="O86" s="122"/>
      <c r="P86" s="122"/>
      <c r="Q86" s="123"/>
      <c r="R86" s="152"/>
      <c r="S86" s="153"/>
      <c r="T86" s="153"/>
      <c r="U86" s="154"/>
    </row>
    <row r="87" spans="1:21" ht="18" customHeight="1" x14ac:dyDescent="0.15">
      <c r="A87" s="3"/>
      <c r="B87" s="124"/>
      <c r="C87" s="125"/>
      <c r="D87" s="125"/>
      <c r="E87" s="125"/>
      <c r="F87" s="126"/>
      <c r="G87" s="149"/>
      <c r="H87" s="150"/>
      <c r="I87" s="150"/>
      <c r="J87" s="151"/>
      <c r="K87" s="124"/>
      <c r="L87" s="125"/>
      <c r="M87" s="125"/>
      <c r="N87" s="125"/>
      <c r="O87" s="125"/>
      <c r="P87" s="125"/>
      <c r="Q87" s="126"/>
      <c r="R87" s="149"/>
      <c r="S87" s="150"/>
      <c r="T87" s="150"/>
      <c r="U87" s="151"/>
    </row>
    <row r="88" spans="1:21" ht="18" customHeight="1" x14ac:dyDescent="0.15">
      <c r="A88" s="3"/>
      <c r="B88" s="5"/>
      <c r="C88" s="5"/>
      <c r="D88" s="5"/>
      <c r="E88" s="5"/>
      <c r="F88" s="5"/>
      <c r="G88" s="20"/>
      <c r="H88" s="20"/>
      <c r="I88" s="20"/>
      <c r="J88" s="20"/>
      <c r="K88" s="5"/>
      <c r="L88" s="5"/>
      <c r="M88" s="5"/>
      <c r="N88" s="5"/>
      <c r="O88" s="5"/>
      <c r="P88" s="5"/>
      <c r="Q88" s="5"/>
      <c r="R88" s="20"/>
      <c r="S88" s="20"/>
      <c r="T88" s="20"/>
      <c r="U88" s="20"/>
    </row>
    <row r="89" spans="1:21" ht="18.75" customHeight="1" x14ac:dyDescent="0.15">
      <c r="A89" s="1" t="s">
        <v>108</v>
      </c>
    </row>
    <row r="90" spans="1:21" ht="18.75" customHeight="1" x14ac:dyDescent="0.15">
      <c r="B90" s="158" t="s">
        <v>53</v>
      </c>
      <c r="C90" s="159"/>
      <c r="D90" s="109" t="s">
        <v>54</v>
      </c>
      <c r="E90" s="110"/>
      <c r="F90" s="110"/>
      <c r="G90" s="110"/>
      <c r="H90" s="110"/>
      <c r="I90" s="110"/>
      <c r="J90" s="110"/>
      <c r="K90" s="110"/>
      <c r="L90" s="110"/>
      <c r="M90" s="110"/>
      <c r="N90" s="110"/>
      <c r="O90" s="110"/>
      <c r="P90" s="110"/>
      <c r="Q90" s="110"/>
      <c r="R90" s="110"/>
      <c r="S90" s="110"/>
      <c r="T90" s="110"/>
      <c r="U90" s="111"/>
    </row>
    <row r="91" spans="1:21" ht="97.5" customHeight="1" x14ac:dyDescent="0.15">
      <c r="B91" s="155" t="s">
        <v>60</v>
      </c>
      <c r="C91" s="21" t="s">
        <v>55</v>
      </c>
      <c r="D91" s="97" t="s">
        <v>142</v>
      </c>
      <c r="E91" s="98"/>
      <c r="F91" s="98"/>
      <c r="G91" s="98"/>
      <c r="H91" s="98"/>
      <c r="I91" s="98"/>
      <c r="J91" s="98"/>
      <c r="K91" s="98"/>
      <c r="L91" s="98"/>
      <c r="M91" s="98"/>
      <c r="N91" s="98"/>
      <c r="O91" s="98"/>
      <c r="P91" s="98"/>
      <c r="Q91" s="98"/>
      <c r="R91" s="98"/>
      <c r="S91" s="98"/>
      <c r="T91" s="98"/>
      <c r="U91" s="99"/>
    </row>
    <row r="92" spans="1:21" ht="97.5" customHeight="1" x14ac:dyDescent="0.15">
      <c r="B92" s="156"/>
      <c r="C92" s="22" t="s">
        <v>75</v>
      </c>
      <c r="D92" s="112" t="s">
        <v>175</v>
      </c>
      <c r="E92" s="113"/>
      <c r="F92" s="113"/>
      <c r="G92" s="113"/>
      <c r="H92" s="113"/>
      <c r="I92" s="113"/>
      <c r="J92" s="113"/>
      <c r="K92" s="113"/>
      <c r="L92" s="113"/>
      <c r="M92" s="113"/>
      <c r="N92" s="113"/>
      <c r="O92" s="113"/>
      <c r="P92" s="113"/>
      <c r="Q92" s="113"/>
      <c r="R92" s="113"/>
      <c r="S92" s="113"/>
      <c r="T92" s="113"/>
      <c r="U92" s="114"/>
    </row>
    <row r="93" spans="1:21" ht="97.5" customHeight="1" x14ac:dyDescent="0.15">
      <c r="B93" s="155" t="s">
        <v>61</v>
      </c>
      <c r="C93" s="23" t="s">
        <v>69</v>
      </c>
      <c r="D93" s="97" t="s">
        <v>143</v>
      </c>
      <c r="E93" s="98"/>
      <c r="F93" s="98"/>
      <c r="G93" s="98"/>
      <c r="H93" s="98"/>
      <c r="I93" s="98"/>
      <c r="J93" s="98"/>
      <c r="K93" s="98"/>
      <c r="L93" s="98"/>
      <c r="M93" s="98"/>
      <c r="N93" s="98"/>
      <c r="O93" s="98"/>
      <c r="P93" s="98"/>
      <c r="Q93" s="98"/>
      <c r="R93" s="98"/>
      <c r="S93" s="98"/>
      <c r="T93" s="98"/>
      <c r="U93" s="99"/>
    </row>
    <row r="94" spans="1:21" ht="97.5" customHeight="1" x14ac:dyDescent="0.15">
      <c r="B94" s="157"/>
      <c r="C94" s="24" t="s">
        <v>70</v>
      </c>
      <c r="D94" s="94" t="s">
        <v>144</v>
      </c>
      <c r="E94" s="95"/>
      <c r="F94" s="95"/>
      <c r="G94" s="95"/>
      <c r="H94" s="95"/>
      <c r="I94" s="95"/>
      <c r="J94" s="95"/>
      <c r="K94" s="95"/>
      <c r="L94" s="95"/>
      <c r="M94" s="95"/>
      <c r="N94" s="95"/>
      <c r="O94" s="95"/>
      <c r="P94" s="95"/>
      <c r="Q94" s="95"/>
      <c r="R94" s="95"/>
      <c r="S94" s="95"/>
      <c r="T94" s="95"/>
      <c r="U94" s="96"/>
    </row>
    <row r="95" spans="1:21" ht="97.5" customHeight="1" x14ac:dyDescent="0.15">
      <c r="B95" s="155" t="s">
        <v>62</v>
      </c>
      <c r="C95" s="23" t="s">
        <v>71</v>
      </c>
      <c r="D95" s="97" t="s">
        <v>145</v>
      </c>
      <c r="E95" s="98"/>
      <c r="F95" s="98"/>
      <c r="G95" s="98"/>
      <c r="H95" s="98"/>
      <c r="I95" s="98"/>
      <c r="J95" s="98"/>
      <c r="K95" s="98"/>
      <c r="L95" s="98"/>
      <c r="M95" s="98"/>
      <c r="N95" s="98"/>
      <c r="O95" s="98"/>
      <c r="P95" s="98"/>
      <c r="Q95" s="98"/>
      <c r="R95" s="98"/>
      <c r="S95" s="98"/>
      <c r="T95" s="98"/>
      <c r="U95" s="99"/>
    </row>
    <row r="96" spans="1:21" ht="97.5" customHeight="1" x14ac:dyDescent="0.15">
      <c r="B96" s="157"/>
      <c r="C96" s="25" t="s">
        <v>72</v>
      </c>
      <c r="D96" s="94" t="s">
        <v>146</v>
      </c>
      <c r="E96" s="95"/>
      <c r="F96" s="95"/>
      <c r="G96" s="95"/>
      <c r="H96" s="95"/>
      <c r="I96" s="95"/>
      <c r="J96" s="95"/>
      <c r="K96" s="95"/>
      <c r="L96" s="95"/>
      <c r="M96" s="95"/>
      <c r="N96" s="95"/>
      <c r="O96" s="95"/>
      <c r="P96" s="95"/>
      <c r="Q96" s="95"/>
      <c r="R96" s="95"/>
      <c r="S96" s="95"/>
      <c r="T96" s="95"/>
      <c r="U96" s="96"/>
    </row>
    <row r="97" spans="1:33" ht="97.5" customHeight="1" x14ac:dyDescent="0.15">
      <c r="B97" s="155" t="s">
        <v>76</v>
      </c>
      <c r="C97" s="21" t="s">
        <v>57</v>
      </c>
      <c r="D97" s="97" t="s">
        <v>147</v>
      </c>
      <c r="E97" s="98"/>
      <c r="F97" s="98"/>
      <c r="G97" s="98"/>
      <c r="H97" s="98"/>
      <c r="I97" s="98"/>
      <c r="J97" s="98"/>
      <c r="K97" s="98"/>
      <c r="L97" s="98"/>
      <c r="M97" s="98"/>
      <c r="N97" s="98"/>
      <c r="O97" s="98"/>
      <c r="P97" s="98"/>
      <c r="Q97" s="98"/>
      <c r="R97" s="98"/>
      <c r="S97" s="98"/>
      <c r="T97" s="98"/>
      <c r="U97" s="99"/>
    </row>
    <row r="98" spans="1:33" ht="97.5" customHeight="1" x14ac:dyDescent="0.15">
      <c r="B98" s="157"/>
      <c r="C98" s="24" t="s">
        <v>59</v>
      </c>
      <c r="D98" s="94" t="s">
        <v>148</v>
      </c>
      <c r="E98" s="95"/>
      <c r="F98" s="95"/>
      <c r="G98" s="95"/>
      <c r="H98" s="95"/>
      <c r="I98" s="95"/>
      <c r="J98" s="95"/>
      <c r="K98" s="95"/>
      <c r="L98" s="95"/>
      <c r="M98" s="95"/>
      <c r="N98" s="95"/>
      <c r="O98" s="95"/>
      <c r="P98" s="95"/>
      <c r="Q98" s="95"/>
      <c r="R98" s="95"/>
      <c r="S98" s="95"/>
      <c r="T98" s="95"/>
      <c r="U98" s="96"/>
    </row>
    <row r="99" spans="1:33" ht="97.5" customHeight="1" x14ac:dyDescent="0.15">
      <c r="B99" s="155" t="s">
        <v>77</v>
      </c>
      <c r="C99" s="23" t="s">
        <v>56</v>
      </c>
      <c r="D99" s="97" t="s">
        <v>149</v>
      </c>
      <c r="E99" s="98"/>
      <c r="F99" s="98"/>
      <c r="G99" s="98"/>
      <c r="H99" s="98"/>
      <c r="I99" s="98"/>
      <c r="J99" s="98"/>
      <c r="K99" s="98"/>
      <c r="L99" s="98"/>
      <c r="M99" s="98"/>
      <c r="N99" s="98"/>
      <c r="O99" s="98"/>
      <c r="P99" s="98"/>
      <c r="Q99" s="98"/>
      <c r="R99" s="98"/>
      <c r="S99" s="98"/>
      <c r="T99" s="98"/>
      <c r="U99" s="99"/>
    </row>
    <row r="100" spans="1:33" ht="97.5" customHeight="1" x14ac:dyDescent="0.15">
      <c r="B100" s="156"/>
      <c r="C100" s="26" t="s">
        <v>73</v>
      </c>
      <c r="D100" s="100" t="s">
        <v>150</v>
      </c>
      <c r="E100" s="101"/>
      <c r="F100" s="101"/>
      <c r="G100" s="101"/>
      <c r="H100" s="101"/>
      <c r="I100" s="101"/>
      <c r="J100" s="101"/>
      <c r="K100" s="101"/>
      <c r="L100" s="101"/>
      <c r="M100" s="101"/>
      <c r="N100" s="101"/>
      <c r="O100" s="101"/>
      <c r="P100" s="101"/>
      <c r="Q100" s="101"/>
      <c r="R100" s="101"/>
      <c r="S100" s="101"/>
      <c r="T100" s="101"/>
      <c r="U100" s="102"/>
    </row>
    <row r="101" spans="1:33" ht="97.5" customHeight="1" x14ac:dyDescent="0.15">
      <c r="B101" s="157"/>
      <c r="C101" s="25" t="s">
        <v>74</v>
      </c>
      <c r="D101" s="94" t="s">
        <v>151</v>
      </c>
      <c r="E101" s="95"/>
      <c r="F101" s="95"/>
      <c r="G101" s="95"/>
      <c r="H101" s="95"/>
      <c r="I101" s="95"/>
      <c r="J101" s="95"/>
      <c r="K101" s="95"/>
      <c r="L101" s="95"/>
      <c r="M101" s="95"/>
      <c r="N101" s="95"/>
      <c r="O101" s="95"/>
      <c r="P101" s="95"/>
      <c r="Q101" s="95"/>
      <c r="R101" s="95"/>
      <c r="S101" s="95"/>
      <c r="T101" s="95"/>
      <c r="U101" s="96"/>
    </row>
    <row r="102" spans="1:33" ht="6" customHeight="1" x14ac:dyDescent="0.15"/>
    <row r="103" spans="1:33" ht="18.75" customHeight="1" x14ac:dyDescent="0.15">
      <c r="A103" s="1" t="s">
        <v>109</v>
      </c>
    </row>
    <row r="104" spans="1:33" ht="81.75" customHeight="1" x14ac:dyDescent="0.15">
      <c r="B104" s="146" t="s">
        <v>152</v>
      </c>
      <c r="C104" s="147"/>
      <c r="D104" s="147"/>
      <c r="E104" s="147"/>
      <c r="F104" s="147"/>
      <c r="G104" s="147"/>
      <c r="H104" s="147"/>
      <c r="I104" s="147"/>
      <c r="J104" s="147"/>
      <c r="K104" s="147"/>
      <c r="L104" s="147"/>
      <c r="M104" s="147"/>
      <c r="N104" s="147"/>
      <c r="O104" s="147"/>
      <c r="P104" s="147"/>
      <c r="Q104" s="147"/>
      <c r="R104" s="147"/>
      <c r="S104" s="147"/>
      <c r="T104" s="147"/>
      <c r="U104" s="148"/>
    </row>
    <row r="106" spans="1:33" ht="18.75" customHeight="1" x14ac:dyDescent="0.15">
      <c r="A106" s="70" t="s">
        <v>125</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15">
      <c r="A107" s="70" t="s">
        <v>127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15">
      <c r="A108" s="70"/>
      <c r="B108" s="93" t="s">
        <v>130</v>
      </c>
      <c r="C108" s="93"/>
      <c r="D108" s="93"/>
      <c r="E108" s="93"/>
      <c r="F108" s="93"/>
      <c r="G108" s="93"/>
      <c r="H108" s="93"/>
      <c r="I108" s="93"/>
      <c r="J108" s="93"/>
      <c r="K108" s="93"/>
      <c r="L108" s="93"/>
      <c r="M108" s="93"/>
      <c r="N108" s="93"/>
      <c r="O108" s="93"/>
      <c r="P108" s="93"/>
      <c r="Q108" s="93"/>
      <c r="R108" s="93"/>
      <c r="S108" s="93"/>
      <c r="T108" s="93"/>
      <c r="U108" s="93"/>
      <c r="V108" s="68"/>
      <c r="W108" s="68"/>
      <c r="X108" s="68"/>
      <c r="Y108" s="68"/>
      <c r="Z108" s="68"/>
      <c r="AA108" s="68"/>
      <c r="AB108" s="68"/>
      <c r="AC108" s="68"/>
      <c r="AD108" s="68"/>
      <c r="AE108" s="68"/>
      <c r="AF108" s="68"/>
      <c r="AG108" s="68"/>
    </row>
    <row r="109" spans="1:33" ht="37.15" customHeight="1" x14ac:dyDescent="0.15">
      <c r="A109" s="70"/>
      <c r="B109" s="93"/>
      <c r="C109" s="93"/>
      <c r="D109" s="93"/>
      <c r="E109" s="93"/>
      <c r="F109" s="93"/>
      <c r="G109" s="93"/>
      <c r="H109" s="93"/>
      <c r="I109" s="93"/>
      <c r="J109" s="93"/>
      <c r="K109" s="93"/>
      <c r="L109" s="93"/>
      <c r="M109" s="93"/>
      <c r="N109" s="93"/>
      <c r="O109" s="93"/>
      <c r="P109" s="93"/>
      <c r="Q109" s="93"/>
      <c r="R109" s="93"/>
      <c r="S109" s="93"/>
      <c r="T109" s="93"/>
      <c r="U109" s="93"/>
      <c r="V109" s="68"/>
      <c r="W109" s="68"/>
      <c r="X109" s="68"/>
      <c r="Y109" s="68"/>
      <c r="Z109" s="68"/>
      <c r="AA109" s="68"/>
      <c r="AB109" s="68"/>
      <c r="AC109" s="68"/>
      <c r="AD109" s="68"/>
      <c r="AE109" s="68"/>
      <c r="AF109" s="68"/>
      <c r="AG109" s="68"/>
    </row>
    <row r="110" spans="1:33" ht="18.75" customHeight="1" x14ac:dyDescent="0.15">
      <c r="A110" s="70"/>
      <c r="B110" s="168" t="s">
        <v>126</v>
      </c>
      <c r="C110" s="168"/>
      <c r="D110" s="168"/>
      <c r="E110" s="168"/>
      <c r="F110" s="168"/>
      <c r="G110" s="168"/>
      <c r="H110" s="168"/>
      <c r="I110" s="168"/>
      <c r="J110" s="168"/>
      <c r="K110" s="168"/>
      <c r="L110" s="168"/>
      <c r="M110" s="168"/>
      <c r="N110" s="168"/>
      <c r="O110" s="168"/>
      <c r="P110" s="168"/>
      <c r="Q110" s="168"/>
      <c r="R110" s="168"/>
      <c r="S110" s="168"/>
      <c r="T110" s="168"/>
      <c r="U110" s="168"/>
      <c r="V110" s="68"/>
      <c r="W110" s="68"/>
      <c r="X110" s="68"/>
      <c r="Y110" s="68"/>
      <c r="Z110" s="68"/>
      <c r="AA110" s="68"/>
      <c r="AB110" s="68"/>
      <c r="AC110" s="68"/>
      <c r="AD110" s="68"/>
      <c r="AE110" s="68"/>
      <c r="AF110" s="68"/>
      <c r="AG110" s="68"/>
    </row>
    <row r="111" spans="1:33" ht="18.75" customHeight="1" x14ac:dyDescent="0.15">
      <c r="A111" s="70"/>
      <c r="B111" s="169" t="s">
        <v>54</v>
      </c>
      <c r="C111" s="169"/>
      <c r="D111" s="169"/>
      <c r="E111" s="169"/>
      <c r="F111" s="169"/>
      <c r="G111" s="169"/>
      <c r="H111" s="169"/>
      <c r="I111" s="169"/>
      <c r="J111" s="169"/>
      <c r="K111" s="169"/>
      <c r="L111" s="169"/>
      <c r="M111" s="169"/>
      <c r="N111" s="169"/>
      <c r="O111" s="169"/>
      <c r="P111" s="169"/>
      <c r="Q111" s="169"/>
      <c r="R111" s="169"/>
      <c r="S111" s="169"/>
      <c r="T111" s="169"/>
      <c r="U111" s="169"/>
      <c r="V111" s="67"/>
      <c r="W111" s="67"/>
      <c r="X111" s="67"/>
      <c r="Y111" s="67"/>
      <c r="Z111" s="67"/>
      <c r="AA111" s="67"/>
      <c r="AB111" s="67"/>
      <c r="AC111" s="67"/>
      <c r="AD111" s="67"/>
      <c r="AE111" s="67"/>
      <c r="AF111" s="67"/>
      <c r="AG111" s="67"/>
    </row>
    <row r="112" spans="1:33" ht="132" customHeight="1" x14ac:dyDescent="0.15">
      <c r="A112" s="70"/>
      <c r="B112" s="170" t="s">
        <v>153</v>
      </c>
      <c r="C112" s="170"/>
      <c r="D112" s="170"/>
      <c r="E112" s="170"/>
      <c r="F112" s="170"/>
      <c r="G112" s="170"/>
      <c r="H112" s="170"/>
      <c r="I112" s="170"/>
      <c r="J112" s="170"/>
      <c r="K112" s="170"/>
      <c r="L112" s="170"/>
      <c r="M112" s="170"/>
      <c r="N112" s="170"/>
      <c r="O112" s="170"/>
      <c r="P112" s="170"/>
      <c r="Q112" s="170"/>
      <c r="R112" s="170"/>
      <c r="S112" s="170"/>
      <c r="T112" s="170"/>
      <c r="U112" s="170"/>
      <c r="V112" s="69"/>
      <c r="W112" s="69"/>
      <c r="X112" s="69"/>
      <c r="Y112" s="69"/>
      <c r="Z112" s="69"/>
      <c r="AA112" s="69"/>
      <c r="AB112" s="69"/>
      <c r="AC112" s="69"/>
      <c r="AD112" s="69"/>
      <c r="AE112" s="69"/>
      <c r="AF112" s="69"/>
      <c r="AG112" s="69"/>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S38:U44 H38:J44 S49:U55 H49:J55 S60:U66 R71:U77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J30" sqref="J30"/>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2"/>
      <c r="B1" s="72"/>
      <c r="C1" s="72"/>
      <c r="D1" s="72"/>
      <c r="E1" s="72"/>
      <c r="F1" s="72"/>
      <c r="G1" s="72"/>
      <c r="H1" s="72"/>
      <c r="I1" s="72"/>
      <c r="J1" s="72"/>
      <c r="K1" s="72"/>
      <c r="L1" s="72"/>
      <c r="M1" s="72"/>
      <c r="N1" s="72"/>
      <c r="O1" s="72"/>
      <c r="P1" s="72"/>
      <c r="Q1" s="72"/>
      <c r="R1" s="72"/>
      <c r="S1" s="72" t="s">
        <v>98</v>
      </c>
    </row>
    <row r="2" spans="1:21" ht="18" customHeight="1" x14ac:dyDescent="0.15">
      <c r="A2" s="72"/>
      <c r="B2" s="72"/>
      <c r="C2" s="72"/>
      <c r="D2" s="72"/>
      <c r="E2" s="72"/>
      <c r="F2" s="72"/>
      <c r="G2" s="72"/>
      <c r="H2" s="72"/>
      <c r="I2" s="72"/>
      <c r="J2" s="72"/>
      <c r="K2" s="72"/>
      <c r="L2" s="72"/>
      <c r="M2" s="72"/>
      <c r="N2" s="72"/>
      <c r="O2" s="72"/>
      <c r="P2" s="72"/>
      <c r="Q2" s="172" t="str">
        <f>'様式１　プログラムを構成する授業科目'!C2</f>
        <v>長岡大学</v>
      </c>
      <c r="R2" s="172"/>
      <c r="S2" s="172"/>
    </row>
    <row r="3" spans="1:21" ht="18" customHeight="1" x14ac:dyDescent="0.15">
      <c r="A3" s="135" t="s">
        <v>47</v>
      </c>
      <c r="B3" s="135"/>
      <c r="C3" s="135"/>
      <c r="D3" s="135"/>
      <c r="E3" s="135"/>
      <c r="F3" s="135"/>
      <c r="G3" s="135"/>
      <c r="H3" s="135"/>
      <c r="I3" s="135"/>
      <c r="J3" s="135"/>
      <c r="K3" s="135"/>
      <c r="L3" s="135"/>
      <c r="M3" s="135"/>
      <c r="N3" s="135"/>
      <c r="O3" s="135"/>
      <c r="P3" s="135"/>
      <c r="Q3" s="135"/>
      <c r="R3" s="135"/>
      <c r="S3" s="135"/>
    </row>
    <row r="4" spans="1:21" ht="7.5" customHeight="1" x14ac:dyDescent="0.15">
      <c r="A4" s="77"/>
      <c r="B4" s="77"/>
      <c r="C4" s="77"/>
      <c r="D4" s="77"/>
      <c r="E4" s="77"/>
      <c r="F4" s="77"/>
      <c r="G4" s="77"/>
      <c r="H4" s="77"/>
      <c r="I4" s="77"/>
      <c r="J4" s="77"/>
      <c r="K4" s="77"/>
      <c r="L4" s="77"/>
      <c r="M4" s="77"/>
      <c r="N4" s="77"/>
      <c r="O4" s="77"/>
      <c r="P4" s="77"/>
      <c r="Q4" s="77"/>
      <c r="R4" s="77"/>
      <c r="S4" s="77"/>
    </row>
    <row r="5" spans="1:21" ht="18" customHeight="1" x14ac:dyDescent="0.15">
      <c r="A5" s="72" t="s">
        <v>80</v>
      </c>
      <c r="B5" s="72"/>
      <c r="C5" s="173" t="s">
        <v>140</v>
      </c>
      <c r="D5" s="174"/>
      <c r="E5" s="77" t="s">
        <v>51</v>
      </c>
      <c r="F5" s="77"/>
      <c r="G5" s="77"/>
      <c r="H5" s="77"/>
      <c r="I5" s="77"/>
      <c r="J5" s="77"/>
      <c r="K5" s="77"/>
      <c r="L5" s="77"/>
      <c r="M5" s="77"/>
      <c r="N5" s="77"/>
      <c r="O5" s="77"/>
      <c r="P5" s="77"/>
      <c r="Q5" s="77"/>
      <c r="R5" s="75"/>
      <c r="S5" s="75"/>
    </row>
    <row r="6" spans="1:21" ht="7.15" customHeight="1" x14ac:dyDescent="0.15">
      <c r="A6" s="72"/>
      <c r="B6" s="72"/>
      <c r="C6" s="83"/>
      <c r="D6" s="83"/>
      <c r="E6" s="77"/>
      <c r="F6" s="77"/>
      <c r="G6" s="77"/>
      <c r="H6" s="77"/>
      <c r="I6" s="77"/>
      <c r="J6" s="77"/>
      <c r="K6" s="77"/>
      <c r="L6" s="77"/>
      <c r="M6" s="77"/>
      <c r="N6" s="77"/>
      <c r="O6" s="77"/>
      <c r="P6" s="77"/>
      <c r="Q6" s="77"/>
      <c r="R6" s="75"/>
      <c r="S6" s="75"/>
    </row>
    <row r="7" spans="1:21" ht="18" customHeight="1" x14ac:dyDescent="0.15">
      <c r="A7" s="72" t="s">
        <v>118</v>
      </c>
      <c r="B7" s="72"/>
      <c r="C7" s="83"/>
      <c r="D7" s="83"/>
      <c r="E7" s="77" t="s">
        <v>119</v>
      </c>
      <c r="F7" s="81">
        <v>349</v>
      </c>
      <c r="G7" s="79" t="s">
        <v>120</v>
      </c>
      <c r="H7" s="77" t="s">
        <v>121</v>
      </c>
      <c r="I7" s="81">
        <v>98</v>
      </c>
      <c r="J7" s="79" t="s">
        <v>120</v>
      </c>
      <c r="K7" s="74" t="s">
        <v>122</v>
      </c>
      <c r="L7" s="77" t="s">
        <v>123</v>
      </c>
      <c r="M7" s="81">
        <f>F7+I7</f>
        <v>447</v>
      </c>
      <c r="N7" s="77" t="s">
        <v>1</v>
      </c>
      <c r="O7" s="79" t="s">
        <v>124</v>
      </c>
      <c r="P7" s="77"/>
      <c r="Q7" s="77"/>
      <c r="R7" s="75"/>
      <c r="S7" s="75"/>
    </row>
    <row r="8" spans="1:21" ht="6" customHeight="1" x14ac:dyDescent="0.15">
      <c r="A8" s="77"/>
      <c r="B8" s="77"/>
      <c r="C8" s="77"/>
      <c r="D8" s="77"/>
      <c r="E8" s="77"/>
      <c r="F8" s="77"/>
      <c r="G8" s="77"/>
      <c r="H8" s="77"/>
      <c r="I8" s="77"/>
      <c r="J8" s="77"/>
      <c r="K8" s="77"/>
      <c r="L8" s="77"/>
      <c r="M8" s="77"/>
      <c r="N8" s="77"/>
      <c r="O8" s="77"/>
      <c r="P8" s="77"/>
      <c r="Q8" s="77"/>
      <c r="R8" s="77"/>
      <c r="S8" s="77"/>
    </row>
    <row r="9" spans="1:21" ht="18" customHeight="1" x14ac:dyDescent="0.15">
      <c r="A9" s="72" t="s">
        <v>134</v>
      </c>
      <c r="B9" s="77"/>
      <c r="C9" s="77"/>
      <c r="D9" s="77"/>
      <c r="E9" s="77"/>
      <c r="F9" s="77"/>
      <c r="G9" s="77"/>
      <c r="H9" s="77"/>
      <c r="I9" s="77"/>
      <c r="J9" s="77"/>
      <c r="K9" s="77"/>
      <c r="L9" s="77"/>
      <c r="M9" s="77"/>
      <c r="N9" s="77"/>
      <c r="O9" s="77"/>
      <c r="P9" s="77"/>
      <c r="Q9" s="77"/>
      <c r="R9" s="77"/>
      <c r="S9" s="77"/>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5" t="s">
        <v>44</v>
      </c>
      <c r="C11" s="185" t="s">
        <v>83</v>
      </c>
      <c r="D11" s="177" t="s">
        <v>46</v>
      </c>
      <c r="E11" s="179" t="s">
        <v>39</v>
      </c>
      <c r="F11" s="171" t="s">
        <v>112</v>
      </c>
      <c r="G11" s="171"/>
      <c r="H11" s="171" t="s">
        <v>82</v>
      </c>
      <c r="I11" s="171"/>
      <c r="J11" s="171" t="s">
        <v>48</v>
      </c>
      <c r="K11" s="171"/>
      <c r="L11" s="171" t="s">
        <v>49</v>
      </c>
      <c r="M11" s="171"/>
      <c r="N11" s="171" t="s">
        <v>92</v>
      </c>
      <c r="O11" s="171"/>
      <c r="P11" s="171" t="s">
        <v>50</v>
      </c>
      <c r="Q11" s="171"/>
      <c r="R11" s="181" t="s">
        <v>35</v>
      </c>
      <c r="S11" s="183" t="s">
        <v>32</v>
      </c>
      <c r="U11" s="2"/>
    </row>
    <row r="12" spans="1:21" ht="16.899999999999999" customHeight="1" x14ac:dyDescent="0.15">
      <c r="B12" s="176"/>
      <c r="C12" s="186"/>
      <c r="D12" s="178"/>
      <c r="E12" s="180"/>
      <c r="F12" s="61" t="s">
        <v>91</v>
      </c>
      <c r="G12" s="61" t="s">
        <v>29</v>
      </c>
      <c r="H12" s="61" t="s">
        <v>91</v>
      </c>
      <c r="I12" s="61" t="s">
        <v>29</v>
      </c>
      <c r="J12" s="61" t="s">
        <v>91</v>
      </c>
      <c r="K12" s="61" t="s">
        <v>29</v>
      </c>
      <c r="L12" s="61" t="s">
        <v>91</v>
      </c>
      <c r="M12" s="61" t="s">
        <v>29</v>
      </c>
      <c r="N12" s="61" t="s">
        <v>91</v>
      </c>
      <c r="O12" s="61" t="s">
        <v>29</v>
      </c>
      <c r="P12" s="61" t="s">
        <v>91</v>
      </c>
      <c r="Q12" s="62" t="s">
        <v>29</v>
      </c>
      <c r="R12" s="182"/>
      <c r="S12" s="184"/>
      <c r="U12" s="2"/>
    </row>
    <row r="13" spans="1:21" ht="18" customHeight="1" x14ac:dyDescent="0.15">
      <c r="A13" s="5"/>
      <c r="B13" s="63" t="s">
        <v>139</v>
      </c>
      <c r="C13" s="49">
        <v>447</v>
      </c>
      <c r="D13" s="50">
        <v>125</v>
      </c>
      <c r="E13" s="51">
        <v>450</v>
      </c>
      <c r="F13" s="51">
        <v>39</v>
      </c>
      <c r="G13" s="51">
        <v>30</v>
      </c>
      <c r="H13" s="51"/>
      <c r="I13" s="51"/>
      <c r="J13" s="51"/>
      <c r="K13" s="51"/>
      <c r="L13" s="51"/>
      <c r="M13" s="51"/>
      <c r="N13" s="51"/>
      <c r="O13" s="51"/>
      <c r="P13" s="51"/>
      <c r="Q13" s="64"/>
      <c r="R13" s="50">
        <f t="shared" ref="R13:R32" si="0">F13+H13+J13+L13+N13+P13</f>
        <v>39</v>
      </c>
      <c r="S13" s="65">
        <f t="shared" ref="S13:S33" si="1">R13/E13</f>
        <v>8.666666666666667E-2</v>
      </c>
    </row>
    <row r="14" spans="1:21" ht="18" customHeight="1" x14ac:dyDescent="0.15">
      <c r="A14" s="5"/>
      <c r="B14" s="10"/>
      <c r="C14" s="52"/>
      <c r="D14" s="53"/>
      <c r="E14" s="54"/>
      <c r="F14" s="55"/>
      <c r="G14" s="55"/>
      <c r="H14" s="55"/>
      <c r="I14" s="55"/>
      <c r="J14" s="55"/>
      <c r="K14" s="55"/>
      <c r="L14" s="55"/>
      <c r="M14" s="55"/>
      <c r="N14" s="55"/>
      <c r="O14" s="55"/>
      <c r="P14" s="55"/>
      <c r="Q14" s="52"/>
      <c r="R14" s="53">
        <f t="shared" si="0"/>
        <v>0</v>
      </c>
      <c r="S14" s="14" t="e">
        <f t="shared" si="1"/>
        <v>#DIV/0!</v>
      </c>
    </row>
    <row r="15" spans="1:21" ht="18" customHeight="1" x14ac:dyDescent="0.15">
      <c r="A15" s="5"/>
      <c r="B15" s="10"/>
      <c r="C15" s="52"/>
      <c r="D15" s="53"/>
      <c r="E15" s="54"/>
      <c r="F15" s="55"/>
      <c r="G15" s="55"/>
      <c r="H15" s="55"/>
      <c r="I15" s="55"/>
      <c r="J15" s="55"/>
      <c r="K15" s="55"/>
      <c r="L15" s="55"/>
      <c r="M15" s="55"/>
      <c r="N15" s="55"/>
      <c r="O15" s="55"/>
      <c r="P15" s="55"/>
      <c r="Q15" s="52"/>
      <c r="R15" s="53">
        <f t="shared" si="0"/>
        <v>0</v>
      </c>
      <c r="S15" s="7" t="e">
        <f t="shared" si="1"/>
        <v>#DIV/0!</v>
      </c>
    </row>
    <row r="16" spans="1:21" ht="18" customHeight="1" x14ac:dyDescent="0.15">
      <c r="A16" s="5"/>
      <c r="B16" s="10"/>
      <c r="C16" s="52"/>
      <c r="D16" s="53"/>
      <c r="E16" s="54"/>
      <c r="F16" s="55"/>
      <c r="G16" s="55"/>
      <c r="H16" s="55"/>
      <c r="I16" s="55"/>
      <c r="J16" s="55"/>
      <c r="K16" s="55"/>
      <c r="L16" s="55"/>
      <c r="M16" s="55"/>
      <c r="N16" s="55"/>
      <c r="O16" s="55"/>
      <c r="P16" s="55"/>
      <c r="Q16" s="52"/>
      <c r="R16" s="53">
        <f t="shared" si="0"/>
        <v>0</v>
      </c>
      <c r="S16" s="7" t="e">
        <f t="shared" si="1"/>
        <v>#DIV/0!</v>
      </c>
    </row>
    <row r="17" spans="1:19" ht="18" customHeight="1" x14ac:dyDescent="0.15">
      <c r="A17" s="5"/>
      <c r="B17" s="10"/>
      <c r="C17" s="52"/>
      <c r="D17" s="53"/>
      <c r="E17" s="54"/>
      <c r="F17" s="55"/>
      <c r="G17" s="55"/>
      <c r="H17" s="55"/>
      <c r="I17" s="55"/>
      <c r="J17" s="55"/>
      <c r="K17" s="55"/>
      <c r="L17" s="55"/>
      <c r="M17" s="55"/>
      <c r="N17" s="55"/>
      <c r="O17" s="55"/>
      <c r="P17" s="55"/>
      <c r="Q17" s="52"/>
      <c r="R17" s="53">
        <f t="shared" si="0"/>
        <v>0</v>
      </c>
      <c r="S17" s="7" t="e">
        <f t="shared" si="1"/>
        <v>#DIV/0!</v>
      </c>
    </row>
    <row r="18" spans="1:19" ht="18" customHeight="1" x14ac:dyDescent="0.15">
      <c r="A18" s="5"/>
      <c r="B18" s="10"/>
      <c r="C18" s="52"/>
      <c r="D18" s="53"/>
      <c r="E18" s="54"/>
      <c r="F18" s="55"/>
      <c r="G18" s="55"/>
      <c r="H18" s="55"/>
      <c r="I18" s="55"/>
      <c r="J18" s="55"/>
      <c r="K18" s="55"/>
      <c r="L18" s="55"/>
      <c r="M18" s="55"/>
      <c r="N18" s="55"/>
      <c r="O18" s="55"/>
      <c r="P18" s="55"/>
      <c r="Q18" s="52"/>
      <c r="R18" s="53">
        <f t="shared" si="0"/>
        <v>0</v>
      </c>
      <c r="S18" s="7" t="e">
        <f t="shared" si="1"/>
        <v>#DIV/0!</v>
      </c>
    </row>
    <row r="19" spans="1:19" ht="18" customHeight="1" x14ac:dyDescent="0.15">
      <c r="A19" s="5"/>
      <c r="B19" s="10"/>
      <c r="C19" s="52"/>
      <c r="D19" s="53"/>
      <c r="E19" s="54"/>
      <c r="F19" s="55"/>
      <c r="G19" s="55"/>
      <c r="H19" s="55"/>
      <c r="I19" s="55"/>
      <c r="J19" s="55"/>
      <c r="K19" s="55"/>
      <c r="L19" s="55"/>
      <c r="M19" s="55"/>
      <c r="N19" s="55"/>
      <c r="O19" s="55"/>
      <c r="P19" s="55"/>
      <c r="Q19" s="52"/>
      <c r="R19" s="53">
        <f t="shared" si="0"/>
        <v>0</v>
      </c>
      <c r="S19" s="7" t="e">
        <f t="shared" si="1"/>
        <v>#DIV/0!</v>
      </c>
    </row>
    <row r="20" spans="1:19" ht="18" customHeight="1" x14ac:dyDescent="0.15">
      <c r="A20" s="5"/>
      <c r="B20" s="10"/>
      <c r="C20" s="52"/>
      <c r="D20" s="53"/>
      <c r="E20" s="54"/>
      <c r="F20" s="55"/>
      <c r="G20" s="55"/>
      <c r="H20" s="55"/>
      <c r="I20" s="55"/>
      <c r="J20" s="55"/>
      <c r="K20" s="55"/>
      <c r="L20" s="55"/>
      <c r="M20" s="55"/>
      <c r="N20" s="55"/>
      <c r="O20" s="55"/>
      <c r="P20" s="55"/>
      <c r="Q20" s="52"/>
      <c r="R20" s="53">
        <f t="shared" si="0"/>
        <v>0</v>
      </c>
      <c r="S20" s="7" t="e">
        <f t="shared" si="1"/>
        <v>#DIV/0!</v>
      </c>
    </row>
    <row r="21" spans="1:19" ht="18" customHeight="1" x14ac:dyDescent="0.15">
      <c r="A21" s="5"/>
      <c r="B21" s="10"/>
      <c r="C21" s="52"/>
      <c r="D21" s="53"/>
      <c r="E21" s="54"/>
      <c r="F21" s="55"/>
      <c r="G21" s="55"/>
      <c r="H21" s="55"/>
      <c r="I21" s="55"/>
      <c r="J21" s="55"/>
      <c r="K21" s="55"/>
      <c r="L21" s="55"/>
      <c r="M21" s="55"/>
      <c r="N21" s="55"/>
      <c r="O21" s="55"/>
      <c r="P21" s="55"/>
      <c r="Q21" s="52"/>
      <c r="R21" s="53">
        <f t="shared" si="0"/>
        <v>0</v>
      </c>
      <c r="S21" s="7" t="e">
        <f t="shared" si="1"/>
        <v>#DIV/0!</v>
      </c>
    </row>
    <row r="22" spans="1:19" ht="18" customHeight="1" x14ac:dyDescent="0.15">
      <c r="A22" s="5"/>
      <c r="B22" s="10"/>
      <c r="C22" s="52"/>
      <c r="D22" s="53"/>
      <c r="E22" s="54"/>
      <c r="F22" s="55"/>
      <c r="G22" s="55"/>
      <c r="H22" s="55"/>
      <c r="I22" s="55"/>
      <c r="J22" s="55"/>
      <c r="K22" s="55"/>
      <c r="L22" s="55"/>
      <c r="M22" s="55"/>
      <c r="N22" s="55"/>
      <c r="O22" s="55"/>
      <c r="P22" s="55"/>
      <c r="Q22" s="52"/>
      <c r="R22" s="53">
        <f t="shared" si="0"/>
        <v>0</v>
      </c>
      <c r="S22" s="7" t="e">
        <f t="shared" si="1"/>
        <v>#DIV/0!</v>
      </c>
    </row>
    <row r="23" spans="1:19" ht="18" customHeight="1" x14ac:dyDescent="0.15">
      <c r="A23" s="5"/>
      <c r="B23" s="10"/>
      <c r="C23" s="52"/>
      <c r="D23" s="53"/>
      <c r="E23" s="54"/>
      <c r="F23" s="55"/>
      <c r="G23" s="55"/>
      <c r="H23" s="55"/>
      <c r="I23" s="55"/>
      <c r="J23" s="55"/>
      <c r="K23" s="55"/>
      <c r="L23" s="55"/>
      <c r="M23" s="55"/>
      <c r="N23" s="55"/>
      <c r="O23" s="55"/>
      <c r="P23" s="55"/>
      <c r="Q23" s="52"/>
      <c r="R23" s="53">
        <f t="shared" si="0"/>
        <v>0</v>
      </c>
      <c r="S23" s="7" t="e">
        <f t="shared" si="1"/>
        <v>#DIV/0!</v>
      </c>
    </row>
    <row r="24" spans="1:19" ht="18" customHeight="1" x14ac:dyDescent="0.15">
      <c r="A24" s="5"/>
      <c r="B24" s="10"/>
      <c r="C24" s="52"/>
      <c r="D24" s="53"/>
      <c r="E24" s="54"/>
      <c r="F24" s="55"/>
      <c r="G24" s="55"/>
      <c r="H24" s="55"/>
      <c r="I24" s="55"/>
      <c r="J24" s="55"/>
      <c r="K24" s="55"/>
      <c r="L24" s="55"/>
      <c r="M24" s="55"/>
      <c r="N24" s="55"/>
      <c r="O24" s="55"/>
      <c r="P24" s="55"/>
      <c r="Q24" s="52"/>
      <c r="R24" s="53">
        <f t="shared" si="0"/>
        <v>0</v>
      </c>
      <c r="S24" s="7" t="e">
        <f t="shared" si="1"/>
        <v>#DIV/0!</v>
      </c>
    </row>
    <row r="25" spans="1:19" ht="18" customHeight="1" x14ac:dyDescent="0.15">
      <c r="A25" s="5"/>
      <c r="B25" s="10"/>
      <c r="C25" s="52"/>
      <c r="D25" s="53"/>
      <c r="E25" s="54"/>
      <c r="F25" s="55"/>
      <c r="G25" s="55"/>
      <c r="H25" s="55"/>
      <c r="I25" s="55"/>
      <c r="J25" s="55"/>
      <c r="K25" s="55"/>
      <c r="L25" s="55"/>
      <c r="M25" s="55"/>
      <c r="N25" s="55"/>
      <c r="O25" s="55"/>
      <c r="P25" s="55"/>
      <c r="Q25" s="52"/>
      <c r="R25" s="53">
        <f t="shared" si="0"/>
        <v>0</v>
      </c>
      <c r="S25" s="7" t="e">
        <f t="shared" si="1"/>
        <v>#DIV/0!</v>
      </c>
    </row>
    <row r="26" spans="1:19" ht="18" customHeight="1" x14ac:dyDescent="0.15">
      <c r="A26" s="5"/>
      <c r="B26" s="10"/>
      <c r="C26" s="52"/>
      <c r="D26" s="53"/>
      <c r="E26" s="54"/>
      <c r="F26" s="55"/>
      <c r="G26" s="55"/>
      <c r="H26" s="55"/>
      <c r="I26" s="55"/>
      <c r="J26" s="55"/>
      <c r="K26" s="55"/>
      <c r="L26" s="55"/>
      <c r="M26" s="55"/>
      <c r="N26" s="55"/>
      <c r="O26" s="55"/>
      <c r="P26" s="55"/>
      <c r="Q26" s="52"/>
      <c r="R26" s="53">
        <f t="shared" si="0"/>
        <v>0</v>
      </c>
      <c r="S26" s="7" t="e">
        <f t="shared" si="1"/>
        <v>#DIV/0!</v>
      </c>
    </row>
    <row r="27" spans="1:19" ht="18" customHeight="1" x14ac:dyDescent="0.15">
      <c r="A27" s="5"/>
      <c r="B27" s="10"/>
      <c r="C27" s="52"/>
      <c r="D27" s="53"/>
      <c r="E27" s="54"/>
      <c r="F27" s="55"/>
      <c r="G27" s="55"/>
      <c r="H27" s="55"/>
      <c r="I27" s="55"/>
      <c r="J27" s="55"/>
      <c r="K27" s="55"/>
      <c r="L27" s="55"/>
      <c r="M27" s="55"/>
      <c r="N27" s="55"/>
      <c r="O27" s="55"/>
      <c r="P27" s="55"/>
      <c r="Q27" s="52"/>
      <c r="R27" s="53">
        <f t="shared" si="0"/>
        <v>0</v>
      </c>
      <c r="S27" s="7" t="e">
        <f t="shared" si="1"/>
        <v>#DIV/0!</v>
      </c>
    </row>
    <row r="28" spans="1:19" ht="18" customHeight="1" x14ac:dyDescent="0.15">
      <c r="A28" s="5"/>
      <c r="B28" s="10"/>
      <c r="C28" s="52"/>
      <c r="D28" s="53"/>
      <c r="E28" s="54"/>
      <c r="F28" s="55"/>
      <c r="G28" s="55"/>
      <c r="H28" s="55"/>
      <c r="I28" s="55"/>
      <c r="J28" s="55"/>
      <c r="K28" s="55"/>
      <c r="L28" s="55"/>
      <c r="M28" s="55"/>
      <c r="N28" s="55"/>
      <c r="O28" s="55"/>
      <c r="P28" s="55"/>
      <c r="Q28" s="52"/>
      <c r="R28" s="53">
        <f t="shared" si="0"/>
        <v>0</v>
      </c>
      <c r="S28" s="7" t="e">
        <f t="shared" si="1"/>
        <v>#DIV/0!</v>
      </c>
    </row>
    <row r="29" spans="1:19" ht="18" customHeight="1" x14ac:dyDescent="0.15">
      <c r="A29" s="5"/>
      <c r="B29" s="10"/>
      <c r="C29" s="52"/>
      <c r="D29" s="53"/>
      <c r="E29" s="54"/>
      <c r="F29" s="55"/>
      <c r="G29" s="55"/>
      <c r="H29" s="55"/>
      <c r="I29" s="55"/>
      <c r="J29" s="55"/>
      <c r="K29" s="55"/>
      <c r="L29" s="55"/>
      <c r="M29" s="55"/>
      <c r="N29" s="55"/>
      <c r="O29" s="55"/>
      <c r="P29" s="55"/>
      <c r="Q29" s="52"/>
      <c r="R29" s="53">
        <f t="shared" si="0"/>
        <v>0</v>
      </c>
      <c r="S29" s="7" t="e">
        <f t="shared" si="1"/>
        <v>#DIV/0!</v>
      </c>
    </row>
    <row r="30" spans="1:19" ht="18" customHeight="1" x14ac:dyDescent="0.15">
      <c r="A30" s="5"/>
      <c r="B30" s="10"/>
      <c r="C30" s="52"/>
      <c r="D30" s="56"/>
      <c r="E30" s="54"/>
      <c r="F30" s="55"/>
      <c r="G30" s="55"/>
      <c r="H30" s="55"/>
      <c r="I30" s="55"/>
      <c r="J30" s="55"/>
      <c r="K30" s="55"/>
      <c r="L30" s="55"/>
      <c r="M30" s="55"/>
      <c r="N30" s="55"/>
      <c r="O30" s="55"/>
      <c r="P30" s="55"/>
      <c r="Q30" s="52"/>
      <c r="R30" s="56">
        <f t="shared" si="0"/>
        <v>0</v>
      </c>
      <c r="S30" s="7" t="e">
        <f t="shared" si="1"/>
        <v>#DIV/0!</v>
      </c>
    </row>
    <row r="31" spans="1:19" ht="18" customHeight="1" x14ac:dyDescent="0.15">
      <c r="A31" s="5"/>
      <c r="B31" s="10"/>
      <c r="C31" s="52"/>
      <c r="D31" s="56"/>
      <c r="E31" s="54"/>
      <c r="F31" s="55"/>
      <c r="G31" s="55"/>
      <c r="H31" s="55"/>
      <c r="I31" s="55"/>
      <c r="J31" s="55"/>
      <c r="K31" s="55"/>
      <c r="L31" s="55"/>
      <c r="M31" s="55"/>
      <c r="N31" s="55"/>
      <c r="O31" s="55"/>
      <c r="P31" s="55"/>
      <c r="Q31" s="52"/>
      <c r="R31" s="56">
        <f t="shared" si="0"/>
        <v>0</v>
      </c>
      <c r="S31" s="7" t="e">
        <f t="shared" si="1"/>
        <v>#DIV/0!</v>
      </c>
    </row>
    <row r="32" spans="1:19" ht="18" customHeight="1" thickBot="1" x14ac:dyDescent="0.2">
      <c r="A32" s="5"/>
      <c r="B32" s="11"/>
      <c r="C32" s="49"/>
      <c r="D32" s="57"/>
      <c r="E32" s="51"/>
      <c r="F32" s="51"/>
      <c r="G32" s="51"/>
      <c r="H32" s="51"/>
      <c r="I32" s="51"/>
      <c r="J32" s="51"/>
      <c r="K32" s="51"/>
      <c r="L32" s="51"/>
      <c r="M32" s="51"/>
      <c r="N32" s="51"/>
      <c r="O32" s="51"/>
      <c r="P32" s="51"/>
      <c r="Q32" s="52"/>
      <c r="R32" s="57">
        <f t="shared" si="0"/>
        <v>0</v>
      </c>
      <c r="S32" s="6" t="e">
        <f t="shared" si="1"/>
        <v>#DIV/0!</v>
      </c>
    </row>
    <row r="33" spans="2:19" ht="18" customHeight="1" thickTop="1" x14ac:dyDescent="0.15">
      <c r="B33" s="12" t="s">
        <v>33</v>
      </c>
      <c r="C33" s="58">
        <f t="shared" ref="C33" si="2">SUM(C13:C32)</f>
        <v>447</v>
      </c>
      <c r="D33" s="59">
        <f t="shared" ref="D33:R33" si="3">SUM(D13:D32)</f>
        <v>125</v>
      </c>
      <c r="E33" s="60">
        <f t="shared" si="3"/>
        <v>450</v>
      </c>
      <c r="F33" s="60">
        <f t="shared" si="3"/>
        <v>39</v>
      </c>
      <c r="G33" s="60">
        <f t="shared" ref="G33:H33" si="4">SUM(G13:G32)</f>
        <v>30</v>
      </c>
      <c r="H33" s="60">
        <f t="shared" si="4"/>
        <v>0</v>
      </c>
      <c r="I33" s="60">
        <f t="shared" ref="I33:J33" si="5">SUM(I13:I32)</f>
        <v>0</v>
      </c>
      <c r="J33" s="60">
        <f t="shared" si="5"/>
        <v>0</v>
      </c>
      <c r="K33" s="60">
        <f t="shared" ref="K33:O33" si="6">SUM(K13:K32)</f>
        <v>0</v>
      </c>
      <c r="L33" s="60">
        <f t="shared" si="6"/>
        <v>0</v>
      </c>
      <c r="M33" s="60">
        <f t="shared" si="6"/>
        <v>0</v>
      </c>
      <c r="N33" s="60">
        <f t="shared" si="6"/>
        <v>0</v>
      </c>
      <c r="O33" s="60">
        <f t="shared" si="6"/>
        <v>0</v>
      </c>
      <c r="P33" s="60">
        <f t="shared" ref="P33:Q33" si="7">SUM(P13:P32)</f>
        <v>0</v>
      </c>
      <c r="Q33" s="58">
        <f t="shared" si="7"/>
        <v>0</v>
      </c>
      <c r="R33" s="59">
        <f t="shared" si="3"/>
        <v>39</v>
      </c>
      <c r="S33" s="8">
        <f t="shared" si="1"/>
        <v>8.666666666666667E-2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30" customWidth="1"/>
    <col min="2" max="2" width="16.625" style="85" customWidth="1"/>
    <col min="3" max="3" width="8.875" style="85" customWidth="1"/>
    <col min="4" max="4" width="2.25" style="85" customWidth="1"/>
    <col min="5" max="5" width="16.625" style="85" customWidth="1"/>
    <col min="6" max="6" width="4.375" style="85" customWidth="1"/>
    <col min="7" max="7" width="9" style="85" customWidth="1"/>
    <col min="8" max="8" width="16.625" style="85" customWidth="1"/>
    <col min="9" max="9" width="12.125" style="85" customWidth="1"/>
    <col min="10" max="16384" width="11.375" style="85"/>
  </cols>
  <sheetData>
    <row r="1" spans="1:9" ht="18.75" customHeight="1" x14ac:dyDescent="0.15">
      <c r="A1" s="30" t="s">
        <v>63</v>
      </c>
      <c r="I1" s="28" t="s">
        <v>97</v>
      </c>
    </row>
    <row r="2" spans="1:9" ht="18.75" customHeight="1" x14ac:dyDescent="0.15">
      <c r="G2" s="28" t="s">
        <v>99</v>
      </c>
      <c r="H2" s="109" t="s">
        <v>177</v>
      </c>
      <c r="I2" s="111"/>
    </row>
    <row r="3" spans="1:9" ht="18.75" customHeight="1" x14ac:dyDescent="0.15">
      <c r="G3" s="28"/>
      <c r="H3" s="9"/>
      <c r="I3" s="9"/>
    </row>
    <row r="4" spans="1:9" ht="18.600000000000001" customHeight="1" x14ac:dyDescent="0.15">
      <c r="A4" s="188" t="s">
        <v>36</v>
      </c>
      <c r="B4" s="188"/>
      <c r="C4" s="188"/>
      <c r="D4" s="188"/>
      <c r="E4" s="188"/>
      <c r="F4" s="188"/>
      <c r="G4" s="188"/>
      <c r="H4" s="188"/>
      <c r="I4" s="188"/>
    </row>
    <row r="5" spans="1:9" ht="13.15" customHeight="1" x14ac:dyDescent="0.15">
      <c r="B5" s="89"/>
      <c r="C5" s="89"/>
      <c r="D5" s="89"/>
      <c r="E5" s="89"/>
      <c r="F5" s="89"/>
      <c r="G5" s="89"/>
      <c r="H5" s="89"/>
      <c r="I5" s="89"/>
    </row>
    <row r="6" spans="1:9" ht="18" customHeight="1" x14ac:dyDescent="0.15">
      <c r="A6" s="85" t="s">
        <v>0</v>
      </c>
      <c r="B6" s="9" t="s">
        <v>86</v>
      </c>
      <c r="C6" s="189" t="s">
        <v>87</v>
      </c>
      <c r="D6" s="189"/>
      <c r="E6" s="27">
        <v>23</v>
      </c>
      <c r="F6" s="89" t="s">
        <v>1</v>
      </c>
      <c r="G6" s="89" t="s">
        <v>2</v>
      </c>
      <c r="H6" s="27">
        <v>15</v>
      </c>
      <c r="I6" s="9" t="s">
        <v>1</v>
      </c>
    </row>
    <row r="7" spans="1:9" ht="12" customHeight="1" x14ac:dyDescent="0.15">
      <c r="C7" s="2"/>
      <c r="D7" s="2"/>
      <c r="E7" s="2"/>
      <c r="F7" s="2"/>
      <c r="G7" s="2"/>
      <c r="H7" s="2"/>
      <c r="I7" s="31"/>
    </row>
    <row r="8" spans="1:9" ht="18" customHeight="1" x14ac:dyDescent="0.15">
      <c r="A8" s="85" t="s">
        <v>3</v>
      </c>
      <c r="B8" s="9" t="s">
        <v>88</v>
      </c>
      <c r="E8" s="89"/>
      <c r="F8" s="89"/>
      <c r="G8" s="89"/>
      <c r="H8" s="92">
        <v>1</v>
      </c>
      <c r="I8" s="9" t="s">
        <v>1</v>
      </c>
    </row>
    <row r="9" spans="1:9" ht="9" customHeight="1" x14ac:dyDescent="0.15">
      <c r="B9" s="89"/>
      <c r="C9" s="89"/>
      <c r="D9" s="89"/>
      <c r="E9" s="89"/>
      <c r="F9" s="89"/>
      <c r="G9" s="89"/>
      <c r="H9" s="89"/>
      <c r="I9" s="89"/>
    </row>
    <row r="10" spans="1:9" ht="18" customHeight="1" x14ac:dyDescent="0.15">
      <c r="A10" s="85" t="s">
        <v>4</v>
      </c>
      <c r="B10" s="9" t="s">
        <v>89</v>
      </c>
      <c r="C10" s="89"/>
      <c r="D10" s="89"/>
      <c r="E10" s="89"/>
      <c r="F10" s="89"/>
      <c r="G10" s="89"/>
      <c r="H10" s="89"/>
      <c r="I10" s="89"/>
    </row>
    <row r="11" spans="1:9" ht="18" customHeight="1" x14ac:dyDescent="0.15">
      <c r="B11" s="28" t="s">
        <v>42</v>
      </c>
      <c r="C11" s="190" t="s">
        <v>154</v>
      </c>
      <c r="D11" s="191"/>
      <c r="E11" s="192"/>
      <c r="F11" s="31"/>
      <c r="G11" s="28" t="s">
        <v>10</v>
      </c>
      <c r="H11" s="190" t="s">
        <v>155</v>
      </c>
      <c r="I11" s="192"/>
    </row>
    <row r="12" spans="1:9" ht="10.15" customHeight="1" x14ac:dyDescent="0.15">
      <c r="B12" s="28"/>
      <c r="C12" s="9"/>
      <c r="D12" s="31"/>
      <c r="E12" s="31"/>
      <c r="F12" s="31"/>
      <c r="G12" s="28"/>
      <c r="H12" s="9"/>
      <c r="I12" s="31"/>
    </row>
    <row r="13" spans="1:9" ht="18" customHeight="1" x14ac:dyDescent="0.15">
      <c r="A13" s="85" t="s">
        <v>7</v>
      </c>
      <c r="B13" s="9" t="s">
        <v>84</v>
      </c>
      <c r="C13" s="89"/>
      <c r="D13" s="89"/>
      <c r="E13" s="89"/>
      <c r="F13" s="89"/>
      <c r="G13" s="89"/>
      <c r="H13" s="89"/>
      <c r="I13" s="89"/>
    </row>
    <row r="14" spans="1:9" ht="18" customHeight="1" x14ac:dyDescent="0.15">
      <c r="B14" s="190" t="s">
        <v>156</v>
      </c>
      <c r="C14" s="193"/>
      <c r="D14" s="193"/>
      <c r="E14" s="193"/>
      <c r="F14" s="193"/>
      <c r="G14" s="193"/>
      <c r="H14" s="193"/>
      <c r="I14" s="194"/>
    </row>
    <row r="15" spans="1:9" ht="9" customHeight="1" x14ac:dyDescent="0.15">
      <c r="B15" s="89"/>
      <c r="C15" s="89"/>
      <c r="D15" s="89"/>
      <c r="E15" s="89"/>
      <c r="F15" s="89"/>
      <c r="G15" s="89"/>
      <c r="H15" s="89"/>
      <c r="I15" s="89"/>
    </row>
    <row r="16" spans="1:9" ht="18" customHeight="1" x14ac:dyDescent="0.15">
      <c r="B16" s="28" t="s">
        <v>42</v>
      </c>
      <c r="C16" s="190" t="s">
        <v>157</v>
      </c>
      <c r="D16" s="191"/>
      <c r="E16" s="192"/>
      <c r="F16" s="31"/>
      <c r="G16" s="28" t="s">
        <v>10</v>
      </c>
      <c r="H16" s="190" t="s">
        <v>158</v>
      </c>
      <c r="I16" s="192"/>
    </row>
    <row r="17" spans="1:9" ht="18" customHeight="1" x14ac:dyDescent="0.15">
      <c r="B17" s="89"/>
      <c r="C17" s="89"/>
      <c r="D17" s="89"/>
      <c r="E17" s="89"/>
      <c r="F17" s="89"/>
      <c r="G17" s="89"/>
      <c r="H17" s="89"/>
      <c r="I17" s="89"/>
    </row>
    <row r="18" spans="1:9" ht="18.75" customHeight="1" x14ac:dyDescent="0.15">
      <c r="A18" s="85" t="s">
        <v>5</v>
      </c>
      <c r="B18" s="85" t="s">
        <v>41</v>
      </c>
      <c r="I18" s="89"/>
    </row>
    <row r="19" spans="1:9" ht="18.75" customHeight="1" x14ac:dyDescent="0.15">
      <c r="A19" s="85"/>
      <c r="B19" s="195" t="s">
        <v>182</v>
      </c>
      <c r="C19" s="196"/>
      <c r="D19" s="196"/>
      <c r="E19" s="196"/>
      <c r="F19" s="196"/>
      <c r="G19" s="196"/>
      <c r="H19" s="196"/>
      <c r="I19" s="197"/>
    </row>
    <row r="20" spans="1:9" ht="7.5" customHeight="1" x14ac:dyDescent="0.15">
      <c r="B20" s="89"/>
      <c r="C20" s="89"/>
      <c r="D20" s="89"/>
      <c r="E20" s="89"/>
      <c r="F20" s="89"/>
      <c r="G20" s="89"/>
      <c r="H20" s="89"/>
      <c r="I20" s="89"/>
    </row>
    <row r="21" spans="1:9" ht="18.75" customHeight="1" x14ac:dyDescent="0.15">
      <c r="A21" s="85" t="s">
        <v>8</v>
      </c>
      <c r="B21" s="85" t="s">
        <v>25</v>
      </c>
    </row>
    <row r="22" spans="1:9" ht="18.75" customHeight="1" x14ac:dyDescent="0.15">
      <c r="A22" s="91"/>
      <c r="B22" s="198" t="s">
        <v>159</v>
      </c>
      <c r="C22" s="199"/>
      <c r="D22" s="199"/>
      <c r="E22" s="199"/>
      <c r="F22" s="199"/>
      <c r="G22" s="199"/>
      <c r="H22" s="199"/>
      <c r="I22" s="200"/>
    </row>
    <row r="23" spans="1:9" ht="18.75" customHeight="1" x14ac:dyDescent="0.15">
      <c r="A23" s="91"/>
      <c r="B23" s="201"/>
      <c r="C23" s="202"/>
      <c r="D23" s="202"/>
      <c r="E23" s="202"/>
      <c r="F23" s="202"/>
      <c r="G23" s="202"/>
      <c r="H23" s="202"/>
      <c r="I23" s="203"/>
    </row>
    <row r="24" spans="1:9" ht="18.75" customHeight="1" x14ac:dyDescent="0.15">
      <c r="A24" s="91"/>
      <c r="B24" s="201"/>
      <c r="C24" s="202"/>
      <c r="D24" s="202"/>
      <c r="E24" s="202"/>
      <c r="F24" s="202"/>
      <c r="G24" s="202"/>
      <c r="H24" s="202"/>
      <c r="I24" s="203"/>
    </row>
    <row r="25" spans="1:9" ht="18.75" customHeight="1" x14ac:dyDescent="0.15">
      <c r="A25" s="91"/>
      <c r="B25" s="201"/>
      <c r="C25" s="202"/>
      <c r="D25" s="202"/>
      <c r="E25" s="202"/>
      <c r="F25" s="202"/>
      <c r="G25" s="202"/>
      <c r="H25" s="202"/>
      <c r="I25" s="203"/>
    </row>
    <row r="26" spans="1:9" ht="18.75" customHeight="1" x14ac:dyDescent="0.15">
      <c r="A26" s="91"/>
      <c r="B26" s="201"/>
      <c r="C26" s="202"/>
      <c r="D26" s="202"/>
      <c r="E26" s="202"/>
      <c r="F26" s="202"/>
      <c r="G26" s="202"/>
      <c r="H26" s="202"/>
      <c r="I26" s="203"/>
    </row>
    <row r="27" spans="1:9" ht="18.75" customHeight="1" x14ac:dyDescent="0.15">
      <c r="A27" s="91"/>
      <c r="B27" s="201"/>
      <c r="C27" s="202"/>
      <c r="D27" s="202"/>
      <c r="E27" s="202"/>
      <c r="F27" s="202"/>
      <c r="G27" s="202"/>
      <c r="H27" s="202"/>
      <c r="I27" s="203"/>
    </row>
    <row r="28" spans="1:9" ht="18.75" customHeight="1" x14ac:dyDescent="0.15">
      <c r="A28" s="91"/>
      <c r="B28" s="201"/>
      <c r="C28" s="202"/>
      <c r="D28" s="202"/>
      <c r="E28" s="202"/>
      <c r="F28" s="202"/>
      <c r="G28" s="202"/>
      <c r="H28" s="202"/>
      <c r="I28" s="203"/>
    </row>
    <row r="29" spans="1:9" ht="18.75" customHeight="1" x14ac:dyDescent="0.15">
      <c r="A29" s="91"/>
      <c r="B29" s="201"/>
      <c r="C29" s="202"/>
      <c r="D29" s="202"/>
      <c r="E29" s="202"/>
      <c r="F29" s="202"/>
      <c r="G29" s="202"/>
      <c r="H29" s="202"/>
      <c r="I29" s="203"/>
    </row>
    <row r="30" spans="1:9" ht="18.75" customHeight="1" x14ac:dyDescent="0.15">
      <c r="A30" s="91"/>
      <c r="B30" s="204"/>
      <c r="C30" s="205"/>
      <c r="D30" s="205"/>
      <c r="E30" s="205"/>
      <c r="F30" s="205"/>
      <c r="G30" s="205"/>
      <c r="H30" s="205"/>
      <c r="I30" s="203"/>
    </row>
    <row r="31" spans="1:9" ht="18.75" customHeight="1" x14ac:dyDescent="0.15">
      <c r="A31" s="91"/>
      <c r="B31" s="204"/>
      <c r="C31" s="205"/>
      <c r="D31" s="205"/>
      <c r="E31" s="205"/>
      <c r="F31" s="205"/>
      <c r="G31" s="205"/>
      <c r="H31" s="205"/>
      <c r="I31" s="203"/>
    </row>
    <row r="32" spans="1:9" ht="18.75" customHeight="1" x14ac:dyDescent="0.15">
      <c r="A32" s="91"/>
      <c r="B32" s="206"/>
      <c r="C32" s="207"/>
      <c r="D32" s="207"/>
      <c r="E32" s="207"/>
      <c r="F32" s="207"/>
      <c r="G32" s="207"/>
      <c r="H32" s="207"/>
      <c r="I32" s="208"/>
    </row>
    <row r="33" spans="1:9" ht="7.5" customHeight="1" x14ac:dyDescent="0.15">
      <c r="A33" s="91"/>
      <c r="B33" s="91"/>
      <c r="C33" s="91"/>
      <c r="D33" s="91"/>
      <c r="E33" s="91"/>
      <c r="F33" s="91"/>
      <c r="G33" s="91"/>
      <c r="H33" s="91"/>
      <c r="I33" s="91"/>
    </row>
    <row r="34" spans="1:9" ht="18.75" customHeight="1" x14ac:dyDescent="0.15">
      <c r="A34" s="86" t="s">
        <v>6</v>
      </c>
      <c r="B34" s="86" t="s">
        <v>9</v>
      </c>
      <c r="C34" s="9"/>
      <c r="D34" s="86"/>
      <c r="E34" s="86"/>
      <c r="F34" s="86"/>
      <c r="G34" s="86"/>
      <c r="H34" s="86"/>
      <c r="I34" s="86"/>
    </row>
    <row r="35" spans="1:9" ht="18.75" customHeight="1" x14ac:dyDescent="0.15">
      <c r="A35" s="91"/>
      <c r="B35" s="198" t="s">
        <v>165</v>
      </c>
      <c r="C35" s="199"/>
      <c r="D35" s="199"/>
      <c r="E35" s="199"/>
      <c r="F35" s="199"/>
      <c r="G35" s="199"/>
      <c r="H35" s="199"/>
      <c r="I35" s="200"/>
    </row>
    <row r="36" spans="1:9" ht="18.75" customHeight="1" x14ac:dyDescent="0.15">
      <c r="A36" s="91"/>
      <c r="B36" s="204"/>
      <c r="C36" s="205"/>
      <c r="D36" s="205"/>
      <c r="E36" s="205"/>
      <c r="F36" s="205"/>
      <c r="G36" s="205"/>
      <c r="H36" s="205"/>
      <c r="I36" s="203"/>
    </row>
    <row r="37" spans="1:9" ht="18.75" customHeight="1" x14ac:dyDescent="0.15">
      <c r="A37" s="91"/>
      <c r="B37" s="204"/>
      <c r="C37" s="205"/>
      <c r="D37" s="205"/>
      <c r="E37" s="205"/>
      <c r="F37" s="205"/>
      <c r="G37" s="205"/>
      <c r="H37" s="205"/>
      <c r="I37" s="203"/>
    </row>
    <row r="38" spans="1:9" ht="18.75" customHeight="1" x14ac:dyDescent="0.15">
      <c r="A38" s="91"/>
      <c r="B38" s="204"/>
      <c r="C38" s="205"/>
      <c r="D38" s="205"/>
      <c r="E38" s="205"/>
      <c r="F38" s="205"/>
      <c r="G38" s="205"/>
      <c r="H38" s="205"/>
      <c r="I38" s="203"/>
    </row>
    <row r="39" spans="1:9" ht="18.75" customHeight="1" x14ac:dyDescent="0.15">
      <c r="A39" s="91"/>
      <c r="B39" s="204"/>
      <c r="C39" s="205"/>
      <c r="D39" s="205"/>
      <c r="E39" s="205"/>
      <c r="F39" s="205"/>
      <c r="G39" s="205"/>
      <c r="H39" s="205"/>
      <c r="I39" s="203"/>
    </row>
    <row r="40" spans="1:9" ht="18.75" customHeight="1" x14ac:dyDescent="0.15">
      <c r="A40" s="91"/>
      <c r="B40" s="204"/>
      <c r="C40" s="205"/>
      <c r="D40" s="205"/>
      <c r="E40" s="205"/>
      <c r="F40" s="205"/>
      <c r="G40" s="205"/>
      <c r="H40" s="205"/>
      <c r="I40" s="203"/>
    </row>
    <row r="41" spans="1:9" ht="18.75" customHeight="1" x14ac:dyDescent="0.15">
      <c r="A41" s="91"/>
      <c r="B41" s="204"/>
      <c r="C41" s="205"/>
      <c r="D41" s="205"/>
      <c r="E41" s="205"/>
      <c r="F41" s="205"/>
      <c r="G41" s="205"/>
      <c r="H41" s="205"/>
      <c r="I41" s="203"/>
    </row>
    <row r="42" spans="1:9" ht="18.75" customHeight="1" x14ac:dyDescent="0.15">
      <c r="A42" s="91"/>
      <c r="B42" s="204"/>
      <c r="C42" s="205"/>
      <c r="D42" s="205"/>
      <c r="E42" s="205"/>
      <c r="F42" s="205"/>
      <c r="G42" s="205"/>
      <c r="H42" s="205"/>
      <c r="I42" s="203"/>
    </row>
    <row r="43" spans="1:9" ht="18.75" customHeight="1" x14ac:dyDescent="0.15">
      <c r="A43" s="91"/>
      <c r="B43" s="204"/>
      <c r="C43" s="205"/>
      <c r="D43" s="205"/>
      <c r="E43" s="205"/>
      <c r="F43" s="205"/>
      <c r="G43" s="205"/>
      <c r="H43" s="205"/>
      <c r="I43" s="203"/>
    </row>
    <row r="44" spans="1:9" ht="18.75" customHeight="1" x14ac:dyDescent="0.15">
      <c r="A44" s="91"/>
      <c r="B44" s="204"/>
      <c r="C44" s="205"/>
      <c r="D44" s="205"/>
      <c r="E44" s="205"/>
      <c r="F44" s="205"/>
      <c r="G44" s="205"/>
      <c r="H44" s="205"/>
      <c r="I44" s="203"/>
    </row>
    <row r="45" spans="1:9" ht="18.75" customHeight="1" x14ac:dyDescent="0.15">
      <c r="A45" s="91"/>
      <c r="B45" s="204"/>
      <c r="C45" s="205"/>
      <c r="D45" s="205"/>
      <c r="E45" s="205"/>
      <c r="F45" s="205"/>
      <c r="G45" s="205"/>
      <c r="H45" s="205"/>
      <c r="I45" s="203"/>
    </row>
    <row r="46" spans="1:9" ht="18.75" customHeight="1" x14ac:dyDescent="0.15">
      <c r="A46" s="91"/>
      <c r="B46" s="206"/>
      <c r="C46" s="207"/>
      <c r="D46" s="207"/>
      <c r="E46" s="207"/>
      <c r="F46" s="207"/>
      <c r="G46" s="207"/>
      <c r="H46" s="207"/>
      <c r="I46" s="208"/>
    </row>
    <row r="47" spans="1:9" ht="7.5" customHeight="1" x14ac:dyDescent="0.15">
      <c r="A47" s="4"/>
      <c r="B47" s="4"/>
      <c r="C47" s="4"/>
      <c r="D47" s="4"/>
      <c r="E47" s="4"/>
      <c r="F47" s="4"/>
      <c r="G47" s="4"/>
      <c r="H47" s="4"/>
      <c r="I47" s="4"/>
    </row>
    <row r="48" spans="1:9" ht="18.75" customHeight="1" x14ac:dyDescent="0.15">
      <c r="A48" s="85" t="s">
        <v>31</v>
      </c>
      <c r="B48" s="85" t="s">
        <v>111</v>
      </c>
    </row>
    <row r="49" spans="1:15" s="89" customFormat="1" ht="18.75" customHeight="1" x14ac:dyDescent="0.15">
      <c r="B49" s="32" t="s">
        <v>128</v>
      </c>
      <c r="C49" s="187">
        <f>'様式２ 履修者等数の実績'!S33</f>
        <v>8.666666666666667E-2</v>
      </c>
      <c r="D49" s="187"/>
      <c r="E49" s="32" t="s">
        <v>64</v>
      </c>
      <c r="F49" s="187">
        <v>0.26500000000000001</v>
      </c>
      <c r="G49" s="187"/>
      <c r="H49" s="32" t="s">
        <v>65</v>
      </c>
      <c r="I49" s="90">
        <v>0.53600000000000003</v>
      </c>
      <c r="J49" s="85"/>
      <c r="M49" s="85"/>
      <c r="N49" s="33"/>
    </row>
    <row r="50" spans="1:15" s="89" customFormat="1" ht="18.75" customHeight="1" x14ac:dyDescent="0.15">
      <c r="B50" s="34" t="s">
        <v>85</v>
      </c>
      <c r="C50" s="211">
        <v>0.78</v>
      </c>
      <c r="D50" s="211"/>
      <c r="E50" s="34" t="s">
        <v>129</v>
      </c>
      <c r="F50" s="211">
        <v>0.91400000000000003</v>
      </c>
      <c r="G50" s="211"/>
      <c r="H50" s="34" t="s">
        <v>66</v>
      </c>
      <c r="I50" s="35">
        <f>'様式２ 履修者等数の実績'!E33</f>
        <v>450</v>
      </c>
      <c r="J50" s="85"/>
      <c r="M50" s="85"/>
      <c r="N50" s="33"/>
    </row>
    <row r="51" spans="1:15" ht="18.75" customHeight="1" x14ac:dyDescent="0.15">
      <c r="A51" s="85"/>
      <c r="B51" s="212" t="s">
        <v>67</v>
      </c>
      <c r="C51" s="213"/>
      <c r="D51" s="213"/>
      <c r="E51" s="213"/>
      <c r="F51" s="213"/>
      <c r="G51" s="213"/>
      <c r="H51" s="213"/>
      <c r="I51" s="214"/>
      <c r="N51" s="33"/>
      <c r="O51" s="89"/>
    </row>
    <row r="52" spans="1:15" ht="18.75" customHeight="1" x14ac:dyDescent="0.15">
      <c r="A52" s="85"/>
      <c r="B52" s="215" t="s">
        <v>180</v>
      </c>
      <c r="C52" s="216"/>
      <c r="D52" s="216"/>
      <c r="E52" s="216"/>
      <c r="F52" s="216"/>
      <c r="G52" s="216"/>
      <c r="H52" s="216"/>
      <c r="I52" s="217"/>
      <c r="N52" s="33"/>
      <c r="O52" s="89"/>
    </row>
    <row r="53" spans="1:15" ht="18.75" customHeight="1" x14ac:dyDescent="0.15">
      <c r="A53" s="85"/>
      <c r="B53" s="218"/>
      <c r="C53" s="219"/>
      <c r="D53" s="219"/>
      <c r="E53" s="219"/>
      <c r="F53" s="219"/>
      <c r="G53" s="219"/>
      <c r="H53" s="219"/>
      <c r="I53" s="220"/>
      <c r="N53" s="33"/>
      <c r="O53" s="89"/>
    </row>
    <row r="54" spans="1:15" ht="18.75" customHeight="1" x14ac:dyDescent="0.15">
      <c r="A54" s="85"/>
      <c r="B54" s="218"/>
      <c r="C54" s="219"/>
      <c r="D54" s="219"/>
      <c r="E54" s="219"/>
      <c r="F54" s="219"/>
      <c r="G54" s="219"/>
      <c r="H54" s="219"/>
      <c r="I54" s="220"/>
    </row>
    <row r="55" spans="1:15" ht="18.75" customHeight="1" x14ac:dyDescent="0.15">
      <c r="A55" s="85"/>
      <c r="B55" s="218"/>
      <c r="C55" s="219"/>
      <c r="D55" s="219"/>
      <c r="E55" s="219"/>
      <c r="F55" s="219"/>
      <c r="G55" s="219"/>
      <c r="H55" s="219"/>
      <c r="I55" s="220"/>
    </row>
    <row r="56" spans="1:15" ht="18.75" customHeight="1" x14ac:dyDescent="0.15">
      <c r="A56" s="85"/>
      <c r="B56" s="218"/>
      <c r="C56" s="219"/>
      <c r="D56" s="219"/>
      <c r="E56" s="219"/>
      <c r="F56" s="219"/>
      <c r="G56" s="219"/>
      <c r="H56" s="219"/>
      <c r="I56" s="220"/>
    </row>
    <row r="57" spans="1:15" ht="18.75" customHeight="1" x14ac:dyDescent="0.15">
      <c r="A57" s="85"/>
      <c r="B57" s="218"/>
      <c r="C57" s="219"/>
      <c r="D57" s="219"/>
      <c r="E57" s="219"/>
      <c r="F57" s="219"/>
      <c r="G57" s="219"/>
      <c r="H57" s="219"/>
      <c r="I57" s="220"/>
    </row>
    <row r="58" spans="1:15" ht="18.75" customHeight="1" x14ac:dyDescent="0.15">
      <c r="A58" s="85"/>
      <c r="B58" s="218"/>
      <c r="C58" s="219"/>
      <c r="D58" s="219"/>
      <c r="E58" s="219"/>
      <c r="F58" s="219"/>
      <c r="G58" s="219"/>
      <c r="H58" s="219"/>
      <c r="I58" s="220"/>
    </row>
    <row r="59" spans="1:15" ht="18.75" customHeight="1" x14ac:dyDescent="0.15">
      <c r="A59" s="85"/>
      <c r="B59" s="218"/>
      <c r="C59" s="219"/>
      <c r="D59" s="219"/>
      <c r="E59" s="219"/>
      <c r="F59" s="219"/>
      <c r="G59" s="219"/>
      <c r="H59" s="219"/>
      <c r="I59" s="220"/>
    </row>
    <row r="60" spans="1:15" ht="18.75" customHeight="1" x14ac:dyDescent="0.15">
      <c r="A60" s="85"/>
      <c r="B60" s="218"/>
      <c r="C60" s="219"/>
      <c r="D60" s="219"/>
      <c r="E60" s="219"/>
      <c r="F60" s="219"/>
      <c r="G60" s="219"/>
      <c r="H60" s="219"/>
      <c r="I60" s="220"/>
    </row>
    <row r="61" spans="1:15" ht="18.75" customHeight="1" x14ac:dyDescent="0.15">
      <c r="A61" s="85"/>
      <c r="B61" s="218"/>
      <c r="C61" s="219"/>
      <c r="D61" s="219"/>
      <c r="E61" s="219"/>
      <c r="F61" s="219"/>
      <c r="G61" s="219"/>
      <c r="H61" s="219"/>
      <c r="I61" s="220"/>
    </row>
    <row r="62" spans="1:15" ht="18.75" customHeight="1" x14ac:dyDescent="0.15">
      <c r="A62" s="85"/>
      <c r="B62" s="218"/>
      <c r="C62" s="219"/>
      <c r="D62" s="219"/>
      <c r="E62" s="219"/>
      <c r="F62" s="219"/>
      <c r="G62" s="219"/>
      <c r="H62" s="219"/>
      <c r="I62" s="220"/>
    </row>
    <row r="63" spans="1:15" ht="18.75" customHeight="1" x14ac:dyDescent="0.15">
      <c r="A63" s="85"/>
      <c r="B63" s="221"/>
      <c r="C63" s="222"/>
      <c r="D63" s="222"/>
      <c r="E63" s="222"/>
      <c r="F63" s="222"/>
      <c r="G63" s="222"/>
      <c r="H63" s="222"/>
      <c r="I63" s="223"/>
    </row>
    <row r="64" spans="1:15" ht="7.5" customHeight="1" x14ac:dyDescent="0.15">
      <c r="A64" s="91"/>
      <c r="B64" s="91"/>
      <c r="C64" s="91"/>
      <c r="D64" s="91"/>
      <c r="E64" s="91"/>
      <c r="F64" s="91"/>
      <c r="G64" s="91"/>
      <c r="H64" s="91"/>
      <c r="I64" s="91"/>
    </row>
    <row r="65" spans="1:9" ht="18.75" customHeight="1" x14ac:dyDescent="0.15">
      <c r="A65" s="86" t="s">
        <v>34</v>
      </c>
      <c r="B65" s="85" t="s">
        <v>37</v>
      </c>
      <c r="I65" s="86"/>
    </row>
    <row r="66" spans="1:9" ht="18.75" customHeight="1" x14ac:dyDescent="0.15">
      <c r="A66" s="4"/>
      <c r="B66" s="224" t="s">
        <v>166</v>
      </c>
      <c r="C66" s="225"/>
      <c r="D66" s="225"/>
      <c r="E66" s="225"/>
      <c r="F66" s="225"/>
      <c r="G66" s="225"/>
      <c r="H66" s="225"/>
      <c r="I66" s="226"/>
    </row>
    <row r="67" spans="1:9" ht="18.75" customHeight="1" x14ac:dyDescent="0.15">
      <c r="A67" s="4"/>
      <c r="B67" s="227"/>
      <c r="C67" s="228"/>
      <c r="D67" s="228"/>
      <c r="E67" s="228"/>
      <c r="F67" s="228"/>
      <c r="G67" s="228"/>
      <c r="H67" s="228"/>
      <c r="I67" s="229"/>
    </row>
    <row r="68" spans="1:9" ht="18.75" customHeight="1" x14ac:dyDescent="0.15">
      <c r="A68" s="4"/>
      <c r="B68" s="227"/>
      <c r="C68" s="228"/>
      <c r="D68" s="228"/>
      <c r="E68" s="228"/>
      <c r="F68" s="228"/>
      <c r="G68" s="228"/>
      <c r="H68" s="228"/>
      <c r="I68" s="229"/>
    </row>
    <row r="69" spans="1:9" ht="18.75" customHeight="1" x14ac:dyDescent="0.15">
      <c r="A69" s="4"/>
      <c r="B69" s="227"/>
      <c r="C69" s="228"/>
      <c r="D69" s="228"/>
      <c r="E69" s="228"/>
      <c r="F69" s="228"/>
      <c r="G69" s="228"/>
      <c r="H69" s="228"/>
      <c r="I69" s="229"/>
    </row>
    <row r="70" spans="1:9" ht="18.75" customHeight="1" x14ac:dyDescent="0.15">
      <c r="A70" s="4"/>
      <c r="B70" s="227"/>
      <c r="C70" s="228"/>
      <c r="D70" s="228"/>
      <c r="E70" s="228"/>
      <c r="F70" s="228"/>
      <c r="G70" s="228"/>
      <c r="H70" s="228"/>
      <c r="I70" s="229"/>
    </row>
    <row r="71" spans="1:9" ht="18.75" customHeight="1" x14ac:dyDescent="0.15">
      <c r="A71" s="4"/>
      <c r="B71" s="227"/>
      <c r="C71" s="228"/>
      <c r="D71" s="228"/>
      <c r="E71" s="228"/>
      <c r="F71" s="228"/>
      <c r="G71" s="228"/>
      <c r="H71" s="228"/>
      <c r="I71" s="229"/>
    </row>
    <row r="72" spans="1:9" ht="18.75" customHeight="1" x14ac:dyDescent="0.15">
      <c r="A72" s="4"/>
      <c r="B72" s="227"/>
      <c r="C72" s="228"/>
      <c r="D72" s="228"/>
      <c r="E72" s="228"/>
      <c r="F72" s="228"/>
      <c r="G72" s="228"/>
      <c r="H72" s="228"/>
      <c r="I72" s="229"/>
    </row>
    <row r="73" spans="1:9" ht="18.75" customHeight="1" x14ac:dyDescent="0.15">
      <c r="A73" s="4"/>
      <c r="B73" s="227"/>
      <c r="C73" s="228"/>
      <c r="D73" s="228"/>
      <c r="E73" s="228"/>
      <c r="F73" s="228"/>
      <c r="G73" s="228"/>
      <c r="H73" s="228"/>
      <c r="I73" s="229"/>
    </row>
    <row r="74" spans="1:9" ht="18.75" customHeight="1" x14ac:dyDescent="0.15">
      <c r="A74" s="4"/>
      <c r="B74" s="227"/>
      <c r="C74" s="228"/>
      <c r="D74" s="228"/>
      <c r="E74" s="228"/>
      <c r="F74" s="228"/>
      <c r="G74" s="228"/>
      <c r="H74" s="228"/>
      <c r="I74" s="229"/>
    </row>
    <row r="75" spans="1:9" ht="18.75" customHeight="1" x14ac:dyDescent="0.15">
      <c r="A75" s="4"/>
      <c r="B75" s="227"/>
      <c r="C75" s="228"/>
      <c r="D75" s="228"/>
      <c r="E75" s="228"/>
      <c r="F75" s="228"/>
      <c r="G75" s="228"/>
      <c r="H75" s="228"/>
      <c r="I75" s="229"/>
    </row>
    <row r="76" spans="1:9" ht="18.75" customHeight="1" x14ac:dyDescent="0.15">
      <c r="A76" s="4"/>
      <c r="B76" s="227"/>
      <c r="C76" s="228"/>
      <c r="D76" s="228"/>
      <c r="E76" s="228"/>
      <c r="F76" s="228"/>
      <c r="G76" s="228"/>
      <c r="H76" s="228"/>
      <c r="I76" s="229"/>
    </row>
    <row r="77" spans="1:9" ht="18.75" customHeight="1" x14ac:dyDescent="0.15">
      <c r="A77" s="4"/>
      <c r="B77" s="230"/>
      <c r="C77" s="231"/>
      <c r="D77" s="231"/>
      <c r="E77" s="231"/>
      <c r="F77" s="231"/>
      <c r="G77" s="231"/>
      <c r="H77" s="231"/>
      <c r="I77" s="232"/>
    </row>
    <row r="78" spans="1:9" ht="7.5" customHeight="1" x14ac:dyDescent="0.15">
      <c r="A78" s="4"/>
      <c r="B78" s="4"/>
      <c r="C78" s="4"/>
      <c r="D78" s="4"/>
      <c r="E78" s="4"/>
      <c r="F78" s="4"/>
      <c r="G78" s="4"/>
      <c r="H78" s="4"/>
      <c r="I78" s="4"/>
    </row>
    <row r="79" spans="1:9" ht="18.75" customHeight="1" x14ac:dyDescent="0.15">
      <c r="A79" s="85" t="s">
        <v>11</v>
      </c>
      <c r="B79" s="85" t="s">
        <v>40</v>
      </c>
    </row>
    <row r="80" spans="1:9" ht="18.75" customHeight="1" x14ac:dyDescent="0.15">
      <c r="A80" s="85"/>
      <c r="B80" s="224" t="s">
        <v>167</v>
      </c>
      <c r="C80" s="225"/>
      <c r="D80" s="225"/>
      <c r="E80" s="225"/>
      <c r="F80" s="225"/>
      <c r="G80" s="225"/>
      <c r="H80" s="225"/>
      <c r="I80" s="233"/>
    </row>
    <row r="81" spans="1:9" ht="18.75" customHeight="1" x14ac:dyDescent="0.15">
      <c r="A81" s="85"/>
      <c r="B81" s="234"/>
      <c r="C81" s="235"/>
      <c r="D81" s="235"/>
      <c r="E81" s="235"/>
      <c r="F81" s="235"/>
      <c r="G81" s="235"/>
      <c r="H81" s="235"/>
      <c r="I81" s="236"/>
    </row>
    <row r="82" spans="1:9" ht="18.75" customHeight="1" x14ac:dyDescent="0.15">
      <c r="A82" s="85"/>
      <c r="B82" s="234"/>
      <c r="C82" s="235"/>
      <c r="D82" s="235"/>
      <c r="E82" s="235"/>
      <c r="F82" s="235"/>
      <c r="G82" s="235"/>
      <c r="H82" s="235"/>
      <c r="I82" s="236"/>
    </row>
    <row r="83" spans="1:9" ht="18.75" customHeight="1" x14ac:dyDescent="0.15">
      <c r="A83" s="85"/>
      <c r="B83" s="234"/>
      <c r="C83" s="235"/>
      <c r="D83" s="235"/>
      <c r="E83" s="235"/>
      <c r="F83" s="235"/>
      <c r="G83" s="235"/>
      <c r="H83" s="235"/>
      <c r="I83" s="236"/>
    </row>
    <row r="84" spans="1:9" ht="18.75" customHeight="1" x14ac:dyDescent="0.15">
      <c r="A84" s="85"/>
      <c r="B84" s="234"/>
      <c r="C84" s="235"/>
      <c r="D84" s="235"/>
      <c r="E84" s="235"/>
      <c r="F84" s="235"/>
      <c r="G84" s="235"/>
      <c r="H84" s="235"/>
      <c r="I84" s="236"/>
    </row>
    <row r="85" spans="1:9" ht="18.75" customHeight="1" x14ac:dyDescent="0.15">
      <c r="A85" s="85"/>
      <c r="B85" s="234"/>
      <c r="C85" s="235"/>
      <c r="D85" s="235"/>
      <c r="E85" s="235"/>
      <c r="F85" s="235"/>
      <c r="G85" s="235"/>
      <c r="H85" s="235"/>
      <c r="I85" s="236"/>
    </row>
    <row r="86" spans="1:9" ht="18.75" customHeight="1" x14ac:dyDescent="0.15">
      <c r="A86" s="85"/>
      <c r="B86" s="234"/>
      <c r="C86" s="235"/>
      <c r="D86" s="235"/>
      <c r="E86" s="235"/>
      <c r="F86" s="235"/>
      <c r="G86" s="235"/>
      <c r="H86" s="235"/>
      <c r="I86" s="236"/>
    </row>
    <row r="87" spans="1:9" ht="18.75" customHeight="1" x14ac:dyDescent="0.15">
      <c r="A87" s="85"/>
      <c r="B87" s="234"/>
      <c r="C87" s="235"/>
      <c r="D87" s="235"/>
      <c r="E87" s="235"/>
      <c r="F87" s="235"/>
      <c r="G87" s="235"/>
      <c r="H87" s="235"/>
      <c r="I87" s="236"/>
    </row>
    <row r="88" spans="1:9" ht="18.75" customHeight="1" x14ac:dyDescent="0.15">
      <c r="A88" s="85"/>
      <c r="B88" s="234"/>
      <c r="C88" s="235"/>
      <c r="D88" s="235"/>
      <c r="E88" s="235"/>
      <c r="F88" s="235"/>
      <c r="G88" s="235"/>
      <c r="H88" s="235"/>
      <c r="I88" s="236"/>
    </row>
    <row r="89" spans="1:9" ht="18.75" customHeight="1" x14ac:dyDescent="0.15">
      <c r="A89" s="85"/>
      <c r="B89" s="234"/>
      <c r="C89" s="235"/>
      <c r="D89" s="235"/>
      <c r="E89" s="235"/>
      <c r="F89" s="235"/>
      <c r="G89" s="235"/>
      <c r="H89" s="235"/>
      <c r="I89" s="236"/>
    </row>
    <row r="90" spans="1:9" ht="18.75" customHeight="1" x14ac:dyDescent="0.15">
      <c r="A90" s="4"/>
      <c r="B90" s="234"/>
      <c r="C90" s="235"/>
      <c r="D90" s="235"/>
      <c r="E90" s="235"/>
      <c r="F90" s="235"/>
      <c r="G90" s="235"/>
      <c r="H90" s="235"/>
      <c r="I90" s="236"/>
    </row>
    <row r="91" spans="1:9" ht="18.75" customHeight="1" x14ac:dyDescent="0.15">
      <c r="A91" s="4"/>
      <c r="B91" s="237"/>
      <c r="C91" s="238"/>
      <c r="D91" s="238"/>
      <c r="E91" s="238"/>
      <c r="F91" s="238"/>
      <c r="G91" s="238"/>
      <c r="H91" s="238"/>
      <c r="I91" s="239"/>
    </row>
    <row r="92" spans="1:9" ht="7.5" customHeight="1" x14ac:dyDescent="0.15">
      <c r="A92" s="4"/>
      <c r="B92" s="4"/>
      <c r="C92" s="4"/>
      <c r="D92" s="4"/>
      <c r="E92" s="4"/>
      <c r="F92" s="4"/>
      <c r="G92" s="4"/>
      <c r="H92" s="4"/>
      <c r="I92" s="4"/>
    </row>
    <row r="93" spans="1:9" ht="18.75" customHeight="1" x14ac:dyDescent="0.15">
      <c r="A93" s="85" t="s">
        <v>43</v>
      </c>
      <c r="B93" s="85" t="s">
        <v>13</v>
      </c>
    </row>
    <row r="94" spans="1:9" ht="18.75" customHeight="1" x14ac:dyDescent="0.15">
      <c r="A94" s="85"/>
      <c r="B94" s="198" t="s">
        <v>168</v>
      </c>
      <c r="C94" s="199"/>
      <c r="D94" s="199"/>
      <c r="E94" s="199"/>
      <c r="F94" s="199"/>
      <c r="G94" s="199"/>
      <c r="H94" s="199"/>
      <c r="I94" s="200"/>
    </row>
    <row r="95" spans="1:9" ht="18.75" customHeight="1" x14ac:dyDescent="0.15">
      <c r="A95" s="85"/>
      <c r="B95" s="204"/>
      <c r="C95" s="205"/>
      <c r="D95" s="205"/>
      <c r="E95" s="205"/>
      <c r="F95" s="205"/>
      <c r="G95" s="205"/>
      <c r="H95" s="205"/>
      <c r="I95" s="203"/>
    </row>
    <row r="96" spans="1:9" ht="18.75" customHeight="1" x14ac:dyDescent="0.15">
      <c r="A96" s="85"/>
      <c r="B96" s="204"/>
      <c r="C96" s="205"/>
      <c r="D96" s="205"/>
      <c r="E96" s="205"/>
      <c r="F96" s="205"/>
      <c r="G96" s="205"/>
      <c r="H96" s="205"/>
      <c r="I96" s="203"/>
    </row>
    <row r="97" spans="1:9" ht="18.75" customHeight="1" x14ac:dyDescent="0.15">
      <c r="A97" s="85"/>
      <c r="B97" s="204"/>
      <c r="C97" s="205"/>
      <c r="D97" s="205"/>
      <c r="E97" s="205"/>
      <c r="F97" s="205"/>
      <c r="G97" s="205"/>
      <c r="H97" s="205"/>
      <c r="I97" s="203"/>
    </row>
    <row r="98" spans="1:9" ht="18.75" customHeight="1" x14ac:dyDescent="0.15">
      <c r="A98" s="85"/>
      <c r="B98" s="204"/>
      <c r="C98" s="205"/>
      <c r="D98" s="205"/>
      <c r="E98" s="205"/>
      <c r="F98" s="205"/>
      <c r="G98" s="205"/>
      <c r="H98" s="205"/>
      <c r="I98" s="203"/>
    </row>
    <row r="99" spans="1:9" ht="18.75" customHeight="1" x14ac:dyDescent="0.15">
      <c r="A99" s="85"/>
      <c r="B99" s="204"/>
      <c r="C99" s="205"/>
      <c r="D99" s="205"/>
      <c r="E99" s="205"/>
      <c r="F99" s="205"/>
      <c r="G99" s="205"/>
      <c r="H99" s="205"/>
      <c r="I99" s="203"/>
    </row>
    <row r="100" spans="1:9" ht="18.75" customHeight="1" x14ac:dyDescent="0.15">
      <c r="A100" s="85"/>
      <c r="B100" s="204"/>
      <c r="C100" s="205"/>
      <c r="D100" s="205"/>
      <c r="E100" s="205"/>
      <c r="F100" s="205"/>
      <c r="G100" s="205"/>
      <c r="H100" s="205"/>
      <c r="I100" s="203"/>
    </row>
    <row r="101" spans="1:9" ht="18.75" customHeight="1" x14ac:dyDescent="0.15">
      <c r="A101" s="85"/>
      <c r="B101" s="204"/>
      <c r="C101" s="205"/>
      <c r="D101" s="205"/>
      <c r="E101" s="205"/>
      <c r="F101" s="205"/>
      <c r="G101" s="205"/>
      <c r="H101" s="205"/>
      <c r="I101" s="203"/>
    </row>
    <row r="102" spans="1:9" ht="18.75" customHeight="1" x14ac:dyDescent="0.15">
      <c r="A102" s="85"/>
      <c r="B102" s="204"/>
      <c r="C102" s="205"/>
      <c r="D102" s="205"/>
      <c r="E102" s="205"/>
      <c r="F102" s="205"/>
      <c r="G102" s="205"/>
      <c r="H102" s="205"/>
      <c r="I102" s="203"/>
    </row>
    <row r="103" spans="1:9" ht="18.75" customHeight="1" x14ac:dyDescent="0.15">
      <c r="A103" s="85"/>
      <c r="B103" s="204"/>
      <c r="C103" s="205"/>
      <c r="D103" s="205"/>
      <c r="E103" s="205"/>
      <c r="F103" s="205"/>
      <c r="G103" s="205"/>
      <c r="H103" s="205"/>
      <c r="I103" s="203"/>
    </row>
    <row r="104" spans="1:9" ht="18.75" customHeight="1" x14ac:dyDescent="0.15">
      <c r="A104" s="85"/>
      <c r="B104" s="204"/>
      <c r="C104" s="205"/>
      <c r="D104" s="205"/>
      <c r="E104" s="205"/>
      <c r="F104" s="205"/>
      <c r="G104" s="205"/>
      <c r="H104" s="205"/>
      <c r="I104" s="203"/>
    </row>
    <row r="105" spans="1:9" ht="18.75" customHeight="1" x14ac:dyDescent="0.15">
      <c r="A105" s="4"/>
      <c r="B105" s="206"/>
      <c r="C105" s="207"/>
      <c r="D105" s="207"/>
      <c r="E105" s="207"/>
      <c r="F105" s="207"/>
      <c r="G105" s="207"/>
      <c r="H105" s="207"/>
      <c r="I105" s="208"/>
    </row>
    <row r="106" spans="1:9" ht="7.5" customHeight="1" x14ac:dyDescent="0.15">
      <c r="A106" s="4"/>
      <c r="B106" s="4"/>
      <c r="C106" s="4"/>
      <c r="D106" s="4"/>
      <c r="E106" s="4"/>
      <c r="F106" s="4"/>
      <c r="G106" s="4"/>
      <c r="H106" s="4"/>
      <c r="I106" s="4"/>
    </row>
    <row r="107" spans="1:9" ht="18.75" customHeight="1" x14ac:dyDescent="0.15">
      <c r="A107" s="85" t="s">
        <v>30</v>
      </c>
      <c r="B107" s="209" t="s">
        <v>45</v>
      </c>
      <c r="C107" s="209"/>
      <c r="D107" s="209"/>
      <c r="E107" s="209"/>
      <c r="F107" s="209"/>
      <c r="G107" s="209"/>
      <c r="H107" s="209"/>
      <c r="I107" s="209"/>
    </row>
    <row r="108" spans="1:9" ht="18.75" customHeight="1" x14ac:dyDescent="0.15">
      <c r="A108" s="4"/>
      <c r="B108" s="198" t="s">
        <v>181</v>
      </c>
      <c r="C108" s="199"/>
      <c r="D108" s="199"/>
      <c r="E108" s="199"/>
      <c r="F108" s="199"/>
      <c r="G108" s="199"/>
      <c r="H108" s="199"/>
      <c r="I108" s="200"/>
    </row>
    <row r="109" spans="1:9" ht="18.75" customHeight="1" x14ac:dyDescent="0.15">
      <c r="A109" s="4"/>
      <c r="B109" s="204"/>
      <c r="C109" s="205"/>
      <c r="D109" s="205"/>
      <c r="E109" s="205"/>
      <c r="F109" s="205"/>
      <c r="G109" s="205"/>
      <c r="H109" s="205"/>
      <c r="I109" s="203"/>
    </row>
    <row r="110" spans="1:9" ht="18.75" customHeight="1" x14ac:dyDescent="0.15">
      <c r="A110" s="4"/>
      <c r="B110" s="204"/>
      <c r="C110" s="205"/>
      <c r="D110" s="205"/>
      <c r="E110" s="205"/>
      <c r="F110" s="205"/>
      <c r="G110" s="205"/>
      <c r="H110" s="205"/>
      <c r="I110" s="203"/>
    </row>
    <row r="111" spans="1:9" ht="18.75" customHeight="1" x14ac:dyDescent="0.15">
      <c r="A111" s="4"/>
      <c r="B111" s="204"/>
      <c r="C111" s="205"/>
      <c r="D111" s="205"/>
      <c r="E111" s="205"/>
      <c r="F111" s="205"/>
      <c r="G111" s="205"/>
      <c r="H111" s="205"/>
      <c r="I111" s="203"/>
    </row>
    <row r="112" spans="1:9" ht="18.75" customHeight="1" x14ac:dyDescent="0.15">
      <c r="A112" s="4"/>
      <c r="B112" s="204"/>
      <c r="C112" s="205"/>
      <c r="D112" s="205"/>
      <c r="E112" s="205"/>
      <c r="F112" s="205"/>
      <c r="G112" s="205"/>
      <c r="H112" s="205"/>
      <c r="I112" s="203"/>
    </row>
    <row r="113" spans="1:9" ht="18.75" customHeight="1" x14ac:dyDescent="0.15">
      <c r="A113" s="4"/>
      <c r="B113" s="204"/>
      <c r="C113" s="205"/>
      <c r="D113" s="205"/>
      <c r="E113" s="205"/>
      <c r="F113" s="205"/>
      <c r="G113" s="205"/>
      <c r="H113" s="205"/>
      <c r="I113" s="203"/>
    </row>
    <row r="114" spans="1:9" ht="18.75" customHeight="1" x14ac:dyDescent="0.15">
      <c r="A114" s="4"/>
      <c r="B114" s="204"/>
      <c r="C114" s="205"/>
      <c r="D114" s="205"/>
      <c r="E114" s="205"/>
      <c r="F114" s="205"/>
      <c r="G114" s="205"/>
      <c r="H114" s="205"/>
      <c r="I114" s="203"/>
    </row>
    <row r="115" spans="1:9" ht="18.75" customHeight="1" x14ac:dyDescent="0.15">
      <c r="A115" s="4"/>
      <c r="B115" s="204"/>
      <c r="C115" s="205"/>
      <c r="D115" s="205"/>
      <c r="E115" s="205"/>
      <c r="F115" s="205"/>
      <c r="G115" s="205"/>
      <c r="H115" s="205"/>
      <c r="I115" s="203"/>
    </row>
    <row r="116" spans="1:9" ht="18.75" customHeight="1" x14ac:dyDescent="0.15">
      <c r="A116" s="4"/>
      <c r="B116" s="204"/>
      <c r="C116" s="205"/>
      <c r="D116" s="205"/>
      <c r="E116" s="205"/>
      <c r="F116" s="205"/>
      <c r="G116" s="205"/>
      <c r="H116" s="205"/>
      <c r="I116" s="203"/>
    </row>
    <row r="117" spans="1:9" ht="18.75" customHeight="1" x14ac:dyDescent="0.15">
      <c r="A117" s="4"/>
      <c r="B117" s="204"/>
      <c r="C117" s="205"/>
      <c r="D117" s="205"/>
      <c r="E117" s="205"/>
      <c r="F117" s="205"/>
      <c r="G117" s="205"/>
      <c r="H117" s="205"/>
      <c r="I117" s="203"/>
    </row>
    <row r="118" spans="1:9" ht="18.75" customHeight="1" x14ac:dyDescent="0.15">
      <c r="A118" s="4"/>
      <c r="B118" s="204"/>
      <c r="C118" s="205"/>
      <c r="D118" s="205"/>
      <c r="E118" s="205"/>
      <c r="F118" s="205"/>
      <c r="G118" s="205"/>
      <c r="H118" s="205"/>
      <c r="I118" s="203"/>
    </row>
    <row r="119" spans="1:9" ht="18.75" customHeight="1" x14ac:dyDescent="0.15">
      <c r="A119" s="4"/>
      <c r="B119" s="206"/>
      <c r="C119" s="207"/>
      <c r="D119" s="207"/>
      <c r="E119" s="207"/>
      <c r="F119" s="207"/>
      <c r="G119" s="207"/>
      <c r="H119" s="207"/>
      <c r="I119" s="208"/>
    </row>
    <row r="120" spans="1:9" ht="7.5" customHeight="1" x14ac:dyDescent="0.15">
      <c r="A120" s="4"/>
      <c r="B120" s="36"/>
      <c r="C120" s="36"/>
      <c r="D120" s="36"/>
      <c r="E120" s="36"/>
      <c r="F120" s="36"/>
      <c r="G120" s="36"/>
      <c r="H120" s="36"/>
      <c r="I120" s="36"/>
    </row>
    <row r="121" spans="1:9" ht="18.75" customHeight="1" x14ac:dyDescent="0.15">
      <c r="A121" s="66"/>
      <c r="B121" s="210"/>
      <c r="C121" s="210"/>
      <c r="D121" s="210"/>
      <c r="E121" s="210"/>
      <c r="F121" s="210"/>
      <c r="G121" s="210"/>
      <c r="H121" s="210"/>
      <c r="I121" s="210"/>
    </row>
    <row r="122" spans="1:9" ht="18.75" customHeight="1" x14ac:dyDescent="0.15">
      <c r="A122" s="66"/>
      <c r="B122" s="210"/>
      <c r="C122" s="210"/>
      <c r="D122" s="210"/>
      <c r="E122" s="210"/>
      <c r="F122" s="210"/>
      <c r="G122" s="210"/>
      <c r="H122" s="210"/>
      <c r="I122" s="210"/>
    </row>
    <row r="123" spans="1:9" ht="18.75" customHeight="1" x14ac:dyDescent="0.15">
      <c r="A123" s="4"/>
      <c r="B123" s="84"/>
      <c r="C123" s="84"/>
      <c r="D123" s="84"/>
      <c r="E123" s="84"/>
      <c r="F123" s="84"/>
      <c r="G123" s="84"/>
      <c r="H123" s="84"/>
      <c r="I123" s="88"/>
    </row>
    <row r="124" spans="1:9" ht="18.75" customHeight="1" x14ac:dyDescent="0.15">
      <c r="A124" s="4"/>
      <c r="B124" s="88"/>
      <c r="C124" s="88"/>
      <c r="D124" s="88"/>
      <c r="E124" s="88"/>
      <c r="F124" s="88"/>
      <c r="G124" s="88"/>
      <c r="H124" s="88"/>
      <c r="I124" s="88"/>
    </row>
    <row r="125" spans="1:9" ht="18.75" customHeight="1" x14ac:dyDescent="0.15">
      <c r="A125" s="4"/>
      <c r="B125" s="88"/>
      <c r="C125" s="88"/>
      <c r="D125" s="88"/>
      <c r="E125" s="88"/>
      <c r="F125" s="88"/>
      <c r="G125" s="88"/>
      <c r="H125" s="88"/>
      <c r="I125" s="88"/>
    </row>
    <row r="126" spans="1:9" ht="18.75" customHeight="1" x14ac:dyDescent="0.15">
      <c r="A126" s="4"/>
      <c r="B126" s="88"/>
      <c r="C126" s="88"/>
      <c r="D126" s="88"/>
      <c r="E126" s="88"/>
      <c r="F126" s="88"/>
      <c r="G126" s="88"/>
      <c r="H126" s="88"/>
      <c r="I126" s="88"/>
    </row>
    <row r="127" spans="1:9" ht="18.75" customHeight="1" x14ac:dyDescent="0.15">
      <c r="A127" s="4"/>
      <c r="B127" s="88"/>
      <c r="C127" s="88"/>
      <c r="D127" s="88"/>
      <c r="E127" s="88"/>
      <c r="F127" s="88"/>
      <c r="G127" s="88"/>
      <c r="H127" s="88"/>
      <c r="I127" s="88"/>
    </row>
    <row r="128" spans="1:9" ht="18.75" customHeight="1" x14ac:dyDescent="0.15">
      <c r="A128" s="4"/>
      <c r="B128" s="88"/>
      <c r="C128" s="88"/>
      <c r="D128" s="88"/>
      <c r="E128" s="88"/>
      <c r="F128" s="88"/>
      <c r="G128" s="88"/>
      <c r="H128" s="88"/>
      <c r="I128" s="88"/>
    </row>
    <row r="129" spans="1:9" ht="18.75" customHeight="1" x14ac:dyDescent="0.15">
      <c r="A129" s="4"/>
      <c r="B129" s="88"/>
      <c r="C129" s="88"/>
      <c r="D129" s="88"/>
      <c r="E129" s="88"/>
      <c r="F129" s="88"/>
      <c r="G129" s="88"/>
      <c r="H129" s="88"/>
      <c r="I129" s="88"/>
    </row>
    <row r="130" spans="1:9" ht="18.75" customHeight="1" x14ac:dyDescent="0.15">
      <c r="A130" s="4"/>
      <c r="B130" s="88"/>
      <c r="C130" s="88"/>
      <c r="D130" s="88"/>
      <c r="E130" s="88"/>
      <c r="F130" s="88"/>
      <c r="G130" s="88"/>
      <c r="H130" s="88"/>
      <c r="I130" s="88"/>
    </row>
    <row r="131" spans="1:9" ht="18.75" customHeight="1" x14ac:dyDescent="0.15">
      <c r="A131" s="4"/>
      <c r="B131" s="88"/>
      <c r="C131" s="88"/>
      <c r="D131" s="88"/>
      <c r="E131" s="88"/>
      <c r="F131" s="88"/>
      <c r="G131" s="88"/>
      <c r="H131" s="88"/>
      <c r="I131" s="88"/>
    </row>
    <row r="132" spans="1:9" ht="18.75" customHeight="1" x14ac:dyDescent="0.15">
      <c r="A132" s="4"/>
      <c r="B132" s="88"/>
      <c r="C132" s="88"/>
      <c r="D132" s="88"/>
      <c r="E132" s="88"/>
      <c r="F132" s="88"/>
      <c r="G132" s="88"/>
      <c r="H132" s="88"/>
      <c r="I132" s="88"/>
    </row>
    <row r="133" spans="1:9" ht="14.25" x14ac:dyDescent="0.15">
      <c r="A133" s="4"/>
      <c r="B133" s="88"/>
      <c r="C133" s="88"/>
      <c r="D133" s="88"/>
      <c r="E133" s="88"/>
      <c r="F133" s="88"/>
      <c r="G133" s="88"/>
      <c r="H133" s="88"/>
      <c r="I133" s="88"/>
    </row>
    <row r="134" spans="1:9" ht="7.5" customHeight="1" x14ac:dyDescent="0.15">
      <c r="A134" s="4"/>
      <c r="B134" s="88"/>
      <c r="C134" s="88"/>
      <c r="D134" s="88"/>
      <c r="E134" s="88"/>
      <c r="F134" s="88"/>
      <c r="G134" s="88"/>
      <c r="H134" s="88"/>
      <c r="I134" s="88"/>
    </row>
  </sheetData>
  <mergeCells count="23">
    <mergeCell ref="B94:I105"/>
    <mergeCell ref="B107:I107"/>
    <mergeCell ref="B108:I119"/>
    <mergeCell ref="B121:I122"/>
    <mergeCell ref="C50:D50"/>
    <mergeCell ref="F50:G50"/>
    <mergeCell ref="B51:I51"/>
    <mergeCell ref="B52:I63"/>
    <mergeCell ref="B66:I77"/>
    <mergeCell ref="B80:I91"/>
    <mergeCell ref="C49:D49"/>
    <mergeCell ref="F49:G49"/>
    <mergeCell ref="H2:I2"/>
    <mergeCell ref="A4:I4"/>
    <mergeCell ref="C6:D6"/>
    <mergeCell ref="C11:E11"/>
    <mergeCell ref="H11:I11"/>
    <mergeCell ref="B14:I14"/>
    <mergeCell ref="C16:E16"/>
    <mergeCell ref="H16:I16"/>
    <mergeCell ref="B19:I19"/>
    <mergeCell ref="B22:I32"/>
    <mergeCell ref="B35:I46"/>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I6" sqref="I6"/>
    </sheetView>
  </sheetViews>
  <sheetFormatPr defaultColWidth="11.375" defaultRowHeight="22.5" customHeight="1" x14ac:dyDescent="0.15"/>
  <cols>
    <col min="1" max="3" width="2.75" style="85" customWidth="1"/>
    <col min="4" max="4" width="22.25" style="85" customWidth="1"/>
    <col min="5" max="5" width="30.75" style="85" customWidth="1"/>
    <col min="6" max="7" width="7.75" style="85" customWidth="1"/>
    <col min="8" max="9" width="30.75" style="85" customWidth="1"/>
    <col min="10" max="10" width="4.125" style="85" customWidth="1"/>
    <col min="11" max="16384" width="11.375" style="85"/>
  </cols>
  <sheetData>
    <row r="1" spans="1:9" ht="18.75" customHeight="1" x14ac:dyDescent="0.15">
      <c r="A1" s="85" t="s">
        <v>68</v>
      </c>
      <c r="I1" s="28" t="s">
        <v>96</v>
      </c>
    </row>
    <row r="2" spans="1:9" ht="18.75" customHeight="1" x14ac:dyDescent="0.15">
      <c r="H2" s="28" t="s">
        <v>99</v>
      </c>
      <c r="I2" s="27" t="s">
        <v>177</v>
      </c>
    </row>
    <row r="3" spans="1:9" ht="18.75" customHeight="1" x14ac:dyDescent="0.15">
      <c r="A3" s="188" t="s">
        <v>28</v>
      </c>
      <c r="B3" s="188"/>
      <c r="C3" s="188"/>
      <c r="D3" s="188"/>
      <c r="E3" s="188"/>
      <c r="F3" s="188"/>
      <c r="G3" s="188"/>
      <c r="H3" s="188"/>
      <c r="I3" s="188"/>
    </row>
    <row r="4" spans="1:9" ht="18.75" customHeight="1" x14ac:dyDescent="0.15">
      <c r="A4" s="87"/>
      <c r="B4" s="87"/>
      <c r="C4" s="87"/>
      <c r="D4" s="87"/>
      <c r="E4" s="87"/>
      <c r="F4" s="87"/>
      <c r="G4" s="87"/>
      <c r="H4" s="87"/>
      <c r="I4" s="87"/>
    </row>
    <row r="5" spans="1:9" ht="18.75" customHeight="1" x14ac:dyDescent="0.15">
      <c r="A5" s="85" t="s">
        <v>0</v>
      </c>
      <c r="B5" s="9" t="s">
        <v>90</v>
      </c>
      <c r="C5" s="87"/>
      <c r="D5" s="87"/>
      <c r="E5" s="87"/>
      <c r="F5" s="87"/>
      <c r="G5" s="87"/>
      <c r="H5" s="87"/>
      <c r="I5" s="87"/>
    </row>
    <row r="6" spans="1:9" ht="26.25" customHeight="1" x14ac:dyDescent="0.15">
      <c r="A6" s="87"/>
      <c r="B6" s="190" t="s">
        <v>174</v>
      </c>
      <c r="C6" s="240"/>
      <c r="D6" s="240"/>
      <c r="E6" s="240"/>
      <c r="F6" s="240"/>
      <c r="G6" s="240"/>
      <c r="H6" s="241"/>
      <c r="I6" s="89"/>
    </row>
    <row r="7" spans="1:9" ht="9" customHeight="1" x14ac:dyDescent="0.15">
      <c r="A7" s="87"/>
      <c r="B7" s="9"/>
      <c r="C7" s="9"/>
      <c r="D7" s="9"/>
      <c r="E7" s="9"/>
      <c r="F7" s="9"/>
      <c r="G7" s="9"/>
      <c r="H7" s="9"/>
      <c r="I7" s="89"/>
    </row>
    <row r="8" spans="1:9" ht="18.75" customHeight="1" x14ac:dyDescent="0.15">
      <c r="A8" s="87"/>
      <c r="B8" s="89"/>
      <c r="C8" s="89"/>
      <c r="D8" s="28" t="s">
        <v>42</v>
      </c>
      <c r="E8" s="29" t="s">
        <v>178</v>
      </c>
      <c r="F8" s="89"/>
      <c r="G8" s="28" t="s">
        <v>10</v>
      </c>
      <c r="H8" s="29" t="s">
        <v>179</v>
      </c>
      <c r="I8" s="89"/>
    </row>
    <row r="9" spans="1:9" ht="7.5" customHeight="1" x14ac:dyDescent="0.15">
      <c r="A9" s="87"/>
      <c r="B9" s="87"/>
      <c r="C9" s="87"/>
      <c r="D9" s="87"/>
      <c r="E9" s="87"/>
      <c r="F9" s="87"/>
      <c r="G9" s="87"/>
      <c r="H9" s="87"/>
      <c r="I9" s="87"/>
    </row>
    <row r="10" spans="1:9" ht="18.75" customHeight="1" x14ac:dyDescent="0.15">
      <c r="A10" s="85" t="s">
        <v>3</v>
      </c>
      <c r="B10" s="85" t="s">
        <v>27</v>
      </c>
      <c r="C10" s="4"/>
      <c r="D10" s="4"/>
      <c r="E10" s="4"/>
      <c r="F10" s="4"/>
      <c r="G10" s="4"/>
      <c r="H10" s="4"/>
      <c r="I10" s="4"/>
    </row>
    <row r="11" spans="1:9" ht="18.75" customHeight="1" x14ac:dyDescent="0.15">
      <c r="B11" s="109" t="s">
        <v>24</v>
      </c>
      <c r="C11" s="110"/>
      <c r="D11" s="111"/>
      <c r="E11" s="110" t="s">
        <v>26</v>
      </c>
      <c r="F11" s="110"/>
      <c r="G11" s="110"/>
      <c r="H11" s="110"/>
      <c r="I11" s="111"/>
    </row>
    <row r="12" spans="1:9" ht="26.25" customHeight="1" x14ac:dyDescent="0.15">
      <c r="B12" s="37" t="s">
        <v>14</v>
      </c>
      <c r="C12" s="44"/>
      <c r="D12" s="38"/>
      <c r="E12" s="45"/>
      <c r="F12" s="45"/>
      <c r="G12" s="45"/>
      <c r="H12" s="45"/>
      <c r="I12" s="38"/>
    </row>
    <row r="13" spans="1:9" ht="210.75" customHeight="1" x14ac:dyDescent="0.15">
      <c r="B13" s="39"/>
      <c r="C13" s="242" t="s">
        <v>15</v>
      </c>
      <c r="D13" s="243"/>
      <c r="E13" s="244" t="s">
        <v>176</v>
      </c>
      <c r="F13" s="245"/>
      <c r="G13" s="245"/>
      <c r="H13" s="245"/>
      <c r="I13" s="246"/>
    </row>
    <row r="14" spans="1:9" ht="210.75" customHeight="1" x14ac:dyDescent="0.15">
      <c r="B14" s="39"/>
      <c r="C14" s="247" t="s">
        <v>16</v>
      </c>
      <c r="D14" s="248"/>
      <c r="E14" s="249" t="s">
        <v>169</v>
      </c>
      <c r="F14" s="250"/>
      <c r="G14" s="250"/>
      <c r="H14" s="250"/>
      <c r="I14" s="251"/>
    </row>
    <row r="15" spans="1:9" ht="210.75" customHeight="1" x14ac:dyDescent="0.15">
      <c r="B15" s="39"/>
      <c r="C15" s="242" t="s">
        <v>17</v>
      </c>
      <c r="D15" s="243"/>
      <c r="E15" s="244" t="s">
        <v>170</v>
      </c>
      <c r="F15" s="245"/>
      <c r="G15" s="245"/>
      <c r="H15" s="245"/>
      <c r="I15" s="246"/>
    </row>
    <row r="16" spans="1:9" ht="210.75" customHeight="1" x14ac:dyDescent="0.15">
      <c r="B16" s="39"/>
      <c r="C16" s="242" t="s">
        <v>18</v>
      </c>
      <c r="D16" s="243"/>
      <c r="E16" s="244" t="s">
        <v>171</v>
      </c>
      <c r="F16" s="245"/>
      <c r="G16" s="245"/>
      <c r="H16" s="245"/>
      <c r="I16" s="246"/>
    </row>
    <row r="17" spans="2:9" ht="210.75" customHeight="1" x14ac:dyDescent="0.15">
      <c r="B17" s="40"/>
      <c r="C17" s="262" t="s">
        <v>19</v>
      </c>
      <c r="D17" s="263"/>
      <c r="E17" s="264" t="s">
        <v>162</v>
      </c>
      <c r="F17" s="265"/>
      <c r="G17" s="265"/>
      <c r="H17" s="265"/>
      <c r="I17" s="266"/>
    </row>
    <row r="18" spans="2:9" ht="24" customHeight="1" x14ac:dyDescent="0.15">
      <c r="B18" s="37" t="s">
        <v>20</v>
      </c>
      <c r="C18" s="41"/>
      <c r="D18" s="42"/>
      <c r="E18" s="43"/>
      <c r="F18" s="43"/>
      <c r="G18" s="43"/>
      <c r="H18" s="43"/>
      <c r="I18" s="46"/>
    </row>
    <row r="19" spans="2:9" ht="218.25" customHeight="1" x14ac:dyDescent="0.15">
      <c r="B19" s="39"/>
      <c r="C19" s="242" t="s">
        <v>21</v>
      </c>
      <c r="D19" s="243"/>
      <c r="E19" s="267" t="s">
        <v>160</v>
      </c>
      <c r="F19" s="267"/>
      <c r="G19" s="267"/>
      <c r="H19" s="267"/>
      <c r="I19" s="268"/>
    </row>
    <row r="20" spans="2:9" ht="218.25" customHeight="1" x14ac:dyDescent="0.15">
      <c r="B20" s="40"/>
      <c r="C20" s="262" t="s">
        <v>22</v>
      </c>
      <c r="D20" s="263"/>
      <c r="E20" s="265" t="s">
        <v>161</v>
      </c>
      <c r="F20" s="265"/>
      <c r="G20" s="265"/>
      <c r="H20" s="265"/>
      <c r="I20" s="266"/>
    </row>
    <row r="21" spans="2:9" ht="218.25" customHeight="1" x14ac:dyDescent="0.15">
      <c r="B21" s="252" t="s">
        <v>23</v>
      </c>
      <c r="C21" s="253"/>
      <c r="D21" s="254"/>
      <c r="E21" s="255" t="s">
        <v>172</v>
      </c>
      <c r="F21" s="255"/>
      <c r="G21" s="255"/>
      <c r="H21" s="255"/>
      <c r="I21" s="256"/>
    </row>
    <row r="22" spans="2:9" ht="218.25" customHeight="1" x14ac:dyDescent="0.15">
      <c r="B22" s="257" t="s">
        <v>135</v>
      </c>
      <c r="C22" s="258"/>
      <c r="D22" s="259"/>
      <c r="E22" s="260" t="s">
        <v>173</v>
      </c>
      <c r="F22" s="260"/>
      <c r="G22" s="260"/>
      <c r="H22" s="260"/>
      <c r="I22" s="26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91"/>
      <c r="C28" s="91"/>
      <c r="D28" s="91"/>
      <c r="E28" s="91"/>
      <c r="F28" s="91"/>
      <c r="G28" s="91"/>
      <c r="H28" s="91"/>
      <c r="I28" s="91"/>
    </row>
    <row r="29" spans="2:9" ht="22.5" customHeight="1" x14ac:dyDescent="0.15">
      <c r="B29" s="91"/>
      <c r="C29" s="91"/>
      <c r="D29" s="91"/>
      <c r="E29" s="91"/>
      <c r="F29" s="91"/>
      <c r="G29" s="91"/>
      <c r="H29" s="91"/>
      <c r="I29" s="91"/>
    </row>
    <row r="30" spans="2:9" ht="22.5" customHeight="1" x14ac:dyDescent="0.15">
      <c r="B30" s="91"/>
      <c r="C30" s="91"/>
      <c r="D30" s="91"/>
      <c r="E30" s="91"/>
      <c r="F30" s="91"/>
      <c r="G30" s="91"/>
      <c r="H30" s="91"/>
      <c r="I30" s="91"/>
    </row>
  </sheetData>
  <mergeCells count="22">
    <mergeCell ref="B21:D21"/>
    <mergeCell ref="E21:I21"/>
    <mergeCell ref="B22:D22"/>
    <mergeCell ref="E22:I22"/>
    <mergeCell ref="C17:D17"/>
    <mergeCell ref="E17:I17"/>
    <mergeCell ref="C19:D19"/>
    <mergeCell ref="E19:I19"/>
    <mergeCell ref="C20:D20"/>
    <mergeCell ref="E20:I20"/>
    <mergeCell ref="C14:D14"/>
    <mergeCell ref="E14:I14"/>
    <mergeCell ref="C15:D15"/>
    <mergeCell ref="E15:I15"/>
    <mergeCell ref="C16:D16"/>
    <mergeCell ref="E16:I16"/>
    <mergeCell ref="A3:I3"/>
    <mergeCell ref="B6:H6"/>
    <mergeCell ref="B11:D11"/>
    <mergeCell ref="E11:I11"/>
    <mergeCell ref="C13:D13"/>
    <mergeCell ref="E13:I13"/>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Nagaoka-Univ</cp:lastModifiedBy>
  <cp:lastPrinted>2024-06-11T04:14:26Z</cp:lastPrinted>
  <dcterms:created xsi:type="dcterms:W3CDTF">2011-06-14T05:32:50Z</dcterms:created>
  <dcterms:modified xsi:type="dcterms:W3CDTF">2024-06-11T04:14:38Z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