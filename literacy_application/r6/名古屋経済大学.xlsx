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8"/>
  <workbookPr defaultThemeVersion="124226"/>
  <mc:AlternateContent xmlns:mc="http://schemas.openxmlformats.org/markup-compatibility/2006">
    <mc:Choice Requires="x15">
      <x15ac:absPath xmlns:x15ac="http://schemas.microsoft.com/office/spreadsheetml/2010/11/ac" url="C:\Users\user\Desktop\（再々）名古屋経済大学\01_名古屋経済大学_リテラシー\"/>
    </mc:Choice>
  </mc:AlternateContent>
  <xr:revisionPtr revIDLastSave="0" documentId="13_ncr:1_{A3FEB14A-430F-4B05-B6E1-D165DE06817C}" xr6:coauthVersionLast="36" xr6:coauthVersionMax="47" xr10:uidLastSave="{00000000-0000-0000-0000-000000000000}"/>
  <bookViews>
    <workbookView xWindow="0" yWindow="0" windowWidth="28800" windowHeight="1126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S14" i="40" s="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R33" i="40" l="1"/>
  <c r="S33" i="40" s="1"/>
</calcChain>
</file>

<file path=xl/sharedStrings.xml><?xml version="1.0" encoding="utf-8"?>
<sst xmlns="http://schemas.openxmlformats.org/spreadsheetml/2006/main" count="297" uniqueCount="189">
  <si>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</si>
  <si>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</si>
  <si>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</si>
  <si>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</si>
  <si>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</si>
  <si>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</si>
  <si>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</si>
  <si>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</si>
  <si>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</si>
  <si>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</si>
  <si>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</si>
  <si>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</si>
  <si>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</si>
  <si>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</si>
  <si>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</si>
  <si>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</si>
  <si>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</si>
  <si>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</si>
  <si>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</si>
  <si>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</si>
  <si>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</si>
  <si>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</si>
  <si>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</si>
  <si>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</si>
  <si>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</si>
  <si>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</si>
  <si>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</si>
  <si>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</si>
  <si>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</si>
  <si>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</si>
  <si>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</si>
  <si>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</si>
  <si>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</si>
  <si>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</si>
  <si>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</si>
  <si>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</si>
  <si>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</si>
  <si>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</si>
  <si>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</si>
  <si>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</si>
  <si>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</si>
  <si>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</si>
  <si>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</si>
  <si>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</si>
  <si>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</si>
  <si>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</si>
  <si>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</si>
  <si>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</si>
  <si>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</si>
  <si>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</si>
  <si>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</si>
  <si>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</si>
  <si>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</si>
  <si>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</si>
  <si>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</si>
  <si>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</si>
  <si>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</si>
  <si>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</si>
  <si>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</si>
  <si>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</si>
  <si>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</si>
  <si>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</si>
  <si>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</si>
  <si>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</si>
  <si>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</si>
  <si>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</si>
  <si>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</si>
  <si>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</si>
  <si>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</si>
  <si>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</si>
  <si>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</si>
  <si>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</si>
  <si>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</si>
  <si>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</si>
  <si>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</si>
  <si>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</si>
  <si>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</si>
  <si>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</si>
  <si>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</si>
  <si>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</si>
  <si>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</si>
  <si>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</si>
  <si>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</si>
  <si>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</si>
  <si>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</si>
  <si>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</si>
  <si>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</si>
  <si>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</si>
  <si>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</si>
  <si>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</si>
  <si>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</si>
  <si>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</si>
  <si>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</si>
  <si>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</si>
  <si>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</si>
  <si>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</si>
  <si>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</si>
  <si>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</si>
  <si>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</si>
  <si>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</si>
  <si>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</si>
  <si>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</si>
  <si>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</si>
  <si>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</si>
  <si>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</si>
  <si>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</si>
  <si>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</si>
  <si>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</si>
  <si>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</si>
  <si>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</si>
  <si>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</si>
  <si>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</si>
  <si>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</si>
  <si>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</si>
  <si>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</si>
  <si>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</si>
  <si>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</si>
  <si>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</si>
  <si>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</si>
  <si>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</si>
  <si>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</si>
  <si>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</si>
  <si>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</si>
  <si>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</si>
  <si>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</si>
  <si>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</si>
  <si>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</si>
  <si>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</si>
  <si>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</si>
  <si>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</si>
  <si>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</si>
  <si>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</si>
  <si>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</si>
  <si>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</si>
  <si>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</si>
  <si>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名古屋経済大学</t>
    <phoneticPr fontId="1"/>
  </si>
  <si>
    <t>学部・学科によって、修了要件は相違しない</t>
  </si>
  <si>
    <t>情報リテラシー</t>
    <rPh sb="0" eb="2">
      <t>ジョウホウ</t>
    </rPh>
    <phoneticPr fontId="1"/>
  </si>
  <si>
    <t>○</t>
  </si>
  <si>
    <t>情報リテラシー</t>
  </si>
  <si>
    <t>統計学入門</t>
  </si>
  <si>
    <t>統計学入門</t>
    <rPh sb="0" eb="5">
      <t>トウケイガクニュウモン</t>
    </rPh>
    <phoneticPr fontId="1"/>
  </si>
  <si>
    <t>統計学入門</t>
    <phoneticPr fontId="1"/>
  </si>
  <si>
    <t>4‐2アルゴリズム基礎</t>
  </si>
  <si>
    <t>4‐4時系列データ解析</t>
  </si>
  <si>
    <t>4‐7データハンドリング</t>
  </si>
  <si>
    <t>4‐8データ活用実践（教師あり学習）</t>
  </si>
  <si>
    <t>・調査データ、実験データ、人の行動ログデータ、機械の稼働ログデータなど「統計学入門」（7回目）
・1次データ、2次データ、データのメタ化「統計学入門」（7回目）
・構造化データ、非構造化データ（文章、画像/動画、音声/音楽など）「統計学入門」（7回目）</t>
    <phoneticPr fontId="1"/>
  </si>
  <si>
    <t>・データ・AIの活用領域「情報リテラシー」（12回目）
・データ・AI活用領域の広がり(生産、消費、文化活動など)「統計学入門」（1回目）
・仮説検証「情報リテラシー」（9回目）</t>
    <phoneticPr fontId="1"/>
  </si>
  <si>
    <t>・データ可視化：複合グラフ、2軸グラフ、関係性の可視化「統計学入門」（7回目）
・データ解析：予測、パターン発見、最適化、シミュレーションなど「統計学入門」（10,11回目）</t>
    <phoneticPr fontId="1"/>
  </si>
  <si>
    <t>・データサイエンスのサイクル（課題抽出と定式化、データの取得・管理・加工、探索的データ解析、データ解析と推論、結果の共有・伝達、課題解決に向けた提案）「統計学入門」（9,10回）</t>
    <phoneticPr fontId="1"/>
  </si>
  <si>
    <t>・ELSI、データ倫理（データのねつ造、改ざん、盗用、プライバシー保護）「情報リテラシー」（1回目）
・データ・AI活用における負の事例紹介「情報リテラシー」（1回目）</t>
    <phoneticPr fontId="1"/>
  </si>
  <si>
    <t>・情報モラルや、情報倫理、情報セキュリティ（機密性、完全性、可用性）「情報リテラシー」（1回目）
・情報漏洩等によるセキュリティ事故の事例紹介「情報リテラシー」（1回目）</t>
    <phoneticPr fontId="1"/>
  </si>
  <si>
    <t>・代表値の性質の違い「統計学入門」（2,3回目）
・データのばらつき（分散、標準偏差）「統計学入門」（5回目）
・データの種類（量的変数、質的変数）「統計学入門」（7回目）
・相関と因果（相関係数、擬似相関）「統計学入門」（8回目）
・データの分布(ヒストグラム)と代表値（平均値、中央値、最頻値）「統計学入門」（13回目）
・クロス集計表「統計学入門」（14回目）</t>
    <phoneticPr fontId="1"/>
  </si>
  <si>
    <t>・データの比較（条件をそろえた比較)「統計学入門」（5,6回目）
・データ表現（棒グラフ、折れ線グラフ、散布図、ヒートマップ）「情報リテラシー」（11回目）
・データ表現（折れ線グラフ、散布図）「統計学入門」（8回目）
・データの図表表現（チャート化）「統計学入門」（13回目）
・不適切なグラフ表現（不必要な視覚的要素）「統計学入門」（13回目）
・優れた可視化事例の紹介（可視化することによって新たな気づきがあった事例など）「統計学入門」（14回目）</t>
    <phoneticPr fontId="1"/>
  </si>
  <si>
    <t>・データの集計（和、平均、数え上げ）「情報リテラシー」（8,9回目）
・データの集計（和、平均）「統計学入門」（2,14回目）
・データの並べ替え、ランキング「統計学入門」（2回目）
・データ解析ツール（スプレッドシート）「情報リテラシー」（8回目）
・表形式のデータ（csv）「情報リテラシー」（8回目）</t>
    <phoneticPr fontId="1"/>
  </si>
  <si>
    <t>データサイエンスおよびAIについて、その活用方法と留意事項を知る。
与えられたデータに対して、基本的なデータ分析をおこない、統計的推測を得るという基礎的な能力を習得する。</t>
    <phoneticPr fontId="1"/>
  </si>
  <si>
    <t>「情報リテラシー」は全学必修であり、1年次の前期に自動履修登録されている。「統計学入門」については異なる曜日で複数開講され、必修科目等との重複開講を防くよう調整がされており、全学生の受講が可能となっている。
また、事務組織においては、全学教育推進センターを中心として、履修方法等の指導（教務）、学内外への広報活動（広報センター）等を行って、全学の学生が履修しやすい体制を構築している。</t>
    <phoneticPr fontId="1"/>
  </si>
  <si>
    <t>授業には学生アシスタントを配置し、困りごとのある学生や質問がある学生を個別対応でサポートしている。講義内容の理解に問題があるそうな学生が特定できたら、担当教員からも声かけし、授業時間外においてもフォローするようにしている。
学生からの質問や相談について、担当教員がオフィスアワー、メールやLMSのチャット機能などで対応し、より多くの学生が修得できるようサポートしている。
また、情報教室のPCは自習用として開放しており、学生が自由にPCを使用できる環境を整えている。</t>
    <phoneticPr fontId="1"/>
  </si>
  <si>
    <t>担当教員と学生アシスタントで授業時間内での質問に個別対応している。また、担当教員のメールアドレスをシラバスや授業を通して周知し、メールやLMSのチャット機能で授業時間外でも困ったことがあったらなんでも質問、相談をすることを推奨し、授業外でも対応する仕組みが整っている。各教員のオフィスアワーを利用して、研究室で指導を受けることもできる。</t>
    <phoneticPr fontId="1"/>
  </si>
  <si>
    <t>産業界からの要請を反映させる教育プログラムを実現していくために、本プログラムの講義内容についての産業界からの意見を収集することを検討している。
キャリアセンターと連携をして、産業界が必要としているスキルセットを把握して、教育プログラム内容に反映していく等の計画をしている。</t>
    <rPh sb="126" eb="127">
      <t>トウ</t>
    </rPh>
    <rPh sb="128" eb="130">
      <t>ケイカク</t>
    </rPh>
    <phoneticPr fontId="1"/>
  </si>
  <si>
    <t>本プログラムの修了者がまだ卒業していないので、進路、活躍状況、企業等の評価については把握できていない。
今後それを把握するための卒後調査について、具体的な検討をおこなっている。</t>
    <phoneticPr fontId="1"/>
  </si>
  <si>
    <t>プログラム構成科目である「情報リテラシー」2単位、および、「統計学入門」2単位の合計2科目4単位を取得すること。</t>
    <rPh sb="43" eb="45">
      <t>カモク</t>
    </rPh>
    <rPh sb="46" eb="48">
      <t>カモク</t>
    </rPh>
    <phoneticPr fontId="1"/>
  </si>
  <si>
    <t>・人間の知的活動とAIの関係性「情報リテラシー」（12回目）
・数理・データサイエンス・AIやデータを起点としたものの見方「統計学入門」（1,9回目）</t>
    <phoneticPr fontId="1"/>
  </si>
  <si>
    <t>・AIを活用したビジネスモデルについて近年のAI技術の動向や事例「情報リテラシー」（12回目）
・AI最新技術の活用例「統計学入門」（1,9回目）</t>
    <phoneticPr fontId="1"/>
  </si>
  <si>
    <t>入学時のオリエンテーションにおいてだけではなく、1年次前期に全学生が受講する「情報リテラシー」の授業内においても本プログラム認定制度について説明し、後期に開講される「統計学入門」の履修を案内し、推奨している。また、後期の履修登録直前に、教務から全学生へ本プロジェクトについての案内、推奨のメールを送信している。
また、令和6年度から開設する副専攻：AI・データサイエンスコースにより、AI・データサイエンス教育を強化していく中で、リテラシーレベルがAI・データサイエンス教育のファーストステップであることをWebサイトやチラシなどを通じて周知していく。</t>
    <phoneticPr fontId="1"/>
  </si>
  <si>
    <t>名古屋経済大学データサイエンス教育プログラム</t>
    <phoneticPr fontId="1"/>
  </si>
  <si>
    <t>令和5</t>
    <rPh sb="0" eb="2">
      <t>レイワ</t>
    </rPh>
    <phoneticPr fontId="1"/>
  </si>
  <si>
    <t>教育プログラムを構成する科目に、「数理・データサイエンス・ＡＩ（リテラシーレベル）モデルカリキュラム改訂版」（令和62月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Ph sb="50" eb="53">
      <t>カイテイバン</t>
    </rPh>
    <rPh sb="90" eb="92">
      <t>ツイカ</t>
    </rPh>
    <rPh sb="95" eb="97">
      <t>セイセイ</t>
    </rPh>
    <rPh sb="100" eb="102">
      <t>カンレン</t>
    </rPh>
    <rPh sb="111" eb="113">
      <t>ナイヨウ</t>
    </rPh>
    <rPh sb="114" eb="115">
      <t>フク</t>
    </rPh>
    <rPh sb="119" eb="121">
      <t>ジュギョウ</t>
    </rPh>
    <rPh sb="121" eb="122">
      <t>ナイ</t>
    </rPh>
    <rPh sb="123" eb="125">
      <t>カツヨウ</t>
    </rPh>
    <rPh sb="125" eb="127">
      <t>ジレイ</t>
    </rPh>
    <rPh sb="130" eb="131">
      <t>ト</t>
    </rPh>
    <rPh sb="132" eb="133">
      <t>ア</t>
    </rPh>
    <rPh sb="136" eb="138">
      <t>ジッサイ</t>
    </rPh>
    <rPh sb="139" eb="141">
      <t>シヨウ</t>
    </rPh>
    <rPh sb="151" eb="153">
      <t>バアイ</t>
    </rPh>
    <rPh sb="157" eb="159">
      <t>カモク</t>
    </rPh>
    <rPh sb="165" eb="167">
      <t>ジュギョウ</t>
    </rPh>
    <rPh sb="173" eb="175">
      <t>ジッシ</t>
    </rPh>
    <rPh sb="181" eb="183">
      <t>キサイ</t>
    </rPh>
    <phoneticPr fontId="1"/>
  </si>
  <si>
    <t>本プログラムを構成している「情報リテラシー」は全学必修であり、1年次の前期に自動履修登録されるので履修率は100%になる。再履修クラスについても自動登録されるようにしている。「統計学入門」については選択科目であるが、複数開講しており、学部・学科に関係なく学生全員が受講可能となる時間割を組む計画をしている。
また、新入生ガイダンスや学務システムでの掲示板機能などを活用して、周知を徹底する。また令和6年度より、副専攻：AI・データサイエンスコース（応用基礎レベル）を開設することより、AI・データサイエンス教育を充実させ、履修者数の向上を図る。</t>
    <phoneticPr fontId="1"/>
  </si>
  <si>
    <t>大谷　尚</t>
    <rPh sb="0" eb="2">
      <t>オオタニ</t>
    </rPh>
    <rPh sb="3" eb="4">
      <t>ナオ</t>
    </rPh>
    <phoneticPr fontId="1"/>
  </si>
  <si>
    <t>センター長</t>
    <rPh sb="4" eb="5">
      <t>チョウ</t>
    </rPh>
    <phoneticPr fontId="1"/>
  </si>
  <si>
    <t>名古屋経済大学全学教育推進センター規程</t>
    <rPh sb="0" eb="3">
      <t>ナゴヤ</t>
    </rPh>
    <rPh sb="3" eb="7">
      <t>ケイザイダイガク</t>
    </rPh>
    <rPh sb="7" eb="9">
      <t>ゼンガク</t>
    </rPh>
    <rPh sb="9" eb="11">
      <t>キョウイク</t>
    </rPh>
    <rPh sb="11" eb="13">
      <t>スイシン</t>
    </rPh>
    <rPh sb="17" eb="19">
      <t>キテイ</t>
    </rPh>
    <phoneticPr fontId="1"/>
  </si>
  <si>
    <t>名古屋経済大学全学教育推進センター</t>
    <rPh sb="0" eb="3">
      <t>ナゴヤ</t>
    </rPh>
    <rPh sb="3" eb="7">
      <t>ケイザイダイガク</t>
    </rPh>
    <rPh sb="7" eb="9">
      <t>ゼンガク</t>
    </rPh>
    <rPh sb="9" eb="11">
      <t>キョウイク</t>
    </rPh>
    <rPh sb="11" eb="13">
      <t>スイシン</t>
    </rPh>
    <phoneticPr fontId="1"/>
  </si>
  <si>
    <t>本学では、教育の内容や方法を改善・向上させ、自己点検や評価を行うために全学部にFD委員会がおかれている。FD委員会では、本プログラム構成科目を含む全科目を対象に、毎学期末に対面での授業アンケートを実施している。そして、その結果を分析することにより、全学部の学生の理解度の把握をおこなっている。
令和5度の「情報リテラシー」および「統計学入門」については、「授業内容はわかりやすかったと思いますか」という項目では、5段階評価で平均がともに4.5以上であり、多くの受講生にとってわかりやすい授業内容であったことから、理解度も高いことが推測される。特に、「統計学入門」については「授業の速さや進め方は適切だったと思いますか」が4.6であったことから、授業の進め方や教え方はおおむね適切であったと判断され，多くの受講生が授業内容に理解が追いついていることが推測される。</t>
    <rPh sb="30" eb="31">
      <t>オコナ</t>
    </rPh>
    <rPh sb="271" eb="272">
      <t>トク</t>
    </rPh>
    <phoneticPr fontId="1"/>
  </si>
  <si>
    <t>毎学期末に実施する授業評価アンケートを通して、後輩等他の学生への推奨度について推測し、確認している。本プログラムを構成する「情報リテラシー」「統計学入門」は、ともに満足度が高く、新しいものの見方や考え方を得られたという実感のある受講生が多いことが確認できる。自由記述欄へのコメントからも多くの学生が楽しんで受講し、講義内容にも満足していると考えられ、後輩等他の学生へも受講を推奨すると評価している受講生が多いことが推測される。</t>
    <rPh sb="149" eb="150">
      <t>タノ</t>
    </rPh>
    <phoneticPr fontId="1"/>
  </si>
  <si>
    <t>授業において、学生にとってなるべく身近なデータサイエンス活用事例を扱うようにしている。それにより、数理・データサイエンス・AIは机上の学問ではなく実学であるという認識をもつようになることが期待できる。また、座学に偏ることなく、コンピュータを使った実習等も適宜取り入れている。実際に手を動かし、計算結果、分析結果を得ることにより、新しい発見があることや先を予測することなどの楽しさを体験できるような授業内容にしている。このような実習を通じて、数理・データサイエンス・AIが広く社会に求められているということを実感し、これを学ぶ意義がわかるような授業を計画している。</t>
    <rPh sb="33" eb="34">
      <t>アツカ</t>
    </rPh>
    <rPh sb="186" eb="187">
      <t>タノ</t>
    </rPh>
    <phoneticPr fontId="1"/>
  </si>
  <si>
    <t>授業において「分かりやすい」かを、こまめに確認するために、毎回の提出課題の出来具合の把握や、受講生への理解度についての聞き取り等を行っている。もし「分かりやすさ」に問題があれば、担当教員間で共有し、改善する体制が整っている。また、学生アシスタントからも随時聞き取りを行い、理解度に問題のありそうな学生を把握し、授業外においてもLMSのチャット機能などを使って個別にフォローしている。講義全体の内容・水準を落とすことなく、かつ、習得率を上げるために、個別対応にも力を入れている。また、学期末に実施される授業評価アンケートの「授業内容は分かりやすかったと思いますか」という項目についてチェックを行い、問題があれば担当教員間で共有のうえ、次年度の授業内容や方法の改善に役立てる体制になっている。</t>
    <rPh sb="7" eb="8">
      <t>ワ</t>
    </rPh>
    <rPh sb="37" eb="41">
      <t>デキグアイ</t>
    </rPh>
    <rPh sb="65" eb="66">
      <t>オコナ</t>
    </rPh>
    <rPh sb="74" eb="75">
      <t>ワ</t>
    </rPh>
    <rPh sb="133" eb="134">
      <t>オコナ</t>
    </rPh>
    <rPh sb="266" eb="267">
      <t>ワ</t>
    </rPh>
    <rPh sb="295" eb="296">
      <t>オコナ</t>
    </rPh>
    <phoneticPr fontId="1"/>
  </si>
  <si>
    <t>本学において、「数理・データサイエンス・ＡＩ教育プログラム」は、2023年度より開設、既存の科目である「情報リテラシー」「統計学入門」を本教育プログラムの対象科目とすることにより、2023年度入学生から履修することのできるプログラムとなっている。
2023年度の本プログラム対象学生の内、「情報リテラシー」を受講した人数は559名、「統計学入門」を受講した人数は186名となっており、全学部必修科目「情報リテラシー」に比べ、「統計学入門」の履修者数が少ない現状がある。
今後は、プログラム履修の意義も含め、学生への周知を強化していく必要性がある。</t>
    <phoneticPr fontId="1"/>
  </si>
  <si>
    <t>令和5度については、本プログラムの対象学生（全学部の1年生）559人のうち、リテラシーレベルを修了した学生が169人なので、修了率は約30.2%であった。これを上げるために今後も積極的な取り組みを行っていく。
本プログラムを構成している「情報リテラシー」は全学部で必修であり、1年次の前期において自動履修登録されている。この科目については再履修クラスについても自動登録されるようにしていて、履修登録のし忘れを防いでいる。また、選択科目の「統計学入門」についても、入学時オリエンテーション、他の必修講義内、在校生オリエンテーション、教務からの一斉配信メールなどで履修を促す等、履修率向上に向けての計画が立てられている。</t>
    <rPh sb="98" eb="99">
      <t>オコナ</t>
    </rPh>
    <rPh sb="300" eb="301">
      <t>タ</t>
    </rPh>
    <phoneticPr fontId="1"/>
  </si>
  <si>
    <t>本プログラムを構成する「情報リテラシー」「統計学入門」の2科目どちらについても、LMS（学習管理システム）への課題提出が毎回あり、その取り組み状況や授業内容の理解度をこまめに把握できるようになっている。学生アシスタントへも、どのような質問があったか、受講生はどのようなことで困っていたかなどの聞き取りを毎回行い、学生の理解度を確認している。さらに、成績評価や学期末に行われる授業評価アンケートを分析することにより、受講生の達成度や学修成果を確認することができる。授業評価アンケートの分析結果については、FD委員会と共有し、問題点があれば次年度以降の改善を検討している。
令和5度の「情報リテラシー」および「統計学入門」については、「この授業を受けて新しいものの見方や考え方を得られたと思いますか」という項目において、5段階評価での平均がともに4.6であり、多くの受講生が論理的または統計学的なものの見方を獲得できたことが推測される。また、「あなたはこの授業の履修（授業そのもの、予習、復習）に意欲的に取り組んだと思いますか」についてもともに4.5以上であったことから多くの受講生が意欲的に取り組んだことがわかり、学修成果が大きいことが期待できる。
令和6年度開始の副専攻「AI・データサイエンス」（経営学部では数理・データサイエンス・AI教育プログラム応用基礎レベル申請予定）について、「統計学入門」の講義内で案内した際に興味を示した学生が多かったことからも、この分野に関心を寄せるようになった学生がいることが伺える。このコース（プログラム）には現在までで計26名の学生が申し込んでいる。</t>
    <rPh sb="44" eb="46">
      <t>ガクシュウ</t>
    </rPh>
    <rPh sb="46" eb="48">
      <t>カンリ</t>
    </rPh>
    <rPh sb="153" eb="154">
      <t>オコナ</t>
    </rPh>
    <rPh sb="183" eb="184">
      <t>オコナ</t>
    </rPh>
    <rPh sb="555" eb="557">
      <t>スウリ</t>
    </rPh>
    <rPh sb="583" eb="587">
      <t>シンセイヨテイ</t>
    </rPh>
    <rPh sb="655" eb="656">
      <t>ウカガ</t>
    </rPh>
    <rPh sb="678" eb="679">
      <t>ケイ</t>
    </rPh>
    <phoneticPr fontId="1"/>
  </si>
  <si>
    <t>萩原　聡央</t>
    <rPh sb="0" eb="2">
      <t>ハギハラ</t>
    </rPh>
    <rPh sb="3" eb="4">
      <t>サトシ</t>
    </rPh>
    <rPh sb="4" eb="5">
      <t>オウ</t>
    </rPh>
    <phoneticPr fontId="1"/>
  </si>
  <si>
    <t>名古屋経済大学学務総合センター長</t>
    <rPh sb="0" eb="3">
      <t>ナゴヤ</t>
    </rPh>
    <rPh sb="3" eb="7">
      <t>ケイザイダイガク</t>
    </rPh>
    <rPh sb="7" eb="11">
      <t>ガクムソウゴウ</t>
    </rPh>
    <rPh sb="15" eb="16">
      <t>チョウ</t>
    </rPh>
    <phoneticPr fontId="1"/>
  </si>
  <si>
    <t>【名古屋経済大学全学教育推進センター】　　　　　　　　　　　　　　　　　　　　　　　　　　　　　　　　　　　　　　　　　　　　　　　　　　（1）佐分　晴夫（学長、人間生活科学部長）　　　　　　　　　　　　　　　　　　　　　　　　　　　　　　　　　　　　　　　　　　　　　　　　　　　　　　　　　　　　　　　　　　　（2）富岡　仁（教学担当副学長）　　　　　　　　　　　　　　　　　　　　　　　　　　　　　　　　　　　　　　　　　　　　　　　　　　　　　　　　　　　　　　　　（3）佐藤　正之（経済学部長）　　　　　　　　　　　　　　　　　　　　　　　　　　　　　　　　　　　　　　　　　　　　　　　　　　　　　　　　（4）谷川　毅（経営学部長）　　　　　　　　　　　　　　　　　　　　　　　　　　　　　　　　　　　　　　　　　　　　　　　　　　　　　　　　　　　　　　　　　　（5）清水　裕樹（法学部長）　　　　　　　　　　　　　　　　　　　　　　　　　　　　　　　　　　　　　　　　　　　　　　　　　　　　　　　　　　　　（6）大谷　尚（センター長、人間生活科学部特任教授）　　　　　　　　　　　　　　　　　　　　　　　　　　　　　　　　　　　　　　　　　　　　　　　　　　　（7）人見　浩司（副センター長、経済学部特任教授）　　　　　　　　　　　　　　　　　　　　　　　　　　　　　　　　　　　　　　　　　【名古屋経済大学学務総合センター】　　　　　　　　　　　　　　　　　　　　　　　　　　　　　　　　　　　　　　　　　　　　　　　　　　　（1）萩原　聡央（センター長、法学部教授）　　　　　　　　　　　　　　　　　　　　　　　　　　　　　　　　　　　　　　　　　　　　　　　　（2）佐藤　直史（副センター長、法学部教授）　　　　　　　　　　　　　　　　　　　　　　　　　　　　　　　　　　　　　　　　　　　　　　　（3）串田　弘美（学務総合センター学務部教務担当副部長）　　　　　　　　　　　　　　　　　　　　　　　　　　　　　　　　　　　　　　　（4）新里　智之（学務総合センター学務部副部長）　　　　　　　　　　　　　　　　　　　　　　　　　　　　　　　　　　　　　　　　　　　　（5）江坂　美咲（学務総合センター学務部教務担当主査）　　　　　　　　　　　　　　　　　　　　　　　　　　　　　　　　　　　　　　　　　　　　　　　</t>
    <rPh sb="1" eb="4">
      <t>ナゴヤ</t>
    </rPh>
    <rPh sb="4" eb="8">
      <t>ケイザイダイガク</t>
    </rPh>
    <rPh sb="8" eb="10">
      <t>ゼンガク</t>
    </rPh>
    <rPh sb="10" eb="12">
      <t>キョウイク</t>
    </rPh>
    <rPh sb="12" eb="14">
      <t>スイシン</t>
    </rPh>
    <rPh sb="72" eb="74">
      <t>サブリ</t>
    </rPh>
    <rPh sb="75" eb="77">
      <t>ハルオ</t>
    </rPh>
    <rPh sb="78" eb="80">
      <t>ガクチョウ</t>
    </rPh>
    <rPh sb="81" eb="88">
      <t>ニンゲンセイカツカガクブ</t>
    </rPh>
    <rPh sb="88" eb="89">
      <t>チョウ</t>
    </rPh>
    <rPh sb="160" eb="162">
      <t>トミオカ</t>
    </rPh>
    <rPh sb="163" eb="164">
      <t>ジン</t>
    </rPh>
    <rPh sb="165" eb="169">
      <t>キョウガクタントウ</t>
    </rPh>
    <rPh sb="169" eb="172">
      <t>フクガクチョウ</t>
    </rPh>
    <rPh sb="240" eb="242">
      <t>サトウ</t>
    </rPh>
    <rPh sb="243" eb="245">
      <t>マサユキ</t>
    </rPh>
    <rPh sb="246" eb="251">
      <t>ケイザイガクブチョウ</t>
    </rPh>
    <rPh sb="311" eb="313">
      <t>タニカワ</t>
    </rPh>
    <rPh sb="314" eb="315">
      <t>ツヨシ</t>
    </rPh>
    <rPh sb="316" eb="321">
      <t>ケイエイガクブチョウ</t>
    </rPh>
    <rPh sb="391" eb="393">
      <t>シミズ</t>
    </rPh>
    <rPh sb="394" eb="396">
      <t>ヒロキ</t>
    </rPh>
    <rPh sb="397" eb="401">
      <t>ホウガクブチョウ</t>
    </rPh>
    <rPh sb="465" eb="467">
      <t>オオタニ</t>
    </rPh>
    <rPh sb="474" eb="475">
      <t>チョウ</t>
    </rPh>
    <rPh sb="542" eb="544">
      <t>ヒトミ</t>
    </rPh>
    <rPh sb="545" eb="547">
      <t>コウジ</t>
    </rPh>
    <rPh sb="548" eb="549">
      <t>フク</t>
    </rPh>
    <rPh sb="553" eb="554">
      <t>チョウ</t>
    </rPh>
    <rPh sb="555" eb="559">
      <t>ケイザイガクブ</t>
    </rPh>
    <rPh sb="559" eb="561">
      <t>トクニン</t>
    </rPh>
    <rPh sb="561" eb="563">
      <t>キョウジュ</t>
    </rPh>
    <rPh sb="606" eb="609">
      <t>ナゴヤ</t>
    </rPh>
    <rPh sb="609" eb="613">
      <t>ケイザイダイガク</t>
    </rPh>
    <rPh sb="613" eb="615">
      <t>ガクム</t>
    </rPh>
    <rPh sb="615" eb="617">
      <t>ソウゴウ</t>
    </rPh>
    <rPh sb="676" eb="678">
      <t>ハギワラ</t>
    </rPh>
    <rPh sb="679" eb="680">
      <t>サトシ</t>
    </rPh>
    <rPh sb="680" eb="681">
      <t>オウ</t>
    </rPh>
    <rPh sb="686" eb="687">
      <t>チョウ</t>
    </rPh>
    <rPh sb="688" eb="693">
      <t>ホウガクブキョウジュ</t>
    </rPh>
    <rPh sb="745" eb="747">
      <t>サトウ</t>
    </rPh>
    <rPh sb="748" eb="750">
      <t>ナオシ</t>
    </rPh>
    <rPh sb="751" eb="752">
      <t>フク</t>
    </rPh>
    <rPh sb="756" eb="757">
      <t>チョウ</t>
    </rPh>
    <rPh sb="758" eb="761">
      <t>ホウガクブ</t>
    </rPh>
    <rPh sb="761" eb="763">
      <t>キョウジュ</t>
    </rPh>
    <rPh sb="814" eb="816">
      <t>クシダ</t>
    </rPh>
    <rPh sb="817" eb="819">
      <t>ヒロミ</t>
    </rPh>
    <rPh sb="820" eb="822">
      <t>ガクム</t>
    </rPh>
    <rPh sb="822" eb="824">
      <t>ソウゴウ</t>
    </rPh>
    <rPh sb="828" eb="831">
      <t>ガクムブ</t>
    </rPh>
    <rPh sb="831" eb="835">
      <t>キョウムタントウ</t>
    </rPh>
    <rPh sb="835" eb="838">
      <t>フクブチョウ</t>
    </rPh>
    <rPh sb="881" eb="883">
      <t>シンザト</t>
    </rPh>
    <rPh sb="884" eb="886">
      <t>トモユキ</t>
    </rPh>
    <rPh sb="887" eb="889">
      <t>ガクム</t>
    </rPh>
    <rPh sb="889" eb="891">
      <t>ソウゴウ</t>
    </rPh>
    <rPh sb="895" eb="898">
      <t>ガクムブ</t>
    </rPh>
    <rPh sb="898" eb="901">
      <t>フクブチョウ</t>
    </rPh>
    <rPh sb="949" eb="951">
      <t>エサカ</t>
    </rPh>
    <rPh sb="952" eb="954">
      <t>ミサキ</t>
    </rPh>
    <rPh sb="955" eb="959">
      <t>ガクムソウゴウ</t>
    </rPh>
    <rPh sb="963" eb="966">
      <t>ガクムブ</t>
    </rPh>
    <rPh sb="966" eb="970">
      <t>キョウムタントウ</t>
    </rPh>
    <rPh sb="970" eb="972">
      <t>シュサ</t>
    </rPh>
    <phoneticPr fontId="1"/>
  </si>
  <si>
    <t>名古屋経済大学全学教育推進センターは、学長を中心とした、大学全体における教学マネジメント体制を確立し、各学部の教育活動について、教育課程の編成に関する全学的な方針の策定・検証・評価を行うことにより、本学教育の充実及び発展を図ることを目的としており、学士過程における、共通科目群、全学教育で行う教育に関する企画、立案及び実施も行っている。
本プログラムについては、学務総合センターと協働しながら改善・進化させるための体制を構築し、履修・修得状況の確認や改善、授業評価アンケート等を活用した自己点検を行いながら、学生にとってより良い環境の整備を進める。</t>
    <rPh sb="0" eb="3">
      <t>ナゴヤ</t>
    </rPh>
    <rPh sb="3" eb="7">
      <t>ケイザイダイガク</t>
    </rPh>
    <rPh sb="7" eb="9">
      <t>ゼンガク</t>
    </rPh>
    <rPh sb="19" eb="21">
      <t>ガクチョウ</t>
    </rPh>
    <rPh sb="22" eb="24">
      <t>チュウシン</t>
    </rPh>
    <rPh sb="28" eb="32">
      <t>ダイガクゼンタイ</t>
    </rPh>
    <rPh sb="36" eb="38">
      <t>キョウガク</t>
    </rPh>
    <rPh sb="44" eb="46">
      <t>タイセイ</t>
    </rPh>
    <rPh sb="47" eb="49">
      <t>カクリツ</t>
    </rPh>
    <rPh sb="51" eb="52">
      <t>カク</t>
    </rPh>
    <rPh sb="52" eb="54">
      <t>ガクブ</t>
    </rPh>
    <rPh sb="55" eb="59">
      <t>キョウイクカツドウ</t>
    </rPh>
    <rPh sb="64" eb="68">
      <t>キョウイクカテイ</t>
    </rPh>
    <rPh sb="69" eb="71">
      <t>ヘンセイ</t>
    </rPh>
    <rPh sb="72" eb="73">
      <t>カン</t>
    </rPh>
    <rPh sb="75" eb="78">
      <t>ゼンガクテキ</t>
    </rPh>
    <rPh sb="79" eb="81">
      <t>ホウシン</t>
    </rPh>
    <rPh sb="82" eb="84">
      <t>サクテイ</t>
    </rPh>
    <rPh sb="85" eb="87">
      <t>ケンショウ</t>
    </rPh>
    <rPh sb="88" eb="90">
      <t>ヒョウカ</t>
    </rPh>
    <rPh sb="91" eb="92">
      <t>オコナ</t>
    </rPh>
    <rPh sb="99" eb="103">
      <t>ホンガクキョウイク</t>
    </rPh>
    <rPh sb="104" eb="106">
      <t>ジュウジツ</t>
    </rPh>
    <rPh sb="106" eb="107">
      <t>オヨ</t>
    </rPh>
    <rPh sb="108" eb="110">
      <t>ハッテン</t>
    </rPh>
    <rPh sb="111" eb="112">
      <t>ハカ</t>
    </rPh>
    <rPh sb="116" eb="118">
      <t>モクテキ</t>
    </rPh>
    <rPh sb="124" eb="128">
      <t>ガクシカテイ</t>
    </rPh>
    <rPh sb="133" eb="138">
      <t>キョウツウカモクグン</t>
    </rPh>
    <rPh sb="139" eb="141">
      <t>ゼンガク</t>
    </rPh>
    <rPh sb="141" eb="143">
      <t>キョウイク</t>
    </rPh>
    <rPh sb="144" eb="145">
      <t>オコナ</t>
    </rPh>
    <rPh sb="146" eb="148">
      <t>キョウイク</t>
    </rPh>
    <rPh sb="149" eb="150">
      <t>カン</t>
    </rPh>
    <rPh sb="152" eb="154">
      <t>キカク</t>
    </rPh>
    <rPh sb="155" eb="157">
      <t>リツアン</t>
    </rPh>
    <rPh sb="157" eb="158">
      <t>オヨ</t>
    </rPh>
    <rPh sb="159" eb="161">
      <t>ジッシ</t>
    </rPh>
    <rPh sb="162" eb="163">
      <t>オコナ</t>
    </rPh>
    <rPh sb="180" eb="184">
      <t>ガクムソウゴウ</t>
    </rPh>
    <rPh sb="189" eb="191">
      <t>キョウドウ</t>
    </rPh>
    <rPh sb="195" eb="197">
      <t>カイゼン</t>
    </rPh>
    <rPh sb="198" eb="200">
      <t>シンカ</t>
    </rPh>
    <rPh sb="206" eb="208">
      <t>タイセイ</t>
    </rPh>
    <rPh sb="209" eb="211">
      <t>コウチク</t>
    </rPh>
    <rPh sb="213" eb="215">
      <t>リシュウ</t>
    </rPh>
    <rPh sb="216" eb="218">
      <t>シュウトク</t>
    </rPh>
    <rPh sb="218" eb="220">
      <t>ジョウキョウ</t>
    </rPh>
    <rPh sb="221" eb="223">
      <t>カクニン</t>
    </rPh>
    <rPh sb="224" eb="226">
      <t>カイゼン</t>
    </rPh>
    <rPh sb="227" eb="231">
      <t>ジュギョウヒョウカ</t>
    </rPh>
    <rPh sb="236" eb="237">
      <t>トウ</t>
    </rPh>
    <rPh sb="238" eb="240">
      <t>カツヨウ</t>
    </rPh>
    <rPh sb="242" eb="246">
      <t>ジコテンケン</t>
    </rPh>
    <rPh sb="247" eb="248">
      <t>オコナ</t>
    </rPh>
    <rPh sb="253" eb="255">
      <t>ガクセイ</t>
    </rPh>
    <rPh sb="261" eb="262">
      <t>ヨ</t>
    </rPh>
    <rPh sb="263" eb="265">
      <t>カンキョウ</t>
    </rPh>
    <rPh sb="266" eb="268">
      <t>セイビ</t>
    </rPh>
    <rPh sb="269" eb="270">
      <t>スス</t>
    </rPh>
    <phoneticPr fontId="1"/>
  </si>
  <si>
    <t>人間生活科学部</t>
    <rPh sb="0" eb="4">
      <t>ニンゲンセイカツ</t>
    </rPh>
    <rPh sb="4" eb="7">
      <t>カガクブ</t>
    </rPh>
    <phoneticPr fontId="1"/>
  </si>
  <si>
    <t>経済学部</t>
    <rPh sb="0" eb="4">
      <t>ケイザイガクブ</t>
    </rPh>
    <phoneticPr fontId="1"/>
  </si>
  <si>
    <t>経営学部</t>
    <rPh sb="0" eb="4">
      <t>ケイエイガクブ</t>
    </rPh>
    <phoneticPr fontId="1"/>
  </si>
  <si>
    <t>法学部</t>
    <rPh sb="0" eb="3">
      <t>ホウガクブ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</si>
</sst>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5" xfId="0" applyFont="1" applyBorder="1" applyAlignment="1">
      <alignment horizontal="center" vertical="center" shrinkToFit="1"/>
    </xf>
    <xf numFmtId="0" fontId="2" fillId="0" borderId="48" xfId="0" applyFont="1" applyBorder="1" applyAlignment="1">
      <alignment horizontal="center" vertical="center" shrinkToFit="1"/>
    </xf>
    <xf numFmtId="9" fontId="2" fillId="0" borderId="45" xfId="0" applyNumberFormat="1" applyFont="1" applyBorder="1" applyAlignment="1">
      <alignment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32"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4"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4"/>
      <c r="C1" s="74"/>
      <c r="D1" s="74"/>
      <c r="E1" s="74"/>
      <c r="F1" s="74"/>
      <c r="G1" s="74"/>
      <c r="H1" s="74"/>
      <c r="I1" s="74"/>
      <c r="J1" s="74"/>
      <c r="K1" s="74"/>
      <c r="L1" s="74"/>
      <c r="M1" s="74"/>
      <c r="N1" s="74"/>
      <c r="O1" s="74"/>
      <c r="P1" s="74"/>
      <c r="Q1" s="74"/>
      <c r="R1" s="74"/>
      <c r="S1" s="74"/>
      <c r="T1" s="124" t="s">
        <v>12</v>
      </c>
      <c r="U1" s="124"/>
      <c r="V1" s="2" t="s">
        <v>100</v>
      </c>
    </row>
    <row r="2" spans="1:24" ht="18.75" customHeight="1" x14ac:dyDescent="0.15">
      <c r="A2" s="74"/>
      <c r="B2" s="76" t="s">
        <v>99</v>
      </c>
      <c r="C2" s="125" t="s">
        <v>135</v>
      </c>
      <c r="D2" s="126"/>
      <c r="E2" s="126"/>
      <c r="F2" s="126"/>
      <c r="G2" s="126"/>
      <c r="H2" s="126"/>
      <c r="I2" s="126"/>
      <c r="J2" s="127"/>
      <c r="K2" s="75"/>
      <c r="L2" s="77"/>
      <c r="M2" s="77"/>
      <c r="N2" s="77"/>
      <c r="O2" s="77"/>
      <c r="P2" s="77"/>
      <c r="Q2" s="77"/>
      <c r="R2" s="77"/>
      <c r="S2" s="77"/>
      <c r="T2" s="77"/>
      <c r="U2" s="77"/>
    </row>
    <row r="3" spans="1:24" ht="18.75" customHeight="1" x14ac:dyDescent="0.15">
      <c r="A3" s="74"/>
      <c r="B3" s="76" t="s">
        <v>94</v>
      </c>
      <c r="C3" s="125" t="s">
        <v>166</v>
      </c>
      <c r="D3" s="126"/>
      <c r="E3" s="126"/>
      <c r="F3" s="126"/>
      <c r="G3" s="126"/>
      <c r="H3" s="126"/>
      <c r="I3" s="126"/>
      <c r="J3" s="127"/>
      <c r="K3" s="75"/>
      <c r="L3" s="77"/>
      <c r="M3" s="77"/>
      <c r="N3" s="77"/>
      <c r="O3" s="77"/>
      <c r="P3" s="77"/>
      <c r="Q3" s="77"/>
      <c r="R3" s="77"/>
      <c r="S3" s="77"/>
      <c r="T3" s="77"/>
      <c r="U3" s="77"/>
    </row>
    <row r="4" spans="1:24" ht="15" customHeight="1" x14ac:dyDescent="0.15">
      <c r="A4" s="74"/>
      <c r="B4" s="74"/>
      <c r="C4" s="74"/>
      <c r="D4" s="74"/>
      <c r="E4" s="74"/>
      <c r="F4" s="74"/>
      <c r="G4" s="74"/>
      <c r="H4" s="74"/>
      <c r="I4" s="74"/>
      <c r="J4" s="74"/>
      <c r="K4" s="74"/>
      <c r="L4" s="75"/>
      <c r="M4" s="78"/>
      <c r="N4" s="78"/>
      <c r="O4" s="78"/>
      <c r="P4" s="78"/>
      <c r="Q4" s="78"/>
      <c r="R4" s="78"/>
      <c r="S4" s="78"/>
      <c r="T4" s="78"/>
      <c r="U4" s="78"/>
    </row>
    <row r="5" spans="1:24" ht="18" customHeight="1" x14ac:dyDescent="0.15">
      <c r="A5" s="128" t="s">
        <v>38</v>
      </c>
      <c r="B5" s="128"/>
      <c r="C5" s="128"/>
      <c r="D5" s="128"/>
      <c r="E5" s="128"/>
      <c r="F5" s="128"/>
      <c r="G5" s="128"/>
      <c r="H5" s="128"/>
      <c r="I5" s="128"/>
      <c r="J5" s="128"/>
      <c r="K5" s="128"/>
      <c r="L5" s="128"/>
      <c r="M5" s="128"/>
      <c r="N5" s="128"/>
      <c r="O5" s="128"/>
      <c r="P5" s="128"/>
      <c r="Q5" s="128"/>
      <c r="R5" s="128"/>
      <c r="S5" s="128"/>
      <c r="T5" s="128"/>
      <c r="U5" s="128"/>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130</v>
      </c>
      <c r="B7" s="79"/>
      <c r="C7" s="79"/>
      <c r="D7" s="79"/>
      <c r="E7" s="79"/>
      <c r="F7" s="73"/>
      <c r="G7" s="73"/>
      <c r="H7" s="73"/>
      <c r="I7" s="73"/>
      <c r="J7" s="73"/>
      <c r="K7" s="73"/>
      <c r="L7" s="101" t="s">
        <v>136</v>
      </c>
      <c r="M7" s="102"/>
      <c r="N7" s="102"/>
      <c r="O7" s="102"/>
      <c r="P7" s="102"/>
      <c r="Q7" s="102"/>
      <c r="R7" s="102"/>
      <c r="S7" s="102"/>
      <c r="T7" s="102"/>
      <c r="U7" s="103"/>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131</v>
      </c>
      <c r="B9" s="74"/>
      <c r="C9" s="79"/>
      <c r="D9" s="79"/>
      <c r="E9" s="74"/>
      <c r="F9" s="74"/>
      <c r="G9" s="74"/>
      <c r="H9" s="74"/>
      <c r="I9" s="74"/>
      <c r="J9" s="74"/>
      <c r="K9" s="75"/>
      <c r="L9" s="73"/>
      <c r="M9" s="73"/>
      <c r="N9" s="73"/>
      <c r="O9" s="73"/>
      <c r="P9" s="73"/>
      <c r="Q9" s="73"/>
      <c r="R9" s="73"/>
      <c r="S9" s="73"/>
      <c r="T9" s="73"/>
      <c r="U9" s="73"/>
    </row>
    <row r="10" spans="1:24" ht="6" customHeight="1" x14ac:dyDescent="0.15">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15">
      <c r="A11" s="74"/>
      <c r="B11" s="108"/>
      <c r="C11" s="109"/>
      <c r="D11" s="109"/>
      <c r="E11" s="109"/>
      <c r="F11" s="109"/>
      <c r="G11" s="109"/>
      <c r="H11" s="109"/>
      <c r="I11" s="109"/>
      <c r="J11" s="109"/>
      <c r="K11" s="109"/>
      <c r="L11" s="109"/>
      <c r="M11" s="109"/>
      <c r="N11" s="109"/>
      <c r="O11" s="109"/>
      <c r="P11" s="109"/>
      <c r="Q11" s="109"/>
      <c r="R11" s="109"/>
      <c r="S11" s="109"/>
      <c r="T11" s="109"/>
      <c r="U11" s="110"/>
    </row>
    <row r="12" spans="1:24" ht="18" customHeight="1" x14ac:dyDescent="0.15">
      <c r="A12" s="74"/>
      <c r="B12" s="111"/>
      <c r="C12" s="112"/>
      <c r="D12" s="112"/>
      <c r="E12" s="112"/>
      <c r="F12" s="112"/>
      <c r="G12" s="112"/>
      <c r="H12" s="112"/>
      <c r="I12" s="112"/>
      <c r="J12" s="112"/>
      <c r="K12" s="112"/>
      <c r="L12" s="112"/>
      <c r="M12" s="112"/>
      <c r="N12" s="112"/>
      <c r="O12" s="112"/>
      <c r="P12" s="112"/>
      <c r="Q12" s="112"/>
      <c r="R12" s="112"/>
      <c r="S12" s="112"/>
      <c r="T12" s="112"/>
      <c r="U12" s="113"/>
    </row>
    <row r="13" spans="1:24" ht="6" customHeight="1" x14ac:dyDescent="0.15">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15">
      <c r="A14" s="74" t="s">
        <v>101</v>
      </c>
      <c r="B14" s="79"/>
      <c r="C14" s="79"/>
      <c r="D14" s="79"/>
      <c r="E14" s="75"/>
      <c r="F14" s="75"/>
      <c r="G14" s="75"/>
      <c r="H14" s="75"/>
      <c r="I14" s="75"/>
      <c r="J14" s="75"/>
      <c r="K14" s="75"/>
      <c r="L14" s="81"/>
      <c r="M14" s="81"/>
      <c r="N14" s="81"/>
      <c r="O14" s="81"/>
      <c r="P14" s="81"/>
      <c r="Q14" s="81"/>
      <c r="R14" s="81"/>
      <c r="S14" s="81"/>
      <c r="T14" s="81"/>
      <c r="U14" s="81"/>
    </row>
    <row r="15" spans="1:24" ht="18" customHeight="1" x14ac:dyDescent="0.15">
      <c r="A15" s="74"/>
      <c r="B15" s="129" t="s">
        <v>162</v>
      </c>
      <c r="C15" s="130"/>
      <c r="D15" s="130"/>
      <c r="E15" s="130"/>
      <c r="F15" s="130"/>
      <c r="G15" s="130"/>
      <c r="H15" s="130"/>
      <c r="I15" s="130"/>
      <c r="J15" s="130"/>
      <c r="K15" s="130"/>
      <c r="L15" s="130"/>
      <c r="M15" s="130"/>
      <c r="N15" s="130"/>
      <c r="O15" s="130"/>
      <c r="P15" s="130"/>
      <c r="Q15" s="130"/>
      <c r="R15" s="130"/>
      <c r="S15" s="130"/>
      <c r="T15" s="130"/>
      <c r="U15" s="131"/>
      <c r="X15" s="1" t="s">
        <v>95</v>
      </c>
    </row>
    <row r="16" spans="1:24" ht="18" customHeight="1" x14ac:dyDescent="0.15">
      <c r="A16" s="74"/>
      <c r="B16" s="132"/>
      <c r="C16" s="133"/>
      <c r="D16" s="133"/>
      <c r="E16" s="133"/>
      <c r="F16" s="133"/>
      <c r="G16" s="133"/>
      <c r="H16" s="133"/>
      <c r="I16" s="133"/>
      <c r="J16" s="133"/>
      <c r="K16" s="133"/>
      <c r="L16" s="133"/>
      <c r="M16" s="133"/>
      <c r="N16" s="133"/>
      <c r="O16" s="133"/>
      <c r="P16" s="133"/>
      <c r="Q16" s="133"/>
      <c r="R16" s="133"/>
      <c r="S16" s="133"/>
      <c r="T16" s="133"/>
      <c r="U16" s="134"/>
      <c r="X16" s="1" t="s">
        <v>115</v>
      </c>
    </row>
    <row r="17" spans="1:24" ht="18" customHeight="1" x14ac:dyDescent="0.15">
      <c r="A17" s="74"/>
      <c r="B17" s="132"/>
      <c r="C17" s="133"/>
      <c r="D17" s="133"/>
      <c r="E17" s="133"/>
      <c r="F17" s="133"/>
      <c r="G17" s="133"/>
      <c r="H17" s="133"/>
      <c r="I17" s="133"/>
      <c r="J17" s="133"/>
      <c r="K17" s="133"/>
      <c r="L17" s="133"/>
      <c r="M17" s="133"/>
      <c r="N17" s="133"/>
      <c r="O17" s="133"/>
      <c r="P17" s="133"/>
      <c r="Q17" s="133"/>
      <c r="R17" s="133"/>
      <c r="S17" s="133"/>
      <c r="T17" s="133"/>
      <c r="U17" s="134"/>
      <c r="X17" s="1" t="s">
        <v>116</v>
      </c>
    </row>
    <row r="18" spans="1:24" ht="18" customHeight="1" x14ac:dyDescent="0.15">
      <c r="A18" s="74"/>
      <c r="B18" s="132"/>
      <c r="C18" s="133"/>
      <c r="D18" s="133"/>
      <c r="E18" s="133"/>
      <c r="F18" s="133"/>
      <c r="G18" s="133"/>
      <c r="H18" s="133"/>
      <c r="I18" s="133"/>
      <c r="J18" s="133"/>
      <c r="K18" s="133"/>
      <c r="L18" s="133"/>
      <c r="M18" s="133"/>
      <c r="N18" s="133"/>
      <c r="O18" s="133"/>
      <c r="P18" s="133"/>
      <c r="Q18" s="133"/>
      <c r="R18" s="133"/>
      <c r="S18" s="133"/>
      <c r="T18" s="133"/>
      <c r="U18" s="134"/>
      <c r="X18" s="1" t="s">
        <v>117</v>
      </c>
    </row>
    <row r="19" spans="1:24" ht="18" customHeight="1" x14ac:dyDescent="0.15">
      <c r="A19" s="74"/>
      <c r="B19" s="132"/>
      <c r="C19" s="133"/>
      <c r="D19" s="133"/>
      <c r="E19" s="133"/>
      <c r="F19" s="133"/>
      <c r="G19" s="133"/>
      <c r="H19" s="133"/>
      <c r="I19" s="133"/>
      <c r="J19" s="133"/>
      <c r="K19" s="133"/>
      <c r="L19" s="133"/>
      <c r="M19" s="133"/>
      <c r="N19" s="133"/>
      <c r="O19" s="133"/>
      <c r="P19" s="133"/>
      <c r="Q19" s="133"/>
      <c r="R19" s="133"/>
      <c r="S19" s="133"/>
      <c r="T19" s="133"/>
      <c r="U19" s="134"/>
    </row>
    <row r="20" spans="1:24" ht="18" customHeight="1" x14ac:dyDescent="0.15">
      <c r="A20" s="74"/>
      <c r="B20" s="135"/>
      <c r="C20" s="136"/>
      <c r="D20" s="136"/>
      <c r="E20" s="136"/>
      <c r="F20" s="136"/>
      <c r="G20" s="136"/>
      <c r="H20" s="136"/>
      <c r="I20" s="136"/>
      <c r="J20" s="136"/>
      <c r="K20" s="136"/>
      <c r="L20" s="136"/>
      <c r="M20" s="136"/>
      <c r="N20" s="136"/>
      <c r="O20" s="136"/>
      <c r="P20" s="136"/>
      <c r="Q20" s="136"/>
      <c r="R20" s="136"/>
      <c r="S20" s="136"/>
      <c r="T20" s="136"/>
      <c r="U20" s="137"/>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15">
      <c r="A22" s="74"/>
      <c r="B22" s="74" t="s">
        <v>132</v>
      </c>
      <c r="C22" s="74"/>
      <c r="D22" s="74"/>
      <c r="E22" s="82">
        <v>2</v>
      </c>
      <c r="F22" s="74" t="s">
        <v>113</v>
      </c>
      <c r="G22" s="74"/>
      <c r="H22" s="83">
        <v>4</v>
      </c>
      <c r="I22" s="79" t="s">
        <v>114</v>
      </c>
      <c r="J22" s="79"/>
      <c r="K22" s="75"/>
      <c r="L22" s="74"/>
      <c r="M22" s="75" t="s">
        <v>110</v>
      </c>
      <c r="N22" s="98" t="s">
        <v>117</v>
      </c>
      <c r="O22" s="99"/>
      <c r="P22" s="99"/>
      <c r="Q22" s="99"/>
      <c r="R22" s="99"/>
      <c r="S22" s="99"/>
      <c r="T22" s="99"/>
      <c r="U22" s="100"/>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38" t="s">
        <v>102</v>
      </c>
      <c r="B24" s="138"/>
      <c r="C24" s="138"/>
      <c r="D24" s="138"/>
      <c r="E24" s="138"/>
      <c r="F24" s="138"/>
      <c r="G24" s="138"/>
      <c r="H24" s="138"/>
      <c r="I24" s="138"/>
      <c r="J24" s="138"/>
      <c r="K24" s="138"/>
      <c r="L24" s="138"/>
      <c r="M24" s="138"/>
      <c r="N24" s="138"/>
      <c r="O24" s="138"/>
      <c r="P24" s="138"/>
      <c r="Q24" s="138"/>
      <c r="R24" s="138"/>
      <c r="S24" s="138"/>
      <c r="T24" s="138"/>
      <c r="U24" s="138"/>
    </row>
    <row r="25" spans="1:24" ht="18" customHeight="1" x14ac:dyDescent="0.15">
      <c r="A25" s="138"/>
      <c r="B25" s="138"/>
      <c r="C25" s="138"/>
      <c r="D25" s="138"/>
      <c r="E25" s="138"/>
      <c r="F25" s="138"/>
      <c r="G25" s="138"/>
      <c r="H25" s="138"/>
      <c r="I25" s="138"/>
      <c r="J25" s="138"/>
      <c r="K25" s="138"/>
      <c r="L25" s="138"/>
      <c r="M25" s="138"/>
      <c r="N25" s="138"/>
      <c r="O25" s="138"/>
      <c r="P25" s="138"/>
      <c r="Q25" s="138"/>
      <c r="R25" s="138"/>
      <c r="S25" s="138"/>
      <c r="T25" s="138"/>
      <c r="U25" s="138"/>
    </row>
    <row r="26" spans="1:24" ht="18" customHeight="1" x14ac:dyDescent="0.15">
      <c r="B26" s="104" t="s">
        <v>52</v>
      </c>
      <c r="C26" s="105"/>
      <c r="D26" s="105"/>
      <c r="E26" s="105"/>
      <c r="F26" s="106"/>
      <c r="G26" s="50" t="s">
        <v>78</v>
      </c>
      <c r="H26" s="49" t="s">
        <v>81</v>
      </c>
      <c r="I26" s="16" t="s">
        <v>55</v>
      </c>
      <c r="J26" s="16" t="s">
        <v>58</v>
      </c>
      <c r="K26" s="104" t="s">
        <v>52</v>
      </c>
      <c r="L26" s="105"/>
      <c r="M26" s="105"/>
      <c r="N26" s="105"/>
      <c r="O26" s="105"/>
      <c r="P26" s="105"/>
      <c r="Q26" s="106"/>
      <c r="R26" s="50" t="s">
        <v>78</v>
      </c>
      <c r="S26" s="49" t="s">
        <v>81</v>
      </c>
      <c r="T26" s="16" t="s">
        <v>55</v>
      </c>
      <c r="U26" s="16" t="s">
        <v>58</v>
      </c>
    </row>
    <row r="27" spans="1:24" ht="18" customHeight="1" x14ac:dyDescent="0.15">
      <c r="B27" s="120" t="s">
        <v>139</v>
      </c>
      <c r="C27" s="121"/>
      <c r="D27" s="121"/>
      <c r="E27" s="121"/>
      <c r="F27" s="122">
        <v>2</v>
      </c>
      <c r="G27" s="17">
        <v>2</v>
      </c>
      <c r="H27" s="17" t="s">
        <v>138</v>
      </c>
      <c r="I27" s="17" t="s">
        <v>138</v>
      </c>
      <c r="J27" s="17" t="s">
        <v>138</v>
      </c>
      <c r="K27" s="120"/>
      <c r="L27" s="121"/>
      <c r="M27" s="121"/>
      <c r="N27" s="121"/>
      <c r="O27" s="121"/>
      <c r="P27" s="121"/>
      <c r="Q27" s="122"/>
      <c r="R27" s="17"/>
      <c r="S27" s="17"/>
      <c r="T27" s="17"/>
      <c r="U27" s="17"/>
    </row>
    <row r="28" spans="1:24" ht="18" customHeight="1" x14ac:dyDescent="0.15">
      <c r="B28" s="114" t="s">
        <v>140</v>
      </c>
      <c r="C28" s="115"/>
      <c r="D28" s="115"/>
      <c r="E28" s="115"/>
      <c r="F28" s="116">
        <v>2</v>
      </c>
      <c r="G28" s="18">
        <v>2</v>
      </c>
      <c r="H28" s="18" t="s">
        <v>138</v>
      </c>
      <c r="I28" s="18" t="s">
        <v>138</v>
      </c>
      <c r="J28" s="18" t="s">
        <v>138</v>
      </c>
      <c r="K28" s="114"/>
      <c r="L28" s="115"/>
      <c r="M28" s="115"/>
      <c r="N28" s="115"/>
      <c r="O28" s="115"/>
      <c r="P28" s="115"/>
      <c r="Q28" s="116"/>
      <c r="R28" s="18"/>
      <c r="S28" s="18"/>
      <c r="T28" s="18"/>
      <c r="U28" s="18"/>
    </row>
    <row r="29" spans="1:24" ht="18" customHeight="1" x14ac:dyDescent="0.15">
      <c r="B29" s="114"/>
      <c r="C29" s="115"/>
      <c r="D29" s="115"/>
      <c r="E29" s="115"/>
      <c r="F29" s="116"/>
      <c r="G29" s="18"/>
      <c r="H29" s="18"/>
      <c r="I29" s="18"/>
      <c r="J29" s="18"/>
      <c r="K29" s="114"/>
      <c r="L29" s="115"/>
      <c r="M29" s="115"/>
      <c r="N29" s="115"/>
      <c r="O29" s="115"/>
      <c r="P29" s="115"/>
      <c r="Q29" s="116"/>
      <c r="R29" s="18"/>
      <c r="S29" s="18"/>
      <c r="T29" s="18"/>
      <c r="U29" s="18"/>
    </row>
    <row r="30" spans="1:24" ht="18" customHeight="1" x14ac:dyDescent="0.15">
      <c r="B30" s="114"/>
      <c r="C30" s="115"/>
      <c r="D30" s="115"/>
      <c r="E30" s="115"/>
      <c r="F30" s="116"/>
      <c r="G30" s="18"/>
      <c r="H30" s="18"/>
      <c r="I30" s="18"/>
      <c r="J30" s="18"/>
      <c r="K30" s="114"/>
      <c r="L30" s="115"/>
      <c r="M30" s="115"/>
      <c r="N30" s="115"/>
      <c r="O30" s="115"/>
      <c r="P30" s="115"/>
      <c r="Q30" s="116"/>
      <c r="R30" s="18"/>
      <c r="S30" s="18"/>
      <c r="T30" s="18"/>
      <c r="U30" s="18"/>
    </row>
    <row r="31" spans="1:24" ht="18" customHeight="1" x14ac:dyDescent="0.15">
      <c r="B31" s="114"/>
      <c r="C31" s="115"/>
      <c r="D31" s="115"/>
      <c r="E31" s="115"/>
      <c r="F31" s="116"/>
      <c r="G31" s="18"/>
      <c r="H31" s="18"/>
      <c r="I31" s="18"/>
      <c r="J31" s="18"/>
      <c r="K31" s="114"/>
      <c r="L31" s="115"/>
      <c r="M31" s="115"/>
      <c r="N31" s="115"/>
      <c r="O31" s="115"/>
      <c r="P31" s="115"/>
      <c r="Q31" s="116"/>
      <c r="R31" s="18"/>
      <c r="S31" s="18"/>
      <c r="T31" s="18"/>
      <c r="U31" s="18"/>
    </row>
    <row r="32" spans="1:24" ht="18" customHeight="1" x14ac:dyDescent="0.15">
      <c r="A32" s="3"/>
      <c r="B32" s="114"/>
      <c r="C32" s="115"/>
      <c r="D32" s="115"/>
      <c r="E32" s="115"/>
      <c r="F32" s="116"/>
      <c r="G32" s="18"/>
      <c r="H32" s="18"/>
      <c r="I32" s="18"/>
      <c r="J32" s="18"/>
      <c r="K32" s="114"/>
      <c r="L32" s="115"/>
      <c r="M32" s="115"/>
      <c r="N32" s="115"/>
      <c r="O32" s="115"/>
      <c r="P32" s="115"/>
      <c r="Q32" s="116"/>
      <c r="R32" s="18"/>
      <c r="S32" s="18"/>
      <c r="T32" s="18"/>
      <c r="U32" s="18"/>
    </row>
    <row r="33" spans="1:21" ht="18" customHeight="1" x14ac:dyDescent="0.15">
      <c r="A33" s="3"/>
      <c r="B33" s="117"/>
      <c r="C33" s="118"/>
      <c r="D33" s="118"/>
      <c r="E33" s="118"/>
      <c r="F33" s="119"/>
      <c r="G33" s="19"/>
      <c r="H33" s="19"/>
      <c r="I33" s="20"/>
      <c r="J33" s="20"/>
      <c r="K33" s="117"/>
      <c r="L33" s="118"/>
      <c r="M33" s="118"/>
      <c r="N33" s="118"/>
      <c r="O33" s="118"/>
      <c r="P33" s="118"/>
      <c r="Q33" s="119"/>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3" t="s">
        <v>103</v>
      </c>
      <c r="B35" s="123"/>
      <c r="C35" s="123"/>
      <c r="D35" s="123"/>
      <c r="E35" s="123"/>
      <c r="F35" s="123"/>
      <c r="G35" s="123"/>
      <c r="H35" s="123"/>
      <c r="I35" s="123"/>
      <c r="J35" s="123"/>
      <c r="K35" s="123"/>
      <c r="L35" s="123"/>
      <c r="M35" s="123"/>
      <c r="N35" s="123"/>
      <c r="O35" s="123"/>
      <c r="P35" s="123"/>
      <c r="Q35" s="123"/>
      <c r="R35" s="123"/>
      <c r="S35" s="123"/>
      <c r="T35" s="123"/>
      <c r="U35" s="123"/>
    </row>
    <row r="36" spans="1:21" ht="18" customHeight="1" x14ac:dyDescent="0.15">
      <c r="A36" s="123"/>
      <c r="B36" s="123"/>
      <c r="C36" s="123"/>
      <c r="D36" s="123"/>
      <c r="E36" s="123"/>
      <c r="F36" s="123"/>
      <c r="G36" s="123"/>
      <c r="H36" s="123"/>
      <c r="I36" s="123"/>
      <c r="J36" s="123"/>
      <c r="K36" s="123"/>
      <c r="L36" s="123"/>
      <c r="M36" s="123"/>
      <c r="N36" s="123"/>
      <c r="O36" s="123"/>
      <c r="P36" s="123"/>
      <c r="Q36" s="123"/>
      <c r="R36" s="123"/>
      <c r="S36" s="123"/>
      <c r="T36" s="123"/>
      <c r="U36" s="123"/>
    </row>
    <row r="37" spans="1:21" ht="18" customHeight="1" x14ac:dyDescent="0.15">
      <c r="B37" s="104" t="s">
        <v>52</v>
      </c>
      <c r="C37" s="105"/>
      <c r="D37" s="105"/>
      <c r="E37" s="105"/>
      <c r="F37" s="106"/>
      <c r="G37" s="50" t="s">
        <v>78</v>
      </c>
      <c r="H37" s="49" t="s">
        <v>81</v>
      </c>
      <c r="I37" s="16" t="s">
        <v>69</v>
      </c>
      <c r="J37" s="16" t="s">
        <v>70</v>
      </c>
      <c r="K37" s="104" t="s">
        <v>52</v>
      </c>
      <c r="L37" s="105"/>
      <c r="M37" s="105"/>
      <c r="N37" s="105"/>
      <c r="O37" s="105"/>
      <c r="P37" s="105"/>
      <c r="Q37" s="106"/>
      <c r="R37" s="50" t="s">
        <v>78</v>
      </c>
      <c r="S37" s="49" t="s">
        <v>81</v>
      </c>
      <c r="T37" s="16" t="s">
        <v>69</v>
      </c>
      <c r="U37" s="16" t="s">
        <v>70</v>
      </c>
    </row>
    <row r="38" spans="1:21" ht="18" customHeight="1" x14ac:dyDescent="0.15">
      <c r="B38" s="120" t="s">
        <v>139</v>
      </c>
      <c r="C38" s="121"/>
      <c r="D38" s="121"/>
      <c r="E38" s="121"/>
      <c r="F38" s="122">
        <v>2</v>
      </c>
      <c r="G38" s="17">
        <v>2</v>
      </c>
      <c r="H38" s="17" t="s">
        <v>138</v>
      </c>
      <c r="I38" s="17"/>
      <c r="J38" s="17" t="s">
        <v>138</v>
      </c>
      <c r="K38" s="120"/>
      <c r="L38" s="121"/>
      <c r="M38" s="121"/>
      <c r="N38" s="121"/>
      <c r="O38" s="121"/>
      <c r="P38" s="121"/>
      <c r="Q38" s="122"/>
      <c r="R38" s="17"/>
      <c r="S38" s="17"/>
      <c r="T38" s="17"/>
      <c r="U38" s="17"/>
    </row>
    <row r="39" spans="1:21" ht="18" customHeight="1" x14ac:dyDescent="0.15">
      <c r="B39" s="114" t="s">
        <v>140</v>
      </c>
      <c r="C39" s="115"/>
      <c r="D39" s="115"/>
      <c r="E39" s="115"/>
      <c r="F39" s="116">
        <v>2</v>
      </c>
      <c r="G39" s="18">
        <v>2</v>
      </c>
      <c r="H39" s="18" t="s">
        <v>138</v>
      </c>
      <c r="I39" s="18" t="s">
        <v>138</v>
      </c>
      <c r="J39" s="18" t="s">
        <v>138</v>
      </c>
      <c r="K39" s="114"/>
      <c r="L39" s="115"/>
      <c r="M39" s="115"/>
      <c r="N39" s="115"/>
      <c r="O39" s="115"/>
      <c r="P39" s="115"/>
      <c r="Q39" s="116"/>
      <c r="R39" s="18"/>
      <c r="S39" s="18"/>
      <c r="T39" s="18"/>
      <c r="U39" s="18"/>
    </row>
    <row r="40" spans="1:21" ht="18" customHeight="1" x14ac:dyDescent="0.15">
      <c r="B40" s="114"/>
      <c r="C40" s="115"/>
      <c r="D40" s="115"/>
      <c r="E40" s="115"/>
      <c r="F40" s="116"/>
      <c r="G40" s="18"/>
      <c r="H40" s="18"/>
      <c r="I40" s="18"/>
      <c r="J40" s="18"/>
      <c r="K40" s="114"/>
      <c r="L40" s="115"/>
      <c r="M40" s="115"/>
      <c r="N40" s="115"/>
      <c r="O40" s="115"/>
      <c r="P40" s="115"/>
      <c r="Q40" s="116"/>
      <c r="R40" s="18"/>
      <c r="S40" s="18"/>
      <c r="T40" s="18"/>
      <c r="U40" s="18"/>
    </row>
    <row r="41" spans="1:21" ht="18" customHeight="1" x14ac:dyDescent="0.15">
      <c r="B41" s="114"/>
      <c r="C41" s="115"/>
      <c r="D41" s="115"/>
      <c r="E41" s="115"/>
      <c r="F41" s="116"/>
      <c r="G41" s="18"/>
      <c r="H41" s="18"/>
      <c r="I41" s="18"/>
      <c r="J41" s="18"/>
      <c r="K41" s="114"/>
      <c r="L41" s="115"/>
      <c r="M41" s="115"/>
      <c r="N41" s="115"/>
      <c r="O41" s="115"/>
      <c r="P41" s="115"/>
      <c r="Q41" s="116"/>
      <c r="R41" s="18"/>
      <c r="S41" s="18"/>
      <c r="T41" s="18"/>
      <c r="U41" s="18"/>
    </row>
    <row r="42" spans="1:21" ht="18" customHeight="1" x14ac:dyDescent="0.15">
      <c r="B42" s="114"/>
      <c r="C42" s="115"/>
      <c r="D42" s="115"/>
      <c r="E42" s="115"/>
      <c r="F42" s="116"/>
      <c r="G42" s="18"/>
      <c r="H42" s="18"/>
      <c r="I42" s="18"/>
      <c r="J42" s="18"/>
      <c r="K42" s="114"/>
      <c r="L42" s="115"/>
      <c r="M42" s="115"/>
      <c r="N42" s="115"/>
      <c r="O42" s="115"/>
      <c r="P42" s="115"/>
      <c r="Q42" s="116"/>
      <c r="R42" s="18"/>
      <c r="S42" s="18"/>
      <c r="T42" s="18"/>
      <c r="U42" s="18"/>
    </row>
    <row r="43" spans="1:21" ht="18" customHeight="1" x14ac:dyDescent="0.15">
      <c r="B43" s="114"/>
      <c r="C43" s="115"/>
      <c r="D43" s="115"/>
      <c r="E43" s="115"/>
      <c r="F43" s="116"/>
      <c r="G43" s="18"/>
      <c r="H43" s="18"/>
      <c r="I43" s="18"/>
      <c r="J43" s="18"/>
      <c r="K43" s="114"/>
      <c r="L43" s="115"/>
      <c r="M43" s="115"/>
      <c r="N43" s="115"/>
      <c r="O43" s="115"/>
      <c r="P43" s="115"/>
      <c r="Q43" s="116"/>
      <c r="R43" s="18"/>
      <c r="S43" s="18"/>
      <c r="T43" s="18"/>
      <c r="U43" s="18"/>
    </row>
    <row r="44" spans="1:21" ht="18" customHeight="1" x14ac:dyDescent="0.15">
      <c r="B44" s="117"/>
      <c r="C44" s="118"/>
      <c r="D44" s="118"/>
      <c r="E44" s="118"/>
      <c r="F44" s="119"/>
      <c r="G44" s="19"/>
      <c r="H44" s="19"/>
      <c r="I44" s="20"/>
      <c r="J44" s="20"/>
      <c r="K44" s="117"/>
      <c r="L44" s="118"/>
      <c r="M44" s="118"/>
      <c r="N44" s="118"/>
      <c r="O44" s="118"/>
      <c r="P44" s="118"/>
      <c r="Q44" s="119"/>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3" t="s">
        <v>104</v>
      </c>
      <c r="B46" s="123"/>
      <c r="C46" s="123"/>
      <c r="D46" s="123"/>
      <c r="E46" s="123"/>
      <c r="F46" s="123"/>
      <c r="G46" s="123"/>
      <c r="H46" s="123"/>
      <c r="I46" s="123"/>
      <c r="J46" s="123"/>
      <c r="K46" s="123"/>
      <c r="L46" s="123"/>
      <c r="M46" s="123"/>
      <c r="N46" s="123"/>
      <c r="O46" s="123"/>
      <c r="P46" s="123"/>
      <c r="Q46" s="123"/>
      <c r="R46" s="123"/>
      <c r="S46" s="123"/>
      <c r="T46" s="123"/>
      <c r="U46" s="123"/>
    </row>
    <row r="47" spans="1:21" ht="18" customHeight="1" x14ac:dyDescent="0.15">
      <c r="A47" s="123"/>
      <c r="B47" s="123"/>
      <c r="C47" s="123"/>
      <c r="D47" s="123"/>
      <c r="E47" s="123"/>
      <c r="F47" s="123"/>
      <c r="G47" s="123"/>
      <c r="H47" s="123"/>
      <c r="I47" s="123"/>
      <c r="J47" s="123"/>
      <c r="K47" s="123"/>
      <c r="L47" s="123"/>
      <c r="M47" s="123"/>
      <c r="N47" s="123"/>
      <c r="O47" s="123"/>
      <c r="P47" s="123"/>
      <c r="Q47" s="123"/>
      <c r="R47" s="123"/>
      <c r="S47" s="123"/>
      <c r="T47" s="123"/>
      <c r="U47" s="123"/>
    </row>
    <row r="48" spans="1:21" ht="18" customHeight="1" x14ac:dyDescent="0.15">
      <c r="B48" s="104" t="s">
        <v>52</v>
      </c>
      <c r="C48" s="105"/>
      <c r="D48" s="105"/>
      <c r="E48" s="105"/>
      <c r="F48" s="106"/>
      <c r="G48" s="50" t="s">
        <v>78</v>
      </c>
      <c r="H48" s="49" t="s">
        <v>81</v>
      </c>
      <c r="I48" s="16" t="s">
        <v>71</v>
      </c>
      <c r="J48" s="16" t="s">
        <v>72</v>
      </c>
      <c r="K48" s="104" t="s">
        <v>52</v>
      </c>
      <c r="L48" s="105"/>
      <c r="M48" s="105"/>
      <c r="N48" s="105"/>
      <c r="O48" s="105"/>
      <c r="P48" s="105"/>
      <c r="Q48" s="106"/>
      <c r="R48" s="50" t="s">
        <v>78</v>
      </c>
      <c r="S48" s="49" t="s">
        <v>81</v>
      </c>
      <c r="T48" s="16" t="s">
        <v>71</v>
      </c>
      <c r="U48" s="16" t="s">
        <v>72</v>
      </c>
    </row>
    <row r="49" spans="1:21" ht="18" customHeight="1" x14ac:dyDescent="0.15">
      <c r="A49" s="3"/>
      <c r="B49" s="114" t="s">
        <v>140</v>
      </c>
      <c r="C49" s="115"/>
      <c r="D49" s="115"/>
      <c r="E49" s="115"/>
      <c r="F49" s="116">
        <v>2</v>
      </c>
      <c r="G49" s="17">
        <v>2</v>
      </c>
      <c r="H49" s="17" t="s">
        <v>138</v>
      </c>
      <c r="I49" s="17" t="s">
        <v>138</v>
      </c>
      <c r="J49" s="17" t="s">
        <v>138</v>
      </c>
      <c r="K49" s="120"/>
      <c r="L49" s="121"/>
      <c r="M49" s="121"/>
      <c r="N49" s="121"/>
      <c r="O49" s="121"/>
      <c r="P49" s="121"/>
      <c r="Q49" s="122"/>
      <c r="R49" s="17"/>
      <c r="S49" s="17"/>
      <c r="T49" s="17"/>
      <c r="U49" s="17"/>
    </row>
    <row r="50" spans="1:21" ht="18" customHeight="1" x14ac:dyDescent="0.15">
      <c r="A50" s="3"/>
      <c r="B50" s="114"/>
      <c r="C50" s="115"/>
      <c r="D50" s="115"/>
      <c r="E50" s="115"/>
      <c r="F50" s="116"/>
      <c r="G50" s="18"/>
      <c r="H50" s="18"/>
      <c r="I50" s="18"/>
      <c r="J50" s="18"/>
      <c r="K50" s="114"/>
      <c r="L50" s="115"/>
      <c r="M50" s="115"/>
      <c r="N50" s="115"/>
      <c r="O50" s="115"/>
      <c r="P50" s="115"/>
      <c r="Q50" s="116"/>
      <c r="R50" s="18"/>
      <c r="S50" s="18"/>
      <c r="T50" s="18"/>
      <c r="U50" s="18"/>
    </row>
    <row r="51" spans="1:21" ht="18" customHeight="1" x14ac:dyDescent="0.15">
      <c r="A51" s="3"/>
      <c r="B51" s="114"/>
      <c r="C51" s="115"/>
      <c r="D51" s="115"/>
      <c r="E51" s="115"/>
      <c r="F51" s="116"/>
      <c r="G51" s="18"/>
      <c r="H51" s="18"/>
      <c r="I51" s="18"/>
      <c r="J51" s="18"/>
      <c r="K51" s="114"/>
      <c r="L51" s="115"/>
      <c r="M51" s="115"/>
      <c r="N51" s="115"/>
      <c r="O51" s="115"/>
      <c r="P51" s="115"/>
      <c r="Q51" s="116"/>
      <c r="R51" s="18"/>
      <c r="S51" s="18"/>
      <c r="T51" s="18"/>
      <c r="U51" s="18"/>
    </row>
    <row r="52" spans="1:21" ht="18" customHeight="1" x14ac:dyDescent="0.15">
      <c r="A52" s="3"/>
      <c r="B52" s="114"/>
      <c r="C52" s="115"/>
      <c r="D52" s="115"/>
      <c r="E52" s="115"/>
      <c r="F52" s="116"/>
      <c r="G52" s="18"/>
      <c r="H52" s="18"/>
      <c r="I52" s="18"/>
      <c r="J52" s="18"/>
      <c r="K52" s="114"/>
      <c r="L52" s="115"/>
      <c r="M52" s="115"/>
      <c r="N52" s="115"/>
      <c r="O52" s="115"/>
      <c r="P52" s="115"/>
      <c r="Q52" s="116"/>
      <c r="R52" s="18"/>
      <c r="S52" s="18"/>
      <c r="T52" s="18"/>
      <c r="U52" s="18"/>
    </row>
    <row r="53" spans="1:21" ht="18" customHeight="1" x14ac:dyDescent="0.15">
      <c r="A53" s="3"/>
      <c r="B53" s="114"/>
      <c r="C53" s="115"/>
      <c r="D53" s="115"/>
      <c r="E53" s="115"/>
      <c r="F53" s="116"/>
      <c r="G53" s="18"/>
      <c r="H53" s="18"/>
      <c r="I53" s="18"/>
      <c r="J53" s="18"/>
      <c r="K53" s="114"/>
      <c r="L53" s="115"/>
      <c r="M53" s="115"/>
      <c r="N53" s="115"/>
      <c r="O53" s="115"/>
      <c r="P53" s="115"/>
      <c r="Q53" s="116"/>
      <c r="R53" s="18"/>
      <c r="S53" s="18"/>
      <c r="T53" s="18"/>
      <c r="U53" s="18"/>
    </row>
    <row r="54" spans="1:21" ht="18" customHeight="1" x14ac:dyDescent="0.15">
      <c r="A54" s="3"/>
      <c r="B54" s="114"/>
      <c r="C54" s="115"/>
      <c r="D54" s="115"/>
      <c r="E54" s="115"/>
      <c r="F54" s="116"/>
      <c r="G54" s="18"/>
      <c r="H54" s="18"/>
      <c r="I54" s="18"/>
      <c r="J54" s="18"/>
      <c r="K54" s="114"/>
      <c r="L54" s="115"/>
      <c r="M54" s="115"/>
      <c r="N54" s="115"/>
      <c r="O54" s="115"/>
      <c r="P54" s="115"/>
      <c r="Q54" s="116"/>
      <c r="R54" s="18"/>
      <c r="S54" s="18"/>
      <c r="T54" s="18"/>
      <c r="U54" s="18"/>
    </row>
    <row r="55" spans="1:21" ht="18" customHeight="1" x14ac:dyDescent="0.15">
      <c r="A55" s="3"/>
      <c r="B55" s="117"/>
      <c r="C55" s="118"/>
      <c r="D55" s="118"/>
      <c r="E55" s="118"/>
      <c r="F55" s="119"/>
      <c r="G55" s="19"/>
      <c r="H55" s="19"/>
      <c r="I55" s="20"/>
      <c r="J55" s="20"/>
      <c r="K55" s="117"/>
      <c r="L55" s="118"/>
      <c r="M55" s="118"/>
      <c r="N55" s="118"/>
      <c r="O55" s="118"/>
      <c r="P55" s="118"/>
      <c r="Q55" s="119"/>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3" t="s">
        <v>105</v>
      </c>
      <c r="B57" s="123"/>
      <c r="C57" s="123"/>
      <c r="D57" s="123"/>
      <c r="E57" s="123"/>
      <c r="F57" s="123"/>
      <c r="G57" s="123"/>
      <c r="H57" s="123"/>
      <c r="I57" s="123"/>
      <c r="J57" s="123"/>
      <c r="K57" s="123"/>
      <c r="L57" s="123"/>
      <c r="M57" s="123"/>
      <c r="N57" s="123"/>
      <c r="O57" s="123"/>
      <c r="P57" s="123"/>
      <c r="Q57" s="123"/>
      <c r="R57" s="123"/>
      <c r="S57" s="123"/>
      <c r="T57" s="123"/>
      <c r="U57" s="123"/>
    </row>
    <row r="58" spans="1:21" ht="18" customHeight="1" x14ac:dyDescent="0.15">
      <c r="A58" s="123"/>
      <c r="B58" s="123"/>
      <c r="C58" s="123"/>
      <c r="D58" s="123"/>
      <c r="E58" s="123"/>
      <c r="F58" s="123"/>
      <c r="G58" s="123"/>
      <c r="H58" s="123"/>
      <c r="I58" s="123"/>
      <c r="J58" s="123"/>
      <c r="K58" s="123"/>
      <c r="L58" s="123"/>
      <c r="M58" s="123"/>
      <c r="N58" s="123"/>
      <c r="O58" s="123"/>
      <c r="P58" s="123"/>
      <c r="Q58" s="123"/>
      <c r="R58" s="123"/>
      <c r="S58" s="123"/>
      <c r="T58" s="123"/>
      <c r="U58" s="123"/>
    </row>
    <row r="59" spans="1:21" ht="18" customHeight="1" x14ac:dyDescent="0.15">
      <c r="B59" s="104" t="s">
        <v>52</v>
      </c>
      <c r="C59" s="105"/>
      <c r="D59" s="105"/>
      <c r="E59" s="105"/>
      <c r="F59" s="106"/>
      <c r="G59" s="50" t="s">
        <v>78</v>
      </c>
      <c r="H59" s="49" t="s">
        <v>81</v>
      </c>
      <c r="I59" s="16" t="s">
        <v>57</v>
      </c>
      <c r="J59" s="16" t="s">
        <v>59</v>
      </c>
      <c r="K59" s="104" t="s">
        <v>52</v>
      </c>
      <c r="L59" s="105"/>
      <c r="M59" s="105"/>
      <c r="N59" s="105"/>
      <c r="O59" s="105"/>
      <c r="P59" s="105"/>
      <c r="Q59" s="106"/>
      <c r="R59" s="50" t="s">
        <v>78</v>
      </c>
      <c r="S59" s="49" t="s">
        <v>81</v>
      </c>
      <c r="T59" s="16" t="s">
        <v>57</v>
      </c>
      <c r="U59" s="16" t="s">
        <v>59</v>
      </c>
    </row>
    <row r="60" spans="1:21" ht="18" customHeight="1" x14ac:dyDescent="0.15">
      <c r="A60" s="3"/>
      <c r="B60" s="120" t="s">
        <v>139</v>
      </c>
      <c r="C60" s="121"/>
      <c r="D60" s="121"/>
      <c r="E60" s="121"/>
      <c r="F60" s="122">
        <v>2</v>
      </c>
      <c r="G60" s="17">
        <v>2</v>
      </c>
      <c r="H60" s="17" t="s">
        <v>138</v>
      </c>
      <c r="I60" s="17" t="s">
        <v>138</v>
      </c>
      <c r="J60" s="17" t="s">
        <v>138</v>
      </c>
      <c r="K60" s="120"/>
      <c r="L60" s="121"/>
      <c r="M60" s="121"/>
      <c r="N60" s="121"/>
      <c r="O60" s="121"/>
      <c r="P60" s="121"/>
      <c r="Q60" s="122"/>
      <c r="R60" s="17"/>
      <c r="S60" s="17"/>
      <c r="T60" s="17"/>
      <c r="U60" s="17"/>
    </row>
    <row r="61" spans="1:21" ht="18" customHeight="1" x14ac:dyDescent="0.15">
      <c r="A61" s="3"/>
      <c r="B61" s="114"/>
      <c r="C61" s="115"/>
      <c r="D61" s="115"/>
      <c r="E61" s="115"/>
      <c r="F61" s="116"/>
      <c r="G61" s="18"/>
      <c r="H61" s="18"/>
      <c r="I61" s="18"/>
      <c r="J61" s="18"/>
      <c r="K61" s="114"/>
      <c r="L61" s="115"/>
      <c r="M61" s="115"/>
      <c r="N61" s="115"/>
      <c r="O61" s="115"/>
      <c r="P61" s="115"/>
      <c r="Q61" s="116"/>
      <c r="R61" s="18"/>
      <c r="S61" s="18"/>
      <c r="T61" s="18"/>
      <c r="U61" s="18"/>
    </row>
    <row r="62" spans="1:21" ht="18" customHeight="1" x14ac:dyDescent="0.15">
      <c r="A62" s="3"/>
      <c r="B62" s="114"/>
      <c r="C62" s="115"/>
      <c r="D62" s="115"/>
      <c r="E62" s="115"/>
      <c r="F62" s="116"/>
      <c r="G62" s="18"/>
      <c r="H62" s="18"/>
      <c r="I62" s="18"/>
      <c r="J62" s="18"/>
      <c r="K62" s="114"/>
      <c r="L62" s="115"/>
      <c r="M62" s="115"/>
      <c r="N62" s="115"/>
      <c r="O62" s="115"/>
      <c r="P62" s="115"/>
      <c r="Q62" s="116"/>
      <c r="R62" s="18"/>
      <c r="S62" s="18"/>
      <c r="T62" s="18"/>
      <c r="U62" s="18"/>
    </row>
    <row r="63" spans="1:21" ht="18" customHeight="1" x14ac:dyDescent="0.15">
      <c r="A63" s="3"/>
      <c r="B63" s="114"/>
      <c r="C63" s="115"/>
      <c r="D63" s="115"/>
      <c r="E63" s="115"/>
      <c r="F63" s="116"/>
      <c r="G63" s="18"/>
      <c r="H63" s="18"/>
      <c r="I63" s="18"/>
      <c r="J63" s="18"/>
      <c r="K63" s="114"/>
      <c r="L63" s="115"/>
      <c r="M63" s="115"/>
      <c r="N63" s="115"/>
      <c r="O63" s="115"/>
      <c r="P63" s="115"/>
      <c r="Q63" s="116"/>
      <c r="R63" s="18"/>
      <c r="S63" s="18"/>
      <c r="T63" s="18"/>
      <c r="U63" s="18"/>
    </row>
    <row r="64" spans="1:21" ht="18" customHeight="1" x14ac:dyDescent="0.15">
      <c r="A64" s="3"/>
      <c r="B64" s="114"/>
      <c r="C64" s="115"/>
      <c r="D64" s="115"/>
      <c r="E64" s="115"/>
      <c r="F64" s="116"/>
      <c r="G64" s="18"/>
      <c r="H64" s="18"/>
      <c r="I64" s="18"/>
      <c r="J64" s="18"/>
      <c r="K64" s="114"/>
      <c r="L64" s="115"/>
      <c r="M64" s="115"/>
      <c r="N64" s="115"/>
      <c r="O64" s="115"/>
      <c r="P64" s="115"/>
      <c r="Q64" s="116"/>
      <c r="R64" s="18"/>
      <c r="S64" s="18"/>
      <c r="T64" s="18"/>
      <c r="U64" s="18"/>
    </row>
    <row r="65" spans="1:21" ht="18" customHeight="1" x14ac:dyDescent="0.15">
      <c r="A65" s="3"/>
      <c r="B65" s="114"/>
      <c r="C65" s="115"/>
      <c r="D65" s="115"/>
      <c r="E65" s="115"/>
      <c r="F65" s="116"/>
      <c r="G65" s="18"/>
      <c r="H65" s="18"/>
      <c r="I65" s="18"/>
      <c r="J65" s="18"/>
      <c r="K65" s="114"/>
      <c r="L65" s="115"/>
      <c r="M65" s="115"/>
      <c r="N65" s="115"/>
      <c r="O65" s="115"/>
      <c r="P65" s="115"/>
      <c r="Q65" s="116"/>
      <c r="R65" s="18"/>
      <c r="S65" s="18"/>
      <c r="T65" s="18"/>
      <c r="U65" s="18"/>
    </row>
    <row r="66" spans="1:21" ht="18" customHeight="1" x14ac:dyDescent="0.15">
      <c r="A66" s="3"/>
      <c r="B66" s="117"/>
      <c r="C66" s="118"/>
      <c r="D66" s="118"/>
      <c r="E66" s="118"/>
      <c r="F66" s="119"/>
      <c r="G66" s="19"/>
      <c r="H66" s="19"/>
      <c r="I66" s="20"/>
      <c r="J66" s="20"/>
      <c r="K66" s="117"/>
      <c r="L66" s="118"/>
      <c r="M66" s="118"/>
      <c r="N66" s="118"/>
      <c r="O66" s="118"/>
      <c r="P66" s="118"/>
      <c r="Q66" s="119"/>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3" t="s">
        <v>106</v>
      </c>
      <c r="B68" s="123"/>
      <c r="C68" s="123"/>
      <c r="D68" s="123"/>
      <c r="E68" s="123"/>
      <c r="F68" s="123"/>
      <c r="G68" s="123"/>
      <c r="H68" s="123"/>
      <c r="I68" s="123"/>
      <c r="J68" s="123"/>
      <c r="K68" s="123"/>
      <c r="L68" s="123"/>
      <c r="M68" s="123"/>
      <c r="N68" s="123"/>
      <c r="O68" s="123"/>
      <c r="P68" s="123"/>
      <c r="Q68" s="123"/>
      <c r="R68" s="123"/>
      <c r="S68" s="123"/>
      <c r="T68" s="123"/>
      <c r="U68" s="123"/>
    </row>
    <row r="69" spans="1:21" ht="18" customHeight="1" x14ac:dyDescent="0.15">
      <c r="A69" s="123"/>
      <c r="B69" s="123"/>
      <c r="C69" s="123"/>
      <c r="D69" s="123"/>
      <c r="E69" s="123"/>
      <c r="F69" s="123"/>
      <c r="G69" s="123"/>
      <c r="H69" s="123"/>
      <c r="I69" s="123"/>
      <c r="J69" s="123"/>
      <c r="K69" s="123"/>
      <c r="L69" s="123"/>
      <c r="M69" s="123"/>
      <c r="N69" s="123"/>
      <c r="O69" s="123"/>
      <c r="P69" s="123"/>
      <c r="Q69" s="123"/>
      <c r="R69" s="123"/>
      <c r="S69" s="123"/>
      <c r="T69" s="123"/>
      <c r="U69" s="123"/>
    </row>
    <row r="70" spans="1:21" ht="18" customHeight="1" x14ac:dyDescent="0.15">
      <c r="B70" s="104" t="s">
        <v>52</v>
      </c>
      <c r="C70" s="105"/>
      <c r="D70" s="105"/>
      <c r="E70" s="105"/>
      <c r="F70" s="50" t="s">
        <v>78</v>
      </c>
      <c r="G70" s="49" t="s">
        <v>81</v>
      </c>
      <c r="H70" s="16" t="s">
        <v>93</v>
      </c>
      <c r="I70" s="16" t="s">
        <v>73</v>
      </c>
      <c r="J70" s="16" t="s">
        <v>74</v>
      </c>
      <c r="K70" s="104" t="s">
        <v>52</v>
      </c>
      <c r="L70" s="105"/>
      <c r="M70" s="105"/>
      <c r="N70" s="105"/>
      <c r="O70" s="105"/>
      <c r="P70" s="106"/>
      <c r="Q70" s="50" t="s">
        <v>78</v>
      </c>
      <c r="R70" s="49" t="s">
        <v>81</v>
      </c>
      <c r="S70" s="16" t="s">
        <v>93</v>
      </c>
      <c r="T70" s="16" t="s">
        <v>73</v>
      </c>
      <c r="U70" s="16" t="s">
        <v>74</v>
      </c>
    </row>
    <row r="71" spans="1:21" ht="18" customHeight="1" x14ac:dyDescent="0.15">
      <c r="A71" s="3"/>
      <c r="B71" s="156" t="s">
        <v>137</v>
      </c>
      <c r="C71" s="157"/>
      <c r="D71" s="157"/>
      <c r="E71" s="158"/>
      <c r="F71" s="17">
        <v>2</v>
      </c>
      <c r="G71" s="17" t="s">
        <v>138</v>
      </c>
      <c r="H71" s="85" t="s">
        <v>138</v>
      </c>
      <c r="I71" s="85" t="s">
        <v>138</v>
      </c>
      <c r="J71" s="17" t="s">
        <v>138</v>
      </c>
      <c r="K71" s="120"/>
      <c r="L71" s="121"/>
      <c r="M71" s="121"/>
      <c r="N71" s="121"/>
      <c r="O71" s="121"/>
      <c r="P71" s="122"/>
      <c r="Q71" s="17"/>
      <c r="R71" s="17"/>
      <c r="S71" s="17"/>
      <c r="T71" s="17"/>
      <c r="U71" s="17"/>
    </row>
    <row r="72" spans="1:21" ht="18" customHeight="1" x14ac:dyDescent="0.15">
      <c r="A72" s="3"/>
      <c r="B72" s="159" t="s">
        <v>141</v>
      </c>
      <c r="C72" s="160"/>
      <c r="D72" s="160"/>
      <c r="E72" s="161"/>
      <c r="F72" s="18">
        <v>2</v>
      </c>
      <c r="G72" s="18" t="s">
        <v>138</v>
      </c>
      <c r="H72" s="18" t="s">
        <v>138</v>
      </c>
      <c r="I72" s="18" t="s">
        <v>138</v>
      </c>
      <c r="J72" s="86" t="s">
        <v>138</v>
      </c>
      <c r="K72" s="114"/>
      <c r="L72" s="115"/>
      <c r="M72" s="115"/>
      <c r="N72" s="115"/>
      <c r="O72" s="115"/>
      <c r="P72" s="116"/>
      <c r="Q72" s="18"/>
      <c r="R72" s="18"/>
      <c r="S72" s="18"/>
      <c r="T72" s="18"/>
      <c r="U72" s="18"/>
    </row>
    <row r="73" spans="1:21" ht="18" customHeight="1" x14ac:dyDescent="0.15">
      <c r="A73" s="3"/>
      <c r="B73" s="114"/>
      <c r="C73" s="115"/>
      <c r="D73" s="115"/>
      <c r="E73" s="115"/>
      <c r="F73" s="18"/>
      <c r="G73" s="18"/>
      <c r="H73" s="18"/>
      <c r="I73" s="18"/>
      <c r="J73" s="18"/>
      <c r="K73" s="114"/>
      <c r="L73" s="115"/>
      <c r="M73" s="115"/>
      <c r="N73" s="115"/>
      <c r="O73" s="115"/>
      <c r="P73" s="116"/>
      <c r="Q73" s="18"/>
      <c r="R73" s="18"/>
      <c r="S73" s="18"/>
      <c r="T73" s="18"/>
      <c r="U73" s="18"/>
    </row>
    <row r="74" spans="1:21" ht="18" customHeight="1" x14ac:dyDescent="0.15">
      <c r="A74" s="3"/>
      <c r="B74" s="114"/>
      <c r="C74" s="115"/>
      <c r="D74" s="115"/>
      <c r="E74" s="115"/>
      <c r="F74" s="18"/>
      <c r="G74" s="18"/>
      <c r="H74" s="18"/>
      <c r="I74" s="18"/>
      <c r="J74" s="18"/>
      <c r="K74" s="114"/>
      <c r="L74" s="115"/>
      <c r="M74" s="115"/>
      <c r="N74" s="115"/>
      <c r="O74" s="115"/>
      <c r="P74" s="116"/>
      <c r="Q74" s="18"/>
      <c r="R74" s="18"/>
      <c r="S74" s="18"/>
      <c r="T74" s="18"/>
      <c r="U74" s="18"/>
    </row>
    <row r="75" spans="1:21" ht="18" customHeight="1" x14ac:dyDescent="0.15">
      <c r="A75" s="3"/>
      <c r="B75" s="114"/>
      <c r="C75" s="115"/>
      <c r="D75" s="115"/>
      <c r="E75" s="115"/>
      <c r="F75" s="18"/>
      <c r="G75" s="18"/>
      <c r="H75" s="18"/>
      <c r="I75" s="18"/>
      <c r="J75" s="18"/>
      <c r="K75" s="114"/>
      <c r="L75" s="115"/>
      <c r="M75" s="115"/>
      <c r="N75" s="115"/>
      <c r="O75" s="115"/>
      <c r="P75" s="116"/>
      <c r="Q75" s="18"/>
      <c r="R75" s="18"/>
      <c r="S75" s="18"/>
      <c r="T75" s="18"/>
      <c r="U75" s="18"/>
    </row>
    <row r="76" spans="1:21" ht="18" customHeight="1" x14ac:dyDescent="0.15">
      <c r="A76" s="3"/>
      <c r="B76" s="114"/>
      <c r="C76" s="115"/>
      <c r="D76" s="115"/>
      <c r="E76" s="115"/>
      <c r="F76" s="18"/>
      <c r="G76" s="18"/>
      <c r="H76" s="18"/>
      <c r="I76" s="18"/>
      <c r="J76" s="18"/>
      <c r="K76" s="114"/>
      <c r="L76" s="115"/>
      <c r="M76" s="115"/>
      <c r="N76" s="115"/>
      <c r="O76" s="115"/>
      <c r="P76" s="116"/>
      <c r="Q76" s="18"/>
      <c r="R76" s="18"/>
      <c r="S76" s="18"/>
      <c r="T76" s="18"/>
      <c r="U76" s="18"/>
    </row>
    <row r="77" spans="1:21" ht="18" customHeight="1" x14ac:dyDescent="0.15">
      <c r="A77" s="3"/>
      <c r="B77" s="117"/>
      <c r="C77" s="118"/>
      <c r="D77" s="118"/>
      <c r="E77" s="118"/>
      <c r="F77" s="19"/>
      <c r="G77" s="19"/>
      <c r="H77" s="20"/>
      <c r="I77" s="20"/>
      <c r="J77" s="20"/>
      <c r="K77" s="117"/>
      <c r="L77" s="118"/>
      <c r="M77" s="118"/>
      <c r="N77" s="118"/>
      <c r="O77" s="118"/>
      <c r="P77" s="119"/>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04" t="s">
        <v>52</v>
      </c>
      <c r="C80" s="105"/>
      <c r="D80" s="105"/>
      <c r="E80" s="105"/>
      <c r="F80" s="106"/>
      <c r="G80" s="104" t="s">
        <v>79</v>
      </c>
      <c r="H80" s="105"/>
      <c r="I80" s="105"/>
      <c r="J80" s="106"/>
      <c r="K80" s="153" t="s">
        <v>52</v>
      </c>
      <c r="L80" s="154"/>
      <c r="M80" s="154"/>
      <c r="N80" s="154"/>
      <c r="O80" s="154"/>
      <c r="P80" s="154"/>
      <c r="Q80" s="155"/>
      <c r="R80" s="104" t="s">
        <v>79</v>
      </c>
      <c r="S80" s="105"/>
      <c r="T80" s="105"/>
      <c r="U80" s="106"/>
    </row>
    <row r="81" spans="1:21" ht="18" customHeight="1" x14ac:dyDescent="0.15">
      <c r="A81" s="3"/>
      <c r="B81" s="120" t="s">
        <v>142</v>
      </c>
      <c r="C81" s="121"/>
      <c r="D81" s="121"/>
      <c r="E81" s="121"/>
      <c r="F81" s="122"/>
      <c r="G81" s="162" t="s">
        <v>143</v>
      </c>
      <c r="H81" s="163"/>
      <c r="I81" s="163"/>
      <c r="J81" s="164"/>
      <c r="K81" s="120"/>
      <c r="L81" s="121"/>
      <c r="M81" s="121"/>
      <c r="N81" s="121"/>
      <c r="O81" s="121"/>
      <c r="P81" s="121"/>
      <c r="Q81" s="122"/>
      <c r="R81" s="162"/>
      <c r="S81" s="163"/>
      <c r="T81" s="163"/>
      <c r="U81" s="164"/>
    </row>
    <row r="82" spans="1:21" ht="18" customHeight="1" x14ac:dyDescent="0.15">
      <c r="A82" s="3"/>
      <c r="B82" s="114" t="s">
        <v>142</v>
      </c>
      <c r="C82" s="115"/>
      <c r="D82" s="115"/>
      <c r="E82" s="115"/>
      <c r="F82" s="116"/>
      <c r="G82" s="145" t="s">
        <v>144</v>
      </c>
      <c r="H82" s="146"/>
      <c r="I82" s="146"/>
      <c r="J82" s="147"/>
      <c r="K82" s="114"/>
      <c r="L82" s="115"/>
      <c r="M82" s="115"/>
      <c r="N82" s="115"/>
      <c r="O82" s="115"/>
      <c r="P82" s="115"/>
      <c r="Q82" s="116"/>
      <c r="R82" s="145"/>
      <c r="S82" s="146"/>
      <c r="T82" s="146"/>
      <c r="U82" s="147"/>
    </row>
    <row r="83" spans="1:21" ht="18" customHeight="1" x14ac:dyDescent="0.15">
      <c r="A83" s="3"/>
      <c r="B83" s="114" t="s">
        <v>142</v>
      </c>
      <c r="C83" s="115"/>
      <c r="D83" s="115"/>
      <c r="E83" s="115"/>
      <c r="F83" s="116"/>
      <c r="G83" s="145" t="s">
        <v>145</v>
      </c>
      <c r="H83" s="146"/>
      <c r="I83" s="146"/>
      <c r="J83" s="147"/>
      <c r="K83" s="114"/>
      <c r="L83" s="115"/>
      <c r="M83" s="115"/>
      <c r="N83" s="115"/>
      <c r="O83" s="115"/>
      <c r="P83" s="115"/>
      <c r="Q83" s="116"/>
      <c r="R83" s="145"/>
      <c r="S83" s="146"/>
      <c r="T83" s="146"/>
      <c r="U83" s="147"/>
    </row>
    <row r="84" spans="1:21" ht="18" customHeight="1" x14ac:dyDescent="0.15">
      <c r="A84" s="3"/>
      <c r="B84" s="114" t="s">
        <v>142</v>
      </c>
      <c r="C84" s="115"/>
      <c r="D84" s="115"/>
      <c r="E84" s="115"/>
      <c r="F84" s="116"/>
      <c r="G84" s="145" t="s">
        <v>146</v>
      </c>
      <c r="H84" s="146"/>
      <c r="I84" s="146"/>
      <c r="J84" s="147"/>
      <c r="K84" s="114"/>
      <c r="L84" s="115"/>
      <c r="M84" s="115"/>
      <c r="N84" s="115"/>
      <c r="O84" s="115"/>
      <c r="P84" s="115"/>
      <c r="Q84" s="116"/>
      <c r="R84" s="145"/>
      <c r="S84" s="146"/>
      <c r="T84" s="146"/>
      <c r="U84" s="147"/>
    </row>
    <row r="85" spans="1:21" ht="18" customHeight="1" x14ac:dyDescent="0.15">
      <c r="A85" s="3"/>
      <c r="B85" s="114"/>
      <c r="C85" s="115"/>
      <c r="D85" s="115"/>
      <c r="E85" s="115"/>
      <c r="F85" s="116"/>
      <c r="G85" s="145"/>
      <c r="H85" s="146"/>
      <c r="I85" s="146"/>
      <c r="J85" s="147"/>
      <c r="K85" s="114"/>
      <c r="L85" s="115"/>
      <c r="M85" s="115"/>
      <c r="N85" s="115"/>
      <c r="O85" s="115"/>
      <c r="P85" s="115"/>
      <c r="Q85" s="116"/>
      <c r="R85" s="145"/>
      <c r="S85" s="146"/>
      <c r="T85" s="146"/>
      <c r="U85" s="147"/>
    </row>
    <row r="86" spans="1:21" ht="18" customHeight="1" x14ac:dyDescent="0.15">
      <c r="A86" s="3"/>
      <c r="B86" s="114"/>
      <c r="C86" s="115"/>
      <c r="D86" s="115"/>
      <c r="E86" s="115"/>
      <c r="F86" s="116"/>
      <c r="G86" s="145"/>
      <c r="H86" s="146"/>
      <c r="I86" s="146"/>
      <c r="J86" s="147"/>
      <c r="K86" s="114"/>
      <c r="L86" s="115"/>
      <c r="M86" s="115"/>
      <c r="N86" s="115"/>
      <c r="O86" s="115"/>
      <c r="P86" s="115"/>
      <c r="Q86" s="116"/>
      <c r="R86" s="145"/>
      <c r="S86" s="146"/>
      <c r="T86" s="146"/>
      <c r="U86" s="147"/>
    </row>
    <row r="87" spans="1:21" ht="18" customHeight="1" x14ac:dyDescent="0.15">
      <c r="A87" s="3"/>
      <c r="B87" s="117"/>
      <c r="C87" s="118"/>
      <c r="D87" s="118"/>
      <c r="E87" s="118"/>
      <c r="F87" s="119"/>
      <c r="G87" s="142"/>
      <c r="H87" s="143"/>
      <c r="I87" s="143"/>
      <c r="J87" s="144"/>
      <c r="K87" s="117"/>
      <c r="L87" s="118"/>
      <c r="M87" s="118"/>
      <c r="N87" s="118"/>
      <c r="O87" s="118"/>
      <c r="P87" s="118"/>
      <c r="Q87" s="119"/>
      <c r="R87" s="142"/>
      <c r="S87" s="143"/>
      <c r="T87" s="143"/>
      <c r="U87" s="144"/>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108</v>
      </c>
    </row>
    <row r="90" spans="1:21" ht="18.75" customHeight="1" x14ac:dyDescent="0.15">
      <c r="B90" s="151" t="s">
        <v>53</v>
      </c>
      <c r="C90" s="152"/>
      <c r="D90" s="104" t="s">
        <v>54</v>
      </c>
      <c r="E90" s="105"/>
      <c r="F90" s="105"/>
      <c r="G90" s="105"/>
      <c r="H90" s="105"/>
      <c r="I90" s="105"/>
      <c r="J90" s="105"/>
      <c r="K90" s="105"/>
      <c r="L90" s="105"/>
      <c r="M90" s="105"/>
      <c r="N90" s="105"/>
      <c r="O90" s="105"/>
      <c r="P90" s="105"/>
      <c r="Q90" s="105"/>
      <c r="R90" s="105"/>
      <c r="S90" s="105"/>
      <c r="T90" s="105"/>
      <c r="U90" s="106"/>
    </row>
    <row r="91" spans="1:21" ht="97.5" customHeight="1" x14ac:dyDescent="0.15">
      <c r="B91" s="148" t="s">
        <v>60</v>
      </c>
      <c r="C91" s="22" t="s">
        <v>55</v>
      </c>
      <c r="D91" s="92" t="s">
        <v>163</v>
      </c>
      <c r="E91" s="93"/>
      <c r="F91" s="93"/>
      <c r="G91" s="93"/>
      <c r="H91" s="93"/>
      <c r="I91" s="93"/>
      <c r="J91" s="93"/>
      <c r="K91" s="93"/>
      <c r="L91" s="93"/>
      <c r="M91" s="93"/>
      <c r="N91" s="93"/>
      <c r="O91" s="93"/>
      <c r="P91" s="93"/>
      <c r="Q91" s="93"/>
      <c r="R91" s="93"/>
      <c r="S91" s="93"/>
      <c r="T91" s="93"/>
      <c r="U91" s="94"/>
    </row>
    <row r="92" spans="1:21" ht="97.5" customHeight="1" x14ac:dyDescent="0.15">
      <c r="B92" s="149"/>
      <c r="C92" s="23" t="s">
        <v>75</v>
      </c>
      <c r="D92" s="89" t="s">
        <v>164</v>
      </c>
      <c r="E92" s="90"/>
      <c r="F92" s="90"/>
      <c r="G92" s="90"/>
      <c r="H92" s="90"/>
      <c r="I92" s="90"/>
      <c r="J92" s="90"/>
      <c r="K92" s="90"/>
      <c r="L92" s="90"/>
      <c r="M92" s="90"/>
      <c r="N92" s="90"/>
      <c r="O92" s="90"/>
      <c r="P92" s="90"/>
      <c r="Q92" s="90"/>
      <c r="R92" s="90"/>
      <c r="S92" s="90"/>
      <c r="T92" s="90"/>
      <c r="U92" s="91"/>
    </row>
    <row r="93" spans="1:21" ht="97.5" customHeight="1" x14ac:dyDescent="0.15">
      <c r="B93" s="148" t="s">
        <v>61</v>
      </c>
      <c r="C93" s="24" t="s">
        <v>69</v>
      </c>
      <c r="D93" s="92" t="s">
        <v>147</v>
      </c>
      <c r="E93" s="93"/>
      <c r="F93" s="93"/>
      <c r="G93" s="93"/>
      <c r="H93" s="93"/>
      <c r="I93" s="93"/>
      <c r="J93" s="93"/>
      <c r="K93" s="93"/>
      <c r="L93" s="93"/>
      <c r="M93" s="93"/>
      <c r="N93" s="93"/>
      <c r="O93" s="93"/>
      <c r="P93" s="93"/>
      <c r="Q93" s="93"/>
      <c r="R93" s="93"/>
      <c r="S93" s="93"/>
      <c r="T93" s="93"/>
      <c r="U93" s="94"/>
    </row>
    <row r="94" spans="1:21" ht="97.5" customHeight="1" x14ac:dyDescent="0.15">
      <c r="B94" s="150"/>
      <c r="C94" s="25" t="s">
        <v>70</v>
      </c>
      <c r="D94" s="89" t="s">
        <v>148</v>
      </c>
      <c r="E94" s="90"/>
      <c r="F94" s="90"/>
      <c r="G94" s="90"/>
      <c r="H94" s="90"/>
      <c r="I94" s="90"/>
      <c r="J94" s="90"/>
      <c r="K94" s="90"/>
      <c r="L94" s="90"/>
      <c r="M94" s="90"/>
      <c r="N94" s="90"/>
      <c r="O94" s="90"/>
      <c r="P94" s="90"/>
      <c r="Q94" s="90"/>
      <c r="R94" s="90"/>
      <c r="S94" s="90"/>
      <c r="T94" s="90"/>
      <c r="U94" s="91"/>
    </row>
    <row r="95" spans="1:21" ht="97.5" customHeight="1" x14ac:dyDescent="0.15">
      <c r="B95" s="148" t="s">
        <v>62</v>
      </c>
      <c r="C95" s="24" t="s">
        <v>71</v>
      </c>
      <c r="D95" s="92" t="s">
        <v>149</v>
      </c>
      <c r="E95" s="93"/>
      <c r="F95" s="93"/>
      <c r="G95" s="93"/>
      <c r="H95" s="93"/>
      <c r="I95" s="93"/>
      <c r="J95" s="93"/>
      <c r="K95" s="93"/>
      <c r="L95" s="93"/>
      <c r="M95" s="93"/>
      <c r="N95" s="93"/>
      <c r="O95" s="93"/>
      <c r="P95" s="93"/>
      <c r="Q95" s="93"/>
      <c r="R95" s="93"/>
      <c r="S95" s="93"/>
      <c r="T95" s="93"/>
      <c r="U95" s="94"/>
    </row>
    <row r="96" spans="1:21" ht="97.5" customHeight="1" x14ac:dyDescent="0.15">
      <c r="B96" s="150"/>
      <c r="C96" s="26" t="s">
        <v>72</v>
      </c>
      <c r="D96" s="107" t="s">
        <v>150</v>
      </c>
      <c r="E96" s="90"/>
      <c r="F96" s="90"/>
      <c r="G96" s="90"/>
      <c r="H96" s="90"/>
      <c r="I96" s="90"/>
      <c r="J96" s="90"/>
      <c r="K96" s="90"/>
      <c r="L96" s="90"/>
      <c r="M96" s="90"/>
      <c r="N96" s="90"/>
      <c r="O96" s="90"/>
      <c r="P96" s="90"/>
      <c r="Q96" s="90"/>
      <c r="R96" s="90"/>
      <c r="S96" s="90"/>
      <c r="T96" s="90"/>
      <c r="U96" s="91"/>
    </row>
    <row r="97" spans="1:33" ht="97.5" customHeight="1" x14ac:dyDescent="0.15">
      <c r="B97" s="148" t="s">
        <v>76</v>
      </c>
      <c r="C97" s="22" t="s">
        <v>57</v>
      </c>
      <c r="D97" s="92" t="s">
        <v>151</v>
      </c>
      <c r="E97" s="93"/>
      <c r="F97" s="93"/>
      <c r="G97" s="93"/>
      <c r="H97" s="93"/>
      <c r="I97" s="93"/>
      <c r="J97" s="93"/>
      <c r="K97" s="93"/>
      <c r="L97" s="93"/>
      <c r="M97" s="93"/>
      <c r="N97" s="93"/>
      <c r="O97" s="93"/>
      <c r="P97" s="93"/>
      <c r="Q97" s="93"/>
      <c r="R97" s="93"/>
      <c r="S97" s="93"/>
      <c r="T97" s="93"/>
      <c r="U97" s="94"/>
    </row>
    <row r="98" spans="1:33" ht="97.5" customHeight="1" x14ac:dyDescent="0.15">
      <c r="B98" s="150"/>
      <c r="C98" s="25" t="s">
        <v>59</v>
      </c>
      <c r="D98" s="89" t="s">
        <v>152</v>
      </c>
      <c r="E98" s="90"/>
      <c r="F98" s="90"/>
      <c r="G98" s="90"/>
      <c r="H98" s="90"/>
      <c r="I98" s="90"/>
      <c r="J98" s="90"/>
      <c r="K98" s="90"/>
      <c r="L98" s="90"/>
      <c r="M98" s="90"/>
      <c r="N98" s="90"/>
      <c r="O98" s="90"/>
      <c r="P98" s="90"/>
      <c r="Q98" s="90"/>
      <c r="R98" s="90"/>
      <c r="S98" s="90"/>
      <c r="T98" s="90"/>
      <c r="U98" s="91"/>
    </row>
    <row r="99" spans="1:33" ht="97.5" customHeight="1" x14ac:dyDescent="0.15">
      <c r="B99" s="148" t="s">
        <v>77</v>
      </c>
      <c r="C99" s="24" t="s">
        <v>56</v>
      </c>
      <c r="D99" s="92" t="s">
        <v>153</v>
      </c>
      <c r="E99" s="93"/>
      <c r="F99" s="93"/>
      <c r="G99" s="93"/>
      <c r="H99" s="93"/>
      <c r="I99" s="93"/>
      <c r="J99" s="93"/>
      <c r="K99" s="93"/>
      <c r="L99" s="93"/>
      <c r="M99" s="93"/>
      <c r="N99" s="93"/>
      <c r="O99" s="93"/>
      <c r="P99" s="93"/>
      <c r="Q99" s="93"/>
      <c r="R99" s="93"/>
      <c r="S99" s="93"/>
      <c r="T99" s="93"/>
      <c r="U99" s="94"/>
    </row>
    <row r="100" spans="1:33" ht="97.5" customHeight="1" x14ac:dyDescent="0.15">
      <c r="B100" s="149"/>
      <c r="C100" s="27" t="s">
        <v>73</v>
      </c>
      <c r="D100" s="95" t="s">
        <v>154</v>
      </c>
      <c r="E100" s="96"/>
      <c r="F100" s="96"/>
      <c r="G100" s="96"/>
      <c r="H100" s="96"/>
      <c r="I100" s="96"/>
      <c r="J100" s="96"/>
      <c r="K100" s="96"/>
      <c r="L100" s="96"/>
      <c r="M100" s="96"/>
      <c r="N100" s="96"/>
      <c r="O100" s="96"/>
      <c r="P100" s="96"/>
      <c r="Q100" s="96"/>
      <c r="R100" s="96"/>
      <c r="S100" s="96"/>
      <c r="T100" s="96"/>
      <c r="U100" s="97"/>
    </row>
    <row r="101" spans="1:33" ht="97.5" customHeight="1" x14ac:dyDescent="0.15">
      <c r="B101" s="150"/>
      <c r="C101" s="26" t="s">
        <v>74</v>
      </c>
      <c r="D101" s="89" t="s">
        <v>155</v>
      </c>
      <c r="E101" s="90"/>
      <c r="F101" s="90"/>
      <c r="G101" s="90"/>
      <c r="H101" s="90"/>
      <c r="I101" s="90"/>
      <c r="J101" s="90"/>
      <c r="K101" s="90"/>
      <c r="L101" s="90"/>
      <c r="M101" s="90"/>
      <c r="N101" s="90"/>
      <c r="O101" s="90"/>
      <c r="P101" s="90"/>
      <c r="Q101" s="90"/>
      <c r="R101" s="90"/>
      <c r="S101" s="90"/>
      <c r="T101" s="90"/>
      <c r="U101" s="91"/>
    </row>
    <row r="102" spans="1:33" ht="6" customHeight="1" x14ac:dyDescent="0.15"/>
    <row r="103" spans="1:33" ht="18.75" customHeight="1" x14ac:dyDescent="0.15">
      <c r="A103" s="1" t="s">
        <v>109</v>
      </c>
    </row>
    <row r="104" spans="1:33" ht="81.75" customHeight="1" x14ac:dyDescent="0.15">
      <c r="B104" s="139" t="s">
        <v>156</v>
      </c>
      <c r="C104" s="140"/>
      <c r="D104" s="140"/>
      <c r="E104" s="140"/>
      <c r="F104" s="140"/>
      <c r="G104" s="140"/>
      <c r="H104" s="140"/>
      <c r="I104" s="140"/>
      <c r="J104" s="140"/>
      <c r="K104" s="140"/>
      <c r="L104" s="140"/>
      <c r="M104" s="140"/>
      <c r="N104" s="140"/>
      <c r="O104" s="140"/>
      <c r="P104" s="140"/>
      <c r="Q104" s="140"/>
      <c r="R104" s="140"/>
      <c r="S104" s="140"/>
      <c r="T104" s="140"/>
      <c r="U104" s="141"/>
    </row>
    <row r="106" spans="1:33" ht="18.75" customHeight="1" x14ac:dyDescent="0.15">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88" t="s">
        <v>168</v>
      </c>
      <c r="C108" s="88"/>
      <c r="D108" s="88"/>
      <c r="E108" s="88"/>
      <c r="F108" s="88"/>
      <c r="G108" s="88"/>
      <c r="H108" s="88"/>
      <c r="I108" s="88"/>
      <c r="J108" s="88"/>
      <c r="K108" s="88"/>
      <c r="L108" s="88"/>
      <c r="M108" s="88"/>
      <c r="N108" s="88"/>
      <c r="O108" s="88"/>
      <c r="P108" s="88"/>
      <c r="Q108" s="88"/>
      <c r="R108" s="88"/>
      <c r="S108" s="88"/>
      <c r="T108" s="88"/>
      <c r="U108" s="88"/>
      <c r="V108" s="69"/>
      <c r="W108" s="69"/>
      <c r="X108" s="69"/>
      <c r="Y108" s="69"/>
      <c r="Z108" s="69"/>
      <c r="AA108" s="69"/>
      <c r="AB108" s="69"/>
      <c r="AC108" s="69"/>
      <c r="AD108" s="69"/>
      <c r="AE108" s="69"/>
      <c r="AF108" s="69"/>
      <c r="AG108" s="69"/>
    </row>
    <row r="109" spans="1:33" ht="37.15" customHeight="1" x14ac:dyDescent="0.15">
      <c r="A109" s="73"/>
      <c r="B109" s="88"/>
      <c r="C109" s="88"/>
      <c r="D109" s="88"/>
      <c r="E109" s="88"/>
      <c r="F109" s="88"/>
      <c r="G109" s="88"/>
      <c r="H109" s="88"/>
      <c r="I109" s="88"/>
      <c r="J109" s="88"/>
      <c r="K109" s="88"/>
      <c r="L109" s="88"/>
      <c r="M109" s="88"/>
      <c r="N109" s="88"/>
      <c r="O109" s="88"/>
      <c r="P109" s="88"/>
      <c r="Q109" s="88"/>
      <c r="R109" s="88"/>
      <c r="S109" s="88"/>
      <c r="T109" s="88"/>
      <c r="U109" s="88"/>
      <c r="V109" s="69"/>
      <c r="W109" s="69"/>
      <c r="X109" s="69"/>
      <c r="Y109" s="69"/>
      <c r="Z109" s="69"/>
      <c r="AA109" s="69"/>
      <c r="AB109" s="69"/>
      <c r="AC109" s="69"/>
      <c r="AD109" s="69"/>
      <c r="AE109" s="69"/>
      <c r="AF109" s="69"/>
      <c r="AG109" s="69"/>
    </row>
    <row r="110" spans="1:33" ht="18.75" customHeight="1" x14ac:dyDescent="0.15">
      <c r="A110" s="73"/>
      <c r="B110" s="165" t="s">
        <v>126</v>
      </c>
      <c r="C110" s="165"/>
      <c r="D110" s="165"/>
      <c r="E110" s="165"/>
      <c r="F110" s="165"/>
      <c r="G110" s="165"/>
      <c r="H110" s="165"/>
      <c r="I110" s="165"/>
      <c r="J110" s="165"/>
      <c r="K110" s="165"/>
      <c r="L110" s="165"/>
      <c r="M110" s="165"/>
      <c r="N110" s="165"/>
      <c r="O110" s="165"/>
      <c r="P110" s="165"/>
      <c r="Q110" s="165"/>
      <c r="R110" s="165"/>
      <c r="S110" s="165"/>
      <c r="T110" s="165"/>
      <c r="U110" s="165"/>
      <c r="V110" s="69"/>
      <c r="W110" s="69"/>
      <c r="X110" s="69"/>
      <c r="Y110" s="69"/>
      <c r="Z110" s="69"/>
      <c r="AA110" s="69"/>
      <c r="AB110" s="69"/>
      <c r="AC110" s="69"/>
      <c r="AD110" s="69"/>
      <c r="AE110" s="69"/>
      <c r="AF110" s="69"/>
      <c r="AG110" s="69"/>
    </row>
    <row r="111" spans="1:33" ht="18.75" customHeight="1" x14ac:dyDescent="0.15">
      <c r="A111" s="73"/>
      <c r="B111" s="166" t="s">
        <v>54</v>
      </c>
      <c r="C111" s="166"/>
      <c r="D111" s="166"/>
      <c r="E111" s="166"/>
      <c r="F111" s="166"/>
      <c r="G111" s="166"/>
      <c r="H111" s="166"/>
      <c r="I111" s="166"/>
      <c r="J111" s="166"/>
      <c r="K111" s="166"/>
      <c r="L111" s="166"/>
      <c r="M111" s="166"/>
      <c r="N111" s="166"/>
      <c r="O111" s="166"/>
      <c r="P111" s="166"/>
      <c r="Q111" s="166"/>
      <c r="R111" s="166"/>
      <c r="S111" s="166"/>
      <c r="T111" s="166"/>
      <c r="U111" s="166"/>
      <c r="V111" s="68"/>
      <c r="W111" s="68"/>
      <c r="X111" s="68"/>
      <c r="Y111" s="68"/>
      <c r="Z111" s="68"/>
      <c r="AA111" s="68"/>
      <c r="AB111" s="68"/>
      <c r="AC111" s="68"/>
      <c r="AD111" s="68"/>
      <c r="AE111" s="68"/>
      <c r="AF111" s="68"/>
      <c r="AG111" s="68"/>
    </row>
    <row r="112" spans="1:33" ht="132" customHeight="1" x14ac:dyDescent="0.15">
      <c r="A112" s="73"/>
      <c r="B112" s="167"/>
      <c r="C112" s="167"/>
      <c r="D112" s="167"/>
      <c r="E112" s="167"/>
      <c r="F112" s="167"/>
      <c r="G112" s="167"/>
      <c r="H112" s="167"/>
      <c r="I112" s="167"/>
      <c r="J112" s="167"/>
      <c r="K112" s="167"/>
      <c r="L112" s="167"/>
      <c r="M112" s="167"/>
      <c r="N112" s="167"/>
      <c r="O112" s="167"/>
      <c r="P112" s="167"/>
      <c r="Q112" s="167"/>
      <c r="R112" s="167"/>
      <c r="S112" s="167"/>
      <c r="T112" s="167"/>
      <c r="U112" s="167"/>
      <c r="V112" s="70"/>
      <c r="W112" s="70"/>
      <c r="X112" s="70"/>
      <c r="Y112" s="70"/>
      <c r="Z112" s="70"/>
      <c r="AA112" s="70"/>
      <c r="AB112" s="70"/>
      <c r="AC112" s="70"/>
      <c r="AD112" s="70"/>
      <c r="AE112" s="70"/>
      <c r="AF112" s="70"/>
      <c r="AG112" s="70"/>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H60:J66 J71:J77 G73:I77 G71:J72"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S85:U88 R81:R88 S81:U82 H85:J88 G81:G88 H81:J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4"/>
      <c r="B1" s="74"/>
      <c r="C1" s="74"/>
      <c r="D1" s="74"/>
      <c r="E1" s="74"/>
      <c r="F1" s="74"/>
      <c r="G1" s="74"/>
      <c r="H1" s="74"/>
      <c r="I1" s="74"/>
      <c r="J1" s="74"/>
      <c r="K1" s="74"/>
      <c r="L1" s="74"/>
      <c r="M1" s="74"/>
      <c r="N1" s="74"/>
      <c r="O1" s="74"/>
      <c r="P1" s="74"/>
      <c r="Q1" s="74"/>
      <c r="R1" s="74"/>
      <c r="S1" s="74" t="s">
        <v>98</v>
      </c>
    </row>
    <row r="2" spans="1:21" ht="18" customHeight="1" x14ac:dyDescent="0.15">
      <c r="A2" s="74"/>
      <c r="B2" s="74"/>
      <c r="C2" s="74"/>
      <c r="D2" s="74"/>
      <c r="E2" s="74"/>
      <c r="F2" s="74"/>
      <c r="G2" s="74"/>
      <c r="H2" s="74"/>
      <c r="I2" s="74"/>
      <c r="J2" s="74"/>
      <c r="K2" s="74"/>
      <c r="L2" s="74"/>
      <c r="M2" s="74"/>
      <c r="N2" s="74"/>
      <c r="O2" s="74"/>
      <c r="P2" s="74"/>
      <c r="Q2" s="169" t="str">
        <f>'様式１　プログラムを構成する授業科目'!C2</f>
        <v>名古屋経済大学</v>
      </c>
      <c r="R2" s="169"/>
      <c r="S2" s="169"/>
    </row>
    <row r="3" spans="1:21" ht="18" customHeight="1" x14ac:dyDescent="0.15">
      <c r="A3" s="128" t="s">
        <v>47</v>
      </c>
      <c r="B3" s="128"/>
      <c r="C3" s="128"/>
      <c r="D3" s="128"/>
      <c r="E3" s="128"/>
      <c r="F3" s="128"/>
      <c r="G3" s="128"/>
      <c r="H3" s="128"/>
      <c r="I3" s="128"/>
      <c r="J3" s="128"/>
      <c r="K3" s="128"/>
      <c r="L3" s="128"/>
      <c r="M3" s="128"/>
      <c r="N3" s="128"/>
      <c r="O3" s="128"/>
      <c r="P3" s="128"/>
      <c r="Q3" s="128"/>
      <c r="R3" s="128"/>
      <c r="S3" s="128"/>
    </row>
    <row r="4" spans="1:21" ht="7.5" customHeight="1" x14ac:dyDescent="0.15">
      <c r="A4" s="79"/>
      <c r="B4" s="79"/>
      <c r="C4" s="79"/>
      <c r="D4" s="79"/>
      <c r="E4" s="79"/>
      <c r="F4" s="79"/>
      <c r="G4" s="79"/>
      <c r="H4" s="79"/>
      <c r="I4" s="79"/>
      <c r="J4" s="79"/>
      <c r="K4" s="79"/>
      <c r="L4" s="79"/>
      <c r="M4" s="79"/>
      <c r="N4" s="79"/>
      <c r="O4" s="79"/>
      <c r="P4" s="79"/>
      <c r="Q4" s="79"/>
      <c r="R4" s="79"/>
      <c r="S4" s="79"/>
    </row>
    <row r="5" spans="1:21" ht="18" customHeight="1" x14ac:dyDescent="0.15">
      <c r="A5" s="74" t="s">
        <v>80</v>
      </c>
      <c r="B5" s="74"/>
      <c r="C5" s="170" t="s">
        <v>167</v>
      </c>
      <c r="D5" s="171"/>
      <c r="E5" s="79" t="s">
        <v>51</v>
      </c>
      <c r="F5" s="79"/>
      <c r="G5" s="79"/>
      <c r="H5" s="79"/>
      <c r="I5" s="79"/>
      <c r="J5" s="79"/>
      <c r="K5" s="79"/>
      <c r="L5" s="79"/>
      <c r="M5" s="79"/>
      <c r="N5" s="79"/>
      <c r="O5" s="79"/>
      <c r="P5" s="79"/>
      <c r="Q5" s="79"/>
      <c r="R5" s="77"/>
      <c r="S5" s="77"/>
    </row>
    <row r="6" spans="1:21" ht="7.15" customHeight="1" x14ac:dyDescent="0.15">
      <c r="A6" s="74"/>
      <c r="B6" s="74"/>
      <c r="C6" s="84"/>
      <c r="D6" s="84"/>
      <c r="E6" s="79"/>
      <c r="F6" s="79"/>
      <c r="G6" s="79"/>
      <c r="H6" s="79"/>
      <c r="I6" s="79"/>
      <c r="J6" s="79"/>
      <c r="K6" s="79"/>
      <c r="L6" s="79"/>
      <c r="M6" s="79"/>
      <c r="N6" s="79"/>
      <c r="O6" s="79"/>
      <c r="P6" s="79"/>
      <c r="Q6" s="79"/>
      <c r="R6" s="77"/>
      <c r="S6" s="77"/>
    </row>
    <row r="7" spans="1:21" ht="18" customHeight="1" x14ac:dyDescent="0.15">
      <c r="A7" s="74" t="s">
        <v>118</v>
      </c>
      <c r="B7" s="74"/>
      <c r="C7" s="84"/>
      <c r="D7" s="84"/>
      <c r="E7" s="79" t="s">
        <v>119</v>
      </c>
      <c r="F7" s="82">
        <v>1676</v>
      </c>
      <c r="G7" s="80" t="s">
        <v>120</v>
      </c>
      <c r="H7" s="79" t="s">
        <v>121</v>
      </c>
      <c r="I7" s="82">
        <v>677</v>
      </c>
      <c r="J7" s="80" t="s">
        <v>120</v>
      </c>
      <c r="K7" s="75" t="s">
        <v>122</v>
      </c>
      <c r="L7" s="79" t="s">
        <v>123</v>
      </c>
      <c r="M7" s="82">
        <f>F7+I7</f>
        <v>2353</v>
      </c>
      <c r="N7" s="79" t="s">
        <v>1</v>
      </c>
      <c r="O7" s="80" t="s">
        <v>124</v>
      </c>
      <c r="P7" s="79"/>
      <c r="Q7" s="79"/>
      <c r="R7" s="77"/>
      <c r="S7" s="77"/>
    </row>
    <row r="8" spans="1:21" ht="6" customHeight="1" x14ac:dyDescent="0.15">
      <c r="A8" s="79"/>
      <c r="B8" s="79"/>
      <c r="C8" s="79"/>
      <c r="D8" s="79"/>
      <c r="E8" s="79"/>
      <c r="F8" s="79"/>
      <c r="G8" s="79"/>
      <c r="H8" s="79"/>
      <c r="I8" s="79"/>
      <c r="J8" s="79"/>
      <c r="K8" s="79"/>
      <c r="L8" s="79"/>
      <c r="M8" s="79"/>
      <c r="N8" s="79"/>
      <c r="O8" s="79"/>
      <c r="P8" s="79"/>
      <c r="Q8" s="79"/>
      <c r="R8" s="79"/>
      <c r="S8" s="79"/>
    </row>
    <row r="9" spans="1:21" ht="18" customHeight="1" x14ac:dyDescent="0.15">
      <c r="A9" s="74" t="s">
        <v>133</v>
      </c>
      <c r="B9" s="79"/>
      <c r="C9" s="79"/>
      <c r="D9" s="79"/>
      <c r="E9" s="79"/>
      <c r="F9" s="79"/>
      <c r="G9" s="79"/>
      <c r="H9" s="79"/>
      <c r="I9" s="79"/>
      <c r="J9" s="79"/>
      <c r="K9" s="79"/>
      <c r="L9" s="79"/>
      <c r="M9" s="79"/>
      <c r="N9" s="79"/>
      <c r="O9" s="79"/>
      <c r="P9" s="79"/>
      <c r="Q9" s="79"/>
      <c r="R9" s="79"/>
      <c r="S9" s="7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2" t="s">
        <v>44</v>
      </c>
      <c r="C11" s="182" t="s">
        <v>83</v>
      </c>
      <c r="D11" s="174" t="s">
        <v>46</v>
      </c>
      <c r="E11" s="176" t="s">
        <v>39</v>
      </c>
      <c r="F11" s="168" t="s">
        <v>112</v>
      </c>
      <c r="G11" s="168"/>
      <c r="H11" s="168" t="s">
        <v>82</v>
      </c>
      <c r="I11" s="168"/>
      <c r="J11" s="168" t="s">
        <v>48</v>
      </c>
      <c r="K11" s="168"/>
      <c r="L11" s="168" t="s">
        <v>49</v>
      </c>
      <c r="M11" s="168"/>
      <c r="N11" s="168" t="s">
        <v>92</v>
      </c>
      <c r="O11" s="168"/>
      <c r="P11" s="168" t="s">
        <v>50</v>
      </c>
      <c r="Q11" s="168"/>
      <c r="R11" s="178" t="s">
        <v>35</v>
      </c>
      <c r="S11" s="180" t="s">
        <v>32</v>
      </c>
      <c r="U11" s="2"/>
    </row>
    <row r="12" spans="1:21" ht="16.899999999999999" customHeight="1" x14ac:dyDescent="0.15">
      <c r="B12" s="173"/>
      <c r="C12" s="183"/>
      <c r="D12" s="175"/>
      <c r="E12" s="177"/>
      <c r="F12" s="63" t="s">
        <v>91</v>
      </c>
      <c r="G12" s="63" t="s">
        <v>29</v>
      </c>
      <c r="H12" s="63" t="s">
        <v>91</v>
      </c>
      <c r="I12" s="63" t="s">
        <v>29</v>
      </c>
      <c r="J12" s="63" t="s">
        <v>91</v>
      </c>
      <c r="K12" s="63" t="s">
        <v>29</v>
      </c>
      <c r="L12" s="63" t="s">
        <v>91</v>
      </c>
      <c r="M12" s="63" t="s">
        <v>29</v>
      </c>
      <c r="N12" s="63" t="s">
        <v>91</v>
      </c>
      <c r="O12" s="63" t="s">
        <v>29</v>
      </c>
      <c r="P12" s="63" t="s">
        <v>91</v>
      </c>
      <c r="Q12" s="64" t="s">
        <v>29</v>
      </c>
      <c r="R12" s="179"/>
      <c r="S12" s="181"/>
      <c r="U12" s="2"/>
    </row>
    <row r="13" spans="1:21" ht="18" customHeight="1" x14ac:dyDescent="0.15">
      <c r="A13" s="6"/>
      <c r="B13" s="65" t="s">
        <v>186</v>
      </c>
      <c r="C13" s="51">
        <v>646</v>
      </c>
      <c r="D13" s="52">
        <v>150</v>
      </c>
      <c r="E13" s="53">
        <v>600</v>
      </c>
      <c r="F13" s="53">
        <v>148</v>
      </c>
      <c r="G13" s="53">
        <v>63</v>
      </c>
      <c r="H13" s="53"/>
      <c r="I13" s="53"/>
      <c r="J13" s="53"/>
      <c r="K13" s="53"/>
      <c r="L13" s="53"/>
      <c r="M13" s="53"/>
      <c r="N13" s="53"/>
      <c r="O13" s="53"/>
      <c r="P13" s="53"/>
      <c r="Q13" s="66"/>
      <c r="R13" s="52">
        <f t="shared" ref="R13:R32" si="0">F13+H13+J13+L13+N13+P13</f>
        <v>148</v>
      </c>
      <c r="S13" s="87">
        <f>R13/E13</f>
        <v>0.24666666666666667</v>
      </c>
    </row>
    <row r="14" spans="1:21" ht="18" customHeight="1" x14ac:dyDescent="0.15">
      <c r="A14" s="6"/>
      <c r="B14" s="11" t="s">
        <v>187</v>
      </c>
      <c r="C14" s="54">
        <v>720</v>
      </c>
      <c r="D14" s="55">
        <v>150</v>
      </c>
      <c r="E14" s="56">
        <v>600</v>
      </c>
      <c r="F14" s="57">
        <v>213</v>
      </c>
      <c r="G14" s="57">
        <v>63</v>
      </c>
      <c r="H14" s="57"/>
      <c r="I14" s="57"/>
      <c r="J14" s="57"/>
      <c r="K14" s="57"/>
      <c r="L14" s="57"/>
      <c r="M14" s="57"/>
      <c r="N14" s="57"/>
      <c r="O14" s="57"/>
      <c r="P14" s="57"/>
      <c r="Q14" s="54"/>
      <c r="R14" s="55">
        <f t="shared" si="0"/>
        <v>213</v>
      </c>
      <c r="S14" s="8">
        <f>R14/E14</f>
        <v>0.35499999999999998</v>
      </c>
    </row>
    <row r="15" spans="1:21" ht="18" customHeight="1" x14ac:dyDescent="0.15">
      <c r="A15" s="6"/>
      <c r="B15" s="11" t="s">
        <v>188</v>
      </c>
      <c r="C15" s="54">
        <v>549</v>
      </c>
      <c r="D15" s="55">
        <v>150</v>
      </c>
      <c r="E15" s="56">
        <v>600</v>
      </c>
      <c r="F15" s="57">
        <v>110</v>
      </c>
      <c r="G15" s="57">
        <v>13</v>
      </c>
      <c r="H15" s="57"/>
      <c r="I15" s="57"/>
      <c r="J15" s="57"/>
      <c r="K15" s="57"/>
      <c r="L15" s="57"/>
      <c r="M15" s="57"/>
      <c r="N15" s="57"/>
      <c r="O15" s="57"/>
      <c r="P15" s="57"/>
      <c r="Q15" s="54"/>
      <c r="R15" s="55">
        <f t="shared" si="0"/>
        <v>110</v>
      </c>
      <c r="S15" s="8">
        <f t="shared" ref="S15:S33" si="1">R15/E15</f>
        <v>0.18333333333333332</v>
      </c>
    </row>
    <row r="16" spans="1:21" ht="18" customHeight="1" x14ac:dyDescent="0.15">
      <c r="A16" s="6"/>
      <c r="B16" s="11" t="s">
        <v>185</v>
      </c>
      <c r="C16" s="54">
        <v>438</v>
      </c>
      <c r="D16" s="55">
        <v>180</v>
      </c>
      <c r="E16" s="56">
        <v>720</v>
      </c>
      <c r="F16" s="57">
        <v>88</v>
      </c>
      <c r="G16" s="57">
        <v>30</v>
      </c>
      <c r="H16" s="57"/>
      <c r="I16" s="57"/>
      <c r="J16" s="57"/>
      <c r="K16" s="57"/>
      <c r="L16" s="57"/>
      <c r="M16" s="57"/>
      <c r="N16" s="57"/>
      <c r="O16" s="57"/>
      <c r="P16" s="57"/>
      <c r="Q16" s="54"/>
      <c r="R16" s="55">
        <f t="shared" si="0"/>
        <v>88</v>
      </c>
      <c r="S16" s="8">
        <f t="shared" si="1"/>
        <v>0.12222222222222222</v>
      </c>
    </row>
    <row r="17" spans="1:19" ht="18" customHeight="1" x14ac:dyDescent="0.15">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15">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15">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15">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15">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15">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15">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15">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15">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15">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15">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15">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15">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15">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15">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15">
      <c r="B33" s="13" t="s">
        <v>33</v>
      </c>
      <c r="C33" s="60">
        <f t="shared" ref="C33" si="2">SUM(C13:C32)</f>
        <v>2353</v>
      </c>
      <c r="D33" s="61">
        <f t="shared" ref="D33:R33" si="3">SUM(D13:D32)</f>
        <v>630</v>
      </c>
      <c r="E33" s="62">
        <f t="shared" si="3"/>
        <v>2520</v>
      </c>
      <c r="F33" s="62">
        <f t="shared" si="3"/>
        <v>559</v>
      </c>
      <c r="G33" s="62">
        <f t="shared" ref="G33:H33" si="4">SUM(G13:G32)</f>
        <v>169</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559</v>
      </c>
      <c r="S33" s="9">
        <f t="shared" si="1"/>
        <v>0.22182539682539681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63</v>
      </c>
      <c r="I1" s="29" t="s">
        <v>97</v>
      </c>
    </row>
    <row r="2" spans="1:9" ht="18.75" customHeight="1" x14ac:dyDescent="0.15">
      <c r="G2" s="29" t="s">
        <v>99</v>
      </c>
      <c r="H2" s="104" t="str">
        <f>'様式１　プログラムを構成する授業科目'!C2</f>
        <v>名古屋経済大学</v>
      </c>
      <c r="I2" s="106"/>
    </row>
    <row r="3" spans="1:9" ht="18.75" customHeight="1" x14ac:dyDescent="0.15">
      <c r="G3" s="29"/>
      <c r="H3" s="10"/>
      <c r="I3" s="10"/>
    </row>
    <row r="4" spans="1:9" ht="18.600000000000001" customHeight="1" x14ac:dyDescent="0.15">
      <c r="A4" s="212" t="s">
        <v>36</v>
      </c>
      <c r="B4" s="212"/>
      <c r="C4" s="212"/>
      <c r="D4" s="212"/>
      <c r="E4" s="212"/>
      <c r="F4" s="212"/>
      <c r="G4" s="212"/>
      <c r="H4" s="212"/>
      <c r="I4" s="212"/>
    </row>
    <row r="5" spans="1:9" ht="13.15" customHeight="1" x14ac:dyDescent="0.15">
      <c r="B5" s="3"/>
      <c r="C5" s="3"/>
      <c r="D5" s="3"/>
      <c r="E5" s="3"/>
      <c r="F5" s="3"/>
      <c r="G5" s="3"/>
      <c r="H5" s="3"/>
      <c r="I5" s="3"/>
    </row>
    <row r="6" spans="1:9" ht="18" customHeight="1" x14ac:dyDescent="0.15">
      <c r="A6" s="1" t="s">
        <v>0</v>
      </c>
      <c r="B6" s="10" t="s">
        <v>86</v>
      </c>
      <c r="C6" s="234" t="s">
        <v>87</v>
      </c>
      <c r="D6" s="234"/>
      <c r="E6" s="28">
        <v>94</v>
      </c>
      <c r="F6" s="3" t="s">
        <v>1</v>
      </c>
      <c r="G6" s="3" t="s">
        <v>2</v>
      </c>
      <c r="H6" s="28">
        <v>100</v>
      </c>
      <c r="I6" s="10" t="s">
        <v>1</v>
      </c>
    </row>
    <row r="7" spans="1:9" ht="12" customHeight="1" x14ac:dyDescent="0.15">
      <c r="C7" s="2"/>
      <c r="D7" s="2"/>
      <c r="E7" s="2"/>
      <c r="F7" s="2"/>
      <c r="G7" s="2"/>
      <c r="H7" s="2"/>
      <c r="I7" s="32"/>
    </row>
    <row r="8" spans="1:9" ht="18" customHeight="1" x14ac:dyDescent="0.15">
      <c r="A8" s="1" t="s">
        <v>3</v>
      </c>
      <c r="B8" s="10" t="s">
        <v>88</v>
      </c>
      <c r="E8" s="3"/>
      <c r="F8" s="3"/>
      <c r="G8" s="3"/>
      <c r="H8" s="28">
        <v>6</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29" t="s">
        <v>42</v>
      </c>
      <c r="C11" s="227" t="s">
        <v>181</v>
      </c>
      <c r="D11" s="230"/>
      <c r="E11" s="231"/>
      <c r="F11" s="32"/>
      <c r="G11" s="29" t="s">
        <v>10</v>
      </c>
      <c r="H11" s="232" t="s">
        <v>182</v>
      </c>
      <c r="I11" s="233"/>
    </row>
    <row r="12" spans="1:9" ht="10.15" customHeight="1" x14ac:dyDescent="0.15">
      <c r="B12" s="29"/>
      <c r="C12" s="10"/>
      <c r="D12" s="32"/>
      <c r="E12" s="32"/>
      <c r="F12" s="32"/>
      <c r="G12" s="29"/>
      <c r="H12" s="10"/>
      <c r="I12" s="32"/>
    </row>
    <row r="13" spans="1:9" ht="18" customHeight="1" x14ac:dyDescent="0.15">
      <c r="A13" s="1" t="s">
        <v>7</v>
      </c>
      <c r="B13" s="10" t="s">
        <v>84</v>
      </c>
      <c r="C13" s="3"/>
      <c r="D13" s="3"/>
      <c r="E13" s="3"/>
      <c r="F13" s="3"/>
      <c r="G13" s="3"/>
      <c r="H13" s="3"/>
      <c r="I13" s="3"/>
    </row>
    <row r="14" spans="1:9" ht="18" customHeight="1" x14ac:dyDescent="0.15">
      <c r="B14" s="227" t="s">
        <v>173</v>
      </c>
      <c r="C14" s="228"/>
      <c r="D14" s="228"/>
      <c r="E14" s="228"/>
      <c r="F14" s="228"/>
      <c r="G14" s="228"/>
      <c r="H14" s="228"/>
      <c r="I14" s="229"/>
    </row>
    <row r="15" spans="1:9" ht="9" customHeight="1" x14ac:dyDescent="0.15">
      <c r="B15" s="3"/>
      <c r="C15" s="3"/>
      <c r="D15" s="3"/>
      <c r="E15" s="3"/>
      <c r="F15" s="3"/>
      <c r="G15" s="3"/>
      <c r="H15" s="3"/>
      <c r="I15" s="3"/>
    </row>
    <row r="16" spans="1:9" ht="18" customHeight="1" x14ac:dyDescent="0.15">
      <c r="B16" s="29" t="s">
        <v>42</v>
      </c>
      <c r="C16" s="227" t="s">
        <v>170</v>
      </c>
      <c r="D16" s="230"/>
      <c r="E16" s="231"/>
      <c r="F16" s="32"/>
      <c r="G16" s="29" t="s">
        <v>10</v>
      </c>
      <c r="H16" s="227" t="s">
        <v>171</v>
      </c>
      <c r="I16" s="231"/>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3" t="s">
        <v>172</v>
      </c>
      <c r="C19" s="214"/>
      <c r="D19" s="214"/>
      <c r="E19" s="214"/>
      <c r="F19" s="214"/>
      <c r="G19" s="214"/>
      <c r="H19" s="214"/>
      <c r="I19" s="21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6" t="s">
        <v>184</v>
      </c>
      <c r="C22" s="217"/>
      <c r="D22" s="217"/>
      <c r="E22" s="217"/>
      <c r="F22" s="217"/>
      <c r="G22" s="217"/>
      <c r="H22" s="217"/>
      <c r="I22" s="218"/>
    </row>
    <row r="23" spans="1:9" ht="18.75" customHeight="1" x14ac:dyDescent="0.15">
      <c r="A23" s="14"/>
      <c r="B23" s="219"/>
      <c r="C23" s="220"/>
      <c r="D23" s="220"/>
      <c r="E23" s="220"/>
      <c r="F23" s="220"/>
      <c r="G23" s="220"/>
      <c r="H23" s="220"/>
      <c r="I23" s="221"/>
    </row>
    <row r="24" spans="1:9" ht="18.75" customHeight="1" x14ac:dyDescent="0.15">
      <c r="A24" s="14"/>
      <c r="B24" s="219"/>
      <c r="C24" s="220"/>
      <c r="D24" s="220"/>
      <c r="E24" s="220"/>
      <c r="F24" s="220"/>
      <c r="G24" s="220"/>
      <c r="H24" s="220"/>
      <c r="I24" s="221"/>
    </row>
    <row r="25" spans="1:9" ht="18.75" customHeight="1" x14ac:dyDescent="0.15">
      <c r="A25" s="14"/>
      <c r="B25" s="219"/>
      <c r="C25" s="220"/>
      <c r="D25" s="220"/>
      <c r="E25" s="220"/>
      <c r="F25" s="220"/>
      <c r="G25" s="220"/>
      <c r="H25" s="220"/>
      <c r="I25" s="221"/>
    </row>
    <row r="26" spans="1:9" ht="18.75" customHeight="1" x14ac:dyDescent="0.15">
      <c r="A26" s="14"/>
      <c r="B26" s="219"/>
      <c r="C26" s="220"/>
      <c r="D26" s="220"/>
      <c r="E26" s="220"/>
      <c r="F26" s="220"/>
      <c r="G26" s="220"/>
      <c r="H26" s="220"/>
      <c r="I26" s="221"/>
    </row>
    <row r="27" spans="1:9" ht="18.75" customHeight="1" x14ac:dyDescent="0.15">
      <c r="A27" s="14"/>
      <c r="B27" s="219"/>
      <c r="C27" s="220"/>
      <c r="D27" s="220"/>
      <c r="E27" s="220"/>
      <c r="F27" s="220"/>
      <c r="G27" s="220"/>
      <c r="H27" s="220"/>
      <c r="I27" s="221"/>
    </row>
    <row r="28" spans="1:9" ht="18.75" customHeight="1" x14ac:dyDescent="0.15">
      <c r="A28" s="14"/>
      <c r="B28" s="219"/>
      <c r="C28" s="220"/>
      <c r="D28" s="220"/>
      <c r="E28" s="220"/>
      <c r="F28" s="220"/>
      <c r="G28" s="220"/>
      <c r="H28" s="220"/>
      <c r="I28" s="221"/>
    </row>
    <row r="29" spans="1:9" ht="18.75" customHeight="1" x14ac:dyDescent="0.15">
      <c r="A29" s="14"/>
      <c r="B29" s="219"/>
      <c r="C29" s="220"/>
      <c r="D29" s="220"/>
      <c r="E29" s="220"/>
      <c r="F29" s="220"/>
      <c r="G29" s="220"/>
      <c r="H29" s="220"/>
      <c r="I29" s="221"/>
    </row>
    <row r="30" spans="1:9" ht="18.75" customHeight="1" x14ac:dyDescent="0.15">
      <c r="A30" s="14"/>
      <c r="B30" s="222"/>
      <c r="C30" s="223"/>
      <c r="D30" s="223"/>
      <c r="E30" s="223"/>
      <c r="F30" s="223"/>
      <c r="G30" s="223"/>
      <c r="H30" s="223"/>
      <c r="I30" s="221"/>
    </row>
    <row r="31" spans="1:9" ht="18.75" customHeight="1" x14ac:dyDescent="0.15">
      <c r="A31" s="14"/>
      <c r="B31" s="222"/>
      <c r="C31" s="223"/>
      <c r="D31" s="223"/>
      <c r="E31" s="223"/>
      <c r="F31" s="223"/>
      <c r="G31" s="223"/>
      <c r="H31" s="223"/>
      <c r="I31" s="221"/>
    </row>
    <row r="32" spans="1:9" ht="18.75" customHeight="1" x14ac:dyDescent="0.15">
      <c r="A32" s="14"/>
      <c r="B32" s="224"/>
      <c r="C32" s="225"/>
      <c r="D32" s="225"/>
      <c r="E32" s="225"/>
      <c r="F32" s="225"/>
      <c r="G32" s="225"/>
      <c r="H32" s="225"/>
      <c r="I32" s="226"/>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6" t="s">
        <v>183</v>
      </c>
      <c r="C35" s="217"/>
      <c r="D35" s="217"/>
      <c r="E35" s="217"/>
      <c r="F35" s="217"/>
      <c r="G35" s="217"/>
      <c r="H35" s="217"/>
      <c r="I35" s="218"/>
    </row>
    <row r="36" spans="1:9" ht="18.75" customHeight="1" x14ac:dyDescent="0.15">
      <c r="A36" s="14"/>
      <c r="B36" s="222"/>
      <c r="C36" s="223"/>
      <c r="D36" s="223"/>
      <c r="E36" s="223"/>
      <c r="F36" s="223"/>
      <c r="G36" s="223"/>
      <c r="H36" s="223"/>
      <c r="I36" s="221"/>
    </row>
    <row r="37" spans="1:9" ht="18.75" customHeight="1" x14ac:dyDescent="0.15">
      <c r="A37" s="14"/>
      <c r="B37" s="222"/>
      <c r="C37" s="223"/>
      <c r="D37" s="223"/>
      <c r="E37" s="223"/>
      <c r="F37" s="223"/>
      <c r="G37" s="223"/>
      <c r="H37" s="223"/>
      <c r="I37" s="221"/>
    </row>
    <row r="38" spans="1:9" ht="18.75" customHeight="1" x14ac:dyDescent="0.15">
      <c r="A38" s="14"/>
      <c r="B38" s="222"/>
      <c r="C38" s="223"/>
      <c r="D38" s="223"/>
      <c r="E38" s="223"/>
      <c r="F38" s="223"/>
      <c r="G38" s="223"/>
      <c r="H38" s="223"/>
      <c r="I38" s="221"/>
    </row>
    <row r="39" spans="1:9" ht="18.75" customHeight="1" x14ac:dyDescent="0.15">
      <c r="A39" s="14"/>
      <c r="B39" s="222"/>
      <c r="C39" s="223"/>
      <c r="D39" s="223"/>
      <c r="E39" s="223"/>
      <c r="F39" s="223"/>
      <c r="G39" s="223"/>
      <c r="H39" s="223"/>
      <c r="I39" s="221"/>
    </row>
    <row r="40" spans="1:9" ht="18.75" customHeight="1" x14ac:dyDescent="0.15">
      <c r="A40" s="14"/>
      <c r="B40" s="222"/>
      <c r="C40" s="223"/>
      <c r="D40" s="223"/>
      <c r="E40" s="223"/>
      <c r="F40" s="223"/>
      <c r="G40" s="223"/>
      <c r="H40" s="223"/>
      <c r="I40" s="221"/>
    </row>
    <row r="41" spans="1:9" ht="18.75" customHeight="1" x14ac:dyDescent="0.15">
      <c r="A41" s="14"/>
      <c r="B41" s="222"/>
      <c r="C41" s="223"/>
      <c r="D41" s="223"/>
      <c r="E41" s="223"/>
      <c r="F41" s="223"/>
      <c r="G41" s="223"/>
      <c r="H41" s="223"/>
      <c r="I41" s="221"/>
    </row>
    <row r="42" spans="1:9" ht="18.75" customHeight="1" x14ac:dyDescent="0.15">
      <c r="A42" s="14"/>
      <c r="B42" s="222"/>
      <c r="C42" s="223"/>
      <c r="D42" s="223"/>
      <c r="E42" s="223"/>
      <c r="F42" s="223"/>
      <c r="G42" s="223"/>
      <c r="H42" s="223"/>
      <c r="I42" s="221"/>
    </row>
    <row r="43" spans="1:9" ht="18.75" customHeight="1" x14ac:dyDescent="0.15">
      <c r="A43" s="14"/>
      <c r="B43" s="222"/>
      <c r="C43" s="223"/>
      <c r="D43" s="223"/>
      <c r="E43" s="223"/>
      <c r="F43" s="223"/>
      <c r="G43" s="223"/>
      <c r="H43" s="223"/>
      <c r="I43" s="221"/>
    </row>
    <row r="44" spans="1:9" ht="18.75" customHeight="1" x14ac:dyDescent="0.15">
      <c r="A44" s="14"/>
      <c r="B44" s="222"/>
      <c r="C44" s="223"/>
      <c r="D44" s="223"/>
      <c r="E44" s="223"/>
      <c r="F44" s="223"/>
      <c r="G44" s="223"/>
      <c r="H44" s="223"/>
      <c r="I44" s="221"/>
    </row>
    <row r="45" spans="1:9" ht="18.75" customHeight="1" x14ac:dyDescent="0.15">
      <c r="A45" s="14"/>
      <c r="B45" s="222"/>
      <c r="C45" s="223"/>
      <c r="D45" s="223"/>
      <c r="E45" s="223"/>
      <c r="F45" s="223"/>
      <c r="G45" s="223"/>
      <c r="H45" s="223"/>
      <c r="I45" s="221"/>
    </row>
    <row r="46" spans="1:9" ht="18.75" customHeight="1" x14ac:dyDescent="0.15">
      <c r="A46" s="14"/>
      <c r="B46" s="224"/>
      <c r="C46" s="225"/>
      <c r="D46" s="225"/>
      <c r="E46" s="225"/>
      <c r="F46" s="225"/>
      <c r="G46" s="225"/>
      <c r="H46" s="225"/>
      <c r="I46" s="226"/>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3" t="s">
        <v>128</v>
      </c>
      <c r="C49" s="201">
        <v>0.22</v>
      </c>
      <c r="D49" s="201"/>
      <c r="E49" s="33" t="s">
        <v>64</v>
      </c>
      <c r="F49" s="201">
        <v>0.28000000000000003</v>
      </c>
      <c r="G49" s="201"/>
      <c r="H49" s="33" t="s">
        <v>65</v>
      </c>
      <c r="I49" s="34">
        <v>0.36</v>
      </c>
      <c r="J49" s="1"/>
      <c r="M49" s="1"/>
      <c r="N49" s="35"/>
    </row>
    <row r="50" spans="1:15" s="3" customFormat="1" ht="18.75" customHeight="1" x14ac:dyDescent="0.15">
      <c r="B50" s="36" t="s">
        <v>85</v>
      </c>
      <c r="C50" s="184">
        <v>0.39</v>
      </c>
      <c r="D50" s="184"/>
      <c r="E50" s="36" t="s">
        <v>129</v>
      </c>
      <c r="F50" s="184">
        <v>0.42</v>
      </c>
      <c r="G50" s="184"/>
      <c r="H50" s="36" t="s">
        <v>66</v>
      </c>
      <c r="I50" s="37">
        <f>'様式２ 履修者等数の実績'!E33</f>
        <v>2520</v>
      </c>
      <c r="J50" s="1"/>
      <c r="M50" s="1"/>
      <c r="N50" s="35"/>
    </row>
    <row r="51" spans="1:15" ht="18.75" customHeight="1" x14ac:dyDescent="0.15">
      <c r="A51" s="1"/>
      <c r="B51" s="236" t="s">
        <v>67</v>
      </c>
      <c r="C51" s="237"/>
      <c r="D51" s="237"/>
      <c r="E51" s="237"/>
      <c r="F51" s="237"/>
      <c r="G51" s="237"/>
      <c r="H51" s="237"/>
      <c r="I51" s="238"/>
      <c r="N51" s="35"/>
      <c r="O51" s="3"/>
    </row>
    <row r="52" spans="1:15" ht="18.75" customHeight="1" x14ac:dyDescent="0.15">
      <c r="A52" s="1"/>
      <c r="B52" s="202" t="s">
        <v>169</v>
      </c>
      <c r="C52" s="203"/>
      <c r="D52" s="203"/>
      <c r="E52" s="203"/>
      <c r="F52" s="203"/>
      <c r="G52" s="203"/>
      <c r="H52" s="203"/>
      <c r="I52" s="204"/>
      <c r="N52" s="35"/>
      <c r="O52" s="3"/>
    </row>
    <row r="53" spans="1:15" ht="18.75" customHeight="1" x14ac:dyDescent="0.15">
      <c r="A53" s="1"/>
      <c r="B53" s="205"/>
      <c r="C53" s="206"/>
      <c r="D53" s="206"/>
      <c r="E53" s="206"/>
      <c r="F53" s="206"/>
      <c r="G53" s="206"/>
      <c r="H53" s="206"/>
      <c r="I53" s="207"/>
      <c r="N53" s="35"/>
      <c r="O53" s="3"/>
    </row>
    <row r="54" spans="1:15" ht="18.75" customHeight="1" x14ac:dyDescent="0.15">
      <c r="A54" s="1"/>
      <c r="B54" s="205"/>
      <c r="C54" s="206"/>
      <c r="D54" s="206"/>
      <c r="E54" s="206"/>
      <c r="F54" s="206"/>
      <c r="G54" s="206"/>
      <c r="H54" s="206"/>
      <c r="I54" s="207"/>
    </row>
    <row r="55" spans="1:15" ht="18.75" customHeight="1" x14ac:dyDescent="0.15">
      <c r="A55" s="1"/>
      <c r="B55" s="205"/>
      <c r="C55" s="206"/>
      <c r="D55" s="206"/>
      <c r="E55" s="206"/>
      <c r="F55" s="206"/>
      <c r="G55" s="206"/>
      <c r="H55" s="206"/>
      <c r="I55" s="207"/>
    </row>
    <row r="56" spans="1:15" ht="18.75" customHeight="1" x14ac:dyDescent="0.15">
      <c r="A56" s="1"/>
      <c r="B56" s="205"/>
      <c r="C56" s="206"/>
      <c r="D56" s="206"/>
      <c r="E56" s="206"/>
      <c r="F56" s="206"/>
      <c r="G56" s="206"/>
      <c r="H56" s="206"/>
      <c r="I56" s="207"/>
    </row>
    <row r="57" spans="1:15" ht="18.75" customHeight="1" x14ac:dyDescent="0.15">
      <c r="A57" s="1"/>
      <c r="B57" s="205"/>
      <c r="C57" s="206"/>
      <c r="D57" s="206"/>
      <c r="E57" s="206"/>
      <c r="F57" s="206"/>
      <c r="G57" s="206"/>
      <c r="H57" s="206"/>
      <c r="I57" s="207"/>
    </row>
    <row r="58" spans="1:15" ht="18.75" customHeight="1" x14ac:dyDescent="0.15">
      <c r="A58" s="1"/>
      <c r="B58" s="205"/>
      <c r="C58" s="206"/>
      <c r="D58" s="206"/>
      <c r="E58" s="206"/>
      <c r="F58" s="206"/>
      <c r="G58" s="206"/>
      <c r="H58" s="206"/>
      <c r="I58" s="207"/>
    </row>
    <row r="59" spans="1:15" ht="18.75" customHeight="1" x14ac:dyDescent="0.15">
      <c r="A59" s="1"/>
      <c r="B59" s="205"/>
      <c r="C59" s="206"/>
      <c r="D59" s="206"/>
      <c r="E59" s="206"/>
      <c r="F59" s="206"/>
      <c r="G59" s="206"/>
      <c r="H59" s="206"/>
      <c r="I59" s="207"/>
    </row>
    <row r="60" spans="1:15" ht="18.75" customHeight="1" x14ac:dyDescent="0.15">
      <c r="A60" s="1"/>
      <c r="B60" s="205"/>
      <c r="C60" s="206"/>
      <c r="D60" s="206"/>
      <c r="E60" s="206"/>
      <c r="F60" s="206"/>
      <c r="G60" s="206"/>
      <c r="H60" s="206"/>
      <c r="I60" s="207"/>
    </row>
    <row r="61" spans="1:15" ht="18.75" customHeight="1" x14ac:dyDescent="0.15">
      <c r="A61" s="1"/>
      <c r="B61" s="205"/>
      <c r="C61" s="206"/>
      <c r="D61" s="206"/>
      <c r="E61" s="206"/>
      <c r="F61" s="206"/>
      <c r="G61" s="206"/>
      <c r="H61" s="206"/>
      <c r="I61" s="207"/>
    </row>
    <row r="62" spans="1:15" ht="18.75" customHeight="1" x14ac:dyDescent="0.15">
      <c r="A62" s="1"/>
      <c r="B62" s="205"/>
      <c r="C62" s="206"/>
      <c r="D62" s="206"/>
      <c r="E62" s="206"/>
      <c r="F62" s="206"/>
      <c r="G62" s="206"/>
      <c r="H62" s="206"/>
      <c r="I62" s="207"/>
    </row>
    <row r="63" spans="1:15" ht="18.75" customHeight="1" x14ac:dyDescent="0.15">
      <c r="A63" s="1"/>
      <c r="B63" s="208"/>
      <c r="C63" s="209"/>
      <c r="D63" s="209"/>
      <c r="E63" s="209"/>
      <c r="F63" s="209"/>
      <c r="G63" s="209"/>
      <c r="H63" s="209"/>
      <c r="I63" s="210"/>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5" t="s">
        <v>157</v>
      </c>
      <c r="C66" s="186"/>
      <c r="D66" s="186"/>
      <c r="E66" s="186"/>
      <c r="F66" s="186"/>
      <c r="G66" s="186"/>
      <c r="H66" s="186"/>
      <c r="I66" s="187"/>
    </row>
    <row r="67" spans="1:9" ht="18.75" customHeight="1" x14ac:dyDescent="0.15">
      <c r="A67" s="4"/>
      <c r="B67" s="188"/>
      <c r="C67" s="189"/>
      <c r="D67" s="189"/>
      <c r="E67" s="189"/>
      <c r="F67" s="189"/>
      <c r="G67" s="189"/>
      <c r="H67" s="189"/>
      <c r="I67" s="190"/>
    </row>
    <row r="68" spans="1:9" ht="18.75" customHeight="1" x14ac:dyDescent="0.15">
      <c r="A68" s="4"/>
      <c r="B68" s="188"/>
      <c r="C68" s="189"/>
      <c r="D68" s="189"/>
      <c r="E68" s="189"/>
      <c r="F68" s="189"/>
      <c r="G68" s="189"/>
      <c r="H68" s="189"/>
      <c r="I68" s="190"/>
    </row>
    <row r="69" spans="1:9" ht="18.75" customHeight="1" x14ac:dyDescent="0.15">
      <c r="A69" s="4"/>
      <c r="B69" s="188"/>
      <c r="C69" s="189"/>
      <c r="D69" s="189"/>
      <c r="E69" s="189"/>
      <c r="F69" s="189"/>
      <c r="G69" s="189"/>
      <c r="H69" s="189"/>
      <c r="I69" s="190"/>
    </row>
    <row r="70" spans="1:9" ht="18.75" customHeight="1" x14ac:dyDescent="0.15">
      <c r="A70" s="4"/>
      <c r="B70" s="188"/>
      <c r="C70" s="189"/>
      <c r="D70" s="189"/>
      <c r="E70" s="189"/>
      <c r="F70" s="189"/>
      <c r="G70" s="189"/>
      <c r="H70" s="189"/>
      <c r="I70" s="190"/>
    </row>
    <row r="71" spans="1:9" ht="18.75" customHeight="1" x14ac:dyDescent="0.15">
      <c r="A71" s="4"/>
      <c r="B71" s="188"/>
      <c r="C71" s="189"/>
      <c r="D71" s="189"/>
      <c r="E71" s="189"/>
      <c r="F71" s="189"/>
      <c r="G71" s="189"/>
      <c r="H71" s="189"/>
      <c r="I71" s="190"/>
    </row>
    <row r="72" spans="1:9" ht="18.75" customHeight="1" x14ac:dyDescent="0.15">
      <c r="A72" s="4"/>
      <c r="B72" s="188"/>
      <c r="C72" s="189"/>
      <c r="D72" s="189"/>
      <c r="E72" s="189"/>
      <c r="F72" s="189"/>
      <c r="G72" s="189"/>
      <c r="H72" s="189"/>
      <c r="I72" s="190"/>
    </row>
    <row r="73" spans="1:9" ht="18.75" customHeight="1" x14ac:dyDescent="0.15">
      <c r="A73" s="4"/>
      <c r="B73" s="188"/>
      <c r="C73" s="189"/>
      <c r="D73" s="189"/>
      <c r="E73" s="189"/>
      <c r="F73" s="189"/>
      <c r="G73" s="189"/>
      <c r="H73" s="189"/>
      <c r="I73" s="190"/>
    </row>
    <row r="74" spans="1:9" ht="18.75" customHeight="1" x14ac:dyDescent="0.15">
      <c r="A74" s="4"/>
      <c r="B74" s="188"/>
      <c r="C74" s="189"/>
      <c r="D74" s="189"/>
      <c r="E74" s="189"/>
      <c r="F74" s="189"/>
      <c r="G74" s="189"/>
      <c r="H74" s="189"/>
      <c r="I74" s="190"/>
    </row>
    <row r="75" spans="1:9" ht="18.75" customHeight="1" x14ac:dyDescent="0.15">
      <c r="A75" s="4"/>
      <c r="B75" s="188"/>
      <c r="C75" s="189"/>
      <c r="D75" s="189"/>
      <c r="E75" s="189"/>
      <c r="F75" s="189"/>
      <c r="G75" s="189"/>
      <c r="H75" s="189"/>
      <c r="I75" s="190"/>
    </row>
    <row r="76" spans="1:9" ht="18.75" customHeight="1" x14ac:dyDescent="0.15">
      <c r="A76" s="4"/>
      <c r="B76" s="188"/>
      <c r="C76" s="189"/>
      <c r="D76" s="189"/>
      <c r="E76" s="189"/>
      <c r="F76" s="189"/>
      <c r="G76" s="189"/>
      <c r="H76" s="189"/>
      <c r="I76" s="190"/>
    </row>
    <row r="77" spans="1:9" ht="18.75" customHeight="1" x14ac:dyDescent="0.15">
      <c r="A77" s="4"/>
      <c r="B77" s="191"/>
      <c r="C77" s="192"/>
      <c r="D77" s="192"/>
      <c r="E77" s="192"/>
      <c r="F77" s="192"/>
      <c r="G77" s="192"/>
      <c r="H77" s="192"/>
      <c r="I77" s="193"/>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5" t="s">
        <v>165</v>
      </c>
      <c r="C80" s="186"/>
      <c r="D80" s="186"/>
      <c r="E80" s="186"/>
      <c r="F80" s="186"/>
      <c r="G80" s="186"/>
      <c r="H80" s="186"/>
      <c r="I80" s="194"/>
    </row>
    <row r="81" spans="1:9" ht="18.75" customHeight="1" x14ac:dyDescent="0.15">
      <c r="A81" s="1"/>
      <c r="B81" s="195"/>
      <c r="C81" s="196"/>
      <c r="D81" s="196"/>
      <c r="E81" s="196"/>
      <c r="F81" s="196"/>
      <c r="G81" s="196"/>
      <c r="H81" s="196"/>
      <c r="I81" s="197"/>
    </row>
    <row r="82" spans="1:9" ht="18.75" customHeight="1" x14ac:dyDescent="0.15">
      <c r="A82" s="1"/>
      <c r="B82" s="195"/>
      <c r="C82" s="196"/>
      <c r="D82" s="196"/>
      <c r="E82" s="196"/>
      <c r="F82" s="196"/>
      <c r="G82" s="196"/>
      <c r="H82" s="196"/>
      <c r="I82" s="197"/>
    </row>
    <row r="83" spans="1:9" ht="18.75" customHeight="1" x14ac:dyDescent="0.15">
      <c r="A83" s="1"/>
      <c r="B83" s="195"/>
      <c r="C83" s="196"/>
      <c r="D83" s="196"/>
      <c r="E83" s="196"/>
      <c r="F83" s="196"/>
      <c r="G83" s="196"/>
      <c r="H83" s="196"/>
      <c r="I83" s="197"/>
    </row>
    <row r="84" spans="1:9" ht="18.75" customHeight="1" x14ac:dyDescent="0.15">
      <c r="A84" s="1"/>
      <c r="B84" s="195"/>
      <c r="C84" s="196"/>
      <c r="D84" s="196"/>
      <c r="E84" s="196"/>
      <c r="F84" s="196"/>
      <c r="G84" s="196"/>
      <c r="H84" s="196"/>
      <c r="I84" s="197"/>
    </row>
    <row r="85" spans="1:9" ht="18.75" customHeight="1" x14ac:dyDescent="0.15">
      <c r="A85" s="1"/>
      <c r="B85" s="195"/>
      <c r="C85" s="196"/>
      <c r="D85" s="196"/>
      <c r="E85" s="196"/>
      <c r="F85" s="196"/>
      <c r="G85" s="196"/>
      <c r="H85" s="196"/>
      <c r="I85" s="197"/>
    </row>
    <row r="86" spans="1:9" ht="18.75" customHeight="1" x14ac:dyDescent="0.15">
      <c r="A86" s="1"/>
      <c r="B86" s="195"/>
      <c r="C86" s="196"/>
      <c r="D86" s="196"/>
      <c r="E86" s="196"/>
      <c r="F86" s="196"/>
      <c r="G86" s="196"/>
      <c r="H86" s="196"/>
      <c r="I86" s="197"/>
    </row>
    <row r="87" spans="1:9" ht="18.75" customHeight="1" x14ac:dyDescent="0.15">
      <c r="A87" s="1"/>
      <c r="B87" s="195"/>
      <c r="C87" s="196"/>
      <c r="D87" s="196"/>
      <c r="E87" s="196"/>
      <c r="F87" s="196"/>
      <c r="G87" s="196"/>
      <c r="H87" s="196"/>
      <c r="I87" s="197"/>
    </row>
    <row r="88" spans="1:9" ht="18.75" customHeight="1" x14ac:dyDescent="0.15">
      <c r="A88" s="1"/>
      <c r="B88" s="195"/>
      <c r="C88" s="196"/>
      <c r="D88" s="196"/>
      <c r="E88" s="196"/>
      <c r="F88" s="196"/>
      <c r="G88" s="196"/>
      <c r="H88" s="196"/>
      <c r="I88" s="197"/>
    </row>
    <row r="89" spans="1:9" ht="18.75" customHeight="1" x14ac:dyDescent="0.15">
      <c r="A89" s="1"/>
      <c r="B89" s="195"/>
      <c r="C89" s="196"/>
      <c r="D89" s="196"/>
      <c r="E89" s="196"/>
      <c r="F89" s="196"/>
      <c r="G89" s="196"/>
      <c r="H89" s="196"/>
      <c r="I89" s="197"/>
    </row>
    <row r="90" spans="1:9" ht="18.75" customHeight="1" x14ac:dyDescent="0.15">
      <c r="A90" s="4"/>
      <c r="B90" s="195"/>
      <c r="C90" s="196"/>
      <c r="D90" s="196"/>
      <c r="E90" s="196"/>
      <c r="F90" s="196"/>
      <c r="G90" s="196"/>
      <c r="H90" s="196"/>
      <c r="I90" s="197"/>
    </row>
    <row r="91" spans="1:9" ht="18.75" customHeight="1" x14ac:dyDescent="0.15">
      <c r="A91" s="4"/>
      <c r="B91" s="198"/>
      <c r="C91" s="199"/>
      <c r="D91" s="199"/>
      <c r="E91" s="199"/>
      <c r="F91" s="199"/>
      <c r="G91" s="199"/>
      <c r="H91" s="199"/>
      <c r="I91" s="200"/>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16" t="s">
        <v>158</v>
      </c>
      <c r="C94" s="217"/>
      <c r="D94" s="217"/>
      <c r="E94" s="217"/>
      <c r="F94" s="217"/>
      <c r="G94" s="217"/>
      <c r="H94" s="217"/>
      <c r="I94" s="218"/>
    </row>
    <row r="95" spans="1:9" ht="18.75" customHeight="1" x14ac:dyDescent="0.15">
      <c r="A95" s="1"/>
      <c r="B95" s="222"/>
      <c r="C95" s="223"/>
      <c r="D95" s="223"/>
      <c r="E95" s="223"/>
      <c r="F95" s="223"/>
      <c r="G95" s="223"/>
      <c r="H95" s="223"/>
      <c r="I95" s="221"/>
    </row>
    <row r="96" spans="1:9" ht="18.75" customHeight="1" x14ac:dyDescent="0.15">
      <c r="A96" s="1"/>
      <c r="B96" s="222"/>
      <c r="C96" s="223"/>
      <c r="D96" s="223"/>
      <c r="E96" s="223"/>
      <c r="F96" s="223"/>
      <c r="G96" s="223"/>
      <c r="H96" s="223"/>
      <c r="I96" s="221"/>
    </row>
    <row r="97" spans="1:9" ht="18.75" customHeight="1" x14ac:dyDescent="0.15">
      <c r="A97" s="1"/>
      <c r="B97" s="222"/>
      <c r="C97" s="223"/>
      <c r="D97" s="223"/>
      <c r="E97" s="223"/>
      <c r="F97" s="223"/>
      <c r="G97" s="223"/>
      <c r="H97" s="223"/>
      <c r="I97" s="221"/>
    </row>
    <row r="98" spans="1:9" ht="18.75" customHeight="1" x14ac:dyDescent="0.15">
      <c r="A98" s="1"/>
      <c r="B98" s="222"/>
      <c r="C98" s="223"/>
      <c r="D98" s="223"/>
      <c r="E98" s="223"/>
      <c r="F98" s="223"/>
      <c r="G98" s="223"/>
      <c r="H98" s="223"/>
      <c r="I98" s="221"/>
    </row>
    <row r="99" spans="1:9" ht="18.75" customHeight="1" x14ac:dyDescent="0.15">
      <c r="A99" s="1"/>
      <c r="B99" s="222"/>
      <c r="C99" s="223"/>
      <c r="D99" s="223"/>
      <c r="E99" s="223"/>
      <c r="F99" s="223"/>
      <c r="G99" s="223"/>
      <c r="H99" s="223"/>
      <c r="I99" s="221"/>
    </row>
    <row r="100" spans="1:9" ht="18.75" customHeight="1" x14ac:dyDescent="0.15">
      <c r="A100" s="1"/>
      <c r="B100" s="222"/>
      <c r="C100" s="223"/>
      <c r="D100" s="223"/>
      <c r="E100" s="223"/>
      <c r="F100" s="223"/>
      <c r="G100" s="223"/>
      <c r="H100" s="223"/>
      <c r="I100" s="221"/>
    </row>
    <row r="101" spans="1:9" ht="18.75" customHeight="1" x14ac:dyDescent="0.15">
      <c r="A101" s="1"/>
      <c r="B101" s="222"/>
      <c r="C101" s="223"/>
      <c r="D101" s="223"/>
      <c r="E101" s="223"/>
      <c r="F101" s="223"/>
      <c r="G101" s="223"/>
      <c r="H101" s="223"/>
      <c r="I101" s="221"/>
    </row>
    <row r="102" spans="1:9" ht="18.75" customHeight="1" x14ac:dyDescent="0.15">
      <c r="A102" s="1"/>
      <c r="B102" s="222"/>
      <c r="C102" s="223"/>
      <c r="D102" s="223"/>
      <c r="E102" s="223"/>
      <c r="F102" s="223"/>
      <c r="G102" s="223"/>
      <c r="H102" s="223"/>
      <c r="I102" s="221"/>
    </row>
    <row r="103" spans="1:9" ht="18.75" customHeight="1" x14ac:dyDescent="0.15">
      <c r="A103" s="1"/>
      <c r="B103" s="222"/>
      <c r="C103" s="223"/>
      <c r="D103" s="223"/>
      <c r="E103" s="223"/>
      <c r="F103" s="223"/>
      <c r="G103" s="223"/>
      <c r="H103" s="223"/>
      <c r="I103" s="221"/>
    </row>
    <row r="104" spans="1:9" ht="18.75" customHeight="1" x14ac:dyDescent="0.15">
      <c r="A104" s="1"/>
      <c r="B104" s="222"/>
      <c r="C104" s="223"/>
      <c r="D104" s="223"/>
      <c r="E104" s="223"/>
      <c r="F104" s="223"/>
      <c r="G104" s="223"/>
      <c r="H104" s="223"/>
      <c r="I104" s="221"/>
    </row>
    <row r="105" spans="1:9" ht="18.75" customHeight="1" x14ac:dyDescent="0.15">
      <c r="A105" s="4"/>
      <c r="B105" s="224"/>
      <c r="C105" s="225"/>
      <c r="D105" s="225"/>
      <c r="E105" s="225"/>
      <c r="F105" s="225"/>
      <c r="G105" s="225"/>
      <c r="H105" s="225"/>
      <c r="I105" s="226"/>
    </row>
    <row r="106" spans="1:9" ht="7.5" customHeight="1" x14ac:dyDescent="0.15">
      <c r="A106" s="4"/>
      <c r="B106" s="4"/>
      <c r="C106" s="4"/>
      <c r="D106" s="4"/>
      <c r="E106" s="4"/>
      <c r="F106" s="4"/>
      <c r="G106" s="4"/>
      <c r="H106" s="4"/>
      <c r="I106" s="4"/>
    </row>
    <row r="107" spans="1:9" ht="18.75" customHeight="1" x14ac:dyDescent="0.15">
      <c r="A107" s="1" t="s">
        <v>30</v>
      </c>
      <c r="B107" s="235" t="s">
        <v>45</v>
      </c>
      <c r="C107" s="235"/>
      <c r="D107" s="235"/>
      <c r="E107" s="235"/>
      <c r="F107" s="235"/>
      <c r="G107" s="235"/>
      <c r="H107" s="235"/>
      <c r="I107" s="235"/>
    </row>
    <row r="108" spans="1:9" ht="18.75" customHeight="1" x14ac:dyDescent="0.15">
      <c r="A108" s="4"/>
      <c r="B108" s="216" t="s">
        <v>159</v>
      </c>
      <c r="C108" s="217"/>
      <c r="D108" s="217"/>
      <c r="E108" s="217"/>
      <c r="F108" s="217"/>
      <c r="G108" s="217"/>
      <c r="H108" s="217"/>
      <c r="I108" s="218"/>
    </row>
    <row r="109" spans="1:9" ht="18.75" customHeight="1" x14ac:dyDescent="0.15">
      <c r="A109" s="4"/>
      <c r="B109" s="222"/>
      <c r="C109" s="223"/>
      <c r="D109" s="223"/>
      <c r="E109" s="223"/>
      <c r="F109" s="223"/>
      <c r="G109" s="223"/>
      <c r="H109" s="223"/>
      <c r="I109" s="221"/>
    </row>
    <row r="110" spans="1:9" ht="18.75" customHeight="1" x14ac:dyDescent="0.15">
      <c r="A110" s="4"/>
      <c r="B110" s="222"/>
      <c r="C110" s="223"/>
      <c r="D110" s="223"/>
      <c r="E110" s="223"/>
      <c r="F110" s="223"/>
      <c r="G110" s="223"/>
      <c r="H110" s="223"/>
      <c r="I110" s="221"/>
    </row>
    <row r="111" spans="1:9" ht="18.75" customHeight="1" x14ac:dyDescent="0.15">
      <c r="A111" s="4"/>
      <c r="B111" s="222"/>
      <c r="C111" s="223"/>
      <c r="D111" s="223"/>
      <c r="E111" s="223"/>
      <c r="F111" s="223"/>
      <c r="G111" s="223"/>
      <c r="H111" s="223"/>
      <c r="I111" s="221"/>
    </row>
    <row r="112" spans="1:9" ht="18.75" customHeight="1" x14ac:dyDescent="0.15">
      <c r="A112" s="4"/>
      <c r="B112" s="222"/>
      <c r="C112" s="223"/>
      <c r="D112" s="223"/>
      <c r="E112" s="223"/>
      <c r="F112" s="223"/>
      <c r="G112" s="223"/>
      <c r="H112" s="223"/>
      <c r="I112" s="221"/>
    </row>
    <row r="113" spans="1:9" ht="18.75" customHeight="1" x14ac:dyDescent="0.15">
      <c r="A113" s="4"/>
      <c r="B113" s="222"/>
      <c r="C113" s="223"/>
      <c r="D113" s="223"/>
      <c r="E113" s="223"/>
      <c r="F113" s="223"/>
      <c r="G113" s="223"/>
      <c r="H113" s="223"/>
      <c r="I113" s="221"/>
    </row>
    <row r="114" spans="1:9" ht="18.75" customHeight="1" x14ac:dyDescent="0.15">
      <c r="A114" s="4"/>
      <c r="B114" s="222"/>
      <c r="C114" s="223"/>
      <c r="D114" s="223"/>
      <c r="E114" s="223"/>
      <c r="F114" s="223"/>
      <c r="G114" s="223"/>
      <c r="H114" s="223"/>
      <c r="I114" s="221"/>
    </row>
    <row r="115" spans="1:9" ht="18.75" customHeight="1" x14ac:dyDescent="0.15">
      <c r="A115" s="4"/>
      <c r="B115" s="222"/>
      <c r="C115" s="223"/>
      <c r="D115" s="223"/>
      <c r="E115" s="223"/>
      <c r="F115" s="223"/>
      <c r="G115" s="223"/>
      <c r="H115" s="223"/>
      <c r="I115" s="221"/>
    </row>
    <row r="116" spans="1:9" ht="18.75" customHeight="1" x14ac:dyDescent="0.15">
      <c r="A116" s="4"/>
      <c r="B116" s="222"/>
      <c r="C116" s="223"/>
      <c r="D116" s="223"/>
      <c r="E116" s="223"/>
      <c r="F116" s="223"/>
      <c r="G116" s="223"/>
      <c r="H116" s="223"/>
      <c r="I116" s="221"/>
    </row>
    <row r="117" spans="1:9" ht="18.75" customHeight="1" x14ac:dyDescent="0.15">
      <c r="A117" s="4"/>
      <c r="B117" s="222"/>
      <c r="C117" s="223"/>
      <c r="D117" s="223"/>
      <c r="E117" s="223"/>
      <c r="F117" s="223"/>
      <c r="G117" s="223"/>
      <c r="H117" s="223"/>
      <c r="I117" s="221"/>
    </row>
    <row r="118" spans="1:9" ht="18.75" customHeight="1" x14ac:dyDescent="0.15">
      <c r="A118" s="4"/>
      <c r="B118" s="222"/>
      <c r="C118" s="223"/>
      <c r="D118" s="223"/>
      <c r="E118" s="223"/>
      <c r="F118" s="223"/>
      <c r="G118" s="223"/>
      <c r="H118" s="223"/>
      <c r="I118" s="221"/>
    </row>
    <row r="119" spans="1:9" ht="18.75" customHeight="1" x14ac:dyDescent="0.15">
      <c r="A119" s="4"/>
      <c r="B119" s="224"/>
      <c r="C119" s="225"/>
      <c r="D119" s="225"/>
      <c r="E119" s="225"/>
      <c r="F119" s="225"/>
      <c r="G119" s="225"/>
      <c r="H119" s="225"/>
      <c r="I119" s="226"/>
    </row>
    <row r="120" spans="1:9" ht="7.5" customHeight="1" x14ac:dyDescent="0.15">
      <c r="A120" s="4"/>
      <c r="B120" s="38"/>
      <c r="C120" s="38"/>
      <c r="D120" s="38"/>
      <c r="E120" s="38"/>
      <c r="F120" s="38"/>
      <c r="G120" s="38"/>
      <c r="H120" s="38"/>
      <c r="I120" s="38"/>
    </row>
    <row r="121" spans="1:9" ht="18.75" customHeight="1" x14ac:dyDescent="0.15">
      <c r="A121" s="67"/>
      <c r="B121" s="211"/>
      <c r="C121" s="211"/>
      <c r="D121" s="211"/>
      <c r="E121" s="211"/>
      <c r="F121" s="211"/>
      <c r="G121" s="211"/>
      <c r="H121" s="211"/>
      <c r="I121" s="211"/>
    </row>
    <row r="122" spans="1:9" ht="18.75" customHeight="1" x14ac:dyDescent="0.15">
      <c r="A122" s="67"/>
      <c r="B122" s="211"/>
      <c r="C122" s="211"/>
      <c r="D122" s="211"/>
      <c r="E122" s="211"/>
      <c r="F122" s="211"/>
      <c r="G122" s="211"/>
      <c r="H122" s="211"/>
      <c r="I122" s="211"/>
    </row>
    <row r="123" spans="1:9" ht="18.75" customHeight="1" x14ac:dyDescent="0.15">
      <c r="A123" s="4"/>
      <c r="B123" s="71"/>
      <c r="C123" s="71"/>
      <c r="D123" s="71"/>
      <c r="E123" s="71"/>
      <c r="F123" s="71"/>
      <c r="G123" s="71"/>
      <c r="H123" s="71"/>
      <c r="I123" s="72"/>
    </row>
    <row r="124" spans="1:9" ht="18.75" customHeight="1" x14ac:dyDescent="0.15">
      <c r="A124" s="4"/>
      <c r="B124" s="72"/>
      <c r="C124" s="72"/>
      <c r="D124" s="72"/>
      <c r="E124" s="72"/>
      <c r="F124" s="72"/>
      <c r="G124" s="72"/>
      <c r="H124" s="72"/>
      <c r="I124" s="72"/>
    </row>
    <row r="125" spans="1:9" ht="18.75" customHeight="1" x14ac:dyDescent="0.15">
      <c r="A125" s="4"/>
      <c r="B125" s="72"/>
      <c r="C125" s="72"/>
      <c r="D125" s="72"/>
      <c r="E125" s="72"/>
      <c r="F125" s="72"/>
      <c r="G125" s="72"/>
      <c r="H125" s="72"/>
      <c r="I125" s="72"/>
    </row>
    <row r="126" spans="1:9" ht="18.75" customHeight="1" x14ac:dyDescent="0.15">
      <c r="A126" s="4"/>
      <c r="B126" s="72"/>
      <c r="C126" s="72"/>
      <c r="D126" s="72"/>
      <c r="E126" s="72"/>
      <c r="F126" s="72"/>
      <c r="G126" s="72"/>
      <c r="H126" s="72"/>
      <c r="I126" s="72"/>
    </row>
    <row r="127" spans="1:9" ht="18.75" customHeight="1" x14ac:dyDescent="0.15">
      <c r="A127" s="4"/>
      <c r="B127" s="72"/>
      <c r="C127" s="72"/>
      <c r="D127" s="72"/>
      <c r="E127" s="72"/>
      <c r="F127" s="72"/>
      <c r="G127" s="72"/>
      <c r="H127" s="72"/>
      <c r="I127" s="72"/>
    </row>
    <row r="128" spans="1:9" ht="18.75" customHeight="1" x14ac:dyDescent="0.15">
      <c r="A128" s="4"/>
      <c r="B128" s="72"/>
      <c r="C128" s="72"/>
      <c r="D128" s="72"/>
      <c r="E128" s="72"/>
      <c r="F128" s="72"/>
      <c r="G128" s="72"/>
      <c r="H128" s="72"/>
      <c r="I128" s="72"/>
    </row>
    <row r="129" spans="1:9" ht="18.75" customHeight="1" x14ac:dyDescent="0.15">
      <c r="A129" s="4"/>
      <c r="B129" s="72"/>
      <c r="C129" s="72"/>
      <c r="D129" s="72"/>
      <c r="E129" s="72"/>
      <c r="F129" s="72"/>
      <c r="G129" s="72"/>
      <c r="H129" s="72"/>
      <c r="I129" s="72"/>
    </row>
    <row r="130" spans="1:9" ht="18.75" customHeight="1" x14ac:dyDescent="0.15">
      <c r="A130" s="4"/>
      <c r="B130" s="72"/>
      <c r="C130" s="72"/>
      <c r="D130" s="72"/>
      <c r="E130" s="72"/>
      <c r="F130" s="72"/>
      <c r="G130" s="72"/>
      <c r="H130" s="72"/>
      <c r="I130" s="72"/>
    </row>
    <row r="131" spans="1:9" ht="18.75" customHeight="1" x14ac:dyDescent="0.15">
      <c r="A131" s="4"/>
      <c r="B131" s="72"/>
      <c r="C131" s="72"/>
      <c r="D131" s="72"/>
      <c r="E131" s="72"/>
      <c r="F131" s="72"/>
      <c r="G131" s="72"/>
      <c r="H131" s="72"/>
      <c r="I131" s="72"/>
    </row>
    <row r="132" spans="1:9" ht="18.75" customHeight="1" x14ac:dyDescent="0.15">
      <c r="A132" s="4"/>
      <c r="B132" s="72"/>
      <c r="C132" s="72"/>
      <c r="D132" s="72"/>
      <c r="E132" s="72"/>
      <c r="F132" s="72"/>
      <c r="G132" s="72"/>
      <c r="H132" s="72"/>
      <c r="I132" s="72"/>
    </row>
    <row r="133" spans="1:9" ht="14.25" x14ac:dyDescent="0.15">
      <c r="A133" s="4"/>
      <c r="B133" s="72"/>
      <c r="C133" s="72"/>
      <c r="D133" s="72"/>
      <c r="E133" s="72"/>
      <c r="F133" s="72"/>
      <c r="G133" s="72"/>
      <c r="H133" s="72"/>
      <c r="I133" s="72"/>
    </row>
    <row r="134" spans="1:9" ht="7.5" customHeight="1" x14ac:dyDescent="0.15">
      <c r="A134" s="4"/>
      <c r="B134" s="72"/>
      <c r="C134" s="72"/>
      <c r="D134" s="72"/>
      <c r="E134" s="72"/>
      <c r="F134" s="72"/>
      <c r="G134" s="72"/>
      <c r="H134" s="72"/>
      <c r="I134" s="7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29" t="s">
        <v>96</v>
      </c>
    </row>
    <row r="2" spans="1:9" ht="18.75" customHeight="1" x14ac:dyDescent="0.15">
      <c r="H2" s="29" t="s">
        <v>99</v>
      </c>
      <c r="I2" s="28" t="str">
        <f>'様式１　プログラムを構成する授業科目'!C2</f>
        <v>名古屋経済大学</v>
      </c>
    </row>
    <row r="3" spans="1:9" ht="18.75" customHeight="1" x14ac:dyDescent="0.15">
      <c r="A3" s="212" t="s">
        <v>28</v>
      </c>
      <c r="B3" s="212"/>
      <c r="C3" s="212"/>
      <c r="D3" s="212"/>
      <c r="E3" s="212"/>
      <c r="F3" s="212"/>
      <c r="G3" s="212"/>
      <c r="H3" s="212"/>
      <c r="I3" s="212"/>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27" t="s">
        <v>173</v>
      </c>
      <c r="C6" s="264"/>
      <c r="D6" s="264"/>
      <c r="E6" s="264"/>
      <c r="F6" s="264"/>
      <c r="G6" s="264"/>
      <c r="H6" s="265"/>
      <c r="I6" s="3"/>
    </row>
    <row r="7" spans="1:9" ht="9" customHeight="1" x14ac:dyDescent="0.15">
      <c r="A7" s="5"/>
      <c r="B7" s="10"/>
      <c r="C7" s="10"/>
      <c r="D7" s="10"/>
      <c r="E7" s="10"/>
      <c r="F7" s="10"/>
      <c r="G7" s="10"/>
      <c r="H7" s="10"/>
      <c r="I7" s="3"/>
    </row>
    <row r="8" spans="1:9" ht="18.75" customHeight="1" x14ac:dyDescent="0.15">
      <c r="A8" s="5"/>
      <c r="B8" s="3"/>
      <c r="C8" s="3"/>
      <c r="D8" s="29" t="s">
        <v>42</v>
      </c>
      <c r="E8" s="30" t="s">
        <v>170</v>
      </c>
      <c r="F8" s="3"/>
      <c r="G8" s="29" t="s">
        <v>10</v>
      </c>
      <c r="H8" s="30" t="s">
        <v>171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4" t="s">
        <v>24</v>
      </c>
      <c r="C11" s="105"/>
      <c r="D11" s="106"/>
      <c r="E11" s="105" t="s">
        <v>26</v>
      </c>
      <c r="F11" s="105"/>
      <c r="G11" s="105"/>
      <c r="H11" s="105"/>
      <c r="I11" s="106"/>
    </row>
    <row r="12" spans="1:9" ht="26.25" customHeight="1" x14ac:dyDescent="0.15">
      <c r="B12" s="39" t="s">
        <v>14</v>
      </c>
      <c r="C12" s="46"/>
      <c r="D12" s="40"/>
      <c r="E12" s="47"/>
      <c r="F12" s="47"/>
      <c r="G12" s="47"/>
      <c r="H12" s="47"/>
      <c r="I12" s="40"/>
    </row>
    <row r="13" spans="1:9" ht="210.75" customHeight="1" x14ac:dyDescent="0.15">
      <c r="B13" s="41"/>
      <c r="C13" s="244" t="s">
        <v>15</v>
      </c>
      <c r="D13" s="245"/>
      <c r="E13" s="257" t="s">
        <v>178</v>
      </c>
      <c r="F13" s="246"/>
      <c r="G13" s="246"/>
      <c r="H13" s="246"/>
      <c r="I13" s="247"/>
    </row>
    <row r="14" spans="1:9" ht="210.6" customHeight="1" x14ac:dyDescent="0.15">
      <c r="B14" s="41"/>
      <c r="C14" s="259" t="s">
        <v>16</v>
      </c>
      <c r="D14" s="260"/>
      <c r="E14" s="261" t="s">
        <v>180</v>
      </c>
      <c r="F14" s="262"/>
      <c r="G14" s="262"/>
      <c r="H14" s="262"/>
      <c r="I14" s="263"/>
    </row>
    <row r="15" spans="1:9" ht="210.75" customHeight="1" x14ac:dyDescent="0.15">
      <c r="B15" s="41"/>
      <c r="C15" s="244" t="s">
        <v>17</v>
      </c>
      <c r="D15" s="245"/>
      <c r="E15" s="257" t="s">
        <v>174</v>
      </c>
      <c r="F15" s="246"/>
      <c r="G15" s="246"/>
      <c r="H15" s="246"/>
      <c r="I15" s="247"/>
    </row>
    <row r="16" spans="1:9" ht="210.75" customHeight="1" x14ac:dyDescent="0.15">
      <c r="B16" s="41"/>
      <c r="C16" s="244" t="s">
        <v>18</v>
      </c>
      <c r="D16" s="245"/>
      <c r="E16" s="257" t="s">
        <v>175</v>
      </c>
      <c r="F16" s="246"/>
      <c r="G16" s="246"/>
      <c r="H16" s="246"/>
      <c r="I16" s="247"/>
    </row>
    <row r="17" spans="2:9" ht="210.75" customHeight="1" x14ac:dyDescent="0.15">
      <c r="B17" s="42"/>
      <c r="C17" s="248" t="s">
        <v>19</v>
      </c>
      <c r="D17" s="249"/>
      <c r="E17" s="258" t="s">
        <v>179</v>
      </c>
      <c r="F17" s="250"/>
      <c r="G17" s="250"/>
      <c r="H17" s="250"/>
      <c r="I17" s="251"/>
    </row>
    <row r="18" spans="2:9" ht="24" customHeight="1" x14ac:dyDescent="0.15">
      <c r="B18" s="39" t="s">
        <v>20</v>
      </c>
      <c r="C18" s="43"/>
      <c r="D18" s="44"/>
      <c r="E18" s="45"/>
      <c r="F18" s="45"/>
      <c r="G18" s="45"/>
      <c r="H18" s="45"/>
      <c r="I18" s="48"/>
    </row>
    <row r="19" spans="2:9" ht="218.25" customHeight="1" x14ac:dyDescent="0.15">
      <c r="B19" s="41"/>
      <c r="C19" s="244" t="s">
        <v>21</v>
      </c>
      <c r="D19" s="245"/>
      <c r="E19" s="246" t="s">
        <v>161</v>
      </c>
      <c r="F19" s="246"/>
      <c r="G19" s="246"/>
      <c r="H19" s="246"/>
      <c r="I19" s="247"/>
    </row>
    <row r="20" spans="2:9" ht="218.25" customHeight="1" x14ac:dyDescent="0.15">
      <c r="B20" s="42"/>
      <c r="C20" s="248" t="s">
        <v>22</v>
      </c>
      <c r="D20" s="249"/>
      <c r="E20" s="250" t="s">
        <v>160</v>
      </c>
      <c r="F20" s="250"/>
      <c r="G20" s="250"/>
      <c r="H20" s="250"/>
      <c r="I20" s="251"/>
    </row>
    <row r="21" spans="2:9" ht="218.25" customHeight="1" x14ac:dyDescent="0.15">
      <c r="B21" s="252" t="s">
        <v>23</v>
      </c>
      <c r="C21" s="253"/>
      <c r="D21" s="254"/>
      <c r="E21" s="255" t="s">
        <v>176</v>
      </c>
      <c r="F21" s="255"/>
      <c r="G21" s="255"/>
      <c r="H21" s="255"/>
      <c r="I21" s="256"/>
    </row>
    <row r="22" spans="2:9" ht="218.25" customHeight="1" x14ac:dyDescent="0.15">
      <c r="B22" s="239" t="s">
        <v>134</v>
      </c>
      <c r="C22" s="240"/>
      <c r="D22" s="241"/>
      <c r="E22" s="242" t="s">
        <v>177</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智之 新里</cp:lastModifiedBy>
  <cp:lastPrinted>2024-06-17T06:57:55Z</cp:lastPrinted>
  <dcterms:created xsi:type="dcterms:W3CDTF">2011-06-14T05:32:50Z</dcterms:created>
  <dcterms:modified xsi:type="dcterms:W3CDTF">2024-06-17T06:58:07Z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