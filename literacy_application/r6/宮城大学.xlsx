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0"/>
  <workbookPr defaultThemeVersion="124226"/>
  <mc:AlternateContent xmlns:mc="http://schemas.openxmlformats.org/markup-compatibility/2006">
    <mc:Choice Requires="x15">
      <x15ac:absPath xmlns:x15ac="http://schemas.microsoft.com/office/spreadsheetml/2010/11/ac" url="\\172.27.1.100\事務部（制限あり）\400_学務課\411_教務第1グループ\00　基盤教育\20_AIデータサイエンス教育プログラム認定制度\提出\01_宮城大学_リテラシー\"/>
    </mc:Choice>
  </mc:AlternateContent>
  <xr:revisionPtr revIDLastSave="0" documentId="13_ncr:1_{2CD8319A-54A9-4193-A2AA-D9CBEDDF9679}" xr6:coauthVersionLast="36" xr6:coauthVersionMax="36" xr10:uidLastSave="{00000000-0000-0000-0000-000000000000}"/>
  <bookViews>
    <workbookView xWindow="0" yWindow="0" windowWidth="17490" windowHeight="7140" tabRatio="885" activeTab="1"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プログラムを構成する授業科目'!$A$1:$U$112</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<sst xmlns="http://schemas.openxmlformats.org/spreadsheetml/2006/main" count="287" uniqueCount="187">
  <si>
    <t>様式１</t>
    <rPh sb="0" eb="2">
      <t>ヨウシキ</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</si>
  <si>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</si>
  <si>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大学等名</t>
    <rPh sb="0" eb="2">
      <t>ダイガク</t>
    </rPh>
    <rPh sb="2" eb="3">
      <t>トウ</t>
    </rPh>
    <rPh sb="3" eb="4">
      <t>メイ</t>
    </rPh>
    <phoneticPr fontId="1"/>
  </si>
  <si>
    <t>宮城大学</t>
    <phoneticPr fontId="1"/>
  </si>
  <si>
    <t>プログラム名</t>
    <rPh sb="5" eb="6">
      <t>メイ</t>
    </rPh>
    <phoneticPr fontId="1"/>
  </si>
  <si>
    <t>プログラムを構成する授業科目について</t>
    <phoneticPr fontId="1"/>
  </si>
  <si>
    <t>① 教育プログラムの修了要件</t>
    <rPh sb="2" eb="4">
      <t>キョウイク</t>
    </rPh>
    <rPh sb="10" eb="14">
      <t>シュウリョウヨウケン</t>
    </rPh>
    <phoneticPr fontId="1"/>
  </si>
  <si>
    <t>学部・学科によって、修了要件は相違しない</t>
  </si>
  <si>
    <t>② 対象となる学部・学科名称</t>
    <phoneticPr fontId="1"/>
  </si>
  <si>
    <t>③ 修了要件</t>
    <phoneticPr fontId="1"/>
  </si>
  <si>
    <t>【プルダウンリスト】</t>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</si>
  <si>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</si>
  <si>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</si>
  <si>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</si>
  <si>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必要最低科目数・単位数</t>
    <rPh sb="4" eb="7">
      <t>カモクスウ</t>
    </rPh>
    <phoneticPr fontId="1"/>
  </si>
  <si>
    <t>科目</t>
    <rPh sb="0" eb="2">
      <t>カモク</t>
    </rPh>
    <phoneticPr fontId="1"/>
  </si>
  <si>
    <t>単位</t>
    <rPh sb="0" eb="2">
      <t>タンイ</t>
    </rPh>
    <phoneticPr fontId="1"/>
  </si>
  <si>
    <t>履修必須の有無</t>
    <rPh sb="0" eb="2">
      <t>リシュウ</t>
    </rPh>
    <rPh sb="2" eb="4">
      <t>ヒッス</t>
    </rPh>
    <rPh sb="5" eb="7">
      <t>ウム</t>
    </rPh>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</si>
  <si>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</si>
  <si>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授業科目</t>
    <rPh sb="0" eb="2">
      <t>ジュギョウ</t>
    </rPh>
    <rPh sb="2" eb="4">
      <t>カモク</t>
    </rPh>
    <phoneticPr fontId="1"/>
  </si>
  <si>
    <t>単位数</t>
    <rPh sb="0" eb="3">
      <t>タンイスウ</t>
    </rPh>
    <phoneticPr fontId="1"/>
  </si>
  <si>
    <t>必須</t>
    <rPh sb="0" eb="2">
      <t>ヒッス</t>
    </rPh>
    <phoneticPr fontId="1"/>
  </si>
  <si>
    <t>1-1</t>
    <phoneticPr fontId="1"/>
  </si>
  <si>
    <t>1-6</t>
  </si>
  <si>
    <t>コンピューターリテラシー</t>
    <phoneticPr fontId="1"/>
  </si>
  <si>
    <t>○</t>
  </si>
  <si>
    <t>情報化社会と技術</t>
    <rPh sb="0" eb="5">
      <t>ジョウホウカシャカイ</t>
    </rPh>
    <rPh sb="6" eb="8">
      <t>ギジュツ</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</si>
  <si>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</si>
  <si>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1-2</t>
    <phoneticPr fontId="1"/>
  </si>
  <si>
    <t>1-3</t>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</si>
  <si>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</si>
  <si>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1-4</t>
    <phoneticPr fontId="1"/>
  </si>
  <si>
    <t>1-5</t>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</si>
  <si>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</si>
  <si>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3-1</t>
    <phoneticPr fontId="1"/>
  </si>
  <si>
    <t>3-2</t>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</si>
  <si>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</si>
  <si>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2-1</t>
  </si>
  <si>
    <t>2-2</t>
    <phoneticPr fontId="1"/>
  </si>
  <si>
    <t>2-3</t>
    <phoneticPr fontId="1"/>
  </si>
  <si>
    <t>コンピューターリテラシー</t>
  </si>
  <si>
    <t>○</t>
    <phoneticPr fontId="1"/>
  </si>
  <si>
    <t>情報化社会と技術</t>
    <phoneticPr fontId="1"/>
  </si>
  <si>
    <t>基礎統計学Ⅰ</t>
    <phoneticPr fontId="1"/>
  </si>
  <si>
    <t>⑨ 選択「４．オプション」の内容を含む授業科目</t>
    <rPh sb="14" eb="16">
      <t>ナイヨウ</t>
    </rPh>
    <rPh sb="17" eb="18">
      <t>フク</t>
    </rPh>
    <rPh sb="19" eb="21">
      <t>ジュギョウ</t>
    </rPh>
    <rPh sb="21" eb="23">
      <t>カモク</t>
    </rPh>
    <phoneticPr fontId="1"/>
  </si>
  <si>
    <t>選択項目</t>
    <rPh sb="0" eb="2">
      <t>センタク</t>
    </rPh>
    <rPh sb="2" eb="4">
      <t>コウモク</t>
    </rPh>
    <phoneticPr fontId="1"/>
  </si>
  <si>
    <t>⑩ プログラムを構成する授業の内容</t>
    <phoneticPr fontId="1"/>
  </si>
  <si>
    <t>授業に含まれている内容・要素</t>
    <phoneticPr fontId="1"/>
  </si>
  <si>
    <t>講義内容</t>
    <rPh sb="0" eb="2">
      <t>コウギ</t>
    </rPh>
    <rPh sb="2" eb="4">
      <t>ナイヨウ</t>
    </rPh>
    <phoneticPr fontId="1"/>
  </si>
  <si>
    <t>（１）現在進行中の社会変化（第４次産業革命、Society 5.0、データ駆動型社会等）に深く寄与しているものであり、それが自らの生活と密接に結びついている</t>
    <phoneticPr fontId="1"/>
  </si>
  <si>
    <t>・ビッグデータ、IoT、AI、ロボット 「コンピューターリテラシー」（1回目・15回目）、「情報化社会と技術」（13回目・15回目）
・データ量の増加、計算機の処理性能の向上、AIの非連続的進化 「コンピューターリテラシー」（1回目）
・第4次産業革命、Society 5.0、データ駆動型社会「コンピューターリテラシー」（1回目）
・複数技術を組み合わせたAIサービス「コンピューターリテラシー」（1回目）
・人間の知的活動とAIの関係性「コンピューターリテラシー」（1回目）
・データを起点としたものの見方、人間の知的活動を起点としたものの見方「コンピューターリテラシー」（1回目）</t>
    <rPh sb="41" eb="42">
      <t>カイ</t>
    </rPh>
    <rPh sb="42" eb="43">
      <t>メ</t>
    </rPh>
    <rPh sb="46" eb="49">
      <t>ジョウホウカ</t>
    </rPh>
    <rPh sb="49" eb="51">
      <t>シャカイ</t>
    </rPh>
    <rPh sb="52" eb="54">
      <t>ギジュツ</t>
    </rPh>
    <rPh sb="58" eb="60">
      <t>カイメ</t>
    </rPh>
    <rPh sb="63" eb="64">
      <t>カイ</t>
    </rPh>
    <rPh sb="64" eb="65">
      <t>メ</t>
    </rPh>
    <rPh sb="114" eb="115">
      <t>カイ</t>
    </rPh>
    <rPh sb="115" eb="116">
      <t>メ</t>
    </rPh>
    <phoneticPr fontId="1"/>
  </si>
  <si>
    <t>1-6</t>
    <phoneticPr fontId="1"/>
  </si>
  <si>
    <t>・AI等を活用した新しいビジネスモデル(シェアリングエコノミー、商品のレコメンデーションなど)「情報化社会と技術」（15回目）
・AI最新技術の活用例（深層生成モデル、敵対的生成ネットワーク、強化学習、転移学習など）「情報化社会と技術」（15回目）</t>
    <phoneticPr fontId="1"/>
  </si>
  <si>
    <t>（２）「社会で活用されているデータ」や「データの活用領域」は非常に広範囲であって、日常生活や社会の課題を解決する有用なツールになり得るもの</t>
    <phoneticPr fontId="1"/>
  </si>
  <si>
    <t>・調査データ、実験データ、人の行動ログデータ、機械の稼働ログデータなど「情報化社会と技術」（1回目・5回目）
・1次データ、2次データ、データのメタ化「情報化社会と技術」（1回目・5回目）
・構造化データ、非構造化データ（文章、画像/動画、音声/音楽など）「情報化社会と技術」（1回目・5回目）
・データ作成（ビッグデータとアノテーション）「情報化社会と技術」（1回目・5回目）
・データのオープン化（オープンデータ））「情報化社会と技術」（1回目・5回目）</t>
    <rPh sb="51" eb="52">
      <t>カイ</t>
    </rPh>
    <rPh sb="52" eb="53">
      <t>メ</t>
    </rPh>
    <phoneticPr fontId="1"/>
  </si>
  <si>
    <t>・データ・AI活用領域の広がり(生産、消費、文化活動など)「情報化社会と技術」（12回目）
・研究開発、調達、製造、物流、販売、マーケティング、サービスなど「情報化社会と技術」（12回目）
・仮説検証、知識発見、原因究明、計画策定、判断支援、活動代替、新規生成など「情報化社会と技術」（12回目）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</si>
  <si>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</si>
  <si>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xml:space="preserve">・データ解析：予測、グルーピング、パターン発見、最適化、シミュレーション・データ同化など「情報化社会と技術」（13回目）
・データ可視化：複合グラフ、2軸グラフ、多次元の可視化、関係性の可視化、地図上の可視化、挙動・軌跡の可視化、リアルタイム可視化など「情報化社会と技術」（13回目）
・非構造化データ処理：言語処理、画像/動画処理、音声/音楽処理など「情報化社会と技術」（13回目）
・特化型AIと汎用AI、今のAIで出来ることと出来ないこと、AIとビッグデータ「情報化社会と技術」（13回目）
・認識技術、ルールベース、自動化技術「情報化社会と技術」（13回目）
</t>
    <rPh sb="266" eb="267">
      <t>ジュツ</t>
    </rPh>
    <phoneticPr fontId="1"/>
  </si>
  <si>
    <t>（４）活用に当たっての様々な留意事項（ELSI、個人情報、データ倫理、ＡＩ社会原則等）を考慮し、情報セキュリティや情報漏洩等、データを守る上での留意事項への理解をする</t>
    <phoneticPr fontId="1"/>
  </si>
  <si>
    <t xml:space="preserve">・ELSI（Ethical, Legal and Social Issues）「情報化社会と技術」（10回目）
・個人情報保護、EU一般データ保護規則(GDPR)、忘れられる権利、オプトアウト「情報化社会と技術」（10回目）
・データ倫理：データのねつ造、改ざん、盗用、プライバシー保護）「情報化社会と技術」（10回目）
・AI社会原則（公平性、説明責任、透明性、人間中心の判断）「情報化社会と技術」（10回目）
・データバイアス、アルゴリズムバイアス「情報化社会と技術」（10回目）
・AIサービスの責任論「情報化社会と技術」（10回目）
・データ・AI活用における負の事例紹介「情報化社会と技術」（10回目）
</t>
    <phoneticPr fontId="1"/>
  </si>
  <si>
    <t>・情報セキュリティ：機密性、完全性、可用性「情報化社会と技術」（10回目）
・匿名加工情報、暗号化、パスワード、悪意ある情報搾取「情報化社会と技術」（10回目）
・情報漏洩等によるセキュリティ事故の事例紹介「情報化社会と技術」（10回目）</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</si>
  <si>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</si>
  <si>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2-1</t>
    <phoneticPr fontId="1"/>
  </si>
  <si>
    <t xml:space="preserve">・データの種類（量的変数、質的変数）「基礎統計学Ⅰ」（1回目）
・データの分布(ヒストグラム)と代表値（平均値、中央値、最頻値）「基礎統計学Ⅰ」（1回目）
・代表値の性質の違い（実社会では平均値＝最頻値でないことが多い）「基礎統計学Ⅰ」（1回目）
・データのばらつき（分散、標準偏差、偏差値）「基礎統計学Ⅰ」（2回目）
・相関と因果（相関係数、擬似相関、交絡）「基礎統計学Ⅰ」（3回目）
・母集団と標本抽出（国勢調査、アンケート調査、全数調査、単純無作為抽出、層別抽出、多段抽出）「基礎統計学Ⅰ」（1回目）
・クロス集計表、分割表、相関係数行列、散布図行列「コンピューターリテラシー」（8回目）、「基礎統計学Ⅰ」（2回目）
・統計情報の正しい理解（誇張表現に惑わされない）「基礎統計学Ⅰ」（2回目）
</t>
    <rPh sb="19" eb="24">
      <t>キソトウケイガク</t>
    </rPh>
    <rPh sb="294" eb="296">
      <t>カイメ</t>
    </rPh>
    <phoneticPr fontId="1"/>
  </si>
  <si>
    <t xml:space="preserve">・データ表現（棒グラフ、折線グラフ、散布図、ヒートマップ）「コンピューターリテラシー」（6回目・7回目・8回目）、「基礎統計学Ⅰ」（2回目）
・データの図表表現（チャート化）「コンピューターリテラシー」（6回目・7回目・8回目）、「基礎統計学Ⅰ」（2回目）
・不適切なグラフ表現（チャートジャンク、不必要な視覚的要素）「コンピューターリテラシー」（6回目・7回目・8回目）
・優れた可視化事例の紹介（可視化することによって新たな気づきがあった事例など）「情報化社会と技術」（12回目・13回目・14回目・15回目）、「基礎統計学Ⅰ」（2回目）
</t>
    <rPh sb="49" eb="50">
      <t>カイ</t>
    </rPh>
    <rPh sb="50" eb="51">
      <t>メ</t>
    </rPh>
    <rPh sb="53" eb="54">
      <t>カイ</t>
    </rPh>
    <rPh sb="54" eb="55">
      <t>メ</t>
    </rPh>
    <rPh sb="244" eb="245">
      <t>カイ</t>
    </rPh>
    <rPh sb="245" eb="246">
      <t>メ</t>
    </rPh>
    <rPh sb="249" eb="250">
      <t>カイ</t>
    </rPh>
    <rPh sb="250" eb="251">
      <t>メ</t>
    </rPh>
    <rPh sb="254" eb="255">
      <t>カイ</t>
    </rPh>
    <rPh sb="255" eb="256">
      <t>メ</t>
    </rPh>
    <phoneticPr fontId="1"/>
  </si>
  <si>
    <t>・データの集計（和、平均）「コンピューターリテラシー」（6回目・7回目・8回目）、「基礎統計学Ⅰ」（1回目）
・データの並び替え、ランキング「コンピューターリテラシー」（6回目・7回目・8回目）、「基礎統計学Ⅰ」（1回目）
・データ解析ツール（スプレッドシート）「コンピューターリテラシー」（6回目・7回目・8回目）
・表形式のデータ（csv）「コンピューターリテラシー」（7回目・8回目）</t>
    <phoneticPr fontId="1"/>
  </si>
  <si>
    <t>⑪ プログラムの学修成果（学生等が身に付けられる能力等）</t>
    <phoneticPr fontId="1"/>
  </si>
  <si>
    <t>【参考】</t>
    <rPh sb="1" eb="3">
      <t>サンコウ</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</si>
  <si>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</si>
  <si>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</si>
  <si>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</si>
  <si>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　プログラム必修科目「情報化社会と技術」のなかで、AIの活用領域やそのための技術、最新動向について講義し、実際に演習を交えながら理解を深める講義を行っている。
・AI社会原則（公平性、説明責任、透明性、人間中心の判断）「情報化社会と技術」（10回目）
・AIサービスの責任論「情報化社会と技術」（10回目）
・データ・AI活用における負の事例紹介「情報化社会と技術」（10回目）
・特化型AIと汎用AI、今のAIで出来ることと出来ないこと、AIとビッグデータ「情報化社会と技術」（13回目）
・流通、製造、金融、サービス、インフラ、公共、ヘルスケア等におけるデータ・AI利活用事例紹介「情報化社会と技術」（14回目）
・AI等を活用した新しいビジネスモデル(シェアリングエコノミー、商品のレコメンデーションなど)「情報化社会と技術」（15回目）
・AI最新技術の活用例（深層生成モデル、敵対的生成ネットワーク、強化学習、転移学習など）「情報化社会と技術」（15回目）</t>
    <rPh sb="6" eb="10">
      <t>ヒッシュウカモク</t>
    </rPh>
    <rPh sb="11" eb="16">
      <t>ジョウホウカシャカイ</t>
    </rPh>
    <rPh sb="17" eb="19">
      <t>ギジュツ</t>
    </rPh>
    <rPh sb="28" eb="32">
      <t>カツヨウリョウイキ</t>
    </rPh>
    <rPh sb="38" eb="40">
      <t>ギジュツ</t>
    </rPh>
    <rPh sb="41" eb="45">
      <t>サイシンドウコウ</t>
    </rPh>
    <rPh sb="49" eb="51">
      <t>コウギ</t>
    </rPh>
    <rPh sb="53" eb="55">
      <t>ジッサイ</t>
    </rPh>
    <rPh sb="56" eb="58">
      <t>エンシュウ</t>
    </rPh>
    <rPh sb="59" eb="60">
      <t>マジ</t>
    </rPh>
    <rPh sb="64" eb="66">
      <t>リカイ</t>
    </rPh>
    <rPh sb="67" eb="68">
      <t>フカ</t>
    </rPh>
    <rPh sb="70" eb="72">
      <t>コウギ</t>
    </rPh>
    <rPh sb="73" eb="74">
      <t>オコナ</t>
    </rPh>
    <phoneticPr fontId="1"/>
  </si>
  <si>
    <t>様式２</t>
    <phoneticPr fontId="1"/>
  </si>
  <si>
    <t>プログラムの履修者数等の実績について</t>
    <phoneticPr fontId="1"/>
  </si>
  <si>
    <t>①プログラム開設年度</t>
    <rPh sb="6" eb="8">
      <t>カイセツ</t>
    </rPh>
    <rPh sb="8" eb="10">
      <t>ネンド</t>
    </rPh>
    <phoneticPr fontId="1"/>
  </si>
  <si>
    <t>年度</t>
    <rPh sb="0" eb="2">
      <t>ネンド</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</si>
  <si>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</si>
  <si>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</si>
  <si>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</si>
  <si>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</si>
  <si>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</si>
  <si>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</si>
  <si>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人</t>
    <rPh sb="0" eb="1">
      <t>ニン</t>
    </rPh>
    <phoneticPr fontId="1"/>
  </si>
  <si>
    <t>）</t>
    <phoneticPr fontId="1"/>
  </si>
  <si>
    <t>③履修者・修了者の実績</t>
    <rPh sb="1" eb="3">
      <t>リシュウ</t>
    </rPh>
    <rPh sb="3" eb="4">
      <t>シャ</t>
    </rPh>
    <rPh sb="5" eb="8">
      <t>シュウリョウシャ</t>
    </rPh>
    <rPh sb="9" eb="11">
      <t>ジッセキ</t>
    </rPh>
    <phoneticPr fontId="1"/>
  </si>
  <si>
    <t>学部・学科名称</t>
    <rPh sb="0" eb="2">
      <t>ガクブ</t>
    </rPh>
    <rPh sb="3" eb="5">
      <t>ガッカ</t>
    </rPh>
    <rPh sb="5" eb="7">
      <t>メイショウ</t>
    </rPh>
    <phoneticPr fontId="1"/>
  </si>
  <si>
    <t>学生数</t>
    <rPh sb="0" eb="3">
      <t>ガクセイスウ</t>
    </rPh>
    <phoneticPr fontId="1"/>
  </si>
  <si>
    <t>入学
定員</t>
    <rPh sb="0" eb="2">
      <t>ニュウガク</t>
    </rPh>
    <rPh sb="3" eb="5">
      <t>テイイン</t>
    </rPh>
    <phoneticPr fontId="1"/>
  </si>
  <si>
    <t>収容
定員</t>
    <rPh sb="0" eb="2">
      <t>シュウヨウ</t>
    </rPh>
    <rPh sb="3" eb="5">
      <t>テイイン</t>
    </rPh>
    <phoneticPr fontId="1"/>
  </si>
  <si>
    <t>令和5年度</t>
    <rPh sb="0" eb="2">
      <t>レイワ</t>
    </rPh>
    <rPh sb="3" eb="5">
      <t>ネンド</t>
    </rPh>
    <phoneticPr fontId="1"/>
  </si>
  <si>
    <t>令和4年度</t>
    <rPh sb="0" eb="2">
      <t>レイワ</t>
    </rPh>
    <rPh sb="3" eb="5">
      <t>ネンド</t>
    </rPh>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</si>
  <si>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</si>
  <si>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</si>
  <si>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</si>
  <si>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</si>
  <si>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履修者数
合計</t>
    <rPh sb="0" eb="2">
      <t>リシュウ</t>
    </rPh>
    <rPh sb="2" eb="3">
      <t>シャ</t>
    </rPh>
    <rPh sb="3" eb="4">
      <t>スウ</t>
    </rPh>
    <rPh sb="5" eb="7">
      <t>ゴウケイ</t>
    </rPh>
    <phoneticPr fontId="1"/>
  </si>
  <si>
    <t>履修率</t>
    <rPh sb="0" eb="2">
      <t>リシュウ</t>
    </rPh>
    <rPh sb="2" eb="3">
      <t>リツ</t>
    </rPh>
    <phoneticPr fontId="1"/>
  </si>
  <si>
    <t>履修者数</t>
    <rPh sb="0" eb="3">
      <t>リシュウシャ</t>
    </rPh>
    <rPh sb="3" eb="4">
      <t>スウ</t>
    </rPh>
    <phoneticPr fontId="1"/>
  </si>
  <si>
    <t>修了者数</t>
    <rPh sb="0" eb="3">
      <t>シュウリョウシャ</t>
    </rPh>
    <rPh sb="3" eb="4">
      <t>スウ</t>
    </rPh>
    <phoneticPr fontId="1"/>
  </si>
  <si>
    <t>事業構想学群</t>
  </si>
  <si>
    <t>食産業学群</t>
  </si>
  <si>
    <t>合　計</t>
    <phoneticPr fontId="1"/>
  </si>
  <si>
    <t>　　　　　　　　　　　　　　　　　　　　　　　　　　　　　　　　　　　　　　　　　　　　　　　　　　　　　　　　　　　　　　　　　　　　　　　　　　　　　　　　　　　　　　　　　　　　　　　　　　　　　　　　　　　　　　　　　　　　　　　　　　　　　　　　　　　　　　　　　　　　　　　　　　　　　　　　　　　　　　　　　　　　　　　　　　　　　　　　　　　　　　　　　　　　　　　　　　　　　　　　　　　　　　　　　　　　　　　　　　　　　　　　　　　　　　　　　　　　　　　　　　　　　　　　　　　　　　　　　　　　　　　　　　　　　　　　　　　　　　　　　　　　　　　　　　　　　　　　　　　　　　　　　　　　　　　　　　　　　　　　　　　　　　　　　　　　　　　　　　　　　　　　　　　　　　　　　　　　　　　　　　　　　　　　　　　　　　　　　　　　　　　　　　　　　　　　　　　　　　　　　　　　　　　　　　　　　　　　　　　　　　　　　　　　　　　　　　　　　　　　　　　　　　　　　　　　　　　　　　　　　　　　　　　　　　　　　　　　　　　　　　　　　　　　　　　　　　　　　　　　　　　　　　　　　　　　　　　　　　　　　　　　　　　　　　　　　　　　　　　　　　　　　　　　　　　　　　　　　　　　　　　　　　　　　　　　　　　　　　　　　　　　　　　　　　　　　　　　　　　　　　　　　　　　　　　　　　　　　　　　　　　　　　　　　　　　　　　　　　　　　　　　　　　　　　　　　　　　　　　　　　　　　　　　　　　　　　　　　　　　　　　　　　　　　　　　　　　　　　　　　　　　　　　　　　　　　　　　　　　　　　　　　　　　　　　　　　</t>
    <phoneticPr fontId="1"/>
  </si>
  <si>
    <t>様式３</t>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</si>
  <si>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</si>
  <si>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①</t>
    <phoneticPr fontId="1"/>
  </si>
  <si>
    <t>全学の教員数</t>
    <rPh sb="0" eb="2">
      <t>ゼンガク</t>
    </rPh>
    <rPh sb="3" eb="6">
      <t>キョウインスウ</t>
    </rPh>
    <phoneticPr fontId="1"/>
  </si>
  <si>
    <t>(常勤）</t>
    <rPh sb="1" eb="3">
      <t>ジョウキン</t>
    </rPh>
    <phoneticPr fontId="1"/>
  </si>
  <si>
    <t>（非常勤）</t>
    <rPh sb="1" eb="4">
      <t>ヒジョウキン</t>
    </rPh>
    <phoneticPr fontId="1"/>
  </si>
  <si>
    <t>②</t>
    <phoneticPr fontId="1"/>
  </si>
  <si>
    <t>プログラムの授業を教えている教員数</t>
    <rPh sb="6" eb="8">
      <t>ジュギョウ</t>
    </rPh>
    <rPh sb="9" eb="10">
      <t>オシ</t>
    </rPh>
    <rPh sb="14" eb="17">
      <t>キョウインスウ</t>
    </rPh>
    <phoneticPr fontId="1"/>
  </si>
  <si>
    <t>③</t>
    <phoneticPr fontId="1"/>
  </si>
  <si>
    <t>プログラムの運営責任者</t>
    <rPh sb="6" eb="8">
      <t>ウンエイ</t>
    </rPh>
    <rPh sb="8" eb="11">
      <t>セキニンシャ</t>
    </rPh>
    <phoneticPr fontId="1"/>
  </si>
  <si>
    <t>（責任者名）</t>
    <rPh sb="1" eb="4">
      <t>セキニンシャ</t>
    </rPh>
    <rPh sb="4" eb="5">
      <t>メイ</t>
    </rPh>
    <phoneticPr fontId="1"/>
  </si>
  <si>
    <t>基盤教育群長</t>
  </si>
  <si>
    <t>（役職名）</t>
    <rPh sb="1" eb="4">
      <t>ヤクショクメイ</t>
    </rPh>
    <phoneticPr fontId="1"/>
  </si>
  <si>
    <t>④</t>
    <phoneticPr fontId="1"/>
  </si>
  <si>
    <t>プログラムを改善・進化させるための体制（委員会・組織等）</t>
    <phoneticPr fontId="1"/>
  </si>
  <si>
    <t>⑤</t>
    <phoneticPr fontId="1"/>
  </si>
  <si>
    <t>プログラムを改善・進化させるための体制を定める規則名称</t>
    <phoneticPr fontId="1"/>
  </si>
  <si>
    <t>基盤教育群運営等規程</t>
    <phoneticPr fontId="1"/>
  </si>
  <si>
    <t>⑥</t>
    <phoneticPr fontId="1"/>
  </si>
  <si>
    <t>体制の目的</t>
    <rPh sb="0" eb="2">
      <t>タイセイ</t>
    </rPh>
    <rPh sb="3" eb="5">
      <t>モクテキ</t>
    </rPh>
    <phoneticPr fontId="1"/>
  </si>
  <si>
    <t>⑦</t>
    <phoneticPr fontId="1"/>
  </si>
  <si>
    <t>具体的な構成員</t>
    <rPh sb="0" eb="3">
      <t>グタイテキ</t>
    </rPh>
    <rPh sb="4" eb="7">
      <t>コウセイイン</t>
    </rPh>
    <phoneticPr fontId="1"/>
  </si>
  <si>
    <t>⑧</t>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</si>
  <si>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</si>
  <si>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令和５年度実績</t>
    <rPh sb="0" eb="2">
      <t>レイワ</t>
    </rPh>
    <rPh sb="3" eb="5">
      <t>ネンド</t>
    </rPh>
    <rPh sb="5" eb="7">
      <t>ジッセキ</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</si>
  <si>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</si>
  <si>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</si>
  <si>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令和８年度予定</t>
    <rPh sb="0" eb="2">
      <t>レイワ</t>
    </rPh>
    <rPh sb="3" eb="5">
      <t>ネンド</t>
    </rPh>
    <rPh sb="5" eb="7">
      <t>ヨテイ</t>
    </rPh>
    <phoneticPr fontId="1"/>
  </si>
  <si>
    <t>令和９年度予定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</si>
  <si>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</si>
  <si>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</si>
  <si>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⑨</t>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</si>
  <si>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</si>
  <si>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⑩</t>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</si>
  <si>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</si>
  <si>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⑪</t>
    <phoneticPr fontId="1"/>
  </si>
  <si>
    <t>できる限り多くの学生が履修・修得できるようなサポート体制</t>
    <rPh sb="26" eb="28">
      <t>タイセイ</t>
    </rPh>
    <phoneticPr fontId="1"/>
  </si>
  <si>
    <t>⑫</t>
    <phoneticPr fontId="1"/>
  </si>
  <si>
    <t>授業時間内外で学習指導、質問を受け付ける具体的な仕組み</t>
    <rPh sb="20" eb="23">
      <t>グタイテキ</t>
    </rPh>
    <phoneticPr fontId="1"/>
  </si>
  <si>
    <t>　　　　　　　　　　　　　　　　　　　　　　　　　　　　　　　　　　　　　　　　　　　　　　　　　　　　　　　　　　　　　　　　　　　　　　　　　</t>
    <phoneticPr fontId="1"/>
  </si>
  <si>
    <t>様式４</t>
    <phoneticPr fontId="1"/>
  </si>
  <si>
    <t>自己点検・評価について</t>
    <rPh sb="0" eb="2">
      <t>ジコ</t>
    </rPh>
    <rPh sb="2" eb="4">
      <t>テンケン</t>
    </rPh>
    <rPh sb="5" eb="7">
      <t>ヒョウカ</t>
    </rPh>
    <phoneticPr fontId="1"/>
  </si>
  <si>
    <t>プログラムの自己点検・評価を行う体制（委員会・組織等）</t>
    <phoneticPr fontId="1"/>
  </si>
  <si>
    <t>カリキュラムセンター長</t>
  </si>
  <si>
    <t>自己点検・評価体制における意見等</t>
    <rPh sb="15" eb="16">
      <t>トウ</t>
    </rPh>
    <phoneticPr fontId="1"/>
  </si>
  <si>
    <t>自己点検・評価の視点</t>
    <rPh sb="0" eb="2">
      <t>ジコ</t>
    </rPh>
    <rPh sb="2" eb="4">
      <t>テンケン</t>
    </rPh>
    <rPh sb="5" eb="7">
      <t>ヒョウカ</t>
    </rPh>
    <rPh sb="8" eb="10">
      <t>シテン</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</si>
  <si>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</si>
  <si>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</si>
  <si>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</si>
  <si>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</si>
  <si>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</si>
  <si>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</si>
  <si>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</si>
  <si>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　初年次教育フレッシュマンコア科目の全学必修科目に含まれているため、特に履修率向上に向けた計画の策定は行っていない。
　このプログラムを構成する３科目「コンピューターリテラシー」、「情報化社会と技術」、「基礎統計学Ⅰ」は、基盤教育科目の全学1年次必修科目として令和4年度に開設され、令和7年度には履修率100%となる計画となっている。</t>
    <rPh sb="34" eb="35">
      <t>トク</t>
    </rPh>
    <rPh sb="158" eb="160">
      <t>ケイカク</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</si>
  <si>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</si>
  <si>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</si>
  <si>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</si>
  <si>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</si>
  <si>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 xml:space="preserve">　本学では入学者全員がノートPCを購入し学内ネットワークに接続してLMS等を活用する「BYOD（Bring Your Own Device）制」をとっており、自己PCの管理や情報スキル、基本アプリケーションの操作は本学における学修上必須のものとなっている。本プログラムにおける修得内容が、現代社会においてどのような価値・位置づけになるかを説明するとともに、それぞれの学群学類における専門教育での応用的な展開についても説明をし、本プログラムを学ぶことの意義を理解させている。
　また、講義の中で演習やグループワークなど一部アクティブラーニングを取り込んで興味関心を促すとともに、各学群の専門性に即した最先端の事例などを紹介することで本プログラムの意義を理解させる。
</t>
    <rPh sb="241" eb="243">
      <t>コウギ</t>
    </rPh>
    <rPh sb="244" eb="245">
      <t>ナカ</t>
    </rPh>
    <rPh sb="246" eb="248">
      <t>エンシュウ</t>
    </rPh>
    <rPh sb="258" eb="260">
      <t>イチブ</t>
    </rPh>
    <rPh sb="271" eb="272">
      <t>ト</t>
    </rPh>
    <rPh sb="273" eb="274">
      <t>コ</t>
    </rPh>
    <rPh sb="276" eb="280">
      <t>キョウミカンシン</t>
    </rPh>
    <rPh sb="281" eb="282">
      <t>ウナガ</t>
    </rPh>
    <rPh sb="288" eb="291">
      <t>カクガクグン</t>
    </rPh>
    <rPh sb="292" eb="295">
      <t>センモンセイ</t>
    </rPh>
    <rPh sb="296" eb="297">
      <t>ソク</t>
    </rPh>
    <rPh sb="299" eb="302">
      <t>サイセンタン</t>
    </rPh>
    <rPh sb="303" eb="305">
      <t>ジレイ</t>
    </rPh>
    <rPh sb="308" eb="310">
      <t>ショウカイ</t>
    </rPh>
    <rPh sb="315" eb="316">
      <t>ホン</t>
    </rPh>
    <rPh sb="322" eb="324">
      <t>イギ</t>
    </rPh>
    <rPh sb="325" eb="327">
      <t>リカイ</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</si>
  <si>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</si>
  <si>
    <t>基盤教育群</t>
    <phoneticPr fontId="1"/>
  </si>
  <si>
    <t>蒔苗耕司</t>
    <rPh sb="0" eb="2">
      <t>マカナエ</t>
    </rPh>
    <rPh sb="2" eb="4">
      <t>コウジ</t>
    </rPh>
    <phoneticPr fontId="1"/>
  </si>
  <si>
    <t>平岡善浩</t>
    <rPh sb="0" eb="2">
      <t>ヒラオカ</t>
    </rPh>
    <rPh sb="2" eb="3">
      <t>ゼン</t>
    </rPh>
    <rPh sb="3" eb="4">
      <t>コウ</t>
    </rPh>
    <phoneticPr fontId="1"/>
  </si>
  <si>
    <t>　基盤教育とは、宮城大学（以下「本学」という。）の共通の教育基盤として、人間力を高めるとともに、広く、かつ、深く学び続ける力を養成し、将来にわたって明日の姿を見通す力を身につけるための技法知、学問知及び実践知を育むために、本学が全学体制で行う教育をいう。
　基盤教育群は、基盤教育の運営及び実施の中心的な業務を担い、基盤教育の質的向上及び充実を図る組織であり、本プログラムを構成する3科目は全学必修の基盤教育科目として位置づけられている。</t>
    <rPh sb="174" eb="176">
      <t>ソシキ</t>
    </rPh>
    <rPh sb="180" eb="181">
      <t>ホン</t>
    </rPh>
    <rPh sb="187" eb="189">
      <t>コウセイ</t>
    </rPh>
    <rPh sb="192" eb="194">
      <t>カモク</t>
    </rPh>
    <rPh sb="195" eb="197">
      <t>ゼンガク</t>
    </rPh>
    <rPh sb="197" eb="199">
      <t>ヒッシュウ</t>
    </rPh>
    <rPh sb="200" eb="206">
      <t>キバンキョウイクカモク</t>
    </rPh>
    <rPh sb="209" eb="211">
      <t>イチ</t>
    </rPh>
    <phoneticPr fontId="1"/>
  </si>
  <si>
    <t>　授業評価アンケートの実施し、結果を数値化して授業改善計画と共に大学WEBで公開しており、対象科目について満足度・他の学生への推奨度共に概ね良好な評価を得ている。また、授業改善計画のなかで自由記述の意見をピックアップして教員がコメントを記載することとなっており、学生に対しても受講状況が把握できる情報を提供している。</t>
    <rPh sb="18" eb="21">
      <t>スウチカ</t>
    </rPh>
    <rPh sb="23" eb="29">
      <t>ジュギョウカイゼンケイカク</t>
    </rPh>
    <rPh sb="30" eb="31">
      <t>トモ</t>
    </rPh>
    <rPh sb="53" eb="56">
      <t>マンゾクド</t>
    </rPh>
    <rPh sb="57" eb="58">
      <t>タ</t>
    </rPh>
    <rPh sb="59" eb="61">
      <t>ガクセイ</t>
    </rPh>
    <rPh sb="63" eb="65">
      <t>スイショウ</t>
    </rPh>
    <rPh sb="65" eb="66">
      <t>ド</t>
    </rPh>
    <rPh sb="66" eb="67">
      <t>トモ</t>
    </rPh>
    <rPh sb="73" eb="75">
      <t>ヒョウカ</t>
    </rPh>
    <rPh sb="76" eb="77">
      <t>エ</t>
    </rPh>
    <rPh sb="87" eb="91">
      <t>ジユウキジュツ</t>
    </rPh>
    <rPh sb="92" eb="94">
      <t>イケン</t>
    </rPh>
    <rPh sb="103" eb="105">
      <t>キョウイン</t>
    </rPh>
    <rPh sb="111" eb="113">
      <t>キサイ</t>
    </rPh>
    <rPh sb="124" eb="126">
      <t>ガクセイ</t>
    </rPh>
    <rPh sb="127" eb="128">
      <t>タイ</t>
    </rPh>
    <rPh sb="131" eb="133">
      <t>ジュコウ</t>
    </rPh>
    <rPh sb="133" eb="135">
      <t>ジョウキョウ</t>
    </rPh>
    <rPh sb="136" eb="138">
      <t>ハアク</t>
    </rPh>
    <rPh sb="141" eb="143">
      <t>ジョウホウ</t>
    </rPh>
    <rPh sb="144" eb="146">
      <t>テイキョウ</t>
    </rPh>
    <phoneticPr fontId="1"/>
  </si>
  <si>
    <t>　令和7年度以降の卒業生に向けた卒業生調査において、本プログラムを修了した卒業生の進路先や活躍状況の把握を行うよう検討している。また、就職先を中心とした企業調査の仕組みを活用して、本教育プログラムを修了した卒業生の採用状況や企業からの評価を把握する仕組みを構築していく。</t>
    <rPh sb="53" eb="54">
      <t>オコナ</t>
    </rPh>
    <rPh sb="57" eb="59">
      <t>ケントウ</t>
    </rPh>
    <phoneticPr fontId="1"/>
  </si>
  <si>
    <r>
      <t>　本学就職担当部局のキャリア開発室における調査ヒアリングにおいて、特に統計解析スキルは分野を問わずに必須項目であり、多くの企業や組織団体から、”統計解析ができる・得意な”人材が必要であるという声を聞いてる。</t>
    </r>
    <r>
      <rPr>
        <sz val="12"/>
        <rFont val="ＭＳ Ｐゴシック"/>
        <family val="3"/>
        <charset val="128"/>
        <scheme val="minor"/>
      </rPr>
      <t>簡単な基本統計量だけでなく、データの整理と可視化、分布と分散の扱いや評価、推測統計の活用法は実社会において求められていると</t>
    </r>
    <r>
      <rPr>
        <sz val="12"/>
        <color theme="1"/>
        <rFont val="ＭＳ Ｐゴシック"/>
        <family val="3"/>
        <charset val="128"/>
        <scheme val="minor"/>
      </rPr>
      <t>認識している。</t>
    </r>
    <r>
      <rPr>
        <sz val="12"/>
        <rFont val="ＭＳ Ｐゴシック"/>
        <family val="3"/>
        <charset val="128"/>
        <scheme val="minor"/>
      </rPr>
      <t>本学は1年次から必修としており、</t>
    </r>
    <r>
      <rPr>
        <sz val="12"/>
        <color theme="1"/>
        <rFont val="ＭＳ Ｐゴシック"/>
        <family val="3"/>
        <charset val="128"/>
        <scheme val="minor"/>
      </rPr>
      <t>その後の応用科目も選択性で開講しており、数理統計に関する教育プログラムに力を入れているが、</t>
    </r>
    <r>
      <rPr>
        <sz val="12"/>
        <rFont val="ＭＳ Ｐゴシック"/>
        <family val="3"/>
        <charset val="128"/>
        <scheme val="minor"/>
      </rPr>
      <t>学生の高校時代に身に着けているべき統計知識やPCスキルの力量差が大きく、基礎から指導する局面が多い。</t>
    </r>
    <r>
      <rPr>
        <sz val="12"/>
        <color theme="1"/>
        <rFont val="ＭＳ Ｐゴシック"/>
        <family val="3"/>
        <charset val="128"/>
        <scheme val="minor"/>
      </rPr>
      <t>重要なことは、統計データを適切な手法で処理し、解釈を行って結論を導き出せる力量を学生が身に着けられるようにすることであり、しっかりとした統計理論を理解させ、その上で解析技術を使ってその結果を正しく解釈できるようになることが理想である。また、力量の評価に「統計検定」などを利用することも検討を進めている。
　また、企業や団体で実務経験のある実務家教員が科目を担当しており、産業界のニーズや技術革新にキャッチアップする体制としている。さらに今後は、本学で進めている社会人向けリカレント教育プログラムや高校生向けのDX教育プログラムと連動させることで、一貫した生涯キャリアを意識した教育プログラムへと位置づけていく。</t>
    </r>
    <rPh sb="1" eb="3">
      <t>ホンガク</t>
    </rPh>
    <rPh sb="3" eb="7">
      <t>シュウショクタントウ</t>
    </rPh>
    <rPh sb="7" eb="9">
      <t>ブキョク</t>
    </rPh>
    <rPh sb="14" eb="17">
      <t>カイハツシツ</t>
    </rPh>
    <rPh sb="21" eb="23">
      <t>チョウサ</t>
    </rPh>
    <rPh sb="164" eb="166">
      <t>ニンシキ</t>
    </rPh>
    <rPh sb="176" eb="177">
      <t>ジ</t>
    </rPh>
    <rPh sb="249" eb="251">
      <t>トウケイ</t>
    </rPh>
    <rPh sb="251" eb="253">
      <t>チシキ</t>
    </rPh>
    <rPh sb="268" eb="270">
      <t>キソ</t>
    </rPh>
    <rPh sb="322" eb="324">
      <t>ガクセイ</t>
    </rPh>
    <rPh sb="325" eb="326">
      <t>ミ</t>
    </rPh>
    <rPh sb="327" eb="328">
      <t>ツ</t>
    </rPh>
    <rPh sb="424" eb="426">
      <t>ケントウ</t>
    </rPh>
    <rPh sb="427" eb="428">
      <t>スス</t>
    </rPh>
    <rPh sb="438" eb="440">
      <t>キギョウ</t>
    </rPh>
    <rPh sb="441" eb="443">
      <t>ダンタイ</t>
    </rPh>
    <rPh sb="451" eb="454">
      <t>ジツムカ</t>
    </rPh>
    <rPh sb="454" eb="456">
      <t>キョウイン</t>
    </rPh>
    <rPh sb="457" eb="459">
      <t>カモク</t>
    </rPh>
    <rPh sb="460" eb="462">
      <t>タントウ</t>
    </rPh>
    <rPh sb="467" eb="470">
      <t>サンギョウカイ</t>
    </rPh>
    <rPh sb="475" eb="477">
      <t>ギジュツ</t>
    </rPh>
    <rPh sb="477" eb="479">
      <t>カクシン</t>
    </rPh>
    <rPh sb="489" eb="491">
      <t>タイセイ</t>
    </rPh>
    <rPh sb="500" eb="502">
      <t>コンゴ</t>
    </rPh>
    <rPh sb="504" eb="506">
      <t>ホンガク</t>
    </rPh>
    <rPh sb="507" eb="508">
      <t>スス</t>
    </rPh>
    <rPh sb="512" eb="515">
      <t>シャカイジン</t>
    </rPh>
    <rPh sb="515" eb="516">
      <t>ム</t>
    </rPh>
    <rPh sb="522" eb="524">
      <t>キョウイク</t>
    </rPh>
    <rPh sb="530" eb="534">
      <t>コウコウセイム</t>
    </rPh>
    <rPh sb="538" eb="540">
      <t>キョウイク</t>
    </rPh>
    <rPh sb="546" eb="548">
      <t>レンドウ</t>
    </rPh>
    <rPh sb="555" eb="557">
      <t>イッカン</t>
    </rPh>
    <rPh sb="559" eb="561">
      <t>ショウガイ</t>
    </rPh>
    <rPh sb="566" eb="568">
      <t>イシキ</t>
    </rPh>
    <rPh sb="570" eb="572">
      <t>キョウイク</t>
    </rPh>
    <rPh sb="579" eb="581">
      <t>イチ</t>
    </rPh>
    <phoneticPr fontId="1"/>
  </si>
  <si>
    <r>
      <t>　本プログラムを構成する3科目とも、クラス担当を学生の所属学群専任教員又は基盤教育群教員が担当し、履修生の学修状況を把握しやすい体制としている。また、科目ごとに責任教員を置き、共通シラバスや成績ルーブリックの作成、教育方法や進捗についてクラス間の調整、共通の教科書や教材の選定などを行い、担当教員ごとに差が生じないよう配慮している。</t>
    </r>
    <r>
      <rPr>
        <sz val="12"/>
        <rFont val="ＭＳ Ｐゴシック"/>
        <family val="3"/>
        <charset val="128"/>
        <scheme val="minor"/>
      </rPr>
      <t xml:space="preserve">さらに、クラスごとに学生ティーチングアシスタントを配置し、授業時間中のサポートやメール等で質問を受けやすい環境を整えたり、学内のコモンズ環境で担当教員が補講をしたり質問を受けたりする時間をとるなどサポート体制を整えている。
</t>
    </r>
    <rPh sb="35" eb="36">
      <t>マタ</t>
    </rPh>
    <rPh sb="37" eb="42">
      <t>キバンキョウイクグン</t>
    </rPh>
    <rPh sb="42" eb="44">
      <t>キョウイン</t>
    </rPh>
    <rPh sb="80" eb="81">
      <t>オ</t>
    </rPh>
    <rPh sb="85" eb="87">
      <t>セキニン</t>
    </rPh>
    <rPh sb="87" eb="89">
      <t>キョウイン</t>
    </rPh>
    <phoneticPr fontId="1"/>
  </si>
  <si>
    <t>【基盤教育群構成員】
基盤教育群長　教授　平岡善浩
基盤教育群　准教授　三浦幸平　（数学・数理科学）
事業構想学群　教授　須栗裕樹　（情報科学・情報工学）
食産業学群　教授　須田義人　（統計学）
【プログラム３科目担当教員】
①「コンピューターリテラシー」
事業構想学群　教授　須栗裕樹　（科目責任教員）
看護学群　准教授　萩原潤
事業構想学群　准教授　鈴木優
食産業学群　講師　紺屋直樹
食産業学群　准教授　後藤勲
②「情報化社会と技術」
事業構想学群　教授　須栗裕樹　（科目責任教員）
事業構想学群　助教　薄井洋子
食産業学群　講師　紺屋直樹
食産業学群　准教授　後藤勲
③「基礎統計学Ⅰ」
食産業学群　教授　須田義人　（科目責任教員）
看護学群　准教授　萩原潤
看護学群　准教授　平泉拓
事業構想学群　准教授　安藤裕
食産業学群　講師　紺屋直樹
基盤教育群　准教授　三浦幸平</t>
    <phoneticPr fontId="1"/>
  </si>
  <si>
    <t>宮城大学　数理・データサイエンス・AI教育プログラム
（MYU－MDASH）</t>
    <rPh sb="0" eb="2">
      <t>ミヤギ</t>
    </rPh>
    <rPh sb="2" eb="4">
      <t>ダイガク</t>
    </rPh>
    <rPh sb="5" eb="7">
      <t>スウリ</t>
    </rPh>
    <rPh sb="19" eb="21">
      <t>キョウイク</t>
    </rPh>
    <phoneticPr fontId="1"/>
  </si>
  <si>
    <r>
      <t xml:space="preserve">　学内のコモンズ環境である「スチューデントコモンズ」では、対面で当該科目に関する補講や質問を受け付ける機会を設けたり、「データ＆メディアコモンズ」では基礎的なPC操作やMicrosoft Officeの操作サポートなどを受け付けている。また、担当教員が、随時、メール、LMS等の方法で質問を受け付けて、学生の主体的な学びを促している。
</t>
    </r>
    <r>
      <rPr>
        <sz val="12"/>
        <color rgb="FFFF0000"/>
        <rFont val="ＭＳ Ｐゴシック"/>
        <family val="3"/>
        <charset val="128"/>
        <scheme val="minor"/>
      </rPr>
      <t>　</t>
    </r>
    <r>
      <rPr>
        <sz val="12"/>
        <rFont val="ＭＳ Ｐゴシック"/>
        <family val="3"/>
        <charset val="128"/>
        <scheme val="minor"/>
      </rPr>
      <t>なお、令和6年度よりさらなる学修支援に向け、シラバス内に教員への質問方法等を明記することとしている。</t>
    </r>
    <phoneticPr fontId="1"/>
  </si>
  <si>
    <t>・データサイエンスのサイクル（課題抽出と定式化、データの取得・管理・加工、探索的データ解析、データ解析と推論、結果の共有・伝達、課題解決に向けた提案）「情報化社会と技術」（2回目・4回目・14回目）
・流通、製造、金融、サービス、インフラ、公共、ヘルスケア等におけるデータ・AI利活用事例紹介「情報化社会と技術」（14回目）</t>
    <rPh sb="87" eb="88">
      <t>カイ</t>
    </rPh>
    <rPh sb="88" eb="89">
      <t>メ</t>
    </rPh>
    <rPh sb="91" eb="92">
      <t>カイ</t>
    </rPh>
    <rPh sb="92" eb="93">
      <t>メ</t>
    </rPh>
    <phoneticPr fontId="1"/>
  </si>
  <si>
    <t>プログラムを構成する次の必修科目（6単位）の修得を修了要件とする。
・コンピューターリテラシー（講義・2単位・全学群必修）
・情報化社会と技術（講義・2単位・全学群必修）
・基礎統計学Ⅰ（講義・2単位・全学群必修）</t>
    <rPh sb="10" eb="11">
      <t>ツギ</t>
    </rPh>
    <phoneticPr fontId="1"/>
  </si>
  <si>
    <r>
      <rPr>
        <sz val="12"/>
        <color rgb="FF000000"/>
        <rFont val="ＭＳ Ｐゴシック"/>
        <family val="3"/>
        <charset val="128"/>
        <scheme val="minor"/>
      </rPr>
      <t xml:space="preserve">
　現代社会において必須となるAIやビッグデータを活用する知識やスキルを、情報科学やコンピューター工学、統計学といった学術的な視点から学ぶ。大学生あるいは社会人としてコンピューターやネットワークを学術的、実践的に使いこなし、様々なデータに対して正しい知識と解析技術をもって妥当な解釈を得る能力を身に着ける。
　具体的には、PCの基本的な操作、応用ソフトウエアを用いた文書作成、表計算、プレゼンテーション作成、インターネットを用いた情報収集、分析など、コンピューターを用いて学術的な活動を行うための基礎スキルを身に着ける。
　また、データサイエンスとAIの基礎理論として、情報を処理する仕組み（コンピューターの仕組みとハードウェア）と情報の表現（コンピュテーションとデータ）、情報の計算（プログラミング）と情報の伝達（ネットワーキングとWWW）を理解し説明できるようになる。また、データとAIの利活用について説明できるようになる。
　</t>
    </r>
    <r>
      <rPr>
        <sz val="12"/>
        <rFont val="ＭＳ Ｐゴシック"/>
        <family val="3"/>
        <charset val="128"/>
        <scheme val="minor"/>
      </rPr>
      <t>さらに、標本であるデータの構造を理解する手法として記述統計を基礎とした解析法を学び、基本統計量を用いて標本データの整理法を理解できるようになる。</t>
    </r>
    <r>
      <rPr>
        <sz val="12"/>
        <color rgb="FF000000"/>
        <rFont val="ＭＳ Ｐゴシック"/>
        <family val="3"/>
        <charset val="128"/>
        <scheme val="minor"/>
      </rPr>
      <t xml:space="preserve">データ構造を理解し、加工や集計しながら傾向をとらえて適切に表現し説明できること、確率的思考をもとに確率分布や正規分布を理解しデータとの関係を説明できること、標本と母集団の関係を正しく理解し標本分布を応用し説明できることを目指している。
</t>
    </r>
    <r>
      <rPr>
        <sz val="12"/>
        <rFont val="ＭＳ Ｐゴシック"/>
        <family val="3"/>
        <charset val="128"/>
        <scheme val="minor"/>
      </rPr>
      <t>　プログラムを構成する3科目は、3学群共通の基盤教育科目として「フレッシュマンコア（全学必修科目群）」に位置付けられており、本学生として学術的実践的に研究やPBLを行う必須の知識やスキルであり、フレッシュマンコア科目であるスタートアップセミナー（導入科目）や地域フィールドワークなどと科目連携しながら学びを深めるカリキュラム構成となっている。</t>
    </r>
    <r>
      <rPr>
        <sz val="12"/>
        <color rgb="FFFF0000"/>
        <rFont val="ＭＳ Ｐゴシック"/>
        <family val="3"/>
        <charset val="128"/>
        <scheme val="minor"/>
      </rPr>
      <t xml:space="preserve">
</t>
    </r>
    <r>
      <rPr>
        <sz val="12"/>
        <color rgb="FF000000"/>
        <rFont val="ＭＳ Ｐゴシック"/>
        <family val="3"/>
        <charset val="128"/>
        <scheme val="minor"/>
      </rPr>
      <t xml:space="preserve">　プログラムを通して、大学生として学術的な目的においてコンピューターとネットワークを使いこなすようになり、その背後にあるハードウェア、ソフトウェア、及び通信の理論を学ぶことで、「なぜそうなっているのか」を理解し、情報化社会での生き方を模索できるようになる。また、記述統計と推測統計の初歩を学ぶことにより、将来のAIの利活用及び開発のための基礎を固める。履修生は数理・データサイエンス・AIが駆動する世界に参画するための基礎的な素養を身につける。
</t>
    </r>
    <rPh sb="233" eb="234">
      <t>モチ</t>
    </rPh>
    <rPh sb="464" eb="465">
      <t>モチ</t>
    </rPh>
    <rPh sb="477" eb="479">
      <t>リカイ</t>
    </rPh>
    <rPh sb="623" eb="624">
      <t>ガク</t>
    </rPh>
    <rPh sb="624" eb="625">
      <t>グン</t>
    </rPh>
    <rPh sb="625" eb="627">
      <t>キョウツウ</t>
    </rPh>
    <rPh sb="628" eb="630">
      <t>キバン</t>
    </rPh>
    <rPh sb="630" eb="632">
      <t>キョウイク</t>
    </rPh>
    <rPh sb="632" eb="634">
      <t>カモク</t>
    </rPh>
    <phoneticPr fontId="1"/>
  </si>
  <si>
    <t>　このプログラムを構成する３科目「コンピューターリテラシー」、「情報化社会と技術」、「基礎統計学Ⅰ」は、基盤教育科目の全学1年次必修科目として令和4年度に開設され、令和7年度に履修率100%になる見込み。令和5年度の履修率実績、令和6年度以降の履修率目標は上記のとおりである。</t>
    <rPh sb="98" eb="100">
      <t>ミコ</t>
    </rPh>
    <rPh sb="102" eb="104">
      <t>レイワ</t>
    </rPh>
    <rPh sb="105" eb="107">
      <t>ネンド</t>
    </rPh>
    <rPh sb="108" eb="110">
      <t>リシュウ</t>
    </rPh>
    <rPh sb="110" eb="111">
      <t>リツ</t>
    </rPh>
    <rPh sb="111" eb="113">
      <t>ジッセキ</t>
    </rPh>
    <rPh sb="114" eb="116">
      <t>レイワ</t>
    </rPh>
    <rPh sb="117" eb="118">
      <t>ネン</t>
    </rPh>
    <rPh sb="118" eb="119">
      <t>ド</t>
    </rPh>
    <rPh sb="119" eb="121">
      <t>イコウ</t>
    </rPh>
    <rPh sb="122" eb="124">
      <t>リシュウ</t>
    </rPh>
    <rPh sb="124" eb="125">
      <t>リツ</t>
    </rPh>
    <rPh sb="125" eb="127">
      <t>モクヒョウ</t>
    </rPh>
    <phoneticPr fontId="1"/>
  </si>
  <si>
    <r>
      <t>　プログラムを構成する3科目とも、1年次の全学必修科目として入学時履修ガイダンスを行っている。また、全学必修科目のため、学群ごとにクラス編成を行い全員が履修可能な時間割配置を行っている。履修登録については、登録漏れの無いよう、事務局にてクラスごとに登録を行っている。なお、単位未修得学生（再履修生）には2年次以降、各専門課程での講義時間</t>
    </r>
    <r>
      <rPr>
        <sz val="12"/>
        <rFont val="ＭＳ Ｐゴシック"/>
        <family val="3"/>
        <charset val="128"/>
        <scheme val="minor"/>
      </rPr>
      <t>と重複しないよう</t>
    </r>
    <r>
      <rPr>
        <sz val="12"/>
        <color theme="1"/>
        <rFont val="ＭＳ Ｐゴシック"/>
        <family val="3"/>
        <charset val="128"/>
        <scheme val="minor"/>
      </rPr>
      <t>にクラス配置をし、場合によっては他学群の授業を履修できるように配慮している。
　各科目の授業運営体制は以下のとおりである。
・コンピューターリテラシー（看護学群1クラス100名、事業構想学群2クラス各100名、食産業学群2クラス各65名程度）　担当は各学群の専任教員＋ティーチングアシスタント3名
・情報化社会と技術（看護学群1クラス100名、事業構想学群2クラス各100名、食産業学群2クラス各65名程度）　担当は各学群の専任教員＋ティーチングアシスタント1名
・基礎統計学Ⅰ（看護学群2クラス各50名、事業構想学群2クラス各100名、食産業学群2クラ</t>
    </r>
    <r>
      <rPr>
        <sz val="12"/>
        <rFont val="ＭＳ Ｐゴシック"/>
        <family val="3"/>
        <charset val="128"/>
        <scheme val="minor"/>
      </rPr>
      <t>ス各65名程度）</t>
    </r>
    <rPh sb="169" eb="171">
      <t>ジュウフク</t>
    </rPh>
    <rPh sb="219" eb="221">
      <t>ジュギョウ</t>
    </rPh>
    <rPh sb="221" eb="223">
      <t>ウンエイ</t>
    </rPh>
    <rPh sb="223" eb="225">
      <t>タイセイ</t>
    </rPh>
    <rPh sb="226" eb="228">
      <t>イカ</t>
    </rPh>
    <rPh sb="229" eb="230">
      <t>トオ</t>
    </rPh>
    <rPh sb="457" eb="459">
      <t>テイド</t>
    </rPh>
    <phoneticPr fontId="1"/>
  </si>
  <si>
    <t xml:space="preserve">　プログラムを構成する3科目とも1年次の全学必修科目であり、クラス編成や時間割配置上も履修しやすい配慮を行っている。
　年度当初のオリエンテーションにおいて、本プログラムについて説明する時間を設け、入学時に配布する「履修ガイド」及び毎年度配布する「履修の手引き」を用いて科目の位置付けや内容を説明している。また、学内WEBのポータルサイト「MYUpedia」や学務管理システム「キャンパスプランポータルサイト」において、学年歴や時間割、クラス分けや担当教員及びその連絡先を周知し、大学WEBサイトでも公表するなど、随時必要な情報を公開している。クラスごとのLMSでは各回の講義に関する情報や教材の配布、課題の回収などを行っている。
</t>
    <rPh sb="33" eb="35">
      <t>ヘンセイ</t>
    </rPh>
    <rPh sb="43" eb="45">
      <t>リシュウ</t>
    </rPh>
    <rPh sb="49" eb="51">
      <t>ハイリョ</t>
    </rPh>
    <rPh sb="52" eb="53">
      <t>オコナ</t>
    </rPh>
    <rPh sb="79" eb="80">
      <t>ホン</t>
    </rPh>
    <rPh sb="89" eb="91">
      <t>セツメイ</t>
    </rPh>
    <rPh sb="93" eb="95">
      <t>ジカン</t>
    </rPh>
    <rPh sb="96" eb="97">
      <t>モウ</t>
    </rPh>
    <rPh sb="114" eb="115">
      <t>オヨ</t>
    </rPh>
    <rPh sb="140" eb="141">
      <t>ヅ</t>
    </rPh>
    <rPh sb="228" eb="229">
      <t>オヨ</t>
    </rPh>
    <rPh sb="240" eb="242">
      <t>ダイガク</t>
    </rPh>
    <rPh sb="250" eb="252">
      <t>コウヒョウ</t>
    </rPh>
    <phoneticPr fontId="1"/>
  </si>
  <si>
    <r>
      <t xml:space="preserve">　学期末に学生による授業評価アンケートを実施し、その結果を基に科目責任教員が科目の運営や成績分布、到達目標について検証及び考察し、次年度実施に向けた授業改善計画を策定している。各科目の授業改善計画は全学カリキュラムセンターが内容をチェックし、大学WEBサイトにおいて、科目ごとのアンケート結果と合わせて公開している。
　また、成績についてはクラス担当教員と科目責任教員による成績の確認を経た後、成績認定を行う基盤教授会において大学共通で定められている成績ガイドライン（成績の分布など）に適合しているか確認される。
</t>
    </r>
    <r>
      <rPr>
        <sz val="12"/>
        <rFont val="ＭＳ Ｐゴシック"/>
        <family val="3"/>
        <charset val="128"/>
        <scheme val="minor"/>
      </rPr>
      <t xml:space="preserve">　令和4年度及び令和5年度の成績評価において、各科目とも履修生の5～6割以上が80点以上と優秀な水準であり、到達目標に対して適切に学修成果を得ている。
・令和4年度　成績　（80点以上の割合）
　コンピューターリテラシー　57.6%、　情報化社会と技術　66.8%、　基礎統計学Ⅰ　58.6%
・令和5年度　成績　（80点以上の割合）
　コンピューターリテラシー　59.0%、　情報化社会と技術　62.6%、　基礎統計学Ⅰ　54.0%
</t>
    </r>
    <r>
      <rPr>
        <sz val="12"/>
        <color rgb="FFFF0000"/>
        <rFont val="ＭＳ Ｐゴシック"/>
        <family val="3"/>
        <charset val="128"/>
        <scheme val="minor"/>
      </rPr>
      <t>　</t>
    </r>
    <r>
      <rPr>
        <sz val="12"/>
        <color theme="1"/>
        <rFont val="ＭＳ Ｐゴシック"/>
        <family val="3"/>
        <charset val="128"/>
        <scheme val="minor"/>
      </rPr>
      <t xml:space="preserve">
</t>
    </r>
    <rPh sb="5" eb="7">
      <t>ガクセイ</t>
    </rPh>
    <rPh sb="88" eb="91">
      <t>カクカモク</t>
    </rPh>
    <rPh sb="92" eb="98">
      <t>ジュギョウカイゼンケイカク</t>
    </rPh>
    <rPh sb="99" eb="101">
      <t>ゼンガク</t>
    </rPh>
    <rPh sb="112" eb="114">
      <t>ナイヨウ</t>
    </rPh>
    <rPh sb="121" eb="123">
      <t>ダイガク</t>
    </rPh>
    <rPh sb="134" eb="136">
      <t>カモク</t>
    </rPh>
    <rPh sb="144" eb="146">
      <t>ケッカ</t>
    </rPh>
    <rPh sb="147" eb="148">
      <t>ア</t>
    </rPh>
    <rPh sb="151" eb="153">
      <t>コウカイ</t>
    </rPh>
    <rPh sb="163" eb="165">
      <t>セイセキ</t>
    </rPh>
    <rPh sb="195" eb="196">
      <t>ノチ</t>
    </rPh>
    <rPh sb="250" eb="252">
      <t>カクニン</t>
    </rPh>
    <rPh sb="258" eb="260">
      <t>レイワ</t>
    </rPh>
    <rPh sb="261" eb="263">
      <t>ネンド</t>
    </rPh>
    <rPh sb="263" eb="264">
      <t>オヨ</t>
    </rPh>
    <rPh sb="265" eb="267">
      <t>レイワ</t>
    </rPh>
    <rPh sb="268" eb="270">
      <t>ネンド</t>
    </rPh>
    <rPh sb="271" eb="273">
      <t>セイセキ</t>
    </rPh>
    <rPh sb="273" eb="275">
      <t>ヒョウカ</t>
    </rPh>
    <rPh sb="280" eb="283">
      <t>カクカモク</t>
    </rPh>
    <rPh sb="285" eb="288">
      <t>リシュウセイ</t>
    </rPh>
    <rPh sb="292" eb="295">
      <t>ワリイジョウ</t>
    </rPh>
    <rPh sb="298" eb="299">
      <t>テン</t>
    </rPh>
    <rPh sb="299" eb="301">
      <t>イジョウ</t>
    </rPh>
    <rPh sb="302" eb="304">
      <t>ユウシュウ</t>
    </rPh>
    <rPh sb="305" eb="307">
      <t>スイジュン</t>
    </rPh>
    <rPh sb="311" eb="315">
      <t>トウタツモクヒョウ</t>
    </rPh>
    <rPh sb="316" eb="317">
      <t>タイ</t>
    </rPh>
    <rPh sb="319" eb="321">
      <t>テキセツ</t>
    </rPh>
    <rPh sb="322" eb="326">
      <t>ガクシュウセイカ</t>
    </rPh>
    <rPh sb="327" eb="328">
      <t>エ</t>
    </rPh>
    <rPh sb="334" eb="336">
      <t>レイワ</t>
    </rPh>
    <rPh sb="337" eb="339">
      <t>ネンド</t>
    </rPh>
    <rPh sb="340" eb="342">
      <t>セイセキ</t>
    </rPh>
    <rPh sb="346" eb="347">
      <t>テン</t>
    </rPh>
    <rPh sb="347" eb="349">
      <t>イジョウ</t>
    </rPh>
    <rPh sb="350" eb="352">
      <t>ワリアイ</t>
    </rPh>
    <rPh sb="375" eb="380">
      <t>ジョウホウカシャカイ</t>
    </rPh>
    <rPh sb="381" eb="383">
      <t>ギジュツ</t>
    </rPh>
    <rPh sb="391" eb="396">
      <t>キソトウケイガク</t>
    </rPh>
    <rPh sb="417" eb="420">
      <t>テンイジョウ</t>
    </rPh>
    <rPh sb="421" eb="423">
      <t>ワリアイ</t>
    </rPh>
    <phoneticPr fontId="1"/>
  </si>
  <si>
    <t>　学期末に行う学生による授業評価アンケートを通じて、授業内容に対する学生の授業目標到達度を把握している。学生にとっては授業評価アンケートを入力しないと自己の当該学期の成績が表示されないシステムになっているため、アンケート回収率は毎回100％に近い高い回収率を保持している。
　アンケートは、授業計画、授業方法、目標到達度、授業外の学習時間など計9項目について評価尺度を用いた設問になっており、全学平均値と比較したチャートを用いて教員と学生にフィードバックしている。併せて自由記述欄を設け、授業の良かった点、改善点、その他意見などの項目で授業改善計画に反映させている。</t>
    <rPh sb="75" eb="77">
      <t>ジコ</t>
    </rPh>
    <rPh sb="232" eb="233">
      <t>アワ</t>
    </rPh>
    <phoneticPr fontId="1"/>
  </si>
  <si>
    <t>令和4</t>
    <phoneticPr fontId="1"/>
  </si>
  <si>
    <t>　授業時間内に演習やグループワークを取り入れるなど、理解度や進捗を都度自分で確認できる授業方法をとるとともに、授業時間外学習についてもシラバスに記載したうえ、定期的な課題などにより到達度を確認している。クラスの枠にかかわらず科目全体として課外の補習や個別の質問受付を行っている。
　学期末の学生による授業評価アンケート（クラスごと）の結果を受けて、クラスごとの教育方法の状況や効果を共有するとともに、科目ごとに授業改善計画をたて、それを担当教員間で共有するとともに、大学WEBサイトで公開している。また基盤教育群教授会でアンケート結果や授業改善計画を確認、チェックしている。
　科目ごとに複数クラスがありそれぞれクラス担当教員がいること、各学群から実務家教員も含めた多様なバックグラウンドの教員チームとなっていることから、各教員の教育方法の工夫や、グッドプラクティス、各分野の最新動向の共有などによって、授業改善につなげている。</t>
    <rPh sb="90" eb="93">
      <t>トウタツド</t>
    </rPh>
    <rPh sb="94" eb="96">
      <t>カクニン</t>
    </rPh>
    <rPh sb="105" eb="106">
      <t>ワク</t>
    </rPh>
    <rPh sb="112" eb="116">
      <t>カモクゼンタイ</t>
    </rPh>
    <rPh sb="233" eb="235">
      <t>ダイガク</t>
    </rPh>
    <rPh sb="275" eb="277">
      <t>カクニン</t>
    </rPh>
    <rPh sb="289" eb="291">
      <t>カモク</t>
    </rPh>
    <rPh sb="294" eb="296">
      <t>フクスウ</t>
    </rPh>
    <rPh sb="309" eb="313">
      <t>タントウキョウイン</t>
    </rPh>
    <rPh sb="319" eb="322">
      <t>カクガクグン</t>
    </rPh>
    <rPh sb="324" eb="329">
      <t>ジツムカキョウイン</t>
    </rPh>
    <rPh sb="330" eb="331">
      <t>フク</t>
    </rPh>
    <rPh sb="333" eb="335">
      <t>タヨウ</t>
    </rPh>
    <rPh sb="345" eb="347">
      <t>キョウイン</t>
    </rPh>
    <rPh sb="384" eb="387">
      <t>カクブンヤ</t>
    </rPh>
    <rPh sb="388" eb="392">
      <t>サイシンドウコウ</t>
    </rPh>
    <rPh sb="402" eb="406">
      <t>ジュギョウカイゼン</t>
    </rPh>
    <phoneticPr fontId="1"/>
  </si>
  <si>
    <t>カリキュラムセンター</t>
    <phoneticPr fontId="1"/>
  </si>
  <si>
    <t>　本教育プログラムを構成するすべての授業科目が必修科目であるため、令和4年度入学生以降、本学の全学群で1年次履修率はほぼ100%である。
　また、修得に関しても、単位未修得での卒業（全学群）ができないため、95%を超える状況となっている。
これまでの本プログラムの履修者数、修了者数は、以下のとおりである。
・令和4年度　履修者数　449名　修了者数　437名（97.3%）
・令和5年度　履修者数　442名　修了者数　429名（97.0%）</t>
    <phoneticPr fontId="1"/>
  </si>
  <si>
    <t>看護学群</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</si>
</sst>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Ｐゴシック"/>
      <family val="3"/>
      <charset val="128"/>
      <scheme val="minor"/>
    </font>
    <font>
      <sz val="12"/>
      <color rgb="FF000000"/>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7">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12" fillId="0" borderId="0" xfId="0" applyFont="1">
      <alignment vertical="center"/>
    </xf>
    <xf numFmtId="0" fontId="13" fillId="0" borderId="0" xfId="0" applyFont="1">
      <alignment vertical="center"/>
    </xf>
    <xf numFmtId="0" fontId="13" fillId="0" borderId="1" xfId="0" applyFont="1" applyBorder="1" applyAlignment="1">
      <alignment horizontal="center"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0" xfId="0" applyFont="1" applyAlignment="1">
      <alignment horizontal="center" vertical="center" shrinkToFit="1"/>
    </xf>
    <xf numFmtId="0" fontId="17" fillId="0" borderId="1" xfId="0" applyFont="1" applyBorder="1" applyAlignment="1">
      <alignment horizontal="left" vertical="center"/>
    </xf>
    <xf numFmtId="0" fontId="18" fillId="0" borderId="14" xfId="0" applyFont="1" applyBorder="1">
      <alignment vertical="center"/>
    </xf>
    <xf numFmtId="0" fontId="18" fillId="0" borderId="20" xfId="0" applyFont="1" applyBorder="1">
      <alignment vertical="center"/>
    </xf>
    <xf numFmtId="0" fontId="18" fillId="0" borderId="45" xfId="0" applyFont="1" applyBorder="1">
      <alignment vertical="center"/>
    </xf>
    <xf numFmtId="0" fontId="18" fillId="0" borderId="0" xfId="0" applyFont="1">
      <alignment vertical="center"/>
    </xf>
    <xf numFmtId="0" fontId="18" fillId="0" borderId="5" xfId="0" applyFont="1" applyBorder="1">
      <alignment vertical="center"/>
    </xf>
    <xf numFmtId="0" fontId="18" fillId="0" borderId="19" xfId="0" applyFont="1" applyBorder="1">
      <alignment vertical="center"/>
    </xf>
    <xf numFmtId="0" fontId="18" fillId="0" borderId="18" xfId="0" applyFont="1" applyBorder="1">
      <alignment vertical="center"/>
    </xf>
    <xf numFmtId="0" fontId="18" fillId="0" borderId="46" xfId="0" applyFont="1" applyBorder="1">
      <alignment vertical="center"/>
    </xf>
    <xf numFmtId="0" fontId="13" fillId="0" borderId="1" xfId="0" applyFont="1" applyBorder="1" applyAlignment="1">
      <alignment horizontal="right" vertical="center"/>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3" fillId="0" borderId="2" xfId="0" applyFont="1" applyBorder="1" applyAlignment="1">
      <alignment horizontal="center" vertical="center" wrapText="1"/>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17" fillId="0" borderId="2" xfId="0" applyFont="1" applyBorder="1" applyAlignment="1">
      <alignment vertical="center"/>
    </xf>
    <xf numFmtId="0" fontId="17" fillId="0" borderId="3" xfId="0" applyFont="1" applyBorder="1" applyAlignment="1">
      <alignment vertical="center"/>
    </xf>
    <xf numFmtId="0" fontId="17" fillId="0" borderId="4" xfId="0" applyFont="1" applyBorder="1" applyAlignment="1">
      <alignment vertical="center"/>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13" fillId="0" borderId="7" xfId="0" applyFont="1" applyBorder="1" applyAlignment="1">
      <alignment vertical="top" wrapText="1" shrinkToFit="1"/>
    </xf>
    <xf numFmtId="0" fontId="2" fillId="0" borderId="9" xfId="0" applyFont="1" applyBorder="1" applyAlignment="1">
      <alignment vertical="top" wrapText="1" shrinkToFit="1"/>
    </xf>
    <xf numFmtId="0" fontId="2" fillId="0" borderId="10" xfId="0" applyFont="1" applyBorder="1" applyAlignment="1">
      <alignment vertical="top" wrapText="1" shrinkToFit="1"/>
    </xf>
    <xf numFmtId="0" fontId="2" fillId="0" borderId="11" xfId="0" applyFont="1" applyBorder="1" applyAlignment="1">
      <alignment vertical="top" wrapText="1" shrinkToFi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17" fillId="0" borderId="2" xfId="0" applyFont="1" applyBorder="1" applyAlignment="1">
      <alignment horizontal="left" vertical="center"/>
    </xf>
    <xf numFmtId="0" fontId="17" fillId="0" borderId="3" xfId="0" applyFont="1" applyBorder="1" applyAlignment="1">
      <alignment horizontal="left" vertical="center"/>
    </xf>
    <xf numFmtId="0" fontId="17" fillId="0" borderId="4" xfId="0" applyFont="1" applyBorder="1" applyAlignment="1">
      <alignment horizontal="left" vertical="center"/>
    </xf>
    <xf numFmtId="0" fontId="2" fillId="0" borderId="2" xfId="0" applyFont="1" applyBorder="1" applyAlignment="1">
      <alignment horizontal="lef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pplyAlignme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pplyAlignment="1">
      <alignment vertical="center"/>
    </xf>
    <xf numFmtId="0" fontId="5" fillId="0" borderId="17" xfId="0" applyFont="1" applyBorder="1" applyAlignment="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17" fillId="0" borderId="11" xfId="0" applyFont="1" applyBorder="1" applyAlignment="1">
      <alignment vertical="center" wrapText="1"/>
    </xf>
    <xf numFmtId="0" fontId="13" fillId="0" borderId="6" xfId="0" applyFont="1" applyBorder="1" applyAlignment="1">
      <alignment vertical="center" wrapText="1"/>
    </xf>
    <xf numFmtId="0" fontId="13" fillId="0" borderId="12" xfId="0" applyFont="1" applyBorder="1" applyAlignment="1">
      <alignment vertical="center" wrapTex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colors>
    <mruColors>
      <color rgb="FFFF7C8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AG114"/>
  <sheetViews>
    <sheetView showZeros="0" view="pageBreakPreview" topLeftCell="A79" zoomScaleNormal="100" zoomScaleSheetLayoutView="100" workbookViewId="0">
      <selection activeCell="B104" sqref="B104:U104"/>
    </sheetView>
  </sheetViews>
  <sheetFormatPr defaultColWidth="9" defaultRowHeight="18.75" customHeight="1" x14ac:dyDescent="0.15"/>
  <cols>
    <col min="1" max="1" width="2.375" style="1" customWidth="1"/>
    <col min="2" max="2" width="16.375" style="1" customWidth="1"/>
    <col min="3" max="9" width="5.625" style="1" customWidth="1"/>
    <col min="10" max="10" width="11.375" style="1" customWidth="1"/>
    <col min="11" max="21" width="5.625" style="1" customWidth="1"/>
    <col min="22" max="22" width="9" style="1"/>
    <col min="23" max="23" width="3.625" style="1" customWidth="1"/>
    <col min="24" max="24" width="48.625" style="1" hidden="1" customWidth="1"/>
    <col min="25" max="16384" width="9" style="1"/>
  </cols>
  <sheetData>
    <row r="1" spans="1:24" ht="18.600000000000001" customHeight="1" x14ac:dyDescent="0.15">
      <c r="A1" s="75"/>
      <c r="B1" s="75"/>
      <c r="C1" s="75"/>
      <c r="D1" s="75"/>
      <c r="E1" s="75"/>
      <c r="F1" s="75"/>
      <c r="G1" s="75"/>
      <c r="H1" s="75"/>
      <c r="I1" s="75"/>
      <c r="J1" s="75"/>
      <c r="K1" s="75"/>
      <c r="L1" s="75"/>
      <c r="M1" s="75"/>
      <c r="N1" s="75"/>
      <c r="O1" s="75"/>
      <c r="P1" s="75"/>
      <c r="Q1" s="75"/>
      <c r="R1" s="75"/>
      <c r="S1" s="75"/>
      <c r="T1" s="142" t="s">
        <v>0</v>
      </c>
      <c r="U1" s="142"/>
      <c r="V1" s="2" t="s">
        <v>1</v>
      </c>
    </row>
    <row r="2" spans="1:24" ht="18.75" customHeight="1" x14ac:dyDescent="0.15">
      <c r="A2" s="75"/>
      <c r="B2" s="76" t="s">
        <v>2</v>
      </c>
      <c r="C2" s="143" t="s">
        <v>3</v>
      </c>
      <c r="D2" s="144"/>
      <c r="E2" s="144"/>
      <c r="F2" s="144"/>
      <c r="G2" s="144"/>
      <c r="H2" s="144"/>
      <c r="I2" s="144"/>
      <c r="J2" s="145"/>
      <c r="K2" s="77"/>
      <c r="L2" s="78"/>
      <c r="M2" s="78"/>
      <c r="N2" s="78"/>
      <c r="O2" s="78"/>
      <c r="P2" s="78"/>
      <c r="Q2" s="78"/>
      <c r="R2" s="78"/>
      <c r="S2" s="78"/>
      <c r="T2" s="78"/>
      <c r="U2" s="78"/>
    </row>
    <row r="3" spans="1:24" ht="47.45" customHeight="1" x14ac:dyDescent="0.15">
      <c r="A3" s="75"/>
      <c r="B3" s="76" t="s">
        <v>4</v>
      </c>
      <c r="C3" s="146" t="s">
        <v>172</v>
      </c>
      <c r="D3" s="144"/>
      <c r="E3" s="144"/>
      <c r="F3" s="144"/>
      <c r="G3" s="144"/>
      <c r="H3" s="144"/>
      <c r="I3" s="144"/>
      <c r="J3" s="145"/>
      <c r="K3" s="77"/>
      <c r="L3" s="78"/>
      <c r="M3" s="78"/>
      <c r="N3" s="78"/>
      <c r="O3" s="78"/>
      <c r="P3" s="78"/>
      <c r="Q3" s="78"/>
      <c r="R3" s="78"/>
      <c r="S3" s="78"/>
      <c r="T3" s="78"/>
      <c r="U3" s="78"/>
    </row>
    <row r="4" spans="1:24" ht="15" customHeight="1" x14ac:dyDescent="0.15">
      <c r="A4" s="75"/>
      <c r="B4" s="75"/>
      <c r="C4" s="75"/>
      <c r="D4" s="75"/>
      <c r="E4" s="75"/>
      <c r="F4" s="75"/>
      <c r="G4" s="75"/>
      <c r="H4" s="75"/>
      <c r="I4" s="75"/>
      <c r="J4" s="75"/>
      <c r="K4" s="75"/>
      <c r="L4" s="77"/>
      <c r="M4" s="79"/>
      <c r="N4" s="79"/>
      <c r="O4" s="79"/>
      <c r="P4" s="79"/>
      <c r="Q4" s="79"/>
      <c r="R4" s="79"/>
      <c r="S4" s="79"/>
      <c r="T4" s="79"/>
      <c r="U4" s="79"/>
    </row>
    <row r="5" spans="1:24" ht="18" customHeight="1" x14ac:dyDescent="0.15">
      <c r="A5" s="123" t="s">
        <v>5</v>
      </c>
      <c r="B5" s="123"/>
      <c r="C5" s="123"/>
      <c r="D5" s="123"/>
      <c r="E5" s="123"/>
      <c r="F5" s="123"/>
      <c r="G5" s="123"/>
      <c r="H5" s="123"/>
      <c r="I5" s="123"/>
      <c r="J5" s="123"/>
      <c r="K5" s="123"/>
      <c r="L5" s="123"/>
      <c r="M5" s="123"/>
      <c r="N5" s="123"/>
      <c r="O5" s="123"/>
      <c r="P5" s="123"/>
      <c r="Q5" s="123"/>
      <c r="R5" s="123"/>
      <c r="S5" s="123"/>
      <c r="T5" s="123"/>
      <c r="U5" s="123"/>
    </row>
    <row r="6" spans="1:24" ht="15" customHeight="1" x14ac:dyDescent="0.15">
      <c r="A6" s="75"/>
      <c r="B6" s="80"/>
      <c r="C6" s="80"/>
      <c r="D6" s="80"/>
      <c r="E6" s="80"/>
      <c r="F6" s="80"/>
      <c r="G6" s="80"/>
      <c r="H6" s="80"/>
      <c r="I6" s="80"/>
      <c r="J6" s="80"/>
      <c r="K6" s="80"/>
      <c r="L6" s="80"/>
      <c r="M6" s="80"/>
      <c r="N6" s="80"/>
      <c r="O6" s="80"/>
      <c r="P6" s="80"/>
      <c r="Q6" s="80"/>
      <c r="R6" s="80"/>
      <c r="S6" s="80"/>
      <c r="T6" s="80"/>
      <c r="U6" s="80"/>
    </row>
    <row r="7" spans="1:24" ht="15" customHeight="1" x14ac:dyDescent="0.15">
      <c r="A7" s="75" t="s">
        <v>6</v>
      </c>
      <c r="B7" s="80"/>
      <c r="C7" s="80"/>
      <c r="D7" s="80"/>
      <c r="E7" s="80"/>
      <c r="F7" s="74"/>
      <c r="G7" s="74"/>
      <c r="H7" s="74"/>
      <c r="I7" s="74"/>
      <c r="J7" s="74"/>
      <c r="K7" s="74"/>
      <c r="L7" s="160" t="s">
        <v>7</v>
      </c>
      <c r="M7" s="161"/>
      <c r="N7" s="161"/>
      <c r="O7" s="161"/>
      <c r="P7" s="161"/>
      <c r="Q7" s="161"/>
      <c r="R7" s="161"/>
      <c r="S7" s="161"/>
      <c r="T7" s="161"/>
      <c r="U7" s="162"/>
    </row>
    <row r="8" spans="1:24" ht="6" customHeight="1" x14ac:dyDescent="0.15">
      <c r="A8" s="75"/>
      <c r="B8" s="80"/>
      <c r="C8" s="80"/>
      <c r="D8" s="80"/>
      <c r="E8" s="80"/>
      <c r="F8" s="80"/>
      <c r="G8" s="80"/>
      <c r="H8" s="80"/>
      <c r="I8" s="80"/>
      <c r="J8" s="80"/>
      <c r="K8" s="80"/>
      <c r="L8" s="80"/>
      <c r="M8" s="80"/>
      <c r="N8" s="80"/>
      <c r="O8" s="80"/>
      <c r="P8" s="80"/>
      <c r="Q8" s="80"/>
      <c r="R8" s="80"/>
      <c r="S8" s="80"/>
      <c r="T8" s="80"/>
      <c r="U8" s="80"/>
    </row>
    <row r="9" spans="1:24" ht="18" customHeight="1" x14ac:dyDescent="0.15">
      <c r="A9" s="75" t="s">
        <v>8</v>
      </c>
      <c r="B9" s="75"/>
      <c r="C9" s="80"/>
      <c r="D9" s="80"/>
      <c r="E9" s="75"/>
      <c r="F9" s="75"/>
      <c r="G9" s="75"/>
      <c r="H9" s="75"/>
      <c r="I9" s="75"/>
      <c r="J9" s="75"/>
      <c r="K9" s="77"/>
      <c r="L9" s="74"/>
      <c r="M9" s="74"/>
      <c r="N9" s="74"/>
      <c r="O9" s="74"/>
      <c r="P9" s="74"/>
      <c r="Q9" s="74"/>
      <c r="R9" s="74"/>
      <c r="S9" s="74"/>
      <c r="T9" s="74"/>
      <c r="U9" s="74"/>
    </row>
    <row r="10" spans="1:24" ht="6" customHeight="1" x14ac:dyDescent="0.15">
      <c r="A10" s="75"/>
      <c r="B10" s="80"/>
      <c r="C10" s="80"/>
      <c r="D10" s="80"/>
      <c r="E10" s="80"/>
      <c r="F10" s="80"/>
      <c r="G10" s="80"/>
      <c r="H10" s="80"/>
      <c r="I10" s="80"/>
      <c r="J10" s="80"/>
      <c r="K10" s="80"/>
      <c r="L10" s="81"/>
      <c r="M10" s="80"/>
      <c r="N10" s="80"/>
      <c r="O10" s="80"/>
      <c r="P10" s="80"/>
      <c r="Q10" s="80"/>
      <c r="R10" s="80"/>
      <c r="S10" s="80"/>
      <c r="T10" s="80"/>
      <c r="U10" s="80"/>
    </row>
    <row r="11" spans="1:24" ht="18" customHeight="1" x14ac:dyDescent="0.15">
      <c r="A11" s="75"/>
      <c r="B11" s="163"/>
      <c r="C11" s="164"/>
      <c r="D11" s="164"/>
      <c r="E11" s="164"/>
      <c r="F11" s="164"/>
      <c r="G11" s="164"/>
      <c r="H11" s="164"/>
      <c r="I11" s="164"/>
      <c r="J11" s="164"/>
      <c r="K11" s="164"/>
      <c r="L11" s="164"/>
      <c r="M11" s="164"/>
      <c r="N11" s="164"/>
      <c r="O11" s="164"/>
      <c r="P11" s="164"/>
      <c r="Q11" s="164"/>
      <c r="R11" s="164"/>
      <c r="S11" s="164"/>
      <c r="T11" s="164"/>
      <c r="U11" s="165"/>
    </row>
    <row r="12" spans="1:24" ht="18" customHeight="1" x14ac:dyDescent="0.15">
      <c r="A12" s="75"/>
      <c r="B12" s="166"/>
      <c r="C12" s="167"/>
      <c r="D12" s="167"/>
      <c r="E12" s="167"/>
      <c r="F12" s="167"/>
      <c r="G12" s="167"/>
      <c r="H12" s="167"/>
      <c r="I12" s="167"/>
      <c r="J12" s="167"/>
      <c r="K12" s="167"/>
      <c r="L12" s="167"/>
      <c r="M12" s="167"/>
      <c r="N12" s="167"/>
      <c r="O12" s="167"/>
      <c r="P12" s="167"/>
      <c r="Q12" s="167"/>
      <c r="R12" s="167"/>
      <c r="S12" s="167"/>
      <c r="T12" s="167"/>
      <c r="U12" s="168"/>
    </row>
    <row r="13" spans="1:24" ht="6" customHeight="1" x14ac:dyDescent="0.15">
      <c r="A13" s="75"/>
      <c r="B13" s="80"/>
      <c r="C13" s="80"/>
      <c r="D13" s="80"/>
      <c r="E13" s="80"/>
      <c r="F13" s="80"/>
      <c r="G13" s="80"/>
      <c r="H13" s="80"/>
      <c r="I13" s="80"/>
      <c r="J13" s="80"/>
      <c r="K13" s="80"/>
      <c r="L13" s="81"/>
      <c r="M13" s="80"/>
      <c r="N13" s="80"/>
      <c r="O13" s="80"/>
      <c r="P13" s="80"/>
      <c r="Q13" s="80"/>
      <c r="R13" s="80"/>
      <c r="S13" s="80"/>
      <c r="T13" s="80"/>
      <c r="U13" s="80"/>
    </row>
    <row r="14" spans="1:24" ht="18" customHeight="1" x14ac:dyDescent="0.15">
      <c r="A14" s="75" t="s">
        <v>9</v>
      </c>
      <c r="B14" s="80"/>
      <c r="C14" s="80"/>
      <c r="D14" s="80"/>
      <c r="E14" s="77"/>
      <c r="F14" s="77"/>
      <c r="G14" s="77"/>
      <c r="H14" s="77"/>
      <c r="I14" s="77"/>
      <c r="J14" s="77"/>
      <c r="K14" s="77"/>
      <c r="L14" s="82"/>
      <c r="M14" s="82"/>
      <c r="N14" s="82"/>
      <c r="O14" s="82"/>
      <c r="P14" s="82"/>
      <c r="Q14" s="82"/>
      <c r="R14" s="82"/>
      <c r="S14" s="82"/>
      <c r="T14" s="82"/>
      <c r="U14" s="82"/>
    </row>
    <row r="15" spans="1:24" ht="18" customHeight="1" x14ac:dyDescent="0.15">
      <c r="A15" s="75"/>
      <c r="B15" s="124" t="s">
        <v>175</v>
      </c>
      <c r="C15" s="125"/>
      <c r="D15" s="125"/>
      <c r="E15" s="125"/>
      <c r="F15" s="125"/>
      <c r="G15" s="125"/>
      <c r="H15" s="125"/>
      <c r="I15" s="125"/>
      <c r="J15" s="125"/>
      <c r="K15" s="125"/>
      <c r="L15" s="125"/>
      <c r="M15" s="125"/>
      <c r="N15" s="125"/>
      <c r="O15" s="125"/>
      <c r="P15" s="125"/>
      <c r="Q15" s="125"/>
      <c r="R15" s="125"/>
      <c r="S15" s="125"/>
      <c r="T15" s="125"/>
      <c r="U15" s="126"/>
      <c r="X15" s="1" t="s">
        <v>10</v>
      </c>
    </row>
    <row r="16" spans="1:24" ht="18" customHeight="1" x14ac:dyDescent="0.15">
      <c r="A16" s="75"/>
      <c r="B16" s="127"/>
      <c r="C16" s="128"/>
      <c r="D16" s="128"/>
      <c r="E16" s="128"/>
      <c r="F16" s="128"/>
      <c r="G16" s="128"/>
      <c r="H16" s="128"/>
      <c r="I16" s="128"/>
      <c r="J16" s="128"/>
      <c r="K16" s="128"/>
      <c r="L16" s="128"/>
      <c r="M16" s="128"/>
      <c r="N16" s="128"/>
      <c r="O16" s="128"/>
      <c r="P16" s="128"/>
      <c r="Q16" s="128"/>
      <c r="R16" s="128"/>
      <c r="S16" s="128"/>
      <c r="T16" s="128"/>
      <c r="U16" s="129"/>
      <c r="X16" s="1" t="s">
        <v>11</v>
      </c>
    </row>
    <row r="17" spans="1:24" ht="18" customHeight="1" x14ac:dyDescent="0.15">
      <c r="A17" s="75"/>
      <c r="B17" s="127"/>
      <c r="C17" s="128"/>
      <c r="D17" s="128"/>
      <c r="E17" s="128"/>
      <c r="F17" s="128"/>
      <c r="G17" s="128"/>
      <c r="H17" s="128"/>
      <c r="I17" s="128"/>
      <c r="J17" s="128"/>
      <c r="K17" s="128"/>
      <c r="L17" s="128"/>
      <c r="M17" s="128"/>
      <c r="N17" s="128"/>
      <c r="O17" s="128"/>
      <c r="P17" s="128"/>
      <c r="Q17" s="128"/>
      <c r="R17" s="128"/>
      <c r="S17" s="128"/>
      <c r="T17" s="128"/>
      <c r="U17" s="129"/>
      <c r="X17" s="1" t="s">
        <v>12</v>
      </c>
    </row>
    <row r="18" spans="1:24" ht="18" customHeight="1" x14ac:dyDescent="0.15">
      <c r="A18" s="75"/>
      <c r="B18" s="127"/>
      <c r="C18" s="128"/>
      <c r="D18" s="128"/>
      <c r="E18" s="128"/>
      <c r="F18" s="128"/>
      <c r="G18" s="128"/>
      <c r="H18" s="128"/>
      <c r="I18" s="128"/>
      <c r="J18" s="128"/>
      <c r="K18" s="128"/>
      <c r="L18" s="128"/>
      <c r="M18" s="128"/>
      <c r="N18" s="128"/>
      <c r="O18" s="128"/>
      <c r="P18" s="128"/>
      <c r="Q18" s="128"/>
      <c r="R18" s="128"/>
      <c r="S18" s="128"/>
      <c r="T18" s="128"/>
      <c r="U18" s="129"/>
      <c r="X18" s="1" t="s">
        <v>13</v>
      </c>
    </row>
    <row r="19" spans="1:24" ht="18" customHeight="1" x14ac:dyDescent="0.15">
      <c r="A19" s="75"/>
      <c r="B19" s="127"/>
      <c r="C19" s="128"/>
      <c r="D19" s="128"/>
      <c r="E19" s="128"/>
      <c r="F19" s="128"/>
      <c r="G19" s="128"/>
      <c r="H19" s="128"/>
      <c r="I19" s="128"/>
      <c r="J19" s="128"/>
      <c r="K19" s="128"/>
      <c r="L19" s="128"/>
      <c r="M19" s="128"/>
      <c r="N19" s="128"/>
      <c r="O19" s="128"/>
      <c r="P19" s="128"/>
      <c r="Q19" s="128"/>
      <c r="R19" s="128"/>
      <c r="S19" s="128"/>
      <c r="T19" s="128"/>
      <c r="U19" s="129"/>
    </row>
    <row r="20" spans="1:24" ht="18" customHeight="1" x14ac:dyDescent="0.15">
      <c r="A20" s="75"/>
      <c r="B20" s="130"/>
      <c r="C20" s="131"/>
      <c r="D20" s="131"/>
      <c r="E20" s="131"/>
      <c r="F20" s="131"/>
      <c r="G20" s="131"/>
      <c r="H20" s="131"/>
      <c r="I20" s="131"/>
      <c r="J20" s="131"/>
      <c r="K20" s="131"/>
      <c r="L20" s="131"/>
      <c r="M20" s="131"/>
      <c r="N20" s="131"/>
      <c r="O20" s="131"/>
      <c r="P20" s="131"/>
      <c r="Q20" s="131"/>
      <c r="R20" s="131"/>
      <c r="S20" s="131"/>
      <c r="T20" s="131"/>
      <c r="U20" s="132"/>
    </row>
    <row r="21" spans="1:24" ht="7.5" customHeight="1" x14ac:dyDescent="0.15">
      <c r="A21" s="75"/>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5"/>
      <c r="B22" s="75" t="s">
        <v>14</v>
      </c>
      <c r="C22" s="75"/>
      <c r="D22" s="75"/>
      <c r="E22" s="83">
        <v>3</v>
      </c>
      <c r="F22" s="75" t="s">
        <v>15</v>
      </c>
      <c r="G22" s="75"/>
      <c r="H22" s="94">
        <v>6</v>
      </c>
      <c r="I22" s="80" t="s">
        <v>16</v>
      </c>
      <c r="J22" s="80"/>
      <c r="K22" s="77"/>
      <c r="L22" s="75"/>
      <c r="M22" s="77" t="s">
        <v>17</v>
      </c>
      <c r="N22" s="157" t="s">
        <v>11</v>
      </c>
      <c r="O22" s="158"/>
      <c r="P22" s="158"/>
      <c r="Q22" s="158"/>
      <c r="R22" s="158"/>
      <c r="S22" s="158"/>
      <c r="T22" s="158"/>
      <c r="U22" s="159"/>
    </row>
    <row r="23" spans="1:24" ht="7.5" customHeight="1" x14ac:dyDescent="0.15">
      <c r="A23" s="75"/>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33" t="s">
        <v>18</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99" t="s">
        <v>19</v>
      </c>
      <c r="C26" s="100"/>
      <c r="D26" s="100"/>
      <c r="E26" s="100"/>
      <c r="F26" s="101"/>
      <c r="G26" s="51" t="s">
        <v>20</v>
      </c>
      <c r="H26" s="50" t="s">
        <v>21</v>
      </c>
      <c r="I26" s="17" t="s">
        <v>22</v>
      </c>
      <c r="J26" s="17" t="s">
        <v>23</v>
      </c>
      <c r="K26" s="99" t="s">
        <v>19</v>
      </c>
      <c r="L26" s="100"/>
      <c r="M26" s="100"/>
      <c r="N26" s="100"/>
      <c r="O26" s="100"/>
      <c r="P26" s="100"/>
      <c r="Q26" s="101"/>
      <c r="R26" s="51" t="s">
        <v>20</v>
      </c>
      <c r="S26" s="50" t="s">
        <v>21</v>
      </c>
      <c r="T26" s="17" t="s">
        <v>22</v>
      </c>
      <c r="U26" s="17" t="s">
        <v>23</v>
      </c>
    </row>
    <row r="27" spans="1:24" ht="18" customHeight="1" x14ac:dyDescent="0.15">
      <c r="B27" s="110" t="s">
        <v>24</v>
      </c>
      <c r="C27" s="111"/>
      <c r="D27" s="111"/>
      <c r="E27" s="111"/>
      <c r="F27" s="112"/>
      <c r="G27" s="18">
        <v>2</v>
      </c>
      <c r="H27" s="18" t="s">
        <v>25</v>
      </c>
      <c r="I27" s="18" t="s">
        <v>25</v>
      </c>
      <c r="J27" s="18"/>
      <c r="K27" s="110"/>
      <c r="L27" s="111"/>
      <c r="M27" s="111"/>
      <c r="N27" s="111"/>
      <c r="O27" s="111"/>
      <c r="P27" s="111"/>
      <c r="Q27" s="112"/>
      <c r="R27" s="18"/>
      <c r="S27" s="18"/>
      <c r="T27" s="18"/>
      <c r="U27" s="18"/>
    </row>
    <row r="28" spans="1:24" ht="18" customHeight="1" x14ac:dyDescent="0.15">
      <c r="B28" s="102" t="s">
        <v>26</v>
      </c>
      <c r="C28" s="103"/>
      <c r="D28" s="103"/>
      <c r="E28" s="103"/>
      <c r="F28" s="104"/>
      <c r="G28" s="19">
        <v>2</v>
      </c>
      <c r="H28" s="19" t="s">
        <v>25</v>
      </c>
      <c r="I28" s="19"/>
      <c r="J28" s="19" t="s">
        <v>25</v>
      </c>
      <c r="K28" s="102"/>
      <c r="L28" s="103"/>
      <c r="M28" s="103"/>
      <c r="N28" s="103"/>
      <c r="O28" s="103"/>
      <c r="P28" s="103"/>
      <c r="Q28" s="104"/>
      <c r="R28" s="19"/>
      <c r="S28" s="19"/>
      <c r="T28" s="19"/>
      <c r="U28" s="19"/>
    </row>
    <row r="29" spans="1:24" ht="18" customHeight="1" x14ac:dyDescent="0.15">
      <c r="B29" s="102"/>
      <c r="C29" s="103"/>
      <c r="D29" s="103"/>
      <c r="E29" s="103"/>
      <c r="F29" s="104"/>
      <c r="G29" s="19"/>
      <c r="H29" s="19"/>
      <c r="I29" s="19"/>
      <c r="J29" s="19"/>
      <c r="K29" s="102"/>
      <c r="L29" s="103"/>
      <c r="M29" s="103"/>
      <c r="N29" s="103"/>
      <c r="O29" s="103"/>
      <c r="P29" s="103"/>
      <c r="Q29" s="104"/>
      <c r="R29" s="19"/>
      <c r="S29" s="19"/>
      <c r="T29" s="19"/>
      <c r="U29" s="19"/>
    </row>
    <row r="30" spans="1:24" ht="18" customHeight="1" x14ac:dyDescent="0.15">
      <c r="B30" s="102"/>
      <c r="C30" s="103"/>
      <c r="D30" s="103"/>
      <c r="E30" s="103"/>
      <c r="F30" s="104"/>
      <c r="G30" s="19"/>
      <c r="H30" s="19"/>
      <c r="I30" s="19"/>
      <c r="J30" s="19"/>
      <c r="K30" s="102"/>
      <c r="L30" s="103"/>
      <c r="M30" s="103"/>
      <c r="N30" s="103"/>
      <c r="O30" s="103"/>
      <c r="P30" s="103"/>
      <c r="Q30" s="104"/>
      <c r="R30" s="19"/>
      <c r="S30" s="19"/>
      <c r="T30" s="19"/>
      <c r="U30" s="19"/>
    </row>
    <row r="31" spans="1:24" ht="18" customHeight="1" x14ac:dyDescent="0.15">
      <c r="B31" s="102"/>
      <c r="C31" s="103"/>
      <c r="D31" s="103"/>
      <c r="E31" s="103"/>
      <c r="F31" s="104"/>
      <c r="G31" s="19"/>
      <c r="H31" s="19"/>
      <c r="I31" s="19"/>
      <c r="J31" s="19"/>
      <c r="K31" s="102"/>
      <c r="L31" s="103"/>
      <c r="M31" s="103"/>
      <c r="N31" s="103"/>
      <c r="O31" s="103"/>
      <c r="P31" s="103"/>
      <c r="Q31" s="104"/>
      <c r="R31" s="19"/>
      <c r="S31" s="19"/>
      <c r="T31" s="19"/>
      <c r="U31" s="19"/>
    </row>
    <row r="32" spans="1:24" ht="18" customHeight="1" x14ac:dyDescent="0.15">
      <c r="A32" s="3"/>
      <c r="B32" s="102"/>
      <c r="C32" s="103"/>
      <c r="D32" s="103"/>
      <c r="E32" s="103"/>
      <c r="F32" s="104"/>
      <c r="G32" s="19"/>
      <c r="H32" s="19"/>
      <c r="I32" s="19"/>
      <c r="J32" s="19"/>
      <c r="K32" s="102"/>
      <c r="L32" s="103"/>
      <c r="M32" s="103"/>
      <c r="N32" s="103"/>
      <c r="O32" s="103"/>
      <c r="P32" s="103"/>
      <c r="Q32" s="104"/>
      <c r="R32" s="19"/>
      <c r="S32" s="19"/>
      <c r="T32" s="19"/>
      <c r="U32" s="19"/>
    </row>
    <row r="33" spans="1:21" ht="18" customHeight="1" x14ac:dyDescent="0.15">
      <c r="A33" s="3"/>
      <c r="B33" s="105"/>
      <c r="C33" s="106"/>
      <c r="D33" s="106"/>
      <c r="E33" s="106"/>
      <c r="F33" s="107"/>
      <c r="G33" s="20"/>
      <c r="H33" s="20"/>
      <c r="I33" s="21"/>
      <c r="J33" s="21"/>
      <c r="K33" s="105"/>
      <c r="L33" s="106"/>
      <c r="M33" s="106"/>
      <c r="N33" s="106"/>
      <c r="O33" s="106"/>
      <c r="P33" s="106"/>
      <c r="Q33" s="107"/>
      <c r="R33" s="20"/>
      <c r="S33" s="20"/>
      <c r="T33" s="21"/>
      <c r="U33" s="21"/>
    </row>
    <row r="34" spans="1:21" ht="7.5" customHeight="1" x14ac:dyDescent="0.15">
      <c r="A34" s="3"/>
      <c r="B34" s="6"/>
      <c r="C34" s="6"/>
      <c r="D34" s="6"/>
      <c r="E34" s="3"/>
      <c r="F34" s="3"/>
      <c r="G34" s="3"/>
      <c r="H34" s="3"/>
      <c r="I34" s="6"/>
      <c r="J34" s="6"/>
      <c r="K34" s="6"/>
      <c r="L34" s="6"/>
      <c r="M34" s="6"/>
      <c r="N34" s="6"/>
      <c r="O34" s="6"/>
      <c r="P34" s="6"/>
      <c r="Q34" s="6"/>
      <c r="R34" s="6"/>
      <c r="S34" s="6"/>
      <c r="T34" s="6"/>
      <c r="U34" s="3"/>
    </row>
    <row r="35" spans="1:21" ht="18" customHeight="1" x14ac:dyDescent="0.15">
      <c r="A35" s="113" t="s">
        <v>27</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99" t="s">
        <v>19</v>
      </c>
      <c r="C37" s="100"/>
      <c r="D37" s="100"/>
      <c r="E37" s="100"/>
      <c r="F37" s="101"/>
      <c r="G37" s="51" t="s">
        <v>20</v>
      </c>
      <c r="H37" s="50" t="s">
        <v>21</v>
      </c>
      <c r="I37" s="17" t="s">
        <v>28</v>
      </c>
      <c r="J37" s="17" t="s">
        <v>29</v>
      </c>
      <c r="K37" s="99" t="s">
        <v>19</v>
      </c>
      <c r="L37" s="100"/>
      <c r="M37" s="100"/>
      <c r="N37" s="100"/>
      <c r="O37" s="100"/>
      <c r="P37" s="100"/>
      <c r="Q37" s="101"/>
      <c r="R37" s="51" t="s">
        <v>20</v>
      </c>
      <c r="S37" s="50" t="s">
        <v>21</v>
      </c>
      <c r="T37" s="17" t="s">
        <v>28</v>
      </c>
      <c r="U37" s="17" t="s">
        <v>29</v>
      </c>
    </row>
    <row r="38" spans="1:21" ht="18" customHeight="1" x14ac:dyDescent="0.15">
      <c r="B38" s="110" t="s">
        <v>26</v>
      </c>
      <c r="C38" s="111"/>
      <c r="D38" s="111"/>
      <c r="E38" s="111"/>
      <c r="F38" s="112"/>
      <c r="G38" s="18">
        <v>2</v>
      </c>
      <c r="H38" s="18" t="s">
        <v>25</v>
      </c>
      <c r="I38" s="18" t="s">
        <v>25</v>
      </c>
      <c r="J38" s="18" t="s">
        <v>25</v>
      </c>
      <c r="K38" s="110"/>
      <c r="L38" s="111"/>
      <c r="M38" s="111"/>
      <c r="N38" s="111"/>
      <c r="O38" s="111"/>
      <c r="P38" s="111"/>
      <c r="Q38" s="112"/>
      <c r="R38" s="18"/>
      <c r="S38" s="18"/>
      <c r="T38" s="18"/>
      <c r="U38" s="18"/>
    </row>
    <row r="39" spans="1:21" ht="18" customHeight="1" x14ac:dyDescent="0.15">
      <c r="B39" s="102"/>
      <c r="C39" s="103"/>
      <c r="D39" s="103"/>
      <c r="E39" s="103"/>
      <c r="F39" s="104"/>
      <c r="G39" s="19"/>
      <c r="H39" s="19"/>
      <c r="I39" s="19"/>
      <c r="J39" s="19"/>
      <c r="K39" s="102"/>
      <c r="L39" s="103"/>
      <c r="M39" s="103"/>
      <c r="N39" s="103"/>
      <c r="O39" s="103"/>
      <c r="P39" s="103"/>
      <c r="Q39" s="104"/>
      <c r="R39" s="19"/>
      <c r="S39" s="19"/>
      <c r="T39" s="19"/>
      <c r="U39" s="19"/>
    </row>
    <row r="40" spans="1:21" ht="18" customHeight="1" x14ac:dyDescent="0.15">
      <c r="B40" s="102"/>
      <c r="C40" s="103"/>
      <c r="D40" s="103"/>
      <c r="E40" s="103"/>
      <c r="F40" s="104"/>
      <c r="G40" s="19"/>
      <c r="H40" s="19"/>
      <c r="I40" s="19"/>
      <c r="J40" s="19"/>
      <c r="K40" s="102"/>
      <c r="L40" s="103"/>
      <c r="M40" s="103"/>
      <c r="N40" s="103"/>
      <c r="O40" s="103"/>
      <c r="P40" s="103"/>
      <c r="Q40" s="104"/>
      <c r="R40" s="19"/>
      <c r="S40" s="19"/>
      <c r="T40" s="19"/>
      <c r="U40" s="19"/>
    </row>
    <row r="41" spans="1:21" ht="18" customHeight="1" x14ac:dyDescent="0.15">
      <c r="B41" s="102"/>
      <c r="C41" s="103"/>
      <c r="D41" s="103"/>
      <c r="E41" s="103"/>
      <c r="F41" s="104"/>
      <c r="G41" s="19"/>
      <c r="H41" s="19"/>
      <c r="I41" s="19"/>
      <c r="J41" s="19"/>
      <c r="K41" s="102"/>
      <c r="L41" s="103"/>
      <c r="M41" s="103"/>
      <c r="N41" s="103"/>
      <c r="O41" s="103"/>
      <c r="P41" s="103"/>
      <c r="Q41" s="104"/>
      <c r="R41" s="19"/>
      <c r="S41" s="19"/>
      <c r="T41" s="19"/>
      <c r="U41" s="19"/>
    </row>
    <row r="42" spans="1:21" ht="18" customHeight="1" x14ac:dyDescent="0.15">
      <c r="B42" s="102"/>
      <c r="C42" s="103"/>
      <c r="D42" s="103"/>
      <c r="E42" s="103"/>
      <c r="F42" s="104"/>
      <c r="G42" s="19"/>
      <c r="H42" s="19"/>
      <c r="I42" s="19"/>
      <c r="J42" s="19"/>
      <c r="K42" s="102"/>
      <c r="L42" s="103"/>
      <c r="M42" s="103"/>
      <c r="N42" s="103"/>
      <c r="O42" s="103"/>
      <c r="P42" s="103"/>
      <c r="Q42" s="104"/>
      <c r="R42" s="19"/>
      <c r="S42" s="19"/>
      <c r="T42" s="19"/>
      <c r="U42" s="19"/>
    </row>
    <row r="43" spans="1:21" ht="18" customHeight="1" x14ac:dyDescent="0.15">
      <c r="B43" s="102"/>
      <c r="C43" s="103"/>
      <c r="D43" s="103"/>
      <c r="E43" s="103"/>
      <c r="F43" s="104"/>
      <c r="G43" s="19"/>
      <c r="H43" s="19"/>
      <c r="I43" s="19"/>
      <c r="J43" s="19"/>
      <c r="K43" s="102"/>
      <c r="L43" s="103"/>
      <c r="M43" s="103"/>
      <c r="N43" s="103"/>
      <c r="O43" s="103"/>
      <c r="P43" s="103"/>
      <c r="Q43" s="104"/>
      <c r="R43" s="19"/>
      <c r="S43" s="19"/>
      <c r="T43" s="19"/>
      <c r="U43" s="19"/>
    </row>
    <row r="44" spans="1:21" ht="18" customHeight="1" x14ac:dyDescent="0.15">
      <c r="B44" s="105"/>
      <c r="C44" s="106"/>
      <c r="D44" s="106"/>
      <c r="E44" s="106"/>
      <c r="F44" s="107"/>
      <c r="G44" s="20"/>
      <c r="H44" s="20"/>
      <c r="I44" s="21"/>
      <c r="J44" s="21"/>
      <c r="K44" s="105"/>
      <c r="L44" s="106"/>
      <c r="M44" s="106"/>
      <c r="N44" s="106"/>
      <c r="O44" s="106"/>
      <c r="P44" s="106"/>
      <c r="Q44" s="107"/>
      <c r="R44" s="20"/>
      <c r="S44" s="20"/>
      <c r="T44" s="21"/>
      <c r="U44" s="21"/>
    </row>
    <row r="45" spans="1:21" ht="7.5" customHeight="1" x14ac:dyDescent="0.15">
      <c r="A45" s="3"/>
      <c r="B45" s="6"/>
      <c r="C45" s="6"/>
      <c r="D45" s="6"/>
      <c r="E45" s="3"/>
      <c r="F45" s="3"/>
      <c r="G45" s="3"/>
      <c r="H45" s="3"/>
      <c r="I45" s="6"/>
      <c r="J45" s="6"/>
      <c r="K45" s="6"/>
      <c r="L45" s="6"/>
      <c r="M45" s="6"/>
      <c r="N45" s="6"/>
      <c r="O45" s="6"/>
      <c r="P45" s="6"/>
      <c r="Q45" s="6"/>
      <c r="R45" s="6"/>
      <c r="S45" s="6"/>
      <c r="T45" s="6"/>
      <c r="U45" s="3"/>
    </row>
    <row r="46" spans="1:21" ht="18" customHeight="1" x14ac:dyDescent="0.15">
      <c r="A46" s="113" t="s">
        <v>30</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99" t="s">
        <v>19</v>
      </c>
      <c r="C48" s="100"/>
      <c r="D48" s="100"/>
      <c r="E48" s="100"/>
      <c r="F48" s="101"/>
      <c r="G48" s="51" t="s">
        <v>20</v>
      </c>
      <c r="H48" s="50" t="s">
        <v>21</v>
      </c>
      <c r="I48" s="17" t="s">
        <v>31</v>
      </c>
      <c r="J48" s="17" t="s">
        <v>32</v>
      </c>
      <c r="K48" s="99" t="s">
        <v>19</v>
      </c>
      <c r="L48" s="100"/>
      <c r="M48" s="100"/>
      <c r="N48" s="100"/>
      <c r="O48" s="100"/>
      <c r="P48" s="100"/>
      <c r="Q48" s="101"/>
      <c r="R48" s="51" t="s">
        <v>20</v>
      </c>
      <c r="S48" s="50" t="s">
        <v>21</v>
      </c>
      <c r="T48" s="17" t="s">
        <v>31</v>
      </c>
      <c r="U48" s="17" t="s">
        <v>32</v>
      </c>
    </row>
    <row r="49" spans="1:21" ht="18" customHeight="1" x14ac:dyDescent="0.15">
      <c r="A49" s="3"/>
      <c r="B49" s="110" t="s">
        <v>26</v>
      </c>
      <c r="C49" s="111"/>
      <c r="D49" s="111"/>
      <c r="E49" s="111"/>
      <c r="F49" s="112"/>
      <c r="G49" s="18">
        <v>2</v>
      </c>
      <c r="H49" s="18" t="s">
        <v>25</v>
      </c>
      <c r="I49" s="18" t="s">
        <v>25</v>
      </c>
      <c r="J49" s="18" t="s">
        <v>25</v>
      </c>
      <c r="K49" s="110"/>
      <c r="L49" s="111"/>
      <c r="M49" s="111"/>
      <c r="N49" s="111"/>
      <c r="O49" s="111"/>
      <c r="P49" s="111"/>
      <c r="Q49" s="112"/>
      <c r="R49" s="18"/>
      <c r="S49" s="18"/>
      <c r="T49" s="18"/>
      <c r="U49" s="18"/>
    </row>
    <row r="50" spans="1:21" ht="18" customHeight="1" x14ac:dyDescent="0.15">
      <c r="A50" s="3"/>
      <c r="B50" s="102"/>
      <c r="C50" s="103"/>
      <c r="D50" s="103"/>
      <c r="E50" s="103"/>
      <c r="F50" s="104"/>
      <c r="G50" s="19"/>
      <c r="H50" s="19"/>
      <c r="I50" s="19"/>
      <c r="J50" s="19"/>
      <c r="K50" s="102"/>
      <c r="L50" s="103"/>
      <c r="M50" s="103"/>
      <c r="N50" s="103"/>
      <c r="O50" s="103"/>
      <c r="P50" s="103"/>
      <c r="Q50" s="104"/>
      <c r="R50" s="19"/>
      <c r="S50" s="19"/>
      <c r="T50" s="19"/>
      <c r="U50" s="19"/>
    </row>
    <row r="51" spans="1:21" ht="18" customHeight="1" x14ac:dyDescent="0.15">
      <c r="A51" s="3"/>
      <c r="B51" s="102"/>
      <c r="C51" s="103"/>
      <c r="D51" s="103"/>
      <c r="E51" s="103"/>
      <c r="F51" s="104"/>
      <c r="G51" s="19"/>
      <c r="H51" s="19"/>
      <c r="I51" s="19"/>
      <c r="J51" s="19"/>
      <c r="K51" s="102"/>
      <c r="L51" s="103"/>
      <c r="M51" s="103"/>
      <c r="N51" s="103"/>
      <c r="O51" s="103"/>
      <c r="P51" s="103"/>
      <c r="Q51" s="104"/>
      <c r="R51" s="19"/>
      <c r="S51" s="19"/>
      <c r="T51" s="19"/>
      <c r="U51" s="19"/>
    </row>
    <row r="52" spans="1:21" ht="18" customHeight="1" x14ac:dyDescent="0.15">
      <c r="A52" s="3"/>
      <c r="B52" s="102"/>
      <c r="C52" s="103"/>
      <c r="D52" s="103"/>
      <c r="E52" s="103"/>
      <c r="F52" s="104"/>
      <c r="G52" s="19"/>
      <c r="H52" s="19"/>
      <c r="I52" s="19"/>
      <c r="J52" s="19"/>
      <c r="K52" s="102"/>
      <c r="L52" s="103"/>
      <c r="M52" s="103"/>
      <c r="N52" s="103"/>
      <c r="O52" s="103"/>
      <c r="P52" s="103"/>
      <c r="Q52" s="104"/>
      <c r="R52" s="19"/>
      <c r="S52" s="19"/>
      <c r="T52" s="19"/>
      <c r="U52" s="19"/>
    </row>
    <row r="53" spans="1:21" ht="18" customHeight="1" x14ac:dyDescent="0.15">
      <c r="A53" s="3"/>
      <c r="B53" s="102"/>
      <c r="C53" s="103"/>
      <c r="D53" s="103"/>
      <c r="E53" s="103"/>
      <c r="F53" s="104"/>
      <c r="G53" s="19"/>
      <c r="H53" s="19"/>
      <c r="I53" s="19"/>
      <c r="J53" s="19"/>
      <c r="K53" s="102"/>
      <c r="L53" s="103"/>
      <c r="M53" s="103"/>
      <c r="N53" s="103"/>
      <c r="O53" s="103"/>
      <c r="P53" s="103"/>
      <c r="Q53" s="104"/>
      <c r="R53" s="19"/>
      <c r="S53" s="19"/>
      <c r="T53" s="19"/>
      <c r="U53" s="19"/>
    </row>
    <row r="54" spans="1:21" ht="18" customHeight="1" x14ac:dyDescent="0.15">
      <c r="A54" s="3"/>
      <c r="B54" s="102"/>
      <c r="C54" s="103"/>
      <c r="D54" s="103"/>
      <c r="E54" s="103"/>
      <c r="F54" s="104"/>
      <c r="G54" s="19"/>
      <c r="H54" s="19"/>
      <c r="I54" s="19"/>
      <c r="J54" s="19"/>
      <c r="K54" s="102"/>
      <c r="L54" s="103"/>
      <c r="M54" s="103"/>
      <c r="N54" s="103"/>
      <c r="O54" s="103"/>
      <c r="P54" s="103"/>
      <c r="Q54" s="104"/>
      <c r="R54" s="19"/>
      <c r="S54" s="19"/>
      <c r="T54" s="19"/>
      <c r="U54" s="19"/>
    </row>
    <row r="55" spans="1:21" ht="18" customHeight="1" x14ac:dyDescent="0.15">
      <c r="A55" s="3"/>
      <c r="B55" s="105"/>
      <c r="C55" s="106"/>
      <c r="D55" s="106"/>
      <c r="E55" s="106"/>
      <c r="F55" s="107"/>
      <c r="G55" s="20"/>
      <c r="H55" s="20"/>
      <c r="I55" s="21"/>
      <c r="J55" s="21"/>
      <c r="K55" s="105"/>
      <c r="L55" s="106"/>
      <c r="M55" s="106"/>
      <c r="N55" s="106"/>
      <c r="O55" s="106"/>
      <c r="P55" s="106"/>
      <c r="Q55" s="107"/>
      <c r="R55" s="20"/>
      <c r="S55" s="20"/>
      <c r="T55" s="21"/>
      <c r="U55" s="21"/>
    </row>
    <row r="56" spans="1:21" ht="7.5" customHeight="1" x14ac:dyDescent="0.15">
      <c r="B56" s="14"/>
      <c r="C56" s="14"/>
      <c r="D56" s="14"/>
      <c r="E56" s="14"/>
      <c r="F56" s="14"/>
      <c r="G56" s="14"/>
      <c r="H56" s="14"/>
      <c r="I56" s="14"/>
      <c r="J56" s="14"/>
      <c r="K56" s="14"/>
      <c r="L56" s="14"/>
      <c r="M56" s="14"/>
      <c r="N56" s="14"/>
      <c r="O56" s="14"/>
      <c r="P56" s="14"/>
      <c r="Q56" s="14"/>
      <c r="R56" s="14"/>
      <c r="S56" s="14"/>
      <c r="T56" s="14"/>
    </row>
    <row r="57" spans="1:21" ht="18" customHeight="1" x14ac:dyDescent="0.15">
      <c r="A57" s="113" t="s">
        <v>33</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99" t="s">
        <v>19</v>
      </c>
      <c r="C59" s="100"/>
      <c r="D59" s="100"/>
      <c r="E59" s="100"/>
      <c r="F59" s="101"/>
      <c r="G59" s="51" t="s">
        <v>20</v>
      </c>
      <c r="H59" s="50" t="s">
        <v>21</v>
      </c>
      <c r="I59" s="17" t="s">
        <v>34</v>
      </c>
      <c r="J59" s="17" t="s">
        <v>35</v>
      </c>
      <c r="K59" s="99" t="s">
        <v>19</v>
      </c>
      <c r="L59" s="100"/>
      <c r="M59" s="100"/>
      <c r="N59" s="100"/>
      <c r="O59" s="100"/>
      <c r="P59" s="100"/>
      <c r="Q59" s="101"/>
      <c r="R59" s="51" t="s">
        <v>20</v>
      </c>
      <c r="S59" s="50" t="s">
        <v>21</v>
      </c>
      <c r="T59" s="17" t="s">
        <v>34</v>
      </c>
      <c r="U59" s="17" t="s">
        <v>35</v>
      </c>
    </row>
    <row r="60" spans="1:21" ht="18" customHeight="1" x14ac:dyDescent="0.15">
      <c r="A60" s="3"/>
      <c r="B60" s="110" t="s">
        <v>26</v>
      </c>
      <c r="C60" s="111"/>
      <c r="D60" s="111"/>
      <c r="E60" s="111"/>
      <c r="F60" s="112"/>
      <c r="G60" s="18">
        <v>2</v>
      </c>
      <c r="H60" s="18" t="s">
        <v>25</v>
      </c>
      <c r="I60" s="18" t="s">
        <v>25</v>
      </c>
      <c r="J60" s="18" t="s">
        <v>25</v>
      </c>
      <c r="K60" s="110"/>
      <c r="L60" s="111"/>
      <c r="M60" s="111"/>
      <c r="N60" s="111"/>
      <c r="O60" s="111"/>
      <c r="P60" s="111"/>
      <c r="Q60" s="112"/>
      <c r="R60" s="18"/>
      <c r="S60" s="18"/>
      <c r="T60" s="18"/>
      <c r="U60" s="18"/>
    </row>
    <row r="61" spans="1:21" ht="18" customHeight="1" x14ac:dyDescent="0.15">
      <c r="A61" s="3"/>
      <c r="B61" s="102"/>
      <c r="C61" s="103"/>
      <c r="D61" s="103"/>
      <c r="E61" s="103"/>
      <c r="F61" s="104"/>
      <c r="G61" s="19"/>
      <c r="H61" s="19"/>
      <c r="I61" s="19"/>
      <c r="J61" s="19"/>
      <c r="K61" s="102"/>
      <c r="L61" s="103"/>
      <c r="M61" s="103"/>
      <c r="N61" s="103"/>
      <c r="O61" s="103"/>
      <c r="P61" s="103"/>
      <c r="Q61" s="104"/>
      <c r="R61" s="19"/>
      <c r="S61" s="19"/>
      <c r="T61" s="19"/>
      <c r="U61" s="19"/>
    </row>
    <row r="62" spans="1:21" ht="18" customHeight="1" x14ac:dyDescent="0.15">
      <c r="A62" s="3"/>
      <c r="B62" s="102"/>
      <c r="C62" s="103"/>
      <c r="D62" s="103"/>
      <c r="E62" s="103"/>
      <c r="F62" s="104"/>
      <c r="G62" s="19"/>
      <c r="H62" s="19"/>
      <c r="I62" s="19"/>
      <c r="J62" s="19"/>
      <c r="K62" s="102"/>
      <c r="L62" s="103"/>
      <c r="M62" s="103"/>
      <c r="N62" s="103"/>
      <c r="O62" s="103"/>
      <c r="P62" s="103"/>
      <c r="Q62" s="104"/>
      <c r="R62" s="19"/>
      <c r="S62" s="19"/>
      <c r="T62" s="19"/>
      <c r="U62" s="19"/>
    </row>
    <row r="63" spans="1:21" ht="18" customHeight="1" x14ac:dyDescent="0.15">
      <c r="A63" s="3"/>
      <c r="B63" s="102"/>
      <c r="C63" s="103"/>
      <c r="D63" s="103"/>
      <c r="E63" s="103"/>
      <c r="F63" s="104"/>
      <c r="G63" s="19"/>
      <c r="H63" s="19"/>
      <c r="I63" s="19"/>
      <c r="J63" s="19"/>
      <c r="K63" s="102"/>
      <c r="L63" s="103"/>
      <c r="M63" s="103"/>
      <c r="N63" s="103"/>
      <c r="O63" s="103"/>
      <c r="P63" s="103"/>
      <c r="Q63" s="104"/>
      <c r="R63" s="19"/>
      <c r="S63" s="19"/>
      <c r="T63" s="19"/>
      <c r="U63" s="19"/>
    </row>
    <row r="64" spans="1:21" ht="18" customHeight="1" x14ac:dyDescent="0.15">
      <c r="A64" s="3"/>
      <c r="B64" s="102"/>
      <c r="C64" s="103"/>
      <c r="D64" s="103"/>
      <c r="E64" s="103"/>
      <c r="F64" s="104"/>
      <c r="G64" s="19"/>
      <c r="H64" s="19"/>
      <c r="I64" s="19"/>
      <c r="J64" s="19"/>
      <c r="K64" s="102"/>
      <c r="L64" s="103"/>
      <c r="M64" s="103"/>
      <c r="N64" s="103"/>
      <c r="O64" s="103"/>
      <c r="P64" s="103"/>
      <c r="Q64" s="104"/>
      <c r="R64" s="19"/>
      <c r="S64" s="19"/>
      <c r="T64" s="19"/>
      <c r="U64" s="19"/>
    </row>
    <row r="65" spans="1:21" ht="18" customHeight="1" x14ac:dyDescent="0.15">
      <c r="A65" s="3"/>
      <c r="B65" s="102"/>
      <c r="C65" s="103"/>
      <c r="D65" s="103"/>
      <c r="E65" s="103"/>
      <c r="F65" s="104"/>
      <c r="G65" s="19"/>
      <c r="H65" s="19"/>
      <c r="I65" s="19"/>
      <c r="J65" s="19"/>
      <c r="K65" s="102"/>
      <c r="L65" s="103"/>
      <c r="M65" s="103"/>
      <c r="N65" s="103"/>
      <c r="O65" s="103"/>
      <c r="P65" s="103"/>
      <c r="Q65" s="104"/>
      <c r="R65" s="19"/>
      <c r="S65" s="19"/>
      <c r="T65" s="19"/>
      <c r="U65" s="19"/>
    </row>
    <row r="66" spans="1:21" ht="18" customHeight="1" x14ac:dyDescent="0.15">
      <c r="A66" s="3"/>
      <c r="B66" s="105"/>
      <c r="C66" s="106"/>
      <c r="D66" s="106"/>
      <c r="E66" s="106"/>
      <c r="F66" s="107"/>
      <c r="G66" s="20"/>
      <c r="H66" s="20"/>
      <c r="I66" s="21"/>
      <c r="J66" s="21"/>
      <c r="K66" s="105"/>
      <c r="L66" s="106"/>
      <c r="M66" s="106"/>
      <c r="N66" s="106"/>
      <c r="O66" s="106"/>
      <c r="P66" s="106"/>
      <c r="Q66" s="107"/>
      <c r="R66" s="20"/>
      <c r="S66" s="20"/>
      <c r="T66" s="21"/>
      <c r="U66" s="21"/>
    </row>
    <row r="67" spans="1:21" ht="7.5" customHeight="1" x14ac:dyDescent="0.15">
      <c r="B67" s="14"/>
      <c r="C67" s="14"/>
      <c r="D67" s="14"/>
      <c r="E67" s="14"/>
      <c r="F67" s="14"/>
      <c r="G67" s="14"/>
      <c r="H67" s="14"/>
      <c r="I67" s="14"/>
      <c r="J67" s="14"/>
      <c r="K67" s="14"/>
      <c r="L67" s="14"/>
      <c r="M67" s="14"/>
      <c r="N67" s="14"/>
      <c r="O67" s="14"/>
      <c r="P67" s="14"/>
      <c r="Q67" s="14"/>
      <c r="R67" s="14"/>
      <c r="S67" s="14"/>
      <c r="T67" s="14"/>
    </row>
    <row r="68" spans="1:21" ht="18" customHeight="1" x14ac:dyDescent="0.15">
      <c r="A68" s="113" t="s">
        <v>36</v>
      </c>
      <c r="B68" s="113"/>
      <c r="C68" s="113"/>
      <c r="D68" s="113"/>
      <c r="E68" s="113"/>
      <c r="F68" s="113"/>
      <c r="G68" s="113"/>
      <c r="H68" s="113"/>
      <c r="I68" s="113"/>
      <c r="J68" s="113"/>
      <c r="K68" s="113"/>
      <c r="L68" s="113"/>
      <c r="M68" s="113"/>
      <c r="N68" s="113"/>
      <c r="O68" s="113"/>
      <c r="P68" s="113"/>
      <c r="Q68" s="113"/>
      <c r="R68" s="113"/>
      <c r="S68" s="113"/>
      <c r="T68" s="113"/>
      <c r="U68" s="113"/>
    </row>
    <row r="69" spans="1:21"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1" ht="18" customHeight="1" x14ac:dyDescent="0.15">
      <c r="B70" s="99" t="s">
        <v>19</v>
      </c>
      <c r="C70" s="100"/>
      <c r="D70" s="100"/>
      <c r="E70" s="100"/>
      <c r="F70" s="51" t="s">
        <v>20</v>
      </c>
      <c r="G70" s="50" t="s">
        <v>21</v>
      </c>
      <c r="H70" s="17" t="s">
        <v>37</v>
      </c>
      <c r="I70" s="17" t="s">
        <v>38</v>
      </c>
      <c r="J70" s="17" t="s">
        <v>39</v>
      </c>
      <c r="K70" s="99" t="s">
        <v>19</v>
      </c>
      <c r="L70" s="100"/>
      <c r="M70" s="100"/>
      <c r="N70" s="100"/>
      <c r="O70" s="100"/>
      <c r="P70" s="101"/>
      <c r="Q70" s="51" t="s">
        <v>20</v>
      </c>
      <c r="R70" s="50" t="s">
        <v>21</v>
      </c>
      <c r="S70" s="17" t="s">
        <v>37</v>
      </c>
      <c r="T70" s="17" t="s">
        <v>38</v>
      </c>
      <c r="U70" s="17" t="s">
        <v>39</v>
      </c>
    </row>
    <row r="71" spans="1:21" ht="18" customHeight="1" x14ac:dyDescent="0.15">
      <c r="A71" s="3"/>
      <c r="B71" s="110" t="s">
        <v>40</v>
      </c>
      <c r="C71" s="111"/>
      <c r="D71" s="111"/>
      <c r="E71" s="111"/>
      <c r="F71" s="18">
        <v>2</v>
      </c>
      <c r="G71" s="18" t="s">
        <v>41</v>
      </c>
      <c r="H71" s="18" t="s">
        <v>25</v>
      </c>
      <c r="I71" s="18" t="s">
        <v>25</v>
      </c>
      <c r="J71" s="18" t="s">
        <v>25</v>
      </c>
      <c r="K71" s="110"/>
      <c r="L71" s="111"/>
      <c r="M71" s="111"/>
      <c r="N71" s="111"/>
      <c r="O71" s="111"/>
      <c r="P71" s="112"/>
      <c r="Q71" s="18"/>
      <c r="R71" s="18"/>
      <c r="S71" s="18"/>
      <c r="T71" s="18"/>
      <c r="U71" s="18"/>
    </row>
    <row r="72" spans="1:21" ht="18" customHeight="1" x14ac:dyDescent="0.15">
      <c r="A72" s="3"/>
      <c r="B72" s="102" t="s">
        <v>42</v>
      </c>
      <c r="C72" s="103"/>
      <c r="D72" s="103"/>
      <c r="E72" s="104"/>
      <c r="F72" s="19">
        <v>2</v>
      </c>
      <c r="G72" s="19" t="s">
        <v>25</v>
      </c>
      <c r="H72" s="19"/>
      <c r="I72" s="19" t="s">
        <v>25</v>
      </c>
      <c r="J72" s="19"/>
      <c r="K72" s="102"/>
      <c r="L72" s="103"/>
      <c r="M72" s="103"/>
      <c r="N72" s="103"/>
      <c r="O72" s="103"/>
      <c r="P72" s="104"/>
      <c r="Q72" s="19"/>
      <c r="R72" s="19"/>
      <c r="S72" s="19"/>
      <c r="T72" s="19"/>
      <c r="U72" s="19"/>
    </row>
    <row r="73" spans="1:21" ht="18" customHeight="1" x14ac:dyDescent="0.15">
      <c r="A73" s="3"/>
      <c r="B73" s="102" t="s">
        <v>43</v>
      </c>
      <c r="C73" s="103"/>
      <c r="D73" s="103"/>
      <c r="E73" s="103"/>
      <c r="F73" s="19">
        <v>2</v>
      </c>
      <c r="G73" s="19" t="s">
        <v>25</v>
      </c>
      <c r="H73" s="19" t="s">
        <v>25</v>
      </c>
      <c r="I73" s="19" t="s">
        <v>25</v>
      </c>
      <c r="J73" s="19" t="s">
        <v>25</v>
      </c>
      <c r="K73" s="102"/>
      <c r="L73" s="103"/>
      <c r="M73" s="103"/>
      <c r="N73" s="103"/>
      <c r="O73" s="103"/>
      <c r="P73" s="104"/>
      <c r="Q73" s="19"/>
      <c r="R73" s="19"/>
      <c r="S73" s="19"/>
      <c r="T73" s="19"/>
      <c r="U73" s="19"/>
    </row>
    <row r="74" spans="1:21" ht="18" customHeight="1" x14ac:dyDescent="0.15">
      <c r="A74" s="3"/>
      <c r="B74" s="102"/>
      <c r="C74" s="103"/>
      <c r="D74" s="103"/>
      <c r="E74" s="103"/>
      <c r="F74" s="19"/>
      <c r="G74" s="19"/>
      <c r="H74" s="19"/>
      <c r="I74" s="19"/>
      <c r="J74" s="19"/>
      <c r="K74" s="102"/>
      <c r="L74" s="103"/>
      <c r="M74" s="103"/>
      <c r="N74" s="103"/>
      <c r="O74" s="103"/>
      <c r="P74" s="104"/>
      <c r="Q74" s="19"/>
      <c r="R74" s="19"/>
      <c r="S74" s="19"/>
      <c r="T74" s="19"/>
      <c r="U74" s="19"/>
    </row>
    <row r="75" spans="1:21" ht="18" customHeight="1" x14ac:dyDescent="0.15">
      <c r="A75" s="3"/>
      <c r="B75" s="102"/>
      <c r="C75" s="103"/>
      <c r="D75" s="103"/>
      <c r="E75" s="103"/>
      <c r="F75" s="19"/>
      <c r="G75" s="19"/>
      <c r="H75" s="19"/>
      <c r="I75" s="19"/>
      <c r="J75" s="19"/>
      <c r="K75" s="102"/>
      <c r="L75" s="103"/>
      <c r="M75" s="103"/>
      <c r="N75" s="103"/>
      <c r="O75" s="103"/>
      <c r="P75" s="104"/>
      <c r="Q75" s="19"/>
      <c r="R75" s="19"/>
      <c r="S75" s="19"/>
      <c r="T75" s="19"/>
      <c r="U75" s="19"/>
    </row>
    <row r="76" spans="1:21" ht="18" customHeight="1" x14ac:dyDescent="0.15">
      <c r="A76" s="3"/>
      <c r="B76" s="102"/>
      <c r="C76" s="103"/>
      <c r="D76" s="103"/>
      <c r="E76" s="103"/>
      <c r="F76" s="19"/>
      <c r="G76" s="19"/>
      <c r="H76" s="19"/>
      <c r="I76" s="19"/>
      <c r="J76" s="19"/>
      <c r="K76" s="102"/>
      <c r="L76" s="103"/>
      <c r="M76" s="103"/>
      <c r="N76" s="103"/>
      <c r="O76" s="103"/>
      <c r="P76" s="104"/>
      <c r="Q76" s="19"/>
      <c r="R76" s="19"/>
      <c r="S76" s="19"/>
      <c r="T76" s="19"/>
      <c r="U76" s="19"/>
    </row>
    <row r="77" spans="1:21" ht="18" customHeight="1" x14ac:dyDescent="0.15">
      <c r="A77" s="3"/>
      <c r="B77" s="105"/>
      <c r="C77" s="106"/>
      <c r="D77" s="106"/>
      <c r="E77" s="106"/>
      <c r="F77" s="20"/>
      <c r="G77" s="20"/>
      <c r="H77" s="21"/>
      <c r="I77" s="21"/>
      <c r="J77" s="21"/>
      <c r="K77" s="105"/>
      <c r="L77" s="106"/>
      <c r="M77" s="106"/>
      <c r="N77" s="106"/>
      <c r="O77" s="106"/>
      <c r="P77" s="107"/>
      <c r="Q77" s="20"/>
      <c r="R77" s="20"/>
      <c r="S77" s="21"/>
      <c r="T77" s="21"/>
      <c r="U77" s="21"/>
    </row>
    <row r="78" spans="1:21" ht="7.5" customHeight="1" x14ac:dyDescent="0.15">
      <c r="B78" s="14"/>
      <c r="C78" s="14"/>
      <c r="D78" s="14"/>
      <c r="E78" s="14"/>
      <c r="F78" s="14"/>
      <c r="G78" s="14"/>
      <c r="H78" s="14"/>
      <c r="I78" s="14"/>
      <c r="J78" s="14"/>
      <c r="K78" s="14"/>
      <c r="L78" s="14"/>
      <c r="M78" s="14"/>
      <c r="N78" s="14"/>
      <c r="O78" s="14"/>
      <c r="P78" s="14"/>
      <c r="Q78" s="14"/>
      <c r="R78" s="14"/>
      <c r="S78" s="14"/>
      <c r="T78" s="14"/>
    </row>
    <row r="79" spans="1:21" ht="18" customHeight="1" x14ac:dyDescent="0.15">
      <c r="A79" s="1" t="s">
        <v>44</v>
      </c>
      <c r="I79" s="3"/>
      <c r="J79" s="3"/>
      <c r="K79" s="3"/>
      <c r="L79" s="3"/>
      <c r="M79" s="3"/>
      <c r="N79" s="3"/>
      <c r="O79" s="3"/>
      <c r="P79" s="3"/>
      <c r="Q79" s="3"/>
      <c r="R79" s="3"/>
      <c r="S79" s="3"/>
      <c r="T79" s="3"/>
      <c r="U79" s="3"/>
    </row>
    <row r="80" spans="1:21" ht="18" customHeight="1" x14ac:dyDescent="0.15">
      <c r="B80" s="99" t="s">
        <v>19</v>
      </c>
      <c r="C80" s="100"/>
      <c r="D80" s="100"/>
      <c r="E80" s="100"/>
      <c r="F80" s="101"/>
      <c r="G80" s="99" t="s">
        <v>45</v>
      </c>
      <c r="H80" s="100"/>
      <c r="I80" s="100"/>
      <c r="J80" s="101"/>
      <c r="K80" s="119" t="s">
        <v>19</v>
      </c>
      <c r="L80" s="120"/>
      <c r="M80" s="120"/>
      <c r="N80" s="120"/>
      <c r="O80" s="120"/>
      <c r="P80" s="120"/>
      <c r="Q80" s="121"/>
      <c r="R80" s="99" t="s">
        <v>45</v>
      </c>
      <c r="S80" s="100"/>
      <c r="T80" s="100"/>
      <c r="U80" s="101"/>
    </row>
    <row r="81" spans="1:21" ht="18" customHeight="1" x14ac:dyDescent="0.15">
      <c r="A81" s="3"/>
      <c r="B81" s="110"/>
      <c r="C81" s="111"/>
      <c r="D81" s="111"/>
      <c r="E81" s="111"/>
      <c r="F81" s="112"/>
      <c r="G81" s="114"/>
      <c r="H81" s="115"/>
      <c r="I81" s="115"/>
      <c r="J81" s="116"/>
      <c r="K81" s="110"/>
      <c r="L81" s="111"/>
      <c r="M81" s="111"/>
      <c r="N81" s="111"/>
      <c r="O81" s="111"/>
      <c r="P81" s="111"/>
      <c r="Q81" s="112"/>
      <c r="R81" s="114"/>
      <c r="S81" s="115"/>
      <c r="T81" s="115"/>
      <c r="U81" s="116"/>
    </row>
    <row r="82" spans="1:21" ht="18" customHeight="1" x14ac:dyDescent="0.15">
      <c r="A82" s="3"/>
      <c r="B82" s="102"/>
      <c r="C82" s="103"/>
      <c r="D82" s="103"/>
      <c r="E82" s="103"/>
      <c r="F82" s="104"/>
      <c r="G82" s="96"/>
      <c r="H82" s="97"/>
      <c r="I82" s="97"/>
      <c r="J82" s="98"/>
      <c r="K82" s="102"/>
      <c r="L82" s="103"/>
      <c r="M82" s="103"/>
      <c r="N82" s="103"/>
      <c r="O82" s="103"/>
      <c r="P82" s="103"/>
      <c r="Q82" s="104"/>
      <c r="R82" s="96"/>
      <c r="S82" s="97"/>
      <c r="T82" s="97"/>
      <c r="U82" s="98"/>
    </row>
    <row r="83" spans="1:21" ht="18" customHeight="1" x14ac:dyDescent="0.15">
      <c r="A83" s="3"/>
      <c r="B83" s="102"/>
      <c r="C83" s="103"/>
      <c r="D83" s="103"/>
      <c r="E83" s="103"/>
      <c r="F83" s="104"/>
      <c r="G83" s="96"/>
      <c r="H83" s="97"/>
      <c r="I83" s="97"/>
      <c r="J83" s="98"/>
      <c r="K83" s="102"/>
      <c r="L83" s="103"/>
      <c r="M83" s="103"/>
      <c r="N83" s="103"/>
      <c r="O83" s="103"/>
      <c r="P83" s="103"/>
      <c r="Q83" s="104"/>
      <c r="R83" s="96"/>
      <c r="S83" s="97"/>
      <c r="T83" s="97"/>
      <c r="U83" s="98"/>
    </row>
    <row r="84" spans="1:21" ht="18" customHeight="1" x14ac:dyDescent="0.15">
      <c r="A84" s="3"/>
      <c r="B84" s="102"/>
      <c r="C84" s="103"/>
      <c r="D84" s="103"/>
      <c r="E84" s="103"/>
      <c r="F84" s="104"/>
      <c r="G84" s="96"/>
      <c r="H84" s="97"/>
      <c r="I84" s="97"/>
      <c r="J84" s="98"/>
      <c r="K84" s="102"/>
      <c r="L84" s="103"/>
      <c r="M84" s="103"/>
      <c r="N84" s="103"/>
      <c r="O84" s="103"/>
      <c r="P84" s="103"/>
      <c r="Q84" s="104"/>
      <c r="R84" s="96"/>
      <c r="S84" s="97"/>
      <c r="T84" s="97"/>
      <c r="U84" s="98"/>
    </row>
    <row r="85" spans="1:21" ht="18" customHeight="1" x14ac:dyDescent="0.15">
      <c r="A85" s="3"/>
      <c r="B85" s="102"/>
      <c r="C85" s="103"/>
      <c r="D85" s="103"/>
      <c r="E85" s="103"/>
      <c r="F85" s="104"/>
      <c r="G85" s="96"/>
      <c r="H85" s="97"/>
      <c r="I85" s="97"/>
      <c r="J85" s="98"/>
      <c r="K85" s="102"/>
      <c r="L85" s="103"/>
      <c r="M85" s="103"/>
      <c r="N85" s="103"/>
      <c r="O85" s="103"/>
      <c r="P85" s="103"/>
      <c r="Q85" s="104"/>
      <c r="R85" s="96"/>
      <c r="S85" s="97"/>
      <c r="T85" s="97"/>
      <c r="U85" s="98"/>
    </row>
    <row r="86" spans="1:21" ht="18" customHeight="1" x14ac:dyDescent="0.15">
      <c r="A86" s="3"/>
      <c r="B86" s="102"/>
      <c r="C86" s="103"/>
      <c r="D86" s="103"/>
      <c r="E86" s="103"/>
      <c r="F86" s="104"/>
      <c r="G86" s="96"/>
      <c r="H86" s="97"/>
      <c r="I86" s="97"/>
      <c r="J86" s="98"/>
      <c r="K86" s="102"/>
      <c r="L86" s="103"/>
      <c r="M86" s="103"/>
      <c r="N86" s="103"/>
      <c r="O86" s="103"/>
      <c r="P86" s="103"/>
      <c r="Q86" s="104"/>
      <c r="R86" s="96"/>
      <c r="S86" s="97"/>
      <c r="T86" s="97"/>
      <c r="U86" s="98"/>
    </row>
    <row r="87" spans="1:21" ht="18" customHeight="1" x14ac:dyDescent="0.15">
      <c r="A87" s="3"/>
      <c r="B87" s="105"/>
      <c r="C87" s="106"/>
      <c r="D87" s="106"/>
      <c r="E87" s="106"/>
      <c r="F87" s="107"/>
      <c r="G87" s="137"/>
      <c r="H87" s="138"/>
      <c r="I87" s="138"/>
      <c r="J87" s="139"/>
      <c r="K87" s="105"/>
      <c r="L87" s="106"/>
      <c r="M87" s="106"/>
      <c r="N87" s="106"/>
      <c r="O87" s="106"/>
      <c r="P87" s="106"/>
      <c r="Q87" s="107"/>
      <c r="R87" s="137"/>
      <c r="S87" s="138"/>
      <c r="T87" s="138"/>
      <c r="U87" s="139"/>
    </row>
    <row r="88" spans="1:21" ht="18" customHeight="1" x14ac:dyDescent="0.15">
      <c r="A88" s="3"/>
      <c r="B88" s="6"/>
      <c r="C88" s="6"/>
      <c r="D88" s="6"/>
      <c r="E88" s="6"/>
      <c r="F88" s="6"/>
      <c r="G88" s="22"/>
      <c r="H88" s="22"/>
      <c r="I88" s="22"/>
      <c r="J88" s="22"/>
      <c r="K88" s="6"/>
      <c r="L88" s="6"/>
      <c r="M88" s="6"/>
      <c r="N88" s="6"/>
      <c r="O88" s="6"/>
      <c r="P88" s="6"/>
      <c r="Q88" s="6"/>
      <c r="R88" s="22"/>
      <c r="S88" s="22"/>
      <c r="T88" s="22"/>
      <c r="U88" s="22"/>
    </row>
    <row r="89" spans="1:21" ht="18.75" customHeight="1" x14ac:dyDescent="0.15">
      <c r="A89" s="1" t="s">
        <v>46</v>
      </c>
    </row>
    <row r="90" spans="1:21" ht="18.75" customHeight="1" x14ac:dyDescent="0.15">
      <c r="B90" s="140" t="s">
        <v>47</v>
      </c>
      <c r="C90" s="141"/>
      <c r="D90" s="99" t="s">
        <v>48</v>
      </c>
      <c r="E90" s="100"/>
      <c r="F90" s="100"/>
      <c r="G90" s="100"/>
      <c r="H90" s="100"/>
      <c r="I90" s="100"/>
      <c r="J90" s="100"/>
      <c r="K90" s="100"/>
      <c r="L90" s="100"/>
      <c r="M90" s="100"/>
      <c r="N90" s="100"/>
      <c r="O90" s="100"/>
      <c r="P90" s="100"/>
      <c r="Q90" s="100"/>
      <c r="R90" s="100"/>
      <c r="S90" s="100"/>
      <c r="T90" s="100"/>
      <c r="U90" s="101"/>
    </row>
    <row r="91" spans="1:21" ht="97.5" customHeight="1" x14ac:dyDescent="0.15">
      <c r="B91" s="117" t="s">
        <v>49</v>
      </c>
      <c r="C91" s="23" t="s">
        <v>22</v>
      </c>
      <c r="D91" s="151" t="s">
        <v>50</v>
      </c>
      <c r="E91" s="152"/>
      <c r="F91" s="152"/>
      <c r="G91" s="152"/>
      <c r="H91" s="152"/>
      <c r="I91" s="152"/>
      <c r="J91" s="152"/>
      <c r="K91" s="152"/>
      <c r="L91" s="152"/>
      <c r="M91" s="152"/>
      <c r="N91" s="152"/>
      <c r="O91" s="152"/>
      <c r="P91" s="152"/>
      <c r="Q91" s="152"/>
      <c r="R91" s="152"/>
      <c r="S91" s="152"/>
      <c r="T91" s="152"/>
      <c r="U91" s="153"/>
    </row>
    <row r="92" spans="1:21" ht="97.5" customHeight="1" x14ac:dyDescent="0.15">
      <c r="B92" s="122"/>
      <c r="C92" s="24" t="s">
        <v>51</v>
      </c>
      <c r="D92" s="148" t="s">
        <v>52</v>
      </c>
      <c r="E92" s="149"/>
      <c r="F92" s="149"/>
      <c r="G92" s="149"/>
      <c r="H92" s="149"/>
      <c r="I92" s="149"/>
      <c r="J92" s="149"/>
      <c r="K92" s="149"/>
      <c r="L92" s="149"/>
      <c r="M92" s="149"/>
      <c r="N92" s="149"/>
      <c r="O92" s="149"/>
      <c r="P92" s="149"/>
      <c r="Q92" s="149"/>
      <c r="R92" s="149"/>
      <c r="S92" s="149"/>
      <c r="T92" s="149"/>
      <c r="U92" s="150"/>
    </row>
    <row r="93" spans="1:21" ht="97.5" customHeight="1" x14ac:dyDescent="0.15">
      <c r="B93" s="117" t="s">
        <v>53</v>
      </c>
      <c r="C93" s="25" t="s">
        <v>28</v>
      </c>
      <c r="D93" s="151" t="s">
        <v>54</v>
      </c>
      <c r="E93" s="152"/>
      <c r="F93" s="152"/>
      <c r="G93" s="152"/>
      <c r="H93" s="152"/>
      <c r="I93" s="152"/>
      <c r="J93" s="152"/>
      <c r="K93" s="152"/>
      <c r="L93" s="152"/>
      <c r="M93" s="152"/>
      <c r="N93" s="152"/>
      <c r="O93" s="152"/>
      <c r="P93" s="152"/>
      <c r="Q93" s="152"/>
      <c r="R93" s="152"/>
      <c r="S93" s="152"/>
      <c r="T93" s="152"/>
      <c r="U93" s="153"/>
    </row>
    <row r="94" spans="1:21" ht="97.5" customHeight="1" x14ac:dyDescent="0.15">
      <c r="B94" s="118"/>
      <c r="C94" s="26" t="s">
        <v>29</v>
      </c>
      <c r="D94" s="148" t="s">
        <v>55</v>
      </c>
      <c r="E94" s="149"/>
      <c r="F94" s="149"/>
      <c r="G94" s="149"/>
      <c r="H94" s="149"/>
      <c r="I94" s="149"/>
      <c r="J94" s="149"/>
      <c r="K94" s="149"/>
      <c r="L94" s="149"/>
      <c r="M94" s="149"/>
      <c r="N94" s="149"/>
      <c r="O94" s="149"/>
      <c r="P94" s="149"/>
      <c r="Q94" s="149"/>
      <c r="R94" s="149"/>
      <c r="S94" s="149"/>
      <c r="T94" s="149"/>
      <c r="U94" s="150"/>
    </row>
    <row r="95" spans="1:21" ht="97.5" customHeight="1" x14ac:dyDescent="0.15">
      <c r="B95" s="117" t="s">
        <v>56</v>
      </c>
      <c r="C95" s="25" t="s">
        <v>31</v>
      </c>
      <c r="D95" s="151" t="s">
        <v>57</v>
      </c>
      <c r="E95" s="152"/>
      <c r="F95" s="152"/>
      <c r="G95" s="152"/>
      <c r="H95" s="152"/>
      <c r="I95" s="152"/>
      <c r="J95" s="152"/>
      <c r="K95" s="152"/>
      <c r="L95" s="152"/>
      <c r="M95" s="152"/>
      <c r="N95" s="152"/>
      <c r="O95" s="152"/>
      <c r="P95" s="152"/>
      <c r="Q95" s="152"/>
      <c r="R95" s="152"/>
      <c r="S95" s="152"/>
      <c r="T95" s="152"/>
      <c r="U95" s="153"/>
    </row>
    <row r="96" spans="1:21" ht="97.5" customHeight="1" x14ac:dyDescent="0.15">
      <c r="B96" s="118"/>
      <c r="C96" s="27" t="s">
        <v>32</v>
      </c>
      <c r="D96" s="148" t="s">
        <v>174</v>
      </c>
      <c r="E96" s="149"/>
      <c r="F96" s="149"/>
      <c r="G96" s="149"/>
      <c r="H96" s="149"/>
      <c r="I96" s="149"/>
      <c r="J96" s="149"/>
      <c r="K96" s="149"/>
      <c r="L96" s="149"/>
      <c r="M96" s="149"/>
      <c r="N96" s="149"/>
      <c r="O96" s="149"/>
      <c r="P96" s="149"/>
      <c r="Q96" s="149"/>
      <c r="R96" s="149"/>
      <c r="S96" s="149"/>
      <c r="T96" s="149"/>
      <c r="U96" s="150"/>
    </row>
    <row r="97" spans="1:33" ht="97.5" customHeight="1" x14ac:dyDescent="0.15">
      <c r="B97" s="117" t="s">
        <v>58</v>
      </c>
      <c r="C97" s="23" t="s">
        <v>34</v>
      </c>
      <c r="D97" s="151" t="s">
        <v>59</v>
      </c>
      <c r="E97" s="152"/>
      <c r="F97" s="152"/>
      <c r="G97" s="152"/>
      <c r="H97" s="152"/>
      <c r="I97" s="152"/>
      <c r="J97" s="152"/>
      <c r="K97" s="152"/>
      <c r="L97" s="152"/>
      <c r="M97" s="152"/>
      <c r="N97" s="152"/>
      <c r="O97" s="152"/>
      <c r="P97" s="152"/>
      <c r="Q97" s="152"/>
      <c r="R97" s="152"/>
      <c r="S97" s="152"/>
      <c r="T97" s="152"/>
      <c r="U97" s="153"/>
    </row>
    <row r="98" spans="1:33" ht="97.5" customHeight="1" x14ac:dyDescent="0.15">
      <c r="B98" s="118"/>
      <c r="C98" s="26" t="s">
        <v>35</v>
      </c>
      <c r="D98" s="148" t="s">
        <v>60</v>
      </c>
      <c r="E98" s="149"/>
      <c r="F98" s="149"/>
      <c r="G98" s="149"/>
      <c r="H98" s="149"/>
      <c r="I98" s="149"/>
      <c r="J98" s="149"/>
      <c r="K98" s="149"/>
      <c r="L98" s="149"/>
      <c r="M98" s="149"/>
      <c r="N98" s="149"/>
      <c r="O98" s="149"/>
      <c r="P98" s="149"/>
      <c r="Q98" s="149"/>
      <c r="R98" s="149"/>
      <c r="S98" s="149"/>
      <c r="T98" s="149"/>
      <c r="U98" s="150"/>
    </row>
    <row r="99" spans="1:33" ht="123.75" customHeight="1" x14ac:dyDescent="0.15">
      <c r="B99" s="117" t="s">
        <v>61</v>
      </c>
      <c r="C99" s="25" t="s">
        <v>62</v>
      </c>
      <c r="D99" s="151" t="s">
        <v>63</v>
      </c>
      <c r="E99" s="152"/>
      <c r="F99" s="152"/>
      <c r="G99" s="152"/>
      <c r="H99" s="152"/>
      <c r="I99" s="152"/>
      <c r="J99" s="152"/>
      <c r="K99" s="152"/>
      <c r="L99" s="152"/>
      <c r="M99" s="152"/>
      <c r="N99" s="152"/>
      <c r="O99" s="152"/>
      <c r="P99" s="152"/>
      <c r="Q99" s="152"/>
      <c r="R99" s="152"/>
      <c r="S99" s="152"/>
      <c r="T99" s="152"/>
      <c r="U99" s="153"/>
    </row>
    <row r="100" spans="1:33" ht="97.5" customHeight="1" x14ac:dyDescent="0.15">
      <c r="B100" s="122"/>
      <c r="C100" s="28" t="s">
        <v>38</v>
      </c>
      <c r="D100" s="154" t="s">
        <v>64</v>
      </c>
      <c r="E100" s="155"/>
      <c r="F100" s="155"/>
      <c r="G100" s="155"/>
      <c r="H100" s="155"/>
      <c r="I100" s="155"/>
      <c r="J100" s="155"/>
      <c r="K100" s="155"/>
      <c r="L100" s="155"/>
      <c r="M100" s="155"/>
      <c r="N100" s="155"/>
      <c r="O100" s="155"/>
      <c r="P100" s="155"/>
      <c r="Q100" s="155"/>
      <c r="R100" s="155"/>
      <c r="S100" s="155"/>
      <c r="T100" s="155"/>
      <c r="U100" s="156"/>
    </row>
    <row r="101" spans="1:33" ht="97.5" customHeight="1" x14ac:dyDescent="0.15">
      <c r="B101" s="118"/>
      <c r="C101" s="27" t="s">
        <v>39</v>
      </c>
      <c r="D101" s="148" t="s">
        <v>65</v>
      </c>
      <c r="E101" s="149"/>
      <c r="F101" s="149"/>
      <c r="G101" s="149"/>
      <c r="H101" s="149"/>
      <c r="I101" s="149"/>
      <c r="J101" s="149"/>
      <c r="K101" s="149"/>
      <c r="L101" s="149"/>
      <c r="M101" s="149"/>
      <c r="N101" s="149"/>
      <c r="O101" s="149"/>
      <c r="P101" s="149"/>
      <c r="Q101" s="149"/>
      <c r="R101" s="149"/>
      <c r="S101" s="149"/>
      <c r="T101" s="149"/>
      <c r="U101" s="150"/>
    </row>
    <row r="102" spans="1:33" ht="6" customHeight="1" x14ac:dyDescent="0.15"/>
    <row r="103" spans="1:33" ht="18.75" customHeight="1" x14ac:dyDescent="0.15">
      <c r="A103" s="1" t="s">
        <v>66</v>
      </c>
    </row>
    <row r="104" spans="1:33" ht="309.60000000000002" customHeight="1" x14ac:dyDescent="0.15">
      <c r="B104" s="134" t="s">
        <v>176</v>
      </c>
      <c r="C104" s="135"/>
      <c r="D104" s="135"/>
      <c r="E104" s="135"/>
      <c r="F104" s="135"/>
      <c r="G104" s="135"/>
      <c r="H104" s="135"/>
      <c r="I104" s="135"/>
      <c r="J104" s="135"/>
      <c r="K104" s="135"/>
      <c r="L104" s="135"/>
      <c r="M104" s="135"/>
      <c r="N104" s="135"/>
      <c r="O104" s="135"/>
      <c r="P104" s="135"/>
      <c r="Q104" s="135"/>
      <c r="R104" s="135"/>
      <c r="S104" s="135"/>
      <c r="T104" s="135"/>
      <c r="U104" s="136"/>
    </row>
    <row r="106" spans="1:33" ht="18.75" customHeight="1" x14ac:dyDescent="0.15">
      <c r="A106" s="74" t="s">
        <v>67</v>
      </c>
      <c r="B106" s="75"/>
      <c r="C106" s="75"/>
      <c r="D106" s="75"/>
      <c r="E106" s="75"/>
      <c r="F106" s="75"/>
      <c r="G106" s="75"/>
      <c r="H106" s="75"/>
      <c r="I106" s="75"/>
      <c r="J106" s="75"/>
      <c r="K106" s="75"/>
      <c r="L106" s="75"/>
      <c r="M106" s="75"/>
      <c r="N106" s="75"/>
      <c r="O106" s="75"/>
      <c r="P106" s="75"/>
      <c r="Q106" s="75"/>
      <c r="R106" s="75"/>
      <c r="S106" s="75"/>
      <c r="T106" s="75"/>
      <c r="U106" s="75"/>
    </row>
    <row r="107" spans="1:33" ht="18.75" customHeight="1" x14ac:dyDescent="0.15">
      <c r="A107" s="74" t="s">
        <v>68</v>
      </c>
      <c r="B107" s="74"/>
      <c r="C107" s="74"/>
      <c r="D107" s="74"/>
      <c r="E107" s="74"/>
      <c r="F107" s="74"/>
      <c r="G107" s="74"/>
      <c r="H107" s="74"/>
      <c r="I107" s="74"/>
      <c r="J107" s="74"/>
      <c r="K107" s="74"/>
      <c r="L107" s="74"/>
      <c r="M107" s="74"/>
      <c r="N107" s="74"/>
      <c r="O107" s="74"/>
      <c r="P107" s="74"/>
      <c r="Q107" s="74"/>
      <c r="R107" s="74"/>
      <c r="S107" s="74"/>
      <c r="T107" s="74"/>
      <c r="U107" s="74"/>
      <c r="V107" s="2"/>
      <c r="W107" s="2"/>
      <c r="X107" s="2"/>
      <c r="Y107" s="2"/>
      <c r="Z107" s="2"/>
      <c r="AA107" s="2"/>
      <c r="AB107" s="2"/>
      <c r="AC107" s="2"/>
      <c r="AD107" s="2"/>
      <c r="AE107" s="2"/>
      <c r="AF107" s="2"/>
      <c r="AG107" s="2"/>
    </row>
    <row r="108" spans="1:33" ht="18.75" customHeight="1" x14ac:dyDescent="0.15">
      <c r="A108" s="74"/>
      <c r="B108" s="147" t="s">
        <v>69</v>
      </c>
      <c r="C108" s="147"/>
      <c r="D108" s="147"/>
      <c r="E108" s="147"/>
      <c r="F108" s="147"/>
      <c r="G108" s="147"/>
      <c r="H108" s="147"/>
      <c r="I108" s="147"/>
      <c r="J108" s="147"/>
      <c r="K108" s="147"/>
      <c r="L108" s="147"/>
      <c r="M108" s="147"/>
      <c r="N108" s="147"/>
      <c r="O108" s="147"/>
      <c r="P108" s="147"/>
      <c r="Q108" s="147"/>
      <c r="R108" s="147"/>
      <c r="S108" s="147"/>
      <c r="T108" s="147"/>
      <c r="U108" s="147"/>
      <c r="V108" s="70"/>
      <c r="W108" s="70"/>
      <c r="X108" s="70"/>
      <c r="Y108" s="70"/>
      <c r="Z108" s="70"/>
      <c r="AA108" s="70"/>
      <c r="AB108" s="70"/>
      <c r="AC108" s="70"/>
      <c r="AD108" s="70"/>
      <c r="AE108" s="70"/>
      <c r="AF108" s="70"/>
      <c r="AG108" s="70"/>
    </row>
    <row r="109" spans="1:33" ht="37.15" customHeight="1" x14ac:dyDescent="0.15">
      <c r="A109" s="74"/>
      <c r="B109" s="147"/>
      <c r="C109" s="147"/>
      <c r="D109" s="147"/>
      <c r="E109" s="147"/>
      <c r="F109" s="147"/>
      <c r="G109" s="147"/>
      <c r="H109" s="147"/>
      <c r="I109" s="147"/>
      <c r="J109" s="147"/>
      <c r="K109" s="147"/>
      <c r="L109" s="147"/>
      <c r="M109" s="147"/>
      <c r="N109" s="147"/>
      <c r="O109" s="147"/>
      <c r="P109" s="147"/>
      <c r="Q109" s="147"/>
      <c r="R109" s="147"/>
      <c r="S109" s="147"/>
      <c r="T109" s="147"/>
      <c r="U109" s="147"/>
      <c r="V109" s="70"/>
      <c r="W109" s="70"/>
      <c r="X109" s="70"/>
      <c r="Y109" s="70"/>
      <c r="Z109" s="70"/>
      <c r="AA109" s="70"/>
      <c r="AB109" s="70"/>
      <c r="AC109" s="70"/>
      <c r="AD109" s="70"/>
      <c r="AE109" s="70"/>
      <c r="AF109" s="70"/>
      <c r="AG109" s="70"/>
    </row>
    <row r="110" spans="1:33" ht="18.75" customHeight="1" x14ac:dyDescent="0.15">
      <c r="A110" s="74"/>
      <c r="B110" s="95" t="s">
        <v>70</v>
      </c>
      <c r="C110" s="95"/>
      <c r="D110" s="95"/>
      <c r="E110" s="95"/>
      <c r="F110" s="95"/>
      <c r="G110" s="95"/>
      <c r="H110" s="95"/>
      <c r="I110" s="95"/>
      <c r="J110" s="95"/>
      <c r="K110" s="95"/>
      <c r="L110" s="95"/>
      <c r="M110" s="95"/>
      <c r="N110" s="95"/>
      <c r="O110" s="95"/>
      <c r="P110" s="95"/>
      <c r="Q110" s="95"/>
      <c r="R110" s="95"/>
      <c r="S110" s="95"/>
      <c r="T110" s="95"/>
      <c r="U110" s="95"/>
      <c r="V110" s="70"/>
      <c r="W110" s="70"/>
      <c r="X110" s="70"/>
      <c r="Y110" s="70"/>
      <c r="Z110" s="70"/>
      <c r="AA110" s="70"/>
      <c r="AB110" s="70"/>
      <c r="AC110" s="70"/>
      <c r="AD110" s="70"/>
      <c r="AE110" s="70"/>
      <c r="AF110" s="70"/>
      <c r="AG110" s="70"/>
    </row>
    <row r="111" spans="1:33" ht="18.75" customHeight="1" x14ac:dyDescent="0.15">
      <c r="A111" s="74"/>
      <c r="B111" s="108" t="s">
        <v>48</v>
      </c>
      <c r="C111" s="108"/>
      <c r="D111" s="108"/>
      <c r="E111" s="108"/>
      <c r="F111" s="108"/>
      <c r="G111" s="108"/>
      <c r="H111" s="108"/>
      <c r="I111" s="108"/>
      <c r="J111" s="108"/>
      <c r="K111" s="108"/>
      <c r="L111" s="108"/>
      <c r="M111" s="108"/>
      <c r="N111" s="108"/>
      <c r="O111" s="108"/>
      <c r="P111" s="108"/>
      <c r="Q111" s="108"/>
      <c r="R111" s="108"/>
      <c r="S111" s="108"/>
      <c r="T111" s="108"/>
      <c r="U111" s="108"/>
      <c r="V111" s="69"/>
      <c r="W111" s="69"/>
      <c r="X111" s="69"/>
      <c r="Y111" s="69"/>
      <c r="Z111" s="69"/>
      <c r="AA111" s="69"/>
      <c r="AB111" s="69"/>
      <c r="AC111" s="69"/>
      <c r="AD111" s="69"/>
      <c r="AE111" s="69"/>
      <c r="AF111" s="69"/>
      <c r="AG111" s="69"/>
    </row>
    <row r="112" spans="1:33" ht="132" customHeight="1" x14ac:dyDescent="0.15">
      <c r="A112" s="74"/>
      <c r="B112" s="109" t="s">
        <v>71</v>
      </c>
      <c r="C112" s="109"/>
      <c r="D112" s="109"/>
      <c r="E112" s="109"/>
      <c r="F112" s="109"/>
      <c r="G112" s="109"/>
      <c r="H112" s="109"/>
      <c r="I112" s="109"/>
      <c r="J112" s="109"/>
      <c r="K112" s="109"/>
      <c r="L112" s="109"/>
      <c r="M112" s="109"/>
      <c r="N112" s="109"/>
      <c r="O112" s="109"/>
      <c r="P112" s="109"/>
      <c r="Q112" s="109"/>
      <c r="R112" s="109"/>
      <c r="S112" s="109"/>
      <c r="T112" s="109"/>
      <c r="U112" s="109"/>
      <c r="V112" s="71"/>
      <c r="W112" s="71"/>
      <c r="X112" s="71"/>
      <c r="Y112" s="71"/>
      <c r="Z112" s="71"/>
      <c r="AA112" s="71"/>
      <c r="AB112" s="71"/>
      <c r="AC112" s="71"/>
      <c r="AD112" s="71"/>
      <c r="AE112" s="71"/>
      <c r="AF112" s="71"/>
      <c r="AG112" s="71"/>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00000000-0002-0000-0000-000000000000}">
      <formula1>"○"</formula1>
    </dataValidation>
    <dataValidation type="list" allowBlank="1" showInputMessage="1" showErrorMessage="1" sqref="U34 U45 E34:H34 E45:H45" xr:uid="{00000000-0002-0000-0000-000001000000}">
      <formula1>"全学開講,一部開講"</formula1>
    </dataValidation>
    <dataValidation type="list" allowBlank="1" showInputMessage="1" showErrorMessage="1" sqref="L14 L7:U7" xr:uid="{00000000-0002-0000-0000-000002000000}">
      <formula1>"学部・学科によって、修了要件は相違する,学部・学科によって、修了要件は相違しない"</formula1>
    </dataValidation>
    <dataValidation type="list" allowBlank="1" showInputMessage="1" showErrorMessage="1" sqref="G81:G88 R81:R88 H81:J82 H85:J88 S85:U88 S81:U82" xr:uid="{00000000-0002-0000-00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0000000-0002-0000-0000-000004000000}">
      <formula1>$X$16:$X$18</formula1>
    </dataValidation>
  </dataValidations>
  <printOptions horizontalCentered="1"/>
  <pageMargins left="0.78740157480314965" right="0.78740157480314965" top="0.78740157480314965" bottom="0.19685039370078741" header="0.31496062992125984" footer="0.19685039370078741"/>
  <pageSetup paperSize="9" scale="65" fitToHeight="0" orientation="portrait" r:id="rId1"/>
  <headerFooter>
    <oddHeader>&amp;C数理・データサイエンス・AI教育プログラム認定制度【リテラシーレベル】令和６年度申請用</oddHeader>
  </headerFooter>
  <rowBreaks count="2" manualBreakCount="2">
    <brk id="67" max="16383" man="1"/>
    <brk id="96" max="16383"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U33"/>
  <sheetViews>
    <sheetView tabSelected="1" view="pageBreakPreview" zoomScaleNormal="100" zoomScaleSheetLayoutView="100" workbookViewId="0">
      <selection activeCell="B14" sqref="B14"/>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1" ht="18" customHeight="1" x14ac:dyDescent="0.15">
      <c r="A1" s="75"/>
      <c r="B1" s="75"/>
      <c r="C1" s="75"/>
      <c r="D1" s="75"/>
      <c r="E1" s="75"/>
      <c r="F1" s="75"/>
      <c r="G1" s="75"/>
      <c r="H1" s="75"/>
      <c r="I1" s="75"/>
      <c r="J1" s="75"/>
      <c r="K1" s="75"/>
      <c r="L1" s="75"/>
      <c r="M1" s="75"/>
      <c r="N1" s="75"/>
      <c r="O1" s="75"/>
      <c r="P1" s="75"/>
      <c r="Q1" s="75"/>
      <c r="R1" s="75"/>
      <c r="S1" s="75" t="s">
        <v>72</v>
      </c>
    </row>
    <row r="2" spans="1:21" ht="18" customHeight="1" x14ac:dyDescent="0.15">
      <c r="A2" s="75"/>
      <c r="B2" s="75"/>
      <c r="C2" s="75"/>
      <c r="D2" s="75"/>
      <c r="E2" s="75"/>
      <c r="F2" s="75"/>
      <c r="G2" s="75"/>
      <c r="H2" s="75"/>
      <c r="I2" s="75"/>
      <c r="J2" s="75"/>
      <c r="K2" s="75"/>
      <c r="L2" s="75"/>
      <c r="M2" s="75"/>
      <c r="N2" s="75"/>
      <c r="O2" s="75"/>
      <c r="P2" s="75"/>
      <c r="Q2" s="170" t="str">
        <f>'様式１　プログラムを構成する授業科目'!C2</f>
        <v>宮城大学</v>
      </c>
      <c r="R2" s="170"/>
      <c r="S2" s="170"/>
    </row>
    <row r="3" spans="1:21" ht="18" customHeight="1" x14ac:dyDescent="0.15">
      <c r="A3" s="123" t="s">
        <v>73</v>
      </c>
      <c r="B3" s="123"/>
      <c r="C3" s="123"/>
      <c r="D3" s="123"/>
      <c r="E3" s="123"/>
      <c r="F3" s="123"/>
      <c r="G3" s="123"/>
      <c r="H3" s="123"/>
      <c r="I3" s="123"/>
      <c r="J3" s="123"/>
      <c r="K3" s="123"/>
      <c r="L3" s="123"/>
      <c r="M3" s="123"/>
      <c r="N3" s="123"/>
      <c r="O3" s="123"/>
      <c r="P3" s="123"/>
      <c r="Q3" s="123"/>
      <c r="R3" s="123"/>
      <c r="S3" s="123"/>
    </row>
    <row r="4" spans="1:21" ht="7.5" customHeight="1" x14ac:dyDescent="0.15">
      <c r="A4" s="80"/>
      <c r="B4" s="80"/>
      <c r="C4" s="80"/>
      <c r="D4" s="80"/>
      <c r="E4" s="80"/>
      <c r="F4" s="80"/>
      <c r="G4" s="80"/>
      <c r="H4" s="80"/>
      <c r="I4" s="80"/>
      <c r="J4" s="80"/>
      <c r="K4" s="80"/>
      <c r="L4" s="80"/>
      <c r="M4" s="80"/>
      <c r="N4" s="80"/>
      <c r="O4" s="80"/>
      <c r="P4" s="80"/>
      <c r="Q4" s="80"/>
      <c r="R4" s="80"/>
      <c r="S4" s="80"/>
    </row>
    <row r="5" spans="1:21" ht="18" customHeight="1" x14ac:dyDescent="0.15">
      <c r="A5" s="75" t="s">
        <v>74</v>
      </c>
      <c r="B5" s="75"/>
      <c r="C5" s="171" t="s">
        <v>182</v>
      </c>
      <c r="D5" s="172"/>
      <c r="E5" s="80" t="s">
        <v>75</v>
      </c>
      <c r="F5" s="80"/>
      <c r="G5" s="80"/>
      <c r="H5" s="80"/>
      <c r="I5" s="80"/>
      <c r="J5" s="80"/>
      <c r="K5" s="80"/>
      <c r="L5" s="80"/>
      <c r="M5" s="80"/>
      <c r="N5" s="80"/>
      <c r="O5" s="80"/>
      <c r="P5" s="80"/>
      <c r="Q5" s="80"/>
      <c r="R5" s="78"/>
      <c r="S5" s="78"/>
    </row>
    <row r="6" spans="1:21" ht="7.15" customHeight="1" x14ac:dyDescent="0.15">
      <c r="A6" s="75"/>
      <c r="B6" s="75"/>
      <c r="C6" s="84"/>
      <c r="D6" s="84"/>
      <c r="E6" s="80"/>
      <c r="F6" s="80"/>
      <c r="G6" s="80"/>
      <c r="H6" s="80"/>
      <c r="I6" s="80"/>
      <c r="J6" s="80"/>
      <c r="K6" s="80"/>
      <c r="L6" s="80"/>
      <c r="M6" s="80"/>
      <c r="N6" s="80"/>
      <c r="O6" s="80"/>
      <c r="P6" s="80"/>
      <c r="Q6" s="80"/>
      <c r="R6" s="78"/>
      <c r="S6" s="78"/>
    </row>
    <row r="7" spans="1:21" ht="18" customHeight="1" x14ac:dyDescent="0.15">
      <c r="A7" s="75" t="s">
        <v>76</v>
      </c>
      <c r="B7" s="75"/>
      <c r="C7" s="84"/>
      <c r="D7" s="84"/>
      <c r="E7" s="80" t="s">
        <v>77</v>
      </c>
      <c r="F7" s="83">
        <v>569</v>
      </c>
      <c r="G7" s="81" t="s">
        <v>78</v>
      </c>
      <c r="H7" s="80" t="s">
        <v>79</v>
      </c>
      <c r="I7" s="83">
        <v>1259</v>
      </c>
      <c r="J7" s="81" t="s">
        <v>78</v>
      </c>
      <c r="K7" s="77" t="s">
        <v>80</v>
      </c>
      <c r="L7" s="80" t="s">
        <v>81</v>
      </c>
      <c r="M7" s="83">
        <f>F7+I7</f>
        <v>1828</v>
      </c>
      <c r="N7" s="80" t="s">
        <v>82</v>
      </c>
      <c r="O7" s="81" t="s">
        <v>83</v>
      </c>
      <c r="P7" s="80"/>
      <c r="Q7" s="80"/>
      <c r="R7" s="78"/>
      <c r="S7" s="78"/>
    </row>
    <row r="8" spans="1:21" ht="6" customHeight="1" x14ac:dyDescent="0.15">
      <c r="A8" s="80"/>
      <c r="B8" s="80"/>
      <c r="C8" s="80"/>
      <c r="D8" s="80"/>
      <c r="E8" s="80"/>
      <c r="F8" s="80"/>
      <c r="G8" s="80"/>
      <c r="H8" s="80"/>
      <c r="I8" s="80"/>
      <c r="J8" s="80"/>
      <c r="K8" s="80"/>
      <c r="L8" s="80"/>
      <c r="M8" s="80"/>
      <c r="N8" s="80"/>
      <c r="O8" s="80"/>
      <c r="P8" s="80"/>
      <c r="Q8" s="80"/>
      <c r="R8" s="80"/>
      <c r="S8" s="80"/>
    </row>
    <row r="9" spans="1:21" ht="18" customHeight="1" x14ac:dyDescent="0.15">
      <c r="A9" s="75" t="s">
        <v>84</v>
      </c>
      <c r="B9" s="80"/>
      <c r="C9" s="80"/>
      <c r="D9" s="80"/>
      <c r="E9" s="80"/>
      <c r="F9" s="80"/>
      <c r="G9" s="80"/>
      <c r="H9" s="80"/>
      <c r="I9" s="80"/>
      <c r="J9" s="80"/>
      <c r="K9" s="80"/>
      <c r="L9" s="80"/>
      <c r="M9" s="80"/>
      <c r="N9" s="80"/>
      <c r="O9" s="80"/>
      <c r="P9" s="80"/>
      <c r="Q9" s="80"/>
      <c r="R9" s="80"/>
      <c r="S9" s="80"/>
    </row>
    <row r="10" spans="1:21" ht="6" customHeight="1" x14ac:dyDescent="0.15">
      <c r="B10" s="3"/>
      <c r="C10" s="3"/>
      <c r="D10" s="3"/>
      <c r="E10" s="3"/>
      <c r="F10" s="3"/>
      <c r="G10" s="3"/>
      <c r="H10" s="3"/>
      <c r="I10" s="3"/>
      <c r="J10" s="3"/>
      <c r="K10" s="3"/>
      <c r="L10" s="3"/>
      <c r="M10" s="3"/>
      <c r="N10" s="3"/>
      <c r="O10" s="3"/>
      <c r="P10" s="3"/>
      <c r="Q10" s="3"/>
      <c r="R10" s="3"/>
      <c r="S10" s="3"/>
    </row>
    <row r="11" spans="1:21" ht="18" customHeight="1" x14ac:dyDescent="0.15">
      <c r="B11" s="173" t="s">
        <v>85</v>
      </c>
      <c r="C11" s="183" t="s">
        <v>86</v>
      </c>
      <c r="D11" s="175" t="s">
        <v>87</v>
      </c>
      <c r="E11" s="177" t="s">
        <v>88</v>
      </c>
      <c r="F11" s="169" t="s">
        <v>89</v>
      </c>
      <c r="G11" s="169"/>
      <c r="H11" s="169" t="s">
        <v>90</v>
      </c>
      <c r="I11" s="169"/>
      <c r="J11" s="169" t="s">
        <v>91</v>
      </c>
      <c r="K11" s="169"/>
      <c r="L11" s="169" t="s">
        <v>92</v>
      </c>
      <c r="M11" s="169"/>
      <c r="N11" s="169" t="s">
        <v>93</v>
      </c>
      <c r="O11" s="169"/>
      <c r="P11" s="169" t="s">
        <v>94</v>
      </c>
      <c r="Q11" s="169"/>
      <c r="R11" s="179" t="s">
        <v>95</v>
      </c>
      <c r="S11" s="181" t="s">
        <v>96</v>
      </c>
      <c r="U11" s="2"/>
    </row>
    <row r="12" spans="1:21" ht="16.899999999999999" customHeight="1" x14ac:dyDescent="0.15">
      <c r="B12" s="174"/>
      <c r="C12" s="184"/>
      <c r="D12" s="176"/>
      <c r="E12" s="178"/>
      <c r="F12" s="64" t="s">
        <v>97</v>
      </c>
      <c r="G12" s="64" t="s">
        <v>98</v>
      </c>
      <c r="H12" s="64" t="s">
        <v>97</v>
      </c>
      <c r="I12" s="64" t="s">
        <v>98</v>
      </c>
      <c r="J12" s="64" t="s">
        <v>97</v>
      </c>
      <c r="K12" s="64" t="s">
        <v>98</v>
      </c>
      <c r="L12" s="64" t="s">
        <v>97</v>
      </c>
      <c r="M12" s="64" t="s">
        <v>98</v>
      </c>
      <c r="N12" s="64" t="s">
        <v>97</v>
      </c>
      <c r="O12" s="64" t="s">
        <v>98</v>
      </c>
      <c r="P12" s="64" t="s">
        <v>97</v>
      </c>
      <c r="Q12" s="65" t="s">
        <v>98</v>
      </c>
      <c r="R12" s="180"/>
      <c r="S12" s="182"/>
      <c r="U12" s="2"/>
    </row>
    <row r="13" spans="1:21" ht="18" customHeight="1" x14ac:dyDescent="0.15">
      <c r="A13" s="6"/>
      <c r="B13" s="86" t="s">
        <v>186</v>
      </c>
      <c r="C13" s="88">
        <v>408</v>
      </c>
      <c r="D13" s="89">
        <v>95</v>
      </c>
      <c r="E13" s="90">
        <v>380</v>
      </c>
      <c r="F13" s="90">
        <v>96</v>
      </c>
      <c r="G13" s="90">
        <v>94</v>
      </c>
      <c r="H13" s="90">
        <v>102</v>
      </c>
      <c r="I13" s="90">
        <v>100</v>
      </c>
      <c r="J13" s="54"/>
      <c r="K13" s="54"/>
      <c r="L13" s="54"/>
      <c r="M13" s="54"/>
      <c r="N13" s="54"/>
      <c r="O13" s="54"/>
      <c r="P13" s="54"/>
      <c r="Q13" s="66"/>
      <c r="R13" s="53">
        <f t="shared" ref="R13:R32" si="0">F13+H13+J13+L13+N13+P13</f>
        <v>198</v>
      </c>
      <c r="S13" s="67">
        <f t="shared" ref="S13:S33" si="1">R13/E13</f>
        <v>0.52105263157894732</v>
      </c>
    </row>
    <row r="14" spans="1:21" ht="18" customHeight="1" x14ac:dyDescent="0.15">
      <c r="A14" s="6"/>
      <c r="B14" s="87" t="s">
        <v>99</v>
      </c>
      <c r="C14" s="87">
        <v>872</v>
      </c>
      <c r="D14" s="91">
        <v>200</v>
      </c>
      <c r="E14" s="92">
        <v>800</v>
      </c>
      <c r="F14" s="93">
        <v>214</v>
      </c>
      <c r="G14" s="93">
        <v>208</v>
      </c>
      <c r="H14" s="93">
        <v>210</v>
      </c>
      <c r="I14" s="93">
        <v>201</v>
      </c>
      <c r="J14" s="58"/>
      <c r="K14" s="58"/>
      <c r="L14" s="58"/>
      <c r="M14" s="58"/>
      <c r="N14" s="58"/>
      <c r="O14" s="58"/>
      <c r="P14" s="58"/>
      <c r="Q14" s="55"/>
      <c r="R14" s="56">
        <f t="shared" si="0"/>
        <v>424</v>
      </c>
      <c r="S14" s="16">
        <f t="shared" si="1"/>
        <v>0.53</v>
      </c>
    </row>
    <row r="15" spans="1:21" ht="18" customHeight="1" x14ac:dyDescent="0.15">
      <c r="A15" s="6"/>
      <c r="B15" s="87" t="s">
        <v>100</v>
      </c>
      <c r="C15" s="87">
        <v>548</v>
      </c>
      <c r="D15" s="91">
        <v>125</v>
      </c>
      <c r="E15" s="92">
        <v>500</v>
      </c>
      <c r="F15" s="93">
        <v>132</v>
      </c>
      <c r="G15" s="93">
        <v>127</v>
      </c>
      <c r="H15" s="93">
        <v>137</v>
      </c>
      <c r="I15" s="93">
        <v>136</v>
      </c>
      <c r="J15" s="58"/>
      <c r="K15" s="58"/>
      <c r="L15" s="58"/>
      <c r="M15" s="58"/>
      <c r="N15" s="58"/>
      <c r="O15" s="58"/>
      <c r="P15" s="58"/>
      <c r="Q15" s="55"/>
      <c r="R15" s="56">
        <f t="shared" si="0"/>
        <v>269</v>
      </c>
      <c r="S15" s="8">
        <f t="shared" si="1"/>
        <v>0.53800000000000003</v>
      </c>
    </row>
    <row r="16" spans="1:21" ht="18" customHeight="1" x14ac:dyDescent="0.15">
      <c r="A16" s="6"/>
      <c r="B16" s="11"/>
      <c r="C16" s="55"/>
      <c r="D16" s="56"/>
      <c r="E16" s="57"/>
      <c r="F16" s="58"/>
      <c r="G16" s="58"/>
      <c r="H16" s="58"/>
      <c r="I16" s="58"/>
      <c r="J16" s="58"/>
      <c r="K16" s="58"/>
      <c r="L16" s="58"/>
      <c r="M16" s="58"/>
      <c r="N16" s="58"/>
      <c r="O16" s="58"/>
      <c r="P16" s="58"/>
      <c r="Q16" s="55"/>
      <c r="R16" s="56">
        <f t="shared" si="0"/>
        <v>0</v>
      </c>
      <c r="S16" s="8" t="e">
        <f t="shared" si="1"/>
        <v>#DIV/0!</v>
      </c>
    </row>
    <row r="17" spans="1:19" ht="18" customHeight="1" x14ac:dyDescent="0.15">
      <c r="A17" s="6"/>
      <c r="B17" s="11"/>
      <c r="C17" s="55"/>
      <c r="D17" s="56"/>
      <c r="E17" s="57"/>
      <c r="F17" s="58"/>
      <c r="G17" s="58"/>
      <c r="H17" s="58"/>
      <c r="I17" s="58"/>
      <c r="J17" s="58"/>
      <c r="K17" s="58"/>
      <c r="L17" s="58"/>
      <c r="M17" s="58"/>
      <c r="N17" s="58"/>
      <c r="O17" s="58"/>
      <c r="P17" s="58"/>
      <c r="Q17" s="55"/>
      <c r="R17" s="56">
        <f t="shared" si="0"/>
        <v>0</v>
      </c>
      <c r="S17" s="8" t="e">
        <f t="shared" si="1"/>
        <v>#DIV/0!</v>
      </c>
    </row>
    <row r="18" spans="1:19" ht="18" customHeight="1" x14ac:dyDescent="0.15">
      <c r="A18" s="6"/>
      <c r="B18" s="11"/>
      <c r="C18" s="55"/>
      <c r="D18" s="56"/>
      <c r="E18" s="57"/>
      <c r="F18" s="58"/>
      <c r="G18" s="58"/>
      <c r="H18" s="58"/>
      <c r="I18" s="58"/>
      <c r="J18" s="58"/>
      <c r="K18" s="58"/>
      <c r="L18" s="58"/>
      <c r="M18" s="58"/>
      <c r="N18" s="58"/>
      <c r="O18" s="58"/>
      <c r="P18" s="58"/>
      <c r="Q18" s="55"/>
      <c r="R18" s="56">
        <f t="shared" si="0"/>
        <v>0</v>
      </c>
      <c r="S18" s="8" t="e">
        <f t="shared" si="1"/>
        <v>#DIV/0!</v>
      </c>
    </row>
    <row r="19" spans="1:19" ht="18" customHeight="1" x14ac:dyDescent="0.15">
      <c r="A19" s="6"/>
      <c r="B19" s="11"/>
      <c r="C19" s="55"/>
      <c r="D19" s="56"/>
      <c r="E19" s="57"/>
      <c r="F19" s="58"/>
      <c r="G19" s="58"/>
      <c r="H19" s="58"/>
      <c r="I19" s="58"/>
      <c r="J19" s="58"/>
      <c r="K19" s="58"/>
      <c r="L19" s="58"/>
      <c r="M19" s="58"/>
      <c r="N19" s="58"/>
      <c r="O19" s="58"/>
      <c r="P19" s="58"/>
      <c r="Q19" s="55"/>
      <c r="R19" s="56">
        <f t="shared" si="0"/>
        <v>0</v>
      </c>
      <c r="S19" s="8" t="e">
        <f t="shared" si="1"/>
        <v>#DIV/0!</v>
      </c>
    </row>
    <row r="20" spans="1:19" ht="18" customHeight="1" x14ac:dyDescent="0.15">
      <c r="A20" s="6"/>
      <c r="B20" s="11"/>
      <c r="C20" s="55"/>
      <c r="D20" s="56"/>
      <c r="E20" s="57"/>
      <c r="F20" s="58"/>
      <c r="G20" s="58"/>
      <c r="H20" s="58"/>
      <c r="I20" s="58"/>
      <c r="J20" s="58"/>
      <c r="K20" s="58"/>
      <c r="L20" s="58"/>
      <c r="M20" s="58"/>
      <c r="N20" s="58"/>
      <c r="O20" s="58"/>
      <c r="P20" s="58"/>
      <c r="Q20" s="55"/>
      <c r="R20" s="56">
        <f t="shared" si="0"/>
        <v>0</v>
      </c>
      <c r="S20" s="8" t="e">
        <f t="shared" si="1"/>
        <v>#DIV/0!</v>
      </c>
    </row>
    <row r="21" spans="1:19" ht="18" customHeight="1" x14ac:dyDescent="0.15">
      <c r="A21" s="6"/>
      <c r="B21" s="11"/>
      <c r="C21" s="55"/>
      <c r="D21" s="56"/>
      <c r="E21" s="57"/>
      <c r="F21" s="58"/>
      <c r="G21" s="58"/>
      <c r="H21" s="58"/>
      <c r="I21" s="58"/>
      <c r="J21" s="58"/>
      <c r="K21" s="58"/>
      <c r="L21" s="58"/>
      <c r="M21" s="58"/>
      <c r="N21" s="58"/>
      <c r="O21" s="58"/>
      <c r="P21" s="58"/>
      <c r="Q21" s="55"/>
      <c r="R21" s="56">
        <f t="shared" si="0"/>
        <v>0</v>
      </c>
      <c r="S21" s="8" t="e">
        <f t="shared" si="1"/>
        <v>#DIV/0!</v>
      </c>
    </row>
    <row r="22" spans="1:19" ht="18" customHeight="1" x14ac:dyDescent="0.15">
      <c r="A22" s="6"/>
      <c r="B22" s="11"/>
      <c r="C22" s="55"/>
      <c r="D22" s="56"/>
      <c r="E22" s="57"/>
      <c r="F22" s="58"/>
      <c r="G22" s="58"/>
      <c r="H22" s="58"/>
      <c r="I22" s="58"/>
      <c r="J22" s="58"/>
      <c r="K22" s="58"/>
      <c r="L22" s="58"/>
      <c r="M22" s="58"/>
      <c r="N22" s="58"/>
      <c r="O22" s="58"/>
      <c r="P22" s="58"/>
      <c r="Q22" s="55"/>
      <c r="R22" s="56">
        <f t="shared" si="0"/>
        <v>0</v>
      </c>
      <c r="S22" s="8" t="e">
        <f t="shared" si="1"/>
        <v>#DIV/0!</v>
      </c>
    </row>
    <row r="23" spans="1:19" ht="18" customHeight="1" x14ac:dyDescent="0.15">
      <c r="A23" s="6"/>
      <c r="B23" s="11"/>
      <c r="C23" s="55"/>
      <c r="D23" s="56"/>
      <c r="E23" s="57"/>
      <c r="F23" s="58"/>
      <c r="G23" s="58"/>
      <c r="H23" s="58"/>
      <c r="I23" s="58"/>
      <c r="J23" s="58"/>
      <c r="K23" s="58"/>
      <c r="L23" s="58"/>
      <c r="M23" s="58"/>
      <c r="N23" s="58"/>
      <c r="O23" s="58"/>
      <c r="P23" s="58"/>
      <c r="Q23" s="55"/>
      <c r="R23" s="56">
        <f t="shared" si="0"/>
        <v>0</v>
      </c>
      <c r="S23" s="8" t="e">
        <f t="shared" si="1"/>
        <v>#DIV/0!</v>
      </c>
    </row>
    <row r="24" spans="1:19" ht="18" customHeight="1" x14ac:dyDescent="0.15">
      <c r="A24" s="6"/>
      <c r="B24" s="11"/>
      <c r="C24" s="55"/>
      <c r="D24" s="56"/>
      <c r="E24" s="57"/>
      <c r="F24" s="58"/>
      <c r="G24" s="58"/>
      <c r="H24" s="58"/>
      <c r="I24" s="58"/>
      <c r="J24" s="58"/>
      <c r="K24" s="58"/>
      <c r="L24" s="58"/>
      <c r="M24" s="58"/>
      <c r="N24" s="58"/>
      <c r="O24" s="58"/>
      <c r="P24" s="58"/>
      <c r="Q24" s="55"/>
      <c r="R24" s="56">
        <f t="shared" si="0"/>
        <v>0</v>
      </c>
      <c r="S24" s="8" t="e">
        <f t="shared" si="1"/>
        <v>#DIV/0!</v>
      </c>
    </row>
    <row r="25" spans="1:19" ht="18" customHeight="1" x14ac:dyDescent="0.15">
      <c r="A25" s="6"/>
      <c r="B25" s="11"/>
      <c r="C25" s="55"/>
      <c r="D25" s="56"/>
      <c r="E25" s="57"/>
      <c r="F25" s="58"/>
      <c r="G25" s="58"/>
      <c r="H25" s="58"/>
      <c r="I25" s="58"/>
      <c r="J25" s="58"/>
      <c r="K25" s="58"/>
      <c r="L25" s="58"/>
      <c r="M25" s="58"/>
      <c r="N25" s="58"/>
      <c r="O25" s="58"/>
      <c r="P25" s="58"/>
      <c r="Q25" s="55"/>
      <c r="R25" s="56">
        <f t="shared" si="0"/>
        <v>0</v>
      </c>
      <c r="S25" s="8" t="e">
        <f t="shared" si="1"/>
        <v>#DIV/0!</v>
      </c>
    </row>
    <row r="26" spans="1:19" ht="18" customHeight="1" x14ac:dyDescent="0.15">
      <c r="A26" s="6"/>
      <c r="B26" s="11"/>
      <c r="C26" s="55"/>
      <c r="D26" s="56"/>
      <c r="E26" s="57"/>
      <c r="F26" s="58"/>
      <c r="G26" s="58"/>
      <c r="H26" s="58"/>
      <c r="I26" s="58"/>
      <c r="J26" s="58"/>
      <c r="K26" s="58"/>
      <c r="L26" s="58"/>
      <c r="M26" s="58"/>
      <c r="N26" s="58"/>
      <c r="O26" s="58"/>
      <c r="P26" s="58"/>
      <c r="Q26" s="55"/>
      <c r="R26" s="56">
        <f t="shared" si="0"/>
        <v>0</v>
      </c>
      <c r="S26" s="8" t="e">
        <f t="shared" si="1"/>
        <v>#DIV/0!</v>
      </c>
    </row>
    <row r="27" spans="1:19" ht="18" customHeight="1" x14ac:dyDescent="0.15">
      <c r="A27" s="6"/>
      <c r="B27" s="11"/>
      <c r="C27" s="55"/>
      <c r="D27" s="56"/>
      <c r="E27" s="57"/>
      <c r="F27" s="58"/>
      <c r="G27" s="58"/>
      <c r="H27" s="58"/>
      <c r="I27" s="58"/>
      <c r="J27" s="58"/>
      <c r="K27" s="58"/>
      <c r="L27" s="58"/>
      <c r="M27" s="58"/>
      <c r="N27" s="58"/>
      <c r="O27" s="58"/>
      <c r="P27" s="58"/>
      <c r="Q27" s="55"/>
      <c r="R27" s="56">
        <f t="shared" si="0"/>
        <v>0</v>
      </c>
      <c r="S27" s="8" t="e">
        <f t="shared" si="1"/>
        <v>#DIV/0!</v>
      </c>
    </row>
    <row r="28" spans="1:19" ht="18" customHeight="1" x14ac:dyDescent="0.15">
      <c r="A28" s="6"/>
      <c r="B28" s="11"/>
      <c r="C28" s="55"/>
      <c r="D28" s="56"/>
      <c r="E28" s="57"/>
      <c r="F28" s="58"/>
      <c r="G28" s="58"/>
      <c r="H28" s="58"/>
      <c r="I28" s="58"/>
      <c r="J28" s="58"/>
      <c r="K28" s="58"/>
      <c r="L28" s="58"/>
      <c r="M28" s="58"/>
      <c r="N28" s="58"/>
      <c r="O28" s="58"/>
      <c r="P28" s="58"/>
      <c r="Q28" s="55"/>
      <c r="R28" s="56">
        <f t="shared" si="0"/>
        <v>0</v>
      </c>
      <c r="S28" s="8" t="e">
        <f t="shared" si="1"/>
        <v>#DIV/0!</v>
      </c>
    </row>
    <row r="29" spans="1:19" ht="18" customHeight="1" x14ac:dyDescent="0.15">
      <c r="A29" s="6"/>
      <c r="B29" s="11"/>
      <c r="C29" s="55"/>
      <c r="D29" s="56"/>
      <c r="E29" s="57"/>
      <c r="F29" s="58"/>
      <c r="G29" s="58"/>
      <c r="H29" s="58"/>
      <c r="I29" s="58"/>
      <c r="J29" s="58"/>
      <c r="K29" s="58"/>
      <c r="L29" s="58"/>
      <c r="M29" s="58"/>
      <c r="N29" s="58"/>
      <c r="O29" s="58"/>
      <c r="P29" s="58"/>
      <c r="Q29" s="55"/>
      <c r="R29" s="56">
        <f t="shared" si="0"/>
        <v>0</v>
      </c>
      <c r="S29" s="8" t="e">
        <f t="shared" si="1"/>
        <v>#DIV/0!</v>
      </c>
    </row>
    <row r="30" spans="1:19" ht="18" customHeight="1" x14ac:dyDescent="0.15">
      <c r="A30" s="6"/>
      <c r="B30" s="11"/>
      <c r="C30" s="55"/>
      <c r="D30" s="59"/>
      <c r="E30" s="57"/>
      <c r="F30" s="58"/>
      <c r="G30" s="58"/>
      <c r="H30" s="58"/>
      <c r="I30" s="58"/>
      <c r="J30" s="58"/>
      <c r="K30" s="58"/>
      <c r="L30" s="58"/>
      <c r="M30" s="58"/>
      <c r="N30" s="58"/>
      <c r="O30" s="58"/>
      <c r="P30" s="58"/>
      <c r="Q30" s="55"/>
      <c r="R30" s="59">
        <f t="shared" si="0"/>
        <v>0</v>
      </c>
      <c r="S30" s="8" t="e">
        <f t="shared" si="1"/>
        <v>#DIV/0!</v>
      </c>
    </row>
    <row r="31" spans="1:19" ht="18" customHeight="1" x14ac:dyDescent="0.15">
      <c r="A31" s="6"/>
      <c r="B31" s="11"/>
      <c r="C31" s="55"/>
      <c r="D31" s="59"/>
      <c r="E31" s="57"/>
      <c r="F31" s="58"/>
      <c r="G31" s="58"/>
      <c r="H31" s="58"/>
      <c r="I31" s="58"/>
      <c r="J31" s="58"/>
      <c r="K31" s="58"/>
      <c r="L31" s="58"/>
      <c r="M31" s="58"/>
      <c r="N31" s="58"/>
      <c r="O31" s="58"/>
      <c r="P31" s="58"/>
      <c r="Q31" s="55"/>
      <c r="R31" s="59">
        <f t="shared" si="0"/>
        <v>0</v>
      </c>
      <c r="S31" s="8" t="e">
        <f t="shared" si="1"/>
        <v>#DIV/0!</v>
      </c>
    </row>
    <row r="32" spans="1:19" ht="18" customHeight="1" thickBot="1" x14ac:dyDescent="0.2">
      <c r="A32" s="6"/>
      <c r="B32" s="12"/>
      <c r="C32" s="52"/>
      <c r="D32" s="60"/>
      <c r="E32" s="54"/>
      <c r="F32" s="54"/>
      <c r="G32" s="54"/>
      <c r="H32" s="54"/>
      <c r="I32" s="54"/>
      <c r="J32" s="54"/>
      <c r="K32" s="54"/>
      <c r="L32" s="54"/>
      <c r="M32" s="54"/>
      <c r="N32" s="54"/>
      <c r="O32" s="54"/>
      <c r="P32" s="54"/>
      <c r="Q32" s="55"/>
      <c r="R32" s="60">
        <f t="shared" si="0"/>
        <v>0</v>
      </c>
      <c r="S32" s="7" t="e">
        <f t="shared" si="1"/>
        <v>#DIV/0!</v>
      </c>
    </row>
    <row r="33" spans="2:19" ht="18" customHeight="1" thickTop="1" x14ac:dyDescent="0.15">
      <c r="B33" s="13" t="s">
        <v>101</v>
      </c>
      <c r="C33" s="61">
        <f t="shared" ref="C33" si="2">SUM(C13:C32)</f>
        <v>1828</v>
      </c>
      <c r="D33" s="62">
        <f t="shared" ref="D33:R33" si="3">SUM(D13:D32)</f>
        <v>420</v>
      </c>
      <c r="E33" s="63">
        <f t="shared" si="3"/>
        <v>1680</v>
      </c>
      <c r="F33" s="63">
        <f t="shared" si="3"/>
        <v>442</v>
      </c>
      <c r="G33" s="63">
        <f t="shared" ref="G33:H33" si="4">SUM(G13:G32)</f>
        <v>429</v>
      </c>
      <c r="H33" s="63">
        <f t="shared" si="4"/>
        <v>449</v>
      </c>
      <c r="I33" s="63">
        <f t="shared" ref="I33:J33" si="5">SUM(I13:I32)</f>
        <v>437</v>
      </c>
      <c r="J33" s="63">
        <f t="shared" si="5"/>
        <v>0</v>
      </c>
      <c r="K33" s="63">
        <f t="shared" ref="K33:O33" si="6">SUM(K13:K32)</f>
        <v>0</v>
      </c>
      <c r="L33" s="63">
        <f t="shared" si="6"/>
        <v>0</v>
      </c>
      <c r="M33" s="63">
        <f t="shared" si="6"/>
        <v>0</v>
      </c>
      <c r="N33" s="63">
        <f t="shared" si="6"/>
        <v>0</v>
      </c>
      <c r="O33" s="63">
        <f t="shared" si="6"/>
        <v>0</v>
      </c>
      <c r="P33" s="63">
        <f t="shared" ref="P33:Q33" si="7">SUM(P13:P32)</f>
        <v>0</v>
      </c>
      <c r="Q33" s="61">
        <f t="shared" si="7"/>
        <v>0</v>
      </c>
      <c r="R33" s="62">
        <f t="shared" si="3"/>
        <v>891</v>
      </c>
      <c r="S33" s="9">
        <f t="shared" si="1"/>
        <v>0.53035714285714286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34"/>
  <sheetViews>
    <sheetView showZeros="0" view="pageBreakPreview" zoomScaleNormal="100" zoomScaleSheetLayoutView="100" workbookViewId="0">
      <selection activeCell="N10" sqref="N10"/>
    </sheetView>
  </sheetViews>
  <sheetFormatPr defaultColWidth="11.375" defaultRowHeight="18.75" customHeight="1" x14ac:dyDescent="0.15"/>
  <cols>
    <col min="1" max="1" width="2.75" style="32"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32" t="s">
        <v>102</v>
      </c>
      <c r="I1" s="30" t="s">
        <v>103</v>
      </c>
    </row>
    <row r="2" spans="1:9" ht="18.75" customHeight="1" x14ac:dyDescent="0.15">
      <c r="G2" s="30" t="s">
        <v>2</v>
      </c>
      <c r="H2" s="99" t="str">
        <f>'様式１　プログラムを構成する授業科目'!C2</f>
        <v>宮城大学</v>
      </c>
      <c r="I2" s="101"/>
    </row>
    <row r="3" spans="1:9" ht="18.75" customHeight="1" x14ac:dyDescent="0.15">
      <c r="G3" s="30"/>
      <c r="H3" s="10"/>
      <c r="I3" s="10"/>
    </row>
    <row r="4" spans="1:9" ht="18.600000000000001" customHeight="1" x14ac:dyDescent="0.15">
      <c r="A4" s="186" t="s">
        <v>104</v>
      </c>
      <c r="B4" s="186"/>
      <c r="C4" s="186"/>
      <c r="D4" s="186"/>
      <c r="E4" s="186"/>
      <c r="F4" s="186"/>
      <c r="G4" s="186"/>
      <c r="H4" s="186"/>
      <c r="I4" s="186"/>
    </row>
    <row r="5" spans="1:9" ht="13.15" customHeight="1" x14ac:dyDescent="0.15">
      <c r="B5" s="3"/>
      <c r="C5" s="3"/>
      <c r="D5" s="3"/>
      <c r="E5" s="3"/>
      <c r="F5" s="3"/>
      <c r="G5" s="3"/>
      <c r="H5" s="3"/>
      <c r="I5" s="3"/>
    </row>
    <row r="6" spans="1:9" ht="18" customHeight="1" x14ac:dyDescent="0.15">
      <c r="A6" s="1" t="s">
        <v>105</v>
      </c>
      <c r="B6" s="10" t="s">
        <v>106</v>
      </c>
      <c r="C6" s="213" t="s">
        <v>107</v>
      </c>
      <c r="D6" s="213"/>
      <c r="E6" s="29">
        <v>137</v>
      </c>
      <c r="F6" s="3" t="s">
        <v>82</v>
      </c>
      <c r="G6" s="3" t="s">
        <v>108</v>
      </c>
      <c r="H6" s="29">
        <v>244</v>
      </c>
      <c r="I6" s="10" t="s">
        <v>82</v>
      </c>
    </row>
    <row r="7" spans="1:9" ht="12" customHeight="1" x14ac:dyDescent="0.15">
      <c r="C7" s="2"/>
      <c r="D7" s="2"/>
      <c r="E7" s="2"/>
      <c r="F7" s="2"/>
      <c r="G7" s="2"/>
      <c r="H7" s="2"/>
      <c r="I7" s="33"/>
    </row>
    <row r="8" spans="1:9" ht="18" customHeight="1" x14ac:dyDescent="0.15">
      <c r="A8" s="1" t="s">
        <v>109</v>
      </c>
      <c r="B8" s="10" t="s">
        <v>110</v>
      </c>
      <c r="E8" s="3"/>
      <c r="F8" s="3"/>
      <c r="G8" s="3"/>
      <c r="H8" s="29">
        <v>11</v>
      </c>
      <c r="I8" s="10" t="s">
        <v>82</v>
      </c>
    </row>
    <row r="9" spans="1:9" ht="9" customHeight="1" x14ac:dyDescent="0.15">
      <c r="B9" s="3"/>
      <c r="C9" s="3"/>
      <c r="D9" s="3"/>
      <c r="E9" s="3"/>
      <c r="F9" s="3"/>
      <c r="G9" s="3"/>
      <c r="H9" s="3"/>
      <c r="I9" s="3"/>
    </row>
    <row r="10" spans="1:9" ht="18" customHeight="1" x14ac:dyDescent="0.15">
      <c r="A10" s="1" t="s">
        <v>111</v>
      </c>
      <c r="B10" s="10" t="s">
        <v>112</v>
      </c>
      <c r="C10" s="3"/>
      <c r="D10" s="3"/>
      <c r="E10" s="3"/>
      <c r="F10" s="3"/>
      <c r="G10" s="3"/>
      <c r="H10" s="3"/>
      <c r="I10" s="3"/>
    </row>
    <row r="11" spans="1:9" ht="18" customHeight="1" x14ac:dyDescent="0.15">
      <c r="B11" s="30" t="s">
        <v>113</v>
      </c>
      <c r="C11" s="210" t="s">
        <v>165</v>
      </c>
      <c r="D11" s="211"/>
      <c r="E11" s="212"/>
      <c r="F11" s="33"/>
      <c r="G11" s="30" t="s">
        <v>115</v>
      </c>
      <c r="H11" s="207" t="s">
        <v>114</v>
      </c>
      <c r="I11" s="209"/>
    </row>
    <row r="12" spans="1:9" ht="10.15" customHeight="1" x14ac:dyDescent="0.15">
      <c r="B12" s="30"/>
      <c r="C12" s="10"/>
      <c r="D12" s="33"/>
      <c r="E12" s="33"/>
      <c r="F12" s="33"/>
      <c r="G12" s="30"/>
      <c r="H12" s="10"/>
      <c r="I12" s="33"/>
    </row>
    <row r="13" spans="1:9" ht="18" customHeight="1" x14ac:dyDescent="0.15">
      <c r="A13" s="1" t="s">
        <v>116</v>
      </c>
      <c r="B13" s="10" t="s">
        <v>117</v>
      </c>
      <c r="C13" s="3"/>
      <c r="D13" s="3"/>
      <c r="E13" s="3"/>
      <c r="F13" s="3"/>
      <c r="G13" s="3"/>
      <c r="H13" s="3"/>
      <c r="I13" s="3"/>
    </row>
    <row r="14" spans="1:9" ht="18" customHeight="1" x14ac:dyDescent="0.15">
      <c r="B14" s="207" t="s">
        <v>163</v>
      </c>
      <c r="C14" s="208"/>
      <c r="D14" s="208"/>
      <c r="E14" s="208"/>
      <c r="F14" s="208"/>
      <c r="G14" s="208"/>
      <c r="H14" s="208"/>
      <c r="I14" s="209"/>
    </row>
    <row r="15" spans="1:9" ht="9" customHeight="1" x14ac:dyDescent="0.15">
      <c r="B15" s="3"/>
      <c r="C15" s="3"/>
      <c r="D15" s="3"/>
      <c r="E15" s="3"/>
      <c r="F15" s="3"/>
      <c r="G15" s="3"/>
      <c r="H15" s="3"/>
      <c r="I15" s="3"/>
    </row>
    <row r="16" spans="1:9" ht="18" customHeight="1" x14ac:dyDescent="0.15">
      <c r="B16" s="30" t="s">
        <v>113</v>
      </c>
      <c r="C16" s="210" t="s">
        <v>165</v>
      </c>
      <c r="D16" s="211"/>
      <c r="E16" s="212"/>
      <c r="F16" s="33"/>
      <c r="G16" s="30" t="s">
        <v>115</v>
      </c>
      <c r="H16" s="207" t="s">
        <v>114</v>
      </c>
      <c r="I16" s="209"/>
    </row>
    <row r="17" spans="1:9" ht="18" customHeight="1" x14ac:dyDescent="0.15">
      <c r="B17" s="3"/>
      <c r="C17" s="3"/>
      <c r="D17" s="3"/>
      <c r="E17" s="3"/>
      <c r="F17" s="3"/>
      <c r="G17" s="3"/>
      <c r="H17" s="3"/>
      <c r="I17" s="3"/>
    </row>
    <row r="18" spans="1:9" ht="18.75" customHeight="1" x14ac:dyDescent="0.15">
      <c r="A18" s="1" t="s">
        <v>118</v>
      </c>
      <c r="B18" s="1" t="s">
        <v>119</v>
      </c>
      <c r="I18" s="3"/>
    </row>
    <row r="19" spans="1:9" ht="18.75" customHeight="1" x14ac:dyDescent="0.15">
      <c r="A19" s="1"/>
      <c r="B19" s="187" t="s">
        <v>120</v>
      </c>
      <c r="C19" s="188"/>
      <c r="D19" s="188"/>
      <c r="E19" s="188"/>
      <c r="F19" s="188"/>
      <c r="G19" s="188"/>
      <c r="H19" s="188"/>
      <c r="I19" s="189"/>
    </row>
    <row r="20" spans="1:9" ht="7.5" customHeight="1" x14ac:dyDescent="0.15">
      <c r="B20" s="3"/>
      <c r="C20" s="3"/>
      <c r="D20" s="3"/>
      <c r="E20" s="3"/>
      <c r="F20" s="3"/>
      <c r="G20" s="3"/>
      <c r="H20" s="3"/>
      <c r="I20" s="3"/>
    </row>
    <row r="21" spans="1:9" ht="18.75" customHeight="1" x14ac:dyDescent="0.15">
      <c r="A21" s="1" t="s">
        <v>121</v>
      </c>
      <c r="B21" s="1" t="s">
        <v>122</v>
      </c>
    </row>
    <row r="22" spans="1:9" ht="18.75" customHeight="1" x14ac:dyDescent="0.15">
      <c r="A22" s="14"/>
      <c r="B22" s="190" t="s">
        <v>166</v>
      </c>
      <c r="C22" s="191"/>
      <c r="D22" s="191"/>
      <c r="E22" s="191"/>
      <c r="F22" s="191"/>
      <c r="G22" s="191"/>
      <c r="H22" s="191"/>
      <c r="I22" s="192"/>
    </row>
    <row r="23" spans="1:9" ht="18.75" customHeight="1" x14ac:dyDescent="0.15">
      <c r="A23" s="14"/>
      <c r="B23" s="193"/>
      <c r="C23" s="194"/>
      <c r="D23" s="194"/>
      <c r="E23" s="194"/>
      <c r="F23" s="194"/>
      <c r="G23" s="194"/>
      <c r="H23" s="194"/>
      <c r="I23" s="195"/>
    </row>
    <row r="24" spans="1:9" ht="18.75" customHeight="1" x14ac:dyDescent="0.15">
      <c r="A24" s="14"/>
      <c r="B24" s="193"/>
      <c r="C24" s="194"/>
      <c r="D24" s="194"/>
      <c r="E24" s="194"/>
      <c r="F24" s="194"/>
      <c r="G24" s="194"/>
      <c r="H24" s="194"/>
      <c r="I24" s="195"/>
    </row>
    <row r="25" spans="1:9" ht="18.75" customHeight="1" x14ac:dyDescent="0.15">
      <c r="A25" s="14"/>
      <c r="B25" s="193"/>
      <c r="C25" s="194"/>
      <c r="D25" s="194"/>
      <c r="E25" s="194"/>
      <c r="F25" s="194"/>
      <c r="G25" s="194"/>
      <c r="H25" s="194"/>
      <c r="I25" s="195"/>
    </row>
    <row r="26" spans="1:9" ht="18.75" customHeight="1" x14ac:dyDescent="0.15">
      <c r="A26" s="14"/>
      <c r="B26" s="193"/>
      <c r="C26" s="194"/>
      <c r="D26" s="194"/>
      <c r="E26" s="194"/>
      <c r="F26" s="194"/>
      <c r="G26" s="194"/>
      <c r="H26" s="194"/>
      <c r="I26" s="195"/>
    </row>
    <row r="27" spans="1:9" ht="18.75" customHeight="1" x14ac:dyDescent="0.15">
      <c r="A27" s="14"/>
      <c r="B27" s="193"/>
      <c r="C27" s="194"/>
      <c r="D27" s="194"/>
      <c r="E27" s="194"/>
      <c r="F27" s="194"/>
      <c r="G27" s="194"/>
      <c r="H27" s="194"/>
      <c r="I27" s="195"/>
    </row>
    <row r="28" spans="1:9" ht="18.75" customHeight="1" x14ac:dyDescent="0.15">
      <c r="A28" s="14"/>
      <c r="B28" s="193"/>
      <c r="C28" s="194"/>
      <c r="D28" s="194"/>
      <c r="E28" s="194"/>
      <c r="F28" s="194"/>
      <c r="G28" s="194"/>
      <c r="H28" s="194"/>
      <c r="I28" s="195"/>
    </row>
    <row r="29" spans="1:9" ht="18.75" customHeight="1" x14ac:dyDescent="0.15">
      <c r="A29" s="14"/>
      <c r="B29" s="193"/>
      <c r="C29" s="194"/>
      <c r="D29" s="194"/>
      <c r="E29" s="194"/>
      <c r="F29" s="194"/>
      <c r="G29" s="194"/>
      <c r="H29" s="194"/>
      <c r="I29" s="195"/>
    </row>
    <row r="30" spans="1:9" ht="18.75" customHeight="1" x14ac:dyDescent="0.15">
      <c r="A30" s="14"/>
      <c r="B30" s="196"/>
      <c r="C30" s="197"/>
      <c r="D30" s="197"/>
      <c r="E30" s="197"/>
      <c r="F30" s="197"/>
      <c r="G30" s="197"/>
      <c r="H30" s="197"/>
      <c r="I30" s="195"/>
    </row>
    <row r="31" spans="1:9" ht="18.75" customHeight="1" x14ac:dyDescent="0.15">
      <c r="A31" s="14"/>
      <c r="B31" s="196"/>
      <c r="C31" s="197"/>
      <c r="D31" s="197"/>
      <c r="E31" s="197"/>
      <c r="F31" s="197"/>
      <c r="G31" s="197"/>
      <c r="H31" s="197"/>
      <c r="I31" s="195"/>
    </row>
    <row r="32" spans="1:9" ht="18.75" customHeight="1" x14ac:dyDescent="0.15">
      <c r="A32" s="14"/>
      <c r="B32" s="198"/>
      <c r="C32" s="199"/>
      <c r="D32" s="199"/>
      <c r="E32" s="199"/>
      <c r="F32" s="199"/>
      <c r="G32" s="199"/>
      <c r="H32" s="199"/>
      <c r="I32" s="200"/>
    </row>
    <row r="33" spans="1:9" ht="7.5" customHeight="1" x14ac:dyDescent="0.15">
      <c r="A33" s="14"/>
      <c r="B33" s="14"/>
      <c r="C33" s="14"/>
      <c r="D33" s="14"/>
      <c r="E33" s="14"/>
      <c r="F33" s="14"/>
      <c r="G33" s="14"/>
      <c r="H33" s="14"/>
      <c r="I33" s="14"/>
    </row>
    <row r="34" spans="1:9" ht="18.75" customHeight="1" x14ac:dyDescent="0.15">
      <c r="A34" s="15" t="s">
        <v>123</v>
      </c>
      <c r="B34" s="15" t="s">
        <v>124</v>
      </c>
      <c r="C34" s="10"/>
      <c r="D34" s="15"/>
      <c r="E34" s="15"/>
      <c r="F34" s="15"/>
      <c r="G34" s="15"/>
      <c r="H34" s="15"/>
      <c r="I34" s="15"/>
    </row>
    <row r="35" spans="1:9" ht="18.75" customHeight="1" x14ac:dyDescent="0.15">
      <c r="A35" s="14"/>
      <c r="B35" s="201" t="s">
        <v>171</v>
      </c>
      <c r="C35" s="191"/>
      <c r="D35" s="191"/>
      <c r="E35" s="191"/>
      <c r="F35" s="191"/>
      <c r="G35" s="191"/>
      <c r="H35" s="191"/>
      <c r="I35" s="202"/>
    </row>
    <row r="36" spans="1:9" ht="18.75" customHeight="1" x14ac:dyDescent="0.15">
      <c r="A36" s="14"/>
      <c r="B36" s="193"/>
      <c r="C36" s="194"/>
      <c r="D36" s="194"/>
      <c r="E36" s="194"/>
      <c r="F36" s="194"/>
      <c r="G36" s="194"/>
      <c r="H36" s="194"/>
      <c r="I36" s="203"/>
    </row>
    <row r="37" spans="1:9" ht="18.75" customHeight="1" x14ac:dyDescent="0.15">
      <c r="A37" s="14"/>
      <c r="B37" s="193"/>
      <c r="C37" s="194"/>
      <c r="D37" s="194"/>
      <c r="E37" s="194"/>
      <c r="F37" s="194"/>
      <c r="G37" s="194"/>
      <c r="H37" s="194"/>
      <c r="I37" s="203"/>
    </row>
    <row r="38" spans="1:9" ht="18.75" customHeight="1" x14ac:dyDescent="0.15">
      <c r="A38" s="14"/>
      <c r="B38" s="193"/>
      <c r="C38" s="194"/>
      <c r="D38" s="194"/>
      <c r="E38" s="194"/>
      <c r="F38" s="194"/>
      <c r="G38" s="194"/>
      <c r="H38" s="194"/>
      <c r="I38" s="203"/>
    </row>
    <row r="39" spans="1:9" ht="18.75" customHeight="1" x14ac:dyDescent="0.15">
      <c r="A39" s="14"/>
      <c r="B39" s="193"/>
      <c r="C39" s="194"/>
      <c r="D39" s="194"/>
      <c r="E39" s="194"/>
      <c r="F39" s="194"/>
      <c r="G39" s="194"/>
      <c r="H39" s="194"/>
      <c r="I39" s="203"/>
    </row>
    <row r="40" spans="1:9" ht="18.75" customHeight="1" x14ac:dyDescent="0.15">
      <c r="A40" s="14"/>
      <c r="B40" s="193"/>
      <c r="C40" s="194"/>
      <c r="D40" s="194"/>
      <c r="E40" s="194"/>
      <c r="F40" s="194"/>
      <c r="G40" s="194"/>
      <c r="H40" s="194"/>
      <c r="I40" s="203"/>
    </row>
    <row r="41" spans="1:9" ht="18.75" customHeight="1" x14ac:dyDescent="0.15">
      <c r="A41" s="14"/>
      <c r="B41" s="193"/>
      <c r="C41" s="194"/>
      <c r="D41" s="194"/>
      <c r="E41" s="194"/>
      <c r="F41" s="194"/>
      <c r="G41" s="194"/>
      <c r="H41" s="194"/>
      <c r="I41" s="203"/>
    </row>
    <row r="42" spans="1:9" ht="18.75" customHeight="1" x14ac:dyDescent="0.15">
      <c r="A42" s="14"/>
      <c r="B42" s="193"/>
      <c r="C42" s="194"/>
      <c r="D42" s="194"/>
      <c r="E42" s="194"/>
      <c r="F42" s="194"/>
      <c r="G42" s="194"/>
      <c r="H42" s="194"/>
      <c r="I42" s="203"/>
    </row>
    <row r="43" spans="1:9" ht="18.75" customHeight="1" x14ac:dyDescent="0.15">
      <c r="A43" s="14"/>
      <c r="B43" s="193"/>
      <c r="C43" s="194"/>
      <c r="D43" s="194"/>
      <c r="E43" s="194"/>
      <c r="F43" s="194"/>
      <c r="G43" s="194"/>
      <c r="H43" s="194"/>
      <c r="I43" s="203"/>
    </row>
    <row r="44" spans="1:9" ht="18.75" customHeight="1" x14ac:dyDescent="0.15">
      <c r="A44" s="14"/>
      <c r="B44" s="193"/>
      <c r="C44" s="194"/>
      <c r="D44" s="194"/>
      <c r="E44" s="194"/>
      <c r="F44" s="194"/>
      <c r="G44" s="194"/>
      <c r="H44" s="194"/>
      <c r="I44" s="203"/>
    </row>
    <row r="45" spans="1:9" ht="18.75" customHeight="1" x14ac:dyDescent="0.15">
      <c r="A45" s="14"/>
      <c r="B45" s="193"/>
      <c r="C45" s="194"/>
      <c r="D45" s="194"/>
      <c r="E45" s="194"/>
      <c r="F45" s="194"/>
      <c r="G45" s="194"/>
      <c r="H45" s="194"/>
      <c r="I45" s="203"/>
    </row>
    <row r="46" spans="1:9" ht="169.15" customHeight="1" x14ac:dyDescent="0.15">
      <c r="A46" s="14"/>
      <c r="B46" s="204"/>
      <c r="C46" s="205"/>
      <c r="D46" s="205"/>
      <c r="E46" s="205"/>
      <c r="F46" s="205"/>
      <c r="G46" s="205"/>
      <c r="H46" s="205"/>
      <c r="I46" s="206"/>
    </row>
    <row r="47" spans="1:9" ht="7.5" customHeight="1" x14ac:dyDescent="0.15">
      <c r="A47" s="4"/>
      <c r="B47" s="4"/>
      <c r="C47" s="4"/>
      <c r="D47" s="4"/>
      <c r="E47" s="4"/>
      <c r="F47" s="4"/>
      <c r="G47" s="4"/>
      <c r="H47" s="4"/>
      <c r="I47" s="4"/>
    </row>
    <row r="48" spans="1:9" ht="18.75" customHeight="1" x14ac:dyDescent="0.15">
      <c r="A48" s="1" t="s">
        <v>125</v>
      </c>
      <c r="B48" s="1" t="s">
        <v>126</v>
      </c>
    </row>
    <row r="49" spans="1:15" s="3" customFormat="1" ht="18.75" customHeight="1" x14ac:dyDescent="0.15">
      <c r="B49" s="34" t="s">
        <v>127</v>
      </c>
      <c r="C49" s="235">
        <f>'様式２ 履修者等数の実績'!S33</f>
        <v>0.53035714285714286</v>
      </c>
      <c r="D49" s="235"/>
      <c r="E49" s="34" t="s">
        <v>128</v>
      </c>
      <c r="F49" s="235">
        <v>0.75</v>
      </c>
      <c r="G49" s="235"/>
      <c r="H49" s="34" t="s">
        <v>129</v>
      </c>
      <c r="I49" s="35">
        <v>1</v>
      </c>
      <c r="J49" s="1"/>
      <c r="M49" s="1"/>
      <c r="N49" s="36"/>
    </row>
    <row r="50" spans="1:15" s="3" customFormat="1" ht="18.75" customHeight="1" x14ac:dyDescent="0.15">
      <c r="B50" s="37" t="s">
        <v>130</v>
      </c>
      <c r="C50" s="218">
        <v>1</v>
      </c>
      <c r="D50" s="218"/>
      <c r="E50" s="37" t="s">
        <v>131</v>
      </c>
      <c r="F50" s="218">
        <v>1</v>
      </c>
      <c r="G50" s="218"/>
      <c r="H50" s="37" t="s">
        <v>132</v>
      </c>
      <c r="I50" s="38">
        <f>'様式２ 履修者等数の実績'!E33</f>
        <v>1680</v>
      </c>
      <c r="J50" s="1"/>
      <c r="M50" s="1"/>
      <c r="N50" s="36"/>
    </row>
    <row r="51" spans="1:15" ht="18.75" customHeight="1" x14ac:dyDescent="0.15">
      <c r="A51" s="1"/>
      <c r="B51" s="215" t="s">
        <v>133</v>
      </c>
      <c r="C51" s="216"/>
      <c r="D51" s="216"/>
      <c r="E51" s="216"/>
      <c r="F51" s="216"/>
      <c r="G51" s="216"/>
      <c r="H51" s="216"/>
      <c r="I51" s="217"/>
      <c r="N51" s="36"/>
      <c r="O51" s="3"/>
    </row>
    <row r="52" spans="1:15" ht="18.75" customHeight="1" x14ac:dyDescent="0.15">
      <c r="A52" s="1"/>
      <c r="B52" s="236" t="s">
        <v>177</v>
      </c>
      <c r="C52" s="237"/>
      <c r="D52" s="237"/>
      <c r="E52" s="237"/>
      <c r="F52" s="237"/>
      <c r="G52" s="237"/>
      <c r="H52" s="237"/>
      <c r="I52" s="238"/>
      <c r="N52" s="36"/>
      <c r="O52" s="3"/>
    </row>
    <row r="53" spans="1:15" ht="18.75" customHeight="1" x14ac:dyDescent="0.15">
      <c r="A53" s="1"/>
      <c r="B53" s="239"/>
      <c r="C53" s="240"/>
      <c r="D53" s="240"/>
      <c r="E53" s="240"/>
      <c r="F53" s="240"/>
      <c r="G53" s="240"/>
      <c r="H53" s="240"/>
      <c r="I53" s="241"/>
      <c r="N53" s="36"/>
      <c r="O53" s="3"/>
    </row>
    <row r="54" spans="1:15" ht="18.75" customHeight="1" x14ac:dyDescent="0.15">
      <c r="A54" s="1"/>
      <c r="B54" s="239"/>
      <c r="C54" s="240"/>
      <c r="D54" s="240"/>
      <c r="E54" s="240"/>
      <c r="F54" s="240"/>
      <c r="G54" s="240"/>
      <c r="H54" s="240"/>
      <c r="I54" s="241"/>
    </row>
    <row r="55" spans="1:15" ht="18.75" customHeight="1" x14ac:dyDescent="0.15">
      <c r="A55" s="1"/>
      <c r="B55" s="239"/>
      <c r="C55" s="240"/>
      <c r="D55" s="240"/>
      <c r="E55" s="240"/>
      <c r="F55" s="240"/>
      <c r="G55" s="240"/>
      <c r="H55" s="240"/>
      <c r="I55" s="241"/>
    </row>
    <row r="56" spans="1:15" ht="18.75" customHeight="1" x14ac:dyDescent="0.15">
      <c r="A56" s="1"/>
      <c r="B56" s="239"/>
      <c r="C56" s="240"/>
      <c r="D56" s="240"/>
      <c r="E56" s="240"/>
      <c r="F56" s="240"/>
      <c r="G56" s="240"/>
      <c r="H56" s="240"/>
      <c r="I56" s="241"/>
    </row>
    <row r="57" spans="1:15" ht="18.75" customHeight="1" x14ac:dyDescent="0.15">
      <c r="A57" s="1"/>
      <c r="B57" s="239"/>
      <c r="C57" s="240"/>
      <c r="D57" s="240"/>
      <c r="E57" s="240"/>
      <c r="F57" s="240"/>
      <c r="G57" s="240"/>
      <c r="H57" s="240"/>
      <c r="I57" s="241"/>
    </row>
    <row r="58" spans="1:15" ht="18.75" customHeight="1" x14ac:dyDescent="0.15">
      <c r="A58" s="1"/>
      <c r="B58" s="239"/>
      <c r="C58" s="240"/>
      <c r="D58" s="240"/>
      <c r="E58" s="240"/>
      <c r="F58" s="240"/>
      <c r="G58" s="240"/>
      <c r="H58" s="240"/>
      <c r="I58" s="241"/>
    </row>
    <row r="59" spans="1:15" ht="18.75" customHeight="1" x14ac:dyDescent="0.15">
      <c r="A59" s="1"/>
      <c r="B59" s="239"/>
      <c r="C59" s="240"/>
      <c r="D59" s="240"/>
      <c r="E59" s="240"/>
      <c r="F59" s="240"/>
      <c r="G59" s="240"/>
      <c r="H59" s="240"/>
      <c r="I59" s="241"/>
    </row>
    <row r="60" spans="1:15" ht="18.75" customHeight="1" x14ac:dyDescent="0.15">
      <c r="A60" s="1"/>
      <c r="B60" s="239"/>
      <c r="C60" s="240"/>
      <c r="D60" s="240"/>
      <c r="E60" s="240"/>
      <c r="F60" s="240"/>
      <c r="G60" s="240"/>
      <c r="H60" s="240"/>
      <c r="I60" s="241"/>
    </row>
    <row r="61" spans="1:15" ht="18.75" customHeight="1" x14ac:dyDescent="0.15">
      <c r="A61" s="1"/>
      <c r="B61" s="239"/>
      <c r="C61" s="240"/>
      <c r="D61" s="240"/>
      <c r="E61" s="240"/>
      <c r="F61" s="240"/>
      <c r="G61" s="240"/>
      <c r="H61" s="240"/>
      <c r="I61" s="241"/>
    </row>
    <row r="62" spans="1:15" ht="18.75" customHeight="1" x14ac:dyDescent="0.15">
      <c r="A62" s="1"/>
      <c r="B62" s="239"/>
      <c r="C62" s="240"/>
      <c r="D62" s="240"/>
      <c r="E62" s="240"/>
      <c r="F62" s="240"/>
      <c r="G62" s="240"/>
      <c r="H62" s="240"/>
      <c r="I62" s="241"/>
    </row>
    <row r="63" spans="1:15" ht="18.75" customHeight="1" x14ac:dyDescent="0.15">
      <c r="A63" s="1"/>
      <c r="B63" s="242"/>
      <c r="C63" s="243"/>
      <c r="D63" s="243"/>
      <c r="E63" s="243"/>
      <c r="F63" s="243"/>
      <c r="G63" s="243"/>
      <c r="H63" s="243"/>
      <c r="I63" s="244"/>
    </row>
    <row r="64" spans="1:15" ht="7.5" customHeight="1" x14ac:dyDescent="0.15">
      <c r="A64" s="14"/>
      <c r="B64" s="14"/>
      <c r="C64" s="14"/>
      <c r="D64" s="14"/>
      <c r="E64" s="14"/>
      <c r="F64" s="14"/>
      <c r="G64" s="14"/>
      <c r="H64" s="14"/>
      <c r="I64" s="14"/>
    </row>
    <row r="65" spans="1:9" ht="18.75" customHeight="1" x14ac:dyDescent="0.15">
      <c r="A65" s="15" t="s">
        <v>134</v>
      </c>
      <c r="B65" s="1" t="s">
        <v>135</v>
      </c>
      <c r="I65" s="15"/>
    </row>
    <row r="66" spans="1:9" ht="18.75" customHeight="1" x14ac:dyDescent="0.15">
      <c r="A66" s="4"/>
      <c r="B66" s="219" t="s">
        <v>178</v>
      </c>
      <c r="C66" s="220"/>
      <c r="D66" s="220"/>
      <c r="E66" s="220"/>
      <c r="F66" s="220"/>
      <c r="G66" s="220"/>
      <c r="H66" s="220"/>
      <c r="I66" s="221"/>
    </row>
    <row r="67" spans="1:9" ht="18.75" customHeight="1" x14ac:dyDescent="0.15">
      <c r="A67" s="4"/>
      <c r="B67" s="222"/>
      <c r="C67" s="223"/>
      <c r="D67" s="223"/>
      <c r="E67" s="223"/>
      <c r="F67" s="223"/>
      <c r="G67" s="223"/>
      <c r="H67" s="223"/>
      <c r="I67" s="224"/>
    </row>
    <row r="68" spans="1:9" ht="18.75" customHeight="1" x14ac:dyDescent="0.15">
      <c r="A68" s="4"/>
      <c r="B68" s="222"/>
      <c r="C68" s="223"/>
      <c r="D68" s="223"/>
      <c r="E68" s="223"/>
      <c r="F68" s="223"/>
      <c r="G68" s="223"/>
      <c r="H68" s="223"/>
      <c r="I68" s="224"/>
    </row>
    <row r="69" spans="1:9" ht="18.75" customHeight="1" x14ac:dyDescent="0.15">
      <c r="A69" s="4"/>
      <c r="B69" s="222"/>
      <c r="C69" s="223"/>
      <c r="D69" s="223"/>
      <c r="E69" s="223"/>
      <c r="F69" s="223"/>
      <c r="G69" s="223"/>
      <c r="H69" s="223"/>
      <c r="I69" s="224"/>
    </row>
    <row r="70" spans="1:9" ht="18.75" customHeight="1" x14ac:dyDescent="0.15">
      <c r="A70" s="4"/>
      <c r="B70" s="222"/>
      <c r="C70" s="223"/>
      <c r="D70" s="223"/>
      <c r="E70" s="223"/>
      <c r="F70" s="223"/>
      <c r="G70" s="223"/>
      <c r="H70" s="223"/>
      <c r="I70" s="224"/>
    </row>
    <row r="71" spans="1:9" ht="18.75" customHeight="1" x14ac:dyDescent="0.15">
      <c r="A71" s="4"/>
      <c r="B71" s="222"/>
      <c r="C71" s="223"/>
      <c r="D71" s="223"/>
      <c r="E71" s="223"/>
      <c r="F71" s="223"/>
      <c r="G71" s="223"/>
      <c r="H71" s="223"/>
      <c r="I71" s="224"/>
    </row>
    <row r="72" spans="1:9" ht="18.75" customHeight="1" x14ac:dyDescent="0.15">
      <c r="A72" s="4"/>
      <c r="B72" s="222"/>
      <c r="C72" s="223"/>
      <c r="D72" s="223"/>
      <c r="E72" s="223"/>
      <c r="F72" s="223"/>
      <c r="G72" s="223"/>
      <c r="H72" s="223"/>
      <c r="I72" s="224"/>
    </row>
    <row r="73" spans="1:9" ht="18.75" customHeight="1" x14ac:dyDescent="0.15">
      <c r="A73" s="4"/>
      <c r="B73" s="222"/>
      <c r="C73" s="223"/>
      <c r="D73" s="223"/>
      <c r="E73" s="223"/>
      <c r="F73" s="223"/>
      <c r="G73" s="223"/>
      <c r="H73" s="223"/>
      <c r="I73" s="224"/>
    </row>
    <row r="74" spans="1:9" ht="18.75" customHeight="1" x14ac:dyDescent="0.15">
      <c r="A74" s="4"/>
      <c r="B74" s="222"/>
      <c r="C74" s="223"/>
      <c r="D74" s="223"/>
      <c r="E74" s="223"/>
      <c r="F74" s="223"/>
      <c r="G74" s="223"/>
      <c r="H74" s="223"/>
      <c r="I74" s="224"/>
    </row>
    <row r="75" spans="1:9" ht="18.75" customHeight="1" x14ac:dyDescent="0.15">
      <c r="A75" s="4"/>
      <c r="B75" s="222"/>
      <c r="C75" s="223"/>
      <c r="D75" s="223"/>
      <c r="E75" s="223"/>
      <c r="F75" s="223"/>
      <c r="G75" s="223"/>
      <c r="H75" s="223"/>
      <c r="I75" s="224"/>
    </row>
    <row r="76" spans="1:9" ht="18.75" customHeight="1" x14ac:dyDescent="0.15">
      <c r="A76" s="4"/>
      <c r="B76" s="222"/>
      <c r="C76" s="223"/>
      <c r="D76" s="223"/>
      <c r="E76" s="223"/>
      <c r="F76" s="223"/>
      <c r="G76" s="223"/>
      <c r="H76" s="223"/>
      <c r="I76" s="224"/>
    </row>
    <row r="77" spans="1:9" ht="18.75" customHeight="1" x14ac:dyDescent="0.15">
      <c r="A77" s="4"/>
      <c r="B77" s="225"/>
      <c r="C77" s="226"/>
      <c r="D77" s="226"/>
      <c r="E77" s="226"/>
      <c r="F77" s="226"/>
      <c r="G77" s="226"/>
      <c r="H77" s="226"/>
      <c r="I77" s="227"/>
    </row>
    <row r="78" spans="1:9" ht="7.5" customHeight="1" x14ac:dyDescent="0.15">
      <c r="A78" s="4"/>
      <c r="B78" s="4"/>
      <c r="C78" s="4"/>
      <c r="D78" s="4"/>
      <c r="E78" s="4"/>
      <c r="F78" s="4"/>
      <c r="G78" s="4"/>
      <c r="H78" s="4"/>
      <c r="I78" s="4"/>
    </row>
    <row r="79" spans="1:9" ht="18.75" customHeight="1" x14ac:dyDescent="0.15">
      <c r="A79" s="1" t="s">
        <v>136</v>
      </c>
      <c r="B79" s="1" t="s">
        <v>137</v>
      </c>
    </row>
    <row r="80" spans="1:9" ht="18.75" customHeight="1" x14ac:dyDescent="0.15">
      <c r="A80" s="1"/>
      <c r="B80" s="219" t="s">
        <v>179</v>
      </c>
      <c r="C80" s="220"/>
      <c r="D80" s="220"/>
      <c r="E80" s="220"/>
      <c r="F80" s="220"/>
      <c r="G80" s="220"/>
      <c r="H80" s="220"/>
      <c r="I80" s="228"/>
    </row>
    <row r="81" spans="1:9" ht="18.75" customHeight="1" x14ac:dyDescent="0.15">
      <c r="A81" s="1"/>
      <c r="B81" s="229"/>
      <c r="C81" s="230"/>
      <c r="D81" s="230"/>
      <c r="E81" s="230"/>
      <c r="F81" s="230"/>
      <c r="G81" s="230"/>
      <c r="H81" s="230"/>
      <c r="I81" s="231"/>
    </row>
    <row r="82" spans="1:9" ht="18.75" customHeight="1" x14ac:dyDescent="0.15">
      <c r="A82" s="1"/>
      <c r="B82" s="229"/>
      <c r="C82" s="230"/>
      <c r="D82" s="230"/>
      <c r="E82" s="230"/>
      <c r="F82" s="230"/>
      <c r="G82" s="230"/>
      <c r="H82" s="230"/>
      <c r="I82" s="231"/>
    </row>
    <row r="83" spans="1:9" ht="18.75" customHeight="1" x14ac:dyDescent="0.15">
      <c r="A83" s="1"/>
      <c r="B83" s="229"/>
      <c r="C83" s="230"/>
      <c r="D83" s="230"/>
      <c r="E83" s="230"/>
      <c r="F83" s="230"/>
      <c r="G83" s="230"/>
      <c r="H83" s="230"/>
      <c r="I83" s="231"/>
    </row>
    <row r="84" spans="1:9" ht="18.75" customHeight="1" x14ac:dyDescent="0.15">
      <c r="A84" s="1"/>
      <c r="B84" s="229"/>
      <c r="C84" s="230"/>
      <c r="D84" s="230"/>
      <c r="E84" s="230"/>
      <c r="F84" s="230"/>
      <c r="G84" s="230"/>
      <c r="H84" s="230"/>
      <c r="I84" s="231"/>
    </row>
    <row r="85" spans="1:9" ht="18.75" customHeight="1" x14ac:dyDescent="0.15">
      <c r="A85" s="1"/>
      <c r="B85" s="229"/>
      <c r="C85" s="230"/>
      <c r="D85" s="230"/>
      <c r="E85" s="230"/>
      <c r="F85" s="230"/>
      <c r="G85" s="230"/>
      <c r="H85" s="230"/>
      <c r="I85" s="231"/>
    </row>
    <row r="86" spans="1:9" ht="18.75" customHeight="1" x14ac:dyDescent="0.15">
      <c r="A86" s="1"/>
      <c r="B86" s="229"/>
      <c r="C86" s="230"/>
      <c r="D86" s="230"/>
      <c r="E86" s="230"/>
      <c r="F86" s="230"/>
      <c r="G86" s="230"/>
      <c r="H86" s="230"/>
      <c r="I86" s="231"/>
    </row>
    <row r="87" spans="1:9" ht="18.75" customHeight="1" x14ac:dyDescent="0.15">
      <c r="A87" s="1"/>
      <c r="B87" s="229"/>
      <c r="C87" s="230"/>
      <c r="D87" s="230"/>
      <c r="E87" s="230"/>
      <c r="F87" s="230"/>
      <c r="G87" s="230"/>
      <c r="H87" s="230"/>
      <c r="I87" s="231"/>
    </row>
    <row r="88" spans="1:9" ht="18.75" customHeight="1" x14ac:dyDescent="0.15">
      <c r="A88" s="1"/>
      <c r="B88" s="229"/>
      <c r="C88" s="230"/>
      <c r="D88" s="230"/>
      <c r="E88" s="230"/>
      <c r="F88" s="230"/>
      <c r="G88" s="230"/>
      <c r="H88" s="230"/>
      <c r="I88" s="231"/>
    </row>
    <row r="89" spans="1:9" ht="18.75" customHeight="1" x14ac:dyDescent="0.15">
      <c r="A89" s="1"/>
      <c r="B89" s="229"/>
      <c r="C89" s="230"/>
      <c r="D89" s="230"/>
      <c r="E89" s="230"/>
      <c r="F89" s="230"/>
      <c r="G89" s="230"/>
      <c r="H89" s="230"/>
      <c r="I89" s="231"/>
    </row>
    <row r="90" spans="1:9" ht="18.75" customHeight="1" x14ac:dyDescent="0.15">
      <c r="A90" s="4"/>
      <c r="B90" s="229"/>
      <c r="C90" s="230"/>
      <c r="D90" s="230"/>
      <c r="E90" s="230"/>
      <c r="F90" s="230"/>
      <c r="G90" s="230"/>
      <c r="H90" s="230"/>
      <c r="I90" s="231"/>
    </row>
    <row r="91" spans="1:9" ht="18.75" customHeight="1" x14ac:dyDescent="0.15">
      <c r="A91" s="4"/>
      <c r="B91" s="232"/>
      <c r="C91" s="233"/>
      <c r="D91" s="233"/>
      <c r="E91" s="233"/>
      <c r="F91" s="233"/>
      <c r="G91" s="233"/>
      <c r="H91" s="233"/>
      <c r="I91" s="234"/>
    </row>
    <row r="92" spans="1:9" ht="7.5" customHeight="1" x14ac:dyDescent="0.15">
      <c r="A92" s="4"/>
      <c r="B92" s="4"/>
      <c r="C92" s="4"/>
      <c r="D92" s="4"/>
      <c r="E92" s="4"/>
      <c r="F92" s="4"/>
      <c r="G92" s="4"/>
      <c r="H92" s="4"/>
      <c r="I92" s="4"/>
    </row>
    <row r="93" spans="1:9" ht="18.75" customHeight="1" x14ac:dyDescent="0.15">
      <c r="A93" s="1" t="s">
        <v>138</v>
      </c>
      <c r="B93" s="1" t="s">
        <v>139</v>
      </c>
    </row>
    <row r="94" spans="1:9" ht="18.75" customHeight="1" x14ac:dyDescent="0.15">
      <c r="A94" s="1"/>
      <c r="B94" s="190" t="s">
        <v>170</v>
      </c>
      <c r="C94" s="191"/>
      <c r="D94" s="191"/>
      <c r="E94" s="191"/>
      <c r="F94" s="191"/>
      <c r="G94" s="191"/>
      <c r="H94" s="191"/>
      <c r="I94" s="192"/>
    </row>
    <row r="95" spans="1:9" ht="18.75" customHeight="1" x14ac:dyDescent="0.15">
      <c r="A95" s="1"/>
      <c r="B95" s="196"/>
      <c r="C95" s="197"/>
      <c r="D95" s="197"/>
      <c r="E95" s="197"/>
      <c r="F95" s="197"/>
      <c r="G95" s="197"/>
      <c r="H95" s="197"/>
      <c r="I95" s="195"/>
    </row>
    <row r="96" spans="1:9" ht="18.75" customHeight="1" x14ac:dyDescent="0.15">
      <c r="A96" s="1"/>
      <c r="B96" s="196"/>
      <c r="C96" s="197"/>
      <c r="D96" s="197"/>
      <c r="E96" s="197"/>
      <c r="F96" s="197"/>
      <c r="G96" s="197"/>
      <c r="H96" s="197"/>
      <c r="I96" s="195"/>
    </row>
    <row r="97" spans="1:9" ht="18.75" customHeight="1" x14ac:dyDescent="0.15">
      <c r="A97" s="1"/>
      <c r="B97" s="196"/>
      <c r="C97" s="197"/>
      <c r="D97" s="197"/>
      <c r="E97" s="197"/>
      <c r="F97" s="197"/>
      <c r="G97" s="197"/>
      <c r="H97" s="197"/>
      <c r="I97" s="195"/>
    </row>
    <row r="98" spans="1:9" ht="18.75" customHeight="1" x14ac:dyDescent="0.15">
      <c r="A98" s="1"/>
      <c r="B98" s="196"/>
      <c r="C98" s="197"/>
      <c r="D98" s="197"/>
      <c r="E98" s="197"/>
      <c r="F98" s="197"/>
      <c r="G98" s="197"/>
      <c r="H98" s="197"/>
      <c r="I98" s="195"/>
    </row>
    <row r="99" spans="1:9" ht="18.75" customHeight="1" x14ac:dyDescent="0.15">
      <c r="A99" s="1"/>
      <c r="B99" s="196"/>
      <c r="C99" s="197"/>
      <c r="D99" s="197"/>
      <c r="E99" s="197"/>
      <c r="F99" s="197"/>
      <c r="G99" s="197"/>
      <c r="H99" s="197"/>
      <c r="I99" s="195"/>
    </row>
    <row r="100" spans="1:9" ht="18.75" customHeight="1" x14ac:dyDescent="0.15">
      <c r="A100" s="1"/>
      <c r="B100" s="196"/>
      <c r="C100" s="197"/>
      <c r="D100" s="197"/>
      <c r="E100" s="197"/>
      <c r="F100" s="197"/>
      <c r="G100" s="197"/>
      <c r="H100" s="197"/>
      <c r="I100" s="195"/>
    </row>
    <row r="101" spans="1:9" ht="18.75" customHeight="1" x14ac:dyDescent="0.15">
      <c r="A101" s="1"/>
      <c r="B101" s="196"/>
      <c r="C101" s="197"/>
      <c r="D101" s="197"/>
      <c r="E101" s="197"/>
      <c r="F101" s="197"/>
      <c r="G101" s="197"/>
      <c r="H101" s="197"/>
      <c r="I101" s="195"/>
    </row>
    <row r="102" spans="1:9" ht="18.75" customHeight="1" x14ac:dyDescent="0.15">
      <c r="A102" s="1"/>
      <c r="B102" s="196"/>
      <c r="C102" s="197"/>
      <c r="D102" s="197"/>
      <c r="E102" s="197"/>
      <c r="F102" s="197"/>
      <c r="G102" s="197"/>
      <c r="H102" s="197"/>
      <c r="I102" s="195"/>
    </row>
    <row r="103" spans="1:9" ht="18.75" customHeight="1" x14ac:dyDescent="0.15">
      <c r="A103" s="1"/>
      <c r="B103" s="196"/>
      <c r="C103" s="197"/>
      <c r="D103" s="197"/>
      <c r="E103" s="197"/>
      <c r="F103" s="197"/>
      <c r="G103" s="197"/>
      <c r="H103" s="197"/>
      <c r="I103" s="195"/>
    </row>
    <row r="104" spans="1:9" ht="18.75" customHeight="1" x14ac:dyDescent="0.15">
      <c r="A104" s="1"/>
      <c r="B104" s="196"/>
      <c r="C104" s="197"/>
      <c r="D104" s="197"/>
      <c r="E104" s="197"/>
      <c r="F104" s="197"/>
      <c r="G104" s="197"/>
      <c r="H104" s="197"/>
      <c r="I104" s="195"/>
    </row>
    <row r="105" spans="1:9" ht="18.75" customHeight="1" x14ac:dyDescent="0.15">
      <c r="A105" s="4"/>
      <c r="B105" s="198"/>
      <c r="C105" s="199"/>
      <c r="D105" s="199"/>
      <c r="E105" s="199"/>
      <c r="F105" s="199"/>
      <c r="G105" s="199"/>
      <c r="H105" s="199"/>
      <c r="I105" s="200"/>
    </row>
    <row r="106" spans="1:9" ht="7.5" customHeight="1" x14ac:dyDescent="0.15">
      <c r="A106" s="4"/>
      <c r="B106" s="4"/>
      <c r="C106" s="4"/>
      <c r="D106" s="4"/>
      <c r="E106" s="4"/>
      <c r="F106" s="4"/>
      <c r="G106" s="4"/>
      <c r="H106" s="4"/>
      <c r="I106" s="4"/>
    </row>
    <row r="107" spans="1:9" ht="18.75" customHeight="1" x14ac:dyDescent="0.15">
      <c r="A107" s="1" t="s">
        <v>140</v>
      </c>
      <c r="B107" s="214" t="s">
        <v>141</v>
      </c>
      <c r="C107" s="214"/>
      <c r="D107" s="214"/>
      <c r="E107" s="214"/>
      <c r="F107" s="214"/>
      <c r="G107" s="214"/>
      <c r="H107" s="214"/>
      <c r="I107" s="214"/>
    </row>
    <row r="108" spans="1:9" ht="18.75" customHeight="1" x14ac:dyDescent="0.15">
      <c r="A108" s="4"/>
      <c r="B108" s="190" t="s">
        <v>173</v>
      </c>
      <c r="C108" s="191"/>
      <c r="D108" s="191"/>
      <c r="E108" s="191"/>
      <c r="F108" s="191"/>
      <c r="G108" s="191"/>
      <c r="H108" s="191"/>
      <c r="I108" s="192"/>
    </row>
    <row r="109" spans="1:9" ht="18.75" customHeight="1" x14ac:dyDescent="0.15">
      <c r="A109" s="4"/>
      <c r="B109" s="196"/>
      <c r="C109" s="197"/>
      <c r="D109" s="197"/>
      <c r="E109" s="197"/>
      <c r="F109" s="197"/>
      <c r="G109" s="197"/>
      <c r="H109" s="197"/>
      <c r="I109" s="195"/>
    </row>
    <row r="110" spans="1:9" ht="18.75" customHeight="1" x14ac:dyDescent="0.15">
      <c r="A110" s="4"/>
      <c r="B110" s="196"/>
      <c r="C110" s="197"/>
      <c r="D110" s="197"/>
      <c r="E110" s="197"/>
      <c r="F110" s="197"/>
      <c r="G110" s="197"/>
      <c r="H110" s="197"/>
      <c r="I110" s="195"/>
    </row>
    <row r="111" spans="1:9" ht="18.75" customHeight="1" x14ac:dyDescent="0.15">
      <c r="A111" s="4"/>
      <c r="B111" s="196"/>
      <c r="C111" s="197"/>
      <c r="D111" s="197"/>
      <c r="E111" s="197"/>
      <c r="F111" s="197"/>
      <c r="G111" s="197"/>
      <c r="H111" s="197"/>
      <c r="I111" s="195"/>
    </row>
    <row r="112" spans="1:9" ht="18.75" customHeight="1" x14ac:dyDescent="0.15">
      <c r="A112" s="4"/>
      <c r="B112" s="196"/>
      <c r="C112" s="197"/>
      <c r="D112" s="197"/>
      <c r="E112" s="197"/>
      <c r="F112" s="197"/>
      <c r="G112" s="197"/>
      <c r="H112" s="197"/>
      <c r="I112" s="195"/>
    </row>
    <row r="113" spans="1:9" ht="18.75" customHeight="1" x14ac:dyDescent="0.15">
      <c r="A113" s="4"/>
      <c r="B113" s="196"/>
      <c r="C113" s="197"/>
      <c r="D113" s="197"/>
      <c r="E113" s="197"/>
      <c r="F113" s="197"/>
      <c r="G113" s="197"/>
      <c r="H113" s="197"/>
      <c r="I113" s="195"/>
    </row>
    <row r="114" spans="1:9" ht="18.75" customHeight="1" x14ac:dyDescent="0.15">
      <c r="A114" s="4"/>
      <c r="B114" s="196"/>
      <c r="C114" s="197"/>
      <c r="D114" s="197"/>
      <c r="E114" s="197"/>
      <c r="F114" s="197"/>
      <c r="G114" s="197"/>
      <c r="H114" s="197"/>
      <c r="I114" s="195"/>
    </row>
    <row r="115" spans="1:9" ht="18.75" customHeight="1" x14ac:dyDescent="0.15">
      <c r="A115" s="4"/>
      <c r="B115" s="196"/>
      <c r="C115" s="197"/>
      <c r="D115" s="197"/>
      <c r="E115" s="197"/>
      <c r="F115" s="197"/>
      <c r="G115" s="197"/>
      <c r="H115" s="197"/>
      <c r="I115" s="195"/>
    </row>
    <row r="116" spans="1:9" ht="18.75" customHeight="1" x14ac:dyDescent="0.15">
      <c r="A116" s="4"/>
      <c r="B116" s="196"/>
      <c r="C116" s="197"/>
      <c r="D116" s="197"/>
      <c r="E116" s="197"/>
      <c r="F116" s="197"/>
      <c r="G116" s="197"/>
      <c r="H116" s="197"/>
      <c r="I116" s="195"/>
    </row>
    <row r="117" spans="1:9" ht="18.75" customHeight="1" x14ac:dyDescent="0.15">
      <c r="A117" s="4"/>
      <c r="B117" s="196"/>
      <c r="C117" s="197"/>
      <c r="D117" s="197"/>
      <c r="E117" s="197"/>
      <c r="F117" s="197"/>
      <c r="G117" s="197"/>
      <c r="H117" s="197"/>
      <c r="I117" s="195"/>
    </row>
    <row r="118" spans="1:9" ht="18.75" customHeight="1" x14ac:dyDescent="0.15">
      <c r="A118" s="4"/>
      <c r="B118" s="196"/>
      <c r="C118" s="197"/>
      <c r="D118" s="197"/>
      <c r="E118" s="197"/>
      <c r="F118" s="197"/>
      <c r="G118" s="197"/>
      <c r="H118" s="197"/>
      <c r="I118" s="195"/>
    </row>
    <row r="119" spans="1:9" ht="18.75" customHeight="1" x14ac:dyDescent="0.15">
      <c r="A119" s="4"/>
      <c r="B119" s="198"/>
      <c r="C119" s="199"/>
      <c r="D119" s="199"/>
      <c r="E119" s="199"/>
      <c r="F119" s="199"/>
      <c r="G119" s="199"/>
      <c r="H119" s="199"/>
      <c r="I119" s="200"/>
    </row>
    <row r="120" spans="1:9" ht="7.5" customHeight="1" x14ac:dyDescent="0.15">
      <c r="A120" s="4"/>
      <c r="B120" s="39"/>
      <c r="C120" s="39"/>
      <c r="D120" s="39"/>
      <c r="E120" s="39"/>
      <c r="F120" s="39"/>
      <c r="G120" s="39"/>
      <c r="H120" s="39"/>
      <c r="I120" s="39"/>
    </row>
    <row r="121" spans="1:9" ht="18.75" customHeight="1" x14ac:dyDescent="0.15">
      <c r="A121" s="68"/>
      <c r="B121" s="185"/>
      <c r="C121" s="185"/>
      <c r="D121" s="185"/>
      <c r="E121" s="185"/>
      <c r="F121" s="185"/>
      <c r="G121" s="185"/>
      <c r="H121" s="185"/>
      <c r="I121" s="185"/>
    </row>
    <row r="122" spans="1:9" ht="18.75" customHeight="1" x14ac:dyDescent="0.15">
      <c r="A122" s="68"/>
      <c r="B122" s="185"/>
      <c r="C122" s="185"/>
      <c r="D122" s="185"/>
      <c r="E122" s="185"/>
      <c r="F122" s="185"/>
      <c r="G122" s="185"/>
      <c r="H122" s="185"/>
      <c r="I122" s="185"/>
    </row>
    <row r="123" spans="1:9" ht="18.75" customHeight="1" x14ac:dyDescent="0.15">
      <c r="A123" s="4"/>
      <c r="B123" s="72"/>
      <c r="C123" s="72"/>
      <c r="D123" s="72"/>
      <c r="E123" s="72"/>
      <c r="F123" s="72"/>
      <c r="G123" s="72"/>
      <c r="H123" s="72"/>
      <c r="I123" s="73"/>
    </row>
    <row r="124" spans="1:9" ht="18.75" customHeight="1" x14ac:dyDescent="0.15">
      <c r="A124" s="4"/>
      <c r="B124" s="73"/>
      <c r="C124" s="73"/>
      <c r="D124" s="73"/>
      <c r="E124" s="73"/>
      <c r="F124" s="73"/>
      <c r="G124" s="73"/>
      <c r="H124" s="73"/>
      <c r="I124" s="73"/>
    </row>
    <row r="125" spans="1:9" ht="18.75" customHeight="1" x14ac:dyDescent="0.15">
      <c r="A125" s="4"/>
      <c r="B125" s="73"/>
      <c r="C125" s="73"/>
      <c r="D125" s="73"/>
      <c r="E125" s="73"/>
      <c r="F125" s="73"/>
      <c r="G125" s="73"/>
      <c r="H125" s="73"/>
      <c r="I125" s="73"/>
    </row>
    <row r="126" spans="1:9" ht="18.75" customHeight="1" x14ac:dyDescent="0.15">
      <c r="A126" s="4"/>
      <c r="B126" s="73"/>
      <c r="C126" s="73"/>
      <c r="D126" s="73"/>
      <c r="E126" s="73"/>
      <c r="F126" s="73"/>
      <c r="G126" s="73"/>
      <c r="H126" s="73"/>
      <c r="I126" s="73"/>
    </row>
    <row r="127" spans="1:9" ht="18.75" customHeight="1" x14ac:dyDescent="0.15">
      <c r="A127" s="4"/>
      <c r="B127" s="73"/>
      <c r="C127" s="73"/>
      <c r="D127" s="73"/>
      <c r="E127" s="73"/>
      <c r="F127" s="73"/>
      <c r="G127" s="73"/>
      <c r="H127" s="73"/>
      <c r="I127" s="73"/>
    </row>
    <row r="128" spans="1:9" ht="18.75" customHeight="1" x14ac:dyDescent="0.15">
      <c r="A128" s="4"/>
      <c r="B128" s="73"/>
      <c r="C128" s="73"/>
      <c r="D128" s="73"/>
      <c r="E128" s="73"/>
      <c r="F128" s="73"/>
      <c r="G128" s="73"/>
      <c r="H128" s="73"/>
      <c r="I128" s="73"/>
    </row>
    <row r="129" spans="1:9" ht="18.75" customHeight="1" x14ac:dyDescent="0.15">
      <c r="A129" s="4"/>
      <c r="B129" s="73"/>
      <c r="C129" s="73"/>
      <c r="D129" s="73"/>
      <c r="E129" s="73"/>
      <c r="F129" s="73"/>
      <c r="G129" s="73"/>
      <c r="H129" s="73"/>
      <c r="I129" s="73"/>
    </row>
    <row r="130" spans="1:9" ht="18.75" customHeight="1" x14ac:dyDescent="0.15">
      <c r="A130" s="4"/>
      <c r="B130" s="73"/>
      <c r="C130" s="73"/>
      <c r="D130" s="73"/>
      <c r="E130" s="73"/>
      <c r="F130" s="73"/>
      <c r="G130" s="73"/>
      <c r="H130" s="73"/>
      <c r="I130" s="73"/>
    </row>
    <row r="131" spans="1:9" ht="18.75" customHeight="1" x14ac:dyDescent="0.15">
      <c r="A131" s="4"/>
      <c r="B131" s="73"/>
      <c r="C131" s="73"/>
      <c r="D131" s="73"/>
      <c r="E131" s="73"/>
      <c r="F131" s="73"/>
      <c r="G131" s="73"/>
      <c r="H131" s="73"/>
      <c r="I131" s="73"/>
    </row>
    <row r="132" spans="1:9" ht="18.75" customHeight="1" x14ac:dyDescent="0.15">
      <c r="A132" s="4"/>
      <c r="B132" s="73"/>
      <c r="C132" s="73"/>
      <c r="D132" s="73"/>
      <c r="E132" s="73"/>
      <c r="F132" s="73"/>
      <c r="G132" s="73"/>
      <c r="H132" s="73"/>
      <c r="I132" s="73"/>
    </row>
    <row r="133" spans="1:9" ht="14.25" x14ac:dyDescent="0.15">
      <c r="A133" s="4"/>
      <c r="B133" s="73"/>
      <c r="C133" s="73"/>
      <c r="D133" s="73"/>
      <c r="E133" s="73"/>
      <c r="F133" s="73"/>
      <c r="G133" s="73"/>
      <c r="H133" s="73"/>
      <c r="I133" s="73"/>
    </row>
    <row r="134" spans="1:9" ht="7.5" customHeight="1" x14ac:dyDescent="0.15">
      <c r="A134" s="4"/>
      <c r="B134" s="73"/>
      <c r="C134" s="73"/>
      <c r="D134" s="73"/>
      <c r="E134" s="73"/>
      <c r="F134" s="73"/>
      <c r="G134" s="73"/>
      <c r="H134" s="73"/>
      <c r="I134" s="7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scale="80"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I30"/>
  <sheetViews>
    <sheetView showZeros="0" view="pageBreakPreview" zoomScaleNormal="100" zoomScaleSheetLayoutView="100" workbookViewId="0">
      <selection activeCell="E13" sqref="E13:I13"/>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142</v>
      </c>
      <c r="I1" s="30" t="s">
        <v>143</v>
      </c>
    </row>
    <row r="2" spans="1:9" ht="18.75" customHeight="1" x14ac:dyDescent="0.15">
      <c r="H2" s="30" t="s">
        <v>2</v>
      </c>
      <c r="I2" s="29" t="str">
        <f>'様式１　プログラムを構成する授業科目'!C2</f>
        <v>宮城大学</v>
      </c>
    </row>
    <row r="3" spans="1:9" ht="18.75" customHeight="1" x14ac:dyDescent="0.15">
      <c r="A3" s="186" t="s">
        <v>144</v>
      </c>
      <c r="B3" s="186"/>
      <c r="C3" s="186"/>
      <c r="D3" s="186"/>
      <c r="E3" s="186"/>
      <c r="F3" s="186"/>
      <c r="G3" s="186"/>
      <c r="H3" s="186"/>
      <c r="I3" s="186"/>
    </row>
    <row r="4" spans="1:9" ht="18.75" customHeight="1" x14ac:dyDescent="0.15">
      <c r="A4" s="5"/>
      <c r="B4" s="5"/>
      <c r="C4" s="5"/>
      <c r="D4" s="5"/>
      <c r="E4" s="5"/>
      <c r="F4" s="5"/>
      <c r="G4" s="5"/>
      <c r="H4" s="5"/>
      <c r="I4" s="5"/>
    </row>
    <row r="5" spans="1:9" ht="18.75" customHeight="1" x14ac:dyDescent="0.15">
      <c r="A5" s="1" t="s">
        <v>105</v>
      </c>
      <c r="B5" s="10" t="s">
        <v>145</v>
      </c>
      <c r="C5" s="5"/>
      <c r="D5" s="5"/>
      <c r="E5" s="5"/>
      <c r="F5" s="5"/>
      <c r="G5" s="5"/>
      <c r="H5" s="5"/>
      <c r="I5" s="5"/>
    </row>
    <row r="6" spans="1:9" ht="26.25" customHeight="1" x14ac:dyDescent="0.15">
      <c r="A6" s="5"/>
      <c r="B6" s="210" t="s">
        <v>184</v>
      </c>
      <c r="C6" s="252"/>
      <c r="D6" s="252"/>
      <c r="E6" s="252"/>
      <c r="F6" s="252"/>
      <c r="G6" s="252"/>
      <c r="H6" s="253"/>
      <c r="I6" s="3"/>
    </row>
    <row r="7" spans="1:9" ht="9" customHeight="1" x14ac:dyDescent="0.15">
      <c r="A7" s="5"/>
      <c r="B7" s="10"/>
      <c r="C7" s="10"/>
      <c r="D7" s="10"/>
      <c r="E7" s="10"/>
      <c r="F7" s="10"/>
      <c r="G7" s="10"/>
      <c r="H7" s="10"/>
      <c r="I7" s="3"/>
    </row>
    <row r="8" spans="1:9" ht="18.75" customHeight="1" x14ac:dyDescent="0.15">
      <c r="A8" s="5"/>
      <c r="B8" s="3"/>
      <c r="C8" s="3"/>
      <c r="D8" s="30" t="s">
        <v>113</v>
      </c>
      <c r="E8" s="31" t="s">
        <v>164</v>
      </c>
      <c r="F8" s="3"/>
      <c r="G8" s="30" t="s">
        <v>115</v>
      </c>
      <c r="H8" s="85" t="s">
        <v>146</v>
      </c>
      <c r="I8" s="3"/>
    </row>
    <row r="9" spans="1:9" ht="7.5" customHeight="1" x14ac:dyDescent="0.15">
      <c r="A9" s="5"/>
      <c r="B9" s="5"/>
      <c r="C9" s="5"/>
      <c r="D9" s="5"/>
      <c r="E9" s="5"/>
      <c r="F9" s="5"/>
      <c r="G9" s="5"/>
      <c r="H9" s="5"/>
      <c r="I9" s="5"/>
    </row>
    <row r="10" spans="1:9" ht="18.75" customHeight="1" x14ac:dyDescent="0.15">
      <c r="A10" s="1" t="s">
        <v>109</v>
      </c>
      <c r="B10" s="1" t="s">
        <v>147</v>
      </c>
      <c r="C10" s="4"/>
      <c r="D10" s="4"/>
      <c r="E10" s="4"/>
      <c r="F10" s="4"/>
      <c r="G10" s="4"/>
      <c r="H10" s="4"/>
      <c r="I10" s="4"/>
    </row>
    <row r="11" spans="1:9" ht="18.75" customHeight="1" x14ac:dyDescent="0.15">
      <c r="B11" s="99" t="s">
        <v>148</v>
      </c>
      <c r="C11" s="100"/>
      <c r="D11" s="101"/>
      <c r="E11" s="100" t="s">
        <v>149</v>
      </c>
      <c r="F11" s="100"/>
      <c r="G11" s="100"/>
      <c r="H11" s="100"/>
      <c r="I11" s="101"/>
    </row>
    <row r="12" spans="1:9" ht="26.25" customHeight="1" x14ac:dyDescent="0.15">
      <c r="B12" s="40" t="s">
        <v>150</v>
      </c>
      <c r="C12" s="47"/>
      <c r="D12" s="41"/>
      <c r="E12" s="48"/>
      <c r="F12" s="48"/>
      <c r="G12" s="48"/>
      <c r="H12" s="48"/>
      <c r="I12" s="41"/>
    </row>
    <row r="13" spans="1:9" ht="190.5" customHeight="1" x14ac:dyDescent="0.15">
      <c r="B13" s="42"/>
      <c r="C13" s="250" t="s">
        <v>151</v>
      </c>
      <c r="D13" s="251"/>
      <c r="E13" s="247" t="s">
        <v>185</v>
      </c>
      <c r="F13" s="248"/>
      <c r="G13" s="248"/>
      <c r="H13" s="248"/>
      <c r="I13" s="249"/>
    </row>
    <row r="14" spans="1:9" ht="218.25" customHeight="1" x14ac:dyDescent="0.15">
      <c r="B14" s="42"/>
      <c r="C14" s="245" t="s">
        <v>152</v>
      </c>
      <c r="D14" s="246"/>
      <c r="E14" s="247" t="s">
        <v>180</v>
      </c>
      <c r="F14" s="248"/>
      <c r="G14" s="248"/>
      <c r="H14" s="248"/>
      <c r="I14" s="249"/>
    </row>
    <row r="15" spans="1:9" ht="210.75" customHeight="1" x14ac:dyDescent="0.15">
      <c r="B15" s="42"/>
      <c r="C15" s="250" t="s">
        <v>153</v>
      </c>
      <c r="D15" s="251"/>
      <c r="E15" s="247" t="s">
        <v>181</v>
      </c>
      <c r="F15" s="248"/>
      <c r="G15" s="248"/>
      <c r="H15" s="248"/>
      <c r="I15" s="249"/>
    </row>
    <row r="16" spans="1:9" ht="210.75" customHeight="1" x14ac:dyDescent="0.15">
      <c r="B16" s="42"/>
      <c r="C16" s="250" t="s">
        <v>154</v>
      </c>
      <c r="D16" s="251"/>
      <c r="E16" s="247" t="s">
        <v>167</v>
      </c>
      <c r="F16" s="248"/>
      <c r="G16" s="248"/>
      <c r="H16" s="248"/>
      <c r="I16" s="249"/>
    </row>
    <row r="17" spans="2:9" ht="210.75" customHeight="1" x14ac:dyDescent="0.15">
      <c r="B17" s="43"/>
      <c r="C17" s="254" t="s">
        <v>155</v>
      </c>
      <c r="D17" s="255"/>
      <c r="E17" s="256" t="s">
        <v>156</v>
      </c>
      <c r="F17" s="257"/>
      <c r="G17" s="257"/>
      <c r="H17" s="257"/>
      <c r="I17" s="258"/>
    </row>
    <row r="18" spans="2:9" ht="24" customHeight="1" x14ac:dyDescent="0.15">
      <c r="B18" s="40" t="s">
        <v>157</v>
      </c>
      <c r="C18" s="44"/>
      <c r="D18" s="45"/>
      <c r="E18" s="46"/>
      <c r="F18" s="46"/>
      <c r="G18" s="46"/>
      <c r="H18" s="46"/>
      <c r="I18" s="49"/>
    </row>
    <row r="19" spans="2:9" ht="218.25" customHeight="1" x14ac:dyDescent="0.15">
      <c r="B19" s="42"/>
      <c r="C19" s="250" t="s">
        <v>158</v>
      </c>
      <c r="D19" s="251"/>
      <c r="E19" s="248" t="s">
        <v>168</v>
      </c>
      <c r="F19" s="248"/>
      <c r="G19" s="248"/>
      <c r="H19" s="248"/>
      <c r="I19" s="249"/>
    </row>
    <row r="20" spans="2:9" ht="218.25" customHeight="1" x14ac:dyDescent="0.15">
      <c r="B20" s="43"/>
      <c r="C20" s="254" t="s">
        <v>159</v>
      </c>
      <c r="D20" s="255"/>
      <c r="E20" s="257" t="s">
        <v>169</v>
      </c>
      <c r="F20" s="257"/>
      <c r="G20" s="257"/>
      <c r="H20" s="257"/>
      <c r="I20" s="258"/>
    </row>
    <row r="21" spans="2:9" ht="218.25" customHeight="1" x14ac:dyDescent="0.15">
      <c r="B21" s="262" t="s">
        <v>160</v>
      </c>
      <c r="C21" s="263"/>
      <c r="D21" s="264"/>
      <c r="E21" s="265" t="s">
        <v>161</v>
      </c>
      <c r="F21" s="265"/>
      <c r="G21" s="265"/>
      <c r="H21" s="265"/>
      <c r="I21" s="266"/>
    </row>
    <row r="22" spans="2:9" ht="218.25" customHeight="1" x14ac:dyDescent="0.15">
      <c r="B22" s="259" t="s">
        <v>162</v>
      </c>
      <c r="C22" s="260"/>
      <c r="D22" s="261"/>
      <c r="E22" s="205" t="s">
        <v>183</v>
      </c>
      <c r="F22" s="205"/>
      <c r="G22" s="205"/>
      <c r="H22" s="205"/>
      <c r="I22" s="206"/>
    </row>
    <row r="23" spans="2:9" ht="22.5" customHeight="1" x14ac:dyDescent="0.15">
      <c r="B23" s="4"/>
      <c r="C23" s="4"/>
      <c r="D23" s="4"/>
      <c r="E23" s="4"/>
      <c r="F23" s="4"/>
      <c r="G23" s="4"/>
      <c r="H23" s="4"/>
      <c r="I23" s="4"/>
    </row>
    <row r="24" spans="2:9" ht="22.5" customHeight="1" x14ac:dyDescent="0.15">
      <c r="B24" s="4"/>
      <c r="C24" s="4"/>
      <c r="D24" s="4"/>
      <c r="E24" s="4"/>
      <c r="F24" s="4"/>
      <c r="G24" s="4"/>
      <c r="H24" s="4"/>
      <c r="I24" s="4"/>
    </row>
    <row r="25" spans="2:9" ht="22.5" customHeight="1" x14ac:dyDescent="0.15">
      <c r="B25" s="4"/>
      <c r="C25" s="4"/>
      <c r="D25" s="4"/>
      <c r="E25" s="4"/>
      <c r="F25" s="4"/>
      <c r="G25" s="4"/>
      <c r="H25" s="4"/>
      <c r="I25" s="4"/>
    </row>
    <row r="26" spans="2:9" ht="22.5" customHeight="1" x14ac:dyDescent="0.15">
      <c r="B26" s="4"/>
      <c r="C26" s="4"/>
      <c r="D26" s="4"/>
      <c r="E26" s="4"/>
      <c r="F26" s="4"/>
      <c r="G26" s="4"/>
      <c r="H26" s="4"/>
      <c r="I26" s="4"/>
    </row>
    <row r="27" spans="2:9" ht="22.5" customHeight="1" x14ac:dyDescent="0.15">
      <c r="B27" s="4"/>
      <c r="C27" s="4"/>
      <c r="D27" s="4"/>
      <c r="E27" s="4"/>
      <c r="F27" s="4"/>
      <c r="G27" s="4"/>
      <c r="H27" s="4"/>
      <c r="I27" s="4"/>
    </row>
    <row r="28" spans="2:9" ht="22.5" customHeight="1" x14ac:dyDescent="0.15">
      <c r="B28" s="14"/>
      <c r="C28" s="14"/>
      <c r="D28" s="14"/>
      <c r="E28" s="14"/>
      <c r="F28" s="14"/>
      <c r="G28" s="14"/>
      <c r="H28" s="14"/>
      <c r="I28" s="14"/>
    </row>
    <row r="29" spans="2:9" ht="22.5" customHeight="1" x14ac:dyDescent="0.15">
      <c r="B29" s="14"/>
      <c r="C29" s="14"/>
      <c r="D29" s="14"/>
      <c r="E29" s="14"/>
      <c r="F29" s="14"/>
      <c r="G29" s="14"/>
      <c r="H29" s="14"/>
      <c r="I29" s="14"/>
    </row>
    <row r="30" spans="2:9" ht="22.5" customHeight="1" x14ac:dyDescent="0.15">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ドキュメント" ma:contentTypeID="0x01010042CB1BD4BC40F6428EF7127FE7D672E6" ma:contentTypeVersion="11" ma:contentTypeDescription="新しいドキュメントを作成します。" ma:contentTypeScope="" ma:versionID="0fa2afef35ef9e3ba328edabd2707cad">
  <xsd:schema xmlns:xsd="http://www.w3.org/2001/XMLSchema" xmlns:xs="http://www.w3.org/2001/XMLSchema" xmlns:p="http://schemas.microsoft.com/office/2006/metadata/properties" xmlns:ns2="1dad721c-2834-458c-89f9-d36ede18bd69" targetNamespace="http://schemas.microsoft.com/office/2006/metadata/properties" ma:root="true" ma:fieldsID="592e4c5a61064b9d28b605941c66705f" ns2:_="">
    <xsd:import namespace="1dad721c-2834-458c-89f9-d36ede18bd69"/>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dad721c-2834-458c-89f9-d36ede18bd6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画像タグ" ma:readOnly="false" ma:fieldId="{5cf76f15-5ced-4ddc-b409-7134ff3c332f}" ma:taxonomyMulti="true" ma:sspId="1b571786-f5b2-417e-8069-382ccf73ce1e"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Location" ma:index="14" nillable="true" ma:displayName="Location" ma:indexed="true" ma:internalName="MediaServiceLocatio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MediaServiceSearchProperties" ma:index="18"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dad721c-2834-458c-89f9-d36ede18bd69">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302DA89B-86B9-40F4-98AD-727A498E0D1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dad721c-2834-458c-89f9-d36ede18bd6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39E39021-8839-4B03-8309-A8AAF3D5E815}">
  <ds:schemaRefs>
    <ds:schemaRef ds:uri="http://schemas.microsoft.com/sharepoint/v3/contenttype/forms"/>
  </ds:schemaRefs>
</ds:datastoreItem>
</file>

<file path=customXml/itemProps3.xml><?xml version="1.0" encoding="utf-8"?>
<ds:datastoreItem xmlns:ds="http://schemas.openxmlformats.org/officeDocument/2006/customXml" ds:itemID="{BE690343-106D-474F-A9AA-CDA1EEC1E79D}">
  <ds:schemaRefs>
    <ds:schemaRef ds:uri="http://schemas.microsoft.com/office/2006/documentManagement/types"/>
    <ds:schemaRef ds:uri="http://schemas.microsoft.com/office/2006/metadata/properties"/>
    <ds:schemaRef ds:uri="http://purl.org/dc/terms/"/>
    <ds:schemaRef ds:uri="http://purl.org/dc/elements/1.1/"/>
    <ds:schemaRef ds:uri="http://schemas.microsoft.com/office/infopath/2007/PartnerControls"/>
    <ds:schemaRef ds:uri="http://schemas.openxmlformats.org/package/2006/metadata/core-properties"/>
    <ds:schemaRef ds:uri="1dad721c-2834-458c-89f9-d36ede18bd69"/>
    <ds:schemaRef ds:uri="http://www.w3.org/XML/1998/namespace"/>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文部科学省</dc:creator>
  <cp:keywords/>
  <dc:description/>
  <cp:lastModifiedBy>優貴枝 若木</cp:lastModifiedBy>
  <cp:revision/>
  <cp:lastPrinted>2024-03-21T03:52:42Z</cp:lastPrinted>
  <dcterms:created xsi:type="dcterms:W3CDTF">2011-06-14T05:32:50Z</dcterms:created>
  <dcterms:modified xsi:type="dcterms:W3CDTF">2024-05-29T22:28:54Z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0x01010042CB1BD4BC40F6428EF7127FE7D672E6</vt:lpwstr>
  </property>
  <property fmtid="{D5CDD505-2E9C-101B-9397-08002B2CF9AE}" pid="10" name="MediaServiceImageTags">
    <vt:lpwstr/>
  </property>
</Properties>
</file>