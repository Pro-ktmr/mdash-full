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3"/>
  <workbookPr defaultThemeVersion="124226"/>
  <mc:AlternateContent xmlns:mc="http://schemas.openxmlformats.org/markup-compatibility/2006">
    <mc:Choice Requires="x15">
      <x15ac:absPath xmlns:x15ac="http://schemas.microsoft.com/office/spreadsheetml/2010/11/ac" url="C:\Users\ryo_h\OneDrive\ドキュメント\MDASH\R6申請書類\"/>
    </mc:Choice>
  </mc:AlternateContent>
  <xr:revisionPtr revIDLastSave="0" documentId="8_{210AECE1-CB12-49F3-98C6-84BFEBC34B13}" xr6:coauthVersionLast="36" xr6:coauthVersionMax="36" xr10:uidLastSave="{00000000-0000-0000-0000-000000000000}"/>
  <bookViews>
    <workbookView xWindow="0" yWindow="0" windowWidth="24000" windowHeight="943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<sst xmlns="http://schemas.openxmlformats.org/spreadsheetml/2006/main" count="279" uniqueCount="184">
  <si>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</si>
  <si>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</si>
  <si>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</si>
  <si>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</si>
  <si>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</si>
  <si>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</si>
  <si>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</si>
  <si>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</si>
  <si>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</si>
  <si>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</si>
  <si>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</si>
  <si>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</si>
  <si>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</si>
  <si>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</si>
  <si>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</si>
  <si>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</si>
  <si>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</si>
  <si>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</si>
  <si>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</si>
  <si>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</si>
  <si>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</si>
  <si>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</si>
  <si>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</si>
  <si>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</si>
  <si>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</si>
  <si>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</si>
  <si>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</si>
  <si>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</si>
  <si>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</si>
  <si>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</si>
  <si>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</si>
  <si>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</si>
  <si>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</si>
  <si>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</si>
  <si>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</si>
  <si>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</si>
  <si>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</si>
  <si>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</si>
  <si>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</si>
  <si>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</si>
  <si>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</si>
  <si>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</si>
  <si>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</si>
  <si>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</si>
  <si>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</si>
  <si>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</si>
  <si>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</si>
  <si>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</si>
  <si>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</si>
  <si>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</si>
  <si>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</si>
  <si>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</si>
  <si>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</si>
  <si>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</si>
  <si>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</si>
  <si>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</si>
  <si>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</si>
  <si>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</si>
  <si>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</si>
  <si>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</si>
  <si>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</si>
  <si>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</si>
  <si>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</si>
  <si>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</si>
  <si>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</si>
  <si>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</si>
  <si>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</si>
  <si>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</si>
  <si>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</si>
  <si>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</si>
  <si>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</si>
  <si>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</si>
  <si>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</si>
  <si>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</si>
  <si>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</si>
  <si>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</si>
  <si>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</si>
  <si>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</si>
  <si>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</si>
  <si>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</si>
  <si>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</si>
  <si>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</si>
  <si>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</si>
  <si>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</si>
  <si>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</si>
  <si>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</si>
  <si>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</si>
  <si>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</si>
  <si>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</si>
  <si>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</si>
  <si>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</si>
  <si>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</si>
  <si>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</si>
  <si>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</si>
  <si>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</si>
  <si>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</si>
  <si>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</si>
  <si>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</si>
  <si>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</si>
  <si>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</si>
  <si>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</si>
  <si>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</si>
  <si>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</si>
  <si>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</si>
  <si>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</si>
  <si>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</si>
  <si>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</si>
  <si>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</si>
  <si>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</si>
  <si>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</si>
  <si>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</si>
  <si>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</si>
  <si>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</si>
  <si>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</si>
  <si>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</si>
  <si>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</si>
  <si>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</si>
  <si>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</si>
  <si>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</si>
  <si>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</si>
  <si>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</si>
  <si>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</si>
  <si>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</si>
  <si>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</si>
  <si>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</si>
  <si>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</si>
  <si>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</si>
  <si>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</si>
  <si>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</si>
  <si>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</si>
  <si>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</si>
  <si>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</si>
  <si>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</si>
  <si>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</si>
  <si>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</si>
  <si>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</si>
  <si>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富山短期大学</t>
    <rPh sb="0" eb="6">
      <t>トヤマタンキダイガク</t>
    </rPh>
    <phoneticPr fontId="1"/>
  </si>
  <si>
    <t>学部・学科によって、修了要件は相違しない</t>
  </si>
  <si>
    <t>人間と情報</t>
    <rPh sb="0" eb="2">
      <t>ニンゲン</t>
    </rPh>
    <rPh sb="3" eb="5">
      <t>ジョウホウ</t>
    </rPh>
    <phoneticPr fontId="1"/>
  </si>
  <si>
    <t>○</t>
  </si>
  <si>
    <t>健康福祉学科の成績評価を2023年8月7日までに提出することが条件であったため，その時点での成績評価は講義最終回で提出することになっていた特別課題が未提出だった7名(退学や休学を希望する可能性があった学生も含む)を除いて，修得条件を満たしていた．特別課題の未提出者は最終回以外の講義に対する課題への取り組みは不十分であった．不可になった7名のうち3名が追再試を申込み，該当者に課題を提出させて再評価した結果は単位認定の基準を満たし，プログラムの単位が必要な履修者全員が修得したことにより，学修成果を適切に評価できているといえる．</t>
    <phoneticPr fontId="1"/>
  </si>
  <si>
    <t>該当科目はプログラム修得において必修となっていて全学科の1年生が履修し，それを今後も継続させる．各学科の総合評価値を安定させるためにも全学科1年生の必修科目として開講することが必要であると考えられる．</t>
    <phoneticPr fontId="1"/>
  </si>
  <si>
    <t>授業アンケートにおいて，授業形態･方法に関する質問が9個あり，｢体験的な学習(実習、実験、フィールドワーク等)の機会があった｣に注目すると，約8割の学生が満足できていたと考えられるので，数理･データサイエンス･AIを｢学ぶ楽しさ｣｢学ぶことの意義｣を理解させている授業であったと考えられる．</t>
    <phoneticPr fontId="1"/>
  </si>
  <si>
    <t>　本学は｢一般社団法人富山県経営者協会IT･インフラ部会｣に加入していて，その意見交換会などが年2回開催されている．令和5年度は｢生成AIの利用｣に関する議論を部会で行い，その際に参加している企業に本学の取り組みを説明し，2社から意見をいただいた(以下は2社の評価を要約した内容)．
　演習課題の材料が学生の方々の接する地元の実データを活用して、データやデジタルの活用で社会の課題を解決する力を身に着けていく貴学の教育は即戦力として社会に貢献できるようなIT人材の育成に対応可能だと考えられます。</t>
    <rPh sb="112" eb="113">
      <t>シャ</t>
    </rPh>
    <rPh sb="115" eb="117">
      <t>イケン</t>
    </rPh>
    <rPh sb="124" eb="126">
      <t>イカ</t>
    </rPh>
    <rPh sb="128" eb="129">
      <t>シャ</t>
    </rPh>
    <rPh sb="130" eb="132">
      <t>ヒョウカ</t>
    </rPh>
    <rPh sb="133" eb="135">
      <t>ヨウヤク</t>
    </rPh>
    <rPh sb="137" eb="139">
      <t>ナイヨウ</t>
    </rPh>
    <rPh sb="168" eb="170">
      <t>カツヨウ</t>
    </rPh>
    <rPh sb="185" eb="187">
      <t>シャカイ</t>
    </rPh>
    <rPh sb="188" eb="190">
      <t>カダイ</t>
    </rPh>
    <rPh sb="191" eb="193">
      <t>カイケツ</t>
    </rPh>
    <rPh sb="204" eb="206">
      <t>キガク</t>
    </rPh>
    <rPh sb="232" eb="234">
      <t>イクセイ</t>
    </rPh>
    <rPh sb="237" eb="239">
      <t>カノウ</t>
    </rPh>
    <rPh sb="241" eb="242">
      <t>カンガ</t>
    </rPh>
    <phoneticPr fontId="1"/>
  </si>
  <si>
    <t>春名　亮</t>
    <rPh sb="0" eb="2">
      <t>ハルナ</t>
    </rPh>
    <rPh sb="3" eb="4">
      <t>リョウ</t>
    </rPh>
    <phoneticPr fontId="1"/>
  </si>
  <si>
    <t>准教授</t>
    <rPh sb="0" eb="3">
      <t>ジュンキョウジュ</t>
    </rPh>
    <phoneticPr fontId="1"/>
  </si>
  <si>
    <t>富山短期大学数理・データサイエンス・AI教育プログラム推進委員会</t>
    <rPh sb="0" eb="6">
      <t>トヤマタンキダイガク</t>
    </rPh>
    <rPh sb="6" eb="8">
      <t>スウリ</t>
    </rPh>
    <rPh sb="20" eb="22">
      <t>キョウイク</t>
    </rPh>
    <rPh sb="27" eb="32">
      <t>スイシンイインカイ</t>
    </rPh>
    <phoneticPr fontId="1"/>
  </si>
  <si>
    <t>富山短期大学数理・データサイエンス・AI教育プログラム推進委員会規程</t>
    <rPh sb="32" eb="34">
      <t>キテイ</t>
    </rPh>
    <phoneticPr fontId="1"/>
  </si>
  <si>
    <t>富山短期大学教授会規程第６条の規定に基づき、全学の数理・データサイエンス・AI 教育プログラムに関する事項について協議するため、推進委員会（以下「委員会」という。）を置き、その運営方法等を規定することを目的とする。</t>
    <phoneticPr fontId="1"/>
  </si>
  <si>
    <t>令和５年度以降の入学生全員が，1年次前期に開講される教養必修科目の｢人間と情報｣の2単位を修得すること．</t>
    <rPh sb="0" eb="2">
      <t>レイワ</t>
    </rPh>
    <rPh sb="3" eb="5">
      <t>ネンド</t>
    </rPh>
    <rPh sb="5" eb="7">
      <t>イコウ</t>
    </rPh>
    <rPh sb="8" eb="13">
      <t>ニュウガクセイゼンイン</t>
    </rPh>
    <rPh sb="16" eb="20">
      <t>ネンジゼンキ</t>
    </rPh>
    <rPh sb="21" eb="23">
      <t>カイコウ</t>
    </rPh>
    <rPh sb="26" eb="32">
      <t>キョウヨウヒッシュウカモク</t>
    </rPh>
    <rPh sb="34" eb="36">
      <t>ニンゲン</t>
    </rPh>
    <rPh sb="37" eb="39">
      <t>ジョウホウ</t>
    </rPh>
    <rPh sb="42" eb="44">
      <t>タンイ</t>
    </rPh>
    <rPh sb="45" eb="47">
      <t>シュウトク</t>
    </rPh>
    <phoneticPr fontId="1"/>
  </si>
  <si>
    <t>データ･AI･情報リテラシープログラム</t>
    <rPh sb="7" eb="9">
      <t>ジョウホウ</t>
    </rPh>
    <phoneticPr fontId="1"/>
  </si>
  <si>
    <t>富山短期大学数理・データサイエンス・AI教育プログラム推進委員会</t>
    <rPh sb="0" eb="2">
      <t>トヤマ</t>
    </rPh>
    <rPh sb="2" eb="4">
      <t>タンキ</t>
    </rPh>
    <rPh sb="4" eb="6">
      <t>ダイガク</t>
    </rPh>
    <rPh sb="6" eb="8">
      <t>スウリ</t>
    </rPh>
    <rPh sb="20" eb="22">
      <t>キョウイク</t>
    </rPh>
    <rPh sb="27" eb="29">
      <t>スイシン</t>
    </rPh>
    <rPh sb="29" eb="32">
      <t>イインカイ</t>
    </rPh>
    <phoneticPr fontId="1"/>
  </si>
  <si>
    <t>春名　亮</t>
    <rPh sb="0" eb="2">
      <t>ハルナ</t>
    </rPh>
    <rPh sb="3" eb="4">
      <t>リョウ</t>
    </rPh>
    <phoneticPr fontId="1"/>
  </si>
  <si>
    <t>准教授</t>
    <rPh sb="0" eb="3">
      <t>ジュンキョウジュ</t>
    </rPh>
    <phoneticPr fontId="1"/>
  </si>
  <si>
    <t>プログラムを開始するにあたり，全学科の学生にノートパソコンを必携化することを周知する際にその利用がプログラムの授業に必要であることを説明している．また，本学の数理・データサイエンス・AI教育プログラムのウェブページ(https://www.toyama-c.ac.jp/info/outline/tc-mdash.html)でも情報を公開して，できる限り多くの学生に周知している．</t>
    <rPh sb="6" eb="8">
      <t>カイシ</t>
    </rPh>
    <rPh sb="15" eb="18">
      <t>ゼンガッカ</t>
    </rPh>
    <rPh sb="19" eb="21">
      <t>ガクセイ</t>
    </rPh>
    <rPh sb="30" eb="33">
      <t>ヒッケイカ</t>
    </rPh>
    <rPh sb="38" eb="40">
      <t>シュウチ</t>
    </rPh>
    <rPh sb="42" eb="43">
      <t>サイ</t>
    </rPh>
    <rPh sb="46" eb="48">
      <t>リヨウ</t>
    </rPh>
    <rPh sb="55" eb="57">
      <t>ジュギョウ</t>
    </rPh>
    <rPh sb="58" eb="60">
      <t>ヒツヨウ</t>
    </rPh>
    <rPh sb="66" eb="68">
      <t>セツメイ</t>
    </rPh>
    <rPh sb="76" eb="78">
      <t>ホンガク</t>
    </rPh>
    <rPh sb="79" eb="81">
      <t>スウリ</t>
    </rPh>
    <rPh sb="93" eb="95">
      <t>キョウイク</t>
    </rPh>
    <rPh sb="164" eb="166">
      <t>ジョウホウ</t>
    </rPh>
    <rPh sb="167" eb="169">
      <t>コウカイ</t>
    </rPh>
    <rPh sb="175" eb="176">
      <t>カギ</t>
    </rPh>
    <rPh sb="177" eb="178">
      <t>オオ</t>
    </rPh>
    <rPh sb="180" eb="182">
      <t>ガクセイ</t>
    </rPh>
    <rPh sb="183" eb="185">
      <t>シュウチ</t>
    </rPh>
    <phoneticPr fontId="1"/>
  </si>
  <si>
    <t>令和5年度から各学科の教養必修科目として1年次の前期に開講し，1年生全員がオンライン形式で受講可能となる体制を構築している．</t>
    <rPh sb="0" eb="2">
      <t>レイワ</t>
    </rPh>
    <rPh sb="3" eb="5">
      <t>ネンド</t>
    </rPh>
    <rPh sb="7" eb="10">
      <t>カクガッカ</t>
    </rPh>
    <rPh sb="11" eb="13">
      <t>キョウヨウ</t>
    </rPh>
    <rPh sb="13" eb="17">
      <t>ヒッシュウカモク</t>
    </rPh>
    <rPh sb="21" eb="23">
      <t>ネンジ</t>
    </rPh>
    <rPh sb="24" eb="26">
      <t>ゼンキ</t>
    </rPh>
    <rPh sb="27" eb="29">
      <t>カイコウ</t>
    </rPh>
    <rPh sb="32" eb="36">
      <t>ネンセイゼンイン</t>
    </rPh>
    <rPh sb="42" eb="44">
      <t>ケイシキ</t>
    </rPh>
    <rPh sb="45" eb="49">
      <t>ジュコウカノウ</t>
    </rPh>
    <rPh sb="52" eb="54">
      <t>タイセイ</t>
    </rPh>
    <rPh sb="55" eb="57">
      <t>コウチク</t>
    </rPh>
    <phoneticPr fontId="1"/>
  </si>
  <si>
    <t>　プログラムの授業は全学科の1年生を対象に必修科目として開講しているので，各学科のオリエンテーションにおける履修登録の指導の際に徹底して履修指導を行っている．履修登録の確認はプログラムの授業の第2回に，全学科の学生が履修登録しているかどうかを履修者名簿を使って行っている．
　各学科で出席回数や課題の提出回数などが少ない学生に対して，プログラムの授業担当者が本人へ連絡して修得させるための支援を行っている．場合によっては該当学生の担任と情報共有し，担任の教員からも該当学生に修得させるための支援に協力を求めることもある．</t>
    <rPh sb="7" eb="9">
      <t>ジュギョウ</t>
    </rPh>
    <rPh sb="10" eb="13">
      <t>ゼンガッカ</t>
    </rPh>
    <rPh sb="15" eb="17">
      <t>ネンセイ</t>
    </rPh>
    <rPh sb="18" eb="20">
      <t>タイショウ</t>
    </rPh>
    <rPh sb="21" eb="25">
      <t>ヒッシュウカモク</t>
    </rPh>
    <rPh sb="28" eb="30">
      <t>カイコウ</t>
    </rPh>
    <rPh sb="37" eb="40">
      <t>カクガッカ</t>
    </rPh>
    <rPh sb="54" eb="58">
      <t>リシュウトウロク</t>
    </rPh>
    <rPh sb="59" eb="61">
      <t>シドウ</t>
    </rPh>
    <rPh sb="62" eb="63">
      <t>サイ</t>
    </rPh>
    <rPh sb="64" eb="66">
      <t>テッテイ</t>
    </rPh>
    <rPh sb="68" eb="70">
      <t>リシュウ</t>
    </rPh>
    <rPh sb="70" eb="72">
      <t>シドウ</t>
    </rPh>
    <rPh sb="73" eb="74">
      <t>オコナ</t>
    </rPh>
    <rPh sb="79" eb="83">
      <t>リシュウトウロク</t>
    </rPh>
    <rPh sb="84" eb="86">
      <t>カクニン</t>
    </rPh>
    <rPh sb="93" eb="95">
      <t>ジュギョウ</t>
    </rPh>
    <rPh sb="96" eb="97">
      <t>ダイ</t>
    </rPh>
    <rPh sb="98" eb="99">
      <t>カイ</t>
    </rPh>
    <rPh sb="101" eb="104">
      <t>ゼンガッカ</t>
    </rPh>
    <rPh sb="105" eb="107">
      <t>ガクセイ</t>
    </rPh>
    <rPh sb="108" eb="112">
      <t>リシュウトウロク</t>
    </rPh>
    <rPh sb="121" eb="126">
      <t>リシュウシャメイボ</t>
    </rPh>
    <rPh sb="127" eb="128">
      <t>ツカ</t>
    </rPh>
    <rPh sb="130" eb="131">
      <t>オコナ</t>
    </rPh>
    <rPh sb="138" eb="141">
      <t>カクガッカ</t>
    </rPh>
    <rPh sb="232" eb="236">
      <t>ガイトウガクセイ</t>
    </rPh>
    <rPh sb="248" eb="250">
      <t>キョウリョク</t>
    </rPh>
    <rPh sb="251" eb="252">
      <t>モト</t>
    </rPh>
    <phoneticPr fontId="1"/>
  </si>
  <si>
    <t>　オンラインによる授業中の質問はzoomのチャットを利用するか，経営情報学科以外の3学科は学内の各教室でノートパソコンを持ち込んで授業を受けているが全員がzoomに接続しているとは限らないので，各教室を巡回する教職員が質問を受け付けて担当教員へ連絡する体制も構築している．各教室にあるスクリーンにzoomの画面を投影しているので，担当教員は質問に対してzoomで回答する．担当教員は授業の最後に質問を受け付ける時間を設け，各教室で質問がないかどうかを確認するために巡回していた．
　授業時間外の対応は授業終了後にWebシラバスのアンケートで質問を受け付け，その回答を次の授業開始時に行うようにしている．また，オフィスアワーでも対面形式で質問を受け付けている．</t>
    <rPh sb="9" eb="12">
      <t>ジュギョウチュウ</t>
    </rPh>
    <rPh sb="13" eb="15">
      <t>シツモン</t>
    </rPh>
    <rPh sb="26" eb="28">
      <t>リヨウ</t>
    </rPh>
    <rPh sb="32" eb="38">
      <t>ケイエイジョウホウガッカ</t>
    </rPh>
    <rPh sb="38" eb="40">
      <t>イガイ</t>
    </rPh>
    <rPh sb="42" eb="44">
      <t>ガッカ</t>
    </rPh>
    <rPh sb="45" eb="47">
      <t>ガクナイ</t>
    </rPh>
    <rPh sb="48" eb="51">
      <t>カクキョウシツ</t>
    </rPh>
    <rPh sb="60" eb="61">
      <t>モ</t>
    </rPh>
    <rPh sb="62" eb="63">
      <t>コ</t>
    </rPh>
    <rPh sb="65" eb="67">
      <t>ジュギョウ</t>
    </rPh>
    <rPh sb="68" eb="69">
      <t>ウ</t>
    </rPh>
    <rPh sb="74" eb="76">
      <t>ゼンイン</t>
    </rPh>
    <rPh sb="82" eb="84">
      <t>セツゾク</t>
    </rPh>
    <rPh sb="90" eb="91">
      <t>カギ</t>
    </rPh>
    <rPh sb="97" eb="100">
      <t>カクキョウシツ</t>
    </rPh>
    <rPh sb="101" eb="103">
      <t>ジュンカイ</t>
    </rPh>
    <rPh sb="105" eb="108">
      <t>キョウショクイン</t>
    </rPh>
    <rPh sb="109" eb="111">
      <t>シツモン</t>
    </rPh>
    <rPh sb="112" eb="113">
      <t>ウ</t>
    </rPh>
    <rPh sb="114" eb="115">
      <t>ツ</t>
    </rPh>
    <rPh sb="117" eb="121">
      <t>タントウキョウイン</t>
    </rPh>
    <rPh sb="122" eb="124">
      <t>レンラク</t>
    </rPh>
    <rPh sb="126" eb="128">
      <t>タイセイ</t>
    </rPh>
    <rPh sb="129" eb="131">
      <t>コウチク</t>
    </rPh>
    <rPh sb="136" eb="139">
      <t>カクキョウシツ</t>
    </rPh>
    <rPh sb="153" eb="155">
      <t>ガメン</t>
    </rPh>
    <rPh sb="156" eb="158">
      <t>トウエイ</t>
    </rPh>
    <rPh sb="165" eb="169">
      <t>タントウキョウイン</t>
    </rPh>
    <rPh sb="170" eb="172">
      <t>シツモン</t>
    </rPh>
    <rPh sb="173" eb="174">
      <t>タイ</t>
    </rPh>
    <rPh sb="181" eb="183">
      <t>カイトウ</t>
    </rPh>
    <rPh sb="186" eb="190">
      <t>タントウキョウイン</t>
    </rPh>
    <rPh sb="191" eb="193">
      <t>ジュギョウ</t>
    </rPh>
    <rPh sb="194" eb="196">
      <t>サイゴ</t>
    </rPh>
    <rPh sb="197" eb="199">
      <t>シツモン</t>
    </rPh>
    <rPh sb="200" eb="201">
      <t>ウ</t>
    </rPh>
    <rPh sb="202" eb="203">
      <t>ツ</t>
    </rPh>
    <rPh sb="205" eb="207">
      <t>ジカン</t>
    </rPh>
    <rPh sb="208" eb="209">
      <t>モウ</t>
    </rPh>
    <rPh sb="211" eb="214">
      <t>カクキョウシツ</t>
    </rPh>
    <rPh sb="215" eb="217">
      <t>シツモン</t>
    </rPh>
    <rPh sb="225" eb="227">
      <t>カクニン</t>
    </rPh>
    <rPh sb="232" eb="234">
      <t>ジュンカイ</t>
    </rPh>
    <rPh sb="241" eb="246">
      <t>ジュギョウジカンガイ</t>
    </rPh>
    <rPh sb="247" eb="249">
      <t>タイオウ</t>
    </rPh>
    <rPh sb="250" eb="255">
      <t>ジュギョウシュウリョウゴ</t>
    </rPh>
    <rPh sb="270" eb="272">
      <t>シツモン</t>
    </rPh>
    <rPh sb="273" eb="274">
      <t>ウ</t>
    </rPh>
    <rPh sb="275" eb="276">
      <t>ツ</t>
    </rPh>
    <rPh sb="280" eb="282">
      <t>カイトウ</t>
    </rPh>
    <rPh sb="283" eb="284">
      <t>ツギ</t>
    </rPh>
    <rPh sb="285" eb="290">
      <t>ジュギョウカイシジ</t>
    </rPh>
    <rPh sb="291" eb="292">
      <t>オコナ</t>
    </rPh>
    <rPh sb="313" eb="317">
      <t>タイメンケイシキ</t>
    </rPh>
    <rPh sb="318" eb="320">
      <t>シツモン</t>
    </rPh>
    <phoneticPr fontId="1"/>
  </si>
  <si>
    <t xml:space="preserve">授業アンケートの問3「この授業の目的や「学修成果」、成績評価の方法・基準、内容についてどの程度理解できましたか。」において，(4)で授業の内容に関する理解度を問う項目があり，「大変良く理解できた」および「よく理解できた」を合わせて回答率が9割を超えていたので，多くの学生が理解できていると考えられる． </t>
    <phoneticPr fontId="1"/>
  </si>
  <si>
    <t>授業アンケートにおいて，授業形態･方法に関する質問は学修成果を高めるためにどのような工夫がなされていたかどうかを9問の回答状況で把握することができ，教材の工夫に関する評価が最も高かったので内容･水準が適切であったと判断し，｢分かりやすい｣授業であったと考えられる．
生成AI等の技術の発展への対応として，モデルカリキュラムの導入において生成AIに関する話題の提供や実際に生成AIを利用する機会を設けるようにする．さらにモデルカリキュラムの心得において，データ・AIを扱う上での留意事項として生成AIのリスクや注意点なども理解させ，授業内容を継続的に見直す取り組みを検討し教育効果の高まる授業を目指す．</t>
    <rPh sb="80" eb="81">
      <t>カン</t>
    </rPh>
    <rPh sb="86" eb="87">
      <t>モット</t>
    </rPh>
    <rPh sb="88" eb="89">
      <t>タカ</t>
    </rPh>
    <rPh sb="134" eb="136">
      <t>セイセイ</t>
    </rPh>
    <rPh sb="138" eb="139">
      <t>ナド</t>
    </rPh>
    <rPh sb="140" eb="142">
      <t>ギジュツ</t>
    </rPh>
    <rPh sb="143" eb="145">
      <t>ハッテン</t>
    </rPh>
    <rPh sb="147" eb="149">
      <t>タイオウ</t>
    </rPh>
    <rPh sb="163" eb="165">
      <t>ドウニュウ</t>
    </rPh>
    <rPh sb="169" eb="171">
      <t>セイセイ</t>
    </rPh>
    <rPh sb="174" eb="175">
      <t>カン</t>
    </rPh>
    <rPh sb="177" eb="179">
      <t>ワダイ</t>
    </rPh>
    <rPh sb="180" eb="182">
      <t>テイキョウ</t>
    </rPh>
    <rPh sb="183" eb="185">
      <t>ジッサイ</t>
    </rPh>
    <rPh sb="186" eb="188">
      <t>セイセイ</t>
    </rPh>
    <rPh sb="191" eb="193">
      <t>リヨウ</t>
    </rPh>
    <rPh sb="195" eb="197">
      <t>キカイ</t>
    </rPh>
    <rPh sb="198" eb="199">
      <t>モウ</t>
    </rPh>
    <rPh sb="220" eb="222">
      <t>ココロエ</t>
    </rPh>
    <rPh sb="234" eb="235">
      <t>アツカ</t>
    </rPh>
    <rPh sb="236" eb="237">
      <t>ウエ</t>
    </rPh>
    <rPh sb="239" eb="243">
      <t>リュウイジコウ</t>
    </rPh>
    <rPh sb="246" eb="248">
      <t>セイセイ</t>
    </rPh>
    <rPh sb="255" eb="258">
      <t>チュウイテン</t>
    </rPh>
    <rPh sb="261" eb="263">
      <t>リカイ</t>
    </rPh>
    <rPh sb="266" eb="270">
      <t>ジュギョウナイヨウ</t>
    </rPh>
    <rPh sb="271" eb="274">
      <t>ケイゾクテキ</t>
    </rPh>
    <rPh sb="275" eb="277">
      <t>ミナオ</t>
    </rPh>
    <rPh sb="278" eb="279">
      <t>ト</t>
    </rPh>
    <rPh sb="280" eb="281">
      <t>ク</t>
    </rPh>
    <rPh sb="283" eb="285">
      <t>ケントウ</t>
    </rPh>
    <rPh sb="286" eb="290">
      <t>キョウイクコウカ</t>
    </rPh>
    <rPh sb="291" eb="292">
      <t>タカ</t>
    </rPh>
    <rPh sb="294" eb="296">
      <t>ジュギョウ</t>
    </rPh>
    <rPh sb="297" eb="299">
      <t>メザ</t>
    </rPh>
    <phoneticPr fontId="1"/>
  </si>
  <si>
    <t>モデルカリキュラムの導入において，生成AIに関する活用事例や実際に使用する体験をさせた(｢人間と情報｣第8回)．さらにモデルカリキュラムの心得において，データ・AIを扱う上での留意事項として生成AIのリスクや注意点(レポート作成などにおける生成AIの利用上の注意など)も説明した(｢人間と情報｣第14回)．</t>
    <rPh sb="25" eb="29">
      <t>カツヨウジレイ</t>
    </rPh>
    <rPh sb="33" eb="35">
      <t>シヨウ</t>
    </rPh>
    <rPh sb="37" eb="39">
      <t>タイケン</t>
    </rPh>
    <rPh sb="45" eb="47">
      <t>ニンゲン</t>
    </rPh>
    <rPh sb="48" eb="50">
      <t>ジョウホウ</t>
    </rPh>
    <rPh sb="51" eb="52">
      <t>ダイ</t>
    </rPh>
    <rPh sb="53" eb="54">
      <t>カイ</t>
    </rPh>
    <rPh sb="112" eb="114">
      <t>サクセイ</t>
    </rPh>
    <rPh sb="120" eb="122">
      <t>セイセイ</t>
    </rPh>
    <rPh sb="125" eb="128">
      <t>リヨウジョウ</t>
    </rPh>
    <rPh sb="129" eb="131">
      <t>チュウイ</t>
    </rPh>
    <rPh sb="135" eb="137">
      <t>セツメイ</t>
    </rPh>
    <rPh sb="141" eb="143">
      <t>ニンゲン</t>
    </rPh>
    <rPh sb="144" eb="146">
      <t>ジョウホウ</t>
    </rPh>
    <rPh sb="147" eb="148">
      <t>ダイ</t>
    </rPh>
    <rPh sb="150" eb="151">
      <t>カイ</t>
    </rPh>
    <phoneticPr fontId="1"/>
  </si>
  <si>
    <t>令和5</t>
    <rPh sb="0" eb="2">
      <t>レイワ</t>
    </rPh>
    <phoneticPr fontId="1"/>
  </si>
  <si>
    <t>,</t>
    <phoneticPr fontId="1"/>
  </si>
  <si>
    <t>[令和5年度]
・委員長　春名　亮(経営情報学科・准教授)
・教務部長　森井泉　仁(経営情報学科・教授)
・教務部次長　大森　聡(食物栄養学科・准教授)
・各学科教員　川口　将史(食物栄養学科・准教授)
　　　　　　　　　藤田恭輔(食物栄養学科・准教授)
　　　　　　　　　望月健一(幼児教育学科・教授)
　　　　　　　　　山下裕介(経営情報学科・准教授)　R5年10月以降
　　　　　　　　　井坂友紀(経営情報学科・准教授)　R5年9月まで
　　　　　　　　　奥野健太(健康福祉学科・准教授)
・教務部課長　酒井　誠
・教務部係長　山中直子
・教務部主事　山田萌笑</t>
    <rPh sb="1" eb="3">
      <t>レイワ</t>
    </rPh>
    <rPh sb="4" eb="6">
      <t>ネンド</t>
    </rPh>
    <rPh sb="9" eb="12">
      <t>イインチョウ</t>
    </rPh>
    <rPh sb="13" eb="15">
      <t>ハルナ</t>
    </rPh>
    <rPh sb="16" eb="17">
      <t>リョウ</t>
    </rPh>
    <rPh sb="18" eb="24">
      <t>ケイエイジョウホウガッカ</t>
    </rPh>
    <rPh sb="25" eb="28">
      <t>ジュンキョウジュ</t>
    </rPh>
    <rPh sb="31" eb="35">
      <t>キョウムブチョウ</t>
    </rPh>
    <rPh sb="36" eb="39">
      <t>モリイイズミ</t>
    </rPh>
    <rPh sb="40" eb="41">
      <t>ヒトシ</t>
    </rPh>
    <rPh sb="42" eb="48">
      <t>ケイエイジョウホウガッカ</t>
    </rPh>
    <rPh sb="49" eb="51">
      <t>キョウジュ</t>
    </rPh>
    <rPh sb="54" eb="56">
      <t>キョウム</t>
    </rPh>
    <rPh sb="56" eb="57">
      <t>ブ</t>
    </rPh>
    <rPh sb="57" eb="59">
      <t>ジチョウ</t>
    </rPh>
    <rPh sb="60" eb="62">
      <t>オオモリ</t>
    </rPh>
    <rPh sb="63" eb="64">
      <t>サトシ</t>
    </rPh>
    <rPh sb="65" eb="71">
      <t>ショクモツエイヨウガッカ</t>
    </rPh>
    <rPh sb="72" eb="75">
      <t>ジュンキョウジュ</t>
    </rPh>
    <rPh sb="78" eb="83">
      <t>カクガッカキョウイン</t>
    </rPh>
    <rPh sb="84" eb="86">
      <t>カワグチ</t>
    </rPh>
    <rPh sb="87" eb="89">
      <t>マサシ</t>
    </rPh>
    <rPh sb="90" eb="96">
      <t>ショクモツエイヨウガッカ</t>
    </rPh>
    <rPh sb="97" eb="100">
      <t>ジュンキョウジュ</t>
    </rPh>
    <rPh sb="111" eb="113">
      <t>フジタ</t>
    </rPh>
    <rPh sb="113" eb="115">
      <t>キョウスケ</t>
    </rPh>
    <rPh sb="116" eb="122">
      <t>ショクモツエイヨウガッカ</t>
    </rPh>
    <rPh sb="123" eb="126">
      <t>ジュンキョウジュ</t>
    </rPh>
    <rPh sb="137" eb="139">
      <t>モチヅキ</t>
    </rPh>
    <rPh sb="139" eb="141">
      <t>ケンイチ</t>
    </rPh>
    <rPh sb="142" eb="148">
      <t>ヨウジキョウイクガッカ</t>
    </rPh>
    <rPh sb="149" eb="151">
      <t>キョウジュ</t>
    </rPh>
    <rPh sb="164" eb="166">
      <t>ユウスケ</t>
    </rPh>
    <rPh sb="197" eb="199">
      <t>イサカ</t>
    </rPh>
    <rPh sb="199" eb="201">
      <t>トモノリ</t>
    </rPh>
    <rPh sb="202" eb="208">
      <t>ケイエイジョウホウガッカ</t>
    </rPh>
    <rPh sb="209" eb="212">
      <t>ジュンキョウジュ</t>
    </rPh>
    <rPh sb="216" eb="217">
      <t>ネン</t>
    </rPh>
    <rPh sb="218" eb="219">
      <t>ガツ</t>
    </rPh>
    <rPh sb="231" eb="233">
      <t>オクノ</t>
    </rPh>
    <rPh sb="233" eb="235">
      <t>ケンタ</t>
    </rPh>
    <rPh sb="236" eb="242">
      <t>ケンコウフクシガッカ</t>
    </rPh>
    <rPh sb="243" eb="246">
      <t>ジュンキョウジュ</t>
    </rPh>
    <rPh sb="249" eb="254">
      <t>キョウムブカチョウ</t>
    </rPh>
    <phoneticPr fontId="1"/>
  </si>
  <si>
    <t>該当科目が必修となっていて後輩等他の学生への推奨は特に必要ではないが，総合評価値は満足度を表す指標でもあると考えられ，それが3.48であったことにより後輩等他の学生への推奨度は高い可能性があると考えられる(総合評価値の上限は4.0)．「大変良かった」および「良かった」を合わせた回答率が9割を超えていて，上述に示した「大変良く理解できた」および「よく理解できた」と同様の傾向があり，「大変良く理解できた」および「よく理解できた」の満足度が高くなったと考えられる．</t>
    <rPh sb="152" eb="154">
      <t>ジョウジュツ</t>
    </rPh>
    <phoneticPr fontId="1"/>
  </si>
  <si>
    <t>・Society5.0，第4次産業革命，データ駆動型社会 ｢人間と情報｣第2回
・ビッグデータ，AI．生成AI，IoT ｢人間と情報｣(第2回)</t>
    <rPh sb="12" eb="13">
      <t>ダイ</t>
    </rPh>
    <rPh sb="14" eb="15">
      <t>ジ</t>
    </rPh>
    <rPh sb="15" eb="17">
      <t>サンギョウ</t>
    </rPh>
    <rPh sb="17" eb="19">
      <t>カクメイ</t>
    </rPh>
    <rPh sb="23" eb="26">
      <t>クドウガタ</t>
    </rPh>
    <rPh sb="26" eb="28">
      <t>シャカイ</t>
    </rPh>
    <rPh sb="30" eb="32">
      <t>ニンゲン</t>
    </rPh>
    <rPh sb="33" eb="35">
      <t>ジョウホウ</t>
    </rPh>
    <rPh sb="36" eb="37">
      <t>ダイ</t>
    </rPh>
    <rPh sb="38" eb="39">
      <t>カイ</t>
    </rPh>
    <rPh sb="61" eb="63">
      <t>ニンゲン</t>
    </rPh>
    <rPh sb="64" eb="66">
      <t>ジョウホウ</t>
    </rPh>
    <rPh sb="68" eb="69">
      <t>ダイ</t>
    </rPh>
    <rPh sb="70" eb="71">
      <t>カイ</t>
    </rPh>
    <phoneticPr fontId="1"/>
  </si>
  <si>
    <r>
      <t>・AI等を活用した新しいビジネスモデル(シェアリングエコノミー，レコメンデーション)  ｢人間と情報｣第8回</t>
    </r>
    <r>
      <rPr>
        <u/>
        <sz val="9"/>
        <color theme="1"/>
        <rFont val="ＭＳ Ｐゴシック"/>
        <family val="3"/>
        <charset val="128"/>
        <scheme val="minor"/>
      </rPr>
      <t xml:space="preserve">
</t>
    </r>
    <r>
      <rPr>
        <sz val="9"/>
        <color theme="1"/>
        <rFont val="ＭＳ Ｐゴシック"/>
        <family val="3"/>
        <charset val="128"/>
        <scheme val="minor"/>
      </rPr>
      <t>・AI最新技術の活用例(深層生成モデル，強化学習，転移学習，生成AIなど） ｢人間と情報｣第8回</t>
    </r>
    <rPh sb="67" eb="71">
      <t>シンソウセイセイ</t>
    </rPh>
    <rPh sb="75" eb="79">
      <t>キョウカガクシュウ</t>
    </rPh>
    <rPh sb="80" eb="84">
      <t>テンイガクシュウ</t>
    </rPh>
    <rPh sb="85" eb="87">
      <t>セイセイ</t>
    </rPh>
    <rPh sb="94" eb="96">
      <t>ニンゲン</t>
    </rPh>
    <rPh sb="97" eb="99">
      <t>ジョウホウ</t>
    </rPh>
    <rPh sb="100" eb="101">
      <t>ダイ</t>
    </rPh>
    <rPh sb="102" eb="103">
      <t>カイ</t>
    </rPh>
    <phoneticPr fontId="1"/>
  </si>
  <si>
    <t xml:space="preserve">・調査データ，実験データ，人の行動ログデータ，機械の稼働ログデータなど ｢人間と情報｣第3回
・1次データ，2次データ，データのメタ化 ｢人間と情報｣第3回
・構造化データ，非構造化データ(文章，画像/動画，音声/音楽など） ｢人間と情報｣第3回
</t>
    <rPh sb="66" eb="67">
      <t>カ</t>
    </rPh>
    <rPh sb="80" eb="83">
      <t>コウゾウカ</t>
    </rPh>
    <rPh sb="87" eb="88">
      <t>ヒ</t>
    </rPh>
    <rPh sb="88" eb="91">
      <t>コウゾウカ</t>
    </rPh>
    <phoneticPr fontId="1"/>
  </si>
  <si>
    <t>・データ・AI活用領域の広がり(生産、消費、文化活動など)  ｢人間と情報｣第7回
・仮説検証，知識発見，原因究明，計画策定，判断支援，活動代替，新規生成など ｢人間と情報｣第7回</t>
    <rPh sb="81" eb="83">
      <t>ニンゲン</t>
    </rPh>
    <rPh sb="84" eb="86">
      <t>ジョウホウ</t>
    </rPh>
    <rPh sb="87" eb="88">
      <t>ダイ</t>
    </rPh>
    <rPh sb="89" eb="90">
      <t>カイ</t>
    </rPh>
    <phoneticPr fontId="1"/>
  </si>
  <si>
    <r>
      <t>・データ解析：予測，グルーピング(クラスタリング)，最適化，アルゴリズム ｢人間と情報｣第4回</t>
    </r>
    <r>
      <rPr>
        <u/>
        <sz val="9"/>
        <color theme="1"/>
        <rFont val="ＭＳ Ｐゴシック"/>
        <family val="3"/>
        <charset val="128"/>
        <scheme val="minor"/>
      </rPr>
      <t xml:space="preserve">
</t>
    </r>
    <r>
      <rPr>
        <sz val="9"/>
        <color theme="1"/>
        <rFont val="ＭＳ Ｐゴシック"/>
        <family val="3"/>
        <charset val="128"/>
        <scheme val="minor"/>
      </rPr>
      <t>・データの可視化技術 ｢人間と情報｣第4回，第5回
・非構造化データ処理(自然言語処理，画像/動画処理，音声/音楽処理など) ｢人間と情報｣第6回
・特化型AIと汎用AI，今のAIで出来ることと出来ないこと，AIとビッグデータ ｢人間と情報｣第6回</t>
    </r>
    <rPh sb="7" eb="9">
      <t>ヨソク</t>
    </rPh>
    <rPh sb="26" eb="29">
      <t>サイテキカ</t>
    </rPh>
    <rPh sb="38" eb="40">
      <t>ニンゲン</t>
    </rPh>
    <rPh sb="41" eb="43">
      <t>ジョウホウ</t>
    </rPh>
    <rPh sb="44" eb="45">
      <t>ダイ</t>
    </rPh>
    <rPh sb="46" eb="47">
      <t>カイ</t>
    </rPh>
    <rPh sb="53" eb="56">
      <t>カシカ</t>
    </rPh>
    <rPh sb="56" eb="58">
      <t>ギジュツ</t>
    </rPh>
    <rPh sb="68" eb="69">
      <t>カイ</t>
    </rPh>
    <rPh sb="70" eb="71">
      <t>ダイ</t>
    </rPh>
    <rPh sb="85" eb="91">
      <t>シゼンゲンゴショリ</t>
    </rPh>
    <rPh sb="112" eb="114">
      <t>ニンゲン</t>
    </rPh>
    <rPh sb="115" eb="117">
      <t>ジョウホウ</t>
    </rPh>
    <rPh sb="118" eb="119">
      <t>ダイ</t>
    </rPh>
    <rPh sb="120" eb="121">
      <t>カイ</t>
    </rPh>
    <rPh sb="163" eb="165">
      <t>ニンゲン</t>
    </rPh>
    <rPh sb="166" eb="168">
      <t>ジョウホウ</t>
    </rPh>
    <rPh sb="169" eb="170">
      <t>ダイ</t>
    </rPh>
    <rPh sb="171" eb="172">
      <t>カイ</t>
    </rPh>
    <phoneticPr fontId="1"/>
  </si>
  <si>
    <t>・データサイエンスサイクル ｢人間と情報｣第7回
・流通、製造、金融、サービス、インフラ、公共、ヘルスケア等におけるデータ・AI利活用事例紹介 ｢人間と情報｣第7回</t>
    <rPh sb="73" eb="75">
      <t>ニンゲン</t>
    </rPh>
    <rPh sb="76" eb="78">
      <t>ジョウホウ</t>
    </rPh>
    <rPh sb="79" eb="80">
      <t>ダイ</t>
    </rPh>
    <rPh sb="81" eb="82">
      <t>カイ</t>
    </rPh>
    <phoneticPr fontId="1"/>
  </si>
  <si>
    <t>・倫理的・法的・社会的課題（ELSI：Ethical, Legal and Social Issues） ｢人間と情報｣第14回
・個人情報保護，EU一般データ保護規則(GDPR)，忘れられる権利，オプトアウト ｢人間と情報｣第14回
・データ倫理：データのねつ造，改ざん，盗用，プライバシー保護 ｢人間と情報｣第14回
・AI社会原則（公平性，説明責任，透明性，人間中心の判断） ｢人間と情報｣第14回
・データバイアス，アルゴリズムバイアス ｢人間と情報｣第14回</t>
    <rPh sb="54" eb="56">
      <t>ニンゲン</t>
    </rPh>
    <rPh sb="57" eb="59">
      <t>ジョウホウ</t>
    </rPh>
    <rPh sb="60" eb="61">
      <t>ダイ</t>
    </rPh>
    <rPh sb="63" eb="64">
      <t>カイ</t>
    </rPh>
    <rPh sb="150" eb="152">
      <t>ニンゲン</t>
    </rPh>
    <rPh sb="153" eb="155">
      <t>ジョウホウ</t>
    </rPh>
    <rPh sb="156" eb="157">
      <t>ダイ</t>
    </rPh>
    <rPh sb="159" eb="160">
      <t>カイ</t>
    </rPh>
    <phoneticPr fontId="1"/>
  </si>
  <si>
    <t>・情報セキュリティの3要素（機密性、完全性、可用性） ｢人間と情報｣第14回
・匿名加工情報、暗号化と復号、ユーザ認証 ｢人間と情報｣第14回
・情報漏洩等によるセキュリティ事故の事例紹介 ｢人間と情報｣第14回</t>
    <rPh sb="61" eb="63">
      <t>ニンゲン</t>
    </rPh>
    <rPh sb="64" eb="66">
      <t>ジョウホウ</t>
    </rPh>
    <rPh sb="67" eb="68">
      <t>ダイ</t>
    </rPh>
    <rPh sb="70" eb="71">
      <t>カイ</t>
    </rPh>
    <rPh sb="96" eb="98">
      <t>ニンゲン</t>
    </rPh>
    <rPh sb="99" eb="101">
      <t>ジョウホウ</t>
    </rPh>
    <rPh sb="102" eb="103">
      <t>ダイ</t>
    </rPh>
    <rPh sb="105" eb="106">
      <t>カイ</t>
    </rPh>
    <phoneticPr fontId="1"/>
  </si>
  <si>
    <t>・表形式のデータ（csv）の扱い ｢人間と情報｣第12回
・データの並べ替え ｢人間と情報｣ 第12回
・データの集計 ｢人間と情報｣第12回</t>
    <rPh sb="14" eb="15">
      <t>アツカ</t>
    </rPh>
    <rPh sb="18" eb="20">
      <t>ニンゲン</t>
    </rPh>
    <rPh sb="21" eb="23">
      <t>ジョウホウ</t>
    </rPh>
    <rPh sb="24" eb="25">
      <t>ダイ</t>
    </rPh>
    <rPh sb="27" eb="28">
      <t>カイ</t>
    </rPh>
    <rPh sb="34" eb="35">
      <t>ナラ</t>
    </rPh>
    <rPh sb="36" eb="37">
      <t>カ</t>
    </rPh>
    <rPh sb="40" eb="42">
      <t>ニンゲン</t>
    </rPh>
    <rPh sb="43" eb="45">
      <t>ジョウホウ</t>
    </rPh>
    <rPh sb="47" eb="48">
      <t>ダイ</t>
    </rPh>
    <rPh sb="50" eb="51">
      <t>カイ</t>
    </rPh>
    <rPh sb="61" eb="63">
      <t>ニンゲン</t>
    </rPh>
    <rPh sb="64" eb="66">
      <t>ジョウホウ</t>
    </rPh>
    <rPh sb="67" eb="68">
      <t>ダイ</t>
    </rPh>
    <rPh sb="70" eb="71">
      <t>カイ</t>
    </rPh>
    <phoneticPr fontId="1"/>
  </si>
  <si>
    <t>・データの種類（量的変数、質的変数） ｢人間と情報｣第9回
・代表値（平均値、中央値、最頻値） ｢人間と情報｣第9回
・代表値の性質の違い（実社会では平均値＝最頻値でないことが多い） ｢人間と情報｣第9回
・データのばらつき（分散、標準偏差、偏差値） ｢人間と情報｣第10回
・相関と因果 ｢人間と情報｣第11回</t>
    <rPh sb="20" eb="22">
      <t>ニンゲン</t>
    </rPh>
    <rPh sb="23" eb="25">
      <t>ジョウホウ</t>
    </rPh>
    <rPh sb="26" eb="27">
      <t>ダイ</t>
    </rPh>
    <rPh sb="28" eb="29">
      <t>カイ</t>
    </rPh>
    <rPh sb="127" eb="129">
      <t>ニンゲン</t>
    </rPh>
    <rPh sb="130" eb="132">
      <t>ジョウホウ</t>
    </rPh>
    <rPh sb="133" eb="134">
      <t>ダイ</t>
    </rPh>
    <rPh sb="136" eb="137">
      <t>カイ</t>
    </rPh>
    <rPh sb="146" eb="148">
      <t>ニンゲン</t>
    </rPh>
    <rPh sb="149" eb="151">
      <t>ジョウホウ</t>
    </rPh>
    <rPh sb="152" eb="153">
      <t>ダイ</t>
    </rPh>
    <rPh sb="155" eb="156">
      <t>カイ</t>
    </rPh>
    <phoneticPr fontId="1"/>
  </si>
  <si>
    <t>・データ表現（棒グラフ，折線グラフ，散布図，箱ひげ図）｢人間と情報｣第4回，第5回，第10回，第11回，第13回
・データの比較 ｢人間と情報｣第10回，第11回，第13回
・不適切なグラフ表現の例 ｢人間と情報｣第10回，第11回，第13回</t>
    <rPh sb="34" eb="35">
      <t>ダイ</t>
    </rPh>
    <rPh sb="36" eb="37">
      <t>カイ</t>
    </rPh>
    <rPh sb="38" eb="39">
      <t>ダイ</t>
    </rPh>
    <rPh sb="40" eb="41">
      <t>カイ</t>
    </rPh>
    <rPh sb="88" eb="91">
      <t>フテキセツ</t>
    </rPh>
    <rPh sb="101" eb="103">
      <t>ニンゲン</t>
    </rPh>
    <rPh sb="104" eb="106">
      <t>ジョウホウ</t>
    </rPh>
    <rPh sb="107" eb="108">
      <t>ダイ</t>
    </rPh>
    <rPh sb="110" eb="111">
      <t>カイ</t>
    </rPh>
    <rPh sb="112" eb="113">
      <t>ダイ</t>
    </rPh>
    <rPh sb="115" eb="116">
      <t>カイ</t>
    </rPh>
    <rPh sb="117" eb="118">
      <t>ダイ</t>
    </rPh>
    <rPh sb="120" eb="121">
      <t>カイ</t>
    </rPh>
    <phoneticPr fontId="1"/>
  </si>
  <si>
    <t>全学科1年生が前期に教養必修科目の｢人間と情報｣を履修し，その単位の取得をプログラムの修得としている．履修登録の確認期間中に教務部の協力を得て履修漏れがないことを2023年4月19日の講義で確認できている．追再試の成績評価が終了した時点で，退学や休学などの理由以外でプログラムの単位が必要な履修者が無事に1年次前期で修得条件を満たした．</t>
    <phoneticPr fontId="1"/>
  </si>
  <si>
    <t>令和5年度からプログラムを開始したところであり，プログラム修了者が地域のそれぞれの組織(企業，自治体，団体等)で数理・データサイエンス・AI を活用することが期待され，今後は学生が就職した組織の意見も聞きながら，プログラムの改善を検討する．</t>
    <phoneticPr fontId="1"/>
  </si>
  <si>
    <t>食物栄養学科</t>
    <rPh sb="0" eb="6">
      <t>ショクモツエイヨウガッカ</t>
    </rPh>
    <phoneticPr fontId="1"/>
  </si>
  <si>
    <t>幼児教育学科</t>
    <rPh sb="0" eb="6">
      <t>ヨウジキョウイクガッカ</t>
    </rPh>
    <phoneticPr fontId="1"/>
  </si>
  <si>
    <t>経営情報学科</t>
    <rPh sb="0" eb="6">
      <t>ケイエイジョウホウガッカ</t>
    </rPh>
    <phoneticPr fontId="1"/>
  </si>
  <si>
    <t>健康福祉学科</t>
    <rPh sb="0" eb="6">
      <t>ケンコウフクシガッカ</t>
    </rPh>
    <phoneticPr fontId="1"/>
  </si>
  <si>
    <t>・多種多様なデータをもとに特徴を捉えて推し量ることができる
・最新の技術動向を理解し，デジタル化に対応することができる
・実社会とのつながりを意識し，課題に取り組むことができる</t>
    <rPh sb="1" eb="5">
      <t>タシュタヨウ</t>
    </rPh>
    <rPh sb="31" eb="33">
      <t>サイシン</t>
    </rPh>
    <rPh sb="34" eb="36">
      <t>ギジュツ</t>
    </rPh>
    <rPh sb="36" eb="38">
      <t>ドウコウ</t>
    </rPh>
    <rPh sb="39" eb="41">
      <t>リカイ</t>
    </rPh>
    <rPh sb="47" eb="48">
      <t>カ</t>
    </rPh>
    <rPh sb="61" eb="62">
      <t>ジツ</t>
    </rPh>
    <rPh sb="71" eb="73">
      <t>イシキ</t>
    </rPh>
    <rPh sb="75" eb="77">
      <t>カダイ</t>
    </rPh>
    <rPh sb="78" eb="79">
      <t>ト</t>
    </rPh>
    <rPh sb="80" eb="81">
      <t>ク</t>
    </rPh>
    <phoneticPr fontId="1"/>
  </si>
  <si>
    <t>令和5年度からプログラムを開始したので，履修率は1年生を対象に算出している．プログラムを構成する授業は全学科必修科目として位置づけているので，今後は履修率が向上することを見込んでいる．令和6年度は265人の1年生が履修していることを確認でき，履修者数は265(令和6年)+263(令和5年)＝528となるので，履修率は(528/620)*100＝85%となる．次年度以降は学生が増える見込みのある2学科のうち，いずれかの学科で学生が増えると仮定した以下の計算による履修率の向上を計画している．
・令和7年度：(1年生267名＋2年生265名)/620名＝86%
・令和8年度：(1年生270名＋2年生267名)/620名＝87%
・令和9年度：(1年生273名＋2年生270名)/620名＝88%
今後も全学科必修を変更することは予定していない．</t>
    <rPh sb="0" eb="2">
      <t>レイワ</t>
    </rPh>
    <rPh sb="3" eb="5">
      <t>ネンド</t>
    </rPh>
    <rPh sb="13" eb="15">
      <t>カイシ</t>
    </rPh>
    <rPh sb="20" eb="23">
      <t>リシュウリツ</t>
    </rPh>
    <rPh sb="25" eb="27">
      <t>ネンセイ</t>
    </rPh>
    <rPh sb="28" eb="30">
      <t>タイショウ</t>
    </rPh>
    <rPh sb="31" eb="33">
      <t>サンシュツ</t>
    </rPh>
    <rPh sb="44" eb="46">
      <t>コウセイ</t>
    </rPh>
    <rPh sb="48" eb="50">
      <t>ジュギョウ</t>
    </rPh>
    <rPh sb="51" eb="54">
      <t>ゼンガッカ</t>
    </rPh>
    <rPh sb="54" eb="58">
      <t>ヒッシュウカモク</t>
    </rPh>
    <rPh sb="61" eb="63">
      <t>イチ</t>
    </rPh>
    <rPh sb="71" eb="73">
      <t>コンゴ</t>
    </rPh>
    <rPh sb="74" eb="77">
      <t>リシュウリツ</t>
    </rPh>
    <rPh sb="78" eb="80">
      <t>コウジョウ</t>
    </rPh>
    <rPh sb="85" eb="87">
      <t>ミコ</t>
    </rPh>
    <rPh sb="92" eb="94">
      <t>レイワ</t>
    </rPh>
    <rPh sb="95" eb="97">
      <t>ネンド</t>
    </rPh>
    <rPh sb="101" eb="102">
      <t>ニン</t>
    </rPh>
    <rPh sb="104" eb="106">
      <t>ネンセイ</t>
    </rPh>
    <rPh sb="107" eb="109">
      <t>リシュウ</t>
    </rPh>
    <rPh sb="116" eb="118">
      <t>カクニン</t>
    </rPh>
    <rPh sb="130" eb="132">
      <t>レイワ</t>
    </rPh>
    <rPh sb="133" eb="134">
      <t>ネン</t>
    </rPh>
    <rPh sb="140" eb="142">
      <t>レイワ</t>
    </rPh>
    <rPh sb="143" eb="144">
      <t>ネン</t>
    </rPh>
    <rPh sb="220" eb="222">
      <t>カテイ</t>
    </rPh>
    <rPh sb="224" eb="226">
      <t>イカ</t>
    </rPh>
    <rPh sb="248" eb="250">
      <t>レイワ</t>
    </rPh>
    <rPh sb="251" eb="253">
      <t>ネンド</t>
    </rPh>
    <rPh sb="256" eb="258">
      <t>ネンセイ</t>
    </rPh>
    <rPh sb="261" eb="262">
      <t>メイ</t>
    </rPh>
    <rPh sb="264" eb="266">
      <t>ネンセイ</t>
    </rPh>
    <rPh sb="269" eb="270">
      <t>メイ</t>
    </rPh>
    <rPh sb="275" eb="276">
      <t>ナ</t>
    </rPh>
    <rPh sb="282" eb="284">
      <t>レイワ</t>
    </rPh>
    <rPh sb="285" eb="287">
      <t>ネンド</t>
    </rPh>
    <rPh sb="316" eb="318">
      <t>レイワ</t>
    </rPh>
    <rPh sb="319" eb="321">
      <t>ネンド</t>
    </rPh>
    <rPh sb="358" eb="360">
      <t>ヘンコウ</t>
    </rPh>
    <rPh sb="365" eb="367">
      <t>ヨテイ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</si>
</sst>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u/>
      <sz val="9"/>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2" fillId="0" borderId="6" xfId="0" applyFont="1" applyFill="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Fill="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wrapText="1"/>
    </xf>
    <xf numFmtId="49" fontId="3" fillId="0" borderId="17" xfId="0" applyNumberFormat="1" applyFont="1" applyBorder="1" applyAlignment="1">
      <alignment horizontal="left" vertical="center" wrapTex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13" fillId="0" borderId="2" xfId="0" applyFont="1" applyBorder="1" applyAlignment="1">
      <alignment vertical="center" wrapText="1" shrinkToFit="1"/>
    </xf>
    <xf numFmtId="0" fontId="13" fillId="0" borderId="3" xfId="0" applyFont="1" applyBorder="1" applyAlignment="1">
      <alignment vertical="center" wrapText="1" shrinkToFit="1"/>
    </xf>
    <xf numFmtId="0" fontId="13" fillId="0" borderId="4" xfId="0" applyFont="1" applyBorder="1" applyAlignment="1">
      <alignment vertical="center" wrapText="1" shrinkToFi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9" fontId="13" fillId="0" borderId="1" xfId="0" applyNumberFormat="1" applyFont="1" applyBorder="1" applyAlignment="1">
      <alignment horizontal="center" vertical="center" wrapText="1" shrinkToFit="1"/>
    </xf>
    <xf numFmtId="0" fontId="13" fillId="0" borderId="1" xfId="0" applyFont="1" applyBorder="1" applyAlignment="1">
      <alignment horizontal="center" vertical="center" wrapText="1" shrinkToFit="1"/>
    </xf>
    <xf numFmtId="9" fontId="13" fillId="0" borderId="1" xfId="0" applyNumberFormat="1" applyFont="1" applyBorder="1" applyAlignment="1">
      <alignment horizontal="center" vertical="center" shrinkToFit="1"/>
    </xf>
    <xf numFmtId="9" fontId="13" fillId="0" borderId="1" xfId="0" applyNumberFormat="1" applyFont="1" applyBorder="1" applyAlignment="1">
      <alignment horizontal="center" vertical="center" shrinkToFit="1"/>
    </xf>
    <xf numFmtId="0" fontId="13" fillId="0" borderId="1" xfId="0" applyFont="1" applyBorder="1" applyAlignment="1">
      <alignment horizontal="center" vertical="center" shrinkToFit="1"/>
    </xf>
    <xf numFmtId="176" fontId="13" fillId="0" borderId="1" xfId="0" applyNumberFormat="1" applyFont="1" applyBorder="1" applyAlignment="1">
      <alignment horizontal="center" vertical="center"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14"/>
  <sheetViews>
    <sheetView showZeros="0" tabSelected="1" view="pageBreakPreview" topLeftCell="A103" zoomScale="140" zoomScaleNormal="100" zoomScaleSheetLayoutView="140" workbookViewId="0">
      <selection activeCell="B104" sqref="B104:U104"/>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5"/>
      <c r="B1" s="75"/>
      <c r="C1" s="75"/>
      <c r="D1" s="75"/>
      <c r="E1" s="75"/>
      <c r="F1" s="75"/>
      <c r="G1" s="75"/>
      <c r="H1" s="75"/>
      <c r="I1" s="75"/>
      <c r="J1" s="75"/>
      <c r="K1" s="75"/>
      <c r="L1" s="75"/>
      <c r="M1" s="75"/>
      <c r="N1" s="75"/>
      <c r="O1" s="75"/>
      <c r="P1" s="75"/>
      <c r="Q1" s="75"/>
      <c r="R1" s="75"/>
      <c r="S1" s="75"/>
      <c r="T1" s="131" t="s">
        <v>12</v>
      </c>
      <c r="U1" s="131"/>
      <c r="V1" s="2" t="s">
        <v>100</v>
      </c>
    </row>
    <row r="2" spans="1:24" ht="18.75" customHeight="1" x14ac:dyDescent="0.15">
      <c r="A2" s="75"/>
      <c r="B2" s="76" t="s">
        <v>99</v>
      </c>
      <c r="C2" s="132" t="s">
        <v>136</v>
      </c>
      <c r="D2" s="133"/>
      <c r="E2" s="133"/>
      <c r="F2" s="133"/>
      <c r="G2" s="133"/>
      <c r="H2" s="133"/>
      <c r="I2" s="133"/>
      <c r="J2" s="134"/>
      <c r="K2" s="77"/>
      <c r="L2" s="78"/>
      <c r="M2" s="78"/>
      <c r="N2" s="78"/>
      <c r="O2" s="78"/>
      <c r="P2" s="78"/>
      <c r="Q2" s="78"/>
      <c r="R2" s="78"/>
      <c r="S2" s="78"/>
      <c r="T2" s="78"/>
      <c r="U2" s="78"/>
    </row>
    <row r="3" spans="1:24" ht="18.75" customHeight="1" x14ac:dyDescent="0.15">
      <c r="A3" s="75"/>
      <c r="B3" s="76" t="s">
        <v>94</v>
      </c>
      <c r="C3" s="132" t="s">
        <v>150</v>
      </c>
      <c r="D3" s="133"/>
      <c r="E3" s="133"/>
      <c r="F3" s="133"/>
      <c r="G3" s="133"/>
      <c r="H3" s="133"/>
      <c r="I3" s="133"/>
      <c r="J3" s="134"/>
      <c r="K3" s="77"/>
      <c r="L3" s="78"/>
      <c r="M3" s="78"/>
      <c r="N3" s="78"/>
      <c r="O3" s="78"/>
      <c r="P3" s="78"/>
      <c r="Q3" s="78"/>
      <c r="R3" s="78"/>
      <c r="S3" s="78"/>
      <c r="T3" s="78"/>
      <c r="U3" s="78"/>
    </row>
    <row r="4" spans="1:24" ht="15" customHeight="1" x14ac:dyDescent="0.15">
      <c r="A4" s="75"/>
      <c r="B4" s="75"/>
      <c r="C4" s="75"/>
      <c r="D4" s="75"/>
      <c r="E4" s="75"/>
      <c r="F4" s="75"/>
      <c r="G4" s="75"/>
      <c r="H4" s="75"/>
      <c r="I4" s="75"/>
      <c r="J4" s="75"/>
      <c r="K4" s="75"/>
      <c r="L4" s="77"/>
      <c r="M4" s="79"/>
      <c r="N4" s="79"/>
      <c r="O4" s="79"/>
      <c r="P4" s="79"/>
      <c r="Q4" s="79"/>
      <c r="R4" s="79"/>
      <c r="S4" s="79"/>
      <c r="T4" s="79"/>
      <c r="U4" s="79"/>
    </row>
    <row r="5" spans="1:24" ht="18" customHeight="1" x14ac:dyDescent="0.15">
      <c r="A5" s="115" t="s">
        <v>38</v>
      </c>
      <c r="B5" s="115"/>
      <c r="C5" s="115"/>
      <c r="D5" s="115"/>
      <c r="E5" s="115"/>
      <c r="F5" s="115"/>
      <c r="G5" s="115"/>
      <c r="H5" s="115"/>
      <c r="I5" s="115"/>
      <c r="J5" s="115"/>
      <c r="K5" s="115"/>
      <c r="L5" s="115"/>
      <c r="M5" s="115"/>
      <c r="N5" s="115"/>
      <c r="O5" s="115"/>
      <c r="P5" s="115"/>
      <c r="Q5" s="115"/>
      <c r="R5" s="115"/>
      <c r="S5" s="115"/>
      <c r="T5" s="115"/>
      <c r="U5" s="115"/>
    </row>
    <row r="6" spans="1:24" ht="15" customHeight="1" x14ac:dyDescent="0.15">
      <c r="A6" s="75"/>
      <c r="B6" s="80"/>
      <c r="C6" s="80"/>
      <c r="D6" s="80"/>
      <c r="E6" s="80"/>
      <c r="F6" s="80"/>
      <c r="G6" s="80"/>
      <c r="H6" s="80"/>
      <c r="I6" s="80"/>
      <c r="J6" s="80"/>
      <c r="K6" s="80"/>
      <c r="L6" s="80"/>
      <c r="M6" s="80"/>
      <c r="N6" s="80"/>
      <c r="O6" s="80"/>
      <c r="P6" s="80"/>
      <c r="Q6" s="80"/>
      <c r="R6" s="80"/>
      <c r="S6" s="80"/>
      <c r="T6" s="80"/>
      <c r="U6" s="80"/>
    </row>
    <row r="7" spans="1:24" ht="15" customHeight="1" x14ac:dyDescent="0.15">
      <c r="A7" s="75" t="s">
        <v>131</v>
      </c>
      <c r="B7" s="80"/>
      <c r="C7" s="80"/>
      <c r="D7" s="80"/>
      <c r="E7" s="80"/>
      <c r="F7" s="81"/>
      <c r="G7" s="81"/>
      <c r="H7" s="81"/>
      <c r="I7" s="81"/>
      <c r="J7" s="81"/>
      <c r="K7" s="81"/>
      <c r="L7" s="148" t="s">
        <v>137</v>
      </c>
      <c r="M7" s="149"/>
      <c r="N7" s="149"/>
      <c r="O7" s="149"/>
      <c r="P7" s="149"/>
      <c r="Q7" s="149"/>
      <c r="R7" s="149"/>
      <c r="S7" s="149"/>
      <c r="T7" s="149"/>
      <c r="U7" s="150"/>
    </row>
    <row r="8" spans="1:24" ht="6" customHeight="1" x14ac:dyDescent="0.15">
      <c r="A8" s="75"/>
      <c r="B8" s="80"/>
      <c r="C8" s="80"/>
      <c r="D8" s="80"/>
      <c r="E8" s="80"/>
      <c r="F8" s="80"/>
      <c r="G8" s="80"/>
      <c r="H8" s="80"/>
      <c r="I8" s="80"/>
      <c r="J8" s="80"/>
      <c r="K8" s="80"/>
      <c r="L8" s="80"/>
      <c r="M8" s="80"/>
      <c r="N8" s="80"/>
      <c r="O8" s="80"/>
      <c r="P8" s="80"/>
      <c r="Q8" s="80"/>
      <c r="R8" s="80"/>
      <c r="S8" s="80"/>
      <c r="T8" s="80"/>
      <c r="U8" s="80"/>
    </row>
    <row r="9" spans="1:24" ht="18" customHeight="1" x14ac:dyDescent="0.15">
      <c r="A9" s="75" t="s">
        <v>132</v>
      </c>
      <c r="B9" s="75"/>
      <c r="C9" s="80"/>
      <c r="D9" s="80"/>
      <c r="E9" s="75"/>
      <c r="F9" s="75"/>
      <c r="G9" s="75"/>
      <c r="H9" s="75"/>
      <c r="I9" s="75"/>
      <c r="J9" s="75"/>
      <c r="K9" s="77"/>
      <c r="L9" s="81"/>
      <c r="M9" s="81"/>
      <c r="N9" s="81"/>
      <c r="O9" s="81"/>
      <c r="P9" s="81"/>
      <c r="Q9" s="81"/>
      <c r="R9" s="81"/>
      <c r="S9" s="81"/>
      <c r="T9" s="81"/>
      <c r="U9" s="81"/>
    </row>
    <row r="10" spans="1:24" ht="6" customHeight="1" x14ac:dyDescent="0.15">
      <c r="A10" s="75"/>
      <c r="B10" s="80"/>
      <c r="C10" s="80"/>
      <c r="D10" s="80"/>
      <c r="E10" s="80"/>
      <c r="F10" s="80"/>
      <c r="G10" s="80"/>
      <c r="H10" s="80"/>
      <c r="I10" s="80"/>
      <c r="J10" s="80"/>
      <c r="K10" s="80"/>
      <c r="L10" s="82"/>
      <c r="M10" s="80"/>
      <c r="N10" s="80"/>
      <c r="O10" s="80"/>
      <c r="P10" s="80"/>
      <c r="Q10" s="80"/>
      <c r="R10" s="80"/>
      <c r="S10" s="80"/>
      <c r="T10" s="80"/>
      <c r="U10" s="80"/>
    </row>
    <row r="11" spans="1:24" ht="18" customHeight="1" x14ac:dyDescent="0.15">
      <c r="A11" s="75"/>
      <c r="B11" s="151"/>
      <c r="C11" s="152"/>
      <c r="D11" s="152"/>
      <c r="E11" s="152"/>
      <c r="F11" s="152"/>
      <c r="G11" s="152"/>
      <c r="H11" s="152"/>
      <c r="I11" s="152"/>
      <c r="J11" s="152"/>
      <c r="K11" s="152"/>
      <c r="L11" s="152"/>
      <c r="M11" s="152"/>
      <c r="N11" s="152"/>
      <c r="O11" s="152"/>
      <c r="P11" s="152"/>
      <c r="Q11" s="152"/>
      <c r="R11" s="152"/>
      <c r="S11" s="152"/>
      <c r="T11" s="152"/>
      <c r="U11" s="153"/>
    </row>
    <row r="12" spans="1:24" ht="18" customHeight="1" x14ac:dyDescent="0.15">
      <c r="A12" s="75"/>
      <c r="B12" s="154"/>
      <c r="C12" s="155"/>
      <c r="D12" s="155"/>
      <c r="E12" s="155"/>
      <c r="F12" s="155"/>
      <c r="G12" s="155"/>
      <c r="H12" s="155"/>
      <c r="I12" s="155"/>
      <c r="J12" s="155"/>
      <c r="K12" s="155"/>
      <c r="L12" s="155"/>
      <c r="M12" s="155"/>
      <c r="N12" s="155"/>
      <c r="O12" s="155"/>
      <c r="P12" s="155"/>
      <c r="Q12" s="155"/>
      <c r="R12" s="155"/>
      <c r="S12" s="155"/>
      <c r="T12" s="155"/>
      <c r="U12" s="156"/>
    </row>
    <row r="13" spans="1:24" ht="6" customHeight="1" x14ac:dyDescent="0.15">
      <c r="A13" s="75"/>
      <c r="B13" s="80"/>
      <c r="C13" s="80"/>
      <c r="D13" s="80"/>
      <c r="E13" s="80"/>
      <c r="F13" s="80"/>
      <c r="G13" s="80"/>
      <c r="H13" s="80"/>
      <c r="I13" s="80"/>
      <c r="J13" s="80"/>
      <c r="K13" s="80"/>
      <c r="L13" s="82"/>
      <c r="M13" s="80"/>
      <c r="N13" s="80"/>
      <c r="O13" s="80"/>
      <c r="P13" s="80"/>
      <c r="Q13" s="80"/>
      <c r="R13" s="80"/>
      <c r="S13" s="80"/>
      <c r="T13" s="80"/>
      <c r="U13" s="80"/>
    </row>
    <row r="14" spans="1:24" ht="18" customHeight="1" x14ac:dyDescent="0.15">
      <c r="A14" s="75" t="s">
        <v>101</v>
      </c>
      <c r="B14" s="80"/>
      <c r="C14" s="80"/>
      <c r="D14" s="80"/>
      <c r="E14" s="77"/>
      <c r="F14" s="77"/>
      <c r="G14" s="77"/>
      <c r="H14" s="77"/>
      <c r="I14" s="77"/>
      <c r="J14" s="77"/>
      <c r="K14" s="77"/>
      <c r="L14" s="83"/>
      <c r="M14" s="83"/>
      <c r="N14" s="83"/>
      <c r="O14" s="83"/>
      <c r="P14" s="83"/>
      <c r="Q14" s="83"/>
      <c r="R14" s="83"/>
      <c r="S14" s="83"/>
      <c r="T14" s="83"/>
      <c r="U14" s="83"/>
    </row>
    <row r="15" spans="1:24" ht="18" customHeight="1" x14ac:dyDescent="0.15">
      <c r="A15" s="75"/>
      <c r="B15" s="116" t="s">
        <v>149</v>
      </c>
      <c r="C15" s="117"/>
      <c r="D15" s="117"/>
      <c r="E15" s="117"/>
      <c r="F15" s="117"/>
      <c r="G15" s="117"/>
      <c r="H15" s="117"/>
      <c r="I15" s="117"/>
      <c r="J15" s="117"/>
      <c r="K15" s="117"/>
      <c r="L15" s="117"/>
      <c r="M15" s="117"/>
      <c r="N15" s="117"/>
      <c r="O15" s="117"/>
      <c r="P15" s="117"/>
      <c r="Q15" s="117"/>
      <c r="R15" s="117"/>
      <c r="S15" s="117"/>
      <c r="T15" s="117"/>
      <c r="U15" s="118"/>
      <c r="X15" s="1" t="s">
        <v>95</v>
      </c>
    </row>
    <row r="16" spans="1:24" ht="18" customHeight="1" x14ac:dyDescent="0.15">
      <c r="A16" s="75"/>
      <c r="B16" s="119"/>
      <c r="C16" s="120"/>
      <c r="D16" s="120"/>
      <c r="E16" s="120"/>
      <c r="F16" s="120"/>
      <c r="G16" s="120"/>
      <c r="H16" s="120"/>
      <c r="I16" s="120"/>
      <c r="J16" s="120"/>
      <c r="K16" s="120"/>
      <c r="L16" s="120"/>
      <c r="M16" s="120"/>
      <c r="N16" s="120"/>
      <c r="O16" s="120"/>
      <c r="P16" s="120"/>
      <c r="Q16" s="120"/>
      <c r="R16" s="120"/>
      <c r="S16" s="120"/>
      <c r="T16" s="120"/>
      <c r="U16" s="121"/>
      <c r="X16" s="1" t="s">
        <v>115</v>
      </c>
    </row>
    <row r="17" spans="1:24" ht="18" customHeight="1" x14ac:dyDescent="0.15">
      <c r="A17" s="75"/>
      <c r="B17" s="119"/>
      <c r="C17" s="120"/>
      <c r="D17" s="120"/>
      <c r="E17" s="120"/>
      <c r="F17" s="120"/>
      <c r="G17" s="120"/>
      <c r="H17" s="120"/>
      <c r="I17" s="120"/>
      <c r="J17" s="120"/>
      <c r="K17" s="120"/>
      <c r="L17" s="120"/>
      <c r="M17" s="120"/>
      <c r="N17" s="120"/>
      <c r="O17" s="120"/>
      <c r="P17" s="120"/>
      <c r="Q17" s="120"/>
      <c r="R17" s="120"/>
      <c r="S17" s="120"/>
      <c r="T17" s="120"/>
      <c r="U17" s="121"/>
      <c r="X17" s="1" t="s">
        <v>116</v>
      </c>
    </row>
    <row r="18" spans="1:24" ht="18" customHeight="1" x14ac:dyDescent="0.15">
      <c r="A18" s="75"/>
      <c r="B18" s="119"/>
      <c r="C18" s="120"/>
      <c r="D18" s="120"/>
      <c r="E18" s="120"/>
      <c r="F18" s="120"/>
      <c r="G18" s="120"/>
      <c r="H18" s="120"/>
      <c r="I18" s="120"/>
      <c r="J18" s="120"/>
      <c r="K18" s="120"/>
      <c r="L18" s="120"/>
      <c r="M18" s="120"/>
      <c r="N18" s="120"/>
      <c r="O18" s="120"/>
      <c r="P18" s="120"/>
      <c r="Q18" s="120"/>
      <c r="R18" s="120"/>
      <c r="S18" s="120"/>
      <c r="T18" s="120"/>
      <c r="U18" s="121"/>
      <c r="X18" s="1" t="s">
        <v>117</v>
      </c>
    </row>
    <row r="19" spans="1:24" ht="18" customHeight="1" x14ac:dyDescent="0.15">
      <c r="A19" s="75"/>
      <c r="B19" s="119"/>
      <c r="C19" s="120"/>
      <c r="D19" s="120"/>
      <c r="E19" s="120"/>
      <c r="F19" s="120"/>
      <c r="G19" s="120"/>
      <c r="H19" s="120"/>
      <c r="I19" s="120"/>
      <c r="J19" s="120"/>
      <c r="K19" s="120"/>
      <c r="L19" s="120"/>
      <c r="M19" s="120"/>
      <c r="N19" s="120"/>
      <c r="O19" s="120"/>
      <c r="P19" s="120"/>
      <c r="Q19" s="120"/>
      <c r="R19" s="120"/>
      <c r="S19" s="120"/>
      <c r="T19" s="120"/>
      <c r="U19" s="121"/>
    </row>
    <row r="20" spans="1:24" ht="18" customHeight="1" x14ac:dyDescent="0.15">
      <c r="A20" s="75"/>
      <c r="B20" s="122"/>
      <c r="C20" s="123"/>
      <c r="D20" s="123"/>
      <c r="E20" s="123"/>
      <c r="F20" s="123"/>
      <c r="G20" s="123"/>
      <c r="H20" s="123"/>
      <c r="I20" s="123"/>
      <c r="J20" s="123"/>
      <c r="K20" s="123"/>
      <c r="L20" s="123"/>
      <c r="M20" s="123"/>
      <c r="N20" s="123"/>
      <c r="O20" s="123"/>
      <c r="P20" s="123"/>
      <c r="Q20" s="123"/>
      <c r="R20" s="123"/>
      <c r="S20" s="123"/>
      <c r="T20" s="123"/>
      <c r="U20" s="124"/>
    </row>
    <row r="21" spans="1:24" ht="7.5" customHeight="1" x14ac:dyDescent="0.15">
      <c r="A21" s="75"/>
      <c r="B21" s="80"/>
      <c r="C21" s="80"/>
      <c r="D21" s="80"/>
      <c r="E21" s="80"/>
      <c r="F21" s="80"/>
      <c r="G21" s="80"/>
      <c r="H21" s="80"/>
      <c r="I21" s="80"/>
      <c r="J21" s="80"/>
      <c r="K21" s="80"/>
      <c r="L21" s="80"/>
      <c r="M21" s="80"/>
      <c r="N21" s="80"/>
      <c r="O21" s="80"/>
      <c r="P21" s="80"/>
      <c r="Q21" s="80"/>
      <c r="R21" s="80"/>
      <c r="S21" s="80"/>
      <c r="T21" s="80"/>
      <c r="U21" s="80"/>
    </row>
    <row r="22" spans="1:24" ht="19.899999999999999" customHeight="1" x14ac:dyDescent="0.15">
      <c r="A22" s="75"/>
      <c r="B22" s="75" t="s">
        <v>133</v>
      </c>
      <c r="C22" s="75"/>
      <c r="D22" s="75"/>
      <c r="E22" s="84">
        <v>1</v>
      </c>
      <c r="F22" s="75" t="s">
        <v>113</v>
      </c>
      <c r="G22" s="75"/>
      <c r="H22" s="85">
        <v>2</v>
      </c>
      <c r="I22" s="80" t="s">
        <v>114</v>
      </c>
      <c r="J22" s="80"/>
      <c r="K22" s="77"/>
      <c r="L22" s="75"/>
      <c r="M22" s="77" t="s">
        <v>110</v>
      </c>
      <c r="N22" s="145" t="s">
        <v>115</v>
      </c>
      <c r="O22" s="146"/>
      <c r="P22" s="146"/>
      <c r="Q22" s="146"/>
      <c r="R22" s="146"/>
      <c r="S22" s="146"/>
      <c r="T22" s="146"/>
      <c r="U22" s="147"/>
    </row>
    <row r="23" spans="1:24" ht="7.5" customHeight="1" x14ac:dyDescent="0.15">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15">
      <c r="A24" s="125" t="s">
        <v>102</v>
      </c>
      <c r="B24" s="125"/>
      <c r="C24" s="125"/>
      <c r="D24" s="125"/>
      <c r="E24" s="125"/>
      <c r="F24" s="125"/>
      <c r="G24" s="125"/>
      <c r="H24" s="125"/>
      <c r="I24" s="125"/>
      <c r="J24" s="125"/>
      <c r="K24" s="125"/>
      <c r="L24" s="125"/>
      <c r="M24" s="125"/>
      <c r="N24" s="125"/>
      <c r="O24" s="125"/>
      <c r="P24" s="125"/>
      <c r="Q24" s="125"/>
      <c r="R24" s="125"/>
      <c r="S24" s="125"/>
      <c r="T24" s="125"/>
      <c r="U24" s="125"/>
    </row>
    <row r="25" spans="1:24" ht="18" customHeight="1" x14ac:dyDescent="0.15">
      <c r="A25" s="125"/>
      <c r="B25" s="125"/>
      <c r="C25" s="125"/>
      <c r="D25" s="125"/>
      <c r="E25" s="125"/>
      <c r="F25" s="125"/>
      <c r="G25" s="125"/>
      <c r="H25" s="125"/>
      <c r="I25" s="125"/>
      <c r="J25" s="125"/>
      <c r="K25" s="125"/>
      <c r="L25" s="125"/>
      <c r="M25" s="125"/>
      <c r="N25" s="125"/>
      <c r="O25" s="125"/>
      <c r="P25" s="125"/>
      <c r="Q25" s="125"/>
      <c r="R25" s="125"/>
      <c r="S25" s="125"/>
      <c r="T25" s="125"/>
      <c r="U25" s="125"/>
    </row>
    <row r="26" spans="1:24" ht="18" customHeight="1" x14ac:dyDescent="0.15">
      <c r="B26" s="91" t="s">
        <v>52</v>
      </c>
      <c r="C26" s="92"/>
      <c r="D26" s="92"/>
      <c r="E26" s="92"/>
      <c r="F26" s="93"/>
      <c r="G26" s="49" t="s">
        <v>78</v>
      </c>
      <c r="H26" s="48" t="s">
        <v>81</v>
      </c>
      <c r="I26" s="17" t="s">
        <v>55</v>
      </c>
      <c r="J26" s="17" t="s">
        <v>58</v>
      </c>
      <c r="K26" s="91" t="s">
        <v>52</v>
      </c>
      <c r="L26" s="92"/>
      <c r="M26" s="92"/>
      <c r="N26" s="92"/>
      <c r="O26" s="92"/>
      <c r="P26" s="92"/>
      <c r="Q26" s="93"/>
      <c r="R26" s="49" t="s">
        <v>78</v>
      </c>
      <c r="S26" s="48" t="s">
        <v>81</v>
      </c>
      <c r="T26" s="17" t="s">
        <v>55</v>
      </c>
      <c r="U26" s="17" t="s">
        <v>58</v>
      </c>
    </row>
    <row r="27" spans="1:24" ht="18" customHeight="1" x14ac:dyDescent="0.15">
      <c r="B27" s="102" t="s">
        <v>138</v>
      </c>
      <c r="C27" s="103"/>
      <c r="D27" s="103"/>
      <c r="E27" s="103"/>
      <c r="F27" s="104"/>
      <c r="G27" s="18">
        <v>2</v>
      </c>
      <c r="H27" s="18" t="s">
        <v>139</v>
      </c>
      <c r="I27" s="18" t="s">
        <v>139</v>
      </c>
      <c r="J27" s="18" t="s">
        <v>139</v>
      </c>
      <c r="K27" s="102"/>
      <c r="L27" s="103"/>
      <c r="M27" s="103"/>
      <c r="N27" s="103"/>
      <c r="O27" s="103"/>
      <c r="P27" s="103"/>
      <c r="Q27" s="104"/>
      <c r="R27" s="18"/>
      <c r="S27" s="18"/>
      <c r="T27" s="18"/>
      <c r="U27" s="18"/>
    </row>
    <row r="28" spans="1:24" ht="18" customHeight="1" x14ac:dyDescent="0.15">
      <c r="B28" s="94"/>
      <c r="C28" s="95"/>
      <c r="D28" s="95"/>
      <c r="E28" s="95"/>
      <c r="F28" s="96"/>
      <c r="G28" s="19"/>
      <c r="H28" s="19"/>
      <c r="I28" s="19"/>
      <c r="J28" s="19"/>
      <c r="K28" s="94"/>
      <c r="L28" s="95"/>
      <c r="M28" s="95"/>
      <c r="N28" s="95"/>
      <c r="O28" s="95"/>
      <c r="P28" s="95"/>
      <c r="Q28" s="96"/>
      <c r="R28" s="19"/>
      <c r="S28" s="19"/>
      <c r="T28" s="19"/>
      <c r="U28" s="19"/>
    </row>
    <row r="29" spans="1:24" ht="18" customHeight="1" x14ac:dyDescent="0.15">
      <c r="B29" s="94"/>
      <c r="C29" s="95"/>
      <c r="D29" s="95"/>
      <c r="E29" s="95"/>
      <c r="F29" s="96"/>
      <c r="G29" s="19"/>
      <c r="H29" s="19"/>
      <c r="I29" s="19"/>
      <c r="J29" s="19"/>
      <c r="K29" s="94"/>
      <c r="L29" s="95"/>
      <c r="M29" s="95"/>
      <c r="N29" s="95"/>
      <c r="O29" s="95"/>
      <c r="P29" s="95"/>
      <c r="Q29" s="96"/>
      <c r="R29" s="19"/>
      <c r="S29" s="19"/>
      <c r="T29" s="19"/>
      <c r="U29" s="19"/>
    </row>
    <row r="30" spans="1:24" ht="18" customHeight="1" x14ac:dyDescent="0.15">
      <c r="B30" s="94"/>
      <c r="C30" s="95"/>
      <c r="D30" s="95"/>
      <c r="E30" s="95"/>
      <c r="F30" s="96"/>
      <c r="G30" s="19"/>
      <c r="H30" s="19"/>
      <c r="I30" s="19"/>
      <c r="J30" s="19"/>
      <c r="K30" s="94"/>
      <c r="L30" s="95"/>
      <c r="M30" s="95"/>
      <c r="N30" s="95"/>
      <c r="O30" s="95"/>
      <c r="P30" s="95"/>
      <c r="Q30" s="96"/>
      <c r="R30" s="19"/>
      <c r="S30" s="19"/>
      <c r="T30" s="19"/>
      <c r="U30" s="19"/>
    </row>
    <row r="31" spans="1:24" ht="18" customHeight="1" x14ac:dyDescent="0.15">
      <c r="B31" s="94"/>
      <c r="C31" s="95"/>
      <c r="D31" s="95"/>
      <c r="E31" s="95"/>
      <c r="F31" s="96"/>
      <c r="G31" s="19"/>
      <c r="H31" s="19"/>
      <c r="I31" s="19"/>
      <c r="J31" s="19"/>
      <c r="K31" s="94"/>
      <c r="L31" s="95"/>
      <c r="M31" s="95"/>
      <c r="N31" s="95"/>
      <c r="O31" s="95"/>
      <c r="P31" s="95"/>
      <c r="Q31" s="96"/>
      <c r="R31" s="19"/>
      <c r="S31" s="19"/>
      <c r="T31" s="19"/>
      <c r="U31" s="19"/>
    </row>
    <row r="32" spans="1:24" ht="18" customHeight="1" x14ac:dyDescent="0.15">
      <c r="A32" s="3"/>
      <c r="B32" s="94"/>
      <c r="C32" s="95"/>
      <c r="D32" s="95"/>
      <c r="E32" s="95"/>
      <c r="F32" s="96"/>
      <c r="G32" s="19"/>
      <c r="H32" s="19"/>
      <c r="I32" s="19"/>
      <c r="J32" s="19"/>
      <c r="K32" s="94"/>
      <c r="L32" s="95"/>
      <c r="M32" s="95"/>
      <c r="N32" s="95"/>
      <c r="O32" s="95"/>
      <c r="P32" s="95"/>
      <c r="Q32" s="96"/>
      <c r="R32" s="19"/>
      <c r="S32" s="19"/>
      <c r="T32" s="19"/>
      <c r="U32" s="19"/>
    </row>
    <row r="33" spans="1:21" ht="18" customHeight="1" x14ac:dyDescent="0.15">
      <c r="A33" s="3"/>
      <c r="B33" s="97"/>
      <c r="C33" s="98"/>
      <c r="D33" s="98"/>
      <c r="E33" s="98"/>
      <c r="F33" s="99"/>
      <c r="G33" s="20"/>
      <c r="H33" s="20"/>
      <c r="I33" s="21"/>
      <c r="J33" s="21"/>
      <c r="K33" s="97"/>
      <c r="L33" s="98"/>
      <c r="M33" s="98"/>
      <c r="N33" s="98"/>
      <c r="O33" s="98"/>
      <c r="P33" s="98"/>
      <c r="Q33" s="99"/>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5" t="s">
        <v>103</v>
      </c>
      <c r="B35" s="105"/>
      <c r="C35" s="105"/>
      <c r="D35" s="105"/>
      <c r="E35" s="105"/>
      <c r="F35" s="105"/>
      <c r="G35" s="105"/>
      <c r="H35" s="105"/>
      <c r="I35" s="105"/>
      <c r="J35" s="105"/>
      <c r="K35" s="105"/>
      <c r="L35" s="105"/>
      <c r="M35" s="105"/>
      <c r="N35" s="105"/>
      <c r="O35" s="105"/>
      <c r="P35" s="105"/>
      <c r="Q35" s="105"/>
      <c r="R35" s="105"/>
      <c r="S35" s="105"/>
      <c r="T35" s="105"/>
      <c r="U35" s="105"/>
    </row>
    <row r="36" spans="1:21" ht="18" customHeight="1" x14ac:dyDescent="0.15">
      <c r="A36" s="105"/>
      <c r="B36" s="105"/>
      <c r="C36" s="105"/>
      <c r="D36" s="105"/>
      <c r="E36" s="105"/>
      <c r="F36" s="105"/>
      <c r="G36" s="105"/>
      <c r="H36" s="105"/>
      <c r="I36" s="105"/>
      <c r="J36" s="105"/>
      <c r="K36" s="105"/>
      <c r="L36" s="105"/>
      <c r="M36" s="105"/>
      <c r="N36" s="105"/>
      <c r="O36" s="105"/>
      <c r="P36" s="105"/>
      <c r="Q36" s="105"/>
      <c r="R36" s="105"/>
      <c r="S36" s="105"/>
      <c r="T36" s="105"/>
      <c r="U36" s="105"/>
    </row>
    <row r="37" spans="1:21" ht="18" customHeight="1" x14ac:dyDescent="0.15">
      <c r="B37" s="91" t="s">
        <v>52</v>
      </c>
      <c r="C37" s="92"/>
      <c r="D37" s="92"/>
      <c r="E37" s="92"/>
      <c r="F37" s="93"/>
      <c r="G37" s="49" t="s">
        <v>78</v>
      </c>
      <c r="H37" s="48" t="s">
        <v>81</v>
      </c>
      <c r="I37" s="17" t="s">
        <v>69</v>
      </c>
      <c r="J37" s="17" t="s">
        <v>70</v>
      </c>
      <c r="K37" s="91" t="s">
        <v>52</v>
      </c>
      <c r="L37" s="92"/>
      <c r="M37" s="92"/>
      <c r="N37" s="92"/>
      <c r="O37" s="92"/>
      <c r="P37" s="92"/>
      <c r="Q37" s="93"/>
      <c r="R37" s="49" t="s">
        <v>78</v>
      </c>
      <c r="S37" s="48" t="s">
        <v>81</v>
      </c>
      <c r="T37" s="17" t="s">
        <v>69</v>
      </c>
      <c r="U37" s="17" t="s">
        <v>70</v>
      </c>
    </row>
    <row r="38" spans="1:21" ht="18" customHeight="1" x14ac:dyDescent="0.15">
      <c r="B38" s="102" t="s">
        <v>138</v>
      </c>
      <c r="C38" s="103"/>
      <c r="D38" s="103"/>
      <c r="E38" s="103"/>
      <c r="F38" s="104"/>
      <c r="G38" s="18">
        <v>2</v>
      </c>
      <c r="H38" s="18" t="s">
        <v>139</v>
      </c>
      <c r="I38" s="18" t="s">
        <v>139</v>
      </c>
      <c r="J38" s="18" t="s">
        <v>139</v>
      </c>
      <c r="K38" s="102"/>
      <c r="L38" s="103"/>
      <c r="M38" s="103"/>
      <c r="N38" s="103"/>
      <c r="O38" s="103"/>
      <c r="P38" s="103"/>
      <c r="Q38" s="104"/>
      <c r="R38" s="18"/>
      <c r="S38" s="18"/>
      <c r="T38" s="18"/>
      <c r="U38" s="18"/>
    </row>
    <row r="39" spans="1:21" ht="18" customHeight="1" x14ac:dyDescent="0.15">
      <c r="B39" s="94"/>
      <c r="C39" s="95"/>
      <c r="D39" s="95"/>
      <c r="E39" s="95"/>
      <c r="F39" s="96"/>
      <c r="G39" s="19"/>
      <c r="H39" s="19"/>
      <c r="I39" s="19"/>
      <c r="J39" s="19"/>
      <c r="K39" s="94"/>
      <c r="L39" s="95"/>
      <c r="M39" s="95"/>
      <c r="N39" s="95"/>
      <c r="O39" s="95"/>
      <c r="P39" s="95"/>
      <c r="Q39" s="96"/>
      <c r="R39" s="19"/>
      <c r="S39" s="19"/>
      <c r="T39" s="19"/>
      <c r="U39" s="19"/>
    </row>
    <row r="40" spans="1:21" ht="18" customHeight="1" x14ac:dyDescent="0.15">
      <c r="B40" s="94"/>
      <c r="C40" s="95"/>
      <c r="D40" s="95"/>
      <c r="E40" s="95"/>
      <c r="F40" s="96"/>
      <c r="G40" s="19"/>
      <c r="H40" s="19"/>
      <c r="I40" s="19"/>
      <c r="J40" s="19"/>
      <c r="K40" s="94"/>
      <c r="L40" s="95"/>
      <c r="M40" s="95"/>
      <c r="N40" s="95"/>
      <c r="O40" s="95"/>
      <c r="P40" s="95"/>
      <c r="Q40" s="96"/>
      <c r="R40" s="19"/>
      <c r="S40" s="19"/>
      <c r="T40" s="19"/>
      <c r="U40" s="19"/>
    </row>
    <row r="41" spans="1:21" ht="18" customHeight="1" x14ac:dyDescent="0.15">
      <c r="B41" s="94"/>
      <c r="C41" s="95"/>
      <c r="D41" s="95"/>
      <c r="E41" s="95"/>
      <c r="F41" s="96"/>
      <c r="G41" s="19"/>
      <c r="H41" s="19"/>
      <c r="I41" s="19"/>
      <c r="J41" s="19"/>
      <c r="K41" s="94"/>
      <c r="L41" s="95"/>
      <c r="M41" s="95"/>
      <c r="N41" s="95"/>
      <c r="O41" s="95"/>
      <c r="P41" s="95"/>
      <c r="Q41" s="96"/>
      <c r="R41" s="19"/>
      <c r="S41" s="19"/>
      <c r="T41" s="19"/>
      <c r="U41" s="19"/>
    </row>
    <row r="42" spans="1:21" ht="18" customHeight="1" x14ac:dyDescent="0.15">
      <c r="B42" s="94"/>
      <c r="C42" s="95"/>
      <c r="D42" s="95"/>
      <c r="E42" s="95"/>
      <c r="F42" s="96"/>
      <c r="G42" s="19"/>
      <c r="H42" s="19"/>
      <c r="I42" s="19"/>
      <c r="J42" s="19"/>
      <c r="K42" s="94"/>
      <c r="L42" s="95"/>
      <c r="M42" s="95"/>
      <c r="N42" s="95"/>
      <c r="O42" s="95"/>
      <c r="P42" s="95"/>
      <c r="Q42" s="96"/>
      <c r="R42" s="19"/>
      <c r="S42" s="19"/>
      <c r="T42" s="19"/>
      <c r="U42" s="19"/>
    </row>
    <row r="43" spans="1:21" ht="18" customHeight="1" x14ac:dyDescent="0.15">
      <c r="B43" s="94"/>
      <c r="C43" s="95"/>
      <c r="D43" s="95"/>
      <c r="E43" s="95"/>
      <c r="F43" s="96"/>
      <c r="G43" s="19"/>
      <c r="H43" s="19"/>
      <c r="I43" s="19"/>
      <c r="J43" s="19"/>
      <c r="K43" s="94"/>
      <c r="L43" s="95"/>
      <c r="M43" s="95"/>
      <c r="N43" s="95"/>
      <c r="O43" s="95"/>
      <c r="P43" s="95"/>
      <c r="Q43" s="96"/>
      <c r="R43" s="19"/>
      <c r="S43" s="19"/>
      <c r="T43" s="19"/>
      <c r="U43" s="19"/>
    </row>
    <row r="44" spans="1:21" ht="18" customHeight="1" x14ac:dyDescent="0.15">
      <c r="B44" s="97"/>
      <c r="C44" s="98"/>
      <c r="D44" s="98"/>
      <c r="E44" s="98"/>
      <c r="F44" s="99"/>
      <c r="G44" s="20"/>
      <c r="H44" s="20"/>
      <c r="I44" s="21"/>
      <c r="J44" s="21"/>
      <c r="K44" s="97"/>
      <c r="L44" s="98"/>
      <c r="M44" s="98"/>
      <c r="N44" s="98"/>
      <c r="O44" s="98"/>
      <c r="P44" s="98"/>
      <c r="Q44" s="99"/>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5" t="s">
        <v>104</v>
      </c>
      <c r="B46" s="105"/>
      <c r="C46" s="105"/>
      <c r="D46" s="105"/>
      <c r="E46" s="105"/>
      <c r="F46" s="105"/>
      <c r="G46" s="105"/>
      <c r="H46" s="105"/>
      <c r="I46" s="105"/>
      <c r="J46" s="105"/>
      <c r="K46" s="105"/>
      <c r="L46" s="105"/>
      <c r="M46" s="105"/>
      <c r="N46" s="105"/>
      <c r="O46" s="105"/>
      <c r="P46" s="105"/>
      <c r="Q46" s="105"/>
      <c r="R46" s="105"/>
      <c r="S46" s="105"/>
      <c r="T46" s="105"/>
      <c r="U46" s="105"/>
    </row>
    <row r="47" spans="1:21" ht="18" customHeight="1" x14ac:dyDescent="0.15">
      <c r="A47" s="105"/>
      <c r="B47" s="105"/>
      <c r="C47" s="105"/>
      <c r="D47" s="105"/>
      <c r="E47" s="105"/>
      <c r="F47" s="105"/>
      <c r="G47" s="105"/>
      <c r="H47" s="105"/>
      <c r="I47" s="105"/>
      <c r="J47" s="105"/>
      <c r="K47" s="105"/>
      <c r="L47" s="105"/>
      <c r="M47" s="105"/>
      <c r="N47" s="105"/>
      <c r="O47" s="105"/>
      <c r="P47" s="105"/>
      <c r="Q47" s="105"/>
      <c r="R47" s="105"/>
      <c r="S47" s="105"/>
      <c r="T47" s="105"/>
      <c r="U47" s="105"/>
    </row>
    <row r="48" spans="1:21" ht="18" customHeight="1" x14ac:dyDescent="0.15">
      <c r="B48" s="91" t="s">
        <v>52</v>
      </c>
      <c r="C48" s="92"/>
      <c r="D48" s="92"/>
      <c r="E48" s="92"/>
      <c r="F48" s="93"/>
      <c r="G48" s="49" t="s">
        <v>78</v>
      </c>
      <c r="H48" s="48" t="s">
        <v>81</v>
      </c>
      <c r="I48" s="17" t="s">
        <v>71</v>
      </c>
      <c r="J48" s="17" t="s">
        <v>72</v>
      </c>
      <c r="K48" s="91" t="s">
        <v>52</v>
      </c>
      <c r="L48" s="92"/>
      <c r="M48" s="92"/>
      <c r="N48" s="92"/>
      <c r="O48" s="92"/>
      <c r="P48" s="92"/>
      <c r="Q48" s="93"/>
      <c r="R48" s="49" t="s">
        <v>78</v>
      </c>
      <c r="S48" s="48" t="s">
        <v>81</v>
      </c>
      <c r="T48" s="17" t="s">
        <v>71</v>
      </c>
      <c r="U48" s="17" t="s">
        <v>72</v>
      </c>
    </row>
    <row r="49" spans="1:21" ht="18" customHeight="1" x14ac:dyDescent="0.15">
      <c r="A49" s="3"/>
      <c r="B49" s="102" t="s">
        <v>138</v>
      </c>
      <c r="C49" s="103"/>
      <c r="D49" s="103"/>
      <c r="E49" s="103"/>
      <c r="F49" s="104"/>
      <c r="G49" s="18">
        <v>2</v>
      </c>
      <c r="H49" s="18" t="s">
        <v>139</v>
      </c>
      <c r="I49" s="18" t="s">
        <v>139</v>
      </c>
      <c r="J49" s="18" t="s">
        <v>139</v>
      </c>
      <c r="K49" s="102"/>
      <c r="L49" s="103"/>
      <c r="M49" s="103"/>
      <c r="N49" s="103"/>
      <c r="O49" s="103"/>
      <c r="P49" s="103"/>
      <c r="Q49" s="104"/>
      <c r="R49" s="18"/>
      <c r="S49" s="18"/>
      <c r="T49" s="18"/>
      <c r="U49" s="18"/>
    </row>
    <row r="50" spans="1:21" ht="18" customHeight="1" x14ac:dyDescent="0.15">
      <c r="A50" s="3"/>
      <c r="B50" s="94"/>
      <c r="C50" s="95"/>
      <c r="D50" s="95"/>
      <c r="E50" s="95"/>
      <c r="F50" s="96"/>
      <c r="G50" s="19"/>
      <c r="H50" s="19"/>
      <c r="I50" s="19"/>
      <c r="J50" s="19"/>
      <c r="K50" s="94"/>
      <c r="L50" s="95"/>
      <c r="M50" s="95"/>
      <c r="N50" s="95"/>
      <c r="O50" s="95"/>
      <c r="P50" s="95"/>
      <c r="Q50" s="96"/>
      <c r="R50" s="19"/>
      <c r="S50" s="19"/>
      <c r="T50" s="19"/>
      <c r="U50" s="19"/>
    </row>
    <row r="51" spans="1:21" ht="18" customHeight="1" x14ac:dyDescent="0.15">
      <c r="A51" s="3"/>
      <c r="B51" s="94"/>
      <c r="C51" s="95"/>
      <c r="D51" s="95"/>
      <c r="E51" s="95"/>
      <c r="F51" s="96"/>
      <c r="G51" s="19"/>
      <c r="H51" s="19"/>
      <c r="I51" s="19"/>
      <c r="J51" s="19"/>
      <c r="K51" s="94"/>
      <c r="L51" s="95"/>
      <c r="M51" s="95"/>
      <c r="N51" s="95"/>
      <c r="O51" s="95"/>
      <c r="P51" s="95"/>
      <c r="Q51" s="96"/>
      <c r="R51" s="19"/>
      <c r="S51" s="19"/>
      <c r="T51" s="19"/>
      <c r="U51" s="19"/>
    </row>
    <row r="52" spans="1:21" ht="18" customHeight="1" x14ac:dyDescent="0.15">
      <c r="A52" s="3"/>
      <c r="B52" s="94"/>
      <c r="C52" s="95"/>
      <c r="D52" s="95"/>
      <c r="E52" s="95"/>
      <c r="F52" s="96"/>
      <c r="G52" s="19"/>
      <c r="H52" s="19"/>
      <c r="I52" s="19"/>
      <c r="J52" s="19"/>
      <c r="K52" s="94"/>
      <c r="L52" s="95"/>
      <c r="M52" s="95"/>
      <c r="N52" s="95"/>
      <c r="O52" s="95"/>
      <c r="P52" s="95"/>
      <c r="Q52" s="96"/>
      <c r="R52" s="19"/>
      <c r="S52" s="19"/>
      <c r="T52" s="19"/>
      <c r="U52" s="19"/>
    </row>
    <row r="53" spans="1:21" ht="18" customHeight="1" x14ac:dyDescent="0.15">
      <c r="A53" s="3"/>
      <c r="B53" s="94"/>
      <c r="C53" s="95"/>
      <c r="D53" s="95"/>
      <c r="E53" s="95"/>
      <c r="F53" s="96"/>
      <c r="G53" s="19"/>
      <c r="H53" s="19"/>
      <c r="I53" s="19"/>
      <c r="J53" s="19"/>
      <c r="K53" s="94"/>
      <c r="L53" s="95"/>
      <c r="M53" s="95"/>
      <c r="N53" s="95"/>
      <c r="O53" s="95"/>
      <c r="P53" s="95"/>
      <c r="Q53" s="96"/>
      <c r="R53" s="19"/>
      <c r="S53" s="19"/>
      <c r="T53" s="19"/>
      <c r="U53" s="19"/>
    </row>
    <row r="54" spans="1:21" ht="18" customHeight="1" x14ac:dyDescent="0.15">
      <c r="A54" s="3"/>
      <c r="B54" s="94"/>
      <c r="C54" s="95"/>
      <c r="D54" s="95"/>
      <c r="E54" s="95"/>
      <c r="F54" s="96"/>
      <c r="G54" s="19"/>
      <c r="H54" s="19"/>
      <c r="I54" s="19"/>
      <c r="J54" s="19"/>
      <c r="K54" s="94"/>
      <c r="L54" s="95"/>
      <c r="M54" s="95"/>
      <c r="N54" s="95"/>
      <c r="O54" s="95"/>
      <c r="P54" s="95"/>
      <c r="Q54" s="96"/>
      <c r="R54" s="19"/>
      <c r="S54" s="19"/>
      <c r="T54" s="19"/>
      <c r="U54" s="19"/>
    </row>
    <row r="55" spans="1:21" ht="18" customHeight="1" x14ac:dyDescent="0.15">
      <c r="A55" s="3"/>
      <c r="B55" s="97"/>
      <c r="C55" s="98"/>
      <c r="D55" s="98"/>
      <c r="E55" s="98"/>
      <c r="F55" s="99"/>
      <c r="G55" s="20"/>
      <c r="H55" s="20"/>
      <c r="I55" s="21"/>
      <c r="J55" s="21"/>
      <c r="K55" s="97"/>
      <c r="L55" s="98"/>
      <c r="M55" s="98"/>
      <c r="N55" s="98"/>
      <c r="O55" s="98"/>
      <c r="P55" s="98"/>
      <c r="Q55" s="99"/>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5" t="s">
        <v>105</v>
      </c>
      <c r="B57" s="105"/>
      <c r="C57" s="105"/>
      <c r="D57" s="105"/>
      <c r="E57" s="105"/>
      <c r="F57" s="105"/>
      <c r="G57" s="105"/>
      <c r="H57" s="105"/>
      <c r="I57" s="105"/>
      <c r="J57" s="105"/>
      <c r="K57" s="105"/>
      <c r="L57" s="105"/>
      <c r="M57" s="105"/>
      <c r="N57" s="105"/>
      <c r="O57" s="105"/>
      <c r="P57" s="105"/>
      <c r="Q57" s="105"/>
      <c r="R57" s="105"/>
      <c r="S57" s="105"/>
      <c r="T57" s="105"/>
      <c r="U57" s="105"/>
    </row>
    <row r="58" spans="1:21" ht="18" customHeight="1" x14ac:dyDescent="0.15">
      <c r="A58" s="105"/>
      <c r="B58" s="105"/>
      <c r="C58" s="105"/>
      <c r="D58" s="105"/>
      <c r="E58" s="105"/>
      <c r="F58" s="105"/>
      <c r="G58" s="105"/>
      <c r="H58" s="105"/>
      <c r="I58" s="105"/>
      <c r="J58" s="105"/>
      <c r="K58" s="105"/>
      <c r="L58" s="105"/>
      <c r="M58" s="105"/>
      <c r="N58" s="105"/>
      <c r="O58" s="105"/>
      <c r="P58" s="105"/>
      <c r="Q58" s="105"/>
      <c r="R58" s="105"/>
      <c r="S58" s="105"/>
      <c r="T58" s="105"/>
      <c r="U58" s="105"/>
    </row>
    <row r="59" spans="1:21" ht="18" customHeight="1" x14ac:dyDescent="0.15">
      <c r="B59" s="91" t="s">
        <v>52</v>
      </c>
      <c r="C59" s="92"/>
      <c r="D59" s="92"/>
      <c r="E59" s="92"/>
      <c r="F59" s="93"/>
      <c r="G59" s="49" t="s">
        <v>78</v>
      </c>
      <c r="H59" s="48" t="s">
        <v>81</v>
      </c>
      <c r="I59" s="17" t="s">
        <v>57</v>
      </c>
      <c r="J59" s="17" t="s">
        <v>59</v>
      </c>
      <c r="K59" s="91" t="s">
        <v>52</v>
      </c>
      <c r="L59" s="92"/>
      <c r="M59" s="92"/>
      <c r="N59" s="92"/>
      <c r="O59" s="92"/>
      <c r="P59" s="92"/>
      <c r="Q59" s="93"/>
      <c r="R59" s="49" t="s">
        <v>78</v>
      </c>
      <c r="S59" s="48" t="s">
        <v>81</v>
      </c>
      <c r="T59" s="17" t="s">
        <v>57</v>
      </c>
      <c r="U59" s="17" t="s">
        <v>59</v>
      </c>
    </row>
    <row r="60" spans="1:21" ht="18" customHeight="1" x14ac:dyDescent="0.15">
      <c r="A60" s="3"/>
      <c r="B60" s="102" t="s">
        <v>138</v>
      </c>
      <c r="C60" s="103"/>
      <c r="D60" s="103"/>
      <c r="E60" s="103"/>
      <c r="F60" s="104"/>
      <c r="G60" s="18">
        <v>2</v>
      </c>
      <c r="H60" s="18" t="s">
        <v>139</v>
      </c>
      <c r="I60" s="18" t="s">
        <v>139</v>
      </c>
      <c r="J60" s="18" t="s">
        <v>139</v>
      </c>
      <c r="K60" s="102"/>
      <c r="L60" s="103"/>
      <c r="M60" s="103"/>
      <c r="N60" s="103"/>
      <c r="O60" s="103"/>
      <c r="P60" s="103"/>
      <c r="Q60" s="104"/>
      <c r="R60" s="18"/>
      <c r="S60" s="18"/>
      <c r="T60" s="18"/>
      <c r="U60" s="18"/>
    </row>
    <row r="61" spans="1:21" ht="18" customHeight="1" x14ac:dyDescent="0.15">
      <c r="A61" s="3"/>
      <c r="B61" s="94"/>
      <c r="C61" s="95"/>
      <c r="D61" s="95"/>
      <c r="E61" s="95"/>
      <c r="F61" s="96"/>
      <c r="G61" s="19"/>
      <c r="H61" s="19"/>
      <c r="I61" s="19"/>
      <c r="J61" s="19"/>
      <c r="K61" s="94"/>
      <c r="L61" s="95"/>
      <c r="M61" s="95"/>
      <c r="N61" s="95"/>
      <c r="O61" s="95"/>
      <c r="P61" s="95"/>
      <c r="Q61" s="96"/>
      <c r="R61" s="19"/>
      <c r="S61" s="19"/>
      <c r="T61" s="19"/>
      <c r="U61" s="19"/>
    </row>
    <row r="62" spans="1:21" ht="18" customHeight="1" x14ac:dyDescent="0.15">
      <c r="A62" s="3"/>
      <c r="B62" s="94"/>
      <c r="C62" s="95"/>
      <c r="D62" s="95"/>
      <c r="E62" s="95"/>
      <c r="F62" s="96"/>
      <c r="G62" s="19"/>
      <c r="H62" s="19"/>
      <c r="I62" s="19"/>
      <c r="J62" s="19"/>
      <c r="K62" s="94"/>
      <c r="L62" s="95"/>
      <c r="M62" s="95"/>
      <c r="N62" s="95"/>
      <c r="O62" s="95"/>
      <c r="P62" s="95"/>
      <c r="Q62" s="96"/>
      <c r="R62" s="19"/>
      <c r="S62" s="19"/>
      <c r="T62" s="19"/>
      <c r="U62" s="19"/>
    </row>
    <row r="63" spans="1:21" ht="18" customHeight="1" x14ac:dyDescent="0.15">
      <c r="A63" s="3"/>
      <c r="B63" s="94"/>
      <c r="C63" s="95"/>
      <c r="D63" s="95"/>
      <c r="E63" s="95"/>
      <c r="F63" s="96"/>
      <c r="G63" s="19"/>
      <c r="H63" s="19"/>
      <c r="I63" s="19"/>
      <c r="J63" s="19"/>
      <c r="K63" s="94"/>
      <c r="L63" s="95"/>
      <c r="M63" s="95"/>
      <c r="N63" s="95"/>
      <c r="O63" s="95"/>
      <c r="P63" s="95"/>
      <c r="Q63" s="96"/>
      <c r="R63" s="19"/>
      <c r="S63" s="19"/>
      <c r="T63" s="19"/>
      <c r="U63" s="19"/>
    </row>
    <row r="64" spans="1:21" ht="18" customHeight="1" x14ac:dyDescent="0.15">
      <c r="A64" s="3"/>
      <c r="B64" s="94"/>
      <c r="C64" s="95"/>
      <c r="D64" s="95"/>
      <c r="E64" s="95"/>
      <c r="F64" s="96"/>
      <c r="G64" s="19"/>
      <c r="H64" s="19"/>
      <c r="I64" s="19"/>
      <c r="J64" s="19"/>
      <c r="K64" s="94"/>
      <c r="L64" s="95"/>
      <c r="M64" s="95"/>
      <c r="N64" s="95"/>
      <c r="O64" s="95"/>
      <c r="P64" s="95"/>
      <c r="Q64" s="96"/>
      <c r="R64" s="19"/>
      <c r="S64" s="19"/>
      <c r="T64" s="19"/>
      <c r="U64" s="19"/>
    </row>
    <row r="65" spans="1:21" ht="18" customHeight="1" x14ac:dyDescent="0.15">
      <c r="A65" s="3"/>
      <c r="B65" s="94"/>
      <c r="C65" s="95"/>
      <c r="D65" s="95"/>
      <c r="E65" s="95"/>
      <c r="F65" s="96"/>
      <c r="G65" s="19"/>
      <c r="H65" s="19"/>
      <c r="I65" s="19"/>
      <c r="J65" s="19"/>
      <c r="K65" s="94"/>
      <c r="L65" s="95"/>
      <c r="M65" s="95"/>
      <c r="N65" s="95"/>
      <c r="O65" s="95"/>
      <c r="P65" s="95"/>
      <c r="Q65" s="96"/>
      <c r="R65" s="19"/>
      <c r="S65" s="19"/>
      <c r="T65" s="19"/>
      <c r="U65" s="19"/>
    </row>
    <row r="66" spans="1:21" ht="18" customHeight="1" x14ac:dyDescent="0.15">
      <c r="A66" s="3"/>
      <c r="B66" s="97"/>
      <c r="C66" s="98"/>
      <c r="D66" s="98"/>
      <c r="E66" s="98"/>
      <c r="F66" s="99"/>
      <c r="G66" s="20"/>
      <c r="H66" s="20"/>
      <c r="I66" s="21"/>
      <c r="J66" s="21"/>
      <c r="K66" s="97"/>
      <c r="L66" s="98"/>
      <c r="M66" s="98"/>
      <c r="N66" s="98"/>
      <c r="O66" s="98"/>
      <c r="P66" s="98"/>
      <c r="Q66" s="99"/>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5" t="s">
        <v>106</v>
      </c>
      <c r="B68" s="105"/>
      <c r="C68" s="105"/>
      <c r="D68" s="105"/>
      <c r="E68" s="105"/>
      <c r="F68" s="105"/>
      <c r="G68" s="105"/>
      <c r="H68" s="105"/>
      <c r="I68" s="105"/>
      <c r="J68" s="105"/>
      <c r="K68" s="105"/>
      <c r="L68" s="105"/>
      <c r="M68" s="105"/>
      <c r="N68" s="105"/>
      <c r="O68" s="105"/>
      <c r="P68" s="105"/>
      <c r="Q68" s="105"/>
      <c r="R68" s="105"/>
      <c r="S68" s="105"/>
      <c r="T68" s="105"/>
      <c r="U68" s="105"/>
    </row>
    <row r="69" spans="1:21" ht="18" customHeight="1" x14ac:dyDescent="0.15">
      <c r="A69" s="105"/>
      <c r="B69" s="105"/>
      <c r="C69" s="105"/>
      <c r="D69" s="105"/>
      <c r="E69" s="105"/>
      <c r="F69" s="105"/>
      <c r="G69" s="105"/>
      <c r="H69" s="105"/>
      <c r="I69" s="105"/>
      <c r="J69" s="105"/>
      <c r="K69" s="105"/>
      <c r="L69" s="105"/>
      <c r="M69" s="105"/>
      <c r="N69" s="105"/>
      <c r="O69" s="105"/>
      <c r="P69" s="105"/>
      <c r="Q69" s="105"/>
      <c r="R69" s="105"/>
      <c r="S69" s="105"/>
      <c r="T69" s="105"/>
      <c r="U69" s="105"/>
    </row>
    <row r="70" spans="1:21" ht="18" customHeight="1" x14ac:dyDescent="0.15">
      <c r="B70" s="91" t="s">
        <v>52</v>
      </c>
      <c r="C70" s="92"/>
      <c r="D70" s="92"/>
      <c r="E70" s="92"/>
      <c r="F70" s="49" t="s">
        <v>78</v>
      </c>
      <c r="G70" s="48" t="s">
        <v>81</v>
      </c>
      <c r="H70" s="17" t="s">
        <v>93</v>
      </c>
      <c r="I70" s="17" t="s">
        <v>73</v>
      </c>
      <c r="J70" s="17" t="s">
        <v>74</v>
      </c>
      <c r="K70" s="91" t="s">
        <v>52</v>
      </c>
      <c r="L70" s="92"/>
      <c r="M70" s="92"/>
      <c r="N70" s="92"/>
      <c r="O70" s="92"/>
      <c r="P70" s="93"/>
      <c r="Q70" s="49" t="s">
        <v>78</v>
      </c>
      <c r="R70" s="48" t="s">
        <v>81</v>
      </c>
      <c r="S70" s="17" t="s">
        <v>93</v>
      </c>
      <c r="T70" s="17" t="s">
        <v>73</v>
      </c>
      <c r="U70" s="17" t="s">
        <v>74</v>
      </c>
    </row>
    <row r="71" spans="1:21" ht="18" customHeight="1" x14ac:dyDescent="0.15">
      <c r="A71" s="3"/>
      <c r="B71" s="102" t="s">
        <v>138</v>
      </c>
      <c r="C71" s="103"/>
      <c r="D71" s="103"/>
      <c r="E71" s="104"/>
      <c r="F71" s="18">
        <v>2</v>
      </c>
      <c r="G71" s="18" t="s">
        <v>139</v>
      </c>
      <c r="H71" s="18" t="s">
        <v>139</v>
      </c>
      <c r="I71" s="18" t="s">
        <v>139</v>
      </c>
      <c r="J71" s="18" t="s">
        <v>139</v>
      </c>
      <c r="K71" s="102"/>
      <c r="L71" s="103"/>
      <c r="M71" s="103"/>
      <c r="N71" s="103"/>
      <c r="O71" s="103"/>
      <c r="P71" s="104"/>
      <c r="Q71" s="18"/>
      <c r="R71" s="18"/>
      <c r="S71" s="18"/>
      <c r="T71" s="18"/>
      <c r="U71" s="18"/>
    </row>
    <row r="72" spans="1:21" ht="18" customHeight="1" x14ac:dyDescent="0.15">
      <c r="A72" s="3"/>
      <c r="B72" s="94"/>
      <c r="C72" s="95"/>
      <c r="D72" s="95"/>
      <c r="E72" s="95"/>
      <c r="F72" s="19"/>
      <c r="G72" s="19"/>
      <c r="H72" s="19"/>
      <c r="I72" s="19"/>
      <c r="J72" s="19"/>
      <c r="K72" s="94"/>
      <c r="L72" s="95"/>
      <c r="M72" s="95"/>
      <c r="N72" s="95"/>
      <c r="O72" s="95"/>
      <c r="P72" s="96"/>
      <c r="Q72" s="19"/>
      <c r="R72" s="19"/>
      <c r="S72" s="19"/>
      <c r="T72" s="19"/>
      <c r="U72" s="19"/>
    </row>
    <row r="73" spans="1:21" ht="18" customHeight="1" x14ac:dyDescent="0.15">
      <c r="A73" s="3"/>
      <c r="B73" s="94"/>
      <c r="C73" s="95"/>
      <c r="D73" s="95"/>
      <c r="E73" s="95"/>
      <c r="F73" s="19"/>
      <c r="G73" s="19"/>
      <c r="H73" s="19"/>
      <c r="I73" s="19"/>
      <c r="J73" s="19"/>
      <c r="K73" s="94"/>
      <c r="L73" s="95"/>
      <c r="M73" s="95"/>
      <c r="N73" s="95"/>
      <c r="O73" s="95"/>
      <c r="P73" s="96"/>
      <c r="Q73" s="19"/>
      <c r="R73" s="19"/>
      <c r="S73" s="19"/>
      <c r="T73" s="19"/>
      <c r="U73" s="19"/>
    </row>
    <row r="74" spans="1:21" ht="18" customHeight="1" x14ac:dyDescent="0.15">
      <c r="A74" s="3"/>
      <c r="B74" s="94"/>
      <c r="C74" s="95"/>
      <c r="D74" s="95"/>
      <c r="E74" s="95"/>
      <c r="F74" s="19"/>
      <c r="G74" s="19"/>
      <c r="H74" s="19"/>
      <c r="I74" s="19"/>
      <c r="J74" s="19"/>
      <c r="K74" s="94"/>
      <c r="L74" s="95"/>
      <c r="M74" s="95"/>
      <c r="N74" s="95"/>
      <c r="O74" s="95"/>
      <c r="P74" s="96"/>
      <c r="Q74" s="19"/>
      <c r="R74" s="19"/>
      <c r="S74" s="19"/>
      <c r="T74" s="19"/>
      <c r="U74" s="19"/>
    </row>
    <row r="75" spans="1:21" ht="18" customHeight="1" x14ac:dyDescent="0.15">
      <c r="A75" s="3"/>
      <c r="B75" s="94"/>
      <c r="C75" s="95"/>
      <c r="D75" s="95"/>
      <c r="E75" s="95"/>
      <c r="F75" s="19"/>
      <c r="G75" s="19"/>
      <c r="H75" s="19"/>
      <c r="I75" s="19"/>
      <c r="J75" s="19"/>
      <c r="K75" s="94"/>
      <c r="L75" s="95"/>
      <c r="M75" s="95"/>
      <c r="N75" s="95"/>
      <c r="O75" s="95"/>
      <c r="P75" s="96"/>
      <c r="Q75" s="19"/>
      <c r="R75" s="19"/>
      <c r="S75" s="19"/>
      <c r="T75" s="19"/>
      <c r="U75" s="19"/>
    </row>
    <row r="76" spans="1:21" ht="18" customHeight="1" x14ac:dyDescent="0.15">
      <c r="A76" s="3"/>
      <c r="B76" s="94"/>
      <c r="C76" s="95"/>
      <c r="D76" s="95"/>
      <c r="E76" s="95"/>
      <c r="F76" s="19"/>
      <c r="G76" s="19"/>
      <c r="H76" s="19"/>
      <c r="I76" s="19"/>
      <c r="J76" s="19"/>
      <c r="K76" s="94"/>
      <c r="L76" s="95"/>
      <c r="M76" s="95"/>
      <c r="N76" s="95"/>
      <c r="O76" s="95"/>
      <c r="P76" s="96"/>
      <c r="Q76" s="19"/>
      <c r="R76" s="19"/>
      <c r="S76" s="19"/>
      <c r="T76" s="19"/>
      <c r="U76" s="19"/>
    </row>
    <row r="77" spans="1:21" ht="18" customHeight="1" x14ac:dyDescent="0.15">
      <c r="A77" s="3"/>
      <c r="B77" s="97"/>
      <c r="C77" s="98"/>
      <c r="D77" s="98"/>
      <c r="E77" s="98"/>
      <c r="F77" s="20"/>
      <c r="G77" s="20"/>
      <c r="H77" s="21"/>
      <c r="I77" s="21"/>
      <c r="J77" s="21"/>
      <c r="K77" s="97"/>
      <c r="L77" s="98"/>
      <c r="M77" s="98"/>
      <c r="N77" s="98"/>
      <c r="O77" s="98"/>
      <c r="P77" s="99"/>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91" t="s">
        <v>52</v>
      </c>
      <c r="C80" s="92"/>
      <c r="D80" s="92"/>
      <c r="E80" s="92"/>
      <c r="F80" s="93"/>
      <c r="G80" s="91" t="s">
        <v>79</v>
      </c>
      <c r="H80" s="92"/>
      <c r="I80" s="92"/>
      <c r="J80" s="93"/>
      <c r="K80" s="111" t="s">
        <v>52</v>
      </c>
      <c r="L80" s="112"/>
      <c r="M80" s="112"/>
      <c r="N80" s="112"/>
      <c r="O80" s="112"/>
      <c r="P80" s="112"/>
      <c r="Q80" s="113"/>
      <c r="R80" s="91" t="s">
        <v>79</v>
      </c>
      <c r="S80" s="92"/>
      <c r="T80" s="92"/>
      <c r="U80" s="93"/>
    </row>
    <row r="81" spans="1:21" ht="18" customHeight="1" x14ac:dyDescent="0.15">
      <c r="A81" s="3"/>
      <c r="B81" s="102"/>
      <c r="C81" s="103"/>
      <c r="D81" s="103"/>
      <c r="E81" s="103"/>
      <c r="F81" s="104"/>
      <c r="G81" s="106"/>
      <c r="H81" s="107"/>
      <c r="I81" s="107"/>
      <c r="J81" s="108"/>
      <c r="K81" s="102"/>
      <c r="L81" s="103"/>
      <c r="M81" s="103"/>
      <c r="N81" s="103"/>
      <c r="O81" s="103"/>
      <c r="P81" s="103"/>
      <c r="Q81" s="104"/>
      <c r="R81" s="106"/>
      <c r="S81" s="107"/>
      <c r="T81" s="107"/>
      <c r="U81" s="108"/>
    </row>
    <row r="82" spans="1:21" ht="18" customHeight="1" x14ac:dyDescent="0.15">
      <c r="A82" s="3"/>
      <c r="B82" s="94"/>
      <c r="C82" s="95"/>
      <c r="D82" s="95"/>
      <c r="E82" s="95"/>
      <c r="F82" s="96"/>
      <c r="G82" s="88"/>
      <c r="H82" s="89"/>
      <c r="I82" s="89"/>
      <c r="J82" s="90"/>
      <c r="K82" s="94"/>
      <c r="L82" s="95"/>
      <c r="M82" s="95"/>
      <c r="N82" s="95"/>
      <c r="O82" s="95"/>
      <c r="P82" s="95"/>
      <c r="Q82" s="96"/>
      <c r="R82" s="88"/>
      <c r="S82" s="89"/>
      <c r="T82" s="89"/>
      <c r="U82" s="90"/>
    </row>
    <row r="83" spans="1:21" ht="18" customHeight="1" x14ac:dyDescent="0.15">
      <c r="A83" s="3"/>
      <c r="B83" s="94"/>
      <c r="C83" s="95"/>
      <c r="D83" s="95"/>
      <c r="E83" s="95"/>
      <c r="F83" s="96"/>
      <c r="G83" s="88"/>
      <c r="H83" s="89"/>
      <c r="I83" s="89"/>
      <c r="J83" s="90"/>
      <c r="K83" s="94"/>
      <c r="L83" s="95"/>
      <c r="M83" s="95"/>
      <c r="N83" s="95"/>
      <c r="O83" s="95"/>
      <c r="P83" s="95"/>
      <c r="Q83" s="96"/>
      <c r="R83" s="88"/>
      <c r="S83" s="89"/>
      <c r="T83" s="89"/>
      <c r="U83" s="90"/>
    </row>
    <row r="84" spans="1:21" ht="18" customHeight="1" x14ac:dyDescent="0.15">
      <c r="A84" s="3"/>
      <c r="B84" s="94"/>
      <c r="C84" s="95"/>
      <c r="D84" s="95"/>
      <c r="E84" s="95"/>
      <c r="F84" s="96"/>
      <c r="G84" s="88"/>
      <c r="H84" s="89"/>
      <c r="I84" s="89"/>
      <c r="J84" s="90"/>
      <c r="K84" s="94"/>
      <c r="L84" s="95"/>
      <c r="M84" s="95"/>
      <c r="N84" s="95"/>
      <c r="O84" s="95"/>
      <c r="P84" s="95"/>
      <c r="Q84" s="96"/>
      <c r="R84" s="88"/>
      <c r="S84" s="89"/>
      <c r="T84" s="89"/>
      <c r="U84" s="90"/>
    </row>
    <row r="85" spans="1:21" ht="18" customHeight="1" x14ac:dyDescent="0.15">
      <c r="A85" s="3"/>
      <c r="B85" s="94"/>
      <c r="C85" s="95"/>
      <c r="D85" s="95"/>
      <c r="E85" s="95"/>
      <c r="F85" s="96"/>
      <c r="G85" s="88"/>
      <c r="H85" s="89"/>
      <c r="I85" s="89"/>
      <c r="J85" s="90"/>
      <c r="K85" s="94"/>
      <c r="L85" s="95"/>
      <c r="M85" s="95"/>
      <c r="N85" s="95"/>
      <c r="O85" s="95"/>
      <c r="P85" s="95"/>
      <c r="Q85" s="96"/>
      <c r="R85" s="88"/>
      <c r="S85" s="89"/>
      <c r="T85" s="89"/>
      <c r="U85" s="90"/>
    </row>
    <row r="86" spans="1:21" ht="18" customHeight="1" x14ac:dyDescent="0.15">
      <c r="A86" s="3"/>
      <c r="B86" s="94"/>
      <c r="C86" s="95"/>
      <c r="D86" s="95"/>
      <c r="E86" s="95"/>
      <c r="F86" s="96"/>
      <c r="G86" s="88"/>
      <c r="H86" s="89"/>
      <c r="I86" s="89"/>
      <c r="J86" s="90"/>
      <c r="K86" s="94"/>
      <c r="L86" s="95"/>
      <c r="M86" s="95"/>
      <c r="N86" s="95"/>
      <c r="O86" s="95"/>
      <c r="P86" s="95"/>
      <c r="Q86" s="96"/>
      <c r="R86" s="88"/>
      <c r="S86" s="89"/>
      <c r="T86" s="89"/>
      <c r="U86" s="90"/>
    </row>
    <row r="87" spans="1:21" ht="18" customHeight="1" x14ac:dyDescent="0.15">
      <c r="A87" s="3"/>
      <c r="B87" s="97"/>
      <c r="C87" s="98"/>
      <c r="D87" s="98"/>
      <c r="E87" s="98"/>
      <c r="F87" s="99"/>
      <c r="G87" s="126"/>
      <c r="H87" s="127"/>
      <c r="I87" s="127"/>
      <c r="J87" s="128"/>
      <c r="K87" s="97"/>
      <c r="L87" s="98"/>
      <c r="M87" s="98"/>
      <c r="N87" s="98"/>
      <c r="O87" s="98"/>
      <c r="P87" s="98"/>
      <c r="Q87" s="99"/>
      <c r="R87" s="126"/>
      <c r="S87" s="127"/>
      <c r="T87" s="127"/>
      <c r="U87" s="128"/>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108</v>
      </c>
    </row>
    <row r="90" spans="1:21" ht="18.75" customHeight="1" x14ac:dyDescent="0.15">
      <c r="B90" s="129" t="s">
        <v>53</v>
      </c>
      <c r="C90" s="130"/>
      <c r="D90" s="91" t="s">
        <v>54</v>
      </c>
      <c r="E90" s="92"/>
      <c r="F90" s="92"/>
      <c r="G90" s="92"/>
      <c r="H90" s="92"/>
      <c r="I90" s="92"/>
      <c r="J90" s="92"/>
      <c r="K90" s="92"/>
      <c r="L90" s="92"/>
      <c r="M90" s="92"/>
      <c r="N90" s="92"/>
      <c r="O90" s="92"/>
      <c r="P90" s="92"/>
      <c r="Q90" s="92"/>
      <c r="R90" s="92"/>
      <c r="S90" s="92"/>
      <c r="T90" s="92"/>
      <c r="U90" s="93"/>
    </row>
    <row r="91" spans="1:21" ht="97.5" customHeight="1" x14ac:dyDescent="0.15">
      <c r="B91" s="109" t="s">
        <v>60</v>
      </c>
      <c r="C91" s="23" t="s">
        <v>55</v>
      </c>
      <c r="D91" s="139" t="s">
        <v>165</v>
      </c>
      <c r="E91" s="140"/>
      <c r="F91" s="140"/>
      <c r="G91" s="140"/>
      <c r="H91" s="140"/>
      <c r="I91" s="140"/>
      <c r="J91" s="140"/>
      <c r="K91" s="140"/>
      <c r="L91" s="140"/>
      <c r="M91" s="140"/>
      <c r="N91" s="140"/>
      <c r="O91" s="140"/>
      <c r="P91" s="140"/>
      <c r="Q91" s="140"/>
      <c r="R91" s="140"/>
      <c r="S91" s="140"/>
      <c r="T91" s="140"/>
      <c r="U91" s="141"/>
    </row>
    <row r="92" spans="1:21" ht="97.5" customHeight="1" x14ac:dyDescent="0.15">
      <c r="B92" s="114"/>
      <c r="C92" s="24" t="s">
        <v>75</v>
      </c>
      <c r="D92" s="136" t="s">
        <v>166</v>
      </c>
      <c r="E92" s="137"/>
      <c r="F92" s="137"/>
      <c r="G92" s="137"/>
      <c r="H92" s="137"/>
      <c r="I92" s="137"/>
      <c r="J92" s="137"/>
      <c r="K92" s="137"/>
      <c r="L92" s="137"/>
      <c r="M92" s="137"/>
      <c r="N92" s="137"/>
      <c r="O92" s="137"/>
      <c r="P92" s="137"/>
      <c r="Q92" s="137"/>
      <c r="R92" s="137"/>
      <c r="S92" s="137"/>
      <c r="T92" s="137"/>
      <c r="U92" s="138"/>
    </row>
    <row r="93" spans="1:21" ht="97.5" customHeight="1" x14ac:dyDescent="0.15">
      <c r="B93" s="109" t="s">
        <v>61</v>
      </c>
      <c r="C93" s="25" t="s">
        <v>69</v>
      </c>
      <c r="D93" s="139" t="s">
        <v>167</v>
      </c>
      <c r="E93" s="140"/>
      <c r="F93" s="140"/>
      <c r="G93" s="140"/>
      <c r="H93" s="140"/>
      <c r="I93" s="140"/>
      <c r="J93" s="140"/>
      <c r="K93" s="140"/>
      <c r="L93" s="140"/>
      <c r="M93" s="140"/>
      <c r="N93" s="140"/>
      <c r="O93" s="140"/>
      <c r="P93" s="140"/>
      <c r="Q93" s="140"/>
      <c r="R93" s="140"/>
      <c r="S93" s="140"/>
      <c r="T93" s="140"/>
      <c r="U93" s="141"/>
    </row>
    <row r="94" spans="1:21" ht="97.5" customHeight="1" x14ac:dyDescent="0.15">
      <c r="B94" s="110"/>
      <c r="C94" s="26" t="s">
        <v>70</v>
      </c>
      <c r="D94" s="136" t="s">
        <v>168</v>
      </c>
      <c r="E94" s="137"/>
      <c r="F94" s="137"/>
      <c r="G94" s="137"/>
      <c r="H94" s="137"/>
      <c r="I94" s="137"/>
      <c r="J94" s="137"/>
      <c r="K94" s="137"/>
      <c r="L94" s="137"/>
      <c r="M94" s="137"/>
      <c r="N94" s="137"/>
      <c r="O94" s="137"/>
      <c r="P94" s="137"/>
      <c r="Q94" s="137"/>
      <c r="R94" s="137"/>
      <c r="S94" s="137"/>
      <c r="T94" s="137"/>
      <c r="U94" s="138"/>
    </row>
    <row r="95" spans="1:21" ht="97.5" customHeight="1" x14ac:dyDescent="0.15">
      <c r="B95" s="109" t="s">
        <v>62</v>
      </c>
      <c r="C95" s="25" t="s">
        <v>71</v>
      </c>
      <c r="D95" s="139" t="s">
        <v>169</v>
      </c>
      <c r="E95" s="140"/>
      <c r="F95" s="140"/>
      <c r="G95" s="140"/>
      <c r="H95" s="140"/>
      <c r="I95" s="140"/>
      <c r="J95" s="140"/>
      <c r="K95" s="140"/>
      <c r="L95" s="140"/>
      <c r="M95" s="140"/>
      <c r="N95" s="140"/>
      <c r="O95" s="140"/>
      <c r="P95" s="140"/>
      <c r="Q95" s="140"/>
      <c r="R95" s="140"/>
      <c r="S95" s="140"/>
      <c r="T95" s="140"/>
      <c r="U95" s="141"/>
    </row>
    <row r="96" spans="1:21" ht="97.5" customHeight="1" x14ac:dyDescent="0.15">
      <c r="B96" s="110"/>
      <c r="C96" s="27" t="s">
        <v>72</v>
      </c>
      <c r="D96" s="136" t="s">
        <v>170</v>
      </c>
      <c r="E96" s="137"/>
      <c r="F96" s="137"/>
      <c r="G96" s="137"/>
      <c r="H96" s="137"/>
      <c r="I96" s="137"/>
      <c r="J96" s="137"/>
      <c r="K96" s="137"/>
      <c r="L96" s="137"/>
      <c r="M96" s="137"/>
      <c r="N96" s="137"/>
      <c r="O96" s="137"/>
      <c r="P96" s="137"/>
      <c r="Q96" s="137"/>
      <c r="R96" s="137"/>
      <c r="S96" s="137"/>
      <c r="T96" s="137"/>
      <c r="U96" s="138"/>
    </row>
    <row r="97" spans="1:33" ht="97.5" customHeight="1" x14ac:dyDescent="0.15">
      <c r="B97" s="109" t="s">
        <v>76</v>
      </c>
      <c r="C97" s="23" t="s">
        <v>57</v>
      </c>
      <c r="D97" s="139" t="s">
        <v>171</v>
      </c>
      <c r="E97" s="140"/>
      <c r="F97" s="140"/>
      <c r="G97" s="140"/>
      <c r="H97" s="140"/>
      <c r="I97" s="140"/>
      <c r="J97" s="140"/>
      <c r="K97" s="140"/>
      <c r="L97" s="140"/>
      <c r="M97" s="140"/>
      <c r="N97" s="140"/>
      <c r="O97" s="140"/>
      <c r="P97" s="140"/>
      <c r="Q97" s="140"/>
      <c r="R97" s="140"/>
      <c r="S97" s="140"/>
      <c r="T97" s="140"/>
      <c r="U97" s="141"/>
    </row>
    <row r="98" spans="1:33" ht="97.5" customHeight="1" x14ac:dyDescent="0.15">
      <c r="B98" s="110"/>
      <c r="C98" s="26" t="s">
        <v>59</v>
      </c>
      <c r="D98" s="136" t="s">
        <v>172</v>
      </c>
      <c r="E98" s="137"/>
      <c r="F98" s="137"/>
      <c r="G98" s="137"/>
      <c r="H98" s="137"/>
      <c r="I98" s="137"/>
      <c r="J98" s="137"/>
      <c r="K98" s="137"/>
      <c r="L98" s="137"/>
      <c r="M98" s="137"/>
      <c r="N98" s="137"/>
      <c r="O98" s="137"/>
      <c r="P98" s="137"/>
      <c r="Q98" s="137"/>
      <c r="R98" s="137"/>
      <c r="S98" s="137"/>
      <c r="T98" s="137"/>
      <c r="U98" s="138"/>
    </row>
    <row r="99" spans="1:33" ht="97.5" customHeight="1" x14ac:dyDescent="0.15">
      <c r="B99" s="109" t="s">
        <v>77</v>
      </c>
      <c r="C99" s="25" t="s">
        <v>56</v>
      </c>
      <c r="D99" s="139" t="s">
        <v>174</v>
      </c>
      <c r="E99" s="140"/>
      <c r="F99" s="140"/>
      <c r="G99" s="140"/>
      <c r="H99" s="140"/>
      <c r="I99" s="140"/>
      <c r="J99" s="140"/>
      <c r="K99" s="140"/>
      <c r="L99" s="140"/>
      <c r="M99" s="140"/>
      <c r="N99" s="140"/>
      <c r="O99" s="140"/>
      <c r="P99" s="140"/>
      <c r="Q99" s="140"/>
      <c r="R99" s="140"/>
      <c r="S99" s="140"/>
      <c r="T99" s="140"/>
      <c r="U99" s="141"/>
    </row>
    <row r="100" spans="1:33" ht="97.5" customHeight="1" x14ac:dyDescent="0.15">
      <c r="B100" s="114"/>
      <c r="C100" s="28" t="s">
        <v>73</v>
      </c>
      <c r="D100" s="142" t="s">
        <v>175</v>
      </c>
      <c r="E100" s="143"/>
      <c r="F100" s="143"/>
      <c r="G100" s="143"/>
      <c r="H100" s="143"/>
      <c r="I100" s="143"/>
      <c r="J100" s="143"/>
      <c r="K100" s="143"/>
      <c r="L100" s="143"/>
      <c r="M100" s="143"/>
      <c r="N100" s="143"/>
      <c r="O100" s="143"/>
      <c r="P100" s="143"/>
      <c r="Q100" s="143"/>
      <c r="R100" s="143"/>
      <c r="S100" s="143"/>
      <c r="T100" s="143"/>
      <c r="U100" s="144"/>
    </row>
    <row r="101" spans="1:33" ht="97.5" customHeight="1" x14ac:dyDescent="0.15">
      <c r="B101" s="110"/>
      <c r="C101" s="27" t="s">
        <v>74</v>
      </c>
      <c r="D101" s="136" t="s">
        <v>173</v>
      </c>
      <c r="E101" s="137"/>
      <c r="F101" s="137"/>
      <c r="G101" s="137"/>
      <c r="H101" s="137"/>
      <c r="I101" s="137"/>
      <c r="J101" s="137"/>
      <c r="K101" s="137"/>
      <c r="L101" s="137"/>
      <c r="M101" s="137"/>
      <c r="N101" s="137"/>
      <c r="O101" s="137"/>
      <c r="P101" s="137"/>
      <c r="Q101" s="137"/>
      <c r="R101" s="137"/>
      <c r="S101" s="137"/>
      <c r="T101" s="137"/>
      <c r="U101" s="138"/>
    </row>
    <row r="102" spans="1:33" ht="6" customHeight="1" x14ac:dyDescent="0.15"/>
    <row r="103" spans="1:33" ht="18.75" customHeight="1" x14ac:dyDescent="0.15">
      <c r="A103" s="1" t="s">
        <v>109</v>
      </c>
    </row>
    <row r="104" spans="1:33" ht="81.75" customHeight="1" x14ac:dyDescent="0.15">
      <c r="B104" s="232" t="s">
        <v>182</v>
      </c>
      <c r="C104" s="233"/>
      <c r="D104" s="233"/>
      <c r="E104" s="233"/>
      <c r="F104" s="233"/>
      <c r="G104" s="233"/>
      <c r="H104" s="233"/>
      <c r="I104" s="233"/>
      <c r="J104" s="233"/>
      <c r="K104" s="233"/>
      <c r="L104" s="233"/>
      <c r="M104" s="233"/>
      <c r="N104" s="233"/>
      <c r="O104" s="233"/>
      <c r="P104" s="233"/>
      <c r="Q104" s="233"/>
      <c r="R104" s="233"/>
      <c r="S104" s="233"/>
      <c r="T104" s="233"/>
      <c r="U104" s="234"/>
    </row>
    <row r="106" spans="1:33" ht="18.75" customHeight="1" x14ac:dyDescent="0.15">
      <c r="A106" s="73" t="s">
        <v>125</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15">
      <c r="A107" s="73" t="s">
        <v>127</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15">
      <c r="A108" s="73"/>
      <c r="B108" s="135" t="s">
        <v>130</v>
      </c>
      <c r="C108" s="135"/>
      <c r="D108" s="135"/>
      <c r="E108" s="135"/>
      <c r="F108" s="135"/>
      <c r="G108" s="135"/>
      <c r="H108" s="135"/>
      <c r="I108" s="135"/>
      <c r="J108" s="135"/>
      <c r="K108" s="135"/>
      <c r="L108" s="135"/>
      <c r="M108" s="135"/>
      <c r="N108" s="135"/>
      <c r="O108" s="135"/>
      <c r="P108" s="135"/>
      <c r="Q108" s="135"/>
      <c r="R108" s="135"/>
      <c r="S108" s="135"/>
      <c r="T108" s="135"/>
      <c r="U108" s="135"/>
      <c r="V108" s="69"/>
      <c r="W108" s="69"/>
      <c r="X108" s="69"/>
      <c r="Y108" s="69"/>
      <c r="Z108" s="69"/>
      <c r="AA108" s="69"/>
      <c r="AB108" s="69"/>
      <c r="AC108" s="69"/>
      <c r="AD108" s="69"/>
      <c r="AE108" s="69"/>
      <c r="AF108" s="69"/>
      <c r="AG108" s="69"/>
    </row>
    <row r="109" spans="1:33" ht="37.15" customHeight="1" x14ac:dyDescent="0.15">
      <c r="A109" s="73"/>
      <c r="B109" s="135"/>
      <c r="C109" s="135"/>
      <c r="D109" s="135"/>
      <c r="E109" s="135"/>
      <c r="F109" s="135"/>
      <c r="G109" s="135"/>
      <c r="H109" s="135"/>
      <c r="I109" s="135"/>
      <c r="J109" s="135"/>
      <c r="K109" s="135"/>
      <c r="L109" s="135"/>
      <c r="M109" s="135"/>
      <c r="N109" s="135"/>
      <c r="O109" s="135"/>
      <c r="P109" s="135"/>
      <c r="Q109" s="135"/>
      <c r="R109" s="135"/>
      <c r="S109" s="135"/>
      <c r="T109" s="135"/>
      <c r="U109" s="135"/>
      <c r="V109" s="69"/>
      <c r="W109" s="69"/>
      <c r="X109" s="69"/>
      <c r="Y109" s="69"/>
      <c r="Z109" s="69"/>
      <c r="AA109" s="69"/>
      <c r="AB109" s="69"/>
      <c r="AC109" s="69"/>
      <c r="AD109" s="69"/>
      <c r="AE109" s="69"/>
      <c r="AF109" s="69"/>
      <c r="AG109" s="69"/>
    </row>
    <row r="110" spans="1:33" ht="18.75" customHeight="1" x14ac:dyDescent="0.15">
      <c r="A110" s="73"/>
      <c r="B110" s="87" t="s">
        <v>126</v>
      </c>
      <c r="C110" s="87"/>
      <c r="D110" s="87"/>
      <c r="E110" s="87"/>
      <c r="F110" s="87"/>
      <c r="G110" s="87"/>
      <c r="H110" s="87"/>
      <c r="I110" s="87"/>
      <c r="J110" s="87"/>
      <c r="K110" s="87"/>
      <c r="L110" s="87"/>
      <c r="M110" s="87"/>
      <c r="N110" s="87"/>
      <c r="O110" s="87"/>
      <c r="P110" s="87"/>
      <c r="Q110" s="87"/>
      <c r="R110" s="87"/>
      <c r="S110" s="87"/>
      <c r="T110" s="87"/>
      <c r="U110" s="87"/>
      <c r="V110" s="69"/>
      <c r="W110" s="69"/>
      <c r="X110" s="69"/>
      <c r="Y110" s="69"/>
      <c r="Z110" s="69"/>
      <c r="AA110" s="69"/>
      <c r="AB110" s="69"/>
      <c r="AC110" s="69"/>
      <c r="AD110" s="69"/>
      <c r="AE110" s="69"/>
      <c r="AF110" s="69"/>
      <c r="AG110" s="69"/>
    </row>
    <row r="111" spans="1:33" ht="18.75" customHeight="1" x14ac:dyDescent="0.15">
      <c r="A111" s="73"/>
      <c r="B111" s="100" t="s">
        <v>54</v>
      </c>
      <c r="C111" s="100"/>
      <c r="D111" s="100"/>
      <c r="E111" s="100"/>
      <c r="F111" s="100"/>
      <c r="G111" s="100"/>
      <c r="H111" s="100"/>
      <c r="I111" s="100"/>
      <c r="J111" s="100"/>
      <c r="K111" s="100"/>
      <c r="L111" s="100"/>
      <c r="M111" s="100"/>
      <c r="N111" s="100"/>
      <c r="O111" s="100"/>
      <c r="P111" s="100"/>
      <c r="Q111" s="100"/>
      <c r="R111" s="100"/>
      <c r="S111" s="100"/>
      <c r="T111" s="100"/>
      <c r="U111" s="100"/>
      <c r="V111" s="68"/>
      <c r="W111" s="68"/>
      <c r="X111" s="68"/>
      <c r="Y111" s="68"/>
      <c r="Z111" s="68"/>
      <c r="AA111" s="68"/>
      <c r="AB111" s="68"/>
      <c r="AC111" s="68"/>
      <c r="AD111" s="68"/>
      <c r="AE111" s="68"/>
      <c r="AF111" s="68"/>
      <c r="AG111" s="68"/>
    </row>
    <row r="112" spans="1:33" ht="132" customHeight="1" x14ac:dyDescent="0.15">
      <c r="A112" s="73"/>
      <c r="B112" s="101" t="s">
        <v>160</v>
      </c>
      <c r="C112" s="101"/>
      <c r="D112" s="101"/>
      <c r="E112" s="101"/>
      <c r="F112" s="101"/>
      <c r="G112" s="101"/>
      <c r="H112" s="101"/>
      <c r="I112" s="101"/>
      <c r="J112" s="101"/>
      <c r="K112" s="101"/>
      <c r="L112" s="101"/>
      <c r="M112" s="101"/>
      <c r="N112" s="101"/>
      <c r="O112" s="101"/>
      <c r="P112" s="101"/>
      <c r="Q112" s="101"/>
      <c r="R112" s="101"/>
      <c r="S112" s="101"/>
      <c r="T112" s="101"/>
      <c r="U112" s="101"/>
      <c r="V112" s="70"/>
      <c r="W112" s="70"/>
      <c r="X112" s="70"/>
      <c r="Y112" s="70"/>
      <c r="Z112" s="70"/>
      <c r="AA112" s="70"/>
      <c r="AB112" s="70"/>
      <c r="AC112" s="70"/>
      <c r="AD112" s="70"/>
      <c r="AE112" s="70"/>
      <c r="AF112" s="70"/>
      <c r="AG112" s="70"/>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1:G88 R81:R88 H81:J82 H85:J88 S85:U88 S81:U82"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view="pageBreakPreview" topLeftCell="A22" zoomScaleNormal="100" zoomScaleSheetLayoutView="100" workbookViewId="0">
      <selection activeCell="S33" sqref="S33"/>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5"/>
      <c r="B1" s="75"/>
      <c r="C1" s="75"/>
      <c r="D1" s="75"/>
      <c r="E1" s="75"/>
      <c r="F1" s="75"/>
      <c r="G1" s="75"/>
      <c r="H1" s="75"/>
      <c r="I1" s="75"/>
      <c r="J1" s="75"/>
      <c r="K1" s="75"/>
      <c r="L1" s="75"/>
      <c r="M1" s="75"/>
      <c r="N1" s="75"/>
      <c r="O1" s="75"/>
      <c r="P1" s="75"/>
      <c r="Q1" s="75"/>
      <c r="R1" s="75"/>
      <c r="S1" s="75" t="s">
        <v>98</v>
      </c>
    </row>
    <row r="2" spans="1:21" ht="18" customHeight="1" x14ac:dyDescent="0.15">
      <c r="A2" s="75"/>
      <c r="B2" s="75"/>
      <c r="C2" s="75"/>
      <c r="D2" s="75"/>
      <c r="E2" s="75"/>
      <c r="F2" s="75"/>
      <c r="G2" s="75"/>
      <c r="H2" s="75"/>
      <c r="I2" s="75"/>
      <c r="J2" s="75"/>
      <c r="K2" s="75"/>
      <c r="L2" s="75"/>
      <c r="M2" s="75"/>
      <c r="N2" s="75"/>
      <c r="O2" s="75"/>
      <c r="P2" s="75"/>
      <c r="Q2" s="158" t="str">
        <f>'様式１　プログラムを構成する授業科目'!C2</f>
        <v>富山短期大学</v>
      </c>
      <c r="R2" s="158"/>
      <c r="S2" s="158"/>
    </row>
    <row r="3" spans="1:21" ht="18" customHeight="1" x14ac:dyDescent="0.15">
      <c r="A3" s="115" t="s">
        <v>47</v>
      </c>
      <c r="B3" s="115"/>
      <c r="C3" s="115"/>
      <c r="D3" s="115"/>
      <c r="E3" s="115"/>
      <c r="F3" s="115"/>
      <c r="G3" s="115"/>
      <c r="H3" s="115"/>
      <c r="I3" s="115"/>
      <c r="J3" s="115"/>
      <c r="K3" s="115"/>
      <c r="L3" s="115"/>
      <c r="M3" s="115"/>
      <c r="N3" s="115"/>
      <c r="O3" s="115"/>
      <c r="P3" s="115"/>
      <c r="Q3" s="115"/>
      <c r="R3" s="115"/>
      <c r="S3" s="115"/>
    </row>
    <row r="4" spans="1:21" ht="7.5" customHeight="1" x14ac:dyDescent="0.15">
      <c r="A4" s="80"/>
      <c r="B4" s="80"/>
      <c r="C4" s="80"/>
      <c r="D4" s="80"/>
      <c r="E4" s="80"/>
      <c r="F4" s="80"/>
      <c r="G4" s="80"/>
      <c r="H4" s="80"/>
      <c r="I4" s="80"/>
      <c r="J4" s="80"/>
      <c r="K4" s="80"/>
      <c r="L4" s="80"/>
      <c r="M4" s="80"/>
      <c r="N4" s="80"/>
      <c r="O4" s="80"/>
      <c r="P4" s="80"/>
      <c r="Q4" s="80"/>
      <c r="R4" s="80"/>
      <c r="S4" s="80"/>
    </row>
    <row r="5" spans="1:21" ht="18" customHeight="1" x14ac:dyDescent="0.15">
      <c r="A5" s="75" t="s">
        <v>80</v>
      </c>
      <c r="B5" s="75"/>
      <c r="C5" s="159" t="s">
        <v>161</v>
      </c>
      <c r="D5" s="160"/>
      <c r="E5" s="80" t="s">
        <v>51</v>
      </c>
      <c r="F5" s="80"/>
      <c r="G5" s="80"/>
      <c r="H5" s="80"/>
      <c r="I5" s="80"/>
      <c r="J5" s="80"/>
      <c r="K5" s="80"/>
      <c r="L5" s="80"/>
      <c r="M5" s="80"/>
      <c r="N5" s="80"/>
      <c r="O5" s="80"/>
      <c r="P5" s="80"/>
      <c r="Q5" s="80"/>
      <c r="R5" s="78"/>
      <c r="S5" s="78"/>
    </row>
    <row r="6" spans="1:21" ht="7.15" customHeight="1" x14ac:dyDescent="0.15">
      <c r="A6" s="75"/>
      <c r="B6" s="75"/>
      <c r="C6" s="86"/>
      <c r="D6" s="86"/>
      <c r="E6" s="80"/>
      <c r="F6" s="80"/>
      <c r="G6" s="80"/>
      <c r="H6" s="80"/>
      <c r="I6" s="80"/>
      <c r="J6" s="80"/>
      <c r="K6" s="80"/>
      <c r="L6" s="80"/>
      <c r="M6" s="80"/>
      <c r="N6" s="80"/>
      <c r="O6" s="80"/>
      <c r="P6" s="80"/>
      <c r="Q6" s="80"/>
      <c r="R6" s="78"/>
      <c r="S6" s="78"/>
    </row>
    <row r="7" spans="1:21" ht="18" customHeight="1" x14ac:dyDescent="0.15">
      <c r="A7" s="75" t="s">
        <v>118</v>
      </c>
      <c r="B7" s="75"/>
      <c r="C7" s="86"/>
      <c r="D7" s="86"/>
      <c r="E7" s="80" t="s">
        <v>119</v>
      </c>
      <c r="F7" s="84">
        <v>90</v>
      </c>
      <c r="G7" s="82" t="s">
        <v>120</v>
      </c>
      <c r="H7" s="80" t="s">
        <v>121</v>
      </c>
      <c r="I7" s="84">
        <v>490</v>
      </c>
      <c r="J7" s="82" t="s">
        <v>120</v>
      </c>
      <c r="K7" s="77" t="s">
        <v>122</v>
      </c>
      <c r="L7" s="80" t="s">
        <v>123</v>
      </c>
      <c r="M7" s="84">
        <f>F7+I7</f>
        <v>580</v>
      </c>
      <c r="N7" s="80" t="s">
        <v>1</v>
      </c>
      <c r="O7" s="82" t="s">
        <v>124</v>
      </c>
      <c r="P7" s="80"/>
      <c r="Q7" s="80"/>
      <c r="R7" s="78"/>
      <c r="S7" s="78"/>
    </row>
    <row r="8" spans="1:21" ht="6" customHeight="1" x14ac:dyDescent="0.15">
      <c r="A8" s="80"/>
      <c r="B8" s="80"/>
      <c r="C8" s="80"/>
      <c r="D8" s="80"/>
      <c r="E8" s="80"/>
      <c r="F8" s="80"/>
      <c r="G8" s="80"/>
      <c r="H8" s="80"/>
      <c r="I8" s="80"/>
      <c r="J8" s="80"/>
      <c r="K8" s="80"/>
      <c r="L8" s="80"/>
      <c r="M8" s="80"/>
      <c r="N8" s="80"/>
      <c r="O8" s="80"/>
      <c r="P8" s="80"/>
      <c r="Q8" s="80"/>
      <c r="R8" s="80"/>
      <c r="S8" s="80"/>
    </row>
    <row r="9" spans="1:21" ht="18" customHeight="1" x14ac:dyDescent="0.15">
      <c r="A9" s="75" t="s">
        <v>134</v>
      </c>
      <c r="B9" s="80"/>
      <c r="C9" s="80"/>
      <c r="D9" s="80"/>
      <c r="E9" s="80"/>
      <c r="F9" s="80"/>
      <c r="G9" s="80"/>
      <c r="H9" s="80"/>
      <c r="I9" s="80"/>
      <c r="J9" s="80"/>
      <c r="K9" s="80"/>
      <c r="L9" s="80"/>
      <c r="M9" s="80"/>
      <c r="N9" s="80"/>
      <c r="O9" s="80"/>
      <c r="P9" s="80"/>
      <c r="Q9" s="80"/>
      <c r="R9" s="80"/>
      <c r="S9" s="80"/>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1" t="s">
        <v>44</v>
      </c>
      <c r="C11" s="171" t="s">
        <v>83</v>
      </c>
      <c r="D11" s="163" t="s">
        <v>46</v>
      </c>
      <c r="E11" s="165" t="s">
        <v>39</v>
      </c>
      <c r="F11" s="157" t="s">
        <v>112</v>
      </c>
      <c r="G11" s="157"/>
      <c r="H11" s="157" t="s">
        <v>82</v>
      </c>
      <c r="I11" s="157"/>
      <c r="J11" s="157" t="s">
        <v>48</v>
      </c>
      <c r="K11" s="157"/>
      <c r="L11" s="157" t="s">
        <v>49</v>
      </c>
      <c r="M11" s="157"/>
      <c r="N11" s="157" t="s">
        <v>92</v>
      </c>
      <c r="O11" s="157"/>
      <c r="P11" s="157" t="s">
        <v>50</v>
      </c>
      <c r="Q11" s="157"/>
      <c r="R11" s="167" t="s">
        <v>35</v>
      </c>
      <c r="S11" s="169" t="s">
        <v>32</v>
      </c>
      <c r="U11" s="2"/>
    </row>
    <row r="12" spans="1:21" ht="16.899999999999999" customHeight="1" x14ac:dyDescent="0.15">
      <c r="B12" s="162"/>
      <c r="C12" s="172"/>
      <c r="D12" s="164"/>
      <c r="E12" s="166"/>
      <c r="F12" s="62" t="s">
        <v>91</v>
      </c>
      <c r="G12" s="62" t="s">
        <v>29</v>
      </c>
      <c r="H12" s="62" t="s">
        <v>91</v>
      </c>
      <c r="I12" s="62" t="s">
        <v>29</v>
      </c>
      <c r="J12" s="62" t="s">
        <v>91</v>
      </c>
      <c r="K12" s="62" t="s">
        <v>29</v>
      </c>
      <c r="L12" s="62" t="s">
        <v>91</v>
      </c>
      <c r="M12" s="62" t="s">
        <v>29</v>
      </c>
      <c r="N12" s="62" t="s">
        <v>91</v>
      </c>
      <c r="O12" s="62" t="s">
        <v>29</v>
      </c>
      <c r="P12" s="62" t="s">
        <v>91</v>
      </c>
      <c r="Q12" s="63" t="s">
        <v>29</v>
      </c>
      <c r="R12" s="168"/>
      <c r="S12" s="170"/>
      <c r="U12" s="2"/>
    </row>
    <row r="13" spans="1:21" ht="18" customHeight="1" x14ac:dyDescent="0.15">
      <c r="A13" s="6"/>
      <c r="B13" s="64" t="s">
        <v>178</v>
      </c>
      <c r="C13" s="50">
        <v>66</v>
      </c>
      <c r="D13" s="51">
        <v>80</v>
      </c>
      <c r="E13" s="52">
        <v>160</v>
      </c>
      <c r="F13" s="50">
        <v>64</v>
      </c>
      <c r="G13" s="52">
        <v>63</v>
      </c>
      <c r="H13" s="52"/>
      <c r="I13" s="52"/>
      <c r="J13" s="52"/>
      <c r="K13" s="52"/>
      <c r="L13" s="52"/>
      <c r="M13" s="52"/>
      <c r="N13" s="52"/>
      <c r="O13" s="52"/>
      <c r="P13" s="52"/>
      <c r="Q13" s="65"/>
      <c r="R13" s="51">
        <f t="shared" ref="R13:R32" si="0">F13+H13+J13+L13+N13+P13</f>
        <v>64</v>
      </c>
      <c r="S13" s="66">
        <f t="shared" ref="S13:S33" si="1">R13/E13</f>
        <v>0.4</v>
      </c>
    </row>
    <row r="14" spans="1:21" ht="18" customHeight="1" x14ac:dyDescent="0.15">
      <c r="A14" s="6"/>
      <c r="B14" s="11" t="s">
        <v>179</v>
      </c>
      <c r="C14" s="53">
        <v>87</v>
      </c>
      <c r="D14" s="54">
        <v>80</v>
      </c>
      <c r="E14" s="55">
        <v>160</v>
      </c>
      <c r="F14" s="53">
        <v>86</v>
      </c>
      <c r="G14" s="56">
        <v>86</v>
      </c>
      <c r="H14" s="56"/>
      <c r="I14" s="56"/>
      <c r="J14" s="56"/>
      <c r="K14" s="56"/>
      <c r="L14" s="56"/>
      <c r="M14" s="56"/>
      <c r="N14" s="56"/>
      <c r="O14" s="56"/>
      <c r="P14" s="56"/>
      <c r="Q14" s="53"/>
      <c r="R14" s="54">
        <f t="shared" si="0"/>
        <v>86</v>
      </c>
      <c r="S14" s="16">
        <f t="shared" si="1"/>
        <v>0.53749999999999998</v>
      </c>
    </row>
    <row r="15" spans="1:21" ht="18" customHeight="1" x14ac:dyDescent="0.15">
      <c r="A15" s="6"/>
      <c r="B15" s="11" t="s">
        <v>180</v>
      </c>
      <c r="C15" s="53">
        <v>91</v>
      </c>
      <c r="D15" s="54">
        <v>110</v>
      </c>
      <c r="E15" s="55">
        <v>220</v>
      </c>
      <c r="F15" s="53">
        <v>90</v>
      </c>
      <c r="G15" s="56">
        <v>89</v>
      </c>
      <c r="H15" s="56"/>
      <c r="I15" s="56"/>
      <c r="J15" s="56"/>
      <c r="K15" s="56"/>
      <c r="L15" s="56"/>
      <c r="M15" s="56"/>
      <c r="N15" s="56"/>
      <c r="O15" s="56"/>
      <c r="P15" s="56"/>
      <c r="Q15" s="53"/>
      <c r="R15" s="54">
        <f t="shared" si="0"/>
        <v>90</v>
      </c>
      <c r="S15" s="8">
        <f t="shared" si="1"/>
        <v>0.40909090909090912</v>
      </c>
    </row>
    <row r="16" spans="1:21" ht="18" customHeight="1" x14ac:dyDescent="0.15">
      <c r="A16" s="6"/>
      <c r="B16" s="11" t="s">
        <v>181</v>
      </c>
      <c r="C16" s="53">
        <v>23</v>
      </c>
      <c r="D16" s="54">
        <v>40</v>
      </c>
      <c r="E16" s="55">
        <v>80</v>
      </c>
      <c r="F16" s="53">
        <v>23</v>
      </c>
      <c r="G16" s="56">
        <v>23</v>
      </c>
      <c r="H16" s="56"/>
      <c r="I16" s="56"/>
      <c r="J16" s="56"/>
      <c r="K16" s="56"/>
      <c r="L16" s="56"/>
      <c r="M16" s="56"/>
      <c r="N16" s="56"/>
      <c r="O16" s="56"/>
      <c r="P16" s="56"/>
      <c r="Q16" s="53"/>
      <c r="R16" s="54">
        <f t="shared" si="0"/>
        <v>23</v>
      </c>
      <c r="S16" s="8">
        <f t="shared" si="1"/>
        <v>0.28749999999999998</v>
      </c>
    </row>
    <row r="17" spans="1:19" ht="18" customHeight="1" x14ac:dyDescent="0.15">
      <c r="A17" s="6"/>
      <c r="B17" s="11"/>
      <c r="C17" s="53"/>
      <c r="D17" s="54"/>
      <c r="E17" s="55"/>
      <c r="F17" s="56"/>
      <c r="G17" s="56"/>
      <c r="H17" s="56"/>
      <c r="I17" s="56"/>
      <c r="J17" s="56"/>
      <c r="K17" s="56"/>
      <c r="L17" s="56"/>
      <c r="M17" s="56"/>
      <c r="N17" s="56"/>
      <c r="O17" s="56"/>
      <c r="P17" s="56"/>
      <c r="Q17" s="53"/>
      <c r="R17" s="54">
        <f t="shared" si="0"/>
        <v>0</v>
      </c>
      <c r="S17" s="8" t="e">
        <f t="shared" si="1"/>
        <v>#DIV/0!</v>
      </c>
    </row>
    <row r="18" spans="1:19" ht="18" customHeight="1" x14ac:dyDescent="0.15">
      <c r="A18" s="6"/>
      <c r="B18" s="11"/>
      <c r="C18" s="53"/>
      <c r="D18" s="54"/>
      <c r="E18" s="55"/>
      <c r="F18" s="56"/>
      <c r="G18" s="56"/>
      <c r="H18" s="56"/>
      <c r="I18" s="56"/>
      <c r="J18" s="56"/>
      <c r="K18" s="56"/>
      <c r="L18" s="56"/>
      <c r="M18" s="56"/>
      <c r="N18" s="56"/>
      <c r="O18" s="56"/>
      <c r="P18" s="56"/>
      <c r="Q18" s="53"/>
      <c r="R18" s="54">
        <f t="shared" si="0"/>
        <v>0</v>
      </c>
      <c r="S18" s="8" t="e">
        <f t="shared" si="1"/>
        <v>#DIV/0!</v>
      </c>
    </row>
    <row r="19" spans="1:19" ht="18" customHeight="1" x14ac:dyDescent="0.15">
      <c r="A19" s="6"/>
      <c r="B19" s="11"/>
      <c r="C19" s="53"/>
      <c r="D19" s="54"/>
      <c r="E19" s="55"/>
      <c r="F19" s="56"/>
      <c r="G19" s="56"/>
      <c r="H19" s="56"/>
      <c r="I19" s="56"/>
      <c r="J19" s="56"/>
      <c r="K19" s="56"/>
      <c r="L19" s="56"/>
      <c r="M19" s="56"/>
      <c r="N19" s="56"/>
      <c r="O19" s="56"/>
      <c r="P19" s="56"/>
      <c r="Q19" s="53"/>
      <c r="R19" s="54">
        <f t="shared" si="0"/>
        <v>0</v>
      </c>
      <c r="S19" s="8" t="e">
        <f t="shared" si="1"/>
        <v>#DIV/0!</v>
      </c>
    </row>
    <row r="20" spans="1:19" ht="18" customHeight="1" x14ac:dyDescent="0.15">
      <c r="A20" s="6"/>
      <c r="B20" s="11"/>
      <c r="C20" s="53"/>
      <c r="D20" s="54"/>
      <c r="E20" s="55"/>
      <c r="F20" s="56"/>
      <c r="G20" s="56"/>
      <c r="H20" s="56"/>
      <c r="I20" s="56"/>
      <c r="J20" s="56"/>
      <c r="K20" s="56"/>
      <c r="L20" s="56"/>
      <c r="M20" s="56"/>
      <c r="N20" s="56"/>
      <c r="O20" s="56"/>
      <c r="P20" s="56"/>
      <c r="Q20" s="53"/>
      <c r="R20" s="54">
        <f t="shared" si="0"/>
        <v>0</v>
      </c>
      <c r="S20" s="8" t="e">
        <f t="shared" si="1"/>
        <v>#DIV/0!</v>
      </c>
    </row>
    <row r="21" spans="1:19" ht="18" customHeight="1" x14ac:dyDescent="0.15">
      <c r="A21" s="6"/>
      <c r="B21" s="11"/>
      <c r="C21" s="53"/>
      <c r="D21" s="54"/>
      <c r="E21" s="55"/>
      <c r="F21" s="56"/>
      <c r="G21" s="56"/>
      <c r="H21" s="56"/>
      <c r="I21" s="56"/>
      <c r="J21" s="56"/>
      <c r="K21" s="56"/>
      <c r="L21" s="56"/>
      <c r="M21" s="56"/>
      <c r="N21" s="56"/>
      <c r="O21" s="56"/>
      <c r="P21" s="56"/>
      <c r="Q21" s="53"/>
      <c r="R21" s="54">
        <f t="shared" si="0"/>
        <v>0</v>
      </c>
      <c r="S21" s="8" t="e">
        <f t="shared" si="1"/>
        <v>#DIV/0!</v>
      </c>
    </row>
    <row r="22" spans="1:19" ht="18" customHeight="1" x14ac:dyDescent="0.15">
      <c r="A22" s="6"/>
      <c r="B22" s="11"/>
      <c r="C22" s="53"/>
      <c r="D22" s="54"/>
      <c r="E22" s="55"/>
      <c r="F22" s="56"/>
      <c r="G22" s="56"/>
      <c r="H22" s="56"/>
      <c r="I22" s="56"/>
      <c r="J22" s="56"/>
      <c r="K22" s="56"/>
      <c r="L22" s="56"/>
      <c r="M22" s="56"/>
      <c r="N22" s="56"/>
      <c r="O22" s="56"/>
      <c r="P22" s="56"/>
      <c r="Q22" s="53"/>
      <c r="R22" s="54">
        <f t="shared" si="0"/>
        <v>0</v>
      </c>
      <c r="S22" s="8" t="e">
        <f t="shared" si="1"/>
        <v>#DIV/0!</v>
      </c>
    </row>
    <row r="23" spans="1:19" ht="18" customHeight="1" x14ac:dyDescent="0.15">
      <c r="A23" s="6"/>
      <c r="B23" s="11"/>
      <c r="C23" s="53"/>
      <c r="D23" s="54"/>
      <c r="E23" s="55"/>
      <c r="F23" s="56"/>
      <c r="G23" s="56"/>
      <c r="H23" s="56"/>
      <c r="I23" s="56"/>
      <c r="J23" s="56"/>
      <c r="K23" s="56"/>
      <c r="L23" s="56"/>
      <c r="M23" s="56"/>
      <c r="N23" s="56"/>
      <c r="O23" s="56"/>
      <c r="P23" s="56"/>
      <c r="Q23" s="53"/>
      <c r="R23" s="54">
        <f t="shared" si="0"/>
        <v>0</v>
      </c>
      <c r="S23" s="8" t="e">
        <f t="shared" si="1"/>
        <v>#DIV/0!</v>
      </c>
    </row>
    <row r="24" spans="1:19" ht="18" customHeight="1" x14ac:dyDescent="0.15">
      <c r="A24" s="6"/>
      <c r="B24" s="11"/>
      <c r="C24" s="53"/>
      <c r="D24" s="54"/>
      <c r="E24" s="55"/>
      <c r="F24" s="56"/>
      <c r="G24" s="56"/>
      <c r="H24" s="56"/>
      <c r="I24" s="56"/>
      <c r="J24" s="56"/>
      <c r="K24" s="56"/>
      <c r="L24" s="56"/>
      <c r="M24" s="56"/>
      <c r="N24" s="56"/>
      <c r="O24" s="56"/>
      <c r="P24" s="56"/>
      <c r="Q24" s="53"/>
      <c r="R24" s="54">
        <f t="shared" si="0"/>
        <v>0</v>
      </c>
      <c r="S24" s="8" t="e">
        <f t="shared" si="1"/>
        <v>#DIV/0!</v>
      </c>
    </row>
    <row r="25" spans="1:19" ht="18" customHeight="1" x14ac:dyDescent="0.15">
      <c r="A25" s="6"/>
      <c r="B25" s="11"/>
      <c r="C25" s="53"/>
      <c r="D25" s="54"/>
      <c r="E25" s="55"/>
      <c r="F25" s="56"/>
      <c r="G25" s="56"/>
      <c r="H25" s="56"/>
      <c r="I25" s="56"/>
      <c r="J25" s="56"/>
      <c r="K25" s="56"/>
      <c r="L25" s="56"/>
      <c r="M25" s="56"/>
      <c r="N25" s="56"/>
      <c r="O25" s="56"/>
      <c r="P25" s="56"/>
      <c r="Q25" s="53"/>
      <c r="R25" s="54">
        <f t="shared" si="0"/>
        <v>0</v>
      </c>
      <c r="S25" s="8" t="e">
        <f t="shared" si="1"/>
        <v>#DIV/0!</v>
      </c>
    </row>
    <row r="26" spans="1:19" ht="18" customHeight="1" x14ac:dyDescent="0.15">
      <c r="A26" s="6"/>
      <c r="B26" s="11"/>
      <c r="C26" s="53"/>
      <c r="D26" s="54"/>
      <c r="E26" s="55"/>
      <c r="F26" s="56"/>
      <c r="G26" s="56"/>
      <c r="H26" s="56"/>
      <c r="I26" s="56"/>
      <c r="J26" s="56"/>
      <c r="K26" s="56"/>
      <c r="L26" s="56"/>
      <c r="M26" s="56"/>
      <c r="N26" s="56"/>
      <c r="O26" s="56"/>
      <c r="P26" s="56"/>
      <c r="Q26" s="53"/>
      <c r="R26" s="54">
        <f t="shared" si="0"/>
        <v>0</v>
      </c>
      <c r="S26" s="8" t="e">
        <f t="shared" si="1"/>
        <v>#DIV/0!</v>
      </c>
    </row>
    <row r="27" spans="1:19" ht="18" customHeight="1" x14ac:dyDescent="0.15">
      <c r="A27" s="6"/>
      <c r="B27" s="11"/>
      <c r="C27" s="53"/>
      <c r="D27" s="54"/>
      <c r="E27" s="55"/>
      <c r="F27" s="56"/>
      <c r="G27" s="56"/>
      <c r="H27" s="56"/>
      <c r="I27" s="56"/>
      <c r="J27" s="56"/>
      <c r="K27" s="56"/>
      <c r="L27" s="56"/>
      <c r="M27" s="56"/>
      <c r="N27" s="56"/>
      <c r="O27" s="56"/>
      <c r="P27" s="56"/>
      <c r="Q27" s="53"/>
      <c r="R27" s="54">
        <f t="shared" si="0"/>
        <v>0</v>
      </c>
      <c r="S27" s="8" t="e">
        <f t="shared" si="1"/>
        <v>#DIV/0!</v>
      </c>
    </row>
    <row r="28" spans="1:19" ht="18" customHeight="1" x14ac:dyDescent="0.15">
      <c r="A28" s="6"/>
      <c r="B28" s="11"/>
      <c r="C28" s="53"/>
      <c r="D28" s="54"/>
      <c r="E28" s="55"/>
      <c r="F28" s="56"/>
      <c r="G28" s="56"/>
      <c r="H28" s="56"/>
      <c r="I28" s="56"/>
      <c r="J28" s="56"/>
      <c r="K28" s="56"/>
      <c r="L28" s="56"/>
      <c r="M28" s="56"/>
      <c r="N28" s="56"/>
      <c r="O28" s="56"/>
      <c r="P28" s="56"/>
      <c r="Q28" s="53"/>
      <c r="R28" s="54">
        <f t="shared" si="0"/>
        <v>0</v>
      </c>
      <c r="S28" s="8" t="e">
        <f t="shared" si="1"/>
        <v>#DIV/0!</v>
      </c>
    </row>
    <row r="29" spans="1:19" ht="18" customHeight="1" x14ac:dyDescent="0.15">
      <c r="A29" s="6"/>
      <c r="B29" s="11"/>
      <c r="C29" s="53"/>
      <c r="D29" s="54"/>
      <c r="E29" s="55"/>
      <c r="F29" s="56"/>
      <c r="G29" s="56"/>
      <c r="H29" s="56"/>
      <c r="I29" s="56"/>
      <c r="J29" s="56"/>
      <c r="K29" s="56"/>
      <c r="L29" s="56"/>
      <c r="M29" s="56"/>
      <c r="N29" s="56"/>
      <c r="O29" s="56"/>
      <c r="P29" s="56"/>
      <c r="Q29" s="53"/>
      <c r="R29" s="54">
        <f t="shared" si="0"/>
        <v>0</v>
      </c>
      <c r="S29" s="8" t="e">
        <f t="shared" si="1"/>
        <v>#DIV/0!</v>
      </c>
    </row>
    <row r="30" spans="1:19" ht="18" customHeight="1" x14ac:dyDescent="0.15">
      <c r="A30" s="6"/>
      <c r="B30" s="11"/>
      <c r="C30" s="53"/>
      <c r="D30" s="57"/>
      <c r="E30" s="55"/>
      <c r="F30" s="56"/>
      <c r="G30" s="56"/>
      <c r="H30" s="56"/>
      <c r="I30" s="56"/>
      <c r="J30" s="56"/>
      <c r="K30" s="56"/>
      <c r="L30" s="56"/>
      <c r="M30" s="56"/>
      <c r="N30" s="56"/>
      <c r="O30" s="56"/>
      <c r="P30" s="56"/>
      <c r="Q30" s="53"/>
      <c r="R30" s="57">
        <f t="shared" si="0"/>
        <v>0</v>
      </c>
      <c r="S30" s="8" t="e">
        <f t="shared" si="1"/>
        <v>#DIV/0!</v>
      </c>
    </row>
    <row r="31" spans="1:19" ht="18" customHeight="1" x14ac:dyDescent="0.15">
      <c r="A31" s="6"/>
      <c r="B31" s="11"/>
      <c r="C31" s="53"/>
      <c r="D31" s="57"/>
      <c r="E31" s="55"/>
      <c r="F31" s="56"/>
      <c r="G31" s="56"/>
      <c r="H31" s="56"/>
      <c r="I31" s="56"/>
      <c r="J31" s="56"/>
      <c r="K31" s="56"/>
      <c r="L31" s="56"/>
      <c r="M31" s="56"/>
      <c r="N31" s="56"/>
      <c r="O31" s="56"/>
      <c r="P31" s="56"/>
      <c r="Q31" s="53"/>
      <c r="R31" s="57">
        <f t="shared" si="0"/>
        <v>0</v>
      </c>
      <c r="S31" s="8" t="e">
        <f t="shared" si="1"/>
        <v>#DIV/0!</v>
      </c>
    </row>
    <row r="32" spans="1:19" ht="18" customHeight="1" thickBot="1" x14ac:dyDescent="0.2">
      <c r="A32" s="6"/>
      <c r="B32" s="12"/>
      <c r="C32" s="50"/>
      <c r="D32" s="58"/>
      <c r="E32" s="52"/>
      <c r="F32" s="52"/>
      <c r="G32" s="52"/>
      <c r="H32" s="52"/>
      <c r="I32" s="52"/>
      <c r="J32" s="52"/>
      <c r="K32" s="52"/>
      <c r="L32" s="52"/>
      <c r="M32" s="52"/>
      <c r="N32" s="52"/>
      <c r="O32" s="52"/>
      <c r="P32" s="52"/>
      <c r="Q32" s="53"/>
      <c r="R32" s="58">
        <f t="shared" si="0"/>
        <v>0</v>
      </c>
      <c r="S32" s="7" t="e">
        <f t="shared" si="1"/>
        <v>#DIV/0!</v>
      </c>
    </row>
    <row r="33" spans="2:19" ht="18" customHeight="1" thickTop="1" x14ac:dyDescent="0.15">
      <c r="B33" s="13" t="s">
        <v>33</v>
      </c>
      <c r="C33" s="59">
        <f t="shared" ref="C33" si="2">SUM(C13:C32)</f>
        <v>267</v>
      </c>
      <c r="D33" s="60">
        <f t="shared" ref="D33:R33" si="3">SUM(D13:D32)</f>
        <v>310</v>
      </c>
      <c r="E33" s="61">
        <f t="shared" si="3"/>
        <v>620</v>
      </c>
      <c r="F33" s="61">
        <f t="shared" si="3"/>
        <v>263</v>
      </c>
      <c r="G33" s="61">
        <f t="shared" ref="G33:H33" si="4">SUM(G13:G32)</f>
        <v>261</v>
      </c>
      <c r="H33" s="61">
        <f t="shared" si="4"/>
        <v>0</v>
      </c>
      <c r="I33" s="61">
        <f t="shared" ref="I33:J33" si="5">SUM(I13:I32)</f>
        <v>0</v>
      </c>
      <c r="J33" s="61">
        <f t="shared" si="5"/>
        <v>0</v>
      </c>
      <c r="K33" s="61">
        <f t="shared" ref="K33:O33" si="6">SUM(K13:K32)</f>
        <v>0</v>
      </c>
      <c r="L33" s="61">
        <f t="shared" si="6"/>
        <v>0</v>
      </c>
      <c r="M33" s="61">
        <f t="shared" si="6"/>
        <v>0</v>
      </c>
      <c r="N33" s="61">
        <f t="shared" si="6"/>
        <v>0</v>
      </c>
      <c r="O33" s="61">
        <f t="shared" si="6"/>
        <v>0</v>
      </c>
      <c r="P33" s="61">
        <f t="shared" ref="P33:Q33" si="7">SUM(P13:P32)</f>
        <v>0</v>
      </c>
      <c r="Q33" s="59">
        <f t="shared" si="7"/>
        <v>0</v>
      </c>
      <c r="R33" s="60">
        <f t="shared" si="3"/>
        <v>263</v>
      </c>
      <c r="S33" s="9">
        <f t="shared" si="1"/>
        <v>0.42419354838709677</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topLeftCell="A41" zoomScaleNormal="100" zoomScaleSheetLayoutView="100" workbookViewId="0">
      <selection activeCell="B52" sqref="B52:I63"/>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63</v>
      </c>
      <c r="I1" s="30" t="s">
        <v>97</v>
      </c>
    </row>
    <row r="2" spans="1:9" ht="18.75" customHeight="1" x14ac:dyDescent="0.15">
      <c r="G2" s="30" t="s">
        <v>99</v>
      </c>
      <c r="H2" s="91" t="str">
        <f>'様式１　プログラムを構成する授業科目'!C2</f>
        <v>富山短期大学</v>
      </c>
      <c r="I2" s="93"/>
    </row>
    <row r="3" spans="1:9" ht="18.75" customHeight="1" x14ac:dyDescent="0.15">
      <c r="G3" s="30"/>
      <c r="H3" s="10"/>
      <c r="I3" s="10"/>
    </row>
    <row r="4" spans="1:9" ht="18.600000000000001" customHeight="1" x14ac:dyDescent="0.15">
      <c r="A4" s="174" t="s">
        <v>36</v>
      </c>
      <c r="B4" s="174"/>
      <c r="C4" s="174"/>
      <c r="D4" s="174"/>
      <c r="E4" s="174"/>
      <c r="F4" s="174"/>
      <c r="G4" s="174"/>
      <c r="H4" s="174"/>
      <c r="I4" s="174"/>
    </row>
    <row r="5" spans="1:9" ht="13.15" customHeight="1" x14ac:dyDescent="0.15">
      <c r="B5" s="3"/>
      <c r="C5" s="3"/>
      <c r="D5" s="3"/>
      <c r="E5" s="3"/>
      <c r="F5" s="3"/>
      <c r="G5" s="3"/>
      <c r="H5" s="3"/>
      <c r="I5" s="3"/>
    </row>
    <row r="6" spans="1:9" ht="18" customHeight="1" x14ac:dyDescent="0.15">
      <c r="A6" s="1" t="s">
        <v>0</v>
      </c>
      <c r="B6" s="10" t="s">
        <v>86</v>
      </c>
      <c r="C6" s="194" t="s">
        <v>87</v>
      </c>
      <c r="D6" s="194"/>
      <c r="E6" s="29">
        <v>39</v>
      </c>
      <c r="F6" s="3" t="s">
        <v>1</v>
      </c>
      <c r="G6" s="3" t="s">
        <v>2</v>
      </c>
      <c r="H6" s="29">
        <v>37</v>
      </c>
      <c r="I6" s="10" t="s">
        <v>1</v>
      </c>
    </row>
    <row r="7" spans="1:9" ht="12" customHeight="1" x14ac:dyDescent="0.15">
      <c r="C7" s="2"/>
      <c r="D7" s="2"/>
      <c r="E7" s="2"/>
      <c r="F7" s="2"/>
      <c r="G7" s="2"/>
      <c r="H7" s="2"/>
      <c r="I7" s="33"/>
    </row>
    <row r="8" spans="1:9" ht="18" customHeight="1" x14ac:dyDescent="0.15">
      <c r="A8" s="1" t="s">
        <v>3</v>
      </c>
      <c r="B8" s="10" t="s">
        <v>88</v>
      </c>
      <c r="E8" s="3"/>
      <c r="F8" s="3"/>
      <c r="G8" s="3"/>
      <c r="H8" s="29">
        <v>1</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30" t="s">
        <v>42</v>
      </c>
      <c r="C11" s="189" t="s">
        <v>144</v>
      </c>
      <c r="D11" s="192"/>
      <c r="E11" s="193"/>
      <c r="F11" s="33"/>
      <c r="G11" s="30" t="s">
        <v>10</v>
      </c>
      <c r="H11" s="189" t="s">
        <v>145</v>
      </c>
      <c r="I11" s="193"/>
    </row>
    <row r="12" spans="1:9" ht="10.15" customHeight="1" x14ac:dyDescent="0.15">
      <c r="B12" s="30"/>
      <c r="C12" s="10"/>
      <c r="D12" s="33"/>
      <c r="E12" s="33"/>
      <c r="F12" s="33"/>
      <c r="G12" s="30"/>
      <c r="H12" s="10"/>
      <c r="I12" s="33"/>
    </row>
    <row r="13" spans="1:9" ht="18" customHeight="1" x14ac:dyDescent="0.15">
      <c r="A13" s="1" t="s">
        <v>7</v>
      </c>
      <c r="B13" s="10" t="s">
        <v>84</v>
      </c>
      <c r="C13" s="3"/>
      <c r="D13" s="3"/>
      <c r="E13" s="3"/>
      <c r="F13" s="3"/>
      <c r="G13" s="3"/>
      <c r="H13" s="3"/>
      <c r="I13" s="3"/>
    </row>
    <row r="14" spans="1:9" ht="18" customHeight="1" x14ac:dyDescent="0.15">
      <c r="B14" s="189" t="s">
        <v>146</v>
      </c>
      <c r="C14" s="190"/>
      <c r="D14" s="190"/>
      <c r="E14" s="190"/>
      <c r="F14" s="190"/>
      <c r="G14" s="190"/>
      <c r="H14" s="190"/>
      <c r="I14" s="191"/>
    </row>
    <row r="15" spans="1:9" ht="9" customHeight="1" x14ac:dyDescent="0.15">
      <c r="B15" s="3"/>
      <c r="C15" s="3"/>
      <c r="D15" s="3"/>
      <c r="E15" s="3"/>
      <c r="F15" s="3"/>
      <c r="G15" s="3"/>
      <c r="H15" s="3"/>
      <c r="I15" s="3"/>
    </row>
    <row r="16" spans="1:9" ht="18" customHeight="1" x14ac:dyDescent="0.15">
      <c r="B16" s="30" t="s">
        <v>42</v>
      </c>
      <c r="C16" s="189" t="s">
        <v>144</v>
      </c>
      <c r="D16" s="192"/>
      <c r="E16" s="193"/>
      <c r="F16" s="33"/>
      <c r="G16" s="30" t="s">
        <v>10</v>
      </c>
      <c r="H16" s="189" t="s">
        <v>145</v>
      </c>
      <c r="I16" s="193"/>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175" t="s">
        <v>147</v>
      </c>
      <c r="C19" s="176"/>
      <c r="D19" s="176"/>
      <c r="E19" s="176"/>
      <c r="F19" s="176"/>
      <c r="G19" s="176"/>
      <c r="H19" s="176"/>
      <c r="I19" s="177"/>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78" t="s">
        <v>148</v>
      </c>
      <c r="C22" s="179"/>
      <c r="D22" s="179"/>
      <c r="E22" s="179"/>
      <c r="F22" s="179"/>
      <c r="G22" s="179"/>
      <c r="H22" s="179"/>
      <c r="I22" s="180"/>
    </row>
    <row r="23" spans="1:9" ht="18.75" customHeight="1" x14ac:dyDescent="0.15">
      <c r="A23" s="14"/>
      <c r="B23" s="181"/>
      <c r="C23" s="182"/>
      <c r="D23" s="182"/>
      <c r="E23" s="182"/>
      <c r="F23" s="182"/>
      <c r="G23" s="182"/>
      <c r="H23" s="182"/>
      <c r="I23" s="183"/>
    </row>
    <row r="24" spans="1:9" ht="18.75" customHeight="1" x14ac:dyDescent="0.15">
      <c r="A24" s="14"/>
      <c r="B24" s="181"/>
      <c r="C24" s="182"/>
      <c r="D24" s="182"/>
      <c r="E24" s="182"/>
      <c r="F24" s="182"/>
      <c r="G24" s="182"/>
      <c r="H24" s="182"/>
      <c r="I24" s="183"/>
    </row>
    <row r="25" spans="1:9" ht="18.75" customHeight="1" x14ac:dyDescent="0.15">
      <c r="A25" s="14"/>
      <c r="B25" s="181"/>
      <c r="C25" s="182"/>
      <c r="D25" s="182"/>
      <c r="E25" s="182"/>
      <c r="F25" s="182"/>
      <c r="G25" s="182"/>
      <c r="H25" s="182"/>
      <c r="I25" s="183"/>
    </row>
    <row r="26" spans="1:9" ht="18.75" customHeight="1" x14ac:dyDescent="0.15">
      <c r="A26" s="14"/>
      <c r="B26" s="181"/>
      <c r="C26" s="182"/>
      <c r="D26" s="182"/>
      <c r="E26" s="182"/>
      <c r="F26" s="182"/>
      <c r="G26" s="182"/>
      <c r="H26" s="182"/>
      <c r="I26" s="183"/>
    </row>
    <row r="27" spans="1:9" ht="18.75" customHeight="1" x14ac:dyDescent="0.15">
      <c r="A27" s="14"/>
      <c r="B27" s="181"/>
      <c r="C27" s="182"/>
      <c r="D27" s="182"/>
      <c r="E27" s="182"/>
      <c r="F27" s="182"/>
      <c r="G27" s="182"/>
      <c r="H27" s="182"/>
      <c r="I27" s="183"/>
    </row>
    <row r="28" spans="1:9" ht="18.75" customHeight="1" x14ac:dyDescent="0.15">
      <c r="A28" s="14"/>
      <c r="B28" s="181"/>
      <c r="C28" s="182"/>
      <c r="D28" s="182"/>
      <c r="E28" s="182"/>
      <c r="F28" s="182"/>
      <c r="G28" s="182"/>
      <c r="H28" s="182"/>
      <c r="I28" s="183"/>
    </row>
    <row r="29" spans="1:9" ht="18.75" customHeight="1" x14ac:dyDescent="0.15">
      <c r="A29" s="14"/>
      <c r="B29" s="181"/>
      <c r="C29" s="182"/>
      <c r="D29" s="182"/>
      <c r="E29" s="182"/>
      <c r="F29" s="182"/>
      <c r="G29" s="182"/>
      <c r="H29" s="182"/>
      <c r="I29" s="183"/>
    </row>
    <row r="30" spans="1:9" ht="18.75" customHeight="1" x14ac:dyDescent="0.15">
      <c r="A30" s="14"/>
      <c r="B30" s="184"/>
      <c r="C30" s="185"/>
      <c r="D30" s="185"/>
      <c r="E30" s="185"/>
      <c r="F30" s="185"/>
      <c r="G30" s="185"/>
      <c r="H30" s="185"/>
      <c r="I30" s="183"/>
    </row>
    <row r="31" spans="1:9" ht="18.75" customHeight="1" x14ac:dyDescent="0.15">
      <c r="A31" s="14"/>
      <c r="B31" s="184"/>
      <c r="C31" s="185"/>
      <c r="D31" s="185"/>
      <c r="E31" s="185"/>
      <c r="F31" s="185"/>
      <c r="G31" s="185"/>
      <c r="H31" s="185"/>
      <c r="I31" s="183"/>
    </row>
    <row r="32" spans="1:9" ht="18.75" customHeight="1" x14ac:dyDescent="0.15">
      <c r="A32" s="14"/>
      <c r="B32" s="186"/>
      <c r="C32" s="187"/>
      <c r="D32" s="187"/>
      <c r="E32" s="187"/>
      <c r="F32" s="187"/>
      <c r="G32" s="187"/>
      <c r="H32" s="187"/>
      <c r="I32" s="188"/>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78" t="s">
        <v>163</v>
      </c>
      <c r="C35" s="179"/>
      <c r="D35" s="179"/>
      <c r="E35" s="179"/>
      <c r="F35" s="179"/>
      <c r="G35" s="179"/>
      <c r="H35" s="179"/>
      <c r="I35" s="180"/>
    </row>
    <row r="36" spans="1:9" ht="18.75" customHeight="1" x14ac:dyDescent="0.15">
      <c r="A36" s="14"/>
      <c r="B36" s="184"/>
      <c r="C36" s="185"/>
      <c r="D36" s="185"/>
      <c r="E36" s="185"/>
      <c r="F36" s="185"/>
      <c r="G36" s="185"/>
      <c r="H36" s="185"/>
      <c r="I36" s="183"/>
    </row>
    <row r="37" spans="1:9" ht="18.75" customHeight="1" x14ac:dyDescent="0.15">
      <c r="A37" s="14"/>
      <c r="B37" s="184"/>
      <c r="C37" s="185"/>
      <c r="D37" s="185"/>
      <c r="E37" s="185"/>
      <c r="F37" s="185"/>
      <c r="G37" s="185"/>
      <c r="H37" s="185"/>
      <c r="I37" s="183"/>
    </row>
    <row r="38" spans="1:9" ht="18.75" customHeight="1" x14ac:dyDescent="0.15">
      <c r="A38" s="14"/>
      <c r="B38" s="184"/>
      <c r="C38" s="185"/>
      <c r="D38" s="185"/>
      <c r="E38" s="185"/>
      <c r="F38" s="185"/>
      <c r="G38" s="185"/>
      <c r="H38" s="185"/>
      <c r="I38" s="183"/>
    </row>
    <row r="39" spans="1:9" ht="18.75" customHeight="1" x14ac:dyDescent="0.15">
      <c r="A39" s="14"/>
      <c r="B39" s="184"/>
      <c r="C39" s="185"/>
      <c r="D39" s="185"/>
      <c r="E39" s="185"/>
      <c r="F39" s="185"/>
      <c r="G39" s="185"/>
      <c r="H39" s="185"/>
      <c r="I39" s="183"/>
    </row>
    <row r="40" spans="1:9" ht="18.75" customHeight="1" x14ac:dyDescent="0.15">
      <c r="A40" s="14"/>
      <c r="B40" s="184"/>
      <c r="C40" s="185"/>
      <c r="D40" s="185"/>
      <c r="E40" s="185"/>
      <c r="F40" s="185"/>
      <c r="G40" s="185"/>
      <c r="H40" s="185"/>
      <c r="I40" s="183"/>
    </row>
    <row r="41" spans="1:9" ht="18.75" customHeight="1" x14ac:dyDescent="0.15">
      <c r="A41" s="14"/>
      <c r="B41" s="184"/>
      <c r="C41" s="185"/>
      <c r="D41" s="185"/>
      <c r="E41" s="185"/>
      <c r="F41" s="185"/>
      <c r="G41" s="185"/>
      <c r="H41" s="185"/>
      <c r="I41" s="183"/>
    </row>
    <row r="42" spans="1:9" ht="18.75" customHeight="1" x14ac:dyDescent="0.15">
      <c r="A42" s="14"/>
      <c r="B42" s="184"/>
      <c r="C42" s="185"/>
      <c r="D42" s="185"/>
      <c r="E42" s="185"/>
      <c r="F42" s="185"/>
      <c r="G42" s="185"/>
      <c r="H42" s="185"/>
      <c r="I42" s="183"/>
    </row>
    <row r="43" spans="1:9" ht="18.75" customHeight="1" x14ac:dyDescent="0.15">
      <c r="A43" s="14"/>
      <c r="B43" s="184"/>
      <c r="C43" s="185"/>
      <c r="D43" s="185"/>
      <c r="E43" s="185"/>
      <c r="F43" s="185"/>
      <c r="G43" s="185"/>
      <c r="H43" s="185"/>
      <c r="I43" s="183"/>
    </row>
    <row r="44" spans="1:9" ht="18.75" customHeight="1" x14ac:dyDescent="0.15">
      <c r="A44" s="14"/>
      <c r="B44" s="184"/>
      <c r="C44" s="185"/>
      <c r="D44" s="185"/>
      <c r="E44" s="185"/>
      <c r="F44" s="185"/>
      <c r="G44" s="185"/>
      <c r="H44" s="185"/>
      <c r="I44" s="183"/>
    </row>
    <row r="45" spans="1:9" ht="18.75" customHeight="1" x14ac:dyDescent="0.15">
      <c r="A45" s="14"/>
      <c r="B45" s="184"/>
      <c r="C45" s="185"/>
      <c r="D45" s="185"/>
      <c r="E45" s="185"/>
      <c r="F45" s="185"/>
      <c r="G45" s="185"/>
      <c r="H45" s="185"/>
      <c r="I45" s="183"/>
    </row>
    <row r="46" spans="1:9" ht="18.75" customHeight="1" x14ac:dyDescent="0.15">
      <c r="A46" s="14"/>
      <c r="B46" s="186"/>
      <c r="C46" s="187"/>
      <c r="D46" s="187"/>
      <c r="E46" s="187"/>
      <c r="F46" s="187"/>
      <c r="G46" s="187"/>
      <c r="H46" s="187"/>
      <c r="I46" s="188"/>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4" t="s">
        <v>128</v>
      </c>
      <c r="C49" s="244">
        <f>'様式２ 履修者等数の実績'!S33</f>
        <v>0.42419354838709677</v>
      </c>
      <c r="D49" s="244"/>
      <c r="E49" s="245" t="s">
        <v>64</v>
      </c>
      <c r="F49" s="244">
        <v>0.85</v>
      </c>
      <c r="G49" s="244"/>
      <c r="H49" s="245" t="s">
        <v>65</v>
      </c>
      <c r="I49" s="246">
        <v>0.86</v>
      </c>
      <c r="J49" s="1"/>
      <c r="M49" s="1"/>
      <c r="N49" s="35"/>
    </row>
    <row r="50" spans="1:15" s="3" customFormat="1" ht="18.75" customHeight="1" x14ac:dyDescent="0.15">
      <c r="B50" s="36" t="s">
        <v>85</v>
      </c>
      <c r="C50" s="247">
        <v>0.87</v>
      </c>
      <c r="D50" s="247"/>
      <c r="E50" s="248" t="s">
        <v>129</v>
      </c>
      <c r="F50" s="247">
        <v>0.88</v>
      </c>
      <c r="G50" s="247"/>
      <c r="H50" s="248" t="s">
        <v>66</v>
      </c>
      <c r="I50" s="249">
        <f>'様式２ 履修者等数の実績'!E33</f>
        <v>620</v>
      </c>
      <c r="J50" s="1"/>
      <c r="M50" s="1"/>
      <c r="N50" s="35"/>
    </row>
    <row r="51" spans="1:15" ht="18.75" customHeight="1" x14ac:dyDescent="0.15">
      <c r="A51" s="1"/>
      <c r="B51" s="196" t="s">
        <v>67</v>
      </c>
      <c r="C51" s="197"/>
      <c r="D51" s="197"/>
      <c r="E51" s="197"/>
      <c r="F51" s="197"/>
      <c r="G51" s="197"/>
      <c r="H51" s="197"/>
      <c r="I51" s="198"/>
      <c r="N51" s="35"/>
      <c r="O51" s="3"/>
    </row>
    <row r="52" spans="1:15" ht="18.75" customHeight="1" x14ac:dyDescent="0.15">
      <c r="A52" s="1"/>
      <c r="B52" s="235" t="s">
        <v>183</v>
      </c>
      <c r="C52" s="236"/>
      <c r="D52" s="236"/>
      <c r="E52" s="236"/>
      <c r="F52" s="236"/>
      <c r="G52" s="236"/>
      <c r="H52" s="236"/>
      <c r="I52" s="237"/>
      <c r="N52" s="35"/>
      <c r="O52" s="3"/>
    </row>
    <row r="53" spans="1:15" ht="18.75" customHeight="1" x14ac:dyDescent="0.15">
      <c r="A53" s="1"/>
      <c r="B53" s="238"/>
      <c r="C53" s="239"/>
      <c r="D53" s="239"/>
      <c r="E53" s="239"/>
      <c r="F53" s="239"/>
      <c r="G53" s="239"/>
      <c r="H53" s="239"/>
      <c r="I53" s="240"/>
      <c r="N53" s="35"/>
      <c r="O53" s="3"/>
    </row>
    <row r="54" spans="1:15" ht="18.75" customHeight="1" x14ac:dyDescent="0.15">
      <c r="A54" s="1"/>
      <c r="B54" s="238"/>
      <c r="C54" s="239"/>
      <c r="D54" s="239"/>
      <c r="E54" s="239"/>
      <c r="F54" s="239"/>
      <c r="G54" s="239"/>
      <c r="H54" s="239"/>
      <c r="I54" s="240"/>
    </row>
    <row r="55" spans="1:15" ht="18.75" customHeight="1" x14ac:dyDescent="0.15">
      <c r="A55" s="1"/>
      <c r="B55" s="238"/>
      <c r="C55" s="239"/>
      <c r="D55" s="239"/>
      <c r="E55" s="239"/>
      <c r="F55" s="239"/>
      <c r="G55" s="239"/>
      <c r="H55" s="239"/>
      <c r="I55" s="240"/>
    </row>
    <row r="56" spans="1:15" ht="18.75" customHeight="1" x14ac:dyDescent="0.15">
      <c r="A56" s="1"/>
      <c r="B56" s="238"/>
      <c r="C56" s="239"/>
      <c r="D56" s="239"/>
      <c r="E56" s="239"/>
      <c r="F56" s="239"/>
      <c r="G56" s="239"/>
      <c r="H56" s="239"/>
      <c r="I56" s="240"/>
    </row>
    <row r="57" spans="1:15" ht="18.75" customHeight="1" x14ac:dyDescent="0.15">
      <c r="A57" s="1"/>
      <c r="B57" s="238"/>
      <c r="C57" s="239"/>
      <c r="D57" s="239"/>
      <c r="E57" s="239"/>
      <c r="F57" s="239"/>
      <c r="G57" s="239"/>
      <c r="H57" s="239"/>
      <c r="I57" s="240"/>
    </row>
    <row r="58" spans="1:15" ht="18.75" customHeight="1" x14ac:dyDescent="0.15">
      <c r="A58" s="1"/>
      <c r="B58" s="238"/>
      <c r="C58" s="239"/>
      <c r="D58" s="239"/>
      <c r="E58" s="239"/>
      <c r="F58" s="239"/>
      <c r="G58" s="239"/>
      <c r="H58" s="239"/>
      <c r="I58" s="240"/>
    </row>
    <row r="59" spans="1:15" ht="18.75" customHeight="1" x14ac:dyDescent="0.15">
      <c r="A59" s="1"/>
      <c r="B59" s="238"/>
      <c r="C59" s="239"/>
      <c r="D59" s="239"/>
      <c r="E59" s="239"/>
      <c r="F59" s="239"/>
      <c r="G59" s="239"/>
      <c r="H59" s="239"/>
      <c r="I59" s="240"/>
    </row>
    <row r="60" spans="1:15" ht="18.75" customHeight="1" x14ac:dyDescent="0.15">
      <c r="A60" s="1"/>
      <c r="B60" s="238"/>
      <c r="C60" s="239"/>
      <c r="D60" s="239"/>
      <c r="E60" s="239"/>
      <c r="F60" s="239"/>
      <c r="G60" s="239"/>
      <c r="H60" s="239"/>
      <c r="I60" s="240"/>
    </row>
    <row r="61" spans="1:15" ht="18.75" customHeight="1" x14ac:dyDescent="0.15">
      <c r="A61" s="1"/>
      <c r="B61" s="238"/>
      <c r="C61" s="239"/>
      <c r="D61" s="239"/>
      <c r="E61" s="239"/>
      <c r="F61" s="239"/>
      <c r="G61" s="239"/>
      <c r="H61" s="239"/>
      <c r="I61" s="240"/>
    </row>
    <row r="62" spans="1:15" ht="18.75" customHeight="1" x14ac:dyDescent="0.15">
      <c r="A62" s="1"/>
      <c r="B62" s="238"/>
      <c r="C62" s="239"/>
      <c r="D62" s="239"/>
      <c r="E62" s="239"/>
      <c r="F62" s="239"/>
      <c r="G62" s="239"/>
      <c r="H62" s="239"/>
      <c r="I62" s="240"/>
    </row>
    <row r="63" spans="1:15" ht="18.75" customHeight="1" x14ac:dyDescent="0.15">
      <c r="A63" s="1"/>
      <c r="B63" s="241"/>
      <c r="C63" s="242"/>
      <c r="D63" s="242"/>
      <c r="E63" s="242"/>
      <c r="F63" s="242"/>
      <c r="G63" s="242"/>
      <c r="H63" s="242"/>
      <c r="I63" s="243"/>
    </row>
    <row r="64" spans="1:15" ht="7.5" customHeight="1" x14ac:dyDescent="0.15">
      <c r="A64" s="14"/>
      <c r="B64" s="14" t="s">
        <v>162</v>
      </c>
      <c r="C64" s="14"/>
      <c r="D64" s="14"/>
      <c r="E64" s="14"/>
      <c r="F64" s="14"/>
      <c r="G64" s="14"/>
      <c r="H64" s="14"/>
      <c r="I64" s="14"/>
    </row>
    <row r="65" spans="1:9" ht="18.75" customHeight="1" x14ac:dyDescent="0.15">
      <c r="A65" s="15" t="s">
        <v>34</v>
      </c>
      <c r="B65" s="1" t="s">
        <v>37</v>
      </c>
      <c r="I65" s="15"/>
    </row>
    <row r="66" spans="1:9" ht="18.75" customHeight="1" x14ac:dyDescent="0.15">
      <c r="A66" s="4"/>
      <c r="B66" s="199" t="s">
        <v>155</v>
      </c>
      <c r="C66" s="200"/>
      <c r="D66" s="200"/>
      <c r="E66" s="200"/>
      <c r="F66" s="200"/>
      <c r="G66" s="200"/>
      <c r="H66" s="200"/>
      <c r="I66" s="201"/>
    </row>
    <row r="67" spans="1:9" ht="18.75" customHeight="1" x14ac:dyDescent="0.15">
      <c r="A67" s="4"/>
      <c r="B67" s="202"/>
      <c r="C67" s="203"/>
      <c r="D67" s="203"/>
      <c r="E67" s="203"/>
      <c r="F67" s="203"/>
      <c r="G67" s="203"/>
      <c r="H67" s="203"/>
      <c r="I67" s="204"/>
    </row>
    <row r="68" spans="1:9" ht="18.75" customHeight="1" x14ac:dyDescent="0.15">
      <c r="A68" s="4"/>
      <c r="B68" s="202"/>
      <c r="C68" s="203"/>
      <c r="D68" s="203"/>
      <c r="E68" s="203"/>
      <c r="F68" s="203"/>
      <c r="G68" s="203"/>
      <c r="H68" s="203"/>
      <c r="I68" s="204"/>
    </row>
    <row r="69" spans="1:9" ht="18.75" customHeight="1" x14ac:dyDescent="0.15">
      <c r="A69" s="4"/>
      <c r="B69" s="202"/>
      <c r="C69" s="203"/>
      <c r="D69" s="203"/>
      <c r="E69" s="203"/>
      <c r="F69" s="203"/>
      <c r="G69" s="203"/>
      <c r="H69" s="203"/>
      <c r="I69" s="204"/>
    </row>
    <row r="70" spans="1:9" ht="18.75" customHeight="1" x14ac:dyDescent="0.15">
      <c r="A70" s="4"/>
      <c r="B70" s="202"/>
      <c r="C70" s="203"/>
      <c r="D70" s="203"/>
      <c r="E70" s="203"/>
      <c r="F70" s="203"/>
      <c r="G70" s="203"/>
      <c r="H70" s="203"/>
      <c r="I70" s="204"/>
    </row>
    <row r="71" spans="1:9" ht="18.75" customHeight="1" x14ac:dyDescent="0.15">
      <c r="A71" s="4"/>
      <c r="B71" s="202"/>
      <c r="C71" s="203"/>
      <c r="D71" s="203"/>
      <c r="E71" s="203"/>
      <c r="F71" s="203"/>
      <c r="G71" s="203"/>
      <c r="H71" s="203"/>
      <c r="I71" s="204"/>
    </row>
    <row r="72" spans="1:9" ht="18.75" customHeight="1" x14ac:dyDescent="0.15">
      <c r="A72" s="4"/>
      <c r="B72" s="202"/>
      <c r="C72" s="203"/>
      <c r="D72" s="203"/>
      <c r="E72" s="203"/>
      <c r="F72" s="203"/>
      <c r="G72" s="203"/>
      <c r="H72" s="203"/>
      <c r="I72" s="204"/>
    </row>
    <row r="73" spans="1:9" ht="18.75" customHeight="1" x14ac:dyDescent="0.15">
      <c r="A73" s="4"/>
      <c r="B73" s="202"/>
      <c r="C73" s="203"/>
      <c r="D73" s="203"/>
      <c r="E73" s="203"/>
      <c r="F73" s="203"/>
      <c r="G73" s="203"/>
      <c r="H73" s="203"/>
      <c r="I73" s="204"/>
    </row>
    <row r="74" spans="1:9" ht="18.75" customHeight="1" x14ac:dyDescent="0.15">
      <c r="A74" s="4"/>
      <c r="B74" s="202"/>
      <c r="C74" s="203"/>
      <c r="D74" s="203"/>
      <c r="E74" s="203"/>
      <c r="F74" s="203"/>
      <c r="G74" s="203"/>
      <c r="H74" s="203"/>
      <c r="I74" s="204"/>
    </row>
    <row r="75" spans="1:9" ht="18.75" customHeight="1" x14ac:dyDescent="0.15">
      <c r="A75" s="4"/>
      <c r="B75" s="202"/>
      <c r="C75" s="203"/>
      <c r="D75" s="203"/>
      <c r="E75" s="203"/>
      <c r="F75" s="203"/>
      <c r="G75" s="203"/>
      <c r="H75" s="203"/>
      <c r="I75" s="204"/>
    </row>
    <row r="76" spans="1:9" ht="18.75" customHeight="1" x14ac:dyDescent="0.15">
      <c r="A76" s="4"/>
      <c r="B76" s="202"/>
      <c r="C76" s="203"/>
      <c r="D76" s="203"/>
      <c r="E76" s="203"/>
      <c r="F76" s="203"/>
      <c r="G76" s="203"/>
      <c r="H76" s="203"/>
      <c r="I76" s="204"/>
    </row>
    <row r="77" spans="1:9" ht="18.75" customHeight="1" x14ac:dyDescent="0.15">
      <c r="A77" s="4"/>
      <c r="B77" s="205"/>
      <c r="C77" s="206"/>
      <c r="D77" s="206"/>
      <c r="E77" s="206"/>
      <c r="F77" s="206"/>
      <c r="G77" s="206"/>
      <c r="H77" s="206"/>
      <c r="I77" s="207"/>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99" t="s">
        <v>154</v>
      </c>
      <c r="C80" s="200"/>
      <c r="D80" s="200"/>
      <c r="E80" s="200"/>
      <c r="F80" s="200"/>
      <c r="G80" s="200"/>
      <c r="H80" s="200"/>
      <c r="I80" s="201"/>
    </row>
    <row r="81" spans="1:9" ht="18.75" customHeight="1" x14ac:dyDescent="0.15">
      <c r="A81" s="1"/>
      <c r="B81" s="202"/>
      <c r="C81" s="203"/>
      <c r="D81" s="203"/>
      <c r="E81" s="203"/>
      <c r="F81" s="203"/>
      <c r="G81" s="203"/>
      <c r="H81" s="203"/>
      <c r="I81" s="204"/>
    </row>
    <row r="82" spans="1:9" ht="18.75" customHeight="1" x14ac:dyDescent="0.15">
      <c r="A82" s="1"/>
      <c r="B82" s="202"/>
      <c r="C82" s="203"/>
      <c r="D82" s="203"/>
      <c r="E82" s="203"/>
      <c r="F82" s="203"/>
      <c r="G82" s="203"/>
      <c r="H82" s="203"/>
      <c r="I82" s="204"/>
    </row>
    <row r="83" spans="1:9" ht="18.75" customHeight="1" x14ac:dyDescent="0.15">
      <c r="A83" s="1"/>
      <c r="B83" s="202"/>
      <c r="C83" s="203"/>
      <c r="D83" s="203"/>
      <c r="E83" s="203"/>
      <c r="F83" s="203"/>
      <c r="G83" s="203"/>
      <c r="H83" s="203"/>
      <c r="I83" s="204"/>
    </row>
    <row r="84" spans="1:9" ht="18.75" customHeight="1" x14ac:dyDescent="0.15">
      <c r="A84" s="1"/>
      <c r="B84" s="202"/>
      <c r="C84" s="203"/>
      <c r="D84" s="203"/>
      <c r="E84" s="203"/>
      <c r="F84" s="203"/>
      <c r="G84" s="203"/>
      <c r="H84" s="203"/>
      <c r="I84" s="204"/>
    </row>
    <row r="85" spans="1:9" ht="18.75" customHeight="1" x14ac:dyDescent="0.15">
      <c r="A85" s="1"/>
      <c r="B85" s="202"/>
      <c r="C85" s="203"/>
      <c r="D85" s="203"/>
      <c r="E85" s="203"/>
      <c r="F85" s="203"/>
      <c r="G85" s="203"/>
      <c r="H85" s="203"/>
      <c r="I85" s="204"/>
    </row>
    <row r="86" spans="1:9" ht="18.75" customHeight="1" x14ac:dyDescent="0.15">
      <c r="A86" s="1"/>
      <c r="B86" s="202"/>
      <c r="C86" s="203"/>
      <c r="D86" s="203"/>
      <c r="E86" s="203"/>
      <c r="F86" s="203"/>
      <c r="G86" s="203"/>
      <c r="H86" s="203"/>
      <c r="I86" s="204"/>
    </row>
    <row r="87" spans="1:9" ht="18.75" customHeight="1" x14ac:dyDescent="0.15">
      <c r="A87" s="1"/>
      <c r="B87" s="202"/>
      <c r="C87" s="203"/>
      <c r="D87" s="203"/>
      <c r="E87" s="203"/>
      <c r="F87" s="203"/>
      <c r="G87" s="203"/>
      <c r="H87" s="203"/>
      <c r="I87" s="204"/>
    </row>
    <row r="88" spans="1:9" ht="18.75" customHeight="1" x14ac:dyDescent="0.15">
      <c r="A88" s="1"/>
      <c r="B88" s="202"/>
      <c r="C88" s="203"/>
      <c r="D88" s="203"/>
      <c r="E88" s="203"/>
      <c r="F88" s="203"/>
      <c r="G88" s="203"/>
      <c r="H88" s="203"/>
      <c r="I88" s="204"/>
    </row>
    <row r="89" spans="1:9" ht="18.75" customHeight="1" x14ac:dyDescent="0.15">
      <c r="A89" s="1"/>
      <c r="B89" s="202"/>
      <c r="C89" s="203"/>
      <c r="D89" s="203"/>
      <c r="E89" s="203"/>
      <c r="F89" s="203"/>
      <c r="G89" s="203"/>
      <c r="H89" s="203"/>
      <c r="I89" s="204"/>
    </row>
    <row r="90" spans="1:9" ht="18.75" customHeight="1" x14ac:dyDescent="0.15">
      <c r="A90" s="4"/>
      <c r="B90" s="202"/>
      <c r="C90" s="203"/>
      <c r="D90" s="203"/>
      <c r="E90" s="203"/>
      <c r="F90" s="203"/>
      <c r="G90" s="203"/>
      <c r="H90" s="203"/>
      <c r="I90" s="204"/>
    </row>
    <row r="91" spans="1:9" ht="18.75" customHeight="1" x14ac:dyDescent="0.15">
      <c r="A91" s="4"/>
      <c r="B91" s="205"/>
      <c r="C91" s="206"/>
      <c r="D91" s="206"/>
      <c r="E91" s="206"/>
      <c r="F91" s="206"/>
      <c r="G91" s="206"/>
      <c r="H91" s="206"/>
      <c r="I91" s="207"/>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178" t="s">
        <v>156</v>
      </c>
      <c r="C94" s="179"/>
      <c r="D94" s="179"/>
      <c r="E94" s="179"/>
      <c r="F94" s="179"/>
      <c r="G94" s="179"/>
      <c r="H94" s="179"/>
      <c r="I94" s="180"/>
    </row>
    <row r="95" spans="1:9" ht="18.75" customHeight="1" x14ac:dyDescent="0.15">
      <c r="A95" s="1"/>
      <c r="B95" s="184"/>
      <c r="C95" s="185"/>
      <c r="D95" s="185"/>
      <c r="E95" s="185"/>
      <c r="F95" s="185"/>
      <c r="G95" s="185"/>
      <c r="H95" s="185"/>
      <c r="I95" s="183"/>
    </row>
    <row r="96" spans="1:9" ht="18.75" customHeight="1" x14ac:dyDescent="0.15">
      <c r="A96" s="1"/>
      <c r="B96" s="184"/>
      <c r="C96" s="185"/>
      <c r="D96" s="185"/>
      <c r="E96" s="185"/>
      <c r="F96" s="185"/>
      <c r="G96" s="185"/>
      <c r="H96" s="185"/>
      <c r="I96" s="183"/>
    </row>
    <row r="97" spans="1:9" ht="18.75" customHeight="1" x14ac:dyDescent="0.15">
      <c r="A97" s="1"/>
      <c r="B97" s="184"/>
      <c r="C97" s="185"/>
      <c r="D97" s="185"/>
      <c r="E97" s="185"/>
      <c r="F97" s="185"/>
      <c r="G97" s="185"/>
      <c r="H97" s="185"/>
      <c r="I97" s="183"/>
    </row>
    <row r="98" spans="1:9" ht="18.75" customHeight="1" x14ac:dyDescent="0.15">
      <c r="A98" s="1"/>
      <c r="B98" s="184"/>
      <c r="C98" s="185"/>
      <c r="D98" s="185"/>
      <c r="E98" s="185"/>
      <c r="F98" s="185"/>
      <c r="G98" s="185"/>
      <c r="H98" s="185"/>
      <c r="I98" s="183"/>
    </row>
    <row r="99" spans="1:9" ht="18.75" customHeight="1" x14ac:dyDescent="0.15">
      <c r="A99" s="1"/>
      <c r="B99" s="184"/>
      <c r="C99" s="185"/>
      <c r="D99" s="185"/>
      <c r="E99" s="185"/>
      <c r="F99" s="185"/>
      <c r="G99" s="185"/>
      <c r="H99" s="185"/>
      <c r="I99" s="183"/>
    </row>
    <row r="100" spans="1:9" ht="18.75" customHeight="1" x14ac:dyDescent="0.15">
      <c r="A100" s="1"/>
      <c r="B100" s="184"/>
      <c r="C100" s="185"/>
      <c r="D100" s="185"/>
      <c r="E100" s="185"/>
      <c r="F100" s="185"/>
      <c r="G100" s="185"/>
      <c r="H100" s="185"/>
      <c r="I100" s="183"/>
    </row>
    <row r="101" spans="1:9" ht="18.75" customHeight="1" x14ac:dyDescent="0.15">
      <c r="A101" s="1"/>
      <c r="B101" s="184"/>
      <c r="C101" s="185"/>
      <c r="D101" s="185"/>
      <c r="E101" s="185"/>
      <c r="F101" s="185"/>
      <c r="G101" s="185"/>
      <c r="H101" s="185"/>
      <c r="I101" s="183"/>
    </row>
    <row r="102" spans="1:9" ht="18.75" customHeight="1" x14ac:dyDescent="0.15">
      <c r="A102" s="1"/>
      <c r="B102" s="184"/>
      <c r="C102" s="185"/>
      <c r="D102" s="185"/>
      <c r="E102" s="185"/>
      <c r="F102" s="185"/>
      <c r="G102" s="185"/>
      <c r="H102" s="185"/>
      <c r="I102" s="183"/>
    </row>
    <row r="103" spans="1:9" ht="18.75" customHeight="1" x14ac:dyDescent="0.15">
      <c r="A103" s="1"/>
      <c r="B103" s="184"/>
      <c r="C103" s="185"/>
      <c r="D103" s="185"/>
      <c r="E103" s="185"/>
      <c r="F103" s="185"/>
      <c r="G103" s="185"/>
      <c r="H103" s="185"/>
      <c r="I103" s="183"/>
    </row>
    <row r="104" spans="1:9" ht="18.75" customHeight="1" x14ac:dyDescent="0.15">
      <c r="A104" s="1"/>
      <c r="B104" s="184"/>
      <c r="C104" s="185"/>
      <c r="D104" s="185"/>
      <c r="E104" s="185"/>
      <c r="F104" s="185"/>
      <c r="G104" s="185"/>
      <c r="H104" s="185"/>
      <c r="I104" s="183"/>
    </row>
    <row r="105" spans="1:9" ht="18.75" customHeight="1" x14ac:dyDescent="0.15">
      <c r="A105" s="4"/>
      <c r="B105" s="186"/>
      <c r="C105" s="187"/>
      <c r="D105" s="187"/>
      <c r="E105" s="187"/>
      <c r="F105" s="187"/>
      <c r="G105" s="187"/>
      <c r="H105" s="187"/>
      <c r="I105" s="188"/>
    </row>
    <row r="106" spans="1:9" ht="7.5" customHeight="1" x14ac:dyDescent="0.15">
      <c r="A106" s="4"/>
      <c r="B106" s="4"/>
      <c r="C106" s="4"/>
      <c r="D106" s="4"/>
      <c r="E106" s="4"/>
      <c r="F106" s="4"/>
      <c r="G106" s="4"/>
      <c r="H106" s="4"/>
      <c r="I106" s="4"/>
    </row>
    <row r="107" spans="1:9" ht="18.75" customHeight="1" x14ac:dyDescent="0.15">
      <c r="A107" s="1" t="s">
        <v>30</v>
      </c>
      <c r="B107" s="195" t="s">
        <v>45</v>
      </c>
      <c r="C107" s="195"/>
      <c r="D107" s="195"/>
      <c r="E107" s="195"/>
      <c r="F107" s="195"/>
      <c r="G107" s="195"/>
      <c r="H107" s="195"/>
      <c r="I107" s="195"/>
    </row>
    <row r="108" spans="1:9" ht="18.75" customHeight="1" x14ac:dyDescent="0.15">
      <c r="A108" s="4"/>
      <c r="B108" s="178" t="s">
        <v>157</v>
      </c>
      <c r="C108" s="179"/>
      <c r="D108" s="179"/>
      <c r="E108" s="179"/>
      <c r="F108" s="179"/>
      <c r="G108" s="179"/>
      <c r="H108" s="179"/>
      <c r="I108" s="180"/>
    </row>
    <row r="109" spans="1:9" ht="18.75" customHeight="1" x14ac:dyDescent="0.15">
      <c r="A109" s="4"/>
      <c r="B109" s="184"/>
      <c r="C109" s="185"/>
      <c r="D109" s="185"/>
      <c r="E109" s="185"/>
      <c r="F109" s="185"/>
      <c r="G109" s="185"/>
      <c r="H109" s="185"/>
      <c r="I109" s="183"/>
    </row>
    <row r="110" spans="1:9" ht="18.75" customHeight="1" x14ac:dyDescent="0.15">
      <c r="A110" s="4"/>
      <c r="B110" s="184"/>
      <c r="C110" s="185"/>
      <c r="D110" s="185"/>
      <c r="E110" s="185"/>
      <c r="F110" s="185"/>
      <c r="G110" s="185"/>
      <c r="H110" s="185"/>
      <c r="I110" s="183"/>
    </row>
    <row r="111" spans="1:9" ht="18.75" customHeight="1" x14ac:dyDescent="0.15">
      <c r="A111" s="4"/>
      <c r="B111" s="184"/>
      <c r="C111" s="185"/>
      <c r="D111" s="185"/>
      <c r="E111" s="185"/>
      <c r="F111" s="185"/>
      <c r="G111" s="185"/>
      <c r="H111" s="185"/>
      <c r="I111" s="183"/>
    </row>
    <row r="112" spans="1:9" ht="18.75" customHeight="1" x14ac:dyDescent="0.15">
      <c r="A112" s="4"/>
      <c r="B112" s="184"/>
      <c r="C112" s="185"/>
      <c r="D112" s="185"/>
      <c r="E112" s="185"/>
      <c r="F112" s="185"/>
      <c r="G112" s="185"/>
      <c r="H112" s="185"/>
      <c r="I112" s="183"/>
    </row>
    <row r="113" spans="1:9" ht="18.75" customHeight="1" x14ac:dyDescent="0.15">
      <c r="A113" s="4"/>
      <c r="B113" s="184"/>
      <c r="C113" s="185"/>
      <c r="D113" s="185"/>
      <c r="E113" s="185"/>
      <c r="F113" s="185"/>
      <c r="G113" s="185"/>
      <c r="H113" s="185"/>
      <c r="I113" s="183"/>
    </row>
    <row r="114" spans="1:9" ht="18.75" customHeight="1" x14ac:dyDescent="0.15">
      <c r="A114" s="4"/>
      <c r="B114" s="184"/>
      <c r="C114" s="185"/>
      <c r="D114" s="185"/>
      <c r="E114" s="185"/>
      <c r="F114" s="185"/>
      <c r="G114" s="185"/>
      <c r="H114" s="185"/>
      <c r="I114" s="183"/>
    </row>
    <row r="115" spans="1:9" ht="18.75" customHeight="1" x14ac:dyDescent="0.15">
      <c r="A115" s="4"/>
      <c r="B115" s="184"/>
      <c r="C115" s="185"/>
      <c r="D115" s="185"/>
      <c r="E115" s="185"/>
      <c r="F115" s="185"/>
      <c r="G115" s="185"/>
      <c r="H115" s="185"/>
      <c r="I115" s="183"/>
    </row>
    <row r="116" spans="1:9" ht="18.75" customHeight="1" x14ac:dyDescent="0.15">
      <c r="A116" s="4"/>
      <c r="B116" s="184"/>
      <c r="C116" s="185"/>
      <c r="D116" s="185"/>
      <c r="E116" s="185"/>
      <c r="F116" s="185"/>
      <c r="G116" s="185"/>
      <c r="H116" s="185"/>
      <c r="I116" s="183"/>
    </row>
    <row r="117" spans="1:9" ht="18.75" customHeight="1" x14ac:dyDescent="0.15">
      <c r="A117" s="4"/>
      <c r="B117" s="184"/>
      <c r="C117" s="185"/>
      <c r="D117" s="185"/>
      <c r="E117" s="185"/>
      <c r="F117" s="185"/>
      <c r="G117" s="185"/>
      <c r="H117" s="185"/>
      <c r="I117" s="183"/>
    </row>
    <row r="118" spans="1:9" ht="18.75" customHeight="1" x14ac:dyDescent="0.15">
      <c r="A118" s="4"/>
      <c r="B118" s="184"/>
      <c r="C118" s="185"/>
      <c r="D118" s="185"/>
      <c r="E118" s="185"/>
      <c r="F118" s="185"/>
      <c r="G118" s="185"/>
      <c r="H118" s="185"/>
      <c r="I118" s="183"/>
    </row>
    <row r="119" spans="1:9" ht="18.75" customHeight="1" x14ac:dyDescent="0.15">
      <c r="A119" s="4"/>
      <c r="B119" s="186"/>
      <c r="C119" s="187"/>
      <c r="D119" s="187"/>
      <c r="E119" s="187"/>
      <c r="F119" s="187"/>
      <c r="G119" s="187"/>
      <c r="H119" s="187"/>
      <c r="I119" s="188"/>
    </row>
    <row r="120" spans="1:9" ht="7.5" customHeight="1" x14ac:dyDescent="0.15">
      <c r="A120" s="4"/>
      <c r="B120" s="37"/>
      <c r="C120" s="37"/>
      <c r="D120" s="37"/>
      <c r="E120" s="37"/>
      <c r="F120" s="37"/>
      <c r="G120" s="37"/>
      <c r="H120" s="37"/>
      <c r="I120" s="37"/>
    </row>
    <row r="121" spans="1:9" ht="18.75" customHeight="1" x14ac:dyDescent="0.15">
      <c r="A121" s="67"/>
      <c r="B121" s="173"/>
      <c r="C121" s="173"/>
      <c r="D121" s="173"/>
      <c r="E121" s="173"/>
      <c r="F121" s="173"/>
      <c r="G121" s="173"/>
      <c r="H121" s="173"/>
      <c r="I121" s="173"/>
    </row>
    <row r="122" spans="1:9" ht="18.75" customHeight="1" x14ac:dyDescent="0.15">
      <c r="A122" s="67"/>
      <c r="B122" s="173"/>
      <c r="C122" s="173"/>
      <c r="D122" s="173"/>
      <c r="E122" s="173"/>
      <c r="F122" s="173"/>
      <c r="G122" s="173"/>
      <c r="H122" s="173"/>
      <c r="I122" s="173"/>
    </row>
    <row r="123" spans="1:9" ht="18.75" customHeight="1" x14ac:dyDescent="0.15">
      <c r="A123" s="4"/>
      <c r="B123" s="71"/>
      <c r="C123" s="71"/>
      <c r="D123" s="71"/>
      <c r="E123" s="71"/>
      <c r="F123" s="71"/>
      <c r="G123" s="71"/>
      <c r="H123" s="71"/>
      <c r="I123" s="72"/>
    </row>
    <row r="124" spans="1:9" ht="18.75" customHeight="1" x14ac:dyDescent="0.15">
      <c r="A124" s="4"/>
      <c r="B124" s="72"/>
      <c r="C124" s="72"/>
      <c r="D124" s="72"/>
      <c r="E124" s="72"/>
      <c r="F124" s="72"/>
      <c r="G124" s="72"/>
      <c r="H124" s="72"/>
      <c r="I124" s="72"/>
    </row>
    <row r="125" spans="1:9" ht="18.75" customHeight="1" x14ac:dyDescent="0.15">
      <c r="A125" s="4"/>
      <c r="B125" s="72"/>
      <c r="C125" s="72"/>
      <c r="D125" s="72"/>
      <c r="E125" s="72"/>
      <c r="F125" s="72"/>
      <c r="G125" s="72"/>
      <c r="H125" s="72"/>
      <c r="I125" s="72"/>
    </row>
    <row r="126" spans="1:9" ht="18.75" customHeight="1" x14ac:dyDescent="0.15">
      <c r="A126" s="4"/>
      <c r="B126" s="72"/>
      <c r="C126" s="72"/>
      <c r="D126" s="72"/>
      <c r="E126" s="72"/>
      <c r="F126" s="72"/>
      <c r="G126" s="72"/>
      <c r="H126" s="72"/>
      <c r="I126" s="72"/>
    </row>
    <row r="127" spans="1:9" ht="18.75" customHeight="1" x14ac:dyDescent="0.15">
      <c r="A127" s="4"/>
      <c r="B127" s="72"/>
      <c r="C127" s="72"/>
      <c r="D127" s="72"/>
      <c r="E127" s="72"/>
      <c r="F127" s="72"/>
      <c r="G127" s="72"/>
      <c r="H127" s="72"/>
      <c r="I127" s="72"/>
    </row>
    <row r="128" spans="1:9" ht="18.75" customHeight="1" x14ac:dyDescent="0.15">
      <c r="A128" s="4"/>
      <c r="B128" s="72"/>
      <c r="C128" s="72"/>
      <c r="D128" s="72"/>
      <c r="E128" s="72"/>
      <c r="F128" s="72"/>
      <c r="G128" s="72"/>
      <c r="H128" s="72"/>
      <c r="I128" s="72"/>
    </row>
    <row r="129" spans="1:9" ht="18.75" customHeight="1" x14ac:dyDescent="0.15">
      <c r="A129" s="4"/>
      <c r="B129" s="72"/>
      <c r="C129" s="72"/>
      <c r="D129" s="72"/>
      <c r="E129" s="72"/>
      <c r="F129" s="72"/>
      <c r="G129" s="72"/>
      <c r="H129" s="72"/>
      <c r="I129" s="72"/>
    </row>
    <row r="130" spans="1:9" ht="18.75" customHeight="1" x14ac:dyDescent="0.15">
      <c r="A130" s="4"/>
      <c r="B130" s="72"/>
      <c r="C130" s="72"/>
      <c r="D130" s="72"/>
      <c r="E130" s="72"/>
      <c r="F130" s="72"/>
      <c r="G130" s="72"/>
      <c r="H130" s="72"/>
      <c r="I130" s="72"/>
    </row>
    <row r="131" spans="1:9" ht="18.75" customHeight="1" x14ac:dyDescent="0.15">
      <c r="A131" s="4"/>
      <c r="B131" s="72"/>
      <c r="C131" s="72"/>
      <c r="D131" s="72"/>
      <c r="E131" s="72"/>
      <c r="F131" s="72"/>
      <c r="G131" s="72"/>
      <c r="H131" s="72"/>
      <c r="I131" s="72"/>
    </row>
    <row r="132" spans="1:9" ht="18.75" customHeight="1" x14ac:dyDescent="0.15">
      <c r="A132" s="4"/>
      <c r="B132" s="72"/>
      <c r="C132" s="72"/>
      <c r="D132" s="72"/>
      <c r="E132" s="72"/>
      <c r="F132" s="72"/>
      <c r="G132" s="72"/>
      <c r="H132" s="72"/>
      <c r="I132" s="72"/>
    </row>
    <row r="133" spans="1:9" ht="14.25" x14ac:dyDescent="0.15">
      <c r="A133" s="4"/>
      <c r="B133" s="72"/>
      <c r="C133" s="72"/>
      <c r="D133" s="72"/>
      <c r="E133" s="72"/>
      <c r="F133" s="72"/>
      <c r="G133" s="72"/>
      <c r="H133" s="72"/>
      <c r="I133" s="72"/>
    </row>
    <row r="134" spans="1:9" ht="7.5" customHeight="1" x14ac:dyDescent="0.15">
      <c r="A134" s="4"/>
      <c r="B134" s="72"/>
      <c r="C134" s="72"/>
      <c r="D134" s="72"/>
      <c r="E134" s="72"/>
      <c r="F134" s="72"/>
      <c r="G134" s="72"/>
      <c r="H134" s="72"/>
      <c r="I134" s="7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Normal="100" zoomScaleSheetLayoutView="10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30" t="s">
        <v>96</v>
      </c>
    </row>
    <row r="2" spans="1:9" ht="18.75" customHeight="1" x14ac:dyDescent="0.15">
      <c r="H2" s="30" t="s">
        <v>99</v>
      </c>
      <c r="I2" s="29" t="str">
        <f>'様式１　プログラムを構成する授業科目'!C2</f>
        <v>富山短期大学</v>
      </c>
    </row>
    <row r="3" spans="1:9" ht="18.75" customHeight="1" x14ac:dyDescent="0.15">
      <c r="A3" s="174" t="s">
        <v>28</v>
      </c>
      <c r="B3" s="174"/>
      <c r="C3" s="174"/>
      <c r="D3" s="174"/>
      <c r="E3" s="174"/>
      <c r="F3" s="174"/>
      <c r="G3" s="174"/>
      <c r="H3" s="174"/>
      <c r="I3" s="174"/>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189" t="s">
        <v>151</v>
      </c>
      <c r="C6" s="215"/>
      <c r="D6" s="215"/>
      <c r="E6" s="215"/>
      <c r="F6" s="215"/>
      <c r="G6" s="215"/>
      <c r="H6" s="216"/>
      <c r="I6" s="3"/>
    </row>
    <row r="7" spans="1:9" ht="9" customHeight="1" x14ac:dyDescent="0.15">
      <c r="A7" s="5"/>
      <c r="B7" s="10"/>
      <c r="C7" s="10"/>
      <c r="D7" s="10"/>
      <c r="E7" s="10"/>
      <c r="F7" s="10"/>
      <c r="G7" s="10"/>
      <c r="H7" s="10"/>
      <c r="I7" s="3"/>
    </row>
    <row r="8" spans="1:9" ht="18.75" customHeight="1" x14ac:dyDescent="0.15">
      <c r="A8" s="5"/>
      <c r="B8" s="3"/>
      <c r="C8" s="3"/>
      <c r="D8" s="30" t="s">
        <v>42</v>
      </c>
      <c r="E8" s="31" t="s">
        <v>152</v>
      </c>
      <c r="F8" s="3"/>
      <c r="G8" s="30" t="s">
        <v>10</v>
      </c>
      <c r="H8" s="31" t="s">
        <v>153</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1" t="s">
        <v>24</v>
      </c>
      <c r="C11" s="92"/>
      <c r="D11" s="93"/>
      <c r="E11" s="92" t="s">
        <v>26</v>
      </c>
      <c r="F11" s="92"/>
      <c r="G11" s="92"/>
      <c r="H11" s="92"/>
      <c r="I11" s="93"/>
    </row>
    <row r="12" spans="1:9" ht="26.25" customHeight="1" x14ac:dyDescent="0.15">
      <c r="B12" s="38" t="s">
        <v>14</v>
      </c>
      <c r="C12" s="45"/>
      <c r="D12" s="39"/>
      <c r="E12" s="46"/>
      <c r="F12" s="46"/>
      <c r="G12" s="46"/>
      <c r="H12" s="46"/>
      <c r="I12" s="39"/>
    </row>
    <row r="13" spans="1:9" ht="210.75" customHeight="1" x14ac:dyDescent="0.15">
      <c r="B13" s="40"/>
      <c r="C13" s="213" t="s">
        <v>15</v>
      </c>
      <c r="D13" s="214"/>
      <c r="E13" s="210" t="s">
        <v>176</v>
      </c>
      <c r="F13" s="211"/>
      <c r="G13" s="211"/>
      <c r="H13" s="211"/>
      <c r="I13" s="212"/>
    </row>
    <row r="14" spans="1:9" ht="210.75" customHeight="1" x14ac:dyDescent="0.15">
      <c r="B14" s="40"/>
      <c r="C14" s="208" t="s">
        <v>16</v>
      </c>
      <c r="D14" s="209"/>
      <c r="E14" s="210" t="s">
        <v>140</v>
      </c>
      <c r="F14" s="211"/>
      <c r="G14" s="211"/>
      <c r="H14" s="211"/>
      <c r="I14" s="212"/>
    </row>
    <row r="15" spans="1:9" ht="210.75" customHeight="1" x14ac:dyDescent="0.15">
      <c r="B15" s="40"/>
      <c r="C15" s="213" t="s">
        <v>17</v>
      </c>
      <c r="D15" s="214"/>
      <c r="E15" s="210" t="s">
        <v>158</v>
      </c>
      <c r="F15" s="211"/>
      <c r="G15" s="211"/>
      <c r="H15" s="211"/>
      <c r="I15" s="212"/>
    </row>
    <row r="16" spans="1:9" ht="210.75" customHeight="1" x14ac:dyDescent="0.15">
      <c r="B16" s="40"/>
      <c r="C16" s="213" t="s">
        <v>18</v>
      </c>
      <c r="D16" s="214"/>
      <c r="E16" s="217" t="s">
        <v>164</v>
      </c>
      <c r="F16" s="218"/>
      <c r="G16" s="218"/>
      <c r="H16" s="218"/>
      <c r="I16" s="219"/>
    </row>
    <row r="17" spans="2:9" ht="210.75" customHeight="1" x14ac:dyDescent="0.15">
      <c r="B17" s="41"/>
      <c r="C17" s="220" t="s">
        <v>19</v>
      </c>
      <c r="D17" s="221"/>
      <c r="E17" s="217" t="s">
        <v>141</v>
      </c>
      <c r="F17" s="218"/>
      <c r="G17" s="218"/>
      <c r="H17" s="218"/>
      <c r="I17" s="219"/>
    </row>
    <row r="18" spans="2:9" ht="24" customHeight="1" x14ac:dyDescent="0.15">
      <c r="B18" s="38" t="s">
        <v>20</v>
      </c>
      <c r="C18" s="42"/>
      <c r="D18" s="43"/>
      <c r="E18" s="44"/>
      <c r="F18" s="44"/>
      <c r="G18" s="44"/>
      <c r="H18" s="44"/>
      <c r="I18" s="47"/>
    </row>
    <row r="19" spans="2:9" ht="218.25" customHeight="1" x14ac:dyDescent="0.15">
      <c r="B19" s="40"/>
      <c r="C19" s="213" t="s">
        <v>21</v>
      </c>
      <c r="D19" s="214"/>
      <c r="E19" s="211" t="s">
        <v>177</v>
      </c>
      <c r="F19" s="211"/>
      <c r="G19" s="211"/>
      <c r="H19" s="211"/>
      <c r="I19" s="212"/>
    </row>
    <row r="20" spans="2:9" ht="218.25" customHeight="1" x14ac:dyDescent="0.15">
      <c r="B20" s="41"/>
      <c r="C20" s="220" t="s">
        <v>22</v>
      </c>
      <c r="D20" s="221"/>
      <c r="E20" s="218" t="s">
        <v>143</v>
      </c>
      <c r="F20" s="218"/>
      <c r="G20" s="218"/>
      <c r="H20" s="218"/>
      <c r="I20" s="219"/>
    </row>
    <row r="21" spans="2:9" ht="218.25" customHeight="1" x14ac:dyDescent="0.15">
      <c r="B21" s="227" t="s">
        <v>23</v>
      </c>
      <c r="C21" s="228"/>
      <c r="D21" s="229"/>
      <c r="E21" s="230" t="s">
        <v>142</v>
      </c>
      <c r="F21" s="230"/>
      <c r="G21" s="230"/>
      <c r="H21" s="230"/>
      <c r="I21" s="231"/>
    </row>
    <row r="22" spans="2:9" ht="218.25" customHeight="1" x14ac:dyDescent="0.15">
      <c r="B22" s="222" t="s">
        <v>135</v>
      </c>
      <c r="C22" s="223"/>
      <c r="D22" s="224"/>
      <c r="E22" s="225" t="s">
        <v>159</v>
      </c>
      <c r="F22" s="225"/>
      <c r="G22" s="225"/>
      <c r="H22" s="225"/>
      <c r="I22" s="22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6"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春名亮</cp:lastModifiedBy>
  <cp:lastPrinted>2024-05-05T02:03:30Z</cp:lastPrinted>
  <dcterms:created xsi:type="dcterms:W3CDTF">2011-06-14T05:32:50Z</dcterms:created>
  <dcterms:modified xsi:type="dcterms:W3CDTF">2024-06-27T04:33:05Z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