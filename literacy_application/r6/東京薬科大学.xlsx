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defaultThemeVersion="124226"/>
  <mc:AlternateContent xmlns:mc="http://schemas.openxmlformats.org/markup-compatibility/2006">
    <mc:Choice Requires="x15">
      <x15ac:absPath xmlns:x15ac="http://schemas.microsoft.com/office/spreadsheetml/2010/11/ac" url="C:\Users\千葉　まこと\Box\02-04.教学IR研究推進課\11.教学IR(GAKUMU)\12_文部科学省等の公的事業に関すること\MDASH（数理・データサイエンス・AI教育プログラム）\08 文科省への申請書類\東京薬科大学\（再）01_東京薬科大学_リテラシー\"/>
    </mc:Choice>
  </mc:AlternateContent>
  <xr:revisionPtr revIDLastSave="0" documentId="13_ncr:1_{8476E9D0-7F86-41CB-A645-5B5FAD4C8CA4}" xr6:coauthVersionLast="47" xr6:coauthVersionMax="47" xr10:uidLastSave="{00000000-0000-0000-0000-000000000000}"/>
  <bookViews>
    <workbookView xWindow="-120" yWindow="-120" windowWidth="29040" windowHeight="15840" tabRatio="885" activeTab="3" xr2:uid="{00000000-000D-0000-FFFF-FFFF00000000}"/>
  </bookViews>
  <sheets>
    <sheet name="様式１ー１　プログラムを構成する授業科目 (薬学)" sheetId="43" r:id="rId1"/>
    <sheet name="様式１ー２　プログラムを構成する授業科目（生命）" sheetId="39" r:id="rId2"/>
    <sheet name="様式２ 履修者等数の実績" sheetId="40" r:id="rId3"/>
    <sheet name="様式３ 教育の質・履修者数を向上させるための体制・計画" sheetId="41" r:id="rId4"/>
    <sheet name="様式４　自己点検・評価" sheetId="42" r:id="rId5"/>
  </sheets>
  <definedNames>
    <definedName name="_xlnm._FilterDatabase" localSheetId="0" hidden="1">'様式１ー１　プログラムを構成する授業科目 (薬学)'!$X$16:$X$18</definedName>
    <definedName name="_xlnm._FilterDatabase" localSheetId="1" hidden="1">'様式１ー２　プログラムを構成する授業科目（生命）'!$X$16:$X$18</definedName>
    <definedName name="_xlnm._FilterDatabase" localSheetId="2" hidden="1">'様式２ 履修者等数の実績'!#REF!</definedName>
    <definedName name="_xlnm.Print_Area" localSheetId="0">'様式１ー１　プログラムを構成する授業科目 (薬学)'!$A$1:$U$112</definedName>
    <definedName name="_xlnm.Print_Area" localSheetId="1">'様式１ー２　プログラムを構成する授業科目（生命）'!$A$1:$U$120</definedName>
    <definedName name="_xlnm.Print_Area" localSheetId="2">'様式２ 履修者等数の実績'!$A$1:$S$33</definedName>
    <definedName name="_xlnm.Print_Area" localSheetId="3">'様式３ 教育の質・履修者数を向上させるための体制・計画'!$A$1:$I$119</definedName>
    <definedName name="_xlnm.Print_Area" localSheetId="4">'様式４　自己点検・評価'!$A$1:$I$22</definedName>
    <definedName name="_xlnm.Print_Titles" localSheetId="4">'様式４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<sst xmlns="http://schemas.openxmlformats.org/spreadsheetml/2006/main" count="513" uniqueCount="217">
  <si>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</si>
  <si>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</si>
  <si>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</si>
  <si>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</si>
  <si>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</si>
  <si>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</si>
  <si>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</si>
  <si>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</si>
  <si>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</si>
  <si>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</si>
  <si>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</si>
  <si>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</si>
  <si>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</si>
  <si>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</si>
  <si>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</si>
  <si>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</si>
  <si>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</si>
  <si>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</si>
  <si>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</si>
  <si>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</si>
  <si>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</si>
  <si>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</si>
  <si>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</si>
  <si>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</si>
  <si>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</si>
  <si>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</si>
  <si>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</si>
  <si>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</si>
  <si>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</si>
  <si>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</si>
  <si>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</si>
  <si>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</si>
  <si>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</si>
  <si>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</si>
  <si>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</si>
  <si>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</si>
  <si>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</si>
  <si>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</si>
  <si>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</si>
  <si>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</si>
  <si>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</si>
  <si>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</si>
  <si>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</si>
  <si>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</si>
  <si>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</si>
  <si>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</si>
  <si>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</si>
  <si>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</si>
  <si>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</si>
  <si>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</si>
  <si>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</si>
  <si>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</si>
  <si>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</si>
  <si>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</si>
  <si>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</si>
  <si>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</si>
  <si>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</si>
  <si>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</si>
  <si>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</si>
  <si>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</si>
  <si>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</si>
  <si>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</si>
  <si>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</si>
  <si>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</si>
  <si>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</si>
  <si>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</si>
  <si>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</si>
  <si>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</si>
  <si>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</si>
  <si>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</si>
  <si>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</si>
  <si>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</si>
  <si>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</si>
  <si>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</si>
  <si>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</si>
  <si>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</si>
  <si>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</si>
  <si>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</si>
  <si>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</si>
  <si>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</si>
  <si>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</si>
  <si>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</si>
  <si>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</si>
  <si>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</si>
  <si>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</si>
  <si>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</si>
  <si>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</si>
  <si>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</si>
  <si>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</si>
  <si>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</si>
  <si>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</si>
  <si>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</si>
  <si>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</si>
  <si>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</si>
  <si>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</si>
  <si>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</si>
  <si>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</si>
  <si>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</si>
  <si>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</si>
  <si>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</si>
  <si>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</si>
  <si>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</si>
  <si>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</si>
  <si>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</si>
  <si>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</si>
  <si>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</si>
  <si>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</si>
  <si>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</si>
  <si>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</si>
  <si>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</si>
  <si>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</si>
  <si>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</si>
  <si>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</si>
  <si>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</si>
  <si>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</si>
  <si>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</si>
  <si>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</si>
  <si>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</si>
  <si>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</si>
  <si>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</si>
  <si>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</si>
  <si>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</si>
  <si>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</si>
  <si>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</si>
  <si>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【参考】</t>
    <rPh sb="1" eb="3">
      <t>サンコウ</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</si>
  <si>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</si>
  <si>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</si>
  <si>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t>令和５年度実績</t>
    <rPh sb="0" eb="2">
      <t>レイワ</t>
    </rPh>
    <rPh sb="3" eb="5">
      <t>ネンド</t>
    </rPh>
    <rPh sb="5" eb="7">
      <t>ジッセキ</t>
    </rPh>
    <phoneticPr fontId="1"/>
  </si>
  <si>
    <t>令和９年度予定</t>
    <rPh sb="0" eb="2">
      <t>レイワ</t>
    </rPh>
    <rPh sb="3" eb="5">
      <t>ネンド</t>
    </rPh>
    <rPh sb="5" eb="7">
      <t>ヨテイ</t>
    </rPh>
    <phoneticPr fontId="1"/>
  </si>
  <si>
    <t>学部・学科によって、修了要件は相違する</t>
  </si>
  <si>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</si>
  <si>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</si>
  <si>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</si>
  <si>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</si>
  <si>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</si>
  <si>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</si>
  <si>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東京薬科大学</t>
    <phoneticPr fontId="1"/>
  </si>
  <si>
    <t>東京薬科大学データサイエンス教育プログラム</t>
    <phoneticPr fontId="1"/>
  </si>
  <si>
    <t>薬学部</t>
    <rPh sb="0" eb="3">
      <t>ヤクガクブ</t>
    </rPh>
    <phoneticPr fontId="1"/>
  </si>
  <si>
    <t>「データサイエンス入門」（1年前期・1単位）を履修し、単位を取得すること。</t>
    <phoneticPr fontId="1"/>
  </si>
  <si>
    <t>データサイエンス入門</t>
    <phoneticPr fontId="1"/>
  </si>
  <si>
    <t>○</t>
  </si>
  <si>
    <t>1-1. データサイエンスとは（1回目）
・データサイエンスとは
・データサイエンスが重要視される背景
・データ活用を支援するデジタル技術のキーワード：ビッグデータ、IoT、AI、ロボット
1-1. 社会で起きている変化（任意受講）
・日本企業の国際競争力低下
・市場の大きな変化
・デジタル技術の発展
・デジタル社会の提言：第4次産業革命、Industrie4.0、Society5.0</t>
    <phoneticPr fontId="1"/>
  </si>
  <si>
    <t>1-6. データ・AI利活用の最新動向（任意受講）
・データ・AIを活用した新しいビジネス：犯罪を予測する、売却物件を予測する、農作業の意思決定支援を行う、送金取引を相殺させる、個人信用評価
・データ・AIに関連した新技術：敵対的生成ネットワーク、強化学習、転移学習
1-6. AI・データサイエンストレンド2023（13回目）
・ロシアのウクライナ侵攻における「ハイブリッド戦」
・生成型AIの台頭
・メタバースへの注目
・マイナンバーカードの普及
・DX銘柄2022の選出
・「医療DX令和ビジョン2030」の策定
・「夏のDigi田（デジデン）甲子園」の開催
・アナログ規制の見直しに係る工程表
・自動走行車・ドローン活用に向けた法制度改正
・デジタルスキル標準の策定</t>
    <phoneticPr fontId="1"/>
  </si>
  <si>
    <t>1-2. 社会で活用されているデータ（任意受講）
・統計データ；国勢調査、人口推移、人口ピラミッド
・人の行動ログデータ：モバイル空間統計、混雑予想
・機械の稼働ログデータ：自動車、テレマティック保険、通行情報実績
・データの分類：1次／2次データ、外部／内部データ、構造化／準構造化／非構造化データ、CSVファイル
・オープンデータ：新型コロナウィルス対策感染症病床数、衛生検査結果データ、犯罪発生情報データ
1-2. 医療におけるデータ利活用（12回目）
・データサイエンスで医療薬学研究に挑戦しよう
・医療データサイエンスに関するソフトの話
・ファーマコビジランスで用いられる医療情報データベースについて
・医療情報データベースについて
・治療用アプリについて
・ePRO
・解析に使うそのデータ、大丈夫？</t>
    <phoneticPr fontId="1"/>
  </si>
  <si>
    <t>1-3. データ・AIの活用領域（2回目）
・AIの定義
・AIの歴史
・業種別のAI活用領域（製造業、小売業、物流業、医療・介護分野）
・人間に近づくＡＩ（絵画を描くＡＩ、作曲をするＡＩ、小説を書くＡＩ、入試に合格するＡＩ）
1-3. データ活用とは（4回目）
・データの定義
・データ活用のモデル：データ・情報・知識・知恵のモデル、SECI（セキ）モデル
・データ分析のアプローチ：目的設定、分析計画、データ設計、データ収集・保存、データの前処理、分析手法選択と適用、分析結果の解釈施策の提案、実施と検証</t>
    <phoneticPr fontId="1"/>
  </si>
  <si>
    <t>1-4. データ・AIの活用のための技術（3回目）
・データ認識技術：画像認識、文字認識、音声認識、顔認証
・AI技術；機械学習、強化学習、ディープラーニング
・AIの課題、AIの難問：未学習・過学習、フレーム問題、モラベックのパラドックス、シンボルグラウンディング問題、ウォズニアックテスト
・AIがもたらす影響；シンギュラリティ</t>
    <phoneticPr fontId="1"/>
  </si>
  <si>
    <t>1-5. データ・AI利活用の現場（5回目）
・製造業のデータ・AI活用：建設機械の挙動・状況把握、デジタル複合機のリモート管理、電気自動車、スマートグラス、IoTスキンケアシステム
・小売業のデータ・AI活用：ID-POS、Amazon GO
・サービス業のデータ・AI活用：資産運用、無担保融資、オンライン融資
・公共・インフラのデータ・AI活用：スマートメーター、橋梁モニタリング、MaaS
・データ・AI活用による新しいビジネス：シェアリングエコノミー、D2C、スマートシティ
・データ・AI利活用の分類</t>
    <phoneticPr fontId="1"/>
  </si>
  <si>
    <t>3-1. データ・AIを扱う上での留意事項（１）（10回目）
・ELSI（Ethical, Legal and Social Issues）
・データに関する不正行為：ねつ造・改ざん・盗用
・個人情報の保護：個人情報保護法、オプトイン／オプトアウト、Midata、EU一般データ保護規則（GDPR）、忘れられる権利、カリフォルニア州消費者プライバシー法（CCPA）
・個人情報は誰が管理すべきか：日本vs.中国、管理主体によるメリット・デメリット
3-1. データ・AIを扱う上での留意事項（２）（任意受講）
・バイアス：データ収集におけるバイアス：スナップショット調査におけるバイアス、継続調査におけるバイアス、データ収集でのバイアス、アンケート対象者によるバイアス、トランスレーション・バイアス、インタビュアーによるバイアス、質問票によるバイアス、サンプル抽出におけるバイアス
・データ・AIを扱う上でのバイアス：アルゴリズムバイアスの発生事例
・AIの正しい活用に向けて：人工知能学会「倫理指針」、人工知能学会「機械学習と公平性に関する声明」、AIに関するOECD原則、人間中心のAI社会原則、民間企業におけるAI倫理指針</t>
    <phoneticPr fontId="1"/>
  </si>
  <si>
    <t>3-2. データを守る上での留意事項とまとめ（11回目）
・情報セキュリティ：機密性・完全性・可用性、情報漏洩
・従業員等による内部不正
・コンピュータウィルスへの感染
・サイバー攻撃
・情報セキュリティ脅威事例
・セキュリティ技術：暗号技術、認証技術</t>
    <phoneticPr fontId="1"/>
  </si>
  <si>
    <t>2-1. データを読む（１）（6回目：演習）
・データの種類：量的変数と質的変数、尺度、時間と対象による分類、離散変数と連続変数
・データの代表値：相加平均、相乗平均、調和平均、最頻値、中央値、代表値の特徴と選び方
・データのばらつき：分散、標準偏差、偏差値
・データのチェック、データクレンジング
2-1. データを読む（２）（7回目：演習）
・相関と因果：散布図と相関係数、疑似相関、ランダム化比較試験、アンスコムの例
・母集団と抽出：母集団と標本調査、抽出
・統計情報の正しい理解：認知バイアス、印象操作</t>
    <phoneticPr fontId="1"/>
  </si>
  <si>
    <t>2-2. データを説明する（8回目：演習）
・グラフの活用目的と種類
・データを比較するためのグラフ：棒グラフ、円グラフ、ナイチンゲール・ローズ・ダイアグラム、積み上げ棒グラフ、レーダーチャート
・時間の推移を見せるためのグラフ：折れ線グラフ、面グラフ
・データ相互の関係を示すためのグラフ：散布図
・データの偏りを示すためのグラフ：ヒートマップ
・不適切なグラフ表現：チャートジャンク
・優れたデータ可視化事例：コレラマップ、ナポレオンによる侵攻のマップ、世界保健チャート</t>
    <phoneticPr fontId="1"/>
  </si>
  <si>
    <t>2-3. データを扱う（9回目：演習）
・演習１：売上げを予測する（売り上げデータの要約、マーケットエリア規模と売り上げデータの相関関係を分析する）
・演習２：顧客層を分析する（RFM分析）
・演習３：顧客満足度を把握する（重要度・満足度マトリクス頻度集計）
・演習４：顧客不満の要因を探る（テキストマイニング、共起ネットワーク図）</t>
    <phoneticPr fontId="1"/>
  </si>
  <si>
    <t>・日常生活や医学・薬学分野における数理・データサイエンス・AIの基礎知識と利活用の実例を教養として身につけることができる。
・実データを用いた統計解析演習を通じてデータを適切に分析し、読み解く基礎的能力を身につけることができる。</t>
    <phoneticPr fontId="1"/>
  </si>
  <si>
    <t>生命科学部</t>
    <rPh sb="0" eb="5">
      <t>セイメイカガクブ</t>
    </rPh>
    <phoneticPr fontId="1"/>
  </si>
  <si>
    <t>令和５</t>
    <rPh sb="0" eb="2">
      <t>レイワ</t>
    </rPh>
    <phoneticPr fontId="1"/>
  </si>
  <si>
    <t>小島正樹</t>
    <phoneticPr fontId="1"/>
  </si>
  <si>
    <t>教授</t>
    <rPh sb="0" eb="2">
      <t>キョウジュ</t>
    </rPh>
    <phoneticPr fontId="1"/>
  </si>
  <si>
    <t>データサイエンス教育推進委員会</t>
    <phoneticPr fontId="1"/>
  </si>
  <si>
    <t>東京薬科大学データサイエンス教育推進委員会規程</t>
    <phoneticPr fontId="1"/>
  </si>
  <si>
    <t>本学は、全学において「データを活用し、社会の課題を発見・解決できる人材」を育成することを目的として「データサイエンス教育推進委員会」を2021年10月に設置した。同委員会は薬学部および生命科学部において数理・データサイエンス・AI関連の授業科目を担当する教員により構成されているため、履修学生へのアンケートや学修状況の把握などによる情報収集がスムーズに実施でき、プログラムの改善に必要な情報収集と意思決定を速やかに行うことが出来る。また、履修学生や産業界等の意見を取り入れながらプログラムの改善、自己点検・評価を実施し、その結果を公表する。</t>
    <phoneticPr fontId="1"/>
  </si>
  <si>
    <t>委員長　小島正樹（生命科学部・教授）
委員
　薬学部　　　　陳　惠一　教授、川口　崇　准教授、恩田健二　講師、倉田香織　助教
　　　　　　　　　山田寛尚 助教、長谷川 要 特命講師　
　生命科学部　高須昌子　教授、野口　航　教授、細道一善 教授、土方敦司　准教授
　　　　　　　　　森河良太　准教授、野口　瑶　助教
　事務局　　　　学務部長　高山知久、教学IR研究推進課長　千葉まこと</t>
    <phoneticPr fontId="1"/>
  </si>
  <si>
    <t>薬学部の「データサイエンス入門」は、令和４年度から選択科目として開講したが、令和６年度以降より、1年生の一般教養・必修科目とし、学生全員が受講できるように履修を促進する予定。
生命科学部のカリキュラムでは、必修・選択科目ともに全学科の学生が受講できるように時間割が構成されている。受講者の多い科目では、学科単位で複数のクラスに分けているが、同一教員が同一内容で授業を担当し、試験や成績評価も同一基準で行っている。また選択科目は、上位学年に進級後でも履修可能な機会を提供している。</t>
    <phoneticPr fontId="1"/>
  </si>
  <si>
    <t>薬学部の「データサイエンス入門」は、１年生の選択科目としてシラバスで周知している。また、入学時のガイダンスにて周知を行い、履修者数の向上に努めた。
生命科学部では、上記⑧のとおり、既にMDASHに準拠した学部独自のデータサイエンスプログラム認定証を発行しており、履修の動機付けに役立てている。またプログラムの詳細について、毎年度初めに実施する入学生向けガイダンスや学年ごとの教務ガイダンスで全学生に周知している。</t>
    <phoneticPr fontId="1"/>
  </si>
  <si>
    <t>薬学部の「データサイエンス入門」は入学後間もない１年生が受講することから、オンデマンド型の教材により、いつでも、何度でも受講できるよう配慮した。また、演習などの準備（ソフトウェアのインストール、ソフトウェアの操作方法など）やトラブルに対応するための専任の教員３名を担当させ、学生のデータサイエンスの教養習得を向上させる工夫を行った。
生命科学部の数理・データサイエンス系の基礎科目は全て1年次で必修化しており、全学科の入学生に対して裾野を広げている。学年の進行とともに内容が深化するようにカリキュラムマップが系統化されており、科目によっては履修前提を設けて円滑に連携している。また全科目でLMSを活用した授業支援体制が完成している。</t>
    <phoneticPr fontId="1"/>
  </si>
  <si>
    <t>薬学部の「データサイエンス入門」は、オンデマンド型の教材により開講したことから、学生はいつでもメールもしくはオフィスアワーに直接専任の教員へ質問できる体制を整備した。また、過去の質問を蓄積し、Q&amp;AとしてLMS上に公開対応を行った。
生命科学部では、本教育プログラムについての履修をLMSにて管理し、学生はシステムを通じて授業で使用した全ての実データと解析の手順書を確認し、復習することができる。質問を受け付ける仕組みとして、データ解析用の実習スペースを設けており、専任教員とともに解析を実施することで問題点を解決する体制を整備している。学生は授業時間以外に不明点等をシステムを通じて確認することができ、質問はセンターの教員を通じて返答する体制を整備している。またデータサイエンスを含む情報教育に関する学生の質問の自由な場として、週1回「よろづ相談室」が，コンピュータ端末室において開催されている。</t>
    <phoneticPr fontId="1"/>
  </si>
  <si>
    <t>薬学部の「データサイエンス入門」では、毎回のオンデマンド講義受講後に確認テスト又は課題を提出させることで、学生の履修・習得状況と課題達成状況をリアルタイムに把握した。必要に応じて履修・習得状況を学生にフィードバックを行い、学習のモチベーションを高める等の対応を行った。
生命科学部のデータサイエンス系科目では、毎回の講義内容に関するCBT形式の小テストをLMSで行い、結果を直ちにフィードバックしている。小テストは期間中に何度も受験可能なため、各学生の理解の進展状況を即時に確認することができる。また授業内にプログラミングや問題演習の時間を設けるなどして、学生が主体的に学ぶ環境を提供している。</t>
    <phoneticPr fontId="1"/>
  </si>
  <si>
    <t>薬学部の「データサイエンス入門」に対する「授業改善のためのアンケート」を実施して、その結果を分析し授業内容の適切性について点検・評価を行っている。令和5年度の学生アンケートの結果、全ての項目において80％以上の肯定回答があり、学生からの理解が得られている様子が確認できた。また、自由記載欄を設けて授業についての感想や要望コメントを収集したが、理解度に関するコメントはすべて肯定的であった。
生命科学部では学期ごとに授業アンケートを実施して学生の理解度を分析しているが、令和5年度は「満足できる」「どちらかといえば満足」と回答した学生が「数学I」95%、「数学II」92%、「情報科学III」90%、「生命科学VI (応用統計学）」92%、「生命科学Ⅳ(基礎情報学)」87%、「生命科学Ⅴ（計算機の論理とデータ構造）」100%、「分子生命科学VI(バイオインフォマティクス)」97%であった。なお「情報科学I」「情報科学II」「ICT活用の理論と実践」では、毎回授業の理解度に関する5段階のアンケートを実施しており、それぞれ78%、76%、77%の学生が半分以上理解していると回答していた。また「生物統計学」と「生命科学Ⅴ（計算機の論理とデータ構造）」では、毎回の課題で学生の理解度を分析しながら進めている。</t>
    <phoneticPr fontId="1"/>
  </si>
  <si>
    <t>令和5年度に実施した薬学部の「データサイエンス入門」に対する学生アンケートの結果、総合的な満足度は88％で良好であった。以上のことから、間接的ではあるが、後輩などへの推奨度についても高いものと推察される。
「情報科学 II」の最後の授業で実施したアンケートでは、72%が「データサイエンスプログラム」に興味があり、40%が今後も履修したいと回答した。他の学生への推奨度も後者と同程度と考えられる。「生物統計学」では中間・期末試験において、講義への感想や修繕点などを書いてもらい、次年度の講義に反映している。「生命科学Ⅴ（計算機の論理とデータ構造）」では、就職活動に役立つことをシラバスで言及している。</t>
    <phoneticPr fontId="1"/>
  </si>
  <si>
    <t>薬学部の「データサイエンス入門」は令和４年度より選択科目として開講したが、令和６年度以降は必修科目とすることが決まり、全ての学生が履修できるよう推進している。
生命科学部では、データサイエンスプログラム認定証の発行対象となる学生数の数値目標を30%として大学長期計画で措定している。また統計・データサイエンスや情報系の資格取得を奨励し、その対策に学部として取り組んでいる。</t>
    <phoneticPr fontId="1"/>
  </si>
  <si>
    <t>薬学部の「データサイエンス入門」は、リテラシーレベルの導入部分に準じた内容を展開し、時事やトレンドなど社会での実例をもとにAI等がどのような活用をされているかを中心に好奇心を促す講義内容としている。また、医薬系に特化したオリジナルコンテンツも含めることで、薬学専門分野に紐づいた内容を学ぶことができる。
生命科学部の低学年科目では、数理・データサイエンス・AIの基礎理論を扱い、高校の内容から無理なく連携できるように工夫がなされている。学年の進行に応じて、バイオインフォマティクスやゲノム情報医科学など生命科学に特化した内容を扱うことにより、学生は自身の興味ある分野について学ぶことができる。</t>
    <phoneticPr fontId="1"/>
  </si>
  <si>
    <t>薬学部の「データサイエンス入門」は、学生から「授業改善のためのアンケート」により意見を収集するとともに、外部有識者からの客観的な評価も踏まえて、教育プログラムの改善を図っている。また、当該科目を担当する教員も医薬分野における数理・AI・データサイエンスの最新動向を常に把握しつつ教育コンテンツに反映することに努めている。
生命科学部では、学期ごとに全科目の「授業改善のためのアンケート」を実施して意見を収集するとともに、教員間で情報を共有して、教育プログラムの改善を図っている。また外部有識者からの客観的な評価も踏まえ、毎年度のシラバス執筆時に常に最新の動向を教育コンテンツに反映するように努めている。</t>
    <phoneticPr fontId="1"/>
  </si>
  <si>
    <t>生命科学部では、データサイエンスプログラムを構成する下記科目のうち、13単位以上を取得すること。
★学部の必修科目（5単位）　　数学Ⅰ、情報科学Ⅰ、生物統計学
★認定証の必須科目（7単位）　　数学Ⅱ、情報科学Ⅱ、情報科学Ⅲ、生命科学Ⅳ（基礎情報学）、生命科学Ⅴ（計算機の論理とデータ構造）、分子生命科学Ⅵ（バイオインフォマティクス）
★認定証の選択必須科目　＊１科目以上取得　　ICT活用の理論と実践、生命医科学Ⅹ（ゲノム情報医科学）、生命科学VI（応用統計学)</t>
    <phoneticPr fontId="1"/>
  </si>
  <si>
    <t>情報科学 Ｉ</t>
    <phoneticPr fontId="1"/>
  </si>
  <si>
    <t>情報科学 II</t>
    <phoneticPr fontId="1"/>
  </si>
  <si>
    <t>生命科学 IV（基礎情報学）</t>
    <phoneticPr fontId="1"/>
  </si>
  <si>
    <t>情報科学III</t>
    <phoneticPr fontId="1"/>
  </si>
  <si>
    <t>ICT活用の理論と実践</t>
    <phoneticPr fontId="1"/>
  </si>
  <si>
    <t>情報科学I</t>
    <phoneticPr fontId="1"/>
  </si>
  <si>
    <t>情報科学II</t>
    <phoneticPr fontId="1"/>
  </si>
  <si>
    <t>分子生命科学Ⅵ（バイオインフォマティクス）</t>
    <phoneticPr fontId="1"/>
  </si>
  <si>
    <t>数学I</t>
    <phoneticPr fontId="1"/>
  </si>
  <si>
    <t>4-1統計および数理基礎</t>
  </si>
  <si>
    <t>4‐7データハンドリング</t>
  </si>
  <si>
    <t>4‐4時系列データ解析</t>
  </si>
  <si>
    <t>4‐8データ活用実践（教師あり学習）</t>
  </si>
  <si>
    <t>4‐2アルゴリズム基礎</t>
  </si>
  <si>
    <t>4‐3データ構造とプログラミング基礎</t>
  </si>
  <si>
    <t>4‐5テキスト解析</t>
  </si>
  <si>
    <t>4‐6画像解析</t>
  </si>
  <si>
    <t>生物統計学</t>
    <phoneticPr fontId="1"/>
  </si>
  <si>
    <t>数学II</t>
    <phoneticPr fontId="1"/>
  </si>
  <si>
    <t>生命科学V</t>
    <phoneticPr fontId="1"/>
  </si>
  <si>
    <t>生命医科学X</t>
    <phoneticPr fontId="1"/>
  </si>
  <si>
    <t>生命科学VI</t>
    <phoneticPr fontId="1"/>
  </si>
  <si>
    <t>4‐9データ活用実践（教師なし学習）</t>
  </si>
  <si>
    <t>・ビッグデータ、IoT、AI、ロボット　「情報科学I」（4、8回目）「情報科学II」（10回目）「生命科学IV」（1回目）「生命医科学X」（1回目）
・データ量の増加、計算機の処理性能の向上、AIの非連続的進化　「情報科学I」（4、8回目）「情報科学III」（10回目）「情報科学III」（1回目）「生命医科学X」（7回目）
・第4次産業革命、Society 5.0、データ駆動型社会　「情報科学I」（2、8回目）「生命医科学X」（1回目）
・人間の知的活動とAIの関係性　「情報科学I」（4、8回目）「生命科学IV」（7回目）
・データを起点としたものの見方、人間の知的活動を起点としたものの見方　「情報科学I」（8回目）「情報科学II」（9回目）「生命科学IV」（7回目）</t>
    <phoneticPr fontId="1"/>
  </si>
  <si>
    <t>・AI最新技術の活用例（深層生成モデル、敵対的生成ネットワーク、強化学習、転移学習など）　「情報科学I」（12回目）「情報科学II」（10回目）「情報科学III」（7回目）「生命科学IV」（1回目）</t>
    <phoneticPr fontId="1"/>
  </si>
  <si>
    <t>・調査データ、実験データ、人の行動ログデータ、機械の稼働ログデータなど　「情報科学II」（7、9回目）「ICT活用の理論と実践」（2回目）「生命医科学X」（1、2、3、6、7回目）
・1次データ、2次データ、データのメタ化　「情報科学II」（7回目）
・構造化データ、非構造化データ（文章、画像/動画、音声/音楽など）　「情報科学I」（5回目）「情報科学III」（6、7回目）
・データ作成（ビッグデータとアノテーション）　「生命医科学X」（3回目）
・データのオープン化（オープンデータ）　「情報科学I」（10回目）</t>
    <phoneticPr fontId="1"/>
  </si>
  <si>
    <t>・データ・AI活用領域の広がり(生産、消費、文化活動など)　「情報科学I」（7、8回目）「情報科学III」（1回目）「生命科学IV」（1回目）「生命医科学X」（1回目）
・研究開発、調達、製造、物流、販売、マーケティング、サービスなど　「情報科学I」（8回目）
・仮説検証、知識発見、原因究明、計画策定、判断支援、活動代替、新規生成など　「分子生命科学VI」（3回目）</t>
    <phoneticPr fontId="1"/>
  </si>
  <si>
    <t>・データ解析：予測、グルーピング、パターン発見、最適化、シミュレーション・データ同化など　「情報科学II」（10回目）　「情報科学III」（6、7回目）「生命医科学X」（6回目）「生命科学VI」（5回目）
・データ可視化：複合グラフ、2軸グラフ、多次元の可視化、関係性の可視化、地図上の可視化、
　挙動・軌跡の可視化、リアルタイム可視化など　「情報科学II」（11回目）「生命医科学X」（6回目）「生命科学VI」（1〜6回目）
・非構造化データ処理：言語処理、画像/動画処理、音声/音楽処理など　「情報科学III」（6、7回目）
・特化型AIと汎用AI、今のAIで出来ることと出来ないこと、AIとビッグデータ　「情報科学I」（8回目）「情報科学II」（10回目）「生命科学IV」（3回目）「生命医科学X」（7回目）</t>
    <phoneticPr fontId="1"/>
  </si>
  <si>
    <t>・流通、製造、金融、サービス、インフラ、公共、ヘルスケア等におけるデータ・AI利活用事例紹介　「情報科学I」（8回目）「情報科学II」（10回目）</t>
    <phoneticPr fontId="1"/>
  </si>
  <si>
    <t>・ELSI（Ethical, Legal and Social Issues）　「情報科学I」（6、7回目）「生命医科学X」（1、7回目）
・個人情報保護、EU一般データ保護規則(GDPR)、忘れられる権利、オプトアウト　「情報科学I」（7、9回目）「生命医科学X」（1、7回目）
・データ倫理：データのねつ造、改ざん、盗用、プライバシー保護　「情報科学I」（7、9回目）
・データバイアス、アルゴリズムバイアス　「情報科学I」（9回目）「生命医科学X」（7回目）
・AIサービスの責任論　「情報科学I」（7、8回目）
・データ・AI活用における負の事例紹介　「情報科学I」（7、8回目）「生命医科学X」（7回目）</t>
    <phoneticPr fontId="1"/>
  </si>
  <si>
    <t>・情報セキュリティ：機密性、完全性、可用性　「情報科学I」（１、２回目）
・匿名加工情報、暗号化、パスワード、悪意ある情報搾取　「情報科学I」（6、7、9回目）
・情報漏洩等によるセキュリティ事故の事例紹介　「情報科学I」（6回目）</t>
    <phoneticPr fontId="1"/>
  </si>
  <si>
    <t>・データの種類（量的変数、質的変数）「生物統計学」（2回目）「情報科学II」（11回目）「生命医科学X」（1、4、6回目）「生命科学VI」（1、2回目）
・データの分布(ヒストグラム)と代表値（平均値、中央値、最頻値）「生物統計学」（2回目）「情報科学II」（7回目）「ICT活用の理論と実践」（2回目）「生命科学VI」（1、2回目）
・代表値の性質の違い（実社会では平均値＝最頻値でないことが多い）「生物統計学」（2回目）「情報科学II」（7回目）「ICT活用の理論と実践」（2回目）「生命科学VI」（2回目）
・データのばらつき（分散、標準偏差、偏差値）　「生物統計学」（2回目）「情報科学II」（7回目）「ICT活用の理論と実践」（2回目）「生命科学VI」（2回目）
・観測データに含まれる誤差の扱い「生物統計学」（2回目）「情報科学II」（7回目）「ICT活用の理論と実践」（2回目）「生命科学VI」（2回目）
・打ち切りや脱落を含むデータ、層別の必要なデータ　「情報科学II」（4回目）「ICT活用の理論と実践」（2回目）
・相関と因果（相関係数、擬似相関、交絡）　「情報科学I」（10回目）「生物統計学」（12回目）「生命科学VI」（5回目）
・母集団と標本抽出（国勢調査、アンケート調査、全数調査、単純無作為抽出、層別抽出、多段抽出）「生物統計学」（5回目）「生命科学VI」（5回目）
・クロス集計表、分割表、相関係数行列、散布図行列「生物統計学」（2回目）「生命医科学X」（4回目）「生命科学VI」（3回目）
・統計情報の正しい理解（誇張表現に惑わされない）　「情報科学I」（10回目）「分子生命科学VI」（3回目）「生命医科学X」（4回目）</t>
    <phoneticPr fontId="1"/>
  </si>
  <si>
    <t>・データ表現（棒グラフ、折線グラフ、散布図、ヒートマップ）　「情報科学I」（10回目）「情報科学II」（4～9回目）、ICT活用の理論と実践（2回目）「生命医科学X」（6、7回目）「生命科学VI」（5回目）
・データの図表表現（チャート化）　「情報科学I」（10回目）「生命医科学X」（7回目）
・データの比較（条件をそろえた比較、処理の前後での比較、A/Bテスト)「生命医科学X」（6回目）「生命科学VI」（3、5、7回目）
・不適切なグラフ表現（チャートジャンク、不必要な視覚的要素）　　「情報科学I」（10回目）
・優れた可視化事例の紹介（可視化することによって新たな気づきがあった事例など）「生命医科学X」（7回目）</t>
    <phoneticPr fontId="1"/>
  </si>
  <si>
    <t>・データの集計（和、平均）　「情報科学I」（10回目）「生物統計学」（2回目）「情報科学II」（4回目）「生命科学VI」（2回目）
・データの並び替え、ランキング　「情報科学I」（10回目）「生命科学VI」（3回目）
・データ解析ツール（スプレッドシート）　「情報科学I」（10回目）　「情報科学II」（4回目）ICT活用の理論と実践（2回目）
・表形式のデータ（csv）　「情報科学I」（10回目）　「情報科学II」（4回目）ICT活用の理論と実践（2回目）「生命科学VI」（2〜7回目）</t>
    <phoneticPr fontId="1"/>
  </si>
  <si>
    <t>・数理科学やAI・機械学習に対する正しい理解に基づいて、データを管理・加工・解析できるための素養を身につけることができる。
・生命科学に特化したゲノム・メタゲノム情報や医療ビッグデータを活用する能力を身につけることができる。</t>
    <phoneticPr fontId="1"/>
  </si>
  <si>
    <t>講義内容「1-6. AI・データサイエンストレンド2023（13回目）」の中の１つの事例として「生成型AIの台頭」と題して授業内で取り上げている。具体的には、現時点で実用されている生成AIの種類（新しいデジタルの画像や動画、オーディオ、文章やコードなどのテキストを生成するAI）や原理、利用可能なソフトウェア（ChatGPT、Phenaki、Imagin Video、Jukeboxなど）の紹介ならびに生成AIにより作成されたフェイク画像によるデマにも使われた社会問題事例を紹介している。</t>
    <rPh sb="0" eb="4">
      <t>コウギナイヨウ</t>
    </rPh>
    <rPh sb="37" eb="38">
      <t>ナカ</t>
    </rPh>
    <rPh sb="42" eb="44">
      <t>ジレイ</t>
    </rPh>
    <rPh sb="58" eb="59">
      <t>ダイ</t>
    </rPh>
    <rPh sb="61" eb="64">
      <t>ジュギョウナイ</t>
    </rPh>
    <rPh sb="65" eb="66">
      <t>ト</t>
    </rPh>
    <rPh sb="67" eb="68">
      <t>ア</t>
    </rPh>
    <rPh sb="73" eb="76">
      <t>グタイテキ</t>
    </rPh>
    <rPh sb="79" eb="82">
      <t>ゲンジテン</t>
    </rPh>
    <rPh sb="83" eb="85">
      <t>ジツヨウ</t>
    </rPh>
    <rPh sb="90" eb="92">
      <t>セイセイ</t>
    </rPh>
    <rPh sb="95" eb="97">
      <t>シュルイ</t>
    </rPh>
    <rPh sb="98" eb="99">
      <t>アタラ</t>
    </rPh>
    <rPh sb="106" eb="108">
      <t>ガゾウ</t>
    </rPh>
    <rPh sb="109" eb="111">
      <t>ドウガ</t>
    </rPh>
    <rPh sb="118" eb="120">
      <t>ブンショウ</t>
    </rPh>
    <rPh sb="132" eb="134">
      <t>セイセイ</t>
    </rPh>
    <rPh sb="140" eb="142">
      <t>ゲンリ</t>
    </rPh>
    <rPh sb="143" eb="147">
      <t>リヨウカノウ</t>
    </rPh>
    <rPh sb="195" eb="197">
      <t>ショウカイ</t>
    </rPh>
    <rPh sb="201" eb="203">
      <t>セイセイ</t>
    </rPh>
    <rPh sb="208" eb="210">
      <t>サクセイ</t>
    </rPh>
    <rPh sb="217" eb="219">
      <t>ガゾウ</t>
    </rPh>
    <rPh sb="226" eb="227">
      <t>ツカ</t>
    </rPh>
    <rPh sb="230" eb="234">
      <t>シャカイモンダイ</t>
    </rPh>
    <rPh sb="234" eb="236">
      <t>ジレイ</t>
    </rPh>
    <rPh sb="237" eb="239">
      <t>ショウカイ</t>
    </rPh>
    <phoneticPr fontId="1"/>
  </si>
  <si>
    <t>情報科学I 第8, 9回で、AIで出来ること出来ないこと、AIの負の側面、データサイエンスの倫理について説明される。教科書の第１２章「データサイエンスの倫理」に該当する箇所であり、chatGPTに関する内容の説明がある。また、教科書の第11章「人工知能・機械学習・深層学習」の演習11・2では生成AIのDALLE2を利用する演習もある。
情報科学II 第10回では最新のAI技術の紹介として、人間の作品（俳句、イラスト）と生成AIの作品を作者は伏せて学生に提示し、どれが生成AIの作成したものであるか判別させている。</t>
    <rPh sb="0" eb="4">
      <t xml:space="preserve">ジョウホウカガク </t>
    </rPh>
    <rPh sb="6" eb="7">
      <t xml:space="preserve">ダイ </t>
    </rPh>
    <rPh sb="11" eb="12">
      <t xml:space="preserve">カイ </t>
    </rPh>
    <rPh sb="32" eb="33">
      <t xml:space="preserve">フノソクメン </t>
    </rPh>
    <rPh sb="46" eb="48">
      <t xml:space="preserve">リンリ </t>
    </rPh>
    <rPh sb="52" eb="54">
      <t xml:space="preserve">セツメイ </t>
    </rPh>
    <rPh sb="58" eb="61">
      <t xml:space="preserve">キョウカショ </t>
    </rPh>
    <rPh sb="62" eb="63">
      <t xml:space="preserve">ダイ </t>
    </rPh>
    <rPh sb="65" eb="66">
      <t xml:space="preserve">ショウ </t>
    </rPh>
    <rPh sb="76" eb="78">
      <t xml:space="preserve">リンリ </t>
    </rPh>
    <rPh sb="80" eb="82">
      <t xml:space="preserve">ガイトウスル </t>
    </rPh>
    <rPh sb="84" eb="86">
      <t xml:space="preserve">カショデアリ </t>
    </rPh>
    <rPh sb="98" eb="99">
      <t xml:space="preserve">カンスル </t>
    </rPh>
    <rPh sb="101" eb="103">
      <t xml:space="preserve">ナイヨウノセツメイガアル </t>
    </rPh>
    <rPh sb="122" eb="126">
      <t xml:space="preserve">ジンコウチノウ </t>
    </rPh>
    <rPh sb="127" eb="131">
      <t xml:space="preserve">キカイガクシュウ </t>
    </rPh>
    <rPh sb="132" eb="136">
      <t xml:space="preserve">シンソウガクシュウ </t>
    </rPh>
    <rPh sb="138" eb="140">
      <t xml:space="preserve">エンシュウ </t>
    </rPh>
    <rPh sb="146" eb="148">
      <t xml:space="preserve">セイセイ </t>
    </rPh>
    <rPh sb="158" eb="160">
      <t xml:space="preserve">リヨウスル </t>
    </rPh>
    <rPh sb="162" eb="164">
      <t xml:space="preserve">エンシュウ </t>
    </rPh>
    <rPh sb="170" eb="172">
      <t xml:space="preserve">ジョウホウカハク </t>
    </rPh>
    <rPh sb="172" eb="174">
      <t xml:space="preserve">カガク </t>
    </rPh>
    <rPh sb="177" eb="178">
      <t xml:space="preserve">ダイ </t>
    </rPh>
    <rPh sb="180" eb="181">
      <t xml:space="preserve">カイ </t>
    </rPh>
    <rPh sb="183" eb="185">
      <t xml:space="preserve">サイシンノ </t>
    </rPh>
    <rPh sb="188" eb="190">
      <t xml:space="preserve">ギジュツ </t>
    </rPh>
    <rPh sb="191" eb="193">
      <t xml:space="preserve">ショウカイトシテ </t>
    </rPh>
    <rPh sb="197" eb="199">
      <t xml:space="preserve">ニンゲン </t>
    </rPh>
    <rPh sb="200" eb="202">
      <t xml:space="preserve">サクヒン </t>
    </rPh>
    <rPh sb="203" eb="205">
      <t xml:space="preserve">ハイク </t>
    </rPh>
    <rPh sb="212" eb="214">
      <t xml:space="preserve">セイセイ </t>
    </rPh>
    <rPh sb="217" eb="219">
      <t xml:space="preserve">サクヒン </t>
    </rPh>
    <rPh sb="220" eb="222">
      <t xml:space="preserve">サクシャハフセテ </t>
    </rPh>
    <rPh sb="226" eb="228">
      <t xml:space="preserve">ガクセイニ </t>
    </rPh>
    <rPh sb="229" eb="231">
      <t xml:space="preserve">テイジシ </t>
    </rPh>
    <rPh sb="236" eb="238">
      <t xml:space="preserve">セイセイ </t>
    </rPh>
    <rPh sb="241" eb="243">
      <t xml:space="preserve">サクセイシタモノデアルカ </t>
    </rPh>
    <rPh sb="251" eb="253">
      <t xml:space="preserve">ハンベツサセテイル </t>
    </rPh>
    <phoneticPr fontId="1"/>
  </si>
  <si>
    <t>薬学部の「データサイエンス入門」は令和4（2022）年度に選択科目として開講した。令和5年度は薬学部1年生550名の学生のうち50名が履修・修得した。なお、令和6年度以降は必修科目化することで、全ての学生が履修できるよう計画している。
生命科学部の「数学Ⅰ」「情報科学Ⅰ」「生物統計学」は必修科目であり、全学科の学生が履修する。その他の対象科目の令和5年度の履修者は、「数学Ⅱ」が52%、「情報科学Ⅱ」が46%、「情報科学III」が21%、「生命科学VI（応用統計学）」が35%、「生命科学 IV（基礎情報学）」が31%、「生命科学V（計算機の論理とデータ構造）」が25%、「ICT活用の理論と実践」が32%、「分子生命科学Ⅵ（バイオインフォマティクス）」が29%、「生命医科学Ⅹ（ゲノム情報医科学）」が65%であった。</t>
    <rPh sb="176" eb="178">
      <t>スウガク</t>
    </rPh>
    <rPh sb="186" eb="188">
      <t>ジョウホウ</t>
    </rPh>
    <rPh sb="188" eb="190">
      <t>カガク</t>
    </rPh>
    <phoneticPr fontId="1"/>
  </si>
  <si>
    <r>
      <t xml:space="preserve">薬学部の「データサイエンス入門」は令和４年に開講間もないため、現時点において本科目を選択した卒業生は輩出していない。今後卒業生の調査を計画的に実施し、本教育プログラムを終了した卒業生の進路先や活躍状況の把握に努めることとする。
</t>
    </r>
    <r>
      <rPr>
        <sz val="12"/>
        <rFont val="ＭＳ Ｐゴシック"/>
        <family val="3"/>
        <charset val="128"/>
      </rPr>
      <t>生命科学部では2020年度入学生より、今回の申請内容に該当するカリキュラム内容を学部独自の「データサイエンスプログラム」として既に実施している。本学部卒業生も在籍するバイオデータサイエンス関連企業からは、学生のニーズと社会の動向に合った教育プログラムであると高い評価を得た。</t>
    </r>
    <rPh sb="208" eb="210">
      <t xml:space="preserve">カンレン </t>
    </rPh>
    <phoneticPr fontId="1"/>
  </si>
  <si>
    <r>
      <t xml:space="preserve">薬学部の「データサイエンス入門」の教育プログラムに対する外部有識者からの意見を収集するため、令和５年度は製薬企業から意見収集を行った。現時点で教育プログラムに変更を要する意見は挙げられていないが、今後も薬学生の進路先となる病院・薬局・企業など様々な分野の外部有識者からの意見を反映させながら、教育プログラムの改善を図る計画である。
</t>
    </r>
    <r>
      <rPr>
        <sz val="12"/>
        <rFont val="ＭＳ Ｐゴシック"/>
        <family val="3"/>
        <charset val="128"/>
      </rPr>
      <t>生命科学部の教育プログラムに関して、バイオデータサイエンス分野の企業から意見聴取を行った。基礎力の養成を重視した望ましい内容で、過度の応用に偏ることなく、現行カリキュラムを継続してほしいとのことであった。</t>
    </r>
    <r>
      <rPr>
        <sz val="12"/>
        <rFont val="ＭＳ Ｐゴシック"/>
        <family val="3"/>
        <charset val="128"/>
        <scheme val="minor"/>
      </rPr>
      <t xml:space="preserve">
</t>
    </r>
    <phoneticPr fontId="1"/>
  </si>
  <si>
    <t>様式１-1</t>
    <rPh sb="0" eb="2">
      <t>ヨウシキ</t>
    </rPh>
    <phoneticPr fontId="1"/>
  </si>
  <si>
    <t>様式１-2</t>
    <rPh sb="0" eb="2">
      <t>ヨウシキ</t>
    </rPh>
    <phoneticPr fontId="1"/>
  </si>
  <si>
    <t>生命科学VI（応用統計学）</t>
    <phoneticPr fontId="1"/>
  </si>
  <si>
    <r>
      <t xml:space="preserve">薬学部の「データサイエンス入門」は、令和４年度に１年生の一般教養・選択科目として開講した。数理・データサイエンス・AIに関する教養レベルの知識はベネッセ社のオンデマンド教材を活用し、薬剤師向けの医薬データサイエンスに特化したオリジナル教材を組み合わせて特徴のあるプログラムを構成し受講できるように開講した。令和6年度より1年生の一般教養・必修科目とし、学生全員が受講できるように履修を促進する。
</t>
    </r>
    <r>
      <rPr>
        <sz val="12"/>
        <rFont val="ＭＳ Ｐゴシック"/>
        <family val="3"/>
        <charset val="128"/>
      </rPr>
      <t>生命科学部では、令和2年度より実施している新カリキュラムにおいて、新しい時代のニーズに応える特別プログラムの1つとしてデータサイエンスプログラムを導入した。指定対象科目の単位を取得すれば、認定証を発行されるシステムとなっている。「AI戦略2019」のモデルカリキュラムに基づいた科目群で構成されているため、MDASHのスキルセットが自動的に履修できるようになっている。令和5年度における修了者数は6%であったが、令和6年度よりオープンバッジを導入して学修成果の可視化をはかり（マイクロクレデンシャル）、履修のモチベーション向上を計画している。現時点で必修化の予定はないが、令和3年に策定した本学中長期計画「TOUYAKU150」にKPIとして掲げるデータサイエンティスト関連資格取得件数30%以上（4年在籍人数比）に準じた履修率の向上を目指す。</t>
    </r>
    <rPh sb="153" eb="155">
      <t>レイワ</t>
    </rPh>
    <rPh sb="156" eb="158">
      <t>ネンド</t>
    </rPh>
    <rPh sb="161" eb="163">
      <t>ネンセイ</t>
    </rPh>
    <rPh sb="164" eb="168">
      <t>イッパンキョウヨウ</t>
    </rPh>
    <rPh sb="169" eb="173">
      <t>ヒッシュウカモク</t>
    </rPh>
    <rPh sb="176" eb="178">
      <t>ガクセイ</t>
    </rPh>
    <rPh sb="178" eb="180">
      <t>ゼンイン</t>
    </rPh>
    <rPh sb="181" eb="183">
      <t>ジュコウ</t>
    </rPh>
    <rPh sb="189" eb="191">
      <t>リシュウ</t>
    </rPh>
    <rPh sb="192" eb="194">
      <t>ソクシン</t>
    </rPh>
    <rPh sb="391" eb="393">
      <t>シュウリョウ</t>
    </rPh>
    <rPh sb="393" eb="394">
      <t>シャ</t>
    </rPh>
    <rPh sb="394" eb="395">
      <t>スウ</t>
    </rPh>
    <rPh sb="419" eb="421">
      <t>ドウニュウ</t>
    </rPh>
    <rPh sb="469" eb="472">
      <t>ゲンジテン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</si>
</sst>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8"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9"/>
      <name val="ＭＳ Ｐゴシック"/>
      <family val="3"/>
      <charset val="128"/>
      <scheme val="minor"/>
    </font>
    <font>
      <sz val="14"/>
      <name val="ＭＳ Ｐゴシック"/>
      <family val="3"/>
      <charset val="128"/>
      <scheme val="minor"/>
    </font>
    <font>
      <sz val="12"/>
      <name val="ＭＳ Ｐゴシック"/>
      <family val="3"/>
      <charset val="128"/>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4">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3" fillId="0" borderId="0" xfId="0" applyFont="1">
      <alignment vertical="center"/>
    </xf>
    <xf numFmtId="0" fontId="5" fillId="0" borderId="0" xfId="0" applyFont="1" applyAlignment="1">
      <alignment horizontal="left" vertical="center"/>
    </xf>
    <xf numFmtId="9" fontId="2" fillId="0" borderId="0" xfId="1" applyFont="1" applyAlignment="1">
      <alignment horizontal="center" vertical="center"/>
    </xf>
    <xf numFmtId="0" fontId="3" fillId="0" borderId="0" xfId="0" applyFont="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2" xfId="0" applyFont="1" applyBorder="1" applyAlignment="1">
      <alignment horizontal="center" vertical="center"/>
    </xf>
    <xf numFmtId="0" fontId="8" fillId="0" borderId="35" xfId="0" applyFont="1" applyBorder="1" applyAlignment="1">
      <alignment horizontal="center" vertical="center"/>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11" fillId="0" borderId="0" xfId="0" applyFont="1">
      <alignment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2" fillId="0" borderId="0" xfId="0" applyFont="1" applyAlignment="1">
      <alignment vertical="top" wrapText="1" shrinkToFit="1"/>
    </xf>
    <xf numFmtId="0" fontId="2" fillId="0" borderId="0" xfId="0" applyFont="1" applyAlignment="1">
      <alignment vertical="top" shrinkToFit="1"/>
    </xf>
    <xf numFmtId="0" fontId="12" fillId="0" borderId="0" xfId="0" applyFont="1">
      <alignment vertical="center"/>
    </xf>
    <xf numFmtId="0" fontId="13" fillId="0" borderId="0" xfId="0" applyFont="1">
      <alignment vertical="center"/>
    </xf>
    <xf numFmtId="0" fontId="13" fillId="0" borderId="0" xfId="0" applyFont="1" applyAlignment="1">
      <alignment horizontal="right" vertical="center"/>
    </xf>
    <xf numFmtId="0" fontId="13" fillId="0" borderId="1" xfId="0" applyFont="1" applyBorder="1" applyAlignment="1">
      <alignment horizontal="center" vertical="center"/>
    </xf>
    <xf numFmtId="0" fontId="13" fillId="0" borderId="0" xfId="0" applyFont="1" applyAlignment="1">
      <alignment vertical="center" shrinkToFit="1"/>
    </xf>
    <xf numFmtId="0" fontId="13" fillId="0" borderId="0" xfId="0" applyFont="1" applyAlignment="1">
      <alignment horizontal="left" vertical="center" shrinkToFit="1"/>
    </xf>
    <xf numFmtId="0" fontId="13" fillId="0" borderId="0" xfId="0" applyFont="1" applyAlignment="1">
      <alignment horizontal="center" vertical="center"/>
    </xf>
    <xf numFmtId="0" fontId="13" fillId="0" borderId="0" xfId="0" applyFont="1" applyAlignment="1">
      <alignment horizontal="left" vertical="center"/>
    </xf>
    <xf numFmtId="0" fontId="12" fillId="0" borderId="0" xfId="0" applyFont="1" applyAlignment="1">
      <alignment horizontal="center" vertical="center"/>
    </xf>
    <xf numFmtId="0" fontId="13" fillId="0" borderId="1" xfId="0" applyFont="1" applyBorder="1">
      <alignment vertical="center"/>
    </xf>
    <xf numFmtId="0" fontId="13" fillId="0" borderId="1" xfId="0" applyFont="1" applyBorder="1" applyAlignment="1">
      <alignment horizontal="left" vertical="center"/>
    </xf>
    <xf numFmtId="0" fontId="13" fillId="0" borderId="0" xfId="0" applyFont="1" applyAlignment="1">
      <alignment horizontal="center" vertical="center" shrinkToFit="1"/>
    </xf>
    <xf numFmtId="0" fontId="2" fillId="0" borderId="14" xfId="0" applyFont="1" applyBorder="1" applyAlignment="1">
      <alignment horizontal="left" vertical="center" shrinkToFit="1"/>
    </xf>
    <xf numFmtId="3" fontId="13" fillId="0" borderId="1" xfId="0" applyNumberFormat="1" applyFont="1" applyBorder="1">
      <alignment vertical="center"/>
    </xf>
    <xf numFmtId="0" fontId="13" fillId="0" borderId="14" xfId="0" applyFont="1" applyBorder="1" applyAlignment="1">
      <alignment horizontal="center" vertical="center" shrinkToFit="1"/>
    </xf>
    <xf numFmtId="0" fontId="13" fillId="0" borderId="20" xfId="0" applyFont="1" applyBorder="1" applyAlignment="1">
      <alignment horizontal="center" vertical="center" shrinkToFit="1"/>
    </xf>
    <xf numFmtId="0" fontId="13" fillId="0" borderId="17" xfId="0" applyFont="1" applyBorder="1" applyAlignment="1">
      <alignment horizontal="center" vertical="center"/>
    </xf>
    <xf numFmtId="0" fontId="13" fillId="0" borderId="9" xfId="0" applyFont="1" applyBorder="1" applyAlignment="1">
      <alignment horizontal="center" vertical="center"/>
    </xf>
    <xf numFmtId="0" fontId="13" fillId="0" borderId="20" xfId="0" applyFont="1" applyBorder="1" applyAlignment="1">
      <alignment horizontal="center" vertical="center"/>
    </xf>
    <xf numFmtId="0" fontId="16" fillId="0" borderId="0" xfId="0" applyFont="1" applyAlignment="1">
      <alignment horizontal="center" vertical="center"/>
    </xf>
    <xf numFmtId="0" fontId="15" fillId="0" borderId="0" xfId="0" applyFont="1" applyAlignment="1">
      <alignment vertical="top" wrapText="1"/>
    </xf>
    <xf numFmtId="0" fontId="13" fillId="2" borderId="5" xfId="0" applyFont="1" applyFill="1" applyBorder="1">
      <alignment vertical="center"/>
    </xf>
    <xf numFmtId="0" fontId="15" fillId="2" borderId="0" xfId="0" applyFont="1" applyFill="1" applyAlignment="1">
      <alignment vertical="top" wrapText="1"/>
    </xf>
    <xf numFmtId="0" fontId="15" fillId="2" borderId="10" xfId="0" applyFont="1" applyFill="1" applyBorder="1" applyAlignment="1">
      <alignment vertical="top" wrapText="1"/>
    </xf>
    <xf numFmtId="0" fontId="13" fillId="2" borderId="0" xfId="0" applyFont="1" applyFill="1">
      <alignment vertical="center"/>
    </xf>
    <xf numFmtId="0" fontId="15" fillId="2" borderId="5" xfId="0" applyFont="1" applyFill="1" applyBorder="1" applyAlignment="1">
      <alignment vertical="top" wrapText="1"/>
    </xf>
    <xf numFmtId="0" fontId="15" fillId="2" borderId="11" xfId="0" applyFont="1" applyFill="1" applyBorder="1" applyAlignment="1">
      <alignment vertical="top" wrapText="1"/>
    </xf>
    <xf numFmtId="0" fontId="15" fillId="2" borderId="37" xfId="0" applyFont="1" applyFill="1" applyBorder="1" applyAlignment="1">
      <alignment vertical="top" wrapText="1"/>
    </xf>
    <xf numFmtId="0" fontId="15" fillId="2" borderId="38" xfId="0" applyFont="1" applyFill="1" applyBorder="1" applyAlignment="1">
      <alignment vertical="top" wrapText="1"/>
    </xf>
    <xf numFmtId="0" fontId="15" fillId="2" borderId="37" xfId="0" applyFont="1" applyFill="1" applyBorder="1" applyAlignment="1">
      <alignment vertical="top" shrinkToFit="1"/>
    </xf>
    <xf numFmtId="0" fontId="15" fillId="2" borderId="38" xfId="0" applyFont="1" applyFill="1" applyBorder="1" applyAlignment="1">
      <alignment vertical="top" shrinkToFit="1"/>
    </xf>
    <xf numFmtId="0" fontId="13" fillId="0" borderId="0" xfId="0" applyFont="1" applyAlignment="1">
      <alignment vertical="top" wrapText="1"/>
    </xf>
    <xf numFmtId="0" fontId="13" fillId="0" borderId="0" xfId="0" applyFont="1" applyAlignment="1">
      <alignment horizontal="right"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6" fillId="0" borderId="0" xfId="0" applyFont="1" applyAlignment="1">
      <alignment horizontal="center" vertical="center"/>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1" xfId="0" applyFont="1" applyBorder="1" applyAlignment="1">
      <alignment horizontal="left" vertical="center" wrapText="1"/>
    </xf>
    <xf numFmtId="0" fontId="13" fillId="0" borderId="6" xfId="0" applyFont="1" applyBorder="1" applyAlignment="1">
      <alignment horizontal="left" vertical="center" wrapText="1"/>
    </xf>
    <xf numFmtId="0" fontId="13" fillId="0" borderId="12" xfId="0" applyFont="1" applyBorder="1" applyAlignment="1">
      <alignment horizontal="left" vertical="center" wrapTex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13" fillId="0" borderId="7" xfId="0" applyFont="1" applyBorder="1" applyAlignment="1">
      <alignment horizontal="left" vertical="top" wrapText="1" shrinkToFit="1"/>
    </xf>
    <xf numFmtId="0" fontId="13" fillId="0" borderId="8" xfId="0" applyFont="1" applyBorder="1" applyAlignment="1">
      <alignment horizontal="left" vertical="top" wrapText="1" shrinkToFit="1"/>
    </xf>
    <xf numFmtId="0" fontId="13" fillId="0" borderId="9" xfId="0" applyFont="1" applyBorder="1" applyAlignment="1">
      <alignment horizontal="left" vertical="top" wrapText="1" shrinkToFit="1"/>
    </xf>
    <xf numFmtId="0" fontId="13" fillId="0" borderId="5" xfId="0" applyFont="1" applyBorder="1" applyAlignment="1">
      <alignment horizontal="left" vertical="top" wrapText="1" shrinkToFit="1"/>
    </xf>
    <xf numFmtId="0" fontId="13" fillId="0" borderId="0" xfId="0" applyFont="1" applyAlignment="1">
      <alignment horizontal="left" vertical="top" wrapText="1" shrinkToFit="1"/>
    </xf>
    <xf numFmtId="0" fontId="13" fillId="0" borderId="10" xfId="0" applyFont="1" applyBorder="1" applyAlignment="1">
      <alignment horizontal="left" vertical="top" wrapText="1" shrinkToFit="1"/>
    </xf>
    <xf numFmtId="0" fontId="13" fillId="0" borderId="11" xfId="0" applyFont="1" applyBorder="1" applyAlignment="1">
      <alignment horizontal="left" vertical="top" wrapText="1" shrinkToFit="1"/>
    </xf>
    <xf numFmtId="0" fontId="13" fillId="0" borderId="6" xfId="0" applyFont="1" applyBorder="1" applyAlignment="1">
      <alignment horizontal="left" vertical="top" wrapText="1" shrinkToFit="1"/>
    </xf>
    <xf numFmtId="0" fontId="13" fillId="0" borderId="12" xfId="0" applyFont="1" applyBorder="1" applyAlignment="1">
      <alignment horizontal="left" vertical="top" wrapText="1" shrinkToFit="1"/>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3" fillId="0" borderId="0" xfId="0" applyFont="1" applyAlignment="1">
      <alignment vertical="center"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3" fillId="0" borderId="40" xfId="0" applyFont="1" applyBorder="1" applyAlignment="1">
      <alignment vertical="center" wrapText="1"/>
    </xf>
    <xf numFmtId="0" fontId="3" fillId="0" borderId="41" xfId="0" applyFont="1" applyBorder="1" applyAlignment="1">
      <alignment vertical="center" wrapText="1"/>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0" fontId="3" fillId="0" borderId="27" xfId="0" applyFont="1" applyBorder="1" applyAlignment="1">
      <alignment vertical="center" wrapText="1"/>
    </xf>
    <xf numFmtId="0" fontId="12" fillId="0" borderId="6" xfId="0" applyFont="1" applyBorder="1" applyAlignment="1">
      <alignment horizontal="left" vertical="center" wrapText="1"/>
    </xf>
    <xf numFmtId="0" fontId="12" fillId="0" borderId="1" xfId="0" applyFont="1" applyBorder="1" applyAlignment="1">
      <alignment horizontal="center" vertical="center"/>
    </xf>
    <xf numFmtId="0" fontId="15" fillId="0" borderId="1" xfId="0" applyFont="1" applyBorder="1" applyAlignment="1">
      <alignment vertical="center" wrapText="1"/>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12" fillId="0" borderId="0" xfId="0" applyFont="1" applyAlignment="1">
      <alignment horizontal="left" vertical="center" wrapText="1"/>
    </xf>
    <xf numFmtId="0" fontId="2" fillId="0" borderId="14" xfId="0" applyFont="1" applyBorder="1" applyAlignment="1">
      <alignment horizontal="center" vertical="center"/>
    </xf>
    <xf numFmtId="0" fontId="13" fillId="0" borderId="1" xfId="0" applyFont="1" applyBorder="1" applyAlignment="1">
      <alignment horizontal="center" vertical="center"/>
    </xf>
    <xf numFmtId="0" fontId="13" fillId="0" borderId="2" xfId="0" applyFont="1" applyBorder="1" applyAlignment="1">
      <alignment horizontal="center" vertical="center" shrinkToFit="1"/>
    </xf>
    <xf numFmtId="0" fontId="13"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0" fillId="0" borderId="0" xfId="0" applyFont="1" applyAlignment="1">
      <alignment horizontal="left" vertical="center" wrapText="1"/>
    </xf>
    <xf numFmtId="0" fontId="6" fillId="0" borderId="0" xfId="0" applyFont="1" applyAlignment="1">
      <alignment horizontal="center"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0" fontId="13" fillId="0" borderId="16" xfId="0" applyFont="1" applyBorder="1">
      <alignment vertical="center"/>
    </xf>
    <xf numFmtId="0" fontId="12" fillId="0" borderId="17" xfId="0" applyFont="1" applyBorder="1">
      <alignment vertical="center"/>
    </xf>
    <xf numFmtId="0" fontId="13" fillId="0" borderId="18" xfId="0" applyFont="1" applyBorder="1" applyAlignment="1">
      <alignment vertical="top" wrapText="1" shrinkToFit="1"/>
    </xf>
    <xf numFmtId="0" fontId="13" fillId="0" borderId="19" xfId="0" applyFont="1" applyBorder="1" applyAlignment="1">
      <alignment vertical="top" wrapText="1" shrinkToFit="1"/>
    </xf>
    <xf numFmtId="0" fontId="13" fillId="0" borderId="17" xfId="0" applyFont="1" applyBorder="1" applyAlignment="1">
      <alignment vertical="top" wrapText="1" shrinkToFit="1"/>
    </xf>
    <xf numFmtId="0" fontId="13" fillId="0" borderId="16" xfId="0" applyFont="1" applyBorder="1" applyAlignment="1">
      <alignment vertical="center" wrapText="1"/>
    </xf>
    <xf numFmtId="0" fontId="13" fillId="0" borderId="17" xfId="0" applyFont="1" applyBorder="1" applyAlignment="1">
      <alignment vertical="center" wrapText="1"/>
    </xf>
    <xf numFmtId="0" fontId="13" fillId="0" borderId="2" xfId="0" applyFont="1" applyBorder="1" applyAlignment="1">
      <alignment horizontal="left" vertical="center"/>
    </xf>
    <xf numFmtId="0" fontId="13" fillId="0" borderId="3" xfId="0" applyFont="1" applyBorder="1" applyAlignment="1">
      <alignment horizontal="left" vertical="center"/>
    </xf>
    <xf numFmtId="0" fontId="13" fillId="0" borderId="4" xfId="0" applyFont="1" applyBorder="1" applyAlignment="1">
      <alignment horizontal="left" vertical="center"/>
    </xf>
    <xf numFmtId="0" fontId="13" fillId="0" borderId="47" xfId="0" applyFont="1" applyBorder="1" applyAlignment="1">
      <alignment vertical="center" wrapText="1"/>
    </xf>
    <xf numFmtId="0" fontId="13" fillId="0" borderId="34" xfId="0" applyFont="1" applyBorder="1" applyAlignment="1">
      <alignment vertical="center" wrapText="1"/>
    </xf>
    <xf numFmtId="0" fontId="13" fillId="0" borderId="32" xfId="0" applyFont="1" applyBorder="1" applyAlignment="1">
      <alignment vertical="top" wrapText="1" shrinkToFit="1"/>
    </xf>
    <xf numFmtId="0" fontId="13" fillId="0" borderId="33" xfId="0" applyFont="1" applyBorder="1" applyAlignment="1">
      <alignment vertical="top" wrapText="1" shrinkToFit="1"/>
    </xf>
    <xf numFmtId="0" fontId="13" fillId="0" borderId="34" xfId="0" applyFont="1" applyBorder="1" applyAlignment="1">
      <alignment vertical="top" wrapText="1" shrinkToFit="1"/>
    </xf>
    <xf numFmtId="0" fontId="13" fillId="0" borderId="11" xfId="0" applyFont="1" applyBorder="1" applyAlignment="1">
      <alignment vertical="center" wrapText="1"/>
    </xf>
    <xf numFmtId="0" fontId="13" fillId="0" borderId="6" xfId="0" applyFont="1" applyBorder="1" applyAlignment="1">
      <alignment vertical="center" wrapText="1"/>
    </xf>
    <xf numFmtId="0" fontId="13" fillId="0" borderId="12" xfId="0" applyFont="1" applyBorder="1" applyAlignment="1">
      <alignment vertical="center" wrapText="1"/>
    </xf>
    <xf numFmtId="0" fontId="13" fillId="0" borderId="6" xfId="0" applyFont="1" applyBorder="1" applyAlignment="1">
      <alignment vertical="top" wrapText="1" shrinkToFit="1"/>
    </xf>
    <xf numFmtId="0" fontId="13" fillId="0" borderId="12" xfId="0" applyFont="1" applyBorder="1" applyAlignment="1">
      <alignment vertical="top" wrapText="1" shrinkToFit="1"/>
    </xf>
    <xf numFmtId="0" fontId="13" fillId="0" borderId="36" xfId="0" applyFont="1" applyBorder="1" applyAlignment="1">
      <alignment vertical="center" wrapText="1"/>
    </xf>
    <xf numFmtId="0" fontId="13" fillId="0" borderId="37" xfId="0" applyFont="1" applyBorder="1" applyAlignment="1">
      <alignment vertical="center" wrapText="1"/>
    </xf>
    <xf numFmtId="0" fontId="13" fillId="0" borderId="38" xfId="0" applyFont="1" applyBorder="1" applyAlignment="1">
      <alignment vertical="center" wrapText="1"/>
    </xf>
    <xf numFmtId="0" fontId="13" fillId="0" borderId="37" xfId="0" applyFont="1" applyBorder="1" applyAlignment="1">
      <alignment vertical="top" wrapText="1" shrinkToFit="1"/>
    </xf>
    <xf numFmtId="0" fontId="13" fillId="0" borderId="38" xfId="0" applyFont="1" applyBorder="1" applyAlignment="1">
      <alignment vertical="top" wrapText="1" shrinkToFit="1"/>
    </xf>
    <xf numFmtId="38" fontId="13" fillId="0" borderId="46" xfId="2" applyFont="1" applyBorder="1" applyAlignment="1">
      <alignment vertical="center" shrinkToFit="1"/>
    </xf>
    <xf numFmtId="0" fontId="13" fillId="0" borderId="1" xfId="0" applyFont="1" applyBorder="1" applyAlignment="1">
      <alignment horizontal="center" vertical="center" wrapText="1" shrinkToFit="1"/>
    </xf>
    <xf numFmtId="9" fontId="13" fillId="0" borderId="1" xfId="0" applyNumberFormat="1" applyFont="1" applyBorder="1" applyAlignment="1">
      <alignment horizontal="center" vertical="center" wrapText="1" shrinkToFit="1"/>
    </xf>
    <xf numFmtId="9" fontId="12" fillId="0" borderId="1" xfId="0" applyNumberFormat="1" applyFont="1" applyBorder="1" applyAlignment="1">
      <alignment horizontal="center" vertical="center" wrapText="1" shrinkToFit="1"/>
    </xf>
    <xf numFmtId="9" fontId="12" fillId="0" borderId="1" xfId="0" applyNumberFormat="1" applyFont="1" applyBorder="1" applyAlignment="1">
      <alignment horizontal="center" vertical="center" shrinkToFit="1"/>
    </xf>
    <xf numFmtId="9" fontId="13" fillId="0" borderId="1" xfId="0" applyNumberFormat="1" applyFont="1" applyBorder="1" applyAlignment="1">
      <alignment horizontal="center" vertical="center" wrapText="1" shrinkToFit="1"/>
    </xf>
    <xf numFmtId="0" fontId="13" fillId="0" borderId="1" xfId="0" applyFont="1" applyBorder="1" applyAlignment="1">
      <alignment horizontal="center" vertical="center" shrinkToFit="1"/>
    </xf>
    <xf numFmtId="9" fontId="13" fillId="0" borderId="1" xfId="0" applyNumberFormat="1" applyFont="1" applyBorder="1" applyAlignment="1">
      <alignment horizontal="center" vertical="center" shrinkToFit="1"/>
    </xf>
    <xf numFmtId="176" fontId="13" fillId="0" borderId="1" xfId="0" applyNumberFormat="1" applyFont="1" applyBorder="1" applyAlignment="1">
      <alignment horizontal="center" vertical="center" shrinkToFit="1"/>
    </xf>
    <xf numFmtId="0" fontId="13" fillId="2" borderId="5" xfId="0" applyFont="1" applyFill="1" applyBorder="1" applyAlignment="1">
      <alignment horizontal="center" vertical="center" shrinkToFit="1"/>
    </xf>
    <xf numFmtId="0" fontId="13" fillId="2" borderId="0" xfId="0" applyFont="1" applyFill="1" applyAlignment="1">
      <alignment horizontal="center" vertical="center" shrinkToFit="1"/>
    </xf>
    <xf numFmtId="0" fontId="13" fillId="2" borderId="10" xfId="0" applyFont="1" applyFill="1" applyBorder="1" applyAlignment="1">
      <alignment horizontal="center" vertical="center" shrinkToFit="1"/>
    </xf>
    <xf numFmtId="0" fontId="13" fillId="0" borderId="7" xfId="0" applyFont="1" applyBorder="1" applyAlignment="1">
      <alignment horizontal="left" vertical="top" wrapText="1"/>
    </xf>
    <xf numFmtId="0" fontId="13" fillId="0" borderId="8" xfId="0" applyFont="1" applyBorder="1" applyAlignment="1">
      <alignment horizontal="left" vertical="top" wrapText="1"/>
    </xf>
    <xf numFmtId="0" fontId="13" fillId="0" borderId="9" xfId="0" applyFont="1" applyBorder="1" applyAlignment="1">
      <alignment horizontal="left" vertical="top" wrapText="1"/>
    </xf>
    <xf numFmtId="0" fontId="13" fillId="0" borderId="5" xfId="0" applyFont="1" applyBorder="1" applyAlignment="1">
      <alignment horizontal="left" vertical="top" wrapText="1"/>
    </xf>
    <xf numFmtId="0" fontId="13" fillId="0" borderId="0" xfId="0" applyFont="1" applyAlignment="1">
      <alignment horizontal="left" vertical="top" wrapText="1"/>
    </xf>
    <xf numFmtId="0" fontId="13" fillId="0" borderId="10" xfId="0" applyFont="1" applyBorder="1" applyAlignment="1">
      <alignment horizontal="left" vertical="top" wrapText="1"/>
    </xf>
    <xf numFmtId="0" fontId="13" fillId="0" borderId="11" xfId="0" applyFont="1" applyBorder="1" applyAlignment="1">
      <alignment horizontal="left" vertical="top" wrapText="1"/>
    </xf>
    <xf numFmtId="0" fontId="13" fillId="0" borderId="6" xfId="0" applyFont="1" applyBorder="1" applyAlignment="1">
      <alignment horizontal="left" vertical="top" wrapText="1"/>
    </xf>
    <xf numFmtId="0" fontId="13" fillId="0" borderId="12" xfId="0" applyFont="1" applyBorder="1" applyAlignment="1">
      <alignment horizontal="left" vertical="top" wrapText="1"/>
    </xf>
  </cellXfs>
  <cellStyles count="3">
    <cellStyle name="パーセント" xfId="1" builtinId="5"/>
    <cellStyle name="桁区切り" xfId="2" builtinId="6"/>
    <cellStyle name="標準" xfId="0" builtinId="0"/>
  </cellStyles>
  <dxfs count="4">
    <dxf>
      <font>
        <color theme="0" tint="-0.34998626667073579"/>
      </font>
      <fill>
        <patternFill>
          <bgColor theme="0" tint="-0.34998626667073579"/>
        </patternFill>
      </fill>
    </dxf>
    <dxf>
      <fill>
        <patternFill>
          <bgColor theme="0" tint="-0.34998626667073579"/>
        </patternFill>
      </fill>
    </dxf>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6110F-5066-42BA-8E81-7FEA92E633A5}">
  <sheetPr>
    <tabColor rgb="FF00B0F0"/>
    <pageSetUpPr fitToPage="1"/>
  </sheetPr>
  <dimension ref="A1:AG114"/>
  <sheetViews>
    <sheetView showZeros="0" view="pageBreakPreview" zoomScaleNormal="100" zoomScaleSheetLayoutView="100" workbookViewId="0">
      <selection activeCell="V111" sqref="V111"/>
    </sheetView>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16384" width="9" style="1"/>
  </cols>
  <sheetData>
    <row r="1" spans="1:24" ht="18.600000000000001" customHeight="1" x14ac:dyDescent="0.15">
      <c r="A1" s="59"/>
      <c r="B1" s="59"/>
      <c r="C1" s="59"/>
      <c r="D1" s="59"/>
      <c r="E1" s="59"/>
      <c r="F1" s="59"/>
      <c r="G1" s="59"/>
      <c r="H1" s="59"/>
      <c r="I1" s="59"/>
      <c r="J1" s="59"/>
      <c r="K1" s="59"/>
      <c r="L1" s="59"/>
      <c r="M1" s="59"/>
      <c r="N1" s="59"/>
      <c r="O1" s="59"/>
      <c r="P1" s="59"/>
      <c r="Q1" s="59"/>
      <c r="R1" s="59"/>
      <c r="S1" s="59"/>
      <c r="T1" s="90" t="s">
        <v>213</v>
      </c>
      <c r="U1" s="90"/>
      <c r="V1" s="2" t="s">
        <v>99</v>
      </c>
    </row>
    <row r="2" spans="1:24" ht="18.75" customHeight="1" x14ac:dyDescent="0.15">
      <c r="A2" s="59"/>
      <c r="B2" s="61" t="s">
        <v>98</v>
      </c>
      <c r="C2" s="91" t="s">
        <v>136</v>
      </c>
      <c r="D2" s="92"/>
      <c r="E2" s="92"/>
      <c r="F2" s="92"/>
      <c r="G2" s="92"/>
      <c r="H2" s="92"/>
      <c r="I2" s="92"/>
      <c r="J2" s="93"/>
      <c r="K2" s="60"/>
      <c r="L2" s="62"/>
      <c r="M2" s="62"/>
      <c r="N2" s="62"/>
      <c r="O2" s="62"/>
      <c r="P2" s="62"/>
      <c r="Q2" s="62"/>
      <c r="R2" s="62"/>
      <c r="S2" s="62"/>
      <c r="T2" s="62"/>
      <c r="U2" s="62"/>
    </row>
    <row r="3" spans="1:24" ht="18.75" customHeight="1" x14ac:dyDescent="0.15">
      <c r="A3" s="59"/>
      <c r="B3" s="61" t="s">
        <v>93</v>
      </c>
      <c r="C3" s="91" t="s">
        <v>137</v>
      </c>
      <c r="D3" s="92"/>
      <c r="E3" s="92"/>
      <c r="F3" s="92"/>
      <c r="G3" s="92"/>
      <c r="H3" s="92"/>
      <c r="I3" s="92"/>
      <c r="J3" s="93"/>
      <c r="K3" s="60"/>
      <c r="L3" s="62"/>
      <c r="M3" s="62"/>
      <c r="N3" s="62"/>
      <c r="O3" s="62"/>
      <c r="P3" s="62"/>
      <c r="Q3" s="62"/>
      <c r="R3" s="62"/>
      <c r="S3" s="62"/>
      <c r="T3" s="62"/>
      <c r="U3" s="62"/>
    </row>
    <row r="4" spans="1:24" ht="15" customHeight="1" x14ac:dyDescent="0.15">
      <c r="A4" s="59"/>
      <c r="B4" s="59"/>
      <c r="C4" s="59"/>
      <c r="D4" s="59"/>
      <c r="E4" s="59"/>
      <c r="F4" s="59"/>
      <c r="G4" s="59"/>
      <c r="H4" s="59"/>
      <c r="I4" s="59"/>
      <c r="J4" s="59"/>
      <c r="K4" s="59"/>
      <c r="L4" s="60"/>
      <c r="M4" s="63"/>
      <c r="N4" s="63"/>
      <c r="O4" s="63"/>
      <c r="P4" s="63"/>
      <c r="Q4" s="63"/>
      <c r="R4" s="63"/>
      <c r="S4" s="63"/>
      <c r="T4" s="63"/>
      <c r="U4" s="63"/>
    </row>
    <row r="5" spans="1:24" ht="18" customHeight="1" x14ac:dyDescent="0.15">
      <c r="A5" s="94" t="s">
        <v>37</v>
      </c>
      <c r="B5" s="94"/>
      <c r="C5" s="94"/>
      <c r="D5" s="94"/>
      <c r="E5" s="94"/>
      <c r="F5" s="94"/>
      <c r="G5" s="94"/>
      <c r="H5" s="94"/>
      <c r="I5" s="94"/>
      <c r="J5" s="94"/>
      <c r="K5" s="94"/>
      <c r="L5" s="94"/>
      <c r="M5" s="94"/>
      <c r="N5" s="94"/>
      <c r="O5" s="94"/>
      <c r="P5" s="94"/>
      <c r="Q5" s="94"/>
      <c r="R5" s="94"/>
      <c r="S5" s="94"/>
      <c r="T5" s="94"/>
      <c r="U5" s="94"/>
    </row>
    <row r="6" spans="1:24" ht="15" customHeight="1" x14ac:dyDescent="0.15">
      <c r="A6" s="59"/>
      <c r="B6" s="64"/>
      <c r="C6" s="64"/>
      <c r="D6" s="64"/>
      <c r="E6" s="64"/>
      <c r="F6" s="64"/>
      <c r="G6" s="64"/>
      <c r="H6" s="64"/>
      <c r="I6" s="64"/>
      <c r="J6" s="64"/>
      <c r="K6" s="64"/>
      <c r="L6" s="64"/>
      <c r="M6" s="64"/>
      <c r="N6" s="64"/>
      <c r="O6" s="64"/>
      <c r="P6" s="64"/>
      <c r="Q6" s="64"/>
      <c r="R6" s="64"/>
      <c r="S6" s="64"/>
      <c r="T6" s="64"/>
      <c r="U6" s="64"/>
    </row>
    <row r="7" spans="1:24" ht="15" customHeight="1" x14ac:dyDescent="0.15">
      <c r="A7" s="59" t="s">
        <v>131</v>
      </c>
      <c r="B7" s="64"/>
      <c r="C7" s="64"/>
      <c r="D7" s="64"/>
      <c r="E7" s="64"/>
      <c r="F7" s="58"/>
      <c r="G7" s="58"/>
      <c r="H7" s="58"/>
      <c r="I7" s="58"/>
      <c r="J7" s="58"/>
      <c r="K7" s="58"/>
      <c r="L7" s="95" t="s">
        <v>129</v>
      </c>
      <c r="M7" s="96"/>
      <c r="N7" s="96"/>
      <c r="O7" s="96"/>
      <c r="P7" s="96"/>
      <c r="Q7" s="96"/>
      <c r="R7" s="96"/>
      <c r="S7" s="96"/>
      <c r="T7" s="96"/>
      <c r="U7" s="97"/>
    </row>
    <row r="8" spans="1:24" ht="6" customHeight="1" x14ac:dyDescent="0.15">
      <c r="A8" s="59"/>
      <c r="B8" s="64"/>
      <c r="C8" s="64"/>
      <c r="D8" s="64"/>
      <c r="E8" s="64"/>
      <c r="F8" s="64"/>
      <c r="G8" s="64"/>
      <c r="H8" s="64"/>
      <c r="I8" s="64"/>
      <c r="J8" s="64"/>
      <c r="K8" s="64"/>
      <c r="L8" s="64"/>
      <c r="M8" s="64"/>
      <c r="N8" s="64"/>
      <c r="O8" s="64"/>
      <c r="P8" s="64"/>
      <c r="Q8" s="64"/>
      <c r="R8" s="64"/>
      <c r="S8" s="64"/>
      <c r="T8" s="64"/>
      <c r="U8" s="64"/>
    </row>
    <row r="9" spans="1:24" ht="18" customHeight="1" x14ac:dyDescent="0.15">
      <c r="A9" s="59" t="s">
        <v>132</v>
      </c>
      <c r="B9" s="59"/>
      <c r="C9" s="64"/>
      <c r="D9" s="64"/>
      <c r="E9" s="59"/>
      <c r="F9" s="59"/>
      <c r="G9" s="59"/>
      <c r="H9" s="59"/>
      <c r="I9" s="59"/>
      <c r="J9" s="59"/>
      <c r="K9" s="60"/>
      <c r="L9" s="58"/>
      <c r="M9" s="58"/>
      <c r="N9" s="58"/>
      <c r="O9" s="58"/>
      <c r="P9" s="58"/>
      <c r="Q9" s="58"/>
      <c r="R9" s="58"/>
      <c r="S9" s="58"/>
      <c r="T9" s="58"/>
      <c r="U9" s="58"/>
    </row>
    <row r="10" spans="1:24" ht="6" customHeight="1" x14ac:dyDescent="0.15">
      <c r="A10" s="59"/>
      <c r="B10" s="64"/>
      <c r="C10" s="64"/>
      <c r="D10" s="64"/>
      <c r="E10" s="64"/>
      <c r="F10" s="64"/>
      <c r="G10" s="64"/>
      <c r="H10" s="64"/>
      <c r="I10" s="64"/>
      <c r="J10" s="64"/>
      <c r="K10" s="64"/>
      <c r="L10" s="65"/>
      <c r="M10" s="64"/>
      <c r="N10" s="64"/>
      <c r="O10" s="64"/>
      <c r="P10" s="64"/>
      <c r="Q10" s="64"/>
      <c r="R10" s="64"/>
      <c r="S10" s="64"/>
      <c r="T10" s="64"/>
      <c r="U10" s="64"/>
    </row>
    <row r="11" spans="1:24" ht="18" customHeight="1" x14ac:dyDescent="0.15">
      <c r="A11" s="59"/>
      <c r="B11" s="98" t="s">
        <v>138</v>
      </c>
      <c r="C11" s="99"/>
      <c r="D11" s="99"/>
      <c r="E11" s="99"/>
      <c r="F11" s="99"/>
      <c r="G11" s="99"/>
      <c r="H11" s="99"/>
      <c r="I11" s="99"/>
      <c r="J11" s="99"/>
      <c r="K11" s="99"/>
      <c r="L11" s="99"/>
      <c r="M11" s="99"/>
      <c r="N11" s="99"/>
      <c r="O11" s="99"/>
      <c r="P11" s="99"/>
      <c r="Q11" s="99"/>
      <c r="R11" s="99"/>
      <c r="S11" s="99"/>
      <c r="T11" s="99"/>
      <c r="U11" s="100"/>
    </row>
    <row r="12" spans="1:24" ht="18" customHeight="1" x14ac:dyDescent="0.15">
      <c r="A12" s="59"/>
      <c r="B12" s="101"/>
      <c r="C12" s="102"/>
      <c r="D12" s="102"/>
      <c r="E12" s="102"/>
      <c r="F12" s="102"/>
      <c r="G12" s="102"/>
      <c r="H12" s="102"/>
      <c r="I12" s="102"/>
      <c r="J12" s="102"/>
      <c r="K12" s="102"/>
      <c r="L12" s="102"/>
      <c r="M12" s="102"/>
      <c r="N12" s="102"/>
      <c r="O12" s="102"/>
      <c r="P12" s="102"/>
      <c r="Q12" s="102"/>
      <c r="R12" s="102"/>
      <c r="S12" s="102"/>
      <c r="T12" s="102"/>
      <c r="U12" s="103"/>
    </row>
    <row r="13" spans="1:24" ht="6" customHeight="1" x14ac:dyDescent="0.15">
      <c r="A13" s="59"/>
      <c r="B13" s="64"/>
      <c r="C13" s="64"/>
      <c r="D13" s="64"/>
      <c r="E13" s="64"/>
      <c r="F13" s="64"/>
      <c r="G13" s="64"/>
      <c r="H13" s="64"/>
      <c r="I13" s="64"/>
      <c r="J13" s="64"/>
      <c r="K13" s="64"/>
      <c r="L13" s="65"/>
      <c r="M13" s="64"/>
      <c r="N13" s="64"/>
      <c r="O13" s="64"/>
      <c r="P13" s="64"/>
      <c r="Q13" s="64"/>
      <c r="R13" s="64"/>
      <c r="S13" s="64"/>
      <c r="T13" s="64"/>
      <c r="U13" s="64"/>
    </row>
    <row r="14" spans="1:24" ht="18" customHeight="1" x14ac:dyDescent="0.15">
      <c r="A14" s="59" t="s">
        <v>100</v>
      </c>
      <c r="B14" s="64"/>
      <c r="C14" s="64"/>
      <c r="D14" s="64"/>
      <c r="E14" s="60"/>
      <c r="F14" s="60"/>
      <c r="G14" s="60"/>
      <c r="H14" s="60"/>
      <c r="I14" s="60"/>
      <c r="J14" s="60"/>
      <c r="K14" s="60"/>
      <c r="L14" s="66"/>
      <c r="M14" s="66"/>
      <c r="N14" s="66"/>
      <c r="O14" s="66"/>
      <c r="P14" s="66"/>
      <c r="Q14" s="66"/>
      <c r="R14" s="66"/>
      <c r="S14" s="66"/>
      <c r="T14" s="66"/>
      <c r="U14" s="66"/>
    </row>
    <row r="15" spans="1:24" ht="18" customHeight="1" x14ac:dyDescent="0.15">
      <c r="A15" s="59"/>
      <c r="B15" s="107" t="s">
        <v>139</v>
      </c>
      <c r="C15" s="108"/>
      <c r="D15" s="108"/>
      <c r="E15" s="108"/>
      <c r="F15" s="108"/>
      <c r="G15" s="108"/>
      <c r="H15" s="108"/>
      <c r="I15" s="108"/>
      <c r="J15" s="108"/>
      <c r="K15" s="108"/>
      <c r="L15" s="108"/>
      <c r="M15" s="108"/>
      <c r="N15" s="108"/>
      <c r="O15" s="108"/>
      <c r="P15" s="108"/>
      <c r="Q15" s="108"/>
      <c r="R15" s="108"/>
      <c r="S15" s="108"/>
      <c r="T15" s="108"/>
      <c r="U15" s="109"/>
      <c r="X15" s="1" t="s">
        <v>94</v>
      </c>
    </row>
    <row r="16" spans="1:24" ht="18" customHeight="1" x14ac:dyDescent="0.15">
      <c r="A16" s="59"/>
      <c r="B16" s="110"/>
      <c r="C16" s="111"/>
      <c r="D16" s="111"/>
      <c r="E16" s="111"/>
      <c r="F16" s="111"/>
      <c r="G16" s="111"/>
      <c r="H16" s="111"/>
      <c r="I16" s="111"/>
      <c r="J16" s="111"/>
      <c r="K16" s="111"/>
      <c r="L16" s="111"/>
      <c r="M16" s="111"/>
      <c r="N16" s="111"/>
      <c r="O16" s="111"/>
      <c r="P16" s="111"/>
      <c r="Q16" s="111"/>
      <c r="R16" s="111"/>
      <c r="S16" s="111"/>
      <c r="T16" s="111"/>
      <c r="U16" s="112"/>
      <c r="X16" s="1" t="s">
        <v>114</v>
      </c>
    </row>
    <row r="17" spans="1:24" ht="18" customHeight="1" x14ac:dyDescent="0.15">
      <c r="A17" s="59"/>
      <c r="B17" s="110"/>
      <c r="C17" s="111"/>
      <c r="D17" s="111"/>
      <c r="E17" s="111"/>
      <c r="F17" s="111"/>
      <c r="G17" s="111"/>
      <c r="H17" s="111"/>
      <c r="I17" s="111"/>
      <c r="J17" s="111"/>
      <c r="K17" s="111"/>
      <c r="L17" s="111"/>
      <c r="M17" s="111"/>
      <c r="N17" s="111"/>
      <c r="O17" s="111"/>
      <c r="P17" s="111"/>
      <c r="Q17" s="111"/>
      <c r="R17" s="111"/>
      <c r="S17" s="111"/>
      <c r="T17" s="111"/>
      <c r="U17" s="112"/>
      <c r="X17" s="1" t="s">
        <v>115</v>
      </c>
    </row>
    <row r="18" spans="1:24" ht="18" customHeight="1" x14ac:dyDescent="0.15">
      <c r="A18" s="59"/>
      <c r="B18" s="110"/>
      <c r="C18" s="111"/>
      <c r="D18" s="111"/>
      <c r="E18" s="111"/>
      <c r="F18" s="111"/>
      <c r="G18" s="111"/>
      <c r="H18" s="111"/>
      <c r="I18" s="111"/>
      <c r="J18" s="111"/>
      <c r="K18" s="111"/>
      <c r="L18" s="111"/>
      <c r="M18" s="111"/>
      <c r="N18" s="111"/>
      <c r="O18" s="111"/>
      <c r="P18" s="111"/>
      <c r="Q18" s="111"/>
      <c r="R18" s="111"/>
      <c r="S18" s="111"/>
      <c r="T18" s="111"/>
      <c r="U18" s="112"/>
      <c r="X18" s="1" t="s">
        <v>116</v>
      </c>
    </row>
    <row r="19" spans="1:24" ht="18" customHeight="1" x14ac:dyDescent="0.15">
      <c r="A19" s="59"/>
      <c r="B19" s="110"/>
      <c r="C19" s="111"/>
      <c r="D19" s="111"/>
      <c r="E19" s="111"/>
      <c r="F19" s="111"/>
      <c r="G19" s="111"/>
      <c r="H19" s="111"/>
      <c r="I19" s="111"/>
      <c r="J19" s="111"/>
      <c r="K19" s="111"/>
      <c r="L19" s="111"/>
      <c r="M19" s="111"/>
      <c r="N19" s="111"/>
      <c r="O19" s="111"/>
      <c r="P19" s="111"/>
      <c r="Q19" s="111"/>
      <c r="R19" s="111"/>
      <c r="S19" s="111"/>
      <c r="T19" s="111"/>
      <c r="U19" s="112"/>
    </row>
    <row r="20" spans="1:24" ht="18" customHeight="1" x14ac:dyDescent="0.15">
      <c r="A20" s="59"/>
      <c r="B20" s="113"/>
      <c r="C20" s="114"/>
      <c r="D20" s="114"/>
      <c r="E20" s="114"/>
      <c r="F20" s="114"/>
      <c r="G20" s="114"/>
      <c r="H20" s="114"/>
      <c r="I20" s="114"/>
      <c r="J20" s="114"/>
      <c r="K20" s="114"/>
      <c r="L20" s="114"/>
      <c r="M20" s="114"/>
      <c r="N20" s="114"/>
      <c r="O20" s="114"/>
      <c r="P20" s="114"/>
      <c r="Q20" s="114"/>
      <c r="R20" s="114"/>
      <c r="S20" s="114"/>
      <c r="T20" s="114"/>
      <c r="U20" s="115"/>
    </row>
    <row r="21" spans="1:24" ht="7.5" customHeight="1" x14ac:dyDescent="0.15">
      <c r="A21" s="59"/>
      <c r="B21" s="64"/>
      <c r="C21" s="64"/>
      <c r="D21" s="64"/>
      <c r="E21" s="64"/>
      <c r="F21" s="64"/>
      <c r="G21" s="64"/>
      <c r="H21" s="64"/>
      <c r="I21" s="64"/>
      <c r="J21" s="64"/>
      <c r="K21" s="64"/>
      <c r="L21" s="64"/>
      <c r="M21" s="64"/>
      <c r="N21" s="64"/>
      <c r="O21" s="64"/>
      <c r="P21" s="64"/>
      <c r="Q21" s="64"/>
      <c r="R21" s="64"/>
      <c r="S21" s="64"/>
      <c r="T21" s="64"/>
      <c r="U21" s="64"/>
    </row>
    <row r="22" spans="1:24" ht="20.100000000000001" customHeight="1" x14ac:dyDescent="0.15">
      <c r="A22" s="59"/>
      <c r="B22" s="59" t="s">
        <v>133</v>
      </c>
      <c r="C22" s="59"/>
      <c r="D22" s="59"/>
      <c r="E22" s="67">
        <v>1</v>
      </c>
      <c r="F22" s="59" t="s">
        <v>112</v>
      </c>
      <c r="G22" s="59"/>
      <c r="H22" s="68">
        <v>1</v>
      </c>
      <c r="I22" s="64" t="s">
        <v>113</v>
      </c>
      <c r="J22" s="64"/>
      <c r="K22" s="60"/>
      <c r="L22" s="59"/>
      <c r="M22" s="60" t="s">
        <v>109</v>
      </c>
      <c r="N22" s="116" t="s">
        <v>115</v>
      </c>
      <c r="O22" s="117"/>
      <c r="P22" s="117"/>
      <c r="Q22" s="117"/>
      <c r="R22" s="117"/>
      <c r="S22" s="117"/>
      <c r="T22" s="117"/>
      <c r="U22" s="118"/>
    </row>
    <row r="23" spans="1:24" ht="7.5" customHeight="1" x14ac:dyDescent="0.15">
      <c r="A23" s="59"/>
      <c r="B23" s="64"/>
      <c r="C23" s="64"/>
      <c r="D23" s="64"/>
      <c r="E23" s="64"/>
      <c r="F23" s="64"/>
      <c r="G23" s="64"/>
      <c r="H23" s="64"/>
      <c r="I23" s="64"/>
      <c r="J23" s="64"/>
      <c r="K23" s="64"/>
      <c r="L23" s="64"/>
      <c r="M23" s="64"/>
      <c r="N23" s="64"/>
      <c r="O23" s="64"/>
      <c r="P23" s="64"/>
      <c r="Q23" s="64"/>
      <c r="R23" s="64"/>
      <c r="S23" s="64"/>
      <c r="T23" s="64"/>
      <c r="U23" s="64"/>
    </row>
    <row r="24" spans="1:24" ht="18" customHeight="1" x14ac:dyDescent="0.15">
      <c r="A24" s="119" t="s">
        <v>101</v>
      </c>
      <c r="B24" s="119"/>
      <c r="C24" s="119"/>
      <c r="D24" s="119"/>
      <c r="E24" s="119"/>
      <c r="F24" s="119"/>
      <c r="G24" s="119"/>
      <c r="H24" s="119"/>
      <c r="I24" s="119"/>
      <c r="J24" s="119"/>
      <c r="K24" s="119"/>
      <c r="L24" s="119"/>
      <c r="M24" s="119"/>
      <c r="N24" s="119"/>
      <c r="O24" s="119"/>
      <c r="P24" s="119"/>
      <c r="Q24" s="119"/>
      <c r="R24" s="119"/>
      <c r="S24" s="119"/>
      <c r="T24" s="119"/>
      <c r="U24" s="119"/>
    </row>
    <row r="25" spans="1:24" ht="18" customHeight="1" x14ac:dyDescent="0.15">
      <c r="A25" s="119"/>
      <c r="B25" s="119"/>
      <c r="C25" s="119"/>
      <c r="D25" s="119"/>
      <c r="E25" s="119"/>
      <c r="F25" s="119"/>
      <c r="G25" s="119"/>
      <c r="H25" s="119"/>
      <c r="I25" s="119"/>
      <c r="J25" s="119"/>
      <c r="K25" s="119"/>
      <c r="L25" s="119"/>
      <c r="M25" s="119"/>
      <c r="N25" s="119"/>
      <c r="O25" s="119"/>
      <c r="P25" s="119"/>
      <c r="Q25" s="119"/>
      <c r="R25" s="119"/>
      <c r="S25" s="119"/>
      <c r="T25" s="119"/>
      <c r="U25" s="119"/>
    </row>
    <row r="26" spans="1:24" ht="18" customHeight="1" x14ac:dyDescent="0.15">
      <c r="B26" s="120" t="s">
        <v>51</v>
      </c>
      <c r="C26" s="121"/>
      <c r="D26" s="121"/>
      <c r="E26" s="121"/>
      <c r="F26" s="122"/>
      <c r="G26" s="35" t="s">
        <v>77</v>
      </c>
      <c r="H26" s="34" t="s">
        <v>80</v>
      </c>
      <c r="I26" s="16" t="s">
        <v>54</v>
      </c>
      <c r="J26" s="16" t="s">
        <v>57</v>
      </c>
      <c r="K26" s="120" t="s">
        <v>51</v>
      </c>
      <c r="L26" s="121"/>
      <c r="M26" s="121"/>
      <c r="N26" s="121"/>
      <c r="O26" s="121"/>
      <c r="P26" s="121"/>
      <c r="Q26" s="122"/>
      <c r="R26" s="35" t="s">
        <v>77</v>
      </c>
      <c r="S26" s="34" t="s">
        <v>80</v>
      </c>
      <c r="T26" s="16" t="s">
        <v>54</v>
      </c>
      <c r="U26" s="16" t="s">
        <v>57</v>
      </c>
    </row>
    <row r="27" spans="1:24" ht="18" customHeight="1" x14ac:dyDescent="0.15">
      <c r="B27" s="123" t="s">
        <v>140</v>
      </c>
      <c r="C27" s="124"/>
      <c r="D27" s="124"/>
      <c r="E27" s="124"/>
      <c r="F27" s="125"/>
      <c r="G27" s="17">
        <v>1</v>
      </c>
      <c r="H27" s="17" t="s">
        <v>141</v>
      </c>
      <c r="I27" s="17" t="s">
        <v>141</v>
      </c>
      <c r="J27" s="17" t="s">
        <v>141</v>
      </c>
      <c r="K27" s="123"/>
      <c r="L27" s="124"/>
      <c r="M27" s="124"/>
      <c r="N27" s="124"/>
      <c r="O27" s="124"/>
      <c r="P27" s="124"/>
      <c r="Q27" s="125"/>
      <c r="R27" s="17"/>
      <c r="S27" s="17"/>
      <c r="T27" s="17"/>
      <c r="U27" s="17"/>
    </row>
    <row r="28" spans="1:24" ht="18" customHeight="1" x14ac:dyDescent="0.15">
      <c r="B28" s="104"/>
      <c r="C28" s="105"/>
      <c r="D28" s="105"/>
      <c r="E28" s="105"/>
      <c r="F28" s="106"/>
      <c r="G28" s="18"/>
      <c r="H28" s="18"/>
      <c r="I28" s="18"/>
      <c r="J28" s="18"/>
      <c r="K28" s="104"/>
      <c r="L28" s="105"/>
      <c r="M28" s="105"/>
      <c r="N28" s="105"/>
      <c r="O28" s="105"/>
      <c r="P28" s="105"/>
      <c r="Q28" s="106"/>
      <c r="R28" s="18"/>
      <c r="S28" s="18"/>
      <c r="T28" s="18"/>
      <c r="U28" s="18"/>
    </row>
    <row r="29" spans="1:24" ht="18" customHeight="1" x14ac:dyDescent="0.15">
      <c r="B29" s="104"/>
      <c r="C29" s="105"/>
      <c r="D29" s="105"/>
      <c r="E29" s="105"/>
      <c r="F29" s="106"/>
      <c r="G29" s="18"/>
      <c r="H29" s="18"/>
      <c r="I29" s="18"/>
      <c r="J29" s="18"/>
      <c r="K29" s="104"/>
      <c r="L29" s="105"/>
      <c r="M29" s="105"/>
      <c r="N29" s="105"/>
      <c r="O29" s="105"/>
      <c r="P29" s="105"/>
      <c r="Q29" s="106"/>
      <c r="R29" s="18"/>
      <c r="S29" s="18"/>
      <c r="T29" s="18"/>
      <c r="U29" s="18"/>
    </row>
    <row r="30" spans="1:24" ht="18" customHeight="1" x14ac:dyDescent="0.15">
      <c r="B30" s="104"/>
      <c r="C30" s="105"/>
      <c r="D30" s="105"/>
      <c r="E30" s="105"/>
      <c r="F30" s="106"/>
      <c r="G30" s="18"/>
      <c r="H30" s="18"/>
      <c r="I30" s="18"/>
      <c r="J30" s="18"/>
      <c r="K30" s="104"/>
      <c r="L30" s="105"/>
      <c r="M30" s="105"/>
      <c r="N30" s="105"/>
      <c r="O30" s="105"/>
      <c r="P30" s="105"/>
      <c r="Q30" s="106"/>
      <c r="R30" s="18"/>
      <c r="S30" s="18"/>
      <c r="T30" s="18"/>
      <c r="U30" s="18"/>
    </row>
    <row r="31" spans="1:24" ht="18" customHeight="1" x14ac:dyDescent="0.15">
      <c r="B31" s="104"/>
      <c r="C31" s="105"/>
      <c r="D31" s="105"/>
      <c r="E31" s="105"/>
      <c r="F31" s="106"/>
      <c r="G31" s="18"/>
      <c r="H31" s="18"/>
      <c r="I31" s="18"/>
      <c r="J31" s="18"/>
      <c r="K31" s="104"/>
      <c r="L31" s="105"/>
      <c r="M31" s="105"/>
      <c r="N31" s="105"/>
      <c r="O31" s="105"/>
      <c r="P31" s="105"/>
      <c r="Q31" s="106"/>
      <c r="R31" s="18"/>
      <c r="S31" s="18"/>
      <c r="T31" s="18"/>
      <c r="U31" s="18"/>
    </row>
    <row r="32" spans="1:24" ht="18" customHeight="1" x14ac:dyDescent="0.15">
      <c r="A32" s="3"/>
      <c r="B32" s="104"/>
      <c r="C32" s="105"/>
      <c r="D32" s="105"/>
      <c r="E32" s="105"/>
      <c r="F32" s="106"/>
      <c r="G32" s="18"/>
      <c r="H32" s="18"/>
      <c r="I32" s="18"/>
      <c r="J32" s="18"/>
      <c r="K32" s="104"/>
      <c r="L32" s="105"/>
      <c r="M32" s="105"/>
      <c r="N32" s="105"/>
      <c r="O32" s="105"/>
      <c r="P32" s="105"/>
      <c r="Q32" s="106"/>
      <c r="R32" s="18"/>
      <c r="S32" s="18"/>
      <c r="T32" s="18"/>
      <c r="U32" s="18"/>
    </row>
    <row r="33" spans="1:21" ht="18" customHeight="1" x14ac:dyDescent="0.15">
      <c r="A33" s="3"/>
      <c r="B33" s="127"/>
      <c r="C33" s="128"/>
      <c r="D33" s="128"/>
      <c r="E33" s="128"/>
      <c r="F33" s="129"/>
      <c r="G33" s="19"/>
      <c r="H33" s="19"/>
      <c r="I33" s="20"/>
      <c r="J33" s="20"/>
      <c r="K33" s="127"/>
      <c r="L33" s="128"/>
      <c r="M33" s="128"/>
      <c r="N33" s="128"/>
      <c r="O33" s="128"/>
      <c r="P33" s="128"/>
      <c r="Q33" s="129"/>
      <c r="R33" s="19"/>
      <c r="S33" s="19"/>
      <c r="T33" s="20"/>
      <c r="U33" s="20"/>
    </row>
    <row r="34" spans="1:21" ht="7.5" customHeight="1" x14ac:dyDescent="0.15">
      <c r="A34" s="3"/>
      <c r="B34" s="5"/>
      <c r="C34" s="5"/>
      <c r="D34" s="5"/>
      <c r="E34" s="3"/>
      <c r="F34" s="3"/>
      <c r="G34" s="3"/>
      <c r="H34" s="3"/>
      <c r="I34" s="5"/>
      <c r="J34" s="5"/>
      <c r="K34" s="5"/>
      <c r="L34" s="5"/>
      <c r="M34" s="5"/>
      <c r="N34" s="5"/>
      <c r="O34" s="5"/>
      <c r="P34" s="5"/>
      <c r="Q34" s="5"/>
      <c r="R34" s="5"/>
      <c r="S34" s="5"/>
      <c r="T34" s="5"/>
      <c r="U34" s="3"/>
    </row>
    <row r="35" spans="1:21" ht="18" customHeight="1" x14ac:dyDescent="0.15">
      <c r="A35" s="126" t="s">
        <v>102</v>
      </c>
      <c r="B35" s="126"/>
      <c r="C35" s="126"/>
      <c r="D35" s="126"/>
      <c r="E35" s="126"/>
      <c r="F35" s="126"/>
      <c r="G35" s="126"/>
      <c r="H35" s="126"/>
      <c r="I35" s="126"/>
      <c r="J35" s="126"/>
      <c r="K35" s="126"/>
      <c r="L35" s="126"/>
      <c r="M35" s="126"/>
      <c r="N35" s="126"/>
      <c r="O35" s="126"/>
      <c r="P35" s="126"/>
      <c r="Q35" s="126"/>
      <c r="R35" s="126"/>
      <c r="S35" s="126"/>
      <c r="T35" s="126"/>
      <c r="U35" s="126"/>
    </row>
    <row r="36" spans="1:21" ht="18" customHeight="1" x14ac:dyDescent="0.15">
      <c r="A36" s="126"/>
      <c r="B36" s="126"/>
      <c r="C36" s="126"/>
      <c r="D36" s="126"/>
      <c r="E36" s="126"/>
      <c r="F36" s="126"/>
      <c r="G36" s="126"/>
      <c r="H36" s="126"/>
      <c r="I36" s="126"/>
      <c r="J36" s="126"/>
      <c r="K36" s="126"/>
      <c r="L36" s="126"/>
      <c r="M36" s="126"/>
      <c r="N36" s="126"/>
      <c r="O36" s="126"/>
      <c r="P36" s="126"/>
      <c r="Q36" s="126"/>
      <c r="R36" s="126"/>
      <c r="S36" s="126"/>
      <c r="T36" s="126"/>
      <c r="U36" s="126"/>
    </row>
    <row r="37" spans="1:21" ht="18" customHeight="1" x14ac:dyDescent="0.15">
      <c r="B37" s="120" t="s">
        <v>51</v>
      </c>
      <c r="C37" s="121"/>
      <c r="D37" s="121"/>
      <c r="E37" s="121"/>
      <c r="F37" s="122"/>
      <c r="G37" s="35" t="s">
        <v>77</v>
      </c>
      <c r="H37" s="34" t="s">
        <v>80</v>
      </c>
      <c r="I37" s="16" t="s">
        <v>68</v>
      </c>
      <c r="J37" s="16" t="s">
        <v>69</v>
      </c>
      <c r="K37" s="120" t="s">
        <v>51</v>
      </c>
      <c r="L37" s="121"/>
      <c r="M37" s="121"/>
      <c r="N37" s="121"/>
      <c r="O37" s="121"/>
      <c r="P37" s="121"/>
      <c r="Q37" s="122"/>
      <c r="R37" s="35" t="s">
        <v>77</v>
      </c>
      <c r="S37" s="34" t="s">
        <v>80</v>
      </c>
      <c r="T37" s="16" t="s">
        <v>68</v>
      </c>
      <c r="U37" s="16" t="s">
        <v>69</v>
      </c>
    </row>
    <row r="38" spans="1:21" ht="18" customHeight="1" x14ac:dyDescent="0.15">
      <c r="B38" s="123" t="s">
        <v>140</v>
      </c>
      <c r="C38" s="124"/>
      <c r="D38" s="124"/>
      <c r="E38" s="124"/>
      <c r="F38" s="125"/>
      <c r="G38" s="17">
        <v>1</v>
      </c>
      <c r="H38" s="17" t="s">
        <v>141</v>
      </c>
      <c r="I38" s="17" t="s">
        <v>141</v>
      </c>
      <c r="J38" s="17" t="s">
        <v>141</v>
      </c>
      <c r="K38" s="123"/>
      <c r="L38" s="124"/>
      <c r="M38" s="124"/>
      <c r="N38" s="124"/>
      <c r="O38" s="124"/>
      <c r="P38" s="124"/>
      <c r="Q38" s="125"/>
      <c r="R38" s="17"/>
      <c r="S38" s="17"/>
      <c r="T38" s="17"/>
      <c r="U38" s="17"/>
    </row>
    <row r="39" spans="1:21" ht="18" customHeight="1" x14ac:dyDescent="0.15">
      <c r="B39" s="104"/>
      <c r="C39" s="105"/>
      <c r="D39" s="105"/>
      <c r="E39" s="105"/>
      <c r="F39" s="106"/>
      <c r="G39" s="18"/>
      <c r="H39" s="18"/>
      <c r="I39" s="18"/>
      <c r="J39" s="18"/>
      <c r="K39" s="104"/>
      <c r="L39" s="105"/>
      <c r="M39" s="105"/>
      <c r="N39" s="105"/>
      <c r="O39" s="105"/>
      <c r="P39" s="105"/>
      <c r="Q39" s="106"/>
      <c r="R39" s="18"/>
      <c r="S39" s="18"/>
      <c r="T39" s="18"/>
      <c r="U39" s="18"/>
    </row>
    <row r="40" spans="1:21" ht="18" customHeight="1" x14ac:dyDescent="0.15">
      <c r="B40" s="104"/>
      <c r="C40" s="105"/>
      <c r="D40" s="105"/>
      <c r="E40" s="105"/>
      <c r="F40" s="106"/>
      <c r="G40" s="18"/>
      <c r="H40" s="18"/>
      <c r="I40" s="18"/>
      <c r="J40" s="18"/>
      <c r="K40" s="104"/>
      <c r="L40" s="105"/>
      <c r="M40" s="105"/>
      <c r="N40" s="105"/>
      <c r="O40" s="105"/>
      <c r="P40" s="105"/>
      <c r="Q40" s="106"/>
      <c r="R40" s="18"/>
      <c r="S40" s="18"/>
      <c r="T40" s="18"/>
      <c r="U40" s="18"/>
    </row>
    <row r="41" spans="1:21" ht="18" customHeight="1" x14ac:dyDescent="0.15">
      <c r="B41" s="104"/>
      <c r="C41" s="105"/>
      <c r="D41" s="105"/>
      <c r="E41" s="105"/>
      <c r="F41" s="106"/>
      <c r="G41" s="18"/>
      <c r="H41" s="18"/>
      <c r="I41" s="18"/>
      <c r="J41" s="18"/>
      <c r="K41" s="104"/>
      <c r="L41" s="105"/>
      <c r="M41" s="105"/>
      <c r="N41" s="105"/>
      <c r="O41" s="105"/>
      <c r="P41" s="105"/>
      <c r="Q41" s="106"/>
      <c r="R41" s="18"/>
      <c r="S41" s="18"/>
      <c r="T41" s="18"/>
      <c r="U41" s="18"/>
    </row>
    <row r="42" spans="1:21" ht="18" customHeight="1" x14ac:dyDescent="0.15">
      <c r="B42" s="104"/>
      <c r="C42" s="105"/>
      <c r="D42" s="105"/>
      <c r="E42" s="105"/>
      <c r="F42" s="106"/>
      <c r="G42" s="18"/>
      <c r="H42" s="18"/>
      <c r="I42" s="18"/>
      <c r="J42" s="18"/>
      <c r="K42" s="104"/>
      <c r="L42" s="105"/>
      <c r="M42" s="105"/>
      <c r="N42" s="105"/>
      <c r="O42" s="105"/>
      <c r="P42" s="105"/>
      <c r="Q42" s="106"/>
      <c r="R42" s="18"/>
      <c r="S42" s="18"/>
      <c r="T42" s="18"/>
      <c r="U42" s="18"/>
    </row>
    <row r="43" spans="1:21" ht="18" customHeight="1" x14ac:dyDescent="0.15">
      <c r="B43" s="104"/>
      <c r="C43" s="105"/>
      <c r="D43" s="105"/>
      <c r="E43" s="105"/>
      <c r="F43" s="106"/>
      <c r="G43" s="18"/>
      <c r="H43" s="18"/>
      <c r="I43" s="18"/>
      <c r="J43" s="18"/>
      <c r="K43" s="104"/>
      <c r="L43" s="105"/>
      <c r="M43" s="105"/>
      <c r="N43" s="105"/>
      <c r="O43" s="105"/>
      <c r="P43" s="105"/>
      <c r="Q43" s="106"/>
      <c r="R43" s="18"/>
      <c r="S43" s="18"/>
      <c r="T43" s="18"/>
      <c r="U43" s="18"/>
    </row>
    <row r="44" spans="1:21" ht="18" customHeight="1" x14ac:dyDescent="0.15">
      <c r="B44" s="127"/>
      <c r="C44" s="128"/>
      <c r="D44" s="128"/>
      <c r="E44" s="128"/>
      <c r="F44" s="129"/>
      <c r="G44" s="19"/>
      <c r="H44" s="19"/>
      <c r="I44" s="20"/>
      <c r="J44" s="20"/>
      <c r="K44" s="127"/>
      <c r="L44" s="128"/>
      <c r="M44" s="128"/>
      <c r="N44" s="128"/>
      <c r="O44" s="128"/>
      <c r="P44" s="128"/>
      <c r="Q44" s="129"/>
      <c r="R44" s="19"/>
      <c r="S44" s="19"/>
      <c r="T44" s="20"/>
      <c r="U44" s="20"/>
    </row>
    <row r="45" spans="1:21" ht="7.5" customHeight="1" x14ac:dyDescent="0.15">
      <c r="A45" s="3"/>
      <c r="B45" s="5"/>
      <c r="C45" s="5"/>
      <c r="D45" s="5"/>
      <c r="E45" s="3"/>
      <c r="F45" s="3"/>
      <c r="G45" s="3"/>
      <c r="H45" s="3"/>
      <c r="I45" s="5"/>
      <c r="J45" s="5"/>
      <c r="K45" s="5"/>
      <c r="L45" s="5"/>
      <c r="M45" s="5"/>
      <c r="N45" s="5"/>
      <c r="O45" s="5"/>
      <c r="P45" s="5"/>
      <c r="Q45" s="5"/>
      <c r="R45" s="5"/>
      <c r="S45" s="5"/>
      <c r="T45" s="5"/>
      <c r="U45" s="3"/>
    </row>
    <row r="46" spans="1:21" ht="18" customHeight="1" x14ac:dyDescent="0.15">
      <c r="A46" s="126" t="s">
        <v>103</v>
      </c>
      <c r="B46" s="126"/>
      <c r="C46" s="126"/>
      <c r="D46" s="126"/>
      <c r="E46" s="126"/>
      <c r="F46" s="126"/>
      <c r="G46" s="126"/>
      <c r="H46" s="126"/>
      <c r="I46" s="126"/>
      <c r="J46" s="126"/>
      <c r="K46" s="126"/>
      <c r="L46" s="126"/>
      <c r="M46" s="126"/>
      <c r="N46" s="126"/>
      <c r="O46" s="126"/>
      <c r="P46" s="126"/>
      <c r="Q46" s="126"/>
      <c r="R46" s="126"/>
      <c r="S46" s="126"/>
      <c r="T46" s="126"/>
      <c r="U46" s="126"/>
    </row>
    <row r="47" spans="1:21" ht="18" customHeight="1" x14ac:dyDescent="0.15">
      <c r="A47" s="126"/>
      <c r="B47" s="126"/>
      <c r="C47" s="126"/>
      <c r="D47" s="126"/>
      <c r="E47" s="126"/>
      <c r="F47" s="126"/>
      <c r="G47" s="126"/>
      <c r="H47" s="126"/>
      <c r="I47" s="126"/>
      <c r="J47" s="126"/>
      <c r="K47" s="126"/>
      <c r="L47" s="126"/>
      <c r="M47" s="126"/>
      <c r="N47" s="126"/>
      <c r="O47" s="126"/>
      <c r="P47" s="126"/>
      <c r="Q47" s="126"/>
      <c r="R47" s="126"/>
      <c r="S47" s="126"/>
      <c r="T47" s="126"/>
      <c r="U47" s="126"/>
    </row>
    <row r="48" spans="1:21" ht="18" customHeight="1" x14ac:dyDescent="0.15">
      <c r="B48" s="120" t="s">
        <v>51</v>
      </c>
      <c r="C48" s="121"/>
      <c r="D48" s="121"/>
      <c r="E48" s="121"/>
      <c r="F48" s="122"/>
      <c r="G48" s="35" t="s">
        <v>77</v>
      </c>
      <c r="H48" s="34" t="s">
        <v>80</v>
      </c>
      <c r="I48" s="16" t="s">
        <v>70</v>
      </c>
      <c r="J48" s="16" t="s">
        <v>71</v>
      </c>
      <c r="K48" s="120" t="s">
        <v>51</v>
      </c>
      <c r="L48" s="121"/>
      <c r="M48" s="121"/>
      <c r="N48" s="121"/>
      <c r="O48" s="121"/>
      <c r="P48" s="121"/>
      <c r="Q48" s="122"/>
      <c r="R48" s="35" t="s">
        <v>77</v>
      </c>
      <c r="S48" s="34" t="s">
        <v>80</v>
      </c>
      <c r="T48" s="16" t="s">
        <v>70</v>
      </c>
      <c r="U48" s="16" t="s">
        <v>71</v>
      </c>
    </row>
    <row r="49" spans="1:21" ht="18" customHeight="1" x14ac:dyDescent="0.15">
      <c r="A49" s="3"/>
      <c r="B49" s="123" t="s">
        <v>140</v>
      </c>
      <c r="C49" s="124"/>
      <c r="D49" s="124"/>
      <c r="E49" s="124"/>
      <c r="F49" s="125"/>
      <c r="G49" s="17">
        <v>1</v>
      </c>
      <c r="H49" s="17" t="s">
        <v>141</v>
      </c>
      <c r="I49" s="17" t="s">
        <v>141</v>
      </c>
      <c r="J49" s="17" t="s">
        <v>141</v>
      </c>
      <c r="K49" s="123"/>
      <c r="L49" s="124"/>
      <c r="M49" s="124"/>
      <c r="N49" s="124"/>
      <c r="O49" s="124"/>
      <c r="P49" s="124"/>
      <c r="Q49" s="125"/>
      <c r="R49" s="17"/>
      <c r="S49" s="17"/>
      <c r="T49" s="17"/>
      <c r="U49" s="17"/>
    </row>
    <row r="50" spans="1:21" ht="18" customHeight="1" x14ac:dyDescent="0.15">
      <c r="A50" s="3"/>
      <c r="B50" s="104"/>
      <c r="C50" s="105"/>
      <c r="D50" s="105"/>
      <c r="E50" s="105"/>
      <c r="F50" s="106"/>
      <c r="G50" s="18"/>
      <c r="H50" s="18"/>
      <c r="I50" s="18"/>
      <c r="J50" s="18"/>
      <c r="K50" s="104"/>
      <c r="L50" s="105"/>
      <c r="M50" s="105"/>
      <c r="N50" s="105"/>
      <c r="O50" s="105"/>
      <c r="P50" s="105"/>
      <c r="Q50" s="106"/>
      <c r="R50" s="18"/>
      <c r="S50" s="18"/>
      <c r="T50" s="18"/>
      <c r="U50" s="18"/>
    </row>
    <row r="51" spans="1:21" ht="18" customHeight="1" x14ac:dyDescent="0.15">
      <c r="A51" s="3"/>
      <c r="B51" s="104"/>
      <c r="C51" s="105"/>
      <c r="D51" s="105"/>
      <c r="E51" s="105"/>
      <c r="F51" s="106"/>
      <c r="G51" s="18"/>
      <c r="H51" s="18"/>
      <c r="I51" s="18"/>
      <c r="J51" s="18"/>
      <c r="K51" s="104"/>
      <c r="L51" s="105"/>
      <c r="M51" s="105"/>
      <c r="N51" s="105"/>
      <c r="O51" s="105"/>
      <c r="P51" s="105"/>
      <c r="Q51" s="106"/>
      <c r="R51" s="18"/>
      <c r="S51" s="18"/>
      <c r="T51" s="18"/>
      <c r="U51" s="18"/>
    </row>
    <row r="52" spans="1:21" ht="18" customHeight="1" x14ac:dyDescent="0.15">
      <c r="A52" s="3"/>
      <c r="B52" s="104"/>
      <c r="C52" s="105"/>
      <c r="D52" s="105"/>
      <c r="E52" s="105"/>
      <c r="F52" s="106"/>
      <c r="G52" s="18"/>
      <c r="H52" s="18"/>
      <c r="I52" s="18"/>
      <c r="J52" s="18"/>
      <c r="K52" s="104"/>
      <c r="L52" s="105"/>
      <c r="M52" s="105"/>
      <c r="N52" s="105"/>
      <c r="O52" s="105"/>
      <c r="P52" s="105"/>
      <c r="Q52" s="106"/>
      <c r="R52" s="18"/>
      <c r="S52" s="18"/>
      <c r="T52" s="18"/>
      <c r="U52" s="18"/>
    </row>
    <row r="53" spans="1:21" ht="18" customHeight="1" x14ac:dyDescent="0.15">
      <c r="A53" s="3"/>
      <c r="B53" s="104"/>
      <c r="C53" s="105"/>
      <c r="D53" s="105"/>
      <c r="E53" s="105"/>
      <c r="F53" s="106"/>
      <c r="G53" s="18"/>
      <c r="H53" s="18"/>
      <c r="I53" s="18"/>
      <c r="J53" s="18"/>
      <c r="K53" s="104"/>
      <c r="L53" s="105"/>
      <c r="M53" s="105"/>
      <c r="N53" s="105"/>
      <c r="O53" s="105"/>
      <c r="P53" s="105"/>
      <c r="Q53" s="106"/>
      <c r="R53" s="18"/>
      <c r="S53" s="18"/>
      <c r="T53" s="18"/>
      <c r="U53" s="18"/>
    </row>
    <row r="54" spans="1:21" ht="18" customHeight="1" x14ac:dyDescent="0.15">
      <c r="A54" s="3"/>
      <c r="B54" s="104"/>
      <c r="C54" s="105"/>
      <c r="D54" s="105"/>
      <c r="E54" s="105"/>
      <c r="F54" s="106"/>
      <c r="G54" s="18"/>
      <c r="H54" s="18"/>
      <c r="I54" s="18"/>
      <c r="J54" s="18"/>
      <c r="K54" s="104"/>
      <c r="L54" s="105"/>
      <c r="M54" s="105"/>
      <c r="N54" s="105"/>
      <c r="O54" s="105"/>
      <c r="P54" s="105"/>
      <c r="Q54" s="106"/>
      <c r="R54" s="18"/>
      <c r="S54" s="18"/>
      <c r="T54" s="18"/>
      <c r="U54" s="18"/>
    </row>
    <row r="55" spans="1:21" ht="18" customHeight="1" x14ac:dyDescent="0.15">
      <c r="A55" s="3"/>
      <c r="B55" s="127"/>
      <c r="C55" s="128"/>
      <c r="D55" s="128"/>
      <c r="E55" s="128"/>
      <c r="F55" s="129"/>
      <c r="G55" s="19"/>
      <c r="H55" s="19"/>
      <c r="I55" s="20"/>
      <c r="J55" s="20"/>
      <c r="K55" s="127"/>
      <c r="L55" s="128"/>
      <c r="M55" s="128"/>
      <c r="N55" s="128"/>
      <c r="O55" s="128"/>
      <c r="P55" s="128"/>
      <c r="Q55" s="129"/>
      <c r="R55" s="19"/>
      <c r="S55" s="19"/>
      <c r="T55" s="20"/>
      <c r="U55" s="20"/>
    </row>
    <row r="56" spans="1:21" ht="7.5" customHeight="1" x14ac:dyDescent="0.15">
      <c r="B56" s="13"/>
      <c r="C56" s="13"/>
      <c r="D56" s="13"/>
      <c r="E56" s="13"/>
      <c r="F56" s="13"/>
      <c r="G56" s="13"/>
      <c r="H56" s="13"/>
      <c r="I56" s="13"/>
      <c r="J56" s="13"/>
      <c r="K56" s="13"/>
      <c r="L56" s="13"/>
      <c r="M56" s="13"/>
      <c r="N56" s="13"/>
      <c r="O56" s="13"/>
      <c r="P56" s="13"/>
      <c r="Q56" s="13"/>
      <c r="R56" s="13"/>
      <c r="S56" s="13"/>
      <c r="T56" s="13"/>
    </row>
    <row r="57" spans="1:21" ht="18" customHeight="1" x14ac:dyDescent="0.15">
      <c r="A57" s="126" t="s">
        <v>104</v>
      </c>
      <c r="B57" s="126"/>
      <c r="C57" s="126"/>
      <c r="D57" s="126"/>
      <c r="E57" s="126"/>
      <c r="F57" s="126"/>
      <c r="G57" s="126"/>
      <c r="H57" s="126"/>
      <c r="I57" s="126"/>
      <c r="J57" s="126"/>
      <c r="K57" s="126"/>
      <c r="L57" s="126"/>
      <c r="M57" s="126"/>
      <c r="N57" s="126"/>
      <c r="O57" s="126"/>
      <c r="P57" s="126"/>
      <c r="Q57" s="126"/>
      <c r="R57" s="126"/>
      <c r="S57" s="126"/>
      <c r="T57" s="126"/>
      <c r="U57" s="126"/>
    </row>
    <row r="58" spans="1:21" ht="18" customHeight="1" x14ac:dyDescent="0.15">
      <c r="A58" s="126"/>
      <c r="B58" s="126"/>
      <c r="C58" s="126"/>
      <c r="D58" s="126"/>
      <c r="E58" s="126"/>
      <c r="F58" s="126"/>
      <c r="G58" s="126"/>
      <c r="H58" s="126"/>
      <c r="I58" s="126"/>
      <c r="J58" s="126"/>
      <c r="K58" s="126"/>
      <c r="L58" s="126"/>
      <c r="M58" s="126"/>
      <c r="N58" s="126"/>
      <c r="O58" s="126"/>
      <c r="P58" s="126"/>
      <c r="Q58" s="126"/>
      <c r="R58" s="126"/>
      <c r="S58" s="126"/>
      <c r="T58" s="126"/>
      <c r="U58" s="126"/>
    </row>
    <row r="59" spans="1:21" ht="18" customHeight="1" x14ac:dyDescent="0.15">
      <c r="B59" s="120" t="s">
        <v>51</v>
      </c>
      <c r="C59" s="121"/>
      <c r="D59" s="121"/>
      <c r="E59" s="121"/>
      <c r="F59" s="122"/>
      <c r="G59" s="35" t="s">
        <v>77</v>
      </c>
      <c r="H59" s="34" t="s">
        <v>80</v>
      </c>
      <c r="I59" s="16" t="s">
        <v>56</v>
      </c>
      <c r="J59" s="16" t="s">
        <v>58</v>
      </c>
      <c r="K59" s="120" t="s">
        <v>51</v>
      </c>
      <c r="L59" s="121"/>
      <c r="M59" s="121"/>
      <c r="N59" s="121"/>
      <c r="O59" s="121"/>
      <c r="P59" s="121"/>
      <c r="Q59" s="122"/>
      <c r="R59" s="35" t="s">
        <v>77</v>
      </c>
      <c r="S59" s="34" t="s">
        <v>80</v>
      </c>
      <c r="T59" s="16" t="s">
        <v>56</v>
      </c>
      <c r="U59" s="16" t="s">
        <v>58</v>
      </c>
    </row>
    <row r="60" spans="1:21" ht="18" customHeight="1" x14ac:dyDescent="0.15">
      <c r="A60" s="3"/>
      <c r="B60" s="123" t="s">
        <v>140</v>
      </c>
      <c r="C60" s="124"/>
      <c r="D60" s="124"/>
      <c r="E60" s="124"/>
      <c r="F60" s="125"/>
      <c r="G60" s="17">
        <v>1</v>
      </c>
      <c r="H60" s="17" t="s">
        <v>141</v>
      </c>
      <c r="I60" s="17" t="s">
        <v>141</v>
      </c>
      <c r="J60" s="17" t="s">
        <v>141</v>
      </c>
      <c r="K60" s="123"/>
      <c r="L60" s="124"/>
      <c r="M60" s="124"/>
      <c r="N60" s="124"/>
      <c r="O60" s="124"/>
      <c r="P60" s="124"/>
      <c r="Q60" s="125"/>
      <c r="R60" s="17"/>
      <c r="S60" s="17"/>
      <c r="T60" s="17"/>
      <c r="U60" s="17"/>
    </row>
    <row r="61" spans="1:21" ht="18" customHeight="1" x14ac:dyDescent="0.15">
      <c r="A61" s="3"/>
      <c r="B61" s="104"/>
      <c r="C61" s="105"/>
      <c r="D61" s="105"/>
      <c r="E61" s="105"/>
      <c r="F61" s="106"/>
      <c r="G61" s="18"/>
      <c r="H61" s="18"/>
      <c r="I61" s="18"/>
      <c r="J61" s="18"/>
      <c r="K61" s="104"/>
      <c r="L61" s="105"/>
      <c r="M61" s="105"/>
      <c r="N61" s="105"/>
      <c r="O61" s="105"/>
      <c r="P61" s="105"/>
      <c r="Q61" s="106"/>
      <c r="R61" s="18"/>
      <c r="S61" s="18"/>
      <c r="T61" s="18"/>
      <c r="U61" s="18"/>
    </row>
    <row r="62" spans="1:21" ht="18" customHeight="1" x14ac:dyDescent="0.15">
      <c r="A62" s="3"/>
      <c r="B62" s="104"/>
      <c r="C62" s="105"/>
      <c r="D62" s="105"/>
      <c r="E62" s="105"/>
      <c r="F62" s="106"/>
      <c r="G62" s="18"/>
      <c r="H62" s="18"/>
      <c r="I62" s="18"/>
      <c r="J62" s="18"/>
      <c r="K62" s="104"/>
      <c r="L62" s="105"/>
      <c r="M62" s="105"/>
      <c r="N62" s="105"/>
      <c r="O62" s="105"/>
      <c r="P62" s="105"/>
      <c r="Q62" s="106"/>
      <c r="R62" s="18"/>
      <c r="S62" s="18"/>
      <c r="T62" s="18"/>
      <c r="U62" s="18"/>
    </row>
    <row r="63" spans="1:21" ht="18" customHeight="1" x14ac:dyDescent="0.15">
      <c r="A63" s="3"/>
      <c r="B63" s="104"/>
      <c r="C63" s="105"/>
      <c r="D63" s="105"/>
      <c r="E63" s="105"/>
      <c r="F63" s="106"/>
      <c r="G63" s="18"/>
      <c r="H63" s="18"/>
      <c r="I63" s="18"/>
      <c r="J63" s="18"/>
      <c r="K63" s="104"/>
      <c r="L63" s="105"/>
      <c r="M63" s="105"/>
      <c r="N63" s="105"/>
      <c r="O63" s="105"/>
      <c r="P63" s="105"/>
      <c r="Q63" s="106"/>
      <c r="R63" s="18"/>
      <c r="S63" s="18"/>
      <c r="T63" s="18"/>
      <c r="U63" s="18"/>
    </row>
    <row r="64" spans="1:21" ht="18" customHeight="1" x14ac:dyDescent="0.15">
      <c r="A64" s="3"/>
      <c r="B64" s="104"/>
      <c r="C64" s="105"/>
      <c r="D64" s="105"/>
      <c r="E64" s="105"/>
      <c r="F64" s="106"/>
      <c r="G64" s="18"/>
      <c r="H64" s="18"/>
      <c r="I64" s="18"/>
      <c r="J64" s="18"/>
      <c r="K64" s="104"/>
      <c r="L64" s="105"/>
      <c r="M64" s="105"/>
      <c r="N64" s="105"/>
      <c r="O64" s="105"/>
      <c r="P64" s="105"/>
      <c r="Q64" s="106"/>
      <c r="R64" s="18"/>
      <c r="S64" s="18"/>
      <c r="T64" s="18"/>
      <c r="U64" s="18"/>
    </row>
    <row r="65" spans="1:21" ht="18" customHeight="1" x14ac:dyDescent="0.15">
      <c r="A65" s="3"/>
      <c r="B65" s="104"/>
      <c r="C65" s="105"/>
      <c r="D65" s="105"/>
      <c r="E65" s="105"/>
      <c r="F65" s="106"/>
      <c r="G65" s="18"/>
      <c r="H65" s="18"/>
      <c r="I65" s="18"/>
      <c r="J65" s="18"/>
      <c r="K65" s="104"/>
      <c r="L65" s="105"/>
      <c r="M65" s="105"/>
      <c r="N65" s="105"/>
      <c r="O65" s="105"/>
      <c r="P65" s="105"/>
      <c r="Q65" s="106"/>
      <c r="R65" s="18"/>
      <c r="S65" s="18"/>
      <c r="T65" s="18"/>
      <c r="U65" s="18"/>
    </row>
    <row r="66" spans="1:21" ht="18" customHeight="1" x14ac:dyDescent="0.15">
      <c r="A66" s="3"/>
      <c r="B66" s="127"/>
      <c r="C66" s="128"/>
      <c r="D66" s="128"/>
      <c r="E66" s="128"/>
      <c r="F66" s="129"/>
      <c r="G66" s="19"/>
      <c r="H66" s="19"/>
      <c r="I66" s="20"/>
      <c r="J66" s="20"/>
      <c r="K66" s="127"/>
      <c r="L66" s="128"/>
      <c r="M66" s="128"/>
      <c r="N66" s="128"/>
      <c r="O66" s="128"/>
      <c r="P66" s="128"/>
      <c r="Q66" s="129"/>
      <c r="R66" s="19"/>
      <c r="S66" s="19"/>
      <c r="T66" s="20"/>
      <c r="U66" s="20"/>
    </row>
    <row r="67" spans="1:21" ht="7.5" customHeight="1" x14ac:dyDescent="0.15">
      <c r="B67" s="13"/>
      <c r="C67" s="13"/>
      <c r="D67" s="13"/>
      <c r="E67" s="13"/>
      <c r="F67" s="13"/>
      <c r="G67" s="13"/>
      <c r="H67" s="13"/>
      <c r="I67" s="13"/>
      <c r="J67" s="13"/>
      <c r="K67" s="13"/>
      <c r="L67" s="13"/>
      <c r="M67" s="13"/>
      <c r="N67" s="13"/>
      <c r="O67" s="13"/>
      <c r="P67" s="13"/>
      <c r="Q67" s="13"/>
      <c r="R67" s="13"/>
      <c r="S67" s="13"/>
      <c r="T67" s="13"/>
    </row>
    <row r="68" spans="1:21" ht="18" customHeight="1" x14ac:dyDescent="0.15">
      <c r="A68" s="126" t="s">
        <v>105</v>
      </c>
      <c r="B68" s="126"/>
      <c r="C68" s="126"/>
      <c r="D68" s="126"/>
      <c r="E68" s="126"/>
      <c r="F68" s="126"/>
      <c r="G68" s="126"/>
      <c r="H68" s="126"/>
      <c r="I68" s="126"/>
      <c r="J68" s="126"/>
      <c r="K68" s="126"/>
      <c r="L68" s="126"/>
      <c r="M68" s="126"/>
      <c r="N68" s="126"/>
      <c r="O68" s="126"/>
      <c r="P68" s="126"/>
      <c r="Q68" s="126"/>
      <c r="R68" s="126"/>
      <c r="S68" s="126"/>
      <c r="T68" s="126"/>
      <c r="U68" s="126"/>
    </row>
    <row r="69" spans="1:21" ht="18" customHeight="1" x14ac:dyDescent="0.15">
      <c r="A69" s="126"/>
      <c r="B69" s="126"/>
      <c r="C69" s="126"/>
      <c r="D69" s="126"/>
      <c r="E69" s="126"/>
      <c r="F69" s="126"/>
      <c r="G69" s="126"/>
      <c r="H69" s="126"/>
      <c r="I69" s="126"/>
      <c r="J69" s="126"/>
      <c r="K69" s="126"/>
      <c r="L69" s="126"/>
      <c r="M69" s="126"/>
      <c r="N69" s="126"/>
      <c r="O69" s="126"/>
      <c r="P69" s="126"/>
      <c r="Q69" s="126"/>
      <c r="R69" s="126"/>
      <c r="S69" s="126"/>
      <c r="T69" s="126"/>
      <c r="U69" s="126"/>
    </row>
    <row r="70" spans="1:21" ht="18" customHeight="1" x14ac:dyDescent="0.15">
      <c r="B70" s="120" t="s">
        <v>51</v>
      </c>
      <c r="C70" s="121"/>
      <c r="D70" s="121"/>
      <c r="E70" s="121"/>
      <c r="F70" s="35" t="s">
        <v>77</v>
      </c>
      <c r="G70" s="34" t="s">
        <v>80</v>
      </c>
      <c r="H70" s="16" t="s">
        <v>92</v>
      </c>
      <c r="I70" s="16" t="s">
        <v>72</v>
      </c>
      <c r="J70" s="16" t="s">
        <v>73</v>
      </c>
      <c r="K70" s="120" t="s">
        <v>51</v>
      </c>
      <c r="L70" s="121"/>
      <c r="M70" s="121"/>
      <c r="N70" s="121"/>
      <c r="O70" s="121"/>
      <c r="P70" s="122"/>
      <c r="Q70" s="35" t="s">
        <v>77</v>
      </c>
      <c r="R70" s="34" t="s">
        <v>80</v>
      </c>
      <c r="S70" s="16" t="s">
        <v>92</v>
      </c>
      <c r="T70" s="16" t="s">
        <v>72</v>
      </c>
      <c r="U70" s="16" t="s">
        <v>73</v>
      </c>
    </row>
    <row r="71" spans="1:21" ht="18" customHeight="1" x14ac:dyDescent="0.15">
      <c r="A71" s="3"/>
      <c r="B71" s="123" t="s">
        <v>140</v>
      </c>
      <c r="C71" s="124"/>
      <c r="D71" s="124"/>
      <c r="E71" s="124"/>
      <c r="F71" s="17">
        <v>1</v>
      </c>
      <c r="G71" s="17" t="s">
        <v>141</v>
      </c>
      <c r="H71" s="17" t="s">
        <v>141</v>
      </c>
      <c r="I71" s="17" t="s">
        <v>141</v>
      </c>
      <c r="J71" s="17" t="s">
        <v>141</v>
      </c>
      <c r="K71" s="123"/>
      <c r="L71" s="124"/>
      <c r="M71" s="124"/>
      <c r="N71" s="124"/>
      <c r="O71" s="124"/>
      <c r="P71" s="125"/>
      <c r="Q71" s="17"/>
      <c r="R71" s="17"/>
      <c r="S71" s="17"/>
      <c r="T71" s="17"/>
      <c r="U71" s="17"/>
    </row>
    <row r="72" spans="1:21" ht="18" customHeight="1" x14ac:dyDescent="0.15">
      <c r="A72" s="3"/>
      <c r="B72" s="104"/>
      <c r="C72" s="105"/>
      <c r="D72" s="105"/>
      <c r="E72" s="105"/>
      <c r="F72" s="18"/>
      <c r="G72" s="18"/>
      <c r="H72" s="18"/>
      <c r="I72" s="18"/>
      <c r="J72" s="18"/>
      <c r="K72" s="104"/>
      <c r="L72" s="105"/>
      <c r="M72" s="105"/>
      <c r="N72" s="105"/>
      <c r="O72" s="105"/>
      <c r="P72" s="106"/>
      <c r="Q72" s="18"/>
      <c r="R72" s="18"/>
      <c r="S72" s="18"/>
      <c r="T72" s="18"/>
      <c r="U72" s="18"/>
    </row>
    <row r="73" spans="1:21" ht="18" customHeight="1" x14ac:dyDescent="0.15">
      <c r="A73" s="3"/>
      <c r="B73" s="104"/>
      <c r="C73" s="105"/>
      <c r="D73" s="105"/>
      <c r="E73" s="105"/>
      <c r="F73" s="18"/>
      <c r="G73" s="18"/>
      <c r="H73" s="18"/>
      <c r="I73" s="18"/>
      <c r="J73" s="18"/>
      <c r="K73" s="104"/>
      <c r="L73" s="105"/>
      <c r="M73" s="105"/>
      <c r="N73" s="105"/>
      <c r="O73" s="105"/>
      <c r="P73" s="106"/>
      <c r="Q73" s="18"/>
      <c r="R73" s="18"/>
      <c r="S73" s="18"/>
      <c r="T73" s="18"/>
      <c r="U73" s="18"/>
    </row>
    <row r="74" spans="1:21" ht="18" customHeight="1" x14ac:dyDescent="0.15">
      <c r="A74" s="3"/>
      <c r="B74" s="104"/>
      <c r="C74" s="105"/>
      <c r="D74" s="105"/>
      <c r="E74" s="105"/>
      <c r="F74" s="18"/>
      <c r="G74" s="18"/>
      <c r="H74" s="18"/>
      <c r="I74" s="18"/>
      <c r="J74" s="18"/>
      <c r="K74" s="104"/>
      <c r="L74" s="105"/>
      <c r="M74" s="105"/>
      <c r="N74" s="105"/>
      <c r="O74" s="105"/>
      <c r="P74" s="106"/>
      <c r="Q74" s="18"/>
      <c r="R74" s="18"/>
      <c r="S74" s="18"/>
      <c r="T74" s="18"/>
      <c r="U74" s="18"/>
    </row>
    <row r="75" spans="1:21" ht="18" customHeight="1" x14ac:dyDescent="0.15">
      <c r="A75" s="3"/>
      <c r="B75" s="104"/>
      <c r="C75" s="105"/>
      <c r="D75" s="105"/>
      <c r="E75" s="105"/>
      <c r="F75" s="18"/>
      <c r="G75" s="18"/>
      <c r="H75" s="18"/>
      <c r="I75" s="18"/>
      <c r="J75" s="18"/>
      <c r="K75" s="104"/>
      <c r="L75" s="105"/>
      <c r="M75" s="105"/>
      <c r="N75" s="105"/>
      <c r="O75" s="105"/>
      <c r="P75" s="106"/>
      <c r="Q75" s="18"/>
      <c r="R75" s="18"/>
      <c r="S75" s="18"/>
      <c r="T75" s="18"/>
      <c r="U75" s="18"/>
    </row>
    <row r="76" spans="1:21" ht="18" customHeight="1" x14ac:dyDescent="0.15">
      <c r="A76" s="3"/>
      <c r="B76" s="104"/>
      <c r="C76" s="105"/>
      <c r="D76" s="105"/>
      <c r="E76" s="105"/>
      <c r="F76" s="18"/>
      <c r="G76" s="18"/>
      <c r="H76" s="18"/>
      <c r="I76" s="18"/>
      <c r="J76" s="18"/>
      <c r="K76" s="104"/>
      <c r="L76" s="105"/>
      <c r="M76" s="105"/>
      <c r="N76" s="105"/>
      <c r="O76" s="105"/>
      <c r="P76" s="106"/>
      <c r="Q76" s="18"/>
      <c r="R76" s="18"/>
      <c r="S76" s="18"/>
      <c r="T76" s="18"/>
      <c r="U76" s="18"/>
    </row>
    <row r="77" spans="1:21" ht="18" customHeight="1" x14ac:dyDescent="0.15">
      <c r="A77" s="3"/>
      <c r="B77" s="127"/>
      <c r="C77" s="128"/>
      <c r="D77" s="128"/>
      <c r="E77" s="128"/>
      <c r="F77" s="19"/>
      <c r="G77" s="19"/>
      <c r="H77" s="20"/>
      <c r="I77" s="20"/>
      <c r="J77" s="20"/>
      <c r="K77" s="127"/>
      <c r="L77" s="128"/>
      <c r="M77" s="128"/>
      <c r="N77" s="128"/>
      <c r="O77" s="128"/>
      <c r="P77" s="129"/>
      <c r="Q77" s="19"/>
      <c r="R77" s="19"/>
      <c r="S77" s="20"/>
      <c r="T77" s="20"/>
      <c r="U77" s="20"/>
    </row>
    <row r="78" spans="1:21" ht="7.5" customHeight="1" x14ac:dyDescent="0.15">
      <c r="B78" s="13"/>
      <c r="C78" s="13"/>
      <c r="D78" s="13"/>
      <c r="E78" s="13"/>
      <c r="F78" s="13"/>
      <c r="G78" s="13"/>
      <c r="H78" s="13"/>
      <c r="I78" s="13"/>
      <c r="J78" s="13"/>
      <c r="K78" s="13"/>
      <c r="L78" s="13"/>
      <c r="M78" s="13"/>
      <c r="N78" s="13"/>
      <c r="O78" s="13"/>
      <c r="P78" s="13"/>
      <c r="Q78" s="13"/>
      <c r="R78" s="13"/>
      <c r="S78" s="13"/>
      <c r="T78" s="13"/>
    </row>
    <row r="79" spans="1:21" ht="18" customHeight="1" x14ac:dyDescent="0.15">
      <c r="A79" s="1" t="s">
        <v>106</v>
      </c>
      <c r="I79" s="3"/>
      <c r="J79" s="3"/>
      <c r="K79" s="3"/>
      <c r="L79" s="3"/>
      <c r="M79" s="3"/>
      <c r="N79" s="3"/>
      <c r="O79" s="3"/>
      <c r="P79" s="3"/>
      <c r="Q79" s="3"/>
      <c r="R79" s="3"/>
      <c r="S79" s="3"/>
      <c r="T79" s="3"/>
      <c r="U79" s="3"/>
    </row>
    <row r="80" spans="1:21" ht="18" customHeight="1" x14ac:dyDescent="0.15">
      <c r="B80" s="120" t="s">
        <v>51</v>
      </c>
      <c r="C80" s="121"/>
      <c r="D80" s="121"/>
      <c r="E80" s="121"/>
      <c r="F80" s="122"/>
      <c r="G80" s="120" t="s">
        <v>78</v>
      </c>
      <c r="H80" s="121"/>
      <c r="I80" s="121"/>
      <c r="J80" s="122"/>
      <c r="K80" s="130" t="s">
        <v>51</v>
      </c>
      <c r="L80" s="131"/>
      <c r="M80" s="131"/>
      <c r="N80" s="131"/>
      <c r="O80" s="131"/>
      <c r="P80" s="131"/>
      <c r="Q80" s="132"/>
      <c r="R80" s="120" t="s">
        <v>78</v>
      </c>
      <c r="S80" s="121"/>
      <c r="T80" s="121"/>
      <c r="U80" s="122"/>
    </row>
    <row r="81" spans="1:21" ht="18" customHeight="1" x14ac:dyDescent="0.15">
      <c r="A81" s="3"/>
      <c r="B81" s="123"/>
      <c r="C81" s="124"/>
      <c r="D81" s="124"/>
      <c r="E81" s="124"/>
      <c r="F81" s="125"/>
      <c r="G81" s="136"/>
      <c r="H81" s="137"/>
      <c r="I81" s="137"/>
      <c r="J81" s="138"/>
      <c r="K81" s="123"/>
      <c r="L81" s="124"/>
      <c r="M81" s="124"/>
      <c r="N81" s="124"/>
      <c r="O81" s="124"/>
      <c r="P81" s="124"/>
      <c r="Q81" s="125"/>
      <c r="R81" s="136"/>
      <c r="S81" s="137"/>
      <c r="T81" s="137"/>
      <c r="U81" s="138"/>
    </row>
    <row r="82" spans="1:21" ht="18" customHeight="1" x14ac:dyDescent="0.15">
      <c r="A82" s="3"/>
      <c r="B82" s="104"/>
      <c r="C82" s="105"/>
      <c r="D82" s="105"/>
      <c r="E82" s="105"/>
      <c r="F82" s="106"/>
      <c r="G82" s="133"/>
      <c r="H82" s="134"/>
      <c r="I82" s="134"/>
      <c r="J82" s="135"/>
      <c r="K82" s="104"/>
      <c r="L82" s="105"/>
      <c r="M82" s="105"/>
      <c r="N82" s="105"/>
      <c r="O82" s="105"/>
      <c r="P82" s="105"/>
      <c r="Q82" s="106"/>
      <c r="R82" s="133"/>
      <c r="S82" s="134"/>
      <c r="T82" s="134"/>
      <c r="U82" s="135"/>
    </row>
    <row r="83" spans="1:21" ht="18" customHeight="1" x14ac:dyDescent="0.15">
      <c r="A83" s="3"/>
      <c r="B83" s="104"/>
      <c r="C83" s="105"/>
      <c r="D83" s="105"/>
      <c r="E83" s="105"/>
      <c r="F83" s="106"/>
      <c r="G83" s="133"/>
      <c r="H83" s="134"/>
      <c r="I83" s="134"/>
      <c r="J83" s="135"/>
      <c r="K83" s="104"/>
      <c r="L83" s="105"/>
      <c r="M83" s="105"/>
      <c r="N83" s="105"/>
      <c r="O83" s="105"/>
      <c r="P83" s="105"/>
      <c r="Q83" s="106"/>
      <c r="R83" s="133"/>
      <c r="S83" s="134"/>
      <c r="T83" s="134"/>
      <c r="U83" s="135"/>
    </row>
    <row r="84" spans="1:21" ht="18" customHeight="1" x14ac:dyDescent="0.15">
      <c r="A84" s="3"/>
      <c r="B84" s="104"/>
      <c r="C84" s="105"/>
      <c r="D84" s="105"/>
      <c r="E84" s="105"/>
      <c r="F84" s="106"/>
      <c r="G84" s="133"/>
      <c r="H84" s="134"/>
      <c r="I84" s="134"/>
      <c r="J84" s="135"/>
      <c r="K84" s="104"/>
      <c r="L84" s="105"/>
      <c r="M84" s="105"/>
      <c r="N84" s="105"/>
      <c r="O84" s="105"/>
      <c r="P84" s="105"/>
      <c r="Q84" s="106"/>
      <c r="R84" s="133"/>
      <c r="S84" s="134"/>
      <c r="T84" s="134"/>
      <c r="U84" s="135"/>
    </row>
    <row r="85" spans="1:21" ht="18" customHeight="1" x14ac:dyDescent="0.15">
      <c r="A85" s="3"/>
      <c r="B85" s="104"/>
      <c r="C85" s="105"/>
      <c r="D85" s="105"/>
      <c r="E85" s="105"/>
      <c r="F85" s="106"/>
      <c r="G85" s="133"/>
      <c r="H85" s="134"/>
      <c r="I85" s="134"/>
      <c r="J85" s="135"/>
      <c r="K85" s="104"/>
      <c r="L85" s="105"/>
      <c r="M85" s="105"/>
      <c r="N85" s="105"/>
      <c r="O85" s="105"/>
      <c r="P85" s="105"/>
      <c r="Q85" s="106"/>
      <c r="R85" s="133"/>
      <c r="S85" s="134"/>
      <c r="T85" s="134"/>
      <c r="U85" s="135"/>
    </row>
    <row r="86" spans="1:21" ht="18" customHeight="1" x14ac:dyDescent="0.15">
      <c r="A86" s="3"/>
      <c r="B86" s="104"/>
      <c r="C86" s="105"/>
      <c r="D86" s="105"/>
      <c r="E86" s="105"/>
      <c r="F86" s="106"/>
      <c r="G86" s="133"/>
      <c r="H86" s="134"/>
      <c r="I86" s="134"/>
      <c r="J86" s="135"/>
      <c r="K86" s="104"/>
      <c r="L86" s="105"/>
      <c r="M86" s="105"/>
      <c r="N86" s="105"/>
      <c r="O86" s="105"/>
      <c r="P86" s="105"/>
      <c r="Q86" s="106"/>
      <c r="R86" s="133"/>
      <c r="S86" s="134"/>
      <c r="T86" s="134"/>
      <c r="U86" s="135"/>
    </row>
    <row r="87" spans="1:21" ht="18" customHeight="1" x14ac:dyDescent="0.15">
      <c r="A87" s="3"/>
      <c r="B87" s="127"/>
      <c r="C87" s="128"/>
      <c r="D87" s="128"/>
      <c r="E87" s="128"/>
      <c r="F87" s="129"/>
      <c r="G87" s="139"/>
      <c r="H87" s="140"/>
      <c r="I87" s="140"/>
      <c r="J87" s="141"/>
      <c r="K87" s="127"/>
      <c r="L87" s="128"/>
      <c r="M87" s="128"/>
      <c r="N87" s="128"/>
      <c r="O87" s="128"/>
      <c r="P87" s="128"/>
      <c r="Q87" s="129"/>
      <c r="R87" s="139"/>
      <c r="S87" s="140"/>
      <c r="T87" s="140"/>
      <c r="U87" s="141"/>
    </row>
    <row r="88" spans="1:21" ht="18" customHeight="1" x14ac:dyDescent="0.15">
      <c r="A88" s="3"/>
      <c r="B88" s="5"/>
      <c r="C88" s="5"/>
      <c r="D88" s="5"/>
      <c r="E88" s="5"/>
      <c r="F88" s="5"/>
      <c r="G88" s="21"/>
      <c r="H88" s="21"/>
      <c r="I88" s="21"/>
      <c r="J88" s="21"/>
      <c r="K88" s="5"/>
      <c r="L88" s="5"/>
      <c r="M88" s="5"/>
      <c r="N88" s="5"/>
      <c r="O88" s="5"/>
      <c r="P88" s="5"/>
      <c r="Q88" s="5"/>
      <c r="R88" s="21"/>
      <c r="S88" s="21"/>
      <c r="T88" s="21"/>
      <c r="U88" s="21"/>
    </row>
    <row r="89" spans="1:21" ht="18.75" customHeight="1" x14ac:dyDescent="0.15">
      <c r="A89" s="1" t="s">
        <v>107</v>
      </c>
    </row>
    <row r="90" spans="1:21" ht="18.75" customHeight="1" x14ac:dyDescent="0.15">
      <c r="B90" s="142" t="s">
        <v>52</v>
      </c>
      <c r="C90" s="143"/>
      <c r="D90" s="120" t="s">
        <v>53</v>
      </c>
      <c r="E90" s="121"/>
      <c r="F90" s="121"/>
      <c r="G90" s="121"/>
      <c r="H90" s="121"/>
      <c r="I90" s="121"/>
      <c r="J90" s="121"/>
      <c r="K90" s="121"/>
      <c r="L90" s="121"/>
      <c r="M90" s="121"/>
      <c r="N90" s="121"/>
      <c r="O90" s="121"/>
      <c r="P90" s="121"/>
      <c r="Q90" s="121"/>
      <c r="R90" s="121"/>
      <c r="S90" s="121"/>
      <c r="T90" s="121"/>
      <c r="U90" s="122"/>
    </row>
    <row r="91" spans="1:21" ht="126" customHeight="1" x14ac:dyDescent="0.15">
      <c r="B91" s="144" t="s">
        <v>59</v>
      </c>
      <c r="C91" s="22" t="s">
        <v>54</v>
      </c>
      <c r="D91" s="146" t="s">
        <v>142</v>
      </c>
      <c r="E91" s="147"/>
      <c r="F91" s="147"/>
      <c r="G91" s="147"/>
      <c r="H91" s="147"/>
      <c r="I91" s="147"/>
      <c r="J91" s="147"/>
      <c r="K91" s="147"/>
      <c r="L91" s="147"/>
      <c r="M91" s="147"/>
      <c r="N91" s="147"/>
      <c r="O91" s="147"/>
      <c r="P91" s="147"/>
      <c r="Q91" s="147"/>
      <c r="R91" s="147"/>
      <c r="S91" s="147"/>
      <c r="T91" s="147"/>
      <c r="U91" s="148"/>
    </row>
    <row r="92" spans="1:21" ht="198.75" customHeight="1" x14ac:dyDescent="0.15">
      <c r="B92" s="152"/>
      <c r="C92" s="23" t="s">
        <v>74</v>
      </c>
      <c r="D92" s="149" t="s">
        <v>143</v>
      </c>
      <c r="E92" s="150"/>
      <c r="F92" s="150"/>
      <c r="G92" s="150"/>
      <c r="H92" s="150"/>
      <c r="I92" s="150"/>
      <c r="J92" s="150"/>
      <c r="K92" s="150"/>
      <c r="L92" s="150"/>
      <c r="M92" s="150"/>
      <c r="N92" s="150"/>
      <c r="O92" s="150"/>
      <c r="P92" s="150"/>
      <c r="Q92" s="150"/>
      <c r="R92" s="150"/>
      <c r="S92" s="150"/>
      <c r="T92" s="150"/>
      <c r="U92" s="151"/>
    </row>
    <row r="93" spans="1:21" ht="198" customHeight="1" x14ac:dyDescent="0.15">
      <c r="B93" s="144" t="s">
        <v>60</v>
      </c>
      <c r="C93" s="24" t="s">
        <v>68</v>
      </c>
      <c r="D93" s="146" t="s">
        <v>144</v>
      </c>
      <c r="E93" s="147"/>
      <c r="F93" s="147"/>
      <c r="G93" s="147"/>
      <c r="H93" s="147"/>
      <c r="I93" s="147"/>
      <c r="J93" s="147"/>
      <c r="K93" s="147"/>
      <c r="L93" s="147"/>
      <c r="M93" s="147"/>
      <c r="N93" s="147"/>
      <c r="O93" s="147"/>
      <c r="P93" s="147"/>
      <c r="Q93" s="147"/>
      <c r="R93" s="147"/>
      <c r="S93" s="147"/>
      <c r="T93" s="147"/>
      <c r="U93" s="148"/>
    </row>
    <row r="94" spans="1:21" ht="138.75" customHeight="1" x14ac:dyDescent="0.15">
      <c r="B94" s="145"/>
      <c r="C94" s="25" t="s">
        <v>69</v>
      </c>
      <c r="D94" s="149" t="s">
        <v>145</v>
      </c>
      <c r="E94" s="150"/>
      <c r="F94" s="150"/>
      <c r="G94" s="150"/>
      <c r="H94" s="150"/>
      <c r="I94" s="150"/>
      <c r="J94" s="150"/>
      <c r="K94" s="150"/>
      <c r="L94" s="150"/>
      <c r="M94" s="150"/>
      <c r="N94" s="150"/>
      <c r="O94" s="150"/>
      <c r="P94" s="150"/>
      <c r="Q94" s="150"/>
      <c r="R94" s="150"/>
      <c r="S94" s="150"/>
      <c r="T94" s="150"/>
      <c r="U94" s="151"/>
    </row>
    <row r="95" spans="1:21" ht="74.25" customHeight="1" x14ac:dyDescent="0.15">
      <c r="B95" s="144" t="s">
        <v>61</v>
      </c>
      <c r="C95" s="24" t="s">
        <v>70</v>
      </c>
      <c r="D95" s="146" t="s">
        <v>146</v>
      </c>
      <c r="E95" s="147"/>
      <c r="F95" s="147"/>
      <c r="G95" s="147"/>
      <c r="H95" s="147"/>
      <c r="I95" s="147"/>
      <c r="J95" s="147"/>
      <c r="K95" s="147"/>
      <c r="L95" s="147"/>
      <c r="M95" s="147"/>
      <c r="N95" s="147"/>
      <c r="O95" s="147"/>
      <c r="P95" s="147"/>
      <c r="Q95" s="147"/>
      <c r="R95" s="147"/>
      <c r="S95" s="147"/>
      <c r="T95" s="147"/>
      <c r="U95" s="148"/>
    </row>
    <row r="96" spans="1:21" ht="97.5" customHeight="1" x14ac:dyDescent="0.15">
      <c r="B96" s="145"/>
      <c r="C96" s="26" t="s">
        <v>71</v>
      </c>
      <c r="D96" s="149" t="s">
        <v>147</v>
      </c>
      <c r="E96" s="150"/>
      <c r="F96" s="150"/>
      <c r="G96" s="150"/>
      <c r="H96" s="150"/>
      <c r="I96" s="150"/>
      <c r="J96" s="150"/>
      <c r="K96" s="150"/>
      <c r="L96" s="150"/>
      <c r="M96" s="150"/>
      <c r="N96" s="150"/>
      <c r="O96" s="150"/>
      <c r="P96" s="150"/>
      <c r="Q96" s="150"/>
      <c r="R96" s="150"/>
      <c r="S96" s="150"/>
      <c r="T96" s="150"/>
      <c r="U96" s="151"/>
    </row>
    <row r="97" spans="1:33" ht="176.25" customHeight="1" x14ac:dyDescent="0.15">
      <c r="B97" s="144" t="s">
        <v>75</v>
      </c>
      <c r="C97" s="22" t="s">
        <v>56</v>
      </c>
      <c r="D97" s="146" t="s">
        <v>148</v>
      </c>
      <c r="E97" s="147"/>
      <c r="F97" s="147"/>
      <c r="G97" s="147"/>
      <c r="H97" s="147"/>
      <c r="I97" s="147"/>
      <c r="J97" s="147"/>
      <c r="K97" s="147"/>
      <c r="L97" s="147"/>
      <c r="M97" s="147"/>
      <c r="N97" s="147"/>
      <c r="O97" s="147"/>
      <c r="P97" s="147"/>
      <c r="Q97" s="147"/>
      <c r="R97" s="147"/>
      <c r="S97" s="147"/>
      <c r="T97" s="147"/>
      <c r="U97" s="148"/>
    </row>
    <row r="98" spans="1:33" ht="97.5" customHeight="1" x14ac:dyDescent="0.15">
      <c r="B98" s="145"/>
      <c r="C98" s="25" t="s">
        <v>58</v>
      </c>
      <c r="D98" s="149" t="s">
        <v>149</v>
      </c>
      <c r="E98" s="150"/>
      <c r="F98" s="150"/>
      <c r="G98" s="150"/>
      <c r="H98" s="150"/>
      <c r="I98" s="150"/>
      <c r="J98" s="150"/>
      <c r="K98" s="150"/>
      <c r="L98" s="150"/>
      <c r="M98" s="150"/>
      <c r="N98" s="150"/>
      <c r="O98" s="150"/>
      <c r="P98" s="150"/>
      <c r="Q98" s="150"/>
      <c r="R98" s="150"/>
      <c r="S98" s="150"/>
      <c r="T98" s="150"/>
      <c r="U98" s="151"/>
    </row>
    <row r="99" spans="1:33" ht="133.5" customHeight="1" x14ac:dyDescent="0.15">
      <c r="B99" s="144" t="s">
        <v>76</v>
      </c>
      <c r="C99" s="24" t="s">
        <v>55</v>
      </c>
      <c r="D99" s="146" t="s">
        <v>150</v>
      </c>
      <c r="E99" s="147"/>
      <c r="F99" s="147"/>
      <c r="G99" s="147"/>
      <c r="H99" s="147"/>
      <c r="I99" s="147"/>
      <c r="J99" s="147"/>
      <c r="K99" s="147"/>
      <c r="L99" s="147"/>
      <c r="M99" s="147"/>
      <c r="N99" s="147"/>
      <c r="O99" s="147"/>
      <c r="P99" s="147"/>
      <c r="Q99" s="147"/>
      <c r="R99" s="147"/>
      <c r="S99" s="147"/>
      <c r="T99" s="147"/>
      <c r="U99" s="148"/>
    </row>
    <row r="100" spans="1:33" ht="112.5" customHeight="1" x14ac:dyDescent="0.15">
      <c r="B100" s="152"/>
      <c r="C100" s="27" t="s">
        <v>72</v>
      </c>
      <c r="D100" s="156" t="s">
        <v>151</v>
      </c>
      <c r="E100" s="157"/>
      <c r="F100" s="157"/>
      <c r="G100" s="157"/>
      <c r="H100" s="157"/>
      <c r="I100" s="157"/>
      <c r="J100" s="157"/>
      <c r="K100" s="157"/>
      <c r="L100" s="157"/>
      <c r="M100" s="157"/>
      <c r="N100" s="157"/>
      <c r="O100" s="157"/>
      <c r="P100" s="157"/>
      <c r="Q100" s="157"/>
      <c r="R100" s="157"/>
      <c r="S100" s="157"/>
      <c r="T100" s="157"/>
      <c r="U100" s="158"/>
    </row>
    <row r="101" spans="1:33" ht="97.5" customHeight="1" x14ac:dyDescent="0.15">
      <c r="B101" s="145"/>
      <c r="C101" s="26" t="s">
        <v>73</v>
      </c>
      <c r="D101" s="149" t="s">
        <v>152</v>
      </c>
      <c r="E101" s="150"/>
      <c r="F101" s="150"/>
      <c r="G101" s="150"/>
      <c r="H101" s="150"/>
      <c r="I101" s="150"/>
      <c r="J101" s="150"/>
      <c r="K101" s="150"/>
      <c r="L101" s="150"/>
      <c r="M101" s="150"/>
      <c r="N101" s="150"/>
      <c r="O101" s="150"/>
      <c r="P101" s="150"/>
      <c r="Q101" s="150"/>
      <c r="R101" s="150"/>
      <c r="S101" s="150"/>
      <c r="T101" s="150"/>
      <c r="U101" s="151"/>
    </row>
    <row r="102" spans="1:33" ht="6" customHeight="1" x14ac:dyDescent="0.15"/>
    <row r="103" spans="1:33" ht="18.75" customHeight="1" x14ac:dyDescent="0.15">
      <c r="A103" s="1" t="s">
        <v>108</v>
      </c>
    </row>
    <row r="104" spans="1:33" ht="81.75" customHeight="1" x14ac:dyDescent="0.15">
      <c r="B104" s="159" t="s">
        <v>153</v>
      </c>
      <c r="C104" s="160"/>
      <c r="D104" s="160"/>
      <c r="E104" s="160"/>
      <c r="F104" s="160"/>
      <c r="G104" s="160"/>
      <c r="H104" s="160"/>
      <c r="I104" s="160"/>
      <c r="J104" s="160"/>
      <c r="K104" s="160"/>
      <c r="L104" s="160"/>
      <c r="M104" s="160"/>
      <c r="N104" s="160"/>
      <c r="O104" s="160"/>
      <c r="P104" s="160"/>
      <c r="Q104" s="160"/>
      <c r="R104" s="160"/>
      <c r="S104" s="160"/>
      <c r="T104" s="160"/>
      <c r="U104" s="161"/>
    </row>
    <row r="106" spans="1:33" ht="18.75" customHeight="1" x14ac:dyDescent="0.15">
      <c r="A106" s="58" t="s">
        <v>124</v>
      </c>
      <c r="B106" s="59"/>
      <c r="C106" s="59"/>
      <c r="D106" s="59"/>
      <c r="E106" s="59"/>
      <c r="F106" s="59"/>
      <c r="G106" s="59"/>
      <c r="H106" s="59"/>
      <c r="I106" s="59"/>
      <c r="J106" s="59"/>
      <c r="K106" s="59"/>
      <c r="L106" s="59"/>
      <c r="M106" s="59"/>
      <c r="N106" s="59"/>
      <c r="O106" s="59"/>
      <c r="P106" s="59"/>
      <c r="Q106" s="59"/>
      <c r="R106" s="59"/>
      <c r="S106" s="59"/>
      <c r="T106" s="59"/>
      <c r="U106" s="59"/>
    </row>
    <row r="107" spans="1:33" ht="18.75" customHeight="1" x14ac:dyDescent="0.15">
      <c r="A107" s="58" t="s">
        <v>126</v>
      </c>
      <c r="B107" s="58"/>
      <c r="C107" s="58"/>
      <c r="D107" s="58"/>
      <c r="E107" s="58"/>
      <c r="F107" s="58"/>
      <c r="G107" s="58"/>
      <c r="H107" s="58"/>
      <c r="I107" s="58"/>
      <c r="J107" s="58"/>
      <c r="K107" s="58"/>
      <c r="L107" s="58"/>
      <c r="M107" s="58"/>
      <c r="N107" s="58"/>
      <c r="O107" s="58"/>
      <c r="P107" s="58"/>
      <c r="Q107" s="58"/>
      <c r="R107" s="58"/>
      <c r="S107" s="58"/>
      <c r="T107" s="58"/>
      <c r="U107" s="58"/>
      <c r="V107" s="2"/>
      <c r="W107" s="2"/>
      <c r="X107" s="2"/>
      <c r="Y107" s="2"/>
      <c r="Z107" s="2"/>
      <c r="AA107" s="2"/>
      <c r="AB107" s="2"/>
      <c r="AC107" s="2"/>
      <c r="AD107" s="2"/>
      <c r="AE107" s="2"/>
      <c r="AF107" s="2"/>
      <c r="AG107" s="2"/>
    </row>
    <row r="108" spans="1:33" ht="18.75" customHeight="1" x14ac:dyDescent="0.15">
      <c r="A108" s="58"/>
      <c r="B108" s="162" t="s">
        <v>130</v>
      </c>
      <c r="C108" s="162"/>
      <c r="D108" s="162"/>
      <c r="E108" s="162"/>
      <c r="F108" s="162"/>
      <c r="G108" s="162"/>
      <c r="H108" s="162"/>
      <c r="I108" s="162"/>
      <c r="J108" s="162"/>
      <c r="K108" s="162"/>
      <c r="L108" s="162"/>
      <c r="M108" s="162"/>
      <c r="N108" s="162"/>
      <c r="O108" s="162"/>
      <c r="P108" s="162"/>
      <c r="Q108" s="162"/>
      <c r="R108" s="162"/>
      <c r="S108" s="162"/>
      <c r="T108" s="162"/>
      <c r="U108" s="162"/>
      <c r="V108" s="54"/>
      <c r="W108" s="54"/>
      <c r="X108" s="54"/>
      <c r="Y108" s="54"/>
      <c r="Z108" s="54"/>
      <c r="AA108" s="54"/>
      <c r="AB108" s="54"/>
      <c r="AC108" s="54"/>
      <c r="AD108" s="54"/>
      <c r="AE108" s="54"/>
      <c r="AF108" s="54"/>
      <c r="AG108" s="54"/>
    </row>
    <row r="109" spans="1:33" ht="37.35" customHeight="1" x14ac:dyDescent="0.15">
      <c r="A109" s="58"/>
      <c r="B109" s="162"/>
      <c r="C109" s="162"/>
      <c r="D109" s="162"/>
      <c r="E109" s="162"/>
      <c r="F109" s="162"/>
      <c r="G109" s="162"/>
      <c r="H109" s="162"/>
      <c r="I109" s="162"/>
      <c r="J109" s="162"/>
      <c r="K109" s="162"/>
      <c r="L109" s="162"/>
      <c r="M109" s="162"/>
      <c r="N109" s="162"/>
      <c r="O109" s="162"/>
      <c r="P109" s="162"/>
      <c r="Q109" s="162"/>
      <c r="R109" s="162"/>
      <c r="S109" s="162"/>
      <c r="T109" s="162"/>
      <c r="U109" s="162"/>
      <c r="V109" s="54"/>
      <c r="W109" s="54"/>
      <c r="X109" s="54"/>
      <c r="Y109" s="54"/>
      <c r="Z109" s="54"/>
      <c r="AA109" s="54"/>
      <c r="AB109" s="54"/>
      <c r="AC109" s="54"/>
      <c r="AD109" s="54"/>
      <c r="AE109" s="54"/>
      <c r="AF109" s="54"/>
      <c r="AG109" s="54"/>
    </row>
    <row r="110" spans="1:33" ht="18.75" customHeight="1" x14ac:dyDescent="0.15">
      <c r="A110" s="58"/>
      <c r="B110" s="153" t="s">
        <v>125</v>
      </c>
      <c r="C110" s="153"/>
      <c r="D110" s="153"/>
      <c r="E110" s="153"/>
      <c r="F110" s="153"/>
      <c r="G110" s="153"/>
      <c r="H110" s="153"/>
      <c r="I110" s="153"/>
      <c r="J110" s="153"/>
      <c r="K110" s="153"/>
      <c r="L110" s="153"/>
      <c r="M110" s="153"/>
      <c r="N110" s="153"/>
      <c r="O110" s="153"/>
      <c r="P110" s="153"/>
      <c r="Q110" s="153"/>
      <c r="R110" s="153"/>
      <c r="S110" s="153"/>
      <c r="T110" s="153"/>
      <c r="U110" s="153"/>
      <c r="V110" s="54"/>
      <c r="W110" s="54"/>
      <c r="X110" s="54"/>
      <c r="Y110" s="54"/>
      <c r="Z110" s="54"/>
      <c r="AA110" s="54"/>
      <c r="AB110" s="54"/>
      <c r="AC110" s="54"/>
      <c r="AD110" s="54"/>
      <c r="AE110" s="54"/>
      <c r="AF110" s="54"/>
      <c r="AG110" s="54"/>
    </row>
    <row r="111" spans="1:33" ht="18.75" customHeight="1" x14ac:dyDescent="0.15">
      <c r="A111" s="58"/>
      <c r="B111" s="154" t="s">
        <v>53</v>
      </c>
      <c r="C111" s="154"/>
      <c r="D111" s="154"/>
      <c r="E111" s="154"/>
      <c r="F111" s="154"/>
      <c r="G111" s="154"/>
      <c r="H111" s="154"/>
      <c r="I111" s="154"/>
      <c r="J111" s="154"/>
      <c r="K111" s="154"/>
      <c r="L111" s="154"/>
      <c r="M111" s="154"/>
      <c r="N111" s="154"/>
      <c r="O111" s="154"/>
      <c r="P111" s="154"/>
      <c r="Q111" s="154"/>
      <c r="R111" s="154"/>
      <c r="S111" s="154"/>
      <c r="T111" s="154"/>
      <c r="U111" s="154"/>
      <c r="V111" s="53"/>
      <c r="W111" s="53"/>
      <c r="X111" s="53"/>
      <c r="Y111" s="53"/>
      <c r="Z111" s="53"/>
      <c r="AA111" s="53"/>
      <c r="AB111" s="53"/>
      <c r="AC111" s="53"/>
      <c r="AD111" s="53"/>
      <c r="AE111" s="53"/>
      <c r="AF111" s="53"/>
      <c r="AG111" s="53"/>
    </row>
    <row r="112" spans="1:33" ht="132" customHeight="1" x14ac:dyDescent="0.15">
      <c r="A112" s="58"/>
      <c r="B112" s="155" t="s">
        <v>208</v>
      </c>
      <c r="C112" s="155"/>
      <c r="D112" s="155"/>
      <c r="E112" s="155"/>
      <c r="F112" s="155"/>
      <c r="G112" s="155"/>
      <c r="H112" s="155"/>
      <c r="I112" s="155"/>
      <c r="J112" s="155"/>
      <c r="K112" s="155"/>
      <c r="L112" s="155"/>
      <c r="M112" s="155"/>
      <c r="N112" s="155"/>
      <c r="O112" s="155"/>
      <c r="P112" s="155"/>
      <c r="Q112" s="155"/>
      <c r="R112" s="155"/>
      <c r="S112" s="155"/>
      <c r="T112" s="155"/>
      <c r="U112" s="155"/>
      <c r="V112" s="55"/>
      <c r="W112" s="55"/>
      <c r="X112" s="55"/>
      <c r="Y112" s="55"/>
      <c r="Z112" s="55"/>
      <c r="AA112" s="55"/>
      <c r="AB112" s="55"/>
      <c r="AC112" s="55"/>
      <c r="AD112" s="55"/>
      <c r="AE112" s="55"/>
      <c r="AF112" s="55"/>
      <c r="AG112" s="55"/>
    </row>
    <row r="114" ht="18" customHeight="1" x14ac:dyDescent="0.15"/>
  </sheetData>
  <mergeCells count="148">
    <mergeCell ref="B110:U110"/>
    <mergeCell ref="B111:U111"/>
    <mergeCell ref="B112:U112"/>
    <mergeCell ref="B99:B101"/>
    <mergeCell ref="D99:U99"/>
    <mergeCell ref="D100:U100"/>
    <mergeCell ref="D101:U101"/>
    <mergeCell ref="B104:U104"/>
    <mergeCell ref="B108:U109"/>
    <mergeCell ref="B95:B96"/>
    <mergeCell ref="D95:U95"/>
    <mergeCell ref="D96:U96"/>
    <mergeCell ref="B97:B98"/>
    <mergeCell ref="D97:U97"/>
    <mergeCell ref="D98:U98"/>
    <mergeCell ref="B91:B92"/>
    <mergeCell ref="D91:U91"/>
    <mergeCell ref="D92:U92"/>
    <mergeCell ref="B93:B94"/>
    <mergeCell ref="D93:U93"/>
    <mergeCell ref="D94:U94"/>
    <mergeCell ref="B87:F87"/>
    <mergeCell ref="G87:J87"/>
    <mergeCell ref="K87:Q87"/>
    <mergeCell ref="R87:U87"/>
    <mergeCell ref="B90:C90"/>
    <mergeCell ref="D90:U90"/>
    <mergeCell ref="B85:F85"/>
    <mergeCell ref="G85:J85"/>
    <mergeCell ref="K85:Q85"/>
    <mergeCell ref="R85:U85"/>
    <mergeCell ref="B86:F86"/>
    <mergeCell ref="G86:J86"/>
    <mergeCell ref="K86:Q86"/>
    <mergeCell ref="R86:U86"/>
    <mergeCell ref="B83:F83"/>
    <mergeCell ref="G83:J83"/>
    <mergeCell ref="K83:Q83"/>
    <mergeCell ref="R83:U83"/>
    <mergeCell ref="B84:F84"/>
    <mergeCell ref="G84:J84"/>
    <mergeCell ref="K84:Q84"/>
    <mergeCell ref="R84:U84"/>
    <mergeCell ref="R80:U80"/>
    <mergeCell ref="B81:F81"/>
    <mergeCell ref="G81:J81"/>
    <mergeCell ref="K81:Q81"/>
    <mergeCell ref="R81:U81"/>
    <mergeCell ref="B82:F82"/>
    <mergeCell ref="G82:J82"/>
    <mergeCell ref="K82:Q82"/>
    <mergeCell ref="R82:U82"/>
    <mergeCell ref="B76:E76"/>
    <mergeCell ref="K76:P76"/>
    <mergeCell ref="B77:E77"/>
    <mergeCell ref="K77:P77"/>
    <mergeCell ref="B80:F80"/>
    <mergeCell ref="G80:J80"/>
    <mergeCell ref="K80:Q80"/>
    <mergeCell ref="B73:E73"/>
    <mergeCell ref="K73:P73"/>
    <mergeCell ref="B74:E74"/>
    <mergeCell ref="K74:P74"/>
    <mergeCell ref="B75:E75"/>
    <mergeCell ref="K75:P75"/>
    <mergeCell ref="A68:U69"/>
    <mergeCell ref="B70:E70"/>
    <mergeCell ref="K70:P70"/>
    <mergeCell ref="B71:E71"/>
    <mergeCell ref="K71:P71"/>
    <mergeCell ref="B72:E72"/>
    <mergeCell ref="K72:P72"/>
    <mergeCell ref="B64:F64"/>
    <mergeCell ref="K64:Q64"/>
    <mergeCell ref="B65:F65"/>
    <mergeCell ref="K65:Q65"/>
    <mergeCell ref="B66:F66"/>
    <mergeCell ref="K66:Q66"/>
    <mergeCell ref="B61:F61"/>
    <mergeCell ref="K61:Q61"/>
    <mergeCell ref="B62:F62"/>
    <mergeCell ref="K62:Q62"/>
    <mergeCell ref="B63:F63"/>
    <mergeCell ref="K63:Q63"/>
    <mergeCell ref="B55:F55"/>
    <mergeCell ref="K55:Q55"/>
    <mergeCell ref="A57:U58"/>
    <mergeCell ref="B59:F59"/>
    <mergeCell ref="K59:Q59"/>
    <mergeCell ref="B60:F60"/>
    <mergeCell ref="K60:Q60"/>
    <mergeCell ref="B52:F52"/>
    <mergeCell ref="K52:Q52"/>
    <mergeCell ref="B53:F53"/>
    <mergeCell ref="K53:Q53"/>
    <mergeCell ref="B54:F54"/>
    <mergeCell ref="K54:Q54"/>
    <mergeCell ref="B49:F49"/>
    <mergeCell ref="K49:Q49"/>
    <mergeCell ref="B50:F50"/>
    <mergeCell ref="K50:Q50"/>
    <mergeCell ref="B51:F51"/>
    <mergeCell ref="K51:Q51"/>
    <mergeCell ref="B43:F43"/>
    <mergeCell ref="K43:Q43"/>
    <mergeCell ref="B44:F44"/>
    <mergeCell ref="K44:Q44"/>
    <mergeCell ref="A46:U47"/>
    <mergeCell ref="B48:F48"/>
    <mergeCell ref="K48:Q48"/>
    <mergeCell ref="B40:F40"/>
    <mergeCell ref="K40:Q40"/>
    <mergeCell ref="B41:F41"/>
    <mergeCell ref="K41:Q41"/>
    <mergeCell ref="B42:F42"/>
    <mergeCell ref="K42:Q42"/>
    <mergeCell ref="A35:U36"/>
    <mergeCell ref="B37:F37"/>
    <mergeCell ref="K37:Q37"/>
    <mergeCell ref="B38:F38"/>
    <mergeCell ref="K38:Q38"/>
    <mergeCell ref="B39:F39"/>
    <mergeCell ref="K39:Q39"/>
    <mergeCell ref="B31:F31"/>
    <mergeCell ref="K31:Q31"/>
    <mergeCell ref="B32:F32"/>
    <mergeCell ref="K32:Q32"/>
    <mergeCell ref="B33:F33"/>
    <mergeCell ref="K33:Q33"/>
    <mergeCell ref="B30:F30"/>
    <mergeCell ref="K30:Q30"/>
    <mergeCell ref="B15:U20"/>
    <mergeCell ref="N22:U22"/>
    <mergeCell ref="A24:U25"/>
    <mergeCell ref="B26:F26"/>
    <mergeCell ref="K26:Q26"/>
    <mergeCell ref="B27:F27"/>
    <mergeCell ref="K27:Q27"/>
    <mergeCell ref="T1:U1"/>
    <mergeCell ref="C2:J2"/>
    <mergeCell ref="C3:J3"/>
    <mergeCell ref="A5:U5"/>
    <mergeCell ref="L7:U7"/>
    <mergeCell ref="B11:U12"/>
    <mergeCell ref="B28:F28"/>
    <mergeCell ref="K28:Q28"/>
    <mergeCell ref="B29:F29"/>
    <mergeCell ref="K29:Q29"/>
  </mergeCells>
  <phoneticPr fontId="1"/>
  <conditionalFormatting sqref="B11:U12">
    <cfRule type="expression" dxfId="3" priority="1">
      <formula>$L$7="学部・学科によって、修了要件は相違しない"</formula>
    </cfRule>
    <cfRule type="expression" dxfId="2" priority="2">
      <formula>$L$9="学部・学科によって、修了要件は相違しない"</formula>
    </cfRule>
  </conditionalFormatting>
  <dataValidations count="5">
    <dataValidation type="list" allowBlank="1" showInputMessage="1" showErrorMessage="1" sqref="N22:U22" xr:uid="{711D2A48-AF32-4C32-A7E9-350F5A4B3EF2}">
      <formula1>$X$16:$X$18</formula1>
    </dataValidation>
    <dataValidation type="list" allowBlank="1" showInputMessage="1" showErrorMessage="1" sqref="G81:G88 R81:R88 H81:J82 H85:J88 S85:U88 S81:U82" xr:uid="{ED14A3C6-C47D-49B8-BBC2-F946B5A65A98}">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L14 L7:U7" xr:uid="{7BC5A351-3878-4053-B8B4-F570401339B6}">
      <formula1>"学部・学科によって、修了要件は相違する,学部・学科によって、修了要件は相違しない"</formula1>
    </dataValidation>
    <dataValidation type="list" allowBlank="1" showInputMessage="1" showErrorMessage="1" sqref="U34 U45 E34:H34 E45:H45" xr:uid="{059277C3-9D5F-4099-AE37-EA1446113B1D}">
      <formula1>"全学開講,一部開講"</formula1>
    </dataValidation>
    <dataValidation type="list" allowBlank="1" showInputMessage="1" showErrorMessage="1" sqref="H27:J33 S27:U33 H38:J44 S38:U44 H49:J55 S49:U55 H60:J66 S60:U66 G71:J77 R71:U77" xr:uid="{245E8C71-CA25-4ED0-BF06-5041C7BFA6B1}">
      <formula1>"○"</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tabColor rgb="FF92D050"/>
    <pageSetUpPr fitToPage="1"/>
  </sheetPr>
  <dimension ref="A1:AG122"/>
  <sheetViews>
    <sheetView showZeros="0" view="pageBreakPreview" zoomScaleNormal="100" zoomScaleSheetLayoutView="100" workbookViewId="0">
      <selection activeCell="V111" sqref="V111"/>
    </sheetView>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16384" width="9" style="1"/>
  </cols>
  <sheetData>
    <row r="1" spans="1:24" ht="18.600000000000001" customHeight="1" x14ac:dyDescent="0.15">
      <c r="A1" s="59"/>
      <c r="B1" s="59"/>
      <c r="C1" s="59"/>
      <c r="D1" s="59"/>
      <c r="E1" s="59"/>
      <c r="F1" s="59"/>
      <c r="G1" s="59"/>
      <c r="H1" s="59"/>
      <c r="I1" s="59"/>
      <c r="J1" s="59"/>
      <c r="K1" s="59"/>
      <c r="L1" s="59"/>
      <c r="M1" s="59"/>
      <c r="N1" s="59"/>
      <c r="O1" s="59"/>
      <c r="P1" s="59"/>
      <c r="Q1" s="59"/>
      <c r="R1" s="59"/>
      <c r="S1" s="59"/>
      <c r="T1" s="90" t="s">
        <v>214</v>
      </c>
      <c r="U1" s="90"/>
      <c r="V1" s="2" t="s">
        <v>99</v>
      </c>
    </row>
    <row r="2" spans="1:24" ht="18.75" customHeight="1" x14ac:dyDescent="0.15">
      <c r="A2" s="59"/>
      <c r="B2" s="61" t="s">
        <v>98</v>
      </c>
      <c r="C2" s="91" t="s">
        <v>136</v>
      </c>
      <c r="D2" s="92"/>
      <c r="E2" s="92"/>
      <c r="F2" s="92"/>
      <c r="G2" s="92"/>
      <c r="H2" s="92"/>
      <c r="I2" s="92"/>
      <c r="J2" s="93"/>
      <c r="K2" s="60"/>
      <c r="L2" s="62"/>
      <c r="M2" s="62"/>
      <c r="N2" s="62"/>
      <c r="O2" s="62"/>
      <c r="P2" s="62"/>
      <c r="Q2" s="62"/>
      <c r="R2" s="62"/>
      <c r="S2" s="62"/>
      <c r="T2" s="62"/>
      <c r="U2" s="62"/>
    </row>
    <row r="3" spans="1:24" ht="18.75" customHeight="1" x14ac:dyDescent="0.15">
      <c r="A3" s="59"/>
      <c r="B3" s="61" t="s">
        <v>93</v>
      </c>
      <c r="C3" s="91" t="s">
        <v>137</v>
      </c>
      <c r="D3" s="92"/>
      <c r="E3" s="92"/>
      <c r="F3" s="92"/>
      <c r="G3" s="92"/>
      <c r="H3" s="92"/>
      <c r="I3" s="92"/>
      <c r="J3" s="93"/>
      <c r="K3" s="60"/>
      <c r="L3" s="62"/>
      <c r="M3" s="62"/>
      <c r="N3" s="62"/>
      <c r="O3" s="62"/>
      <c r="P3" s="62"/>
      <c r="Q3" s="62"/>
      <c r="R3" s="62"/>
      <c r="S3" s="62"/>
      <c r="T3" s="62"/>
      <c r="U3" s="62"/>
    </row>
    <row r="4" spans="1:24" ht="15" customHeight="1" x14ac:dyDescent="0.15">
      <c r="A4" s="59"/>
      <c r="B4" s="59"/>
      <c r="C4" s="59"/>
      <c r="D4" s="59"/>
      <c r="E4" s="59"/>
      <c r="F4" s="59"/>
      <c r="G4" s="59"/>
      <c r="H4" s="59"/>
      <c r="I4" s="59"/>
      <c r="J4" s="59"/>
      <c r="K4" s="59"/>
      <c r="L4" s="60"/>
      <c r="M4" s="63"/>
      <c r="N4" s="63"/>
      <c r="O4" s="63"/>
      <c r="P4" s="63"/>
      <c r="Q4" s="63"/>
      <c r="R4" s="63"/>
      <c r="S4" s="63"/>
      <c r="T4" s="63"/>
      <c r="U4" s="63"/>
    </row>
    <row r="5" spans="1:24" ht="18" customHeight="1" x14ac:dyDescent="0.15">
      <c r="A5" s="94" t="s">
        <v>37</v>
      </c>
      <c r="B5" s="94"/>
      <c r="C5" s="94"/>
      <c r="D5" s="94"/>
      <c r="E5" s="94"/>
      <c r="F5" s="94"/>
      <c r="G5" s="94"/>
      <c r="H5" s="94"/>
      <c r="I5" s="94"/>
      <c r="J5" s="94"/>
      <c r="K5" s="94"/>
      <c r="L5" s="94"/>
      <c r="M5" s="94"/>
      <c r="N5" s="94"/>
      <c r="O5" s="94"/>
      <c r="P5" s="94"/>
      <c r="Q5" s="94"/>
      <c r="R5" s="94"/>
      <c r="S5" s="94"/>
      <c r="T5" s="94"/>
      <c r="U5" s="94"/>
    </row>
    <row r="6" spans="1:24" ht="15" customHeight="1" x14ac:dyDescent="0.15">
      <c r="A6" s="59"/>
      <c r="B6" s="64"/>
      <c r="C6" s="64"/>
      <c r="D6" s="64"/>
      <c r="E6" s="64"/>
      <c r="F6" s="64"/>
      <c r="G6" s="64"/>
      <c r="H6" s="64"/>
      <c r="I6" s="64"/>
      <c r="J6" s="64"/>
      <c r="K6" s="64"/>
      <c r="L6" s="64"/>
      <c r="M6" s="64"/>
      <c r="N6" s="64"/>
      <c r="O6" s="64"/>
      <c r="P6" s="64"/>
      <c r="Q6" s="64"/>
      <c r="R6" s="64"/>
      <c r="S6" s="64"/>
      <c r="T6" s="64"/>
      <c r="U6" s="64"/>
    </row>
    <row r="7" spans="1:24" ht="15" customHeight="1" x14ac:dyDescent="0.15">
      <c r="A7" s="59" t="s">
        <v>131</v>
      </c>
      <c r="B7" s="64"/>
      <c r="C7" s="64"/>
      <c r="D7" s="64"/>
      <c r="E7" s="64"/>
      <c r="F7" s="58"/>
      <c r="G7" s="58"/>
      <c r="H7" s="58"/>
      <c r="I7" s="58"/>
      <c r="J7" s="58"/>
      <c r="K7" s="58"/>
      <c r="L7" s="95" t="s">
        <v>129</v>
      </c>
      <c r="M7" s="96"/>
      <c r="N7" s="96"/>
      <c r="O7" s="96"/>
      <c r="P7" s="96"/>
      <c r="Q7" s="96"/>
      <c r="R7" s="96"/>
      <c r="S7" s="96"/>
      <c r="T7" s="96"/>
      <c r="U7" s="97"/>
    </row>
    <row r="8" spans="1:24" ht="6" customHeight="1" x14ac:dyDescent="0.15">
      <c r="A8" s="59"/>
      <c r="B8" s="64"/>
      <c r="C8" s="64"/>
      <c r="D8" s="64"/>
      <c r="E8" s="64"/>
      <c r="F8" s="64"/>
      <c r="G8" s="64"/>
      <c r="H8" s="64"/>
      <c r="I8" s="64"/>
      <c r="J8" s="64"/>
      <c r="K8" s="64"/>
      <c r="L8" s="64"/>
      <c r="M8" s="64"/>
      <c r="N8" s="64"/>
      <c r="O8" s="64"/>
      <c r="P8" s="64"/>
      <c r="Q8" s="64"/>
      <c r="R8" s="64"/>
      <c r="S8" s="64"/>
      <c r="T8" s="64"/>
      <c r="U8" s="64"/>
    </row>
    <row r="9" spans="1:24" ht="18" customHeight="1" x14ac:dyDescent="0.15">
      <c r="A9" s="59" t="s">
        <v>132</v>
      </c>
      <c r="B9" s="59"/>
      <c r="C9" s="64"/>
      <c r="D9" s="64"/>
      <c r="E9" s="59"/>
      <c r="F9" s="59"/>
      <c r="G9" s="59"/>
      <c r="H9" s="59"/>
      <c r="I9" s="59"/>
      <c r="J9" s="59"/>
      <c r="K9" s="60"/>
      <c r="L9" s="58"/>
      <c r="M9" s="58"/>
      <c r="N9" s="58"/>
      <c r="O9" s="58"/>
      <c r="P9" s="58"/>
      <c r="Q9" s="58"/>
      <c r="R9" s="58"/>
      <c r="S9" s="58"/>
      <c r="T9" s="58"/>
      <c r="U9" s="58"/>
    </row>
    <row r="10" spans="1:24" ht="6" customHeight="1" x14ac:dyDescent="0.15">
      <c r="A10" s="59"/>
      <c r="B10" s="64"/>
      <c r="C10" s="64"/>
      <c r="D10" s="64"/>
      <c r="E10" s="64"/>
      <c r="F10" s="64"/>
      <c r="G10" s="64"/>
      <c r="H10" s="64"/>
      <c r="I10" s="64"/>
      <c r="J10" s="64"/>
      <c r="K10" s="64"/>
      <c r="L10" s="65"/>
      <c r="M10" s="64"/>
      <c r="N10" s="64"/>
      <c r="O10" s="64"/>
      <c r="P10" s="64"/>
      <c r="Q10" s="64"/>
      <c r="R10" s="64"/>
      <c r="S10" s="64"/>
      <c r="T10" s="64"/>
      <c r="U10" s="64"/>
    </row>
    <row r="11" spans="1:24" ht="18" customHeight="1" x14ac:dyDescent="0.15">
      <c r="A11" s="59"/>
      <c r="B11" s="98" t="s">
        <v>154</v>
      </c>
      <c r="C11" s="99"/>
      <c r="D11" s="99"/>
      <c r="E11" s="99"/>
      <c r="F11" s="99"/>
      <c r="G11" s="99"/>
      <c r="H11" s="99"/>
      <c r="I11" s="99"/>
      <c r="J11" s="99"/>
      <c r="K11" s="99"/>
      <c r="L11" s="99"/>
      <c r="M11" s="99"/>
      <c r="N11" s="99"/>
      <c r="O11" s="99"/>
      <c r="P11" s="99"/>
      <c r="Q11" s="99"/>
      <c r="R11" s="99"/>
      <c r="S11" s="99"/>
      <c r="T11" s="99"/>
      <c r="U11" s="100"/>
    </row>
    <row r="12" spans="1:24" ht="18" customHeight="1" x14ac:dyDescent="0.15">
      <c r="A12" s="59"/>
      <c r="B12" s="101"/>
      <c r="C12" s="102"/>
      <c r="D12" s="102"/>
      <c r="E12" s="102"/>
      <c r="F12" s="102"/>
      <c r="G12" s="102"/>
      <c r="H12" s="102"/>
      <c r="I12" s="102"/>
      <c r="J12" s="102"/>
      <c r="K12" s="102"/>
      <c r="L12" s="102"/>
      <c r="M12" s="102"/>
      <c r="N12" s="102"/>
      <c r="O12" s="102"/>
      <c r="P12" s="102"/>
      <c r="Q12" s="102"/>
      <c r="R12" s="102"/>
      <c r="S12" s="102"/>
      <c r="T12" s="102"/>
      <c r="U12" s="103"/>
    </row>
    <row r="13" spans="1:24" ht="6" customHeight="1" x14ac:dyDescent="0.15">
      <c r="A13" s="59"/>
      <c r="B13" s="64"/>
      <c r="C13" s="64"/>
      <c r="D13" s="64"/>
      <c r="E13" s="64"/>
      <c r="F13" s="64"/>
      <c r="G13" s="64"/>
      <c r="H13" s="64"/>
      <c r="I13" s="64"/>
      <c r="J13" s="64"/>
      <c r="K13" s="64"/>
      <c r="L13" s="65"/>
      <c r="M13" s="64"/>
      <c r="N13" s="64"/>
      <c r="O13" s="64"/>
      <c r="P13" s="64"/>
      <c r="Q13" s="64"/>
      <c r="R13" s="64"/>
      <c r="S13" s="64"/>
      <c r="T13" s="64"/>
      <c r="U13" s="64"/>
    </row>
    <row r="14" spans="1:24" ht="18" customHeight="1" x14ac:dyDescent="0.15">
      <c r="A14" s="59" t="s">
        <v>100</v>
      </c>
      <c r="B14" s="64"/>
      <c r="C14" s="64"/>
      <c r="D14" s="64"/>
      <c r="E14" s="60"/>
      <c r="F14" s="60"/>
      <c r="G14" s="60"/>
      <c r="H14" s="60"/>
      <c r="I14" s="60"/>
      <c r="J14" s="60"/>
      <c r="K14" s="60"/>
      <c r="L14" s="66"/>
      <c r="M14" s="66"/>
      <c r="N14" s="66"/>
      <c r="O14" s="66"/>
      <c r="P14" s="66"/>
      <c r="Q14" s="66"/>
      <c r="R14" s="66"/>
      <c r="S14" s="66"/>
      <c r="T14" s="66"/>
      <c r="U14" s="66"/>
    </row>
    <row r="15" spans="1:24" ht="18" customHeight="1" x14ac:dyDescent="0.15">
      <c r="A15" s="59"/>
      <c r="B15" s="107" t="s">
        <v>172</v>
      </c>
      <c r="C15" s="108"/>
      <c r="D15" s="108"/>
      <c r="E15" s="108"/>
      <c r="F15" s="108"/>
      <c r="G15" s="108"/>
      <c r="H15" s="108"/>
      <c r="I15" s="108"/>
      <c r="J15" s="108"/>
      <c r="K15" s="108"/>
      <c r="L15" s="108"/>
      <c r="M15" s="108"/>
      <c r="N15" s="108"/>
      <c r="O15" s="108"/>
      <c r="P15" s="108"/>
      <c r="Q15" s="108"/>
      <c r="R15" s="108"/>
      <c r="S15" s="108"/>
      <c r="T15" s="108"/>
      <c r="U15" s="109"/>
      <c r="X15" s="1" t="s">
        <v>94</v>
      </c>
    </row>
    <row r="16" spans="1:24" ht="18" customHeight="1" x14ac:dyDescent="0.15">
      <c r="A16" s="59"/>
      <c r="B16" s="110"/>
      <c r="C16" s="111"/>
      <c r="D16" s="111"/>
      <c r="E16" s="111"/>
      <c r="F16" s="111"/>
      <c r="G16" s="111"/>
      <c r="H16" s="111"/>
      <c r="I16" s="111"/>
      <c r="J16" s="111"/>
      <c r="K16" s="111"/>
      <c r="L16" s="111"/>
      <c r="M16" s="111"/>
      <c r="N16" s="111"/>
      <c r="O16" s="111"/>
      <c r="P16" s="111"/>
      <c r="Q16" s="111"/>
      <c r="R16" s="111"/>
      <c r="S16" s="111"/>
      <c r="T16" s="111"/>
      <c r="U16" s="112"/>
      <c r="X16" s="1" t="s">
        <v>114</v>
      </c>
    </row>
    <row r="17" spans="1:24" ht="18" customHeight="1" x14ac:dyDescent="0.15">
      <c r="A17" s="59"/>
      <c r="B17" s="110"/>
      <c r="C17" s="111"/>
      <c r="D17" s="111"/>
      <c r="E17" s="111"/>
      <c r="F17" s="111"/>
      <c r="G17" s="111"/>
      <c r="H17" s="111"/>
      <c r="I17" s="111"/>
      <c r="J17" s="111"/>
      <c r="K17" s="111"/>
      <c r="L17" s="111"/>
      <c r="M17" s="111"/>
      <c r="N17" s="111"/>
      <c r="O17" s="111"/>
      <c r="P17" s="111"/>
      <c r="Q17" s="111"/>
      <c r="R17" s="111"/>
      <c r="S17" s="111"/>
      <c r="T17" s="111"/>
      <c r="U17" s="112"/>
      <c r="X17" s="1" t="s">
        <v>115</v>
      </c>
    </row>
    <row r="18" spans="1:24" ht="18" customHeight="1" x14ac:dyDescent="0.15">
      <c r="A18" s="59"/>
      <c r="B18" s="110"/>
      <c r="C18" s="111"/>
      <c r="D18" s="111"/>
      <c r="E18" s="111"/>
      <c r="F18" s="111"/>
      <c r="G18" s="111"/>
      <c r="H18" s="111"/>
      <c r="I18" s="111"/>
      <c r="J18" s="111"/>
      <c r="K18" s="111"/>
      <c r="L18" s="111"/>
      <c r="M18" s="111"/>
      <c r="N18" s="111"/>
      <c r="O18" s="111"/>
      <c r="P18" s="111"/>
      <c r="Q18" s="111"/>
      <c r="R18" s="111"/>
      <c r="S18" s="111"/>
      <c r="T18" s="111"/>
      <c r="U18" s="112"/>
      <c r="X18" s="1" t="s">
        <v>116</v>
      </c>
    </row>
    <row r="19" spans="1:24" ht="18" customHeight="1" x14ac:dyDescent="0.15">
      <c r="A19" s="59"/>
      <c r="B19" s="110"/>
      <c r="C19" s="111"/>
      <c r="D19" s="111"/>
      <c r="E19" s="111"/>
      <c r="F19" s="111"/>
      <c r="G19" s="111"/>
      <c r="H19" s="111"/>
      <c r="I19" s="111"/>
      <c r="J19" s="111"/>
      <c r="K19" s="111"/>
      <c r="L19" s="111"/>
      <c r="M19" s="111"/>
      <c r="N19" s="111"/>
      <c r="O19" s="111"/>
      <c r="P19" s="111"/>
      <c r="Q19" s="111"/>
      <c r="R19" s="111"/>
      <c r="S19" s="111"/>
      <c r="T19" s="111"/>
      <c r="U19" s="112"/>
    </row>
    <row r="20" spans="1:24" ht="18" customHeight="1" x14ac:dyDescent="0.15">
      <c r="A20" s="59"/>
      <c r="B20" s="113"/>
      <c r="C20" s="114"/>
      <c r="D20" s="114"/>
      <c r="E20" s="114"/>
      <c r="F20" s="114"/>
      <c r="G20" s="114"/>
      <c r="H20" s="114"/>
      <c r="I20" s="114"/>
      <c r="J20" s="114"/>
      <c r="K20" s="114"/>
      <c r="L20" s="114"/>
      <c r="M20" s="114"/>
      <c r="N20" s="114"/>
      <c r="O20" s="114"/>
      <c r="P20" s="114"/>
      <c r="Q20" s="114"/>
      <c r="R20" s="114"/>
      <c r="S20" s="114"/>
      <c r="T20" s="114"/>
      <c r="U20" s="115"/>
    </row>
    <row r="21" spans="1:24" ht="7.5" customHeight="1" x14ac:dyDescent="0.15">
      <c r="A21" s="59"/>
      <c r="B21" s="64"/>
      <c r="C21" s="64"/>
      <c r="D21" s="64"/>
      <c r="E21" s="64"/>
      <c r="F21" s="64"/>
      <c r="G21" s="64"/>
      <c r="H21" s="64"/>
      <c r="I21" s="64"/>
      <c r="J21" s="64"/>
      <c r="K21" s="64"/>
      <c r="L21" s="64"/>
      <c r="M21" s="64"/>
      <c r="N21" s="64"/>
      <c r="O21" s="64"/>
      <c r="P21" s="64"/>
      <c r="Q21" s="64"/>
      <c r="R21" s="64"/>
      <c r="S21" s="64"/>
      <c r="T21" s="64"/>
      <c r="U21" s="64"/>
    </row>
    <row r="22" spans="1:24" ht="20.100000000000001" customHeight="1" x14ac:dyDescent="0.15">
      <c r="A22" s="59"/>
      <c r="B22" s="59" t="s">
        <v>133</v>
      </c>
      <c r="C22" s="59"/>
      <c r="D22" s="59"/>
      <c r="E22" s="67">
        <v>10</v>
      </c>
      <c r="F22" s="59" t="s">
        <v>112</v>
      </c>
      <c r="G22" s="59"/>
      <c r="H22" s="68">
        <v>13</v>
      </c>
      <c r="I22" s="64" t="s">
        <v>113</v>
      </c>
      <c r="J22" s="64"/>
      <c r="K22" s="60"/>
      <c r="L22" s="59"/>
      <c r="M22" s="60" t="s">
        <v>109</v>
      </c>
      <c r="N22" s="116" t="s">
        <v>116</v>
      </c>
      <c r="O22" s="117"/>
      <c r="P22" s="117"/>
      <c r="Q22" s="117"/>
      <c r="R22" s="117"/>
      <c r="S22" s="117"/>
      <c r="T22" s="117"/>
      <c r="U22" s="118"/>
    </row>
    <row r="23" spans="1:24" ht="7.5" customHeight="1" x14ac:dyDescent="0.15">
      <c r="A23" s="59"/>
      <c r="B23" s="64"/>
      <c r="C23" s="64"/>
      <c r="D23" s="64"/>
      <c r="E23" s="64"/>
      <c r="F23" s="64"/>
      <c r="G23" s="64"/>
      <c r="H23" s="64"/>
      <c r="I23" s="64"/>
      <c r="J23" s="64"/>
      <c r="K23" s="64"/>
      <c r="L23" s="64"/>
      <c r="M23" s="64"/>
      <c r="N23" s="64"/>
      <c r="O23" s="64"/>
      <c r="P23" s="64"/>
      <c r="Q23" s="64"/>
      <c r="R23" s="64"/>
      <c r="S23" s="64"/>
      <c r="T23" s="64"/>
      <c r="U23" s="64"/>
    </row>
    <row r="24" spans="1:24" ht="18" customHeight="1" x14ac:dyDescent="0.15">
      <c r="A24" s="119" t="s">
        <v>101</v>
      </c>
      <c r="B24" s="119"/>
      <c r="C24" s="119"/>
      <c r="D24" s="119"/>
      <c r="E24" s="119"/>
      <c r="F24" s="119"/>
      <c r="G24" s="119"/>
      <c r="H24" s="119"/>
      <c r="I24" s="119"/>
      <c r="J24" s="119"/>
      <c r="K24" s="119"/>
      <c r="L24" s="119"/>
      <c r="M24" s="119"/>
      <c r="N24" s="119"/>
      <c r="O24" s="119"/>
      <c r="P24" s="119"/>
      <c r="Q24" s="119"/>
      <c r="R24" s="119"/>
      <c r="S24" s="119"/>
      <c r="T24" s="119"/>
      <c r="U24" s="119"/>
    </row>
    <row r="25" spans="1:24" ht="18" customHeight="1" x14ac:dyDescent="0.15">
      <c r="A25" s="119"/>
      <c r="B25" s="119"/>
      <c r="C25" s="119"/>
      <c r="D25" s="119"/>
      <c r="E25" s="119"/>
      <c r="F25" s="119"/>
      <c r="G25" s="119"/>
      <c r="H25" s="119"/>
      <c r="I25" s="119"/>
      <c r="J25" s="119"/>
      <c r="K25" s="119"/>
      <c r="L25" s="119"/>
      <c r="M25" s="119"/>
      <c r="N25" s="119"/>
      <c r="O25" s="119"/>
      <c r="P25" s="119"/>
      <c r="Q25" s="119"/>
      <c r="R25" s="119"/>
      <c r="S25" s="119"/>
      <c r="T25" s="119"/>
      <c r="U25" s="119"/>
    </row>
    <row r="26" spans="1:24" ht="18" customHeight="1" x14ac:dyDescent="0.15">
      <c r="B26" s="120" t="s">
        <v>51</v>
      </c>
      <c r="C26" s="121"/>
      <c r="D26" s="121"/>
      <c r="E26" s="121"/>
      <c r="F26" s="122"/>
      <c r="G26" s="35" t="s">
        <v>77</v>
      </c>
      <c r="H26" s="34" t="s">
        <v>80</v>
      </c>
      <c r="I26" s="16" t="s">
        <v>54</v>
      </c>
      <c r="J26" s="16" t="s">
        <v>57</v>
      </c>
      <c r="K26" s="120" t="s">
        <v>51</v>
      </c>
      <c r="L26" s="121"/>
      <c r="M26" s="121"/>
      <c r="N26" s="121"/>
      <c r="O26" s="121"/>
      <c r="P26" s="121"/>
      <c r="Q26" s="122"/>
      <c r="R26" s="35" t="s">
        <v>77</v>
      </c>
      <c r="S26" s="34" t="s">
        <v>80</v>
      </c>
      <c r="T26" s="16" t="s">
        <v>54</v>
      </c>
      <c r="U26" s="16" t="s">
        <v>57</v>
      </c>
    </row>
    <row r="27" spans="1:24" ht="18" customHeight="1" x14ac:dyDescent="0.15">
      <c r="B27" s="123" t="s">
        <v>173</v>
      </c>
      <c r="C27" s="124"/>
      <c r="D27" s="124"/>
      <c r="E27" s="124"/>
      <c r="F27" s="125"/>
      <c r="G27" s="72">
        <v>1</v>
      </c>
      <c r="H27" s="72" t="s">
        <v>141</v>
      </c>
      <c r="I27" s="18" t="s">
        <v>141</v>
      </c>
      <c r="J27" s="18" t="s">
        <v>141</v>
      </c>
      <c r="K27" s="123"/>
      <c r="L27" s="124"/>
      <c r="M27" s="124"/>
      <c r="N27" s="124"/>
      <c r="O27" s="124"/>
      <c r="P27" s="124"/>
      <c r="Q27" s="125"/>
      <c r="R27" s="17"/>
      <c r="S27" s="17"/>
      <c r="T27" s="17"/>
      <c r="U27" s="17"/>
    </row>
    <row r="28" spans="1:24" ht="18" customHeight="1" x14ac:dyDescent="0.15">
      <c r="B28" s="104" t="s">
        <v>174</v>
      </c>
      <c r="C28" s="105"/>
      <c r="D28" s="105"/>
      <c r="E28" s="105"/>
      <c r="F28" s="106"/>
      <c r="G28" s="73">
        <v>1</v>
      </c>
      <c r="H28" s="73"/>
      <c r="I28" s="18" t="s">
        <v>141</v>
      </c>
      <c r="J28" s="18" t="s">
        <v>141</v>
      </c>
      <c r="K28" s="104"/>
      <c r="L28" s="105"/>
      <c r="M28" s="105"/>
      <c r="N28" s="105"/>
      <c r="O28" s="105"/>
      <c r="P28" s="105"/>
      <c r="Q28" s="106"/>
      <c r="R28" s="18"/>
      <c r="S28" s="18"/>
      <c r="T28" s="18"/>
      <c r="U28" s="18"/>
    </row>
    <row r="29" spans="1:24" ht="18" customHeight="1" x14ac:dyDescent="0.15">
      <c r="B29" s="104" t="s">
        <v>175</v>
      </c>
      <c r="C29" s="105"/>
      <c r="D29" s="105"/>
      <c r="E29" s="105"/>
      <c r="F29" s="106"/>
      <c r="G29" s="73">
        <v>1</v>
      </c>
      <c r="H29" s="73"/>
      <c r="I29" s="18" t="s">
        <v>141</v>
      </c>
      <c r="J29" s="18" t="s">
        <v>141</v>
      </c>
      <c r="K29" s="104"/>
      <c r="L29" s="105"/>
      <c r="M29" s="105"/>
      <c r="N29" s="105"/>
      <c r="O29" s="105"/>
      <c r="P29" s="105"/>
      <c r="Q29" s="106"/>
      <c r="R29" s="18"/>
      <c r="S29" s="18"/>
      <c r="T29" s="18"/>
      <c r="U29" s="18"/>
    </row>
    <row r="30" spans="1:24" ht="18" customHeight="1" x14ac:dyDescent="0.15">
      <c r="B30" s="104" t="s">
        <v>176</v>
      </c>
      <c r="C30" s="105"/>
      <c r="D30" s="105"/>
      <c r="E30" s="105"/>
      <c r="F30" s="106"/>
      <c r="G30" s="73">
        <v>1</v>
      </c>
      <c r="H30" s="73"/>
      <c r="I30" s="18" t="s">
        <v>141</v>
      </c>
      <c r="J30" s="18" t="s">
        <v>141</v>
      </c>
      <c r="K30" s="104"/>
      <c r="L30" s="105"/>
      <c r="M30" s="105"/>
      <c r="N30" s="105"/>
      <c r="O30" s="105"/>
      <c r="P30" s="105"/>
      <c r="Q30" s="106"/>
      <c r="R30" s="18"/>
      <c r="S30" s="18"/>
      <c r="T30" s="18"/>
      <c r="U30" s="18"/>
    </row>
    <row r="31" spans="1:24" ht="18" customHeight="1" x14ac:dyDescent="0.15">
      <c r="B31" s="104"/>
      <c r="C31" s="105"/>
      <c r="D31" s="105"/>
      <c r="E31" s="105"/>
      <c r="F31" s="106"/>
      <c r="G31" s="18"/>
      <c r="H31" s="18"/>
      <c r="I31" s="18"/>
      <c r="J31" s="18"/>
      <c r="K31" s="104"/>
      <c r="L31" s="105"/>
      <c r="M31" s="105"/>
      <c r="N31" s="105"/>
      <c r="O31" s="105"/>
      <c r="P31" s="105"/>
      <c r="Q31" s="106"/>
      <c r="R31" s="18"/>
      <c r="S31" s="18"/>
      <c r="T31" s="18"/>
      <c r="U31" s="18"/>
    </row>
    <row r="32" spans="1:24" ht="18" customHeight="1" x14ac:dyDescent="0.15">
      <c r="A32" s="3"/>
      <c r="B32" s="104"/>
      <c r="C32" s="105"/>
      <c r="D32" s="105"/>
      <c r="E32" s="105"/>
      <c r="F32" s="106"/>
      <c r="G32" s="18"/>
      <c r="H32" s="18"/>
      <c r="I32" s="18"/>
      <c r="J32" s="18"/>
      <c r="K32" s="104"/>
      <c r="L32" s="105"/>
      <c r="M32" s="105"/>
      <c r="N32" s="105"/>
      <c r="O32" s="105"/>
      <c r="P32" s="105"/>
      <c r="Q32" s="106"/>
      <c r="R32" s="18"/>
      <c r="S32" s="18"/>
      <c r="T32" s="18"/>
      <c r="U32" s="18"/>
    </row>
    <row r="33" spans="1:21" ht="18" customHeight="1" x14ac:dyDescent="0.15">
      <c r="A33" s="3"/>
      <c r="B33" s="127"/>
      <c r="C33" s="128"/>
      <c r="D33" s="128"/>
      <c r="E33" s="128"/>
      <c r="F33" s="129"/>
      <c r="G33" s="19"/>
      <c r="H33" s="19"/>
      <c r="I33" s="20"/>
      <c r="J33" s="20"/>
      <c r="K33" s="127"/>
      <c r="L33" s="128"/>
      <c r="M33" s="128"/>
      <c r="N33" s="128"/>
      <c r="O33" s="128"/>
      <c r="P33" s="128"/>
      <c r="Q33" s="129"/>
      <c r="R33" s="19"/>
      <c r="S33" s="19"/>
      <c r="T33" s="20"/>
      <c r="U33" s="20"/>
    </row>
    <row r="34" spans="1:21" ht="7.5" customHeight="1" x14ac:dyDescent="0.15">
      <c r="A34" s="3"/>
      <c r="B34" s="5"/>
      <c r="C34" s="5"/>
      <c r="D34" s="5"/>
      <c r="E34" s="3"/>
      <c r="F34" s="3"/>
      <c r="G34" s="3"/>
      <c r="H34" s="3"/>
      <c r="I34" s="5"/>
      <c r="J34" s="5"/>
      <c r="K34" s="5"/>
      <c r="L34" s="5"/>
      <c r="M34" s="5"/>
      <c r="N34" s="5"/>
      <c r="O34" s="5"/>
      <c r="P34" s="5"/>
      <c r="Q34" s="5"/>
      <c r="R34" s="5"/>
      <c r="S34" s="5"/>
      <c r="T34" s="5"/>
      <c r="U34" s="3"/>
    </row>
    <row r="35" spans="1:21" ht="18" customHeight="1" x14ac:dyDescent="0.15">
      <c r="A35" s="126" t="s">
        <v>102</v>
      </c>
      <c r="B35" s="126"/>
      <c r="C35" s="126"/>
      <c r="D35" s="126"/>
      <c r="E35" s="126"/>
      <c r="F35" s="126"/>
      <c r="G35" s="126"/>
      <c r="H35" s="126"/>
      <c r="I35" s="126"/>
      <c r="J35" s="126"/>
      <c r="K35" s="126"/>
      <c r="L35" s="126"/>
      <c r="M35" s="126"/>
      <c r="N35" s="126"/>
      <c r="O35" s="126"/>
      <c r="P35" s="126"/>
      <c r="Q35" s="126"/>
      <c r="R35" s="126"/>
      <c r="S35" s="126"/>
      <c r="T35" s="126"/>
      <c r="U35" s="126"/>
    </row>
    <row r="36" spans="1:21" ht="18" customHeight="1" x14ac:dyDescent="0.15">
      <c r="A36" s="126"/>
      <c r="B36" s="126"/>
      <c r="C36" s="126"/>
      <c r="D36" s="126"/>
      <c r="E36" s="126"/>
      <c r="F36" s="126"/>
      <c r="G36" s="126"/>
      <c r="H36" s="126"/>
      <c r="I36" s="126"/>
      <c r="J36" s="126"/>
      <c r="K36" s="126"/>
      <c r="L36" s="126"/>
      <c r="M36" s="126"/>
      <c r="N36" s="126"/>
      <c r="O36" s="126"/>
      <c r="P36" s="126"/>
      <c r="Q36" s="126"/>
      <c r="R36" s="126"/>
      <c r="S36" s="126"/>
      <c r="T36" s="126"/>
      <c r="U36" s="126"/>
    </row>
    <row r="37" spans="1:21" ht="18" customHeight="1" x14ac:dyDescent="0.15">
      <c r="B37" s="120" t="s">
        <v>51</v>
      </c>
      <c r="C37" s="121"/>
      <c r="D37" s="121"/>
      <c r="E37" s="121"/>
      <c r="F37" s="122"/>
      <c r="G37" s="35" t="s">
        <v>77</v>
      </c>
      <c r="H37" s="34" t="s">
        <v>80</v>
      </c>
      <c r="I37" s="16" t="s">
        <v>68</v>
      </c>
      <c r="J37" s="16" t="s">
        <v>69</v>
      </c>
      <c r="K37" s="120" t="s">
        <v>51</v>
      </c>
      <c r="L37" s="121"/>
      <c r="M37" s="121"/>
      <c r="N37" s="121"/>
      <c r="O37" s="121"/>
      <c r="P37" s="121"/>
      <c r="Q37" s="122"/>
      <c r="R37" s="35" t="s">
        <v>77</v>
      </c>
      <c r="S37" s="34" t="s">
        <v>80</v>
      </c>
      <c r="T37" s="16" t="s">
        <v>68</v>
      </c>
      <c r="U37" s="16" t="s">
        <v>69</v>
      </c>
    </row>
    <row r="38" spans="1:21" ht="18" customHeight="1" x14ac:dyDescent="0.15">
      <c r="B38" s="123" t="s">
        <v>173</v>
      </c>
      <c r="C38" s="124"/>
      <c r="D38" s="124"/>
      <c r="E38" s="124"/>
      <c r="F38" s="125"/>
      <c r="G38" s="72">
        <v>1</v>
      </c>
      <c r="H38" s="72" t="s">
        <v>141</v>
      </c>
      <c r="I38" s="72" t="s">
        <v>141</v>
      </c>
      <c r="J38" s="72" t="s">
        <v>141</v>
      </c>
      <c r="K38" s="123"/>
      <c r="L38" s="124"/>
      <c r="M38" s="124"/>
      <c r="N38" s="124"/>
      <c r="O38" s="124"/>
      <c r="P38" s="124"/>
      <c r="Q38" s="125"/>
      <c r="R38" s="17"/>
      <c r="S38" s="17"/>
      <c r="T38" s="17"/>
      <c r="U38" s="17"/>
    </row>
    <row r="39" spans="1:21" ht="18" customHeight="1" x14ac:dyDescent="0.15">
      <c r="B39" s="104" t="s">
        <v>174</v>
      </c>
      <c r="C39" s="105"/>
      <c r="D39" s="105"/>
      <c r="E39" s="105"/>
      <c r="F39" s="106"/>
      <c r="G39" s="73">
        <v>1</v>
      </c>
      <c r="H39" s="73"/>
      <c r="I39" s="73" t="s">
        <v>141</v>
      </c>
      <c r="J39" s="73"/>
      <c r="K39" s="104"/>
      <c r="L39" s="105"/>
      <c r="M39" s="105"/>
      <c r="N39" s="105"/>
      <c r="O39" s="105"/>
      <c r="P39" s="105"/>
      <c r="Q39" s="106"/>
      <c r="R39" s="18"/>
      <c r="S39" s="18"/>
      <c r="T39" s="18"/>
      <c r="U39" s="18"/>
    </row>
    <row r="40" spans="1:21" ht="18" customHeight="1" x14ac:dyDescent="0.15">
      <c r="B40" s="104" t="s">
        <v>175</v>
      </c>
      <c r="C40" s="105"/>
      <c r="D40" s="105"/>
      <c r="E40" s="105"/>
      <c r="F40" s="106"/>
      <c r="G40" s="73">
        <v>1</v>
      </c>
      <c r="H40" s="73"/>
      <c r="I40" s="73"/>
      <c r="J40" s="73" t="s">
        <v>141</v>
      </c>
      <c r="K40" s="104"/>
      <c r="L40" s="105"/>
      <c r="M40" s="105"/>
      <c r="N40" s="105"/>
      <c r="O40" s="105"/>
      <c r="P40" s="105"/>
      <c r="Q40" s="106"/>
      <c r="R40" s="18"/>
      <c r="S40" s="18"/>
      <c r="T40" s="18"/>
      <c r="U40" s="18"/>
    </row>
    <row r="41" spans="1:21" ht="18" customHeight="1" x14ac:dyDescent="0.15">
      <c r="B41" s="104" t="s">
        <v>177</v>
      </c>
      <c r="C41" s="105"/>
      <c r="D41" s="105"/>
      <c r="E41" s="105"/>
      <c r="F41" s="106"/>
      <c r="G41" s="73">
        <v>1</v>
      </c>
      <c r="H41" s="73"/>
      <c r="I41" s="73" t="s">
        <v>141</v>
      </c>
      <c r="J41" s="73"/>
      <c r="K41" s="104"/>
      <c r="L41" s="105"/>
      <c r="M41" s="105"/>
      <c r="N41" s="105"/>
      <c r="O41" s="105"/>
      <c r="P41" s="105"/>
      <c r="Q41" s="106"/>
      <c r="R41" s="18"/>
      <c r="S41" s="18"/>
      <c r="T41" s="18"/>
      <c r="U41" s="18"/>
    </row>
    <row r="42" spans="1:21" ht="18" customHeight="1" x14ac:dyDescent="0.15">
      <c r="B42" s="104"/>
      <c r="C42" s="105"/>
      <c r="D42" s="105"/>
      <c r="E42" s="105"/>
      <c r="F42" s="106"/>
      <c r="G42" s="18"/>
      <c r="H42" s="18"/>
      <c r="I42" s="18"/>
      <c r="J42" s="18"/>
      <c r="K42" s="104"/>
      <c r="L42" s="105"/>
      <c r="M42" s="105"/>
      <c r="N42" s="105"/>
      <c r="O42" s="105"/>
      <c r="P42" s="105"/>
      <c r="Q42" s="106"/>
      <c r="R42" s="18"/>
      <c r="S42" s="18"/>
      <c r="T42" s="18"/>
      <c r="U42" s="18"/>
    </row>
    <row r="43" spans="1:21" ht="18" customHeight="1" x14ac:dyDescent="0.15">
      <c r="B43" s="104"/>
      <c r="C43" s="105"/>
      <c r="D43" s="105"/>
      <c r="E43" s="105"/>
      <c r="F43" s="106"/>
      <c r="G43" s="18"/>
      <c r="H43" s="18"/>
      <c r="I43" s="18"/>
      <c r="J43" s="18"/>
      <c r="K43" s="104"/>
      <c r="L43" s="105"/>
      <c r="M43" s="105"/>
      <c r="N43" s="105"/>
      <c r="O43" s="105"/>
      <c r="P43" s="105"/>
      <c r="Q43" s="106"/>
      <c r="R43" s="18"/>
      <c r="S43" s="18"/>
      <c r="T43" s="18"/>
      <c r="U43" s="18"/>
    </row>
    <row r="44" spans="1:21" ht="18" customHeight="1" x14ac:dyDescent="0.15">
      <c r="B44" s="127"/>
      <c r="C44" s="128"/>
      <c r="D44" s="128"/>
      <c r="E44" s="128"/>
      <c r="F44" s="129"/>
      <c r="G44" s="19"/>
      <c r="H44" s="19"/>
      <c r="I44" s="20"/>
      <c r="J44" s="20"/>
      <c r="K44" s="127"/>
      <c r="L44" s="128"/>
      <c r="M44" s="128"/>
      <c r="N44" s="128"/>
      <c r="O44" s="128"/>
      <c r="P44" s="128"/>
      <c r="Q44" s="129"/>
      <c r="R44" s="19"/>
      <c r="S44" s="19"/>
      <c r="T44" s="20"/>
      <c r="U44" s="20"/>
    </row>
    <row r="45" spans="1:21" ht="7.5" customHeight="1" x14ac:dyDescent="0.15">
      <c r="A45" s="3"/>
      <c r="B45" s="5"/>
      <c r="C45" s="5"/>
      <c r="D45" s="5"/>
      <c r="E45" s="3"/>
      <c r="F45" s="3"/>
      <c r="G45" s="3"/>
      <c r="H45" s="3"/>
      <c r="I45" s="5"/>
      <c r="J45" s="5"/>
      <c r="K45" s="5"/>
      <c r="L45" s="5"/>
      <c r="M45" s="5"/>
      <c r="N45" s="5"/>
      <c r="O45" s="5"/>
      <c r="P45" s="5"/>
      <c r="Q45" s="5"/>
      <c r="R45" s="5"/>
      <c r="S45" s="5"/>
      <c r="T45" s="5"/>
      <c r="U45" s="3"/>
    </row>
    <row r="46" spans="1:21" ht="18" customHeight="1" x14ac:dyDescent="0.15">
      <c r="A46" s="126" t="s">
        <v>103</v>
      </c>
      <c r="B46" s="126"/>
      <c r="C46" s="126"/>
      <c r="D46" s="126"/>
      <c r="E46" s="126"/>
      <c r="F46" s="126"/>
      <c r="G46" s="126"/>
      <c r="H46" s="126"/>
      <c r="I46" s="126"/>
      <c r="J46" s="126"/>
      <c r="K46" s="126"/>
      <c r="L46" s="126"/>
      <c r="M46" s="126"/>
      <c r="N46" s="126"/>
      <c r="O46" s="126"/>
      <c r="P46" s="126"/>
      <c r="Q46" s="126"/>
      <c r="R46" s="126"/>
      <c r="S46" s="126"/>
      <c r="T46" s="126"/>
      <c r="U46" s="126"/>
    </row>
    <row r="47" spans="1:21" ht="18" customHeight="1" x14ac:dyDescent="0.15">
      <c r="A47" s="126"/>
      <c r="B47" s="126"/>
      <c r="C47" s="126"/>
      <c r="D47" s="126"/>
      <c r="E47" s="126"/>
      <c r="F47" s="126"/>
      <c r="G47" s="126"/>
      <c r="H47" s="126"/>
      <c r="I47" s="126"/>
      <c r="J47" s="126"/>
      <c r="K47" s="126"/>
      <c r="L47" s="126"/>
      <c r="M47" s="126"/>
      <c r="N47" s="126"/>
      <c r="O47" s="126"/>
      <c r="P47" s="126"/>
      <c r="Q47" s="126"/>
      <c r="R47" s="126"/>
      <c r="S47" s="126"/>
      <c r="T47" s="126"/>
      <c r="U47" s="126"/>
    </row>
    <row r="48" spans="1:21" ht="18" customHeight="1" x14ac:dyDescent="0.15">
      <c r="B48" s="120" t="s">
        <v>51</v>
      </c>
      <c r="C48" s="121"/>
      <c r="D48" s="121"/>
      <c r="E48" s="121"/>
      <c r="F48" s="122"/>
      <c r="G48" s="35" t="s">
        <v>77</v>
      </c>
      <c r="H48" s="34" t="s">
        <v>80</v>
      </c>
      <c r="I48" s="16" t="s">
        <v>70</v>
      </c>
      <c r="J48" s="16" t="s">
        <v>71</v>
      </c>
      <c r="K48" s="120" t="s">
        <v>51</v>
      </c>
      <c r="L48" s="121"/>
      <c r="M48" s="121"/>
      <c r="N48" s="121"/>
      <c r="O48" s="121"/>
      <c r="P48" s="121"/>
      <c r="Q48" s="122"/>
      <c r="R48" s="35" t="s">
        <v>77</v>
      </c>
      <c r="S48" s="34" t="s">
        <v>80</v>
      </c>
      <c r="T48" s="16" t="s">
        <v>70</v>
      </c>
      <c r="U48" s="16" t="s">
        <v>71</v>
      </c>
    </row>
    <row r="49" spans="1:21" ht="18" customHeight="1" x14ac:dyDescent="0.15">
      <c r="A49" s="3"/>
      <c r="B49" s="123" t="s">
        <v>173</v>
      </c>
      <c r="C49" s="124"/>
      <c r="D49" s="124"/>
      <c r="E49" s="124"/>
      <c r="F49" s="125"/>
      <c r="G49" s="72">
        <v>1</v>
      </c>
      <c r="H49" s="72" t="s">
        <v>141</v>
      </c>
      <c r="I49" s="72" t="s">
        <v>141</v>
      </c>
      <c r="J49" s="72" t="s">
        <v>141</v>
      </c>
      <c r="K49" s="123"/>
      <c r="L49" s="124"/>
      <c r="M49" s="124"/>
      <c r="N49" s="124"/>
      <c r="O49" s="124"/>
      <c r="P49" s="124"/>
      <c r="Q49" s="125"/>
      <c r="R49" s="17"/>
      <c r="S49" s="17"/>
      <c r="T49" s="17"/>
      <c r="U49" s="17"/>
    </row>
    <row r="50" spans="1:21" ht="18" customHeight="1" x14ac:dyDescent="0.15">
      <c r="A50" s="3"/>
      <c r="B50" s="104" t="s">
        <v>174</v>
      </c>
      <c r="C50" s="105"/>
      <c r="D50" s="105"/>
      <c r="E50" s="105"/>
      <c r="F50" s="106"/>
      <c r="G50" s="73">
        <v>1</v>
      </c>
      <c r="H50" s="73"/>
      <c r="I50" s="73" t="s">
        <v>141</v>
      </c>
      <c r="J50" s="73" t="s">
        <v>141</v>
      </c>
      <c r="K50" s="104"/>
      <c r="L50" s="105"/>
      <c r="M50" s="105"/>
      <c r="N50" s="105"/>
      <c r="O50" s="105"/>
      <c r="P50" s="105"/>
      <c r="Q50" s="106"/>
      <c r="R50" s="18"/>
      <c r="S50" s="18"/>
      <c r="T50" s="18"/>
      <c r="U50" s="18"/>
    </row>
    <row r="51" spans="1:21" ht="18" customHeight="1" x14ac:dyDescent="0.15">
      <c r="A51" s="3"/>
      <c r="B51" s="104" t="s">
        <v>175</v>
      </c>
      <c r="C51" s="105"/>
      <c r="D51" s="105"/>
      <c r="E51" s="105"/>
      <c r="F51" s="106"/>
      <c r="G51" s="73">
        <v>1</v>
      </c>
      <c r="H51" s="73"/>
      <c r="I51" s="73" t="s">
        <v>141</v>
      </c>
      <c r="J51" s="73"/>
      <c r="K51" s="104"/>
      <c r="L51" s="105"/>
      <c r="M51" s="105"/>
      <c r="N51" s="105"/>
      <c r="O51" s="105"/>
      <c r="P51" s="105"/>
      <c r="Q51" s="106"/>
      <c r="R51" s="18"/>
      <c r="S51" s="18"/>
      <c r="T51" s="18"/>
      <c r="U51" s="18"/>
    </row>
    <row r="52" spans="1:21" ht="18" customHeight="1" x14ac:dyDescent="0.15">
      <c r="A52" s="3"/>
      <c r="B52" s="104" t="s">
        <v>176</v>
      </c>
      <c r="C52" s="105"/>
      <c r="D52" s="105"/>
      <c r="E52" s="105"/>
      <c r="F52" s="106"/>
      <c r="G52" s="73">
        <v>1</v>
      </c>
      <c r="H52" s="73"/>
      <c r="I52" s="73" t="s">
        <v>141</v>
      </c>
      <c r="J52" s="73"/>
      <c r="K52" s="104"/>
      <c r="L52" s="105"/>
      <c r="M52" s="105"/>
      <c r="N52" s="105"/>
      <c r="O52" s="105"/>
      <c r="P52" s="105"/>
      <c r="Q52" s="106"/>
      <c r="R52" s="18"/>
      <c r="S52" s="18"/>
      <c r="T52" s="18"/>
      <c r="U52" s="18"/>
    </row>
    <row r="53" spans="1:21" ht="18" customHeight="1" x14ac:dyDescent="0.15">
      <c r="A53" s="3"/>
      <c r="B53" s="104"/>
      <c r="C53" s="105"/>
      <c r="D53" s="105"/>
      <c r="E53" s="105"/>
      <c r="F53" s="106"/>
      <c r="G53" s="18"/>
      <c r="H53" s="18"/>
      <c r="I53" s="18"/>
      <c r="J53" s="18"/>
      <c r="K53" s="104"/>
      <c r="L53" s="105"/>
      <c r="M53" s="105"/>
      <c r="N53" s="105"/>
      <c r="O53" s="105"/>
      <c r="P53" s="105"/>
      <c r="Q53" s="106"/>
      <c r="R53" s="18"/>
      <c r="S53" s="18"/>
      <c r="T53" s="18"/>
      <c r="U53" s="18"/>
    </row>
    <row r="54" spans="1:21" ht="18" customHeight="1" x14ac:dyDescent="0.15">
      <c r="A54" s="3"/>
      <c r="B54" s="104"/>
      <c r="C54" s="105"/>
      <c r="D54" s="105"/>
      <c r="E54" s="105"/>
      <c r="F54" s="106"/>
      <c r="G54" s="18"/>
      <c r="H54" s="18"/>
      <c r="I54" s="18"/>
      <c r="J54" s="18"/>
      <c r="K54" s="104"/>
      <c r="L54" s="105"/>
      <c r="M54" s="105"/>
      <c r="N54" s="105"/>
      <c r="O54" s="105"/>
      <c r="P54" s="105"/>
      <c r="Q54" s="106"/>
      <c r="R54" s="18"/>
      <c r="S54" s="18"/>
      <c r="T54" s="18"/>
      <c r="U54" s="18"/>
    </row>
    <row r="55" spans="1:21" ht="18" customHeight="1" x14ac:dyDescent="0.15">
      <c r="A55" s="3"/>
      <c r="B55" s="127"/>
      <c r="C55" s="128"/>
      <c r="D55" s="128"/>
      <c r="E55" s="128"/>
      <c r="F55" s="129"/>
      <c r="G55" s="19"/>
      <c r="H55" s="19"/>
      <c r="I55" s="20"/>
      <c r="J55" s="20"/>
      <c r="K55" s="127"/>
      <c r="L55" s="128"/>
      <c r="M55" s="128"/>
      <c r="N55" s="128"/>
      <c r="O55" s="128"/>
      <c r="P55" s="128"/>
      <c r="Q55" s="129"/>
      <c r="R55" s="19"/>
      <c r="S55" s="19"/>
      <c r="T55" s="20"/>
      <c r="U55" s="20"/>
    </row>
    <row r="56" spans="1:21" ht="7.5" customHeight="1" x14ac:dyDescent="0.15">
      <c r="B56" s="13"/>
      <c r="C56" s="13"/>
      <c r="D56" s="13"/>
      <c r="E56" s="13"/>
      <c r="F56" s="13"/>
      <c r="G56" s="13"/>
      <c r="H56" s="13"/>
      <c r="I56" s="13"/>
      <c r="J56" s="13"/>
      <c r="K56" s="13"/>
      <c r="L56" s="13"/>
      <c r="M56" s="13"/>
      <c r="N56" s="13"/>
      <c r="O56" s="13"/>
      <c r="P56" s="13"/>
      <c r="Q56" s="13"/>
      <c r="R56" s="13"/>
      <c r="S56" s="13"/>
      <c r="T56" s="13"/>
    </row>
    <row r="57" spans="1:21" ht="18" customHeight="1" x14ac:dyDescent="0.15">
      <c r="A57" s="126" t="s">
        <v>104</v>
      </c>
      <c r="B57" s="126"/>
      <c r="C57" s="126"/>
      <c r="D57" s="126"/>
      <c r="E57" s="126"/>
      <c r="F57" s="126"/>
      <c r="G57" s="126"/>
      <c r="H57" s="126"/>
      <c r="I57" s="126"/>
      <c r="J57" s="126"/>
      <c r="K57" s="126"/>
      <c r="L57" s="126"/>
      <c r="M57" s="126"/>
      <c r="N57" s="126"/>
      <c r="O57" s="126"/>
      <c r="P57" s="126"/>
      <c r="Q57" s="126"/>
      <c r="R57" s="126"/>
      <c r="S57" s="126"/>
      <c r="T57" s="126"/>
      <c r="U57" s="126"/>
    </row>
    <row r="58" spans="1:21" ht="18" customHeight="1" x14ac:dyDescent="0.15">
      <c r="A58" s="126"/>
      <c r="B58" s="126"/>
      <c r="C58" s="126"/>
      <c r="D58" s="126"/>
      <c r="E58" s="126"/>
      <c r="F58" s="126"/>
      <c r="G58" s="126"/>
      <c r="H58" s="126"/>
      <c r="I58" s="126"/>
      <c r="J58" s="126"/>
      <c r="K58" s="126"/>
      <c r="L58" s="126"/>
      <c r="M58" s="126"/>
      <c r="N58" s="126"/>
      <c r="O58" s="126"/>
      <c r="P58" s="126"/>
      <c r="Q58" s="126"/>
      <c r="R58" s="126"/>
      <c r="S58" s="126"/>
      <c r="T58" s="126"/>
      <c r="U58" s="126"/>
    </row>
    <row r="59" spans="1:21" ht="18" customHeight="1" x14ac:dyDescent="0.15">
      <c r="B59" s="120" t="s">
        <v>51</v>
      </c>
      <c r="C59" s="121"/>
      <c r="D59" s="121"/>
      <c r="E59" s="121"/>
      <c r="F59" s="122"/>
      <c r="G59" s="35" t="s">
        <v>77</v>
      </c>
      <c r="H59" s="34" t="s">
        <v>80</v>
      </c>
      <c r="I59" s="16" t="s">
        <v>56</v>
      </c>
      <c r="J59" s="16" t="s">
        <v>58</v>
      </c>
      <c r="K59" s="120" t="s">
        <v>51</v>
      </c>
      <c r="L59" s="121"/>
      <c r="M59" s="121"/>
      <c r="N59" s="121"/>
      <c r="O59" s="121"/>
      <c r="P59" s="121"/>
      <c r="Q59" s="122"/>
      <c r="R59" s="35" t="s">
        <v>77</v>
      </c>
      <c r="S59" s="34" t="s">
        <v>80</v>
      </c>
      <c r="T59" s="16" t="s">
        <v>56</v>
      </c>
      <c r="U59" s="16" t="s">
        <v>58</v>
      </c>
    </row>
    <row r="60" spans="1:21" ht="18" customHeight="1" x14ac:dyDescent="0.15">
      <c r="A60" s="3"/>
      <c r="B60" s="123" t="s">
        <v>173</v>
      </c>
      <c r="C60" s="124"/>
      <c r="D60" s="124"/>
      <c r="E60" s="124"/>
      <c r="F60" s="125"/>
      <c r="G60" s="17">
        <v>1</v>
      </c>
      <c r="H60" s="17" t="s">
        <v>141</v>
      </c>
      <c r="I60" s="17" t="s">
        <v>141</v>
      </c>
      <c r="J60" s="17" t="s">
        <v>141</v>
      </c>
      <c r="K60" s="123"/>
      <c r="L60" s="124"/>
      <c r="M60" s="124"/>
      <c r="N60" s="124"/>
      <c r="O60" s="124"/>
      <c r="P60" s="124"/>
      <c r="Q60" s="125"/>
      <c r="R60" s="17"/>
      <c r="S60" s="17"/>
      <c r="T60" s="17"/>
      <c r="U60" s="17"/>
    </row>
    <row r="61" spans="1:21" ht="18" customHeight="1" x14ac:dyDescent="0.15">
      <c r="A61" s="3"/>
      <c r="B61" s="104"/>
      <c r="C61" s="105"/>
      <c r="D61" s="105"/>
      <c r="E61" s="105"/>
      <c r="F61" s="106"/>
      <c r="G61" s="18"/>
      <c r="H61" s="18"/>
      <c r="I61" s="18"/>
      <c r="J61" s="18"/>
      <c r="K61" s="104"/>
      <c r="L61" s="105"/>
      <c r="M61" s="105"/>
      <c r="N61" s="105"/>
      <c r="O61" s="105"/>
      <c r="P61" s="105"/>
      <c r="Q61" s="106"/>
      <c r="R61" s="18"/>
      <c r="S61" s="18"/>
      <c r="T61" s="18"/>
      <c r="U61" s="18"/>
    </row>
    <row r="62" spans="1:21" ht="18" customHeight="1" x14ac:dyDescent="0.15">
      <c r="A62" s="3"/>
      <c r="B62" s="104"/>
      <c r="C62" s="105"/>
      <c r="D62" s="105"/>
      <c r="E62" s="105"/>
      <c r="F62" s="106"/>
      <c r="G62" s="18"/>
      <c r="H62" s="18"/>
      <c r="I62" s="18"/>
      <c r="J62" s="18"/>
      <c r="K62" s="104"/>
      <c r="L62" s="105"/>
      <c r="M62" s="105"/>
      <c r="N62" s="105"/>
      <c r="O62" s="105"/>
      <c r="P62" s="105"/>
      <c r="Q62" s="106"/>
      <c r="R62" s="18"/>
      <c r="S62" s="18"/>
      <c r="T62" s="18"/>
      <c r="U62" s="18"/>
    </row>
    <row r="63" spans="1:21" ht="18" customHeight="1" x14ac:dyDescent="0.15">
      <c r="A63" s="3"/>
      <c r="B63" s="104"/>
      <c r="C63" s="105"/>
      <c r="D63" s="105"/>
      <c r="E63" s="105"/>
      <c r="F63" s="106"/>
      <c r="G63" s="18"/>
      <c r="H63" s="18"/>
      <c r="I63" s="18"/>
      <c r="J63" s="18"/>
      <c r="K63" s="104"/>
      <c r="L63" s="105"/>
      <c r="M63" s="105"/>
      <c r="N63" s="105"/>
      <c r="O63" s="105"/>
      <c r="P63" s="105"/>
      <c r="Q63" s="106"/>
      <c r="R63" s="18"/>
      <c r="S63" s="18"/>
      <c r="T63" s="18"/>
      <c r="U63" s="18"/>
    </row>
    <row r="64" spans="1:21" ht="18" customHeight="1" x14ac:dyDescent="0.15">
      <c r="A64" s="3"/>
      <c r="B64" s="104"/>
      <c r="C64" s="105"/>
      <c r="D64" s="105"/>
      <c r="E64" s="105"/>
      <c r="F64" s="106"/>
      <c r="G64" s="18"/>
      <c r="H64" s="18"/>
      <c r="I64" s="18"/>
      <c r="J64" s="18"/>
      <c r="K64" s="104"/>
      <c r="L64" s="105"/>
      <c r="M64" s="105"/>
      <c r="N64" s="105"/>
      <c r="O64" s="105"/>
      <c r="P64" s="105"/>
      <c r="Q64" s="106"/>
      <c r="R64" s="18"/>
      <c r="S64" s="18"/>
      <c r="T64" s="18"/>
      <c r="U64" s="18"/>
    </row>
    <row r="65" spans="1:21" ht="18" customHeight="1" x14ac:dyDescent="0.15">
      <c r="A65" s="3"/>
      <c r="B65" s="104"/>
      <c r="C65" s="105"/>
      <c r="D65" s="105"/>
      <c r="E65" s="105"/>
      <c r="F65" s="106"/>
      <c r="G65" s="18"/>
      <c r="H65" s="18"/>
      <c r="I65" s="18"/>
      <c r="J65" s="18"/>
      <c r="K65" s="104"/>
      <c r="L65" s="105"/>
      <c r="M65" s="105"/>
      <c r="N65" s="105"/>
      <c r="O65" s="105"/>
      <c r="P65" s="105"/>
      <c r="Q65" s="106"/>
      <c r="R65" s="18"/>
      <c r="S65" s="18"/>
      <c r="T65" s="18"/>
      <c r="U65" s="18"/>
    </row>
    <row r="66" spans="1:21" ht="18" customHeight="1" x14ac:dyDescent="0.15">
      <c r="A66" s="3"/>
      <c r="B66" s="127"/>
      <c r="C66" s="128"/>
      <c r="D66" s="128"/>
      <c r="E66" s="128"/>
      <c r="F66" s="129"/>
      <c r="G66" s="19"/>
      <c r="H66" s="19"/>
      <c r="I66" s="20"/>
      <c r="J66" s="20"/>
      <c r="K66" s="127"/>
      <c r="L66" s="128"/>
      <c r="M66" s="128"/>
      <c r="N66" s="128"/>
      <c r="O66" s="128"/>
      <c r="P66" s="128"/>
      <c r="Q66" s="129"/>
      <c r="R66" s="19"/>
      <c r="S66" s="19"/>
      <c r="T66" s="20"/>
      <c r="U66" s="20"/>
    </row>
    <row r="67" spans="1:21" ht="7.5" customHeight="1" x14ac:dyDescent="0.15">
      <c r="B67" s="13"/>
      <c r="C67" s="13"/>
      <c r="D67" s="13"/>
      <c r="E67" s="13"/>
      <c r="F67" s="13"/>
      <c r="G67" s="13"/>
      <c r="H67" s="13"/>
      <c r="I67" s="13"/>
      <c r="J67" s="13"/>
      <c r="K67" s="13"/>
      <c r="L67" s="13"/>
      <c r="M67" s="13"/>
      <c r="N67" s="13"/>
      <c r="O67" s="13"/>
      <c r="P67" s="13"/>
      <c r="Q67" s="13"/>
      <c r="R67" s="13"/>
      <c r="S67" s="13"/>
      <c r="T67" s="13"/>
    </row>
    <row r="68" spans="1:21" ht="18" customHeight="1" x14ac:dyDescent="0.15">
      <c r="A68" s="126" t="s">
        <v>105</v>
      </c>
      <c r="B68" s="126"/>
      <c r="C68" s="126"/>
      <c r="D68" s="126"/>
      <c r="E68" s="126"/>
      <c r="F68" s="126"/>
      <c r="G68" s="126"/>
      <c r="H68" s="126"/>
      <c r="I68" s="126"/>
      <c r="J68" s="126"/>
      <c r="K68" s="126"/>
      <c r="L68" s="126"/>
      <c r="M68" s="126"/>
      <c r="N68" s="126"/>
      <c r="O68" s="126"/>
      <c r="P68" s="126"/>
      <c r="Q68" s="126"/>
      <c r="R68" s="126"/>
      <c r="S68" s="126"/>
      <c r="T68" s="126"/>
      <c r="U68" s="126"/>
    </row>
    <row r="69" spans="1:21" ht="18" customHeight="1" x14ac:dyDescent="0.15">
      <c r="A69" s="126"/>
      <c r="B69" s="126"/>
      <c r="C69" s="126"/>
      <c r="D69" s="126"/>
      <c r="E69" s="126"/>
      <c r="F69" s="126"/>
      <c r="G69" s="126"/>
      <c r="H69" s="126"/>
      <c r="I69" s="126"/>
      <c r="J69" s="126"/>
      <c r="K69" s="126"/>
      <c r="L69" s="126"/>
      <c r="M69" s="126"/>
      <c r="N69" s="126"/>
      <c r="O69" s="126"/>
      <c r="P69" s="126"/>
      <c r="Q69" s="126"/>
      <c r="R69" s="126"/>
      <c r="S69" s="126"/>
      <c r="T69" s="126"/>
      <c r="U69" s="126"/>
    </row>
    <row r="70" spans="1:21" ht="18" customHeight="1" x14ac:dyDescent="0.15">
      <c r="B70" s="120" t="s">
        <v>51</v>
      </c>
      <c r="C70" s="121"/>
      <c r="D70" s="121"/>
      <c r="E70" s="121"/>
      <c r="F70" s="35" t="s">
        <v>77</v>
      </c>
      <c r="G70" s="34" t="s">
        <v>80</v>
      </c>
      <c r="H70" s="16" t="s">
        <v>92</v>
      </c>
      <c r="I70" s="16" t="s">
        <v>72</v>
      </c>
      <c r="J70" s="16" t="s">
        <v>73</v>
      </c>
      <c r="K70" s="120" t="s">
        <v>51</v>
      </c>
      <c r="L70" s="121"/>
      <c r="M70" s="121"/>
      <c r="N70" s="121"/>
      <c r="O70" s="121"/>
      <c r="P70" s="122"/>
      <c r="Q70" s="35" t="s">
        <v>77</v>
      </c>
      <c r="R70" s="34" t="s">
        <v>80</v>
      </c>
      <c r="S70" s="16" t="s">
        <v>92</v>
      </c>
      <c r="T70" s="16" t="s">
        <v>72</v>
      </c>
      <c r="U70" s="16" t="s">
        <v>73</v>
      </c>
    </row>
    <row r="71" spans="1:21" ht="18" customHeight="1" x14ac:dyDescent="0.15">
      <c r="A71" s="3"/>
      <c r="B71" s="123" t="s">
        <v>178</v>
      </c>
      <c r="C71" s="124"/>
      <c r="D71" s="124"/>
      <c r="E71" s="125"/>
      <c r="F71" s="72">
        <v>1</v>
      </c>
      <c r="G71" s="72" t="s">
        <v>141</v>
      </c>
      <c r="H71" s="75" t="s">
        <v>141</v>
      </c>
      <c r="I71" s="75" t="s">
        <v>141</v>
      </c>
      <c r="J71" s="75" t="s">
        <v>141</v>
      </c>
      <c r="K71" s="123"/>
      <c r="L71" s="124"/>
      <c r="M71" s="124"/>
      <c r="N71" s="124"/>
      <c r="O71" s="124"/>
      <c r="P71" s="125"/>
      <c r="Q71" s="17"/>
      <c r="R71" s="17"/>
      <c r="S71" s="17"/>
      <c r="T71" s="17"/>
      <c r="U71" s="17"/>
    </row>
    <row r="72" spans="1:21" ht="18" customHeight="1" x14ac:dyDescent="0.15">
      <c r="A72" s="3"/>
      <c r="B72" s="104" t="s">
        <v>179</v>
      </c>
      <c r="C72" s="105"/>
      <c r="D72" s="105"/>
      <c r="E72" s="106"/>
      <c r="F72" s="73">
        <v>1</v>
      </c>
      <c r="G72" s="73"/>
      <c r="H72" s="76" t="s">
        <v>141</v>
      </c>
      <c r="I72" s="74" t="s">
        <v>141</v>
      </c>
      <c r="J72" s="74" t="s">
        <v>141</v>
      </c>
      <c r="K72" s="104"/>
      <c r="L72" s="105"/>
      <c r="M72" s="105"/>
      <c r="N72" s="105"/>
      <c r="O72" s="105"/>
      <c r="P72" s="106"/>
      <c r="Q72" s="18"/>
      <c r="R72" s="18"/>
      <c r="S72" s="18"/>
      <c r="T72" s="18"/>
      <c r="U72" s="18"/>
    </row>
    <row r="73" spans="1:21" ht="18" customHeight="1" x14ac:dyDescent="0.15">
      <c r="A73" s="3"/>
      <c r="B73" s="104" t="s">
        <v>180</v>
      </c>
      <c r="C73" s="105"/>
      <c r="D73" s="105"/>
      <c r="E73" s="106"/>
      <c r="F73" s="73">
        <v>1</v>
      </c>
      <c r="G73" s="73"/>
      <c r="H73" s="74" t="s">
        <v>141</v>
      </c>
      <c r="I73" s="73"/>
      <c r="J73" s="73"/>
      <c r="K73" s="104"/>
      <c r="L73" s="105"/>
      <c r="M73" s="105"/>
      <c r="N73" s="105"/>
      <c r="O73" s="105"/>
      <c r="P73" s="106"/>
      <c r="Q73" s="18"/>
      <c r="R73" s="18"/>
      <c r="S73" s="18"/>
      <c r="T73" s="18"/>
      <c r="U73" s="18"/>
    </row>
    <row r="74" spans="1:21" ht="18" customHeight="1" x14ac:dyDescent="0.15">
      <c r="A74" s="3"/>
      <c r="B74" s="104" t="s">
        <v>177</v>
      </c>
      <c r="C74" s="105"/>
      <c r="D74" s="105"/>
      <c r="E74" s="106"/>
      <c r="F74" s="73">
        <v>1</v>
      </c>
      <c r="G74" s="73"/>
      <c r="H74" s="74" t="s">
        <v>141</v>
      </c>
      <c r="I74" s="73"/>
      <c r="J74" s="73" t="s">
        <v>141</v>
      </c>
      <c r="K74" s="104"/>
      <c r="L74" s="105"/>
      <c r="M74" s="105"/>
      <c r="N74" s="105"/>
      <c r="O74" s="105"/>
      <c r="P74" s="106"/>
      <c r="Q74" s="18"/>
      <c r="R74" s="18"/>
      <c r="S74" s="18"/>
      <c r="T74" s="18"/>
      <c r="U74" s="18"/>
    </row>
    <row r="75" spans="1:21" ht="18" customHeight="1" x14ac:dyDescent="0.15">
      <c r="A75" s="3"/>
      <c r="B75" s="104" t="s">
        <v>215</v>
      </c>
      <c r="C75" s="105"/>
      <c r="D75" s="105"/>
      <c r="E75" s="105"/>
      <c r="F75" s="73">
        <v>1</v>
      </c>
      <c r="G75" s="73"/>
      <c r="H75" s="74" t="s">
        <v>141</v>
      </c>
      <c r="I75" s="73" t="s">
        <v>141</v>
      </c>
      <c r="J75" s="73" t="s">
        <v>141</v>
      </c>
      <c r="K75" s="104"/>
      <c r="L75" s="105"/>
      <c r="M75" s="105"/>
      <c r="N75" s="105"/>
      <c r="O75" s="105"/>
      <c r="P75" s="106"/>
      <c r="Q75" s="18"/>
      <c r="R75" s="18"/>
      <c r="S75" s="18"/>
      <c r="T75" s="18"/>
      <c r="U75" s="18"/>
    </row>
    <row r="76" spans="1:21" ht="18" customHeight="1" x14ac:dyDescent="0.15">
      <c r="A76" s="3"/>
      <c r="B76" s="104"/>
      <c r="C76" s="105"/>
      <c r="D76" s="105"/>
      <c r="E76" s="105"/>
      <c r="F76" s="18"/>
      <c r="G76" s="18"/>
      <c r="H76" s="18"/>
      <c r="I76" s="18"/>
      <c r="J76" s="18"/>
      <c r="K76" s="104"/>
      <c r="L76" s="105"/>
      <c r="M76" s="105"/>
      <c r="N76" s="105"/>
      <c r="O76" s="105"/>
      <c r="P76" s="106"/>
      <c r="Q76" s="18"/>
      <c r="R76" s="18"/>
      <c r="S76" s="18"/>
      <c r="T76" s="18"/>
      <c r="U76" s="18"/>
    </row>
    <row r="77" spans="1:21" ht="18" customHeight="1" x14ac:dyDescent="0.15">
      <c r="A77" s="3"/>
      <c r="B77" s="127"/>
      <c r="C77" s="128"/>
      <c r="D77" s="128"/>
      <c r="E77" s="128"/>
      <c r="F77" s="19"/>
      <c r="G77" s="19"/>
      <c r="H77" s="20"/>
      <c r="I77" s="20"/>
      <c r="J77" s="20"/>
      <c r="K77" s="127"/>
      <c r="L77" s="128"/>
      <c r="M77" s="128"/>
      <c r="N77" s="128"/>
      <c r="O77" s="128"/>
      <c r="P77" s="129"/>
      <c r="Q77" s="19"/>
      <c r="R77" s="19"/>
      <c r="S77" s="20"/>
      <c r="T77" s="20"/>
      <c r="U77" s="20"/>
    </row>
    <row r="78" spans="1:21" ht="7.5" customHeight="1" x14ac:dyDescent="0.15">
      <c r="B78" s="13"/>
      <c r="C78" s="13"/>
      <c r="D78" s="13"/>
      <c r="E78" s="13"/>
      <c r="F78" s="13"/>
      <c r="G78" s="13"/>
      <c r="H78" s="13"/>
      <c r="I78" s="13"/>
      <c r="J78" s="13"/>
      <c r="K78" s="13"/>
      <c r="L78" s="13"/>
      <c r="M78" s="13"/>
      <c r="N78" s="13"/>
      <c r="O78" s="13"/>
      <c r="P78" s="13"/>
      <c r="Q78" s="13"/>
      <c r="R78" s="13"/>
      <c r="S78" s="13"/>
      <c r="T78" s="13"/>
    </row>
    <row r="79" spans="1:21" ht="18" customHeight="1" x14ac:dyDescent="0.15">
      <c r="A79" s="1" t="s">
        <v>106</v>
      </c>
      <c r="I79" s="3"/>
      <c r="J79" s="3"/>
      <c r="K79" s="3"/>
      <c r="L79" s="3"/>
      <c r="M79" s="3"/>
      <c r="N79" s="3"/>
      <c r="O79" s="3"/>
      <c r="P79" s="3"/>
      <c r="Q79" s="3"/>
      <c r="R79" s="3"/>
      <c r="S79" s="3"/>
      <c r="T79" s="3"/>
      <c r="U79" s="3"/>
    </row>
    <row r="80" spans="1:21" ht="18" customHeight="1" x14ac:dyDescent="0.15">
      <c r="B80" s="120" t="s">
        <v>51</v>
      </c>
      <c r="C80" s="121"/>
      <c r="D80" s="121"/>
      <c r="E80" s="121"/>
      <c r="F80" s="122"/>
      <c r="G80" s="120" t="s">
        <v>78</v>
      </c>
      <c r="H80" s="121"/>
      <c r="I80" s="121"/>
      <c r="J80" s="122"/>
      <c r="K80" s="130" t="s">
        <v>51</v>
      </c>
      <c r="L80" s="131"/>
      <c r="M80" s="131"/>
      <c r="N80" s="131"/>
      <c r="O80" s="131"/>
      <c r="P80" s="131"/>
      <c r="Q80" s="132"/>
      <c r="R80" s="120" t="s">
        <v>78</v>
      </c>
      <c r="S80" s="121"/>
      <c r="T80" s="121"/>
      <c r="U80" s="122"/>
    </row>
    <row r="81" spans="1:21" ht="18" customHeight="1" x14ac:dyDescent="0.15">
      <c r="A81" s="3"/>
      <c r="B81" s="123" t="s">
        <v>181</v>
      </c>
      <c r="C81" s="124"/>
      <c r="D81" s="124"/>
      <c r="E81" s="124"/>
      <c r="F81" s="125"/>
      <c r="G81" s="136" t="s">
        <v>182</v>
      </c>
      <c r="H81" s="137"/>
      <c r="I81" s="137"/>
      <c r="J81" s="138"/>
      <c r="K81" s="123" t="s">
        <v>179</v>
      </c>
      <c r="L81" s="124"/>
      <c r="M81" s="124"/>
      <c r="N81" s="124"/>
      <c r="O81" s="124"/>
      <c r="P81" s="124"/>
      <c r="Q81" s="125"/>
      <c r="R81" s="136" t="s">
        <v>195</v>
      </c>
      <c r="S81" s="137"/>
      <c r="T81" s="137"/>
      <c r="U81" s="138"/>
    </row>
    <row r="82" spans="1:21" ht="18" customHeight="1" x14ac:dyDescent="0.15">
      <c r="A82" s="3"/>
      <c r="B82" s="104" t="s">
        <v>181</v>
      </c>
      <c r="C82" s="105"/>
      <c r="D82" s="105"/>
      <c r="E82" s="105"/>
      <c r="F82" s="106"/>
      <c r="G82" s="133" t="s">
        <v>183</v>
      </c>
      <c r="H82" s="134"/>
      <c r="I82" s="134"/>
      <c r="J82" s="135"/>
      <c r="K82" s="104" t="s">
        <v>176</v>
      </c>
      <c r="L82" s="105"/>
      <c r="M82" s="105"/>
      <c r="N82" s="105"/>
      <c r="O82" s="105"/>
      <c r="P82" s="105"/>
      <c r="Q82" s="106"/>
      <c r="R82" s="133" t="s">
        <v>182</v>
      </c>
      <c r="S82" s="134"/>
      <c r="T82" s="134"/>
      <c r="U82" s="135"/>
    </row>
    <row r="83" spans="1:21" ht="18" customHeight="1" x14ac:dyDescent="0.15">
      <c r="A83" s="3"/>
      <c r="B83" s="104" t="s">
        <v>178</v>
      </c>
      <c r="C83" s="105"/>
      <c r="D83" s="105"/>
      <c r="E83" s="105"/>
      <c r="F83" s="106"/>
      <c r="G83" s="133" t="s">
        <v>184</v>
      </c>
      <c r="H83" s="134"/>
      <c r="I83" s="134"/>
      <c r="J83" s="135"/>
      <c r="K83" s="104" t="s">
        <v>176</v>
      </c>
      <c r="L83" s="105"/>
      <c r="M83" s="105"/>
      <c r="N83" s="105"/>
      <c r="O83" s="105"/>
      <c r="P83" s="105"/>
      <c r="Q83" s="106"/>
      <c r="R83" s="133" t="s">
        <v>186</v>
      </c>
      <c r="S83" s="134"/>
      <c r="T83" s="134"/>
      <c r="U83" s="135"/>
    </row>
    <row r="84" spans="1:21" ht="18" customHeight="1" x14ac:dyDescent="0.15">
      <c r="A84" s="3"/>
      <c r="B84" s="104" t="s">
        <v>178</v>
      </c>
      <c r="C84" s="105"/>
      <c r="D84" s="105"/>
      <c r="E84" s="105"/>
      <c r="F84" s="106"/>
      <c r="G84" s="133" t="s">
        <v>183</v>
      </c>
      <c r="H84" s="134"/>
      <c r="I84" s="134"/>
      <c r="J84" s="135"/>
      <c r="K84" s="104" t="s">
        <v>176</v>
      </c>
      <c r="L84" s="105"/>
      <c r="M84" s="105"/>
      <c r="N84" s="105"/>
      <c r="O84" s="105"/>
      <c r="P84" s="105"/>
      <c r="Q84" s="106"/>
      <c r="R84" s="133" t="s">
        <v>189</v>
      </c>
      <c r="S84" s="134"/>
      <c r="T84" s="134"/>
      <c r="U84" s="135"/>
    </row>
    <row r="85" spans="1:21" ht="18" customHeight="1" x14ac:dyDescent="0.15">
      <c r="A85" s="3"/>
      <c r="B85" s="104" t="s">
        <v>190</v>
      </c>
      <c r="C85" s="105"/>
      <c r="D85" s="105"/>
      <c r="E85" s="105"/>
      <c r="F85" s="106"/>
      <c r="G85" s="133" t="s">
        <v>182</v>
      </c>
      <c r="H85" s="134"/>
      <c r="I85" s="134"/>
      <c r="J85" s="135"/>
      <c r="K85" s="104" t="s">
        <v>176</v>
      </c>
      <c r="L85" s="105"/>
      <c r="M85" s="105"/>
      <c r="N85" s="105"/>
      <c r="O85" s="105"/>
      <c r="P85" s="105"/>
      <c r="Q85" s="106"/>
      <c r="R85" s="133" t="s">
        <v>183</v>
      </c>
      <c r="S85" s="134"/>
      <c r="T85" s="134"/>
      <c r="U85" s="135"/>
    </row>
    <row r="86" spans="1:21" ht="18" customHeight="1" x14ac:dyDescent="0.15">
      <c r="A86" s="3"/>
      <c r="B86" s="104" t="s">
        <v>190</v>
      </c>
      <c r="C86" s="105"/>
      <c r="D86" s="105"/>
      <c r="E86" s="105"/>
      <c r="F86" s="106"/>
      <c r="G86" s="133" t="s">
        <v>185</v>
      </c>
      <c r="H86" s="134"/>
      <c r="I86" s="134"/>
      <c r="J86" s="135"/>
      <c r="K86" s="104" t="s">
        <v>176</v>
      </c>
      <c r="L86" s="105"/>
      <c r="M86" s="105"/>
      <c r="N86" s="105"/>
      <c r="O86" s="105"/>
      <c r="P86" s="105"/>
      <c r="Q86" s="106"/>
      <c r="R86" s="133" t="s">
        <v>185</v>
      </c>
      <c r="S86" s="134"/>
      <c r="T86" s="134"/>
      <c r="U86" s="135"/>
    </row>
    <row r="87" spans="1:21" ht="18" customHeight="1" x14ac:dyDescent="0.15">
      <c r="A87" s="3"/>
      <c r="B87" s="104" t="s">
        <v>191</v>
      </c>
      <c r="C87" s="105"/>
      <c r="D87" s="105"/>
      <c r="E87" s="105"/>
      <c r="F87" s="106"/>
      <c r="G87" s="133" t="s">
        <v>182</v>
      </c>
      <c r="H87" s="134"/>
      <c r="I87" s="134"/>
      <c r="J87" s="135"/>
      <c r="K87" s="104" t="s">
        <v>192</v>
      </c>
      <c r="L87" s="105"/>
      <c r="M87" s="105"/>
      <c r="N87" s="105"/>
      <c r="O87" s="105"/>
      <c r="P87" s="105"/>
      <c r="Q87" s="106"/>
      <c r="R87" s="133" t="s">
        <v>182</v>
      </c>
      <c r="S87" s="134"/>
      <c r="T87" s="134"/>
      <c r="U87" s="135"/>
    </row>
    <row r="88" spans="1:21" ht="18" customHeight="1" x14ac:dyDescent="0.15">
      <c r="A88" s="3"/>
      <c r="B88" s="104" t="s">
        <v>191</v>
      </c>
      <c r="C88" s="105"/>
      <c r="D88" s="105"/>
      <c r="E88" s="105"/>
      <c r="F88" s="106"/>
      <c r="G88" s="133" t="s">
        <v>183</v>
      </c>
      <c r="H88" s="134"/>
      <c r="I88" s="134"/>
      <c r="J88" s="135"/>
      <c r="K88" s="104" t="s">
        <v>192</v>
      </c>
      <c r="L88" s="105"/>
      <c r="M88" s="105"/>
      <c r="N88" s="105"/>
      <c r="O88" s="105"/>
      <c r="P88" s="105"/>
      <c r="Q88" s="106"/>
      <c r="R88" s="133" t="s">
        <v>186</v>
      </c>
      <c r="S88" s="134"/>
      <c r="T88" s="134"/>
      <c r="U88" s="135"/>
    </row>
    <row r="89" spans="1:21" ht="18" customHeight="1" x14ac:dyDescent="0.15">
      <c r="A89" s="3"/>
      <c r="B89" s="104" t="s">
        <v>179</v>
      </c>
      <c r="C89" s="105"/>
      <c r="D89" s="105"/>
      <c r="E89" s="105"/>
      <c r="F89" s="106"/>
      <c r="G89" s="133" t="s">
        <v>182</v>
      </c>
      <c r="H89" s="134"/>
      <c r="I89" s="134"/>
      <c r="J89" s="135"/>
      <c r="K89" s="104" t="s">
        <v>192</v>
      </c>
      <c r="L89" s="105"/>
      <c r="M89" s="105"/>
      <c r="N89" s="105"/>
      <c r="O89" s="105"/>
      <c r="P89" s="105"/>
      <c r="Q89" s="106"/>
      <c r="R89" s="133" t="s">
        <v>183</v>
      </c>
      <c r="S89" s="134"/>
      <c r="T89" s="134"/>
      <c r="U89" s="135"/>
    </row>
    <row r="90" spans="1:21" ht="18" customHeight="1" x14ac:dyDescent="0.15">
      <c r="A90" s="3"/>
      <c r="B90" s="104" t="s">
        <v>179</v>
      </c>
      <c r="C90" s="105"/>
      <c r="D90" s="105"/>
      <c r="E90" s="105"/>
      <c r="F90" s="106"/>
      <c r="G90" s="133" t="s">
        <v>186</v>
      </c>
      <c r="H90" s="134"/>
      <c r="I90" s="134"/>
      <c r="J90" s="135"/>
      <c r="K90" s="104" t="s">
        <v>193</v>
      </c>
      <c r="L90" s="105"/>
      <c r="M90" s="105"/>
      <c r="N90" s="105"/>
      <c r="O90" s="105"/>
      <c r="P90" s="105"/>
      <c r="Q90" s="106"/>
      <c r="R90" s="133" t="s">
        <v>183</v>
      </c>
      <c r="S90" s="134"/>
      <c r="T90" s="134"/>
      <c r="U90" s="135"/>
    </row>
    <row r="91" spans="1:21" ht="18" customHeight="1" x14ac:dyDescent="0.15">
      <c r="A91" s="3"/>
      <c r="B91" s="104" t="s">
        <v>179</v>
      </c>
      <c r="C91" s="105"/>
      <c r="D91" s="105"/>
      <c r="E91" s="105"/>
      <c r="F91" s="106"/>
      <c r="G91" s="133" t="s">
        <v>187</v>
      </c>
      <c r="H91" s="134"/>
      <c r="I91" s="134"/>
      <c r="J91" s="135"/>
      <c r="K91" s="104" t="s">
        <v>193</v>
      </c>
      <c r="L91" s="105"/>
      <c r="M91" s="105"/>
      <c r="N91" s="105"/>
      <c r="O91" s="105"/>
      <c r="P91" s="105"/>
      <c r="Q91" s="106"/>
      <c r="R91" s="133" t="s">
        <v>185</v>
      </c>
      <c r="S91" s="134"/>
      <c r="T91" s="134"/>
      <c r="U91" s="135"/>
    </row>
    <row r="92" spans="1:21" ht="18" customHeight="1" x14ac:dyDescent="0.15">
      <c r="A92" s="3"/>
      <c r="B92" s="104" t="s">
        <v>179</v>
      </c>
      <c r="C92" s="105"/>
      <c r="D92" s="105"/>
      <c r="E92" s="105"/>
      <c r="F92" s="106"/>
      <c r="G92" s="133" t="s">
        <v>188</v>
      </c>
      <c r="H92" s="134"/>
      <c r="I92" s="134"/>
      <c r="J92" s="135"/>
      <c r="K92" s="104" t="s">
        <v>194</v>
      </c>
      <c r="L92" s="105"/>
      <c r="M92" s="105"/>
      <c r="N92" s="105"/>
      <c r="O92" s="105"/>
      <c r="P92" s="105"/>
      <c r="Q92" s="106"/>
      <c r="R92" s="133" t="s">
        <v>183</v>
      </c>
      <c r="S92" s="134"/>
      <c r="T92" s="134"/>
      <c r="U92" s="135"/>
    </row>
    <row r="93" spans="1:21" ht="18" customHeight="1" x14ac:dyDescent="0.15">
      <c r="A93" s="3"/>
      <c r="B93" s="104" t="s">
        <v>179</v>
      </c>
      <c r="C93" s="105"/>
      <c r="D93" s="105"/>
      <c r="E93" s="105"/>
      <c r="F93" s="106"/>
      <c r="G93" s="133" t="s">
        <v>189</v>
      </c>
      <c r="H93" s="134"/>
      <c r="I93" s="134"/>
      <c r="J93" s="135"/>
      <c r="K93" s="104" t="s">
        <v>194</v>
      </c>
      <c r="L93" s="105"/>
      <c r="M93" s="105"/>
      <c r="N93" s="105"/>
      <c r="O93" s="105"/>
      <c r="P93" s="105"/>
      <c r="Q93" s="106"/>
      <c r="R93" s="133" t="s">
        <v>185</v>
      </c>
      <c r="S93" s="134"/>
      <c r="T93" s="134"/>
      <c r="U93" s="135"/>
    </row>
    <row r="94" spans="1:21" ht="18" customHeight="1" x14ac:dyDescent="0.15">
      <c r="A94" s="3"/>
      <c r="B94" s="104" t="s">
        <v>179</v>
      </c>
      <c r="C94" s="105"/>
      <c r="D94" s="105"/>
      <c r="E94" s="105"/>
      <c r="F94" s="106"/>
      <c r="G94" s="133" t="s">
        <v>183</v>
      </c>
      <c r="H94" s="134"/>
      <c r="I94" s="134"/>
      <c r="J94" s="135"/>
      <c r="K94" s="104" t="s">
        <v>194</v>
      </c>
      <c r="L94" s="105"/>
      <c r="M94" s="105"/>
      <c r="N94" s="105"/>
      <c r="O94" s="105"/>
      <c r="P94" s="105"/>
      <c r="Q94" s="106"/>
      <c r="R94" s="133" t="s">
        <v>195</v>
      </c>
      <c r="S94" s="134"/>
      <c r="T94" s="134"/>
      <c r="U94" s="135"/>
    </row>
    <row r="95" spans="1:21" ht="18" customHeight="1" x14ac:dyDescent="0.15">
      <c r="A95" s="3"/>
      <c r="B95" s="127" t="s">
        <v>179</v>
      </c>
      <c r="C95" s="128"/>
      <c r="D95" s="128"/>
      <c r="E95" s="128"/>
      <c r="F95" s="129"/>
      <c r="G95" s="139" t="s">
        <v>185</v>
      </c>
      <c r="H95" s="140"/>
      <c r="I95" s="140"/>
      <c r="J95" s="141"/>
      <c r="K95" s="127"/>
      <c r="L95" s="128"/>
      <c r="M95" s="128"/>
      <c r="N95" s="128"/>
      <c r="O95" s="128"/>
      <c r="P95" s="128"/>
      <c r="Q95" s="129"/>
      <c r="R95" s="139"/>
      <c r="S95" s="140"/>
      <c r="T95" s="140"/>
      <c r="U95" s="141"/>
    </row>
    <row r="96" spans="1:21" ht="18" customHeight="1" x14ac:dyDescent="0.15">
      <c r="A96" s="3"/>
      <c r="B96" s="5"/>
      <c r="C96" s="5"/>
      <c r="D96" s="5"/>
      <c r="E96" s="5"/>
      <c r="F96" s="5"/>
      <c r="G96" s="21"/>
      <c r="H96" s="21"/>
      <c r="I96" s="21"/>
      <c r="J96" s="21"/>
      <c r="K96" s="5"/>
      <c r="L96" s="5"/>
      <c r="M96" s="5"/>
      <c r="N96" s="5"/>
      <c r="O96" s="5"/>
      <c r="P96" s="5"/>
      <c r="Q96" s="5"/>
      <c r="R96" s="21"/>
      <c r="S96" s="21"/>
      <c r="T96" s="21"/>
      <c r="U96" s="21"/>
    </row>
    <row r="97" spans="1:21" ht="18.75" customHeight="1" x14ac:dyDescent="0.15">
      <c r="A97" s="1" t="s">
        <v>107</v>
      </c>
    </row>
    <row r="98" spans="1:21" ht="18.75" customHeight="1" x14ac:dyDescent="0.15">
      <c r="B98" s="142" t="s">
        <v>52</v>
      </c>
      <c r="C98" s="143"/>
      <c r="D98" s="120" t="s">
        <v>53</v>
      </c>
      <c r="E98" s="121"/>
      <c r="F98" s="121"/>
      <c r="G98" s="121"/>
      <c r="H98" s="121"/>
      <c r="I98" s="121"/>
      <c r="J98" s="121"/>
      <c r="K98" s="121"/>
      <c r="L98" s="121"/>
      <c r="M98" s="121"/>
      <c r="N98" s="121"/>
      <c r="O98" s="121"/>
      <c r="P98" s="121"/>
      <c r="Q98" s="121"/>
      <c r="R98" s="121"/>
      <c r="S98" s="121"/>
      <c r="T98" s="121"/>
      <c r="U98" s="122"/>
    </row>
    <row r="99" spans="1:21" ht="126" customHeight="1" x14ac:dyDescent="0.15">
      <c r="B99" s="144" t="s">
        <v>59</v>
      </c>
      <c r="C99" s="22" t="s">
        <v>54</v>
      </c>
      <c r="D99" s="146" t="s">
        <v>196</v>
      </c>
      <c r="E99" s="147"/>
      <c r="F99" s="147"/>
      <c r="G99" s="147"/>
      <c r="H99" s="147"/>
      <c r="I99" s="147"/>
      <c r="J99" s="147"/>
      <c r="K99" s="147"/>
      <c r="L99" s="147"/>
      <c r="M99" s="147"/>
      <c r="N99" s="147"/>
      <c r="O99" s="147"/>
      <c r="P99" s="147"/>
      <c r="Q99" s="147"/>
      <c r="R99" s="147"/>
      <c r="S99" s="147"/>
      <c r="T99" s="147"/>
      <c r="U99" s="148"/>
    </row>
    <row r="100" spans="1:21" ht="40.5" customHeight="1" x14ac:dyDescent="0.15">
      <c r="B100" s="152"/>
      <c r="C100" s="23" t="s">
        <v>74</v>
      </c>
      <c r="D100" s="149" t="s">
        <v>197</v>
      </c>
      <c r="E100" s="150"/>
      <c r="F100" s="150"/>
      <c r="G100" s="150"/>
      <c r="H100" s="150"/>
      <c r="I100" s="150"/>
      <c r="J100" s="150"/>
      <c r="K100" s="150"/>
      <c r="L100" s="150"/>
      <c r="M100" s="150"/>
      <c r="N100" s="150"/>
      <c r="O100" s="150"/>
      <c r="P100" s="150"/>
      <c r="Q100" s="150"/>
      <c r="R100" s="150"/>
      <c r="S100" s="150"/>
      <c r="T100" s="150"/>
      <c r="U100" s="151"/>
    </row>
    <row r="101" spans="1:21" ht="110.25" customHeight="1" x14ac:dyDescent="0.15">
      <c r="B101" s="144" t="s">
        <v>60</v>
      </c>
      <c r="C101" s="24" t="s">
        <v>68</v>
      </c>
      <c r="D101" s="146" t="s">
        <v>198</v>
      </c>
      <c r="E101" s="147"/>
      <c r="F101" s="147"/>
      <c r="G101" s="147"/>
      <c r="H101" s="147"/>
      <c r="I101" s="147"/>
      <c r="J101" s="147"/>
      <c r="K101" s="147"/>
      <c r="L101" s="147"/>
      <c r="M101" s="147"/>
      <c r="N101" s="147"/>
      <c r="O101" s="147"/>
      <c r="P101" s="147"/>
      <c r="Q101" s="147"/>
      <c r="R101" s="147"/>
      <c r="S101" s="147"/>
      <c r="T101" s="147"/>
      <c r="U101" s="148"/>
    </row>
    <row r="102" spans="1:21" ht="85.5" customHeight="1" x14ac:dyDescent="0.15">
      <c r="B102" s="145"/>
      <c r="C102" s="25" t="s">
        <v>69</v>
      </c>
      <c r="D102" s="149" t="s">
        <v>199</v>
      </c>
      <c r="E102" s="150"/>
      <c r="F102" s="150"/>
      <c r="G102" s="150"/>
      <c r="H102" s="150"/>
      <c r="I102" s="150"/>
      <c r="J102" s="150"/>
      <c r="K102" s="150"/>
      <c r="L102" s="150"/>
      <c r="M102" s="150"/>
      <c r="N102" s="150"/>
      <c r="O102" s="150"/>
      <c r="P102" s="150"/>
      <c r="Q102" s="150"/>
      <c r="R102" s="150"/>
      <c r="S102" s="150"/>
      <c r="T102" s="150"/>
      <c r="U102" s="151"/>
    </row>
    <row r="103" spans="1:21" ht="120" customHeight="1" x14ac:dyDescent="0.15">
      <c r="B103" s="144" t="s">
        <v>61</v>
      </c>
      <c r="C103" s="24" t="s">
        <v>70</v>
      </c>
      <c r="D103" s="146" t="s">
        <v>200</v>
      </c>
      <c r="E103" s="147"/>
      <c r="F103" s="147"/>
      <c r="G103" s="147"/>
      <c r="H103" s="147"/>
      <c r="I103" s="147"/>
      <c r="J103" s="147"/>
      <c r="K103" s="147"/>
      <c r="L103" s="147"/>
      <c r="M103" s="147"/>
      <c r="N103" s="147"/>
      <c r="O103" s="147"/>
      <c r="P103" s="147"/>
      <c r="Q103" s="147"/>
      <c r="R103" s="147"/>
      <c r="S103" s="147"/>
      <c r="T103" s="147"/>
      <c r="U103" s="148"/>
    </row>
    <row r="104" spans="1:21" ht="40.5" customHeight="1" x14ac:dyDescent="0.15">
      <c r="B104" s="145"/>
      <c r="C104" s="26" t="s">
        <v>71</v>
      </c>
      <c r="D104" s="149" t="s">
        <v>201</v>
      </c>
      <c r="E104" s="150"/>
      <c r="F104" s="150"/>
      <c r="G104" s="150"/>
      <c r="H104" s="150"/>
      <c r="I104" s="150"/>
      <c r="J104" s="150"/>
      <c r="K104" s="150"/>
      <c r="L104" s="150"/>
      <c r="M104" s="150"/>
      <c r="N104" s="150"/>
      <c r="O104" s="150"/>
      <c r="P104" s="150"/>
      <c r="Q104" s="150"/>
      <c r="R104" s="150"/>
      <c r="S104" s="150"/>
      <c r="T104" s="150"/>
      <c r="U104" s="151"/>
    </row>
    <row r="105" spans="1:21" ht="100.5" customHeight="1" x14ac:dyDescent="0.15">
      <c r="B105" s="144" t="s">
        <v>75</v>
      </c>
      <c r="C105" s="22" t="s">
        <v>56</v>
      </c>
      <c r="D105" s="146" t="s">
        <v>202</v>
      </c>
      <c r="E105" s="147"/>
      <c r="F105" s="147"/>
      <c r="G105" s="147"/>
      <c r="H105" s="147"/>
      <c r="I105" s="147"/>
      <c r="J105" s="147"/>
      <c r="K105" s="147"/>
      <c r="L105" s="147"/>
      <c r="M105" s="147"/>
      <c r="N105" s="147"/>
      <c r="O105" s="147"/>
      <c r="P105" s="147"/>
      <c r="Q105" s="147"/>
      <c r="R105" s="147"/>
      <c r="S105" s="147"/>
      <c r="T105" s="147"/>
      <c r="U105" s="148"/>
    </row>
    <row r="106" spans="1:21" ht="71.25" customHeight="1" x14ac:dyDescent="0.15">
      <c r="B106" s="145"/>
      <c r="C106" s="25" t="s">
        <v>58</v>
      </c>
      <c r="D106" s="149" t="s">
        <v>203</v>
      </c>
      <c r="E106" s="150"/>
      <c r="F106" s="150"/>
      <c r="G106" s="150"/>
      <c r="H106" s="150"/>
      <c r="I106" s="150"/>
      <c r="J106" s="150"/>
      <c r="K106" s="150"/>
      <c r="L106" s="150"/>
      <c r="M106" s="150"/>
      <c r="N106" s="150"/>
      <c r="O106" s="150"/>
      <c r="P106" s="150"/>
      <c r="Q106" s="150"/>
      <c r="R106" s="150"/>
      <c r="S106" s="150"/>
      <c r="T106" s="150"/>
      <c r="U106" s="151"/>
    </row>
    <row r="107" spans="1:21" ht="177" customHeight="1" x14ac:dyDescent="0.15">
      <c r="B107" s="144" t="s">
        <v>76</v>
      </c>
      <c r="C107" s="24" t="s">
        <v>55</v>
      </c>
      <c r="D107" s="146" t="s">
        <v>204</v>
      </c>
      <c r="E107" s="147"/>
      <c r="F107" s="147"/>
      <c r="G107" s="147"/>
      <c r="H107" s="147"/>
      <c r="I107" s="147"/>
      <c r="J107" s="147"/>
      <c r="K107" s="147"/>
      <c r="L107" s="147"/>
      <c r="M107" s="147"/>
      <c r="N107" s="147"/>
      <c r="O107" s="147"/>
      <c r="P107" s="147"/>
      <c r="Q107" s="147"/>
      <c r="R107" s="147"/>
      <c r="S107" s="147"/>
      <c r="T107" s="147"/>
      <c r="U107" s="148"/>
    </row>
    <row r="108" spans="1:21" ht="112.5" customHeight="1" x14ac:dyDescent="0.15">
      <c r="B108" s="152"/>
      <c r="C108" s="27" t="s">
        <v>72</v>
      </c>
      <c r="D108" s="156" t="s">
        <v>205</v>
      </c>
      <c r="E108" s="157"/>
      <c r="F108" s="157"/>
      <c r="G108" s="157"/>
      <c r="H108" s="157"/>
      <c r="I108" s="157"/>
      <c r="J108" s="157"/>
      <c r="K108" s="157"/>
      <c r="L108" s="157"/>
      <c r="M108" s="157"/>
      <c r="N108" s="157"/>
      <c r="O108" s="157"/>
      <c r="P108" s="157"/>
      <c r="Q108" s="157"/>
      <c r="R108" s="157"/>
      <c r="S108" s="157"/>
      <c r="T108" s="157"/>
      <c r="U108" s="158"/>
    </row>
    <row r="109" spans="1:21" ht="97.5" customHeight="1" x14ac:dyDescent="0.15">
      <c r="B109" s="145"/>
      <c r="C109" s="26" t="s">
        <v>73</v>
      </c>
      <c r="D109" s="149" t="s">
        <v>206</v>
      </c>
      <c r="E109" s="150"/>
      <c r="F109" s="150"/>
      <c r="G109" s="150"/>
      <c r="H109" s="150"/>
      <c r="I109" s="150"/>
      <c r="J109" s="150"/>
      <c r="K109" s="150"/>
      <c r="L109" s="150"/>
      <c r="M109" s="150"/>
      <c r="N109" s="150"/>
      <c r="O109" s="150"/>
      <c r="P109" s="150"/>
      <c r="Q109" s="150"/>
      <c r="R109" s="150"/>
      <c r="S109" s="150"/>
      <c r="T109" s="150"/>
      <c r="U109" s="151"/>
    </row>
    <row r="110" spans="1:21" ht="6" customHeight="1" x14ac:dyDescent="0.15"/>
    <row r="111" spans="1:21" ht="18.75" customHeight="1" x14ac:dyDescent="0.15">
      <c r="A111" s="1" t="s">
        <v>108</v>
      </c>
    </row>
    <row r="112" spans="1:21" ht="81.75" customHeight="1" x14ac:dyDescent="0.15">
      <c r="B112" s="159" t="s">
        <v>207</v>
      </c>
      <c r="C112" s="160"/>
      <c r="D112" s="160"/>
      <c r="E112" s="160"/>
      <c r="F112" s="160"/>
      <c r="G112" s="160"/>
      <c r="H112" s="160"/>
      <c r="I112" s="160"/>
      <c r="J112" s="160"/>
      <c r="K112" s="160"/>
      <c r="L112" s="160"/>
      <c r="M112" s="160"/>
      <c r="N112" s="160"/>
      <c r="O112" s="160"/>
      <c r="P112" s="160"/>
      <c r="Q112" s="160"/>
      <c r="R112" s="160"/>
      <c r="S112" s="160"/>
      <c r="T112" s="160"/>
      <c r="U112" s="161"/>
    </row>
    <row r="114" spans="1:33" ht="18.75" customHeight="1" x14ac:dyDescent="0.15">
      <c r="A114" s="58" t="s">
        <v>124</v>
      </c>
      <c r="B114" s="59"/>
      <c r="C114" s="59"/>
      <c r="D114" s="59"/>
      <c r="E114" s="59"/>
      <c r="F114" s="59"/>
      <c r="G114" s="59"/>
      <c r="H114" s="59"/>
      <c r="I114" s="59"/>
      <c r="J114" s="59"/>
      <c r="K114" s="59"/>
      <c r="L114" s="59"/>
      <c r="M114" s="59"/>
      <c r="N114" s="59"/>
      <c r="O114" s="59"/>
      <c r="P114" s="59"/>
      <c r="Q114" s="59"/>
      <c r="R114" s="59"/>
      <c r="S114" s="59"/>
      <c r="T114" s="59"/>
      <c r="U114" s="59"/>
    </row>
    <row r="115" spans="1:33" ht="18.75" customHeight="1" x14ac:dyDescent="0.15">
      <c r="A115" s="58" t="s">
        <v>126</v>
      </c>
      <c r="B115" s="58"/>
      <c r="C115" s="58"/>
      <c r="D115" s="58"/>
      <c r="E115" s="58"/>
      <c r="F115" s="58"/>
      <c r="G115" s="58"/>
      <c r="H115" s="58"/>
      <c r="I115" s="58"/>
      <c r="J115" s="58"/>
      <c r="K115" s="58"/>
      <c r="L115" s="58"/>
      <c r="M115" s="58"/>
      <c r="N115" s="58"/>
      <c r="O115" s="58"/>
      <c r="P115" s="58"/>
      <c r="Q115" s="58"/>
      <c r="R115" s="58"/>
      <c r="S115" s="58"/>
      <c r="T115" s="58"/>
      <c r="U115" s="58"/>
      <c r="V115" s="2"/>
      <c r="W115" s="2"/>
      <c r="X115" s="2"/>
      <c r="Y115" s="2"/>
      <c r="Z115" s="2"/>
      <c r="AA115" s="2"/>
      <c r="AB115" s="2"/>
      <c r="AC115" s="2"/>
      <c r="AD115" s="2"/>
      <c r="AE115" s="2"/>
      <c r="AF115" s="2"/>
      <c r="AG115" s="2"/>
    </row>
    <row r="116" spans="1:33" ht="18.75" customHeight="1" x14ac:dyDescent="0.15">
      <c r="A116" s="58"/>
      <c r="B116" s="162" t="s">
        <v>130</v>
      </c>
      <c r="C116" s="162"/>
      <c r="D116" s="162"/>
      <c r="E116" s="162"/>
      <c r="F116" s="162"/>
      <c r="G116" s="162"/>
      <c r="H116" s="162"/>
      <c r="I116" s="162"/>
      <c r="J116" s="162"/>
      <c r="K116" s="162"/>
      <c r="L116" s="162"/>
      <c r="M116" s="162"/>
      <c r="N116" s="162"/>
      <c r="O116" s="162"/>
      <c r="P116" s="162"/>
      <c r="Q116" s="162"/>
      <c r="R116" s="162"/>
      <c r="S116" s="162"/>
      <c r="T116" s="162"/>
      <c r="U116" s="162"/>
      <c r="V116" s="54"/>
      <c r="W116" s="54"/>
      <c r="X116" s="54"/>
      <c r="Y116" s="54"/>
      <c r="Z116" s="54"/>
      <c r="AA116" s="54"/>
      <c r="AB116" s="54"/>
      <c r="AC116" s="54"/>
      <c r="AD116" s="54"/>
      <c r="AE116" s="54"/>
      <c r="AF116" s="54"/>
      <c r="AG116" s="54"/>
    </row>
    <row r="117" spans="1:33" ht="37.35" customHeight="1" x14ac:dyDescent="0.15">
      <c r="A117" s="58"/>
      <c r="B117" s="162"/>
      <c r="C117" s="162"/>
      <c r="D117" s="162"/>
      <c r="E117" s="162"/>
      <c r="F117" s="162"/>
      <c r="G117" s="162"/>
      <c r="H117" s="162"/>
      <c r="I117" s="162"/>
      <c r="J117" s="162"/>
      <c r="K117" s="162"/>
      <c r="L117" s="162"/>
      <c r="M117" s="162"/>
      <c r="N117" s="162"/>
      <c r="O117" s="162"/>
      <c r="P117" s="162"/>
      <c r="Q117" s="162"/>
      <c r="R117" s="162"/>
      <c r="S117" s="162"/>
      <c r="T117" s="162"/>
      <c r="U117" s="162"/>
      <c r="V117" s="54"/>
      <c r="W117" s="54"/>
      <c r="X117" s="54"/>
      <c r="Y117" s="54"/>
      <c r="Z117" s="54"/>
      <c r="AA117" s="54"/>
      <c r="AB117" s="54"/>
      <c r="AC117" s="54"/>
      <c r="AD117" s="54"/>
      <c r="AE117" s="54"/>
      <c r="AF117" s="54"/>
      <c r="AG117" s="54"/>
    </row>
    <row r="118" spans="1:33" ht="18.75" customHeight="1" x14ac:dyDescent="0.15">
      <c r="A118" s="58"/>
      <c r="B118" s="153" t="s">
        <v>125</v>
      </c>
      <c r="C118" s="153"/>
      <c r="D118" s="153"/>
      <c r="E118" s="153"/>
      <c r="F118" s="153"/>
      <c r="G118" s="153"/>
      <c r="H118" s="153"/>
      <c r="I118" s="153"/>
      <c r="J118" s="153"/>
      <c r="K118" s="153"/>
      <c r="L118" s="153"/>
      <c r="M118" s="153"/>
      <c r="N118" s="153"/>
      <c r="O118" s="153"/>
      <c r="P118" s="153"/>
      <c r="Q118" s="153"/>
      <c r="R118" s="153"/>
      <c r="S118" s="153"/>
      <c r="T118" s="153"/>
      <c r="U118" s="153"/>
      <c r="V118" s="54"/>
      <c r="W118" s="54"/>
      <c r="X118" s="54"/>
      <c r="Y118" s="54"/>
      <c r="Z118" s="54"/>
      <c r="AA118" s="54"/>
      <c r="AB118" s="54"/>
      <c r="AC118" s="54"/>
      <c r="AD118" s="54"/>
      <c r="AE118" s="54"/>
      <c r="AF118" s="54"/>
      <c r="AG118" s="54"/>
    </row>
    <row r="119" spans="1:33" ht="18.75" customHeight="1" x14ac:dyDescent="0.15">
      <c r="A119" s="58"/>
      <c r="B119" s="154" t="s">
        <v>53</v>
      </c>
      <c r="C119" s="154"/>
      <c r="D119" s="154"/>
      <c r="E119" s="154"/>
      <c r="F119" s="154"/>
      <c r="G119" s="154"/>
      <c r="H119" s="154"/>
      <c r="I119" s="154"/>
      <c r="J119" s="154"/>
      <c r="K119" s="154"/>
      <c r="L119" s="154"/>
      <c r="M119" s="154"/>
      <c r="N119" s="154"/>
      <c r="O119" s="154"/>
      <c r="P119" s="154"/>
      <c r="Q119" s="154"/>
      <c r="R119" s="154"/>
      <c r="S119" s="154"/>
      <c r="T119" s="154"/>
      <c r="U119" s="154"/>
      <c r="V119" s="53"/>
      <c r="W119" s="53"/>
      <c r="X119" s="53"/>
      <c r="Y119" s="53"/>
      <c r="Z119" s="53"/>
      <c r="AA119" s="53"/>
      <c r="AB119" s="53"/>
      <c r="AC119" s="53"/>
      <c r="AD119" s="53"/>
      <c r="AE119" s="53"/>
      <c r="AF119" s="53"/>
      <c r="AG119" s="53"/>
    </row>
    <row r="120" spans="1:33" ht="132" customHeight="1" x14ac:dyDescent="0.15">
      <c r="A120" s="58"/>
      <c r="B120" s="155" t="s">
        <v>209</v>
      </c>
      <c r="C120" s="155"/>
      <c r="D120" s="155"/>
      <c r="E120" s="155"/>
      <c r="F120" s="155"/>
      <c r="G120" s="155"/>
      <c r="H120" s="155"/>
      <c r="I120" s="155"/>
      <c r="J120" s="155"/>
      <c r="K120" s="155"/>
      <c r="L120" s="155"/>
      <c r="M120" s="155"/>
      <c r="N120" s="155"/>
      <c r="O120" s="155"/>
      <c r="P120" s="155"/>
      <c r="Q120" s="155"/>
      <c r="R120" s="155"/>
      <c r="S120" s="155"/>
      <c r="T120" s="155"/>
      <c r="U120" s="155"/>
      <c r="V120" s="55"/>
      <c r="W120" s="55"/>
      <c r="X120" s="55"/>
      <c r="Y120" s="55"/>
      <c r="Z120" s="55"/>
      <c r="AA120" s="55"/>
      <c r="AB120" s="55"/>
      <c r="AC120" s="55"/>
      <c r="AD120" s="55"/>
      <c r="AE120" s="55"/>
      <c r="AF120" s="55"/>
      <c r="AG120" s="55"/>
    </row>
    <row r="122" spans="1:33" ht="18" customHeight="1" x14ac:dyDescent="0.15"/>
  </sheetData>
  <mergeCells count="180">
    <mergeCell ref="G94:J94"/>
    <mergeCell ref="B94:F94"/>
    <mergeCell ref="K94:Q94"/>
    <mergeCell ref="R83:U83"/>
    <mergeCell ref="R84:U84"/>
    <mergeCell ref="R85:U85"/>
    <mergeCell ref="R87:U87"/>
    <mergeCell ref="R88:U88"/>
    <mergeCell ref="R89:U89"/>
    <mergeCell ref="R94:U94"/>
    <mergeCell ref="B88:F88"/>
    <mergeCell ref="B89:F89"/>
    <mergeCell ref="G87:J87"/>
    <mergeCell ref="G88:J88"/>
    <mergeCell ref="G89:J89"/>
    <mergeCell ref="K87:Q87"/>
    <mergeCell ref="K88:Q88"/>
    <mergeCell ref="K89:Q89"/>
    <mergeCell ref="B83:F83"/>
    <mergeCell ref="G83:J83"/>
    <mergeCell ref="K83:Q83"/>
    <mergeCell ref="B84:F84"/>
    <mergeCell ref="G84:J84"/>
    <mergeCell ref="B91:F91"/>
    <mergeCell ref="N22:U22"/>
    <mergeCell ref="L7:U7"/>
    <mergeCell ref="D98:U98"/>
    <mergeCell ref="D99:U99"/>
    <mergeCell ref="D100:U100"/>
    <mergeCell ref="D101:U101"/>
    <mergeCell ref="D102:U102"/>
    <mergeCell ref="D103:U103"/>
    <mergeCell ref="D104:U104"/>
    <mergeCell ref="B11:U12"/>
    <mergeCell ref="K62:Q62"/>
    <mergeCell ref="K63:Q63"/>
    <mergeCell ref="K64:Q64"/>
    <mergeCell ref="K65:Q65"/>
    <mergeCell ref="K66:Q66"/>
    <mergeCell ref="B70:E70"/>
    <mergeCell ref="B60:F60"/>
    <mergeCell ref="B61:F61"/>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K55:Q55"/>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95:Q95"/>
    <mergeCell ref="B112:U112"/>
    <mergeCell ref="R95:U95"/>
    <mergeCell ref="B82:F82"/>
    <mergeCell ref="G82:J82"/>
    <mergeCell ref="K82:Q82"/>
    <mergeCell ref="R82:U82"/>
    <mergeCell ref="B92:F92"/>
    <mergeCell ref="G92:J92"/>
    <mergeCell ref="K92:Q92"/>
    <mergeCell ref="R92:U92"/>
    <mergeCell ref="B90:F90"/>
    <mergeCell ref="B93:F93"/>
    <mergeCell ref="G93:J93"/>
    <mergeCell ref="K93:Q93"/>
    <mergeCell ref="R93:U93"/>
    <mergeCell ref="B95:F95"/>
    <mergeCell ref="G95:J95"/>
    <mergeCell ref="B107:B109"/>
    <mergeCell ref="B105:B106"/>
    <mergeCell ref="B98:C98"/>
    <mergeCell ref="G90:J90"/>
    <mergeCell ref="G91:J91"/>
    <mergeCell ref="K90:Q90"/>
    <mergeCell ref="K91:Q91"/>
    <mergeCell ref="B75:E75"/>
    <mergeCell ref="B76:E76"/>
    <mergeCell ref="B77:E77"/>
    <mergeCell ref="K74:P74"/>
    <mergeCell ref="K75:P75"/>
    <mergeCell ref="K76:P76"/>
    <mergeCell ref="A57:U58"/>
    <mergeCell ref="K77:P77"/>
    <mergeCell ref="A68:U69"/>
    <mergeCell ref="K84:Q84"/>
    <mergeCell ref="B85:F85"/>
    <mergeCell ref="G85:J85"/>
    <mergeCell ref="K85:Q85"/>
    <mergeCell ref="B80:F80"/>
    <mergeCell ref="G81:J81"/>
    <mergeCell ref="K71:P71"/>
    <mergeCell ref="K72:P72"/>
    <mergeCell ref="K73:P73"/>
    <mergeCell ref="B118:U118"/>
    <mergeCell ref="R90:U90"/>
    <mergeCell ref="K70:P70"/>
    <mergeCell ref="B65:F65"/>
    <mergeCell ref="B66:F66"/>
    <mergeCell ref="G80:J80"/>
    <mergeCell ref="K80:Q80"/>
    <mergeCell ref="B71:E71"/>
    <mergeCell ref="B72:E72"/>
    <mergeCell ref="B86:F86"/>
    <mergeCell ref="G86:J86"/>
    <mergeCell ref="K86:Q86"/>
    <mergeCell ref="B87:F87"/>
    <mergeCell ref="B116:U117"/>
    <mergeCell ref="D106:U106"/>
    <mergeCell ref="D107:U107"/>
    <mergeCell ref="D108:U108"/>
    <mergeCell ref="D109:U109"/>
    <mergeCell ref="D105:U105"/>
    <mergeCell ref="B101:B102"/>
    <mergeCell ref="R91:U91"/>
    <mergeCell ref="R86:U86"/>
    <mergeCell ref="B103:B104"/>
    <mergeCell ref="B99:B100"/>
    <mergeCell ref="B119:U119"/>
    <mergeCell ref="B120:U120"/>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 ref="K81:Q81"/>
    <mergeCell ref="R81:U81"/>
    <mergeCell ref="R80:U80"/>
    <mergeCell ref="B81:F81"/>
    <mergeCell ref="K61:Q61"/>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R71:U77 S27:U33 H27:J33 S38:U44 H38:J44 S49:U55 H60:J66 S60:U66 H49:J55 G71:J77"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S93:U96 R89:R96 H93:J96 G91:G96 G81:J90 H91:J91 S89:U90 R81:U88"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&amp;C数理・データサイエンス・AI教育プログラム認定制度【リテラシーレベル】令和６年度申請用</oddHeader>
  </headerFooter>
  <rowBreaks count="2" manualBreakCount="2">
    <brk id="67" max="20" man="1"/>
    <brk id="104" max="20"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zoomScaleNormal="100" zoomScaleSheetLayoutView="100" workbookViewId="0">
      <selection activeCell="X15" sqref="X15"/>
    </sheetView>
  </sheetViews>
  <sheetFormatPr defaultColWidth="9" defaultRowHeight="18.75" customHeight="1" x14ac:dyDescent="0.15"/>
  <cols>
    <col min="1" max="1" width="2.625" style="1" customWidth="1"/>
    <col min="2" max="2" width="20.625" style="1" customWidth="1"/>
    <col min="3" max="18" width="6.125" style="1" customWidth="1"/>
    <col min="19" max="19" width="6.625" style="1" customWidth="1"/>
    <col min="20" max="16384" width="9" style="1"/>
  </cols>
  <sheetData>
    <row r="1" spans="1:21" ht="18" customHeight="1" x14ac:dyDescent="0.15">
      <c r="A1" s="59"/>
      <c r="B1" s="59"/>
      <c r="C1" s="59"/>
      <c r="D1" s="59"/>
      <c r="E1" s="59"/>
      <c r="F1" s="59"/>
      <c r="G1" s="59"/>
      <c r="H1" s="59"/>
      <c r="I1" s="59"/>
      <c r="J1" s="59"/>
      <c r="K1" s="59"/>
      <c r="L1" s="59"/>
      <c r="M1" s="59"/>
      <c r="N1" s="59"/>
      <c r="O1" s="59"/>
      <c r="P1" s="59"/>
      <c r="Q1" s="59"/>
      <c r="R1" s="59"/>
      <c r="S1" s="59" t="s">
        <v>97</v>
      </c>
    </row>
    <row r="2" spans="1:21" ht="18" customHeight="1" x14ac:dyDescent="0.15">
      <c r="A2" s="59"/>
      <c r="B2" s="59"/>
      <c r="C2" s="59"/>
      <c r="D2" s="59"/>
      <c r="E2" s="59"/>
      <c r="F2" s="59"/>
      <c r="G2" s="59"/>
      <c r="H2" s="59"/>
      <c r="I2" s="59"/>
      <c r="J2" s="59"/>
      <c r="K2" s="59"/>
      <c r="L2" s="59"/>
      <c r="M2" s="59"/>
      <c r="N2" s="59"/>
      <c r="O2" s="59"/>
      <c r="P2" s="59"/>
      <c r="Q2" s="164" t="str">
        <f>'様式１ー２　プログラムを構成する授業科目（生命）'!C2</f>
        <v>東京薬科大学</v>
      </c>
      <c r="R2" s="164"/>
      <c r="S2" s="164"/>
    </row>
    <row r="3" spans="1:21" ht="18" customHeight="1" x14ac:dyDescent="0.15">
      <c r="A3" s="94" t="s">
        <v>46</v>
      </c>
      <c r="B3" s="94"/>
      <c r="C3" s="94"/>
      <c r="D3" s="94"/>
      <c r="E3" s="94"/>
      <c r="F3" s="94"/>
      <c r="G3" s="94"/>
      <c r="H3" s="94"/>
      <c r="I3" s="94"/>
      <c r="J3" s="94"/>
      <c r="K3" s="94"/>
      <c r="L3" s="94"/>
      <c r="M3" s="94"/>
      <c r="N3" s="94"/>
      <c r="O3" s="94"/>
      <c r="P3" s="94"/>
      <c r="Q3" s="94"/>
      <c r="R3" s="94"/>
      <c r="S3" s="94"/>
    </row>
    <row r="4" spans="1:21" ht="7.5" customHeight="1" x14ac:dyDescent="0.15">
      <c r="A4" s="64"/>
      <c r="B4" s="64"/>
      <c r="C4" s="64"/>
      <c r="D4" s="64"/>
      <c r="E4" s="64"/>
      <c r="F4" s="64"/>
      <c r="G4" s="64"/>
      <c r="H4" s="64"/>
      <c r="I4" s="64"/>
      <c r="J4" s="64"/>
      <c r="K4" s="64"/>
      <c r="L4" s="64"/>
      <c r="M4" s="64"/>
      <c r="N4" s="64"/>
      <c r="O4" s="64"/>
      <c r="P4" s="64"/>
      <c r="Q4" s="64"/>
      <c r="R4" s="64"/>
      <c r="S4" s="64"/>
    </row>
    <row r="5" spans="1:21" ht="18" customHeight="1" x14ac:dyDescent="0.15">
      <c r="A5" s="59" t="s">
        <v>79</v>
      </c>
      <c r="B5" s="59"/>
      <c r="C5" s="165" t="s">
        <v>155</v>
      </c>
      <c r="D5" s="166"/>
      <c r="E5" s="64" t="s">
        <v>50</v>
      </c>
      <c r="F5" s="64"/>
      <c r="G5" s="64"/>
      <c r="H5" s="64"/>
      <c r="I5" s="64"/>
      <c r="J5" s="64"/>
      <c r="K5" s="64"/>
      <c r="L5" s="64"/>
      <c r="M5" s="64"/>
      <c r="N5" s="64"/>
      <c r="O5" s="64"/>
      <c r="P5" s="64"/>
      <c r="Q5" s="64"/>
      <c r="R5" s="62"/>
      <c r="S5" s="62"/>
    </row>
    <row r="6" spans="1:21" ht="7.35" customHeight="1" x14ac:dyDescent="0.15">
      <c r="A6" s="59"/>
      <c r="B6" s="59"/>
      <c r="C6" s="69"/>
      <c r="D6" s="69"/>
      <c r="E6" s="64"/>
      <c r="F6" s="64"/>
      <c r="G6" s="64"/>
      <c r="H6" s="64"/>
      <c r="I6" s="64"/>
      <c r="J6" s="64"/>
      <c r="K6" s="64"/>
      <c r="L6" s="64"/>
      <c r="M6" s="64"/>
      <c r="N6" s="64"/>
      <c r="O6" s="64"/>
      <c r="P6" s="64"/>
      <c r="Q6" s="64"/>
      <c r="R6" s="62"/>
      <c r="S6" s="62"/>
    </row>
    <row r="7" spans="1:21" ht="18" customHeight="1" x14ac:dyDescent="0.15">
      <c r="A7" s="59" t="s">
        <v>117</v>
      </c>
      <c r="B7" s="59"/>
      <c r="C7" s="69"/>
      <c r="D7" s="69"/>
      <c r="E7" s="64" t="s">
        <v>118</v>
      </c>
      <c r="F7" s="71">
        <v>1701</v>
      </c>
      <c r="G7" s="65" t="s">
        <v>119</v>
      </c>
      <c r="H7" s="64" t="s">
        <v>120</v>
      </c>
      <c r="I7" s="71">
        <v>2065</v>
      </c>
      <c r="J7" s="65" t="s">
        <v>119</v>
      </c>
      <c r="K7" s="60" t="s">
        <v>121</v>
      </c>
      <c r="L7" s="64" t="s">
        <v>122</v>
      </c>
      <c r="M7" s="67">
        <f>F7+I7</f>
        <v>3766</v>
      </c>
      <c r="N7" s="64" t="s">
        <v>1</v>
      </c>
      <c r="O7" s="65" t="s">
        <v>123</v>
      </c>
      <c r="P7" s="64"/>
      <c r="Q7" s="64"/>
      <c r="R7" s="62"/>
      <c r="S7" s="62"/>
    </row>
    <row r="8" spans="1:21" ht="6" customHeight="1" x14ac:dyDescent="0.15">
      <c r="A8" s="64"/>
      <c r="B8" s="64"/>
      <c r="C8" s="64"/>
      <c r="D8" s="64"/>
      <c r="E8" s="64"/>
      <c r="F8" s="64"/>
      <c r="G8" s="64"/>
      <c r="H8" s="64"/>
      <c r="I8" s="64"/>
      <c r="J8" s="64"/>
      <c r="K8" s="64"/>
      <c r="L8" s="64"/>
      <c r="M8" s="64"/>
      <c r="N8" s="64"/>
      <c r="O8" s="64"/>
      <c r="P8" s="64"/>
      <c r="Q8" s="64"/>
      <c r="R8" s="64"/>
      <c r="S8" s="64"/>
    </row>
    <row r="9" spans="1:21" ht="18" customHeight="1" x14ac:dyDescent="0.15">
      <c r="A9" s="59" t="s">
        <v>134</v>
      </c>
      <c r="B9" s="64"/>
      <c r="C9" s="64"/>
      <c r="D9" s="64"/>
      <c r="E9" s="64"/>
      <c r="F9" s="64"/>
      <c r="G9" s="64"/>
      <c r="H9" s="64"/>
      <c r="I9" s="64"/>
      <c r="J9" s="64"/>
      <c r="K9" s="64"/>
      <c r="L9" s="64"/>
      <c r="M9" s="64"/>
      <c r="N9" s="64"/>
      <c r="O9" s="64"/>
      <c r="P9" s="64"/>
      <c r="Q9" s="64"/>
      <c r="R9" s="64"/>
      <c r="S9" s="64"/>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67" t="s">
        <v>43</v>
      </c>
      <c r="C11" s="177" t="s">
        <v>82</v>
      </c>
      <c r="D11" s="169" t="s">
        <v>45</v>
      </c>
      <c r="E11" s="171" t="s">
        <v>38</v>
      </c>
      <c r="F11" s="163" t="s">
        <v>111</v>
      </c>
      <c r="G11" s="163"/>
      <c r="H11" s="163" t="s">
        <v>81</v>
      </c>
      <c r="I11" s="163"/>
      <c r="J11" s="163" t="s">
        <v>47</v>
      </c>
      <c r="K11" s="163"/>
      <c r="L11" s="163" t="s">
        <v>48</v>
      </c>
      <c r="M11" s="163"/>
      <c r="N11" s="163" t="s">
        <v>91</v>
      </c>
      <c r="O11" s="163"/>
      <c r="P11" s="163" t="s">
        <v>49</v>
      </c>
      <c r="Q11" s="163"/>
      <c r="R11" s="173" t="s">
        <v>34</v>
      </c>
      <c r="S11" s="175" t="s">
        <v>31</v>
      </c>
      <c r="U11" s="2"/>
    </row>
    <row r="12" spans="1:21" ht="17.100000000000001" customHeight="1" x14ac:dyDescent="0.15">
      <c r="B12" s="168"/>
      <c r="C12" s="178"/>
      <c r="D12" s="170"/>
      <c r="E12" s="172"/>
      <c r="F12" s="48" t="s">
        <v>90</v>
      </c>
      <c r="G12" s="48" t="s">
        <v>28</v>
      </c>
      <c r="H12" s="48" t="s">
        <v>90</v>
      </c>
      <c r="I12" s="48" t="s">
        <v>28</v>
      </c>
      <c r="J12" s="48" t="s">
        <v>90</v>
      </c>
      <c r="K12" s="48" t="s">
        <v>28</v>
      </c>
      <c r="L12" s="48" t="s">
        <v>90</v>
      </c>
      <c r="M12" s="48" t="s">
        <v>28</v>
      </c>
      <c r="N12" s="48" t="s">
        <v>90</v>
      </c>
      <c r="O12" s="48" t="s">
        <v>28</v>
      </c>
      <c r="P12" s="48" t="s">
        <v>90</v>
      </c>
      <c r="Q12" s="49" t="s">
        <v>28</v>
      </c>
      <c r="R12" s="174"/>
      <c r="S12" s="176"/>
      <c r="U12" s="2"/>
    </row>
    <row r="13" spans="1:21" ht="18" customHeight="1" x14ac:dyDescent="0.15">
      <c r="A13" s="5"/>
      <c r="B13" s="70" t="s">
        <v>138</v>
      </c>
      <c r="C13" s="36">
        <v>2801</v>
      </c>
      <c r="D13" s="37">
        <v>420</v>
      </c>
      <c r="E13" s="38">
        <v>2520</v>
      </c>
      <c r="F13" s="38">
        <v>50</v>
      </c>
      <c r="G13" s="38">
        <v>43</v>
      </c>
      <c r="H13" s="38"/>
      <c r="I13" s="38"/>
      <c r="J13" s="38"/>
      <c r="K13" s="38"/>
      <c r="L13" s="38"/>
      <c r="M13" s="38"/>
      <c r="N13" s="38"/>
      <c r="O13" s="38"/>
      <c r="P13" s="38"/>
      <c r="Q13" s="50"/>
      <c r="R13" s="37">
        <f t="shared" ref="R13:R32" si="0">F13+H13+J13+L13+N13+P13</f>
        <v>50</v>
      </c>
      <c r="S13" s="51">
        <f t="shared" ref="S13:S33" si="1">R13/E13</f>
        <v>1.984126984126984E-2</v>
      </c>
    </row>
    <row r="14" spans="1:21" ht="18" customHeight="1" x14ac:dyDescent="0.15">
      <c r="A14" s="5"/>
      <c r="B14" s="10" t="s">
        <v>154</v>
      </c>
      <c r="C14" s="39">
        <v>965</v>
      </c>
      <c r="D14" s="40">
        <v>220</v>
      </c>
      <c r="E14" s="41">
        <v>886</v>
      </c>
      <c r="F14" s="42">
        <v>262</v>
      </c>
      <c r="G14" s="243">
        <v>0</v>
      </c>
      <c r="H14" s="42"/>
      <c r="I14" s="42"/>
      <c r="J14" s="42"/>
      <c r="K14" s="42"/>
      <c r="L14" s="42"/>
      <c r="M14" s="42"/>
      <c r="N14" s="42"/>
      <c r="O14" s="42"/>
      <c r="P14" s="42"/>
      <c r="Q14" s="39"/>
      <c r="R14" s="40">
        <f t="shared" si="0"/>
        <v>262</v>
      </c>
      <c r="S14" s="15">
        <f t="shared" si="1"/>
        <v>0.29571106094808125</v>
      </c>
    </row>
    <row r="15" spans="1:21" ht="18" customHeight="1" x14ac:dyDescent="0.15">
      <c r="A15" s="5"/>
      <c r="B15" s="10"/>
      <c r="C15" s="39"/>
      <c r="D15" s="40"/>
      <c r="E15" s="41"/>
      <c r="F15" s="42"/>
      <c r="G15" s="42"/>
      <c r="H15" s="42"/>
      <c r="I15" s="42"/>
      <c r="J15" s="42"/>
      <c r="K15" s="42"/>
      <c r="L15" s="42"/>
      <c r="M15" s="42"/>
      <c r="N15" s="42"/>
      <c r="O15" s="42"/>
      <c r="P15" s="42"/>
      <c r="Q15" s="39"/>
      <c r="R15" s="40">
        <f t="shared" si="0"/>
        <v>0</v>
      </c>
      <c r="S15" s="7" t="e">
        <f t="shared" si="1"/>
        <v>#DIV/0!</v>
      </c>
    </row>
    <row r="16" spans="1:21" ht="18" customHeight="1" x14ac:dyDescent="0.15">
      <c r="A16" s="5"/>
      <c r="B16" s="10"/>
      <c r="C16" s="39"/>
      <c r="D16" s="40"/>
      <c r="E16" s="41"/>
      <c r="F16" s="42"/>
      <c r="G16" s="42"/>
      <c r="H16" s="42"/>
      <c r="I16" s="42"/>
      <c r="J16" s="42"/>
      <c r="K16" s="42"/>
      <c r="L16" s="42"/>
      <c r="M16" s="42"/>
      <c r="N16" s="42"/>
      <c r="O16" s="42"/>
      <c r="P16" s="42"/>
      <c r="Q16" s="39"/>
      <c r="R16" s="40">
        <f t="shared" si="0"/>
        <v>0</v>
      </c>
      <c r="S16" s="7" t="e">
        <f t="shared" si="1"/>
        <v>#DIV/0!</v>
      </c>
    </row>
    <row r="17" spans="1:19" ht="18" customHeight="1" x14ac:dyDescent="0.15">
      <c r="A17" s="5"/>
      <c r="B17" s="10"/>
      <c r="C17" s="39"/>
      <c r="D17" s="40"/>
      <c r="E17" s="41"/>
      <c r="F17" s="42"/>
      <c r="G17" s="42"/>
      <c r="H17" s="42"/>
      <c r="I17" s="42"/>
      <c r="J17" s="42"/>
      <c r="K17" s="42"/>
      <c r="L17" s="42"/>
      <c r="M17" s="42"/>
      <c r="N17" s="42"/>
      <c r="O17" s="42"/>
      <c r="P17" s="42"/>
      <c r="Q17" s="39"/>
      <c r="R17" s="40">
        <f t="shared" si="0"/>
        <v>0</v>
      </c>
      <c r="S17" s="7" t="e">
        <f t="shared" si="1"/>
        <v>#DIV/0!</v>
      </c>
    </row>
    <row r="18" spans="1:19" ht="18" customHeight="1" x14ac:dyDescent="0.15">
      <c r="A18" s="5"/>
      <c r="B18" s="10"/>
      <c r="C18" s="39"/>
      <c r="D18" s="40"/>
      <c r="E18" s="41"/>
      <c r="F18" s="42"/>
      <c r="G18" s="42"/>
      <c r="H18" s="42"/>
      <c r="I18" s="42"/>
      <c r="J18" s="42"/>
      <c r="K18" s="42"/>
      <c r="L18" s="42"/>
      <c r="M18" s="42"/>
      <c r="N18" s="42"/>
      <c r="O18" s="42"/>
      <c r="P18" s="42"/>
      <c r="Q18" s="39"/>
      <c r="R18" s="40">
        <f t="shared" si="0"/>
        <v>0</v>
      </c>
      <c r="S18" s="7" t="e">
        <f t="shared" si="1"/>
        <v>#DIV/0!</v>
      </c>
    </row>
    <row r="19" spans="1:19" ht="18" customHeight="1" x14ac:dyDescent="0.15">
      <c r="A19" s="5"/>
      <c r="B19" s="10"/>
      <c r="C19" s="39"/>
      <c r="D19" s="40"/>
      <c r="E19" s="41"/>
      <c r="F19" s="42"/>
      <c r="G19" s="42"/>
      <c r="H19" s="42"/>
      <c r="I19" s="42"/>
      <c r="J19" s="42"/>
      <c r="K19" s="42"/>
      <c r="L19" s="42"/>
      <c r="M19" s="42"/>
      <c r="N19" s="42"/>
      <c r="O19" s="42"/>
      <c r="P19" s="42"/>
      <c r="Q19" s="39"/>
      <c r="R19" s="40">
        <f t="shared" si="0"/>
        <v>0</v>
      </c>
      <c r="S19" s="7" t="e">
        <f t="shared" si="1"/>
        <v>#DIV/0!</v>
      </c>
    </row>
    <row r="20" spans="1:19" ht="18" customHeight="1" x14ac:dyDescent="0.15">
      <c r="A20" s="5"/>
      <c r="B20" s="10"/>
      <c r="C20" s="39"/>
      <c r="D20" s="40"/>
      <c r="E20" s="41"/>
      <c r="F20" s="42"/>
      <c r="G20" s="42"/>
      <c r="H20" s="42"/>
      <c r="I20" s="42"/>
      <c r="J20" s="42"/>
      <c r="K20" s="42"/>
      <c r="L20" s="42"/>
      <c r="M20" s="42"/>
      <c r="N20" s="42"/>
      <c r="O20" s="42"/>
      <c r="P20" s="42"/>
      <c r="Q20" s="39"/>
      <c r="R20" s="40">
        <f t="shared" si="0"/>
        <v>0</v>
      </c>
      <c r="S20" s="7" t="e">
        <f t="shared" si="1"/>
        <v>#DIV/0!</v>
      </c>
    </row>
    <row r="21" spans="1:19" ht="18" customHeight="1" x14ac:dyDescent="0.15">
      <c r="A21" s="5"/>
      <c r="B21" s="10"/>
      <c r="C21" s="39"/>
      <c r="D21" s="40"/>
      <c r="E21" s="41"/>
      <c r="F21" s="42"/>
      <c r="G21" s="42"/>
      <c r="H21" s="42"/>
      <c r="I21" s="42"/>
      <c r="J21" s="42"/>
      <c r="K21" s="42"/>
      <c r="L21" s="42"/>
      <c r="M21" s="42"/>
      <c r="N21" s="42"/>
      <c r="O21" s="42"/>
      <c r="P21" s="42"/>
      <c r="Q21" s="39"/>
      <c r="R21" s="40">
        <f t="shared" si="0"/>
        <v>0</v>
      </c>
      <c r="S21" s="7" t="e">
        <f t="shared" si="1"/>
        <v>#DIV/0!</v>
      </c>
    </row>
    <row r="22" spans="1:19" ht="18" customHeight="1" x14ac:dyDescent="0.15">
      <c r="A22" s="5"/>
      <c r="B22" s="10"/>
      <c r="C22" s="39"/>
      <c r="D22" s="40"/>
      <c r="E22" s="41"/>
      <c r="F22" s="42"/>
      <c r="G22" s="42"/>
      <c r="H22" s="42"/>
      <c r="I22" s="42"/>
      <c r="J22" s="42"/>
      <c r="K22" s="42"/>
      <c r="L22" s="42"/>
      <c r="M22" s="42"/>
      <c r="N22" s="42"/>
      <c r="O22" s="42"/>
      <c r="P22" s="42"/>
      <c r="Q22" s="39"/>
      <c r="R22" s="40">
        <f t="shared" si="0"/>
        <v>0</v>
      </c>
      <c r="S22" s="7" t="e">
        <f t="shared" si="1"/>
        <v>#DIV/0!</v>
      </c>
    </row>
    <row r="23" spans="1:19" ht="18" customHeight="1" x14ac:dyDescent="0.15">
      <c r="A23" s="5"/>
      <c r="B23" s="10"/>
      <c r="C23" s="39"/>
      <c r="D23" s="40"/>
      <c r="E23" s="41"/>
      <c r="F23" s="42"/>
      <c r="G23" s="42"/>
      <c r="H23" s="42"/>
      <c r="I23" s="42"/>
      <c r="J23" s="42"/>
      <c r="K23" s="42"/>
      <c r="L23" s="42"/>
      <c r="M23" s="42"/>
      <c r="N23" s="42"/>
      <c r="O23" s="42"/>
      <c r="P23" s="42"/>
      <c r="Q23" s="39"/>
      <c r="R23" s="40">
        <f t="shared" si="0"/>
        <v>0</v>
      </c>
      <c r="S23" s="7" t="e">
        <f t="shared" si="1"/>
        <v>#DIV/0!</v>
      </c>
    </row>
    <row r="24" spans="1:19" ht="18" customHeight="1" x14ac:dyDescent="0.15">
      <c r="A24" s="5"/>
      <c r="B24" s="10"/>
      <c r="C24" s="39"/>
      <c r="D24" s="40"/>
      <c r="E24" s="41"/>
      <c r="F24" s="42"/>
      <c r="G24" s="42"/>
      <c r="H24" s="42"/>
      <c r="I24" s="42"/>
      <c r="J24" s="42"/>
      <c r="K24" s="42"/>
      <c r="L24" s="42"/>
      <c r="M24" s="42"/>
      <c r="N24" s="42"/>
      <c r="O24" s="42"/>
      <c r="P24" s="42"/>
      <c r="Q24" s="39"/>
      <c r="R24" s="40">
        <f t="shared" si="0"/>
        <v>0</v>
      </c>
      <c r="S24" s="7" t="e">
        <f t="shared" si="1"/>
        <v>#DIV/0!</v>
      </c>
    </row>
    <row r="25" spans="1:19" ht="18" customHeight="1" x14ac:dyDescent="0.15">
      <c r="A25" s="5"/>
      <c r="B25" s="10"/>
      <c r="C25" s="39"/>
      <c r="D25" s="40"/>
      <c r="E25" s="41"/>
      <c r="F25" s="42"/>
      <c r="G25" s="42"/>
      <c r="H25" s="42"/>
      <c r="I25" s="42"/>
      <c r="J25" s="42"/>
      <c r="K25" s="42"/>
      <c r="L25" s="42"/>
      <c r="M25" s="42"/>
      <c r="N25" s="42"/>
      <c r="O25" s="42"/>
      <c r="P25" s="42"/>
      <c r="Q25" s="39"/>
      <c r="R25" s="40">
        <f t="shared" si="0"/>
        <v>0</v>
      </c>
      <c r="S25" s="7" t="e">
        <f t="shared" si="1"/>
        <v>#DIV/0!</v>
      </c>
    </row>
    <row r="26" spans="1:19" ht="18" customHeight="1" x14ac:dyDescent="0.15">
      <c r="A26" s="5"/>
      <c r="B26" s="10"/>
      <c r="C26" s="39"/>
      <c r="D26" s="40"/>
      <c r="E26" s="41"/>
      <c r="F26" s="42"/>
      <c r="G26" s="42"/>
      <c r="H26" s="42"/>
      <c r="I26" s="42"/>
      <c r="J26" s="42"/>
      <c r="K26" s="42"/>
      <c r="L26" s="42"/>
      <c r="M26" s="42"/>
      <c r="N26" s="42"/>
      <c r="O26" s="42"/>
      <c r="P26" s="42"/>
      <c r="Q26" s="39"/>
      <c r="R26" s="40">
        <f t="shared" si="0"/>
        <v>0</v>
      </c>
      <c r="S26" s="7" t="e">
        <f t="shared" si="1"/>
        <v>#DIV/0!</v>
      </c>
    </row>
    <row r="27" spans="1:19" ht="18" customHeight="1" x14ac:dyDescent="0.15">
      <c r="A27" s="5"/>
      <c r="B27" s="10"/>
      <c r="C27" s="39"/>
      <c r="D27" s="40"/>
      <c r="E27" s="41"/>
      <c r="F27" s="42"/>
      <c r="G27" s="42"/>
      <c r="H27" s="42"/>
      <c r="I27" s="42"/>
      <c r="J27" s="42"/>
      <c r="K27" s="42"/>
      <c r="L27" s="42"/>
      <c r="M27" s="42"/>
      <c r="N27" s="42"/>
      <c r="O27" s="42"/>
      <c r="P27" s="42"/>
      <c r="Q27" s="39"/>
      <c r="R27" s="40">
        <f t="shared" si="0"/>
        <v>0</v>
      </c>
      <c r="S27" s="7" t="e">
        <f t="shared" si="1"/>
        <v>#DIV/0!</v>
      </c>
    </row>
    <row r="28" spans="1:19" ht="18" customHeight="1" x14ac:dyDescent="0.15">
      <c r="A28" s="5"/>
      <c r="B28" s="10"/>
      <c r="C28" s="39"/>
      <c r="D28" s="40"/>
      <c r="E28" s="41"/>
      <c r="F28" s="42"/>
      <c r="G28" s="42"/>
      <c r="H28" s="42"/>
      <c r="I28" s="42"/>
      <c r="J28" s="42"/>
      <c r="K28" s="42"/>
      <c r="L28" s="42"/>
      <c r="M28" s="42"/>
      <c r="N28" s="42"/>
      <c r="O28" s="42"/>
      <c r="P28" s="42"/>
      <c r="Q28" s="39"/>
      <c r="R28" s="40">
        <f t="shared" si="0"/>
        <v>0</v>
      </c>
      <c r="S28" s="7" t="e">
        <f t="shared" si="1"/>
        <v>#DIV/0!</v>
      </c>
    </row>
    <row r="29" spans="1:19" ht="18" customHeight="1" x14ac:dyDescent="0.15">
      <c r="A29" s="5"/>
      <c r="B29" s="10"/>
      <c r="C29" s="39"/>
      <c r="D29" s="40"/>
      <c r="E29" s="41"/>
      <c r="F29" s="42"/>
      <c r="G29" s="42"/>
      <c r="H29" s="42"/>
      <c r="I29" s="42"/>
      <c r="J29" s="42"/>
      <c r="K29" s="42"/>
      <c r="L29" s="42"/>
      <c r="M29" s="42"/>
      <c r="N29" s="42"/>
      <c r="O29" s="42"/>
      <c r="P29" s="42"/>
      <c r="Q29" s="39"/>
      <c r="R29" s="40">
        <f t="shared" si="0"/>
        <v>0</v>
      </c>
      <c r="S29" s="7" t="e">
        <f t="shared" si="1"/>
        <v>#DIV/0!</v>
      </c>
    </row>
    <row r="30" spans="1:19" ht="18" customHeight="1" x14ac:dyDescent="0.15">
      <c r="A30" s="5"/>
      <c r="B30" s="10"/>
      <c r="C30" s="39"/>
      <c r="D30" s="43"/>
      <c r="E30" s="41"/>
      <c r="F30" s="42"/>
      <c r="G30" s="42"/>
      <c r="H30" s="42"/>
      <c r="I30" s="42"/>
      <c r="J30" s="42"/>
      <c r="K30" s="42"/>
      <c r="L30" s="42"/>
      <c r="M30" s="42"/>
      <c r="N30" s="42"/>
      <c r="O30" s="42"/>
      <c r="P30" s="42"/>
      <c r="Q30" s="39"/>
      <c r="R30" s="43">
        <f t="shared" si="0"/>
        <v>0</v>
      </c>
      <c r="S30" s="7" t="e">
        <f t="shared" si="1"/>
        <v>#DIV/0!</v>
      </c>
    </row>
    <row r="31" spans="1:19" ht="18" customHeight="1" x14ac:dyDescent="0.15">
      <c r="A31" s="5"/>
      <c r="B31" s="10"/>
      <c r="C31" s="39"/>
      <c r="D31" s="43"/>
      <c r="E31" s="41"/>
      <c r="F31" s="42"/>
      <c r="G31" s="42"/>
      <c r="H31" s="42"/>
      <c r="I31" s="42"/>
      <c r="J31" s="42"/>
      <c r="K31" s="42"/>
      <c r="L31" s="42"/>
      <c r="M31" s="42"/>
      <c r="N31" s="42"/>
      <c r="O31" s="42"/>
      <c r="P31" s="42"/>
      <c r="Q31" s="39"/>
      <c r="R31" s="43">
        <f t="shared" si="0"/>
        <v>0</v>
      </c>
      <c r="S31" s="7" t="e">
        <f t="shared" si="1"/>
        <v>#DIV/0!</v>
      </c>
    </row>
    <row r="32" spans="1:19" ht="18" customHeight="1" thickBot="1" x14ac:dyDescent="0.2">
      <c r="A32" s="5"/>
      <c r="B32" s="11"/>
      <c r="C32" s="36"/>
      <c r="D32" s="44"/>
      <c r="E32" s="38"/>
      <c r="F32" s="38"/>
      <c r="G32" s="38"/>
      <c r="H32" s="38"/>
      <c r="I32" s="38"/>
      <c r="J32" s="38"/>
      <c r="K32" s="38"/>
      <c r="L32" s="38"/>
      <c r="M32" s="38"/>
      <c r="N32" s="38"/>
      <c r="O32" s="38"/>
      <c r="P32" s="38"/>
      <c r="Q32" s="39"/>
      <c r="R32" s="44">
        <f t="shared" si="0"/>
        <v>0</v>
      </c>
      <c r="S32" s="6" t="e">
        <f t="shared" si="1"/>
        <v>#DIV/0!</v>
      </c>
    </row>
    <row r="33" spans="2:19" ht="18" customHeight="1" thickTop="1" x14ac:dyDescent="0.15">
      <c r="B33" s="12" t="s">
        <v>32</v>
      </c>
      <c r="C33" s="45">
        <f t="shared" ref="C33" si="2">SUM(C13:C32)</f>
        <v>3766</v>
      </c>
      <c r="D33" s="46">
        <f t="shared" ref="D33:R33" si="3">SUM(D13:D32)</f>
        <v>640</v>
      </c>
      <c r="E33" s="47">
        <f t="shared" si="3"/>
        <v>3406</v>
      </c>
      <c r="F33" s="47">
        <f t="shared" si="3"/>
        <v>312</v>
      </c>
      <c r="G33" s="47">
        <f t="shared" ref="G33:H33" si="4">SUM(G13:G32)</f>
        <v>43</v>
      </c>
      <c r="H33" s="47">
        <f t="shared" si="4"/>
        <v>0</v>
      </c>
      <c r="I33" s="47">
        <f t="shared" ref="I33:J33" si="5">SUM(I13:I32)</f>
        <v>0</v>
      </c>
      <c r="J33" s="47">
        <f t="shared" si="5"/>
        <v>0</v>
      </c>
      <c r="K33" s="47">
        <f t="shared" ref="K33:O33" si="6">SUM(K13:K32)</f>
        <v>0</v>
      </c>
      <c r="L33" s="47">
        <f t="shared" si="6"/>
        <v>0</v>
      </c>
      <c r="M33" s="47">
        <f t="shared" si="6"/>
        <v>0</v>
      </c>
      <c r="N33" s="47">
        <f t="shared" si="6"/>
        <v>0</v>
      </c>
      <c r="O33" s="47">
        <f t="shared" si="6"/>
        <v>0</v>
      </c>
      <c r="P33" s="47">
        <f t="shared" ref="P33:Q33" si="7">SUM(P13:P32)</f>
        <v>0</v>
      </c>
      <c r="Q33" s="45">
        <f t="shared" si="7"/>
        <v>0</v>
      </c>
      <c r="R33" s="46">
        <f t="shared" si="3"/>
        <v>312</v>
      </c>
      <c r="S33" s="8">
        <f t="shared" si="1"/>
        <v>9.1603053435114504E-2</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9" orientation="landscape" r:id="rId1"/>
  <headerFooter>
    <oddHeader>&amp;C数理・データサイエンス・AI教育プログラム認定制度【リテラシーレベル】</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tabSelected="1" view="pageBreakPreview" topLeftCell="A43" zoomScaleNormal="100" zoomScaleSheetLayoutView="100" workbookViewId="0">
      <selection activeCell="C49" sqref="B49:I63"/>
    </sheetView>
  </sheetViews>
  <sheetFormatPr defaultColWidth="11.375" defaultRowHeight="18.75" customHeight="1" x14ac:dyDescent="0.15"/>
  <cols>
    <col min="1" max="1" width="2.625" style="30" customWidth="1"/>
    <col min="2" max="2" width="16.625" style="1" customWidth="1"/>
    <col min="3" max="3" width="8.875" style="1" customWidth="1"/>
    <col min="4" max="4" width="2.1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30" t="s">
        <v>62</v>
      </c>
      <c r="I1" s="29" t="s">
        <v>96</v>
      </c>
    </row>
    <row r="2" spans="1:9" ht="18.75" customHeight="1" x14ac:dyDescent="0.15">
      <c r="G2" s="29" t="s">
        <v>98</v>
      </c>
      <c r="H2" s="120" t="str">
        <f>'様式１ー２　プログラムを構成する授業科目（生命）'!C2</f>
        <v>東京薬科大学</v>
      </c>
      <c r="I2" s="122"/>
    </row>
    <row r="3" spans="1:9" ht="18.75" customHeight="1" x14ac:dyDescent="0.15">
      <c r="G3" s="29"/>
      <c r="H3" s="9"/>
      <c r="I3" s="9"/>
    </row>
    <row r="4" spans="1:9" ht="18.600000000000001" customHeight="1" x14ac:dyDescent="0.15">
      <c r="A4" s="180" t="s">
        <v>35</v>
      </c>
      <c r="B4" s="180"/>
      <c r="C4" s="180"/>
      <c r="D4" s="180"/>
      <c r="E4" s="180"/>
      <c r="F4" s="180"/>
      <c r="G4" s="180"/>
      <c r="H4" s="180"/>
      <c r="I4" s="180"/>
    </row>
    <row r="5" spans="1:9" ht="13.35" customHeight="1" x14ac:dyDescent="0.15">
      <c r="B5" s="3"/>
      <c r="C5" s="3"/>
      <c r="D5" s="3"/>
      <c r="E5" s="3"/>
      <c r="F5" s="3"/>
      <c r="G5" s="3"/>
      <c r="H5" s="3"/>
      <c r="I5" s="3"/>
    </row>
    <row r="6" spans="1:9" ht="18" customHeight="1" x14ac:dyDescent="0.15">
      <c r="A6" s="1" t="s">
        <v>0</v>
      </c>
      <c r="B6" s="9" t="s">
        <v>85</v>
      </c>
      <c r="C6" s="200" t="s">
        <v>86</v>
      </c>
      <c r="D6" s="200"/>
      <c r="E6" s="28">
        <v>201</v>
      </c>
      <c r="F6" s="3" t="s">
        <v>1</v>
      </c>
      <c r="G6" s="3" t="s">
        <v>2</v>
      </c>
      <c r="H6" s="28">
        <v>68</v>
      </c>
      <c r="I6" s="9" t="s">
        <v>1</v>
      </c>
    </row>
    <row r="7" spans="1:9" ht="12" customHeight="1" x14ac:dyDescent="0.15">
      <c r="C7" s="2"/>
      <c r="D7" s="2"/>
      <c r="E7" s="2"/>
      <c r="F7" s="2"/>
      <c r="G7" s="2"/>
      <c r="H7" s="2"/>
      <c r="I7" s="31"/>
    </row>
    <row r="8" spans="1:9" ht="18" customHeight="1" x14ac:dyDescent="0.15">
      <c r="A8" s="1" t="s">
        <v>3</v>
      </c>
      <c r="B8" s="9" t="s">
        <v>87</v>
      </c>
      <c r="E8" s="3"/>
      <c r="F8" s="3"/>
      <c r="G8" s="3"/>
      <c r="H8" s="28">
        <v>11</v>
      </c>
      <c r="I8" s="9" t="s">
        <v>1</v>
      </c>
    </row>
    <row r="9" spans="1:9" ht="9" customHeight="1" x14ac:dyDescent="0.15">
      <c r="B9" s="3"/>
      <c r="C9" s="3"/>
      <c r="D9" s="3"/>
      <c r="E9" s="3"/>
      <c r="F9" s="3"/>
      <c r="G9" s="3"/>
      <c r="H9" s="3"/>
      <c r="I9" s="3"/>
    </row>
    <row r="10" spans="1:9" ht="18" customHeight="1" x14ac:dyDescent="0.15">
      <c r="A10" s="1" t="s">
        <v>4</v>
      </c>
      <c r="B10" s="9" t="s">
        <v>88</v>
      </c>
      <c r="C10" s="3"/>
      <c r="D10" s="3"/>
      <c r="E10" s="3"/>
      <c r="F10" s="3"/>
      <c r="G10" s="3"/>
      <c r="H10" s="3"/>
      <c r="I10" s="3"/>
    </row>
    <row r="11" spans="1:9" ht="18" customHeight="1" x14ac:dyDescent="0.15">
      <c r="B11" s="29" t="s">
        <v>41</v>
      </c>
      <c r="C11" s="195" t="s">
        <v>156</v>
      </c>
      <c r="D11" s="198"/>
      <c r="E11" s="199"/>
      <c r="F11" s="31"/>
      <c r="G11" s="29" t="s">
        <v>10</v>
      </c>
      <c r="H11" s="195" t="s">
        <v>157</v>
      </c>
      <c r="I11" s="199"/>
    </row>
    <row r="12" spans="1:9" ht="10.35" customHeight="1" x14ac:dyDescent="0.15">
      <c r="B12" s="29"/>
      <c r="C12" s="9"/>
      <c r="D12" s="31"/>
      <c r="E12" s="31"/>
      <c r="F12" s="31"/>
      <c r="G12" s="29"/>
      <c r="H12" s="9"/>
      <c r="I12" s="31"/>
    </row>
    <row r="13" spans="1:9" ht="18" customHeight="1" x14ac:dyDescent="0.15">
      <c r="A13" s="1" t="s">
        <v>7</v>
      </c>
      <c r="B13" s="9" t="s">
        <v>83</v>
      </c>
      <c r="C13" s="3"/>
      <c r="D13" s="3"/>
      <c r="E13" s="3"/>
      <c r="F13" s="3"/>
      <c r="G13" s="3"/>
      <c r="H13" s="3"/>
      <c r="I13" s="3"/>
    </row>
    <row r="14" spans="1:9" ht="18" customHeight="1" x14ac:dyDescent="0.15">
      <c r="B14" s="195" t="s">
        <v>158</v>
      </c>
      <c r="C14" s="196"/>
      <c r="D14" s="196"/>
      <c r="E14" s="196"/>
      <c r="F14" s="196"/>
      <c r="G14" s="196"/>
      <c r="H14" s="196"/>
      <c r="I14" s="197"/>
    </row>
    <row r="15" spans="1:9" ht="9" customHeight="1" x14ac:dyDescent="0.15">
      <c r="B15" s="3"/>
      <c r="C15" s="3"/>
      <c r="D15" s="3"/>
      <c r="E15" s="3"/>
      <c r="F15" s="3"/>
      <c r="G15" s="3"/>
      <c r="H15" s="3"/>
      <c r="I15" s="3"/>
    </row>
    <row r="16" spans="1:9" ht="18" customHeight="1" x14ac:dyDescent="0.15">
      <c r="B16" s="29" t="s">
        <v>41</v>
      </c>
      <c r="C16" s="195" t="s">
        <v>156</v>
      </c>
      <c r="D16" s="198"/>
      <c r="E16" s="199"/>
      <c r="F16" s="31"/>
      <c r="G16" s="29" t="s">
        <v>10</v>
      </c>
      <c r="H16" s="195" t="s">
        <v>157</v>
      </c>
      <c r="I16" s="199"/>
    </row>
    <row r="17" spans="1:9" ht="18" customHeight="1" x14ac:dyDescent="0.15">
      <c r="B17" s="3"/>
      <c r="C17" s="3"/>
      <c r="D17" s="3"/>
      <c r="E17" s="3"/>
      <c r="F17" s="3"/>
      <c r="G17" s="3"/>
      <c r="H17" s="3"/>
      <c r="I17" s="3"/>
    </row>
    <row r="18" spans="1:9" ht="18.75" customHeight="1" x14ac:dyDescent="0.15">
      <c r="A18" s="1" t="s">
        <v>5</v>
      </c>
      <c r="B18" s="1" t="s">
        <v>40</v>
      </c>
      <c r="I18" s="3"/>
    </row>
    <row r="19" spans="1:9" ht="18.75" customHeight="1" x14ac:dyDescent="0.15">
      <c r="A19" s="1"/>
      <c r="B19" s="181" t="s">
        <v>159</v>
      </c>
      <c r="C19" s="182"/>
      <c r="D19" s="182"/>
      <c r="E19" s="182"/>
      <c r="F19" s="182"/>
      <c r="G19" s="182"/>
      <c r="H19" s="182"/>
      <c r="I19" s="183"/>
    </row>
    <row r="20" spans="1:9" ht="7.5" customHeight="1" x14ac:dyDescent="0.15">
      <c r="B20" s="3"/>
      <c r="C20" s="3"/>
      <c r="D20" s="3"/>
      <c r="E20" s="3"/>
      <c r="F20" s="3"/>
      <c r="G20" s="3"/>
      <c r="H20" s="3"/>
      <c r="I20" s="3"/>
    </row>
    <row r="21" spans="1:9" ht="18.75" customHeight="1" x14ac:dyDescent="0.15">
      <c r="A21" s="1" t="s">
        <v>8</v>
      </c>
      <c r="B21" s="1" t="s">
        <v>24</v>
      </c>
    </row>
    <row r="22" spans="1:9" ht="18.75" customHeight="1" x14ac:dyDescent="0.15">
      <c r="A22" s="13"/>
      <c r="B22" s="184" t="s">
        <v>160</v>
      </c>
      <c r="C22" s="185"/>
      <c r="D22" s="185"/>
      <c r="E22" s="185"/>
      <c r="F22" s="185"/>
      <c r="G22" s="185"/>
      <c r="H22" s="185"/>
      <c r="I22" s="186"/>
    </row>
    <row r="23" spans="1:9" ht="18.75" customHeight="1" x14ac:dyDescent="0.15">
      <c r="A23" s="13"/>
      <c r="B23" s="187"/>
      <c r="C23" s="188"/>
      <c r="D23" s="188"/>
      <c r="E23" s="188"/>
      <c r="F23" s="188"/>
      <c r="G23" s="188"/>
      <c r="H23" s="188"/>
      <c r="I23" s="189"/>
    </row>
    <row r="24" spans="1:9" ht="18.75" customHeight="1" x14ac:dyDescent="0.15">
      <c r="A24" s="13"/>
      <c r="B24" s="187"/>
      <c r="C24" s="188"/>
      <c r="D24" s="188"/>
      <c r="E24" s="188"/>
      <c r="F24" s="188"/>
      <c r="G24" s="188"/>
      <c r="H24" s="188"/>
      <c r="I24" s="189"/>
    </row>
    <row r="25" spans="1:9" ht="18.75" customHeight="1" x14ac:dyDescent="0.15">
      <c r="A25" s="13"/>
      <c r="B25" s="187"/>
      <c r="C25" s="188"/>
      <c r="D25" s="188"/>
      <c r="E25" s="188"/>
      <c r="F25" s="188"/>
      <c r="G25" s="188"/>
      <c r="H25" s="188"/>
      <c r="I25" s="189"/>
    </row>
    <row r="26" spans="1:9" ht="18.75" customHeight="1" x14ac:dyDescent="0.15">
      <c r="A26" s="13"/>
      <c r="B26" s="187"/>
      <c r="C26" s="188"/>
      <c r="D26" s="188"/>
      <c r="E26" s="188"/>
      <c r="F26" s="188"/>
      <c r="G26" s="188"/>
      <c r="H26" s="188"/>
      <c r="I26" s="189"/>
    </row>
    <row r="27" spans="1:9" ht="18.75" customHeight="1" x14ac:dyDescent="0.15">
      <c r="A27" s="13"/>
      <c r="B27" s="187"/>
      <c r="C27" s="188"/>
      <c r="D27" s="188"/>
      <c r="E27" s="188"/>
      <c r="F27" s="188"/>
      <c r="G27" s="188"/>
      <c r="H27" s="188"/>
      <c r="I27" s="189"/>
    </row>
    <row r="28" spans="1:9" ht="18.75" customHeight="1" x14ac:dyDescent="0.15">
      <c r="A28" s="13"/>
      <c r="B28" s="187"/>
      <c r="C28" s="188"/>
      <c r="D28" s="188"/>
      <c r="E28" s="188"/>
      <c r="F28" s="188"/>
      <c r="G28" s="188"/>
      <c r="H28" s="188"/>
      <c r="I28" s="189"/>
    </row>
    <row r="29" spans="1:9" ht="18.75" customHeight="1" x14ac:dyDescent="0.15">
      <c r="A29" s="13"/>
      <c r="B29" s="187"/>
      <c r="C29" s="188"/>
      <c r="D29" s="188"/>
      <c r="E29" s="188"/>
      <c r="F29" s="188"/>
      <c r="G29" s="188"/>
      <c r="H29" s="188"/>
      <c r="I29" s="189"/>
    </row>
    <row r="30" spans="1:9" ht="18.75" customHeight="1" x14ac:dyDescent="0.15">
      <c r="A30" s="13"/>
      <c r="B30" s="190"/>
      <c r="C30" s="191"/>
      <c r="D30" s="191"/>
      <c r="E30" s="191"/>
      <c r="F30" s="191"/>
      <c r="G30" s="191"/>
      <c r="H30" s="191"/>
      <c r="I30" s="189"/>
    </row>
    <row r="31" spans="1:9" ht="18.75" customHeight="1" x14ac:dyDescent="0.15">
      <c r="A31" s="13"/>
      <c r="B31" s="190"/>
      <c r="C31" s="191"/>
      <c r="D31" s="191"/>
      <c r="E31" s="191"/>
      <c r="F31" s="191"/>
      <c r="G31" s="191"/>
      <c r="H31" s="191"/>
      <c r="I31" s="189"/>
    </row>
    <row r="32" spans="1:9" ht="18.75" customHeight="1" x14ac:dyDescent="0.15">
      <c r="A32" s="13"/>
      <c r="B32" s="192"/>
      <c r="C32" s="193"/>
      <c r="D32" s="193"/>
      <c r="E32" s="193"/>
      <c r="F32" s="193"/>
      <c r="G32" s="193"/>
      <c r="H32" s="193"/>
      <c r="I32" s="194"/>
    </row>
    <row r="33" spans="1:9" ht="7.5" customHeight="1" x14ac:dyDescent="0.15">
      <c r="A33" s="13"/>
      <c r="B33" s="13"/>
      <c r="C33" s="13"/>
      <c r="D33" s="13"/>
      <c r="E33" s="13"/>
      <c r="F33" s="13"/>
      <c r="G33" s="13"/>
      <c r="H33" s="13"/>
      <c r="I33" s="13"/>
    </row>
    <row r="34" spans="1:9" ht="18.75" customHeight="1" x14ac:dyDescent="0.15">
      <c r="A34" s="14" t="s">
        <v>6</v>
      </c>
      <c r="B34" s="14" t="s">
        <v>9</v>
      </c>
      <c r="C34" s="9"/>
      <c r="D34" s="14"/>
      <c r="E34" s="14"/>
      <c r="F34" s="14"/>
      <c r="G34" s="14"/>
      <c r="H34" s="14"/>
      <c r="I34" s="14"/>
    </row>
    <row r="35" spans="1:9" ht="18.75" customHeight="1" x14ac:dyDescent="0.15">
      <c r="A35" s="13"/>
      <c r="B35" s="184" t="s">
        <v>161</v>
      </c>
      <c r="C35" s="185"/>
      <c r="D35" s="185"/>
      <c r="E35" s="185"/>
      <c r="F35" s="185"/>
      <c r="G35" s="185"/>
      <c r="H35" s="185"/>
      <c r="I35" s="186"/>
    </row>
    <row r="36" spans="1:9" ht="18.75" customHeight="1" x14ac:dyDescent="0.15">
      <c r="A36" s="13"/>
      <c r="B36" s="190"/>
      <c r="C36" s="191"/>
      <c r="D36" s="191"/>
      <c r="E36" s="191"/>
      <c r="F36" s="191"/>
      <c r="G36" s="191"/>
      <c r="H36" s="191"/>
      <c r="I36" s="189"/>
    </row>
    <row r="37" spans="1:9" ht="18.75" customHeight="1" x14ac:dyDescent="0.15">
      <c r="A37" s="13"/>
      <c r="B37" s="190"/>
      <c r="C37" s="191"/>
      <c r="D37" s="191"/>
      <c r="E37" s="191"/>
      <c r="F37" s="191"/>
      <c r="G37" s="191"/>
      <c r="H37" s="191"/>
      <c r="I37" s="189"/>
    </row>
    <row r="38" spans="1:9" ht="18.75" customHeight="1" x14ac:dyDescent="0.15">
      <c r="A38" s="13"/>
      <c r="B38" s="190"/>
      <c r="C38" s="191"/>
      <c r="D38" s="191"/>
      <c r="E38" s="191"/>
      <c r="F38" s="191"/>
      <c r="G38" s="191"/>
      <c r="H38" s="191"/>
      <c r="I38" s="189"/>
    </row>
    <row r="39" spans="1:9" ht="18.75" customHeight="1" x14ac:dyDescent="0.15">
      <c r="A39" s="13"/>
      <c r="B39" s="190"/>
      <c r="C39" s="191"/>
      <c r="D39" s="191"/>
      <c r="E39" s="191"/>
      <c r="F39" s="191"/>
      <c r="G39" s="191"/>
      <c r="H39" s="191"/>
      <c r="I39" s="189"/>
    </row>
    <row r="40" spans="1:9" ht="18.75" customHeight="1" x14ac:dyDescent="0.15">
      <c r="A40" s="13"/>
      <c r="B40" s="190"/>
      <c r="C40" s="191"/>
      <c r="D40" s="191"/>
      <c r="E40" s="191"/>
      <c r="F40" s="191"/>
      <c r="G40" s="191"/>
      <c r="H40" s="191"/>
      <c r="I40" s="189"/>
    </row>
    <row r="41" spans="1:9" ht="18.75" customHeight="1" x14ac:dyDescent="0.15">
      <c r="A41" s="13"/>
      <c r="B41" s="190"/>
      <c r="C41" s="191"/>
      <c r="D41" s="191"/>
      <c r="E41" s="191"/>
      <c r="F41" s="191"/>
      <c r="G41" s="191"/>
      <c r="H41" s="191"/>
      <c r="I41" s="189"/>
    </row>
    <row r="42" spans="1:9" ht="18.75" customHeight="1" x14ac:dyDescent="0.15">
      <c r="A42" s="13"/>
      <c r="B42" s="190"/>
      <c r="C42" s="191"/>
      <c r="D42" s="191"/>
      <c r="E42" s="191"/>
      <c r="F42" s="191"/>
      <c r="G42" s="191"/>
      <c r="H42" s="191"/>
      <c r="I42" s="189"/>
    </row>
    <row r="43" spans="1:9" ht="18.75" customHeight="1" x14ac:dyDescent="0.15">
      <c r="A43" s="13"/>
      <c r="B43" s="190"/>
      <c r="C43" s="191"/>
      <c r="D43" s="191"/>
      <c r="E43" s="191"/>
      <c r="F43" s="191"/>
      <c r="G43" s="191"/>
      <c r="H43" s="191"/>
      <c r="I43" s="189"/>
    </row>
    <row r="44" spans="1:9" ht="18.75" customHeight="1" x14ac:dyDescent="0.15">
      <c r="A44" s="13"/>
      <c r="B44" s="190"/>
      <c r="C44" s="191"/>
      <c r="D44" s="191"/>
      <c r="E44" s="191"/>
      <c r="F44" s="191"/>
      <c r="G44" s="191"/>
      <c r="H44" s="191"/>
      <c r="I44" s="189"/>
    </row>
    <row r="45" spans="1:9" ht="18.75" customHeight="1" x14ac:dyDescent="0.15">
      <c r="A45" s="13"/>
      <c r="B45" s="190"/>
      <c r="C45" s="191"/>
      <c r="D45" s="191"/>
      <c r="E45" s="191"/>
      <c r="F45" s="191"/>
      <c r="G45" s="191"/>
      <c r="H45" s="191"/>
      <c r="I45" s="189"/>
    </row>
    <row r="46" spans="1:9" ht="18.75" customHeight="1" x14ac:dyDescent="0.15">
      <c r="A46" s="13"/>
      <c r="B46" s="192"/>
      <c r="C46" s="193"/>
      <c r="D46" s="193"/>
      <c r="E46" s="193"/>
      <c r="F46" s="193"/>
      <c r="G46" s="193"/>
      <c r="H46" s="193"/>
      <c r="I46" s="194"/>
    </row>
    <row r="47" spans="1:9" ht="7.5" customHeight="1" x14ac:dyDescent="0.15">
      <c r="A47" s="4"/>
      <c r="B47" s="4"/>
      <c r="C47" s="4"/>
      <c r="D47" s="4"/>
      <c r="E47" s="4"/>
      <c r="F47" s="4"/>
      <c r="G47" s="4"/>
      <c r="H47" s="4"/>
      <c r="I47" s="4"/>
    </row>
    <row r="48" spans="1:9" ht="18.75" customHeight="1" x14ac:dyDescent="0.15">
      <c r="A48" s="1" t="s">
        <v>30</v>
      </c>
      <c r="B48" s="1" t="s">
        <v>110</v>
      </c>
    </row>
    <row r="49" spans="1:15" s="3" customFormat="1" ht="60.75" customHeight="1" x14ac:dyDescent="0.15">
      <c r="B49" s="244" t="s">
        <v>127</v>
      </c>
      <c r="C49" s="245">
        <f>'様式２ 履修者等数の実績'!S33</f>
        <v>9.1603053435114504E-2</v>
      </c>
      <c r="D49" s="245"/>
      <c r="E49" s="244" t="s">
        <v>63</v>
      </c>
      <c r="F49" s="246">
        <v>0.28000000000000003</v>
      </c>
      <c r="G49" s="247"/>
      <c r="H49" s="244" t="s">
        <v>64</v>
      </c>
      <c r="I49" s="248">
        <v>0.47</v>
      </c>
      <c r="J49" s="1"/>
      <c r="M49" s="1"/>
      <c r="N49" s="32"/>
    </row>
    <row r="50" spans="1:15" s="3" customFormat="1" ht="68.099999999999994" customHeight="1" x14ac:dyDescent="0.15">
      <c r="B50" s="249" t="s">
        <v>84</v>
      </c>
      <c r="C50" s="245">
        <v>0.66</v>
      </c>
      <c r="D50" s="250"/>
      <c r="E50" s="249" t="s">
        <v>128</v>
      </c>
      <c r="F50" s="245">
        <v>0.84</v>
      </c>
      <c r="G50" s="250"/>
      <c r="H50" s="249" t="s">
        <v>65</v>
      </c>
      <c r="I50" s="251">
        <f>'様式２ 履修者等数の実績'!E33</f>
        <v>3406</v>
      </c>
      <c r="J50" s="1"/>
      <c r="M50" s="1"/>
      <c r="N50" s="32"/>
    </row>
    <row r="51" spans="1:15" ht="18.75" customHeight="1" x14ac:dyDescent="0.15">
      <c r="A51" s="1"/>
      <c r="B51" s="252" t="s">
        <v>66</v>
      </c>
      <c r="C51" s="253"/>
      <c r="D51" s="253"/>
      <c r="E51" s="253"/>
      <c r="F51" s="253"/>
      <c r="G51" s="253"/>
      <c r="H51" s="253"/>
      <c r="I51" s="254"/>
      <c r="N51" s="32"/>
      <c r="O51" s="3"/>
    </row>
    <row r="52" spans="1:15" ht="18.75" customHeight="1" x14ac:dyDescent="0.15">
      <c r="A52" s="1"/>
      <c r="B52" s="255" t="s">
        <v>216</v>
      </c>
      <c r="C52" s="256"/>
      <c r="D52" s="256"/>
      <c r="E52" s="256"/>
      <c r="F52" s="256"/>
      <c r="G52" s="256"/>
      <c r="H52" s="256"/>
      <c r="I52" s="257"/>
      <c r="N52" s="32"/>
      <c r="O52" s="3"/>
    </row>
    <row r="53" spans="1:15" ht="18.75" customHeight="1" x14ac:dyDescent="0.15">
      <c r="A53" s="1"/>
      <c r="B53" s="258"/>
      <c r="C53" s="259"/>
      <c r="D53" s="259"/>
      <c r="E53" s="259"/>
      <c r="F53" s="259"/>
      <c r="G53" s="259"/>
      <c r="H53" s="259"/>
      <c r="I53" s="260"/>
      <c r="N53" s="32"/>
      <c r="O53" s="3"/>
    </row>
    <row r="54" spans="1:15" ht="18.75" customHeight="1" x14ac:dyDescent="0.15">
      <c r="A54" s="1"/>
      <c r="B54" s="258"/>
      <c r="C54" s="259"/>
      <c r="D54" s="259"/>
      <c r="E54" s="259"/>
      <c r="F54" s="259"/>
      <c r="G54" s="259"/>
      <c r="H54" s="259"/>
      <c r="I54" s="260"/>
    </row>
    <row r="55" spans="1:15" ht="18.75" customHeight="1" x14ac:dyDescent="0.15">
      <c r="A55" s="1"/>
      <c r="B55" s="258"/>
      <c r="C55" s="259"/>
      <c r="D55" s="259"/>
      <c r="E55" s="259"/>
      <c r="F55" s="259"/>
      <c r="G55" s="259"/>
      <c r="H55" s="259"/>
      <c r="I55" s="260"/>
    </row>
    <row r="56" spans="1:15" ht="18.75" customHeight="1" x14ac:dyDescent="0.15">
      <c r="A56" s="1"/>
      <c r="B56" s="258"/>
      <c r="C56" s="259"/>
      <c r="D56" s="259"/>
      <c r="E56" s="259"/>
      <c r="F56" s="259"/>
      <c r="G56" s="259"/>
      <c r="H56" s="259"/>
      <c r="I56" s="260"/>
    </row>
    <row r="57" spans="1:15" ht="18.75" customHeight="1" x14ac:dyDescent="0.15">
      <c r="A57" s="1"/>
      <c r="B57" s="258"/>
      <c r="C57" s="259"/>
      <c r="D57" s="259"/>
      <c r="E57" s="259"/>
      <c r="F57" s="259"/>
      <c r="G57" s="259"/>
      <c r="H57" s="259"/>
      <c r="I57" s="260"/>
    </row>
    <row r="58" spans="1:15" ht="18.75" customHeight="1" x14ac:dyDescent="0.15">
      <c r="A58" s="1"/>
      <c r="B58" s="258"/>
      <c r="C58" s="259"/>
      <c r="D58" s="259"/>
      <c r="E58" s="259"/>
      <c r="F58" s="259"/>
      <c r="G58" s="259"/>
      <c r="H58" s="259"/>
      <c r="I58" s="260"/>
    </row>
    <row r="59" spans="1:15" ht="18.75" customHeight="1" x14ac:dyDescent="0.15">
      <c r="A59" s="1"/>
      <c r="B59" s="258"/>
      <c r="C59" s="259"/>
      <c r="D59" s="259"/>
      <c r="E59" s="259"/>
      <c r="F59" s="259"/>
      <c r="G59" s="259"/>
      <c r="H59" s="259"/>
      <c r="I59" s="260"/>
    </row>
    <row r="60" spans="1:15" ht="18.75" customHeight="1" x14ac:dyDescent="0.15">
      <c r="A60" s="1"/>
      <c r="B60" s="258"/>
      <c r="C60" s="259"/>
      <c r="D60" s="259"/>
      <c r="E60" s="259"/>
      <c r="F60" s="259"/>
      <c r="G60" s="259"/>
      <c r="H60" s="259"/>
      <c r="I60" s="260"/>
    </row>
    <row r="61" spans="1:15" ht="18.75" customHeight="1" x14ac:dyDescent="0.15">
      <c r="A61" s="1"/>
      <c r="B61" s="258"/>
      <c r="C61" s="259"/>
      <c r="D61" s="259"/>
      <c r="E61" s="259"/>
      <c r="F61" s="259"/>
      <c r="G61" s="259"/>
      <c r="H61" s="259"/>
      <c r="I61" s="260"/>
    </row>
    <row r="62" spans="1:15" ht="18.75" customHeight="1" x14ac:dyDescent="0.15">
      <c r="A62" s="1"/>
      <c r="B62" s="258"/>
      <c r="C62" s="259"/>
      <c r="D62" s="259"/>
      <c r="E62" s="259"/>
      <c r="F62" s="259"/>
      <c r="G62" s="259"/>
      <c r="H62" s="259"/>
      <c r="I62" s="260"/>
    </row>
    <row r="63" spans="1:15" ht="18.75" customHeight="1" x14ac:dyDescent="0.15">
      <c r="A63" s="1"/>
      <c r="B63" s="261"/>
      <c r="C63" s="262"/>
      <c r="D63" s="262"/>
      <c r="E63" s="262"/>
      <c r="F63" s="262"/>
      <c r="G63" s="262"/>
      <c r="H63" s="262"/>
      <c r="I63" s="263"/>
    </row>
    <row r="64" spans="1:15" ht="7.5" customHeight="1" x14ac:dyDescent="0.15">
      <c r="A64" s="13"/>
      <c r="B64" s="13"/>
      <c r="C64" s="13"/>
      <c r="D64" s="13"/>
      <c r="E64" s="13"/>
      <c r="F64" s="13"/>
      <c r="G64" s="13"/>
      <c r="H64" s="13"/>
      <c r="I64" s="13"/>
    </row>
    <row r="65" spans="1:9" ht="18.75" customHeight="1" x14ac:dyDescent="0.15">
      <c r="A65" s="14" t="s">
        <v>33</v>
      </c>
      <c r="B65" s="1" t="s">
        <v>36</v>
      </c>
      <c r="I65" s="14"/>
    </row>
    <row r="66" spans="1:9" ht="18.75" customHeight="1" x14ac:dyDescent="0.15">
      <c r="A66" s="4"/>
      <c r="B66" s="202" t="s">
        <v>162</v>
      </c>
      <c r="C66" s="203"/>
      <c r="D66" s="203"/>
      <c r="E66" s="203"/>
      <c r="F66" s="203"/>
      <c r="G66" s="203"/>
      <c r="H66" s="203"/>
      <c r="I66" s="204"/>
    </row>
    <row r="67" spans="1:9" ht="18.75" customHeight="1" x14ac:dyDescent="0.15">
      <c r="A67" s="4"/>
      <c r="B67" s="205"/>
      <c r="C67" s="206"/>
      <c r="D67" s="206"/>
      <c r="E67" s="206"/>
      <c r="F67" s="206"/>
      <c r="G67" s="206"/>
      <c r="H67" s="206"/>
      <c r="I67" s="207"/>
    </row>
    <row r="68" spans="1:9" ht="18.75" customHeight="1" x14ac:dyDescent="0.15">
      <c r="A68" s="4"/>
      <c r="B68" s="205"/>
      <c r="C68" s="206"/>
      <c r="D68" s="206"/>
      <c r="E68" s="206"/>
      <c r="F68" s="206"/>
      <c r="G68" s="206"/>
      <c r="H68" s="206"/>
      <c r="I68" s="207"/>
    </row>
    <row r="69" spans="1:9" ht="18.75" customHeight="1" x14ac:dyDescent="0.15">
      <c r="A69" s="4"/>
      <c r="B69" s="205"/>
      <c r="C69" s="206"/>
      <c r="D69" s="206"/>
      <c r="E69" s="206"/>
      <c r="F69" s="206"/>
      <c r="G69" s="206"/>
      <c r="H69" s="206"/>
      <c r="I69" s="207"/>
    </row>
    <row r="70" spans="1:9" ht="18.75" customHeight="1" x14ac:dyDescent="0.15">
      <c r="A70" s="4"/>
      <c r="B70" s="205"/>
      <c r="C70" s="206"/>
      <c r="D70" s="206"/>
      <c r="E70" s="206"/>
      <c r="F70" s="206"/>
      <c r="G70" s="206"/>
      <c r="H70" s="206"/>
      <c r="I70" s="207"/>
    </row>
    <row r="71" spans="1:9" ht="18.75" customHeight="1" x14ac:dyDescent="0.15">
      <c r="A71" s="4"/>
      <c r="B71" s="205"/>
      <c r="C71" s="206"/>
      <c r="D71" s="206"/>
      <c r="E71" s="206"/>
      <c r="F71" s="206"/>
      <c r="G71" s="206"/>
      <c r="H71" s="206"/>
      <c r="I71" s="207"/>
    </row>
    <row r="72" spans="1:9" ht="18.75" customHeight="1" x14ac:dyDescent="0.15">
      <c r="A72" s="4"/>
      <c r="B72" s="205"/>
      <c r="C72" s="206"/>
      <c r="D72" s="206"/>
      <c r="E72" s="206"/>
      <c r="F72" s="206"/>
      <c r="G72" s="206"/>
      <c r="H72" s="206"/>
      <c r="I72" s="207"/>
    </row>
    <row r="73" spans="1:9" ht="18.75" customHeight="1" x14ac:dyDescent="0.15">
      <c r="A73" s="4"/>
      <c r="B73" s="205"/>
      <c r="C73" s="206"/>
      <c r="D73" s="206"/>
      <c r="E73" s="206"/>
      <c r="F73" s="206"/>
      <c r="G73" s="206"/>
      <c r="H73" s="206"/>
      <c r="I73" s="207"/>
    </row>
    <row r="74" spans="1:9" ht="18.75" customHeight="1" x14ac:dyDescent="0.15">
      <c r="A74" s="4"/>
      <c r="B74" s="205"/>
      <c r="C74" s="206"/>
      <c r="D74" s="206"/>
      <c r="E74" s="206"/>
      <c r="F74" s="206"/>
      <c r="G74" s="206"/>
      <c r="H74" s="206"/>
      <c r="I74" s="207"/>
    </row>
    <row r="75" spans="1:9" ht="18.75" customHeight="1" x14ac:dyDescent="0.15">
      <c r="A75" s="4"/>
      <c r="B75" s="205"/>
      <c r="C75" s="206"/>
      <c r="D75" s="206"/>
      <c r="E75" s="206"/>
      <c r="F75" s="206"/>
      <c r="G75" s="206"/>
      <c r="H75" s="206"/>
      <c r="I75" s="207"/>
    </row>
    <row r="76" spans="1:9" ht="18.75" customHeight="1" x14ac:dyDescent="0.15">
      <c r="A76" s="4"/>
      <c r="B76" s="205"/>
      <c r="C76" s="206"/>
      <c r="D76" s="206"/>
      <c r="E76" s="206"/>
      <c r="F76" s="206"/>
      <c r="G76" s="206"/>
      <c r="H76" s="206"/>
      <c r="I76" s="207"/>
    </row>
    <row r="77" spans="1:9" ht="18.75" customHeight="1" x14ac:dyDescent="0.15">
      <c r="A77" s="4"/>
      <c r="B77" s="208"/>
      <c r="C77" s="209"/>
      <c r="D77" s="209"/>
      <c r="E77" s="209"/>
      <c r="F77" s="209"/>
      <c r="G77" s="209"/>
      <c r="H77" s="209"/>
      <c r="I77" s="210"/>
    </row>
    <row r="78" spans="1:9" ht="7.5" customHeight="1" x14ac:dyDescent="0.15">
      <c r="A78" s="4"/>
      <c r="B78" s="4"/>
      <c r="C78" s="4"/>
      <c r="D78" s="4"/>
      <c r="E78" s="4"/>
      <c r="F78" s="4"/>
      <c r="G78" s="4"/>
      <c r="H78" s="4"/>
      <c r="I78" s="4"/>
    </row>
    <row r="79" spans="1:9" ht="18.75" customHeight="1" x14ac:dyDescent="0.15">
      <c r="A79" s="1" t="s">
        <v>11</v>
      </c>
      <c r="B79" s="1" t="s">
        <v>39</v>
      </c>
    </row>
    <row r="80" spans="1:9" ht="18.75" customHeight="1" x14ac:dyDescent="0.15">
      <c r="A80" s="1"/>
      <c r="B80" s="202" t="s">
        <v>163</v>
      </c>
      <c r="C80" s="203"/>
      <c r="D80" s="203"/>
      <c r="E80" s="203"/>
      <c r="F80" s="203"/>
      <c r="G80" s="203"/>
      <c r="H80" s="203"/>
      <c r="I80" s="211"/>
    </row>
    <row r="81" spans="1:9" ht="18.75" customHeight="1" x14ac:dyDescent="0.15">
      <c r="A81" s="1"/>
      <c r="B81" s="212"/>
      <c r="C81" s="213"/>
      <c r="D81" s="213"/>
      <c r="E81" s="213"/>
      <c r="F81" s="213"/>
      <c r="G81" s="213"/>
      <c r="H81" s="213"/>
      <c r="I81" s="214"/>
    </row>
    <row r="82" spans="1:9" ht="18.75" customHeight="1" x14ac:dyDescent="0.15">
      <c r="A82" s="1"/>
      <c r="B82" s="212"/>
      <c r="C82" s="213"/>
      <c r="D82" s="213"/>
      <c r="E82" s="213"/>
      <c r="F82" s="213"/>
      <c r="G82" s="213"/>
      <c r="H82" s="213"/>
      <c r="I82" s="214"/>
    </row>
    <row r="83" spans="1:9" ht="18.75" customHeight="1" x14ac:dyDescent="0.15">
      <c r="A83" s="1"/>
      <c r="B83" s="212"/>
      <c r="C83" s="213"/>
      <c r="D83" s="213"/>
      <c r="E83" s="213"/>
      <c r="F83" s="213"/>
      <c r="G83" s="213"/>
      <c r="H83" s="213"/>
      <c r="I83" s="214"/>
    </row>
    <row r="84" spans="1:9" ht="18.75" customHeight="1" x14ac:dyDescent="0.15">
      <c r="A84" s="1"/>
      <c r="B84" s="212"/>
      <c r="C84" s="213"/>
      <c r="D84" s="213"/>
      <c r="E84" s="213"/>
      <c r="F84" s="213"/>
      <c r="G84" s="213"/>
      <c r="H84" s="213"/>
      <c r="I84" s="214"/>
    </row>
    <row r="85" spans="1:9" ht="18.75" customHeight="1" x14ac:dyDescent="0.15">
      <c r="A85" s="1"/>
      <c r="B85" s="212"/>
      <c r="C85" s="213"/>
      <c r="D85" s="213"/>
      <c r="E85" s="213"/>
      <c r="F85" s="213"/>
      <c r="G85" s="213"/>
      <c r="H85" s="213"/>
      <c r="I85" s="214"/>
    </row>
    <row r="86" spans="1:9" ht="18.75" customHeight="1" x14ac:dyDescent="0.15">
      <c r="A86" s="1"/>
      <c r="B86" s="212"/>
      <c r="C86" s="213"/>
      <c r="D86" s="213"/>
      <c r="E86" s="213"/>
      <c r="F86" s="213"/>
      <c r="G86" s="213"/>
      <c r="H86" s="213"/>
      <c r="I86" s="214"/>
    </row>
    <row r="87" spans="1:9" ht="18.75" customHeight="1" x14ac:dyDescent="0.15">
      <c r="A87" s="1"/>
      <c r="B87" s="212"/>
      <c r="C87" s="213"/>
      <c r="D87" s="213"/>
      <c r="E87" s="213"/>
      <c r="F87" s="213"/>
      <c r="G87" s="213"/>
      <c r="H87" s="213"/>
      <c r="I87" s="214"/>
    </row>
    <row r="88" spans="1:9" ht="18.75" customHeight="1" x14ac:dyDescent="0.15">
      <c r="A88" s="1"/>
      <c r="B88" s="212"/>
      <c r="C88" s="213"/>
      <c r="D88" s="213"/>
      <c r="E88" s="213"/>
      <c r="F88" s="213"/>
      <c r="G88" s="213"/>
      <c r="H88" s="213"/>
      <c r="I88" s="214"/>
    </row>
    <row r="89" spans="1:9" ht="18.75" customHeight="1" x14ac:dyDescent="0.15">
      <c r="A89" s="1"/>
      <c r="B89" s="212"/>
      <c r="C89" s="213"/>
      <c r="D89" s="213"/>
      <c r="E89" s="213"/>
      <c r="F89" s="213"/>
      <c r="G89" s="213"/>
      <c r="H89" s="213"/>
      <c r="I89" s="214"/>
    </row>
    <row r="90" spans="1:9" ht="18.75" customHeight="1" x14ac:dyDescent="0.15">
      <c r="A90" s="4"/>
      <c r="B90" s="212"/>
      <c r="C90" s="213"/>
      <c r="D90" s="213"/>
      <c r="E90" s="213"/>
      <c r="F90" s="213"/>
      <c r="G90" s="213"/>
      <c r="H90" s="213"/>
      <c r="I90" s="214"/>
    </row>
    <row r="91" spans="1:9" ht="18.75" customHeight="1" x14ac:dyDescent="0.15">
      <c r="A91" s="4"/>
      <c r="B91" s="215"/>
      <c r="C91" s="216"/>
      <c r="D91" s="216"/>
      <c r="E91" s="216"/>
      <c r="F91" s="216"/>
      <c r="G91" s="216"/>
      <c r="H91" s="216"/>
      <c r="I91" s="217"/>
    </row>
    <row r="92" spans="1:9" ht="7.5" customHeight="1" x14ac:dyDescent="0.15">
      <c r="A92" s="4"/>
      <c r="B92" s="4"/>
      <c r="C92" s="4"/>
      <c r="D92" s="4"/>
      <c r="E92" s="4"/>
      <c r="F92" s="4"/>
      <c r="G92" s="4"/>
      <c r="H92" s="4"/>
      <c r="I92" s="4"/>
    </row>
    <row r="93" spans="1:9" ht="18.75" customHeight="1" x14ac:dyDescent="0.15">
      <c r="A93" s="1" t="s">
        <v>42</v>
      </c>
      <c r="B93" s="1" t="s">
        <v>12</v>
      </c>
    </row>
    <row r="94" spans="1:9" ht="18.75" customHeight="1" x14ac:dyDescent="0.15">
      <c r="A94" s="1"/>
      <c r="B94" s="184" t="s">
        <v>164</v>
      </c>
      <c r="C94" s="185"/>
      <c r="D94" s="185"/>
      <c r="E94" s="185"/>
      <c r="F94" s="185"/>
      <c r="G94" s="185"/>
      <c r="H94" s="185"/>
      <c r="I94" s="186"/>
    </row>
    <row r="95" spans="1:9" ht="18.75" customHeight="1" x14ac:dyDescent="0.15">
      <c r="A95" s="1"/>
      <c r="B95" s="190"/>
      <c r="C95" s="191"/>
      <c r="D95" s="191"/>
      <c r="E95" s="191"/>
      <c r="F95" s="191"/>
      <c r="G95" s="191"/>
      <c r="H95" s="191"/>
      <c r="I95" s="189"/>
    </row>
    <row r="96" spans="1:9" ht="18.75" customHeight="1" x14ac:dyDescent="0.15">
      <c r="A96" s="1"/>
      <c r="B96" s="190"/>
      <c r="C96" s="191"/>
      <c r="D96" s="191"/>
      <c r="E96" s="191"/>
      <c r="F96" s="191"/>
      <c r="G96" s="191"/>
      <c r="H96" s="191"/>
      <c r="I96" s="189"/>
    </row>
    <row r="97" spans="1:9" ht="18.75" customHeight="1" x14ac:dyDescent="0.15">
      <c r="A97" s="1"/>
      <c r="B97" s="190"/>
      <c r="C97" s="191"/>
      <c r="D97" s="191"/>
      <c r="E97" s="191"/>
      <c r="F97" s="191"/>
      <c r="G97" s="191"/>
      <c r="H97" s="191"/>
      <c r="I97" s="189"/>
    </row>
    <row r="98" spans="1:9" ht="18.75" customHeight="1" x14ac:dyDescent="0.15">
      <c r="A98" s="1"/>
      <c r="B98" s="190"/>
      <c r="C98" s="191"/>
      <c r="D98" s="191"/>
      <c r="E98" s="191"/>
      <c r="F98" s="191"/>
      <c r="G98" s="191"/>
      <c r="H98" s="191"/>
      <c r="I98" s="189"/>
    </row>
    <row r="99" spans="1:9" ht="18.75" customHeight="1" x14ac:dyDescent="0.15">
      <c r="A99" s="1"/>
      <c r="B99" s="190"/>
      <c r="C99" s="191"/>
      <c r="D99" s="191"/>
      <c r="E99" s="191"/>
      <c r="F99" s="191"/>
      <c r="G99" s="191"/>
      <c r="H99" s="191"/>
      <c r="I99" s="189"/>
    </row>
    <row r="100" spans="1:9" ht="18.75" customHeight="1" x14ac:dyDescent="0.15">
      <c r="A100" s="1"/>
      <c r="B100" s="190"/>
      <c r="C100" s="191"/>
      <c r="D100" s="191"/>
      <c r="E100" s="191"/>
      <c r="F100" s="191"/>
      <c r="G100" s="191"/>
      <c r="H100" s="191"/>
      <c r="I100" s="189"/>
    </row>
    <row r="101" spans="1:9" ht="18.75" customHeight="1" x14ac:dyDescent="0.15">
      <c r="A101" s="1"/>
      <c r="B101" s="190"/>
      <c r="C101" s="191"/>
      <c r="D101" s="191"/>
      <c r="E101" s="191"/>
      <c r="F101" s="191"/>
      <c r="G101" s="191"/>
      <c r="H101" s="191"/>
      <c r="I101" s="189"/>
    </row>
    <row r="102" spans="1:9" ht="18.75" customHeight="1" x14ac:dyDescent="0.15">
      <c r="A102" s="1"/>
      <c r="B102" s="190"/>
      <c r="C102" s="191"/>
      <c r="D102" s="191"/>
      <c r="E102" s="191"/>
      <c r="F102" s="191"/>
      <c r="G102" s="191"/>
      <c r="H102" s="191"/>
      <c r="I102" s="189"/>
    </row>
    <row r="103" spans="1:9" ht="18.75" customHeight="1" x14ac:dyDescent="0.15">
      <c r="A103" s="1"/>
      <c r="B103" s="190"/>
      <c r="C103" s="191"/>
      <c r="D103" s="191"/>
      <c r="E103" s="191"/>
      <c r="F103" s="191"/>
      <c r="G103" s="191"/>
      <c r="H103" s="191"/>
      <c r="I103" s="189"/>
    </row>
    <row r="104" spans="1:9" ht="18.75" customHeight="1" x14ac:dyDescent="0.15">
      <c r="A104" s="1"/>
      <c r="B104" s="190"/>
      <c r="C104" s="191"/>
      <c r="D104" s="191"/>
      <c r="E104" s="191"/>
      <c r="F104" s="191"/>
      <c r="G104" s="191"/>
      <c r="H104" s="191"/>
      <c r="I104" s="189"/>
    </row>
    <row r="105" spans="1:9" ht="18.75" customHeight="1" x14ac:dyDescent="0.15">
      <c r="A105" s="4"/>
      <c r="B105" s="192"/>
      <c r="C105" s="193"/>
      <c r="D105" s="193"/>
      <c r="E105" s="193"/>
      <c r="F105" s="193"/>
      <c r="G105" s="193"/>
      <c r="H105" s="193"/>
      <c r="I105" s="194"/>
    </row>
    <row r="106" spans="1:9" ht="7.5" customHeight="1" x14ac:dyDescent="0.15">
      <c r="A106" s="4"/>
      <c r="B106" s="4"/>
      <c r="C106" s="4"/>
      <c r="D106" s="4"/>
      <c r="E106" s="4"/>
      <c r="F106" s="4"/>
      <c r="G106" s="4"/>
      <c r="H106" s="4"/>
      <c r="I106" s="4"/>
    </row>
    <row r="107" spans="1:9" ht="18.75" customHeight="1" x14ac:dyDescent="0.15">
      <c r="A107" s="1" t="s">
        <v>29</v>
      </c>
      <c r="B107" s="201" t="s">
        <v>44</v>
      </c>
      <c r="C107" s="201"/>
      <c r="D107" s="201"/>
      <c r="E107" s="201"/>
      <c r="F107" s="201"/>
      <c r="G107" s="201"/>
      <c r="H107" s="201"/>
      <c r="I107" s="201"/>
    </row>
    <row r="108" spans="1:9" ht="18.75" customHeight="1" x14ac:dyDescent="0.15">
      <c r="A108" s="4"/>
      <c r="B108" s="184" t="s">
        <v>165</v>
      </c>
      <c r="C108" s="185"/>
      <c r="D108" s="185"/>
      <c r="E108" s="185"/>
      <c r="F108" s="185"/>
      <c r="G108" s="185"/>
      <c r="H108" s="185"/>
      <c r="I108" s="186"/>
    </row>
    <row r="109" spans="1:9" ht="18.75" customHeight="1" x14ac:dyDescent="0.15">
      <c r="A109" s="4"/>
      <c r="B109" s="190"/>
      <c r="C109" s="191"/>
      <c r="D109" s="191"/>
      <c r="E109" s="191"/>
      <c r="F109" s="191"/>
      <c r="G109" s="191"/>
      <c r="H109" s="191"/>
      <c r="I109" s="189"/>
    </row>
    <row r="110" spans="1:9" ht="18.75" customHeight="1" x14ac:dyDescent="0.15">
      <c r="A110" s="4"/>
      <c r="B110" s="190"/>
      <c r="C110" s="191"/>
      <c r="D110" s="191"/>
      <c r="E110" s="191"/>
      <c r="F110" s="191"/>
      <c r="G110" s="191"/>
      <c r="H110" s="191"/>
      <c r="I110" s="189"/>
    </row>
    <row r="111" spans="1:9" ht="18.75" customHeight="1" x14ac:dyDescent="0.15">
      <c r="A111" s="4"/>
      <c r="B111" s="190"/>
      <c r="C111" s="191"/>
      <c r="D111" s="191"/>
      <c r="E111" s="191"/>
      <c r="F111" s="191"/>
      <c r="G111" s="191"/>
      <c r="H111" s="191"/>
      <c r="I111" s="189"/>
    </row>
    <row r="112" spans="1:9" ht="18.75" customHeight="1" x14ac:dyDescent="0.15">
      <c r="A112" s="4"/>
      <c r="B112" s="190"/>
      <c r="C112" s="191"/>
      <c r="D112" s="191"/>
      <c r="E112" s="191"/>
      <c r="F112" s="191"/>
      <c r="G112" s="191"/>
      <c r="H112" s="191"/>
      <c r="I112" s="189"/>
    </row>
    <row r="113" spans="1:9" ht="18.75" customHeight="1" x14ac:dyDescent="0.15">
      <c r="A113" s="4"/>
      <c r="B113" s="190"/>
      <c r="C113" s="191"/>
      <c r="D113" s="191"/>
      <c r="E113" s="191"/>
      <c r="F113" s="191"/>
      <c r="G113" s="191"/>
      <c r="H113" s="191"/>
      <c r="I113" s="189"/>
    </row>
    <row r="114" spans="1:9" ht="18.75" customHeight="1" x14ac:dyDescent="0.15">
      <c r="A114" s="4"/>
      <c r="B114" s="190"/>
      <c r="C114" s="191"/>
      <c r="D114" s="191"/>
      <c r="E114" s="191"/>
      <c r="F114" s="191"/>
      <c r="G114" s="191"/>
      <c r="H114" s="191"/>
      <c r="I114" s="189"/>
    </row>
    <row r="115" spans="1:9" ht="18.75" customHeight="1" x14ac:dyDescent="0.15">
      <c r="A115" s="4"/>
      <c r="B115" s="190"/>
      <c r="C115" s="191"/>
      <c r="D115" s="191"/>
      <c r="E115" s="191"/>
      <c r="F115" s="191"/>
      <c r="G115" s="191"/>
      <c r="H115" s="191"/>
      <c r="I115" s="189"/>
    </row>
    <row r="116" spans="1:9" ht="18.75" customHeight="1" x14ac:dyDescent="0.15">
      <c r="A116" s="4"/>
      <c r="B116" s="190"/>
      <c r="C116" s="191"/>
      <c r="D116" s="191"/>
      <c r="E116" s="191"/>
      <c r="F116" s="191"/>
      <c r="G116" s="191"/>
      <c r="H116" s="191"/>
      <c r="I116" s="189"/>
    </row>
    <row r="117" spans="1:9" ht="18.75" customHeight="1" x14ac:dyDescent="0.15">
      <c r="A117" s="4"/>
      <c r="B117" s="190"/>
      <c r="C117" s="191"/>
      <c r="D117" s="191"/>
      <c r="E117" s="191"/>
      <c r="F117" s="191"/>
      <c r="G117" s="191"/>
      <c r="H117" s="191"/>
      <c r="I117" s="189"/>
    </row>
    <row r="118" spans="1:9" ht="18.75" customHeight="1" x14ac:dyDescent="0.15">
      <c r="A118" s="4"/>
      <c r="B118" s="190"/>
      <c r="C118" s="191"/>
      <c r="D118" s="191"/>
      <c r="E118" s="191"/>
      <c r="F118" s="191"/>
      <c r="G118" s="191"/>
      <c r="H118" s="191"/>
      <c r="I118" s="189"/>
    </row>
    <row r="119" spans="1:9" ht="18.75" customHeight="1" x14ac:dyDescent="0.15">
      <c r="A119" s="4"/>
      <c r="B119" s="192"/>
      <c r="C119" s="193"/>
      <c r="D119" s="193"/>
      <c r="E119" s="193"/>
      <c r="F119" s="193"/>
      <c r="G119" s="193"/>
      <c r="H119" s="193"/>
      <c r="I119" s="194"/>
    </row>
    <row r="120" spans="1:9" ht="7.5" customHeight="1" x14ac:dyDescent="0.15">
      <c r="A120" s="4"/>
      <c r="B120" s="33"/>
      <c r="C120" s="33"/>
      <c r="D120" s="33"/>
      <c r="E120" s="33"/>
      <c r="F120" s="33"/>
      <c r="G120" s="33"/>
      <c r="H120" s="33"/>
      <c r="I120" s="33"/>
    </row>
    <row r="121" spans="1:9" ht="18.75" customHeight="1" x14ac:dyDescent="0.15">
      <c r="A121" s="52"/>
      <c r="B121" s="179"/>
      <c r="C121" s="179"/>
      <c r="D121" s="179"/>
      <c r="E121" s="179"/>
      <c r="F121" s="179"/>
      <c r="G121" s="179"/>
      <c r="H121" s="179"/>
      <c r="I121" s="179"/>
    </row>
    <row r="122" spans="1:9" ht="18.75" customHeight="1" x14ac:dyDescent="0.15">
      <c r="A122" s="52"/>
      <c r="B122" s="179"/>
      <c r="C122" s="179"/>
      <c r="D122" s="179"/>
      <c r="E122" s="179"/>
      <c r="F122" s="179"/>
      <c r="G122" s="179"/>
      <c r="H122" s="179"/>
      <c r="I122" s="179"/>
    </row>
    <row r="123" spans="1:9" ht="18.75" customHeight="1" x14ac:dyDescent="0.15">
      <c r="A123" s="4"/>
      <c r="B123" s="56"/>
      <c r="C123" s="56"/>
      <c r="D123" s="56"/>
      <c r="E123" s="56"/>
      <c r="F123" s="56"/>
      <c r="G123" s="56"/>
      <c r="H123" s="56"/>
      <c r="I123" s="57"/>
    </row>
    <row r="124" spans="1:9" ht="18.75" customHeight="1" x14ac:dyDescent="0.15">
      <c r="A124" s="4"/>
      <c r="B124" s="57"/>
      <c r="C124" s="57"/>
      <c r="D124" s="57"/>
      <c r="E124" s="57"/>
      <c r="F124" s="57"/>
      <c r="G124" s="57"/>
      <c r="H124" s="57"/>
      <c r="I124" s="57"/>
    </row>
    <row r="125" spans="1:9" ht="18.75" customHeight="1" x14ac:dyDescent="0.15">
      <c r="A125" s="4"/>
      <c r="B125" s="57"/>
      <c r="C125" s="57"/>
      <c r="D125" s="57"/>
      <c r="E125" s="57"/>
      <c r="F125" s="57"/>
      <c r="G125" s="57"/>
      <c r="H125" s="57"/>
      <c r="I125" s="57"/>
    </row>
    <row r="126" spans="1:9" ht="18.75" customHeight="1" x14ac:dyDescent="0.15">
      <c r="A126" s="4"/>
      <c r="B126" s="57"/>
      <c r="C126" s="57"/>
      <c r="D126" s="57"/>
      <c r="E126" s="57"/>
      <c r="F126" s="57"/>
      <c r="G126" s="57"/>
      <c r="H126" s="57"/>
      <c r="I126" s="57"/>
    </row>
    <row r="127" spans="1:9" ht="18.75" customHeight="1" x14ac:dyDescent="0.15">
      <c r="A127" s="4"/>
      <c r="B127" s="57"/>
      <c r="C127" s="57"/>
      <c r="D127" s="57"/>
      <c r="E127" s="57"/>
      <c r="F127" s="57"/>
      <c r="G127" s="57"/>
      <c r="H127" s="57"/>
      <c r="I127" s="57"/>
    </row>
    <row r="128" spans="1:9" ht="18.75" customHeight="1" x14ac:dyDescent="0.15">
      <c r="A128" s="4"/>
      <c r="B128" s="57"/>
      <c r="C128" s="57"/>
      <c r="D128" s="57"/>
      <c r="E128" s="57"/>
      <c r="F128" s="57"/>
      <c r="G128" s="57"/>
      <c r="H128" s="57"/>
      <c r="I128" s="57"/>
    </row>
    <row r="129" spans="1:9" ht="18.75" customHeight="1" x14ac:dyDescent="0.15">
      <c r="A129" s="4"/>
      <c r="B129" s="57"/>
      <c r="C129" s="57"/>
      <c r="D129" s="57"/>
      <c r="E129" s="57"/>
      <c r="F129" s="57"/>
      <c r="G129" s="57"/>
      <c r="H129" s="57"/>
      <c r="I129" s="57"/>
    </row>
    <row r="130" spans="1:9" ht="18.75" customHeight="1" x14ac:dyDescent="0.15">
      <c r="A130" s="4"/>
      <c r="B130" s="57"/>
      <c r="C130" s="57"/>
      <c r="D130" s="57"/>
      <c r="E130" s="57"/>
      <c r="F130" s="57"/>
      <c r="G130" s="57"/>
      <c r="H130" s="57"/>
      <c r="I130" s="57"/>
    </row>
    <row r="131" spans="1:9" ht="18.75" customHeight="1" x14ac:dyDescent="0.15">
      <c r="A131" s="4"/>
      <c r="B131" s="57"/>
      <c r="C131" s="57"/>
      <c r="D131" s="57"/>
      <c r="E131" s="57"/>
      <c r="F131" s="57"/>
      <c r="G131" s="57"/>
      <c r="H131" s="57"/>
      <c r="I131" s="57"/>
    </row>
    <row r="132" spans="1:9" ht="18.75" customHeight="1" x14ac:dyDescent="0.15">
      <c r="A132" s="4"/>
      <c r="B132" s="57"/>
      <c r="C132" s="57"/>
      <c r="D132" s="57"/>
      <c r="E132" s="57"/>
      <c r="F132" s="57"/>
      <c r="G132" s="57"/>
      <c r="H132" s="57"/>
      <c r="I132" s="57"/>
    </row>
    <row r="133" spans="1:9" ht="14.25" x14ac:dyDescent="0.15">
      <c r="A133" s="4"/>
      <c r="B133" s="57"/>
      <c r="C133" s="57"/>
      <c r="D133" s="57"/>
      <c r="E133" s="57"/>
      <c r="F133" s="57"/>
      <c r="G133" s="57"/>
      <c r="H133" s="57"/>
      <c r="I133" s="57"/>
    </row>
    <row r="134" spans="1:9" ht="7.5" customHeight="1" x14ac:dyDescent="0.15">
      <c r="A134" s="4"/>
      <c r="B134" s="57"/>
      <c r="C134" s="57"/>
      <c r="D134" s="57"/>
      <c r="E134" s="57"/>
      <c r="F134" s="57"/>
      <c r="G134" s="57"/>
      <c r="H134" s="57"/>
      <c r="I134" s="57"/>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topLeftCell="A10" zoomScaleNormal="100" zoomScaleSheetLayoutView="100" workbookViewId="0">
      <selection activeCell="V111" sqref="V111"/>
    </sheetView>
  </sheetViews>
  <sheetFormatPr defaultColWidth="11.375" defaultRowHeight="22.5" customHeight="1" x14ac:dyDescent="0.15"/>
  <cols>
    <col min="1" max="3" width="2.625" style="59" customWidth="1"/>
    <col min="4" max="4" width="22.125" style="59" customWidth="1"/>
    <col min="5" max="5" width="30.625" style="59" customWidth="1"/>
    <col min="6" max="7" width="7.625" style="59" customWidth="1"/>
    <col min="8" max="9" width="30.625" style="59" customWidth="1"/>
    <col min="10" max="10" width="4.125" style="59" customWidth="1"/>
    <col min="11" max="16384" width="11.375" style="59"/>
  </cols>
  <sheetData>
    <row r="1" spans="1:9" ht="18.75" customHeight="1" x14ac:dyDescent="0.15">
      <c r="A1" s="59" t="s">
        <v>67</v>
      </c>
      <c r="I1" s="60" t="s">
        <v>95</v>
      </c>
    </row>
    <row r="2" spans="1:9" ht="18.75" customHeight="1" x14ac:dyDescent="0.15">
      <c r="H2" s="60" t="s">
        <v>98</v>
      </c>
      <c r="I2" s="61" t="str">
        <f>'様式１ー２　プログラムを構成する授業科目（生命）'!C2</f>
        <v>東京薬科大学</v>
      </c>
    </row>
    <row r="3" spans="1:9" ht="18.75" customHeight="1" x14ac:dyDescent="0.15">
      <c r="A3" s="94" t="s">
        <v>27</v>
      </c>
      <c r="B3" s="94"/>
      <c r="C3" s="94"/>
      <c r="D3" s="94"/>
      <c r="E3" s="94"/>
      <c r="F3" s="94"/>
      <c r="G3" s="94"/>
      <c r="H3" s="94"/>
      <c r="I3" s="94"/>
    </row>
    <row r="4" spans="1:9" ht="18.75" customHeight="1" x14ac:dyDescent="0.15">
      <c r="A4" s="77"/>
      <c r="B4" s="77"/>
      <c r="C4" s="77"/>
      <c r="D4" s="77"/>
      <c r="E4" s="77"/>
      <c r="F4" s="77"/>
      <c r="G4" s="77"/>
      <c r="H4" s="77"/>
      <c r="I4" s="77"/>
    </row>
    <row r="5" spans="1:9" ht="18.75" customHeight="1" x14ac:dyDescent="0.15">
      <c r="A5" s="59" t="s">
        <v>0</v>
      </c>
      <c r="B5" s="65" t="s">
        <v>89</v>
      </c>
      <c r="C5" s="77"/>
      <c r="D5" s="77"/>
      <c r="E5" s="77"/>
      <c r="F5" s="77"/>
      <c r="G5" s="77"/>
      <c r="H5" s="77"/>
      <c r="I5" s="77"/>
    </row>
    <row r="6" spans="1:9" ht="26.25" customHeight="1" x14ac:dyDescent="0.15">
      <c r="A6" s="77"/>
      <c r="B6" s="225" t="s">
        <v>158</v>
      </c>
      <c r="C6" s="226"/>
      <c r="D6" s="226"/>
      <c r="E6" s="226"/>
      <c r="F6" s="226"/>
      <c r="G6" s="226"/>
      <c r="H6" s="227"/>
      <c r="I6" s="64"/>
    </row>
    <row r="7" spans="1:9" ht="9" customHeight="1" x14ac:dyDescent="0.15">
      <c r="A7" s="77"/>
      <c r="B7" s="65"/>
      <c r="C7" s="65"/>
      <c r="D7" s="65"/>
      <c r="E7" s="65"/>
      <c r="F7" s="65"/>
      <c r="G7" s="65"/>
      <c r="H7" s="65"/>
      <c r="I7" s="64"/>
    </row>
    <row r="8" spans="1:9" ht="18.75" customHeight="1" x14ac:dyDescent="0.15">
      <c r="A8" s="77"/>
      <c r="B8" s="64"/>
      <c r="C8" s="64"/>
      <c r="D8" s="60" t="s">
        <v>41</v>
      </c>
      <c r="E8" s="68" t="s">
        <v>156</v>
      </c>
      <c r="F8" s="64"/>
      <c r="G8" s="60" t="s">
        <v>10</v>
      </c>
      <c r="H8" s="68" t="s">
        <v>157</v>
      </c>
      <c r="I8" s="64"/>
    </row>
    <row r="9" spans="1:9" ht="7.5" customHeight="1" x14ac:dyDescent="0.15">
      <c r="A9" s="77"/>
      <c r="B9" s="77"/>
      <c r="C9" s="77"/>
      <c r="D9" s="77"/>
      <c r="E9" s="77"/>
      <c r="F9" s="77"/>
      <c r="G9" s="77"/>
      <c r="H9" s="77"/>
      <c r="I9" s="77"/>
    </row>
    <row r="10" spans="1:9" ht="18.75" customHeight="1" x14ac:dyDescent="0.15">
      <c r="A10" s="59" t="s">
        <v>3</v>
      </c>
      <c r="B10" s="59" t="s">
        <v>26</v>
      </c>
      <c r="C10" s="78"/>
      <c r="D10" s="78"/>
      <c r="E10" s="78"/>
      <c r="F10" s="78"/>
      <c r="G10" s="78"/>
      <c r="H10" s="78"/>
      <c r="I10" s="78"/>
    </row>
    <row r="11" spans="1:9" ht="18.75" customHeight="1" x14ac:dyDescent="0.15">
      <c r="B11" s="91" t="s">
        <v>23</v>
      </c>
      <c r="C11" s="92"/>
      <c r="D11" s="93"/>
      <c r="E11" s="92" t="s">
        <v>25</v>
      </c>
      <c r="F11" s="92"/>
      <c r="G11" s="92"/>
      <c r="H11" s="92"/>
      <c r="I11" s="93"/>
    </row>
    <row r="12" spans="1:9" ht="26.25" customHeight="1" x14ac:dyDescent="0.15">
      <c r="B12" s="79" t="s">
        <v>13</v>
      </c>
      <c r="C12" s="80"/>
      <c r="D12" s="81"/>
      <c r="E12" s="82"/>
      <c r="F12" s="82"/>
      <c r="G12" s="82"/>
      <c r="H12" s="82"/>
      <c r="I12" s="81"/>
    </row>
    <row r="13" spans="1:9" ht="210.75" customHeight="1" x14ac:dyDescent="0.15">
      <c r="B13" s="83"/>
      <c r="C13" s="223" t="s">
        <v>14</v>
      </c>
      <c r="D13" s="224"/>
      <c r="E13" s="220" t="s">
        <v>210</v>
      </c>
      <c r="F13" s="221"/>
      <c r="G13" s="221"/>
      <c r="H13" s="221"/>
      <c r="I13" s="222"/>
    </row>
    <row r="14" spans="1:9" ht="210.75" customHeight="1" x14ac:dyDescent="0.15">
      <c r="B14" s="83"/>
      <c r="C14" s="218" t="s">
        <v>15</v>
      </c>
      <c r="D14" s="219"/>
      <c r="E14" s="220" t="s">
        <v>166</v>
      </c>
      <c r="F14" s="221"/>
      <c r="G14" s="221"/>
      <c r="H14" s="221"/>
      <c r="I14" s="222"/>
    </row>
    <row r="15" spans="1:9" ht="210.75" customHeight="1" x14ac:dyDescent="0.15">
      <c r="B15" s="83"/>
      <c r="C15" s="223" t="s">
        <v>16</v>
      </c>
      <c r="D15" s="224"/>
      <c r="E15" s="220" t="s">
        <v>167</v>
      </c>
      <c r="F15" s="221"/>
      <c r="G15" s="221"/>
      <c r="H15" s="221"/>
      <c r="I15" s="222"/>
    </row>
    <row r="16" spans="1:9" ht="210.75" customHeight="1" x14ac:dyDescent="0.15">
      <c r="B16" s="83"/>
      <c r="C16" s="223" t="s">
        <v>17</v>
      </c>
      <c r="D16" s="224"/>
      <c r="E16" s="220" t="s">
        <v>168</v>
      </c>
      <c r="F16" s="221"/>
      <c r="G16" s="221"/>
      <c r="H16" s="221"/>
      <c r="I16" s="222"/>
    </row>
    <row r="17" spans="2:9" ht="210.75" customHeight="1" x14ac:dyDescent="0.15">
      <c r="B17" s="84"/>
      <c r="C17" s="228" t="s">
        <v>18</v>
      </c>
      <c r="D17" s="229"/>
      <c r="E17" s="230" t="s">
        <v>169</v>
      </c>
      <c r="F17" s="231"/>
      <c r="G17" s="231"/>
      <c r="H17" s="231"/>
      <c r="I17" s="232"/>
    </row>
    <row r="18" spans="2:9" ht="24" customHeight="1" x14ac:dyDescent="0.15">
      <c r="B18" s="79" t="s">
        <v>19</v>
      </c>
      <c r="C18" s="85"/>
      <c r="D18" s="86"/>
      <c r="E18" s="87"/>
      <c r="F18" s="87"/>
      <c r="G18" s="87"/>
      <c r="H18" s="87"/>
      <c r="I18" s="88"/>
    </row>
    <row r="19" spans="2:9" ht="218.25" customHeight="1" x14ac:dyDescent="0.15">
      <c r="B19" s="83"/>
      <c r="C19" s="223" t="s">
        <v>20</v>
      </c>
      <c r="D19" s="224"/>
      <c r="E19" s="221" t="s">
        <v>211</v>
      </c>
      <c r="F19" s="221"/>
      <c r="G19" s="221"/>
      <c r="H19" s="221"/>
      <c r="I19" s="222"/>
    </row>
    <row r="20" spans="2:9" ht="218.25" customHeight="1" x14ac:dyDescent="0.15">
      <c r="B20" s="84"/>
      <c r="C20" s="228" t="s">
        <v>21</v>
      </c>
      <c r="D20" s="229"/>
      <c r="E20" s="231" t="s">
        <v>212</v>
      </c>
      <c r="F20" s="231"/>
      <c r="G20" s="231"/>
      <c r="H20" s="231"/>
      <c r="I20" s="232"/>
    </row>
    <row r="21" spans="2:9" ht="218.25" customHeight="1" x14ac:dyDescent="0.15">
      <c r="B21" s="238" t="s">
        <v>22</v>
      </c>
      <c r="C21" s="239"/>
      <c r="D21" s="240"/>
      <c r="E21" s="241" t="s">
        <v>170</v>
      </c>
      <c r="F21" s="241"/>
      <c r="G21" s="241"/>
      <c r="H21" s="241"/>
      <c r="I21" s="242"/>
    </row>
    <row r="22" spans="2:9" ht="218.25" customHeight="1" x14ac:dyDescent="0.15">
      <c r="B22" s="233" t="s">
        <v>135</v>
      </c>
      <c r="C22" s="234"/>
      <c r="D22" s="235"/>
      <c r="E22" s="236" t="s">
        <v>171</v>
      </c>
      <c r="F22" s="236"/>
      <c r="G22" s="236"/>
      <c r="H22" s="236"/>
      <c r="I22" s="237"/>
    </row>
    <row r="23" spans="2:9" ht="22.5" customHeight="1" x14ac:dyDescent="0.15">
      <c r="B23" s="78"/>
      <c r="C23" s="78"/>
      <c r="D23" s="78"/>
      <c r="E23" s="78"/>
      <c r="F23" s="78"/>
      <c r="G23" s="78"/>
      <c r="H23" s="78"/>
      <c r="I23" s="78"/>
    </row>
    <row r="24" spans="2:9" ht="22.5" customHeight="1" x14ac:dyDescent="0.15">
      <c r="B24" s="78"/>
      <c r="C24" s="78"/>
      <c r="D24" s="78"/>
      <c r="E24" s="78"/>
      <c r="F24" s="78"/>
      <c r="G24" s="78"/>
      <c r="H24" s="78"/>
      <c r="I24" s="78"/>
    </row>
    <row r="25" spans="2:9" ht="22.5" customHeight="1" x14ac:dyDescent="0.15">
      <c r="B25" s="78"/>
      <c r="C25" s="78"/>
      <c r="D25" s="78"/>
      <c r="E25" s="78"/>
      <c r="F25" s="78"/>
      <c r="G25" s="78"/>
      <c r="H25" s="78"/>
      <c r="I25" s="78"/>
    </row>
    <row r="26" spans="2:9" ht="22.5" customHeight="1" x14ac:dyDescent="0.15">
      <c r="B26" s="78"/>
      <c r="C26" s="78"/>
      <c r="D26" s="78"/>
      <c r="E26" s="78"/>
      <c r="F26" s="78"/>
      <c r="G26" s="78"/>
      <c r="H26" s="78"/>
      <c r="I26" s="78"/>
    </row>
    <row r="27" spans="2:9" ht="22.5" customHeight="1" x14ac:dyDescent="0.15">
      <c r="B27" s="78"/>
      <c r="C27" s="78"/>
      <c r="D27" s="78"/>
      <c r="E27" s="78"/>
      <c r="F27" s="78"/>
      <c r="G27" s="78"/>
      <c r="H27" s="78"/>
      <c r="I27" s="78"/>
    </row>
    <row r="28" spans="2:9" ht="22.5" customHeight="1" x14ac:dyDescent="0.15">
      <c r="B28" s="89"/>
      <c r="C28" s="89"/>
      <c r="D28" s="89"/>
      <c r="E28" s="89"/>
      <c r="F28" s="89"/>
      <c r="G28" s="89"/>
      <c r="H28" s="89"/>
      <c r="I28" s="89"/>
    </row>
    <row r="29" spans="2:9" ht="22.5" customHeight="1" x14ac:dyDescent="0.15">
      <c r="B29" s="89"/>
      <c r="C29" s="89"/>
      <c r="D29" s="89"/>
      <c r="E29" s="89"/>
      <c r="F29" s="89"/>
      <c r="G29" s="89"/>
      <c r="H29" s="89"/>
      <c r="I29" s="89"/>
    </row>
    <row r="30" spans="2:9" ht="22.5" customHeight="1" x14ac:dyDescent="0.15">
      <c r="B30" s="89"/>
      <c r="C30" s="89"/>
      <c r="D30" s="89"/>
      <c r="E30" s="89"/>
      <c r="F30" s="89"/>
      <c r="G30" s="89"/>
      <c r="H30" s="89"/>
      <c r="I30" s="89"/>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6</vt:i4>
      </vt:variant>
    </vt:vector>
  </HeadingPairs>
  <TitlesOfParts>
    <vt:vector size="11" baseType="lpstr">
      <vt:lpstr>様式１ー１　プログラムを構成する授業科目 (薬学)</vt:lpstr>
      <vt:lpstr>様式１ー２　プログラムを構成する授業科目（生命）</vt:lpstr>
      <vt:lpstr>様式２ 履修者等数の実績</vt:lpstr>
      <vt:lpstr>様式３ 教育の質・履修者数を向上させるための体制・計画</vt:lpstr>
      <vt:lpstr>様式４　自己点検・評価</vt:lpstr>
      <vt:lpstr>'様式１ー１　プログラムを構成する授業科目 (薬学)'!Print_Area</vt:lpstr>
      <vt:lpstr>'様式１ー２　プログラムを構成する授業科目（生命）'!Print_Area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Makoto CHIBA</cp:lastModifiedBy>
  <cp:lastPrinted>2024-04-27T06:53:42Z</cp:lastPrinted>
  <dcterms:created xsi:type="dcterms:W3CDTF">2011-06-14T05:32:50Z</dcterms:created>
  <dcterms:modified xsi:type="dcterms:W3CDTF">2024-06-04T05:30:11Z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