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defaultThemeVersion="124226"/>
  <mc:AlternateContent xmlns:mc="http://schemas.openxmlformats.org/markup-compatibility/2006">
    <mc:Choice Requires="x15">
      <x15ac:absPath xmlns:x15ac="http://schemas.microsoft.com/office/spreadsheetml/2010/11/ac" url="\\192.168.120.231\kyomu\06_各種委員会資料\DSAI教育プログラム運営委員会\2024\作成中資料\鎮西学院大学\"/>
    </mc:Choice>
  </mc:AlternateContent>
  <xr:revisionPtr revIDLastSave="0" documentId="13_ncr:1_{98D5019A-D78D-4794-ADDD-5531264C50C1}" xr6:coauthVersionLast="47" xr6:coauthVersionMax="47" xr10:uidLastSave="{00000000-0000-0000-0000-000000000000}"/>
  <bookViews>
    <workbookView xWindow="-120" yWindow="-120" windowWidth="29040" windowHeight="15720" tabRatio="885" activeTab="2"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13" i="40" l="1"/>
  <c r="M7" i="40" l="1"/>
  <c r="I2" i="42"/>
  <c r="H2" i="41"/>
  <c r="Q2" i="40"/>
  <c r="I33" i="40" l="1"/>
  <c r="M33" i="40"/>
  <c r="P33" i="40"/>
  <c r="Q33" i="40"/>
  <c r="O33" i="40"/>
  <c r="N33" i="40"/>
  <c r="L33" i="40"/>
  <c r="J33" i="40"/>
  <c r="K33" i="40"/>
  <c r="H33" i="40"/>
  <c r="R13" i="40" l="1"/>
  <c r="R14" i="40"/>
  <c r="R16" i="40"/>
  <c r="R17" i="40"/>
  <c r="R18" i="40"/>
  <c r="R19" i="40"/>
  <c r="R20" i="40"/>
  <c r="R21" i="40"/>
  <c r="R22" i="40"/>
  <c r="R23" i="40"/>
  <c r="R24" i="40"/>
  <c r="R25" i="40"/>
  <c r="R26" i="40"/>
  <c r="R27" i="40"/>
  <c r="R28" i="40"/>
  <c r="R29" i="40"/>
  <c r="R30" i="40"/>
  <c r="R31" i="40"/>
  <c r="R32" i="40"/>
  <c r="R15" i="40"/>
  <c r="S15" i="40" s="1"/>
  <c r="C33" i="40"/>
  <c r="G33" i="40" l="1"/>
  <c r="F33" i="40" l="1"/>
  <c r="E33" i="40"/>
  <c r="D33" i="40"/>
  <c r="S32" i="40"/>
  <c r="S31" i="40"/>
  <c r="S30" i="40"/>
  <c r="S29" i="40"/>
  <c r="S28" i="40"/>
  <c r="S27" i="40"/>
  <c r="S26" i="40"/>
  <c r="S25" i="40"/>
  <c r="S24" i="40"/>
  <c r="S23" i="40"/>
  <c r="S22" i="40"/>
  <c r="S21" i="40"/>
  <c r="S20" i="40"/>
  <c r="S19" i="40"/>
  <c r="S18" i="40"/>
  <c r="S17" i="40"/>
  <c r="S16" i="40"/>
  <c r="S14" i="40"/>
  <c r="R33" i="40" l="1"/>
  <c r="C49" i="41" l="1"/>
  <c r="S33" i="40"/>
</calcChain>
</file>

<file path=xl/sharedStrings.xml><?xml version="1.0" encoding="utf-8"?>
<sst xmlns="http://schemas.openxmlformats.org/spreadsheetml/2006/main" count="276" uniqueCount="183">
  <si>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</si>
  <si>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</si>
  <si>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</si>
  <si>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</si>
  <si>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</si>
  <si>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</si>
  <si>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</si>
  <si>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</si>
  <si>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</si>
  <si>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</si>
  <si>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</si>
  <si>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</si>
  <si>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</si>
  <si>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</si>
  <si>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</si>
  <si>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</si>
  <si>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</si>
  <si>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</si>
  <si>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</si>
  <si>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</si>
  <si>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</si>
  <si>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</si>
  <si>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</si>
  <si>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</si>
  <si>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</si>
  <si>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</si>
  <si>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</si>
  <si>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</si>
  <si>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</si>
  <si>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</si>
  <si>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</si>
  <si>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</si>
  <si>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</si>
  <si>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</si>
  <si>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</si>
  <si>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</si>
  <si>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</si>
  <si>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</si>
  <si>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</si>
  <si>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</si>
  <si>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</si>
  <si>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</si>
  <si>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</si>
  <si>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</si>
  <si>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</si>
  <si>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</si>
  <si>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</si>
  <si>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</si>
  <si>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</si>
  <si>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</si>
  <si>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</si>
  <si>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</si>
  <si>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</si>
  <si>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</si>
  <si>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</si>
  <si>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</si>
  <si>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</si>
  <si>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</si>
  <si>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</si>
  <si>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</si>
  <si>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</si>
  <si>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</si>
  <si>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</si>
  <si>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</si>
  <si>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</si>
  <si>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</si>
  <si>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</si>
  <si>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</si>
  <si>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</si>
  <si>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</si>
  <si>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</si>
  <si>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</si>
  <si>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</si>
  <si>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</si>
  <si>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</si>
  <si>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</si>
  <si>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</si>
  <si>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</si>
  <si>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</si>
  <si>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</si>
  <si>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</si>
  <si>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</si>
  <si>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</si>
  <si>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</si>
  <si>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</si>
  <si>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</si>
  <si>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</si>
  <si>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</si>
  <si>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</si>
  <si>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</si>
  <si>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</si>
  <si>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</si>
  <si>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</si>
  <si>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</si>
  <si>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</si>
  <si>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</si>
  <si>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</si>
  <si>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</si>
  <si>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</si>
  <si>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</si>
  <si>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</si>
  <si>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</si>
  <si>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</si>
  <si>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</si>
  <si>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</si>
  <si>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</si>
  <si>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</si>
  <si>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</si>
  <si>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</si>
  <si>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</si>
  <si>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</si>
  <si>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</si>
  <si>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</si>
  <si>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</si>
  <si>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</si>
  <si>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</si>
  <si>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</si>
  <si>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</si>
  <si>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</si>
  <si>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</si>
  <si>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</si>
  <si>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</si>
  <si>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</si>
  <si>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</si>
  <si>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</si>
  <si>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</si>
  <si>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</si>
  <si>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</si>
  <si>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</si>
  <si>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</si>
  <si>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</si>
  <si>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鎮西学院大学</t>
    <phoneticPr fontId="1"/>
  </si>
  <si>
    <t>学部・学科によって、修了要件は相違しない</t>
  </si>
  <si>
    <t>「データサイエンス概論」の単位を修得すること</t>
    <phoneticPr fontId="1"/>
  </si>
  <si>
    <t>データサイエンス概論</t>
  </si>
  <si>
    <t>○</t>
  </si>
  <si>
    <t>データサイエンス概論</t>
    <phoneticPr fontId="1"/>
  </si>
  <si>
    <t>データサイエンス概論（第６回［基礎］データを読む）では、データの種類、データの分布、代表値、ばらつき、相関と因果、母集団と標本抽出、クロス集計表などを学ぶ。</t>
    <phoneticPr fontId="1"/>
  </si>
  <si>
    <t>データサイエンス概論（第９回、第10回［基礎］データを扱う）では、データの集計、データの並び替え、データ解析ツール、表形式のデータ（csv）について学び、自らデータをやり取りしたり、加工したりする際のポイントを学ぶ。</t>
    <phoneticPr fontId="1"/>
  </si>
  <si>
    <t>令和５</t>
    <rPh sb="0" eb="2">
      <t>レイワ</t>
    </rPh>
    <phoneticPr fontId="1"/>
  </si>
  <si>
    <t>総合社会学部　
経済政策学科</t>
    <rPh sb="0" eb="2">
      <t>ソウゴウ</t>
    </rPh>
    <phoneticPr fontId="1"/>
  </si>
  <si>
    <t>総合社会学部　
社会福祉学科</t>
    <rPh sb="0" eb="2">
      <t>ソウゴウ</t>
    </rPh>
    <rPh sb="8" eb="12">
      <t>シャカイフクシ</t>
    </rPh>
    <rPh sb="12" eb="14">
      <t>ガッカ</t>
    </rPh>
    <phoneticPr fontId="1"/>
  </si>
  <si>
    <t>姜　尚中</t>
    <rPh sb="0" eb="1">
      <t>キョウ</t>
    </rPh>
    <rPh sb="2" eb="4">
      <t>サンジュン</t>
    </rPh>
    <phoneticPr fontId="1"/>
  </si>
  <si>
    <t>学長</t>
    <rPh sb="0" eb="2">
      <t>ガクチョウ</t>
    </rPh>
    <phoneticPr fontId="1"/>
  </si>
  <si>
    <t>吉田　耕平</t>
    <rPh sb="0" eb="2">
      <t>ヨシダ</t>
    </rPh>
    <rPh sb="3" eb="5">
      <t>コウヘイ</t>
    </rPh>
    <phoneticPr fontId="1"/>
  </si>
  <si>
    <t>鎮西学院大学データサイエンス・ＡＩ教育プログラム運営委員会</t>
    <rPh sb="24" eb="26">
      <t>ウンエイ</t>
    </rPh>
    <rPh sb="26" eb="29">
      <t>イインカイ</t>
    </rPh>
    <phoneticPr fontId="1"/>
  </si>
  <si>
    <t>准教授　運営委員会委員長</t>
    <rPh sb="4" eb="9">
      <t>ウンエイイインカイ</t>
    </rPh>
    <rPh sb="9" eb="12">
      <t>イインチョウ</t>
    </rPh>
    <phoneticPr fontId="1"/>
  </si>
  <si>
    <t>Google Classroomにアップロードされた専用の教材を活用し、予習や復習を容易にし、授業水準を維持しつつ、すべての履修者が授業に適切に追いつけるようする。課題は、実践的なタスクを中心に配置することで、分かりやすく、自己理解を促進するものとする。</t>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</si>
  <si>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</si>
  <si>
    <t>データサイエンス概論（第１回［導入］データサイエンスと社会）では、ビッグデータ、ＡＩ、データ駆動型社会といった概念を紹介し、近年のデジタル社会の趨勢について学ぶ。</t>
  </si>
  <si>
    <t>データサイエンス概論（第３回［導入］ＡＩ技術の最先端）では、ＡＩ技術には大きく予測、グルーピング、パターン発見、データ可視化、非構造化データ処理といったものがあることを学ぶ。</t>
  </si>
  <si>
    <t>（４）活用に当たっての様々な留意事項（ELSI、個人情報、データ倫理、ＡＩ社会原則等）を考慮し、情報セキュリティや情報漏洩等、データを守る上での留意事項への理解をする</t>
  </si>
  <si>
    <t>（５）実データ・実課題（学術データ等を含む）を用いた演習など、社会での実例を題材として、「データを読む、説明する、扱う」といった数理・データサイエンス・ＡＩの基本的な活用法に関するもの</t>
  </si>
  <si>
    <t>⑫ 生成ＡＩに関連する授業内容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</si>
  <si>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教育プログラムを構成する科目に、「数理・データサイエンス・ＡＩ（リテラシーレベル）モデルカリキュラム改訂版」（2024年2月　数理・データサイエンス教育強化拠点コンソーシアム）において追加された生成ＡＩに関連するスキルセットの内容を含む授業（授業内で活用事例などを取り上げる、実際に使用してみるなど）がある場合に、どの科目でどのような授業をどのように実施しているかを記載してください。</t>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</si>
  <si>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総合社会学部　
多文化
コミュニケーション学科</t>
    <rPh sb="0" eb="2">
      <t>ソウゴウ</t>
    </rPh>
    <rPh sb="2" eb="4">
      <t>シャカイ</t>
    </rPh>
    <rPh sb="4" eb="6">
      <t>ガクブ</t>
    </rPh>
    <rPh sb="8" eb="11">
      <t>タブンカ</t>
    </rPh>
    <rPh sb="21" eb="23">
      <t>ガッカ</t>
    </rPh>
    <phoneticPr fontId="1"/>
  </si>
  <si>
    <t>鎮西学院大学データサイエンス・ＡＩ教育プログラム運営委員会</t>
    <rPh sb="0" eb="2">
      <t>チンゼイ</t>
    </rPh>
    <rPh sb="2" eb="4">
      <t>ガクイン</t>
    </rPh>
    <rPh sb="4" eb="6">
      <t>ダイガク</t>
    </rPh>
    <rPh sb="17" eb="19">
      <t>キョウイク</t>
    </rPh>
    <rPh sb="24" eb="26">
      <t>ウンエイ</t>
    </rPh>
    <rPh sb="26" eb="29">
      <t>イインカイ</t>
    </rPh>
    <phoneticPr fontId="1"/>
  </si>
  <si>
    <t>■授業の履修をサポート
「データサイエンス概論」担当教員が新入生オリエンテーションで本学プログラムの紹介ビデオを用いて、「データサイエンス概論」の紹介を行う。現代の第4次産業革命、Society 5.0、データ駆動型社会がいかに自分達の生活に密接に結びついているか、これからの社会にどれだけ必要な科目であるかを重点的に紹介し、興味を持って履修してもらえるようにする。
■修得をサポート
担当教員は学生の出席状況をIRシステムに登録する。学生支援課は毎月月末に全部の学生の出席状況を確認。届け出なく、出席率が低い学生がいた場合は担当教員に連絡。担当教員は課題提出の状況を考慮し、修得が不安な学生を学生支援課に連絡。学生支援課は教員からの要請に応じて学生との面談を行う。非常に状況が悪い場合は保護者を交えて早急に面談を行う。学修内容のサポートは担当教員が随時Google Classroomを利用して行う。</t>
    <rPh sb="21" eb="23">
      <t>ガイロン</t>
    </rPh>
    <rPh sb="42" eb="44">
      <t>ホンガク</t>
    </rPh>
    <rPh sb="69" eb="71">
      <t>ガイロン</t>
    </rPh>
    <rPh sb="163" eb="165">
      <t>キョウミ</t>
    </rPh>
    <rPh sb="166" eb="167">
      <t>モ</t>
    </rPh>
    <rPh sb="169" eb="171">
      <t>リシュウ</t>
    </rPh>
    <rPh sb="253" eb="254">
      <t>ヒク</t>
    </rPh>
    <rPh sb="360" eb="362">
      <t>ガクシュウ</t>
    </rPh>
    <rPh sb="362" eb="364">
      <t>ナイヨウ</t>
    </rPh>
    <rPh sb="370" eb="372">
      <t>タントウ</t>
    </rPh>
    <rPh sb="372" eb="374">
      <t>キョウイン</t>
    </rPh>
    <rPh sb="375" eb="377">
      <t>ズイジ</t>
    </rPh>
    <rPh sb="394" eb="396">
      <t>リヨウ</t>
    </rPh>
    <rPh sb="398" eb="399">
      <t>オコナ</t>
    </rPh>
    <phoneticPr fontId="1"/>
  </si>
  <si>
    <t xml:space="preserve">2023年度「データサイエンス概論」を開講した結果履修率は必修ということもあり履修対象となる１年生の履修率は100％となった。修得状況は、履修者からみた修得率が社会福祉学科90％、外国語学科96.7％、経済政策97.6％となった。
</t>
    <rPh sb="39" eb="43">
      <t>リシュウタイショウ</t>
    </rPh>
    <rPh sb="50" eb="53">
      <t>リシュウリツ</t>
    </rPh>
    <rPh sb="69" eb="72">
      <t>リシュウシャ</t>
    </rPh>
    <rPh sb="76" eb="79">
      <t>シュウトクリツ</t>
    </rPh>
    <phoneticPr fontId="1"/>
  </si>
  <si>
    <t>授業後に行うGoogle Classroom授業アンケートの結果より学修成果を把握。
学修成果としては、修得率はもちろん、リテラシーレベルの目標である「楽しさ」や「学ぶことの意識」を育てるというところにも焦点をあて、学生が興味を持って授業を履修できているかを調査しながら確認する。
調査結果は３か月毎に開かれる「鎮西学院大学データサイエンス・AI教育プログラム運営委員会」でも共有・報告し、授業の評価・改善に活用する。</t>
    <rPh sb="34" eb="36">
      <t>ガクシュウ</t>
    </rPh>
    <rPh sb="36" eb="38">
      <t>セイカ</t>
    </rPh>
    <rPh sb="114" eb="115">
      <t>モ</t>
    </rPh>
    <rPh sb="141" eb="143">
      <t>チョウサ</t>
    </rPh>
    <rPh sb="143" eb="145">
      <t>ケッカ</t>
    </rPh>
    <rPh sb="158" eb="160">
      <t>ガクイン</t>
    </rPh>
    <rPh sb="188" eb="190">
      <t>キョウユウ</t>
    </rPh>
    <phoneticPr fontId="1"/>
  </si>
  <si>
    <t>データサイエンス・ＡＩ教育プログラム</t>
  </si>
  <si>
    <t>最終回の講義で、授業後のアンケート項目に後輩等他の学生への推奨度を数字で、推奨ポイントを文章で「データサイエンス概論」履修者に回答してもらう。その回答の結果はHPの「データサイエンス・ＡＩ教育プログラム」のページで学生からの意見として紹介する予定である。</t>
    <rPh sb="121" eb="123">
      <t>ヨテイ</t>
    </rPh>
    <phoneticPr fontId="1"/>
  </si>
  <si>
    <t>鎮西学院大学データサイエンス・ＡＩ教育プログラム自己点検・評価に関する実施要項</t>
    <rPh sb="17" eb="19">
      <t>キョウイク</t>
    </rPh>
    <rPh sb="24" eb="28">
      <t>ジコテンケン</t>
    </rPh>
    <rPh sb="29" eb="31">
      <t>ヒョウカ</t>
    </rPh>
    <rPh sb="32" eb="33">
      <t>カン</t>
    </rPh>
    <rPh sb="35" eb="37">
      <t>ジッシ</t>
    </rPh>
    <rPh sb="37" eb="39">
      <t>ヨウコウ</t>
    </rPh>
    <phoneticPr fontId="1"/>
  </si>
  <si>
    <t>前年度学期末の授業評価アンケートの結果では5段階評価で4より低い評価があった項目は全14項目のうち次の2項目であった。
・この授業に関する参考図書を読んだり、各種情報（新聞・雑誌、Webなど）を自分で調べた。ポイント：3.29
・.この授業では、授業外学習（予習復習・課題など）の必要性や内容についてきちんと説明があった：3.8
どちらも学生の自発的な理解度を高める取り組みが不足しているというい分析になった。
今後は学期末だけではなく、学期内に複数回調査を行い理解度についても「鎮西学院大学データサイエンス・AI教育プログラム運営委員会」に共有・報告を行う。</t>
    <rPh sb="0" eb="3">
      <t>ゼンネンド</t>
    </rPh>
    <rPh sb="3" eb="6">
      <t>ガッキマツ</t>
    </rPh>
    <rPh sb="169" eb="171">
      <t>ガクセイ</t>
    </rPh>
    <rPh sb="172" eb="175">
      <t>ジハツテキ</t>
    </rPh>
    <rPh sb="176" eb="179">
      <t>リカイド</t>
    </rPh>
    <rPh sb="180" eb="181">
      <t>タカ</t>
    </rPh>
    <rPh sb="183" eb="184">
      <t>ト</t>
    </rPh>
    <rPh sb="185" eb="186">
      <t>ク</t>
    </rPh>
    <rPh sb="188" eb="190">
      <t>フソク</t>
    </rPh>
    <rPh sb="198" eb="200">
      <t>ブンセキ</t>
    </rPh>
    <rPh sb="206" eb="208">
      <t>コンゴ</t>
    </rPh>
    <rPh sb="242" eb="244">
      <t>ガクイン</t>
    </rPh>
    <rPh sb="277" eb="278">
      <t>オコナ</t>
    </rPh>
    <phoneticPr fontId="1"/>
  </si>
  <si>
    <r>
      <rPr>
        <sz val="12"/>
        <color theme="1"/>
        <rFont val="ＭＳ Ｐゴシック"/>
        <family val="3"/>
        <charset val="128"/>
        <scheme val="major"/>
      </rPr>
      <t>１．社会においてどのようにデータ・AIが利活</t>
    </r>
    <r>
      <rPr>
        <sz val="12"/>
        <color theme="1"/>
        <rFont val="Microsoft JhengHei"/>
        <family val="2"/>
        <charset val="136"/>
      </rPr>
      <t>⽤</t>
    </r>
    <r>
      <rPr>
        <sz val="12"/>
        <color theme="1"/>
        <rFont val="ＭＳ Ｐゴシック"/>
        <family val="3"/>
        <charset val="128"/>
        <scheme val="major"/>
      </rPr>
      <t>されているかについて理解する
２．データの読み解きや説明の仕方などのデータリテラシーについて理解する。</t>
    </r>
    <r>
      <rPr>
        <sz val="12"/>
        <color theme="1"/>
        <rFont val="ＭＳ Ｐゴシック"/>
        <family val="3"/>
        <charset val="128"/>
        <scheme val="minor"/>
      </rPr>
      <t xml:space="preserve">
３．データ・AIの利活用における法と倫理の問題など留意事項について理解する。
４．実際にプログラミングすることにより，プログラミング的思考を涵養する。</t>
    </r>
    <phoneticPr fontId="1"/>
  </si>
  <si>
    <t>全学科の学生が学修を楽しみ、興味を持ちながら進めることが最も重要である。リテラシーレベルのモデルカリキュラムに則りつつも、実社会の状況に適応したデータを活用した授業を提供し、学生たちの関心を高める。そのために、身近なＡＩやプログラミングの実践内容も講義で取り入れ、学生たちが楽しみながら学べる環境を整える。楽しいからこそ頑張れるし、興味があるからこそ難しさを感じにくい授業にする。外部の講師も積極的に招き入れ、変化に富んだ授業を提供し、豊かな学修体験ができるようにする。</t>
    <rPh sb="8" eb="9">
      <t>シュウ</t>
    </rPh>
    <rPh sb="121" eb="123">
      <t>ナイヨウ</t>
    </rPh>
    <rPh sb="222" eb="223">
      <t>シュウ</t>
    </rPh>
    <phoneticPr fontId="1"/>
  </si>
  <si>
    <t>教育プログラムの対象科目である「データサイエンス概論」は全学科必修の科目である。
2023年度入学生では履修率100％、今後入学する全ての学生について（科目等履修生を除く）必修科目として履修を続ける。
2026年度には全学部生で履修中もしくは履修済みになる計画である。</t>
    <rPh sb="8" eb="10">
      <t>タイショウ</t>
    </rPh>
    <rPh sb="66" eb="67">
      <t>スベ</t>
    </rPh>
    <phoneticPr fontId="1"/>
  </si>
  <si>
    <t>本学では「一般社団法人雲仙観光局」との連携推進委員会と、「長崎県中小企業家同友会諫早支部」産学官連携委員会で、ヒアリングを行いリアルタイムで産業界から必要とされていることはなにか、そしてSociety 5.0の実現に向けて教育プログラム修了者に期待される役割を把握する。また同じ場で本学プログラム内容の紹介と手法について広く意見を尋ねる。</t>
    <rPh sb="111" eb="113">
      <t>キョウイク</t>
    </rPh>
    <rPh sb="118" eb="121">
      <t>シュウリョウシャ</t>
    </rPh>
    <rPh sb="141" eb="143">
      <t>ホンガク</t>
    </rPh>
    <phoneticPr fontId="1"/>
  </si>
  <si>
    <t>運営委員会委員長</t>
    <rPh sb="0" eb="5">
      <t>ウンエイイインカイ</t>
    </rPh>
    <rPh sb="5" eb="8">
      <t>イインチョウ</t>
    </rPh>
    <phoneticPr fontId="1"/>
  </si>
  <si>
    <t xml:space="preserve">2027年度には、初の教育プログラム修了者が就職する。その就職先に教育プログラム修了者であることを伝達し、活躍状況を調査することが可能である。卒業生における採用状況や企業評価の検討は「鎮西学院大学データサイエンス・ＡＩ教育プログラム運営委員会」で行う。結果はホームページで公開する予定である。
</t>
    <rPh sb="5" eb="6">
      <t>ド</t>
    </rPh>
    <rPh sb="9" eb="10">
      <t>ハツ</t>
    </rPh>
    <rPh sb="11" eb="13">
      <t>キョウイク</t>
    </rPh>
    <rPh sb="18" eb="21">
      <t>シュウリョウシャ</t>
    </rPh>
    <rPh sb="22" eb="24">
      <t>シュウショク</t>
    </rPh>
    <rPh sb="29" eb="31">
      <t>シュウショク</t>
    </rPh>
    <rPh sb="33" eb="35">
      <t>キョウイク</t>
    </rPh>
    <rPh sb="53" eb="57">
      <t>カツヤクジョウキョウ</t>
    </rPh>
    <rPh sb="58" eb="60">
      <t>チョウサ</t>
    </rPh>
    <rPh sb="65" eb="67">
      <t>カノウ</t>
    </rPh>
    <rPh sb="71" eb="73">
      <t>ソツギョウ</t>
    </rPh>
    <rPh sb="73" eb="74">
      <t>セイ</t>
    </rPh>
    <rPh sb="78" eb="82">
      <t>サイヨウジョウキョウ</t>
    </rPh>
    <rPh sb="83" eb="87">
      <t>キギョウヒョウカ</t>
    </rPh>
    <rPh sb="88" eb="90">
      <t>ケントウ</t>
    </rPh>
    <rPh sb="92" eb="96">
      <t>チンゼイガクイン</t>
    </rPh>
    <rPh sb="96" eb="98">
      <t>ダイガク</t>
    </rPh>
    <rPh sb="109" eb="111">
      <t>キョウイク</t>
    </rPh>
    <rPh sb="116" eb="118">
      <t>ウンエイ</t>
    </rPh>
    <rPh sb="118" eb="121">
      <t>イインカイ</t>
    </rPh>
    <rPh sb="123" eb="124">
      <t>オコナ</t>
    </rPh>
    <rPh sb="126" eb="128">
      <t>ケッカ</t>
    </rPh>
    <rPh sb="136" eb="138">
      <t>コウカイ</t>
    </rPh>
    <rPh sb="140" eb="142">
      <t>ヨテイ</t>
    </rPh>
    <phoneticPr fontId="1"/>
  </si>
  <si>
    <t>データサイエンス概論（第４回［導入］ＡＩ利活用の課題）では、データサイエンスのサイクル、新しいビジネスモデル、ＡＩ最新技術の活用例について学び、今後、ビジネスや社会活動のなかでデータ・ＡＩの利活用をマネジメントしていくことの重要性を学ぶ。</t>
    <phoneticPr fontId="1"/>
  </si>
  <si>
    <t>データサイエンス概論（第２回［導入］データ・ＡＩと社会）では、調査データや実験データと並んで、人の行動ログデータや機械の稼働ログデータが重要な役割を担っていることを学び、データのオープン化を通じて、それらが広く活用しうる状態になっていることを学ぶ。</t>
    <phoneticPr fontId="1"/>
  </si>
  <si>
    <t>データサイエンス概論（第２回［導入］データ・ＡＩと社会）では、データ・ＡＩを用いて仮説検証、原因究明、判断支援のプロセスを自動化し、確実かつ迅速な行動をおこなうことが可能となっていることを学ぶ。</t>
    <phoneticPr fontId="1"/>
  </si>
  <si>
    <t>データサイエンス概論（第４回［導入］ＡＩ利活用の課題）では、これらの技術を用いたデータサイエンスのサイクル、新しいビジネスモデル、ＡＩ最新技術の活用例について学ぶ。</t>
    <phoneticPr fontId="1"/>
  </si>
  <si>
    <t>データサイエンス概論（第12回［心得］データ・ＡＩ利活用の留意事項）では、個人情報保護、忘れられる権利、データ倫理、ＡＩ社会原則などを通じて、データ・ＡＩの利活用に潜む危険について知るとともに、そうした危険を回避するための心構えと倫理を学ぶ。</t>
    <phoneticPr fontId="1"/>
  </si>
  <si>
    <t>データサイエンス概論（第12回［心得］データ・ＡＩ利活用の留意事項）では、データバイアスやアルゴリズムバイアスに代表されるデータの間違いについて知識を得るとともに、情報セキュリティを確保する方法について学ぶ。</t>
    <phoneticPr fontId="1"/>
  </si>
  <si>
    <t>データサイエンス概論（第７回、第８回［基礎］データを説明する）では、折線グラフ、帯グラフ、箱ひげ図、散布図といった視覚化の方法について学び、不適切なグラフ表現とはどのようなものか、どのようにすれば適切なグラフ表現を見いだせるのかを学ぶ。</t>
    <rPh sb="26" eb="28">
      <t>セツメイ</t>
    </rPh>
    <phoneticPr fontId="1"/>
  </si>
  <si>
    <t xml:space="preserve">委員長　准教授　吉田　耕平
副委員長　多文化コミュニケーション学科　講師　崔　銀景
社会福祉学科　准教授　岩永　耕
経済政策学科　講師　川口　宗徳　　
教務課長　本田　靖幸   
    </t>
    <rPh sb="0" eb="3">
      <t>イインチョウ</t>
    </rPh>
    <rPh sb="14" eb="15">
      <t>フク</t>
    </rPh>
    <rPh sb="15" eb="18">
      <t>イインチョウ</t>
    </rPh>
    <rPh sb="19" eb="22">
      <t>タブンカ</t>
    </rPh>
    <rPh sb="31" eb="33">
      <t>ガッカ</t>
    </rPh>
    <rPh sb="34" eb="36">
      <t>コウシ</t>
    </rPh>
    <rPh sb="37" eb="38">
      <t>チェ</t>
    </rPh>
    <phoneticPr fontId="1"/>
  </si>
  <si>
    <t xml:space="preserve">■全学科の学生の必修科目に設定
2023年度より教育プログラム対象科目である「データサイエンス概論」を全学科一年次の必修科目に設定した。2024年度以降入学の学生についても同様に、必修科目に設定。全学部生の履修を目標とする。
■授業への関心を引き出す。
必修科目であるという理由だけで学修するのではなく、履修が楽しみになる科目を目指す。
オリエンテーションでは「数理・データサイエンス・ＡＩ教育教育プログラム」の説明はもちろん、教育プログラム対象科目や、本学プログラムの説明も動画で行う。わかりやすい動画での案内をすることにより、データサイエンスに興味を持ちやすい環境に導く。授業内容も数学的要素よりも第4次産業革命、Society 5.0、データ駆動型社会がいかに自分達の生活に密接に結びついているかに焦点をあてる。そこから、生活や社会に密着したデータの扱い方やＡＩの仕組みなどを学ぶことにより授業への関心を引き出していく。
</t>
    <rPh sb="31" eb="33">
      <t>タイショウ</t>
    </rPh>
    <rPh sb="181" eb="183">
      <t>スウリ</t>
    </rPh>
    <rPh sb="195" eb="197">
      <t>キョウイク</t>
    </rPh>
    <rPh sb="206" eb="208">
      <t>セツメイ</t>
    </rPh>
    <rPh sb="221" eb="223">
      <t>タイショウ</t>
    </rPh>
    <rPh sb="223" eb="225">
      <t>カモク</t>
    </rPh>
    <rPh sb="227" eb="229">
      <t>ホンガク</t>
    </rPh>
    <rPh sb="235" eb="237">
      <t>セツメイ</t>
    </rPh>
    <rPh sb="238" eb="240">
      <t>ドウガ</t>
    </rPh>
    <phoneticPr fontId="1"/>
  </si>
  <si>
    <t>■「数理・データサイエンス・ＡＩ教育プログラム」申請科目である「データサイエンス概論」は全学科の必修科目に設定されている。授業は全学科一斉に行われる。
授業に出席できなくてもオンデマンドで対応できる回を複数回設け、希望する学生が全員受講可能になる体制を整える。課題の提出にはGoogle Classroom等のICTツールを用いる。学修の手助けとなるツールも「データサイエンス・ＡＩ教育プログラム運営委員会」で各学科の教員から意見を募り必要に応じて随時行う。</t>
    <rPh sb="2" eb="4">
      <t>スウリ</t>
    </rPh>
    <rPh sb="16" eb="18">
      <t>キョウイク</t>
    </rPh>
    <rPh sb="24" eb="26">
      <t>シンセイ</t>
    </rPh>
    <rPh sb="166" eb="168">
      <t>ガクシュウ</t>
    </rPh>
    <rPh sb="169" eb="171">
      <t>テダス</t>
    </rPh>
    <rPh sb="205" eb="208">
      <t>カクガッカ</t>
    </rPh>
    <rPh sb="209" eb="211">
      <t>キョウイン</t>
    </rPh>
    <rPh sb="213" eb="215">
      <t>イケン</t>
    </rPh>
    <rPh sb="216" eb="217">
      <t>ツノ</t>
    </rPh>
    <rPh sb="218" eb="220">
      <t>ヒツヨウ</t>
    </rPh>
    <rPh sb="221" eb="222">
      <t>オウ</t>
    </rPh>
    <rPh sb="224" eb="226">
      <t>ズイジ</t>
    </rPh>
    <rPh sb="226" eb="227">
      <t>オコナ</t>
    </rPh>
    <phoneticPr fontId="1"/>
  </si>
  <si>
    <t>■全学科の学生の必修科目に設定
教育プログラム申請科目である「データサイエンス概論」は全学科必修の科目である。必修科目であることをオリエンテーションで周知し、履修漏れがないことをゼミ担当教員と教務課が確認する。
オリエンテーションでの「データサイエンス概論」履修の周知は、本学プログラムの紹介ビデオ内で行われる。必修だからしかたなく履修するのではなく本学プログラム全体に興味をもって履修してもらえるよう積極的な取り組みを行う。</t>
    <rPh sb="16" eb="18">
      <t>キョウイク</t>
    </rPh>
    <rPh sb="126" eb="128">
      <t>ガイロン</t>
    </rPh>
    <rPh sb="129" eb="131">
      <t>リシュウ</t>
    </rPh>
    <rPh sb="132" eb="134">
      <t>シュウチ</t>
    </rPh>
    <rPh sb="136" eb="138">
      <t>ホンガク</t>
    </rPh>
    <rPh sb="149" eb="150">
      <t>ナイ</t>
    </rPh>
    <rPh sb="151" eb="152">
      <t>オコナ</t>
    </rPh>
    <rPh sb="175" eb="177">
      <t>ホンガク</t>
    </rPh>
    <rPh sb="182" eb="184">
      <t>ゼンタイ</t>
    </rPh>
    <rPh sb="205" eb="206">
      <t>ト</t>
    </rPh>
    <rPh sb="207" eb="208">
      <t>ク</t>
    </rPh>
    <rPh sb="210" eb="211">
      <t>オコナ</t>
    </rPh>
    <phoneticPr fontId="1"/>
  </si>
  <si>
    <t>■担当教員からの時間外学修指導
授業に直接関係する質問についてはGoogle Classroomを利用して教員と連絡を取ることが出来る。担当教員はそこで随時授業に関する質問に答える。担当教員はオフィスアワーを授業時間にも公表、研究室にも掲示する。授業の予習復習またオンディマンド学習用の資料を複数回用意し、受講生はいつでもGoogle Classroomから自主学修することができる環境を整える。授業を受け続けることができる環境にする。
授業終わりには各学期に複数回調査を行う。調査であがった質問は「データサイエンス・ＡＩ教育プログラム運営委員会」で発表し、自己点検と評価の材料とする。</t>
    <rPh sb="12" eb="13">
      <t>シュウ</t>
    </rPh>
    <rPh sb="233" eb="235">
      <t>チョウサ</t>
    </rPh>
    <rPh sb="236" eb="237">
      <t>オコナ</t>
    </rPh>
    <rPh sb="239" eb="241">
      <t>チョウサ</t>
    </rPh>
    <rPh sb="287" eb="289">
      <t>ザイリョウ</t>
    </rPh>
    <phoneticPr fontId="1"/>
  </si>
  <si>
    <t>「数理・データサイエンス・ＡＩ教育プログラム」（以下教育プログラム）のリテラシーレベル、応用基礎レベルの認定申請、全学的なデータサイエンス教育のための体制整備のため、「データサイエンス・ＡＩ教育プログラム運営委員会」を置く。 本委員会は鎮西学院大学における「データサイエンス・ＡＩ教育プログラム」に関する運営を行う。「データサイエンス・ＡＩ教育プログラム」（以下本学プログラム）のうちの「データサイエンス概論」で申請を行う。認定前は認定の準備として、4か月に1回委員会の開催を行う。また、独自の教育ツール開発や学内外の環境整備を進める。
さらに、本委員会で本学プログラムの改善・進化のため定期的に委員会の開催を行う。
具体的には授業後のアンケートや調査の結果を踏まえて問題点の把握、及び今後の方針の決定を行う。自己点検と評価を積極的に行う場とする。</t>
    <rPh sb="26" eb="28">
      <t>キョウイク</t>
    </rPh>
    <rPh sb="118" eb="120">
      <t>チンゼイ</t>
    </rPh>
    <rPh sb="120" eb="124">
      <t>ガクインダイガク</t>
    </rPh>
    <rPh sb="149" eb="150">
      <t>カン</t>
    </rPh>
    <rPh sb="152" eb="154">
      <t>ウンエイ</t>
    </rPh>
    <rPh sb="155" eb="156">
      <t>オコナ</t>
    </rPh>
    <rPh sb="179" eb="181">
      <t>イカ</t>
    </rPh>
    <rPh sb="181" eb="183">
      <t>ホンガク</t>
    </rPh>
    <rPh sb="202" eb="204">
      <t>ガイロン</t>
    </rPh>
    <rPh sb="206" eb="208">
      <t>シンセイ</t>
    </rPh>
    <rPh sb="209" eb="210">
      <t>オコナ</t>
    </rPh>
    <rPh sb="279" eb="281">
      <t>ホンガク</t>
    </rPh>
    <rPh sb="317" eb="318">
      <t>ゴ</t>
    </rPh>
    <rPh sb="325" eb="327">
      <t>チョウサ</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</si>
</sst>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8"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sz val="9"/>
      <name val="ＭＳ Ｐゴシック"/>
      <family val="3"/>
      <charset val="128"/>
      <scheme val="minor"/>
    </font>
    <font>
      <sz val="14"/>
      <name val="ＭＳ Ｐゴシック"/>
      <family val="3"/>
      <charset val="128"/>
      <scheme val="minor"/>
    </font>
    <font>
      <sz val="12"/>
      <color theme="1"/>
      <name val="ＭＳ Ｐゴシック"/>
      <family val="3"/>
      <charset val="128"/>
      <scheme val="major"/>
    </font>
    <font>
      <sz val="12"/>
      <color theme="1"/>
      <name val="Microsoft JhengHei"/>
      <family val="2"/>
      <charset val="136"/>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6">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lignment vertical="center"/>
    </xf>
    <xf numFmtId="0" fontId="13" fillId="0" borderId="0" xfId="0" applyFont="1">
      <alignment vertical="center"/>
    </xf>
    <xf numFmtId="0" fontId="13" fillId="0" borderId="0" xfId="0" applyFont="1" applyAlignment="1">
      <alignment horizontal="right" vertical="center"/>
    </xf>
    <xf numFmtId="0" fontId="13" fillId="0" borderId="1" xfId="0" applyFont="1" applyBorder="1" applyAlignment="1">
      <alignment horizontal="center"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0" xfId="0" applyFont="1" applyAlignment="1">
      <alignment horizontal="center" vertical="center" shrinkToFit="1"/>
    </xf>
    <xf numFmtId="0" fontId="2" fillId="0" borderId="20" xfId="0" applyFont="1" applyBorder="1" applyAlignment="1">
      <alignment horizontal="center" vertical="center" wrapText="1" shrinkToFit="1"/>
    </xf>
    <xf numFmtId="0" fontId="12" fillId="0" borderId="0" xfId="0" applyFont="1" applyAlignment="1">
      <alignment horizontal="left" vertical="center" wrapText="1"/>
    </xf>
    <xf numFmtId="49" fontId="2" fillId="0" borderId="32" xfId="0" applyNumberFormat="1" applyFont="1" applyBorder="1" applyAlignment="1">
      <alignment horizontal="left" vertical="center" wrapText="1"/>
    </xf>
    <xf numFmtId="49" fontId="2" fillId="0" borderId="33" xfId="0" applyNumberFormat="1" applyFont="1" applyBorder="1" applyAlignment="1">
      <alignment horizontal="left" vertical="center" wrapText="1"/>
    </xf>
    <xf numFmtId="49" fontId="2" fillId="0" borderId="34" xfId="0" applyNumberFormat="1" applyFont="1" applyBorder="1" applyAlignment="1">
      <alignment horizontal="left" vertical="center" wrapText="1"/>
    </xf>
    <xf numFmtId="49" fontId="2" fillId="0" borderId="29" xfId="0" applyNumberFormat="1" applyFont="1" applyBorder="1" applyAlignment="1">
      <alignment horizontal="left" vertical="center" wrapText="1"/>
    </xf>
    <xf numFmtId="49" fontId="2" fillId="0" borderId="31" xfId="0" applyNumberFormat="1" applyFont="1" applyBorder="1" applyAlignment="1">
      <alignment horizontal="left" vertical="center" wrapText="1"/>
    </xf>
    <xf numFmtId="49" fontId="2" fillId="0" borderId="30" xfId="0" applyNumberFormat="1" applyFont="1" applyBorder="1" applyAlignment="1">
      <alignment horizontal="left" vertical="center" wrapText="1"/>
    </xf>
    <xf numFmtId="49" fontId="2" fillId="0" borderId="18" xfId="0" applyNumberFormat="1" applyFont="1" applyBorder="1" applyAlignment="1">
      <alignment horizontal="left" vertical="center" wrapText="1"/>
    </xf>
    <xf numFmtId="49" fontId="2" fillId="0" borderId="19" xfId="0" applyNumberFormat="1" applyFont="1" applyBorder="1" applyAlignment="1">
      <alignment horizontal="left" vertical="center" wrapText="1"/>
    </xf>
    <xf numFmtId="49" fontId="2" fillId="0" borderId="17" xfId="0" applyNumberFormat="1" applyFont="1" applyBorder="1" applyAlignment="1">
      <alignment horizontal="left" vertical="center" wrapText="1"/>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5"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3" fillId="0" borderId="40" xfId="0" applyFont="1" applyBorder="1" applyAlignment="1">
      <alignment vertical="center" wrapText="1"/>
    </xf>
    <xf numFmtId="0" fontId="3" fillId="0" borderId="27" xfId="0" applyFont="1" applyBorder="1" applyAlignment="1">
      <alignment vertical="center" wrapText="1"/>
    </xf>
    <xf numFmtId="0" fontId="3" fillId="0" borderId="41"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12" fillId="0" borderId="6" xfId="0" applyFont="1" applyBorder="1" applyAlignment="1">
      <alignment horizontal="left" vertical="center" wrapText="1"/>
    </xf>
    <xf numFmtId="0" fontId="12" fillId="0" borderId="1" xfId="0" applyFont="1" applyBorder="1" applyAlignment="1">
      <alignment horizontal="center" vertical="center"/>
    </xf>
    <xf numFmtId="0" fontId="14" fillId="0" borderId="1" xfId="0" applyFont="1" applyBorder="1" applyAlignment="1">
      <alignmen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2" xfId="0" applyFont="1" applyBorder="1" applyAlignment="1">
      <alignment horizontal="left" vertical="center" shrinkToFit="1"/>
    </xf>
    <xf numFmtId="0" fontId="5" fillId="0" borderId="4" xfId="0" applyFont="1" applyBorder="1" applyAlignment="1">
      <alignment horizontal="left" vertical="center" shrinkToFit="1"/>
    </xf>
    <xf numFmtId="0" fontId="2" fillId="0" borderId="2" xfId="0" applyFont="1" applyBorder="1" applyAlignment="1">
      <alignment horizontal="left" vertical="center" wrapText="1"/>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8" xfId="0" applyFont="1" applyBorder="1" applyAlignment="1">
      <alignment vertical="top" wrapText="1" shrinkToFit="1"/>
    </xf>
    <xf numFmtId="0" fontId="2" fillId="0" borderId="32"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G114"/>
  <sheetViews>
    <sheetView showZeros="0" view="pageBreakPreview" topLeftCell="A60" zoomScaleNormal="100" zoomScaleSheetLayoutView="100" workbookViewId="0">
      <selection activeCell="B104" sqref="B104:U104"/>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75"/>
      <c r="B1" s="75"/>
      <c r="C1" s="75"/>
      <c r="D1" s="75"/>
      <c r="E1" s="75"/>
      <c r="F1" s="75"/>
      <c r="G1" s="75"/>
      <c r="H1" s="75"/>
      <c r="I1" s="75"/>
      <c r="J1" s="75"/>
      <c r="K1" s="75"/>
      <c r="L1" s="75"/>
      <c r="M1" s="75"/>
      <c r="N1" s="75"/>
      <c r="O1" s="75"/>
      <c r="P1" s="75"/>
      <c r="Q1" s="75"/>
      <c r="R1" s="75"/>
      <c r="S1" s="75"/>
      <c r="T1" s="125" t="s">
        <v>12</v>
      </c>
      <c r="U1" s="125"/>
      <c r="V1" s="2" t="s">
        <v>98</v>
      </c>
    </row>
    <row r="2" spans="1:24" ht="18.75" customHeight="1" x14ac:dyDescent="0.15">
      <c r="A2" s="75"/>
      <c r="B2" s="77" t="s">
        <v>97</v>
      </c>
      <c r="C2" s="126" t="s">
        <v>131</v>
      </c>
      <c r="D2" s="127"/>
      <c r="E2" s="127"/>
      <c r="F2" s="127"/>
      <c r="G2" s="127"/>
      <c r="H2" s="127"/>
      <c r="I2" s="127"/>
      <c r="J2" s="128"/>
      <c r="K2" s="76"/>
      <c r="L2" s="78"/>
      <c r="M2" s="78"/>
      <c r="N2" s="78"/>
      <c r="O2" s="78"/>
      <c r="P2" s="78"/>
      <c r="Q2" s="78"/>
      <c r="R2" s="78"/>
      <c r="S2" s="78"/>
      <c r="T2" s="78"/>
      <c r="U2" s="78"/>
    </row>
    <row r="3" spans="1:24" ht="18.75" customHeight="1" x14ac:dyDescent="0.15">
      <c r="A3" s="75"/>
      <c r="B3" s="77" t="s">
        <v>92</v>
      </c>
      <c r="C3" s="126" t="s">
        <v>160</v>
      </c>
      <c r="D3" s="127"/>
      <c r="E3" s="127"/>
      <c r="F3" s="127"/>
      <c r="G3" s="127"/>
      <c r="H3" s="127"/>
      <c r="I3" s="127"/>
      <c r="J3" s="128"/>
      <c r="K3" s="76"/>
      <c r="L3" s="78"/>
      <c r="M3" s="78"/>
      <c r="N3" s="78"/>
      <c r="O3" s="78"/>
      <c r="P3" s="78"/>
      <c r="Q3" s="78"/>
      <c r="R3" s="78"/>
      <c r="S3" s="78"/>
      <c r="T3" s="78"/>
      <c r="U3" s="78"/>
    </row>
    <row r="4" spans="1:24" ht="15" customHeight="1" x14ac:dyDescent="0.15">
      <c r="A4" s="75"/>
      <c r="B4" s="75"/>
      <c r="C4" s="75"/>
      <c r="D4" s="75"/>
      <c r="E4" s="75"/>
      <c r="F4" s="75"/>
      <c r="G4" s="75"/>
      <c r="H4" s="75"/>
      <c r="I4" s="75"/>
      <c r="J4" s="75"/>
      <c r="K4" s="75"/>
      <c r="L4" s="76"/>
      <c r="M4" s="79"/>
      <c r="N4" s="79"/>
      <c r="O4" s="79"/>
      <c r="P4" s="79"/>
      <c r="Q4" s="79"/>
      <c r="R4" s="79"/>
      <c r="S4" s="79"/>
      <c r="T4" s="79"/>
      <c r="U4" s="79"/>
    </row>
    <row r="5" spans="1:24" ht="18" customHeight="1" x14ac:dyDescent="0.15">
      <c r="A5" s="129" t="s">
        <v>38</v>
      </c>
      <c r="B5" s="129"/>
      <c r="C5" s="129"/>
      <c r="D5" s="129"/>
      <c r="E5" s="129"/>
      <c r="F5" s="129"/>
      <c r="G5" s="129"/>
      <c r="H5" s="129"/>
      <c r="I5" s="129"/>
      <c r="J5" s="129"/>
      <c r="K5" s="129"/>
      <c r="L5" s="129"/>
      <c r="M5" s="129"/>
      <c r="N5" s="129"/>
      <c r="O5" s="129"/>
      <c r="P5" s="129"/>
      <c r="Q5" s="129"/>
      <c r="R5" s="129"/>
      <c r="S5" s="129"/>
      <c r="T5" s="129"/>
      <c r="U5" s="129"/>
    </row>
    <row r="6" spans="1:24" ht="15" customHeight="1" x14ac:dyDescent="0.15">
      <c r="A6" s="75"/>
      <c r="B6" s="80"/>
      <c r="C6" s="80"/>
      <c r="D6" s="80"/>
      <c r="E6" s="80"/>
      <c r="F6" s="80"/>
      <c r="G6" s="80"/>
      <c r="H6" s="80"/>
      <c r="I6" s="80"/>
      <c r="J6" s="80"/>
      <c r="K6" s="80"/>
      <c r="L6" s="80"/>
      <c r="M6" s="80"/>
      <c r="N6" s="80"/>
      <c r="O6" s="80"/>
      <c r="P6" s="80"/>
      <c r="Q6" s="80"/>
      <c r="R6" s="80"/>
      <c r="S6" s="80"/>
      <c r="T6" s="80"/>
      <c r="U6" s="80"/>
    </row>
    <row r="7" spans="1:24" ht="15" customHeight="1" x14ac:dyDescent="0.15">
      <c r="A7" s="75" t="s">
        <v>126</v>
      </c>
      <c r="B7" s="80"/>
      <c r="C7" s="80"/>
      <c r="D7" s="80"/>
      <c r="E7" s="80"/>
      <c r="F7" s="74"/>
      <c r="G7" s="74"/>
      <c r="H7" s="74"/>
      <c r="I7" s="74"/>
      <c r="J7" s="74"/>
      <c r="K7" s="74"/>
      <c r="L7" s="100" t="s">
        <v>132</v>
      </c>
      <c r="M7" s="101"/>
      <c r="N7" s="101"/>
      <c r="O7" s="101"/>
      <c r="P7" s="101"/>
      <c r="Q7" s="101"/>
      <c r="R7" s="101"/>
      <c r="S7" s="101"/>
      <c r="T7" s="101"/>
      <c r="U7" s="102"/>
    </row>
    <row r="8" spans="1:24" ht="6" customHeight="1" x14ac:dyDescent="0.15">
      <c r="A8" s="75"/>
      <c r="B8" s="80"/>
      <c r="C8" s="80"/>
      <c r="D8" s="80"/>
      <c r="E8" s="80"/>
      <c r="F8" s="80"/>
      <c r="G8" s="80"/>
      <c r="H8" s="80"/>
      <c r="I8" s="80"/>
      <c r="J8" s="80"/>
      <c r="K8" s="80"/>
      <c r="L8" s="80"/>
      <c r="M8" s="80"/>
      <c r="N8" s="80"/>
      <c r="O8" s="80"/>
      <c r="P8" s="80"/>
      <c r="Q8" s="80"/>
      <c r="R8" s="80"/>
      <c r="S8" s="80"/>
      <c r="T8" s="80"/>
      <c r="U8" s="80"/>
    </row>
    <row r="9" spans="1:24" ht="18" customHeight="1" x14ac:dyDescent="0.15">
      <c r="A9" s="75" t="s">
        <v>127</v>
      </c>
      <c r="B9" s="75"/>
      <c r="C9" s="80"/>
      <c r="D9" s="80"/>
      <c r="E9" s="75"/>
      <c r="F9" s="75"/>
      <c r="G9" s="75"/>
      <c r="H9" s="75"/>
      <c r="I9" s="75"/>
      <c r="J9" s="75"/>
      <c r="K9" s="76"/>
      <c r="L9" s="74"/>
      <c r="M9" s="74"/>
      <c r="N9" s="74"/>
      <c r="O9" s="74"/>
      <c r="P9" s="74"/>
      <c r="Q9" s="74"/>
      <c r="R9" s="74"/>
      <c r="S9" s="74"/>
      <c r="T9" s="74"/>
      <c r="U9" s="74"/>
    </row>
    <row r="10" spans="1:24" ht="6" customHeight="1" x14ac:dyDescent="0.15">
      <c r="A10" s="75"/>
      <c r="B10" s="80"/>
      <c r="C10" s="80"/>
      <c r="D10" s="80"/>
      <c r="E10" s="80"/>
      <c r="F10" s="80"/>
      <c r="G10" s="80"/>
      <c r="H10" s="80"/>
      <c r="I10" s="80"/>
      <c r="J10" s="80"/>
      <c r="K10" s="80"/>
      <c r="L10" s="81"/>
      <c r="M10" s="80"/>
      <c r="N10" s="80"/>
      <c r="O10" s="80"/>
      <c r="P10" s="80"/>
      <c r="Q10" s="80"/>
      <c r="R10" s="80"/>
      <c r="S10" s="80"/>
      <c r="T10" s="80"/>
      <c r="U10" s="80"/>
    </row>
    <row r="11" spans="1:24" ht="18" customHeight="1" x14ac:dyDescent="0.15">
      <c r="A11" s="75"/>
      <c r="B11" s="106"/>
      <c r="C11" s="107"/>
      <c r="D11" s="107"/>
      <c r="E11" s="107"/>
      <c r="F11" s="107"/>
      <c r="G11" s="107"/>
      <c r="H11" s="107"/>
      <c r="I11" s="107"/>
      <c r="J11" s="107"/>
      <c r="K11" s="107"/>
      <c r="L11" s="107"/>
      <c r="M11" s="107"/>
      <c r="N11" s="107"/>
      <c r="O11" s="107"/>
      <c r="P11" s="107"/>
      <c r="Q11" s="107"/>
      <c r="R11" s="107"/>
      <c r="S11" s="107"/>
      <c r="T11" s="107"/>
      <c r="U11" s="108"/>
    </row>
    <row r="12" spans="1:24" ht="18" customHeight="1" x14ac:dyDescent="0.15">
      <c r="A12" s="75"/>
      <c r="B12" s="109"/>
      <c r="C12" s="110"/>
      <c r="D12" s="110"/>
      <c r="E12" s="110"/>
      <c r="F12" s="110"/>
      <c r="G12" s="110"/>
      <c r="H12" s="110"/>
      <c r="I12" s="110"/>
      <c r="J12" s="110"/>
      <c r="K12" s="110"/>
      <c r="L12" s="110"/>
      <c r="M12" s="110"/>
      <c r="N12" s="110"/>
      <c r="O12" s="110"/>
      <c r="P12" s="110"/>
      <c r="Q12" s="110"/>
      <c r="R12" s="110"/>
      <c r="S12" s="110"/>
      <c r="T12" s="110"/>
      <c r="U12" s="111"/>
    </row>
    <row r="13" spans="1:24" ht="6" customHeight="1" x14ac:dyDescent="0.15">
      <c r="A13" s="75"/>
      <c r="B13" s="80"/>
      <c r="C13" s="80"/>
      <c r="D13" s="80"/>
      <c r="E13" s="80"/>
      <c r="F13" s="80"/>
      <c r="G13" s="80"/>
      <c r="H13" s="80"/>
      <c r="I13" s="80"/>
      <c r="J13" s="80"/>
      <c r="K13" s="80"/>
      <c r="L13" s="81"/>
      <c r="M13" s="80"/>
      <c r="N13" s="80"/>
      <c r="O13" s="80"/>
      <c r="P13" s="80"/>
      <c r="Q13" s="80"/>
      <c r="R13" s="80"/>
      <c r="S13" s="80"/>
      <c r="T13" s="80"/>
      <c r="U13" s="80"/>
    </row>
    <row r="14" spans="1:24" ht="18" customHeight="1" x14ac:dyDescent="0.15">
      <c r="A14" s="75" t="s">
        <v>99</v>
      </c>
      <c r="B14" s="80"/>
      <c r="C14" s="80"/>
      <c r="D14" s="80"/>
      <c r="E14" s="76"/>
      <c r="F14" s="76"/>
      <c r="G14" s="76"/>
      <c r="H14" s="76"/>
      <c r="I14" s="76"/>
      <c r="J14" s="76"/>
      <c r="K14" s="76"/>
      <c r="L14" s="82"/>
      <c r="M14" s="82"/>
      <c r="N14" s="82"/>
      <c r="O14" s="82"/>
      <c r="P14" s="82"/>
      <c r="Q14" s="82"/>
      <c r="R14" s="82"/>
      <c r="S14" s="82"/>
      <c r="T14" s="82"/>
      <c r="U14" s="82"/>
    </row>
    <row r="15" spans="1:24" ht="18" customHeight="1" x14ac:dyDescent="0.15">
      <c r="A15" s="75"/>
      <c r="B15" s="130" t="s">
        <v>133</v>
      </c>
      <c r="C15" s="131"/>
      <c r="D15" s="131"/>
      <c r="E15" s="131"/>
      <c r="F15" s="131"/>
      <c r="G15" s="131"/>
      <c r="H15" s="131"/>
      <c r="I15" s="131"/>
      <c r="J15" s="131"/>
      <c r="K15" s="131"/>
      <c r="L15" s="131"/>
      <c r="M15" s="131"/>
      <c r="N15" s="131"/>
      <c r="O15" s="131"/>
      <c r="P15" s="131"/>
      <c r="Q15" s="131"/>
      <c r="R15" s="131"/>
      <c r="S15" s="131"/>
      <c r="T15" s="131"/>
      <c r="U15" s="132"/>
      <c r="X15" s="1" t="s">
        <v>93</v>
      </c>
    </row>
    <row r="16" spans="1:24" ht="18" customHeight="1" x14ac:dyDescent="0.15">
      <c r="A16" s="75"/>
      <c r="B16" s="133"/>
      <c r="C16" s="134"/>
      <c r="D16" s="134"/>
      <c r="E16" s="134"/>
      <c r="F16" s="134"/>
      <c r="G16" s="134"/>
      <c r="H16" s="134"/>
      <c r="I16" s="134"/>
      <c r="J16" s="134"/>
      <c r="K16" s="134"/>
      <c r="L16" s="134"/>
      <c r="M16" s="134"/>
      <c r="N16" s="134"/>
      <c r="O16" s="134"/>
      <c r="P16" s="134"/>
      <c r="Q16" s="134"/>
      <c r="R16" s="134"/>
      <c r="S16" s="134"/>
      <c r="T16" s="134"/>
      <c r="U16" s="135"/>
      <c r="X16" s="1" t="s">
        <v>112</v>
      </c>
    </row>
    <row r="17" spans="1:24" ht="18" customHeight="1" x14ac:dyDescent="0.15">
      <c r="A17" s="75"/>
      <c r="B17" s="133"/>
      <c r="C17" s="134"/>
      <c r="D17" s="134"/>
      <c r="E17" s="134"/>
      <c r="F17" s="134"/>
      <c r="G17" s="134"/>
      <c r="H17" s="134"/>
      <c r="I17" s="134"/>
      <c r="J17" s="134"/>
      <c r="K17" s="134"/>
      <c r="L17" s="134"/>
      <c r="M17" s="134"/>
      <c r="N17" s="134"/>
      <c r="O17" s="134"/>
      <c r="P17" s="134"/>
      <c r="Q17" s="134"/>
      <c r="R17" s="134"/>
      <c r="S17" s="134"/>
      <c r="T17" s="134"/>
      <c r="U17" s="135"/>
      <c r="X17" s="1" t="s">
        <v>113</v>
      </c>
    </row>
    <row r="18" spans="1:24" ht="18" customHeight="1" x14ac:dyDescent="0.15">
      <c r="A18" s="75"/>
      <c r="B18" s="133"/>
      <c r="C18" s="134"/>
      <c r="D18" s="134"/>
      <c r="E18" s="134"/>
      <c r="F18" s="134"/>
      <c r="G18" s="134"/>
      <c r="H18" s="134"/>
      <c r="I18" s="134"/>
      <c r="J18" s="134"/>
      <c r="K18" s="134"/>
      <c r="L18" s="134"/>
      <c r="M18" s="134"/>
      <c r="N18" s="134"/>
      <c r="O18" s="134"/>
      <c r="P18" s="134"/>
      <c r="Q18" s="134"/>
      <c r="R18" s="134"/>
      <c r="S18" s="134"/>
      <c r="T18" s="134"/>
      <c r="U18" s="135"/>
      <c r="X18" s="1" t="s">
        <v>114</v>
      </c>
    </row>
    <row r="19" spans="1:24" ht="18" customHeight="1" x14ac:dyDescent="0.15">
      <c r="A19" s="75"/>
      <c r="B19" s="133"/>
      <c r="C19" s="134"/>
      <c r="D19" s="134"/>
      <c r="E19" s="134"/>
      <c r="F19" s="134"/>
      <c r="G19" s="134"/>
      <c r="H19" s="134"/>
      <c r="I19" s="134"/>
      <c r="J19" s="134"/>
      <c r="K19" s="134"/>
      <c r="L19" s="134"/>
      <c r="M19" s="134"/>
      <c r="N19" s="134"/>
      <c r="O19" s="134"/>
      <c r="P19" s="134"/>
      <c r="Q19" s="134"/>
      <c r="R19" s="134"/>
      <c r="S19" s="134"/>
      <c r="T19" s="134"/>
      <c r="U19" s="135"/>
    </row>
    <row r="20" spans="1:24" ht="18" customHeight="1" x14ac:dyDescent="0.15">
      <c r="A20" s="75"/>
      <c r="B20" s="136"/>
      <c r="C20" s="137"/>
      <c r="D20" s="137"/>
      <c r="E20" s="137"/>
      <c r="F20" s="137"/>
      <c r="G20" s="137"/>
      <c r="H20" s="137"/>
      <c r="I20" s="137"/>
      <c r="J20" s="137"/>
      <c r="K20" s="137"/>
      <c r="L20" s="137"/>
      <c r="M20" s="137"/>
      <c r="N20" s="137"/>
      <c r="O20" s="137"/>
      <c r="P20" s="137"/>
      <c r="Q20" s="137"/>
      <c r="R20" s="137"/>
      <c r="S20" s="137"/>
      <c r="T20" s="137"/>
      <c r="U20" s="138"/>
    </row>
    <row r="21" spans="1:24" ht="7.5" customHeight="1" x14ac:dyDescent="0.15">
      <c r="A21" s="75"/>
      <c r="B21" s="80"/>
      <c r="C21" s="80"/>
      <c r="D21" s="80"/>
      <c r="E21" s="80"/>
      <c r="F21" s="80"/>
      <c r="G21" s="80"/>
      <c r="H21" s="80"/>
      <c r="I21" s="80"/>
      <c r="J21" s="80"/>
      <c r="K21" s="80"/>
      <c r="L21" s="80"/>
      <c r="M21" s="80"/>
      <c r="N21" s="80"/>
      <c r="O21" s="80"/>
      <c r="P21" s="80"/>
      <c r="Q21" s="80"/>
      <c r="R21" s="80"/>
      <c r="S21" s="80"/>
      <c r="T21" s="80"/>
      <c r="U21" s="80"/>
    </row>
    <row r="22" spans="1:24" ht="19.899999999999999" customHeight="1" x14ac:dyDescent="0.15">
      <c r="A22" s="75"/>
      <c r="B22" s="75" t="s">
        <v>128</v>
      </c>
      <c r="C22" s="75"/>
      <c r="D22" s="75"/>
      <c r="E22" s="83">
        <v>1</v>
      </c>
      <c r="F22" s="75" t="s">
        <v>110</v>
      </c>
      <c r="G22" s="75"/>
      <c r="H22" s="84">
        <v>2</v>
      </c>
      <c r="I22" s="80" t="s">
        <v>111</v>
      </c>
      <c r="J22" s="80"/>
      <c r="K22" s="76"/>
      <c r="L22" s="75"/>
      <c r="M22" s="76" t="s">
        <v>107</v>
      </c>
      <c r="N22" s="97" t="s">
        <v>112</v>
      </c>
      <c r="O22" s="98"/>
      <c r="P22" s="98"/>
      <c r="Q22" s="98"/>
      <c r="R22" s="98"/>
      <c r="S22" s="98"/>
      <c r="T22" s="98"/>
      <c r="U22" s="99"/>
    </row>
    <row r="23" spans="1:24" ht="7.5" customHeight="1" x14ac:dyDescent="0.15">
      <c r="A23" s="75"/>
      <c r="B23" s="80"/>
      <c r="C23" s="80"/>
      <c r="D23" s="80"/>
      <c r="E23" s="80"/>
      <c r="F23" s="80"/>
      <c r="G23" s="80"/>
      <c r="H23" s="80"/>
      <c r="I23" s="80"/>
      <c r="J23" s="80"/>
      <c r="K23" s="80"/>
      <c r="L23" s="80"/>
      <c r="M23" s="80"/>
      <c r="N23" s="80"/>
      <c r="O23" s="80"/>
      <c r="P23" s="80"/>
      <c r="Q23" s="80"/>
      <c r="R23" s="80"/>
      <c r="S23" s="80"/>
      <c r="T23" s="80"/>
      <c r="U23" s="80"/>
    </row>
    <row r="24" spans="1:24" ht="18" customHeight="1" x14ac:dyDescent="0.15">
      <c r="A24" s="139" t="s">
        <v>100</v>
      </c>
      <c r="B24" s="139"/>
      <c r="C24" s="139"/>
      <c r="D24" s="139"/>
      <c r="E24" s="139"/>
      <c r="F24" s="139"/>
      <c r="G24" s="139"/>
      <c r="H24" s="139"/>
      <c r="I24" s="139"/>
      <c r="J24" s="139"/>
      <c r="K24" s="139"/>
      <c r="L24" s="139"/>
      <c r="M24" s="139"/>
      <c r="N24" s="139"/>
      <c r="O24" s="139"/>
      <c r="P24" s="139"/>
      <c r="Q24" s="139"/>
      <c r="R24" s="139"/>
      <c r="S24" s="139"/>
      <c r="T24" s="139"/>
      <c r="U24" s="139"/>
    </row>
    <row r="25" spans="1:24" ht="18" customHeight="1" x14ac:dyDescent="0.15">
      <c r="A25" s="139"/>
      <c r="B25" s="139"/>
      <c r="C25" s="139"/>
      <c r="D25" s="139"/>
      <c r="E25" s="139"/>
      <c r="F25" s="139"/>
      <c r="G25" s="139"/>
      <c r="H25" s="139"/>
      <c r="I25" s="139"/>
      <c r="J25" s="139"/>
      <c r="K25" s="139"/>
      <c r="L25" s="139"/>
      <c r="M25" s="139"/>
      <c r="N25" s="139"/>
      <c r="O25" s="139"/>
      <c r="P25" s="139"/>
      <c r="Q25" s="139"/>
      <c r="R25" s="139"/>
      <c r="S25" s="139"/>
      <c r="T25" s="139"/>
      <c r="U25" s="139"/>
    </row>
    <row r="26" spans="1:24" ht="18" customHeight="1" x14ac:dyDescent="0.15">
      <c r="B26" s="103" t="s">
        <v>52</v>
      </c>
      <c r="C26" s="104"/>
      <c r="D26" s="104"/>
      <c r="E26" s="104"/>
      <c r="F26" s="105"/>
      <c r="G26" s="51" t="s">
        <v>76</v>
      </c>
      <c r="H26" s="50" t="s">
        <v>79</v>
      </c>
      <c r="I26" s="17" t="s">
        <v>55</v>
      </c>
      <c r="J26" s="17" t="s">
        <v>58</v>
      </c>
      <c r="K26" s="103" t="s">
        <v>52</v>
      </c>
      <c r="L26" s="104"/>
      <c r="M26" s="104"/>
      <c r="N26" s="104"/>
      <c r="O26" s="104"/>
      <c r="P26" s="104"/>
      <c r="Q26" s="105"/>
      <c r="R26" s="51" t="s">
        <v>76</v>
      </c>
      <c r="S26" s="50" t="s">
        <v>79</v>
      </c>
      <c r="T26" s="17" t="s">
        <v>55</v>
      </c>
      <c r="U26" s="17" t="s">
        <v>58</v>
      </c>
    </row>
    <row r="27" spans="1:24" ht="18" customHeight="1" x14ac:dyDescent="0.15">
      <c r="B27" s="118" t="s">
        <v>134</v>
      </c>
      <c r="C27" s="119"/>
      <c r="D27" s="119"/>
      <c r="E27" s="119"/>
      <c r="F27" s="120"/>
      <c r="G27" s="18">
        <v>2</v>
      </c>
      <c r="H27" s="18" t="s">
        <v>135</v>
      </c>
      <c r="I27" s="18" t="s">
        <v>135</v>
      </c>
      <c r="J27" s="18" t="s">
        <v>135</v>
      </c>
      <c r="K27" s="121"/>
      <c r="L27" s="122"/>
      <c r="M27" s="122"/>
      <c r="N27" s="122"/>
      <c r="O27" s="122"/>
      <c r="P27" s="122"/>
      <c r="Q27" s="123"/>
      <c r="R27" s="18"/>
      <c r="S27" s="18"/>
      <c r="T27" s="18"/>
      <c r="U27" s="18"/>
    </row>
    <row r="28" spans="1:24" ht="18" customHeight="1" x14ac:dyDescent="0.15">
      <c r="B28" s="112"/>
      <c r="C28" s="113"/>
      <c r="D28" s="113"/>
      <c r="E28" s="113"/>
      <c r="F28" s="114"/>
      <c r="G28" s="19"/>
      <c r="H28" s="19"/>
      <c r="I28" s="19"/>
      <c r="J28" s="19"/>
      <c r="K28" s="112"/>
      <c r="L28" s="113"/>
      <c r="M28" s="113"/>
      <c r="N28" s="113"/>
      <c r="O28" s="113"/>
      <c r="P28" s="113"/>
      <c r="Q28" s="114"/>
      <c r="R28" s="19"/>
      <c r="S28" s="19"/>
      <c r="T28" s="19"/>
      <c r="U28" s="19"/>
    </row>
    <row r="29" spans="1:24" ht="18" customHeight="1" x14ac:dyDescent="0.15">
      <c r="B29" s="112"/>
      <c r="C29" s="113"/>
      <c r="D29" s="113"/>
      <c r="E29" s="113"/>
      <c r="F29" s="114"/>
      <c r="G29" s="19"/>
      <c r="H29" s="19"/>
      <c r="I29" s="19"/>
      <c r="J29" s="19"/>
      <c r="K29" s="112"/>
      <c r="L29" s="113"/>
      <c r="M29" s="113"/>
      <c r="N29" s="113"/>
      <c r="O29" s="113"/>
      <c r="P29" s="113"/>
      <c r="Q29" s="114"/>
      <c r="R29" s="19"/>
      <c r="S29" s="19"/>
      <c r="T29" s="19"/>
      <c r="U29" s="19"/>
    </row>
    <row r="30" spans="1:24" ht="18" customHeight="1" x14ac:dyDescent="0.15">
      <c r="B30" s="112"/>
      <c r="C30" s="113"/>
      <c r="D30" s="113"/>
      <c r="E30" s="113"/>
      <c r="F30" s="114"/>
      <c r="G30" s="19"/>
      <c r="H30" s="19"/>
      <c r="I30" s="19"/>
      <c r="J30" s="19"/>
      <c r="K30" s="112"/>
      <c r="L30" s="113"/>
      <c r="M30" s="113"/>
      <c r="N30" s="113"/>
      <c r="O30" s="113"/>
      <c r="P30" s="113"/>
      <c r="Q30" s="114"/>
      <c r="R30" s="19"/>
      <c r="S30" s="19"/>
      <c r="T30" s="19"/>
      <c r="U30" s="19"/>
    </row>
    <row r="31" spans="1:24" ht="18" customHeight="1" x14ac:dyDescent="0.15">
      <c r="B31" s="112"/>
      <c r="C31" s="113"/>
      <c r="D31" s="113"/>
      <c r="E31" s="113"/>
      <c r="F31" s="114"/>
      <c r="G31" s="19"/>
      <c r="H31" s="19"/>
      <c r="I31" s="19"/>
      <c r="J31" s="19"/>
      <c r="K31" s="112"/>
      <c r="L31" s="113"/>
      <c r="M31" s="113"/>
      <c r="N31" s="113"/>
      <c r="O31" s="113"/>
      <c r="P31" s="113"/>
      <c r="Q31" s="114"/>
      <c r="R31" s="19"/>
      <c r="S31" s="19"/>
      <c r="T31" s="19"/>
      <c r="U31" s="19"/>
    </row>
    <row r="32" spans="1:24" ht="18" customHeight="1" x14ac:dyDescent="0.15">
      <c r="A32" s="3"/>
      <c r="B32" s="112"/>
      <c r="C32" s="113"/>
      <c r="D32" s="113"/>
      <c r="E32" s="113"/>
      <c r="F32" s="114"/>
      <c r="G32" s="19"/>
      <c r="H32" s="19"/>
      <c r="I32" s="19"/>
      <c r="J32" s="19"/>
      <c r="K32" s="112"/>
      <c r="L32" s="113"/>
      <c r="M32" s="113"/>
      <c r="N32" s="113"/>
      <c r="O32" s="113"/>
      <c r="P32" s="113"/>
      <c r="Q32" s="114"/>
      <c r="R32" s="19"/>
      <c r="S32" s="19"/>
      <c r="T32" s="19"/>
      <c r="U32" s="19"/>
    </row>
    <row r="33" spans="1:21" ht="18" customHeight="1" x14ac:dyDescent="0.15">
      <c r="A33" s="3"/>
      <c r="B33" s="115"/>
      <c r="C33" s="116"/>
      <c r="D33" s="116"/>
      <c r="E33" s="116"/>
      <c r="F33" s="117"/>
      <c r="G33" s="20"/>
      <c r="H33" s="20"/>
      <c r="I33" s="21"/>
      <c r="J33" s="21"/>
      <c r="K33" s="115"/>
      <c r="L33" s="116"/>
      <c r="M33" s="116"/>
      <c r="N33" s="116"/>
      <c r="O33" s="116"/>
      <c r="P33" s="116"/>
      <c r="Q33" s="117"/>
      <c r="R33" s="20"/>
      <c r="S33" s="20"/>
      <c r="T33" s="21"/>
      <c r="U33" s="21"/>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24" t="s">
        <v>101</v>
      </c>
      <c r="B35" s="124"/>
      <c r="C35" s="124"/>
      <c r="D35" s="124"/>
      <c r="E35" s="124"/>
      <c r="F35" s="124"/>
      <c r="G35" s="124"/>
      <c r="H35" s="124"/>
      <c r="I35" s="124"/>
      <c r="J35" s="124"/>
      <c r="K35" s="124"/>
      <c r="L35" s="124"/>
      <c r="M35" s="124"/>
      <c r="N35" s="124"/>
      <c r="O35" s="124"/>
      <c r="P35" s="124"/>
      <c r="Q35" s="124"/>
      <c r="R35" s="124"/>
      <c r="S35" s="124"/>
      <c r="T35" s="124"/>
      <c r="U35" s="124"/>
    </row>
    <row r="36" spans="1:21" ht="18" customHeight="1" x14ac:dyDescent="0.15">
      <c r="A36" s="124"/>
      <c r="B36" s="124"/>
      <c r="C36" s="124"/>
      <c r="D36" s="124"/>
      <c r="E36" s="124"/>
      <c r="F36" s="124"/>
      <c r="G36" s="124"/>
      <c r="H36" s="124"/>
      <c r="I36" s="124"/>
      <c r="J36" s="124"/>
      <c r="K36" s="124"/>
      <c r="L36" s="124"/>
      <c r="M36" s="124"/>
      <c r="N36" s="124"/>
      <c r="O36" s="124"/>
      <c r="P36" s="124"/>
      <c r="Q36" s="124"/>
      <c r="R36" s="124"/>
      <c r="S36" s="124"/>
      <c r="T36" s="124"/>
      <c r="U36" s="124"/>
    </row>
    <row r="37" spans="1:21" ht="18" customHeight="1" x14ac:dyDescent="0.15">
      <c r="B37" s="103" t="s">
        <v>52</v>
      </c>
      <c r="C37" s="104"/>
      <c r="D37" s="104"/>
      <c r="E37" s="104"/>
      <c r="F37" s="105"/>
      <c r="G37" s="51" t="s">
        <v>76</v>
      </c>
      <c r="H37" s="50" t="s">
        <v>79</v>
      </c>
      <c r="I37" s="17" t="s">
        <v>69</v>
      </c>
      <c r="J37" s="17" t="s">
        <v>70</v>
      </c>
      <c r="K37" s="103" t="s">
        <v>52</v>
      </c>
      <c r="L37" s="104"/>
      <c r="M37" s="104"/>
      <c r="N37" s="104"/>
      <c r="O37" s="104"/>
      <c r="P37" s="104"/>
      <c r="Q37" s="105"/>
      <c r="R37" s="51" t="s">
        <v>76</v>
      </c>
      <c r="S37" s="50" t="s">
        <v>79</v>
      </c>
      <c r="T37" s="17" t="s">
        <v>69</v>
      </c>
      <c r="U37" s="17" t="s">
        <v>70</v>
      </c>
    </row>
    <row r="38" spans="1:21" ht="18" customHeight="1" x14ac:dyDescent="0.15">
      <c r="B38" s="118" t="s">
        <v>134</v>
      </c>
      <c r="C38" s="119"/>
      <c r="D38" s="119"/>
      <c r="E38" s="119"/>
      <c r="F38" s="120"/>
      <c r="G38" s="18">
        <v>2</v>
      </c>
      <c r="H38" s="18" t="s">
        <v>135</v>
      </c>
      <c r="I38" s="18" t="s">
        <v>135</v>
      </c>
      <c r="J38" s="18" t="s">
        <v>135</v>
      </c>
      <c r="K38" s="121"/>
      <c r="L38" s="122"/>
      <c r="M38" s="122"/>
      <c r="N38" s="122"/>
      <c r="O38" s="122"/>
      <c r="P38" s="122"/>
      <c r="Q38" s="123"/>
      <c r="R38" s="18"/>
      <c r="S38" s="18"/>
      <c r="T38" s="18"/>
      <c r="U38" s="18"/>
    </row>
    <row r="39" spans="1:21" ht="18" customHeight="1" x14ac:dyDescent="0.15">
      <c r="B39" s="112"/>
      <c r="C39" s="113"/>
      <c r="D39" s="113"/>
      <c r="E39" s="113"/>
      <c r="F39" s="114"/>
      <c r="G39" s="19"/>
      <c r="H39" s="19"/>
      <c r="I39" s="19"/>
      <c r="J39" s="19"/>
      <c r="K39" s="112"/>
      <c r="L39" s="113"/>
      <c r="M39" s="113"/>
      <c r="N39" s="113"/>
      <c r="O39" s="113"/>
      <c r="P39" s="113"/>
      <c r="Q39" s="114"/>
      <c r="R39" s="19"/>
      <c r="S39" s="19"/>
      <c r="T39" s="19"/>
      <c r="U39" s="19"/>
    </row>
    <row r="40" spans="1:21" ht="18" customHeight="1" x14ac:dyDescent="0.15">
      <c r="B40" s="112"/>
      <c r="C40" s="113"/>
      <c r="D40" s="113"/>
      <c r="E40" s="113"/>
      <c r="F40" s="114"/>
      <c r="G40" s="19"/>
      <c r="H40" s="19"/>
      <c r="I40" s="19"/>
      <c r="J40" s="19"/>
      <c r="K40" s="112"/>
      <c r="L40" s="113"/>
      <c r="M40" s="113"/>
      <c r="N40" s="113"/>
      <c r="O40" s="113"/>
      <c r="P40" s="113"/>
      <c r="Q40" s="114"/>
      <c r="R40" s="19"/>
      <c r="S40" s="19"/>
      <c r="T40" s="19"/>
      <c r="U40" s="19"/>
    </row>
    <row r="41" spans="1:21" ht="18" customHeight="1" x14ac:dyDescent="0.15">
      <c r="B41" s="112"/>
      <c r="C41" s="113"/>
      <c r="D41" s="113"/>
      <c r="E41" s="113"/>
      <c r="F41" s="114"/>
      <c r="G41" s="19"/>
      <c r="H41" s="19"/>
      <c r="I41" s="19"/>
      <c r="J41" s="19"/>
      <c r="K41" s="112"/>
      <c r="L41" s="113"/>
      <c r="M41" s="113"/>
      <c r="N41" s="113"/>
      <c r="O41" s="113"/>
      <c r="P41" s="113"/>
      <c r="Q41" s="114"/>
      <c r="R41" s="19"/>
      <c r="S41" s="19"/>
      <c r="T41" s="19"/>
      <c r="U41" s="19"/>
    </row>
    <row r="42" spans="1:21" ht="18" customHeight="1" x14ac:dyDescent="0.15">
      <c r="B42" s="112"/>
      <c r="C42" s="113"/>
      <c r="D42" s="113"/>
      <c r="E42" s="113"/>
      <c r="F42" s="114"/>
      <c r="G42" s="19"/>
      <c r="H42" s="19"/>
      <c r="I42" s="19"/>
      <c r="J42" s="19"/>
      <c r="K42" s="112"/>
      <c r="L42" s="113"/>
      <c r="M42" s="113"/>
      <c r="N42" s="113"/>
      <c r="O42" s="113"/>
      <c r="P42" s="113"/>
      <c r="Q42" s="114"/>
      <c r="R42" s="19"/>
      <c r="S42" s="19"/>
      <c r="T42" s="19"/>
      <c r="U42" s="19"/>
    </row>
    <row r="43" spans="1:21" ht="18" customHeight="1" x14ac:dyDescent="0.15">
      <c r="B43" s="112"/>
      <c r="C43" s="113"/>
      <c r="D43" s="113"/>
      <c r="E43" s="113"/>
      <c r="F43" s="114"/>
      <c r="G43" s="19"/>
      <c r="H43" s="19"/>
      <c r="I43" s="19"/>
      <c r="J43" s="19"/>
      <c r="K43" s="112"/>
      <c r="L43" s="113"/>
      <c r="M43" s="113"/>
      <c r="N43" s="113"/>
      <c r="O43" s="113"/>
      <c r="P43" s="113"/>
      <c r="Q43" s="114"/>
      <c r="R43" s="19"/>
      <c r="S43" s="19"/>
      <c r="T43" s="19"/>
      <c r="U43" s="19"/>
    </row>
    <row r="44" spans="1:21" ht="18" customHeight="1" x14ac:dyDescent="0.15">
      <c r="B44" s="115"/>
      <c r="C44" s="116"/>
      <c r="D44" s="116"/>
      <c r="E44" s="116"/>
      <c r="F44" s="117"/>
      <c r="G44" s="20"/>
      <c r="H44" s="20"/>
      <c r="I44" s="21"/>
      <c r="J44" s="21"/>
      <c r="K44" s="115"/>
      <c r="L44" s="116"/>
      <c r="M44" s="116"/>
      <c r="N44" s="116"/>
      <c r="O44" s="116"/>
      <c r="P44" s="116"/>
      <c r="Q44" s="117"/>
      <c r="R44" s="20"/>
      <c r="S44" s="20"/>
      <c r="T44" s="21"/>
      <c r="U44" s="21"/>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24" t="s">
        <v>102</v>
      </c>
      <c r="B46" s="124"/>
      <c r="C46" s="124"/>
      <c r="D46" s="124"/>
      <c r="E46" s="124"/>
      <c r="F46" s="124"/>
      <c r="G46" s="124"/>
      <c r="H46" s="124"/>
      <c r="I46" s="124"/>
      <c r="J46" s="124"/>
      <c r="K46" s="124"/>
      <c r="L46" s="124"/>
      <c r="M46" s="124"/>
      <c r="N46" s="124"/>
      <c r="O46" s="124"/>
      <c r="P46" s="124"/>
      <c r="Q46" s="124"/>
      <c r="R46" s="124"/>
      <c r="S46" s="124"/>
      <c r="T46" s="124"/>
      <c r="U46" s="124"/>
    </row>
    <row r="47" spans="1:21" ht="18" customHeight="1" x14ac:dyDescent="0.15">
      <c r="A47" s="124"/>
      <c r="B47" s="124"/>
      <c r="C47" s="124"/>
      <c r="D47" s="124"/>
      <c r="E47" s="124"/>
      <c r="F47" s="124"/>
      <c r="G47" s="124"/>
      <c r="H47" s="124"/>
      <c r="I47" s="124"/>
      <c r="J47" s="124"/>
      <c r="K47" s="124"/>
      <c r="L47" s="124"/>
      <c r="M47" s="124"/>
      <c r="N47" s="124"/>
      <c r="O47" s="124"/>
      <c r="P47" s="124"/>
      <c r="Q47" s="124"/>
      <c r="R47" s="124"/>
      <c r="S47" s="124"/>
      <c r="T47" s="124"/>
      <c r="U47" s="124"/>
    </row>
    <row r="48" spans="1:21" ht="18" customHeight="1" x14ac:dyDescent="0.15">
      <c r="B48" s="103" t="s">
        <v>52</v>
      </c>
      <c r="C48" s="104"/>
      <c r="D48" s="104"/>
      <c r="E48" s="104"/>
      <c r="F48" s="105"/>
      <c r="G48" s="51" t="s">
        <v>76</v>
      </c>
      <c r="H48" s="50" t="s">
        <v>79</v>
      </c>
      <c r="I48" s="17" t="s">
        <v>71</v>
      </c>
      <c r="J48" s="17" t="s">
        <v>72</v>
      </c>
      <c r="K48" s="103" t="s">
        <v>52</v>
      </c>
      <c r="L48" s="104"/>
      <c r="M48" s="104"/>
      <c r="N48" s="104"/>
      <c r="O48" s="104"/>
      <c r="P48" s="104"/>
      <c r="Q48" s="105"/>
      <c r="R48" s="51" t="s">
        <v>76</v>
      </c>
      <c r="S48" s="50" t="s">
        <v>79</v>
      </c>
      <c r="T48" s="17" t="s">
        <v>71</v>
      </c>
      <c r="U48" s="17" t="s">
        <v>72</v>
      </c>
    </row>
    <row r="49" spans="1:21" ht="18" customHeight="1" x14ac:dyDescent="0.15">
      <c r="A49" s="3"/>
      <c r="B49" s="118" t="s">
        <v>134</v>
      </c>
      <c r="C49" s="119"/>
      <c r="D49" s="119"/>
      <c r="E49" s="119"/>
      <c r="F49" s="120"/>
      <c r="G49" s="18">
        <v>2</v>
      </c>
      <c r="H49" s="18" t="s">
        <v>135</v>
      </c>
      <c r="I49" s="18" t="s">
        <v>135</v>
      </c>
      <c r="J49" s="18" t="s">
        <v>135</v>
      </c>
      <c r="K49" s="121"/>
      <c r="L49" s="122"/>
      <c r="M49" s="122"/>
      <c r="N49" s="122"/>
      <c r="O49" s="122"/>
      <c r="P49" s="122"/>
      <c r="Q49" s="123"/>
      <c r="R49" s="18"/>
      <c r="S49" s="18"/>
      <c r="T49" s="18"/>
      <c r="U49" s="18"/>
    </row>
    <row r="50" spans="1:21" ht="18" customHeight="1" x14ac:dyDescent="0.15">
      <c r="A50" s="3"/>
      <c r="B50" s="112"/>
      <c r="C50" s="113"/>
      <c r="D50" s="113"/>
      <c r="E50" s="113"/>
      <c r="F50" s="114"/>
      <c r="G50" s="19"/>
      <c r="H50" s="19"/>
      <c r="I50" s="19"/>
      <c r="J50" s="19"/>
      <c r="K50" s="112"/>
      <c r="L50" s="113"/>
      <c r="M50" s="113"/>
      <c r="N50" s="113"/>
      <c r="O50" s="113"/>
      <c r="P50" s="113"/>
      <c r="Q50" s="114"/>
      <c r="R50" s="19"/>
      <c r="S50" s="19"/>
      <c r="T50" s="19"/>
      <c r="U50" s="19"/>
    </row>
    <row r="51" spans="1:21" ht="18" customHeight="1" x14ac:dyDescent="0.15">
      <c r="A51" s="3"/>
      <c r="B51" s="112"/>
      <c r="C51" s="113"/>
      <c r="D51" s="113"/>
      <c r="E51" s="113"/>
      <c r="F51" s="114"/>
      <c r="G51" s="19"/>
      <c r="H51" s="19"/>
      <c r="I51" s="19"/>
      <c r="J51" s="19"/>
      <c r="K51" s="112"/>
      <c r="L51" s="113"/>
      <c r="M51" s="113"/>
      <c r="N51" s="113"/>
      <c r="O51" s="113"/>
      <c r="P51" s="113"/>
      <c r="Q51" s="114"/>
      <c r="R51" s="19"/>
      <c r="S51" s="19"/>
      <c r="T51" s="19"/>
      <c r="U51" s="19"/>
    </row>
    <row r="52" spans="1:21" ht="18" customHeight="1" x14ac:dyDescent="0.15">
      <c r="A52" s="3"/>
      <c r="B52" s="112"/>
      <c r="C52" s="113"/>
      <c r="D52" s="113"/>
      <c r="E52" s="113"/>
      <c r="F52" s="114"/>
      <c r="G52" s="19"/>
      <c r="H52" s="19"/>
      <c r="I52" s="19"/>
      <c r="J52" s="19"/>
      <c r="K52" s="112"/>
      <c r="L52" s="113"/>
      <c r="M52" s="113"/>
      <c r="N52" s="113"/>
      <c r="O52" s="113"/>
      <c r="P52" s="113"/>
      <c r="Q52" s="114"/>
      <c r="R52" s="19"/>
      <c r="S52" s="19"/>
      <c r="T52" s="19"/>
      <c r="U52" s="19"/>
    </row>
    <row r="53" spans="1:21" ht="18" customHeight="1" x14ac:dyDescent="0.15">
      <c r="A53" s="3"/>
      <c r="B53" s="112"/>
      <c r="C53" s="113"/>
      <c r="D53" s="113"/>
      <c r="E53" s="113"/>
      <c r="F53" s="114"/>
      <c r="G53" s="19"/>
      <c r="H53" s="19"/>
      <c r="I53" s="19"/>
      <c r="J53" s="19"/>
      <c r="K53" s="112"/>
      <c r="L53" s="113"/>
      <c r="M53" s="113"/>
      <c r="N53" s="113"/>
      <c r="O53" s="113"/>
      <c r="P53" s="113"/>
      <c r="Q53" s="114"/>
      <c r="R53" s="19"/>
      <c r="S53" s="19"/>
      <c r="T53" s="19"/>
      <c r="U53" s="19"/>
    </row>
    <row r="54" spans="1:21" ht="18" customHeight="1" x14ac:dyDescent="0.15">
      <c r="A54" s="3"/>
      <c r="B54" s="112"/>
      <c r="C54" s="113"/>
      <c r="D54" s="113"/>
      <c r="E54" s="113"/>
      <c r="F54" s="114"/>
      <c r="G54" s="19"/>
      <c r="H54" s="19"/>
      <c r="I54" s="19"/>
      <c r="J54" s="19"/>
      <c r="K54" s="112"/>
      <c r="L54" s="113"/>
      <c r="M54" s="113"/>
      <c r="N54" s="113"/>
      <c r="O54" s="113"/>
      <c r="P54" s="113"/>
      <c r="Q54" s="114"/>
      <c r="R54" s="19"/>
      <c r="S54" s="19"/>
      <c r="T54" s="19"/>
      <c r="U54" s="19"/>
    </row>
    <row r="55" spans="1:21" ht="18" customHeight="1" x14ac:dyDescent="0.15">
      <c r="A55" s="3"/>
      <c r="B55" s="115"/>
      <c r="C55" s="116"/>
      <c r="D55" s="116"/>
      <c r="E55" s="116"/>
      <c r="F55" s="117"/>
      <c r="G55" s="20"/>
      <c r="H55" s="20"/>
      <c r="I55" s="21"/>
      <c r="J55" s="21"/>
      <c r="K55" s="115"/>
      <c r="L55" s="116"/>
      <c r="M55" s="116"/>
      <c r="N55" s="116"/>
      <c r="O55" s="116"/>
      <c r="P55" s="116"/>
      <c r="Q55" s="117"/>
      <c r="R55" s="20"/>
      <c r="S55" s="20"/>
      <c r="T55" s="21"/>
      <c r="U55" s="21"/>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24" t="s">
        <v>103</v>
      </c>
      <c r="B57" s="124"/>
      <c r="C57" s="124"/>
      <c r="D57" s="124"/>
      <c r="E57" s="124"/>
      <c r="F57" s="124"/>
      <c r="G57" s="124"/>
      <c r="H57" s="124"/>
      <c r="I57" s="124"/>
      <c r="J57" s="124"/>
      <c r="K57" s="124"/>
      <c r="L57" s="124"/>
      <c r="M57" s="124"/>
      <c r="N57" s="124"/>
      <c r="O57" s="124"/>
      <c r="P57" s="124"/>
      <c r="Q57" s="124"/>
      <c r="R57" s="124"/>
      <c r="S57" s="124"/>
      <c r="T57" s="124"/>
      <c r="U57" s="124"/>
    </row>
    <row r="58" spans="1:21" ht="18" customHeight="1" x14ac:dyDescent="0.15">
      <c r="A58" s="124"/>
      <c r="B58" s="124"/>
      <c r="C58" s="124"/>
      <c r="D58" s="124"/>
      <c r="E58" s="124"/>
      <c r="F58" s="124"/>
      <c r="G58" s="124"/>
      <c r="H58" s="124"/>
      <c r="I58" s="124"/>
      <c r="J58" s="124"/>
      <c r="K58" s="124"/>
      <c r="L58" s="124"/>
      <c r="M58" s="124"/>
      <c r="N58" s="124"/>
      <c r="O58" s="124"/>
      <c r="P58" s="124"/>
      <c r="Q58" s="124"/>
      <c r="R58" s="124"/>
      <c r="S58" s="124"/>
      <c r="T58" s="124"/>
      <c r="U58" s="124"/>
    </row>
    <row r="59" spans="1:21" ht="18" customHeight="1" x14ac:dyDescent="0.15">
      <c r="B59" s="103" t="s">
        <v>52</v>
      </c>
      <c r="C59" s="104"/>
      <c r="D59" s="104"/>
      <c r="E59" s="104"/>
      <c r="F59" s="105"/>
      <c r="G59" s="51" t="s">
        <v>76</v>
      </c>
      <c r="H59" s="50" t="s">
        <v>79</v>
      </c>
      <c r="I59" s="17" t="s">
        <v>57</v>
      </c>
      <c r="J59" s="17" t="s">
        <v>59</v>
      </c>
      <c r="K59" s="103" t="s">
        <v>52</v>
      </c>
      <c r="L59" s="104"/>
      <c r="M59" s="104"/>
      <c r="N59" s="104"/>
      <c r="O59" s="104"/>
      <c r="P59" s="104"/>
      <c r="Q59" s="105"/>
      <c r="R59" s="51" t="s">
        <v>76</v>
      </c>
      <c r="S59" s="50" t="s">
        <v>79</v>
      </c>
      <c r="T59" s="17" t="s">
        <v>57</v>
      </c>
      <c r="U59" s="17" t="s">
        <v>59</v>
      </c>
    </row>
    <row r="60" spans="1:21" ht="18" customHeight="1" x14ac:dyDescent="0.15">
      <c r="A60" s="3"/>
      <c r="B60" s="118" t="s">
        <v>134</v>
      </c>
      <c r="C60" s="119"/>
      <c r="D60" s="119"/>
      <c r="E60" s="119"/>
      <c r="F60" s="120"/>
      <c r="G60" s="18">
        <v>2</v>
      </c>
      <c r="H60" s="18" t="s">
        <v>135</v>
      </c>
      <c r="I60" s="18" t="s">
        <v>135</v>
      </c>
      <c r="J60" s="18" t="s">
        <v>135</v>
      </c>
      <c r="K60" s="121"/>
      <c r="L60" s="122"/>
      <c r="M60" s="122"/>
      <c r="N60" s="122"/>
      <c r="O60" s="122"/>
      <c r="P60" s="122"/>
      <c r="Q60" s="123"/>
      <c r="R60" s="18"/>
      <c r="S60" s="18"/>
      <c r="T60" s="18"/>
      <c r="U60" s="18"/>
    </row>
    <row r="61" spans="1:21" ht="18" customHeight="1" x14ac:dyDescent="0.15">
      <c r="A61" s="3"/>
      <c r="B61" s="112"/>
      <c r="C61" s="113"/>
      <c r="D61" s="113"/>
      <c r="E61" s="113"/>
      <c r="F61" s="114"/>
      <c r="G61" s="19"/>
      <c r="H61" s="19"/>
      <c r="I61" s="19"/>
      <c r="J61" s="19"/>
      <c r="K61" s="112"/>
      <c r="L61" s="113"/>
      <c r="M61" s="113"/>
      <c r="N61" s="113"/>
      <c r="O61" s="113"/>
      <c r="P61" s="113"/>
      <c r="Q61" s="114"/>
      <c r="R61" s="19"/>
      <c r="S61" s="19"/>
      <c r="T61" s="19"/>
      <c r="U61" s="19"/>
    </row>
    <row r="62" spans="1:21" ht="18" customHeight="1" x14ac:dyDescent="0.15">
      <c r="A62" s="3"/>
      <c r="B62" s="112"/>
      <c r="C62" s="113"/>
      <c r="D62" s="113"/>
      <c r="E62" s="113"/>
      <c r="F62" s="114"/>
      <c r="G62" s="19"/>
      <c r="H62" s="19"/>
      <c r="I62" s="19"/>
      <c r="J62" s="19"/>
      <c r="K62" s="112"/>
      <c r="L62" s="113"/>
      <c r="M62" s="113"/>
      <c r="N62" s="113"/>
      <c r="O62" s="113"/>
      <c r="P62" s="113"/>
      <c r="Q62" s="114"/>
      <c r="R62" s="19"/>
      <c r="S62" s="19"/>
      <c r="T62" s="19"/>
      <c r="U62" s="19"/>
    </row>
    <row r="63" spans="1:21" ht="18" customHeight="1" x14ac:dyDescent="0.15">
      <c r="A63" s="3"/>
      <c r="B63" s="112"/>
      <c r="C63" s="113"/>
      <c r="D63" s="113"/>
      <c r="E63" s="113"/>
      <c r="F63" s="114"/>
      <c r="G63" s="19"/>
      <c r="H63" s="19"/>
      <c r="I63" s="19"/>
      <c r="J63" s="19"/>
      <c r="K63" s="112"/>
      <c r="L63" s="113"/>
      <c r="M63" s="113"/>
      <c r="N63" s="113"/>
      <c r="O63" s="113"/>
      <c r="P63" s="113"/>
      <c r="Q63" s="114"/>
      <c r="R63" s="19"/>
      <c r="S63" s="19"/>
      <c r="T63" s="19"/>
      <c r="U63" s="19"/>
    </row>
    <row r="64" spans="1:21" ht="18" customHeight="1" x14ac:dyDescent="0.15">
      <c r="A64" s="3"/>
      <c r="B64" s="112"/>
      <c r="C64" s="113"/>
      <c r="D64" s="113"/>
      <c r="E64" s="113"/>
      <c r="F64" s="114"/>
      <c r="G64" s="19"/>
      <c r="H64" s="19"/>
      <c r="I64" s="19"/>
      <c r="J64" s="19"/>
      <c r="K64" s="112"/>
      <c r="L64" s="113"/>
      <c r="M64" s="113"/>
      <c r="N64" s="113"/>
      <c r="O64" s="113"/>
      <c r="P64" s="113"/>
      <c r="Q64" s="114"/>
      <c r="R64" s="19"/>
      <c r="S64" s="19"/>
      <c r="T64" s="19"/>
      <c r="U64" s="19"/>
    </row>
    <row r="65" spans="1:21" ht="18" customHeight="1" x14ac:dyDescent="0.15">
      <c r="A65" s="3"/>
      <c r="B65" s="112"/>
      <c r="C65" s="113"/>
      <c r="D65" s="113"/>
      <c r="E65" s="113"/>
      <c r="F65" s="114"/>
      <c r="G65" s="19"/>
      <c r="H65" s="19"/>
      <c r="I65" s="19"/>
      <c r="J65" s="19"/>
      <c r="K65" s="112"/>
      <c r="L65" s="113"/>
      <c r="M65" s="113"/>
      <c r="N65" s="113"/>
      <c r="O65" s="113"/>
      <c r="P65" s="113"/>
      <c r="Q65" s="114"/>
      <c r="R65" s="19"/>
      <c r="S65" s="19"/>
      <c r="T65" s="19"/>
      <c r="U65" s="19"/>
    </row>
    <row r="66" spans="1:21" ht="18" customHeight="1" x14ac:dyDescent="0.15">
      <c r="A66" s="3"/>
      <c r="B66" s="115"/>
      <c r="C66" s="116"/>
      <c r="D66" s="116"/>
      <c r="E66" s="116"/>
      <c r="F66" s="117"/>
      <c r="G66" s="20"/>
      <c r="H66" s="20"/>
      <c r="I66" s="21"/>
      <c r="J66" s="21"/>
      <c r="K66" s="115"/>
      <c r="L66" s="116"/>
      <c r="M66" s="116"/>
      <c r="N66" s="116"/>
      <c r="O66" s="116"/>
      <c r="P66" s="116"/>
      <c r="Q66" s="117"/>
      <c r="R66" s="20"/>
      <c r="S66" s="20"/>
      <c r="T66" s="21"/>
      <c r="U66" s="21"/>
    </row>
    <row r="67" spans="1:21" ht="7.5" customHeight="1" x14ac:dyDescent="0.15">
      <c r="B67" s="14"/>
      <c r="C67" s="14"/>
      <c r="D67" s="14"/>
      <c r="E67" s="14"/>
      <c r="F67" s="14"/>
      <c r="G67" s="14"/>
      <c r="H67" s="14"/>
      <c r="I67" s="14"/>
      <c r="J67" s="14"/>
      <c r="K67" s="14"/>
      <c r="L67" s="14"/>
      <c r="M67" s="14"/>
      <c r="N67" s="14"/>
      <c r="O67" s="14"/>
      <c r="P67" s="14"/>
      <c r="Q67" s="14"/>
      <c r="R67" s="14"/>
      <c r="S67" s="14"/>
      <c r="T67" s="14"/>
    </row>
    <row r="68" spans="1:21" ht="18" customHeight="1" x14ac:dyDescent="0.15">
      <c r="A68" s="124" t="s">
        <v>148</v>
      </c>
      <c r="B68" s="124"/>
      <c r="C68" s="124"/>
      <c r="D68" s="124"/>
      <c r="E68" s="124"/>
      <c r="F68" s="124"/>
      <c r="G68" s="124"/>
      <c r="H68" s="124"/>
      <c r="I68" s="124"/>
      <c r="J68" s="124"/>
      <c r="K68" s="124"/>
      <c r="L68" s="124"/>
      <c r="M68" s="124"/>
      <c r="N68" s="124"/>
      <c r="O68" s="124"/>
      <c r="P68" s="124"/>
      <c r="Q68" s="124"/>
      <c r="R68" s="124"/>
      <c r="S68" s="124"/>
      <c r="T68" s="124"/>
      <c r="U68" s="124"/>
    </row>
    <row r="69" spans="1:21" ht="18" customHeight="1" x14ac:dyDescent="0.15">
      <c r="A69" s="124"/>
      <c r="B69" s="124"/>
      <c r="C69" s="124"/>
      <c r="D69" s="124"/>
      <c r="E69" s="124"/>
      <c r="F69" s="124"/>
      <c r="G69" s="124"/>
      <c r="H69" s="124"/>
      <c r="I69" s="124"/>
      <c r="J69" s="124"/>
      <c r="K69" s="124"/>
      <c r="L69" s="124"/>
      <c r="M69" s="124"/>
      <c r="N69" s="124"/>
      <c r="O69" s="124"/>
      <c r="P69" s="124"/>
      <c r="Q69" s="124"/>
      <c r="R69" s="124"/>
      <c r="S69" s="124"/>
      <c r="T69" s="124"/>
      <c r="U69" s="124"/>
    </row>
    <row r="70" spans="1:21" ht="18" customHeight="1" x14ac:dyDescent="0.15">
      <c r="B70" s="103" t="s">
        <v>52</v>
      </c>
      <c r="C70" s="104"/>
      <c r="D70" s="104"/>
      <c r="E70" s="104"/>
      <c r="F70" s="51" t="s">
        <v>76</v>
      </c>
      <c r="G70" s="50" t="s">
        <v>79</v>
      </c>
      <c r="H70" s="17" t="s">
        <v>91</v>
      </c>
      <c r="I70" s="17" t="s">
        <v>73</v>
      </c>
      <c r="J70" s="17" t="s">
        <v>74</v>
      </c>
      <c r="K70" s="103" t="s">
        <v>52</v>
      </c>
      <c r="L70" s="104"/>
      <c r="M70" s="104"/>
      <c r="N70" s="104"/>
      <c r="O70" s="104"/>
      <c r="P70" s="105"/>
      <c r="Q70" s="51" t="s">
        <v>76</v>
      </c>
      <c r="R70" s="50" t="s">
        <v>79</v>
      </c>
      <c r="S70" s="17" t="s">
        <v>91</v>
      </c>
      <c r="T70" s="17" t="s">
        <v>73</v>
      </c>
      <c r="U70" s="17" t="s">
        <v>74</v>
      </c>
    </row>
    <row r="71" spans="1:21" ht="18" customHeight="1" x14ac:dyDescent="0.15">
      <c r="A71" s="3"/>
      <c r="B71" s="121" t="s">
        <v>136</v>
      </c>
      <c r="C71" s="122"/>
      <c r="D71" s="122"/>
      <c r="E71" s="122"/>
      <c r="F71" s="18">
        <v>2</v>
      </c>
      <c r="G71" s="18" t="s">
        <v>135</v>
      </c>
      <c r="H71" s="18" t="s">
        <v>135</v>
      </c>
      <c r="I71" s="18" t="s">
        <v>135</v>
      </c>
      <c r="J71" s="18" t="s">
        <v>135</v>
      </c>
      <c r="K71" s="121"/>
      <c r="L71" s="122"/>
      <c r="M71" s="122"/>
      <c r="N71" s="122"/>
      <c r="O71" s="122"/>
      <c r="P71" s="123"/>
      <c r="Q71" s="18"/>
      <c r="R71" s="18"/>
      <c r="S71" s="18"/>
      <c r="T71" s="18"/>
      <c r="U71" s="18"/>
    </row>
    <row r="72" spans="1:21" ht="18" customHeight="1" x14ac:dyDescent="0.15">
      <c r="A72" s="3"/>
      <c r="B72" s="112"/>
      <c r="C72" s="113"/>
      <c r="D72" s="113"/>
      <c r="E72" s="113"/>
      <c r="F72" s="19"/>
      <c r="G72" s="19"/>
      <c r="H72" s="19"/>
      <c r="I72" s="19"/>
      <c r="J72" s="19"/>
      <c r="K72" s="112"/>
      <c r="L72" s="113"/>
      <c r="M72" s="113"/>
      <c r="N72" s="113"/>
      <c r="O72" s="113"/>
      <c r="P72" s="114"/>
      <c r="Q72" s="19"/>
      <c r="R72" s="19"/>
      <c r="S72" s="19"/>
      <c r="T72" s="19"/>
      <c r="U72" s="19"/>
    </row>
    <row r="73" spans="1:21" ht="18" customHeight="1" x14ac:dyDescent="0.15">
      <c r="A73" s="3"/>
      <c r="B73" s="112"/>
      <c r="C73" s="113"/>
      <c r="D73" s="113"/>
      <c r="E73" s="113"/>
      <c r="F73" s="19"/>
      <c r="G73" s="19"/>
      <c r="H73" s="19"/>
      <c r="I73" s="19"/>
      <c r="J73" s="19"/>
      <c r="K73" s="112"/>
      <c r="L73" s="113"/>
      <c r="M73" s="113"/>
      <c r="N73" s="113"/>
      <c r="O73" s="113"/>
      <c r="P73" s="114"/>
      <c r="Q73" s="19"/>
      <c r="R73" s="19"/>
      <c r="S73" s="19"/>
      <c r="T73" s="19"/>
      <c r="U73" s="19"/>
    </row>
    <row r="74" spans="1:21" ht="18" customHeight="1" x14ac:dyDescent="0.15">
      <c r="A74" s="3"/>
      <c r="B74" s="112"/>
      <c r="C74" s="113"/>
      <c r="D74" s="113"/>
      <c r="E74" s="113"/>
      <c r="F74" s="19"/>
      <c r="G74" s="19"/>
      <c r="H74" s="19"/>
      <c r="I74" s="19"/>
      <c r="J74" s="19"/>
      <c r="K74" s="112"/>
      <c r="L74" s="113"/>
      <c r="M74" s="113"/>
      <c r="N74" s="113"/>
      <c r="O74" s="113"/>
      <c r="P74" s="114"/>
      <c r="Q74" s="19"/>
      <c r="R74" s="19"/>
      <c r="S74" s="19"/>
      <c r="T74" s="19"/>
      <c r="U74" s="19"/>
    </row>
    <row r="75" spans="1:21" ht="18" customHeight="1" x14ac:dyDescent="0.15">
      <c r="A75" s="3"/>
      <c r="B75" s="112"/>
      <c r="C75" s="113"/>
      <c r="D75" s="113"/>
      <c r="E75" s="113"/>
      <c r="F75" s="19"/>
      <c r="G75" s="19"/>
      <c r="H75" s="19"/>
      <c r="I75" s="19"/>
      <c r="J75" s="19"/>
      <c r="K75" s="112"/>
      <c r="L75" s="113"/>
      <c r="M75" s="113"/>
      <c r="N75" s="113"/>
      <c r="O75" s="113"/>
      <c r="P75" s="114"/>
      <c r="Q75" s="19"/>
      <c r="R75" s="19"/>
      <c r="S75" s="19"/>
      <c r="T75" s="19"/>
      <c r="U75" s="19"/>
    </row>
    <row r="76" spans="1:21" ht="18" customHeight="1" x14ac:dyDescent="0.15">
      <c r="A76" s="3"/>
      <c r="B76" s="112"/>
      <c r="C76" s="113"/>
      <c r="D76" s="113"/>
      <c r="E76" s="113"/>
      <c r="F76" s="19"/>
      <c r="G76" s="19"/>
      <c r="H76" s="19"/>
      <c r="I76" s="19"/>
      <c r="J76" s="19"/>
      <c r="K76" s="112"/>
      <c r="L76" s="113"/>
      <c r="M76" s="113"/>
      <c r="N76" s="113"/>
      <c r="O76" s="113"/>
      <c r="P76" s="114"/>
      <c r="Q76" s="19"/>
      <c r="R76" s="19"/>
      <c r="S76" s="19"/>
      <c r="T76" s="19"/>
      <c r="U76" s="19"/>
    </row>
    <row r="77" spans="1:21" ht="18" customHeight="1" x14ac:dyDescent="0.15">
      <c r="A77" s="3"/>
      <c r="B77" s="115"/>
      <c r="C77" s="116"/>
      <c r="D77" s="116"/>
      <c r="E77" s="116"/>
      <c r="F77" s="20"/>
      <c r="G77" s="20"/>
      <c r="H77" s="21"/>
      <c r="I77" s="21"/>
      <c r="J77" s="21"/>
      <c r="K77" s="115"/>
      <c r="L77" s="116"/>
      <c r="M77" s="116"/>
      <c r="N77" s="116"/>
      <c r="O77" s="116"/>
      <c r="P77" s="117"/>
      <c r="Q77" s="20"/>
      <c r="R77" s="20"/>
      <c r="S77" s="21"/>
      <c r="T77" s="21"/>
      <c r="U77" s="21"/>
    </row>
    <row r="78" spans="1:21" ht="7.5" customHeight="1" x14ac:dyDescent="0.15">
      <c r="B78" s="14"/>
      <c r="C78" s="14"/>
      <c r="D78" s="14"/>
      <c r="E78" s="14"/>
      <c r="F78" s="14"/>
      <c r="G78" s="14"/>
      <c r="H78" s="14"/>
      <c r="I78" s="14"/>
      <c r="J78" s="14"/>
      <c r="K78" s="14"/>
      <c r="L78" s="14"/>
      <c r="M78" s="14"/>
      <c r="N78" s="14"/>
      <c r="O78" s="14"/>
      <c r="P78" s="14"/>
      <c r="Q78" s="14"/>
      <c r="R78" s="14"/>
      <c r="S78" s="14"/>
      <c r="T78" s="14"/>
    </row>
    <row r="79" spans="1:21" ht="18" customHeight="1" x14ac:dyDescent="0.15">
      <c r="A79" s="1" t="s">
        <v>104</v>
      </c>
      <c r="I79" s="3"/>
      <c r="J79" s="3"/>
      <c r="K79" s="3"/>
      <c r="L79" s="3"/>
      <c r="M79" s="3"/>
      <c r="N79" s="3"/>
      <c r="O79" s="3"/>
      <c r="P79" s="3"/>
      <c r="Q79" s="3"/>
      <c r="R79" s="3"/>
      <c r="S79" s="3"/>
      <c r="T79" s="3"/>
      <c r="U79" s="3"/>
    </row>
    <row r="80" spans="1:21" ht="18" customHeight="1" x14ac:dyDescent="0.15">
      <c r="B80" s="103" t="s">
        <v>52</v>
      </c>
      <c r="C80" s="104"/>
      <c r="D80" s="104"/>
      <c r="E80" s="104"/>
      <c r="F80" s="105"/>
      <c r="G80" s="103" t="s">
        <v>77</v>
      </c>
      <c r="H80" s="104"/>
      <c r="I80" s="104"/>
      <c r="J80" s="105"/>
      <c r="K80" s="154" t="s">
        <v>52</v>
      </c>
      <c r="L80" s="155"/>
      <c r="M80" s="155"/>
      <c r="N80" s="155"/>
      <c r="O80" s="155"/>
      <c r="P80" s="155"/>
      <c r="Q80" s="156"/>
      <c r="R80" s="103" t="s">
        <v>77</v>
      </c>
      <c r="S80" s="104"/>
      <c r="T80" s="104"/>
      <c r="U80" s="105"/>
    </row>
    <row r="81" spans="1:21" ht="18" customHeight="1" x14ac:dyDescent="0.15">
      <c r="A81" s="3"/>
      <c r="B81" s="121"/>
      <c r="C81" s="122"/>
      <c r="D81" s="122"/>
      <c r="E81" s="122"/>
      <c r="F81" s="123"/>
      <c r="G81" s="118"/>
      <c r="H81" s="119"/>
      <c r="I81" s="119"/>
      <c r="J81" s="120"/>
      <c r="K81" s="121"/>
      <c r="L81" s="122"/>
      <c r="M81" s="122"/>
      <c r="N81" s="122"/>
      <c r="O81" s="122"/>
      <c r="P81" s="122"/>
      <c r="Q81" s="123"/>
      <c r="R81" s="118"/>
      <c r="S81" s="119"/>
      <c r="T81" s="119"/>
      <c r="U81" s="120"/>
    </row>
    <row r="82" spans="1:21" ht="18" customHeight="1" x14ac:dyDescent="0.15">
      <c r="A82" s="3"/>
      <c r="B82" s="112"/>
      <c r="C82" s="113"/>
      <c r="D82" s="113"/>
      <c r="E82" s="113"/>
      <c r="F82" s="114"/>
      <c r="G82" s="146"/>
      <c r="H82" s="147"/>
      <c r="I82" s="147"/>
      <c r="J82" s="148"/>
      <c r="K82" s="112"/>
      <c r="L82" s="113"/>
      <c r="M82" s="113"/>
      <c r="N82" s="113"/>
      <c r="O82" s="113"/>
      <c r="P82" s="113"/>
      <c r="Q82" s="114"/>
      <c r="R82" s="146"/>
      <c r="S82" s="147"/>
      <c r="T82" s="147"/>
      <c r="U82" s="148"/>
    </row>
    <row r="83" spans="1:21" ht="18" customHeight="1" x14ac:dyDescent="0.15">
      <c r="A83" s="3"/>
      <c r="B83" s="112"/>
      <c r="C83" s="113"/>
      <c r="D83" s="113"/>
      <c r="E83" s="113"/>
      <c r="F83" s="114"/>
      <c r="G83" s="146"/>
      <c r="H83" s="147"/>
      <c r="I83" s="147"/>
      <c r="J83" s="148"/>
      <c r="K83" s="112"/>
      <c r="L83" s="113"/>
      <c r="M83" s="113"/>
      <c r="N83" s="113"/>
      <c r="O83" s="113"/>
      <c r="P83" s="113"/>
      <c r="Q83" s="114"/>
      <c r="R83" s="146"/>
      <c r="S83" s="147"/>
      <c r="T83" s="147"/>
      <c r="U83" s="148"/>
    </row>
    <row r="84" spans="1:21" ht="18" customHeight="1" x14ac:dyDescent="0.15">
      <c r="A84" s="3"/>
      <c r="B84" s="112"/>
      <c r="C84" s="113"/>
      <c r="D84" s="113"/>
      <c r="E84" s="113"/>
      <c r="F84" s="114"/>
      <c r="G84" s="146"/>
      <c r="H84" s="147"/>
      <c r="I84" s="147"/>
      <c r="J84" s="148"/>
      <c r="K84" s="112"/>
      <c r="L84" s="113"/>
      <c r="M84" s="113"/>
      <c r="N84" s="113"/>
      <c r="O84" s="113"/>
      <c r="P84" s="113"/>
      <c r="Q84" s="114"/>
      <c r="R84" s="146"/>
      <c r="S84" s="147"/>
      <c r="T84" s="147"/>
      <c r="U84" s="148"/>
    </row>
    <row r="85" spans="1:21" ht="18" customHeight="1" x14ac:dyDescent="0.15">
      <c r="A85" s="3"/>
      <c r="B85" s="112"/>
      <c r="C85" s="113"/>
      <c r="D85" s="113"/>
      <c r="E85" s="113"/>
      <c r="F85" s="114"/>
      <c r="G85" s="146"/>
      <c r="H85" s="147"/>
      <c r="I85" s="147"/>
      <c r="J85" s="148"/>
      <c r="K85" s="112"/>
      <c r="L85" s="113"/>
      <c r="M85" s="113"/>
      <c r="N85" s="113"/>
      <c r="O85" s="113"/>
      <c r="P85" s="113"/>
      <c r="Q85" s="114"/>
      <c r="R85" s="146"/>
      <c r="S85" s="147"/>
      <c r="T85" s="147"/>
      <c r="U85" s="148"/>
    </row>
    <row r="86" spans="1:21" ht="18" customHeight="1" x14ac:dyDescent="0.15">
      <c r="A86" s="3"/>
      <c r="B86" s="112"/>
      <c r="C86" s="113"/>
      <c r="D86" s="113"/>
      <c r="E86" s="113"/>
      <c r="F86" s="114"/>
      <c r="G86" s="146"/>
      <c r="H86" s="147"/>
      <c r="I86" s="147"/>
      <c r="J86" s="148"/>
      <c r="K86" s="112"/>
      <c r="L86" s="113"/>
      <c r="M86" s="113"/>
      <c r="N86" s="113"/>
      <c r="O86" s="113"/>
      <c r="P86" s="113"/>
      <c r="Q86" s="114"/>
      <c r="R86" s="146"/>
      <c r="S86" s="147"/>
      <c r="T86" s="147"/>
      <c r="U86" s="148"/>
    </row>
    <row r="87" spans="1:21" ht="18" customHeight="1" x14ac:dyDescent="0.15">
      <c r="A87" s="3"/>
      <c r="B87" s="115"/>
      <c r="C87" s="116"/>
      <c r="D87" s="116"/>
      <c r="E87" s="116"/>
      <c r="F87" s="117"/>
      <c r="G87" s="143"/>
      <c r="H87" s="144"/>
      <c r="I87" s="144"/>
      <c r="J87" s="145"/>
      <c r="K87" s="115"/>
      <c r="L87" s="116"/>
      <c r="M87" s="116"/>
      <c r="N87" s="116"/>
      <c r="O87" s="116"/>
      <c r="P87" s="116"/>
      <c r="Q87" s="117"/>
      <c r="R87" s="143"/>
      <c r="S87" s="144"/>
      <c r="T87" s="144"/>
      <c r="U87" s="145"/>
    </row>
    <row r="88" spans="1:21" ht="18" customHeight="1" x14ac:dyDescent="0.15">
      <c r="A88" s="3"/>
      <c r="B88" s="6"/>
      <c r="C88" s="6"/>
      <c r="D88" s="6"/>
      <c r="E88" s="6"/>
      <c r="F88" s="6"/>
      <c r="G88" s="22"/>
      <c r="H88" s="22"/>
      <c r="I88" s="22"/>
      <c r="J88" s="22"/>
      <c r="K88" s="6"/>
      <c r="L88" s="6"/>
      <c r="M88" s="6"/>
      <c r="N88" s="6"/>
      <c r="O88" s="6"/>
      <c r="P88" s="6"/>
      <c r="Q88" s="6"/>
      <c r="R88" s="22"/>
      <c r="S88" s="22"/>
      <c r="T88" s="22"/>
      <c r="U88" s="22"/>
    </row>
    <row r="89" spans="1:21" ht="18.75" customHeight="1" x14ac:dyDescent="0.15">
      <c r="A89" s="1" t="s">
        <v>105</v>
      </c>
    </row>
    <row r="90" spans="1:21" ht="18.75" customHeight="1" x14ac:dyDescent="0.15">
      <c r="B90" s="152" t="s">
        <v>53</v>
      </c>
      <c r="C90" s="153"/>
      <c r="D90" s="103" t="s">
        <v>54</v>
      </c>
      <c r="E90" s="104"/>
      <c r="F90" s="104"/>
      <c r="G90" s="104"/>
      <c r="H90" s="104"/>
      <c r="I90" s="104"/>
      <c r="J90" s="104"/>
      <c r="K90" s="104"/>
      <c r="L90" s="104"/>
      <c r="M90" s="104"/>
      <c r="N90" s="104"/>
      <c r="O90" s="104"/>
      <c r="P90" s="104"/>
      <c r="Q90" s="104"/>
      <c r="R90" s="104"/>
      <c r="S90" s="104"/>
      <c r="T90" s="104"/>
      <c r="U90" s="105"/>
    </row>
    <row r="91" spans="1:21" ht="97.5" customHeight="1" x14ac:dyDescent="0.15">
      <c r="B91" s="149" t="s">
        <v>60</v>
      </c>
      <c r="C91" s="23" t="s">
        <v>55</v>
      </c>
      <c r="D91" s="91" t="s">
        <v>149</v>
      </c>
      <c r="E91" s="92"/>
      <c r="F91" s="92"/>
      <c r="G91" s="92"/>
      <c r="H91" s="92"/>
      <c r="I91" s="92"/>
      <c r="J91" s="92"/>
      <c r="K91" s="92"/>
      <c r="L91" s="92"/>
      <c r="M91" s="92"/>
      <c r="N91" s="92"/>
      <c r="O91" s="92"/>
      <c r="P91" s="92"/>
      <c r="Q91" s="92"/>
      <c r="R91" s="92"/>
      <c r="S91" s="92"/>
      <c r="T91" s="92"/>
      <c r="U91" s="93"/>
    </row>
    <row r="92" spans="1:21" ht="97.5" customHeight="1" x14ac:dyDescent="0.15">
      <c r="B92" s="150"/>
      <c r="C92" s="24" t="s">
        <v>75</v>
      </c>
      <c r="D92" s="88" t="s">
        <v>170</v>
      </c>
      <c r="E92" s="89"/>
      <c r="F92" s="89"/>
      <c r="G92" s="89"/>
      <c r="H92" s="89"/>
      <c r="I92" s="89"/>
      <c r="J92" s="89"/>
      <c r="K92" s="89"/>
      <c r="L92" s="89"/>
      <c r="M92" s="89"/>
      <c r="N92" s="89"/>
      <c r="O92" s="89"/>
      <c r="P92" s="89"/>
      <c r="Q92" s="89"/>
      <c r="R92" s="89"/>
      <c r="S92" s="89"/>
      <c r="T92" s="89"/>
      <c r="U92" s="90"/>
    </row>
    <row r="93" spans="1:21" ht="97.5" customHeight="1" x14ac:dyDescent="0.15">
      <c r="B93" s="149" t="s">
        <v>61</v>
      </c>
      <c r="C93" s="25" t="s">
        <v>69</v>
      </c>
      <c r="D93" s="91" t="s">
        <v>171</v>
      </c>
      <c r="E93" s="92"/>
      <c r="F93" s="92"/>
      <c r="G93" s="92"/>
      <c r="H93" s="92"/>
      <c r="I93" s="92"/>
      <c r="J93" s="92"/>
      <c r="K93" s="92"/>
      <c r="L93" s="92"/>
      <c r="M93" s="92"/>
      <c r="N93" s="92"/>
      <c r="O93" s="92"/>
      <c r="P93" s="92"/>
      <c r="Q93" s="92"/>
      <c r="R93" s="92"/>
      <c r="S93" s="92"/>
      <c r="T93" s="92"/>
      <c r="U93" s="93"/>
    </row>
    <row r="94" spans="1:21" ht="97.5" customHeight="1" x14ac:dyDescent="0.15">
      <c r="B94" s="151"/>
      <c r="C94" s="26" t="s">
        <v>70</v>
      </c>
      <c r="D94" s="88" t="s">
        <v>172</v>
      </c>
      <c r="E94" s="89"/>
      <c r="F94" s="89"/>
      <c r="G94" s="89"/>
      <c r="H94" s="89"/>
      <c r="I94" s="89"/>
      <c r="J94" s="89"/>
      <c r="K94" s="89"/>
      <c r="L94" s="89"/>
      <c r="M94" s="89"/>
      <c r="N94" s="89"/>
      <c r="O94" s="89"/>
      <c r="P94" s="89"/>
      <c r="Q94" s="89"/>
      <c r="R94" s="89"/>
      <c r="S94" s="89"/>
      <c r="T94" s="89"/>
      <c r="U94" s="90"/>
    </row>
    <row r="95" spans="1:21" ht="97.5" customHeight="1" x14ac:dyDescent="0.15">
      <c r="B95" s="149" t="s">
        <v>62</v>
      </c>
      <c r="C95" s="25" t="s">
        <v>71</v>
      </c>
      <c r="D95" s="91" t="s">
        <v>150</v>
      </c>
      <c r="E95" s="92"/>
      <c r="F95" s="92"/>
      <c r="G95" s="92"/>
      <c r="H95" s="92"/>
      <c r="I95" s="92"/>
      <c r="J95" s="92"/>
      <c r="K95" s="92"/>
      <c r="L95" s="92"/>
      <c r="M95" s="92"/>
      <c r="N95" s="92"/>
      <c r="O95" s="92"/>
      <c r="P95" s="92"/>
      <c r="Q95" s="92"/>
      <c r="R95" s="92"/>
      <c r="S95" s="92"/>
      <c r="T95" s="92"/>
      <c r="U95" s="93"/>
    </row>
    <row r="96" spans="1:21" ht="97.5" customHeight="1" x14ac:dyDescent="0.15">
      <c r="B96" s="151"/>
      <c r="C96" s="27" t="s">
        <v>72</v>
      </c>
      <c r="D96" s="88" t="s">
        <v>173</v>
      </c>
      <c r="E96" s="89"/>
      <c r="F96" s="89"/>
      <c r="G96" s="89"/>
      <c r="H96" s="89"/>
      <c r="I96" s="89"/>
      <c r="J96" s="89"/>
      <c r="K96" s="89"/>
      <c r="L96" s="89"/>
      <c r="M96" s="89"/>
      <c r="N96" s="89"/>
      <c r="O96" s="89"/>
      <c r="P96" s="89"/>
      <c r="Q96" s="89"/>
      <c r="R96" s="89"/>
      <c r="S96" s="89"/>
      <c r="T96" s="89"/>
      <c r="U96" s="90"/>
    </row>
    <row r="97" spans="1:33" ht="97.5" customHeight="1" x14ac:dyDescent="0.15">
      <c r="B97" s="149" t="s">
        <v>151</v>
      </c>
      <c r="C97" s="23" t="s">
        <v>57</v>
      </c>
      <c r="D97" s="91" t="s">
        <v>174</v>
      </c>
      <c r="E97" s="92"/>
      <c r="F97" s="92"/>
      <c r="G97" s="92"/>
      <c r="H97" s="92"/>
      <c r="I97" s="92"/>
      <c r="J97" s="92"/>
      <c r="K97" s="92"/>
      <c r="L97" s="92"/>
      <c r="M97" s="92"/>
      <c r="N97" s="92"/>
      <c r="O97" s="92"/>
      <c r="P97" s="92"/>
      <c r="Q97" s="92"/>
      <c r="R97" s="92"/>
      <c r="S97" s="92"/>
      <c r="T97" s="92"/>
      <c r="U97" s="93"/>
    </row>
    <row r="98" spans="1:33" ht="97.5" customHeight="1" x14ac:dyDescent="0.15">
      <c r="B98" s="151"/>
      <c r="C98" s="26" t="s">
        <v>59</v>
      </c>
      <c r="D98" s="88" t="s">
        <v>175</v>
      </c>
      <c r="E98" s="89"/>
      <c r="F98" s="89"/>
      <c r="G98" s="89"/>
      <c r="H98" s="89"/>
      <c r="I98" s="89"/>
      <c r="J98" s="89"/>
      <c r="K98" s="89"/>
      <c r="L98" s="89"/>
      <c r="M98" s="89"/>
      <c r="N98" s="89"/>
      <c r="O98" s="89"/>
      <c r="P98" s="89"/>
      <c r="Q98" s="89"/>
      <c r="R98" s="89"/>
      <c r="S98" s="89"/>
      <c r="T98" s="89"/>
      <c r="U98" s="90"/>
    </row>
    <row r="99" spans="1:33" ht="97.5" customHeight="1" x14ac:dyDescent="0.15">
      <c r="B99" s="149" t="s">
        <v>152</v>
      </c>
      <c r="C99" s="25" t="s">
        <v>56</v>
      </c>
      <c r="D99" s="91" t="s">
        <v>137</v>
      </c>
      <c r="E99" s="92"/>
      <c r="F99" s="92"/>
      <c r="G99" s="92"/>
      <c r="H99" s="92"/>
      <c r="I99" s="92"/>
      <c r="J99" s="92"/>
      <c r="K99" s="92"/>
      <c r="L99" s="92"/>
      <c r="M99" s="92"/>
      <c r="N99" s="92"/>
      <c r="O99" s="92"/>
      <c r="P99" s="92"/>
      <c r="Q99" s="92"/>
      <c r="R99" s="92"/>
      <c r="S99" s="92"/>
      <c r="T99" s="92"/>
      <c r="U99" s="93"/>
    </row>
    <row r="100" spans="1:33" ht="97.5" customHeight="1" x14ac:dyDescent="0.15">
      <c r="B100" s="150"/>
      <c r="C100" s="28" t="s">
        <v>73</v>
      </c>
      <c r="D100" s="94" t="s">
        <v>176</v>
      </c>
      <c r="E100" s="95"/>
      <c r="F100" s="95"/>
      <c r="G100" s="95"/>
      <c r="H100" s="95"/>
      <c r="I100" s="95"/>
      <c r="J100" s="95"/>
      <c r="K100" s="95"/>
      <c r="L100" s="95"/>
      <c r="M100" s="95"/>
      <c r="N100" s="95"/>
      <c r="O100" s="95"/>
      <c r="P100" s="95"/>
      <c r="Q100" s="95"/>
      <c r="R100" s="95"/>
      <c r="S100" s="95"/>
      <c r="T100" s="95"/>
      <c r="U100" s="96"/>
    </row>
    <row r="101" spans="1:33" ht="97.5" customHeight="1" x14ac:dyDescent="0.15">
      <c r="B101" s="151"/>
      <c r="C101" s="27" t="s">
        <v>74</v>
      </c>
      <c r="D101" s="88" t="s">
        <v>138</v>
      </c>
      <c r="E101" s="89"/>
      <c r="F101" s="89"/>
      <c r="G101" s="89"/>
      <c r="H101" s="89"/>
      <c r="I101" s="89"/>
      <c r="J101" s="89"/>
      <c r="K101" s="89"/>
      <c r="L101" s="89"/>
      <c r="M101" s="89"/>
      <c r="N101" s="89"/>
      <c r="O101" s="89"/>
      <c r="P101" s="89"/>
      <c r="Q101" s="89"/>
      <c r="R101" s="89"/>
      <c r="S101" s="89"/>
      <c r="T101" s="89"/>
      <c r="U101" s="90"/>
    </row>
    <row r="102" spans="1:33" ht="6" customHeight="1" x14ac:dyDescent="0.15"/>
    <row r="103" spans="1:33" ht="18.75" customHeight="1" x14ac:dyDescent="0.15">
      <c r="A103" s="1" t="s">
        <v>106</v>
      </c>
    </row>
    <row r="104" spans="1:33" ht="81.75" customHeight="1" x14ac:dyDescent="0.15">
      <c r="B104" s="140" t="s">
        <v>164</v>
      </c>
      <c r="C104" s="141"/>
      <c r="D104" s="141"/>
      <c r="E104" s="141"/>
      <c r="F104" s="141"/>
      <c r="G104" s="141"/>
      <c r="H104" s="141"/>
      <c r="I104" s="141"/>
      <c r="J104" s="141"/>
      <c r="K104" s="141"/>
      <c r="L104" s="141"/>
      <c r="M104" s="141"/>
      <c r="N104" s="141"/>
      <c r="O104" s="141"/>
      <c r="P104" s="141"/>
      <c r="Q104" s="141"/>
      <c r="R104" s="141"/>
      <c r="S104" s="141"/>
      <c r="T104" s="141"/>
      <c r="U104" s="142"/>
    </row>
    <row r="106" spans="1:33" ht="18.75" customHeight="1" x14ac:dyDescent="0.15">
      <c r="A106" s="74" t="s">
        <v>122</v>
      </c>
      <c r="B106" s="75"/>
      <c r="C106" s="75"/>
      <c r="D106" s="75"/>
      <c r="E106" s="75"/>
      <c r="F106" s="75"/>
      <c r="G106" s="75"/>
      <c r="H106" s="75"/>
      <c r="I106" s="75"/>
      <c r="J106" s="75"/>
      <c r="K106" s="75"/>
      <c r="L106" s="75"/>
      <c r="M106" s="75"/>
      <c r="N106" s="75"/>
      <c r="O106" s="75"/>
      <c r="P106" s="75"/>
      <c r="Q106" s="75"/>
      <c r="R106" s="75"/>
      <c r="S106" s="75"/>
      <c r="T106" s="75"/>
      <c r="U106" s="75"/>
    </row>
    <row r="107" spans="1:33" ht="18.75" customHeight="1" x14ac:dyDescent="0.15">
      <c r="A107" s="74" t="s">
        <v>153</v>
      </c>
      <c r="B107" s="74"/>
      <c r="C107" s="74"/>
      <c r="D107" s="74"/>
      <c r="E107" s="74"/>
      <c r="F107" s="74"/>
      <c r="G107" s="74"/>
      <c r="H107" s="74"/>
      <c r="I107" s="74"/>
      <c r="J107" s="74"/>
      <c r="K107" s="74"/>
      <c r="L107" s="74"/>
      <c r="M107" s="74"/>
      <c r="N107" s="74"/>
      <c r="O107" s="74"/>
      <c r="P107" s="74"/>
      <c r="Q107" s="74"/>
      <c r="R107" s="74"/>
      <c r="S107" s="74"/>
      <c r="T107" s="74"/>
      <c r="U107" s="74"/>
      <c r="V107" s="2"/>
      <c r="W107" s="2"/>
      <c r="X107" s="2"/>
      <c r="Y107" s="2"/>
      <c r="Z107" s="2"/>
      <c r="AA107" s="2"/>
      <c r="AB107" s="2"/>
      <c r="AC107" s="2"/>
      <c r="AD107" s="2"/>
      <c r="AE107" s="2"/>
      <c r="AF107" s="2"/>
      <c r="AG107" s="2"/>
    </row>
    <row r="108" spans="1:33" ht="18.75" customHeight="1" x14ac:dyDescent="0.15">
      <c r="A108" s="74"/>
      <c r="B108" s="87" t="s">
        <v>154</v>
      </c>
      <c r="C108" s="87"/>
      <c r="D108" s="87"/>
      <c r="E108" s="87"/>
      <c r="F108" s="87"/>
      <c r="G108" s="87"/>
      <c r="H108" s="87"/>
      <c r="I108" s="87"/>
      <c r="J108" s="87"/>
      <c r="K108" s="87"/>
      <c r="L108" s="87"/>
      <c r="M108" s="87"/>
      <c r="N108" s="87"/>
      <c r="O108" s="87"/>
      <c r="P108" s="87"/>
      <c r="Q108" s="87"/>
      <c r="R108" s="87"/>
      <c r="S108" s="87"/>
      <c r="T108" s="87"/>
      <c r="U108" s="87"/>
      <c r="V108" s="70"/>
      <c r="W108" s="70"/>
      <c r="X108" s="70"/>
      <c r="Y108" s="70"/>
      <c r="Z108" s="70"/>
      <c r="AA108" s="70"/>
      <c r="AB108" s="70"/>
      <c r="AC108" s="70"/>
      <c r="AD108" s="70"/>
      <c r="AE108" s="70"/>
      <c r="AF108" s="70"/>
      <c r="AG108" s="70"/>
    </row>
    <row r="109" spans="1:33" ht="37.15" customHeight="1" x14ac:dyDescent="0.15">
      <c r="A109" s="74"/>
      <c r="B109" s="87"/>
      <c r="C109" s="87"/>
      <c r="D109" s="87"/>
      <c r="E109" s="87"/>
      <c r="F109" s="87"/>
      <c r="G109" s="87"/>
      <c r="H109" s="87"/>
      <c r="I109" s="87"/>
      <c r="J109" s="87"/>
      <c r="K109" s="87"/>
      <c r="L109" s="87"/>
      <c r="M109" s="87"/>
      <c r="N109" s="87"/>
      <c r="O109" s="87"/>
      <c r="P109" s="87"/>
      <c r="Q109" s="87"/>
      <c r="R109" s="87"/>
      <c r="S109" s="87"/>
      <c r="T109" s="87"/>
      <c r="U109" s="87"/>
      <c r="V109" s="70"/>
      <c r="W109" s="70"/>
      <c r="X109" s="70"/>
      <c r="Y109" s="70"/>
      <c r="Z109" s="70"/>
      <c r="AA109" s="70"/>
      <c r="AB109" s="70"/>
      <c r="AC109" s="70"/>
      <c r="AD109" s="70"/>
      <c r="AE109" s="70"/>
      <c r="AF109" s="70"/>
      <c r="AG109" s="70"/>
    </row>
    <row r="110" spans="1:33" ht="18.75" customHeight="1" x14ac:dyDescent="0.15">
      <c r="A110" s="74"/>
      <c r="B110" s="157" t="s">
        <v>123</v>
      </c>
      <c r="C110" s="157"/>
      <c r="D110" s="157"/>
      <c r="E110" s="157"/>
      <c r="F110" s="157"/>
      <c r="G110" s="157"/>
      <c r="H110" s="157"/>
      <c r="I110" s="157"/>
      <c r="J110" s="157"/>
      <c r="K110" s="157"/>
      <c r="L110" s="157"/>
      <c r="M110" s="157"/>
      <c r="N110" s="157"/>
      <c r="O110" s="157"/>
      <c r="P110" s="157"/>
      <c r="Q110" s="157"/>
      <c r="R110" s="157"/>
      <c r="S110" s="157"/>
      <c r="T110" s="157"/>
      <c r="U110" s="157"/>
      <c r="V110" s="70"/>
      <c r="W110" s="70"/>
      <c r="X110" s="70"/>
      <c r="Y110" s="70"/>
      <c r="Z110" s="70"/>
      <c r="AA110" s="70"/>
      <c r="AB110" s="70"/>
      <c r="AC110" s="70"/>
      <c r="AD110" s="70"/>
      <c r="AE110" s="70"/>
      <c r="AF110" s="70"/>
      <c r="AG110" s="70"/>
    </row>
    <row r="111" spans="1:33" ht="18.75" customHeight="1" x14ac:dyDescent="0.15">
      <c r="A111" s="74"/>
      <c r="B111" s="158" t="s">
        <v>54</v>
      </c>
      <c r="C111" s="158"/>
      <c r="D111" s="158"/>
      <c r="E111" s="158"/>
      <c r="F111" s="158"/>
      <c r="G111" s="158"/>
      <c r="H111" s="158"/>
      <c r="I111" s="158"/>
      <c r="J111" s="158"/>
      <c r="K111" s="158"/>
      <c r="L111" s="158"/>
      <c r="M111" s="158"/>
      <c r="N111" s="158"/>
      <c r="O111" s="158"/>
      <c r="P111" s="158"/>
      <c r="Q111" s="158"/>
      <c r="R111" s="158"/>
      <c r="S111" s="158"/>
      <c r="T111" s="158"/>
      <c r="U111" s="158"/>
      <c r="V111" s="69"/>
      <c r="W111" s="69"/>
      <c r="X111" s="69"/>
      <c r="Y111" s="69"/>
      <c r="Z111" s="69"/>
      <c r="AA111" s="69"/>
      <c r="AB111" s="69"/>
      <c r="AC111" s="69"/>
      <c r="AD111" s="69"/>
      <c r="AE111" s="69"/>
      <c r="AF111" s="69"/>
      <c r="AG111" s="69"/>
    </row>
    <row r="112" spans="1:33" ht="132" customHeight="1" x14ac:dyDescent="0.15">
      <c r="A112" s="74"/>
      <c r="B112" s="159"/>
      <c r="C112" s="159"/>
      <c r="D112" s="159"/>
      <c r="E112" s="159"/>
      <c r="F112" s="159"/>
      <c r="G112" s="159"/>
      <c r="H112" s="159"/>
      <c r="I112" s="159"/>
      <c r="J112" s="159"/>
      <c r="K112" s="159"/>
      <c r="L112" s="159"/>
      <c r="M112" s="159"/>
      <c r="N112" s="159"/>
      <c r="O112" s="159"/>
      <c r="P112" s="159"/>
      <c r="Q112" s="159"/>
      <c r="R112" s="159"/>
      <c r="S112" s="159"/>
      <c r="T112" s="159"/>
      <c r="U112" s="159"/>
      <c r="V112" s="71"/>
      <c r="W112" s="71"/>
      <c r="X112" s="71"/>
      <c r="Y112" s="71"/>
      <c r="Z112" s="71"/>
      <c r="AA112" s="71"/>
      <c r="AB112" s="71"/>
      <c r="AC112" s="71"/>
      <c r="AD112" s="71"/>
      <c r="AE112" s="71"/>
      <c r="AF112" s="71"/>
      <c r="AG112" s="71"/>
    </row>
    <row r="114" ht="18" customHeight="1" x14ac:dyDescent="0.15"/>
  </sheetData>
  <mergeCells count="148">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 ref="K77:P77"/>
    <mergeCell ref="A68:U69"/>
    <mergeCell ref="K81:Q81"/>
    <mergeCell ref="R81:U81"/>
    <mergeCell ref="R80:U80"/>
    <mergeCell ref="B81:F81"/>
    <mergeCell ref="K61:Q61"/>
    <mergeCell ref="B80:F80"/>
    <mergeCell ref="G81:J81"/>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R71:U77 S27:U33 H27:J27 S38:U44 H38:J38 S49:U55 H49:J55 S60:U66 H60:J66 J27:J33 H28:I33 J38:J44 H39:I44 G71:J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S85:U88 R81:R88 S81:U82 H85:J88 G81:G88 H81:J82"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topLeftCell="A13" zoomScaleNormal="100" zoomScaleSheetLayoutView="100" workbookViewId="0">
      <selection activeCell="A3" sqref="A1:XFD1048576"/>
    </sheetView>
  </sheetViews>
  <sheetFormatPr defaultColWidth="9" defaultRowHeight="18.75" customHeight="1" x14ac:dyDescent="0.15"/>
  <cols>
    <col min="1" max="1" width="2.75" style="1" customWidth="1"/>
    <col min="2" max="2" width="21.625" style="1" customWidth="1"/>
    <col min="3" max="18" width="6.125" style="1" customWidth="1"/>
    <col min="19" max="19" width="6.625" style="1" customWidth="1"/>
    <col min="20" max="16384" width="9" style="1"/>
  </cols>
  <sheetData>
    <row r="1" spans="1:21" ht="18" customHeight="1" x14ac:dyDescent="0.15">
      <c r="A1" s="75"/>
      <c r="B1" s="75"/>
      <c r="C1" s="75"/>
      <c r="D1" s="75"/>
      <c r="E1" s="75"/>
      <c r="F1" s="75"/>
      <c r="G1" s="75"/>
      <c r="H1" s="75"/>
      <c r="I1" s="75"/>
      <c r="J1" s="75"/>
      <c r="K1" s="75"/>
      <c r="L1" s="75"/>
      <c r="M1" s="75"/>
      <c r="N1" s="75"/>
      <c r="O1" s="75"/>
      <c r="P1" s="75"/>
      <c r="Q1" s="75"/>
      <c r="R1" s="75"/>
      <c r="S1" s="75" t="s">
        <v>96</v>
      </c>
    </row>
    <row r="2" spans="1:21" ht="18" customHeight="1" x14ac:dyDescent="0.15">
      <c r="A2" s="75"/>
      <c r="B2" s="75"/>
      <c r="C2" s="75"/>
      <c r="D2" s="75"/>
      <c r="E2" s="75"/>
      <c r="F2" s="75"/>
      <c r="G2" s="75"/>
      <c r="H2" s="75"/>
      <c r="I2" s="75"/>
      <c r="J2" s="75"/>
      <c r="K2" s="75"/>
      <c r="L2" s="75"/>
      <c r="M2" s="75"/>
      <c r="N2" s="75"/>
      <c r="O2" s="75"/>
      <c r="P2" s="75"/>
      <c r="Q2" s="161" t="str">
        <f>'様式１　プログラムを構成する授業科目'!C2</f>
        <v>鎮西学院大学</v>
      </c>
      <c r="R2" s="161"/>
      <c r="S2" s="161"/>
    </row>
    <row r="3" spans="1:21" ht="18" customHeight="1" x14ac:dyDescent="0.15">
      <c r="A3" s="129" t="s">
        <v>47</v>
      </c>
      <c r="B3" s="129"/>
      <c r="C3" s="129"/>
      <c r="D3" s="129"/>
      <c r="E3" s="129"/>
      <c r="F3" s="129"/>
      <c r="G3" s="129"/>
      <c r="H3" s="129"/>
      <c r="I3" s="129"/>
      <c r="J3" s="129"/>
      <c r="K3" s="129"/>
      <c r="L3" s="129"/>
      <c r="M3" s="129"/>
      <c r="N3" s="129"/>
      <c r="O3" s="129"/>
      <c r="P3" s="129"/>
      <c r="Q3" s="129"/>
      <c r="R3" s="129"/>
      <c r="S3" s="129"/>
    </row>
    <row r="4" spans="1:21" ht="7.5" customHeight="1" x14ac:dyDescent="0.15">
      <c r="A4" s="80"/>
      <c r="B4" s="80"/>
      <c r="C4" s="80"/>
      <c r="D4" s="80"/>
      <c r="E4" s="80"/>
      <c r="F4" s="80"/>
      <c r="G4" s="80"/>
      <c r="H4" s="80"/>
      <c r="I4" s="80"/>
      <c r="J4" s="80"/>
      <c r="K4" s="80"/>
      <c r="L4" s="80"/>
      <c r="M4" s="80"/>
      <c r="N4" s="80"/>
      <c r="O4" s="80"/>
      <c r="P4" s="80"/>
      <c r="Q4" s="80"/>
      <c r="R4" s="80"/>
      <c r="S4" s="80"/>
    </row>
    <row r="5" spans="1:21" ht="18" customHeight="1" x14ac:dyDescent="0.15">
      <c r="A5" s="75" t="s">
        <v>78</v>
      </c>
      <c r="B5" s="75"/>
      <c r="C5" s="162" t="s">
        <v>139</v>
      </c>
      <c r="D5" s="163"/>
      <c r="E5" s="80" t="s">
        <v>51</v>
      </c>
      <c r="F5" s="80"/>
      <c r="G5" s="80"/>
      <c r="H5" s="80"/>
      <c r="I5" s="80"/>
      <c r="J5" s="80"/>
      <c r="K5" s="80"/>
      <c r="L5" s="80"/>
      <c r="M5" s="80"/>
      <c r="N5" s="80"/>
      <c r="O5" s="80"/>
      <c r="P5" s="80"/>
      <c r="Q5" s="80"/>
      <c r="R5" s="78"/>
      <c r="S5" s="78"/>
    </row>
    <row r="6" spans="1:21" ht="7.15" customHeight="1" x14ac:dyDescent="0.15">
      <c r="A6" s="75"/>
      <c r="B6" s="75"/>
      <c r="C6" s="85"/>
      <c r="D6" s="85"/>
      <c r="E6" s="80"/>
      <c r="F6" s="80"/>
      <c r="G6" s="80"/>
      <c r="H6" s="80"/>
      <c r="I6" s="80"/>
      <c r="J6" s="80"/>
      <c r="K6" s="80"/>
      <c r="L6" s="80"/>
      <c r="M6" s="80"/>
      <c r="N6" s="80"/>
      <c r="O6" s="80"/>
      <c r="P6" s="80"/>
      <c r="Q6" s="80"/>
      <c r="R6" s="78"/>
      <c r="S6" s="78"/>
    </row>
    <row r="7" spans="1:21" ht="18" customHeight="1" x14ac:dyDescent="0.15">
      <c r="A7" s="75" t="s">
        <v>115</v>
      </c>
      <c r="B7" s="75"/>
      <c r="C7" s="85"/>
      <c r="D7" s="85"/>
      <c r="E7" s="80" t="s">
        <v>116</v>
      </c>
      <c r="F7" s="83">
        <v>348</v>
      </c>
      <c r="G7" s="81" t="s">
        <v>117</v>
      </c>
      <c r="H7" s="80" t="s">
        <v>118</v>
      </c>
      <c r="I7" s="83">
        <v>273</v>
      </c>
      <c r="J7" s="81" t="s">
        <v>117</v>
      </c>
      <c r="K7" s="76" t="s">
        <v>119</v>
      </c>
      <c r="L7" s="80" t="s">
        <v>120</v>
      </c>
      <c r="M7" s="83">
        <f>F7+I7</f>
        <v>621</v>
      </c>
      <c r="N7" s="80" t="s">
        <v>1</v>
      </c>
      <c r="O7" s="81" t="s">
        <v>121</v>
      </c>
      <c r="P7" s="80"/>
      <c r="Q7" s="80"/>
      <c r="R7" s="78"/>
      <c r="S7" s="78"/>
    </row>
    <row r="8" spans="1:21" ht="6" customHeight="1" x14ac:dyDescent="0.15">
      <c r="A8" s="80"/>
      <c r="B8" s="80"/>
      <c r="C8" s="80"/>
      <c r="D8" s="80"/>
      <c r="E8" s="80"/>
      <c r="F8" s="80"/>
      <c r="G8" s="80"/>
      <c r="H8" s="80"/>
      <c r="I8" s="80"/>
      <c r="J8" s="80"/>
      <c r="K8" s="80"/>
      <c r="L8" s="80"/>
      <c r="M8" s="80"/>
      <c r="N8" s="80"/>
      <c r="O8" s="80"/>
      <c r="P8" s="80"/>
      <c r="Q8" s="80"/>
      <c r="R8" s="80"/>
      <c r="S8" s="80"/>
    </row>
    <row r="9" spans="1:21" ht="18" customHeight="1" x14ac:dyDescent="0.15">
      <c r="A9" s="75" t="s">
        <v>129</v>
      </c>
      <c r="B9" s="80"/>
      <c r="C9" s="80"/>
      <c r="D9" s="80"/>
      <c r="E9" s="80"/>
      <c r="F9" s="80"/>
      <c r="G9" s="80"/>
      <c r="H9" s="80"/>
      <c r="I9" s="80"/>
      <c r="J9" s="80"/>
      <c r="K9" s="80"/>
      <c r="L9" s="80"/>
      <c r="M9" s="80"/>
      <c r="N9" s="80"/>
      <c r="O9" s="80"/>
      <c r="P9" s="80"/>
      <c r="Q9" s="80"/>
      <c r="R9" s="80"/>
      <c r="S9" s="80"/>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64" t="s">
        <v>44</v>
      </c>
      <c r="C11" s="174" t="s">
        <v>81</v>
      </c>
      <c r="D11" s="166" t="s">
        <v>46</v>
      </c>
      <c r="E11" s="168" t="s">
        <v>39</v>
      </c>
      <c r="F11" s="160" t="s">
        <v>109</v>
      </c>
      <c r="G11" s="160"/>
      <c r="H11" s="160" t="s">
        <v>80</v>
      </c>
      <c r="I11" s="160"/>
      <c r="J11" s="160" t="s">
        <v>48</v>
      </c>
      <c r="K11" s="160"/>
      <c r="L11" s="160" t="s">
        <v>49</v>
      </c>
      <c r="M11" s="160"/>
      <c r="N11" s="160" t="s">
        <v>90</v>
      </c>
      <c r="O11" s="160"/>
      <c r="P11" s="160" t="s">
        <v>50</v>
      </c>
      <c r="Q11" s="160"/>
      <c r="R11" s="170" t="s">
        <v>35</v>
      </c>
      <c r="S11" s="172" t="s">
        <v>32</v>
      </c>
      <c r="U11" s="2"/>
    </row>
    <row r="12" spans="1:21" ht="16.899999999999999" customHeight="1" x14ac:dyDescent="0.15">
      <c r="B12" s="165"/>
      <c r="C12" s="175"/>
      <c r="D12" s="167"/>
      <c r="E12" s="169"/>
      <c r="F12" s="64" t="s">
        <v>89</v>
      </c>
      <c r="G12" s="64" t="s">
        <v>29</v>
      </c>
      <c r="H12" s="64" t="s">
        <v>89</v>
      </c>
      <c r="I12" s="64" t="s">
        <v>29</v>
      </c>
      <c r="J12" s="64" t="s">
        <v>89</v>
      </c>
      <c r="K12" s="64" t="s">
        <v>29</v>
      </c>
      <c r="L12" s="64" t="s">
        <v>89</v>
      </c>
      <c r="M12" s="64" t="s">
        <v>29</v>
      </c>
      <c r="N12" s="64" t="s">
        <v>89</v>
      </c>
      <c r="O12" s="64" t="s">
        <v>29</v>
      </c>
      <c r="P12" s="64" t="s">
        <v>89</v>
      </c>
      <c r="Q12" s="65" t="s">
        <v>29</v>
      </c>
      <c r="R12" s="171"/>
      <c r="S12" s="173"/>
      <c r="U12" s="2"/>
    </row>
    <row r="13" spans="1:21" ht="78.75" customHeight="1" x14ac:dyDescent="0.15">
      <c r="A13" s="6"/>
      <c r="B13" s="86" t="s">
        <v>141</v>
      </c>
      <c r="C13" s="55">
        <v>173</v>
      </c>
      <c r="D13" s="56">
        <v>50</v>
      </c>
      <c r="E13" s="57">
        <v>206</v>
      </c>
      <c r="F13" s="54">
        <v>50</v>
      </c>
      <c r="G13" s="58">
        <v>45</v>
      </c>
      <c r="H13" s="58"/>
      <c r="I13" s="58"/>
      <c r="J13" s="58"/>
      <c r="K13" s="58"/>
      <c r="L13" s="58"/>
      <c r="M13" s="58"/>
      <c r="N13" s="58"/>
      <c r="O13" s="58"/>
      <c r="P13" s="58"/>
      <c r="Q13" s="55"/>
      <c r="R13" s="56">
        <f t="shared" ref="R13:R32" si="0">F13+H13+J13+L13+N13+P13</f>
        <v>50</v>
      </c>
      <c r="S13" s="16">
        <f t="shared" ref="S13:S32" si="1">R13/E13</f>
        <v>0.24271844660194175</v>
      </c>
    </row>
    <row r="14" spans="1:21" ht="78.75" customHeight="1" x14ac:dyDescent="0.15">
      <c r="A14" s="6"/>
      <c r="B14" s="86" t="s">
        <v>155</v>
      </c>
      <c r="C14" s="55">
        <v>176</v>
      </c>
      <c r="D14" s="56">
        <v>40</v>
      </c>
      <c r="E14" s="57">
        <v>164</v>
      </c>
      <c r="F14" s="58">
        <v>33</v>
      </c>
      <c r="G14" s="58">
        <v>32</v>
      </c>
      <c r="H14" s="58"/>
      <c r="I14" s="58"/>
      <c r="J14" s="58"/>
      <c r="K14" s="58"/>
      <c r="L14" s="58"/>
      <c r="M14" s="58"/>
      <c r="N14" s="58"/>
      <c r="O14" s="58"/>
      <c r="P14" s="58"/>
      <c r="Q14" s="55"/>
      <c r="R14" s="56">
        <f t="shared" si="0"/>
        <v>33</v>
      </c>
      <c r="S14" s="8">
        <f t="shared" si="1"/>
        <v>0.20121951219512196</v>
      </c>
    </row>
    <row r="15" spans="1:21" ht="78.75" customHeight="1" x14ac:dyDescent="0.15">
      <c r="A15" s="6"/>
      <c r="B15" s="86" t="s">
        <v>140</v>
      </c>
      <c r="C15" s="52">
        <v>272</v>
      </c>
      <c r="D15" s="53">
        <v>50</v>
      </c>
      <c r="E15" s="54">
        <v>210</v>
      </c>
      <c r="F15" s="58">
        <v>82</v>
      </c>
      <c r="G15" s="54">
        <v>80</v>
      </c>
      <c r="H15" s="54"/>
      <c r="I15" s="54"/>
      <c r="J15" s="54"/>
      <c r="K15" s="54"/>
      <c r="L15" s="54"/>
      <c r="M15" s="54"/>
      <c r="N15" s="54"/>
      <c r="O15" s="54"/>
      <c r="P15" s="54"/>
      <c r="Q15" s="66"/>
      <c r="R15" s="53">
        <f>F15+H15+J15+L15+N15+P15</f>
        <v>82</v>
      </c>
      <c r="S15" s="67">
        <f>R15/E15</f>
        <v>0.39047619047619048</v>
      </c>
    </row>
    <row r="16" spans="1:21" ht="18" customHeight="1" x14ac:dyDescent="0.15">
      <c r="A16" s="6"/>
      <c r="B16" s="11"/>
      <c r="C16" s="55"/>
      <c r="D16" s="56"/>
      <c r="E16" s="57"/>
      <c r="F16" s="58"/>
      <c r="G16" s="58"/>
      <c r="H16" s="58"/>
      <c r="I16" s="58"/>
      <c r="J16" s="58"/>
      <c r="K16" s="58"/>
      <c r="L16" s="58"/>
      <c r="M16" s="58"/>
      <c r="N16" s="58"/>
      <c r="O16" s="58"/>
      <c r="P16" s="58"/>
      <c r="Q16" s="55"/>
      <c r="R16" s="56">
        <f t="shared" si="0"/>
        <v>0</v>
      </c>
      <c r="S16" s="8" t="e">
        <f t="shared" si="1"/>
        <v>#DIV/0!</v>
      </c>
    </row>
    <row r="17" spans="1:19" ht="18" customHeight="1" x14ac:dyDescent="0.15">
      <c r="A17" s="6"/>
      <c r="B17" s="11"/>
      <c r="C17" s="55"/>
      <c r="D17" s="56"/>
      <c r="E17" s="57"/>
      <c r="F17" s="58"/>
      <c r="G17" s="58"/>
      <c r="H17" s="58"/>
      <c r="I17" s="58"/>
      <c r="J17" s="58"/>
      <c r="K17" s="58"/>
      <c r="L17" s="58"/>
      <c r="M17" s="58"/>
      <c r="N17" s="58"/>
      <c r="O17" s="58"/>
      <c r="P17" s="58"/>
      <c r="Q17" s="55"/>
      <c r="R17" s="56">
        <f t="shared" si="0"/>
        <v>0</v>
      </c>
      <c r="S17" s="8" t="e">
        <f t="shared" si="1"/>
        <v>#DIV/0!</v>
      </c>
    </row>
    <row r="18" spans="1:19" ht="18" customHeight="1" x14ac:dyDescent="0.15">
      <c r="A18" s="6"/>
      <c r="B18" s="11"/>
      <c r="C18" s="55"/>
      <c r="D18" s="56"/>
      <c r="E18" s="57"/>
      <c r="F18" s="58"/>
      <c r="G18" s="58"/>
      <c r="H18" s="58"/>
      <c r="I18" s="58"/>
      <c r="J18" s="58"/>
      <c r="K18" s="58"/>
      <c r="L18" s="58"/>
      <c r="M18" s="58"/>
      <c r="N18" s="58"/>
      <c r="O18" s="58"/>
      <c r="P18" s="58"/>
      <c r="Q18" s="55"/>
      <c r="R18" s="56">
        <f t="shared" si="0"/>
        <v>0</v>
      </c>
      <c r="S18" s="8" t="e">
        <f t="shared" si="1"/>
        <v>#DIV/0!</v>
      </c>
    </row>
    <row r="19" spans="1:19" ht="18" customHeight="1" x14ac:dyDescent="0.15">
      <c r="A19" s="6"/>
      <c r="B19" s="11"/>
      <c r="C19" s="55"/>
      <c r="D19" s="56"/>
      <c r="E19" s="57"/>
      <c r="F19" s="58"/>
      <c r="G19" s="58"/>
      <c r="H19" s="58"/>
      <c r="I19" s="58"/>
      <c r="J19" s="58"/>
      <c r="K19" s="58"/>
      <c r="L19" s="58"/>
      <c r="M19" s="58"/>
      <c r="N19" s="58"/>
      <c r="O19" s="58"/>
      <c r="P19" s="58"/>
      <c r="Q19" s="55"/>
      <c r="R19" s="56">
        <f t="shared" si="0"/>
        <v>0</v>
      </c>
      <c r="S19" s="8" t="e">
        <f t="shared" si="1"/>
        <v>#DIV/0!</v>
      </c>
    </row>
    <row r="20" spans="1:19" ht="18" customHeight="1" x14ac:dyDescent="0.15">
      <c r="A20" s="6"/>
      <c r="B20" s="11"/>
      <c r="C20" s="55"/>
      <c r="D20" s="56"/>
      <c r="E20" s="57"/>
      <c r="F20" s="58"/>
      <c r="G20" s="58"/>
      <c r="H20" s="58"/>
      <c r="I20" s="58"/>
      <c r="J20" s="58"/>
      <c r="K20" s="58"/>
      <c r="L20" s="58"/>
      <c r="M20" s="58"/>
      <c r="N20" s="58"/>
      <c r="O20" s="58"/>
      <c r="P20" s="58"/>
      <c r="Q20" s="55"/>
      <c r="R20" s="56">
        <f t="shared" si="0"/>
        <v>0</v>
      </c>
      <c r="S20" s="8" t="e">
        <f t="shared" si="1"/>
        <v>#DIV/0!</v>
      </c>
    </row>
    <row r="21" spans="1:19" ht="18" customHeight="1" x14ac:dyDescent="0.15">
      <c r="A21" s="6"/>
      <c r="B21" s="11"/>
      <c r="C21" s="55"/>
      <c r="D21" s="56"/>
      <c r="E21" s="57"/>
      <c r="F21" s="58"/>
      <c r="G21" s="58"/>
      <c r="H21" s="58"/>
      <c r="I21" s="58"/>
      <c r="J21" s="58"/>
      <c r="K21" s="58"/>
      <c r="L21" s="58"/>
      <c r="M21" s="58"/>
      <c r="N21" s="58"/>
      <c r="O21" s="58"/>
      <c r="P21" s="58"/>
      <c r="Q21" s="55"/>
      <c r="R21" s="56">
        <f t="shared" si="0"/>
        <v>0</v>
      </c>
      <c r="S21" s="8" t="e">
        <f t="shared" si="1"/>
        <v>#DIV/0!</v>
      </c>
    </row>
    <row r="22" spans="1:19" ht="18" customHeight="1" x14ac:dyDescent="0.15">
      <c r="A22" s="6"/>
      <c r="B22" s="11"/>
      <c r="C22" s="55"/>
      <c r="D22" s="56"/>
      <c r="E22" s="57"/>
      <c r="F22" s="58"/>
      <c r="G22" s="58"/>
      <c r="H22" s="58"/>
      <c r="I22" s="58"/>
      <c r="J22" s="58"/>
      <c r="K22" s="58"/>
      <c r="L22" s="58"/>
      <c r="M22" s="58"/>
      <c r="N22" s="58"/>
      <c r="O22" s="58"/>
      <c r="P22" s="58"/>
      <c r="Q22" s="55"/>
      <c r="R22" s="56">
        <f t="shared" si="0"/>
        <v>0</v>
      </c>
      <c r="S22" s="8" t="e">
        <f t="shared" si="1"/>
        <v>#DIV/0!</v>
      </c>
    </row>
    <row r="23" spans="1:19" ht="18" customHeight="1" x14ac:dyDescent="0.15">
      <c r="A23" s="6"/>
      <c r="B23" s="11"/>
      <c r="C23" s="55"/>
      <c r="D23" s="56"/>
      <c r="E23" s="57"/>
      <c r="F23" s="58"/>
      <c r="G23" s="58"/>
      <c r="H23" s="58"/>
      <c r="I23" s="58"/>
      <c r="J23" s="58"/>
      <c r="K23" s="58"/>
      <c r="L23" s="58"/>
      <c r="M23" s="58"/>
      <c r="N23" s="58"/>
      <c r="O23" s="58"/>
      <c r="P23" s="58"/>
      <c r="Q23" s="55"/>
      <c r="R23" s="56">
        <f t="shared" si="0"/>
        <v>0</v>
      </c>
      <c r="S23" s="8" t="e">
        <f t="shared" si="1"/>
        <v>#DIV/0!</v>
      </c>
    </row>
    <row r="24" spans="1:19" ht="18" customHeight="1" x14ac:dyDescent="0.15">
      <c r="A24" s="6"/>
      <c r="B24" s="11"/>
      <c r="C24" s="55"/>
      <c r="D24" s="56"/>
      <c r="E24" s="57"/>
      <c r="F24" s="58"/>
      <c r="G24" s="58"/>
      <c r="H24" s="58"/>
      <c r="I24" s="58"/>
      <c r="J24" s="58"/>
      <c r="K24" s="58"/>
      <c r="L24" s="58"/>
      <c r="M24" s="58"/>
      <c r="N24" s="58"/>
      <c r="O24" s="58"/>
      <c r="P24" s="58"/>
      <c r="Q24" s="55"/>
      <c r="R24" s="56">
        <f t="shared" si="0"/>
        <v>0</v>
      </c>
      <c r="S24" s="8" t="e">
        <f t="shared" si="1"/>
        <v>#DIV/0!</v>
      </c>
    </row>
    <row r="25" spans="1:19" ht="18" customHeight="1" x14ac:dyDescent="0.15">
      <c r="A25" s="6"/>
      <c r="B25" s="11"/>
      <c r="C25" s="55"/>
      <c r="D25" s="56"/>
      <c r="E25" s="57"/>
      <c r="F25" s="58"/>
      <c r="G25" s="58"/>
      <c r="H25" s="58"/>
      <c r="I25" s="58"/>
      <c r="J25" s="58"/>
      <c r="K25" s="58"/>
      <c r="L25" s="58"/>
      <c r="M25" s="58"/>
      <c r="N25" s="58"/>
      <c r="O25" s="58"/>
      <c r="P25" s="58"/>
      <c r="Q25" s="55"/>
      <c r="R25" s="56">
        <f t="shared" si="0"/>
        <v>0</v>
      </c>
      <c r="S25" s="8" t="e">
        <f t="shared" si="1"/>
        <v>#DIV/0!</v>
      </c>
    </row>
    <row r="26" spans="1:19" ht="18" customHeight="1" x14ac:dyDescent="0.15">
      <c r="A26" s="6"/>
      <c r="B26" s="11"/>
      <c r="C26" s="55"/>
      <c r="D26" s="56"/>
      <c r="E26" s="57"/>
      <c r="F26" s="58"/>
      <c r="G26" s="58"/>
      <c r="H26" s="58"/>
      <c r="I26" s="58"/>
      <c r="J26" s="58"/>
      <c r="K26" s="58"/>
      <c r="L26" s="58"/>
      <c r="M26" s="58"/>
      <c r="N26" s="58"/>
      <c r="O26" s="58"/>
      <c r="P26" s="58"/>
      <c r="Q26" s="55"/>
      <c r="R26" s="56">
        <f t="shared" si="0"/>
        <v>0</v>
      </c>
      <c r="S26" s="8" t="e">
        <f t="shared" si="1"/>
        <v>#DIV/0!</v>
      </c>
    </row>
    <row r="27" spans="1:19" ht="18" customHeight="1" x14ac:dyDescent="0.15">
      <c r="A27" s="6"/>
      <c r="B27" s="11"/>
      <c r="C27" s="55"/>
      <c r="D27" s="56"/>
      <c r="E27" s="57"/>
      <c r="F27" s="58"/>
      <c r="G27" s="58"/>
      <c r="H27" s="58"/>
      <c r="I27" s="58"/>
      <c r="J27" s="58"/>
      <c r="K27" s="58"/>
      <c r="L27" s="58"/>
      <c r="M27" s="58"/>
      <c r="N27" s="58"/>
      <c r="O27" s="58"/>
      <c r="P27" s="58"/>
      <c r="Q27" s="55"/>
      <c r="R27" s="56">
        <f t="shared" si="0"/>
        <v>0</v>
      </c>
      <c r="S27" s="8" t="e">
        <f t="shared" si="1"/>
        <v>#DIV/0!</v>
      </c>
    </row>
    <row r="28" spans="1:19" ht="18" customHeight="1" x14ac:dyDescent="0.15">
      <c r="A28" s="6"/>
      <c r="B28" s="11"/>
      <c r="C28" s="55"/>
      <c r="D28" s="56"/>
      <c r="E28" s="57"/>
      <c r="F28" s="58"/>
      <c r="G28" s="58"/>
      <c r="H28" s="58"/>
      <c r="I28" s="58"/>
      <c r="J28" s="58"/>
      <c r="K28" s="58"/>
      <c r="L28" s="58"/>
      <c r="M28" s="58"/>
      <c r="N28" s="58"/>
      <c r="O28" s="58"/>
      <c r="P28" s="58"/>
      <c r="Q28" s="55"/>
      <c r="R28" s="56">
        <f t="shared" si="0"/>
        <v>0</v>
      </c>
      <c r="S28" s="8" t="e">
        <f t="shared" si="1"/>
        <v>#DIV/0!</v>
      </c>
    </row>
    <row r="29" spans="1:19" ht="18" customHeight="1" x14ac:dyDescent="0.15">
      <c r="A29" s="6"/>
      <c r="B29" s="11"/>
      <c r="C29" s="55"/>
      <c r="D29" s="56"/>
      <c r="E29" s="57"/>
      <c r="F29" s="58"/>
      <c r="G29" s="58"/>
      <c r="H29" s="58"/>
      <c r="I29" s="58"/>
      <c r="J29" s="58"/>
      <c r="K29" s="58"/>
      <c r="L29" s="58"/>
      <c r="M29" s="58"/>
      <c r="N29" s="58"/>
      <c r="O29" s="58"/>
      <c r="P29" s="58"/>
      <c r="Q29" s="55"/>
      <c r="R29" s="56">
        <f t="shared" si="0"/>
        <v>0</v>
      </c>
      <c r="S29" s="8" t="e">
        <f t="shared" si="1"/>
        <v>#DIV/0!</v>
      </c>
    </row>
    <row r="30" spans="1:19" ht="18" customHeight="1" x14ac:dyDescent="0.15">
      <c r="A30" s="6"/>
      <c r="B30" s="11"/>
      <c r="C30" s="55"/>
      <c r="D30" s="59"/>
      <c r="E30" s="57"/>
      <c r="F30" s="58"/>
      <c r="G30" s="58"/>
      <c r="H30" s="58"/>
      <c r="I30" s="58"/>
      <c r="J30" s="58"/>
      <c r="K30" s="58"/>
      <c r="L30" s="58"/>
      <c r="M30" s="58"/>
      <c r="N30" s="58"/>
      <c r="O30" s="58"/>
      <c r="P30" s="58"/>
      <c r="Q30" s="55"/>
      <c r="R30" s="59">
        <f t="shared" si="0"/>
        <v>0</v>
      </c>
      <c r="S30" s="8" t="e">
        <f t="shared" si="1"/>
        <v>#DIV/0!</v>
      </c>
    </row>
    <row r="31" spans="1:19" ht="18" customHeight="1" x14ac:dyDescent="0.15">
      <c r="A31" s="6"/>
      <c r="B31" s="11"/>
      <c r="C31" s="55"/>
      <c r="D31" s="59"/>
      <c r="E31" s="57"/>
      <c r="F31" s="58"/>
      <c r="G31" s="58"/>
      <c r="H31" s="58"/>
      <c r="I31" s="58"/>
      <c r="J31" s="58"/>
      <c r="K31" s="58"/>
      <c r="L31" s="58"/>
      <c r="M31" s="58"/>
      <c r="N31" s="58"/>
      <c r="O31" s="58"/>
      <c r="P31" s="58"/>
      <c r="Q31" s="55"/>
      <c r="R31" s="59">
        <f t="shared" si="0"/>
        <v>0</v>
      </c>
      <c r="S31" s="8" t="e">
        <f t="shared" si="1"/>
        <v>#DIV/0!</v>
      </c>
    </row>
    <row r="32" spans="1:19" ht="18" customHeight="1" thickBot="1" x14ac:dyDescent="0.2">
      <c r="A32" s="6"/>
      <c r="B32" s="12"/>
      <c r="C32" s="52"/>
      <c r="D32" s="60"/>
      <c r="E32" s="54"/>
      <c r="F32" s="54"/>
      <c r="G32" s="54"/>
      <c r="H32" s="54"/>
      <c r="I32" s="54"/>
      <c r="J32" s="54"/>
      <c r="K32" s="54"/>
      <c r="L32" s="54"/>
      <c r="M32" s="54"/>
      <c r="N32" s="54"/>
      <c r="O32" s="54"/>
      <c r="P32" s="54"/>
      <c r="Q32" s="55"/>
      <c r="R32" s="60">
        <f t="shared" si="0"/>
        <v>0</v>
      </c>
      <c r="S32" s="7" t="e">
        <f t="shared" si="1"/>
        <v>#DIV/0!</v>
      </c>
    </row>
    <row r="33" spans="2:19" ht="18" customHeight="1" thickTop="1" x14ac:dyDescent="0.15">
      <c r="B33" s="13" t="s">
        <v>33</v>
      </c>
      <c r="C33" s="61">
        <f t="shared" ref="C33:R33" si="2">SUM(C13:C32)</f>
        <v>621</v>
      </c>
      <c r="D33" s="62">
        <f t="shared" si="2"/>
        <v>140</v>
      </c>
      <c r="E33" s="63">
        <f t="shared" si="2"/>
        <v>580</v>
      </c>
      <c r="F33" s="63">
        <f t="shared" si="2"/>
        <v>165</v>
      </c>
      <c r="G33" s="63">
        <f t="shared" si="2"/>
        <v>157</v>
      </c>
      <c r="H33" s="63">
        <f t="shared" si="2"/>
        <v>0</v>
      </c>
      <c r="I33" s="63">
        <f t="shared" si="2"/>
        <v>0</v>
      </c>
      <c r="J33" s="63">
        <f t="shared" si="2"/>
        <v>0</v>
      </c>
      <c r="K33" s="63">
        <f t="shared" si="2"/>
        <v>0</v>
      </c>
      <c r="L33" s="63">
        <f t="shared" si="2"/>
        <v>0</v>
      </c>
      <c r="M33" s="63">
        <f t="shared" si="2"/>
        <v>0</v>
      </c>
      <c r="N33" s="63">
        <f t="shared" si="2"/>
        <v>0</v>
      </c>
      <c r="O33" s="63">
        <f t="shared" si="2"/>
        <v>0</v>
      </c>
      <c r="P33" s="63">
        <f t="shared" si="2"/>
        <v>0</v>
      </c>
      <c r="Q33" s="61">
        <f t="shared" si="2"/>
        <v>0</v>
      </c>
      <c r="R33" s="62">
        <f t="shared" si="2"/>
        <v>165</v>
      </c>
      <c r="S33" s="9">
        <f>R33/E33</f>
        <v>0.28448275862068967</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74"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tabSelected="1" view="pageBreakPreview" zoomScaleNormal="100" zoomScaleSheetLayoutView="100" workbookViewId="0">
      <selection activeCell="B22" sqref="B22:I32"/>
    </sheetView>
  </sheetViews>
  <sheetFormatPr defaultColWidth="11.375" defaultRowHeight="18.75" customHeight="1" x14ac:dyDescent="0.15"/>
  <cols>
    <col min="1" max="1" width="2.75" style="32"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2" t="s">
        <v>63</v>
      </c>
      <c r="I1" s="30" t="s">
        <v>95</v>
      </c>
    </row>
    <row r="2" spans="1:9" ht="18.75" customHeight="1" x14ac:dyDescent="0.15">
      <c r="G2" s="30" t="s">
        <v>97</v>
      </c>
      <c r="H2" s="103" t="str">
        <f>'様式１　プログラムを構成する授業科目'!C2</f>
        <v>鎮西学院大学</v>
      </c>
      <c r="I2" s="105"/>
    </row>
    <row r="3" spans="1:9" ht="18.75" customHeight="1" x14ac:dyDescent="0.15">
      <c r="G3" s="30"/>
      <c r="H3" s="10"/>
      <c r="I3" s="10"/>
    </row>
    <row r="4" spans="1:9" ht="18.600000000000001" customHeight="1" x14ac:dyDescent="0.15">
      <c r="A4" s="204" t="s">
        <v>36</v>
      </c>
      <c r="B4" s="204"/>
      <c r="C4" s="204"/>
      <c r="D4" s="204"/>
      <c r="E4" s="204"/>
      <c r="F4" s="204"/>
      <c r="G4" s="204"/>
      <c r="H4" s="204"/>
      <c r="I4" s="204"/>
    </row>
    <row r="5" spans="1:9" ht="13.15" customHeight="1" x14ac:dyDescent="0.15">
      <c r="B5" s="3"/>
      <c r="C5" s="3"/>
      <c r="D5" s="3"/>
      <c r="E5" s="3"/>
      <c r="F5" s="3"/>
      <c r="G5" s="3"/>
      <c r="H5" s="3"/>
      <c r="I5" s="3"/>
    </row>
    <row r="6" spans="1:9" ht="18" customHeight="1" x14ac:dyDescent="0.15">
      <c r="A6" s="1" t="s">
        <v>0</v>
      </c>
      <c r="B6" s="10" t="s">
        <v>84</v>
      </c>
      <c r="C6" s="227" t="s">
        <v>85</v>
      </c>
      <c r="D6" s="227"/>
      <c r="E6" s="29">
        <v>37</v>
      </c>
      <c r="F6" s="3" t="s">
        <v>1</v>
      </c>
      <c r="G6" s="3" t="s">
        <v>2</v>
      </c>
      <c r="H6" s="29">
        <v>64</v>
      </c>
      <c r="I6" s="10" t="s">
        <v>1</v>
      </c>
    </row>
    <row r="7" spans="1:9" ht="12" customHeight="1" x14ac:dyDescent="0.15">
      <c r="C7" s="2"/>
      <c r="D7" s="2"/>
      <c r="E7" s="2"/>
      <c r="F7" s="2"/>
      <c r="G7" s="2"/>
      <c r="H7" s="2"/>
      <c r="I7" s="33"/>
    </row>
    <row r="8" spans="1:9" ht="18" customHeight="1" x14ac:dyDescent="0.15">
      <c r="A8" s="1" t="s">
        <v>3</v>
      </c>
      <c r="B8" s="10" t="s">
        <v>86</v>
      </c>
      <c r="E8" s="3"/>
      <c r="F8" s="3"/>
      <c r="G8" s="3"/>
      <c r="H8" s="29">
        <v>1</v>
      </c>
      <c r="I8" s="10" t="s">
        <v>1</v>
      </c>
    </row>
    <row r="9" spans="1:9" ht="9" customHeight="1" x14ac:dyDescent="0.15">
      <c r="B9" s="3"/>
      <c r="C9" s="3"/>
      <c r="D9" s="3"/>
      <c r="E9" s="3"/>
      <c r="F9" s="3"/>
      <c r="G9" s="3"/>
      <c r="H9" s="3"/>
      <c r="I9" s="3"/>
    </row>
    <row r="10" spans="1:9" ht="18" customHeight="1" x14ac:dyDescent="0.15">
      <c r="A10" s="1" t="s">
        <v>4</v>
      </c>
      <c r="B10" s="10" t="s">
        <v>87</v>
      </c>
      <c r="C10" s="3"/>
      <c r="D10" s="3"/>
      <c r="E10" s="3"/>
      <c r="F10" s="3"/>
      <c r="G10" s="3"/>
      <c r="H10" s="3"/>
      <c r="I10" s="3"/>
    </row>
    <row r="11" spans="1:9" ht="18" customHeight="1" x14ac:dyDescent="0.15">
      <c r="B11" s="30" t="s">
        <v>42</v>
      </c>
      <c r="C11" s="219" t="s">
        <v>142</v>
      </c>
      <c r="D11" s="222"/>
      <c r="E11" s="223"/>
      <c r="F11" s="33"/>
      <c r="G11" s="30" t="s">
        <v>10</v>
      </c>
      <c r="H11" s="226" t="s">
        <v>143</v>
      </c>
      <c r="I11" s="223"/>
    </row>
    <row r="12" spans="1:9" ht="10.15" customHeight="1" x14ac:dyDescent="0.15">
      <c r="B12" s="30"/>
      <c r="C12" s="10"/>
      <c r="D12" s="33"/>
      <c r="E12" s="33"/>
      <c r="F12" s="33"/>
      <c r="G12" s="30"/>
      <c r="H12" s="10"/>
      <c r="I12" s="33"/>
    </row>
    <row r="13" spans="1:9" ht="18" customHeight="1" x14ac:dyDescent="0.15">
      <c r="A13" s="1" t="s">
        <v>7</v>
      </c>
      <c r="B13" s="10" t="s">
        <v>82</v>
      </c>
      <c r="C13" s="3"/>
      <c r="D13" s="3"/>
      <c r="E13" s="3"/>
      <c r="F13" s="3"/>
      <c r="G13" s="3"/>
      <c r="H13" s="3"/>
      <c r="I13" s="3"/>
    </row>
    <row r="14" spans="1:9" ht="18" customHeight="1" x14ac:dyDescent="0.15">
      <c r="B14" s="219" t="s">
        <v>156</v>
      </c>
      <c r="C14" s="220"/>
      <c r="D14" s="220"/>
      <c r="E14" s="220"/>
      <c r="F14" s="220"/>
      <c r="G14" s="220"/>
      <c r="H14" s="220"/>
      <c r="I14" s="221"/>
    </row>
    <row r="15" spans="1:9" ht="9" customHeight="1" x14ac:dyDescent="0.15">
      <c r="B15" s="3"/>
      <c r="C15" s="3"/>
      <c r="D15" s="3"/>
      <c r="E15" s="3"/>
      <c r="F15" s="3"/>
      <c r="G15" s="3"/>
      <c r="H15" s="3"/>
      <c r="I15" s="3"/>
    </row>
    <row r="16" spans="1:9" ht="18" customHeight="1" x14ac:dyDescent="0.15">
      <c r="B16" s="30" t="s">
        <v>42</v>
      </c>
      <c r="C16" s="219" t="s">
        <v>144</v>
      </c>
      <c r="D16" s="222"/>
      <c r="E16" s="223"/>
      <c r="F16" s="33"/>
      <c r="G16" s="30" t="s">
        <v>10</v>
      </c>
      <c r="H16" s="224" t="s">
        <v>168</v>
      </c>
      <c r="I16" s="225"/>
    </row>
    <row r="17" spans="1:9" ht="18" customHeight="1" x14ac:dyDescent="0.15">
      <c r="B17" s="3"/>
      <c r="C17" s="3"/>
      <c r="D17" s="3"/>
      <c r="E17" s="3"/>
      <c r="F17" s="3"/>
      <c r="G17" s="3"/>
      <c r="H17" s="3"/>
      <c r="I17" s="3"/>
    </row>
    <row r="18" spans="1:9" ht="18.75" customHeight="1" x14ac:dyDescent="0.15">
      <c r="A18" s="1" t="s">
        <v>5</v>
      </c>
      <c r="B18" s="1" t="s">
        <v>41</v>
      </c>
      <c r="I18" s="3"/>
    </row>
    <row r="19" spans="1:9" ht="18.75" customHeight="1" x14ac:dyDescent="0.15">
      <c r="A19" s="1"/>
      <c r="B19" s="205" t="s">
        <v>162</v>
      </c>
      <c r="C19" s="206"/>
      <c r="D19" s="206"/>
      <c r="E19" s="206"/>
      <c r="F19" s="206"/>
      <c r="G19" s="206"/>
      <c r="H19" s="206"/>
      <c r="I19" s="207"/>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4"/>
      <c r="B22" s="208" t="s">
        <v>182</v>
      </c>
      <c r="C22" s="209"/>
      <c r="D22" s="209"/>
      <c r="E22" s="209"/>
      <c r="F22" s="209"/>
      <c r="G22" s="209"/>
      <c r="H22" s="209"/>
      <c r="I22" s="210"/>
    </row>
    <row r="23" spans="1:9" ht="18.75" customHeight="1" x14ac:dyDescent="0.15">
      <c r="A23" s="14"/>
      <c r="B23" s="211"/>
      <c r="C23" s="212"/>
      <c r="D23" s="212"/>
      <c r="E23" s="212"/>
      <c r="F23" s="212"/>
      <c r="G23" s="212"/>
      <c r="H23" s="212"/>
      <c r="I23" s="213"/>
    </row>
    <row r="24" spans="1:9" ht="18.75" customHeight="1" x14ac:dyDescent="0.15">
      <c r="A24" s="14"/>
      <c r="B24" s="211"/>
      <c r="C24" s="212"/>
      <c r="D24" s="212"/>
      <c r="E24" s="212"/>
      <c r="F24" s="212"/>
      <c r="G24" s="212"/>
      <c r="H24" s="212"/>
      <c r="I24" s="213"/>
    </row>
    <row r="25" spans="1:9" ht="18.75" customHeight="1" x14ac:dyDescent="0.15">
      <c r="A25" s="14"/>
      <c r="B25" s="211"/>
      <c r="C25" s="212"/>
      <c r="D25" s="212"/>
      <c r="E25" s="212"/>
      <c r="F25" s="212"/>
      <c r="G25" s="212"/>
      <c r="H25" s="212"/>
      <c r="I25" s="213"/>
    </row>
    <row r="26" spans="1:9" ht="18.75" customHeight="1" x14ac:dyDescent="0.15">
      <c r="A26" s="14"/>
      <c r="B26" s="211"/>
      <c r="C26" s="212"/>
      <c r="D26" s="212"/>
      <c r="E26" s="212"/>
      <c r="F26" s="212"/>
      <c r="G26" s="212"/>
      <c r="H26" s="212"/>
      <c r="I26" s="213"/>
    </row>
    <row r="27" spans="1:9" ht="18.75" customHeight="1" x14ac:dyDescent="0.15">
      <c r="A27" s="14"/>
      <c r="B27" s="211"/>
      <c r="C27" s="212"/>
      <c r="D27" s="212"/>
      <c r="E27" s="212"/>
      <c r="F27" s="212"/>
      <c r="G27" s="212"/>
      <c r="H27" s="212"/>
      <c r="I27" s="213"/>
    </row>
    <row r="28" spans="1:9" ht="18.75" customHeight="1" x14ac:dyDescent="0.15">
      <c r="A28" s="14"/>
      <c r="B28" s="211"/>
      <c r="C28" s="212"/>
      <c r="D28" s="212"/>
      <c r="E28" s="212"/>
      <c r="F28" s="212"/>
      <c r="G28" s="212"/>
      <c r="H28" s="212"/>
      <c r="I28" s="213"/>
    </row>
    <row r="29" spans="1:9" ht="18.75" customHeight="1" x14ac:dyDescent="0.15">
      <c r="A29" s="14"/>
      <c r="B29" s="211"/>
      <c r="C29" s="212"/>
      <c r="D29" s="212"/>
      <c r="E29" s="212"/>
      <c r="F29" s="212"/>
      <c r="G29" s="212"/>
      <c r="H29" s="212"/>
      <c r="I29" s="213"/>
    </row>
    <row r="30" spans="1:9" ht="18.75" customHeight="1" x14ac:dyDescent="0.15">
      <c r="A30" s="14"/>
      <c r="B30" s="214"/>
      <c r="C30" s="215"/>
      <c r="D30" s="215"/>
      <c r="E30" s="215"/>
      <c r="F30" s="215"/>
      <c r="G30" s="215"/>
      <c r="H30" s="215"/>
      <c r="I30" s="213"/>
    </row>
    <row r="31" spans="1:9" ht="18.75" customHeight="1" x14ac:dyDescent="0.15">
      <c r="A31" s="14"/>
      <c r="B31" s="214"/>
      <c r="C31" s="215"/>
      <c r="D31" s="215"/>
      <c r="E31" s="215"/>
      <c r="F31" s="215"/>
      <c r="G31" s="215"/>
      <c r="H31" s="215"/>
      <c r="I31" s="213"/>
    </row>
    <row r="32" spans="1:9" ht="18.75" customHeight="1" x14ac:dyDescent="0.15">
      <c r="A32" s="14"/>
      <c r="B32" s="216"/>
      <c r="C32" s="217"/>
      <c r="D32" s="217"/>
      <c r="E32" s="217"/>
      <c r="F32" s="217"/>
      <c r="G32" s="217"/>
      <c r="H32" s="217"/>
      <c r="I32" s="218"/>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208" t="s">
        <v>177</v>
      </c>
      <c r="C35" s="209"/>
      <c r="D35" s="209"/>
      <c r="E35" s="209"/>
      <c r="F35" s="209"/>
      <c r="G35" s="209"/>
      <c r="H35" s="209"/>
      <c r="I35" s="210"/>
    </row>
    <row r="36" spans="1:9" ht="18.75" customHeight="1" x14ac:dyDescent="0.15">
      <c r="A36" s="14"/>
      <c r="B36" s="214"/>
      <c r="C36" s="215"/>
      <c r="D36" s="215"/>
      <c r="E36" s="215"/>
      <c r="F36" s="215"/>
      <c r="G36" s="215"/>
      <c r="H36" s="215"/>
      <c r="I36" s="213"/>
    </row>
    <row r="37" spans="1:9" ht="18.75" customHeight="1" x14ac:dyDescent="0.15">
      <c r="A37" s="14"/>
      <c r="B37" s="214"/>
      <c r="C37" s="215"/>
      <c r="D37" s="215"/>
      <c r="E37" s="215"/>
      <c r="F37" s="215"/>
      <c r="G37" s="215"/>
      <c r="H37" s="215"/>
      <c r="I37" s="213"/>
    </row>
    <row r="38" spans="1:9" ht="18.75" customHeight="1" x14ac:dyDescent="0.15">
      <c r="A38" s="14"/>
      <c r="B38" s="214"/>
      <c r="C38" s="215"/>
      <c r="D38" s="215"/>
      <c r="E38" s="215"/>
      <c r="F38" s="215"/>
      <c r="G38" s="215"/>
      <c r="H38" s="215"/>
      <c r="I38" s="213"/>
    </row>
    <row r="39" spans="1:9" ht="18.75" customHeight="1" x14ac:dyDescent="0.15">
      <c r="A39" s="14"/>
      <c r="B39" s="214"/>
      <c r="C39" s="215"/>
      <c r="D39" s="215"/>
      <c r="E39" s="215"/>
      <c r="F39" s="215"/>
      <c r="G39" s="215"/>
      <c r="H39" s="215"/>
      <c r="I39" s="213"/>
    </row>
    <row r="40" spans="1:9" ht="18.75" customHeight="1" x14ac:dyDescent="0.15">
      <c r="A40" s="14"/>
      <c r="B40" s="214"/>
      <c r="C40" s="215"/>
      <c r="D40" s="215"/>
      <c r="E40" s="215"/>
      <c r="F40" s="215"/>
      <c r="G40" s="215"/>
      <c r="H40" s="215"/>
      <c r="I40" s="213"/>
    </row>
    <row r="41" spans="1:9" ht="18.75" customHeight="1" x14ac:dyDescent="0.15">
      <c r="A41" s="14"/>
      <c r="B41" s="214"/>
      <c r="C41" s="215"/>
      <c r="D41" s="215"/>
      <c r="E41" s="215"/>
      <c r="F41" s="215"/>
      <c r="G41" s="215"/>
      <c r="H41" s="215"/>
      <c r="I41" s="213"/>
    </row>
    <row r="42" spans="1:9" ht="18.75" customHeight="1" x14ac:dyDescent="0.15">
      <c r="A42" s="14"/>
      <c r="B42" s="214"/>
      <c r="C42" s="215"/>
      <c r="D42" s="215"/>
      <c r="E42" s="215"/>
      <c r="F42" s="215"/>
      <c r="G42" s="215"/>
      <c r="H42" s="215"/>
      <c r="I42" s="213"/>
    </row>
    <row r="43" spans="1:9" ht="18.75" customHeight="1" x14ac:dyDescent="0.15">
      <c r="A43" s="14"/>
      <c r="B43" s="214"/>
      <c r="C43" s="215"/>
      <c r="D43" s="215"/>
      <c r="E43" s="215"/>
      <c r="F43" s="215"/>
      <c r="G43" s="215"/>
      <c r="H43" s="215"/>
      <c r="I43" s="213"/>
    </row>
    <row r="44" spans="1:9" ht="18.75" customHeight="1" x14ac:dyDescent="0.15">
      <c r="A44" s="14"/>
      <c r="B44" s="214"/>
      <c r="C44" s="215"/>
      <c r="D44" s="215"/>
      <c r="E44" s="215"/>
      <c r="F44" s="215"/>
      <c r="G44" s="215"/>
      <c r="H44" s="215"/>
      <c r="I44" s="213"/>
    </row>
    <row r="45" spans="1:9" ht="18.75" customHeight="1" x14ac:dyDescent="0.15">
      <c r="A45" s="14"/>
      <c r="B45" s="214"/>
      <c r="C45" s="215"/>
      <c r="D45" s="215"/>
      <c r="E45" s="215"/>
      <c r="F45" s="215"/>
      <c r="G45" s="215"/>
      <c r="H45" s="215"/>
      <c r="I45" s="213"/>
    </row>
    <row r="46" spans="1:9" ht="18.75" customHeight="1" x14ac:dyDescent="0.15">
      <c r="A46" s="14"/>
      <c r="B46" s="216"/>
      <c r="C46" s="217"/>
      <c r="D46" s="217"/>
      <c r="E46" s="217"/>
      <c r="F46" s="217"/>
      <c r="G46" s="217"/>
      <c r="H46" s="217"/>
      <c r="I46" s="218"/>
    </row>
    <row r="47" spans="1:9" ht="7.5" customHeight="1" x14ac:dyDescent="0.15">
      <c r="A47" s="4"/>
      <c r="B47" s="4"/>
      <c r="C47" s="4"/>
      <c r="D47" s="4"/>
      <c r="E47" s="4"/>
      <c r="F47" s="4"/>
      <c r="G47" s="4"/>
      <c r="H47" s="4"/>
      <c r="I47" s="4"/>
    </row>
    <row r="48" spans="1:9" ht="18.75" customHeight="1" x14ac:dyDescent="0.15">
      <c r="A48" s="1" t="s">
        <v>31</v>
      </c>
      <c r="B48" s="1" t="s">
        <v>108</v>
      </c>
    </row>
    <row r="49" spans="1:15" s="3" customFormat="1" ht="18.75" customHeight="1" x14ac:dyDescent="0.15">
      <c r="B49" s="34" t="s">
        <v>124</v>
      </c>
      <c r="C49" s="193">
        <f>'様式２ 履修者等数の実績'!S33</f>
        <v>0.28448275862068967</v>
      </c>
      <c r="D49" s="193"/>
      <c r="E49" s="34" t="s">
        <v>64</v>
      </c>
      <c r="F49" s="193">
        <v>0.5</v>
      </c>
      <c r="G49" s="193"/>
      <c r="H49" s="34" t="s">
        <v>65</v>
      </c>
      <c r="I49" s="35">
        <v>0.75</v>
      </c>
      <c r="J49" s="1"/>
      <c r="M49" s="1"/>
      <c r="N49" s="36"/>
    </row>
    <row r="50" spans="1:15" s="3" customFormat="1" ht="18.75" customHeight="1" x14ac:dyDescent="0.15">
      <c r="B50" s="37" t="s">
        <v>83</v>
      </c>
      <c r="C50" s="176">
        <v>1</v>
      </c>
      <c r="D50" s="176"/>
      <c r="E50" s="37" t="s">
        <v>125</v>
      </c>
      <c r="F50" s="176">
        <v>1</v>
      </c>
      <c r="G50" s="176"/>
      <c r="H50" s="37" t="s">
        <v>66</v>
      </c>
      <c r="I50" s="38">
        <v>580</v>
      </c>
      <c r="J50" s="1"/>
      <c r="M50" s="1"/>
      <c r="N50" s="36"/>
    </row>
    <row r="51" spans="1:15" ht="18.75" customHeight="1" x14ac:dyDescent="0.15">
      <c r="A51" s="1"/>
      <c r="B51" s="229" t="s">
        <v>67</v>
      </c>
      <c r="C51" s="230"/>
      <c r="D51" s="230"/>
      <c r="E51" s="230"/>
      <c r="F51" s="230"/>
      <c r="G51" s="230"/>
      <c r="H51" s="230"/>
      <c r="I51" s="231"/>
      <c r="N51" s="36"/>
      <c r="O51" s="3"/>
    </row>
    <row r="52" spans="1:15" ht="18.75" customHeight="1" x14ac:dyDescent="0.15">
      <c r="A52" s="1"/>
      <c r="B52" s="194" t="s">
        <v>178</v>
      </c>
      <c r="C52" s="195"/>
      <c r="D52" s="195"/>
      <c r="E52" s="195"/>
      <c r="F52" s="195"/>
      <c r="G52" s="195"/>
      <c r="H52" s="195"/>
      <c r="I52" s="196"/>
      <c r="N52" s="36"/>
      <c r="O52" s="3"/>
    </row>
    <row r="53" spans="1:15" ht="18.75" customHeight="1" x14ac:dyDescent="0.15">
      <c r="A53" s="1"/>
      <c r="B53" s="197"/>
      <c r="C53" s="198"/>
      <c r="D53" s="198"/>
      <c r="E53" s="198"/>
      <c r="F53" s="198"/>
      <c r="G53" s="198"/>
      <c r="H53" s="198"/>
      <c r="I53" s="199"/>
      <c r="N53" s="36"/>
      <c r="O53" s="3"/>
    </row>
    <row r="54" spans="1:15" ht="18.75" customHeight="1" x14ac:dyDescent="0.15">
      <c r="A54" s="1"/>
      <c r="B54" s="197"/>
      <c r="C54" s="198"/>
      <c r="D54" s="198"/>
      <c r="E54" s="198"/>
      <c r="F54" s="198"/>
      <c r="G54" s="198"/>
      <c r="H54" s="198"/>
      <c r="I54" s="199"/>
    </row>
    <row r="55" spans="1:15" ht="18.75" customHeight="1" x14ac:dyDescent="0.15">
      <c r="A55" s="1"/>
      <c r="B55" s="197"/>
      <c r="C55" s="198"/>
      <c r="D55" s="198"/>
      <c r="E55" s="198"/>
      <c r="F55" s="198"/>
      <c r="G55" s="198"/>
      <c r="H55" s="198"/>
      <c r="I55" s="199"/>
    </row>
    <row r="56" spans="1:15" ht="18.75" customHeight="1" x14ac:dyDescent="0.15">
      <c r="A56" s="1"/>
      <c r="B56" s="197"/>
      <c r="C56" s="198"/>
      <c r="D56" s="198"/>
      <c r="E56" s="198"/>
      <c r="F56" s="198"/>
      <c r="G56" s="198"/>
      <c r="H56" s="198"/>
      <c r="I56" s="199"/>
    </row>
    <row r="57" spans="1:15" ht="18.75" customHeight="1" x14ac:dyDescent="0.15">
      <c r="A57" s="1"/>
      <c r="B57" s="197"/>
      <c r="C57" s="198"/>
      <c r="D57" s="198"/>
      <c r="E57" s="198"/>
      <c r="F57" s="198"/>
      <c r="G57" s="198"/>
      <c r="H57" s="198"/>
      <c r="I57" s="199"/>
    </row>
    <row r="58" spans="1:15" ht="18.75" customHeight="1" x14ac:dyDescent="0.15">
      <c r="A58" s="1"/>
      <c r="B58" s="197"/>
      <c r="C58" s="198"/>
      <c r="D58" s="198"/>
      <c r="E58" s="198"/>
      <c r="F58" s="198"/>
      <c r="G58" s="198"/>
      <c r="H58" s="198"/>
      <c r="I58" s="199"/>
    </row>
    <row r="59" spans="1:15" ht="18.75" customHeight="1" x14ac:dyDescent="0.15">
      <c r="A59" s="1"/>
      <c r="B59" s="197"/>
      <c r="C59" s="198"/>
      <c r="D59" s="198"/>
      <c r="E59" s="198"/>
      <c r="F59" s="198"/>
      <c r="G59" s="198"/>
      <c r="H59" s="198"/>
      <c r="I59" s="199"/>
    </row>
    <row r="60" spans="1:15" ht="18.75" customHeight="1" x14ac:dyDescent="0.15">
      <c r="A60" s="1"/>
      <c r="B60" s="197"/>
      <c r="C60" s="198"/>
      <c r="D60" s="198"/>
      <c r="E60" s="198"/>
      <c r="F60" s="198"/>
      <c r="G60" s="198"/>
      <c r="H60" s="198"/>
      <c r="I60" s="199"/>
    </row>
    <row r="61" spans="1:15" ht="18.75" customHeight="1" x14ac:dyDescent="0.15">
      <c r="A61" s="1"/>
      <c r="B61" s="197"/>
      <c r="C61" s="198"/>
      <c r="D61" s="198"/>
      <c r="E61" s="198"/>
      <c r="F61" s="198"/>
      <c r="G61" s="198"/>
      <c r="H61" s="198"/>
      <c r="I61" s="199"/>
    </row>
    <row r="62" spans="1:15" ht="18.75" customHeight="1" x14ac:dyDescent="0.15">
      <c r="A62" s="1"/>
      <c r="B62" s="197"/>
      <c r="C62" s="198"/>
      <c r="D62" s="198"/>
      <c r="E62" s="198"/>
      <c r="F62" s="198"/>
      <c r="G62" s="198"/>
      <c r="H62" s="198"/>
      <c r="I62" s="199"/>
    </row>
    <row r="63" spans="1:15" ht="18.75" customHeight="1" x14ac:dyDescent="0.15">
      <c r="A63" s="1"/>
      <c r="B63" s="200"/>
      <c r="C63" s="201"/>
      <c r="D63" s="201"/>
      <c r="E63" s="201"/>
      <c r="F63" s="201"/>
      <c r="G63" s="201"/>
      <c r="H63" s="201"/>
      <c r="I63" s="202"/>
    </row>
    <row r="64" spans="1:15" ht="7.5" customHeight="1" x14ac:dyDescent="0.15">
      <c r="A64" s="14"/>
      <c r="B64" s="14"/>
      <c r="C64" s="14"/>
      <c r="D64" s="14"/>
      <c r="E64" s="14"/>
      <c r="F64" s="14"/>
      <c r="G64" s="14"/>
      <c r="H64" s="14"/>
      <c r="I64" s="14"/>
    </row>
    <row r="65" spans="1:9" ht="18.75" customHeight="1" x14ac:dyDescent="0.15">
      <c r="A65" s="15" t="s">
        <v>34</v>
      </c>
      <c r="B65" s="1" t="s">
        <v>37</v>
      </c>
      <c r="I65" s="15"/>
    </row>
    <row r="66" spans="1:9" ht="18.75" customHeight="1" x14ac:dyDescent="0.15">
      <c r="A66" s="4"/>
      <c r="B66" s="177" t="s">
        <v>179</v>
      </c>
      <c r="C66" s="178"/>
      <c r="D66" s="178"/>
      <c r="E66" s="178"/>
      <c r="F66" s="178"/>
      <c r="G66" s="178"/>
      <c r="H66" s="178"/>
      <c r="I66" s="179"/>
    </row>
    <row r="67" spans="1:9" ht="18.75" customHeight="1" x14ac:dyDescent="0.15">
      <c r="A67" s="4"/>
      <c r="B67" s="180"/>
      <c r="C67" s="181"/>
      <c r="D67" s="181"/>
      <c r="E67" s="181"/>
      <c r="F67" s="181"/>
      <c r="G67" s="181"/>
      <c r="H67" s="181"/>
      <c r="I67" s="182"/>
    </row>
    <row r="68" spans="1:9" ht="18.75" customHeight="1" x14ac:dyDescent="0.15">
      <c r="A68" s="4"/>
      <c r="B68" s="180"/>
      <c r="C68" s="181"/>
      <c r="D68" s="181"/>
      <c r="E68" s="181"/>
      <c r="F68" s="181"/>
      <c r="G68" s="181"/>
      <c r="H68" s="181"/>
      <c r="I68" s="182"/>
    </row>
    <row r="69" spans="1:9" ht="18.75" customHeight="1" x14ac:dyDescent="0.15">
      <c r="A69" s="4"/>
      <c r="B69" s="180"/>
      <c r="C69" s="181"/>
      <c r="D69" s="181"/>
      <c r="E69" s="181"/>
      <c r="F69" s="181"/>
      <c r="G69" s="181"/>
      <c r="H69" s="181"/>
      <c r="I69" s="182"/>
    </row>
    <row r="70" spans="1:9" ht="18.75" customHeight="1" x14ac:dyDescent="0.15">
      <c r="A70" s="4"/>
      <c r="B70" s="180"/>
      <c r="C70" s="181"/>
      <c r="D70" s="181"/>
      <c r="E70" s="181"/>
      <c r="F70" s="181"/>
      <c r="G70" s="181"/>
      <c r="H70" s="181"/>
      <c r="I70" s="182"/>
    </row>
    <row r="71" spans="1:9" ht="18.75" customHeight="1" x14ac:dyDescent="0.15">
      <c r="A71" s="4"/>
      <c r="B71" s="180"/>
      <c r="C71" s="181"/>
      <c r="D71" s="181"/>
      <c r="E71" s="181"/>
      <c r="F71" s="181"/>
      <c r="G71" s="181"/>
      <c r="H71" s="181"/>
      <c r="I71" s="182"/>
    </row>
    <row r="72" spans="1:9" ht="18.75" customHeight="1" x14ac:dyDescent="0.15">
      <c r="A72" s="4"/>
      <c r="B72" s="180"/>
      <c r="C72" s="181"/>
      <c r="D72" s="181"/>
      <c r="E72" s="181"/>
      <c r="F72" s="181"/>
      <c r="G72" s="181"/>
      <c r="H72" s="181"/>
      <c r="I72" s="182"/>
    </row>
    <row r="73" spans="1:9" ht="18.75" customHeight="1" x14ac:dyDescent="0.15">
      <c r="A73" s="4"/>
      <c r="B73" s="180"/>
      <c r="C73" s="181"/>
      <c r="D73" s="181"/>
      <c r="E73" s="181"/>
      <c r="F73" s="181"/>
      <c r="G73" s="181"/>
      <c r="H73" s="181"/>
      <c r="I73" s="182"/>
    </row>
    <row r="74" spans="1:9" ht="18.75" customHeight="1" x14ac:dyDescent="0.15">
      <c r="A74" s="4"/>
      <c r="B74" s="180"/>
      <c r="C74" s="181"/>
      <c r="D74" s="181"/>
      <c r="E74" s="181"/>
      <c r="F74" s="181"/>
      <c r="G74" s="181"/>
      <c r="H74" s="181"/>
      <c r="I74" s="182"/>
    </row>
    <row r="75" spans="1:9" ht="18.75" customHeight="1" x14ac:dyDescent="0.15">
      <c r="A75" s="4"/>
      <c r="B75" s="180"/>
      <c r="C75" s="181"/>
      <c r="D75" s="181"/>
      <c r="E75" s="181"/>
      <c r="F75" s="181"/>
      <c r="G75" s="181"/>
      <c r="H75" s="181"/>
      <c r="I75" s="182"/>
    </row>
    <row r="76" spans="1:9" ht="18.75" customHeight="1" x14ac:dyDescent="0.15">
      <c r="A76" s="4"/>
      <c r="B76" s="180"/>
      <c r="C76" s="181"/>
      <c r="D76" s="181"/>
      <c r="E76" s="181"/>
      <c r="F76" s="181"/>
      <c r="G76" s="181"/>
      <c r="H76" s="181"/>
      <c r="I76" s="182"/>
    </row>
    <row r="77" spans="1:9" ht="18.75" customHeight="1" x14ac:dyDescent="0.15">
      <c r="A77" s="4"/>
      <c r="B77" s="183"/>
      <c r="C77" s="184"/>
      <c r="D77" s="184"/>
      <c r="E77" s="184"/>
      <c r="F77" s="184"/>
      <c r="G77" s="184"/>
      <c r="H77" s="184"/>
      <c r="I77" s="185"/>
    </row>
    <row r="78" spans="1:9" ht="7.5" customHeight="1" x14ac:dyDescent="0.15">
      <c r="A78" s="4"/>
      <c r="B78" s="4"/>
      <c r="C78" s="4"/>
      <c r="D78" s="4"/>
      <c r="E78" s="4"/>
      <c r="F78" s="4"/>
      <c r="G78" s="4"/>
      <c r="H78" s="4"/>
      <c r="I78" s="4"/>
    </row>
    <row r="79" spans="1:9" ht="18.75" customHeight="1" x14ac:dyDescent="0.15">
      <c r="A79" s="1" t="s">
        <v>11</v>
      </c>
      <c r="B79" s="1" t="s">
        <v>40</v>
      </c>
    </row>
    <row r="80" spans="1:9" ht="18.75" customHeight="1" x14ac:dyDescent="0.15">
      <c r="A80" s="1"/>
      <c r="B80" s="177" t="s">
        <v>180</v>
      </c>
      <c r="C80" s="178"/>
      <c r="D80" s="178"/>
      <c r="E80" s="178"/>
      <c r="F80" s="178"/>
      <c r="G80" s="178"/>
      <c r="H80" s="178"/>
      <c r="I80" s="186"/>
    </row>
    <row r="81" spans="1:9" ht="18.75" customHeight="1" x14ac:dyDescent="0.15">
      <c r="A81" s="1"/>
      <c r="B81" s="187"/>
      <c r="C81" s="188"/>
      <c r="D81" s="188"/>
      <c r="E81" s="188"/>
      <c r="F81" s="188"/>
      <c r="G81" s="188"/>
      <c r="H81" s="188"/>
      <c r="I81" s="189"/>
    </row>
    <row r="82" spans="1:9" ht="18.75" customHeight="1" x14ac:dyDescent="0.15">
      <c r="A82" s="1"/>
      <c r="B82" s="187"/>
      <c r="C82" s="188"/>
      <c r="D82" s="188"/>
      <c r="E82" s="188"/>
      <c r="F82" s="188"/>
      <c r="G82" s="188"/>
      <c r="H82" s="188"/>
      <c r="I82" s="189"/>
    </row>
    <row r="83" spans="1:9" ht="18.75" customHeight="1" x14ac:dyDescent="0.15">
      <c r="A83" s="1"/>
      <c r="B83" s="187"/>
      <c r="C83" s="188"/>
      <c r="D83" s="188"/>
      <c r="E83" s="188"/>
      <c r="F83" s="188"/>
      <c r="G83" s="188"/>
      <c r="H83" s="188"/>
      <c r="I83" s="189"/>
    </row>
    <row r="84" spans="1:9" ht="18.75" customHeight="1" x14ac:dyDescent="0.15">
      <c r="A84" s="1"/>
      <c r="B84" s="187"/>
      <c r="C84" s="188"/>
      <c r="D84" s="188"/>
      <c r="E84" s="188"/>
      <c r="F84" s="188"/>
      <c r="G84" s="188"/>
      <c r="H84" s="188"/>
      <c r="I84" s="189"/>
    </row>
    <row r="85" spans="1:9" ht="18.75" customHeight="1" x14ac:dyDescent="0.15">
      <c r="A85" s="1"/>
      <c r="B85" s="187"/>
      <c r="C85" s="188"/>
      <c r="D85" s="188"/>
      <c r="E85" s="188"/>
      <c r="F85" s="188"/>
      <c r="G85" s="188"/>
      <c r="H85" s="188"/>
      <c r="I85" s="189"/>
    </row>
    <row r="86" spans="1:9" ht="18.75" customHeight="1" x14ac:dyDescent="0.15">
      <c r="A86" s="1"/>
      <c r="B86" s="187"/>
      <c r="C86" s="188"/>
      <c r="D86" s="188"/>
      <c r="E86" s="188"/>
      <c r="F86" s="188"/>
      <c r="G86" s="188"/>
      <c r="H86" s="188"/>
      <c r="I86" s="189"/>
    </row>
    <row r="87" spans="1:9" ht="18.75" customHeight="1" x14ac:dyDescent="0.15">
      <c r="A87" s="1"/>
      <c r="B87" s="187"/>
      <c r="C87" s="188"/>
      <c r="D87" s="188"/>
      <c r="E87" s="188"/>
      <c r="F87" s="188"/>
      <c r="G87" s="188"/>
      <c r="H87" s="188"/>
      <c r="I87" s="189"/>
    </row>
    <row r="88" spans="1:9" ht="18.75" customHeight="1" x14ac:dyDescent="0.15">
      <c r="A88" s="1"/>
      <c r="B88" s="187"/>
      <c r="C88" s="188"/>
      <c r="D88" s="188"/>
      <c r="E88" s="188"/>
      <c r="F88" s="188"/>
      <c r="G88" s="188"/>
      <c r="H88" s="188"/>
      <c r="I88" s="189"/>
    </row>
    <row r="89" spans="1:9" ht="18.75" customHeight="1" x14ac:dyDescent="0.15">
      <c r="A89" s="1"/>
      <c r="B89" s="187"/>
      <c r="C89" s="188"/>
      <c r="D89" s="188"/>
      <c r="E89" s="188"/>
      <c r="F89" s="188"/>
      <c r="G89" s="188"/>
      <c r="H89" s="188"/>
      <c r="I89" s="189"/>
    </row>
    <row r="90" spans="1:9" ht="18.75" customHeight="1" x14ac:dyDescent="0.15">
      <c r="A90" s="4"/>
      <c r="B90" s="187"/>
      <c r="C90" s="188"/>
      <c r="D90" s="188"/>
      <c r="E90" s="188"/>
      <c r="F90" s="188"/>
      <c r="G90" s="188"/>
      <c r="H90" s="188"/>
      <c r="I90" s="189"/>
    </row>
    <row r="91" spans="1:9" ht="18.75" customHeight="1" x14ac:dyDescent="0.15">
      <c r="A91" s="4"/>
      <c r="B91" s="190"/>
      <c r="C91" s="191"/>
      <c r="D91" s="191"/>
      <c r="E91" s="191"/>
      <c r="F91" s="191"/>
      <c r="G91" s="191"/>
      <c r="H91" s="191"/>
      <c r="I91" s="192"/>
    </row>
    <row r="92" spans="1:9" ht="7.5" customHeight="1" x14ac:dyDescent="0.15">
      <c r="A92" s="4"/>
      <c r="B92" s="4"/>
      <c r="C92" s="4"/>
      <c r="D92" s="4"/>
      <c r="E92" s="4"/>
      <c r="F92" s="4"/>
      <c r="G92" s="4"/>
      <c r="H92" s="4"/>
      <c r="I92" s="4"/>
    </row>
    <row r="93" spans="1:9" ht="18.75" customHeight="1" x14ac:dyDescent="0.15">
      <c r="A93" s="1" t="s">
        <v>43</v>
      </c>
      <c r="B93" s="1" t="s">
        <v>13</v>
      </c>
    </row>
    <row r="94" spans="1:9" ht="18.75" customHeight="1" x14ac:dyDescent="0.15">
      <c r="A94" s="1"/>
      <c r="B94" s="208" t="s">
        <v>157</v>
      </c>
      <c r="C94" s="209"/>
      <c r="D94" s="209"/>
      <c r="E94" s="209"/>
      <c r="F94" s="209"/>
      <c r="G94" s="209"/>
      <c r="H94" s="209"/>
      <c r="I94" s="210"/>
    </row>
    <row r="95" spans="1:9" ht="18.75" customHeight="1" x14ac:dyDescent="0.15">
      <c r="A95" s="1"/>
      <c r="B95" s="214"/>
      <c r="C95" s="215"/>
      <c r="D95" s="215"/>
      <c r="E95" s="215"/>
      <c r="F95" s="215"/>
      <c r="G95" s="215"/>
      <c r="H95" s="215"/>
      <c r="I95" s="213"/>
    </row>
    <row r="96" spans="1:9" ht="18.75" customHeight="1" x14ac:dyDescent="0.15">
      <c r="A96" s="1"/>
      <c r="B96" s="214"/>
      <c r="C96" s="215"/>
      <c r="D96" s="215"/>
      <c r="E96" s="215"/>
      <c r="F96" s="215"/>
      <c r="G96" s="215"/>
      <c r="H96" s="215"/>
      <c r="I96" s="213"/>
    </row>
    <row r="97" spans="1:9" ht="18.75" customHeight="1" x14ac:dyDescent="0.15">
      <c r="A97" s="1"/>
      <c r="B97" s="214"/>
      <c r="C97" s="215"/>
      <c r="D97" s="215"/>
      <c r="E97" s="215"/>
      <c r="F97" s="215"/>
      <c r="G97" s="215"/>
      <c r="H97" s="215"/>
      <c r="I97" s="213"/>
    </row>
    <row r="98" spans="1:9" ht="18.75" customHeight="1" x14ac:dyDescent="0.15">
      <c r="A98" s="1"/>
      <c r="B98" s="214"/>
      <c r="C98" s="215"/>
      <c r="D98" s="215"/>
      <c r="E98" s="215"/>
      <c r="F98" s="215"/>
      <c r="G98" s="215"/>
      <c r="H98" s="215"/>
      <c r="I98" s="213"/>
    </row>
    <row r="99" spans="1:9" ht="18.75" customHeight="1" x14ac:dyDescent="0.15">
      <c r="A99" s="1"/>
      <c r="B99" s="214"/>
      <c r="C99" s="215"/>
      <c r="D99" s="215"/>
      <c r="E99" s="215"/>
      <c r="F99" s="215"/>
      <c r="G99" s="215"/>
      <c r="H99" s="215"/>
      <c r="I99" s="213"/>
    </row>
    <row r="100" spans="1:9" ht="18.75" customHeight="1" x14ac:dyDescent="0.15">
      <c r="A100" s="1"/>
      <c r="B100" s="214"/>
      <c r="C100" s="215"/>
      <c r="D100" s="215"/>
      <c r="E100" s="215"/>
      <c r="F100" s="215"/>
      <c r="G100" s="215"/>
      <c r="H100" s="215"/>
      <c r="I100" s="213"/>
    </row>
    <row r="101" spans="1:9" ht="18.75" customHeight="1" x14ac:dyDescent="0.15">
      <c r="A101" s="1"/>
      <c r="B101" s="214"/>
      <c r="C101" s="215"/>
      <c r="D101" s="215"/>
      <c r="E101" s="215"/>
      <c r="F101" s="215"/>
      <c r="G101" s="215"/>
      <c r="H101" s="215"/>
      <c r="I101" s="213"/>
    </row>
    <row r="102" spans="1:9" ht="18.75" customHeight="1" x14ac:dyDescent="0.15">
      <c r="A102" s="1"/>
      <c r="B102" s="214"/>
      <c r="C102" s="215"/>
      <c r="D102" s="215"/>
      <c r="E102" s="215"/>
      <c r="F102" s="215"/>
      <c r="G102" s="215"/>
      <c r="H102" s="215"/>
      <c r="I102" s="213"/>
    </row>
    <row r="103" spans="1:9" ht="18.75" customHeight="1" x14ac:dyDescent="0.15">
      <c r="A103" s="1"/>
      <c r="B103" s="214"/>
      <c r="C103" s="215"/>
      <c r="D103" s="215"/>
      <c r="E103" s="215"/>
      <c r="F103" s="215"/>
      <c r="G103" s="215"/>
      <c r="H103" s="215"/>
      <c r="I103" s="213"/>
    </row>
    <row r="104" spans="1:9" ht="18.75" customHeight="1" x14ac:dyDescent="0.15">
      <c r="A104" s="1"/>
      <c r="B104" s="214"/>
      <c r="C104" s="215"/>
      <c r="D104" s="215"/>
      <c r="E104" s="215"/>
      <c r="F104" s="215"/>
      <c r="G104" s="215"/>
      <c r="H104" s="215"/>
      <c r="I104" s="213"/>
    </row>
    <row r="105" spans="1:9" ht="18.75" customHeight="1" x14ac:dyDescent="0.15">
      <c r="A105" s="4"/>
      <c r="B105" s="216"/>
      <c r="C105" s="217"/>
      <c r="D105" s="217"/>
      <c r="E105" s="217"/>
      <c r="F105" s="217"/>
      <c r="G105" s="217"/>
      <c r="H105" s="217"/>
      <c r="I105" s="218"/>
    </row>
    <row r="106" spans="1:9" ht="7.5" customHeight="1" x14ac:dyDescent="0.15">
      <c r="A106" s="4"/>
      <c r="B106" s="4"/>
      <c r="C106" s="4"/>
      <c r="D106" s="4"/>
      <c r="E106" s="4"/>
      <c r="F106" s="4"/>
      <c r="G106" s="4"/>
      <c r="H106" s="4"/>
      <c r="I106" s="4"/>
    </row>
    <row r="107" spans="1:9" ht="18.75" customHeight="1" x14ac:dyDescent="0.15">
      <c r="A107" s="1" t="s">
        <v>30</v>
      </c>
      <c r="B107" s="228" t="s">
        <v>45</v>
      </c>
      <c r="C107" s="228"/>
      <c r="D107" s="228"/>
      <c r="E107" s="228"/>
      <c r="F107" s="228"/>
      <c r="G107" s="228"/>
      <c r="H107" s="228"/>
      <c r="I107" s="228"/>
    </row>
    <row r="108" spans="1:9" ht="18.75" customHeight="1" x14ac:dyDescent="0.15">
      <c r="A108" s="4"/>
      <c r="B108" s="208" t="s">
        <v>181</v>
      </c>
      <c r="C108" s="209"/>
      <c r="D108" s="209"/>
      <c r="E108" s="209"/>
      <c r="F108" s="209"/>
      <c r="G108" s="209"/>
      <c r="H108" s="209"/>
      <c r="I108" s="210"/>
    </row>
    <row r="109" spans="1:9" ht="18.75" customHeight="1" x14ac:dyDescent="0.15">
      <c r="A109" s="4"/>
      <c r="B109" s="214"/>
      <c r="C109" s="215"/>
      <c r="D109" s="215"/>
      <c r="E109" s="215"/>
      <c r="F109" s="215"/>
      <c r="G109" s="215"/>
      <c r="H109" s="215"/>
      <c r="I109" s="213"/>
    </row>
    <row r="110" spans="1:9" ht="18.75" customHeight="1" x14ac:dyDescent="0.15">
      <c r="A110" s="4"/>
      <c r="B110" s="214"/>
      <c r="C110" s="215"/>
      <c r="D110" s="215"/>
      <c r="E110" s="215"/>
      <c r="F110" s="215"/>
      <c r="G110" s="215"/>
      <c r="H110" s="215"/>
      <c r="I110" s="213"/>
    </row>
    <row r="111" spans="1:9" ht="18.75" customHeight="1" x14ac:dyDescent="0.15">
      <c r="A111" s="4"/>
      <c r="B111" s="214"/>
      <c r="C111" s="215"/>
      <c r="D111" s="215"/>
      <c r="E111" s="215"/>
      <c r="F111" s="215"/>
      <c r="G111" s="215"/>
      <c r="H111" s="215"/>
      <c r="I111" s="213"/>
    </row>
    <row r="112" spans="1:9" ht="18.75" customHeight="1" x14ac:dyDescent="0.15">
      <c r="A112" s="4"/>
      <c r="B112" s="214"/>
      <c r="C112" s="215"/>
      <c r="D112" s="215"/>
      <c r="E112" s="215"/>
      <c r="F112" s="215"/>
      <c r="G112" s="215"/>
      <c r="H112" s="215"/>
      <c r="I112" s="213"/>
    </row>
    <row r="113" spans="1:9" ht="18.75" customHeight="1" x14ac:dyDescent="0.15">
      <c r="A113" s="4"/>
      <c r="B113" s="214"/>
      <c r="C113" s="215"/>
      <c r="D113" s="215"/>
      <c r="E113" s="215"/>
      <c r="F113" s="215"/>
      <c r="G113" s="215"/>
      <c r="H113" s="215"/>
      <c r="I113" s="213"/>
    </row>
    <row r="114" spans="1:9" ht="18.75" customHeight="1" x14ac:dyDescent="0.15">
      <c r="A114" s="4"/>
      <c r="B114" s="214"/>
      <c r="C114" s="215"/>
      <c r="D114" s="215"/>
      <c r="E114" s="215"/>
      <c r="F114" s="215"/>
      <c r="G114" s="215"/>
      <c r="H114" s="215"/>
      <c r="I114" s="213"/>
    </row>
    <row r="115" spans="1:9" ht="18.75" customHeight="1" x14ac:dyDescent="0.15">
      <c r="A115" s="4"/>
      <c r="B115" s="214"/>
      <c r="C115" s="215"/>
      <c r="D115" s="215"/>
      <c r="E115" s="215"/>
      <c r="F115" s="215"/>
      <c r="G115" s="215"/>
      <c r="H115" s="215"/>
      <c r="I115" s="213"/>
    </row>
    <row r="116" spans="1:9" ht="18.75" customHeight="1" x14ac:dyDescent="0.15">
      <c r="A116" s="4"/>
      <c r="B116" s="214"/>
      <c r="C116" s="215"/>
      <c r="D116" s="215"/>
      <c r="E116" s="215"/>
      <c r="F116" s="215"/>
      <c r="G116" s="215"/>
      <c r="H116" s="215"/>
      <c r="I116" s="213"/>
    </row>
    <row r="117" spans="1:9" ht="18.75" customHeight="1" x14ac:dyDescent="0.15">
      <c r="A117" s="4"/>
      <c r="B117" s="214"/>
      <c r="C117" s="215"/>
      <c r="D117" s="215"/>
      <c r="E117" s="215"/>
      <c r="F117" s="215"/>
      <c r="G117" s="215"/>
      <c r="H117" s="215"/>
      <c r="I117" s="213"/>
    </row>
    <row r="118" spans="1:9" ht="18.75" customHeight="1" x14ac:dyDescent="0.15">
      <c r="A118" s="4"/>
      <c r="B118" s="214"/>
      <c r="C118" s="215"/>
      <c r="D118" s="215"/>
      <c r="E118" s="215"/>
      <c r="F118" s="215"/>
      <c r="G118" s="215"/>
      <c r="H118" s="215"/>
      <c r="I118" s="213"/>
    </row>
    <row r="119" spans="1:9" ht="18.75" customHeight="1" x14ac:dyDescent="0.15">
      <c r="A119" s="4"/>
      <c r="B119" s="216"/>
      <c r="C119" s="217"/>
      <c r="D119" s="217"/>
      <c r="E119" s="217"/>
      <c r="F119" s="217"/>
      <c r="G119" s="217"/>
      <c r="H119" s="217"/>
      <c r="I119" s="218"/>
    </row>
    <row r="120" spans="1:9" ht="7.5" customHeight="1" x14ac:dyDescent="0.15">
      <c r="A120" s="4"/>
      <c r="B120" s="39"/>
      <c r="C120" s="39"/>
      <c r="D120" s="39"/>
      <c r="E120" s="39"/>
      <c r="F120" s="39"/>
      <c r="G120" s="39"/>
      <c r="H120" s="39"/>
      <c r="I120" s="39"/>
    </row>
    <row r="121" spans="1:9" ht="18.75" customHeight="1" x14ac:dyDescent="0.15">
      <c r="A121" s="68"/>
      <c r="B121" s="203"/>
      <c r="C121" s="203"/>
      <c r="D121" s="203"/>
      <c r="E121" s="203"/>
      <c r="F121" s="203"/>
      <c r="G121" s="203"/>
      <c r="H121" s="203"/>
      <c r="I121" s="203"/>
    </row>
    <row r="122" spans="1:9" ht="18.75" customHeight="1" x14ac:dyDescent="0.15">
      <c r="A122" s="68"/>
      <c r="B122" s="203"/>
      <c r="C122" s="203"/>
      <c r="D122" s="203"/>
      <c r="E122" s="203"/>
      <c r="F122" s="203"/>
      <c r="G122" s="203"/>
      <c r="H122" s="203"/>
      <c r="I122" s="203"/>
    </row>
    <row r="123" spans="1:9" ht="18.75" customHeight="1" x14ac:dyDescent="0.15">
      <c r="A123" s="4"/>
      <c r="B123" s="72"/>
      <c r="C123" s="72"/>
      <c r="D123" s="72"/>
      <c r="E123" s="72"/>
      <c r="F123" s="72"/>
      <c r="G123" s="72"/>
      <c r="H123" s="72"/>
      <c r="I123" s="73"/>
    </row>
    <row r="124" spans="1:9" ht="18.75" customHeight="1" x14ac:dyDescent="0.15">
      <c r="A124" s="4"/>
      <c r="B124" s="73"/>
      <c r="C124" s="73"/>
      <c r="D124" s="73"/>
      <c r="E124" s="73"/>
      <c r="F124" s="73"/>
      <c r="G124" s="73"/>
      <c r="H124" s="73"/>
      <c r="I124" s="73"/>
    </row>
    <row r="125" spans="1:9" ht="18.75" customHeight="1" x14ac:dyDescent="0.15">
      <c r="A125" s="4"/>
      <c r="B125" s="73"/>
      <c r="C125" s="73"/>
      <c r="D125" s="73"/>
      <c r="E125" s="73"/>
      <c r="F125" s="73"/>
      <c r="G125" s="73"/>
      <c r="H125" s="73"/>
      <c r="I125" s="73"/>
    </row>
    <row r="126" spans="1:9" ht="18.75" customHeight="1" x14ac:dyDescent="0.15">
      <c r="A126" s="4"/>
      <c r="B126" s="73"/>
      <c r="C126" s="73"/>
      <c r="D126" s="73"/>
      <c r="E126" s="73"/>
      <c r="F126" s="73"/>
      <c r="G126" s="73"/>
      <c r="H126" s="73"/>
      <c r="I126" s="73"/>
    </row>
    <row r="127" spans="1:9" ht="18.75" customHeight="1" x14ac:dyDescent="0.15">
      <c r="A127" s="4"/>
      <c r="B127" s="73"/>
      <c r="C127" s="73"/>
      <c r="D127" s="73"/>
      <c r="E127" s="73"/>
      <c r="F127" s="73"/>
      <c r="G127" s="73"/>
      <c r="H127" s="73"/>
      <c r="I127" s="73"/>
    </row>
    <row r="128" spans="1:9" ht="18.75" customHeight="1" x14ac:dyDescent="0.15">
      <c r="A128" s="4"/>
      <c r="B128" s="73"/>
      <c r="C128" s="73"/>
      <c r="D128" s="73"/>
      <c r="E128" s="73"/>
      <c r="F128" s="73"/>
      <c r="G128" s="73"/>
      <c r="H128" s="73"/>
      <c r="I128" s="73"/>
    </row>
    <row r="129" spans="1:9" ht="18.75" customHeight="1" x14ac:dyDescent="0.15">
      <c r="A129" s="4"/>
      <c r="B129" s="73"/>
      <c r="C129" s="73"/>
      <c r="D129" s="73"/>
      <c r="E129" s="73"/>
      <c r="F129" s="73"/>
      <c r="G129" s="73"/>
      <c r="H129" s="73"/>
      <c r="I129" s="73"/>
    </row>
    <row r="130" spans="1:9" ht="18.75" customHeight="1" x14ac:dyDescent="0.15">
      <c r="A130" s="4"/>
      <c r="B130" s="73"/>
      <c r="C130" s="73"/>
      <c r="D130" s="73"/>
      <c r="E130" s="73"/>
      <c r="F130" s="73"/>
      <c r="G130" s="73"/>
      <c r="H130" s="73"/>
      <c r="I130" s="73"/>
    </row>
    <row r="131" spans="1:9" ht="18.75" customHeight="1" x14ac:dyDescent="0.15">
      <c r="A131" s="4"/>
      <c r="B131" s="73"/>
      <c r="C131" s="73"/>
      <c r="D131" s="73"/>
      <c r="E131" s="73"/>
      <c r="F131" s="73"/>
      <c r="G131" s="73"/>
      <c r="H131" s="73"/>
      <c r="I131" s="73"/>
    </row>
    <row r="132" spans="1:9" ht="18.75" customHeight="1" x14ac:dyDescent="0.15">
      <c r="A132" s="4"/>
      <c r="B132" s="73"/>
      <c r="C132" s="73"/>
      <c r="D132" s="73"/>
      <c r="E132" s="73"/>
      <c r="F132" s="73"/>
      <c r="G132" s="73"/>
      <c r="H132" s="73"/>
      <c r="I132" s="73"/>
    </row>
    <row r="133" spans="1:9" ht="14.25" x14ac:dyDescent="0.15">
      <c r="A133" s="4"/>
      <c r="B133" s="73"/>
      <c r="C133" s="73"/>
      <c r="D133" s="73"/>
      <c r="E133" s="73"/>
      <c r="F133" s="73"/>
      <c r="G133" s="73"/>
      <c r="H133" s="73"/>
      <c r="I133" s="73"/>
    </row>
    <row r="134" spans="1:9" ht="7.5" customHeight="1" x14ac:dyDescent="0.15">
      <c r="A134" s="4"/>
      <c r="B134" s="73"/>
      <c r="C134" s="73"/>
      <c r="D134" s="73"/>
      <c r="E134" s="73"/>
      <c r="F134" s="73"/>
      <c r="G134" s="73"/>
      <c r="H134" s="73"/>
      <c r="I134" s="73"/>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topLeftCell="A16" zoomScale="90" zoomScaleNormal="100" zoomScaleSheetLayoutView="90" workbookViewId="0">
      <selection activeCell="N20" sqref="N20"/>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68</v>
      </c>
      <c r="I1" s="30" t="s">
        <v>94</v>
      </c>
    </row>
    <row r="2" spans="1:9" ht="18.75" customHeight="1" x14ac:dyDescent="0.15">
      <c r="H2" s="30" t="s">
        <v>97</v>
      </c>
      <c r="I2" s="29" t="str">
        <f>'様式１　プログラムを構成する授業科目'!C2</f>
        <v>鎮西学院大学</v>
      </c>
    </row>
    <row r="3" spans="1:9" ht="18.75" customHeight="1" x14ac:dyDescent="0.15">
      <c r="A3" s="204" t="s">
        <v>28</v>
      </c>
      <c r="B3" s="204"/>
      <c r="C3" s="204"/>
      <c r="D3" s="204"/>
      <c r="E3" s="204"/>
      <c r="F3" s="204"/>
      <c r="G3" s="204"/>
      <c r="H3" s="204"/>
      <c r="I3" s="204"/>
    </row>
    <row r="4" spans="1:9" ht="18.75" customHeight="1" x14ac:dyDescent="0.15">
      <c r="A4" s="5"/>
      <c r="B4" s="5"/>
      <c r="C4" s="5"/>
      <c r="D4" s="5"/>
      <c r="E4" s="5"/>
      <c r="F4" s="5"/>
      <c r="G4" s="5"/>
      <c r="H4" s="5"/>
      <c r="I4" s="5"/>
    </row>
    <row r="5" spans="1:9" ht="18.75" customHeight="1" x14ac:dyDescent="0.15">
      <c r="A5" s="1" t="s">
        <v>0</v>
      </c>
      <c r="B5" s="10" t="s">
        <v>88</v>
      </c>
      <c r="C5" s="5"/>
      <c r="D5" s="5"/>
      <c r="E5" s="5"/>
      <c r="F5" s="5"/>
      <c r="G5" s="5"/>
      <c r="H5" s="5"/>
      <c r="I5" s="5"/>
    </row>
    <row r="6" spans="1:9" ht="26.25" customHeight="1" x14ac:dyDescent="0.15">
      <c r="A6" s="5"/>
      <c r="B6" s="219" t="s">
        <v>145</v>
      </c>
      <c r="C6" s="254"/>
      <c r="D6" s="254"/>
      <c r="E6" s="254"/>
      <c r="F6" s="254"/>
      <c r="G6" s="254"/>
      <c r="H6" s="255"/>
      <c r="I6" s="3"/>
    </row>
    <row r="7" spans="1:9" ht="9" customHeight="1" x14ac:dyDescent="0.15">
      <c r="A7" s="5"/>
      <c r="B7" s="10"/>
      <c r="C7" s="10"/>
      <c r="D7" s="10"/>
      <c r="E7" s="10"/>
      <c r="F7" s="10"/>
      <c r="G7" s="10"/>
      <c r="H7" s="10"/>
      <c r="I7" s="3"/>
    </row>
    <row r="8" spans="1:9" ht="18.75" customHeight="1" x14ac:dyDescent="0.15">
      <c r="A8" s="5"/>
      <c r="B8" s="3"/>
      <c r="C8" s="3"/>
      <c r="D8" s="30" t="s">
        <v>42</v>
      </c>
      <c r="E8" s="31" t="s">
        <v>144</v>
      </c>
      <c r="F8" s="3"/>
      <c r="G8" s="30" t="s">
        <v>10</v>
      </c>
      <c r="H8" s="31" t="s">
        <v>146</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103" t="s">
        <v>24</v>
      </c>
      <c r="C11" s="104"/>
      <c r="D11" s="105"/>
      <c r="E11" s="104" t="s">
        <v>26</v>
      </c>
      <c r="F11" s="104"/>
      <c r="G11" s="104"/>
      <c r="H11" s="104"/>
      <c r="I11" s="105"/>
    </row>
    <row r="12" spans="1:9" ht="26.25" customHeight="1" x14ac:dyDescent="0.15">
      <c r="B12" s="40" t="s">
        <v>14</v>
      </c>
      <c r="C12" s="47"/>
      <c r="D12" s="41"/>
      <c r="E12" s="48"/>
      <c r="F12" s="48"/>
      <c r="G12" s="48"/>
      <c r="H12" s="48"/>
      <c r="I12" s="41"/>
    </row>
    <row r="13" spans="1:9" ht="67.5" customHeight="1" x14ac:dyDescent="0.15">
      <c r="B13" s="42"/>
      <c r="C13" s="237" t="s">
        <v>15</v>
      </c>
      <c r="D13" s="238"/>
      <c r="E13" s="250" t="s">
        <v>158</v>
      </c>
      <c r="F13" s="239"/>
      <c r="G13" s="239"/>
      <c r="H13" s="239"/>
      <c r="I13" s="240"/>
    </row>
    <row r="14" spans="1:9" ht="96" customHeight="1" x14ac:dyDescent="0.15">
      <c r="B14" s="42"/>
      <c r="C14" s="252" t="s">
        <v>16</v>
      </c>
      <c r="D14" s="253"/>
      <c r="E14" s="250" t="s">
        <v>159</v>
      </c>
      <c r="F14" s="239"/>
      <c r="G14" s="239"/>
      <c r="H14" s="239"/>
      <c r="I14" s="240"/>
    </row>
    <row r="15" spans="1:9" ht="138.75" customHeight="1" x14ac:dyDescent="0.15">
      <c r="B15" s="42"/>
      <c r="C15" s="237" t="s">
        <v>17</v>
      </c>
      <c r="D15" s="238"/>
      <c r="E15" s="250" t="s">
        <v>163</v>
      </c>
      <c r="F15" s="239"/>
      <c r="G15" s="239"/>
      <c r="H15" s="239"/>
      <c r="I15" s="240"/>
    </row>
    <row r="16" spans="1:9" ht="87.75" customHeight="1" x14ac:dyDescent="0.15">
      <c r="B16" s="42"/>
      <c r="C16" s="237" t="s">
        <v>18</v>
      </c>
      <c r="D16" s="238"/>
      <c r="E16" s="250" t="s">
        <v>161</v>
      </c>
      <c r="F16" s="239"/>
      <c r="G16" s="239"/>
      <c r="H16" s="239"/>
      <c r="I16" s="240"/>
    </row>
    <row r="17" spans="2:9" ht="210.75" customHeight="1" x14ac:dyDescent="0.15">
      <c r="B17" s="43"/>
      <c r="C17" s="241" t="s">
        <v>19</v>
      </c>
      <c r="D17" s="242"/>
      <c r="E17" s="251" t="s">
        <v>166</v>
      </c>
      <c r="F17" s="243"/>
      <c r="G17" s="243"/>
      <c r="H17" s="243"/>
      <c r="I17" s="244"/>
    </row>
    <row r="18" spans="2:9" ht="24" customHeight="1" x14ac:dyDescent="0.15">
      <c r="B18" s="40" t="s">
        <v>20</v>
      </c>
      <c r="C18" s="44"/>
      <c r="D18" s="45"/>
      <c r="E18" s="46"/>
      <c r="F18" s="46"/>
      <c r="G18" s="46"/>
      <c r="H18" s="46"/>
      <c r="I18" s="49"/>
    </row>
    <row r="19" spans="2:9" ht="93.75" customHeight="1" x14ac:dyDescent="0.15">
      <c r="B19" s="42"/>
      <c r="C19" s="237" t="s">
        <v>21</v>
      </c>
      <c r="D19" s="238"/>
      <c r="E19" s="239" t="s">
        <v>169</v>
      </c>
      <c r="F19" s="239"/>
      <c r="G19" s="239"/>
      <c r="H19" s="239"/>
      <c r="I19" s="240"/>
    </row>
    <row r="20" spans="2:9" ht="103.5" customHeight="1" x14ac:dyDescent="0.15">
      <c r="B20" s="43"/>
      <c r="C20" s="241" t="s">
        <v>22</v>
      </c>
      <c r="D20" s="242"/>
      <c r="E20" s="243" t="s">
        <v>167</v>
      </c>
      <c r="F20" s="243"/>
      <c r="G20" s="243"/>
      <c r="H20" s="243"/>
      <c r="I20" s="244"/>
    </row>
    <row r="21" spans="2:9" ht="157.5" customHeight="1" x14ac:dyDescent="0.15">
      <c r="B21" s="245" t="s">
        <v>23</v>
      </c>
      <c r="C21" s="246"/>
      <c r="D21" s="247"/>
      <c r="E21" s="248" t="s">
        <v>165</v>
      </c>
      <c r="F21" s="248"/>
      <c r="G21" s="248"/>
      <c r="H21" s="248"/>
      <c r="I21" s="249"/>
    </row>
    <row r="22" spans="2:9" ht="218.25" customHeight="1" x14ac:dyDescent="0.15">
      <c r="B22" s="232" t="s">
        <v>130</v>
      </c>
      <c r="C22" s="233"/>
      <c r="D22" s="234"/>
      <c r="E22" s="235" t="s">
        <v>147</v>
      </c>
      <c r="F22" s="235"/>
      <c r="G22" s="235"/>
      <c r="H22" s="235"/>
      <c r="I22" s="236"/>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1"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教務課 本田 靖幸</cp:lastModifiedBy>
  <cp:lastPrinted>2024-04-23T02:32:51Z</cp:lastPrinted>
  <dcterms:created xsi:type="dcterms:W3CDTF">2011-06-14T05:32:50Z</dcterms:created>
  <dcterms:modified xsi:type="dcterms:W3CDTF">2024-05-01T08:23:01Z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