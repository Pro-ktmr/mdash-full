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E:\R4 教務部\R6 総務部\R6 データサイエンス\R6 申請書類\R6 リテラシーレベル申請書類\R6 大学リテラシーレベル申請書作成\再提出6.15\01_徳島文理大学_リテラシー\"/>
    </mc:Choice>
  </mc:AlternateContent>
  <xr:revisionPtr revIDLastSave="0" documentId="13_ncr:1_{3024625D-D2E6-4CDA-8FD2-0D4E5F325DAC}" xr6:coauthVersionLast="47" xr6:coauthVersionMax="47" xr10:uidLastSave="{00000000-0000-0000-0000-000000000000}"/>
  <bookViews>
    <workbookView xWindow="-120" yWindow="-120" windowWidth="20730" windowHeight="11160" tabRatio="885" xr2:uid="{00000000-000D-0000-FFFF-FFFF00000000}"/>
  </bookViews>
  <sheets>
    <sheet name="様式１-１　プログラムを構成する授業科目" sheetId="39" r:id="rId1"/>
    <sheet name="様式１-２　プログラムを構成する授業科目" sheetId="47" r:id="rId2"/>
    <sheet name="様式１-3　プログラムを構成する授業科目" sheetId="48"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'様式１-3　プログラムを構成する授業科目'!$X$16:$X$18</definedName>
    <definedName name="_xlnm._FilterDatabase" localSheetId="3"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'様式１-3　プログラムを構成する授業科目'!$A$1:$U$112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<sst xmlns="http://schemas.openxmlformats.org/spreadsheetml/2006/main" count="575" uniqueCount="212">
  <si>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</si>
  <si>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</si>
  <si>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</si>
  <si>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</si>
  <si>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</si>
  <si>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</si>
  <si>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</si>
  <si>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</si>
  <si>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</si>
  <si>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</si>
  <si>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</si>
  <si>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</si>
  <si>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</si>
  <si>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</si>
  <si>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</si>
  <si>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</si>
  <si>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</si>
  <si>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</si>
  <si>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</si>
  <si>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</si>
  <si>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</si>
  <si>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</si>
  <si>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</si>
  <si>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</si>
  <si>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</si>
  <si>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</si>
  <si>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</si>
  <si>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</si>
  <si>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</si>
  <si>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</si>
  <si>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</si>
  <si>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</si>
  <si>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</si>
  <si>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</si>
  <si>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</si>
  <si>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</si>
  <si>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</si>
  <si>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</si>
  <si>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</si>
  <si>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</si>
  <si>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</si>
  <si>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</si>
  <si>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</si>
  <si>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</si>
  <si>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</si>
  <si>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</si>
  <si>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</si>
  <si>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</si>
  <si>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</si>
  <si>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</si>
  <si>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</si>
  <si>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</si>
  <si>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</si>
  <si>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</si>
  <si>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</si>
  <si>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</si>
  <si>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</si>
  <si>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</si>
  <si>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</si>
  <si>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</si>
  <si>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</si>
  <si>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</si>
  <si>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</si>
  <si>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</si>
  <si>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</si>
  <si>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</si>
  <si>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</si>
  <si>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</si>
  <si>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</si>
  <si>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</si>
  <si>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</si>
  <si>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</si>
  <si>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</si>
  <si>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</si>
  <si>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</si>
  <si>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</si>
  <si>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</si>
  <si>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</si>
  <si>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</si>
  <si>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</si>
  <si>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</si>
  <si>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</si>
  <si>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</si>
  <si>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</si>
  <si>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</si>
  <si>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</si>
  <si>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</si>
  <si>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</si>
  <si>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</si>
  <si>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</si>
  <si>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</si>
  <si>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</si>
  <si>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</si>
  <si>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</si>
  <si>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</si>
  <si>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</si>
  <si>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</si>
  <si>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</si>
  <si>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</si>
  <si>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</si>
  <si>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</si>
  <si>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</si>
  <si>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</si>
  <si>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</si>
  <si>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</si>
  <si>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</si>
  <si>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</si>
  <si>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</si>
  <si>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</si>
  <si>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</si>
  <si>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</si>
  <si>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</si>
  <si>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</si>
  <si>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</si>
  <si>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</si>
  <si>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</si>
  <si>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</si>
  <si>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</si>
  <si>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</si>
  <si>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</si>
  <si>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</si>
  <si>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</si>
  <si>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</si>
  <si>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</si>
  <si>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</si>
  <si>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</si>
  <si>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</si>
  <si>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</si>
  <si>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</si>
  <si>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</si>
  <si>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</si>
  <si>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</si>
  <si>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</si>
  <si>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</si>
  <si>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</si>
  <si>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</si>
  <si>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徳島文理大学</t>
    <rPh sb="0" eb="2">
      <t>トクシマ</t>
    </rPh>
    <rPh sb="2" eb="4">
      <t>ブンリ</t>
    </rPh>
    <rPh sb="4" eb="6">
      <t>ダイガク</t>
    </rPh>
    <phoneticPr fontId="1"/>
  </si>
  <si>
    <t>○</t>
  </si>
  <si>
    <t>情報処理</t>
    <rPh sb="0" eb="2">
      <t>ジョウホウ</t>
    </rPh>
    <rPh sb="2" eb="4">
      <t>ショリ</t>
    </rPh>
    <phoneticPr fontId="1"/>
  </si>
  <si>
    <t>基礎薬学情報処理</t>
    <phoneticPr fontId="1"/>
  </si>
  <si>
    <t>情報処理・統計学</t>
    <phoneticPr fontId="1"/>
  </si>
  <si>
    <t>人間生活学部、音楽学部、総合政策学部、保健福祉学部（看護学科以外）、文学部、理工学部</t>
    <rPh sb="0" eb="2">
      <t>ニンゲン</t>
    </rPh>
    <rPh sb="2" eb="4">
      <t>セイカツ</t>
    </rPh>
    <rPh sb="4" eb="6">
      <t>ガクブ</t>
    </rPh>
    <rPh sb="7" eb="9">
      <t>オンガク</t>
    </rPh>
    <rPh sb="9" eb="11">
      <t>ガクブ</t>
    </rPh>
    <rPh sb="12" eb="14">
      <t>ソウゴウ</t>
    </rPh>
    <rPh sb="14" eb="16">
      <t>セイサク</t>
    </rPh>
    <rPh sb="16" eb="18">
      <t>ガクブ</t>
    </rPh>
    <rPh sb="19" eb="21">
      <t>ホケン</t>
    </rPh>
    <rPh sb="21" eb="23">
      <t>フクシ</t>
    </rPh>
    <rPh sb="23" eb="25">
      <t>ガクブ</t>
    </rPh>
    <rPh sb="26" eb="28">
      <t>カンゴ</t>
    </rPh>
    <rPh sb="28" eb="30">
      <t>ガッカ</t>
    </rPh>
    <rPh sb="30" eb="32">
      <t>イガイ</t>
    </rPh>
    <rPh sb="34" eb="37">
      <t>ブンガクブ</t>
    </rPh>
    <rPh sb="38" eb="40">
      <t>リコウ</t>
    </rPh>
    <rPh sb="40" eb="42">
      <t>ガクブ</t>
    </rPh>
    <phoneticPr fontId="1"/>
  </si>
  <si>
    <t>梶山　博司</t>
    <rPh sb="0" eb="2">
      <t>カジヤマ</t>
    </rPh>
    <rPh sb="3" eb="5">
      <t>ヒロシ</t>
    </rPh>
    <phoneticPr fontId="1"/>
  </si>
  <si>
    <t>副学長・理工学部長・教授</t>
    <rPh sb="0" eb="3">
      <t>フクガクチョウ</t>
    </rPh>
    <rPh sb="4" eb="6">
      <t>リコウ</t>
    </rPh>
    <rPh sb="6" eb="9">
      <t>ガクブチョウ</t>
    </rPh>
    <rPh sb="10" eb="12">
      <t>キョウジュ</t>
    </rPh>
    <phoneticPr fontId="1"/>
  </si>
  <si>
    <t>委員長</t>
    <rPh sb="0" eb="3">
      <t>イインチョウ</t>
    </rPh>
    <phoneticPr fontId="1"/>
  </si>
  <si>
    <t>徳島文理大学数理・データサイエンス・AI教育推進委員会</t>
    <rPh sb="0" eb="2">
      <t>トクシマ</t>
    </rPh>
    <rPh sb="2" eb="4">
      <t>ブンリ</t>
    </rPh>
    <rPh sb="4" eb="6">
      <t>ダイガク</t>
    </rPh>
    <rPh sb="6" eb="8">
      <t>スウリ</t>
    </rPh>
    <rPh sb="20" eb="22">
      <t>キョウイク</t>
    </rPh>
    <rPh sb="22" eb="24">
      <t>スイシン</t>
    </rPh>
    <rPh sb="24" eb="27">
      <t>イインカイ</t>
    </rPh>
    <phoneticPr fontId="1"/>
  </si>
  <si>
    <t>令和５</t>
    <rPh sb="0" eb="2">
      <t>レイワ</t>
    </rPh>
    <phoneticPr fontId="1"/>
  </si>
  <si>
    <t>人間生活学部</t>
    <rPh sb="0" eb="2">
      <t>ニンゲン</t>
    </rPh>
    <rPh sb="2" eb="4">
      <t>セイカツ</t>
    </rPh>
    <rPh sb="4" eb="6">
      <t>ガクブ</t>
    </rPh>
    <phoneticPr fontId="1"/>
  </si>
  <si>
    <t>音楽学部</t>
    <rPh sb="0" eb="2">
      <t>オンガク</t>
    </rPh>
    <rPh sb="2" eb="4">
      <t>ガクブ</t>
    </rPh>
    <phoneticPr fontId="1"/>
  </si>
  <si>
    <t>薬学部</t>
    <rPh sb="0" eb="3">
      <t>ヤクガクブ</t>
    </rPh>
    <phoneticPr fontId="1"/>
  </si>
  <si>
    <t>総合政策学部</t>
    <rPh sb="0" eb="2">
      <t>ソウゴウ</t>
    </rPh>
    <rPh sb="2" eb="4">
      <t>セイサク</t>
    </rPh>
    <rPh sb="4" eb="6">
      <t>ガクブ</t>
    </rPh>
    <phoneticPr fontId="1"/>
  </si>
  <si>
    <t>保健福祉学部</t>
    <rPh sb="0" eb="2">
      <t>ホケン</t>
    </rPh>
    <rPh sb="2" eb="4">
      <t>フクシ</t>
    </rPh>
    <rPh sb="4" eb="6">
      <t>ガクブ</t>
    </rPh>
    <phoneticPr fontId="1"/>
  </si>
  <si>
    <t>文学部</t>
    <rPh sb="0" eb="3">
      <t>ブンガクブ</t>
    </rPh>
    <phoneticPr fontId="1"/>
  </si>
  <si>
    <t>理工学部</t>
    <rPh sb="0" eb="2">
      <t>リコウ</t>
    </rPh>
    <rPh sb="2" eb="4">
      <t>ガクブ</t>
    </rPh>
    <phoneticPr fontId="1"/>
  </si>
  <si>
    <t>香川薬学部</t>
    <rPh sb="0" eb="2">
      <t>カガワ</t>
    </rPh>
    <rPh sb="2" eb="5">
      <t>ヤクガクブ</t>
    </rPh>
    <phoneticPr fontId="1"/>
  </si>
  <si>
    <t>薬学部、香川薬学部</t>
    <rPh sb="0" eb="3">
      <t>ヤクガクブ</t>
    </rPh>
    <rPh sb="4" eb="6">
      <t>カガワ</t>
    </rPh>
    <rPh sb="6" eb="9">
      <t>ヤクガクブ</t>
    </rPh>
    <phoneticPr fontId="1"/>
  </si>
  <si>
    <t>保健福祉学部看護学科</t>
    <rPh sb="0" eb="2">
      <t>ホケン</t>
    </rPh>
    <rPh sb="2" eb="4">
      <t>フクシ</t>
    </rPh>
    <rPh sb="4" eb="6">
      <t>ガクブ</t>
    </rPh>
    <rPh sb="6" eb="8">
      <t>カンゴ</t>
    </rPh>
    <rPh sb="8" eb="10">
      <t>ガッカ</t>
    </rPh>
    <phoneticPr fontId="1"/>
  </si>
  <si>
    <t>・今後のデジタル社会において、数理・データサイエンス・AIを日常の生活、仕事等の場で使いこなすことができる基礎的素養を主体的に身に付けること。
・学修した数理・データサイエンス・AIに関する知識・技能をもとに、これらを扱う際には、人間中心の適切な判断ができ、不安なく自らの意志でAI等の恩恵を享受し、これらを説明し、活用できるようになること。</t>
    <phoneticPr fontId="1"/>
  </si>
  <si>
    <t>様式１－１</t>
    <rPh sb="0" eb="2">
      <t>ヨウシキ</t>
    </rPh>
    <phoneticPr fontId="1"/>
  </si>
  <si>
    <t>本学では、就職支援部が地元企業等と本学の教育内容や学修成果に関すする意見交換会を実施しており、今後は本プログラム修了者の学修成果についても、学生の採用者側としての意見や提言を聴取し、プログラムの改善・充実に繋げていきたい。また、自己点検評価・評価活動の客観性、公平性を担保し、教育の内部質保障を図ることを目的として、経済産業界関係者、県教委、県高等学校長協会進学指導部会長等外部の評価委員に本学の自己点検・評価報告書の点検・評価を依頼し、各評価基準項目についての意見を聴取しているが、令和６年度の自己点検・評価報告書には特記事項として、本学の「数理・データサイエンス・AI教育プログラム」を取り上げており、本プログラムについての外部評価委員からの意見も聴取し、プログラムの改善・充実に繋げたい。</t>
    <rPh sb="0" eb="2">
      <t>ホンガク</t>
    </rPh>
    <rPh sb="5" eb="7">
      <t>シュウショク</t>
    </rPh>
    <rPh sb="7" eb="10">
      <t>シエンブ</t>
    </rPh>
    <rPh sb="25" eb="27">
      <t>ガクシュウ</t>
    </rPh>
    <rPh sb="27" eb="29">
      <t>セイカ</t>
    </rPh>
    <rPh sb="30" eb="31">
      <t>カン</t>
    </rPh>
    <rPh sb="34" eb="36">
      <t>イケン</t>
    </rPh>
    <rPh sb="36" eb="39">
      <t>コウカンカイ</t>
    </rPh>
    <rPh sb="40" eb="42">
      <t>ジッシ</t>
    </rPh>
    <rPh sb="47" eb="49">
      <t>コンゴ</t>
    </rPh>
    <rPh sb="50" eb="51">
      <t>ホン</t>
    </rPh>
    <rPh sb="56" eb="59">
      <t>シュウリョウシャ</t>
    </rPh>
    <rPh sb="60" eb="62">
      <t>ガクシュウ</t>
    </rPh>
    <rPh sb="62" eb="64">
      <t>セイカ</t>
    </rPh>
    <rPh sb="70" eb="72">
      <t>ガクセイ</t>
    </rPh>
    <rPh sb="73" eb="76">
      <t>サイヨウシャ</t>
    </rPh>
    <rPh sb="76" eb="77">
      <t>ガワ</t>
    </rPh>
    <rPh sb="81" eb="83">
      <t>イケン</t>
    </rPh>
    <rPh sb="84" eb="86">
      <t>テイゲン</t>
    </rPh>
    <rPh sb="87" eb="89">
      <t>チョウシュ</t>
    </rPh>
    <rPh sb="97" eb="99">
      <t>カイゼン</t>
    </rPh>
    <rPh sb="100" eb="102">
      <t>ジュウジツ</t>
    </rPh>
    <rPh sb="103" eb="104">
      <t>ツナ</t>
    </rPh>
    <rPh sb="114" eb="116">
      <t>ジコ</t>
    </rPh>
    <rPh sb="116" eb="120">
      <t>テンケンヒョウカ</t>
    </rPh>
    <rPh sb="121" eb="123">
      <t>ヒョウカ</t>
    </rPh>
    <rPh sb="123" eb="125">
      <t>カツドウ</t>
    </rPh>
    <rPh sb="126" eb="129">
      <t>キャッカンセイ</t>
    </rPh>
    <rPh sb="130" eb="133">
      <t>コウヘイセイ</t>
    </rPh>
    <rPh sb="134" eb="136">
      <t>タンポ</t>
    </rPh>
    <rPh sb="138" eb="140">
      <t>キョウイク</t>
    </rPh>
    <rPh sb="141" eb="143">
      <t>ナイブ</t>
    </rPh>
    <rPh sb="143" eb="144">
      <t>シツ</t>
    </rPh>
    <rPh sb="144" eb="146">
      <t>ホショウ</t>
    </rPh>
    <rPh sb="147" eb="148">
      <t>ハカ</t>
    </rPh>
    <rPh sb="152" eb="154">
      <t>モクテキ</t>
    </rPh>
    <rPh sb="158" eb="160">
      <t>ケイザイ</t>
    </rPh>
    <rPh sb="160" eb="163">
      <t>サンギョウカイ</t>
    </rPh>
    <rPh sb="163" eb="166">
      <t>カンケイシャ</t>
    </rPh>
    <rPh sb="167" eb="168">
      <t>ケン</t>
    </rPh>
    <rPh sb="168" eb="170">
      <t>キョウイ</t>
    </rPh>
    <rPh sb="171" eb="172">
      <t>ケン</t>
    </rPh>
    <rPh sb="172" eb="174">
      <t>コウトウ</t>
    </rPh>
    <rPh sb="174" eb="176">
      <t>ガッコウ</t>
    </rPh>
    <rPh sb="176" eb="177">
      <t>チョウ</t>
    </rPh>
    <rPh sb="177" eb="179">
      <t>キョウカイ</t>
    </rPh>
    <rPh sb="179" eb="181">
      <t>シンガク</t>
    </rPh>
    <rPh sb="181" eb="183">
      <t>シドウ</t>
    </rPh>
    <rPh sb="183" eb="186">
      <t>ブカイチョウ</t>
    </rPh>
    <rPh sb="186" eb="187">
      <t>トウ</t>
    </rPh>
    <rPh sb="187" eb="189">
      <t>ガイブ</t>
    </rPh>
    <rPh sb="190" eb="192">
      <t>ヒョウカ</t>
    </rPh>
    <rPh sb="192" eb="194">
      <t>イイン</t>
    </rPh>
    <rPh sb="195" eb="197">
      <t>ホンガク</t>
    </rPh>
    <rPh sb="198" eb="200">
      <t>ジコ</t>
    </rPh>
    <rPh sb="205" eb="208">
      <t>ホウコクショ</t>
    </rPh>
    <rPh sb="209" eb="211">
      <t>テンケン</t>
    </rPh>
    <rPh sb="212" eb="214">
      <t>ヒョウカ</t>
    </rPh>
    <rPh sb="215" eb="217">
      <t>イライ</t>
    </rPh>
    <rPh sb="219" eb="220">
      <t>カク</t>
    </rPh>
    <rPh sb="220" eb="222">
      <t>ヒョウカ</t>
    </rPh>
    <rPh sb="222" eb="224">
      <t>キジュン</t>
    </rPh>
    <rPh sb="224" eb="226">
      <t>コウモク</t>
    </rPh>
    <rPh sb="231" eb="233">
      <t>イケン</t>
    </rPh>
    <rPh sb="234" eb="236">
      <t>チョウシュ</t>
    </rPh>
    <rPh sb="242" eb="244">
      <t>レイワ</t>
    </rPh>
    <rPh sb="245" eb="247">
      <t>ネンド</t>
    </rPh>
    <rPh sb="248" eb="250">
      <t>ジコ</t>
    </rPh>
    <rPh sb="255" eb="258">
      <t>ホウコクショ</t>
    </rPh>
    <rPh sb="260" eb="262">
      <t>トッキ</t>
    </rPh>
    <rPh sb="262" eb="264">
      <t>ジコウ</t>
    </rPh>
    <rPh sb="268" eb="270">
      <t>ホンガク</t>
    </rPh>
    <rPh sb="272" eb="274">
      <t>スウリ</t>
    </rPh>
    <rPh sb="286" eb="288">
      <t>キョウイク</t>
    </rPh>
    <rPh sb="295" eb="296">
      <t>ト</t>
    </rPh>
    <rPh sb="297" eb="298">
      <t>ア</t>
    </rPh>
    <rPh sb="303" eb="304">
      <t>ホン</t>
    </rPh>
    <rPh sb="314" eb="316">
      <t>ガイブ</t>
    </rPh>
    <rPh sb="316" eb="318">
      <t>ヒョウカ</t>
    </rPh>
    <rPh sb="318" eb="320">
      <t>イイン</t>
    </rPh>
    <rPh sb="323" eb="325">
      <t>イケン</t>
    </rPh>
    <rPh sb="326" eb="328">
      <t>チョウシュ</t>
    </rPh>
    <phoneticPr fontId="1"/>
  </si>
  <si>
    <t xml:space="preserve">令和４年度中に令和５年度の４月当初から実施期間としてのプログラムが実施できるよう、プログラムを策定し、令和６年度の認定制度への申請を目標に計画を進める旨を定例部局長会、定例合同教授会にかけ、学内に共通理解を図るとともに、できるだけ全員の履修を呼びかける旨、各学部・学科の教員に依頼した。また、本学では担任・チューター制度を導入しており、入学後、個別面談を実施するなど、細やかなサポート体制をとっている。学生部学生支援課では事務職員が各学科の学生生活支援を担当しており、履修指導、生活指導等を行っている。教務課、教育研究支援課の担当者は単位修得、各種資格取得状況などを管理し、様々な学生相談にも応じる体制をとっている。
</t>
    <rPh sb="0" eb="2">
      <t>レイワ</t>
    </rPh>
    <rPh sb="3" eb="5">
      <t>ネンド</t>
    </rPh>
    <rPh sb="5" eb="6">
      <t>チュウ</t>
    </rPh>
    <rPh sb="7" eb="9">
      <t>レイワ</t>
    </rPh>
    <rPh sb="10" eb="12">
      <t>ネンド</t>
    </rPh>
    <rPh sb="14" eb="15">
      <t>ガツ</t>
    </rPh>
    <rPh sb="15" eb="17">
      <t>トウショ</t>
    </rPh>
    <rPh sb="19" eb="21">
      <t>ジッシ</t>
    </rPh>
    <rPh sb="21" eb="23">
      <t>キカン</t>
    </rPh>
    <rPh sb="33" eb="35">
      <t>ジッシ</t>
    </rPh>
    <rPh sb="47" eb="49">
      <t>サクテイ</t>
    </rPh>
    <rPh sb="51" eb="53">
      <t>レイワ</t>
    </rPh>
    <rPh sb="54" eb="56">
      <t>ネンド</t>
    </rPh>
    <rPh sb="57" eb="59">
      <t>ニンテイ</t>
    </rPh>
    <rPh sb="59" eb="61">
      <t>セイド</t>
    </rPh>
    <rPh sb="63" eb="65">
      <t>シンセイ</t>
    </rPh>
    <rPh sb="66" eb="68">
      <t>モクヒョウ</t>
    </rPh>
    <rPh sb="69" eb="71">
      <t>ケイカク</t>
    </rPh>
    <rPh sb="72" eb="73">
      <t>スス</t>
    </rPh>
    <rPh sb="75" eb="76">
      <t>ムネ</t>
    </rPh>
    <rPh sb="77" eb="79">
      <t>テイレイ</t>
    </rPh>
    <rPh sb="79" eb="82">
      <t>ブキョクチョウ</t>
    </rPh>
    <rPh sb="82" eb="83">
      <t>カイ</t>
    </rPh>
    <rPh sb="84" eb="86">
      <t>テイレイ</t>
    </rPh>
    <rPh sb="86" eb="88">
      <t>ゴウドウ</t>
    </rPh>
    <rPh sb="88" eb="91">
      <t>キョウジュカイ</t>
    </rPh>
    <rPh sb="95" eb="97">
      <t>ガクナイ</t>
    </rPh>
    <rPh sb="98" eb="100">
      <t>キョウツウ</t>
    </rPh>
    <rPh sb="100" eb="102">
      <t>リカイ</t>
    </rPh>
    <rPh sb="103" eb="104">
      <t>ハカ</t>
    </rPh>
    <rPh sb="115" eb="117">
      <t>ゼンイン</t>
    </rPh>
    <rPh sb="118" eb="120">
      <t>リシュウ</t>
    </rPh>
    <rPh sb="121" eb="122">
      <t>ヨ</t>
    </rPh>
    <rPh sb="126" eb="127">
      <t>ムネ</t>
    </rPh>
    <rPh sb="135" eb="137">
      <t>キョウイン</t>
    </rPh>
    <rPh sb="138" eb="140">
      <t>イライ</t>
    </rPh>
    <rPh sb="146" eb="148">
      <t>ホンガク</t>
    </rPh>
    <rPh sb="150" eb="152">
      <t>タンニン</t>
    </rPh>
    <rPh sb="158" eb="160">
      <t>セイド</t>
    </rPh>
    <rPh sb="161" eb="163">
      <t>ドウニュウ</t>
    </rPh>
    <rPh sb="168" eb="171">
      <t>ニュウガクゴ</t>
    </rPh>
    <rPh sb="172" eb="174">
      <t>コベツ</t>
    </rPh>
    <rPh sb="174" eb="176">
      <t>メンダン</t>
    </rPh>
    <rPh sb="177" eb="179">
      <t>ジッシ</t>
    </rPh>
    <rPh sb="184" eb="185">
      <t>コマ</t>
    </rPh>
    <rPh sb="192" eb="194">
      <t>タイセイ</t>
    </rPh>
    <rPh sb="201" eb="204">
      <t>ガクセイブ</t>
    </rPh>
    <rPh sb="204" eb="206">
      <t>ガクセイ</t>
    </rPh>
    <rPh sb="206" eb="209">
      <t>シエンカ</t>
    </rPh>
    <rPh sb="211" eb="213">
      <t>ジム</t>
    </rPh>
    <rPh sb="213" eb="215">
      <t>ショクイン</t>
    </rPh>
    <rPh sb="216" eb="219">
      <t>カクガッカ</t>
    </rPh>
    <rPh sb="220" eb="222">
      <t>ガクセイ</t>
    </rPh>
    <rPh sb="222" eb="224">
      <t>セイカツ</t>
    </rPh>
    <rPh sb="224" eb="226">
      <t>シエン</t>
    </rPh>
    <rPh sb="227" eb="229">
      <t>タントウ</t>
    </rPh>
    <rPh sb="234" eb="236">
      <t>リシュウ</t>
    </rPh>
    <rPh sb="236" eb="238">
      <t>シドウ</t>
    </rPh>
    <rPh sb="239" eb="241">
      <t>セイカツ</t>
    </rPh>
    <rPh sb="241" eb="243">
      <t>シドウ</t>
    </rPh>
    <rPh sb="243" eb="244">
      <t>トウ</t>
    </rPh>
    <rPh sb="245" eb="246">
      <t>オコナ</t>
    </rPh>
    <rPh sb="251" eb="254">
      <t>キョウムカ</t>
    </rPh>
    <rPh sb="255" eb="257">
      <t>キョウイク</t>
    </rPh>
    <rPh sb="257" eb="259">
      <t>ケンキュウ</t>
    </rPh>
    <rPh sb="259" eb="262">
      <t>シエンカ</t>
    </rPh>
    <rPh sb="263" eb="266">
      <t>タントウシャ</t>
    </rPh>
    <rPh sb="267" eb="269">
      <t>タンイ</t>
    </rPh>
    <rPh sb="269" eb="271">
      <t>シュウトク</t>
    </rPh>
    <rPh sb="272" eb="274">
      <t>カクシュ</t>
    </rPh>
    <rPh sb="274" eb="276">
      <t>シカク</t>
    </rPh>
    <rPh sb="276" eb="278">
      <t>シュトク</t>
    </rPh>
    <rPh sb="278" eb="280">
      <t>ジョウキョウ</t>
    </rPh>
    <rPh sb="283" eb="285">
      <t>カンリ</t>
    </rPh>
    <rPh sb="287" eb="289">
      <t>サマザマ</t>
    </rPh>
    <rPh sb="290" eb="292">
      <t>ガクセイ</t>
    </rPh>
    <rPh sb="292" eb="294">
      <t>ソウダン</t>
    </rPh>
    <rPh sb="296" eb="297">
      <t>オウ</t>
    </rPh>
    <rPh sb="299" eb="301">
      <t>タイセイ</t>
    </rPh>
    <phoneticPr fontId="1"/>
  </si>
  <si>
    <t>教員は学内システム（教職員グループウェアー・学生ポータルシステム）やGoogleClassroomにより学生の出欠状況の確認、レポートや課題の配信、提出状況を把握できるようになっており、学修状況を随時把握できるようにしている。また、プログラムの履修・取得状況及び成績評価等のデータは教務部教務課において学務システムよりダウンロードし、「数理・データサイエンス・ＡＩ教育推進委員会」に送られ、委員会で各学科ごとのプログラムの履修・取得及び成績評価等の状況を分析・検証している。令和５年は対象科目の履修者数が837名、修了者数が780名、履修者数を収用定員で割った履修率は14％であった。今後は本プログラムの改善・充実を図り、本プログラムの履修について、新入生オリエンテーション等での履修指導をさらに強化し、履修者、修了者の増加に繋げていく。</t>
    <rPh sb="22" eb="24">
      <t>ガクセイ</t>
    </rPh>
    <phoneticPr fontId="1"/>
  </si>
  <si>
    <t>本プログラムを履修することで、次のような能力（学修成果）を身につけることを目的として実施している。
・今後のデジタル社会において、数理・データサイエンス・AIを日常の生活、仕事等の場で使いこなすことができる基礎的素養を主体的に身に付けること。
・学修した数理・データサイエンス・AIに関する知識・技能をもとに、これらを扱う際には、人間中心の適切な判断ができ、不安なく自らの意志でAI等の恩恵を享受し、これらを説明し、活用できるようになること。
このため、ＦＤ研究部会により全学的に実施している「全学授業アンケート」の結果等をもとに「数理・データサイエンス・ＡＩ教育推進委員会」において、これらの学修成果を総合的に分析することによって、本プログラムを検証・評価し、プログラムの改善充実に繋げている。</t>
    <rPh sb="20" eb="22">
      <t>ノウリョク</t>
    </rPh>
    <rPh sb="23" eb="25">
      <t>ガクシュウ</t>
    </rPh>
    <rPh sb="25" eb="27">
      <t>セイカ</t>
    </rPh>
    <rPh sb="29" eb="30">
      <t>ミ</t>
    </rPh>
    <rPh sb="37" eb="39">
      <t>モクテキ</t>
    </rPh>
    <rPh sb="42" eb="44">
      <t>ジッシ</t>
    </rPh>
    <rPh sb="268" eb="270">
      <t>ケンキュウ</t>
    </rPh>
    <rPh sb="270" eb="272">
      <t>ブカイ</t>
    </rPh>
    <rPh sb="275" eb="277">
      <t>ゼンガク</t>
    </rPh>
    <rPh sb="299" eb="300">
      <t>トウ</t>
    </rPh>
    <rPh sb="336" eb="338">
      <t>ガクシュウ</t>
    </rPh>
    <rPh sb="338" eb="340">
      <t>セイカホンケンショウヒョウカカイゼンジュウジツツナ</t>
    </rPh>
    <phoneticPr fontId="1"/>
  </si>
  <si>
    <t>本学においては、全ての科目、全ての学生を対象にＦＤ研究部会が「全学授業アンケート」を前・後期ごとに実施しており、本プログラムの構成科目についても、受講者全員に授業アンケートを実施し、学生の理解度等を分析している。アンケート項目のうち、「わかりやすさ」について、プログラムの構成科目の「文理学」では、「わかりやすい内容であった」「どちらかというとわかりやすい内容であった」をあわせて、85.1％、もう一つの構成科目の「情報系科目」では、「わかりやすい内容であった」「どちらかというとわかりやすい内容であった」をあわせて、88.1％となっており、本学の教育プログラムについて、学生の内容の理解度はかなり高いということができる。今後も本教育プログラムの改善充実に努め、理解度をさらに一層向上させていきたいと考えている。</t>
    <rPh sb="0" eb="2">
      <t>ホンガク</t>
    </rPh>
    <rPh sb="8" eb="9">
      <t>スベ</t>
    </rPh>
    <rPh sb="11" eb="13">
      <t>カモク</t>
    </rPh>
    <rPh sb="14" eb="15">
      <t>スベ</t>
    </rPh>
    <rPh sb="17" eb="19">
      <t>ガクセイ</t>
    </rPh>
    <rPh sb="20" eb="22">
      <t>タイショウ</t>
    </rPh>
    <rPh sb="25" eb="27">
      <t>ケンキュウ</t>
    </rPh>
    <rPh sb="27" eb="29">
      <t>ブカイ</t>
    </rPh>
    <rPh sb="31" eb="33">
      <t>ゼンガク</t>
    </rPh>
    <rPh sb="33" eb="35">
      <t>ジュギョウ</t>
    </rPh>
    <rPh sb="42" eb="43">
      <t>ゼン</t>
    </rPh>
    <rPh sb="44" eb="46">
      <t>コウキ</t>
    </rPh>
    <rPh sb="49" eb="51">
      <t>ジッシ</t>
    </rPh>
    <rPh sb="56" eb="57">
      <t>ホン</t>
    </rPh>
    <rPh sb="63" eb="65">
      <t>コウセイ</t>
    </rPh>
    <rPh sb="65" eb="67">
      <t>カモク</t>
    </rPh>
    <rPh sb="73" eb="76">
      <t>ジュコウシャ</t>
    </rPh>
    <rPh sb="76" eb="78">
      <t>ゼンイン</t>
    </rPh>
    <rPh sb="79" eb="81">
      <t>ジュギョウ</t>
    </rPh>
    <rPh sb="87" eb="89">
      <t>ジッシ</t>
    </rPh>
    <rPh sb="91" eb="93">
      <t>ガクセイ</t>
    </rPh>
    <rPh sb="94" eb="97">
      <t>リカイド</t>
    </rPh>
    <rPh sb="97" eb="98">
      <t>トウ</t>
    </rPh>
    <rPh sb="99" eb="101">
      <t>ブンセキ</t>
    </rPh>
    <rPh sb="111" eb="113">
      <t>コウモク</t>
    </rPh>
    <rPh sb="136" eb="138">
      <t>コウセイ</t>
    </rPh>
    <rPh sb="138" eb="140">
      <t>カモク</t>
    </rPh>
    <rPh sb="156" eb="158">
      <t>ナイヨウ</t>
    </rPh>
    <rPh sb="199" eb="200">
      <t>ヒト</t>
    </rPh>
    <rPh sb="213" eb="216">
      <t>ジョウホウケイ</t>
    </rPh>
    <rPh sb="216" eb="218">
      <t>カモク</t>
    </rPh>
    <rPh sb="291" eb="293">
      <t>ガクセイ</t>
    </rPh>
    <rPh sb="294" eb="296">
      <t>ナイヨウ</t>
    </rPh>
    <rPh sb="297" eb="300">
      <t>リカイド</t>
    </rPh>
    <rPh sb="316" eb="318">
      <t>コンゴ</t>
    </rPh>
    <rPh sb="319" eb="320">
      <t>ホン</t>
    </rPh>
    <rPh sb="320" eb="322">
      <t>キョウイク</t>
    </rPh>
    <rPh sb="328" eb="330">
      <t>カイゼン</t>
    </rPh>
    <rPh sb="330" eb="332">
      <t>ジュウジツ</t>
    </rPh>
    <rPh sb="333" eb="334">
      <t>ツト</t>
    </rPh>
    <rPh sb="336" eb="339">
      <t>リカイド</t>
    </rPh>
    <rPh sb="340" eb="342">
      <t>コウジョウ</t>
    </rPh>
    <rPh sb="355" eb="356">
      <t>カンガ</t>
    </rPh>
    <phoneticPr fontId="1"/>
  </si>
  <si>
    <t>全学授業アンケートの結果で満足度について、「文理学」では満足、どちらかといえば満足をあわせて、92.0％、「情報処理系科目」では、満足、どちらかといえば満足をあわせて、94.2％となっており、本学の教育プログラムはかなり高い満足度であったと言える。また、「授業をとおして、もっと学んでみたいと思うようになった」など、本教育プログラムに対して、さらに発展的な学修を希望するなどの意見も多く見られた。こうしたことから、本教育プログラムの修得者の後輩等他の学生への推奨度は高いものと推察される。また、本教育プログラムの専用ページにおいて受講の感想等の意見を掲示し、講義受講の推奨に活用していく予定である。</t>
    <rPh sb="0" eb="2">
      <t>ゼンガク</t>
    </rPh>
    <rPh sb="2" eb="4">
      <t>ジュギョウ</t>
    </rPh>
    <rPh sb="10" eb="12">
      <t>ケッカ</t>
    </rPh>
    <rPh sb="13" eb="16">
      <t>マンゾクド</t>
    </rPh>
    <rPh sb="22" eb="25">
      <t>ブンリガク</t>
    </rPh>
    <rPh sb="59" eb="61">
      <t>カモク</t>
    </rPh>
    <rPh sb="65" eb="67">
      <t>マンゾク</t>
    </rPh>
    <rPh sb="76" eb="78">
      <t>マンゾク</t>
    </rPh>
    <rPh sb="96" eb="98">
      <t>ホンガク</t>
    </rPh>
    <rPh sb="99" eb="101">
      <t>キョウイク</t>
    </rPh>
    <rPh sb="110" eb="111">
      <t>タカ</t>
    </rPh>
    <rPh sb="112" eb="115">
      <t>マンゾクド</t>
    </rPh>
    <rPh sb="120" eb="121">
      <t>イ</t>
    </rPh>
    <rPh sb="158" eb="159">
      <t>ホン</t>
    </rPh>
    <rPh sb="159" eb="161">
      <t>キョウイク</t>
    </rPh>
    <rPh sb="167" eb="168">
      <t>タイ</t>
    </rPh>
    <rPh sb="174" eb="177">
      <t>ハッテンテキ</t>
    </rPh>
    <rPh sb="178" eb="180">
      <t>ガクシュウ</t>
    </rPh>
    <rPh sb="181" eb="183">
      <t>キボウ</t>
    </rPh>
    <rPh sb="207" eb="208">
      <t>ホン</t>
    </rPh>
    <rPh sb="208" eb="210">
      <t>キョウイク</t>
    </rPh>
    <rPh sb="216" eb="218">
      <t>シュウトク</t>
    </rPh>
    <rPh sb="218" eb="219">
      <t>シャ</t>
    </rPh>
    <rPh sb="220" eb="222">
      <t>コウハイ</t>
    </rPh>
    <rPh sb="222" eb="223">
      <t>トウ</t>
    </rPh>
    <rPh sb="223" eb="224">
      <t>ホカ</t>
    </rPh>
    <rPh sb="225" eb="227">
      <t>ガクセイ</t>
    </rPh>
    <rPh sb="229" eb="231">
      <t>スイショウ</t>
    </rPh>
    <rPh sb="231" eb="232">
      <t>ド</t>
    </rPh>
    <rPh sb="233" eb="234">
      <t>タカ</t>
    </rPh>
    <rPh sb="238" eb="240">
      <t>スイサツ</t>
    </rPh>
    <rPh sb="293" eb="295">
      <t>ヨテイ</t>
    </rPh>
    <phoneticPr fontId="1"/>
  </si>
  <si>
    <t>本学では新入生が大学の使命や目的、建学精神を理解して勉学に邁進する強い意志と卒業に至る勤勉な態度を自ら育てることを目的として全学共通教育科目として「文理学」を実施しており、全学部・学科で必修科目としている。令和５年度から、この「文理学」に「数理・データサイエンス・ＡＩ入門」を７コマ、７人の教員が１コマずつ担当するオムニバス方式で設定し、徳島キャンパスは「むらさきホール（収用定員1314人）」、香川キャンパスは「村崎サイメモリアルホ-ル（収用定員896人）」にキャンパスごとに1年生全員が入り、対面で実施している。本教育プログラムはこの「文理学」と各学部ともに、「情報処理」などの情報処理系科目１科目とで構成されている。特に一般総合科目の「情報処理」は選択科目であるが、大学での学修に欠かせないパソコンをうまく使いこなすために必要な科目として、もともと履修率が高い科目であり、令和６年度からは選択必修としている。</t>
    <rPh sb="0" eb="2">
      <t>ホンガク</t>
    </rPh>
    <rPh sb="17" eb="19">
      <t>ケンガク</t>
    </rPh>
    <rPh sb="19" eb="21">
      <t>セイシン</t>
    </rPh>
    <rPh sb="62" eb="64">
      <t>ゼンガク</t>
    </rPh>
    <rPh sb="64" eb="66">
      <t>キョウツウ</t>
    </rPh>
    <rPh sb="66" eb="68">
      <t>キョウイク</t>
    </rPh>
    <rPh sb="68" eb="70">
      <t>カモク</t>
    </rPh>
    <rPh sb="86" eb="89">
      <t>ゼンガクブ</t>
    </rPh>
    <rPh sb="90" eb="92">
      <t>ガッカ</t>
    </rPh>
    <rPh sb="93" eb="95">
      <t>ヒッシュウ</t>
    </rPh>
    <rPh sb="95" eb="97">
      <t>カモク</t>
    </rPh>
    <rPh sb="103" eb="105">
      <t>レイワ</t>
    </rPh>
    <rPh sb="106" eb="108">
      <t>ネンド</t>
    </rPh>
    <rPh sb="114" eb="117">
      <t>ブンリガク</t>
    </rPh>
    <rPh sb="120" eb="122">
      <t>スウリ</t>
    </rPh>
    <rPh sb="134" eb="136">
      <t>ニュウモン</t>
    </rPh>
    <rPh sb="143" eb="144">
      <t>ニン</t>
    </rPh>
    <rPh sb="145" eb="147">
      <t>キョウイン</t>
    </rPh>
    <rPh sb="153" eb="155">
      <t>タントウ</t>
    </rPh>
    <rPh sb="162" eb="164">
      <t>ホウシキ</t>
    </rPh>
    <rPh sb="165" eb="167">
      <t>セッテイ</t>
    </rPh>
    <rPh sb="169" eb="171">
      <t>トクシマ</t>
    </rPh>
    <rPh sb="198" eb="200">
      <t>シュウヨウ</t>
    </rPh>
    <rPh sb="200" eb="202">
      <t>テイイン</t>
    </rPh>
    <rPh sb="206" eb="207">
      <t>ニン</t>
    </rPh>
    <rPh sb="209" eb="211">
      <t>カガワ</t>
    </rPh>
    <rPh sb="245" eb="246">
      <t>ハイ</t>
    </rPh>
    <rPh sb="248" eb="250">
      <t>タイメン</t>
    </rPh>
    <rPh sb="258" eb="259">
      <t>ホン</t>
    </rPh>
    <rPh sb="259" eb="261">
      <t>キョウイク</t>
    </rPh>
    <rPh sb="270" eb="273">
      <t>ブンリガク</t>
    </rPh>
    <rPh sb="275" eb="276">
      <t>カク</t>
    </rPh>
    <rPh sb="276" eb="278">
      <t>ガクブ</t>
    </rPh>
    <rPh sb="283" eb="285">
      <t>ジョウホウ</t>
    </rPh>
    <rPh sb="285" eb="287">
      <t>ショリ</t>
    </rPh>
    <rPh sb="296" eb="298">
      <t>カモク</t>
    </rPh>
    <rPh sb="299" eb="301">
      <t>カモク</t>
    </rPh>
    <rPh sb="303" eb="305">
      <t>コウセイ</t>
    </rPh>
    <rPh sb="311" eb="312">
      <t>トク</t>
    </rPh>
    <rPh sb="313" eb="315">
      <t>イッパン</t>
    </rPh>
    <rPh sb="315" eb="317">
      <t>ソウゴウ</t>
    </rPh>
    <rPh sb="317" eb="319">
      <t>カモク</t>
    </rPh>
    <rPh sb="321" eb="323">
      <t>ジョウホウ</t>
    </rPh>
    <rPh sb="323" eb="325">
      <t>ショリ</t>
    </rPh>
    <rPh sb="327" eb="329">
      <t>センタク</t>
    </rPh>
    <rPh sb="329" eb="331">
      <t>カモク</t>
    </rPh>
    <rPh sb="336" eb="338">
      <t>ダイガク</t>
    </rPh>
    <rPh sb="340" eb="342">
      <t>ガクシュウ</t>
    </rPh>
    <rPh sb="343" eb="344">
      <t>カ</t>
    </rPh>
    <rPh sb="356" eb="357">
      <t>ツカ</t>
    </rPh>
    <rPh sb="364" eb="366">
      <t>ヒツヨウ</t>
    </rPh>
    <rPh sb="367" eb="369">
      <t>カモク</t>
    </rPh>
    <rPh sb="377" eb="379">
      <t>リシュウ</t>
    </rPh>
    <rPh sb="379" eb="380">
      <t>リツ</t>
    </rPh>
    <rPh sb="381" eb="382">
      <t>タカ</t>
    </rPh>
    <rPh sb="383" eb="385">
      <t>カモク</t>
    </rPh>
    <rPh sb="389" eb="391">
      <t>レイワ</t>
    </rPh>
    <rPh sb="392" eb="394">
      <t>ネンド</t>
    </rPh>
    <rPh sb="397" eb="399">
      <t>センタク</t>
    </rPh>
    <rPh sb="399" eb="401">
      <t>ヒッシュウ</t>
    </rPh>
    <phoneticPr fontId="1"/>
  </si>
  <si>
    <t>本プログラムは令和５年度の入学生から実施しており、修了者は卒業していない状況である。また、本学では就職支援部が今年度より卒業生や卒業生の就職先の企業、団体等に対してアンケートを実施する予定となっており、今後は、本教育プログラムを修了した卒業生における採用状況や企業評価を把握する仕組みを構築し、プログラムの改善・充実に繋げていきたい。</t>
    <rPh sb="0" eb="1">
      <t>ホン</t>
    </rPh>
    <rPh sb="7" eb="9">
      <t>レイワ</t>
    </rPh>
    <rPh sb="10" eb="12">
      <t>ネンド</t>
    </rPh>
    <rPh sb="13" eb="16">
      <t>ニュウガクセイ</t>
    </rPh>
    <rPh sb="18" eb="20">
      <t>ジッシ</t>
    </rPh>
    <rPh sb="25" eb="28">
      <t>シュウリョウシャ</t>
    </rPh>
    <rPh sb="29" eb="31">
      <t>ソツギョウ</t>
    </rPh>
    <rPh sb="36" eb="38">
      <t>ジョウキョウ</t>
    </rPh>
    <rPh sb="45" eb="47">
      <t>ホンガク</t>
    </rPh>
    <rPh sb="49" eb="51">
      <t>シュウショク</t>
    </rPh>
    <rPh sb="51" eb="54">
      <t>シエンブ</t>
    </rPh>
    <rPh sb="55" eb="58">
      <t>コンネンド</t>
    </rPh>
    <rPh sb="60" eb="63">
      <t>ソツギョウセイ</t>
    </rPh>
    <rPh sb="64" eb="67">
      <t>ソツギョウセイ</t>
    </rPh>
    <rPh sb="68" eb="71">
      <t>シュウショクサキ</t>
    </rPh>
    <rPh sb="72" eb="74">
      <t>キギョウ</t>
    </rPh>
    <rPh sb="75" eb="77">
      <t>ダンタイ</t>
    </rPh>
    <rPh sb="77" eb="78">
      <t>トウ</t>
    </rPh>
    <rPh sb="79" eb="80">
      <t>タイ</t>
    </rPh>
    <rPh sb="88" eb="90">
      <t>ジッシ</t>
    </rPh>
    <rPh sb="92" eb="94">
      <t>ヨテイ</t>
    </rPh>
    <rPh sb="101" eb="103">
      <t>コンゴ</t>
    </rPh>
    <rPh sb="143" eb="145">
      <t>コウチク</t>
    </rPh>
    <rPh sb="153" eb="155">
      <t>カイゼン</t>
    </rPh>
    <rPh sb="156" eb="158">
      <t>ジュウジツ</t>
    </rPh>
    <rPh sb="159" eb="160">
      <t>ツナ</t>
    </rPh>
    <phoneticPr fontId="1"/>
  </si>
  <si>
    <t>本プログラムは、①数理・データサイエンス・AIを活用することの「楽しさ」や「学ぶことの意義」を重点的に教え、学生に好奇心や関心を高く持ってもらう魅力的かつ特色ある教育を行うこと、また、数理・データサイエンス・AIを活用することが「好き」な人材を育成し、それが自分・他人を含めて、次の学修への意欲、動機付けになるような「学びの相乗効果」を生み出すことを狙うこと、②カリキュラムを実施するにあたっては、本学の教育目的、分野の特性、個々の学生の学習歴や習熟度合い等に応じて、モデルカリキュラムの中から適切かつ柔軟に選択・抽出し、有機性を考慮した教育を行うこと、③実データ、実課題を用いた演習など、社会での実例を題材に数理・データサイエンス・AIを活用することを通じ、現実の課題と適切な活用法を学ぶことをカリキュラムに取り入れること、などを念頭に置いて教育プログラムを策定した。本プログラムの構成科目における授業アンケート結果から、前述の①～③の観点について、各授業科目レベルでの検証・評価を実施し、改善充実に繋げている。</t>
    <rPh sb="0" eb="1">
      <t>ホン</t>
    </rPh>
    <rPh sb="199" eb="201">
      <t>ホンガク</t>
    </rPh>
    <rPh sb="366" eb="368">
      <t>ネントウ</t>
    </rPh>
    <rPh sb="369" eb="370">
      <t>オ</t>
    </rPh>
    <rPh sb="372" eb="374">
      <t>キョウイク</t>
    </rPh>
    <rPh sb="385" eb="386">
      <t>ホン</t>
    </rPh>
    <rPh sb="392" eb="394">
      <t>コウセイ</t>
    </rPh>
    <rPh sb="394" eb="396">
      <t>カモク</t>
    </rPh>
    <rPh sb="400" eb="402">
      <t>ジュギョウ</t>
    </rPh>
    <rPh sb="407" eb="409">
      <t>ケッカ</t>
    </rPh>
    <rPh sb="412" eb="414">
      <t>ゼンジュツ</t>
    </rPh>
    <rPh sb="419" eb="421">
      <t>カンテン</t>
    </rPh>
    <rPh sb="446" eb="448">
      <t>ケンショウ</t>
    </rPh>
    <rPh sb="449" eb="451">
      <t>ヒョウカ</t>
    </rPh>
    <rPh sb="452" eb="454">
      <t>ジッシ</t>
    </rPh>
    <phoneticPr fontId="1"/>
  </si>
  <si>
    <t>本学では、全学的に学生に対して「授業評価アンケート」を前・後期末に実施している。本教育プログラムの構成科目全てにおいても授業アンケートを行っており、授業の分かりやすさ、学生の満足度、改善点などの把握に努めている。さらに、授業評価アンケート結果について、本教育プログラムの授業科目レベルにおいて、点検・評価を行うことで、授業の「分かりやすさ」、授業内容・水準が学生に適切であるかどうか教育の質向上に向けた改善を行っている。令和６年度は令和５年度の授業アンケート結果をもとに「数理・データサイエンス・AI教育推進委員会」で本教育プログラムの検証・評価を行い、プログラムの見直しを行うとともに、質の向上に取り組む予定である。</t>
    <rPh sb="0" eb="2">
      <t>ホンガク</t>
    </rPh>
    <rPh sb="5" eb="8">
      <t>ゼンガクテキ</t>
    </rPh>
    <rPh sb="27" eb="28">
      <t>ゼン</t>
    </rPh>
    <rPh sb="29" eb="31">
      <t>コウキ</t>
    </rPh>
    <rPh sb="40" eb="41">
      <t>ホン</t>
    </rPh>
    <rPh sb="49" eb="51">
      <t>コウセイ</t>
    </rPh>
    <rPh sb="51" eb="53">
      <t>カモク</t>
    </rPh>
    <rPh sb="126" eb="127">
      <t>ホン</t>
    </rPh>
    <rPh sb="127" eb="129">
      <t>キョウイク</t>
    </rPh>
    <rPh sb="135" eb="137">
      <t>ジュギョウ</t>
    </rPh>
    <rPh sb="216" eb="218">
      <t>レイワ</t>
    </rPh>
    <rPh sb="219" eb="221">
      <t>ネンド</t>
    </rPh>
    <rPh sb="222" eb="224">
      <t>ジュギョウ</t>
    </rPh>
    <rPh sb="229" eb="231">
      <t>ケッカ</t>
    </rPh>
    <rPh sb="236" eb="238">
      <t>スウリ</t>
    </rPh>
    <rPh sb="250" eb="252">
      <t>キョウイク</t>
    </rPh>
    <rPh sb="252" eb="254">
      <t>スイシン</t>
    </rPh>
    <rPh sb="254" eb="257">
      <t>イインカイ</t>
    </rPh>
    <rPh sb="259" eb="260">
      <t>ホン</t>
    </rPh>
    <rPh sb="268" eb="270">
      <t>ケンショウ</t>
    </rPh>
    <rPh sb="274" eb="275">
      <t>オコナリコウ</t>
    </rPh>
    <phoneticPr fontId="1"/>
  </si>
  <si>
    <t>本プログラムの「文理学」は理事長の「建学の精神について」、学長の「大学でなぜ学ぶのか」などにはじまり、各学科ごとの「スタディ・スキルズ」、「地域学」など新入生の大学生活のスタートアップを支援する授業であり、必修科目である。さらに、この「文理学」の授業は各学科ごとの「スタディスキルズ」以外の時間は、徳島キャンパス、香川キャンパでそれぞれのホールで両キャンパスの１年生全員がそろって授業を受けている。情報処理系科目は選択科目もあるが、大学において、基礎的な情報スキルを身につけるということで、もともとほとんどの学生が履修している。</t>
    <rPh sb="118" eb="121">
      <t>ブンリガク</t>
    </rPh>
    <rPh sb="123" eb="125">
      <t>ジュギョウ</t>
    </rPh>
    <rPh sb="126" eb="129">
      <t>カクガッカ</t>
    </rPh>
    <rPh sb="142" eb="144">
      <t>イガイ</t>
    </rPh>
    <rPh sb="145" eb="147">
      <t>ジカン</t>
    </rPh>
    <rPh sb="149" eb="151">
      <t>トクシマ</t>
    </rPh>
    <rPh sb="157" eb="159">
      <t>カガワ</t>
    </rPh>
    <rPh sb="173" eb="174">
      <t>リョウ</t>
    </rPh>
    <rPh sb="181" eb="183">
      <t>ネンセイ</t>
    </rPh>
    <rPh sb="183" eb="185">
      <t>ゼンイン</t>
    </rPh>
    <rPh sb="190" eb="192">
      <t>ジュギョウ</t>
    </rPh>
    <rPh sb="193" eb="194">
      <t>ウ</t>
    </rPh>
    <rPh sb="204" eb="206">
      <t>カモク</t>
    </rPh>
    <phoneticPr fontId="1"/>
  </si>
  <si>
    <t>本学では、全ての教員がオフィスアワーを設定しており、シラバスにはオフィスアワー曜日、時間、場所を記載しており、授業内容の質問等について、対面による相談体制が整っており、多くの学生が活用している。また、本学はGoogleと契約しており、GoogleClassroom、GoogleMeetｓ、GoogleFormｓなどを全教職員が無料で使えるようになっている。特に教員は対面の授業であっても、学生をサポートするツールとして、個別の質問に答えたり、授業の資料、課題等をデータで配布するなど、GoogleClassroomを様々に活用している。本学はウィングネットとも契約しており、オンディマンド形式の学修補助教材「ベーシックウィング」を学生が学内外からアクセスして、高等学校、中学校等の各教科の授業コンテンツを視聴することができるようになっている。令和５年度からは、高校の「情報Ⅰ」も視聴可能となっている。また、本プログラムが実施されるようになり、「ベーシックウイング」の数学の視聴数が急増している。</t>
    <rPh sb="0" eb="2">
      <t>ホンガク</t>
    </rPh>
    <rPh sb="5" eb="6">
      <t>スベ</t>
    </rPh>
    <rPh sb="8" eb="10">
      <t>キョウイン</t>
    </rPh>
    <rPh sb="19" eb="21">
      <t>セッテイ</t>
    </rPh>
    <rPh sb="42" eb="44">
      <t>ジカン</t>
    </rPh>
    <rPh sb="45" eb="47">
      <t>バショ</t>
    </rPh>
    <rPh sb="48" eb="50">
      <t>キサイ</t>
    </rPh>
    <rPh sb="55" eb="57">
      <t>ジュギョウ</t>
    </rPh>
    <rPh sb="57" eb="59">
      <t>ナイヨウ</t>
    </rPh>
    <rPh sb="60" eb="62">
      <t>シツモン</t>
    </rPh>
    <rPh sb="62" eb="63">
      <t>トウ</t>
    </rPh>
    <rPh sb="68" eb="70">
      <t>タイメン</t>
    </rPh>
    <rPh sb="73" eb="75">
      <t>ソウダン</t>
    </rPh>
    <rPh sb="75" eb="77">
      <t>タイセイ</t>
    </rPh>
    <rPh sb="78" eb="79">
      <t>トトノ</t>
    </rPh>
    <rPh sb="84" eb="85">
      <t>オオ</t>
    </rPh>
    <rPh sb="87" eb="89">
      <t>ガクセイ</t>
    </rPh>
    <rPh sb="90" eb="92">
      <t>カツヨウ</t>
    </rPh>
    <rPh sb="100" eb="102">
      <t>ホンガク</t>
    </rPh>
    <rPh sb="110" eb="112">
      <t>ケイヤク</t>
    </rPh>
    <rPh sb="159" eb="160">
      <t>ゼン</t>
    </rPh>
    <rPh sb="160" eb="163">
      <t>キョウショクイン</t>
    </rPh>
    <rPh sb="164" eb="166">
      <t>ムリョウ</t>
    </rPh>
    <rPh sb="167" eb="168">
      <t>ツカ</t>
    </rPh>
    <rPh sb="179" eb="180">
      <t>トク</t>
    </rPh>
    <rPh sb="181" eb="183">
      <t>キョウイン</t>
    </rPh>
    <rPh sb="184" eb="186">
      <t>タイメン</t>
    </rPh>
    <rPh sb="187" eb="189">
      <t>ジュギョウ</t>
    </rPh>
    <rPh sb="195" eb="197">
      <t>ガクセイ</t>
    </rPh>
    <rPh sb="211" eb="213">
      <t>コベツ</t>
    </rPh>
    <rPh sb="214" eb="216">
      <t>シツモン</t>
    </rPh>
    <rPh sb="217" eb="218">
      <t>コタ</t>
    </rPh>
    <rPh sb="222" eb="224">
      <t>ジュギョウ</t>
    </rPh>
    <rPh sb="225" eb="227">
      <t>シリョウ</t>
    </rPh>
    <rPh sb="228" eb="230">
      <t>カダイ</t>
    </rPh>
    <rPh sb="230" eb="231">
      <t>トウ</t>
    </rPh>
    <rPh sb="236" eb="238">
      <t>ハイフ</t>
    </rPh>
    <rPh sb="259" eb="261">
      <t>サマザマ</t>
    </rPh>
    <rPh sb="262" eb="264">
      <t>カツヨウ</t>
    </rPh>
    <rPh sb="269" eb="271">
      <t>ホンガク</t>
    </rPh>
    <rPh sb="281" eb="283">
      <t>ケイヤク</t>
    </rPh>
    <rPh sb="295" eb="297">
      <t>ケイシキ</t>
    </rPh>
    <rPh sb="298" eb="300">
      <t>ガクシュウ</t>
    </rPh>
    <rPh sb="300" eb="302">
      <t>ホジョ</t>
    </rPh>
    <rPh sb="302" eb="304">
      <t>キョウザイ</t>
    </rPh>
    <rPh sb="321" eb="323">
      <t>ガクセイ</t>
    </rPh>
    <rPh sb="324" eb="325">
      <t>ガク</t>
    </rPh>
    <rPh sb="325" eb="327">
      <t>ナイガイ</t>
    </rPh>
    <rPh sb="336" eb="338">
      <t>コウトウ</t>
    </rPh>
    <rPh sb="342" eb="345">
      <t>チュウガッコウ</t>
    </rPh>
    <rPh sb="346" eb="347">
      <t>カク</t>
    </rPh>
    <rPh sb="347" eb="349">
      <t>キョウカ</t>
    </rPh>
    <rPh sb="350" eb="352">
      <t>ジュギョウ</t>
    </rPh>
    <rPh sb="358" eb="360">
      <t>シチョウ</t>
    </rPh>
    <rPh sb="377" eb="379">
      <t>レイワ</t>
    </rPh>
    <rPh sb="380" eb="382">
      <t>ネンド</t>
    </rPh>
    <rPh sb="386" eb="388">
      <t>コウコウ</t>
    </rPh>
    <rPh sb="390" eb="392">
      <t>ジョウホウ</t>
    </rPh>
    <rPh sb="395" eb="397">
      <t>シチョウ</t>
    </rPh>
    <rPh sb="397" eb="399">
      <t>カノウ</t>
    </rPh>
    <rPh sb="404" eb="405">
      <t>ホン</t>
    </rPh>
    <rPh sb="416" eb="418">
      <t>ジッシ</t>
    </rPh>
    <rPh sb="439" eb="441">
      <t>スウガク</t>
    </rPh>
    <rPh sb="442" eb="444">
      <t>シチョウ</t>
    </rPh>
    <rPh sb="444" eb="445">
      <t>スウ</t>
    </rPh>
    <rPh sb="446" eb="448">
      <t>キュウゾウヨウビ</t>
    </rPh>
    <phoneticPr fontId="1"/>
  </si>
  <si>
    <t>数理・データサイエンス・AI教育推進委員会</t>
    <phoneticPr fontId="1"/>
  </si>
  <si>
    <t>数理・データサイエンス・AI教育推進委員会規程</t>
    <rPh sb="21" eb="23">
      <t>キテイ</t>
    </rPh>
    <phoneticPr fontId="1"/>
  </si>
  <si>
    <t>これからのデジタル社会において「数理・データサイエンス・AI」に関する基礎的な知識や技能を身につけ、日常生活や仕事等で使いこなせることが、文理を問わず全ての学生に求められている。そのため、本学では、文部科学省の「数理・データサイエンス・AI教育プログラム認定制度」に準拠した教育プログラム（リテラシーレベル）を大学と短期大学部の全学科に、また、（応用基礎レベル）を理工学部と人間生活学部に開設し、令和５ 年度から実施しており、令和６年度の認定を目指している。そこで、学内に「数理・データサイエンス教育推進委員会」を置き、本学の数理・データサイエンス・AI 教育プログラムの構成・内容・サポート体制を充実させ、点検・評価を行い、本プログラムの改善・進化を図る。</t>
    <rPh sb="260" eb="262">
      <t>ホンガク</t>
    </rPh>
    <rPh sb="299" eb="301">
      <t>ジュウジツ</t>
    </rPh>
    <rPh sb="310" eb="311">
      <t>オコナ</t>
    </rPh>
    <rPh sb="313" eb="314">
      <t>ホン</t>
    </rPh>
    <rPh sb="326" eb="327">
      <t>ハカ</t>
    </rPh>
    <phoneticPr fontId="1"/>
  </si>
  <si>
    <t>令和５年度のプログラムの開始にあわせて、本学のHPに本プログラムについてのページを開設するとともに、新入生ガイドに「数理・データサイエンス・AI教育プログラム（リテラシーレベル）が始まります！」のページを掲載し、各学科の新入生オリエンテーションで、担任から学科毎に新入生全員の本プログラムの履修を呼びかけている。</t>
    <rPh sb="26" eb="27">
      <t>ホン</t>
    </rPh>
    <phoneticPr fontId="1"/>
  </si>
  <si>
    <t>「文理学」2単位と「情報処理」2単位の計2科目、4単位を取得すること。</t>
    <rPh sb="1" eb="4">
      <t>ブンリガク</t>
    </rPh>
    <rPh sb="6" eb="8">
      <t>タンイ</t>
    </rPh>
    <rPh sb="10" eb="12">
      <t>ジョウホウ</t>
    </rPh>
    <rPh sb="12" eb="14">
      <t>ショリ</t>
    </rPh>
    <rPh sb="16" eb="18">
      <t>タンイ</t>
    </rPh>
    <rPh sb="19" eb="20">
      <t>ケイ</t>
    </rPh>
    <rPh sb="21" eb="23">
      <t>カモク</t>
    </rPh>
    <rPh sb="25" eb="27">
      <t>タンイ</t>
    </rPh>
    <rPh sb="28" eb="30">
      <t>シュトク</t>
    </rPh>
    <phoneticPr fontId="1"/>
  </si>
  <si>
    <t xml:space="preserve">「文理学」2単位と「基礎薬学情報処理」1.5単位の計2科目、3.5単位を取得すること。
</t>
    <rPh sb="1" eb="4">
      <t>ブンリガク</t>
    </rPh>
    <rPh sb="6" eb="8">
      <t>タンイ</t>
    </rPh>
    <rPh sb="10" eb="12">
      <t>キソ</t>
    </rPh>
    <rPh sb="12" eb="14">
      <t>ヤクガク</t>
    </rPh>
    <rPh sb="14" eb="16">
      <t>ジョウホウ</t>
    </rPh>
    <rPh sb="16" eb="18">
      <t>ショリ</t>
    </rPh>
    <rPh sb="22" eb="24">
      <t>タンイ</t>
    </rPh>
    <rPh sb="34" eb="35">
      <t>ケイ</t>
    </rPh>
    <rPh sb="38" eb="40">
      <t>タンイ</t>
    </rPh>
    <rPh sb="41" eb="43">
      <t>シュトク</t>
    </rPh>
    <phoneticPr fontId="1"/>
  </si>
  <si>
    <t>「文理学」2単位と「情報処理・統計学」2単位の計2科目、4単位を取得すること。</t>
    <rPh sb="1" eb="4">
      <t>ブンリガク</t>
    </rPh>
    <rPh sb="6" eb="8">
      <t>タンイ</t>
    </rPh>
    <rPh sb="20" eb="22">
      <t>タンイ</t>
    </rPh>
    <rPh sb="29" eb="31">
      <t>タンイ</t>
    </rPh>
    <rPh sb="32" eb="34">
      <t>シュトク</t>
    </rPh>
    <phoneticPr fontId="1"/>
  </si>
  <si>
    <t>・ビッグデータ、IoT、AI、ロボット　「文理学『数理・データサイエンスＡＩ入門』｣（1回目～4回目）　
・データ量の増加、計算機の処理性能の向上、AIの非連続的進化　「文理学『数理・データサイエンスＡＩ入門』｣（1回目、4回目、5回目）
・第4次産業革命、Society 5.0、データ駆動型社会　「文理学『数理・データサイエンスＡＩ入門』｣（1回目、5回目）
・複数技術を組み合わせたAIサービス　「文理学『数理・データサイエンスＡＩ入門』｣（4回目、5回目）
・人間の知的活動とAIの関係性　「文理学『数理・データサイエンスＡＩ入門』｣（2回目、4回目）
・データを起点としたものの見方、人間の知的活動を起点としたものの見方　「文理学『数理・データサイエンスＡＩ入門』｣（1回目、5回目）</t>
    <rPh sb="21" eb="24">
      <t>ブンリガク</t>
    </rPh>
    <rPh sb="25" eb="27">
      <t>スウリ</t>
    </rPh>
    <rPh sb="38" eb="40">
      <t>ニュウモン</t>
    </rPh>
    <rPh sb="44" eb="45">
      <t>カイ</t>
    </rPh>
    <rPh sb="45" eb="46">
      <t>メ</t>
    </rPh>
    <rPh sb="48" eb="50">
      <t>カイメ</t>
    </rPh>
    <rPh sb="109" eb="110">
      <t>メ</t>
    </rPh>
    <rPh sb="116" eb="118">
      <t>カイメ</t>
    </rPh>
    <rPh sb="175" eb="176">
      <t>メ</t>
    </rPh>
    <rPh sb="178" eb="180">
      <t>カイメ</t>
    </rPh>
    <rPh sb="277" eb="279">
      <t>カイメカイメメ</t>
    </rPh>
    <phoneticPr fontId="1"/>
  </si>
  <si>
    <t>・AI等を活用した新しいビジネスモデル(シェアリングエコノミー、商品のレコメンデーションなど)　「文理学『数理・データサイエンスＡＩ入門』｣（6回目）　
・AI最新技術の活用例（深層生成モデル、敵対的生成ネットワーク、強化学習、転移学習など）　「文理学『数理・データサイエンスＡＩ入門』｣（5回目、
6回目）</t>
    <rPh sb="73" eb="75">
      <t>カイメ</t>
    </rPh>
    <rPh sb="77" eb="78">
      <t>カイ</t>
    </rPh>
    <rPh sb="78" eb="79">
      <t>メメ</t>
    </rPh>
    <phoneticPr fontId="1"/>
  </si>
  <si>
    <t>・調査データ、実験データ、人の行動ログデータ、機械の稼働ログデータなど　「文理学『数理・データサイエンスＡＩ入門』｣（3回目）　
・1次データ、2次データ、データのメタ化　「文理学『数理・データサイエンスＡＩ入門』｣（3回目、5回目）　
・構造化データ、非構造化データ（文章、画像/動画、音声/音楽など）　「文理学『数理・データサイエンスＡＩ入門』｣（3回目、5回目）　
・データ作成（ビッグデータとアノテーション）　「文理学『数理・データサイエンスＡＩ入門』｣（3回目）　
・データのオープン化（オープンデータ）　「文理学｢数理・データサイエンスＡＩ入門』｣（5回目）</t>
    <rPh sb="60" eb="62">
      <t>カイメ</t>
    </rPh>
    <rPh sb="114" eb="116">
      <t>カイメ</t>
    </rPh>
    <rPh sb="181" eb="183">
      <t>カイメ</t>
    </rPh>
    <rPh sb="282" eb="284">
      <t>カイメ</t>
    </rPh>
    <phoneticPr fontId="1"/>
  </si>
  <si>
    <t>・データ・AI活用領域の広がり(生産、消費、文化活動など)　「文理学『数理・データサイエンスＡＩ入門』｣（4回目、5回目）　
・研究開発、調達、製造、物流、販売、マーケティング、サービスなど　「文理学『数理・データサイエンスＡＩ入門』｣（3回目、4回目）　
・仮説検証、知識発見、原因究明、計画策定、判断支援、活動代替、新規生成など　「文理学『数理・データサイエンスＡＩ入門』｣（3回目、4回目）</t>
    <rPh sb="58" eb="60">
      <t>カイメ</t>
    </rPh>
    <rPh sb="120" eb="122">
      <t>カイメ</t>
    </rPh>
    <rPh sb="191" eb="193">
      <t>カイメ</t>
    </rPh>
    <phoneticPr fontId="1"/>
  </si>
  <si>
    <t>・データ解析：予測、グルーピング、パターン発見、最適化、シミュレーション・データ同化など　「文理学『数理・データサイエンスＡＩ入門』｣（5回目、
6回目）　
・データ可視化：複合グラフ、2軸グラフ、多次元の可視化、関係性の可視化、地図上の可視化、挙動・軌跡の可視化、リアルタイム可視化など
「文理学『｢数理・データサイエンスＡＩ入門』｣（6回目）　
・非構造化データ処理：言語処理、画像/動画処理、音声/音楽処理など　「文理学『数理・データサイエンスＡＩ入門』｣（5回目）　
・特化型AIと汎用AI、今のAIで出来ることと出来ないこと、AIとビッグデータ　「文理学『数理・データサイエンスＡＩ入門』｣（4回目～6回目）　
・認識技術、ルールベース、自動化技術　「文理学『数理・データサイエンスＡＩ入門』｣（5回目）　</t>
    <rPh sb="69" eb="71">
      <t>カイメ</t>
    </rPh>
    <rPh sb="74" eb="76">
      <t>カイメ</t>
    </rPh>
    <rPh sb="306" eb="308">
      <t>カイメ</t>
    </rPh>
    <phoneticPr fontId="1"/>
  </si>
  <si>
    <t>・データサイエンスのサイクル（課題抽出と定式化、データの取得・管理・加工、探索的データ解析、データ解析と推論、結果の共有・伝達、課題解決
に向けた提案）　「文理学『数理・データサイエンスＡＩ入門』｣（6回目）　
・流通、製造、金融、サービス、インフラ、公共、ヘルスケア等におけるデータ・AI利活用事例紹介　「文理学『数理・データサイエンスＡＩ入門』｣
（3回目～6回目）　</t>
    <rPh sb="178" eb="180">
      <t>カイメ</t>
    </rPh>
    <phoneticPr fontId="1"/>
  </si>
  <si>
    <t>・ELSI（Ethical, Legal and Social Issues）　「文理学『数理・データサイエンスＡＩ入門』｣（2回目、5回目）、「情報処理」（2回目）
・個人情報保護、EU一般データ保護規則(GDPR)、忘れられる権利、オプトアウト　「文理学『数理・データサイエンスＡＩ入門』｣（2回目、5回目）、
「情報処理」
（11回目）
・データ倫理：データのねつ造、改ざん、盗用、プライバシー保護　「文理学『数理・データサイエンスＡＩ入門』｣（2回目、4回目）
・AI社会原則（公平性、説明責任、透明性、人間中心の判断）　「文理学『数理・データサイエンスＡＩ入門』｣（2回目）
・データバイアス、アルゴリズムバイアス　「文理学『数理・データサイエンスＡＩ入門』｣（2回目）
・AIサービスの責任論　「文理学『数理・データサイエンスＡＩ入門』｣（4回目、5回目）　
・データ・AI活用における負の事例紹介　「文理学『数理・データサイエンスＡＩ入門』｣（4回目、5回目）　</t>
    <rPh sb="64" eb="66">
      <t>カイメ</t>
    </rPh>
    <rPh sb="73" eb="75">
      <t>ジョウホウ</t>
    </rPh>
    <rPh sb="75" eb="77">
      <t>ショリ</t>
    </rPh>
    <rPh sb="80" eb="82">
      <t>カイメ</t>
    </rPh>
    <rPh sb="149" eb="151">
      <t>カイメ</t>
    </rPh>
    <rPh sb="153" eb="155">
      <t>カイメ</t>
    </rPh>
    <rPh sb="231" eb="233">
      <t>カイメ</t>
    </rPh>
    <rPh sb="377" eb="379">
      <t>カイメ</t>
    </rPh>
    <rPh sb="430" eb="432">
      <t>カイメ</t>
    </rPh>
    <phoneticPr fontId="1"/>
  </si>
  <si>
    <t xml:space="preserve">・情報セキュリティ：機密性、完全性、可用性　「文理学『数理・データサイエンスＡＩ入門』｣（1回目、2回目、5回目）、「情報処理」（2回目、10回目）
・匿名加工情報、暗号化、パスワード、悪意ある情報搾取　「文理学『数理・データサイエンスＡＩ入門』｣（2回目、5回目）
・情報漏洩等によるセキュリティ事故の事例紹介　「文理学『数理・データサイエンスＡＩ入門』｣（2回目）
</t>
    <rPh sb="46" eb="48">
      <t>カイメ</t>
    </rPh>
    <rPh sb="50" eb="52">
      <t>カイメ</t>
    </rPh>
    <rPh sb="54" eb="56">
      <t>カイメ</t>
    </rPh>
    <rPh sb="59" eb="61">
      <t>ジョウホウ</t>
    </rPh>
    <rPh sb="61" eb="63">
      <t>ショリ</t>
    </rPh>
    <rPh sb="66" eb="68">
      <t>カイメ</t>
    </rPh>
    <rPh sb="71" eb="72">
      <t>カイ</t>
    </rPh>
    <rPh sb="72" eb="73">
      <t>メ</t>
    </rPh>
    <rPh sb="133" eb="135">
      <t>カイメ</t>
    </rPh>
    <phoneticPr fontId="1"/>
  </si>
  <si>
    <t>・データの種類（量的変数、質的変数）　「文理学『数理・データサイエンスＡＩ入門』｣（3回目、7回目）
・データの分布(ヒストグラム)と代表値（平均値、中央値、最頻値）　「文理学『数理・データサイエンスＡＩ入門』｣（7回目）、「情報処理」（5回目）
・代表値の性質の違い（実社会では平均値＝最頻値でないことが多い）　「文理学『数理・データサイエンスＡＩ入門』｣（7回目）
・データのばらつき（分散、標準偏差、偏差値）　「文理学『数理・データサイエンスＡＩ入門』｣（7回目）
・相関と因果（相関係数、擬似相関、交絡）　「文理学『数理・データサイエンスＡＩ入門』｣（7回目）、「情報処理」（6回目）
・母集団と標本抽出（国勢調査、アンケート調査、全数調査、単純無作為抽出、層別抽出、多段抽出）　「文理学『数理・データサイエンスＡＩ入門』｣
（3回目、7回目）
・クロス集計表、分割表、相関係数行列、散布図行列　「文理学『数理・データサイエンスＡＩ入門』｣（7回目）、「情報処理」（6回目）
・統計情報の正しい理解（誇張表現に惑わされない）　「文理学『数理・データサイエンスＡＩ入門』｣（3回目）</t>
    <rPh sb="43" eb="45">
      <t>カイメ</t>
    </rPh>
    <rPh sb="47" eb="49">
      <t>カイメ</t>
    </rPh>
    <rPh sb="113" eb="115">
      <t>ジョウホウ</t>
    </rPh>
    <rPh sb="115" eb="117">
      <t>ショリ</t>
    </rPh>
    <rPh sb="121" eb="122">
      <t>メ</t>
    </rPh>
    <rPh sb="181" eb="183">
      <t>カイメ</t>
    </rPh>
    <rPh sb="380" eb="382">
      <t>カイメ</t>
    </rPh>
    <phoneticPr fontId="1"/>
  </si>
  <si>
    <t>・データ表現（棒グラフ、折線グラフ、散布図、ヒートマップ）　「文理学『数理・データサイエンスＡＩ入門』｣（7回目）、「情報処理」（5回目、6回目）
・データの比較（条件をそろえた比較、処理の前後での比較、A/Bテスト)　「文理学『数理・データサイエンスＡＩ入門』｣（3回目）
・優れた可視化事例の紹介（可視化することによって新たな気づきがあった事例など）　「文理学『数理・データサイエンスＡＩ入門』｣（3回目）</t>
    <rPh sb="59" eb="61">
      <t>ジョウホウ</t>
    </rPh>
    <rPh sb="61" eb="63">
      <t>ショリ</t>
    </rPh>
    <rPh sb="66" eb="67">
      <t>カイ</t>
    </rPh>
    <rPh sb="67" eb="68">
      <t>メ</t>
    </rPh>
    <rPh sb="70" eb="72">
      <t>カイメ</t>
    </rPh>
    <phoneticPr fontId="1"/>
  </si>
  <si>
    <t xml:space="preserve">・データの集計（和、平均）　「情報処理」（4回目、7回～9回目）
・データの並び替え、ランキング　「情報処理」（4回目、7回～9回目）
・データ解析ツール（スプレッドシート）　「情報処理」（3回目、7回～9回目）
</t>
    <rPh sb="22" eb="24">
      <t>カイメ</t>
    </rPh>
    <rPh sb="26" eb="27">
      <t>カイ</t>
    </rPh>
    <rPh sb="30" eb="31">
      <t>メ</t>
    </rPh>
    <rPh sb="57" eb="59">
      <t>カイメ</t>
    </rPh>
    <rPh sb="96" eb="98">
      <t>カイメ</t>
    </rPh>
    <phoneticPr fontId="1"/>
  </si>
  <si>
    <t>・ビッグデータ、IoT、AI、ロボット　「文理学『数理・データサイエンスＡＩ入門』｣（1回目～4回目）　
・データ量の増加、計算機の処理性能の向上、AIの非連続的進化　「文理学『数理・データサイエンスＡＩ入門』｣（1回目、4回目、5回目）
・第4次産業革命、Society 5.0、データ駆動型社会 　「文理学『数理・データサイエンスＡＩ入門』｣（1回目、5回目）
・複数技術を組み合わせたAIサービス　「文理学『数理・データサイエンスＡＩ入門』｣（4回目、5回目）
・人間の知的活動とAIの関係性　「文理学『数理・データサイエンスＡＩ入門』｣（2回目、4回目）
・データを起点としたものの見方、人間の知的活動を起点としたものの見方　「文理学『数理・データサイエンスＡＩ入門』｣（1回目、5回目）</t>
    <rPh sb="21" eb="24">
      <t>ブンリガク</t>
    </rPh>
    <rPh sb="25" eb="27">
      <t>スウリ</t>
    </rPh>
    <rPh sb="38" eb="40">
      <t>ニュウモン</t>
    </rPh>
    <rPh sb="44" eb="45">
      <t>カイ</t>
    </rPh>
    <rPh sb="45" eb="46">
      <t>メ</t>
    </rPh>
    <rPh sb="48" eb="50">
      <t>カイメ</t>
    </rPh>
    <rPh sb="109" eb="110">
      <t>メ</t>
    </rPh>
    <rPh sb="112" eb="114">
      <t>カイメ</t>
    </rPh>
    <rPh sb="116" eb="118">
      <t>カイメ</t>
    </rPh>
    <rPh sb="176" eb="177">
      <t>メ</t>
    </rPh>
    <rPh sb="179" eb="181">
      <t>カイメ</t>
    </rPh>
    <rPh sb="226" eb="228">
      <t>カイメ</t>
    </rPh>
    <rPh sb="278" eb="280">
      <t>カイメ</t>
    </rPh>
    <rPh sb="345" eb="347">
      <t>カイメメ</t>
    </rPh>
    <phoneticPr fontId="1"/>
  </si>
  <si>
    <t>・AI等を活用した新しいビジネスモデル(シェアリングエコノミー、商品のレコメンデーションなど) 「文理学『数理・データサイエンスＡＩ入門』｣（6回目）　
・AI最新技術の活用例（深層生成モデル、敵対的生成ネットワーク、強化学習、転移学習など） 「文理学『数理・データサイエンスＡＩ入門』｣（5回目、
6回目）</t>
    <rPh sb="73" eb="75">
      <t>カイメ</t>
    </rPh>
    <rPh sb="77" eb="78">
      <t>カイ</t>
    </rPh>
    <rPh sb="78" eb="79">
      <t>メメ</t>
    </rPh>
    <phoneticPr fontId="1"/>
  </si>
  <si>
    <t xml:space="preserve">・データ・AI活用領域の広がり(生産、消費、文化活動など)　「文理学『数理・データサイエンスＡＩ入門』｣（4回目、5回目）　
・研究開発、調達、製造、物流、販売、マーケティング、サービスなど　「文理学『数理・データサイエンスＡＩ入門』｣（3回目）　
・仮説検証、知識発見、原因究明、計画策定、判断支援、活動代替、新規生成など　「文理学『数理・データサイエンスＡＩ入門』｣（3回目、4回目）　
</t>
    <rPh sb="58" eb="60">
      <t>カイメ</t>
    </rPh>
    <rPh sb="120" eb="122">
      <t>カイメ</t>
    </rPh>
    <rPh sb="187" eb="189">
      <t>カイメ</t>
    </rPh>
    <phoneticPr fontId="1"/>
  </si>
  <si>
    <t>・データサイエンスのサイクル（課題抽出と定式化、データの取得・管理・加工、探索的データ解析、データ解析と推論、結果の共有・伝達、課題解決
に向けた提案）　「文理学『数理・データサイエンスＡＩ入門』｣（6回目）　
・流通、製造、金融、サービス、インフラ、公共、ヘルスケア等におけるデータ・AI利活用事例紹介　「文理学『数理・データサイエンスＡＩ入門』｣
（3回目～4回目）　</t>
    <rPh sb="178" eb="180">
      <t>カイメ</t>
    </rPh>
    <phoneticPr fontId="1"/>
  </si>
  <si>
    <t>・ELSI（Ethical, Legal and Social Issues）　「文理学『数理・データサイエンスＡＩ入門』｣（2回目、5回目）　「基礎薬学情報処理」（1回目、6回目）
・個人情報保護、EU一般データ保護規則(GDPR)、忘れられる権利、オプトアウト　「文理学『数理・データサイエンスＡＩ入門』｣（2回目、5回目）
・データ倫理：データのねつ造、改ざん、盗用、プライバシー保護　「文理学『数理・データサイエンスＡＩ入門』｣（2回目）
・AI社会原則（公平性、説明責任、透明性、人間中心の判断）　「文理学『数理・データサイエンスＡＩ入門』｣（2回目、4回目）　「基礎薬学情報処理」
（1回目）
・データバイアス、アルゴリズムバイアス　「文理学『数理・データサイエンスＡＩ入門』｣（2回目）　「基礎薬学情報処理」（6回目）
・AIサービスの責任論　「文理学『数理・データサイエンスＡＩ入門』｣（4回目、5回目）　
・データ・AI活用における負の事例紹介　「文理学『数理・データサイエンスＡＩ入門』｣（4回目、5回目）　</t>
    <rPh sb="64" eb="66">
      <t>カイメ</t>
    </rPh>
    <rPh sb="157" eb="159">
      <t>カイメ</t>
    </rPh>
    <rPh sb="161" eb="163">
      <t>カイメ</t>
    </rPh>
    <rPh sb="282" eb="284">
      <t>カイメ</t>
    </rPh>
    <rPh sb="381" eb="383">
      <t>カイメカイメ</t>
    </rPh>
    <rPh sb="403" eb="405">
      <t>カイメ</t>
    </rPh>
    <phoneticPr fontId="1"/>
  </si>
  <si>
    <t xml:space="preserve">・情報セキュリティ：機密性、完全性、可用性　「文理学『数理・データサイエンスＡＩ入門』｣（1回目、2回目、5回目）　「基礎薬学情報処理」（4回目）
・匿名加工情報、暗号化、パスワード、悪意ある情報搾取　「文理学『数理・データサイエンスＡＩ入門』｣（2回目、5回目）
・情報漏洩等によるセキュリティ事故の事例紹介　「文理学『数理・データサイエンスＡＩ入門』｣（2回目）
</t>
    <rPh sb="46" eb="48">
      <t>カイメ</t>
    </rPh>
    <rPh sb="50" eb="52">
      <t>カイメ</t>
    </rPh>
    <rPh sb="54" eb="56">
      <t>カイメ</t>
    </rPh>
    <rPh sb="59" eb="61">
      <t>キソ</t>
    </rPh>
    <rPh sb="61" eb="63">
      <t>ヤクガク</t>
    </rPh>
    <rPh sb="63" eb="65">
      <t>ジョウホウ</t>
    </rPh>
    <rPh sb="65" eb="67">
      <t>ショリ</t>
    </rPh>
    <rPh sb="70" eb="71">
      <t>カイ</t>
    </rPh>
    <rPh sb="71" eb="72">
      <t>メ</t>
    </rPh>
    <rPh sb="132" eb="134">
      <t>カイメ</t>
    </rPh>
    <phoneticPr fontId="1"/>
  </si>
  <si>
    <t>・データの種類（量的変数、質的変数）　「文理学『数理・データサイエンスＡＩ入門』｣（3回目、7回目）
・データの分布(ヒストグラム)と代表値（平均値、中央値、最頻値）　「文理学『数理・データサイエンスＡＩ入門』｣（7回目）、「基礎薬学情報処理」
（10回目、11回目）
・代表値の性質の違い（実社会では平均値＝最頻値でないことが多い）　「文理学『数理・データサイエンスＡＩ入門』｣（7回目）
・データのばらつき（分散、標準偏差、偏差値）　「文理学『数理・データサイエンスＡＩ入門』｣（7回目）、「基礎薬学情報処理」（11回目）
・相関と因果（相関係数、擬似相関、交絡）　「文理学『数理・データサイエンスＡＩ入門』｣（7回目）、「基礎薬学情報処理」（12回目）
・母集団と標本抽出（国勢調査、アンケート調査、全数調査、単純無作為抽出、層別抽出、多段抽出）　「文理学『数理・データサイエンスＡＩ入門』｣
（3回目、7回目）
・クロス集計表、分割表、相関係数行列、散布図行列　「文理学『数理・データサイエンスＡＩ入門』｣（7回目）、「情報処理」（6回目）
・統計情報の正しい理解（誇張表現に惑わされない）　「文理学『数理・データサイエンスＡＩ入門』｣（3回目）</t>
    <rPh sb="43" eb="45">
      <t>カイメ</t>
    </rPh>
    <rPh sb="47" eb="49">
      <t>カイメ</t>
    </rPh>
    <rPh sb="126" eb="128">
      <t>カイメ</t>
    </rPh>
    <rPh sb="192" eb="194">
      <t>カイメ</t>
    </rPh>
    <rPh sb="434" eb="436">
      <t>カイメ</t>
    </rPh>
    <phoneticPr fontId="1"/>
  </si>
  <si>
    <t>・データ表現（棒グラフ、折線グラフ、散布図、ヒートマップ）　「文理学『数理・データサイエンスＡＩ入門』｣（7回目）、「基礎薬学情報処理」（9回目、
12回目、13回目）　　　　　　　
・データの比較（条件をそろえた比較、処理の前後での比較、A/Bテスト)　「文理学『数理・データサイエンスＡＩ入門』｣（3回目）
・優れた可視化事例の紹介（可視化することによって新たな気づきがあった事例など）　「文理学『数理・データサイエンスＡＩ入門』｣（3回目）</t>
    <rPh sb="70" eb="72">
      <t>カイメ</t>
    </rPh>
    <rPh sb="81" eb="83">
      <t>カイメ</t>
    </rPh>
    <phoneticPr fontId="1"/>
  </si>
  <si>
    <t xml:space="preserve">・データの集計（和、平均）  「基礎薬学情報処理」（10回目）
・データの並び替え、ランキング　「基礎薬学情報処理」（10回目）
・データ解析ツール（スプレッドシート） 「基礎薬学情報処理」（10回目、8回目）
</t>
    <rPh sb="29" eb="30">
      <t>メ</t>
    </rPh>
    <rPh sb="102" eb="104">
      <t>カイメ</t>
    </rPh>
    <phoneticPr fontId="1"/>
  </si>
  <si>
    <t>・ビッグデータ、IoT、AI、ロボット　「文理学『数理・データサイエンスＡＩ入門』｣（1回目～4回目）　
・データ量の増加、計算機の処理性能の向上、AIの非連続的進化　「文理学『数理・データサイエンスＡＩ入門』｣（1回目、4回目、5回目）
・第4次産業革命、Society 5.0、データ駆動型社会　「文理学『数理・データサイエンスＡＩ入門』｣（1回目、5回目）
・複数技術を組み合わせたAIサービス　「文理学『数理・データサイエンスＡＩ入門』｣（4回目、5回目）
・人間の知的活動とAIの関係性　「文理学『数理・データサイエンスＡＩ入門』｣（2回目、4回目）
・データを起点としたものの見方、人間の知的活動を起点としたものの見方　「文理学『数理・データサイエンスＡＩ入門』｣（1回目、5回目）</t>
    <rPh sb="21" eb="24">
      <t>ブンリガク</t>
    </rPh>
    <rPh sb="25" eb="27">
      <t>スウリ</t>
    </rPh>
    <rPh sb="38" eb="40">
      <t>ニュウモン</t>
    </rPh>
    <rPh sb="44" eb="45">
      <t>カイ</t>
    </rPh>
    <rPh sb="45" eb="46">
      <t>メ</t>
    </rPh>
    <rPh sb="48" eb="50">
      <t>カイメ</t>
    </rPh>
    <rPh sb="109" eb="110">
      <t>メ</t>
    </rPh>
    <rPh sb="112" eb="114">
      <t>カイメ</t>
    </rPh>
    <rPh sb="175" eb="176">
      <t>メ</t>
    </rPh>
    <rPh sb="178" eb="180">
      <t>カイメ</t>
    </rPh>
    <rPh sb="344" eb="346">
      <t>カイメメ</t>
    </rPh>
    <phoneticPr fontId="1"/>
  </si>
  <si>
    <t>・AI等を活用した新しいビジネスモデル(シェアリングエコノミー、商品のレコメンデーションなど)　「文理学『数理・データサイエンスＡＩ入門』｣（6回目）　
・AI最新技術の活用例（深層生成モデル、敵対的生成ネットワーク、強化学習、転移学習など）　「文理学『数理・データサイエンスＡＩ入門』｣
（5回目、6回目）</t>
    <rPh sb="73" eb="75">
      <t>カイメ</t>
    </rPh>
    <rPh sb="77" eb="78">
      <t>カイ</t>
    </rPh>
    <rPh sb="78" eb="79">
      <t>メメ</t>
    </rPh>
    <phoneticPr fontId="1"/>
  </si>
  <si>
    <t>・データ解析：予測、グルーピング、パターン発見、最適化、シミュレーション・データ同化など　「文理学『数理・データサイエンスＡＩ入門』｣（5回目、
6回目）　
・データ可視化：複合グラフ、2軸グラフ、多次元の可視化、関係性の可視化、地図上の可視化、挙動・軌跡の可視化、リアルタイム可視化など
 「文理学『｢数理・データサイエンスＡＩ入門』｣（6回目）　
・非構造化データ処理：言語処理、画像/動画処理、音声/音楽処理など　「文理学『数理・データサイエンスＡＩ入門』｣（5回目）　
・特化型AIと汎用AI、今のAIで出来ることと出来ないこと、AIとビッグデータ　「文理学『数理・データサイエンスＡＩ入門』｣（4回目～6回目）　
・認識技術、ルールベース、自動化技術　「文理学『数理・データサイエンスＡＩ入門』｣（5回目）　</t>
    <rPh sb="69" eb="71">
      <t>カイメ</t>
    </rPh>
    <rPh sb="74" eb="76">
      <t>カイメ</t>
    </rPh>
    <rPh sb="316" eb="318">
      <t>カイメ</t>
    </rPh>
    <phoneticPr fontId="1"/>
  </si>
  <si>
    <t>・ELSI（Ethical, Legal and Social Issues）　「文理学『数理・データサイエンスＡＩ入門』｣（2回目、5回目）
・個人情報保護、EU一般データ保護規則(GDPR)、忘れられる権利、オプトアウト　「文理学『数理・データサイエンスＡＩ入門』｣（2回目、5回目）
・データ倫理：データのねつ造、改ざん、盗用、プライバシー保護　「文理学『数理・データサイエンスＡＩ入門』｣（2回目）
・AI社会原則（公平性、説明責任、透明性、人間中心の判断）　「文理学『数理・データサイエンスＡＩ入門』｣（2回目、4回目）
・データバイアス、アルゴリズムバイアス　「文理学『数理・データサイエンスＡＩ入門』｣（2回目）
・AIサービスの責任論　　「文理学『数理・データサイエンスＡＩ入門』｣（4回目、5回目）　
・データ・AI活用における負の事例紹介　「文理学『数理・データサイエンスＡＩ入門』｣（4回目、5回目）　</t>
    <rPh sb="64" eb="66">
      <t>カイメ</t>
    </rPh>
    <rPh sb="137" eb="139">
      <t>カイメ</t>
    </rPh>
    <rPh sb="141" eb="143">
      <t>カイメ</t>
    </rPh>
    <rPh sb="262" eb="264">
      <t>カイメ</t>
    </rPh>
    <rPh sb="351" eb="353">
      <t>カイメ</t>
    </rPh>
    <rPh sb="404" eb="406">
      <t>カイメ</t>
    </rPh>
    <phoneticPr fontId="1"/>
  </si>
  <si>
    <t xml:space="preserve">・情報セキュリティ：機密性、完全性、可用性　「文理学『数理・データサイエンスＡＩ入門』｣（1回目、2回目、5回目）
・匿名加工情報、暗号化、パスワード、悪意ある情報搾取　「文理学『数理・データサイエンスＡＩ入門』｣（2回目、5回目）
・情報漏洩等によるセキュリティ事故の事例紹介　「文理学『数理・データサイエンスＡＩ入門』｣（2回目）
</t>
    <rPh sb="46" eb="48">
      <t>カイメ</t>
    </rPh>
    <rPh sb="50" eb="52">
      <t>カイメ</t>
    </rPh>
    <rPh sb="54" eb="56">
      <t>カイメ</t>
    </rPh>
    <rPh sb="116" eb="118">
      <t>カイメ</t>
    </rPh>
    <phoneticPr fontId="1"/>
  </si>
  <si>
    <t>・データの種類（量的変数、質的変数）　「文理学『数理・データサイエンスＡＩ入門』｣（3回目、7回目）
・データの分布(ヒストグラム)と代表値（平均値、中央値、最頻値）　「文理学『数理・データサイエンスＡＩ入門』｣（7回目）、 「情報処理・統計学」
（6回目、7回目、9回目～15回目）
・代表値の性質の違い（実社会では平均値＝最頻値でないことが多い）　「文理学『数理・データサイエンスＡＩ入門』｣（7回目）
・データのばらつき（分散、標準偏差、偏差値）　「文理学『数理・データサイエンスＡＩ入門』｣（7回目）、「情報処理・統計学」（8回目、12回目、
13回目）
・相関と因果（相関係数、擬似相関、交絡）　「文理学『数理・データサイエンスＡＩ入門』｣（7回目）
・母集団と標本抽出（国勢調査、アンケート調査、全数調査、単純無作為抽出、層別抽出、多段抽出）「文理学『数理・データサイエンスＡＩ入門』｣
（3回目、7回目）
・クロス集計表、分割表、相関係数行列、散布図行列　「文理学『数理・データサイエンスＡＩ入門』｣（7回目）、「情報処理」（6回目）
・統計情報の正しい理解（誇張表現に惑わされない）　「文理学『数理・データサイエンスＡＩ入門』｣（3回目）</t>
    <rPh sb="43" eb="45">
      <t>カイメ</t>
    </rPh>
    <rPh sb="47" eb="49">
      <t>カイメ</t>
    </rPh>
    <rPh sb="130" eb="132">
      <t>カイメ</t>
    </rPh>
    <rPh sb="134" eb="135">
      <t>カイ</t>
    </rPh>
    <rPh sb="135" eb="136">
      <t>メ</t>
    </rPh>
    <rPh sb="139" eb="141">
      <t>カイメ</t>
    </rPh>
    <rPh sb="200" eb="202">
      <t>カイメ</t>
    </rPh>
    <rPh sb="268" eb="269">
      <t>メ</t>
    </rPh>
    <rPh sb="272" eb="273">
      <t>カイ</t>
    </rPh>
    <rPh sb="273" eb="274">
      <t>メ</t>
    </rPh>
    <rPh sb="278" eb="280">
      <t>カイメ</t>
    </rPh>
    <rPh sb="413" eb="415">
      <t>カイメ</t>
    </rPh>
    <phoneticPr fontId="1"/>
  </si>
  <si>
    <t>・データ表現（棒グラフ、折線グラフ、散布図、ヒートマップ）　「文理学『数理・データサイエンスＡＩ入門』｣（7回目）、「情報処理・統計学」（5回目）
・データの比較（条件をそろえた比較、処理の前後での比較、A/Bテスト)　「文理学『数理・データサイエンスＡＩ入門』｣（3回目）
・優れた可視化事例の紹介（可視化することによって新たな気づきがあった事例など）　「文理学『数理・データサイエンスＡＩ入門』｣（3回目）</t>
    <rPh sb="59" eb="61">
      <t>ジョウホウ</t>
    </rPh>
    <rPh sb="61" eb="63">
      <t>ショリ</t>
    </rPh>
    <rPh sb="64" eb="67">
      <t>トウケイガク</t>
    </rPh>
    <rPh sb="70" eb="71">
      <t>カイ</t>
    </rPh>
    <rPh sb="71" eb="72">
      <t>メ</t>
    </rPh>
    <phoneticPr fontId="1"/>
  </si>
  <si>
    <t xml:space="preserve">・データの集計（和、平均）　「情報処理・統計学」（2回目～4回目）
・データの並び替え、ランキング　「情報処理・統計学」（2回目～4回目）
・データ解析ツール（スプレッドシート）　「情報処理・統計学」（2回目～4回目）
</t>
    <rPh sb="27" eb="28">
      <t>メ</t>
    </rPh>
    <rPh sb="30" eb="32">
      <t>カイメ</t>
    </rPh>
    <phoneticPr fontId="1"/>
  </si>
  <si>
    <t xml:space="preserve">本学の「徳島文理大学数理・データサイエンス・AIリテラシープログラム」は全１年生を対象とする全学共通教育科目である「文理学」の「数理・データサイエンス・AI入門」７コマと情報処理系科目１科目（薬学部・香川薬学部の「基礎薬学情報処理」、看護学科の「情報処理・統計学」から構成されており、令和５年度の履修率の実績としては、14％である。このプログラムでは、「文理学」と薬学部の「基礎薬学情報処理」、保健福祉学部看護学科の「情報処理・統計学」は必修であるが、薬学部、看護学科以外の学部・学科の「情報処理」と香川薬学部の「基礎薬学情報処理」が選択となっている。今後、この２科目を必修または選択必修とすることを検討し、履修者数・履修率の向上を図りたい。
</t>
    <rPh sb="4" eb="6">
      <t>トクシマ</t>
    </rPh>
    <rPh sb="6" eb="8">
      <t>ブンリ</t>
    </rPh>
    <rPh sb="8" eb="10">
      <t>ダイガク</t>
    </rPh>
    <rPh sb="87" eb="89">
      <t>ショリ</t>
    </rPh>
    <rPh sb="96" eb="99">
      <t>ヤクガクブ</t>
    </rPh>
    <rPh sb="100" eb="102">
      <t>カガワ</t>
    </rPh>
    <rPh sb="102" eb="105">
      <t>ヤクガクブ</t>
    </rPh>
    <rPh sb="107" eb="109">
      <t>キソ</t>
    </rPh>
    <rPh sb="109" eb="111">
      <t>ヤクガク</t>
    </rPh>
    <rPh sb="111" eb="113">
      <t>ジョウホウ</t>
    </rPh>
    <rPh sb="113" eb="115">
      <t>ショリ</t>
    </rPh>
    <rPh sb="117" eb="119">
      <t>カンゴ</t>
    </rPh>
    <rPh sb="119" eb="121">
      <t>ガッカ</t>
    </rPh>
    <rPh sb="123" eb="125">
      <t>ジョウホウ</t>
    </rPh>
    <rPh sb="125" eb="127">
      <t>ショリ</t>
    </rPh>
    <rPh sb="128" eb="131">
      <t>トウケイガク</t>
    </rPh>
    <rPh sb="134" eb="136">
      <t>コウセイ</t>
    </rPh>
    <rPh sb="142" eb="144">
      <t>レイワ</t>
    </rPh>
    <rPh sb="145" eb="147">
      <t>ネンド</t>
    </rPh>
    <rPh sb="148" eb="150">
      <t>リシュウ</t>
    </rPh>
    <rPh sb="150" eb="151">
      <t>リツ</t>
    </rPh>
    <rPh sb="152" eb="154">
      <t>ジッセキ</t>
    </rPh>
    <rPh sb="177" eb="180">
      <t>ブンリガク</t>
    </rPh>
    <rPh sb="182" eb="185">
      <t>ヤクガクブ</t>
    </rPh>
    <rPh sb="187" eb="189">
      <t>キソ</t>
    </rPh>
    <rPh sb="189" eb="191">
      <t>ヤクガク</t>
    </rPh>
    <rPh sb="191" eb="193">
      <t>ジョウホウ</t>
    </rPh>
    <rPh sb="193" eb="195">
      <t>ショリ</t>
    </rPh>
    <rPh sb="197" eb="199">
      <t>ホケン</t>
    </rPh>
    <rPh sb="199" eb="201">
      <t>フクシ</t>
    </rPh>
    <rPh sb="201" eb="203">
      <t>ガクブ</t>
    </rPh>
    <rPh sb="203" eb="205">
      <t>カンゴ</t>
    </rPh>
    <rPh sb="205" eb="207">
      <t>ガッカ</t>
    </rPh>
    <rPh sb="209" eb="211">
      <t>ジョウホウ</t>
    </rPh>
    <rPh sb="211" eb="213">
      <t>ショリ</t>
    </rPh>
    <rPh sb="214" eb="217">
      <t>トウケイガク</t>
    </rPh>
    <rPh sb="219" eb="221">
      <t>ヒッシュウ</t>
    </rPh>
    <rPh sb="226" eb="229">
      <t>ヤクガクブ</t>
    </rPh>
    <rPh sb="230" eb="232">
      <t>カンゴ</t>
    </rPh>
    <rPh sb="232" eb="234">
      <t>ガッカ</t>
    </rPh>
    <rPh sb="234" eb="236">
      <t>イガイ</t>
    </rPh>
    <rPh sb="237" eb="239">
      <t>ガクブ</t>
    </rPh>
    <rPh sb="240" eb="242">
      <t>ガッカ</t>
    </rPh>
    <rPh sb="250" eb="252">
      <t>カガワ</t>
    </rPh>
    <rPh sb="252" eb="255">
      <t>ヤクガクブ</t>
    </rPh>
    <rPh sb="257" eb="259">
      <t>キソ</t>
    </rPh>
    <rPh sb="259" eb="261">
      <t>ヤクガク</t>
    </rPh>
    <rPh sb="261" eb="263">
      <t>ジョウホウ</t>
    </rPh>
    <rPh sb="263" eb="265">
      <t>ショリ</t>
    </rPh>
    <rPh sb="267" eb="269">
      <t>センタク</t>
    </rPh>
    <rPh sb="276" eb="278">
      <t>コンゴ</t>
    </rPh>
    <rPh sb="282" eb="284">
      <t>カモク</t>
    </rPh>
    <rPh sb="285" eb="287">
      <t>ヒッシュウ</t>
    </rPh>
    <rPh sb="290" eb="292">
      <t>センタク</t>
    </rPh>
    <rPh sb="292" eb="294">
      <t>ヒッシュウ</t>
    </rPh>
    <rPh sb="300" eb="302">
      <t>ケントウ</t>
    </rPh>
    <rPh sb="304" eb="307">
      <t>リシュウシャ</t>
    </rPh>
    <rPh sb="307" eb="308">
      <t>スウ</t>
    </rPh>
    <rPh sb="309" eb="311">
      <t>リシュウ</t>
    </rPh>
    <rPh sb="311" eb="312">
      <t>リツ</t>
    </rPh>
    <rPh sb="313" eb="315">
      <t>コウジョウ</t>
    </rPh>
    <rPh sb="316" eb="317">
      <t>ハカ</t>
    </rPh>
    <phoneticPr fontId="1"/>
  </si>
  <si>
    <t>徳島文理大学 数理・データサイエンス・ＡＩリテラシープログラム</t>
    <rPh sb="0" eb="2">
      <t>トクシマ</t>
    </rPh>
    <rPh sb="2" eb="4">
      <t>ブンリ</t>
    </rPh>
    <rPh sb="4" eb="6">
      <t>ダイガク</t>
    </rPh>
    <rPh sb="7" eb="9">
      <t>スウリ</t>
    </rPh>
    <phoneticPr fontId="1"/>
  </si>
  <si>
    <t>様式１－２</t>
    <rPh sb="0" eb="2">
      <t>ヨウシキ</t>
    </rPh>
    <phoneticPr fontId="1"/>
  </si>
  <si>
    <t>様式１－３</t>
    <rPh sb="0" eb="2">
      <t>ヨウシキ</t>
    </rPh>
    <phoneticPr fontId="1"/>
  </si>
  <si>
    <t xml:space="preserve"> 委員長 理工学部 　　　ナノ物質工学科   副学長･学部長･教授  　 梶山　博司
 委　員 人間生活学部 　建築デザイン学科 副学長･学部長･教授     森田　孝夫
 委　員 短期大学部     生活科学科       学部長･科長・教授      岡部　千鶴
 委　員 理工学部 　　　電子情報工学科   学科長･教授         　 古谷　彰教
 委　員 人間生活学部 　ﾒﾃﾞｨｱﾃﾞｻﾞｲﾝ学科  学科長･教授            篠原　靖典
 委　員 短期大学部 　　商科             科長･教授              則包　光徳
 委　員 理工学部 　　　電子情報工学科   教授                　 山本　由和
 委　員 理工学部 　　　電子情報工学科   教授                　 河合　浩行
 委　員 人間生活学部 　ﾒﾃﾞｨｱﾃﾞｻﾞｲﾝ学科  教授                　 古本奈奈代
 委　員 人間生活学部 　ﾒﾃﾞｨｱﾃﾞｻﾞｲﾝ学科  准教授              　 加治　芳雄
 委　員 情報センター 　                 センター長             田尾　公生
 委　員 情報センター 　                 係長                   松田　和也
 事務局 徳島キャンパス 教務部           部長                　 佐々木　尊
 事務局 香川キャンパス 教育研究支援課   課長                　 細川　典宏
 事務局 徳島キャンパス 教務部教務課     係長　　            　 多田　一子
 事務局 香川キャンパス 教務部教務課     係長                　 安藝　和加</t>
    <phoneticPr fontId="1"/>
  </si>
  <si>
    <t>文理学</t>
    <rPh sb="0" eb="3">
      <t>ブンリガク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</si>
</sst>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45"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7"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3" fillId="0" borderId="33"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A5" sqref="A5:U5"/>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9"/>
      <c r="C1" s="74"/>
      <c r="D1" s="74"/>
      <c r="E1" s="74"/>
      <c r="F1" s="74"/>
      <c r="G1" s="74"/>
      <c r="H1" s="74"/>
      <c r="I1" s="74"/>
      <c r="J1" s="74"/>
      <c r="K1" s="74"/>
      <c r="L1" s="74"/>
      <c r="M1" s="74"/>
      <c r="N1" s="74"/>
      <c r="O1" s="74"/>
      <c r="P1" s="74"/>
      <c r="Q1" s="74"/>
      <c r="R1" s="74"/>
      <c r="S1" s="74"/>
      <c r="T1" s="132" t="s">
        <v>158</v>
      </c>
      <c r="U1" s="132"/>
      <c r="V1" s="2" t="s">
        <v>99</v>
      </c>
    </row>
    <row r="2" spans="1:24" ht="18.75" customHeight="1" x14ac:dyDescent="0.15">
      <c r="A2" s="74"/>
      <c r="B2" s="76" t="s">
        <v>98</v>
      </c>
      <c r="C2" s="133" t="s">
        <v>136</v>
      </c>
      <c r="D2" s="134"/>
      <c r="E2" s="134"/>
      <c r="F2" s="134"/>
      <c r="G2" s="134"/>
      <c r="H2" s="134"/>
      <c r="I2" s="134"/>
      <c r="J2" s="135"/>
      <c r="K2" s="75"/>
      <c r="L2" s="77"/>
      <c r="M2" s="77"/>
      <c r="N2" s="77"/>
      <c r="O2" s="77"/>
      <c r="P2" s="77"/>
      <c r="Q2" s="77"/>
      <c r="R2" s="77"/>
      <c r="S2" s="77"/>
      <c r="T2" s="77"/>
      <c r="U2" s="77"/>
    </row>
    <row r="3" spans="1:24" ht="18.75" customHeight="1" x14ac:dyDescent="0.15">
      <c r="A3" s="74"/>
      <c r="B3" s="76" t="s">
        <v>93</v>
      </c>
      <c r="C3" s="253" t="s">
        <v>207</v>
      </c>
      <c r="D3" s="254"/>
      <c r="E3" s="254"/>
      <c r="F3" s="254"/>
      <c r="G3" s="254"/>
      <c r="H3" s="254"/>
      <c r="I3" s="254"/>
      <c r="J3" s="255"/>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13" t="s">
        <v>37</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73"/>
      <c r="G7" s="73"/>
      <c r="H7" s="73"/>
      <c r="I7" s="73"/>
      <c r="J7" s="73"/>
      <c r="K7" s="73"/>
      <c r="L7" s="149" t="s">
        <v>129</v>
      </c>
      <c r="M7" s="150"/>
      <c r="N7" s="150"/>
      <c r="O7" s="150"/>
      <c r="P7" s="150"/>
      <c r="Q7" s="150"/>
      <c r="R7" s="150"/>
      <c r="S7" s="150"/>
      <c r="T7" s="150"/>
      <c r="U7" s="151"/>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52" t="s">
        <v>141</v>
      </c>
      <c r="C11" s="153"/>
      <c r="D11" s="153"/>
      <c r="E11" s="153"/>
      <c r="F11" s="153"/>
      <c r="G11" s="153"/>
      <c r="H11" s="153"/>
      <c r="I11" s="153"/>
      <c r="J11" s="153"/>
      <c r="K11" s="153"/>
      <c r="L11" s="153"/>
      <c r="M11" s="153"/>
      <c r="N11" s="153"/>
      <c r="O11" s="153"/>
      <c r="P11" s="153"/>
      <c r="Q11" s="153"/>
      <c r="R11" s="153"/>
      <c r="S11" s="153"/>
      <c r="T11" s="153"/>
      <c r="U11" s="154"/>
    </row>
    <row r="12" spans="1:24" ht="18" customHeight="1" x14ac:dyDescent="0.15">
      <c r="A12" s="74"/>
      <c r="B12" s="155"/>
      <c r="C12" s="156"/>
      <c r="D12" s="156"/>
      <c r="E12" s="156"/>
      <c r="F12" s="156"/>
      <c r="G12" s="156"/>
      <c r="H12" s="156"/>
      <c r="I12" s="156"/>
      <c r="J12" s="156"/>
      <c r="K12" s="156"/>
      <c r="L12" s="156"/>
      <c r="M12" s="156"/>
      <c r="N12" s="156"/>
      <c r="O12" s="156"/>
      <c r="P12" s="156"/>
      <c r="Q12" s="156"/>
      <c r="R12" s="156"/>
      <c r="S12" s="156"/>
      <c r="T12" s="156"/>
      <c r="U12" s="157"/>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100</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14" t="s">
        <v>175</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x14ac:dyDescent="0.15">
      <c r="A16" s="74"/>
      <c r="B16" s="117"/>
      <c r="C16" s="118"/>
      <c r="D16" s="118"/>
      <c r="E16" s="118"/>
      <c r="F16" s="118"/>
      <c r="G16" s="118"/>
      <c r="H16" s="118"/>
      <c r="I16" s="118"/>
      <c r="J16" s="118"/>
      <c r="K16" s="118"/>
      <c r="L16" s="118"/>
      <c r="M16" s="118"/>
      <c r="N16" s="118"/>
      <c r="O16" s="118"/>
      <c r="P16" s="118"/>
      <c r="Q16" s="118"/>
      <c r="R16" s="118"/>
      <c r="S16" s="118"/>
      <c r="T16" s="118"/>
      <c r="U16" s="119"/>
      <c r="X16" s="1" t="s">
        <v>114</v>
      </c>
    </row>
    <row r="17" spans="1:24" ht="18" customHeight="1" x14ac:dyDescent="0.15">
      <c r="A17" s="74"/>
      <c r="B17" s="117"/>
      <c r="C17" s="118"/>
      <c r="D17" s="118"/>
      <c r="E17" s="118"/>
      <c r="F17" s="118"/>
      <c r="G17" s="118"/>
      <c r="H17" s="118"/>
      <c r="I17" s="118"/>
      <c r="J17" s="118"/>
      <c r="K17" s="118"/>
      <c r="L17" s="118"/>
      <c r="M17" s="118"/>
      <c r="N17" s="118"/>
      <c r="O17" s="118"/>
      <c r="P17" s="118"/>
      <c r="Q17" s="118"/>
      <c r="R17" s="118"/>
      <c r="S17" s="118"/>
      <c r="T17" s="118"/>
      <c r="U17" s="119"/>
      <c r="X17" s="1" t="s">
        <v>115</v>
      </c>
    </row>
    <row r="18" spans="1:24" ht="18" customHeight="1" x14ac:dyDescent="0.15">
      <c r="A18" s="74"/>
      <c r="B18" s="117"/>
      <c r="C18" s="118"/>
      <c r="D18" s="118"/>
      <c r="E18" s="118"/>
      <c r="F18" s="118"/>
      <c r="G18" s="118"/>
      <c r="H18" s="118"/>
      <c r="I18" s="118"/>
      <c r="J18" s="118"/>
      <c r="K18" s="118"/>
      <c r="L18" s="118"/>
      <c r="M18" s="118"/>
      <c r="N18" s="118"/>
      <c r="O18" s="118"/>
      <c r="P18" s="118"/>
      <c r="Q18" s="118"/>
      <c r="R18" s="118"/>
      <c r="S18" s="118"/>
      <c r="T18" s="118"/>
      <c r="U18" s="119"/>
      <c r="X18" s="1" t="s">
        <v>116</v>
      </c>
    </row>
    <row r="19" spans="1:24" ht="18" customHeight="1" x14ac:dyDescent="0.15">
      <c r="A19" s="74"/>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4"/>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2">
        <v>2</v>
      </c>
      <c r="F22" s="74" t="s">
        <v>112</v>
      </c>
      <c r="G22" s="74"/>
      <c r="H22" s="76">
        <v>4</v>
      </c>
      <c r="I22" s="79" t="s">
        <v>113</v>
      </c>
      <c r="J22" s="79"/>
      <c r="K22" s="75"/>
      <c r="L22" s="74"/>
      <c r="M22" s="75" t="s">
        <v>109</v>
      </c>
      <c r="N22" s="146" t="s">
        <v>116</v>
      </c>
      <c r="O22" s="147"/>
      <c r="P22" s="147"/>
      <c r="Q22" s="147"/>
      <c r="R22" s="147"/>
      <c r="S22" s="147"/>
      <c r="T22" s="147"/>
      <c r="U22" s="148"/>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23" t="s">
        <v>101</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51</v>
      </c>
      <c r="C26" s="90"/>
      <c r="D26" s="90"/>
      <c r="E26" s="90"/>
      <c r="F26" s="91"/>
      <c r="G26" s="50" t="s">
        <v>77</v>
      </c>
      <c r="H26" s="49" t="s">
        <v>80</v>
      </c>
      <c r="I26" s="16" t="s">
        <v>54</v>
      </c>
      <c r="J26" s="16" t="s">
        <v>57</v>
      </c>
      <c r="K26" s="89" t="s">
        <v>51</v>
      </c>
      <c r="L26" s="90"/>
      <c r="M26" s="90"/>
      <c r="N26" s="90"/>
      <c r="O26" s="90"/>
      <c r="P26" s="90"/>
      <c r="Q26" s="91"/>
      <c r="R26" s="50" t="s">
        <v>77</v>
      </c>
      <c r="S26" s="49" t="s">
        <v>80</v>
      </c>
      <c r="T26" s="16" t="s">
        <v>54</v>
      </c>
      <c r="U26" s="16" t="s">
        <v>57</v>
      </c>
    </row>
    <row r="27" spans="1:24" ht="18" customHeight="1" x14ac:dyDescent="0.15">
      <c r="B27" s="100" t="s">
        <v>211</v>
      </c>
      <c r="C27" s="101"/>
      <c r="D27" s="101"/>
      <c r="E27" s="101"/>
      <c r="F27" s="102"/>
      <c r="G27" s="17">
        <v>2</v>
      </c>
      <c r="H27" s="17" t="s">
        <v>137</v>
      </c>
      <c r="I27" s="17" t="s">
        <v>137</v>
      </c>
      <c r="J27" s="17" t="s">
        <v>137</v>
      </c>
      <c r="K27" s="100"/>
      <c r="L27" s="101"/>
      <c r="M27" s="101"/>
      <c r="N27" s="101"/>
      <c r="O27" s="101"/>
      <c r="P27" s="101"/>
      <c r="Q27" s="102"/>
      <c r="R27" s="17"/>
      <c r="S27" s="17"/>
      <c r="T27" s="17"/>
      <c r="U27" s="17"/>
    </row>
    <row r="28" spans="1:24" ht="18" customHeight="1" x14ac:dyDescent="0.15">
      <c r="B28" s="92"/>
      <c r="C28" s="93"/>
      <c r="D28" s="93"/>
      <c r="E28" s="93"/>
      <c r="F28" s="94"/>
      <c r="G28" s="18"/>
      <c r="H28" s="18"/>
      <c r="I28" s="18"/>
      <c r="J28" s="18"/>
      <c r="K28" s="92"/>
      <c r="L28" s="93"/>
      <c r="M28" s="93"/>
      <c r="N28" s="93"/>
      <c r="O28" s="93"/>
      <c r="P28" s="93"/>
      <c r="Q28" s="94"/>
      <c r="R28" s="18"/>
      <c r="S28" s="18"/>
      <c r="T28" s="18"/>
      <c r="U28" s="18"/>
    </row>
    <row r="29" spans="1:24" ht="18" customHeight="1" x14ac:dyDescent="0.15">
      <c r="B29" s="92"/>
      <c r="C29" s="93"/>
      <c r="D29" s="93"/>
      <c r="E29" s="93"/>
      <c r="F29" s="94"/>
      <c r="G29" s="18"/>
      <c r="H29" s="18"/>
      <c r="I29" s="18"/>
      <c r="J29" s="18"/>
      <c r="K29" s="92"/>
      <c r="L29" s="93"/>
      <c r="M29" s="93"/>
      <c r="N29" s="93"/>
      <c r="O29" s="93"/>
      <c r="P29" s="93"/>
      <c r="Q29" s="94"/>
      <c r="R29" s="18"/>
      <c r="S29" s="18"/>
      <c r="T29" s="18"/>
      <c r="U29" s="18"/>
    </row>
    <row r="30" spans="1:24" ht="18" customHeight="1" x14ac:dyDescent="0.15">
      <c r="B30" s="92"/>
      <c r="C30" s="93"/>
      <c r="D30" s="93"/>
      <c r="E30" s="93"/>
      <c r="F30" s="94"/>
      <c r="G30" s="18"/>
      <c r="H30" s="18"/>
      <c r="I30" s="18"/>
      <c r="J30" s="18"/>
      <c r="K30" s="92"/>
      <c r="L30" s="93"/>
      <c r="M30" s="93"/>
      <c r="N30" s="93"/>
      <c r="O30" s="93"/>
      <c r="P30" s="93"/>
      <c r="Q30" s="94"/>
      <c r="R30" s="18"/>
      <c r="S30" s="18"/>
      <c r="T30" s="18"/>
      <c r="U30" s="18"/>
    </row>
    <row r="31" spans="1:24" ht="18" customHeight="1" x14ac:dyDescent="0.15">
      <c r="B31" s="92"/>
      <c r="C31" s="93"/>
      <c r="D31" s="93"/>
      <c r="E31" s="93"/>
      <c r="F31" s="94"/>
      <c r="G31" s="18"/>
      <c r="H31" s="18"/>
      <c r="I31" s="18"/>
      <c r="J31" s="18"/>
      <c r="K31" s="92"/>
      <c r="L31" s="93"/>
      <c r="M31" s="93"/>
      <c r="N31" s="93"/>
      <c r="O31" s="93"/>
      <c r="P31" s="93"/>
      <c r="Q31" s="94"/>
      <c r="R31" s="18"/>
      <c r="S31" s="18"/>
      <c r="T31" s="18"/>
      <c r="U31" s="18"/>
    </row>
    <row r="32" spans="1:24" ht="18" customHeight="1" x14ac:dyDescent="0.15">
      <c r="A32" s="3"/>
      <c r="B32" s="92"/>
      <c r="C32" s="93"/>
      <c r="D32" s="93"/>
      <c r="E32" s="93"/>
      <c r="F32" s="94"/>
      <c r="G32" s="18"/>
      <c r="H32" s="18"/>
      <c r="I32" s="18"/>
      <c r="J32" s="18"/>
      <c r="K32" s="92"/>
      <c r="L32" s="93"/>
      <c r="M32" s="93"/>
      <c r="N32" s="93"/>
      <c r="O32" s="93"/>
      <c r="P32" s="93"/>
      <c r="Q32" s="94"/>
      <c r="R32" s="18"/>
      <c r="S32" s="18"/>
      <c r="T32" s="18"/>
      <c r="U32" s="18"/>
    </row>
    <row r="33" spans="1:21" ht="18" customHeight="1" x14ac:dyDescent="0.15">
      <c r="A33" s="3"/>
      <c r="B33" s="95"/>
      <c r="C33" s="96"/>
      <c r="D33" s="96"/>
      <c r="E33" s="96"/>
      <c r="F33" s="97"/>
      <c r="G33" s="19"/>
      <c r="H33" s="19"/>
      <c r="I33" s="20"/>
      <c r="J33" s="20"/>
      <c r="K33" s="95"/>
      <c r="L33" s="96"/>
      <c r="M33" s="96"/>
      <c r="N33" s="96"/>
      <c r="O33" s="96"/>
      <c r="P33" s="96"/>
      <c r="Q33" s="97"/>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102</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51</v>
      </c>
      <c r="C37" s="90"/>
      <c r="D37" s="90"/>
      <c r="E37" s="90"/>
      <c r="F37" s="91"/>
      <c r="G37" s="50" t="s">
        <v>77</v>
      </c>
      <c r="H37" s="49" t="s">
        <v>80</v>
      </c>
      <c r="I37" s="16" t="s">
        <v>68</v>
      </c>
      <c r="J37" s="16" t="s">
        <v>69</v>
      </c>
      <c r="K37" s="89" t="s">
        <v>51</v>
      </c>
      <c r="L37" s="90"/>
      <c r="M37" s="90"/>
      <c r="N37" s="90"/>
      <c r="O37" s="90"/>
      <c r="P37" s="90"/>
      <c r="Q37" s="91"/>
      <c r="R37" s="50" t="s">
        <v>77</v>
      </c>
      <c r="S37" s="49" t="s">
        <v>80</v>
      </c>
      <c r="T37" s="16" t="s">
        <v>68</v>
      </c>
      <c r="U37" s="16" t="s">
        <v>69</v>
      </c>
    </row>
    <row r="38" spans="1:21" ht="18" customHeight="1" x14ac:dyDescent="0.15">
      <c r="B38" s="100" t="s">
        <v>211</v>
      </c>
      <c r="C38" s="101"/>
      <c r="D38" s="101"/>
      <c r="E38" s="101"/>
      <c r="F38" s="102"/>
      <c r="G38" s="17">
        <v>2</v>
      </c>
      <c r="H38" s="17" t="s">
        <v>137</v>
      </c>
      <c r="I38" s="17" t="s">
        <v>137</v>
      </c>
      <c r="J38" s="17" t="s">
        <v>137</v>
      </c>
      <c r="K38" s="100"/>
      <c r="L38" s="101"/>
      <c r="M38" s="101"/>
      <c r="N38" s="101"/>
      <c r="O38" s="101"/>
      <c r="P38" s="101"/>
      <c r="Q38" s="102"/>
      <c r="R38" s="17"/>
      <c r="S38" s="17"/>
      <c r="T38" s="17"/>
      <c r="U38" s="17"/>
    </row>
    <row r="39" spans="1:21" ht="18" customHeight="1" x14ac:dyDescent="0.15">
      <c r="B39" s="92"/>
      <c r="C39" s="93"/>
      <c r="D39" s="93"/>
      <c r="E39" s="93"/>
      <c r="F39" s="94"/>
      <c r="G39" s="18"/>
      <c r="H39" s="18"/>
      <c r="I39" s="18"/>
      <c r="J39" s="18"/>
      <c r="K39" s="92"/>
      <c r="L39" s="93"/>
      <c r="M39" s="93"/>
      <c r="N39" s="93"/>
      <c r="O39" s="93"/>
      <c r="P39" s="93"/>
      <c r="Q39" s="94"/>
      <c r="R39" s="18"/>
      <c r="S39" s="18"/>
      <c r="T39" s="18"/>
      <c r="U39" s="18"/>
    </row>
    <row r="40" spans="1:21" ht="18" customHeight="1" x14ac:dyDescent="0.15">
      <c r="B40" s="92"/>
      <c r="C40" s="93"/>
      <c r="D40" s="93"/>
      <c r="E40" s="93"/>
      <c r="F40" s="94"/>
      <c r="G40" s="18"/>
      <c r="H40" s="18"/>
      <c r="I40" s="18"/>
      <c r="J40" s="18"/>
      <c r="K40" s="92"/>
      <c r="L40" s="93"/>
      <c r="M40" s="93"/>
      <c r="N40" s="93"/>
      <c r="O40" s="93"/>
      <c r="P40" s="93"/>
      <c r="Q40" s="94"/>
      <c r="R40" s="18"/>
      <c r="S40" s="18"/>
      <c r="T40" s="18"/>
      <c r="U40" s="18"/>
    </row>
    <row r="41" spans="1:21" ht="18" customHeight="1" x14ac:dyDescent="0.15">
      <c r="B41" s="92"/>
      <c r="C41" s="93"/>
      <c r="D41" s="93"/>
      <c r="E41" s="93"/>
      <c r="F41" s="94"/>
      <c r="G41" s="18"/>
      <c r="H41" s="18"/>
      <c r="I41" s="18"/>
      <c r="J41" s="18"/>
      <c r="K41" s="92"/>
      <c r="L41" s="93"/>
      <c r="M41" s="93"/>
      <c r="N41" s="93"/>
      <c r="O41" s="93"/>
      <c r="P41" s="93"/>
      <c r="Q41" s="94"/>
      <c r="R41" s="18"/>
      <c r="S41" s="18"/>
      <c r="T41" s="18"/>
      <c r="U41" s="18"/>
    </row>
    <row r="42" spans="1:21" ht="18" customHeight="1" x14ac:dyDescent="0.15">
      <c r="B42" s="92"/>
      <c r="C42" s="93"/>
      <c r="D42" s="93"/>
      <c r="E42" s="93"/>
      <c r="F42" s="94"/>
      <c r="G42" s="18"/>
      <c r="H42" s="18"/>
      <c r="I42" s="18"/>
      <c r="J42" s="18"/>
      <c r="K42" s="92"/>
      <c r="L42" s="93"/>
      <c r="M42" s="93"/>
      <c r="N42" s="93"/>
      <c r="O42" s="93"/>
      <c r="P42" s="93"/>
      <c r="Q42" s="94"/>
      <c r="R42" s="18"/>
      <c r="S42" s="18"/>
      <c r="T42" s="18"/>
      <c r="U42" s="18"/>
    </row>
    <row r="43" spans="1:21" ht="18" customHeight="1" x14ac:dyDescent="0.15">
      <c r="B43" s="92"/>
      <c r="C43" s="93"/>
      <c r="D43" s="93"/>
      <c r="E43" s="93"/>
      <c r="F43" s="94"/>
      <c r="G43" s="18"/>
      <c r="H43" s="18"/>
      <c r="I43" s="18"/>
      <c r="J43" s="18"/>
      <c r="K43" s="92"/>
      <c r="L43" s="93"/>
      <c r="M43" s="93"/>
      <c r="N43" s="93"/>
      <c r="O43" s="93"/>
      <c r="P43" s="93"/>
      <c r="Q43" s="94"/>
      <c r="R43" s="18"/>
      <c r="S43" s="18"/>
      <c r="T43" s="18"/>
      <c r="U43" s="18"/>
    </row>
    <row r="44" spans="1:21" ht="18" customHeight="1" x14ac:dyDescent="0.15">
      <c r="B44" s="95"/>
      <c r="C44" s="96"/>
      <c r="D44" s="96"/>
      <c r="E44" s="96"/>
      <c r="F44" s="97"/>
      <c r="G44" s="19"/>
      <c r="H44" s="19"/>
      <c r="I44" s="20"/>
      <c r="J44" s="20"/>
      <c r="K44" s="95"/>
      <c r="L44" s="96"/>
      <c r="M44" s="96"/>
      <c r="N44" s="96"/>
      <c r="O44" s="96"/>
      <c r="P44" s="96"/>
      <c r="Q44" s="97"/>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103</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51</v>
      </c>
      <c r="C48" s="90"/>
      <c r="D48" s="90"/>
      <c r="E48" s="90"/>
      <c r="F48" s="91"/>
      <c r="G48" s="50" t="s">
        <v>77</v>
      </c>
      <c r="H48" s="49" t="s">
        <v>80</v>
      </c>
      <c r="I48" s="16" t="s">
        <v>70</v>
      </c>
      <c r="J48" s="16" t="s">
        <v>71</v>
      </c>
      <c r="K48" s="89" t="s">
        <v>51</v>
      </c>
      <c r="L48" s="90"/>
      <c r="M48" s="90"/>
      <c r="N48" s="90"/>
      <c r="O48" s="90"/>
      <c r="P48" s="90"/>
      <c r="Q48" s="91"/>
      <c r="R48" s="50" t="s">
        <v>77</v>
      </c>
      <c r="S48" s="49" t="s">
        <v>80</v>
      </c>
      <c r="T48" s="16" t="s">
        <v>70</v>
      </c>
      <c r="U48" s="16" t="s">
        <v>71</v>
      </c>
    </row>
    <row r="49" spans="1:21" ht="18" customHeight="1" x14ac:dyDescent="0.15">
      <c r="A49" s="3"/>
      <c r="B49" s="100" t="s">
        <v>211</v>
      </c>
      <c r="C49" s="101"/>
      <c r="D49" s="101"/>
      <c r="E49" s="101"/>
      <c r="F49" s="102"/>
      <c r="G49" s="17">
        <v>2</v>
      </c>
      <c r="H49" s="17" t="s">
        <v>137</v>
      </c>
      <c r="I49" s="17" t="s">
        <v>137</v>
      </c>
      <c r="J49" s="17" t="s">
        <v>137</v>
      </c>
      <c r="K49" s="100"/>
      <c r="L49" s="101"/>
      <c r="M49" s="101"/>
      <c r="N49" s="101"/>
      <c r="O49" s="101"/>
      <c r="P49" s="101"/>
      <c r="Q49" s="102"/>
      <c r="R49" s="17"/>
      <c r="S49" s="17"/>
      <c r="T49" s="17"/>
      <c r="U49" s="17"/>
    </row>
    <row r="50" spans="1:21" ht="18" customHeight="1" x14ac:dyDescent="0.15">
      <c r="A50" s="3"/>
      <c r="B50" s="92"/>
      <c r="C50" s="93"/>
      <c r="D50" s="93"/>
      <c r="E50" s="93"/>
      <c r="F50" s="94"/>
      <c r="G50" s="18"/>
      <c r="H50" s="18"/>
      <c r="I50" s="18"/>
      <c r="J50" s="18"/>
      <c r="K50" s="92"/>
      <c r="L50" s="93"/>
      <c r="M50" s="93"/>
      <c r="N50" s="93"/>
      <c r="O50" s="93"/>
      <c r="P50" s="93"/>
      <c r="Q50" s="94"/>
      <c r="R50" s="18"/>
      <c r="S50" s="18"/>
      <c r="T50" s="18"/>
      <c r="U50" s="18"/>
    </row>
    <row r="51" spans="1:21" ht="18" customHeight="1" x14ac:dyDescent="0.15">
      <c r="A51" s="3"/>
      <c r="B51" s="92"/>
      <c r="C51" s="93"/>
      <c r="D51" s="93"/>
      <c r="E51" s="93"/>
      <c r="F51" s="94"/>
      <c r="G51" s="18"/>
      <c r="H51" s="18"/>
      <c r="I51" s="18"/>
      <c r="J51" s="18"/>
      <c r="K51" s="92"/>
      <c r="L51" s="93"/>
      <c r="M51" s="93"/>
      <c r="N51" s="93"/>
      <c r="O51" s="93"/>
      <c r="P51" s="93"/>
      <c r="Q51" s="94"/>
      <c r="R51" s="18"/>
      <c r="S51" s="18"/>
      <c r="T51" s="18"/>
      <c r="U51" s="18"/>
    </row>
    <row r="52" spans="1:21" ht="18" customHeight="1" x14ac:dyDescent="0.15">
      <c r="A52" s="3"/>
      <c r="B52" s="92"/>
      <c r="C52" s="93"/>
      <c r="D52" s="93"/>
      <c r="E52" s="93"/>
      <c r="F52" s="94"/>
      <c r="G52" s="18"/>
      <c r="H52" s="18"/>
      <c r="I52" s="18"/>
      <c r="J52" s="18"/>
      <c r="K52" s="92"/>
      <c r="L52" s="93"/>
      <c r="M52" s="93"/>
      <c r="N52" s="93"/>
      <c r="O52" s="93"/>
      <c r="P52" s="93"/>
      <c r="Q52" s="94"/>
      <c r="R52" s="18"/>
      <c r="S52" s="18"/>
      <c r="T52" s="18"/>
      <c r="U52" s="18"/>
    </row>
    <row r="53" spans="1:21" ht="18" customHeight="1" x14ac:dyDescent="0.15">
      <c r="A53" s="3"/>
      <c r="B53" s="92"/>
      <c r="C53" s="93"/>
      <c r="D53" s="93"/>
      <c r="E53" s="93"/>
      <c r="F53" s="94"/>
      <c r="G53" s="18"/>
      <c r="H53" s="18"/>
      <c r="I53" s="18"/>
      <c r="J53" s="18"/>
      <c r="K53" s="92"/>
      <c r="L53" s="93"/>
      <c r="M53" s="93"/>
      <c r="N53" s="93"/>
      <c r="O53" s="93"/>
      <c r="P53" s="93"/>
      <c r="Q53" s="94"/>
      <c r="R53" s="18"/>
      <c r="S53" s="18"/>
      <c r="T53" s="18"/>
      <c r="U53" s="18"/>
    </row>
    <row r="54" spans="1:21" ht="18" customHeight="1" x14ac:dyDescent="0.15">
      <c r="A54" s="3"/>
      <c r="B54" s="92"/>
      <c r="C54" s="93"/>
      <c r="D54" s="93"/>
      <c r="E54" s="93"/>
      <c r="F54" s="94"/>
      <c r="G54" s="18"/>
      <c r="H54" s="18"/>
      <c r="I54" s="18"/>
      <c r="J54" s="18"/>
      <c r="K54" s="92"/>
      <c r="L54" s="93"/>
      <c r="M54" s="93"/>
      <c r="N54" s="93"/>
      <c r="O54" s="93"/>
      <c r="P54" s="93"/>
      <c r="Q54" s="94"/>
      <c r="R54" s="18"/>
      <c r="S54" s="18"/>
      <c r="T54" s="18"/>
      <c r="U54" s="18"/>
    </row>
    <row r="55" spans="1:21" ht="18" customHeight="1" x14ac:dyDescent="0.15">
      <c r="A55" s="3"/>
      <c r="B55" s="95"/>
      <c r="C55" s="96"/>
      <c r="D55" s="96"/>
      <c r="E55" s="96"/>
      <c r="F55" s="97"/>
      <c r="G55" s="19"/>
      <c r="H55" s="19"/>
      <c r="I55" s="20"/>
      <c r="J55" s="20"/>
      <c r="K55" s="95"/>
      <c r="L55" s="96"/>
      <c r="M55" s="96"/>
      <c r="N55" s="96"/>
      <c r="O55" s="96"/>
      <c r="P55" s="96"/>
      <c r="Q55" s="97"/>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3" t="s">
        <v>104</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51</v>
      </c>
      <c r="C59" s="90"/>
      <c r="D59" s="90"/>
      <c r="E59" s="90"/>
      <c r="F59" s="91"/>
      <c r="G59" s="50" t="s">
        <v>77</v>
      </c>
      <c r="H59" s="49" t="s">
        <v>80</v>
      </c>
      <c r="I59" s="16" t="s">
        <v>56</v>
      </c>
      <c r="J59" s="16" t="s">
        <v>58</v>
      </c>
      <c r="K59" s="89" t="s">
        <v>51</v>
      </c>
      <c r="L59" s="90"/>
      <c r="M59" s="90"/>
      <c r="N59" s="90"/>
      <c r="O59" s="90"/>
      <c r="P59" s="90"/>
      <c r="Q59" s="91"/>
      <c r="R59" s="50" t="s">
        <v>77</v>
      </c>
      <c r="S59" s="49" t="s">
        <v>80</v>
      </c>
      <c r="T59" s="16" t="s">
        <v>56</v>
      </c>
      <c r="U59" s="16" t="s">
        <v>58</v>
      </c>
    </row>
    <row r="60" spans="1:21" ht="18" customHeight="1" x14ac:dyDescent="0.15">
      <c r="A60" s="3"/>
      <c r="B60" s="100" t="s">
        <v>211</v>
      </c>
      <c r="C60" s="101"/>
      <c r="D60" s="101"/>
      <c r="E60" s="101"/>
      <c r="F60" s="102"/>
      <c r="G60" s="17">
        <v>2</v>
      </c>
      <c r="H60" s="17" t="s">
        <v>137</v>
      </c>
      <c r="I60" s="17" t="s">
        <v>137</v>
      </c>
      <c r="J60" s="17" t="s">
        <v>137</v>
      </c>
      <c r="K60" s="100"/>
      <c r="L60" s="101"/>
      <c r="M60" s="101"/>
      <c r="N60" s="101"/>
      <c r="O60" s="101"/>
      <c r="P60" s="101"/>
      <c r="Q60" s="102"/>
      <c r="R60" s="17"/>
      <c r="S60" s="17"/>
      <c r="T60" s="17"/>
      <c r="U60" s="17"/>
    </row>
    <row r="61" spans="1:21" ht="18" customHeight="1" x14ac:dyDescent="0.15">
      <c r="A61" s="3"/>
      <c r="B61" s="92"/>
      <c r="C61" s="93"/>
      <c r="D61" s="93"/>
      <c r="E61" s="93"/>
      <c r="F61" s="94"/>
      <c r="G61" s="18"/>
      <c r="H61" s="18"/>
      <c r="I61" s="18"/>
      <c r="J61" s="18"/>
      <c r="K61" s="92"/>
      <c r="L61" s="93"/>
      <c r="M61" s="93"/>
      <c r="N61" s="93"/>
      <c r="O61" s="93"/>
      <c r="P61" s="93"/>
      <c r="Q61" s="94"/>
      <c r="R61" s="18"/>
      <c r="S61" s="18"/>
      <c r="T61" s="18"/>
      <c r="U61" s="18"/>
    </row>
    <row r="62" spans="1:21" ht="18" customHeight="1" x14ac:dyDescent="0.15">
      <c r="A62" s="3"/>
      <c r="B62" s="92"/>
      <c r="C62" s="93"/>
      <c r="D62" s="93"/>
      <c r="E62" s="93"/>
      <c r="F62" s="94"/>
      <c r="G62" s="18"/>
      <c r="H62" s="18"/>
      <c r="I62" s="18"/>
      <c r="J62" s="18"/>
      <c r="K62" s="92"/>
      <c r="L62" s="93"/>
      <c r="M62" s="93"/>
      <c r="N62" s="93"/>
      <c r="O62" s="93"/>
      <c r="P62" s="93"/>
      <c r="Q62" s="94"/>
      <c r="R62" s="18"/>
      <c r="S62" s="18"/>
      <c r="T62" s="18"/>
      <c r="U62" s="18"/>
    </row>
    <row r="63" spans="1:21" ht="18" customHeight="1" x14ac:dyDescent="0.15">
      <c r="A63" s="3"/>
      <c r="B63" s="92"/>
      <c r="C63" s="93"/>
      <c r="D63" s="93"/>
      <c r="E63" s="93"/>
      <c r="F63" s="94"/>
      <c r="G63" s="18"/>
      <c r="H63" s="18"/>
      <c r="I63" s="18"/>
      <c r="J63" s="18"/>
      <c r="K63" s="92"/>
      <c r="L63" s="93"/>
      <c r="M63" s="93"/>
      <c r="N63" s="93"/>
      <c r="O63" s="93"/>
      <c r="P63" s="93"/>
      <c r="Q63" s="94"/>
      <c r="R63" s="18"/>
      <c r="S63" s="18"/>
      <c r="T63" s="18"/>
      <c r="U63" s="18"/>
    </row>
    <row r="64" spans="1:21" ht="18" customHeight="1" x14ac:dyDescent="0.15">
      <c r="A64" s="3"/>
      <c r="B64" s="92"/>
      <c r="C64" s="93"/>
      <c r="D64" s="93"/>
      <c r="E64" s="93"/>
      <c r="F64" s="94"/>
      <c r="G64" s="18"/>
      <c r="H64" s="18"/>
      <c r="I64" s="18"/>
      <c r="J64" s="18"/>
      <c r="K64" s="92"/>
      <c r="L64" s="93"/>
      <c r="M64" s="93"/>
      <c r="N64" s="93"/>
      <c r="O64" s="93"/>
      <c r="P64" s="93"/>
      <c r="Q64" s="94"/>
      <c r="R64" s="18"/>
      <c r="S64" s="18"/>
      <c r="T64" s="18"/>
      <c r="U64" s="18"/>
    </row>
    <row r="65" spans="1:21" ht="18" customHeight="1" x14ac:dyDescent="0.15">
      <c r="A65" s="3"/>
      <c r="B65" s="92"/>
      <c r="C65" s="93"/>
      <c r="D65" s="93"/>
      <c r="E65" s="93"/>
      <c r="F65" s="94"/>
      <c r="G65" s="18"/>
      <c r="H65" s="18"/>
      <c r="I65" s="18"/>
      <c r="J65" s="18"/>
      <c r="K65" s="92"/>
      <c r="L65" s="93"/>
      <c r="M65" s="93"/>
      <c r="N65" s="93"/>
      <c r="O65" s="93"/>
      <c r="P65" s="93"/>
      <c r="Q65" s="94"/>
      <c r="R65" s="18"/>
      <c r="S65" s="18"/>
      <c r="T65" s="18"/>
      <c r="U65" s="18"/>
    </row>
    <row r="66" spans="1:21" ht="18" customHeight="1" x14ac:dyDescent="0.15">
      <c r="A66" s="3"/>
      <c r="B66" s="95"/>
      <c r="C66" s="96"/>
      <c r="D66" s="96"/>
      <c r="E66" s="96"/>
      <c r="F66" s="97"/>
      <c r="G66" s="19"/>
      <c r="H66" s="19"/>
      <c r="I66" s="20"/>
      <c r="J66" s="20"/>
      <c r="K66" s="95"/>
      <c r="L66" s="96"/>
      <c r="M66" s="96"/>
      <c r="N66" s="96"/>
      <c r="O66" s="96"/>
      <c r="P66" s="96"/>
      <c r="Q66" s="97"/>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3" t="s">
        <v>105</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51</v>
      </c>
      <c r="C70" s="90"/>
      <c r="D70" s="90"/>
      <c r="E70" s="90"/>
      <c r="F70" s="50" t="s">
        <v>77</v>
      </c>
      <c r="G70" s="49" t="s">
        <v>80</v>
      </c>
      <c r="H70" s="16" t="s">
        <v>92</v>
      </c>
      <c r="I70" s="16" t="s">
        <v>72</v>
      </c>
      <c r="J70" s="16" t="s">
        <v>73</v>
      </c>
      <c r="K70" s="89" t="s">
        <v>51</v>
      </c>
      <c r="L70" s="90"/>
      <c r="M70" s="90"/>
      <c r="N70" s="90"/>
      <c r="O70" s="90"/>
      <c r="P70" s="91"/>
      <c r="Q70" s="50" t="s">
        <v>77</v>
      </c>
      <c r="R70" s="49" t="s">
        <v>80</v>
      </c>
      <c r="S70" s="16" t="s">
        <v>92</v>
      </c>
      <c r="T70" s="16" t="s">
        <v>72</v>
      </c>
      <c r="U70" s="16" t="s">
        <v>73</v>
      </c>
    </row>
    <row r="71" spans="1:21" ht="18" customHeight="1" x14ac:dyDescent="0.15">
      <c r="A71" s="3"/>
      <c r="B71" s="100" t="s">
        <v>211</v>
      </c>
      <c r="C71" s="101"/>
      <c r="D71" s="101"/>
      <c r="E71" s="101"/>
      <c r="F71" s="17">
        <v>2</v>
      </c>
      <c r="G71" s="17" t="s">
        <v>137</v>
      </c>
      <c r="H71" s="17" t="s">
        <v>137</v>
      </c>
      <c r="I71" s="17"/>
      <c r="J71" s="17"/>
      <c r="K71" s="100"/>
      <c r="L71" s="101"/>
      <c r="M71" s="101"/>
      <c r="N71" s="101"/>
      <c r="O71" s="101"/>
      <c r="P71" s="102"/>
      <c r="Q71" s="17"/>
      <c r="R71" s="17"/>
      <c r="S71" s="17"/>
      <c r="T71" s="17"/>
      <c r="U71" s="17"/>
    </row>
    <row r="72" spans="1:21" ht="18" customHeight="1" x14ac:dyDescent="0.15">
      <c r="A72" s="3"/>
      <c r="B72" s="92" t="s">
        <v>138</v>
      </c>
      <c r="C72" s="93"/>
      <c r="D72" s="93"/>
      <c r="E72" s="93"/>
      <c r="F72" s="18">
        <v>2</v>
      </c>
      <c r="G72" s="18" t="s">
        <v>137</v>
      </c>
      <c r="H72" s="18" t="s">
        <v>137</v>
      </c>
      <c r="I72" s="18" t="s">
        <v>137</v>
      </c>
      <c r="J72" s="18" t="s">
        <v>137</v>
      </c>
      <c r="K72" s="92"/>
      <c r="L72" s="93"/>
      <c r="M72" s="93"/>
      <c r="N72" s="93"/>
      <c r="O72" s="93"/>
      <c r="P72" s="94"/>
      <c r="Q72" s="18"/>
      <c r="R72" s="18"/>
      <c r="S72" s="18"/>
      <c r="T72" s="18"/>
      <c r="U72" s="18"/>
    </row>
    <row r="73" spans="1:21" ht="18" customHeight="1" x14ac:dyDescent="0.15">
      <c r="A73" s="3"/>
      <c r="B73" s="92"/>
      <c r="C73" s="93"/>
      <c r="D73" s="93"/>
      <c r="E73" s="93"/>
      <c r="F73" s="18"/>
      <c r="G73" s="18"/>
      <c r="H73" s="18"/>
      <c r="I73" s="18"/>
      <c r="J73" s="18"/>
      <c r="K73" s="92"/>
      <c r="L73" s="93"/>
      <c r="M73" s="93"/>
      <c r="N73" s="93"/>
      <c r="O73" s="93"/>
      <c r="P73" s="94"/>
      <c r="Q73" s="18"/>
      <c r="R73" s="18"/>
      <c r="S73" s="18"/>
      <c r="T73" s="18"/>
      <c r="U73" s="18"/>
    </row>
    <row r="74" spans="1:21" ht="18" customHeight="1" x14ac:dyDescent="0.15">
      <c r="A74" s="3"/>
      <c r="B74" s="92"/>
      <c r="C74" s="93"/>
      <c r="D74" s="93"/>
      <c r="E74" s="93"/>
      <c r="F74" s="18"/>
      <c r="G74" s="18"/>
      <c r="H74" s="18"/>
      <c r="I74" s="18"/>
      <c r="J74" s="18"/>
      <c r="K74" s="92"/>
      <c r="L74" s="93"/>
      <c r="M74" s="93"/>
      <c r="N74" s="93"/>
      <c r="O74" s="93"/>
      <c r="P74" s="94"/>
      <c r="Q74" s="18"/>
      <c r="R74" s="18"/>
      <c r="S74" s="18"/>
      <c r="T74" s="18"/>
      <c r="U74" s="18"/>
    </row>
    <row r="75" spans="1:21" ht="18" customHeight="1" x14ac:dyDescent="0.15">
      <c r="A75" s="3"/>
      <c r="B75" s="92"/>
      <c r="C75" s="93"/>
      <c r="D75" s="93"/>
      <c r="E75" s="93"/>
      <c r="F75" s="18"/>
      <c r="G75" s="18"/>
      <c r="H75" s="18"/>
      <c r="I75" s="18"/>
      <c r="J75" s="18"/>
      <c r="K75" s="92"/>
      <c r="L75" s="93"/>
      <c r="M75" s="93"/>
      <c r="N75" s="93"/>
      <c r="O75" s="93"/>
      <c r="P75" s="94"/>
      <c r="Q75" s="18"/>
      <c r="R75" s="18"/>
      <c r="S75" s="18"/>
      <c r="T75" s="18"/>
      <c r="U75" s="18"/>
    </row>
    <row r="76" spans="1:21" ht="18" customHeight="1" x14ac:dyDescent="0.15">
      <c r="A76" s="3"/>
      <c r="B76" s="92"/>
      <c r="C76" s="93"/>
      <c r="D76" s="93"/>
      <c r="E76" s="93"/>
      <c r="F76" s="18"/>
      <c r="G76" s="18"/>
      <c r="H76" s="18"/>
      <c r="I76" s="18"/>
      <c r="J76" s="18"/>
      <c r="K76" s="92"/>
      <c r="L76" s="93"/>
      <c r="M76" s="93"/>
      <c r="N76" s="93"/>
      <c r="O76" s="93"/>
      <c r="P76" s="94"/>
      <c r="Q76" s="18"/>
      <c r="R76" s="18"/>
      <c r="S76" s="18"/>
      <c r="T76" s="18"/>
      <c r="U76" s="18"/>
    </row>
    <row r="77" spans="1:21" ht="18" customHeight="1" x14ac:dyDescent="0.15">
      <c r="A77" s="3"/>
      <c r="B77" s="95"/>
      <c r="C77" s="96"/>
      <c r="D77" s="96"/>
      <c r="E77" s="96"/>
      <c r="F77" s="19"/>
      <c r="G77" s="19"/>
      <c r="H77" s="20"/>
      <c r="I77" s="20"/>
      <c r="J77" s="20"/>
      <c r="K77" s="95"/>
      <c r="L77" s="96"/>
      <c r="M77" s="96"/>
      <c r="N77" s="96"/>
      <c r="O77" s="96"/>
      <c r="P77" s="97"/>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89" t="s">
        <v>51</v>
      </c>
      <c r="C80" s="90"/>
      <c r="D80" s="90"/>
      <c r="E80" s="90"/>
      <c r="F80" s="91"/>
      <c r="G80" s="89" t="s">
        <v>78</v>
      </c>
      <c r="H80" s="90"/>
      <c r="I80" s="90"/>
      <c r="J80" s="91"/>
      <c r="K80" s="109" t="s">
        <v>51</v>
      </c>
      <c r="L80" s="110"/>
      <c r="M80" s="110"/>
      <c r="N80" s="110"/>
      <c r="O80" s="110"/>
      <c r="P80" s="110"/>
      <c r="Q80" s="111"/>
      <c r="R80" s="89" t="s">
        <v>78</v>
      </c>
      <c r="S80" s="90"/>
      <c r="T80" s="90"/>
      <c r="U80" s="91"/>
    </row>
    <row r="81" spans="1:21" ht="18" customHeight="1" x14ac:dyDescent="0.15">
      <c r="A81" s="3"/>
      <c r="B81" s="100"/>
      <c r="C81" s="101"/>
      <c r="D81" s="101"/>
      <c r="E81" s="101"/>
      <c r="F81" s="102"/>
      <c r="G81" s="104"/>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0" t="s">
        <v>52</v>
      </c>
      <c r="C90" s="131"/>
      <c r="D90" s="89" t="s">
        <v>53</v>
      </c>
      <c r="E90" s="90"/>
      <c r="F90" s="90"/>
      <c r="G90" s="90"/>
      <c r="H90" s="90"/>
      <c r="I90" s="90"/>
      <c r="J90" s="90"/>
      <c r="K90" s="90"/>
      <c r="L90" s="90"/>
      <c r="M90" s="90"/>
      <c r="N90" s="90"/>
      <c r="O90" s="90"/>
      <c r="P90" s="90"/>
      <c r="Q90" s="90"/>
      <c r="R90" s="90"/>
      <c r="S90" s="90"/>
      <c r="T90" s="90"/>
      <c r="U90" s="91"/>
    </row>
    <row r="91" spans="1:21" ht="97.5" customHeight="1" x14ac:dyDescent="0.15">
      <c r="B91" s="107" t="s">
        <v>59</v>
      </c>
      <c r="C91" s="22" t="s">
        <v>54</v>
      </c>
      <c r="D91" s="140" t="s">
        <v>178</v>
      </c>
      <c r="E91" s="141"/>
      <c r="F91" s="141"/>
      <c r="G91" s="141"/>
      <c r="H91" s="141"/>
      <c r="I91" s="141"/>
      <c r="J91" s="141"/>
      <c r="K91" s="141"/>
      <c r="L91" s="141"/>
      <c r="M91" s="141"/>
      <c r="N91" s="141"/>
      <c r="O91" s="141"/>
      <c r="P91" s="141"/>
      <c r="Q91" s="141"/>
      <c r="R91" s="141"/>
      <c r="S91" s="141"/>
      <c r="T91" s="141"/>
      <c r="U91" s="142"/>
    </row>
    <row r="92" spans="1:21" ht="97.5" customHeight="1" x14ac:dyDescent="0.15">
      <c r="B92" s="112"/>
      <c r="C92" s="23" t="s">
        <v>74</v>
      </c>
      <c r="D92" s="137" t="s">
        <v>179</v>
      </c>
      <c r="E92" s="138"/>
      <c r="F92" s="138"/>
      <c r="G92" s="138"/>
      <c r="H92" s="138"/>
      <c r="I92" s="138"/>
      <c r="J92" s="138"/>
      <c r="K92" s="138"/>
      <c r="L92" s="138"/>
      <c r="M92" s="138"/>
      <c r="N92" s="138"/>
      <c r="O92" s="138"/>
      <c r="P92" s="138"/>
      <c r="Q92" s="138"/>
      <c r="R92" s="138"/>
      <c r="S92" s="138"/>
      <c r="T92" s="138"/>
      <c r="U92" s="139"/>
    </row>
    <row r="93" spans="1:21" ht="97.5" customHeight="1" x14ac:dyDescent="0.15">
      <c r="B93" s="107" t="s">
        <v>60</v>
      </c>
      <c r="C93" s="24" t="s">
        <v>68</v>
      </c>
      <c r="D93" s="140" t="s">
        <v>180</v>
      </c>
      <c r="E93" s="141"/>
      <c r="F93" s="141"/>
      <c r="G93" s="141"/>
      <c r="H93" s="141"/>
      <c r="I93" s="141"/>
      <c r="J93" s="141"/>
      <c r="K93" s="141"/>
      <c r="L93" s="141"/>
      <c r="M93" s="141"/>
      <c r="N93" s="141"/>
      <c r="O93" s="141"/>
      <c r="P93" s="141"/>
      <c r="Q93" s="141"/>
      <c r="R93" s="141"/>
      <c r="S93" s="141"/>
      <c r="T93" s="141"/>
      <c r="U93" s="142"/>
    </row>
    <row r="94" spans="1:21" ht="97.5" customHeight="1" x14ac:dyDescent="0.15">
      <c r="B94" s="108"/>
      <c r="C94" s="25" t="s">
        <v>69</v>
      </c>
      <c r="D94" s="137" t="s">
        <v>181</v>
      </c>
      <c r="E94" s="138"/>
      <c r="F94" s="138"/>
      <c r="G94" s="138"/>
      <c r="H94" s="138"/>
      <c r="I94" s="138"/>
      <c r="J94" s="138"/>
      <c r="K94" s="138"/>
      <c r="L94" s="138"/>
      <c r="M94" s="138"/>
      <c r="N94" s="138"/>
      <c r="O94" s="138"/>
      <c r="P94" s="138"/>
      <c r="Q94" s="138"/>
      <c r="R94" s="138"/>
      <c r="S94" s="138"/>
      <c r="T94" s="138"/>
      <c r="U94" s="139"/>
    </row>
    <row r="95" spans="1:21" ht="97.5" customHeight="1" x14ac:dyDescent="0.15">
      <c r="B95" s="107" t="s">
        <v>61</v>
      </c>
      <c r="C95" s="24" t="s">
        <v>70</v>
      </c>
      <c r="D95" s="140" t="s">
        <v>182</v>
      </c>
      <c r="E95" s="141"/>
      <c r="F95" s="141"/>
      <c r="G95" s="141"/>
      <c r="H95" s="141"/>
      <c r="I95" s="141"/>
      <c r="J95" s="141"/>
      <c r="K95" s="141"/>
      <c r="L95" s="141"/>
      <c r="M95" s="141"/>
      <c r="N95" s="141"/>
      <c r="O95" s="141"/>
      <c r="P95" s="141"/>
      <c r="Q95" s="141"/>
      <c r="R95" s="141"/>
      <c r="S95" s="141"/>
      <c r="T95" s="141"/>
      <c r="U95" s="142"/>
    </row>
    <row r="96" spans="1:21" ht="97.5" customHeight="1" x14ac:dyDescent="0.15">
      <c r="B96" s="108"/>
      <c r="C96" s="26" t="s">
        <v>71</v>
      </c>
      <c r="D96" s="137" t="s">
        <v>183</v>
      </c>
      <c r="E96" s="138"/>
      <c r="F96" s="138"/>
      <c r="G96" s="138"/>
      <c r="H96" s="138"/>
      <c r="I96" s="138"/>
      <c r="J96" s="138"/>
      <c r="K96" s="138"/>
      <c r="L96" s="138"/>
      <c r="M96" s="138"/>
      <c r="N96" s="138"/>
      <c r="O96" s="138"/>
      <c r="P96" s="138"/>
      <c r="Q96" s="138"/>
      <c r="R96" s="138"/>
      <c r="S96" s="138"/>
      <c r="T96" s="138"/>
      <c r="U96" s="139"/>
    </row>
    <row r="97" spans="1:33" ht="111.75" customHeight="1" x14ac:dyDescent="0.15">
      <c r="B97" s="107" t="s">
        <v>75</v>
      </c>
      <c r="C97" s="22" t="s">
        <v>56</v>
      </c>
      <c r="D97" s="140" t="s">
        <v>184</v>
      </c>
      <c r="E97" s="141"/>
      <c r="F97" s="141"/>
      <c r="G97" s="141"/>
      <c r="H97" s="141"/>
      <c r="I97" s="141"/>
      <c r="J97" s="141"/>
      <c r="K97" s="141"/>
      <c r="L97" s="141"/>
      <c r="M97" s="141"/>
      <c r="N97" s="141"/>
      <c r="O97" s="141"/>
      <c r="P97" s="141"/>
      <c r="Q97" s="141"/>
      <c r="R97" s="141"/>
      <c r="S97" s="141"/>
      <c r="T97" s="141"/>
      <c r="U97" s="142"/>
    </row>
    <row r="98" spans="1:33" ht="97.5" customHeight="1" x14ac:dyDescent="0.15">
      <c r="B98" s="108"/>
      <c r="C98" s="25" t="s">
        <v>58</v>
      </c>
      <c r="D98" s="137" t="s">
        <v>185</v>
      </c>
      <c r="E98" s="138"/>
      <c r="F98" s="138"/>
      <c r="G98" s="138"/>
      <c r="H98" s="138"/>
      <c r="I98" s="138"/>
      <c r="J98" s="138"/>
      <c r="K98" s="138"/>
      <c r="L98" s="138"/>
      <c r="M98" s="138"/>
      <c r="N98" s="138"/>
      <c r="O98" s="138"/>
      <c r="P98" s="138"/>
      <c r="Q98" s="138"/>
      <c r="R98" s="138"/>
      <c r="S98" s="138"/>
      <c r="T98" s="138"/>
      <c r="U98" s="139"/>
    </row>
    <row r="99" spans="1:33" ht="111" customHeight="1" x14ac:dyDescent="0.15">
      <c r="B99" s="107" t="s">
        <v>76</v>
      </c>
      <c r="C99" s="24" t="s">
        <v>55</v>
      </c>
      <c r="D99" s="140" t="s">
        <v>186</v>
      </c>
      <c r="E99" s="141"/>
      <c r="F99" s="141"/>
      <c r="G99" s="141"/>
      <c r="H99" s="141"/>
      <c r="I99" s="141"/>
      <c r="J99" s="141"/>
      <c r="K99" s="141"/>
      <c r="L99" s="141"/>
      <c r="M99" s="141"/>
      <c r="N99" s="141"/>
      <c r="O99" s="141"/>
      <c r="P99" s="141"/>
      <c r="Q99" s="141"/>
      <c r="R99" s="141"/>
      <c r="S99" s="141"/>
      <c r="T99" s="141"/>
      <c r="U99" s="142"/>
    </row>
    <row r="100" spans="1:33" ht="97.5" customHeight="1" x14ac:dyDescent="0.15">
      <c r="B100" s="112"/>
      <c r="C100" s="27" t="s">
        <v>72</v>
      </c>
      <c r="D100" s="143" t="s">
        <v>187</v>
      </c>
      <c r="E100" s="144"/>
      <c r="F100" s="144"/>
      <c r="G100" s="144"/>
      <c r="H100" s="144"/>
      <c r="I100" s="144"/>
      <c r="J100" s="144"/>
      <c r="K100" s="144"/>
      <c r="L100" s="144"/>
      <c r="M100" s="144"/>
      <c r="N100" s="144"/>
      <c r="O100" s="144"/>
      <c r="P100" s="144"/>
      <c r="Q100" s="144"/>
      <c r="R100" s="144"/>
      <c r="S100" s="144"/>
      <c r="T100" s="144"/>
      <c r="U100" s="145"/>
    </row>
    <row r="101" spans="1:33" ht="97.5" customHeight="1" x14ac:dyDescent="0.15">
      <c r="B101" s="108"/>
      <c r="C101" s="26" t="s">
        <v>73</v>
      </c>
      <c r="D101" s="137" t="s">
        <v>188</v>
      </c>
      <c r="E101" s="138"/>
      <c r="F101" s="138"/>
      <c r="G101" s="138"/>
      <c r="H101" s="138"/>
      <c r="I101" s="138"/>
      <c r="J101" s="138"/>
      <c r="K101" s="138"/>
      <c r="L101" s="138"/>
      <c r="M101" s="138"/>
      <c r="N101" s="138"/>
      <c r="O101" s="138"/>
      <c r="P101" s="138"/>
      <c r="Q101" s="138"/>
      <c r="R101" s="138"/>
      <c r="S101" s="138"/>
      <c r="T101" s="138"/>
      <c r="U101" s="139"/>
    </row>
    <row r="102" spans="1:33" ht="4.5" customHeight="1" x14ac:dyDescent="0.15"/>
    <row r="103" spans="1:33" ht="18.75" customHeight="1" x14ac:dyDescent="0.15">
      <c r="A103" s="1" t="s">
        <v>108</v>
      </c>
    </row>
    <row r="104" spans="1:33" ht="81.75" customHeight="1" x14ac:dyDescent="0.15">
      <c r="B104" s="124" t="s">
        <v>157</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36" t="s">
        <v>130</v>
      </c>
      <c r="C108" s="136"/>
      <c r="D108" s="136"/>
      <c r="E108" s="136"/>
      <c r="F108" s="136"/>
      <c r="G108" s="136"/>
      <c r="H108" s="136"/>
      <c r="I108" s="136"/>
      <c r="J108" s="136"/>
      <c r="K108" s="136"/>
      <c r="L108" s="136"/>
      <c r="M108" s="136"/>
      <c r="N108" s="136"/>
      <c r="O108" s="136"/>
      <c r="P108" s="136"/>
      <c r="Q108" s="136"/>
      <c r="R108" s="136"/>
      <c r="S108" s="136"/>
      <c r="T108" s="136"/>
      <c r="U108" s="136"/>
      <c r="V108" s="69"/>
      <c r="W108" s="69"/>
      <c r="X108" s="69"/>
      <c r="Y108" s="69"/>
      <c r="Z108" s="69"/>
      <c r="AA108" s="69"/>
      <c r="AB108" s="69"/>
      <c r="AC108" s="69"/>
      <c r="AD108" s="69"/>
      <c r="AE108" s="69"/>
      <c r="AF108" s="69"/>
      <c r="AG108" s="69"/>
    </row>
    <row r="109" spans="1:33" ht="37.15" customHeight="1" x14ac:dyDescent="0.15">
      <c r="A109" s="73"/>
      <c r="B109" s="136"/>
      <c r="C109" s="136"/>
      <c r="D109" s="136"/>
      <c r="E109" s="136"/>
      <c r="F109" s="136"/>
      <c r="G109" s="136"/>
      <c r="H109" s="136"/>
      <c r="I109" s="136"/>
      <c r="J109" s="136"/>
      <c r="K109" s="136"/>
      <c r="L109" s="136"/>
      <c r="M109" s="136"/>
      <c r="N109" s="136"/>
      <c r="O109" s="136"/>
      <c r="P109" s="136"/>
      <c r="Q109" s="136"/>
      <c r="R109" s="136"/>
      <c r="S109" s="136"/>
      <c r="T109" s="136"/>
      <c r="U109" s="136"/>
      <c r="V109" s="69"/>
      <c r="W109" s="69"/>
      <c r="X109" s="69"/>
      <c r="Y109" s="69"/>
      <c r="Z109" s="69"/>
      <c r="AA109" s="69"/>
      <c r="AB109" s="69"/>
      <c r="AC109" s="69"/>
      <c r="AD109" s="69"/>
      <c r="AE109" s="69"/>
      <c r="AF109" s="69"/>
      <c r="AG109" s="69"/>
    </row>
    <row r="110" spans="1:33" ht="18.75" customHeight="1" x14ac:dyDescent="0.15">
      <c r="A110" s="73"/>
      <c r="B110" s="85" t="s">
        <v>125</v>
      </c>
      <c r="C110" s="85"/>
      <c r="D110" s="85"/>
      <c r="E110" s="85"/>
      <c r="F110" s="85"/>
      <c r="G110" s="85"/>
      <c r="H110" s="85"/>
      <c r="I110" s="85"/>
      <c r="J110" s="85"/>
      <c r="K110" s="85"/>
      <c r="L110" s="85"/>
      <c r="M110" s="85"/>
      <c r="N110" s="85"/>
      <c r="O110" s="85"/>
      <c r="P110" s="85"/>
      <c r="Q110" s="85"/>
      <c r="R110" s="85"/>
      <c r="S110" s="85"/>
      <c r="T110" s="85"/>
      <c r="U110" s="85"/>
      <c r="V110" s="69"/>
      <c r="W110" s="69"/>
      <c r="X110" s="69"/>
      <c r="Y110" s="69"/>
      <c r="Z110" s="69"/>
      <c r="AA110" s="69"/>
      <c r="AB110" s="69"/>
      <c r="AC110" s="69"/>
      <c r="AD110" s="69"/>
      <c r="AE110" s="69"/>
      <c r="AF110" s="69"/>
      <c r="AG110" s="69"/>
    </row>
    <row r="111" spans="1:33" ht="18.75" customHeight="1" x14ac:dyDescent="0.15">
      <c r="A111" s="73"/>
      <c r="B111" s="98" t="s">
        <v>53</v>
      </c>
      <c r="C111" s="98"/>
      <c r="D111" s="98"/>
      <c r="E111" s="98"/>
      <c r="F111" s="98"/>
      <c r="G111" s="98"/>
      <c r="H111" s="98"/>
      <c r="I111" s="98"/>
      <c r="J111" s="98"/>
      <c r="K111" s="98"/>
      <c r="L111" s="98"/>
      <c r="M111" s="98"/>
      <c r="N111" s="98"/>
      <c r="O111" s="98"/>
      <c r="P111" s="98"/>
      <c r="Q111" s="98"/>
      <c r="R111" s="98"/>
      <c r="S111" s="98"/>
      <c r="T111" s="98"/>
      <c r="U111" s="98"/>
      <c r="V111" s="68"/>
      <c r="W111" s="68"/>
      <c r="X111" s="68"/>
      <c r="Y111" s="68"/>
      <c r="Z111" s="68"/>
      <c r="AA111" s="68"/>
      <c r="AB111" s="68"/>
      <c r="AC111" s="68"/>
      <c r="AD111" s="68"/>
      <c r="AE111" s="68"/>
      <c r="AF111" s="68"/>
      <c r="AG111" s="68"/>
    </row>
    <row r="112" spans="1:33" ht="132" customHeight="1" x14ac:dyDescent="0.15">
      <c r="A112" s="73"/>
      <c r="B112" s="99"/>
      <c r="C112" s="99"/>
      <c r="D112" s="99"/>
      <c r="E112" s="99"/>
      <c r="F112" s="99"/>
      <c r="G112" s="99"/>
      <c r="H112" s="99"/>
      <c r="I112" s="99"/>
      <c r="J112" s="99"/>
      <c r="K112" s="99"/>
      <c r="L112" s="99"/>
      <c r="M112" s="99"/>
      <c r="N112" s="99"/>
      <c r="O112" s="99"/>
      <c r="P112" s="99"/>
      <c r="Q112" s="99"/>
      <c r="R112" s="99"/>
      <c r="S112" s="99"/>
      <c r="T112" s="99"/>
      <c r="U112" s="99"/>
      <c r="V112" s="70"/>
      <c r="W112" s="70"/>
      <c r="X112" s="70"/>
      <c r="Y112" s="70"/>
      <c r="Z112" s="70"/>
      <c r="AA112" s="70"/>
      <c r="AB112" s="70"/>
      <c r="AC112" s="70"/>
      <c r="AD112" s="70"/>
      <c r="AE112" s="70"/>
      <c r="AF112" s="70"/>
      <c r="AG112" s="70"/>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disablePrompts="1"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A783-4BEE-4058-AE14-D5817959273C}">
  <sheetPr>
    <pageSetUpPr fitToPage="1"/>
  </sheetPr>
  <dimension ref="A1:AG114"/>
  <sheetViews>
    <sheetView showZeros="0" view="pageBreakPreview" zoomScaleNormal="100" zoomScaleSheetLayoutView="100" workbookViewId="0">
      <selection activeCell="F6" sqref="F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32" t="s">
        <v>208</v>
      </c>
      <c r="U1" s="132"/>
      <c r="V1" s="2" t="s">
        <v>99</v>
      </c>
    </row>
    <row r="2" spans="1:24" ht="18.75" customHeight="1" x14ac:dyDescent="0.15">
      <c r="A2" s="74"/>
      <c r="B2" s="76" t="s">
        <v>98</v>
      </c>
      <c r="C2" s="133" t="s">
        <v>136</v>
      </c>
      <c r="D2" s="134"/>
      <c r="E2" s="134"/>
      <c r="F2" s="134"/>
      <c r="G2" s="134"/>
      <c r="H2" s="134"/>
      <c r="I2" s="134"/>
      <c r="J2" s="135"/>
      <c r="K2" s="75"/>
      <c r="L2" s="77"/>
      <c r="M2" s="77"/>
      <c r="N2" s="77"/>
      <c r="O2" s="77"/>
      <c r="P2" s="77"/>
      <c r="Q2" s="77"/>
      <c r="R2" s="77"/>
      <c r="S2" s="77"/>
      <c r="T2" s="77"/>
      <c r="U2" s="77"/>
    </row>
    <row r="3" spans="1:24" ht="18.75" customHeight="1" x14ac:dyDescent="0.15">
      <c r="A3" s="74"/>
      <c r="B3" s="76" t="s">
        <v>93</v>
      </c>
      <c r="C3" s="253" t="s">
        <v>207</v>
      </c>
      <c r="D3" s="254"/>
      <c r="E3" s="254"/>
      <c r="F3" s="254"/>
      <c r="G3" s="254"/>
      <c r="H3" s="254"/>
      <c r="I3" s="254"/>
      <c r="J3" s="255"/>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13" t="s">
        <v>37</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73"/>
      <c r="G7" s="73"/>
      <c r="H7" s="73"/>
      <c r="I7" s="73"/>
      <c r="J7" s="73"/>
      <c r="K7" s="73"/>
      <c r="L7" s="149" t="s">
        <v>129</v>
      </c>
      <c r="M7" s="150"/>
      <c r="N7" s="150"/>
      <c r="O7" s="150"/>
      <c r="P7" s="150"/>
      <c r="Q7" s="150"/>
      <c r="R7" s="150"/>
      <c r="S7" s="150"/>
      <c r="T7" s="150"/>
      <c r="U7" s="151"/>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52" t="s">
        <v>155</v>
      </c>
      <c r="C11" s="153"/>
      <c r="D11" s="153"/>
      <c r="E11" s="153"/>
      <c r="F11" s="153"/>
      <c r="G11" s="153"/>
      <c r="H11" s="153"/>
      <c r="I11" s="153"/>
      <c r="J11" s="153"/>
      <c r="K11" s="153"/>
      <c r="L11" s="153"/>
      <c r="M11" s="153"/>
      <c r="N11" s="153"/>
      <c r="O11" s="153"/>
      <c r="P11" s="153"/>
      <c r="Q11" s="153"/>
      <c r="R11" s="153"/>
      <c r="S11" s="153"/>
      <c r="T11" s="153"/>
      <c r="U11" s="154"/>
    </row>
    <row r="12" spans="1:24" ht="18" customHeight="1" x14ac:dyDescent="0.15">
      <c r="A12" s="74"/>
      <c r="B12" s="155"/>
      <c r="C12" s="156"/>
      <c r="D12" s="156"/>
      <c r="E12" s="156"/>
      <c r="F12" s="156"/>
      <c r="G12" s="156"/>
      <c r="H12" s="156"/>
      <c r="I12" s="156"/>
      <c r="J12" s="156"/>
      <c r="K12" s="156"/>
      <c r="L12" s="156"/>
      <c r="M12" s="156"/>
      <c r="N12" s="156"/>
      <c r="O12" s="156"/>
      <c r="P12" s="156"/>
      <c r="Q12" s="156"/>
      <c r="R12" s="156"/>
      <c r="S12" s="156"/>
      <c r="T12" s="156"/>
      <c r="U12" s="157"/>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100</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14" t="s">
        <v>176</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x14ac:dyDescent="0.15">
      <c r="A16" s="74"/>
      <c r="B16" s="117"/>
      <c r="C16" s="118"/>
      <c r="D16" s="118"/>
      <c r="E16" s="118"/>
      <c r="F16" s="118"/>
      <c r="G16" s="118"/>
      <c r="H16" s="118"/>
      <c r="I16" s="118"/>
      <c r="J16" s="118"/>
      <c r="K16" s="118"/>
      <c r="L16" s="118"/>
      <c r="M16" s="118"/>
      <c r="N16" s="118"/>
      <c r="O16" s="118"/>
      <c r="P16" s="118"/>
      <c r="Q16" s="118"/>
      <c r="R16" s="118"/>
      <c r="S16" s="118"/>
      <c r="T16" s="118"/>
      <c r="U16" s="119"/>
      <c r="X16" s="1" t="s">
        <v>114</v>
      </c>
    </row>
    <row r="17" spans="1:24" ht="18" customHeight="1" x14ac:dyDescent="0.15">
      <c r="A17" s="74"/>
      <c r="B17" s="117"/>
      <c r="C17" s="118"/>
      <c r="D17" s="118"/>
      <c r="E17" s="118"/>
      <c r="F17" s="118"/>
      <c r="G17" s="118"/>
      <c r="H17" s="118"/>
      <c r="I17" s="118"/>
      <c r="J17" s="118"/>
      <c r="K17" s="118"/>
      <c r="L17" s="118"/>
      <c r="M17" s="118"/>
      <c r="N17" s="118"/>
      <c r="O17" s="118"/>
      <c r="P17" s="118"/>
      <c r="Q17" s="118"/>
      <c r="R17" s="118"/>
      <c r="S17" s="118"/>
      <c r="T17" s="118"/>
      <c r="U17" s="119"/>
      <c r="X17" s="1" t="s">
        <v>115</v>
      </c>
    </row>
    <row r="18" spans="1:24" ht="18" customHeight="1" x14ac:dyDescent="0.15">
      <c r="A18" s="74"/>
      <c r="B18" s="117"/>
      <c r="C18" s="118"/>
      <c r="D18" s="118"/>
      <c r="E18" s="118"/>
      <c r="F18" s="118"/>
      <c r="G18" s="118"/>
      <c r="H18" s="118"/>
      <c r="I18" s="118"/>
      <c r="J18" s="118"/>
      <c r="K18" s="118"/>
      <c r="L18" s="118"/>
      <c r="M18" s="118"/>
      <c r="N18" s="118"/>
      <c r="O18" s="118"/>
      <c r="P18" s="118"/>
      <c r="Q18" s="118"/>
      <c r="R18" s="118"/>
      <c r="S18" s="118"/>
      <c r="T18" s="118"/>
      <c r="U18" s="119"/>
      <c r="X18" s="1" t="s">
        <v>116</v>
      </c>
    </row>
    <row r="19" spans="1:24" ht="18" customHeight="1" x14ac:dyDescent="0.15">
      <c r="A19" s="74"/>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4"/>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2">
        <v>2</v>
      </c>
      <c r="F22" s="74" t="s">
        <v>112</v>
      </c>
      <c r="G22" s="74"/>
      <c r="H22" s="76">
        <v>3.5</v>
      </c>
      <c r="I22" s="79" t="s">
        <v>113</v>
      </c>
      <c r="J22" s="79"/>
      <c r="K22" s="75"/>
      <c r="L22" s="74"/>
      <c r="M22" s="75" t="s">
        <v>109</v>
      </c>
      <c r="N22" s="146" t="s">
        <v>116</v>
      </c>
      <c r="O22" s="147"/>
      <c r="P22" s="147"/>
      <c r="Q22" s="147"/>
      <c r="R22" s="147"/>
      <c r="S22" s="147"/>
      <c r="T22" s="147"/>
      <c r="U22" s="148"/>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23" t="s">
        <v>101</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51</v>
      </c>
      <c r="C26" s="90"/>
      <c r="D26" s="90"/>
      <c r="E26" s="90"/>
      <c r="F26" s="91"/>
      <c r="G26" s="50" t="s">
        <v>77</v>
      </c>
      <c r="H26" s="49" t="s">
        <v>80</v>
      </c>
      <c r="I26" s="16" t="s">
        <v>54</v>
      </c>
      <c r="J26" s="16" t="s">
        <v>57</v>
      </c>
      <c r="K26" s="89" t="s">
        <v>51</v>
      </c>
      <c r="L26" s="90"/>
      <c r="M26" s="90"/>
      <c r="N26" s="90"/>
      <c r="O26" s="90"/>
      <c r="P26" s="90"/>
      <c r="Q26" s="91"/>
      <c r="R26" s="50" t="s">
        <v>77</v>
      </c>
      <c r="S26" s="49" t="s">
        <v>80</v>
      </c>
      <c r="T26" s="16" t="s">
        <v>54</v>
      </c>
      <c r="U26" s="16" t="s">
        <v>57</v>
      </c>
    </row>
    <row r="27" spans="1:24" ht="18" customHeight="1" x14ac:dyDescent="0.15">
      <c r="B27" s="100" t="s">
        <v>211</v>
      </c>
      <c r="C27" s="101"/>
      <c r="D27" s="101"/>
      <c r="E27" s="101"/>
      <c r="F27" s="102"/>
      <c r="G27" s="17">
        <v>2</v>
      </c>
      <c r="H27" s="17" t="s">
        <v>137</v>
      </c>
      <c r="I27" s="17" t="s">
        <v>137</v>
      </c>
      <c r="J27" s="17" t="s">
        <v>137</v>
      </c>
      <c r="K27" s="100"/>
      <c r="L27" s="101"/>
      <c r="M27" s="101"/>
      <c r="N27" s="101"/>
      <c r="O27" s="101"/>
      <c r="P27" s="101"/>
      <c r="Q27" s="102"/>
      <c r="R27" s="17"/>
      <c r="S27" s="17"/>
      <c r="T27" s="17"/>
      <c r="U27" s="17"/>
    </row>
    <row r="28" spans="1:24" ht="18" customHeight="1" x14ac:dyDescent="0.15">
      <c r="B28" s="92"/>
      <c r="C28" s="93"/>
      <c r="D28" s="93"/>
      <c r="E28" s="93"/>
      <c r="F28" s="94"/>
      <c r="G28" s="18"/>
      <c r="H28" s="18"/>
      <c r="I28" s="18"/>
      <c r="J28" s="18"/>
      <c r="K28" s="92"/>
      <c r="L28" s="93"/>
      <c r="M28" s="93"/>
      <c r="N28" s="93"/>
      <c r="O28" s="93"/>
      <c r="P28" s="93"/>
      <c r="Q28" s="94"/>
      <c r="R28" s="18"/>
      <c r="S28" s="18"/>
      <c r="T28" s="18"/>
      <c r="U28" s="18"/>
    </row>
    <row r="29" spans="1:24" ht="18" customHeight="1" x14ac:dyDescent="0.15">
      <c r="B29" s="92"/>
      <c r="C29" s="93"/>
      <c r="D29" s="93"/>
      <c r="E29" s="93"/>
      <c r="F29" s="94"/>
      <c r="G29" s="18"/>
      <c r="H29" s="18"/>
      <c r="I29" s="18"/>
      <c r="J29" s="18"/>
      <c r="K29" s="92"/>
      <c r="L29" s="93"/>
      <c r="M29" s="93"/>
      <c r="N29" s="93"/>
      <c r="O29" s="93"/>
      <c r="P29" s="93"/>
      <c r="Q29" s="94"/>
      <c r="R29" s="18"/>
      <c r="S29" s="18"/>
      <c r="T29" s="18"/>
      <c r="U29" s="18"/>
    </row>
    <row r="30" spans="1:24" ht="18" customHeight="1" x14ac:dyDescent="0.15">
      <c r="B30" s="92"/>
      <c r="C30" s="93"/>
      <c r="D30" s="93"/>
      <c r="E30" s="93"/>
      <c r="F30" s="94"/>
      <c r="G30" s="18"/>
      <c r="H30" s="18"/>
      <c r="I30" s="18"/>
      <c r="J30" s="18"/>
      <c r="K30" s="92"/>
      <c r="L30" s="93"/>
      <c r="M30" s="93"/>
      <c r="N30" s="93"/>
      <c r="O30" s="93"/>
      <c r="P30" s="93"/>
      <c r="Q30" s="94"/>
      <c r="R30" s="18"/>
      <c r="S30" s="18"/>
      <c r="T30" s="18"/>
      <c r="U30" s="18"/>
    </row>
    <row r="31" spans="1:24" ht="18" customHeight="1" x14ac:dyDescent="0.15">
      <c r="B31" s="92"/>
      <c r="C31" s="93"/>
      <c r="D31" s="93"/>
      <c r="E31" s="93"/>
      <c r="F31" s="94"/>
      <c r="G31" s="18"/>
      <c r="H31" s="18"/>
      <c r="I31" s="18"/>
      <c r="J31" s="18"/>
      <c r="K31" s="92"/>
      <c r="L31" s="93"/>
      <c r="M31" s="93"/>
      <c r="N31" s="93"/>
      <c r="O31" s="93"/>
      <c r="P31" s="93"/>
      <c r="Q31" s="94"/>
      <c r="R31" s="18"/>
      <c r="S31" s="18"/>
      <c r="T31" s="18"/>
      <c r="U31" s="18"/>
    </row>
    <row r="32" spans="1:24" ht="18" customHeight="1" x14ac:dyDescent="0.15">
      <c r="A32" s="3"/>
      <c r="B32" s="92"/>
      <c r="C32" s="93"/>
      <c r="D32" s="93"/>
      <c r="E32" s="93"/>
      <c r="F32" s="94"/>
      <c r="G32" s="18"/>
      <c r="H32" s="18"/>
      <c r="I32" s="18"/>
      <c r="J32" s="18"/>
      <c r="K32" s="92"/>
      <c r="L32" s="93"/>
      <c r="M32" s="93"/>
      <c r="N32" s="93"/>
      <c r="O32" s="93"/>
      <c r="P32" s="93"/>
      <c r="Q32" s="94"/>
      <c r="R32" s="18"/>
      <c r="S32" s="18"/>
      <c r="T32" s="18"/>
      <c r="U32" s="18"/>
    </row>
    <row r="33" spans="1:21" ht="18" customHeight="1" x14ac:dyDescent="0.15">
      <c r="A33" s="3"/>
      <c r="B33" s="95"/>
      <c r="C33" s="96"/>
      <c r="D33" s="96"/>
      <c r="E33" s="96"/>
      <c r="F33" s="97"/>
      <c r="G33" s="19"/>
      <c r="H33" s="19"/>
      <c r="I33" s="20"/>
      <c r="J33" s="20"/>
      <c r="K33" s="95"/>
      <c r="L33" s="96"/>
      <c r="M33" s="96"/>
      <c r="N33" s="96"/>
      <c r="O33" s="96"/>
      <c r="P33" s="96"/>
      <c r="Q33" s="97"/>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102</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51</v>
      </c>
      <c r="C37" s="90"/>
      <c r="D37" s="90"/>
      <c r="E37" s="90"/>
      <c r="F37" s="91"/>
      <c r="G37" s="50" t="s">
        <v>77</v>
      </c>
      <c r="H37" s="49" t="s">
        <v>80</v>
      </c>
      <c r="I37" s="16" t="s">
        <v>68</v>
      </c>
      <c r="J37" s="16" t="s">
        <v>69</v>
      </c>
      <c r="K37" s="89" t="s">
        <v>51</v>
      </c>
      <c r="L37" s="90"/>
      <c r="M37" s="90"/>
      <c r="N37" s="90"/>
      <c r="O37" s="90"/>
      <c r="P37" s="90"/>
      <c r="Q37" s="91"/>
      <c r="R37" s="50" t="s">
        <v>77</v>
      </c>
      <c r="S37" s="49" t="s">
        <v>80</v>
      </c>
      <c r="T37" s="16" t="s">
        <v>68</v>
      </c>
      <c r="U37" s="16" t="s">
        <v>69</v>
      </c>
    </row>
    <row r="38" spans="1:21" ht="18" customHeight="1" x14ac:dyDescent="0.15">
      <c r="B38" s="100" t="s">
        <v>211</v>
      </c>
      <c r="C38" s="101"/>
      <c r="D38" s="101"/>
      <c r="E38" s="101"/>
      <c r="F38" s="102"/>
      <c r="G38" s="17">
        <v>2</v>
      </c>
      <c r="H38" s="17" t="s">
        <v>137</v>
      </c>
      <c r="I38" s="17" t="s">
        <v>137</v>
      </c>
      <c r="J38" s="17" t="s">
        <v>137</v>
      </c>
      <c r="K38" s="100"/>
      <c r="L38" s="101"/>
      <c r="M38" s="101"/>
      <c r="N38" s="101"/>
      <c r="O38" s="101"/>
      <c r="P38" s="101"/>
      <c r="Q38" s="102"/>
      <c r="R38" s="17"/>
      <c r="S38" s="17"/>
      <c r="T38" s="17"/>
      <c r="U38" s="17"/>
    </row>
    <row r="39" spans="1:21" ht="18" customHeight="1" x14ac:dyDescent="0.15">
      <c r="B39" s="92"/>
      <c r="C39" s="93"/>
      <c r="D39" s="93"/>
      <c r="E39" s="93"/>
      <c r="F39" s="94"/>
      <c r="G39" s="18"/>
      <c r="H39" s="18"/>
      <c r="I39" s="18"/>
      <c r="J39" s="18"/>
      <c r="K39" s="92"/>
      <c r="L39" s="93"/>
      <c r="M39" s="93"/>
      <c r="N39" s="93"/>
      <c r="O39" s="93"/>
      <c r="P39" s="93"/>
      <c r="Q39" s="94"/>
      <c r="R39" s="18"/>
      <c r="S39" s="18"/>
      <c r="T39" s="18"/>
      <c r="U39" s="18"/>
    </row>
    <row r="40" spans="1:21" ht="18" customHeight="1" x14ac:dyDescent="0.15">
      <c r="B40" s="92"/>
      <c r="C40" s="93"/>
      <c r="D40" s="93"/>
      <c r="E40" s="93"/>
      <c r="F40" s="94"/>
      <c r="G40" s="18"/>
      <c r="H40" s="18"/>
      <c r="I40" s="18"/>
      <c r="J40" s="18"/>
      <c r="K40" s="92"/>
      <c r="L40" s="93"/>
      <c r="M40" s="93"/>
      <c r="N40" s="93"/>
      <c r="O40" s="93"/>
      <c r="P40" s="93"/>
      <c r="Q40" s="94"/>
      <c r="R40" s="18"/>
      <c r="S40" s="18"/>
      <c r="T40" s="18"/>
      <c r="U40" s="18"/>
    </row>
    <row r="41" spans="1:21" ht="18" customHeight="1" x14ac:dyDescent="0.15">
      <c r="B41" s="92"/>
      <c r="C41" s="93"/>
      <c r="D41" s="93"/>
      <c r="E41" s="93"/>
      <c r="F41" s="94"/>
      <c r="G41" s="18"/>
      <c r="H41" s="18"/>
      <c r="I41" s="18"/>
      <c r="J41" s="18"/>
      <c r="K41" s="92"/>
      <c r="L41" s="93"/>
      <c r="M41" s="93"/>
      <c r="N41" s="93"/>
      <c r="O41" s="93"/>
      <c r="P41" s="93"/>
      <c r="Q41" s="94"/>
      <c r="R41" s="18"/>
      <c r="S41" s="18"/>
      <c r="T41" s="18"/>
      <c r="U41" s="18"/>
    </row>
    <row r="42" spans="1:21" ht="18" customHeight="1" x14ac:dyDescent="0.15">
      <c r="B42" s="92"/>
      <c r="C42" s="93"/>
      <c r="D42" s="93"/>
      <c r="E42" s="93"/>
      <c r="F42" s="94"/>
      <c r="G42" s="18"/>
      <c r="H42" s="18"/>
      <c r="I42" s="18"/>
      <c r="J42" s="18"/>
      <c r="K42" s="92"/>
      <c r="L42" s="93"/>
      <c r="M42" s="93"/>
      <c r="N42" s="93"/>
      <c r="O42" s="93"/>
      <c r="P42" s="93"/>
      <c r="Q42" s="94"/>
      <c r="R42" s="18"/>
      <c r="S42" s="18"/>
      <c r="T42" s="18"/>
      <c r="U42" s="18"/>
    </row>
    <row r="43" spans="1:21" ht="18" customHeight="1" x14ac:dyDescent="0.15">
      <c r="B43" s="92"/>
      <c r="C43" s="93"/>
      <c r="D43" s="93"/>
      <c r="E43" s="93"/>
      <c r="F43" s="94"/>
      <c r="G43" s="18"/>
      <c r="H43" s="18"/>
      <c r="I43" s="18"/>
      <c r="J43" s="18"/>
      <c r="K43" s="92"/>
      <c r="L43" s="93"/>
      <c r="M43" s="93"/>
      <c r="N43" s="93"/>
      <c r="O43" s="93"/>
      <c r="P43" s="93"/>
      <c r="Q43" s="94"/>
      <c r="R43" s="18"/>
      <c r="S43" s="18"/>
      <c r="T43" s="18"/>
      <c r="U43" s="18"/>
    </row>
    <row r="44" spans="1:21" ht="18" customHeight="1" x14ac:dyDescent="0.15">
      <c r="B44" s="95"/>
      <c r="C44" s="96"/>
      <c r="D44" s="96"/>
      <c r="E44" s="96"/>
      <c r="F44" s="97"/>
      <c r="G44" s="19"/>
      <c r="H44" s="19"/>
      <c r="I44" s="20"/>
      <c r="J44" s="20"/>
      <c r="K44" s="95"/>
      <c r="L44" s="96"/>
      <c r="M44" s="96"/>
      <c r="N44" s="96"/>
      <c r="O44" s="96"/>
      <c r="P44" s="96"/>
      <c r="Q44" s="97"/>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103</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51</v>
      </c>
      <c r="C48" s="90"/>
      <c r="D48" s="90"/>
      <c r="E48" s="90"/>
      <c r="F48" s="91"/>
      <c r="G48" s="50" t="s">
        <v>77</v>
      </c>
      <c r="H48" s="49" t="s">
        <v>80</v>
      </c>
      <c r="I48" s="16" t="s">
        <v>70</v>
      </c>
      <c r="J48" s="16" t="s">
        <v>71</v>
      </c>
      <c r="K48" s="89" t="s">
        <v>51</v>
      </c>
      <c r="L48" s="90"/>
      <c r="M48" s="90"/>
      <c r="N48" s="90"/>
      <c r="O48" s="90"/>
      <c r="P48" s="90"/>
      <c r="Q48" s="91"/>
      <c r="R48" s="50" t="s">
        <v>77</v>
      </c>
      <c r="S48" s="49" t="s">
        <v>80</v>
      </c>
      <c r="T48" s="16" t="s">
        <v>70</v>
      </c>
      <c r="U48" s="16" t="s">
        <v>71</v>
      </c>
    </row>
    <row r="49" spans="1:21" ht="18" customHeight="1" x14ac:dyDescent="0.15">
      <c r="A49" s="3"/>
      <c r="B49" s="100" t="s">
        <v>211</v>
      </c>
      <c r="C49" s="101"/>
      <c r="D49" s="101"/>
      <c r="E49" s="101"/>
      <c r="F49" s="102"/>
      <c r="G49" s="17">
        <v>2</v>
      </c>
      <c r="H49" s="17" t="s">
        <v>137</v>
      </c>
      <c r="I49" s="17" t="s">
        <v>137</v>
      </c>
      <c r="J49" s="17" t="s">
        <v>137</v>
      </c>
      <c r="K49" s="100"/>
      <c r="L49" s="101"/>
      <c r="M49" s="101"/>
      <c r="N49" s="101"/>
      <c r="O49" s="101"/>
      <c r="P49" s="101"/>
      <c r="Q49" s="102"/>
      <c r="R49" s="17"/>
      <c r="S49" s="17"/>
      <c r="T49" s="17"/>
      <c r="U49" s="17"/>
    </row>
    <row r="50" spans="1:21" ht="18" customHeight="1" x14ac:dyDescent="0.15">
      <c r="A50" s="3"/>
      <c r="B50" s="92"/>
      <c r="C50" s="93"/>
      <c r="D50" s="93"/>
      <c r="E50" s="93"/>
      <c r="F50" s="94"/>
      <c r="G50" s="18"/>
      <c r="H50" s="18"/>
      <c r="I50" s="18"/>
      <c r="J50" s="18"/>
      <c r="K50" s="92"/>
      <c r="L50" s="93"/>
      <c r="M50" s="93"/>
      <c r="N50" s="93"/>
      <c r="O50" s="93"/>
      <c r="P50" s="93"/>
      <c r="Q50" s="94"/>
      <c r="R50" s="18"/>
      <c r="S50" s="18"/>
      <c r="T50" s="18"/>
      <c r="U50" s="18"/>
    </row>
    <row r="51" spans="1:21" ht="18" customHeight="1" x14ac:dyDescent="0.15">
      <c r="A51" s="3"/>
      <c r="B51" s="92"/>
      <c r="C51" s="93"/>
      <c r="D51" s="93"/>
      <c r="E51" s="93"/>
      <c r="F51" s="94"/>
      <c r="G51" s="18"/>
      <c r="H51" s="18"/>
      <c r="I51" s="18"/>
      <c r="J51" s="18"/>
      <c r="K51" s="92"/>
      <c r="L51" s="93"/>
      <c r="M51" s="93"/>
      <c r="N51" s="93"/>
      <c r="O51" s="93"/>
      <c r="P51" s="93"/>
      <c r="Q51" s="94"/>
      <c r="R51" s="18"/>
      <c r="S51" s="18"/>
      <c r="T51" s="18"/>
      <c r="U51" s="18"/>
    </row>
    <row r="52" spans="1:21" ht="18" customHeight="1" x14ac:dyDescent="0.15">
      <c r="A52" s="3"/>
      <c r="B52" s="92"/>
      <c r="C52" s="93"/>
      <c r="D52" s="93"/>
      <c r="E52" s="93"/>
      <c r="F52" s="94"/>
      <c r="G52" s="18"/>
      <c r="H52" s="18"/>
      <c r="I52" s="18"/>
      <c r="J52" s="18"/>
      <c r="K52" s="92"/>
      <c r="L52" s="93"/>
      <c r="M52" s="93"/>
      <c r="N52" s="93"/>
      <c r="O52" s="93"/>
      <c r="P52" s="93"/>
      <c r="Q52" s="94"/>
      <c r="R52" s="18"/>
      <c r="S52" s="18"/>
      <c r="T52" s="18"/>
      <c r="U52" s="18"/>
    </row>
    <row r="53" spans="1:21" ht="18" customHeight="1" x14ac:dyDescent="0.15">
      <c r="A53" s="3"/>
      <c r="B53" s="92"/>
      <c r="C53" s="93"/>
      <c r="D53" s="93"/>
      <c r="E53" s="93"/>
      <c r="F53" s="94"/>
      <c r="G53" s="18"/>
      <c r="H53" s="18"/>
      <c r="I53" s="18"/>
      <c r="J53" s="18"/>
      <c r="K53" s="92"/>
      <c r="L53" s="93"/>
      <c r="M53" s="93"/>
      <c r="N53" s="93"/>
      <c r="O53" s="93"/>
      <c r="P53" s="93"/>
      <c r="Q53" s="94"/>
      <c r="R53" s="18"/>
      <c r="S53" s="18"/>
      <c r="T53" s="18"/>
      <c r="U53" s="18"/>
    </row>
    <row r="54" spans="1:21" ht="18" customHeight="1" x14ac:dyDescent="0.15">
      <c r="A54" s="3"/>
      <c r="B54" s="92"/>
      <c r="C54" s="93"/>
      <c r="D54" s="93"/>
      <c r="E54" s="93"/>
      <c r="F54" s="94"/>
      <c r="G54" s="18"/>
      <c r="H54" s="18"/>
      <c r="I54" s="18"/>
      <c r="J54" s="18"/>
      <c r="K54" s="92"/>
      <c r="L54" s="93"/>
      <c r="M54" s="93"/>
      <c r="N54" s="93"/>
      <c r="O54" s="93"/>
      <c r="P54" s="93"/>
      <c r="Q54" s="94"/>
      <c r="R54" s="18"/>
      <c r="S54" s="18"/>
      <c r="T54" s="18"/>
      <c r="U54" s="18"/>
    </row>
    <row r="55" spans="1:21" ht="18" customHeight="1" x14ac:dyDescent="0.15">
      <c r="A55" s="3"/>
      <c r="B55" s="95"/>
      <c r="C55" s="96"/>
      <c r="D55" s="96"/>
      <c r="E55" s="96"/>
      <c r="F55" s="97"/>
      <c r="G55" s="19"/>
      <c r="H55" s="19"/>
      <c r="I55" s="20"/>
      <c r="J55" s="20"/>
      <c r="K55" s="95"/>
      <c r="L55" s="96"/>
      <c r="M55" s="96"/>
      <c r="N55" s="96"/>
      <c r="O55" s="96"/>
      <c r="P55" s="96"/>
      <c r="Q55" s="97"/>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3" t="s">
        <v>104</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51</v>
      </c>
      <c r="C59" s="90"/>
      <c r="D59" s="90"/>
      <c r="E59" s="90"/>
      <c r="F59" s="91"/>
      <c r="G59" s="50" t="s">
        <v>77</v>
      </c>
      <c r="H59" s="49" t="s">
        <v>80</v>
      </c>
      <c r="I59" s="16" t="s">
        <v>56</v>
      </c>
      <c r="J59" s="16" t="s">
        <v>58</v>
      </c>
      <c r="K59" s="89" t="s">
        <v>51</v>
      </c>
      <c r="L59" s="90"/>
      <c r="M59" s="90"/>
      <c r="N59" s="90"/>
      <c r="O59" s="90"/>
      <c r="P59" s="90"/>
      <c r="Q59" s="91"/>
      <c r="R59" s="50" t="s">
        <v>77</v>
      </c>
      <c r="S59" s="49" t="s">
        <v>80</v>
      </c>
      <c r="T59" s="16" t="s">
        <v>56</v>
      </c>
      <c r="U59" s="16" t="s">
        <v>58</v>
      </c>
    </row>
    <row r="60" spans="1:21" ht="18" customHeight="1" x14ac:dyDescent="0.15">
      <c r="A60" s="3"/>
      <c r="B60" s="100" t="s">
        <v>211</v>
      </c>
      <c r="C60" s="101"/>
      <c r="D60" s="101"/>
      <c r="E60" s="101"/>
      <c r="F60" s="102"/>
      <c r="G60" s="17">
        <v>2</v>
      </c>
      <c r="H60" s="17" t="s">
        <v>137</v>
      </c>
      <c r="I60" s="17" t="s">
        <v>137</v>
      </c>
      <c r="J60" s="17" t="s">
        <v>137</v>
      </c>
      <c r="K60" s="100"/>
      <c r="L60" s="101"/>
      <c r="M60" s="101"/>
      <c r="N60" s="101"/>
      <c r="O60" s="101"/>
      <c r="P60" s="101"/>
      <c r="Q60" s="102"/>
      <c r="R60" s="17"/>
      <c r="S60" s="17"/>
      <c r="T60" s="17"/>
      <c r="U60" s="17"/>
    </row>
    <row r="61" spans="1:21" ht="18" customHeight="1" x14ac:dyDescent="0.15">
      <c r="A61" s="3"/>
      <c r="B61" s="92"/>
      <c r="C61" s="93"/>
      <c r="D61" s="93"/>
      <c r="E61" s="93"/>
      <c r="F61" s="94"/>
      <c r="G61" s="18"/>
      <c r="H61" s="18"/>
      <c r="I61" s="18"/>
      <c r="J61" s="18"/>
      <c r="K61" s="92"/>
      <c r="L61" s="93"/>
      <c r="M61" s="93"/>
      <c r="N61" s="93"/>
      <c r="O61" s="93"/>
      <c r="P61" s="93"/>
      <c r="Q61" s="94"/>
      <c r="R61" s="18"/>
      <c r="S61" s="18"/>
      <c r="T61" s="18"/>
      <c r="U61" s="18"/>
    </row>
    <row r="62" spans="1:21" ht="18" customHeight="1" x14ac:dyDescent="0.15">
      <c r="A62" s="3"/>
      <c r="B62" s="92"/>
      <c r="C62" s="93"/>
      <c r="D62" s="93"/>
      <c r="E62" s="93"/>
      <c r="F62" s="94"/>
      <c r="G62" s="18"/>
      <c r="H62" s="18"/>
      <c r="I62" s="18"/>
      <c r="J62" s="18"/>
      <c r="K62" s="92"/>
      <c r="L62" s="93"/>
      <c r="M62" s="93"/>
      <c r="N62" s="93"/>
      <c r="O62" s="93"/>
      <c r="P62" s="93"/>
      <c r="Q62" s="94"/>
      <c r="R62" s="18"/>
      <c r="S62" s="18"/>
      <c r="T62" s="18"/>
      <c r="U62" s="18"/>
    </row>
    <row r="63" spans="1:21" ht="18" customHeight="1" x14ac:dyDescent="0.15">
      <c r="A63" s="3"/>
      <c r="B63" s="92"/>
      <c r="C63" s="93"/>
      <c r="D63" s="93"/>
      <c r="E63" s="93"/>
      <c r="F63" s="94"/>
      <c r="G63" s="18"/>
      <c r="H63" s="18"/>
      <c r="I63" s="18"/>
      <c r="J63" s="18"/>
      <c r="K63" s="92"/>
      <c r="L63" s="93"/>
      <c r="M63" s="93"/>
      <c r="N63" s="93"/>
      <c r="O63" s="93"/>
      <c r="P63" s="93"/>
      <c r="Q63" s="94"/>
      <c r="R63" s="18"/>
      <c r="S63" s="18"/>
      <c r="T63" s="18"/>
      <c r="U63" s="18"/>
    </row>
    <row r="64" spans="1:21" ht="18" customHeight="1" x14ac:dyDescent="0.15">
      <c r="A64" s="3"/>
      <c r="B64" s="92"/>
      <c r="C64" s="93"/>
      <c r="D64" s="93"/>
      <c r="E64" s="93"/>
      <c r="F64" s="94"/>
      <c r="G64" s="18"/>
      <c r="H64" s="18"/>
      <c r="I64" s="18"/>
      <c r="J64" s="18"/>
      <c r="K64" s="92"/>
      <c r="L64" s="93"/>
      <c r="M64" s="93"/>
      <c r="N64" s="93"/>
      <c r="O64" s="93"/>
      <c r="P64" s="93"/>
      <c r="Q64" s="94"/>
      <c r="R64" s="18"/>
      <c r="S64" s="18"/>
      <c r="T64" s="18"/>
      <c r="U64" s="18"/>
    </row>
    <row r="65" spans="1:21" ht="18" customHeight="1" x14ac:dyDescent="0.15">
      <c r="A65" s="3"/>
      <c r="B65" s="92"/>
      <c r="C65" s="93"/>
      <c r="D65" s="93"/>
      <c r="E65" s="93"/>
      <c r="F65" s="94"/>
      <c r="G65" s="18"/>
      <c r="H65" s="18"/>
      <c r="I65" s="18"/>
      <c r="J65" s="18"/>
      <c r="K65" s="92"/>
      <c r="L65" s="93"/>
      <c r="M65" s="93"/>
      <c r="N65" s="93"/>
      <c r="O65" s="93"/>
      <c r="P65" s="93"/>
      <c r="Q65" s="94"/>
      <c r="R65" s="18"/>
      <c r="S65" s="18"/>
      <c r="T65" s="18"/>
      <c r="U65" s="18"/>
    </row>
    <row r="66" spans="1:21" ht="18" customHeight="1" x14ac:dyDescent="0.15">
      <c r="A66" s="3"/>
      <c r="B66" s="95"/>
      <c r="C66" s="96"/>
      <c r="D66" s="96"/>
      <c r="E66" s="96"/>
      <c r="F66" s="97"/>
      <c r="G66" s="19"/>
      <c r="H66" s="19"/>
      <c r="I66" s="20"/>
      <c r="J66" s="20"/>
      <c r="K66" s="95"/>
      <c r="L66" s="96"/>
      <c r="M66" s="96"/>
      <c r="N66" s="96"/>
      <c r="O66" s="96"/>
      <c r="P66" s="96"/>
      <c r="Q66" s="97"/>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3" t="s">
        <v>105</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51</v>
      </c>
      <c r="C70" s="90"/>
      <c r="D70" s="90"/>
      <c r="E70" s="90"/>
      <c r="F70" s="50" t="s">
        <v>77</v>
      </c>
      <c r="G70" s="49" t="s">
        <v>80</v>
      </c>
      <c r="H70" s="16" t="s">
        <v>92</v>
      </c>
      <c r="I70" s="16" t="s">
        <v>72</v>
      </c>
      <c r="J70" s="16" t="s">
        <v>73</v>
      </c>
      <c r="K70" s="89" t="s">
        <v>51</v>
      </c>
      <c r="L70" s="90"/>
      <c r="M70" s="90"/>
      <c r="N70" s="90"/>
      <c r="O70" s="90"/>
      <c r="P70" s="91"/>
      <c r="Q70" s="50" t="s">
        <v>77</v>
      </c>
      <c r="R70" s="49" t="s">
        <v>80</v>
      </c>
      <c r="S70" s="16" t="s">
        <v>92</v>
      </c>
      <c r="T70" s="16" t="s">
        <v>72</v>
      </c>
      <c r="U70" s="16" t="s">
        <v>73</v>
      </c>
    </row>
    <row r="71" spans="1:21" ht="18" customHeight="1" x14ac:dyDescent="0.15">
      <c r="A71" s="3"/>
      <c r="B71" s="100" t="s">
        <v>211</v>
      </c>
      <c r="C71" s="101"/>
      <c r="D71" s="101"/>
      <c r="E71" s="101"/>
      <c r="F71" s="17">
        <v>2</v>
      </c>
      <c r="G71" s="17" t="s">
        <v>137</v>
      </c>
      <c r="H71" s="17" t="s">
        <v>137</v>
      </c>
      <c r="I71" s="17"/>
      <c r="J71" s="17"/>
      <c r="K71" s="100"/>
      <c r="L71" s="101"/>
      <c r="M71" s="101"/>
      <c r="N71" s="101"/>
      <c r="O71" s="101"/>
      <c r="P71" s="102"/>
      <c r="Q71" s="17"/>
      <c r="R71" s="17"/>
      <c r="S71" s="17"/>
      <c r="T71" s="17"/>
      <c r="U71" s="17"/>
    </row>
    <row r="72" spans="1:21" ht="18" customHeight="1" x14ac:dyDescent="0.15">
      <c r="A72" s="3"/>
      <c r="B72" s="92" t="s">
        <v>139</v>
      </c>
      <c r="C72" s="93"/>
      <c r="D72" s="93"/>
      <c r="E72" s="93"/>
      <c r="F72" s="18">
        <v>1.5</v>
      </c>
      <c r="G72" s="18" t="s">
        <v>137</v>
      </c>
      <c r="H72" s="18" t="s">
        <v>137</v>
      </c>
      <c r="I72" s="18" t="s">
        <v>137</v>
      </c>
      <c r="J72" s="18" t="s">
        <v>137</v>
      </c>
      <c r="K72" s="92"/>
      <c r="L72" s="93"/>
      <c r="M72" s="93"/>
      <c r="N72" s="93"/>
      <c r="O72" s="93"/>
      <c r="P72" s="94"/>
      <c r="Q72" s="18"/>
      <c r="R72" s="18"/>
      <c r="S72" s="18"/>
      <c r="T72" s="18"/>
      <c r="U72" s="18"/>
    </row>
    <row r="73" spans="1:21" ht="18" customHeight="1" x14ac:dyDescent="0.15">
      <c r="A73" s="3"/>
      <c r="B73" s="92"/>
      <c r="C73" s="93"/>
      <c r="D73" s="93"/>
      <c r="E73" s="93"/>
      <c r="F73" s="18"/>
      <c r="G73" s="18"/>
      <c r="H73" s="18"/>
      <c r="I73" s="18"/>
      <c r="J73" s="18"/>
      <c r="K73" s="92"/>
      <c r="L73" s="93"/>
      <c r="M73" s="93"/>
      <c r="N73" s="93"/>
      <c r="O73" s="93"/>
      <c r="P73" s="94"/>
      <c r="Q73" s="18"/>
      <c r="R73" s="18"/>
      <c r="S73" s="18"/>
      <c r="T73" s="18"/>
      <c r="U73" s="18"/>
    </row>
    <row r="74" spans="1:21" ht="18" customHeight="1" x14ac:dyDescent="0.15">
      <c r="A74" s="3"/>
      <c r="B74" s="92"/>
      <c r="C74" s="93"/>
      <c r="D74" s="93"/>
      <c r="E74" s="93"/>
      <c r="F74" s="18"/>
      <c r="G74" s="18"/>
      <c r="H74" s="18"/>
      <c r="I74" s="18"/>
      <c r="J74" s="18"/>
      <c r="K74" s="92"/>
      <c r="L74" s="93"/>
      <c r="M74" s="93"/>
      <c r="N74" s="93"/>
      <c r="O74" s="93"/>
      <c r="P74" s="94"/>
      <c r="Q74" s="18"/>
      <c r="R74" s="18"/>
      <c r="S74" s="18"/>
      <c r="T74" s="18"/>
      <c r="U74" s="18"/>
    </row>
    <row r="75" spans="1:21" ht="18" customHeight="1" x14ac:dyDescent="0.15">
      <c r="A75" s="3"/>
      <c r="B75" s="92"/>
      <c r="C75" s="93"/>
      <c r="D75" s="93"/>
      <c r="E75" s="93"/>
      <c r="F75" s="18"/>
      <c r="G75" s="18"/>
      <c r="H75" s="18"/>
      <c r="I75" s="18"/>
      <c r="J75" s="18"/>
      <c r="K75" s="92"/>
      <c r="L75" s="93"/>
      <c r="M75" s="93"/>
      <c r="N75" s="93"/>
      <c r="O75" s="93"/>
      <c r="P75" s="94"/>
      <c r="Q75" s="18"/>
      <c r="R75" s="18"/>
      <c r="S75" s="18"/>
      <c r="T75" s="18"/>
      <c r="U75" s="18"/>
    </row>
    <row r="76" spans="1:21" ht="18" customHeight="1" x14ac:dyDescent="0.15">
      <c r="A76" s="3"/>
      <c r="B76" s="92"/>
      <c r="C76" s="93"/>
      <c r="D76" s="93"/>
      <c r="E76" s="93"/>
      <c r="F76" s="18"/>
      <c r="G76" s="18"/>
      <c r="H76" s="18"/>
      <c r="I76" s="18"/>
      <c r="J76" s="18"/>
      <c r="K76" s="92"/>
      <c r="L76" s="93"/>
      <c r="M76" s="93"/>
      <c r="N76" s="93"/>
      <c r="O76" s="93"/>
      <c r="P76" s="94"/>
      <c r="Q76" s="18"/>
      <c r="R76" s="18"/>
      <c r="S76" s="18"/>
      <c r="T76" s="18"/>
      <c r="U76" s="18"/>
    </row>
    <row r="77" spans="1:21" ht="18" customHeight="1" x14ac:dyDescent="0.15">
      <c r="A77" s="3"/>
      <c r="B77" s="95"/>
      <c r="C77" s="96"/>
      <c r="D77" s="96"/>
      <c r="E77" s="96"/>
      <c r="F77" s="19"/>
      <c r="G77" s="19"/>
      <c r="H77" s="20"/>
      <c r="I77" s="20"/>
      <c r="J77" s="20"/>
      <c r="K77" s="95"/>
      <c r="L77" s="96"/>
      <c r="M77" s="96"/>
      <c r="N77" s="96"/>
      <c r="O77" s="96"/>
      <c r="P77" s="97"/>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89" t="s">
        <v>51</v>
      </c>
      <c r="C80" s="90"/>
      <c r="D80" s="90"/>
      <c r="E80" s="90"/>
      <c r="F80" s="91"/>
      <c r="G80" s="89" t="s">
        <v>78</v>
      </c>
      <c r="H80" s="90"/>
      <c r="I80" s="90"/>
      <c r="J80" s="91"/>
      <c r="K80" s="109" t="s">
        <v>51</v>
      </c>
      <c r="L80" s="110"/>
      <c r="M80" s="110"/>
      <c r="N80" s="110"/>
      <c r="O80" s="110"/>
      <c r="P80" s="110"/>
      <c r="Q80" s="111"/>
      <c r="R80" s="89" t="s">
        <v>78</v>
      </c>
      <c r="S80" s="90"/>
      <c r="T80" s="90"/>
      <c r="U80" s="91"/>
    </row>
    <row r="81" spans="1:21" ht="18" customHeight="1" x14ac:dyDescent="0.15">
      <c r="A81" s="3"/>
      <c r="B81" s="100"/>
      <c r="C81" s="101"/>
      <c r="D81" s="101"/>
      <c r="E81" s="101"/>
      <c r="F81" s="102"/>
      <c r="G81" s="104"/>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0" t="s">
        <v>52</v>
      </c>
      <c r="C90" s="131"/>
      <c r="D90" s="89" t="s">
        <v>53</v>
      </c>
      <c r="E90" s="90"/>
      <c r="F90" s="90"/>
      <c r="G90" s="90"/>
      <c r="H90" s="90"/>
      <c r="I90" s="90"/>
      <c r="J90" s="90"/>
      <c r="K90" s="90"/>
      <c r="L90" s="90"/>
      <c r="M90" s="90"/>
      <c r="N90" s="90"/>
      <c r="O90" s="90"/>
      <c r="P90" s="90"/>
      <c r="Q90" s="90"/>
      <c r="R90" s="90"/>
      <c r="S90" s="90"/>
      <c r="T90" s="90"/>
      <c r="U90" s="91"/>
    </row>
    <row r="91" spans="1:21" ht="97.5" customHeight="1" x14ac:dyDescent="0.15">
      <c r="B91" s="107" t="s">
        <v>59</v>
      </c>
      <c r="C91" s="22" t="s">
        <v>54</v>
      </c>
      <c r="D91" s="140" t="s">
        <v>189</v>
      </c>
      <c r="E91" s="141"/>
      <c r="F91" s="141"/>
      <c r="G91" s="141"/>
      <c r="H91" s="141"/>
      <c r="I91" s="141"/>
      <c r="J91" s="141"/>
      <c r="K91" s="141"/>
      <c r="L91" s="141"/>
      <c r="M91" s="141"/>
      <c r="N91" s="141"/>
      <c r="O91" s="141"/>
      <c r="P91" s="141"/>
      <c r="Q91" s="141"/>
      <c r="R91" s="141"/>
      <c r="S91" s="141"/>
      <c r="T91" s="141"/>
      <c r="U91" s="142"/>
    </row>
    <row r="92" spans="1:21" ht="97.5" customHeight="1" x14ac:dyDescent="0.15">
      <c r="B92" s="112"/>
      <c r="C92" s="23" t="s">
        <v>74</v>
      </c>
      <c r="D92" s="137" t="s">
        <v>190</v>
      </c>
      <c r="E92" s="138"/>
      <c r="F92" s="138"/>
      <c r="G92" s="138"/>
      <c r="H92" s="138"/>
      <c r="I92" s="138"/>
      <c r="J92" s="138"/>
      <c r="K92" s="138"/>
      <c r="L92" s="138"/>
      <c r="M92" s="138"/>
      <c r="N92" s="138"/>
      <c r="O92" s="138"/>
      <c r="P92" s="138"/>
      <c r="Q92" s="138"/>
      <c r="R92" s="138"/>
      <c r="S92" s="138"/>
      <c r="T92" s="138"/>
      <c r="U92" s="139"/>
    </row>
    <row r="93" spans="1:21" ht="97.5" customHeight="1" x14ac:dyDescent="0.15">
      <c r="B93" s="107" t="s">
        <v>60</v>
      </c>
      <c r="C93" s="24" t="s">
        <v>68</v>
      </c>
      <c r="D93" s="140" t="s">
        <v>180</v>
      </c>
      <c r="E93" s="141"/>
      <c r="F93" s="141"/>
      <c r="G93" s="141"/>
      <c r="H93" s="141"/>
      <c r="I93" s="141"/>
      <c r="J93" s="141"/>
      <c r="K93" s="141"/>
      <c r="L93" s="141"/>
      <c r="M93" s="141"/>
      <c r="N93" s="141"/>
      <c r="O93" s="141"/>
      <c r="P93" s="141"/>
      <c r="Q93" s="141"/>
      <c r="R93" s="141"/>
      <c r="S93" s="141"/>
      <c r="T93" s="141"/>
      <c r="U93" s="142"/>
    </row>
    <row r="94" spans="1:21" ht="97.5" customHeight="1" x14ac:dyDescent="0.15">
      <c r="B94" s="108"/>
      <c r="C94" s="25" t="s">
        <v>69</v>
      </c>
      <c r="D94" s="137" t="s">
        <v>191</v>
      </c>
      <c r="E94" s="138"/>
      <c r="F94" s="138"/>
      <c r="G94" s="138"/>
      <c r="H94" s="138"/>
      <c r="I94" s="138"/>
      <c r="J94" s="138"/>
      <c r="K94" s="138"/>
      <c r="L94" s="138"/>
      <c r="M94" s="138"/>
      <c r="N94" s="138"/>
      <c r="O94" s="138"/>
      <c r="P94" s="138"/>
      <c r="Q94" s="138"/>
      <c r="R94" s="138"/>
      <c r="S94" s="138"/>
      <c r="T94" s="138"/>
      <c r="U94" s="139"/>
    </row>
    <row r="95" spans="1:21" ht="97.5" customHeight="1" x14ac:dyDescent="0.15">
      <c r="B95" s="107" t="s">
        <v>61</v>
      </c>
      <c r="C95" s="24" t="s">
        <v>70</v>
      </c>
      <c r="D95" s="140" t="s">
        <v>182</v>
      </c>
      <c r="E95" s="141"/>
      <c r="F95" s="141"/>
      <c r="G95" s="141"/>
      <c r="H95" s="141"/>
      <c r="I95" s="141"/>
      <c r="J95" s="141"/>
      <c r="K95" s="141"/>
      <c r="L95" s="141"/>
      <c r="M95" s="141"/>
      <c r="N95" s="141"/>
      <c r="O95" s="141"/>
      <c r="P95" s="141"/>
      <c r="Q95" s="141"/>
      <c r="R95" s="141"/>
      <c r="S95" s="141"/>
      <c r="T95" s="141"/>
      <c r="U95" s="142"/>
    </row>
    <row r="96" spans="1:21" ht="97.5" customHeight="1" x14ac:dyDescent="0.15">
      <c r="B96" s="108"/>
      <c r="C96" s="26" t="s">
        <v>71</v>
      </c>
      <c r="D96" s="137" t="s">
        <v>192</v>
      </c>
      <c r="E96" s="138"/>
      <c r="F96" s="138"/>
      <c r="G96" s="138"/>
      <c r="H96" s="138"/>
      <c r="I96" s="138"/>
      <c r="J96" s="138"/>
      <c r="K96" s="138"/>
      <c r="L96" s="138"/>
      <c r="M96" s="138"/>
      <c r="N96" s="138"/>
      <c r="O96" s="138"/>
      <c r="P96" s="138"/>
      <c r="Q96" s="138"/>
      <c r="R96" s="138"/>
      <c r="S96" s="138"/>
      <c r="T96" s="138"/>
      <c r="U96" s="139"/>
    </row>
    <row r="97" spans="1:33" ht="111.75" customHeight="1" x14ac:dyDescent="0.15">
      <c r="B97" s="107" t="s">
        <v>75</v>
      </c>
      <c r="C97" s="22" t="s">
        <v>56</v>
      </c>
      <c r="D97" s="140" t="s">
        <v>193</v>
      </c>
      <c r="E97" s="141"/>
      <c r="F97" s="141"/>
      <c r="G97" s="141"/>
      <c r="H97" s="141"/>
      <c r="I97" s="141"/>
      <c r="J97" s="141"/>
      <c r="K97" s="141"/>
      <c r="L97" s="141"/>
      <c r="M97" s="141"/>
      <c r="N97" s="141"/>
      <c r="O97" s="141"/>
      <c r="P97" s="141"/>
      <c r="Q97" s="141"/>
      <c r="R97" s="141"/>
      <c r="S97" s="141"/>
      <c r="T97" s="141"/>
      <c r="U97" s="142"/>
    </row>
    <row r="98" spans="1:33" ht="97.5" customHeight="1" x14ac:dyDescent="0.15">
      <c r="B98" s="108"/>
      <c r="C98" s="25" t="s">
        <v>58</v>
      </c>
      <c r="D98" s="137" t="s">
        <v>194</v>
      </c>
      <c r="E98" s="138"/>
      <c r="F98" s="138"/>
      <c r="G98" s="138"/>
      <c r="H98" s="138"/>
      <c r="I98" s="138"/>
      <c r="J98" s="138"/>
      <c r="K98" s="138"/>
      <c r="L98" s="138"/>
      <c r="M98" s="138"/>
      <c r="N98" s="138"/>
      <c r="O98" s="138"/>
      <c r="P98" s="138"/>
      <c r="Q98" s="138"/>
      <c r="R98" s="138"/>
      <c r="S98" s="138"/>
      <c r="T98" s="138"/>
      <c r="U98" s="139"/>
    </row>
    <row r="99" spans="1:33" ht="124.5" customHeight="1" x14ac:dyDescent="0.15">
      <c r="B99" s="107" t="s">
        <v>76</v>
      </c>
      <c r="C99" s="24" t="s">
        <v>55</v>
      </c>
      <c r="D99" s="140" t="s">
        <v>195</v>
      </c>
      <c r="E99" s="141"/>
      <c r="F99" s="141"/>
      <c r="G99" s="141"/>
      <c r="H99" s="141"/>
      <c r="I99" s="141"/>
      <c r="J99" s="141"/>
      <c r="K99" s="141"/>
      <c r="L99" s="141"/>
      <c r="M99" s="141"/>
      <c r="N99" s="141"/>
      <c r="O99" s="141"/>
      <c r="P99" s="141"/>
      <c r="Q99" s="141"/>
      <c r="R99" s="141"/>
      <c r="S99" s="141"/>
      <c r="T99" s="141"/>
      <c r="U99" s="142"/>
    </row>
    <row r="100" spans="1:33" ht="97.5" customHeight="1" x14ac:dyDescent="0.15">
      <c r="B100" s="112"/>
      <c r="C100" s="27" t="s">
        <v>72</v>
      </c>
      <c r="D100" s="143" t="s">
        <v>196</v>
      </c>
      <c r="E100" s="144"/>
      <c r="F100" s="144"/>
      <c r="G100" s="144"/>
      <c r="H100" s="144"/>
      <c r="I100" s="144"/>
      <c r="J100" s="144"/>
      <c r="K100" s="144"/>
      <c r="L100" s="144"/>
      <c r="M100" s="144"/>
      <c r="N100" s="144"/>
      <c r="O100" s="144"/>
      <c r="P100" s="144"/>
      <c r="Q100" s="144"/>
      <c r="R100" s="144"/>
      <c r="S100" s="144"/>
      <c r="T100" s="144"/>
      <c r="U100" s="145"/>
    </row>
    <row r="101" spans="1:33" ht="97.5" customHeight="1" x14ac:dyDescent="0.15">
      <c r="B101" s="108"/>
      <c r="C101" s="26" t="s">
        <v>73</v>
      </c>
      <c r="D101" s="137" t="s">
        <v>197</v>
      </c>
      <c r="E101" s="138"/>
      <c r="F101" s="138"/>
      <c r="G101" s="138"/>
      <c r="H101" s="138"/>
      <c r="I101" s="138"/>
      <c r="J101" s="138"/>
      <c r="K101" s="138"/>
      <c r="L101" s="138"/>
      <c r="M101" s="138"/>
      <c r="N101" s="138"/>
      <c r="O101" s="138"/>
      <c r="P101" s="138"/>
      <c r="Q101" s="138"/>
      <c r="R101" s="138"/>
      <c r="S101" s="138"/>
      <c r="T101" s="138"/>
      <c r="U101" s="139"/>
    </row>
    <row r="102" spans="1:33" ht="4.5" customHeight="1" x14ac:dyDescent="0.15"/>
    <row r="103" spans="1:33" ht="18.75" customHeight="1" x14ac:dyDescent="0.15">
      <c r="A103" s="1" t="s">
        <v>108</v>
      </c>
    </row>
    <row r="104" spans="1:33" ht="81.75" customHeight="1" x14ac:dyDescent="0.15">
      <c r="B104" s="124" t="s">
        <v>157</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36" t="s">
        <v>130</v>
      </c>
      <c r="C108" s="136"/>
      <c r="D108" s="136"/>
      <c r="E108" s="136"/>
      <c r="F108" s="136"/>
      <c r="G108" s="136"/>
      <c r="H108" s="136"/>
      <c r="I108" s="136"/>
      <c r="J108" s="136"/>
      <c r="K108" s="136"/>
      <c r="L108" s="136"/>
      <c r="M108" s="136"/>
      <c r="N108" s="136"/>
      <c r="O108" s="136"/>
      <c r="P108" s="136"/>
      <c r="Q108" s="136"/>
      <c r="R108" s="136"/>
      <c r="S108" s="136"/>
      <c r="T108" s="136"/>
      <c r="U108" s="136"/>
      <c r="V108" s="69"/>
      <c r="W108" s="69"/>
      <c r="X108" s="69"/>
      <c r="Y108" s="69"/>
      <c r="Z108" s="69"/>
      <c r="AA108" s="69"/>
      <c r="AB108" s="69"/>
      <c r="AC108" s="69"/>
      <c r="AD108" s="69"/>
      <c r="AE108" s="69"/>
      <c r="AF108" s="69"/>
      <c r="AG108" s="69"/>
    </row>
    <row r="109" spans="1:33" ht="37.15" customHeight="1" x14ac:dyDescent="0.15">
      <c r="A109" s="73"/>
      <c r="B109" s="136"/>
      <c r="C109" s="136"/>
      <c r="D109" s="136"/>
      <c r="E109" s="136"/>
      <c r="F109" s="136"/>
      <c r="G109" s="136"/>
      <c r="H109" s="136"/>
      <c r="I109" s="136"/>
      <c r="J109" s="136"/>
      <c r="K109" s="136"/>
      <c r="L109" s="136"/>
      <c r="M109" s="136"/>
      <c r="N109" s="136"/>
      <c r="O109" s="136"/>
      <c r="P109" s="136"/>
      <c r="Q109" s="136"/>
      <c r="R109" s="136"/>
      <c r="S109" s="136"/>
      <c r="T109" s="136"/>
      <c r="U109" s="136"/>
      <c r="V109" s="69"/>
      <c r="W109" s="69"/>
      <c r="X109" s="69"/>
      <c r="Y109" s="69"/>
      <c r="Z109" s="69"/>
      <c r="AA109" s="69"/>
      <c r="AB109" s="69"/>
      <c r="AC109" s="69"/>
      <c r="AD109" s="69"/>
      <c r="AE109" s="69"/>
      <c r="AF109" s="69"/>
      <c r="AG109" s="69"/>
    </row>
    <row r="110" spans="1:33" ht="18.75" customHeight="1" x14ac:dyDescent="0.15">
      <c r="A110" s="73"/>
      <c r="B110" s="85" t="s">
        <v>125</v>
      </c>
      <c r="C110" s="85"/>
      <c r="D110" s="85"/>
      <c r="E110" s="85"/>
      <c r="F110" s="85"/>
      <c r="G110" s="85"/>
      <c r="H110" s="85"/>
      <c r="I110" s="85"/>
      <c r="J110" s="85"/>
      <c r="K110" s="85"/>
      <c r="L110" s="85"/>
      <c r="M110" s="85"/>
      <c r="N110" s="85"/>
      <c r="O110" s="85"/>
      <c r="P110" s="85"/>
      <c r="Q110" s="85"/>
      <c r="R110" s="85"/>
      <c r="S110" s="85"/>
      <c r="T110" s="85"/>
      <c r="U110" s="85"/>
      <c r="V110" s="69"/>
      <c r="W110" s="69"/>
      <c r="X110" s="69"/>
      <c r="Y110" s="69"/>
      <c r="Z110" s="69"/>
      <c r="AA110" s="69"/>
      <c r="AB110" s="69"/>
      <c r="AC110" s="69"/>
      <c r="AD110" s="69"/>
      <c r="AE110" s="69"/>
      <c r="AF110" s="69"/>
      <c r="AG110" s="69"/>
    </row>
    <row r="111" spans="1:33" ht="18.75" customHeight="1" x14ac:dyDescent="0.15">
      <c r="A111" s="73"/>
      <c r="B111" s="98" t="s">
        <v>53</v>
      </c>
      <c r="C111" s="98"/>
      <c r="D111" s="98"/>
      <c r="E111" s="98"/>
      <c r="F111" s="98"/>
      <c r="G111" s="98"/>
      <c r="H111" s="98"/>
      <c r="I111" s="98"/>
      <c r="J111" s="98"/>
      <c r="K111" s="98"/>
      <c r="L111" s="98"/>
      <c r="M111" s="98"/>
      <c r="N111" s="98"/>
      <c r="O111" s="98"/>
      <c r="P111" s="98"/>
      <c r="Q111" s="98"/>
      <c r="R111" s="98"/>
      <c r="S111" s="98"/>
      <c r="T111" s="98"/>
      <c r="U111" s="98"/>
      <c r="V111" s="68"/>
      <c r="W111" s="68"/>
      <c r="X111" s="68"/>
      <c r="Y111" s="68"/>
      <c r="Z111" s="68"/>
      <c r="AA111" s="68"/>
      <c r="AB111" s="68"/>
      <c r="AC111" s="68"/>
      <c r="AD111" s="68"/>
      <c r="AE111" s="68"/>
      <c r="AF111" s="68"/>
      <c r="AG111" s="68"/>
    </row>
    <row r="112" spans="1:33" ht="132" customHeight="1" x14ac:dyDescent="0.15">
      <c r="A112" s="73"/>
      <c r="B112" s="99"/>
      <c r="C112" s="99"/>
      <c r="D112" s="99"/>
      <c r="E112" s="99"/>
      <c r="F112" s="99"/>
      <c r="G112" s="99"/>
      <c r="H112" s="99"/>
      <c r="I112" s="99"/>
      <c r="J112" s="99"/>
      <c r="K112" s="99"/>
      <c r="L112" s="99"/>
      <c r="M112" s="99"/>
      <c r="N112" s="99"/>
      <c r="O112" s="99"/>
      <c r="P112" s="99"/>
      <c r="Q112" s="99"/>
      <c r="R112" s="99"/>
      <c r="S112" s="99"/>
      <c r="T112" s="99"/>
      <c r="U112" s="99"/>
      <c r="V112" s="70"/>
      <c r="W112" s="70"/>
      <c r="X112" s="70"/>
      <c r="Y112" s="70"/>
      <c r="Z112" s="70"/>
      <c r="AA112" s="70"/>
      <c r="AB112" s="70"/>
      <c r="AC112" s="70"/>
      <c r="AD112" s="70"/>
      <c r="AE112" s="70"/>
      <c r="AF112" s="70"/>
      <c r="AG112" s="70"/>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D20B7FCA-02C2-4DC0-9B22-E8C03EF096C4}">
      <formula1>$X$16:$X$18</formula1>
    </dataValidation>
    <dataValidation type="list" allowBlank="1" showInputMessage="1" showErrorMessage="1" sqref="G81:G88 R81:R88 H81:J82 H85:J88 S85:U88 S81:U82" xr:uid="{10737176-603A-4AC2-95FE-A06E7DA1BE7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4593C4C9-8654-4358-BC97-AED860009E95}">
      <formula1>"学部・学科によって、修了要件は相違する,学部・学科によって、修了要件は相違しない"</formula1>
    </dataValidation>
    <dataValidation type="list" allowBlank="1" showInputMessage="1" showErrorMessage="1" sqref="U34 U45 E34:H34 E45:H45" xr:uid="{1DA7FA47-E1A8-4742-BC04-0641EAAB90FE}">
      <formula1>"全学開講,一部開講"</formula1>
    </dataValidation>
    <dataValidation type="list" allowBlank="1" showInputMessage="1" showErrorMessage="1" sqref="H27:J33 S27:U33 H38:J44 S38:U44 H49:J55 S49:U55 H60:J66 S60:U66 G71:J77 R71:U77" xr:uid="{381B128F-EA1F-4510-8041-233D688900D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C6644-D9BC-462C-8834-72E36F6A9237}">
  <sheetPr>
    <pageSetUpPr fitToPage="1"/>
  </sheetPr>
  <dimension ref="A1:AG114"/>
  <sheetViews>
    <sheetView showZeros="0" view="pageBreakPreview" zoomScaleNormal="100" zoomScaleSheetLayoutView="100" workbookViewId="0">
      <selection activeCell="F6" sqref="F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32" t="s">
        <v>209</v>
      </c>
      <c r="U1" s="132"/>
      <c r="V1" s="2" t="s">
        <v>99</v>
      </c>
    </row>
    <row r="2" spans="1:24" ht="18.75" customHeight="1" x14ac:dyDescent="0.15">
      <c r="A2" s="74"/>
      <c r="B2" s="76" t="s">
        <v>98</v>
      </c>
      <c r="C2" s="133" t="s">
        <v>136</v>
      </c>
      <c r="D2" s="134"/>
      <c r="E2" s="134"/>
      <c r="F2" s="134"/>
      <c r="G2" s="134"/>
      <c r="H2" s="134"/>
      <c r="I2" s="134"/>
      <c r="J2" s="135"/>
      <c r="K2" s="75"/>
      <c r="L2" s="77"/>
      <c r="M2" s="77"/>
      <c r="N2" s="77"/>
      <c r="O2" s="77"/>
      <c r="P2" s="77"/>
      <c r="Q2" s="77"/>
      <c r="R2" s="77"/>
      <c r="S2" s="77"/>
      <c r="T2" s="77"/>
      <c r="U2" s="77"/>
    </row>
    <row r="3" spans="1:24" ht="18.75" customHeight="1" x14ac:dyDescent="0.15">
      <c r="A3" s="74"/>
      <c r="B3" s="76" t="s">
        <v>93</v>
      </c>
      <c r="C3" s="253" t="s">
        <v>207</v>
      </c>
      <c r="D3" s="254"/>
      <c r="E3" s="254"/>
      <c r="F3" s="254"/>
      <c r="G3" s="254"/>
      <c r="H3" s="254"/>
      <c r="I3" s="254"/>
      <c r="J3" s="255"/>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13" t="s">
        <v>37</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73"/>
      <c r="G7" s="73"/>
      <c r="H7" s="73"/>
      <c r="I7" s="73"/>
      <c r="J7" s="73"/>
      <c r="K7" s="73"/>
      <c r="L7" s="149" t="s">
        <v>129</v>
      </c>
      <c r="M7" s="150"/>
      <c r="N7" s="150"/>
      <c r="O7" s="150"/>
      <c r="P7" s="150"/>
      <c r="Q7" s="150"/>
      <c r="R7" s="150"/>
      <c r="S7" s="150"/>
      <c r="T7" s="150"/>
      <c r="U7" s="151"/>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52" t="s">
        <v>156</v>
      </c>
      <c r="C11" s="153"/>
      <c r="D11" s="153"/>
      <c r="E11" s="153"/>
      <c r="F11" s="153"/>
      <c r="G11" s="153"/>
      <c r="H11" s="153"/>
      <c r="I11" s="153"/>
      <c r="J11" s="153"/>
      <c r="K11" s="153"/>
      <c r="L11" s="153"/>
      <c r="M11" s="153"/>
      <c r="N11" s="153"/>
      <c r="O11" s="153"/>
      <c r="P11" s="153"/>
      <c r="Q11" s="153"/>
      <c r="R11" s="153"/>
      <c r="S11" s="153"/>
      <c r="T11" s="153"/>
      <c r="U11" s="154"/>
    </row>
    <row r="12" spans="1:24" ht="18" customHeight="1" x14ac:dyDescent="0.15">
      <c r="A12" s="74"/>
      <c r="B12" s="155"/>
      <c r="C12" s="156"/>
      <c r="D12" s="156"/>
      <c r="E12" s="156"/>
      <c r="F12" s="156"/>
      <c r="G12" s="156"/>
      <c r="H12" s="156"/>
      <c r="I12" s="156"/>
      <c r="J12" s="156"/>
      <c r="K12" s="156"/>
      <c r="L12" s="156"/>
      <c r="M12" s="156"/>
      <c r="N12" s="156"/>
      <c r="O12" s="156"/>
      <c r="P12" s="156"/>
      <c r="Q12" s="156"/>
      <c r="R12" s="156"/>
      <c r="S12" s="156"/>
      <c r="T12" s="156"/>
      <c r="U12" s="157"/>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100</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14" t="s">
        <v>177</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x14ac:dyDescent="0.15">
      <c r="A16" s="74"/>
      <c r="B16" s="117"/>
      <c r="C16" s="118"/>
      <c r="D16" s="118"/>
      <c r="E16" s="118"/>
      <c r="F16" s="118"/>
      <c r="G16" s="118"/>
      <c r="H16" s="118"/>
      <c r="I16" s="118"/>
      <c r="J16" s="118"/>
      <c r="K16" s="118"/>
      <c r="L16" s="118"/>
      <c r="M16" s="118"/>
      <c r="N16" s="118"/>
      <c r="O16" s="118"/>
      <c r="P16" s="118"/>
      <c r="Q16" s="118"/>
      <c r="R16" s="118"/>
      <c r="S16" s="118"/>
      <c r="T16" s="118"/>
      <c r="U16" s="119"/>
      <c r="X16" s="1" t="s">
        <v>114</v>
      </c>
    </row>
    <row r="17" spans="1:24" ht="18" customHeight="1" x14ac:dyDescent="0.15">
      <c r="A17" s="74"/>
      <c r="B17" s="117"/>
      <c r="C17" s="118"/>
      <c r="D17" s="118"/>
      <c r="E17" s="118"/>
      <c r="F17" s="118"/>
      <c r="G17" s="118"/>
      <c r="H17" s="118"/>
      <c r="I17" s="118"/>
      <c r="J17" s="118"/>
      <c r="K17" s="118"/>
      <c r="L17" s="118"/>
      <c r="M17" s="118"/>
      <c r="N17" s="118"/>
      <c r="O17" s="118"/>
      <c r="P17" s="118"/>
      <c r="Q17" s="118"/>
      <c r="R17" s="118"/>
      <c r="S17" s="118"/>
      <c r="T17" s="118"/>
      <c r="U17" s="119"/>
      <c r="X17" s="1" t="s">
        <v>115</v>
      </c>
    </row>
    <row r="18" spans="1:24" ht="18" customHeight="1" x14ac:dyDescent="0.15">
      <c r="A18" s="74"/>
      <c r="B18" s="117"/>
      <c r="C18" s="118"/>
      <c r="D18" s="118"/>
      <c r="E18" s="118"/>
      <c r="F18" s="118"/>
      <c r="G18" s="118"/>
      <c r="H18" s="118"/>
      <c r="I18" s="118"/>
      <c r="J18" s="118"/>
      <c r="K18" s="118"/>
      <c r="L18" s="118"/>
      <c r="M18" s="118"/>
      <c r="N18" s="118"/>
      <c r="O18" s="118"/>
      <c r="P18" s="118"/>
      <c r="Q18" s="118"/>
      <c r="R18" s="118"/>
      <c r="S18" s="118"/>
      <c r="T18" s="118"/>
      <c r="U18" s="119"/>
      <c r="X18" s="1" t="s">
        <v>116</v>
      </c>
    </row>
    <row r="19" spans="1:24" ht="18" customHeight="1" x14ac:dyDescent="0.15">
      <c r="A19" s="74"/>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4"/>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2">
        <v>2</v>
      </c>
      <c r="F22" s="74" t="s">
        <v>112</v>
      </c>
      <c r="G22" s="74"/>
      <c r="H22" s="76">
        <v>4</v>
      </c>
      <c r="I22" s="79" t="s">
        <v>113</v>
      </c>
      <c r="J22" s="79"/>
      <c r="K22" s="75"/>
      <c r="L22" s="74"/>
      <c r="M22" s="75" t="s">
        <v>109</v>
      </c>
      <c r="N22" s="146" t="s">
        <v>116</v>
      </c>
      <c r="O22" s="147"/>
      <c r="P22" s="147"/>
      <c r="Q22" s="147"/>
      <c r="R22" s="147"/>
      <c r="S22" s="147"/>
      <c r="T22" s="147"/>
      <c r="U22" s="148"/>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23" t="s">
        <v>101</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51</v>
      </c>
      <c r="C26" s="90"/>
      <c r="D26" s="90"/>
      <c r="E26" s="90"/>
      <c r="F26" s="91"/>
      <c r="G26" s="50" t="s">
        <v>77</v>
      </c>
      <c r="H26" s="49" t="s">
        <v>80</v>
      </c>
      <c r="I26" s="16" t="s">
        <v>54</v>
      </c>
      <c r="J26" s="16" t="s">
        <v>57</v>
      </c>
      <c r="K26" s="89" t="s">
        <v>51</v>
      </c>
      <c r="L26" s="90"/>
      <c r="M26" s="90"/>
      <c r="N26" s="90"/>
      <c r="O26" s="90"/>
      <c r="P26" s="90"/>
      <c r="Q26" s="91"/>
      <c r="R26" s="50" t="s">
        <v>77</v>
      </c>
      <c r="S26" s="49" t="s">
        <v>80</v>
      </c>
      <c r="T26" s="16" t="s">
        <v>54</v>
      </c>
      <c r="U26" s="16" t="s">
        <v>57</v>
      </c>
    </row>
    <row r="27" spans="1:24" ht="18" customHeight="1" x14ac:dyDescent="0.15">
      <c r="B27" s="100" t="s">
        <v>211</v>
      </c>
      <c r="C27" s="101"/>
      <c r="D27" s="101"/>
      <c r="E27" s="101"/>
      <c r="F27" s="102"/>
      <c r="G27" s="17">
        <v>2</v>
      </c>
      <c r="H27" s="17" t="s">
        <v>137</v>
      </c>
      <c r="I27" s="17" t="s">
        <v>137</v>
      </c>
      <c r="J27" s="17" t="s">
        <v>137</v>
      </c>
      <c r="K27" s="100"/>
      <c r="L27" s="101"/>
      <c r="M27" s="101"/>
      <c r="N27" s="101"/>
      <c r="O27" s="101"/>
      <c r="P27" s="101"/>
      <c r="Q27" s="102"/>
      <c r="R27" s="17"/>
      <c r="S27" s="17"/>
      <c r="T27" s="17"/>
      <c r="U27" s="17"/>
    </row>
    <row r="28" spans="1:24" ht="18" customHeight="1" x14ac:dyDescent="0.15">
      <c r="B28" s="92"/>
      <c r="C28" s="93"/>
      <c r="D28" s="93"/>
      <c r="E28" s="93"/>
      <c r="F28" s="94"/>
      <c r="G28" s="18"/>
      <c r="H28" s="18"/>
      <c r="I28" s="18"/>
      <c r="J28" s="18"/>
      <c r="K28" s="92"/>
      <c r="L28" s="93"/>
      <c r="M28" s="93"/>
      <c r="N28" s="93"/>
      <c r="O28" s="93"/>
      <c r="P28" s="93"/>
      <c r="Q28" s="94"/>
      <c r="R28" s="18"/>
      <c r="S28" s="18"/>
      <c r="T28" s="18"/>
      <c r="U28" s="18"/>
    </row>
    <row r="29" spans="1:24" ht="18" customHeight="1" x14ac:dyDescent="0.15">
      <c r="B29" s="92"/>
      <c r="C29" s="93"/>
      <c r="D29" s="93"/>
      <c r="E29" s="93"/>
      <c r="F29" s="94"/>
      <c r="G29" s="18"/>
      <c r="H29" s="18"/>
      <c r="I29" s="18"/>
      <c r="J29" s="18"/>
      <c r="K29" s="92"/>
      <c r="L29" s="93"/>
      <c r="M29" s="93"/>
      <c r="N29" s="93"/>
      <c r="O29" s="93"/>
      <c r="P29" s="93"/>
      <c r="Q29" s="94"/>
      <c r="R29" s="18"/>
      <c r="S29" s="18"/>
      <c r="T29" s="18"/>
      <c r="U29" s="18"/>
    </row>
    <row r="30" spans="1:24" ht="18" customHeight="1" x14ac:dyDescent="0.15">
      <c r="B30" s="92"/>
      <c r="C30" s="93"/>
      <c r="D30" s="93"/>
      <c r="E30" s="93"/>
      <c r="F30" s="94"/>
      <c r="G30" s="18"/>
      <c r="H30" s="18"/>
      <c r="I30" s="18"/>
      <c r="J30" s="18"/>
      <c r="K30" s="92"/>
      <c r="L30" s="93"/>
      <c r="M30" s="93"/>
      <c r="N30" s="93"/>
      <c r="O30" s="93"/>
      <c r="P30" s="93"/>
      <c r="Q30" s="94"/>
      <c r="R30" s="18"/>
      <c r="S30" s="18"/>
      <c r="T30" s="18"/>
      <c r="U30" s="18"/>
    </row>
    <row r="31" spans="1:24" ht="18" customHeight="1" x14ac:dyDescent="0.15">
      <c r="B31" s="92"/>
      <c r="C31" s="93"/>
      <c r="D31" s="93"/>
      <c r="E31" s="93"/>
      <c r="F31" s="94"/>
      <c r="G31" s="18"/>
      <c r="H31" s="18"/>
      <c r="I31" s="18"/>
      <c r="J31" s="18"/>
      <c r="K31" s="92"/>
      <c r="L31" s="93"/>
      <c r="M31" s="93"/>
      <c r="N31" s="93"/>
      <c r="O31" s="93"/>
      <c r="P31" s="93"/>
      <c r="Q31" s="94"/>
      <c r="R31" s="18"/>
      <c r="S31" s="18"/>
      <c r="T31" s="18"/>
      <c r="U31" s="18"/>
    </row>
    <row r="32" spans="1:24" ht="18" customHeight="1" x14ac:dyDescent="0.15">
      <c r="A32" s="3"/>
      <c r="B32" s="92"/>
      <c r="C32" s="93"/>
      <c r="D32" s="93"/>
      <c r="E32" s="93"/>
      <c r="F32" s="94"/>
      <c r="G32" s="18"/>
      <c r="H32" s="18"/>
      <c r="I32" s="18"/>
      <c r="J32" s="18"/>
      <c r="K32" s="92"/>
      <c r="L32" s="93"/>
      <c r="M32" s="93"/>
      <c r="N32" s="93"/>
      <c r="O32" s="93"/>
      <c r="P32" s="93"/>
      <c r="Q32" s="94"/>
      <c r="R32" s="18"/>
      <c r="S32" s="18"/>
      <c r="T32" s="18"/>
      <c r="U32" s="18"/>
    </row>
    <row r="33" spans="1:21" ht="18" customHeight="1" x14ac:dyDescent="0.15">
      <c r="A33" s="3"/>
      <c r="B33" s="95"/>
      <c r="C33" s="96"/>
      <c r="D33" s="96"/>
      <c r="E33" s="96"/>
      <c r="F33" s="97"/>
      <c r="G33" s="19"/>
      <c r="H33" s="19"/>
      <c r="I33" s="20"/>
      <c r="J33" s="20"/>
      <c r="K33" s="95"/>
      <c r="L33" s="96"/>
      <c r="M33" s="96"/>
      <c r="N33" s="96"/>
      <c r="O33" s="96"/>
      <c r="P33" s="96"/>
      <c r="Q33" s="97"/>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102</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51</v>
      </c>
      <c r="C37" s="90"/>
      <c r="D37" s="90"/>
      <c r="E37" s="90"/>
      <c r="F37" s="91"/>
      <c r="G37" s="50" t="s">
        <v>77</v>
      </c>
      <c r="H37" s="49" t="s">
        <v>80</v>
      </c>
      <c r="I37" s="16" t="s">
        <v>68</v>
      </c>
      <c r="J37" s="16" t="s">
        <v>69</v>
      </c>
      <c r="K37" s="89" t="s">
        <v>51</v>
      </c>
      <c r="L37" s="90"/>
      <c r="M37" s="90"/>
      <c r="N37" s="90"/>
      <c r="O37" s="90"/>
      <c r="P37" s="90"/>
      <c r="Q37" s="91"/>
      <c r="R37" s="50" t="s">
        <v>77</v>
      </c>
      <c r="S37" s="49" t="s">
        <v>80</v>
      </c>
      <c r="T37" s="16" t="s">
        <v>68</v>
      </c>
      <c r="U37" s="16" t="s">
        <v>69</v>
      </c>
    </row>
    <row r="38" spans="1:21" ht="18" customHeight="1" x14ac:dyDescent="0.15">
      <c r="B38" s="100" t="s">
        <v>211</v>
      </c>
      <c r="C38" s="101"/>
      <c r="D38" s="101"/>
      <c r="E38" s="101"/>
      <c r="F38" s="102"/>
      <c r="G38" s="17">
        <v>2</v>
      </c>
      <c r="H38" s="17" t="s">
        <v>137</v>
      </c>
      <c r="I38" s="17" t="s">
        <v>137</v>
      </c>
      <c r="J38" s="17" t="s">
        <v>137</v>
      </c>
      <c r="K38" s="100"/>
      <c r="L38" s="101"/>
      <c r="M38" s="101"/>
      <c r="N38" s="101"/>
      <c r="O38" s="101"/>
      <c r="P38" s="101"/>
      <c r="Q38" s="102"/>
      <c r="R38" s="17"/>
      <c r="S38" s="17"/>
      <c r="T38" s="17"/>
      <c r="U38" s="17"/>
    </row>
    <row r="39" spans="1:21" ht="18" customHeight="1" x14ac:dyDescent="0.15">
      <c r="B39" s="92"/>
      <c r="C39" s="93"/>
      <c r="D39" s="93"/>
      <c r="E39" s="93"/>
      <c r="F39" s="94"/>
      <c r="G39" s="18"/>
      <c r="H39" s="18"/>
      <c r="I39" s="18"/>
      <c r="J39" s="18"/>
      <c r="K39" s="92"/>
      <c r="L39" s="93"/>
      <c r="M39" s="93"/>
      <c r="N39" s="93"/>
      <c r="O39" s="93"/>
      <c r="P39" s="93"/>
      <c r="Q39" s="94"/>
      <c r="R39" s="18"/>
      <c r="S39" s="18"/>
      <c r="T39" s="18"/>
      <c r="U39" s="18"/>
    </row>
    <row r="40" spans="1:21" ht="18" customHeight="1" x14ac:dyDescent="0.15">
      <c r="B40" s="92"/>
      <c r="C40" s="93"/>
      <c r="D40" s="93"/>
      <c r="E40" s="93"/>
      <c r="F40" s="94"/>
      <c r="G40" s="18"/>
      <c r="H40" s="18"/>
      <c r="I40" s="18"/>
      <c r="J40" s="18"/>
      <c r="K40" s="92"/>
      <c r="L40" s="93"/>
      <c r="M40" s="93"/>
      <c r="N40" s="93"/>
      <c r="O40" s="93"/>
      <c r="P40" s="93"/>
      <c r="Q40" s="94"/>
      <c r="R40" s="18"/>
      <c r="S40" s="18"/>
      <c r="T40" s="18"/>
      <c r="U40" s="18"/>
    </row>
    <row r="41" spans="1:21" ht="18" customHeight="1" x14ac:dyDescent="0.15">
      <c r="B41" s="92"/>
      <c r="C41" s="93"/>
      <c r="D41" s="93"/>
      <c r="E41" s="93"/>
      <c r="F41" s="94"/>
      <c r="G41" s="18"/>
      <c r="H41" s="18"/>
      <c r="I41" s="18"/>
      <c r="J41" s="18"/>
      <c r="K41" s="92"/>
      <c r="L41" s="93"/>
      <c r="M41" s="93"/>
      <c r="N41" s="93"/>
      <c r="O41" s="93"/>
      <c r="P41" s="93"/>
      <c r="Q41" s="94"/>
      <c r="R41" s="18"/>
      <c r="S41" s="18"/>
      <c r="T41" s="18"/>
      <c r="U41" s="18"/>
    </row>
    <row r="42" spans="1:21" ht="18" customHeight="1" x14ac:dyDescent="0.15">
      <c r="B42" s="92"/>
      <c r="C42" s="93"/>
      <c r="D42" s="93"/>
      <c r="E42" s="93"/>
      <c r="F42" s="94"/>
      <c r="G42" s="18"/>
      <c r="H42" s="18"/>
      <c r="I42" s="18"/>
      <c r="J42" s="18"/>
      <c r="K42" s="92"/>
      <c r="L42" s="93"/>
      <c r="M42" s="93"/>
      <c r="N42" s="93"/>
      <c r="O42" s="93"/>
      <c r="P42" s="93"/>
      <c r="Q42" s="94"/>
      <c r="R42" s="18"/>
      <c r="S42" s="18"/>
      <c r="T42" s="18"/>
      <c r="U42" s="18"/>
    </row>
    <row r="43" spans="1:21" ht="18" customHeight="1" x14ac:dyDescent="0.15">
      <c r="B43" s="92"/>
      <c r="C43" s="93"/>
      <c r="D43" s="93"/>
      <c r="E43" s="93"/>
      <c r="F43" s="94"/>
      <c r="G43" s="18"/>
      <c r="H43" s="18"/>
      <c r="I43" s="18"/>
      <c r="J43" s="18"/>
      <c r="K43" s="92"/>
      <c r="L43" s="93"/>
      <c r="M43" s="93"/>
      <c r="N43" s="93"/>
      <c r="O43" s="93"/>
      <c r="P43" s="93"/>
      <c r="Q43" s="94"/>
      <c r="R43" s="18"/>
      <c r="S43" s="18"/>
      <c r="T43" s="18"/>
      <c r="U43" s="18"/>
    </row>
    <row r="44" spans="1:21" ht="18" customHeight="1" x14ac:dyDescent="0.15">
      <c r="B44" s="95"/>
      <c r="C44" s="96"/>
      <c r="D44" s="96"/>
      <c r="E44" s="96"/>
      <c r="F44" s="97"/>
      <c r="G44" s="19"/>
      <c r="H44" s="19"/>
      <c r="I44" s="20"/>
      <c r="J44" s="20"/>
      <c r="K44" s="95"/>
      <c r="L44" s="96"/>
      <c r="M44" s="96"/>
      <c r="N44" s="96"/>
      <c r="O44" s="96"/>
      <c r="P44" s="96"/>
      <c r="Q44" s="97"/>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103</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51</v>
      </c>
      <c r="C48" s="90"/>
      <c r="D48" s="90"/>
      <c r="E48" s="90"/>
      <c r="F48" s="91"/>
      <c r="G48" s="50" t="s">
        <v>77</v>
      </c>
      <c r="H48" s="49" t="s">
        <v>80</v>
      </c>
      <c r="I48" s="16" t="s">
        <v>70</v>
      </c>
      <c r="J48" s="16" t="s">
        <v>71</v>
      </c>
      <c r="K48" s="89" t="s">
        <v>51</v>
      </c>
      <c r="L48" s="90"/>
      <c r="M48" s="90"/>
      <c r="N48" s="90"/>
      <c r="O48" s="90"/>
      <c r="P48" s="90"/>
      <c r="Q48" s="91"/>
      <c r="R48" s="50" t="s">
        <v>77</v>
      </c>
      <c r="S48" s="49" t="s">
        <v>80</v>
      </c>
      <c r="T48" s="16" t="s">
        <v>70</v>
      </c>
      <c r="U48" s="16" t="s">
        <v>71</v>
      </c>
    </row>
    <row r="49" spans="1:21" ht="18" customHeight="1" x14ac:dyDescent="0.15">
      <c r="A49" s="3"/>
      <c r="B49" s="100" t="s">
        <v>211</v>
      </c>
      <c r="C49" s="101"/>
      <c r="D49" s="101"/>
      <c r="E49" s="101"/>
      <c r="F49" s="102"/>
      <c r="G49" s="17">
        <v>2</v>
      </c>
      <c r="H49" s="17" t="s">
        <v>137</v>
      </c>
      <c r="I49" s="17" t="s">
        <v>137</v>
      </c>
      <c r="J49" s="17" t="s">
        <v>137</v>
      </c>
      <c r="K49" s="100"/>
      <c r="L49" s="101"/>
      <c r="M49" s="101"/>
      <c r="N49" s="101"/>
      <c r="O49" s="101"/>
      <c r="P49" s="101"/>
      <c r="Q49" s="102"/>
      <c r="R49" s="17"/>
      <c r="S49" s="17"/>
      <c r="T49" s="17"/>
      <c r="U49" s="17"/>
    </row>
    <row r="50" spans="1:21" ht="18" customHeight="1" x14ac:dyDescent="0.15">
      <c r="A50" s="3"/>
      <c r="B50" s="92"/>
      <c r="C50" s="93"/>
      <c r="D50" s="93"/>
      <c r="E50" s="93"/>
      <c r="F50" s="94"/>
      <c r="G50" s="18"/>
      <c r="H50" s="18"/>
      <c r="I50" s="18"/>
      <c r="J50" s="18"/>
      <c r="K50" s="92"/>
      <c r="L50" s="93"/>
      <c r="M50" s="93"/>
      <c r="N50" s="93"/>
      <c r="O50" s="93"/>
      <c r="P50" s="93"/>
      <c r="Q50" s="94"/>
      <c r="R50" s="18"/>
      <c r="S50" s="18"/>
      <c r="T50" s="18"/>
      <c r="U50" s="18"/>
    </row>
    <row r="51" spans="1:21" ht="18" customHeight="1" x14ac:dyDescent="0.15">
      <c r="A51" s="3"/>
      <c r="B51" s="92"/>
      <c r="C51" s="93"/>
      <c r="D51" s="93"/>
      <c r="E51" s="93"/>
      <c r="F51" s="94"/>
      <c r="G51" s="18"/>
      <c r="H51" s="18"/>
      <c r="I51" s="18"/>
      <c r="J51" s="18"/>
      <c r="K51" s="92"/>
      <c r="L51" s="93"/>
      <c r="M51" s="93"/>
      <c r="N51" s="93"/>
      <c r="O51" s="93"/>
      <c r="P51" s="93"/>
      <c r="Q51" s="94"/>
      <c r="R51" s="18"/>
      <c r="S51" s="18"/>
      <c r="T51" s="18"/>
      <c r="U51" s="18"/>
    </row>
    <row r="52" spans="1:21" ht="18" customHeight="1" x14ac:dyDescent="0.15">
      <c r="A52" s="3"/>
      <c r="B52" s="92"/>
      <c r="C52" s="93"/>
      <c r="D52" s="93"/>
      <c r="E52" s="93"/>
      <c r="F52" s="94"/>
      <c r="G52" s="18"/>
      <c r="H52" s="18"/>
      <c r="I52" s="18"/>
      <c r="J52" s="18"/>
      <c r="K52" s="92"/>
      <c r="L52" s="93"/>
      <c r="M52" s="93"/>
      <c r="N52" s="93"/>
      <c r="O52" s="93"/>
      <c r="P52" s="93"/>
      <c r="Q52" s="94"/>
      <c r="R52" s="18"/>
      <c r="S52" s="18"/>
      <c r="T52" s="18"/>
      <c r="U52" s="18"/>
    </row>
    <row r="53" spans="1:21" ht="18" customHeight="1" x14ac:dyDescent="0.15">
      <c r="A53" s="3"/>
      <c r="B53" s="92"/>
      <c r="C53" s="93"/>
      <c r="D53" s="93"/>
      <c r="E53" s="93"/>
      <c r="F53" s="94"/>
      <c r="G53" s="18"/>
      <c r="H53" s="18"/>
      <c r="I53" s="18"/>
      <c r="J53" s="18"/>
      <c r="K53" s="92"/>
      <c r="L53" s="93"/>
      <c r="M53" s="93"/>
      <c r="N53" s="93"/>
      <c r="O53" s="93"/>
      <c r="P53" s="93"/>
      <c r="Q53" s="94"/>
      <c r="R53" s="18"/>
      <c r="S53" s="18"/>
      <c r="T53" s="18"/>
      <c r="U53" s="18"/>
    </row>
    <row r="54" spans="1:21" ht="18" customHeight="1" x14ac:dyDescent="0.15">
      <c r="A54" s="3"/>
      <c r="B54" s="92"/>
      <c r="C54" s="93"/>
      <c r="D54" s="93"/>
      <c r="E54" s="93"/>
      <c r="F54" s="94"/>
      <c r="G54" s="18"/>
      <c r="H54" s="18"/>
      <c r="I54" s="18"/>
      <c r="J54" s="18"/>
      <c r="K54" s="92"/>
      <c r="L54" s="93"/>
      <c r="M54" s="93"/>
      <c r="N54" s="93"/>
      <c r="O54" s="93"/>
      <c r="P54" s="93"/>
      <c r="Q54" s="94"/>
      <c r="R54" s="18"/>
      <c r="S54" s="18"/>
      <c r="T54" s="18"/>
      <c r="U54" s="18"/>
    </row>
    <row r="55" spans="1:21" ht="18" customHeight="1" x14ac:dyDescent="0.15">
      <c r="A55" s="3"/>
      <c r="B55" s="95"/>
      <c r="C55" s="96"/>
      <c r="D55" s="96"/>
      <c r="E55" s="96"/>
      <c r="F55" s="97"/>
      <c r="G55" s="19"/>
      <c r="H55" s="19"/>
      <c r="I55" s="20"/>
      <c r="J55" s="20"/>
      <c r="K55" s="95"/>
      <c r="L55" s="96"/>
      <c r="M55" s="96"/>
      <c r="N55" s="96"/>
      <c r="O55" s="96"/>
      <c r="P55" s="96"/>
      <c r="Q55" s="97"/>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3" t="s">
        <v>104</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51</v>
      </c>
      <c r="C59" s="90"/>
      <c r="D59" s="90"/>
      <c r="E59" s="90"/>
      <c r="F59" s="91"/>
      <c r="G59" s="50" t="s">
        <v>77</v>
      </c>
      <c r="H59" s="49" t="s">
        <v>80</v>
      </c>
      <c r="I59" s="16" t="s">
        <v>56</v>
      </c>
      <c r="J59" s="16" t="s">
        <v>58</v>
      </c>
      <c r="K59" s="89" t="s">
        <v>51</v>
      </c>
      <c r="L59" s="90"/>
      <c r="M59" s="90"/>
      <c r="N59" s="90"/>
      <c r="O59" s="90"/>
      <c r="P59" s="90"/>
      <c r="Q59" s="91"/>
      <c r="R59" s="50" t="s">
        <v>77</v>
      </c>
      <c r="S59" s="49" t="s">
        <v>80</v>
      </c>
      <c r="T59" s="16" t="s">
        <v>56</v>
      </c>
      <c r="U59" s="16" t="s">
        <v>58</v>
      </c>
    </row>
    <row r="60" spans="1:21" ht="18" customHeight="1" x14ac:dyDescent="0.15">
      <c r="A60" s="3"/>
      <c r="B60" s="100" t="s">
        <v>211</v>
      </c>
      <c r="C60" s="101"/>
      <c r="D60" s="101"/>
      <c r="E60" s="101"/>
      <c r="F60" s="102"/>
      <c r="G60" s="17">
        <v>2</v>
      </c>
      <c r="H60" s="17" t="s">
        <v>137</v>
      </c>
      <c r="I60" s="17" t="s">
        <v>137</v>
      </c>
      <c r="J60" s="17" t="s">
        <v>137</v>
      </c>
      <c r="K60" s="100"/>
      <c r="L60" s="101"/>
      <c r="M60" s="101"/>
      <c r="N60" s="101"/>
      <c r="O60" s="101"/>
      <c r="P60" s="101"/>
      <c r="Q60" s="102"/>
      <c r="R60" s="17"/>
      <c r="S60" s="17"/>
      <c r="T60" s="17"/>
      <c r="U60" s="17"/>
    </row>
    <row r="61" spans="1:21" ht="18" customHeight="1" x14ac:dyDescent="0.15">
      <c r="A61" s="3"/>
      <c r="B61" s="92"/>
      <c r="C61" s="93"/>
      <c r="D61" s="93"/>
      <c r="E61" s="93"/>
      <c r="F61" s="94"/>
      <c r="G61" s="18"/>
      <c r="H61" s="18"/>
      <c r="I61" s="18"/>
      <c r="J61" s="18"/>
      <c r="K61" s="92"/>
      <c r="L61" s="93"/>
      <c r="M61" s="93"/>
      <c r="N61" s="93"/>
      <c r="O61" s="93"/>
      <c r="P61" s="93"/>
      <c r="Q61" s="94"/>
      <c r="R61" s="18"/>
      <c r="S61" s="18"/>
      <c r="T61" s="18"/>
      <c r="U61" s="18"/>
    </row>
    <row r="62" spans="1:21" ht="18" customHeight="1" x14ac:dyDescent="0.15">
      <c r="A62" s="3"/>
      <c r="B62" s="92"/>
      <c r="C62" s="93"/>
      <c r="D62" s="93"/>
      <c r="E62" s="93"/>
      <c r="F62" s="94"/>
      <c r="G62" s="18"/>
      <c r="H62" s="18"/>
      <c r="I62" s="18"/>
      <c r="J62" s="18"/>
      <c r="K62" s="92"/>
      <c r="L62" s="93"/>
      <c r="M62" s="93"/>
      <c r="N62" s="93"/>
      <c r="O62" s="93"/>
      <c r="P62" s="93"/>
      <c r="Q62" s="94"/>
      <c r="R62" s="18"/>
      <c r="S62" s="18"/>
      <c r="T62" s="18"/>
      <c r="U62" s="18"/>
    </row>
    <row r="63" spans="1:21" ht="18" customHeight="1" x14ac:dyDescent="0.15">
      <c r="A63" s="3"/>
      <c r="B63" s="92"/>
      <c r="C63" s="93"/>
      <c r="D63" s="93"/>
      <c r="E63" s="93"/>
      <c r="F63" s="94"/>
      <c r="G63" s="18"/>
      <c r="H63" s="18"/>
      <c r="I63" s="18"/>
      <c r="J63" s="18"/>
      <c r="K63" s="92"/>
      <c r="L63" s="93"/>
      <c r="M63" s="93"/>
      <c r="N63" s="93"/>
      <c r="O63" s="93"/>
      <c r="P63" s="93"/>
      <c r="Q63" s="94"/>
      <c r="R63" s="18"/>
      <c r="S63" s="18"/>
      <c r="T63" s="18"/>
      <c r="U63" s="18"/>
    </row>
    <row r="64" spans="1:21" ht="18" customHeight="1" x14ac:dyDescent="0.15">
      <c r="A64" s="3"/>
      <c r="B64" s="92"/>
      <c r="C64" s="93"/>
      <c r="D64" s="93"/>
      <c r="E64" s="93"/>
      <c r="F64" s="94"/>
      <c r="G64" s="18"/>
      <c r="H64" s="18"/>
      <c r="I64" s="18"/>
      <c r="J64" s="18"/>
      <c r="K64" s="92"/>
      <c r="L64" s="93"/>
      <c r="M64" s="93"/>
      <c r="N64" s="93"/>
      <c r="O64" s="93"/>
      <c r="P64" s="93"/>
      <c r="Q64" s="94"/>
      <c r="R64" s="18"/>
      <c r="S64" s="18"/>
      <c r="T64" s="18"/>
      <c r="U64" s="18"/>
    </row>
    <row r="65" spans="1:21" ht="18" customHeight="1" x14ac:dyDescent="0.15">
      <c r="A65" s="3"/>
      <c r="B65" s="92"/>
      <c r="C65" s="93"/>
      <c r="D65" s="93"/>
      <c r="E65" s="93"/>
      <c r="F65" s="94"/>
      <c r="G65" s="18"/>
      <c r="H65" s="18"/>
      <c r="I65" s="18"/>
      <c r="J65" s="18"/>
      <c r="K65" s="92"/>
      <c r="L65" s="93"/>
      <c r="M65" s="93"/>
      <c r="N65" s="93"/>
      <c r="O65" s="93"/>
      <c r="P65" s="93"/>
      <c r="Q65" s="94"/>
      <c r="R65" s="18"/>
      <c r="S65" s="18"/>
      <c r="T65" s="18"/>
      <c r="U65" s="18"/>
    </row>
    <row r="66" spans="1:21" ht="18" customHeight="1" x14ac:dyDescent="0.15">
      <c r="A66" s="3"/>
      <c r="B66" s="95"/>
      <c r="C66" s="96"/>
      <c r="D66" s="96"/>
      <c r="E66" s="96"/>
      <c r="F66" s="97"/>
      <c r="G66" s="19"/>
      <c r="H66" s="19"/>
      <c r="I66" s="20"/>
      <c r="J66" s="20"/>
      <c r="K66" s="95"/>
      <c r="L66" s="96"/>
      <c r="M66" s="96"/>
      <c r="N66" s="96"/>
      <c r="O66" s="96"/>
      <c r="P66" s="96"/>
      <c r="Q66" s="97"/>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3" t="s">
        <v>105</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51</v>
      </c>
      <c r="C70" s="90"/>
      <c r="D70" s="90"/>
      <c r="E70" s="90"/>
      <c r="F70" s="50" t="s">
        <v>77</v>
      </c>
      <c r="G70" s="49" t="s">
        <v>80</v>
      </c>
      <c r="H70" s="16" t="s">
        <v>92</v>
      </c>
      <c r="I70" s="16" t="s">
        <v>72</v>
      </c>
      <c r="J70" s="16" t="s">
        <v>73</v>
      </c>
      <c r="K70" s="89" t="s">
        <v>51</v>
      </c>
      <c r="L70" s="90"/>
      <c r="M70" s="90"/>
      <c r="N70" s="90"/>
      <c r="O70" s="90"/>
      <c r="P70" s="91"/>
      <c r="Q70" s="50" t="s">
        <v>77</v>
      </c>
      <c r="R70" s="49" t="s">
        <v>80</v>
      </c>
      <c r="S70" s="16" t="s">
        <v>92</v>
      </c>
      <c r="T70" s="16" t="s">
        <v>72</v>
      </c>
      <c r="U70" s="16" t="s">
        <v>73</v>
      </c>
    </row>
    <row r="71" spans="1:21" ht="18" customHeight="1" x14ac:dyDescent="0.15">
      <c r="A71" s="3"/>
      <c r="B71" s="100" t="s">
        <v>211</v>
      </c>
      <c r="C71" s="101"/>
      <c r="D71" s="101"/>
      <c r="E71" s="101"/>
      <c r="F71" s="17">
        <v>2</v>
      </c>
      <c r="G71" s="17" t="s">
        <v>137</v>
      </c>
      <c r="H71" s="17" t="s">
        <v>137</v>
      </c>
      <c r="I71" s="17"/>
      <c r="J71" s="17"/>
      <c r="K71" s="100"/>
      <c r="L71" s="101"/>
      <c r="M71" s="101"/>
      <c r="N71" s="101"/>
      <c r="O71" s="101"/>
      <c r="P71" s="102"/>
      <c r="Q71" s="17"/>
      <c r="R71" s="17"/>
      <c r="S71" s="17"/>
      <c r="T71" s="17"/>
      <c r="U71" s="17"/>
    </row>
    <row r="72" spans="1:21" ht="18" customHeight="1" x14ac:dyDescent="0.15">
      <c r="A72" s="3"/>
      <c r="B72" s="92" t="s">
        <v>140</v>
      </c>
      <c r="C72" s="93"/>
      <c r="D72" s="93"/>
      <c r="E72" s="93"/>
      <c r="F72" s="18">
        <v>2</v>
      </c>
      <c r="G72" s="18" t="s">
        <v>137</v>
      </c>
      <c r="H72" s="18" t="s">
        <v>137</v>
      </c>
      <c r="I72" s="18" t="s">
        <v>137</v>
      </c>
      <c r="J72" s="18" t="s">
        <v>137</v>
      </c>
      <c r="K72" s="92"/>
      <c r="L72" s="93"/>
      <c r="M72" s="93"/>
      <c r="N72" s="93"/>
      <c r="O72" s="93"/>
      <c r="P72" s="94"/>
      <c r="Q72" s="18"/>
      <c r="R72" s="18"/>
      <c r="S72" s="18"/>
      <c r="T72" s="18"/>
      <c r="U72" s="18"/>
    </row>
    <row r="73" spans="1:21" ht="18" customHeight="1" x14ac:dyDescent="0.15">
      <c r="A73" s="3"/>
      <c r="B73" s="92"/>
      <c r="C73" s="93"/>
      <c r="D73" s="93"/>
      <c r="E73" s="93"/>
      <c r="F73" s="18"/>
      <c r="G73" s="18"/>
      <c r="H73" s="18"/>
      <c r="I73" s="18"/>
      <c r="J73" s="18"/>
      <c r="K73" s="92"/>
      <c r="L73" s="93"/>
      <c r="M73" s="93"/>
      <c r="N73" s="93"/>
      <c r="O73" s="93"/>
      <c r="P73" s="94"/>
      <c r="Q73" s="18"/>
      <c r="R73" s="18"/>
      <c r="S73" s="18"/>
      <c r="T73" s="18"/>
      <c r="U73" s="18"/>
    </row>
    <row r="74" spans="1:21" ht="18" customHeight="1" x14ac:dyDescent="0.15">
      <c r="A74" s="3"/>
      <c r="B74" s="92"/>
      <c r="C74" s="93"/>
      <c r="D74" s="93"/>
      <c r="E74" s="93"/>
      <c r="F74" s="18"/>
      <c r="G74" s="18"/>
      <c r="H74" s="18"/>
      <c r="I74" s="18"/>
      <c r="J74" s="18"/>
      <c r="K74" s="92"/>
      <c r="L74" s="93"/>
      <c r="M74" s="93"/>
      <c r="N74" s="93"/>
      <c r="O74" s="93"/>
      <c r="P74" s="94"/>
      <c r="Q74" s="18"/>
      <c r="R74" s="18"/>
      <c r="S74" s="18"/>
      <c r="T74" s="18"/>
      <c r="U74" s="18"/>
    </row>
    <row r="75" spans="1:21" ht="18" customHeight="1" x14ac:dyDescent="0.15">
      <c r="A75" s="3"/>
      <c r="B75" s="92"/>
      <c r="C75" s="93"/>
      <c r="D75" s="93"/>
      <c r="E75" s="93"/>
      <c r="F75" s="18"/>
      <c r="G75" s="18"/>
      <c r="H75" s="18"/>
      <c r="I75" s="18"/>
      <c r="J75" s="18"/>
      <c r="K75" s="92"/>
      <c r="L75" s="93"/>
      <c r="M75" s="93"/>
      <c r="N75" s="93"/>
      <c r="O75" s="93"/>
      <c r="P75" s="94"/>
      <c r="Q75" s="18"/>
      <c r="R75" s="18"/>
      <c r="S75" s="18"/>
      <c r="T75" s="18"/>
      <c r="U75" s="18"/>
    </row>
    <row r="76" spans="1:21" ht="18" customHeight="1" x14ac:dyDescent="0.15">
      <c r="A76" s="3"/>
      <c r="B76" s="92"/>
      <c r="C76" s="93"/>
      <c r="D76" s="93"/>
      <c r="E76" s="93"/>
      <c r="F76" s="18"/>
      <c r="G76" s="18"/>
      <c r="H76" s="18"/>
      <c r="I76" s="18"/>
      <c r="J76" s="18"/>
      <c r="K76" s="92"/>
      <c r="L76" s="93"/>
      <c r="M76" s="93"/>
      <c r="N76" s="93"/>
      <c r="O76" s="93"/>
      <c r="P76" s="94"/>
      <c r="Q76" s="18"/>
      <c r="R76" s="18"/>
      <c r="S76" s="18"/>
      <c r="T76" s="18"/>
      <c r="U76" s="18"/>
    </row>
    <row r="77" spans="1:21" ht="18" customHeight="1" x14ac:dyDescent="0.15">
      <c r="A77" s="3"/>
      <c r="B77" s="95"/>
      <c r="C77" s="96"/>
      <c r="D77" s="96"/>
      <c r="E77" s="96"/>
      <c r="F77" s="19"/>
      <c r="G77" s="19"/>
      <c r="H77" s="20"/>
      <c r="I77" s="20"/>
      <c r="J77" s="20"/>
      <c r="K77" s="95"/>
      <c r="L77" s="96"/>
      <c r="M77" s="96"/>
      <c r="N77" s="96"/>
      <c r="O77" s="96"/>
      <c r="P77" s="97"/>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89" t="s">
        <v>51</v>
      </c>
      <c r="C80" s="90"/>
      <c r="D80" s="90"/>
      <c r="E80" s="90"/>
      <c r="F80" s="91"/>
      <c r="G80" s="89" t="s">
        <v>78</v>
      </c>
      <c r="H80" s="90"/>
      <c r="I80" s="90"/>
      <c r="J80" s="91"/>
      <c r="K80" s="109" t="s">
        <v>51</v>
      </c>
      <c r="L80" s="110"/>
      <c r="M80" s="110"/>
      <c r="N80" s="110"/>
      <c r="O80" s="110"/>
      <c r="P80" s="110"/>
      <c r="Q80" s="111"/>
      <c r="R80" s="89" t="s">
        <v>78</v>
      </c>
      <c r="S80" s="90"/>
      <c r="T80" s="90"/>
      <c r="U80" s="91"/>
    </row>
    <row r="81" spans="1:21" ht="18" customHeight="1" x14ac:dyDescent="0.15">
      <c r="A81" s="3"/>
      <c r="B81" s="100"/>
      <c r="C81" s="101"/>
      <c r="D81" s="101"/>
      <c r="E81" s="101"/>
      <c r="F81" s="102"/>
      <c r="G81" s="104"/>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0" t="s">
        <v>52</v>
      </c>
      <c r="C90" s="131"/>
      <c r="D90" s="89" t="s">
        <v>53</v>
      </c>
      <c r="E90" s="90"/>
      <c r="F90" s="90"/>
      <c r="G90" s="90"/>
      <c r="H90" s="90"/>
      <c r="I90" s="90"/>
      <c r="J90" s="90"/>
      <c r="K90" s="90"/>
      <c r="L90" s="90"/>
      <c r="M90" s="90"/>
      <c r="N90" s="90"/>
      <c r="O90" s="90"/>
      <c r="P90" s="90"/>
      <c r="Q90" s="90"/>
      <c r="R90" s="90"/>
      <c r="S90" s="90"/>
      <c r="T90" s="90"/>
      <c r="U90" s="91"/>
    </row>
    <row r="91" spans="1:21" ht="97.5" customHeight="1" x14ac:dyDescent="0.15">
      <c r="B91" s="107" t="s">
        <v>59</v>
      </c>
      <c r="C91" s="22" t="s">
        <v>54</v>
      </c>
      <c r="D91" s="140" t="s">
        <v>198</v>
      </c>
      <c r="E91" s="141"/>
      <c r="F91" s="141"/>
      <c r="G91" s="141"/>
      <c r="H91" s="141"/>
      <c r="I91" s="141"/>
      <c r="J91" s="141"/>
      <c r="K91" s="141"/>
      <c r="L91" s="141"/>
      <c r="M91" s="141"/>
      <c r="N91" s="141"/>
      <c r="O91" s="141"/>
      <c r="P91" s="141"/>
      <c r="Q91" s="141"/>
      <c r="R91" s="141"/>
      <c r="S91" s="141"/>
      <c r="T91" s="141"/>
      <c r="U91" s="142"/>
    </row>
    <row r="92" spans="1:21" ht="97.5" customHeight="1" x14ac:dyDescent="0.15">
      <c r="B92" s="112"/>
      <c r="C92" s="23" t="s">
        <v>74</v>
      </c>
      <c r="D92" s="137" t="s">
        <v>199</v>
      </c>
      <c r="E92" s="138"/>
      <c r="F92" s="138"/>
      <c r="G92" s="138"/>
      <c r="H92" s="138"/>
      <c r="I92" s="138"/>
      <c r="J92" s="138"/>
      <c r="K92" s="138"/>
      <c r="L92" s="138"/>
      <c r="M92" s="138"/>
      <c r="N92" s="138"/>
      <c r="O92" s="138"/>
      <c r="P92" s="138"/>
      <c r="Q92" s="138"/>
      <c r="R92" s="138"/>
      <c r="S92" s="138"/>
      <c r="T92" s="138"/>
      <c r="U92" s="139"/>
    </row>
    <row r="93" spans="1:21" ht="97.5" customHeight="1" x14ac:dyDescent="0.15">
      <c r="B93" s="107" t="s">
        <v>60</v>
      </c>
      <c r="C93" s="24" t="s">
        <v>68</v>
      </c>
      <c r="D93" s="140" t="s">
        <v>180</v>
      </c>
      <c r="E93" s="141"/>
      <c r="F93" s="141"/>
      <c r="G93" s="141"/>
      <c r="H93" s="141"/>
      <c r="I93" s="141"/>
      <c r="J93" s="141"/>
      <c r="K93" s="141"/>
      <c r="L93" s="141"/>
      <c r="M93" s="141"/>
      <c r="N93" s="141"/>
      <c r="O93" s="141"/>
      <c r="P93" s="141"/>
      <c r="Q93" s="141"/>
      <c r="R93" s="141"/>
      <c r="S93" s="141"/>
      <c r="T93" s="141"/>
      <c r="U93" s="142"/>
    </row>
    <row r="94" spans="1:21" ht="97.5" customHeight="1" x14ac:dyDescent="0.15">
      <c r="B94" s="108"/>
      <c r="C94" s="25" t="s">
        <v>69</v>
      </c>
      <c r="D94" s="137" t="s">
        <v>191</v>
      </c>
      <c r="E94" s="138"/>
      <c r="F94" s="138"/>
      <c r="G94" s="138"/>
      <c r="H94" s="138"/>
      <c r="I94" s="138"/>
      <c r="J94" s="138"/>
      <c r="K94" s="138"/>
      <c r="L94" s="138"/>
      <c r="M94" s="138"/>
      <c r="N94" s="138"/>
      <c r="O94" s="138"/>
      <c r="P94" s="138"/>
      <c r="Q94" s="138"/>
      <c r="R94" s="138"/>
      <c r="S94" s="138"/>
      <c r="T94" s="138"/>
      <c r="U94" s="139"/>
    </row>
    <row r="95" spans="1:21" ht="97.5" customHeight="1" x14ac:dyDescent="0.15">
      <c r="B95" s="107" t="s">
        <v>61</v>
      </c>
      <c r="C95" s="24" t="s">
        <v>70</v>
      </c>
      <c r="D95" s="140" t="s">
        <v>200</v>
      </c>
      <c r="E95" s="141"/>
      <c r="F95" s="141"/>
      <c r="G95" s="141"/>
      <c r="H95" s="141"/>
      <c r="I95" s="141"/>
      <c r="J95" s="141"/>
      <c r="K95" s="141"/>
      <c r="L95" s="141"/>
      <c r="M95" s="141"/>
      <c r="N95" s="141"/>
      <c r="O95" s="141"/>
      <c r="P95" s="141"/>
      <c r="Q95" s="141"/>
      <c r="R95" s="141"/>
      <c r="S95" s="141"/>
      <c r="T95" s="141"/>
      <c r="U95" s="142"/>
    </row>
    <row r="96" spans="1:21" ht="97.5" customHeight="1" x14ac:dyDescent="0.15">
      <c r="B96" s="108"/>
      <c r="C96" s="26" t="s">
        <v>71</v>
      </c>
      <c r="D96" s="137" t="s">
        <v>183</v>
      </c>
      <c r="E96" s="138"/>
      <c r="F96" s="138"/>
      <c r="G96" s="138"/>
      <c r="H96" s="138"/>
      <c r="I96" s="138"/>
      <c r="J96" s="138"/>
      <c r="K96" s="138"/>
      <c r="L96" s="138"/>
      <c r="M96" s="138"/>
      <c r="N96" s="138"/>
      <c r="O96" s="138"/>
      <c r="P96" s="138"/>
      <c r="Q96" s="138"/>
      <c r="R96" s="138"/>
      <c r="S96" s="138"/>
      <c r="T96" s="138"/>
      <c r="U96" s="139"/>
    </row>
    <row r="97" spans="1:33" ht="111.75" customHeight="1" x14ac:dyDescent="0.15">
      <c r="B97" s="107" t="s">
        <v>75</v>
      </c>
      <c r="C97" s="22" t="s">
        <v>56</v>
      </c>
      <c r="D97" s="140" t="s">
        <v>201</v>
      </c>
      <c r="E97" s="141"/>
      <c r="F97" s="141"/>
      <c r="G97" s="141"/>
      <c r="H97" s="141"/>
      <c r="I97" s="141"/>
      <c r="J97" s="141"/>
      <c r="K97" s="141"/>
      <c r="L97" s="141"/>
      <c r="M97" s="141"/>
      <c r="N97" s="141"/>
      <c r="O97" s="141"/>
      <c r="P97" s="141"/>
      <c r="Q97" s="141"/>
      <c r="R97" s="141"/>
      <c r="S97" s="141"/>
      <c r="T97" s="141"/>
      <c r="U97" s="142"/>
    </row>
    <row r="98" spans="1:33" ht="97.5" customHeight="1" x14ac:dyDescent="0.15">
      <c r="B98" s="108"/>
      <c r="C98" s="25" t="s">
        <v>58</v>
      </c>
      <c r="D98" s="137" t="s">
        <v>202</v>
      </c>
      <c r="E98" s="138"/>
      <c r="F98" s="138"/>
      <c r="G98" s="138"/>
      <c r="H98" s="138"/>
      <c r="I98" s="138"/>
      <c r="J98" s="138"/>
      <c r="K98" s="138"/>
      <c r="L98" s="138"/>
      <c r="M98" s="138"/>
      <c r="N98" s="138"/>
      <c r="O98" s="138"/>
      <c r="P98" s="138"/>
      <c r="Q98" s="138"/>
      <c r="R98" s="138"/>
      <c r="S98" s="138"/>
      <c r="T98" s="138"/>
      <c r="U98" s="139"/>
    </row>
    <row r="99" spans="1:33" ht="139.5" customHeight="1" x14ac:dyDescent="0.15">
      <c r="B99" s="107" t="s">
        <v>76</v>
      </c>
      <c r="C99" s="24" t="s">
        <v>55</v>
      </c>
      <c r="D99" s="140" t="s">
        <v>203</v>
      </c>
      <c r="E99" s="141"/>
      <c r="F99" s="141"/>
      <c r="G99" s="141"/>
      <c r="H99" s="141"/>
      <c r="I99" s="141"/>
      <c r="J99" s="141"/>
      <c r="K99" s="141"/>
      <c r="L99" s="141"/>
      <c r="M99" s="141"/>
      <c r="N99" s="141"/>
      <c r="O99" s="141"/>
      <c r="P99" s="141"/>
      <c r="Q99" s="141"/>
      <c r="R99" s="141"/>
      <c r="S99" s="141"/>
      <c r="T99" s="141"/>
      <c r="U99" s="142"/>
    </row>
    <row r="100" spans="1:33" ht="97.5" customHeight="1" x14ac:dyDescent="0.15">
      <c r="B100" s="112"/>
      <c r="C100" s="27" t="s">
        <v>72</v>
      </c>
      <c r="D100" s="143" t="s">
        <v>204</v>
      </c>
      <c r="E100" s="144"/>
      <c r="F100" s="144"/>
      <c r="G100" s="144"/>
      <c r="H100" s="144"/>
      <c r="I100" s="144"/>
      <c r="J100" s="144"/>
      <c r="K100" s="144"/>
      <c r="L100" s="144"/>
      <c r="M100" s="144"/>
      <c r="N100" s="144"/>
      <c r="O100" s="144"/>
      <c r="P100" s="144"/>
      <c r="Q100" s="144"/>
      <c r="R100" s="144"/>
      <c r="S100" s="144"/>
      <c r="T100" s="144"/>
      <c r="U100" s="145"/>
    </row>
    <row r="101" spans="1:33" ht="97.5" customHeight="1" x14ac:dyDescent="0.15">
      <c r="B101" s="108"/>
      <c r="C101" s="26" t="s">
        <v>73</v>
      </c>
      <c r="D101" s="137" t="s">
        <v>205</v>
      </c>
      <c r="E101" s="138"/>
      <c r="F101" s="138"/>
      <c r="G101" s="138"/>
      <c r="H101" s="138"/>
      <c r="I101" s="138"/>
      <c r="J101" s="138"/>
      <c r="K101" s="138"/>
      <c r="L101" s="138"/>
      <c r="M101" s="138"/>
      <c r="N101" s="138"/>
      <c r="O101" s="138"/>
      <c r="P101" s="138"/>
      <c r="Q101" s="138"/>
      <c r="R101" s="138"/>
      <c r="S101" s="138"/>
      <c r="T101" s="138"/>
      <c r="U101" s="139"/>
    </row>
    <row r="102" spans="1:33" ht="4.5" customHeight="1" x14ac:dyDescent="0.15"/>
    <row r="103" spans="1:33" ht="18.75" customHeight="1" x14ac:dyDescent="0.15">
      <c r="A103" s="1" t="s">
        <v>108</v>
      </c>
    </row>
    <row r="104" spans="1:33" ht="81.75" customHeight="1" x14ac:dyDescent="0.15">
      <c r="B104" s="124" t="s">
        <v>157</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36" t="s">
        <v>130</v>
      </c>
      <c r="C108" s="136"/>
      <c r="D108" s="136"/>
      <c r="E108" s="136"/>
      <c r="F108" s="136"/>
      <c r="G108" s="136"/>
      <c r="H108" s="136"/>
      <c r="I108" s="136"/>
      <c r="J108" s="136"/>
      <c r="K108" s="136"/>
      <c r="L108" s="136"/>
      <c r="M108" s="136"/>
      <c r="N108" s="136"/>
      <c r="O108" s="136"/>
      <c r="P108" s="136"/>
      <c r="Q108" s="136"/>
      <c r="R108" s="136"/>
      <c r="S108" s="136"/>
      <c r="T108" s="136"/>
      <c r="U108" s="136"/>
      <c r="V108" s="69"/>
      <c r="W108" s="69"/>
      <c r="X108" s="69"/>
      <c r="Y108" s="69"/>
      <c r="Z108" s="69"/>
      <c r="AA108" s="69"/>
      <c r="AB108" s="69"/>
      <c r="AC108" s="69"/>
      <c r="AD108" s="69"/>
      <c r="AE108" s="69"/>
      <c r="AF108" s="69"/>
      <c r="AG108" s="69"/>
    </row>
    <row r="109" spans="1:33" ht="37.15" customHeight="1" x14ac:dyDescent="0.15">
      <c r="A109" s="73"/>
      <c r="B109" s="136"/>
      <c r="C109" s="136"/>
      <c r="D109" s="136"/>
      <c r="E109" s="136"/>
      <c r="F109" s="136"/>
      <c r="G109" s="136"/>
      <c r="H109" s="136"/>
      <c r="I109" s="136"/>
      <c r="J109" s="136"/>
      <c r="K109" s="136"/>
      <c r="L109" s="136"/>
      <c r="M109" s="136"/>
      <c r="N109" s="136"/>
      <c r="O109" s="136"/>
      <c r="P109" s="136"/>
      <c r="Q109" s="136"/>
      <c r="R109" s="136"/>
      <c r="S109" s="136"/>
      <c r="T109" s="136"/>
      <c r="U109" s="136"/>
      <c r="V109" s="69"/>
      <c r="W109" s="69"/>
      <c r="X109" s="69"/>
      <c r="Y109" s="69"/>
      <c r="Z109" s="69"/>
      <c r="AA109" s="69"/>
      <c r="AB109" s="69"/>
      <c r="AC109" s="69"/>
      <c r="AD109" s="69"/>
      <c r="AE109" s="69"/>
      <c r="AF109" s="69"/>
      <c r="AG109" s="69"/>
    </row>
    <row r="110" spans="1:33" ht="18.75" customHeight="1" x14ac:dyDescent="0.15">
      <c r="A110" s="73"/>
      <c r="B110" s="85" t="s">
        <v>125</v>
      </c>
      <c r="C110" s="85"/>
      <c r="D110" s="85"/>
      <c r="E110" s="85"/>
      <c r="F110" s="85"/>
      <c r="G110" s="85"/>
      <c r="H110" s="85"/>
      <c r="I110" s="85"/>
      <c r="J110" s="85"/>
      <c r="K110" s="85"/>
      <c r="L110" s="85"/>
      <c r="M110" s="85"/>
      <c r="N110" s="85"/>
      <c r="O110" s="85"/>
      <c r="P110" s="85"/>
      <c r="Q110" s="85"/>
      <c r="R110" s="85"/>
      <c r="S110" s="85"/>
      <c r="T110" s="85"/>
      <c r="U110" s="85"/>
      <c r="V110" s="69"/>
      <c r="W110" s="69"/>
      <c r="X110" s="69"/>
      <c r="Y110" s="69"/>
      <c r="Z110" s="69"/>
      <c r="AA110" s="69"/>
      <c r="AB110" s="69"/>
      <c r="AC110" s="69"/>
      <c r="AD110" s="69"/>
      <c r="AE110" s="69"/>
      <c r="AF110" s="69"/>
      <c r="AG110" s="69"/>
    </row>
    <row r="111" spans="1:33" ht="18.75" customHeight="1" x14ac:dyDescent="0.15">
      <c r="A111" s="73"/>
      <c r="B111" s="98" t="s">
        <v>53</v>
      </c>
      <c r="C111" s="98"/>
      <c r="D111" s="98"/>
      <c r="E111" s="98"/>
      <c r="F111" s="98"/>
      <c r="G111" s="98"/>
      <c r="H111" s="98"/>
      <c r="I111" s="98"/>
      <c r="J111" s="98"/>
      <c r="K111" s="98"/>
      <c r="L111" s="98"/>
      <c r="M111" s="98"/>
      <c r="N111" s="98"/>
      <c r="O111" s="98"/>
      <c r="P111" s="98"/>
      <c r="Q111" s="98"/>
      <c r="R111" s="98"/>
      <c r="S111" s="98"/>
      <c r="T111" s="98"/>
      <c r="U111" s="98"/>
      <c r="V111" s="68"/>
      <c r="W111" s="68"/>
      <c r="X111" s="68"/>
      <c r="Y111" s="68"/>
      <c r="Z111" s="68"/>
      <c r="AA111" s="68"/>
      <c r="AB111" s="68"/>
      <c r="AC111" s="68"/>
      <c r="AD111" s="68"/>
      <c r="AE111" s="68"/>
      <c r="AF111" s="68"/>
      <c r="AG111" s="68"/>
    </row>
    <row r="112" spans="1:33" ht="132" customHeight="1" x14ac:dyDescent="0.15">
      <c r="A112" s="73"/>
      <c r="B112" s="99"/>
      <c r="C112" s="99"/>
      <c r="D112" s="99"/>
      <c r="E112" s="99"/>
      <c r="F112" s="99"/>
      <c r="G112" s="99"/>
      <c r="H112" s="99"/>
      <c r="I112" s="99"/>
      <c r="J112" s="99"/>
      <c r="K112" s="99"/>
      <c r="L112" s="99"/>
      <c r="M112" s="99"/>
      <c r="N112" s="99"/>
      <c r="O112" s="99"/>
      <c r="P112" s="99"/>
      <c r="Q112" s="99"/>
      <c r="R112" s="99"/>
      <c r="S112" s="99"/>
      <c r="T112" s="99"/>
      <c r="U112" s="99"/>
      <c r="V112" s="70"/>
      <c r="W112" s="70"/>
      <c r="X112" s="70"/>
      <c r="Y112" s="70"/>
      <c r="Z112" s="70"/>
      <c r="AA112" s="70"/>
      <c r="AB112" s="70"/>
      <c r="AC112" s="70"/>
      <c r="AD112" s="70"/>
      <c r="AE112" s="70"/>
      <c r="AF112" s="70"/>
      <c r="AG112" s="70"/>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3D2D2BED-F501-4B15-BB7E-74E3C10BC012}">
      <formula1>$X$16:$X$18</formula1>
    </dataValidation>
    <dataValidation type="list" allowBlank="1" showInputMessage="1" showErrorMessage="1" sqref="G81:G88 R81:R88 H81:J82 H85:J88 S85:U88 S81:U82" xr:uid="{D06DBF0B-ACE9-471D-AE4B-13139EF2574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C4C75B8E-629F-4EA0-ADD6-837C72C279F8}">
      <formula1>"学部・学科によって、修了要件は相違する,学部・学科によって、修了要件は相違しない"</formula1>
    </dataValidation>
    <dataValidation type="list" allowBlank="1" showInputMessage="1" showErrorMessage="1" sqref="U34 U45 E34:H34 E45:H45" xr:uid="{BBE618BD-855E-49BE-B153-97332BE61552}">
      <formula1>"全学開講,一部開講"</formula1>
    </dataValidation>
    <dataValidation type="list" allowBlank="1" showInputMessage="1" showErrorMessage="1" sqref="H27:J33 S27:U33 H38:J44 S38:U44 H49:J55 S49:U55 H60:J66 S60:U66 G71:J77 R71:U77" xr:uid="{5B52638E-72B5-4A9D-AA76-5B5B06CC836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Q4" sqref="Q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97</v>
      </c>
    </row>
    <row r="2" spans="1:21" ht="18" customHeight="1" x14ac:dyDescent="0.15">
      <c r="A2" s="74"/>
      <c r="B2" s="74"/>
      <c r="C2" s="74"/>
      <c r="D2" s="74"/>
      <c r="E2" s="74"/>
      <c r="F2" s="74"/>
      <c r="G2" s="74"/>
      <c r="H2" s="74"/>
      <c r="I2" s="74"/>
      <c r="J2" s="74"/>
      <c r="K2" s="74"/>
      <c r="L2" s="74"/>
      <c r="M2" s="74"/>
      <c r="N2" s="74"/>
      <c r="O2" s="74"/>
      <c r="P2" s="74"/>
      <c r="Q2" s="159" t="str">
        <f>'様式１-１　プログラムを構成する授業科目'!C2</f>
        <v>徳島文理大学</v>
      </c>
      <c r="R2" s="159"/>
      <c r="S2" s="159"/>
    </row>
    <row r="3" spans="1:21" ht="18" customHeight="1" x14ac:dyDescent="0.15">
      <c r="A3" s="113" t="s">
        <v>46</v>
      </c>
      <c r="B3" s="113"/>
      <c r="C3" s="113"/>
      <c r="D3" s="113"/>
      <c r="E3" s="113"/>
      <c r="F3" s="113"/>
      <c r="G3" s="113"/>
      <c r="H3" s="113"/>
      <c r="I3" s="113"/>
      <c r="J3" s="113"/>
      <c r="K3" s="113"/>
      <c r="L3" s="113"/>
      <c r="M3" s="113"/>
      <c r="N3" s="113"/>
      <c r="O3" s="113"/>
      <c r="P3" s="113"/>
      <c r="Q3" s="113"/>
      <c r="R3" s="113"/>
      <c r="S3" s="113"/>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79</v>
      </c>
      <c r="B5" s="74"/>
      <c r="C5" s="160" t="s">
        <v>146</v>
      </c>
      <c r="D5" s="161"/>
      <c r="E5" s="79" t="s">
        <v>50</v>
      </c>
      <c r="F5" s="79"/>
      <c r="G5" s="79"/>
      <c r="H5" s="79"/>
      <c r="I5" s="79"/>
      <c r="J5" s="79"/>
      <c r="K5" s="79"/>
      <c r="L5" s="79"/>
      <c r="M5" s="79"/>
      <c r="N5" s="79"/>
      <c r="O5" s="79"/>
      <c r="P5" s="79"/>
      <c r="Q5" s="79"/>
      <c r="R5" s="77"/>
      <c r="S5" s="77"/>
    </row>
    <row r="6" spans="1:21" ht="7.15" customHeight="1" x14ac:dyDescent="0.15">
      <c r="A6" s="74"/>
      <c r="B6" s="74"/>
      <c r="C6" s="83"/>
      <c r="D6" s="83"/>
      <c r="E6" s="79"/>
      <c r="F6" s="79"/>
      <c r="G6" s="79"/>
      <c r="H6" s="79"/>
      <c r="I6" s="79"/>
      <c r="J6" s="79"/>
      <c r="K6" s="79"/>
      <c r="L6" s="79"/>
      <c r="M6" s="79"/>
      <c r="N6" s="79"/>
      <c r="O6" s="79"/>
      <c r="P6" s="79"/>
      <c r="Q6" s="79"/>
      <c r="R6" s="77"/>
      <c r="S6" s="77"/>
    </row>
    <row r="7" spans="1:21" ht="18" customHeight="1" x14ac:dyDescent="0.15">
      <c r="A7" s="74" t="s">
        <v>117</v>
      </c>
      <c r="B7" s="74"/>
      <c r="C7" s="83"/>
      <c r="D7" s="83"/>
      <c r="E7" s="79" t="s">
        <v>118</v>
      </c>
      <c r="F7" s="82">
        <v>1890</v>
      </c>
      <c r="G7" s="80" t="s">
        <v>119</v>
      </c>
      <c r="H7" s="79" t="s">
        <v>120</v>
      </c>
      <c r="I7" s="82">
        <v>2076</v>
      </c>
      <c r="J7" s="80" t="s">
        <v>119</v>
      </c>
      <c r="K7" s="75" t="s">
        <v>121</v>
      </c>
      <c r="L7" s="79" t="s">
        <v>122</v>
      </c>
      <c r="M7" s="82">
        <f>F7+I7</f>
        <v>3966</v>
      </c>
      <c r="N7" s="79" t="s">
        <v>1</v>
      </c>
      <c r="O7" s="80" t="s">
        <v>123</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2" t="s">
        <v>43</v>
      </c>
      <c r="C11" s="172" t="s">
        <v>82</v>
      </c>
      <c r="D11" s="164" t="s">
        <v>45</v>
      </c>
      <c r="E11" s="166" t="s">
        <v>38</v>
      </c>
      <c r="F11" s="158" t="s">
        <v>111</v>
      </c>
      <c r="G11" s="158"/>
      <c r="H11" s="158" t="s">
        <v>81</v>
      </c>
      <c r="I11" s="158"/>
      <c r="J11" s="158" t="s">
        <v>47</v>
      </c>
      <c r="K11" s="158"/>
      <c r="L11" s="158" t="s">
        <v>48</v>
      </c>
      <c r="M11" s="158"/>
      <c r="N11" s="158" t="s">
        <v>91</v>
      </c>
      <c r="O11" s="158"/>
      <c r="P11" s="158" t="s">
        <v>49</v>
      </c>
      <c r="Q11" s="158"/>
      <c r="R11" s="168" t="s">
        <v>34</v>
      </c>
      <c r="S11" s="170" t="s">
        <v>31</v>
      </c>
      <c r="U11" s="2"/>
    </row>
    <row r="12" spans="1:21" ht="16.899999999999999" customHeight="1" x14ac:dyDescent="0.15">
      <c r="B12" s="163"/>
      <c r="C12" s="173"/>
      <c r="D12" s="165"/>
      <c r="E12" s="167"/>
      <c r="F12" s="63" t="s">
        <v>90</v>
      </c>
      <c r="G12" s="63" t="s">
        <v>28</v>
      </c>
      <c r="H12" s="63" t="s">
        <v>90</v>
      </c>
      <c r="I12" s="63" t="s">
        <v>28</v>
      </c>
      <c r="J12" s="63" t="s">
        <v>90</v>
      </c>
      <c r="K12" s="63" t="s">
        <v>28</v>
      </c>
      <c r="L12" s="63" t="s">
        <v>90</v>
      </c>
      <c r="M12" s="63" t="s">
        <v>28</v>
      </c>
      <c r="N12" s="63" t="s">
        <v>90</v>
      </c>
      <c r="O12" s="63" t="s">
        <v>28</v>
      </c>
      <c r="P12" s="63" t="s">
        <v>90</v>
      </c>
      <c r="Q12" s="64" t="s">
        <v>28</v>
      </c>
      <c r="R12" s="169"/>
      <c r="S12" s="171"/>
      <c r="U12" s="2"/>
    </row>
    <row r="13" spans="1:21" ht="18" customHeight="1" x14ac:dyDescent="0.15">
      <c r="A13" s="6"/>
      <c r="B13" s="65" t="s">
        <v>147</v>
      </c>
      <c r="C13" s="51">
        <v>1136</v>
      </c>
      <c r="D13" s="52">
        <v>405</v>
      </c>
      <c r="E13" s="53">
        <v>1620</v>
      </c>
      <c r="F13" s="53">
        <v>258</v>
      </c>
      <c r="G13" s="53">
        <v>246</v>
      </c>
      <c r="H13" s="53"/>
      <c r="I13" s="53"/>
      <c r="J13" s="53"/>
      <c r="K13" s="53"/>
      <c r="L13" s="53"/>
      <c r="M13" s="53"/>
      <c r="N13" s="53"/>
      <c r="O13" s="53"/>
      <c r="P13" s="53"/>
      <c r="Q13" s="66"/>
      <c r="R13" s="52">
        <f t="shared" ref="R13:R32" si="0">F13+H13+J13+L13+N13+P13</f>
        <v>258</v>
      </c>
      <c r="S13" s="84">
        <f t="shared" ref="S13:S33" si="1">R13/E13</f>
        <v>0.15925925925925927</v>
      </c>
    </row>
    <row r="14" spans="1:21" ht="18" customHeight="1" x14ac:dyDescent="0.15">
      <c r="A14" s="6"/>
      <c r="B14" s="11" t="s">
        <v>148</v>
      </c>
      <c r="C14" s="54">
        <v>42</v>
      </c>
      <c r="D14" s="55">
        <v>30</v>
      </c>
      <c r="E14" s="56">
        <v>120</v>
      </c>
      <c r="F14" s="57">
        <v>7</v>
      </c>
      <c r="G14" s="57">
        <v>7</v>
      </c>
      <c r="H14" s="57"/>
      <c r="I14" s="57"/>
      <c r="J14" s="57"/>
      <c r="K14" s="57"/>
      <c r="L14" s="57"/>
      <c r="M14" s="57"/>
      <c r="N14" s="57"/>
      <c r="O14" s="57"/>
      <c r="P14" s="57"/>
      <c r="Q14" s="54"/>
      <c r="R14" s="55">
        <f t="shared" si="0"/>
        <v>7</v>
      </c>
      <c r="S14" s="8">
        <f t="shared" si="1"/>
        <v>5.8333333333333334E-2</v>
      </c>
    </row>
    <row r="15" spans="1:21" ht="18" customHeight="1" x14ac:dyDescent="0.15">
      <c r="A15" s="6"/>
      <c r="B15" s="11" t="s">
        <v>149</v>
      </c>
      <c r="C15" s="54">
        <v>421</v>
      </c>
      <c r="D15" s="55">
        <v>150</v>
      </c>
      <c r="E15" s="56">
        <v>960</v>
      </c>
      <c r="F15" s="57">
        <v>54</v>
      </c>
      <c r="G15" s="57">
        <v>52</v>
      </c>
      <c r="H15" s="57"/>
      <c r="I15" s="57"/>
      <c r="J15" s="57"/>
      <c r="K15" s="57"/>
      <c r="L15" s="57"/>
      <c r="M15" s="57"/>
      <c r="N15" s="57"/>
      <c r="O15" s="57"/>
      <c r="P15" s="57"/>
      <c r="Q15" s="54"/>
      <c r="R15" s="55">
        <f t="shared" si="0"/>
        <v>54</v>
      </c>
      <c r="S15" s="8">
        <f t="shared" si="1"/>
        <v>5.6250000000000001E-2</v>
      </c>
    </row>
    <row r="16" spans="1:21" ht="18" customHeight="1" x14ac:dyDescent="0.15">
      <c r="A16" s="6"/>
      <c r="B16" s="11" t="s">
        <v>150</v>
      </c>
      <c r="C16" s="54">
        <v>326</v>
      </c>
      <c r="D16" s="55">
        <v>100</v>
      </c>
      <c r="E16" s="56">
        <v>400</v>
      </c>
      <c r="F16" s="57">
        <v>47</v>
      </c>
      <c r="G16" s="57">
        <v>36</v>
      </c>
      <c r="H16" s="57"/>
      <c r="I16" s="57"/>
      <c r="J16" s="57"/>
      <c r="K16" s="57"/>
      <c r="L16" s="57"/>
      <c r="M16" s="57"/>
      <c r="N16" s="57"/>
      <c r="O16" s="57"/>
      <c r="P16" s="57"/>
      <c r="Q16" s="54"/>
      <c r="R16" s="55">
        <f t="shared" si="0"/>
        <v>47</v>
      </c>
      <c r="S16" s="8">
        <f t="shared" si="1"/>
        <v>0.11749999999999999</v>
      </c>
    </row>
    <row r="17" spans="1:19" ht="18" customHeight="1" x14ac:dyDescent="0.15">
      <c r="A17" s="6"/>
      <c r="B17" s="11" t="s">
        <v>151</v>
      </c>
      <c r="C17" s="54">
        <v>1179</v>
      </c>
      <c r="D17" s="55">
        <v>345</v>
      </c>
      <c r="E17" s="56">
        <v>1380</v>
      </c>
      <c r="F17" s="57">
        <v>303</v>
      </c>
      <c r="G17" s="57">
        <v>287</v>
      </c>
      <c r="H17" s="57"/>
      <c r="I17" s="57"/>
      <c r="J17" s="57"/>
      <c r="K17" s="57"/>
      <c r="L17" s="57"/>
      <c r="M17" s="57"/>
      <c r="N17" s="57"/>
      <c r="O17" s="57"/>
      <c r="P17" s="57"/>
      <c r="Q17" s="54"/>
      <c r="R17" s="55">
        <f t="shared" si="0"/>
        <v>303</v>
      </c>
      <c r="S17" s="8">
        <f t="shared" si="1"/>
        <v>0.21956521739130436</v>
      </c>
    </row>
    <row r="18" spans="1:19" ht="18" customHeight="1" x14ac:dyDescent="0.15">
      <c r="A18" s="6"/>
      <c r="B18" s="11" t="s">
        <v>152</v>
      </c>
      <c r="C18" s="54">
        <v>287</v>
      </c>
      <c r="D18" s="55">
        <v>90</v>
      </c>
      <c r="E18" s="56">
        <v>360</v>
      </c>
      <c r="F18" s="57">
        <v>59</v>
      </c>
      <c r="G18" s="57">
        <v>55</v>
      </c>
      <c r="H18" s="57"/>
      <c r="I18" s="57"/>
      <c r="J18" s="57"/>
      <c r="K18" s="57"/>
      <c r="L18" s="57"/>
      <c r="M18" s="57"/>
      <c r="N18" s="57"/>
      <c r="O18" s="57"/>
      <c r="P18" s="57"/>
      <c r="Q18" s="54"/>
      <c r="R18" s="55">
        <f t="shared" si="0"/>
        <v>59</v>
      </c>
      <c r="S18" s="8">
        <f t="shared" si="1"/>
        <v>0.16388888888888889</v>
      </c>
    </row>
    <row r="19" spans="1:19" ht="18" customHeight="1" x14ac:dyDescent="0.15">
      <c r="A19" s="6"/>
      <c r="B19" s="11" t="s">
        <v>153</v>
      </c>
      <c r="C19" s="54">
        <v>340</v>
      </c>
      <c r="D19" s="55">
        <v>110</v>
      </c>
      <c r="E19" s="56">
        <v>440</v>
      </c>
      <c r="F19" s="57">
        <v>76</v>
      </c>
      <c r="G19" s="57">
        <v>66</v>
      </c>
      <c r="H19" s="57"/>
      <c r="I19" s="57"/>
      <c r="J19" s="57"/>
      <c r="K19" s="57"/>
      <c r="L19" s="57"/>
      <c r="M19" s="57"/>
      <c r="N19" s="57"/>
      <c r="O19" s="57"/>
      <c r="P19" s="57"/>
      <c r="Q19" s="54"/>
      <c r="R19" s="55">
        <f t="shared" si="0"/>
        <v>76</v>
      </c>
      <c r="S19" s="8">
        <f t="shared" si="1"/>
        <v>0.17272727272727273</v>
      </c>
    </row>
    <row r="20" spans="1:19" ht="18" customHeight="1" x14ac:dyDescent="0.15">
      <c r="A20" s="6"/>
      <c r="B20" s="11" t="s">
        <v>154</v>
      </c>
      <c r="C20" s="54">
        <v>235</v>
      </c>
      <c r="D20" s="55">
        <v>90</v>
      </c>
      <c r="E20" s="56">
        <v>540</v>
      </c>
      <c r="F20" s="57">
        <v>33</v>
      </c>
      <c r="G20" s="57">
        <v>31</v>
      </c>
      <c r="H20" s="57"/>
      <c r="I20" s="57"/>
      <c r="J20" s="57"/>
      <c r="K20" s="57"/>
      <c r="L20" s="57"/>
      <c r="M20" s="57"/>
      <c r="N20" s="57"/>
      <c r="O20" s="57"/>
      <c r="P20" s="57"/>
      <c r="Q20" s="54"/>
      <c r="R20" s="55">
        <f t="shared" si="0"/>
        <v>33</v>
      </c>
      <c r="S20" s="8">
        <f t="shared" si="1"/>
        <v>6.1111111111111109E-2</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32</v>
      </c>
      <c r="C33" s="60">
        <f t="shared" ref="C33" si="2">SUM(C13:C32)</f>
        <v>3966</v>
      </c>
      <c r="D33" s="61">
        <f t="shared" ref="D33:R33" si="3">SUM(D13:D32)</f>
        <v>1320</v>
      </c>
      <c r="E33" s="62">
        <f t="shared" si="3"/>
        <v>5820</v>
      </c>
      <c r="F33" s="62">
        <f t="shared" si="3"/>
        <v>837</v>
      </c>
      <c r="G33" s="62">
        <f t="shared" ref="G33:H33" si="4">SUM(G13:G32)</f>
        <v>780</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837</v>
      </c>
      <c r="S33" s="9">
        <f t="shared" si="1"/>
        <v>0.14381443298969071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5" sqref="B35:I46"/>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62</v>
      </c>
      <c r="I1" s="29" t="s">
        <v>96</v>
      </c>
    </row>
    <row r="2" spans="1:9" ht="18.75" customHeight="1" x14ac:dyDescent="0.15">
      <c r="G2" s="29" t="s">
        <v>98</v>
      </c>
      <c r="H2" s="89" t="str">
        <f>'様式１-１　プログラムを構成する授業科目'!C2</f>
        <v>徳島文理大学</v>
      </c>
      <c r="I2" s="91"/>
    </row>
    <row r="3" spans="1:9" ht="18.75" customHeight="1" x14ac:dyDescent="0.15">
      <c r="G3" s="29"/>
      <c r="H3" s="10"/>
      <c r="I3" s="10"/>
    </row>
    <row r="4" spans="1:9" ht="18.600000000000001" customHeight="1" x14ac:dyDescent="0.15">
      <c r="A4" s="175" t="s">
        <v>35</v>
      </c>
      <c r="B4" s="175"/>
      <c r="C4" s="175"/>
      <c r="D4" s="175"/>
      <c r="E4" s="175"/>
      <c r="F4" s="175"/>
      <c r="G4" s="175"/>
      <c r="H4" s="175"/>
      <c r="I4" s="175"/>
    </row>
    <row r="5" spans="1:9" ht="13.15" customHeight="1" x14ac:dyDescent="0.15">
      <c r="B5" s="3"/>
      <c r="C5" s="3"/>
      <c r="D5" s="3"/>
      <c r="E5" s="3"/>
      <c r="F5" s="3"/>
      <c r="G5" s="3"/>
      <c r="H5" s="3"/>
      <c r="I5" s="3"/>
    </row>
    <row r="6" spans="1:9" ht="18" customHeight="1" x14ac:dyDescent="0.15">
      <c r="A6" s="1" t="s">
        <v>0</v>
      </c>
      <c r="B6" s="10" t="s">
        <v>85</v>
      </c>
      <c r="C6" s="196" t="s">
        <v>86</v>
      </c>
      <c r="D6" s="196"/>
      <c r="E6" s="28">
        <v>310</v>
      </c>
      <c r="F6" s="3" t="s">
        <v>1</v>
      </c>
      <c r="G6" s="3" t="s">
        <v>2</v>
      </c>
      <c r="H6" s="28">
        <v>115</v>
      </c>
      <c r="I6" s="10" t="s">
        <v>1</v>
      </c>
    </row>
    <row r="7" spans="1:9" ht="12" customHeight="1" x14ac:dyDescent="0.15">
      <c r="C7" s="2"/>
      <c r="D7" s="2"/>
      <c r="E7" s="2"/>
      <c r="F7" s="2"/>
      <c r="G7" s="2"/>
      <c r="H7" s="2"/>
      <c r="I7" s="32"/>
    </row>
    <row r="8" spans="1:9" ht="18" customHeight="1" x14ac:dyDescent="0.15">
      <c r="A8" s="1" t="s">
        <v>3</v>
      </c>
      <c r="B8" s="10" t="s">
        <v>87</v>
      </c>
      <c r="E8" s="3"/>
      <c r="F8" s="3"/>
      <c r="G8" s="3"/>
      <c r="H8" s="28">
        <v>17</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29" t="s">
        <v>41</v>
      </c>
      <c r="C11" s="191" t="s">
        <v>142</v>
      </c>
      <c r="D11" s="194"/>
      <c r="E11" s="195"/>
      <c r="F11" s="32"/>
      <c r="G11" s="29" t="s">
        <v>10</v>
      </c>
      <c r="H11" s="191" t="s">
        <v>143</v>
      </c>
      <c r="I11" s="195"/>
    </row>
    <row r="12" spans="1:9" ht="10.15" customHeight="1" x14ac:dyDescent="0.15">
      <c r="B12" s="29"/>
      <c r="C12" s="10"/>
      <c r="D12" s="32"/>
      <c r="E12" s="32"/>
      <c r="F12" s="32"/>
      <c r="G12" s="29"/>
      <c r="H12" s="10"/>
      <c r="I12" s="32"/>
    </row>
    <row r="13" spans="1:9" ht="18" customHeight="1" x14ac:dyDescent="0.15">
      <c r="A13" s="1" t="s">
        <v>7</v>
      </c>
      <c r="B13" s="10" t="s">
        <v>83</v>
      </c>
      <c r="C13" s="3"/>
      <c r="D13" s="3"/>
      <c r="E13" s="3"/>
      <c r="F13" s="3"/>
      <c r="G13" s="3"/>
      <c r="H13" s="3"/>
      <c r="I13" s="3"/>
    </row>
    <row r="14" spans="1:9" ht="18" customHeight="1" x14ac:dyDescent="0.15">
      <c r="B14" s="191" t="s">
        <v>171</v>
      </c>
      <c r="C14" s="192"/>
      <c r="D14" s="192"/>
      <c r="E14" s="192"/>
      <c r="F14" s="192"/>
      <c r="G14" s="192"/>
      <c r="H14" s="192"/>
      <c r="I14" s="193"/>
    </row>
    <row r="15" spans="1:9" ht="9" customHeight="1" x14ac:dyDescent="0.15">
      <c r="B15" s="3"/>
      <c r="C15" s="3"/>
      <c r="D15" s="3"/>
      <c r="E15" s="3"/>
      <c r="F15" s="3"/>
      <c r="G15" s="3"/>
      <c r="H15" s="3"/>
      <c r="I15" s="3"/>
    </row>
    <row r="16" spans="1:9" ht="18" customHeight="1" x14ac:dyDescent="0.15">
      <c r="B16" s="29" t="s">
        <v>41</v>
      </c>
      <c r="C16" s="191" t="s">
        <v>142</v>
      </c>
      <c r="D16" s="194"/>
      <c r="E16" s="195"/>
      <c r="F16" s="32"/>
      <c r="G16" s="29" t="s">
        <v>10</v>
      </c>
      <c r="H16" s="191" t="s">
        <v>144</v>
      </c>
      <c r="I16" s="19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6" t="s">
        <v>172</v>
      </c>
      <c r="C19" s="177"/>
      <c r="D19" s="177"/>
      <c r="E19" s="177"/>
      <c r="F19" s="177"/>
      <c r="G19" s="177"/>
      <c r="H19" s="177"/>
      <c r="I19" s="178"/>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79" t="s">
        <v>173</v>
      </c>
      <c r="C22" s="180"/>
      <c r="D22" s="180"/>
      <c r="E22" s="180"/>
      <c r="F22" s="180"/>
      <c r="G22" s="180"/>
      <c r="H22" s="180"/>
      <c r="I22" s="181"/>
    </row>
    <row r="23" spans="1:9" ht="18.75" customHeight="1" x14ac:dyDescent="0.15">
      <c r="A23" s="14"/>
      <c r="B23" s="182"/>
      <c r="C23" s="183"/>
      <c r="D23" s="183"/>
      <c r="E23" s="183"/>
      <c r="F23" s="183"/>
      <c r="G23" s="183"/>
      <c r="H23" s="183"/>
      <c r="I23" s="184"/>
    </row>
    <row r="24" spans="1:9" ht="18.75" customHeight="1" x14ac:dyDescent="0.15">
      <c r="A24" s="14"/>
      <c r="B24" s="182"/>
      <c r="C24" s="183"/>
      <c r="D24" s="183"/>
      <c r="E24" s="183"/>
      <c r="F24" s="183"/>
      <c r="G24" s="183"/>
      <c r="H24" s="183"/>
      <c r="I24" s="184"/>
    </row>
    <row r="25" spans="1:9" ht="18.75" customHeight="1" x14ac:dyDescent="0.15">
      <c r="A25" s="14"/>
      <c r="B25" s="182"/>
      <c r="C25" s="183"/>
      <c r="D25" s="183"/>
      <c r="E25" s="183"/>
      <c r="F25" s="183"/>
      <c r="G25" s="183"/>
      <c r="H25" s="183"/>
      <c r="I25" s="184"/>
    </row>
    <row r="26" spans="1:9" ht="18.75" customHeight="1" x14ac:dyDescent="0.15">
      <c r="A26" s="14"/>
      <c r="B26" s="182"/>
      <c r="C26" s="183"/>
      <c r="D26" s="183"/>
      <c r="E26" s="183"/>
      <c r="F26" s="183"/>
      <c r="G26" s="183"/>
      <c r="H26" s="183"/>
      <c r="I26" s="184"/>
    </row>
    <row r="27" spans="1:9" ht="18.75" customHeight="1" x14ac:dyDescent="0.15">
      <c r="A27" s="14"/>
      <c r="B27" s="182"/>
      <c r="C27" s="183"/>
      <c r="D27" s="183"/>
      <c r="E27" s="183"/>
      <c r="F27" s="183"/>
      <c r="G27" s="183"/>
      <c r="H27" s="183"/>
      <c r="I27" s="184"/>
    </row>
    <row r="28" spans="1:9" ht="18.75" customHeight="1" x14ac:dyDescent="0.15">
      <c r="A28" s="14"/>
      <c r="B28" s="182"/>
      <c r="C28" s="183"/>
      <c r="D28" s="183"/>
      <c r="E28" s="183"/>
      <c r="F28" s="183"/>
      <c r="G28" s="183"/>
      <c r="H28" s="183"/>
      <c r="I28" s="184"/>
    </row>
    <row r="29" spans="1:9" ht="18.75" customHeight="1" x14ac:dyDescent="0.15">
      <c r="A29" s="14"/>
      <c r="B29" s="182"/>
      <c r="C29" s="183"/>
      <c r="D29" s="183"/>
      <c r="E29" s="183"/>
      <c r="F29" s="183"/>
      <c r="G29" s="183"/>
      <c r="H29" s="183"/>
      <c r="I29" s="184"/>
    </row>
    <row r="30" spans="1:9" ht="18.75" customHeight="1" x14ac:dyDescent="0.15">
      <c r="A30" s="14"/>
      <c r="B30" s="185"/>
      <c r="C30" s="186"/>
      <c r="D30" s="186"/>
      <c r="E30" s="186"/>
      <c r="F30" s="186"/>
      <c r="G30" s="186"/>
      <c r="H30" s="186"/>
      <c r="I30" s="184"/>
    </row>
    <row r="31" spans="1:9" ht="18.75" customHeight="1" x14ac:dyDescent="0.15">
      <c r="A31" s="14"/>
      <c r="B31" s="185"/>
      <c r="C31" s="186"/>
      <c r="D31" s="186"/>
      <c r="E31" s="186"/>
      <c r="F31" s="186"/>
      <c r="G31" s="186"/>
      <c r="H31" s="186"/>
      <c r="I31" s="184"/>
    </row>
    <row r="32" spans="1:9" ht="18.75" customHeight="1" x14ac:dyDescent="0.15">
      <c r="A32" s="14"/>
      <c r="B32" s="187"/>
      <c r="C32" s="188"/>
      <c r="D32" s="188"/>
      <c r="E32" s="188"/>
      <c r="F32" s="188"/>
      <c r="G32" s="188"/>
      <c r="H32" s="188"/>
      <c r="I32" s="189"/>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0" t="s">
        <v>210</v>
      </c>
      <c r="C35" s="180"/>
      <c r="D35" s="180"/>
      <c r="E35" s="180"/>
      <c r="F35" s="180"/>
      <c r="G35" s="180"/>
      <c r="H35" s="180"/>
      <c r="I35" s="181"/>
    </row>
    <row r="36" spans="1:9" ht="18.75" customHeight="1" x14ac:dyDescent="0.15">
      <c r="A36" s="14"/>
      <c r="B36" s="185"/>
      <c r="C36" s="186"/>
      <c r="D36" s="186"/>
      <c r="E36" s="186"/>
      <c r="F36" s="186"/>
      <c r="G36" s="186"/>
      <c r="H36" s="186"/>
      <c r="I36" s="184"/>
    </row>
    <row r="37" spans="1:9" ht="18.75" customHeight="1" x14ac:dyDescent="0.15">
      <c r="A37" s="14"/>
      <c r="B37" s="185"/>
      <c r="C37" s="186"/>
      <c r="D37" s="186"/>
      <c r="E37" s="186"/>
      <c r="F37" s="186"/>
      <c r="G37" s="186"/>
      <c r="H37" s="186"/>
      <c r="I37" s="184"/>
    </row>
    <row r="38" spans="1:9" ht="18.75" customHeight="1" x14ac:dyDescent="0.15">
      <c r="A38" s="14"/>
      <c r="B38" s="185"/>
      <c r="C38" s="186"/>
      <c r="D38" s="186"/>
      <c r="E38" s="186"/>
      <c r="F38" s="186"/>
      <c r="G38" s="186"/>
      <c r="H38" s="186"/>
      <c r="I38" s="184"/>
    </row>
    <row r="39" spans="1:9" ht="18.75" customHeight="1" x14ac:dyDescent="0.15">
      <c r="A39" s="14"/>
      <c r="B39" s="185"/>
      <c r="C39" s="186"/>
      <c r="D39" s="186"/>
      <c r="E39" s="186"/>
      <c r="F39" s="186"/>
      <c r="G39" s="186"/>
      <c r="H39" s="186"/>
      <c r="I39" s="184"/>
    </row>
    <row r="40" spans="1:9" ht="18.75" customHeight="1" x14ac:dyDescent="0.15">
      <c r="A40" s="14"/>
      <c r="B40" s="185"/>
      <c r="C40" s="186"/>
      <c r="D40" s="186"/>
      <c r="E40" s="186"/>
      <c r="F40" s="186"/>
      <c r="G40" s="186"/>
      <c r="H40" s="186"/>
      <c r="I40" s="184"/>
    </row>
    <row r="41" spans="1:9" ht="18.75" customHeight="1" x14ac:dyDescent="0.15">
      <c r="A41" s="14"/>
      <c r="B41" s="185"/>
      <c r="C41" s="186"/>
      <c r="D41" s="186"/>
      <c r="E41" s="186"/>
      <c r="F41" s="186"/>
      <c r="G41" s="186"/>
      <c r="H41" s="186"/>
      <c r="I41" s="184"/>
    </row>
    <row r="42" spans="1:9" ht="18.75" customHeight="1" x14ac:dyDescent="0.15">
      <c r="A42" s="14"/>
      <c r="B42" s="185"/>
      <c r="C42" s="186"/>
      <c r="D42" s="186"/>
      <c r="E42" s="186"/>
      <c r="F42" s="186"/>
      <c r="G42" s="186"/>
      <c r="H42" s="186"/>
      <c r="I42" s="184"/>
    </row>
    <row r="43" spans="1:9" ht="18.75" customHeight="1" x14ac:dyDescent="0.15">
      <c r="A43" s="14"/>
      <c r="B43" s="185"/>
      <c r="C43" s="186"/>
      <c r="D43" s="186"/>
      <c r="E43" s="186"/>
      <c r="F43" s="186"/>
      <c r="G43" s="186"/>
      <c r="H43" s="186"/>
      <c r="I43" s="184"/>
    </row>
    <row r="44" spans="1:9" ht="18.75" customHeight="1" x14ac:dyDescent="0.15">
      <c r="A44" s="14"/>
      <c r="B44" s="185"/>
      <c r="C44" s="186"/>
      <c r="D44" s="186"/>
      <c r="E44" s="186"/>
      <c r="F44" s="186"/>
      <c r="G44" s="186"/>
      <c r="H44" s="186"/>
      <c r="I44" s="184"/>
    </row>
    <row r="45" spans="1:9" ht="18.75" customHeight="1" x14ac:dyDescent="0.15">
      <c r="A45" s="14"/>
      <c r="B45" s="185"/>
      <c r="C45" s="186"/>
      <c r="D45" s="186"/>
      <c r="E45" s="186"/>
      <c r="F45" s="186"/>
      <c r="G45" s="186"/>
      <c r="H45" s="186"/>
      <c r="I45" s="184"/>
    </row>
    <row r="46" spans="1:9" ht="39.75" customHeight="1" x14ac:dyDescent="0.15">
      <c r="A46" s="14"/>
      <c r="B46" s="187"/>
      <c r="C46" s="188"/>
      <c r="D46" s="188"/>
      <c r="E46" s="188"/>
      <c r="F46" s="188"/>
      <c r="G46" s="188"/>
      <c r="H46" s="188"/>
      <c r="I46" s="189"/>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3" t="s">
        <v>127</v>
      </c>
      <c r="C49" s="218">
        <f>'様式２ 履修者等数の実績'!S33</f>
        <v>0.14381443298969071</v>
      </c>
      <c r="D49" s="218"/>
      <c r="E49" s="33" t="s">
        <v>63</v>
      </c>
      <c r="F49" s="218">
        <v>0.3</v>
      </c>
      <c r="G49" s="218"/>
      <c r="H49" s="33" t="s">
        <v>64</v>
      </c>
      <c r="I49" s="34">
        <v>0.45</v>
      </c>
      <c r="J49" s="1"/>
      <c r="M49" s="1"/>
      <c r="N49" s="35"/>
    </row>
    <row r="50" spans="1:15" s="3" customFormat="1" ht="18.75" customHeight="1" x14ac:dyDescent="0.15">
      <c r="B50" s="36" t="s">
        <v>84</v>
      </c>
      <c r="C50" s="201">
        <v>0.6</v>
      </c>
      <c r="D50" s="201"/>
      <c r="E50" s="36" t="s">
        <v>128</v>
      </c>
      <c r="F50" s="201">
        <v>0.75</v>
      </c>
      <c r="G50" s="201"/>
      <c r="H50" s="36" t="s">
        <v>65</v>
      </c>
      <c r="I50" s="37">
        <f>'様式２ 履修者等数の実績'!E33</f>
        <v>5820</v>
      </c>
      <c r="J50" s="1"/>
      <c r="M50" s="1"/>
      <c r="N50" s="35"/>
    </row>
    <row r="51" spans="1:15" ht="18.75" customHeight="1" x14ac:dyDescent="0.15">
      <c r="A51" s="1"/>
      <c r="B51" s="198" t="s">
        <v>66</v>
      </c>
      <c r="C51" s="199"/>
      <c r="D51" s="199"/>
      <c r="E51" s="199"/>
      <c r="F51" s="199"/>
      <c r="G51" s="199"/>
      <c r="H51" s="199"/>
      <c r="I51" s="200"/>
      <c r="N51" s="35"/>
      <c r="O51" s="3"/>
    </row>
    <row r="52" spans="1:15" ht="18.75" customHeight="1" x14ac:dyDescent="0.15">
      <c r="A52" s="1"/>
      <c r="B52" s="219" t="s">
        <v>206</v>
      </c>
      <c r="C52" s="220"/>
      <c r="D52" s="220"/>
      <c r="E52" s="220"/>
      <c r="F52" s="220"/>
      <c r="G52" s="220"/>
      <c r="H52" s="220"/>
      <c r="I52" s="221"/>
      <c r="N52" s="35"/>
      <c r="O52" s="3"/>
    </row>
    <row r="53" spans="1:15" ht="18.75" customHeight="1" x14ac:dyDescent="0.15">
      <c r="A53" s="1"/>
      <c r="B53" s="222"/>
      <c r="C53" s="223"/>
      <c r="D53" s="223"/>
      <c r="E53" s="223"/>
      <c r="F53" s="223"/>
      <c r="G53" s="223"/>
      <c r="H53" s="223"/>
      <c r="I53" s="224"/>
      <c r="N53" s="35"/>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02" t="s">
        <v>169</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2" t="s">
        <v>174</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179" t="s">
        <v>160</v>
      </c>
      <c r="C94" s="180"/>
      <c r="D94" s="180"/>
      <c r="E94" s="180"/>
      <c r="F94" s="180"/>
      <c r="G94" s="180"/>
      <c r="H94" s="180"/>
      <c r="I94" s="181"/>
    </row>
    <row r="95" spans="1:9" ht="18.75" customHeight="1" x14ac:dyDescent="0.15">
      <c r="A95" s="1"/>
      <c r="B95" s="185"/>
      <c r="C95" s="186"/>
      <c r="D95" s="186"/>
      <c r="E95" s="186"/>
      <c r="F95" s="186"/>
      <c r="G95" s="186"/>
      <c r="H95" s="186"/>
      <c r="I95" s="184"/>
    </row>
    <row r="96" spans="1:9" ht="18.75" customHeight="1" x14ac:dyDescent="0.15">
      <c r="A96" s="1"/>
      <c r="B96" s="185"/>
      <c r="C96" s="186"/>
      <c r="D96" s="186"/>
      <c r="E96" s="186"/>
      <c r="F96" s="186"/>
      <c r="G96" s="186"/>
      <c r="H96" s="186"/>
      <c r="I96" s="184"/>
    </row>
    <row r="97" spans="1:9" ht="18.75" customHeight="1" x14ac:dyDescent="0.15">
      <c r="A97" s="1"/>
      <c r="B97" s="185"/>
      <c r="C97" s="186"/>
      <c r="D97" s="186"/>
      <c r="E97" s="186"/>
      <c r="F97" s="186"/>
      <c r="G97" s="186"/>
      <c r="H97" s="186"/>
      <c r="I97" s="184"/>
    </row>
    <row r="98" spans="1:9" ht="18.75" customHeight="1" x14ac:dyDescent="0.15">
      <c r="A98" s="1"/>
      <c r="B98" s="185"/>
      <c r="C98" s="186"/>
      <c r="D98" s="186"/>
      <c r="E98" s="186"/>
      <c r="F98" s="186"/>
      <c r="G98" s="186"/>
      <c r="H98" s="186"/>
      <c r="I98" s="184"/>
    </row>
    <row r="99" spans="1:9" ht="18.75" customHeight="1" x14ac:dyDescent="0.15">
      <c r="A99" s="1"/>
      <c r="B99" s="185"/>
      <c r="C99" s="186"/>
      <c r="D99" s="186"/>
      <c r="E99" s="186"/>
      <c r="F99" s="186"/>
      <c r="G99" s="186"/>
      <c r="H99" s="186"/>
      <c r="I99" s="184"/>
    </row>
    <row r="100" spans="1:9" ht="18.75" customHeight="1" x14ac:dyDescent="0.15">
      <c r="A100" s="1"/>
      <c r="B100" s="185"/>
      <c r="C100" s="186"/>
      <c r="D100" s="186"/>
      <c r="E100" s="186"/>
      <c r="F100" s="186"/>
      <c r="G100" s="186"/>
      <c r="H100" s="186"/>
      <c r="I100" s="184"/>
    </row>
    <row r="101" spans="1:9" ht="18.75" customHeight="1" x14ac:dyDescent="0.15">
      <c r="A101" s="1"/>
      <c r="B101" s="185"/>
      <c r="C101" s="186"/>
      <c r="D101" s="186"/>
      <c r="E101" s="186"/>
      <c r="F101" s="186"/>
      <c r="G101" s="186"/>
      <c r="H101" s="186"/>
      <c r="I101" s="184"/>
    </row>
    <row r="102" spans="1:9" ht="18.75" customHeight="1" x14ac:dyDescent="0.15">
      <c r="A102" s="1"/>
      <c r="B102" s="185"/>
      <c r="C102" s="186"/>
      <c r="D102" s="186"/>
      <c r="E102" s="186"/>
      <c r="F102" s="186"/>
      <c r="G102" s="186"/>
      <c r="H102" s="186"/>
      <c r="I102" s="184"/>
    </row>
    <row r="103" spans="1:9" ht="18.75" customHeight="1" x14ac:dyDescent="0.15">
      <c r="A103" s="1"/>
      <c r="B103" s="185"/>
      <c r="C103" s="186"/>
      <c r="D103" s="186"/>
      <c r="E103" s="186"/>
      <c r="F103" s="186"/>
      <c r="G103" s="186"/>
      <c r="H103" s="186"/>
      <c r="I103" s="184"/>
    </row>
    <row r="104" spans="1:9" ht="18.75" customHeight="1" x14ac:dyDescent="0.15">
      <c r="A104" s="1"/>
      <c r="B104" s="185"/>
      <c r="C104" s="186"/>
      <c r="D104" s="186"/>
      <c r="E104" s="186"/>
      <c r="F104" s="186"/>
      <c r="G104" s="186"/>
      <c r="H104" s="186"/>
      <c r="I104" s="184"/>
    </row>
    <row r="105" spans="1:9" ht="18.75" customHeight="1" x14ac:dyDescent="0.15">
      <c r="A105" s="4"/>
      <c r="B105" s="187"/>
      <c r="C105" s="188"/>
      <c r="D105" s="188"/>
      <c r="E105" s="188"/>
      <c r="F105" s="188"/>
      <c r="G105" s="188"/>
      <c r="H105" s="188"/>
      <c r="I105" s="189"/>
    </row>
    <row r="106" spans="1:9" ht="7.5" customHeight="1" x14ac:dyDescent="0.15">
      <c r="A106" s="4"/>
      <c r="B106" s="4"/>
      <c r="C106" s="4"/>
      <c r="D106" s="4"/>
      <c r="E106" s="4"/>
      <c r="F106" s="4"/>
      <c r="G106" s="4"/>
      <c r="H106" s="4"/>
      <c r="I106" s="4"/>
    </row>
    <row r="107" spans="1:9" ht="18.75" customHeight="1" x14ac:dyDescent="0.15">
      <c r="A107" s="1" t="s">
        <v>29</v>
      </c>
      <c r="B107" s="197" t="s">
        <v>44</v>
      </c>
      <c r="C107" s="197"/>
      <c r="D107" s="197"/>
      <c r="E107" s="197"/>
      <c r="F107" s="197"/>
      <c r="G107" s="197"/>
      <c r="H107" s="197"/>
      <c r="I107" s="197"/>
    </row>
    <row r="108" spans="1:9" ht="18.75" customHeight="1" x14ac:dyDescent="0.15">
      <c r="A108" s="4"/>
      <c r="B108" s="179" t="s">
        <v>170</v>
      </c>
      <c r="C108" s="180"/>
      <c r="D108" s="180"/>
      <c r="E108" s="180"/>
      <c r="F108" s="180"/>
      <c r="G108" s="180"/>
      <c r="H108" s="180"/>
      <c r="I108" s="181"/>
    </row>
    <row r="109" spans="1:9" ht="18.75" customHeight="1" x14ac:dyDescent="0.15">
      <c r="A109" s="4"/>
      <c r="B109" s="185"/>
      <c r="C109" s="186"/>
      <c r="D109" s="186"/>
      <c r="E109" s="186"/>
      <c r="F109" s="186"/>
      <c r="G109" s="186"/>
      <c r="H109" s="186"/>
      <c r="I109" s="184"/>
    </row>
    <row r="110" spans="1:9" ht="18.75" customHeight="1" x14ac:dyDescent="0.15">
      <c r="A110" s="4"/>
      <c r="B110" s="185"/>
      <c r="C110" s="186"/>
      <c r="D110" s="186"/>
      <c r="E110" s="186"/>
      <c r="F110" s="186"/>
      <c r="G110" s="186"/>
      <c r="H110" s="186"/>
      <c r="I110" s="184"/>
    </row>
    <row r="111" spans="1:9" ht="18.75" customHeight="1" x14ac:dyDescent="0.15">
      <c r="A111" s="4"/>
      <c r="B111" s="185"/>
      <c r="C111" s="186"/>
      <c r="D111" s="186"/>
      <c r="E111" s="186"/>
      <c r="F111" s="186"/>
      <c r="G111" s="186"/>
      <c r="H111" s="186"/>
      <c r="I111" s="184"/>
    </row>
    <row r="112" spans="1:9" ht="18.75" customHeight="1" x14ac:dyDescent="0.15">
      <c r="A112" s="4"/>
      <c r="B112" s="185"/>
      <c r="C112" s="186"/>
      <c r="D112" s="186"/>
      <c r="E112" s="186"/>
      <c r="F112" s="186"/>
      <c r="G112" s="186"/>
      <c r="H112" s="186"/>
      <c r="I112" s="184"/>
    </row>
    <row r="113" spans="1:9" ht="18.75" customHeight="1" x14ac:dyDescent="0.15">
      <c r="A113" s="4"/>
      <c r="B113" s="185"/>
      <c r="C113" s="186"/>
      <c r="D113" s="186"/>
      <c r="E113" s="186"/>
      <c r="F113" s="186"/>
      <c r="G113" s="186"/>
      <c r="H113" s="186"/>
      <c r="I113" s="184"/>
    </row>
    <row r="114" spans="1:9" ht="18.75" customHeight="1" x14ac:dyDescent="0.15">
      <c r="A114" s="4"/>
      <c r="B114" s="185"/>
      <c r="C114" s="186"/>
      <c r="D114" s="186"/>
      <c r="E114" s="186"/>
      <c r="F114" s="186"/>
      <c r="G114" s="186"/>
      <c r="H114" s="186"/>
      <c r="I114" s="184"/>
    </row>
    <row r="115" spans="1:9" ht="18.75" customHeight="1" x14ac:dyDescent="0.15">
      <c r="A115" s="4"/>
      <c r="B115" s="185"/>
      <c r="C115" s="186"/>
      <c r="D115" s="186"/>
      <c r="E115" s="186"/>
      <c r="F115" s="186"/>
      <c r="G115" s="186"/>
      <c r="H115" s="186"/>
      <c r="I115" s="184"/>
    </row>
    <row r="116" spans="1:9" ht="18.75" customHeight="1" x14ac:dyDescent="0.15">
      <c r="A116" s="4"/>
      <c r="B116" s="185"/>
      <c r="C116" s="186"/>
      <c r="D116" s="186"/>
      <c r="E116" s="186"/>
      <c r="F116" s="186"/>
      <c r="G116" s="186"/>
      <c r="H116" s="186"/>
      <c r="I116" s="184"/>
    </row>
    <row r="117" spans="1:9" ht="18.75" customHeight="1" x14ac:dyDescent="0.15">
      <c r="A117" s="4"/>
      <c r="B117" s="185"/>
      <c r="C117" s="186"/>
      <c r="D117" s="186"/>
      <c r="E117" s="186"/>
      <c r="F117" s="186"/>
      <c r="G117" s="186"/>
      <c r="H117" s="186"/>
      <c r="I117" s="184"/>
    </row>
    <row r="118" spans="1:9" ht="18.75" customHeight="1" x14ac:dyDescent="0.15">
      <c r="A118" s="4"/>
      <c r="B118" s="185"/>
      <c r="C118" s="186"/>
      <c r="D118" s="186"/>
      <c r="E118" s="186"/>
      <c r="F118" s="186"/>
      <c r="G118" s="186"/>
      <c r="H118" s="186"/>
      <c r="I118" s="184"/>
    </row>
    <row r="119" spans="1:9" ht="18.75" customHeight="1" x14ac:dyDescent="0.15">
      <c r="A119" s="4"/>
      <c r="B119" s="187"/>
      <c r="C119" s="188"/>
      <c r="D119" s="188"/>
      <c r="E119" s="188"/>
      <c r="F119" s="188"/>
      <c r="G119" s="188"/>
      <c r="H119" s="188"/>
      <c r="I119" s="189"/>
    </row>
    <row r="120" spans="1:9" ht="7.5" customHeight="1" x14ac:dyDescent="0.15">
      <c r="A120" s="4"/>
      <c r="B120" s="38"/>
      <c r="C120" s="38"/>
      <c r="D120" s="38"/>
      <c r="E120" s="38"/>
      <c r="F120" s="38"/>
      <c r="G120" s="38"/>
      <c r="H120" s="38"/>
      <c r="I120" s="38"/>
    </row>
    <row r="121" spans="1:9" ht="18.75" customHeight="1" x14ac:dyDescent="0.15">
      <c r="A121" s="67"/>
      <c r="B121" s="174"/>
      <c r="C121" s="174"/>
      <c r="D121" s="174"/>
      <c r="E121" s="174"/>
      <c r="F121" s="174"/>
      <c r="G121" s="174"/>
      <c r="H121" s="174"/>
      <c r="I121" s="174"/>
    </row>
    <row r="122" spans="1:9" ht="18.75" customHeight="1" x14ac:dyDescent="0.15">
      <c r="A122" s="67"/>
      <c r="B122" s="174"/>
      <c r="C122" s="174"/>
      <c r="D122" s="174"/>
      <c r="E122" s="174"/>
      <c r="F122" s="174"/>
      <c r="G122" s="174"/>
      <c r="H122" s="174"/>
      <c r="I122" s="174"/>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5" zoomScaleNormal="100" zoomScaleSheetLayoutView="100" workbookViewId="0">
      <selection activeCell="I25" sqref="I2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29" t="s">
        <v>95</v>
      </c>
    </row>
    <row r="2" spans="1:9" ht="18.75" customHeight="1" x14ac:dyDescent="0.15">
      <c r="H2" s="29" t="s">
        <v>98</v>
      </c>
      <c r="I2" s="28" t="str">
        <f>'様式１-１　プログラムを構成する授業科目'!C2</f>
        <v>徳島文理大学</v>
      </c>
    </row>
    <row r="3" spans="1:9" ht="18.75" customHeight="1" x14ac:dyDescent="0.15">
      <c r="A3" s="175" t="s">
        <v>27</v>
      </c>
      <c r="B3" s="175"/>
      <c r="C3" s="175"/>
      <c r="D3" s="175"/>
      <c r="E3" s="175"/>
      <c r="F3" s="175"/>
      <c r="G3" s="175"/>
      <c r="H3" s="175"/>
      <c r="I3" s="175"/>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191" t="s">
        <v>145</v>
      </c>
      <c r="C6" s="235"/>
      <c r="D6" s="235"/>
      <c r="E6" s="235"/>
      <c r="F6" s="235"/>
      <c r="G6" s="235"/>
      <c r="H6" s="236"/>
      <c r="I6" s="3"/>
    </row>
    <row r="7" spans="1:9" ht="9" customHeight="1" x14ac:dyDescent="0.15">
      <c r="A7" s="5"/>
      <c r="B7" s="10"/>
      <c r="C7" s="10"/>
      <c r="D7" s="10"/>
      <c r="E7" s="10"/>
      <c r="F7" s="10"/>
      <c r="G7" s="10"/>
      <c r="H7" s="10"/>
      <c r="I7" s="3"/>
    </row>
    <row r="8" spans="1:9" ht="18.75" customHeight="1" x14ac:dyDescent="0.15">
      <c r="A8" s="5"/>
      <c r="B8" s="3"/>
      <c r="C8" s="3"/>
      <c r="D8" s="29" t="s">
        <v>41</v>
      </c>
      <c r="E8" s="30" t="s">
        <v>142</v>
      </c>
      <c r="F8" s="3"/>
      <c r="G8" s="29" t="s">
        <v>10</v>
      </c>
      <c r="H8" s="30" t="s">
        <v>144</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89" t="s">
        <v>23</v>
      </c>
      <c r="C11" s="90"/>
      <c r="D11" s="91"/>
      <c r="E11" s="90" t="s">
        <v>25</v>
      </c>
      <c r="F11" s="90"/>
      <c r="G11" s="90"/>
      <c r="H11" s="90"/>
      <c r="I11" s="91"/>
    </row>
    <row r="12" spans="1:9" ht="26.25" customHeight="1" x14ac:dyDescent="0.15">
      <c r="B12" s="39" t="s">
        <v>13</v>
      </c>
      <c r="C12" s="46"/>
      <c r="D12" s="40"/>
      <c r="E12" s="47"/>
      <c r="F12" s="47"/>
      <c r="G12" s="47"/>
      <c r="H12" s="47"/>
      <c r="I12" s="40"/>
    </row>
    <row r="13" spans="1:9" ht="210.75" customHeight="1" x14ac:dyDescent="0.15">
      <c r="B13" s="41"/>
      <c r="C13" s="233" t="s">
        <v>14</v>
      </c>
      <c r="D13" s="234"/>
      <c r="E13" s="230" t="s">
        <v>161</v>
      </c>
      <c r="F13" s="231"/>
      <c r="G13" s="231"/>
      <c r="H13" s="231"/>
      <c r="I13" s="232"/>
    </row>
    <row r="14" spans="1:9" ht="210.75" customHeight="1" x14ac:dyDescent="0.15">
      <c r="B14" s="41"/>
      <c r="C14" s="228" t="s">
        <v>15</v>
      </c>
      <c r="D14" s="229"/>
      <c r="E14" s="230" t="s">
        <v>162</v>
      </c>
      <c r="F14" s="231"/>
      <c r="G14" s="231"/>
      <c r="H14" s="231"/>
      <c r="I14" s="232"/>
    </row>
    <row r="15" spans="1:9" ht="210.75" customHeight="1" x14ac:dyDescent="0.15">
      <c r="B15" s="41"/>
      <c r="C15" s="233" t="s">
        <v>16</v>
      </c>
      <c r="D15" s="234"/>
      <c r="E15" s="230" t="s">
        <v>163</v>
      </c>
      <c r="F15" s="231"/>
      <c r="G15" s="231"/>
      <c r="H15" s="231"/>
      <c r="I15" s="232"/>
    </row>
    <row r="16" spans="1:9" ht="210.75" customHeight="1" x14ac:dyDescent="0.15">
      <c r="B16" s="41"/>
      <c r="C16" s="233" t="s">
        <v>17</v>
      </c>
      <c r="D16" s="234"/>
      <c r="E16" s="230" t="s">
        <v>164</v>
      </c>
      <c r="F16" s="231"/>
      <c r="G16" s="231"/>
      <c r="H16" s="231"/>
      <c r="I16" s="232"/>
    </row>
    <row r="17" spans="2:9" ht="210.75" customHeight="1" x14ac:dyDescent="0.15">
      <c r="B17" s="42"/>
      <c r="C17" s="237" t="s">
        <v>18</v>
      </c>
      <c r="D17" s="238"/>
      <c r="E17" s="239" t="s">
        <v>165</v>
      </c>
      <c r="F17" s="240"/>
      <c r="G17" s="240"/>
      <c r="H17" s="240"/>
      <c r="I17" s="241"/>
    </row>
    <row r="18" spans="2:9" ht="24" customHeight="1" x14ac:dyDescent="0.15">
      <c r="B18" s="39" t="s">
        <v>19</v>
      </c>
      <c r="C18" s="43"/>
      <c r="D18" s="44"/>
      <c r="E18" s="45"/>
      <c r="F18" s="45"/>
      <c r="G18" s="45"/>
      <c r="H18" s="45"/>
      <c r="I18" s="48"/>
    </row>
    <row r="19" spans="2:9" ht="218.25" customHeight="1" x14ac:dyDescent="0.15">
      <c r="B19" s="41"/>
      <c r="C19" s="233" t="s">
        <v>20</v>
      </c>
      <c r="D19" s="234"/>
      <c r="E19" s="231" t="s">
        <v>166</v>
      </c>
      <c r="F19" s="231"/>
      <c r="G19" s="231"/>
      <c r="H19" s="231"/>
      <c r="I19" s="232"/>
    </row>
    <row r="20" spans="2:9" ht="218.25" customHeight="1" x14ac:dyDescent="0.15">
      <c r="B20" s="42"/>
      <c r="C20" s="237" t="s">
        <v>21</v>
      </c>
      <c r="D20" s="238"/>
      <c r="E20" s="247" t="s">
        <v>159</v>
      </c>
      <c r="F20" s="240"/>
      <c r="G20" s="240"/>
      <c r="H20" s="240"/>
      <c r="I20" s="241"/>
    </row>
    <row r="21" spans="2:9" ht="218.25" customHeight="1" x14ac:dyDescent="0.15">
      <c r="B21" s="248" t="s">
        <v>22</v>
      </c>
      <c r="C21" s="249"/>
      <c r="D21" s="250"/>
      <c r="E21" s="251" t="s">
        <v>167</v>
      </c>
      <c r="F21" s="251"/>
      <c r="G21" s="251"/>
      <c r="H21" s="251"/>
      <c r="I21" s="252"/>
    </row>
    <row r="22" spans="2:9" ht="218.25" customHeight="1" x14ac:dyDescent="0.15">
      <c r="B22" s="242" t="s">
        <v>135</v>
      </c>
      <c r="C22" s="243"/>
      <c r="D22" s="244"/>
      <c r="E22" s="245" t="s">
        <v>168</v>
      </c>
      <c r="F22" s="245"/>
      <c r="G22" s="245"/>
      <c r="H22" s="245"/>
      <c r="I22" s="24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様式１-２　プログラムを構成する授業科目</vt:lpstr>
      <vt:lpstr>様式１-3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'様式１-3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佐々木 尊</cp:lastModifiedBy>
  <cp:lastPrinted>2024-06-15T09:43:05Z</cp:lastPrinted>
  <dcterms:created xsi:type="dcterms:W3CDTF">2011-06-14T05:32:50Z</dcterms:created>
  <dcterms:modified xsi:type="dcterms:W3CDTF">2024-06-15T09:44:06Z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