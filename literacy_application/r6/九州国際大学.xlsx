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1"/>
  <workbookPr defaultThemeVersion="124226"/>
  <mc:AlternateContent xmlns:mc="http://schemas.openxmlformats.org/markup-compatibility/2006">
    <mc:Choice Requires="x15">
      <x15ac:absPath xmlns:x15ac="http://schemas.microsoft.com/office/spreadsheetml/2010/11/ac" url="\\file-sv\大学総務室\000学則・学長決定・規程関係\数理・データサイエンス・AI教育プログラム\申請提出書類\（再）01_九州国際大学_リテラシー\"/>
    </mc:Choice>
  </mc:AlternateContent>
  <xr:revisionPtr revIDLastSave="0" documentId="13_ncr:1_{03632F88-E593-46ED-A810-37098BDDBD98}" xr6:coauthVersionLast="36" xr6:coauthVersionMax="36" xr10:uidLastSave="{00000000-0000-0000-0000-000000000000}"/>
  <bookViews>
    <workbookView xWindow="0" yWindow="0" windowWidth="19200" windowHeight="11445"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<sst xmlns="http://schemas.openxmlformats.org/spreadsheetml/2006/main" count="314" uniqueCount="182">
  <si>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</si>
  <si>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</si>
  <si>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</si>
  <si>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</si>
  <si>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</si>
  <si>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</si>
  <si>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</si>
  <si>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</si>
  <si>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</si>
  <si>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</si>
  <si>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</si>
  <si>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</si>
  <si>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</si>
  <si>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</si>
  <si>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</si>
  <si>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</si>
  <si>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</si>
  <si>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</si>
  <si>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</si>
  <si>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</si>
  <si>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</si>
  <si>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</si>
  <si>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</si>
  <si>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</si>
  <si>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</si>
  <si>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</si>
  <si>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</si>
  <si>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</si>
  <si>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</si>
  <si>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</si>
  <si>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</si>
  <si>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</si>
  <si>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</si>
  <si>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</si>
  <si>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</si>
  <si>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</si>
  <si>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</si>
  <si>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</si>
  <si>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</si>
  <si>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</si>
  <si>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</si>
  <si>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</si>
  <si>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</si>
  <si>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</si>
  <si>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</si>
  <si>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</si>
  <si>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</si>
  <si>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</si>
  <si>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</si>
  <si>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</si>
  <si>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</si>
  <si>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</si>
  <si>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</si>
  <si>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</si>
  <si>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</si>
  <si>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</si>
  <si>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</si>
  <si>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</si>
  <si>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</si>
  <si>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</si>
  <si>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</si>
  <si>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</si>
  <si>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</si>
  <si>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</si>
  <si>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</si>
  <si>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</si>
  <si>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</si>
  <si>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</si>
  <si>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</si>
  <si>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</si>
  <si>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</si>
  <si>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</si>
  <si>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</si>
  <si>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</si>
  <si>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</si>
  <si>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</si>
  <si>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</si>
  <si>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</si>
  <si>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</si>
  <si>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</si>
  <si>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</si>
  <si>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</si>
  <si>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</si>
  <si>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</si>
  <si>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</si>
  <si>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</si>
  <si>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</si>
  <si>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</si>
  <si>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</si>
  <si>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</si>
  <si>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</si>
  <si>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</si>
  <si>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</si>
  <si>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</si>
  <si>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</si>
  <si>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</si>
  <si>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</si>
  <si>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</si>
  <si>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</si>
  <si>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</si>
  <si>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</si>
  <si>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</si>
  <si>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</si>
  <si>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</si>
  <si>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</si>
  <si>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</si>
  <si>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</si>
  <si>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</si>
  <si>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</si>
  <si>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</si>
  <si>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</si>
  <si>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</si>
  <si>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</si>
  <si>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</si>
  <si>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</si>
  <si>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</si>
  <si>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</si>
  <si>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</si>
  <si>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</si>
  <si>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</si>
  <si>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</si>
  <si>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</si>
  <si>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</si>
  <si>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</si>
  <si>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</si>
  <si>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</si>
  <si>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</si>
  <si>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</si>
  <si>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</si>
  <si>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</si>
  <si>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</si>
  <si>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</si>
  <si>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</si>
  <si>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</si>
  <si>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</si>
  <si>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</si>
  <si>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九州国際大学</t>
    <rPh sb="0" eb="6">
      <t>キュウシュウコクサイダイガク</t>
    </rPh>
    <phoneticPr fontId="1"/>
  </si>
  <si>
    <t>九州国際大学　数理・データサイエンス・AI教育プログラム</t>
    <phoneticPr fontId="1"/>
  </si>
  <si>
    <t>「アカデミックスキル（情報リテラシーと調査）」（2単位）及び「データサイエンス」（2単位）の2科目4単位を取得すること。</t>
    <phoneticPr fontId="1"/>
  </si>
  <si>
    <t>アカデミックスキル（情報リテラシーと調査）</t>
    <phoneticPr fontId="1"/>
  </si>
  <si>
    <t>データサイエンス</t>
    <phoneticPr fontId="1"/>
  </si>
  <si>
    <t>○</t>
  </si>
  <si>
    <t>・「若者の自動離れ」とは、どのような社会現象か？ 「アカデミックスキル（情報リテラシーと調査）」 （4回目） 
・複数技術を組み合わせたAIサービス（人間の知的活動とAIの関係性）ロボットへのティーチング 「データサイエンス」 （1回目）
・人間の知的活動とAIの関係性 「データサイエンス」 （13回目）
・省力化に貢献するロボット、普及によるSociety5.0の実現 「データサイエンス」 （14回目）</t>
    <phoneticPr fontId="1"/>
  </si>
  <si>
    <t>・表形式のデータ（csvの活用）、データの集計・データの並び替え、ランキング 「データサイエンス」 （3回目）
・データの集計（和、平均） 「データサイエンス」 （5回目）</t>
    <phoneticPr fontId="1"/>
  </si>
  <si>
    <t>令和4</t>
    <rPh sb="0" eb="2">
      <t>レイワ</t>
    </rPh>
    <phoneticPr fontId="1"/>
  </si>
  <si>
    <t>法学部</t>
    <rPh sb="0" eb="3">
      <t>ホウガクブ</t>
    </rPh>
    <phoneticPr fontId="1"/>
  </si>
  <si>
    <t>現代ビジネス学部</t>
    <rPh sb="0" eb="2">
      <t>ゲンダイ</t>
    </rPh>
    <rPh sb="6" eb="8">
      <t>ガクブ</t>
    </rPh>
    <phoneticPr fontId="1"/>
  </si>
  <si>
    <t>国際関係学部（募集停止）</t>
    <rPh sb="0" eb="6">
      <t>コクサイカンケイガクブ</t>
    </rPh>
    <rPh sb="7" eb="11">
      <t>ボシュウテイシ</t>
    </rPh>
    <phoneticPr fontId="1"/>
  </si>
  <si>
    <t>学長</t>
    <rPh sb="0" eb="2">
      <t>ガクチョウ</t>
    </rPh>
    <phoneticPr fontId="1"/>
  </si>
  <si>
    <t>櫻井　弘晃</t>
    <rPh sb="0" eb="2">
      <t>サクライ</t>
    </rPh>
    <rPh sb="3" eb="5">
      <t>ヒロアキ</t>
    </rPh>
    <phoneticPr fontId="1"/>
  </si>
  <si>
    <t>三輪　　仁</t>
    <rPh sb="0" eb="2">
      <t>ミワ</t>
    </rPh>
    <rPh sb="4" eb="5">
      <t>ジン</t>
    </rPh>
    <phoneticPr fontId="1"/>
  </si>
  <si>
    <t>教務部長</t>
    <rPh sb="0" eb="4">
      <t>キョウムブチョウ</t>
    </rPh>
    <phoneticPr fontId="1"/>
  </si>
  <si>
    <t>九州国際大学基礎教育センター規程</t>
    <phoneticPr fontId="1"/>
  </si>
  <si>
    <t>数理・データサイエンス・AI教育プログラム運営ワーキンググループは、本学における数理・データサイエンス・AI教育プログラム(以下、本教育プログラムとする)の計画策定及び適正な運営に関わる以下の事項に関わる活動を行う。
（１）本教育プログラムの全学的な普及、関連科目や教育方法、学習支援の整備
（２）本教育プログラムの自己点検・評価及び改善のために必要なデータの収集・分析
（３）その他本教育プログラムに関すること
申請時点では、基礎教育センター委員会のもとに設置した「数理・データサイエンス教育プログラム運営ワーキンググループ」が所掌するが、令和６年度内に「九州国際大学数理・データサイエンス教育プログラム運営委員会規程」を制定し、本教育プログラムに係る活動については同規程に基づき設置された九州国際大学数理・データサイエンス教育プログラム運営委員会に移管する予定である。</t>
    <phoneticPr fontId="1"/>
  </si>
  <si>
    <t>三輪　　 仁　教務部長（現代ビジネス学部教授）
松井　貴英　基礎教育センター長（現代ビジネス学部教授）
水井　雅彦　法学部教授
髙嵜　浩平　法学部助教
大澤　健司　現代ビジネス学部准教授　　
古賀　 　勇　現代ビジネス学部准教授
宮城　　 浩　教育支援部長（兼 基礎教育センター事務室長）
金山　英樹　学務事務室長</t>
    <phoneticPr fontId="1"/>
  </si>
  <si>
    <t>令和６年度においては、入学生オリエンテーションなどの場で、データサイエンスやICTのスキルを身につけることが将来のキャリア形成の可能性を拡げることを伝え、学生の本教育プログラムへの関心と受講への意欲を喚起していく。また、教職員に対しても、本学の教育における本教育プログラムの重要性の共有を進めるとともに、演習科目などを通じて未履修者への履修の勧奨を要請していく。
令和７年度からは全員履修科目として開講することになり履修者数・履修率の向上が見込まれる。ただし、本学においては情報端末の扱いに不慣れなまま入学する学生も多いため、途中での脱落者を抑制するための対策の実施を予定している。当該科目担当教員のみならず受講生の演習担当教員、基礎教育センターによる複数のサポート体制を整備し、脱落の兆候の見られる学生への迅速なケア、授業についていけない学生のキャッチアップのサポートのほか、授業内容においても高等学校の「情報Ⅰ」とのつながりを意識した構成としている。一方で高い意欲を持った学生を対象とした、さらに高度な内容の上位科目の新設や修了認定においてもインセンティブとなるような仕掛けの提供を検討している。</t>
    <phoneticPr fontId="1"/>
  </si>
  <si>
    <t>本教育プログラムの科目は全学部学科・全学年を対象の共通教育科目として開講している。
「アカデミックスキル（情報リテラシーと調査）」はパソコン実習も取り入れた講義形式のため、令和６年度においては新入生の全員履修の実現に至っていない。次年度は開講クラス数を拡大し新入生の全員履修とするとともに、２年次以上の学生向けのクラスも用意し学年に関係なく希望者が受講可能となるような体制を確立する予定である。
令和４年度入学生より、本学での学びにおいて情報端末を積極的に活用しICTスキルを高めることでデジタル社会において活躍する人材となるよう、携帯型パソコンを必携としている。諸事情により携行情報端末を用意できない学生に対しては、学生支援室においてノートパソコンの貸し出しサポートを行っているなど、本教育プログラムを全新入生が履修する環境に注力している。</t>
    <phoneticPr fontId="1"/>
  </si>
  <si>
    <t>令和６年度新入生より入学時の履修登録時に本教育プログラム申請対象科目についての紹介を行い、数理・データサイエンス・AIに関する基本的な知識、スキルを習得することの重要性を説明する。また、初年次演習担当者にも本教育プログラム申請対象科目の履修を勧奨するよう要請し、教授会での告知などを通して全教員が本教育プログラムの意義を共有するようにしていく。
本教育プログラムが認定を受け次第、本学ウェブサイトに本教育プログラム特設サイトを掲載して、学生への周知のみならず入学希望者への情報提供に活用することを予定している。</t>
    <phoneticPr fontId="1"/>
  </si>
  <si>
    <t>本教育プログラム対象科目向けに授業担当教員が作成した各種教材は、本学のLMS(KIUポータル)を通じて学生に共有され、授業の予習・復習や欠席時のキャッチアップなどに活用できるようにしている。また、学生の出席状況や課題提出状況、個別の質問内容等を、教員は本学LMSから把握できるようになっている（学生も同じシステムを用い、自身の出席や課題提出の状況を確認できる）。
教員はLMSに集約された様々な情報をもとに、一人一人の学生に対して課題提出を促したり習熟度に合わせたフォローを行ったりするなど、きめ細かな指導を行うことが可能である。</t>
    <phoneticPr fontId="1"/>
  </si>
  <si>
    <t>授業時間以外での学習指導や質問の受け付けは、LMS(KIUポータル)を通じて学生がいつでも行えるようになっており、直接授業担当者から回答や指導を受けることもできる。その他にも、担当教員が設定したオフィスアワー(週２コマ以上)に対面での質問や指導を受けることができる。さらに、基礎教育センターにおいても、スタッフによる質問の受け付けや学習指導が可能な体制を整え、学生がいつでもサポートを受けられる環境を構築する。</t>
    <phoneticPr fontId="1"/>
  </si>
  <si>
    <t>九州国際大学自己点検・評価運営委員会</t>
    <phoneticPr fontId="1"/>
  </si>
  <si>
    <t>学生のプログラム当該科目の履修・修得状況及び講義への出席状況についてのデータは、LMS（KIUポータル）に記録され、本学教員と情報が共有されるほか、保護者用サイトを通じて保護者も確認することができる。教務委員会、演習担当者会議、保護者などと連携し、当該科目への出席率向上と途中離脱者の防止に継続的に注力していく。
数理・データサイエンス・AI教育プログラム運営ワーキンググループにおいても、これらのデータを活用し、履修者の単位取得率の向上を図るための教育プログラムの改善を検討・実施する。</t>
    <phoneticPr fontId="1"/>
  </si>
  <si>
    <t>数理・データサイエンス・AI教育プログラム運営ワーキンググループにおいて、当該科目の受講者平均GPAの分布や授業回ごとの課題提出率、LMS（アセスメンター）を通じ受講者が提出する授業評価アンケートや各科目の学修到達度についての自己評価などのデータをもとに分析し、本教育プログラムの改善と教育内容の平準化を図っていく。
なお、令和６年度より本教育プログラム当該科目受講者を対象とした「数理・データサイエンス・AI教育プログラム受講者アンケート」を実施し、受講者における各科目の理解度及び数理・データサイエンス・AIに対する関心の変化、プログラムの改善点などについて意見を収集し、今後の運営・改善の資料とする。</t>
    <phoneticPr fontId="1"/>
  </si>
  <si>
    <t>科目担当者は、受講生がLMS（アセスメンター）を通して回答する授業評価アンケート、各科目の学修到達度についての自己評価などを確認に活用する。授業評価結果については、本学大学ホームページで公表するとともに、FD委員会を通じ授業改善にも活用している。</t>
    <phoneticPr fontId="1"/>
  </si>
  <si>
    <t>令和５年度授業評価アンケートにおける当該科目受講生のコメントをみても、「将来に活かせる情報リテラシーを学ぶことができた。」「この授業はもっと早く学ぶべきだったと後悔していますので１年次からの必修にしても良いと思います。」などの感想が寄せられ、後輩等他の学生への高い推奨度を抱いた学生が多いものとみられる。これらの学生アンケートの結果は学内に公開し、後輩学生の閲覧も可能となっており、本教育プログラムの内容の理解や受講の動機づけに役立てられるものと期待する。</t>
    <phoneticPr fontId="1"/>
  </si>
  <si>
    <t>令和６年度においては、新入生の履修登録ガイダンス時に数理データサイエンスAI関連科目の履修を勧奨するチラシを配るとともに、演習担当教員への協力を要請した。本教育プログラム当該科目のなかには希望者が殺到し多くの履修漏れが生じたものもあるので、秋学期に追加開講を実施する予定である。令和７年度新入生より本教育プログラム当該科目すべてを全員履修科目として開講する予定である。</t>
    <phoneticPr fontId="1"/>
  </si>
  <si>
    <t>本教育プログラムは令和４年度より開始しているため、まだ修了した卒業生が出ていないものの、受講者のなかには本プラグラム当該科目から触発を受けて、IT関連の仕事への志望度を強めたり、専門演習ではデータ分析をテーマとする演習（ゼミ）へ進んだ学生も見られる。二科目修了者にヒアリングを行い、次のような回答を得ることができた。「この授業を受けたことが、情報や統計といったものを扱うゼミを選択するきっかけのひとつとなった」「将来、教員として電子化された環境の中で教えるということになると思うので、そのような場合に必要な知識やスキルを身に付けることができたように思う」といったコメントが得られた。また、「楽しかった」「授業を受けてよかった」といった好意的な評価をえられた。</t>
    <phoneticPr fontId="1"/>
  </si>
  <si>
    <t>本学にある二学部三学科の学びとの接続を考慮し、それぞれの専門分野の垣根を越えて理解でき、かつその分野の学びと深くかかわる授業内容を提供する。そのうえで、気づきを促すような内容とすることで、現実社会における様々な課題への理解の深まり・課題解決能力の向上等を学生自身が感じることが可能な授業を構成していく。また、最新技術によって引き起こされている社会の変化の実例などを示すことで、社会で求められる人物像や役割といったものを具体的に学生にイメージさせ、数理・データサイエンス・AIを学ぶことの意義を理解させる。　</t>
    <phoneticPr fontId="1"/>
  </si>
  <si>
    <t>本教育プログラムの対象学生が文系ということを踏まえ、具体例などを多数紹介することによって授業内容を身近に感じてもらう。また、学生本人が身近に感じるであろう事柄もしくは社会の一員として今後主体的に引き受けていかなければならないテーマなどを提示し、高校までの学習内容の理解を深める題材に取り組む授業回を設定する。これにより、既習事項とのつながりを明確にし、より深め、「分かる」という感覚を実感できる授業構成とする。
また、本教育プログラム担当教員それぞれの専門分野における最新の話題を授業内容に組み込むことを協議し、定期的に教育内容を見直していく場を設ける予定である。　</t>
    <phoneticPr fontId="1"/>
  </si>
  <si>
    <t>・インターネットやweb検索の歴史を紹介：情報検索（人の行動ログデータ・商品のレコメンテーション） 「アカデミックスキル（情報リテラシーと調査）」 （1回目）</t>
    <phoneticPr fontId="1"/>
  </si>
  <si>
    <t>・情報倫理（匿名加工情報） 「アカデミックスキル（情報リテラシーと調査）」 （3回目）
・成績評価課題の作成準備：公開データから、文章生成AIを用いた要約やレジュメを作り 「アカデミックスキル（情報リテラシーと調査）」 （13回目）
・パスワード管理、情報漏洩などによるセキュリティ事故の事例紹介 「データサイエンス」 （1回目）</t>
    <phoneticPr fontId="1"/>
  </si>
  <si>
    <t>・情報倫理（匿名加工情報） 「アカデミックスキル（情報リテラシーと調査）」 （3回目）
・匿名加工情報、暗号化、パスワード、悪意ある情報搾取、情報漏洩等によるセキュリティ事故の事例紹介 「アカデミックスキル（情報リテラシーと調査）」 （13回目）
・パスワード管理、情報漏洩などによるセキュリティ事故の事例紹介 「データサイエンス」 （1回目）</t>
    <phoneticPr fontId="1"/>
  </si>
  <si>
    <t>・統計情報の正しい理解（誇張表現に惑わされない） 「データサイエンス」 （2回目）
・データの分布(ヒストグラム)と代表値（平均値、中央値、最頻値）、代表値の性質の違い（実社会では平均値＝最頻値でないことが多い） 「データサイエンス」 （5回目）
・データのばらつき（分散、標準偏差、偏差値） 「データサイエンス」 （6回目） 
・相関と因果（相関係数、擬似相関、交絡） 「データサイエンス」 （7回目）
・母集団と標本抽出、誇張表現に惑わされない 「データサイエンス」 （8回目）</t>
    <phoneticPr fontId="1"/>
  </si>
  <si>
    <t>・優れた可視化事例を紹介 「アカデミックスキル（情報リテラシーと調査）」 （14～15回目）
・データ表現（棒グラフ、折線グラフ、散布図、ヒートマップ） 「データサイエンス」 （3回目）
・データの図表表現（チャート化）、データの表現、データの比較、不適切なグラフ表現（チャートジャンク、不必要な視覚的要素） 「データサイエンス」 （4回目）</t>
    <phoneticPr fontId="1"/>
  </si>
  <si>
    <t>・著作権と許諾・引用について考える：webから入手できる公開データと取り扱いと活用を学ぶ、データのオープン化を情報倫理から考える 「アカデミックスキル（情報リテラシーと調査）」 （2回目）
・人の行動ログデータ、データ作成、非構造化データ（文章、画像/動画） 「データサイエンス」 （1回目）
・調査データ、実験データ、人の行動ログデータ、機械の稼働ログデータなど 「データサイエンス」 （3回目）</t>
    <phoneticPr fontId="1"/>
  </si>
  <si>
    <t>・インターネットやweb検索の歴史を紹介：文章生成AIによる要約やレジュメづくり 「アカデミックスキル（情報リテラシーと調査）」 （1回目）
・仮説検証・原因究明のためのデータ取得方法を学ぶ 「アカデミックスキル（情報リテラシーと調査）」 （3回目）
・仮説検証、知識発見、原因究明、計画策定、判断支援、活動代替、新規生成など 「データサイエンス」 （11回目）
・データ・AI活用領域の広がり(生産、消費、文化活動など)  「データサイエンス」 （12回目）
・自動取得されるビッグデータから、問題との関連性の仮説検証・原因究明 「データサイエンス」 （13回目）</t>
    <phoneticPr fontId="1"/>
  </si>
  <si>
    <t>・特化型AI、汎用AI 「アカデミックスキル（情報リテラシーと調査）」 （13回目）
・データ可視化、複合グラフ、２軸グラフ、予測、パターン発見 「データサイエンス」 （4回目）
・特化型AIと汎用AI、今のAIで出来ることと出来ないこと、AIとビッグデータ 「データサイエンス」 （12回目）</t>
    <phoneticPr fontId="1"/>
  </si>
  <si>
    <t>・個人情報の保護、データ倫理（データのねつ造、改ざん、盗用、プライバシー保護） 「アカデミックスキル（情報リテラシーと調査）」 （2回目）
・ELSI（Ethical, Legal and Social Issues）、AIサービスの責任論 「データサイエンス」 （13回目）
・フェイク動画などAI活用における負の事例、AI社会原則（説明責任・人間中心の判断） 「データサイエンス」 （14回目）</t>
    <phoneticPr fontId="1"/>
  </si>
  <si>
    <t>学部・学科によって、修了要件は相違しない</t>
  </si>
  <si>
    <t>①データサイエンスやAI技術の飛躍的発展やその活用範囲の拡がりが、産業や仕事、私たちのくらしにもたらす大きな変化を理解し、そうした技術を活用する意義を説明することができる。
②データ駆動型社会に潜むリスクについて理解し、遵守すべき法制度や倫理、留意事項等を踏まえて正しくデータを取り扱うことができる。
③現実世界の課題を解決するためのAIやデータサイエンスに関する手法の基礎的内容を理解し、それらを用いる場面で建設的にコミュニケーションをとることができる。
④解決すべき課題内容を定量的なものと定性的なものに区分し、それぞれの特性を考慮したうえで課題解決方法を論理的に検討することができる。</t>
    <rPh sb="110" eb="112">
      <t>ジュンシュ</t>
    </rPh>
    <phoneticPr fontId="1"/>
  </si>
  <si>
    <t>本学卒業の中小企業経営者に意見を求めたところ、人手不足が深刻化するなかAIの活用などDX化には大企業のみならず多くの中小企業も積極的になっており、数理・データサイエンス・AIについての基礎的な知識・スキルは今後文理問わず社会で必要になってくると考えられ、本教育プログラムの全員履修での実施に対しては期待したいとの意見が得られた。
今後は、産業界の識者も複数含まれる「九州国際大学外部評価委員会」において、定期的に本教育プログラムの概要説明と実施報告を行い、評価や改善に向けた助言を受ける予定である。</t>
    <phoneticPr fontId="1"/>
  </si>
  <si>
    <t>基礎教育センター委員会（数理・データサイエンス・AI教育プログラム運営ワーキンググループ）</t>
    <rPh sb="0" eb="4">
      <t>キソキョウイク</t>
    </rPh>
    <rPh sb="8" eb="11">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</si>
</sst>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0" xfId="0" applyFont="1" applyAlignment="1">
      <alignment vertical="center" wrapText="1"/>
    </xf>
    <xf numFmtId="9" fontId="2" fillId="0" borderId="45" xfId="0" applyNumberFormat="1" applyFont="1" applyBorder="1" applyAlignment="1">
      <alignment vertical="center" shrinkToFit="1"/>
    </xf>
    <xf numFmtId="0" fontId="2" fillId="0" borderId="0" xfId="0" applyFont="1" applyAlignment="1">
      <alignment vertical="center" wrapText="1"/>
    </xf>
    <xf numFmtId="0" fontId="2" fillId="0" borderId="0" xfId="0" applyFont="1">
      <alignment vertical="center"/>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7" fillId="0" borderId="2" xfId="0" applyFont="1" applyBorder="1" applyAlignment="1">
      <alignment vertical="center" wrapText="1" shrinkToFit="1"/>
    </xf>
    <xf numFmtId="0" fontId="7" fillId="0" borderId="3" xfId="0" applyFont="1" applyBorder="1" applyAlignment="1">
      <alignment vertical="center" wrapText="1" shrinkToFit="1"/>
    </xf>
    <xf numFmtId="0" fontId="7"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101" zoomScaleNormal="100" zoomScaleSheetLayoutView="100" workbookViewId="0">
      <selection activeCell="B104" sqref="B104:U10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28" t="s">
        <v>12</v>
      </c>
      <c r="U1" s="128"/>
      <c r="V1" s="2" t="s">
        <v>100</v>
      </c>
    </row>
    <row r="2" spans="1:24" ht="18.75" customHeight="1" x14ac:dyDescent="0.15">
      <c r="A2" s="75"/>
      <c r="B2" s="76" t="s">
        <v>99</v>
      </c>
      <c r="C2" s="129" t="s">
        <v>136</v>
      </c>
      <c r="D2" s="130"/>
      <c r="E2" s="130"/>
      <c r="F2" s="130"/>
      <c r="G2" s="130"/>
      <c r="H2" s="130"/>
      <c r="I2" s="130"/>
      <c r="J2" s="131"/>
      <c r="K2" s="77"/>
      <c r="L2" s="78"/>
      <c r="M2" s="78"/>
      <c r="N2" s="78"/>
      <c r="O2" s="78"/>
      <c r="P2" s="78"/>
      <c r="Q2" s="78"/>
      <c r="R2" s="78"/>
      <c r="S2" s="78"/>
      <c r="T2" s="78"/>
      <c r="U2" s="78"/>
    </row>
    <row r="3" spans="1:24" ht="18.75" customHeight="1" x14ac:dyDescent="0.15">
      <c r="A3" s="75"/>
      <c r="B3" s="76" t="s">
        <v>94</v>
      </c>
      <c r="C3" s="132" t="s">
        <v>137</v>
      </c>
      <c r="D3" s="133"/>
      <c r="E3" s="133"/>
      <c r="F3" s="133"/>
      <c r="G3" s="133"/>
      <c r="H3" s="133"/>
      <c r="I3" s="133"/>
      <c r="J3" s="134"/>
      <c r="K3" s="77"/>
      <c r="L3" s="78"/>
      <c r="M3" s="78"/>
      <c r="N3" s="78"/>
      <c r="O3" s="78"/>
      <c r="P3" s="78"/>
      <c r="Q3" s="78"/>
      <c r="R3" s="78"/>
      <c r="S3" s="78"/>
      <c r="T3" s="78"/>
      <c r="U3" s="78"/>
    </row>
    <row r="4" spans="1:24" ht="15" customHeight="1" x14ac:dyDescent="0.15">
      <c r="A4" s="75"/>
      <c r="B4" s="75"/>
      <c r="C4" s="75"/>
      <c r="D4" s="75"/>
      <c r="E4" s="75"/>
      <c r="F4" s="75"/>
      <c r="G4" s="75"/>
      <c r="H4" s="75"/>
      <c r="I4" s="75"/>
      <c r="J4" s="75"/>
      <c r="K4" s="75"/>
      <c r="L4" s="77"/>
      <c r="M4" s="79"/>
      <c r="N4" s="79"/>
      <c r="O4" s="79"/>
      <c r="P4" s="79"/>
      <c r="Q4" s="79"/>
      <c r="R4" s="79"/>
      <c r="S4" s="79"/>
      <c r="T4" s="79"/>
      <c r="U4" s="79"/>
    </row>
    <row r="5" spans="1:24" ht="18" customHeight="1" x14ac:dyDescent="0.15">
      <c r="A5" s="135" t="s">
        <v>38</v>
      </c>
      <c r="B5" s="135"/>
      <c r="C5" s="135"/>
      <c r="D5" s="135"/>
      <c r="E5" s="135"/>
      <c r="F5" s="135"/>
      <c r="G5" s="135"/>
      <c r="H5" s="135"/>
      <c r="I5" s="135"/>
      <c r="J5" s="135"/>
      <c r="K5" s="135"/>
      <c r="L5" s="135"/>
      <c r="M5" s="135"/>
      <c r="N5" s="135"/>
      <c r="O5" s="135"/>
      <c r="P5" s="135"/>
      <c r="Q5" s="135"/>
      <c r="R5" s="135"/>
      <c r="S5" s="135"/>
      <c r="T5" s="135"/>
      <c r="U5" s="135"/>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131</v>
      </c>
      <c r="B7" s="80"/>
      <c r="C7" s="80"/>
      <c r="D7" s="80"/>
      <c r="E7" s="80"/>
      <c r="F7" s="81"/>
      <c r="G7" s="81"/>
      <c r="H7" s="81"/>
      <c r="I7" s="81"/>
      <c r="J7" s="81"/>
      <c r="K7" s="81"/>
      <c r="L7" s="104" t="s">
        <v>178</v>
      </c>
      <c r="M7" s="105"/>
      <c r="N7" s="105"/>
      <c r="O7" s="105"/>
      <c r="P7" s="105"/>
      <c r="Q7" s="105"/>
      <c r="R7" s="105"/>
      <c r="S7" s="105"/>
      <c r="T7" s="105"/>
      <c r="U7" s="106"/>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132</v>
      </c>
      <c r="B9" s="75"/>
      <c r="C9" s="80"/>
      <c r="D9" s="80"/>
      <c r="E9" s="75"/>
      <c r="F9" s="75"/>
      <c r="G9" s="75"/>
      <c r="H9" s="75"/>
      <c r="I9" s="75"/>
      <c r="J9" s="75"/>
      <c r="K9" s="77"/>
      <c r="L9" s="81"/>
      <c r="M9" s="81"/>
      <c r="N9" s="81"/>
      <c r="O9" s="81"/>
      <c r="P9" s="81"/>
      <c r="Q9" s="81"/>
      <c r="R9" s="81"/>
      <c r="S9" s="81"/>
      <c r="T9" s="81"/>
      <c r="U9" s="81"/>
    </row>
    <row r="10" spans="1:24" ht="6" customHeight="1" x14ac:dyDescent="0.15">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15">
      <c r="A11" s="75"/>
      <c r="B11" s="112"/>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75"/>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15">
      <c r="A14" s="75" t="s">
        <v>101</v>
      </c>
      <c r="B14" s="80"/>
      <c r="C14" s="80"/>
      <c r="D14" s="80"/>
      <c r="E14" s="77"/>
      <c r="F14" s="77"/>
      <c r="G14" s="77"/>
      <c r="H14" s="77"/>
      <c r="I14" s="77"/>
      <c r="J14" s="77"/>
      <c r="K14" s="77"/>
      <c r="L14" s="83"/>
      <c r="M14" s="83"/>
      <c r="N14" s="83"/>
      <c r="O14" s="83"/>
      <c r="P14" s="83"/>
      <c r="Q14" s="83"/>
      <c r="R14" s="83"/>
      <c r="S14" s="83"/>
      <c r="T14" s="83"/>
      <c r="U14" s="83"/>
    </row>
    <row r="15" spans="1:24" ht="18" customHeight="1" x14ac:dyDescent="0.15">
      <c r="A15" s="75"/>
      <c r="B15" s="136" t="s">
        <v>138</v>
      </c>
      <c r="C15" s="137"/>
      <c r="D15" s="137"/>
      <c r="E15" s="137"/>
      <c r="F15" s="137"/>
      <c r="G15" s="137"/>
      <c r="H15" s="137"/>
      <c r="I15" s="137"/>
      <c r="J15" s="137"/>
      <c r="K15" s="137"/>
      <c r="L15" s="137"/>
      <c r="M15" s="137"/>
      <c r="N15" s="137"/>
      <c r="O15" s="137"/>
      <c r="P15" s="137"/>
      <c r="Q15" s="137"/>
      <c r="R15" s="137"/>
      <c r="S15" s="137"/>
      <c r="T15" s="137"/>
      <c r="U15" s="138"/>
      <c r="X15" s="1" t="s">
        <v>95</v>
      </c>
    </row>
    <row r="16" spans="1:24" ht="18" customHeight="1" x14ac:dyDescent="0.15">
      <c r="A16" s="75"/>
      <c r="B16" s="139"/>
      <c r="C16" s="140"/>
      <c r="D16" s="140"/>
      <c r="E16" s="140"/>
      <c r="F16" s="140"/>
      <c r="G16" s="140"/>
      <c r="H16" s="140"/>
      <c r="I16" s="140"/>
      <c r="J16" s="140"/>
      <c r="K16" s="140"/>
      <c r="L16" s="140"/>
      <c r="M16" s="140"/>
      <c r="N16" s="140"/>
      <c r="O16" s="140"/>
      <c r="P16" s="140"/>
      <c r="Q16" s="140"/>
      <c r="R16" s="140"/>
      <c r="S16" s="140"/>
      <c r="T16" s="140"/>
      <c r="U16" s="141"/>
      <c r="X16" s="1" t="s">
        <v>115</v>
      </c>
    </row>
    <row r="17" spans="1:24" ht="18" customHeight="1" x14ac:dyDescent="0.15">
      <c r="A17" s="75"/>
      <c r="B17" s="139"/>
      <c r="C17" s="140"/>
      <c r="D17" s="140"/>
      <c r="E17" s="140"/>
      <c r="F17" s="140"/>
      <c r="G17" s="140"/>
      <c r="H17" s="140"/>
      <c r="I17" s="140"/>
      <c r="J17" s="140"/>
      <c r="K17" s="140"/>
      <c r="L17" s="140"/>
      <c r="M17" s="140"/>
      <c r="N17" s="140"/>
      <c r="O17" s="140"/>
      <c r="P17" s="140"/>
      <c r="Q17" s="140"/>
      <c r="R17" s="140"/>
      <c r="S17" s="140"/>
      <c r="T17" s="140"/>
      <c r="U17" s="141"/>
      <c r="X17" s="1" t="s">
        <v>116</v>
      </c>
    </row>
    <row r="18" spans="1:24" ht="18" customHeight="1" x14ac:dyDescent="0.15">
      <c r="A18" s="75"/>
      <c r="B18" s="139"/>
      <c r="C18" s="140"/>
      <c r="D18" s="140"/>
      <c r="E18" s="140"/>
      <c r="F18" s="140"/>
      <c r="G18" s="140"/>
      <c r="H18" s="140"/>
      <c r="I18" s="140"/>
      <c r="J18" s="140"/>
      <c r="K18" s="140"/>
      <c r="L18" s="140"/>
      <c r="M18" s="140"/>
      <c r="N18" s="140"/>
      <c r="O18" s="140"/>
      <c r="P18" s="140"/>
      <c r="Q18" s="140"/>
      <c r="R18" s="140"/>
      <c r="S18" s="140"/>
      <c r="T18" s="140"/>
      <c r="U18" s="141"/>
      <c r="X18" s="1" t="s">
        <v>117</v>
      </c>
    </row>
    <row r="19" spans="1:24" ht="18" customHeight="1" x14ac:dyDescent="0.15">
      <c r="A19" s="75"/>
      <c r="B19" s="139"/>
      <c r="C19" s="140"/>
      <c r="D19" s="140"/>
      <c r="E19" s="140"/>
      <c r="F19" s="140"/>
      <c r="G19" s="140"/>
      <c r="H19" s="140"/>
      <c r="I19" s="140"/>
      <c r="J19" s="140"/>
      <c r="K19" s="140"/>
      <c r="L19" s="140"/>
      <c r="M19" s="140"/>
      <c r="N19" s="140"/>
      <c r="O19" s="140"/>
      <c r="P19" s="140"/>
      <c r="Q19" s="140"/>
      <c r="R19" s="140"/>
      <c r="S19" s="140"/>
      <c r="T19" s="140"/>
      <c r="U19" s="141"/>
    </row>
    <row r="20" spans="1:24" ht="18" customHeight="1" x14ac:dyDescent="0.15">
      <c r="A20" s="75"/>
      <c r="B20" s="142"/>
      <c r="C20" s="143"/>
      <c r="D20" s="143"/>
      <c r="E20" s="143"/>
      <c r="F20" s="143"/>
      <c r="G20" s="143"/>
      <c r="H20" s="143"/>
      <c r="I20" s="143"/>
      <c r="J20" s="143"/>
      <c r="K20" s="143"/>
      <c r="L20" s="143"/>
      <c r="M20" s="143"/>
      <c r="N20" s="143"/>
      <c r="O20" s="143"/>
      <c r="P20" s="143"/>
      <c r="Q20" s="143"/>
      <c r="R20" s="143"/>
      <c r="S20" s="143"/>
      <c r="T20" s="143"/>
      <c r="U20" s="144"/>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19.899999999999999" customHeight="1" x14ac:dyDescent="0.15">
      <c r="A22" s="75"/>
      <c r="B22" s="75" t="s">
        <v>133</v>
      </c>
      <c r="C22" s="75"/>
      <c r="D22" s="75"/>
      <c r="E22" s="84">
        <v>2</v>
      </c>
      <c r="F22" s="75" t="s">
        <v>113</v>
      </c>
      <c r="G22" s="75"/>
      <c r="H22" s="85">
        <v>4</v>
      </c>
      <c r="I22" s="80" t="s">
        <v>114</v>
      </c>
      <c r="J22" s="80"/>
      <c r="K22" s="77"/>
      <c r="L22" s="75"/>
      <c r="M22" s="77" t="s">
        <v>110</v>
      </c>
      <c r="N22" s="101" t="s">
        <v>116</v>
      </c>
      <c r="O22" s="102"/>
      <c r="P22" s="102"/>
      <c r="Q22" s="102"/>
      <c r="R22" s="102"/>
      <c r="S22" s="102"/>
      <c r="T22" s="102"/>
      <c r="U22" s="103"/>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45" t="s">
        <v>102</v>
      </c>
      <c r="B24" s="145"/>
      <c r="C24" s="145"/>
      <c r="D24" s="145"/>
      <c r="E24" s="145"/>
      <c r="F24" s="145"/>
      <c r="G24" s="145"/>
      <c r="H24" s="145"/>
      <c r="I24" s="145"/>
      <c r="J24" s="145"/>
      <c r="K24" s="145"/>
      <c r="L24" s="145"/>
      <c r="M24" s="145"/>
      <c r="N24" s="145"/>
      <c r="O24" s="145"/>
      <c r="P24" s="145"/>
      <c r="Q24" s="145"/>
      <c r="R24" s="145"/>
      <c r="S24" s="145"/>
      <c r="T24" s="145"/>
      <c r="U24" s="145"/>
    </row>
    <row r="25" spans="1:24" ht="18" customHeight="1" x14ac:dyDescent="0.15">
      <c r="A25" s="145"/>
      <c r="B25" s="145"/>
      <c r="C25" s="145"/>
      <c r="D25" s="145"/>
      <c r="E25" s="145"/>
      <c r="F25" s="145"/>
      <c r="G25" s="145"/>
      <c r="H25" s="145"/>
      <c r="I25" s="145"/>
      <c r="J25" s="145"/>
      <c r="K25" s="145"/>
      <c r="L25" s="145"/>
      <c r="M25" s="145"/>
      <c r="N25" s="145"/>
      <c r="O25" s="145"/>
      <c r="P25" s="145"/>
      <c r="Q25" s="145"/>
      <c r="R25" s="145"/>
      <c r="S25" s="145"/>
      <c r="T25" s="145"/>
      <c r="U25" s="145"/>
    </row>
    <row r="26" spans="1:24" ht="18" customHeight="1" x14ac:dyDescent="0.15">
      <c r="B26" s="107" t="s">
        <v>52</v>
      </c>
      <c r="C26" s="108"/>
      <c r="D26" s="108"/>
      <c r="E26" s="108"/>
      <c r="F26" s="109"/>
      <c r="G26" s="50" t="s">
        <v>78</v>
      </c>
      <c r="H26" s="49" t="s">
        <v>81</v>
      </c>
      <c r="I26" s="16" t="s">
        <v>55</v>
      </c>
      <c r="J26" s="16" t="s">
        <v>58</v>
      </c>
      <c r="K26" s="107" t="s">
        <v>52</v>
      </c>
      <c r="L26" s="108"/>
      <c r="M26" s="108"/>
      <c r="N26" s="108"/>
      <c r="O26" s="108"/>
      <c r="P26" s="108"/>
      <c r="Q26" s="109"/>
      <c r="R26" s="50" t="s">
        <v>78</v>
      </c>
      <c r="S26" s="49" t="s">
        <v>81</v>
      </c>
      <c r="T26" s="16" t="s">
        <v>55</v>
      </c>
      <c r="U26" s="16" t="s">
        <v>58</v>
      </c>
    </row>
    <row r="27" spans="1:24" ht="18" customHeight="1" x14ac:dyDescent="0.15">
      <c r="B27" s="124" t="s">
        <v>139</v>
      </c>
      <c r="C27" s="125"/>
      <c r="D27" s="125"/>
      <c r="E27" s="125"/>
      <c r="F27" s="126"/>
      <c r="G27" s="17">
        <v>2</v>
      </c>
      <c r="H27" s="17" t="s">
        <v>141</v>
      </c>
      <c r="I27" s="17" t="s">
        <v>141</v>
      </c>
      <c r="J27" s="17" t="s">
        <v>141</v>
      </c>
      <c r="K27" s="124"/>
      <c r="L27" s="125"/>
      <c r="M27" s="125"/>
      <c r="N27" s="125"/>
      <c r="O27" s="125"/>
      <c r="P27" s="125"/>
      <c r="Q27" s="126"/>
      <c r="R27" s="17"/>
      <c r="S27" s="17"/>
      <c r="T27" s="17"/>
      <c r="U27" s="17"/>
    </row>
    <row r="28" spans="1:24" ht="18" customHeight="1" x14ac:dyDescent="0.15">
      <c r="B28" s="118" t="s">
        <v>140</v>
      </c>
      <c r="C28" s="119"/>
      <c r="D28" s="119"/>
      <c r="E28" s="119"/>
      <c r="F28" s="120"/>
      <c r="G28" s="18">
        <v>2</v>
      </c>
      <c r="H28" s="18" t="s">
        <v>141</v>
      </c>
      <c r="I28" s="18" t="s">
        <v>141</v>
      </c>
      <c r="J28" s="18"/>
      <c r="K28" s="118"/>
      <c r="L28" s="119"/>
      <c r="M28" s="119"/>
      <c r="N28" s="119"/>
      <c r="O28" s="119"/>
      <c r="P28" s="119"/>
      <c r="Q28" s="120"/>
      <c r="R28" s="18"/>
      <c r="S28" s="18"/>
      <c r="T28" s="18"/>
      <c r="U28" s="18"/>
    </row>
    <row r="29" spans="1:24" ht="18" customHeight="1" x14ac:dyDescent="0.15">
      <c r="B29" s="118"/>
      <c r="C29" s="119"/>
      <c r="D29" s="119"/>
      <c r="E29" s="119"/>
      <c r="F29" s="120"/>
      <c r="G29" s="18"/>
      <c r="H29" s="18"/>
      <c r="I29" s="18"/>
      <c r="J29" s="18"/>
      <c r="K29" s="118"/>
      <c r="L29" s="119"/>
      <c r="M29" s="119"/>
      <c r="N29" s="119"/>
      <c r="O29" s="119"/>
      <c r="P29" s="119"/>
      <c r="Q29" s="120"/>
      <c r="R29" s="18"/>
      <c r="S29" s="18"/>
      <c r="T29" s="18"/>
      <c r="U29" s="18"/>
    </row>
    <row r="30" spans="1:24" ht="18" customHeight="1" x14ac:dyDescent="0.15">
      <c r="B30" s="118"/>
      <c r="C30" s="119"/>
      <c r="D30" s="119"/>
      <c r="E30" s="119"/>
      <c r="F30" s="120"/>
      <c r="G30" s="18"/>
      <c r="H30" s="18"/>
      <c r="I30" s="18"/>
      <c r="J30" s="18"/>
      <c r="K30" s="118"/>
      <c r="L30" s="119"/>
      <c r="M30" s="119"/>
      <c r="N30" s="119"/>
      <c r="O30" s="119"/>
      <c r="P30" s="119"/>
      <c r="Q30" s="120"/>
      <c r="R30" s="18"/>
      <c r="S30" s="18"/>
      <c r="T30" s="18"/>
      <c r="U30" s="18"/>
    </row>
    <row r="31" spans="1:24" ht="18" customHeight="1" x14ac:dyDescent="0.15">
      <c r="B31" s="118"/>
      <c r="C31" s="119"/>
      <c r="D31" s="119"/>
      <c r="E31" s="119"/>
      <c r="F31" s="120"/>
      <c r="G31" s="18"/>
      <c r="H31" s="18"/>
      <c r="I31" s="18"/>
      <c r="J31" s="18"/>
      <c r="K31" s="118"/>
      <c r="L31" s="119"/>
      <c r="M31" s="119"/>
      <c r="N31" s="119"/>
      <c r="O31" s="119"/>
      <c r="P31" s="119"/>
      <c r="Q31" s="120"/>
      <c r="R31" s="18"/>
      <c r="S31" s="18"/>
      <c r="T31" s="18"/>
      <c r="U31" s="18"/>
    </row>
    <row r="32" spans="1:24" ht="18" customHeight="1" x14ac:dyDescent="0.15">
      <c r="A32" s="3"/>
      <c r="B32" s="118"/>
      <c r="C32" s="119"/>
      <c r="D32" s="119"/>
      <c r="E32" s="119"/>
      <c r="F32" s="120"/>
      <c r="G32" s="18"/>
      <c r="H32" s="18"/>
      <c r="I32" s="18"/>
      <c r="J32" s="18"/>
      <c r="K32" s="118"/>
      <c r="L32" s="119"/>
      <c r="M32" s="119"/>
      <c r="N32" s="119"/>
      <c r="O32" s="119"/>
      <c r="P32" s="119"/>
      <c r="Q32" s="120"/>
      <c r="R32" s="18"/>
      <c r="S32" s="18"/>
      <c r="T32" s="18"/>
      <c r="U32" s="18"/>
    </row>
    <row r="33" spans="1:21" ht="18" customHeight="1" x14ac:dyDescent="0.15">
      <c r="A33" s="3"/>
      <c r="B33" s="121"/>
      <c r="C33" s="122"/>
      <c r="D33" s="122"/>
      <c r="E33" s="122"/>
      <c r="F33" s="123"/>
      <c r="G33" s="19"/>
      <c r="H33" s="19"/>
      <c r="I33" s="20"/>
      <c r="J33" s="20"/>
      <c r="K33" s="121"/>
      <c r="L33" s="122"/>
      <c r="M33" s="122"/>
      <c r="N33" s="122"/>
      <c r="O33" s="122"/>
      <c r="P33" s="122"/>
      <c r="Q33" s="123"/>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103</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7" t="s">
        <v>52</v>
      </c>
      <c r="C37" s="108"/>
      <c r="D37" s="108"/>
      <c r="E37" s="108"/>
      <c r="F37" s="109"/>
      <c r="G37" s="50" t="s">
        <v>78</v>
      </c>
      <c r="H37" s="49" t="s">
        <v>81</v>
      </c>
      <c r="I37" s="16" t="s">
        <v>69</v>
      </c>
      <c r="J37" s="16" t="s">
        <v>70</v>
      </c>
      <c r="K37" s="107" t="s">
        <v>52</v>
      </c>
      <c r="L37" s="108"/>
      <c r="M37" s="108"/>
      <c r="N37" s="108"/>
      <c r="O37" s="108"/>
      <c r="P37" s="108"/>
      <c r="Q37" s="109"/>
      <c r="R37" s="50" t="s">
        <v>78</v>
      </c>
      <c r="S37" s="49" t="s">
        <v>81</v>
      </c>
      <c r="T37" s="16" t="s">
        <v>69</v>
      </c>
      <c r="U37" s="16" t="s">
        <v>70</v>
      </c>
    </row>
    <row r="38" spans="1:21" ht="18" customHeight="1" x14ac:dyDescent="0.15">
      <c r="B38" s="124" t="s">
        <v>139</v>
      </c>
      <c r="C38" s="125"/>
      <c r="D38" s="125"/>
      <c r="E38" s="125"/>
      <c r="F38" s="126"/>
      <c r="G38" s="17">
        <v>2</v>
      </c>
      <c r="H38" s="17" t="s">
        <v>141</v>
      </c>
      <c r="I38" s="17" t="s">
        <v>141</v>
      </c>
      <c r="J38" s="17" t="s">
        <v>141</v>
      </c>
      <c r="K38" s="124"/>
      <c r="L38" s="125"/>
      <c r="M38" s="125"/>
      <c r="N38" s="125"/>
      <c r="O38" s="125"/>
      <c r="P38" s="125"/>
      <c r="Q38" s="126"/>
      <c r="R38" s="17"/>
      <c r="S38" s="17"/>
      <c r="T38" s="17"/>
      <c r="U38" s="17"/>
    </row>
    <row r="39" spans="1:21" ht="18" customHeight="1" x14ac:dyDescent="0.15">
      <c r="B39" s="118" t="s">
        <v>140</v>
      </c>
      <c r="C39" s="119"/>
      <c r="D39" s="119"/>
      <c r="E39" s="119"/>
      <c r="F39" s="120"/>
      <c r="G39" s="18">
        <v>2</v>
      </c>
      <c r="H39" s="18" t="s">
        <v>141</v>
      </c>
      <c r="I39" s="18" t="s">
        <v>141</v>
      </c>
      <c r="J39" s="18" t="s">
        <v>141</v>
      </c>
      <c r="K39" s="118"/>
      <c r="L39" s="119"/>
      <c r="M39" s="119"/>
      <c r="N39" s="119"/>
      <c r="O39" s="119"/>
      <c r="P39" s="119"/>
      <c r="Q39" s="120"/>
      <c r="R39" s="18"/>
      <c r="S39" s="18"/>
      <c r="T39" s="18"/>
      <c r="U39" s="18"/>
    </row>
    <row r="40" spans="1:21" ht="18" customHeight="1" x14ac:dyDescent="0.15">
      <c r="B40" s="118"/>
      <c r="C40" s="119"/>
      <c r="D40" s="119"/>
      <c r="E40" s="119"/>
      <c r="F40" s="120"/>
      <c r="G40" s="18"/>
      <c r="H40" s="18"/>
      <c r="I40" s="18"/>
      <c r="J40" s="18"/>
      <c r="K40" s="118"/>
      <c r="L40" s="119"/>
      <c r="M40" s="119"/>
      <c r="N40" s="119"/>
      <c r="O40" s="119"/>
      <c r="P40" s="119"/>
      <c r="Q40" s="120"/>
      <c r="R40" s="18"/>
      <c r="S40" s="18"/>
      <c r="T40" s="18"/>
      <c r="U40" s="18"/>
    </row>
    <row r="41" spans="1:21" ht="18" customHeight="1" x14ac:dyDescent="0.15">
      <c r="B41" s="118"/>
      <c r="C41" s="119"/>
      <c r="D41" s="119"/>
      <c r="E41" s="119"/>
      <c r="F41" s="120"/>
      <c r="G41" s="18"/>
      <c r="H41" s="18"/>
      <c r="I41" s="18"/>
      <c r="J41" s="18"/>
      <c r="K41" s="118"/>
      <c r="L41" s="119"/>
      <c r="M41" s="119"/>
      <c r="N41" s="119"/>
      <c r="O41" s="119"/>
      <c r="P41" s="119"/>
      <c r="Q41" s="120"/>
      <c r="R41" s="18"/>
      <c r="S41" s="18"/>
      <c r="T41" s="18"/>
      <c r="U41" s="18"/>
    </row>
    <row r="42" spans="1:21" ht="18" customHeight="1" x14ac:dyDescent="0.15">
      <c r="B42" s="118"/>
      <c r="C42" s="119"/>
      <c r="D42" s="119"/>
      <c r="E42" s="119"/>
      <c r="F42" s="120"/>
      <c r="G42" s="18"/>
      <c r="H42" s="18"/>
      <c r="I42" s="18"/>
      <c r="J42" s="18"/>
      <c r="K42" s="118"/>
      <c r="L42" s="119"/>
      <c r="M42" s="119"/>
      <c r="N42" s="119"/>
      <c r="O42" s="119"/>
      <c r="P42" s="119"/>
      <c r="Q42" s="120"/>
      <c r="R42" s="18"/>
      <c r="S42" s="18"/>
      <c r="T42" s="18"/>
      <c r="U42" s="18"/>
    </row>
    <row r="43" spans="1:21" ht="18" customHeight="1" x14ac:dyDescent="0.15">
      <c r="B43" s="118"/>
      <c r="C43" s="119"/>
      <c r="D43" s="119"/>
      <c r="E43" s="119"/>
      <c r="F43" s="120"/>
      <c r="G43" s="18"/>
      <c r="H43" s="18"/>
      <c r="I43" s="18"/>
      <c r="J43" s="18"/>
      <c r="K43" s="118"/>
      <c r="L43" s="119"/>
      <c r="M43" s="119"/>
      <c r="N43" s="119"/>
      <c r="O43" s="119"/>
      <c r="P43" s="119"/>
      <c r="Q43" s="120"/>
      <c r="R43" s="18"/>
      <c r="S43" s="18"/>
      <c r="T43" s="18"/>
      <c r="U43" s="18"/>
    </row>
    <row r="44" spans="1:21" ht="18" customHeight="1" x14ac:dyDescent="0.15">
      <c r="B44" s="121"/>
      <c r="C44" s="122"/>
      <c r="D44" s="122"/>
      <c r="E44" s="122"/>
      <c r="F44" s="123"/>
      <c r="G44" s="19"/>
      <c r="H44" s="19"/>
      <c r="I44" s="20"/>
      <c r="J44" s="20"/>
      <c r="K44" s="121"/>
      <c r="L44" s="122"/>
      <c r="M44" s="122"/>
      <c r="N44" s="122"/>
      <c r="O44" s="122"/>
      <c r="P44" s="122"/>
      <c r="Q44" s="123"/>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104</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7" t="s">
        <v>52</v>
      </c>
      <c r="C48" s="108"/>
      <c r="D48" s="108"/>
      <c r="E48" s="108"/>
      <c r="F48" s="109"/>
      <c r="G48" s="50" t="s">
        <v>78</v>
      </c>
      <c r="H48" s="49" t="s">
        <v>81</v>
      </c>
      <c r="I48" s="16" t="s">
        <v>71</v>
      </c>
      <c r="J48" s="16" t="s">
        <v>72</v>
      </c>
      <c r="K48" s="107" t="s">
        <v>52</v>
      </c>
      <c r="L48" s="108"/>
      <c r="M48" s="108"/>
      <c r="N48" s="108"/>
      <c r="O48" s="108"/>
      <c r="P48" s="108"/>
      <c r="Q48" s="109"/>
      <c r="R48" s="50" t="s">
        <v>78</v>
      </c>
      <c r="S48" s="49" t="s">
        <v>81</v>
      </c>
      <c r="T48" s="16" t="s">
        <v>71</v>
      </c>
      <c r="U48" s="16" t="s">
        <v>72</v>
      </c>
    </row>
    <row r="49" spans="1:21" ht="18" customHeight="1" x14ac:dyDescent="0.15">
      <c r="A49" s="3"/>
      <c r="B49" s="124" t="s">
        <v>139</v>
      </c>
      <c r="C49" s="125"/>
      <c r="D49" s="125"/>
      <c r="E49" s="125"/>
      <c r="F49" s="126"/>
      <c r="G49" s="17">
        <v>2</v>
      </c>
      <c r="H49" s="17" t="s">
        <v>141</v>
      </c>
      <c r="I49" s="17" t="s">
        <v>141</v>
      </c>
      <c r="J49" s="17" t="s">
        <v>141</v>
      </c>
      <c r="K49" s="124"/>
      <c r="L49" s="125"/>
      <c r="M49" s="125"/>
      <c r="N49" s="125"/>
      <c r="O49" s="125"/>
      <c r="P49" s="125"/>
      <c r="Q49" s="126"/>
      <c r="R49" s="17"/>
      <c r="S49" s="17"/>
      <c r="T49" s="17"/>
      <c r="U49" s="17"/>
    </row>
    <row r="50" spans="1:21" ht="18" customHeight="1" x14ac:dyDescent="0.15">
      <c r="A50" s="3"/>
      <c r="B50" s="118" t="s">
        <v>140</v>
      </c>
      <c r="C50" s="119"/>
      <c r="D50" s="119"/>
      <c r="E50" s="119"/>
      <c r="F50" s="120"/>
      <c r="G50" s="18">
        <v>2</v>
      </c>
      <c r="H50" s="18" t="s">
        <v>141</v>
      </c>
      <c r="I50" s="18" t="s">
        <v>141</v>
      </c>
      <c r="J50" s="18" t="s">
        <v>141</v>
      </c>
      <c r="K50" s="118"/>
      <c r="L50" s="119"/>
      <c r="M50" s="119"/>
      <c r="N50" s="119"/>
      <c r="O50" s="119"/>
      <c r="P50" s="119"/>
      <c r="Q50" s="120"/>
      <c r="R50" s="18"/>
      <c r="S50" s="18"/>
      <c r="T50" s="18"/>
      <c r="U50" s="18"/>
    </row>
    <row r="51" spans="1:21" ht="18" customHeight="1" x14ac:dyDescent="0.15">
      <c r="A51" s="3"/>
      <c r="B51" s="118"/>
      <c r="C51" s="119"/>
      <c r="D51" s="119"/>
      <c r="E51" s="119"/>
      <c r="F51" s="120"/>
      <c r="G51" s="18"/>
      <c r="H51" s="18"/>
      <c r="I51" s="18"/>
      <c r="J51" s="18"/>
      <c r="K51" s="118"/>
      <c r="L51" s="119"/>
      <c r="M51" s="119"/>
      <c r="N51" s="119"/>
      <c r="O51" s="119"/>
      <c r="P51" s="119"/>
      <c r="Q51" s="120"/>
      <c r="R51" s="18"/>
      <c r="S51" s="18"/>
      <c r="T51" s="18"/>
      <c r="U51" s="18"/>
    </row>
    <row r="52" spans="1:21" ht="18" customHeight="1" x14ac:dyDescent="0.15">
      <c r="A52" s="3"/>
      <c r="B52" s="118"/>
      <c r="C52" s="119"/>
      <c r="D52" s="119"/>
      <c r="E52" s="119"/>
      <c r="F52" s="120"/>
      <c r="G52" s="18"/>
      <c r="H52" s="18"/>
      <c r="I52" s="18"/>
      <c r="J52" s="18"/>
      <c r="K52" s="118"/>
      <c r="L52" s="119"/>
      <c r="M52" s="119"/>
      <c r="N52" s="119"/>
      <c r="O52" s="119"/>
      <c r="P52" s="119"/>
      <c r="Q52" s="120"/>
      <c r="R52" s="18"/>
      <c r="S52" s="18"/>
      <c r="T52" s="18"/>
      <c r="U52" s="18"/>
    </row>
    <row r="53" spans="1:21" ht="18" customHeight="1" x14ac:dyDescent="0.15">
      <c r="A53" s="3"/>
      <c r="B53" s="118"/>
      <c r="C53" s="119"/>
      <c r="D53" s="119"/>
      <c r="E53" s="119"/>
      <c r="F53" s="120"/>
      <c r="G53" s="18"/>
      <c r="H53" s="18"/>
      <c r="I53" s="18"/>
      <c r="J53" s="18"/>
      <c r="K53" s="118"/>
      <c r="L53" s="119"/>
      <c r="M53" s="119"/>
      <c r="N53" s="119"/>
      <c r="O53" s="119"/>
      <c r="P53" s="119"/>
      <c r="Q53" s="120"/>
      <c r="R53" s="18"/>
      <c r="S53" s="18"/>
      <c r="T53" s="18"/>
      <c r="U53" s="18"/>
    </row>
    <row r="54" spans="1:21" ht="18" customHeight="1" x14ac:dyDescent="0.15">
      <c r="A54" s="3"/>
      <c r="B54" s="118"/>
      <c r="C54" s="119"/>
      <c r="D54" s="119"/>
      <c r="E54" s="119"/>
      <c r="F54" s="120"/>
      <c r="G54" s="18"/>
      <c r="H54" s="18"/>
      <c r="I54" s="18"/>
      <c r="J54" s="18"/>
      <c r="K54" s="118"/>
      <c r="L54" s="119"/>
      <c r="M54" s="119"/>
      <c r="N54" s="119"/>
      <c r="O54" s="119"/>
      <c r="P54" s="119"/>
      <c r="Q54" s="120"/>
      <c r="R54" s="18"/>
      <c r="S54" s="18"/>
      <c r="T54" s="18"/>
      <c r="U54" s="18"/>
    </row>
    <row r="55" spans="1:21" ht="18" customHeight="1" x14ac:dyDescent="0.15">
      <c r="A55" s="3"/>
      <c r="B55" s="121"/>
      <c r="C55" s="122"/>
      <c r="D55" s="122"/>
      <c r="E55" s="122"/>
      <c r="F55" s="123"/>
      <c r="G55" s="19"/>
      <c r="H55" s="19"/>
      <c r="I55" s="20"/>
      <c r="J55" s="20"/>
      <c r="K55" s="121"/>
      <c r="L55" s="122"/>
      <c r="M55" s="122"/>
      <c r="N55" s="122"/>
      <c r="O55" s="122"/>
      <c r="P55" s="122"/>
      <c r="Q55" s="123"/>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105</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7" t="s">
        <v>52</v>
      </c>
      <c r="C59" s="108"/>
      <c r="D59" s="108"/>
      <c r="E59" s="108"/>
      <c r="F59" s="109"/>
      <c r="G59" s="50" t="s">
        <v>78</v>
      </c>
      <c r="H59" s="49" t="s">
        <v>81</v>
      </c>
      <c r="I59" s="16" t="s">
        <v>57</v>
      </c>
      <c r="J59" s="16" t="s">
        <v>59</v>
      </c>
      <c r="K59" s="107" t="s">
        <v>52</v>
      </c>
      <c r="L59" s="108"/>
      <c r="M59" s="108"/>
      <c r="N59" s="108"/>
      <c r="O59" s="108"/>
      <c r="P59" s="108"/>
      <c r="Q59" s="109"/>
      <c r="R59" s="50" t="s">
        <v>78</v>
      </c>
      <c r="S59" s="49" t="s">
        <v>81</v>
      </c>
      <c r="T59" s="16" t="s">
        <v>57</v>
      </c>
      <c r="U59" s="16" t="s">
        <v>59</v>
      </c>
    </row>
    <row r="60" spans="1:21" ht="18" customHeight="1" x14ac:dyDescent="0.15">
      <c r="A60" s="3"/>
      <c r="B60" s="124" t="s">
        <v>139</v>
      </c>
      <c r="C60" s="125"/>
      <c r="D60" s="125"/>
      <c r="E60" s="125"/>
      <c r="F60" s="126"/>
      <c r="G60" s="17">
        <v>2</v>
      </c>
      <c r="H60" s="17" t="s">
        <v>141</v>
      </c>
      <c r="I60" s="17" t="s">
        <v>141</v>
      </c>
      <c r="J60" s="17" t="s">
        <v>141</v>
      </c>
      <c r="K60" s="124"/>
      <c r="L60" s="125"/>
      <c r="M60" s="125"/>
      <c r="N60" s="125"/>
      <c r="O60" s="125"/>
      <c r="P60" s="125"/>
      <c r="Q60" s="126"/>
      <c r="R60" s="17"/>
      <c r="S60" s="17"/>
      <c r="T60" s="17"/>
      <c r="U60" s="17"/>
    </row>
    <row r="61" spans="1:21" ht="18" customHeight="1" x14ac:dyDescent="0.15">
      <c r="A61" s="3"/>
      <c r="B61" s="118" t="s">
        <v>140</v>
      </c>
      <c r="C61" s="119"/>
      <c r="D61" s="119"/>
      <c r="E61" s="119"/>
      <c r="F61" s="120"/>
      <c r="G61" s="18">
        <v>2</v>
      </c>
      <c r="H61" s="18" t="s">
        <v>141</v>
      </c>
      <c r="I61" s="18" t="s">
        <v>141</v>
      </c>
      <c r="J61" s="18" t="s">
        <v>141</v>
      </c>
      <c r="K61" s="118"/>
      <c r="L61" s="119"/>
      <c r="M61" s="119"/>
      <c r="N61" s="119"/>
      <c r="O61" s="119"/>
      <c r="P61" s="119"/>
      <c r="Q61" s="120"/>
      <c r="R61" s="18"/>
      <c r="S61" s="18"/>
      <c r="T61" s="18"/>
      <c r="U61" s="18"/>
    </row>
    <row r="62" spans="1:21" ht="18" customHeight="1" x14ac:dyDescent="0.15">
      <c r="A62" s="3"/>
      <c r="B62" s="118"/>
      <c r="C62" s="119"/>
      <c r="D62" s="119"/>
      <c r="E62" s="119"/>
      <c r="F62" s="120"/>
      <c r="G62" s="18"/>
      <c r="H62" s="18"/>
      <c r="I62" s="18"/>
      <c r="J62" s="18"/>
      <c r="K62" s="118"/>
      <c r="L62" s="119"/>
      <c r="M62" s="119"/>
      <c r="N62" s="119"/>
      <c r="O62" s="119"/>
      <c r="P62" s="119"/>
      <c r="Q62" s="120"/>
      <c r="R62" s="18"/>
      <c r="S62" s="18"/>
      <c r="T62" s="18"/>
      <c r="U62" s="18"/>
    </row>
    <row r="63" spans="1:21" ht="18" customHeight="1" x14ac:dyDescent="0.15">
      <c r="A63" s="3"/>
      <c r="B63" s="118"/>
      <c r="C63" s="119"/>
      <c r="D63" s="119"/>
      <c r="E63" s="119"/>
      <c r="F63" s="120"/>
      <c r="G63" s="18"/>
      <c r="H63" s="18"/>
      <c r="I63" s="18"/>
      <c r="J63" s="18"/>
      <c r="K63" s="118"/>
      <c r="L63" s="119"/>
      <c r="M63" s="119"/>
      <c r="N63" s="119"/>
      <c r="O63" s="119"/>
      <c r="P63" s="119"/>
      <c r="Q63" s="120"/>
      <c r="R63" s="18"/>
      <c r="S63" s="18"/>
      <c r="T63" s="18"/>
      <c r="U63" s="18"/>
    </row>
    <row r="64" spans="1:21" ht="18" customHeight="1" x14ac:dyDescent="0.15">
      <c r="A64" s="3"/>
      <c r="B64" s="118"/>
      <c r="C64" s="119"/>
      <c r="D64" s="119"/>
      <c r="E64" s="119"/>
      <c r="F64" s="120"/>
      <c r="G64" s="18"/>
      <c r="H64" s="18"/>
      <c r="I64" s="18"/>
      <c r="J64" s="18"/>
      <c r="K64" s="118"/>
      <c r="L64" s="119"/>
      <c r="M64" s="119"/>
      <c r="N64" s="119"/>
      <c r="O64" s="119"/>
      <c r="P64" s="119"/>
      <c r="Q64" s="120"/>
      <c r="R64" s="18"/>
      <c r="S64" s="18"/>
      <c r="T64" s="18"/>
      <c r="U64" s="18"/>
    </row>
    <row r="65" spans="1:21" ht="18" customHeight="1" x14ac:dyDescent="0.15">
      <c r="A65" s="3"/>
      <c r="B65" s="118"/>
      <c r="C65" s="119"/>
      <c r="D65" s="119"/>
      <c r="E65" s="119"/>
      <c r="F65" s="120"/>
      <c r="G65" s="18"/>
      <c r="H65" s="18"/>
      <c r="I65" s="18"/>
      <c r="J65" s="18"/>
      <c r="K65" s="118"/>
      <c r="L65" s="119"/>
      <c r="M65" s="119"/>
      <c r="N65" s="119"/>
      <c r="O65" s="119"/>
      <c r="P65" s="119"/>
      <c r="Q65" s="120"/>
      <c r="R65" s="18"/>
      <c r="S65" s="18"/>
      <c r="T65" s="18"/>
      <c r="U65" s="18"/>
    </row>
    <row r="66" spans="1:21" ht="18" customHeight="1" x14ac:dyDescent="0.15">
      <c r="A66" s="3"/>
      <c r="B66" s="121"/>
      <c r="C66" s="122"/>
      <c r="D66" s="122"/>
      <c r="E66" s="122"/>
      <c r="F66" s="123"/>
      <c r="G66" s="19"/>
      <c r="H66" s="19"/>
      <c r="I66" s="20"/>
      <c r="J66" s="20"/>
      <c r="K66" s="121"/>
      <c r="L66" s="122"/>
      <c r="M66" s="122"/>
      <c r="N66" s="122"/>
      <c r="O66" s="122"/>
      <c r="P66" s="122"/>
      <c r="Q66" s="123"/>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7" t="s">
        <v>106</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15">
      <c r="B70" s="107" t="s">
        <v>52</v>
      </c>
      <c r="C70" s="108"/>
      <c r="D70" s="108"/>
      <c r="E70" s="108"/>
      <c r="F70" s="50" t="s">
        <v>78</v>
      </c>
      <c r="G70" s="49" t="s">
        <v>81</v>
      </c>
      <c r="H70" s="16" t="s">
        <v>93</v>
      </c>
      <c r="I70" s="16" t="s">
        <v>73</v>
      </c>
      <c r="J70" s="16" t="s">
        <v>74</v>
      </c>
      <c r="K70" s="107" t="s">
        <v>52</v>
      </c>
      <c r="L70" s="108"/>
      <c r="M70" s="108"/>
      <c r="N70" s="108"/>
      <c r="O70" s="108"/>
      <c r="P70" s="109"/>
      <c r="Q70" s="50" t="s">
        <v>78</v>
      </c>
      <c r="R70" s="49" t="s">
        <v>81</v>
      </c>
      <c r="S70" s="16" t="s">
        <v>93</v>
      </c>
      <c r="T70" s="16" t="s">
        <v>73</v>
      </c>
      <c r="U70" s="16" t="s">
        <v>74</v>
      </c>
    </row>
    <row r="71" spans="1:21" ht="18" customHeight="1" x14ac:dyDescent="0.15">
      <c r="A71" s="3"/>
      <c r="B71" s="124" t="s">
        <v>139</v>
      </c>
      <c r="C71" s="125"/>
      <c r="D71" s="125"/>
      <c r="E71" s="125"/>
      <c r="F71" s="17">
        <v>2</v>
      </c>
      <c r="G71" s="17" t="s">
        <v>141</v>
      </c>
      <c r="H71" s="17"/>
      <c r="I71" s="17" t="s">
        <v>141</v>
      </c>
      <c r="J71" s="17"/>
      <c r="K71" s="124"/>
      <c r="L71" s="125"/>
      <c r="M71" s="125"/>
      <c r="N71" s="125"/>
      <c r="O71" s="125"/>
      <c r="P71" s="126"/>
      <c r="Q71" s="17"/>
      <c r="R71" s="17"/>
      <c r="S71" s="17"/>
      <c r="T71" s="17"/>
      <c r="U71" s="17"/>
    </row>
    <row r="72" spans="1:21" ht="18" customHeight="1" x14ac:dyDescent="0.15">
      <c r="A72" s="3"/>
      <c r="B72" s="118" t="s">
        <v>140</v>
      </c>
      <c r="C72" s="119"/>
      <c r="D72" s="119"/>
      <c r="E72" s="119"/>
      <c r="F72" s="18">
        <v>2</v>
      </c>
      <c r="G72" s="18" t="s">
        <v>141</v>
      </c>
      <c r="H72" s="18" t="s">
        <v>141</v>
      </c>
      <c r="I72" s="18" t="s">
        <v>141</v>
      </c>
      <c r="J72" s="18" t="s">
        <v>141</v>
      </c>
      <c r="K72" s="118"/>
      <c r="L72" s="119"/>
      <c r="M72" s="119"/>
      <c r="N72" s="119"/>
      <c r="O72" s="119"/>
      <c r="P72" s="120"/>
      <c r="Q72" s="18"/>
      <c r="R72" s="18"/>
      <c r="S72" s="18"/>
      <c r="T72" s="18"/>
      <c r="U72" s="18"/>
    </row>
    <row r="73" spans="1:21" ht="18" customHeight="1" x14ac:dyDescent="0.15">
      <c r="A73" s="3"/>
      <c r="B73" s="118"/>
      <c r="C73" s="119"/>
      <c r="D73" s="119"/>
      <c r="E73" s="119"/>
      <c r="F73" s="18"/>
      <c r="G73" s="18"/>
      <c r="H73" s="18"/>
      <c r="I73" s="18"/>
      <c r="J73" s="18"/>
      <c r="K73" s="118"/>
      <c r="L73" s="119"/>
      <c r="M73" s="119"/>
      <c r="N73" s="119"/>
      <c r="O73" s="119"/>
      <c r="P73" s="120"/>
      <c r="Q73" s="18"/>
      <c r="R73" s="18"/>
      <c r="S73" s="18"/>
      <c r="T73" s="18"/>
      <c r="U73" s="18"/>
    </row>
    <row r="74" spans="1:21" ht="18" customHeight="1" x14ac:dyDescent="0.15">
      <c r="A74" s="3"/>
      <c r="B74" s="118"/>
      <c r="C74" s="119"/>
      <c r="D74" s="119"/>
      <c r="E74" s="119"/>
      <c r="F74" s="18"/>
      <c r="G74" s="18"/>
      <c r="H74" s="18"/>
      <c r="I74" s="18"/>
      <c r="J74" s="18"/>
      <c r="K74" s="118"/>
      <c r="L74" s="119"/>
      <c r="M74" s="119"/>
      <c r="N74" s="119"/>
      <c r="O74" s="119"/>
      <c r="P74" s="120"/>
      <c r="Q74" s="18"/>
      <c r="R74" s="18"/>
      <c r="S74" s="18"/>
      <c r="T74" s="18"/>
      <c r="U74" s="18"/>
    </row>
    <row r="75" spans="1:21" ht="18" customHeight="1" x14ac:dyDescent="0.15">
      <c r="A75" s="3"/>
      <c r="B75" s="118"/>
      <c r="C75" s="119"/>
      <c r="D75" s="119"/>
      <c r="E75" s="119"/>
      <c r="F75" s="18"/>
      <c r="G75" s="18"/>
      <c r="H75" s="18"/>
      <c r="I75" s="18"/>
      <c r="J75" s="18"/>
      <c r="K75" s="118"/>
      <c r="L75" s="119"/>
      <c r="M75" s="119"/>
      <c r="N75" s="119"/>
      <c r="O75" s="119"/>
      <c r="P75" s="120"/>
      <c r="Q75" s="18"/>
      <c r="R75" s="18"/>
      <c r="S75" s="18"/>
      <c r="T75" s="18"/>
      <c r="U75" s="18"/>
    </row>
    <row r="76" spans="1:21" ht="18" customHeight="1" x14ac:dyDescent="0.15">
      <c r="A76" s="3"/>
      <c r="B76" s="118"/>
      <c r="C76" s="119"/>
      <c r="D76" s="119"/>
      <c r="E76" s="119"/>
      <c r="F76" s="18"/>
      <c r="G76" s="18"/>
      <c r="H76" s="18"/>
      <c r="I76" s="18"/>
      <c r="J76" s="18"/>
      <c r="K76" s="118"/>
      <c r="L76" s="119"/>
      <c r="M76" s="119"/>
      <c r="N76" s="119"/>
      <c r="O76" s="119"/>
      <c r="P76" s="120"/>
      <c r="Q76" s="18"/>
      <c r="R76" s="18"/>
      <c r="S76" s="18"/>
      <c r="T76" s="18"/>
      <c r="U76" s="18"/>
    </row>
    <row r="77" spans="1:21" ht="18" customHeight="1" x14ac:dyDescent="0.15">
      <c r="A77" s="3"/>
      <c r="B77" s="121"/>
      <c r="C77" s="122"/>
      <c r="D77" s="122"/>
      <c r="E77" s="122"/>
      <c r="F77" s="19"/>
      <c r="G77" s="19"/>
      <c r="H77" s="20"/>
      <c r="I77" s="20"/>
      <c r="J77" s="20"/>
      <c r="K77" s="121"/>
      <c r="L77" s="122"/>
      <c r="M77" s="122"/>
      <c r="N77" s="122"/>
      <c r="O77" s="122"/>
      <c r="P77" s="123"/>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07" t="s">
        <v>52</v>
      </c>
      <c r="C80" s="108"/>
      <c r="D80" s="108"/>
      <c r="E80" s="108"/>
      <c r="F80" s="109"/>
      <c r="G80" s="107" t="s">
        <v>79</v>
      </c>
      <c r="H80" s="108"/>
      <c r="I80" s="108"/>
      <c r="J80" s="109"/>
      <c r="K80" s="160" t="s">
        <v>52</v>
      </c>
      <c r="L80" s="161"/>
      <c r="M80" s="161"/>
      <c r="N80" s="161"/>
      <c r="O80" s="161"/>
      <c r="P80" s="161"/>
      <c r="Q80" s="162"/>
      <c r="R80" s="107" t="s">
        <v>79</v>
      </c>
      <c r="S80" s="108"/>
      <c r="T80" s="108"/>
      <c r="U80" s="109"/>
    </row>
    <row r="81" spans="1:21" ht="18" customHeight="1" x14ac:dyDescent="0.15">
      <c r="A81" s="3"/>
      <c r="B81" s="124"/>
      <c r="C81" s="125"/>
      <c r="D81" s="125"/>
      <c r="E81" s="125"/>
      <c r="F81" s="126"/>
      <c r="G81" s="163"/>
      <c r="H81" s="164"/>
      <c r="I81" s="164"/>
      <c r="J81" s="165"/>
      <c r="K81" s="124"/>
      <c r="L81" s="125"/>
      <c r="M81" s="125"/>
      <c r="N81" s="125"/>
      <c r="O81" s="125"/>
      <c r="P81" s="125"/>
      <c r="Q81" s="126"/>
      <c r="R81" s="163"/>
      <c r="S81" s="164"/>
      <c r="T81" s="164"/>
      <c r="U81" s="165"/>
    </row>
    <row r="82" spans="1:21" ht="18" customHeight="1" x14ac:dyDescent="0.15">
      <c r="A82" s="3"/>
      <c r="B82" s="118"/>
      <c r="C82" s="119"/>
      <c r="D82" s="119"/>
      <c r="E82" s="119"/>
      <c r="F82" s="120"/>
      <c r="G82" s="152"/>
      <c r="H82" s="153"/>
      <c r="I82" s="153"/>
      <c r="J82" s="154"/>
      <c r="K82" s="118"/>
      <c r="L82" s="119"/>
      <c r="M82" s="119"/>
      <c r="N82" s="119"/>
      <c r="O82" s="119"/>
      <c r="P82" s="119"/>
      <c r="Q82" s="120"/>
      <c r="R82" s="152"/>
      <c r="S82" s="153"/>
      <c r="T82" s="153"/>
      <c r="U82" s="154"/>
    </row>
    <row r="83" spans="1:21" ht="18" customHeight="1" x14ac:dyDescent="0.15">
      <c r="A83" s="3"/>
      <c r="B83" s="118"/>
      <c r="C83" s="119"/>
      <c r="D83" s="119"/>
      <c r="E83" s="119"/>
      <c r="F83" s="120"/>
      <c r="G83" s="152"/>
      <c r="H83" s="153"/>
      <c r="I83" s="153"/>
      <c r="J83" s="154"/>
      <c r="K83" s="118"/>
      <c r="L83" s="119"/>
      <c r="M83" s="119"/>
      <c r="N83" s="119"/>
      <c r="O83" s="119"/>
      <c r="P83" s="119"/>
      <c r="Q83" s="120"/>
      <c r="R83" s="152"/>
      <c r="S83" s="153"/>
      <c r="T83" s="153"/>
      <c r="U83" s="154"/>
    </row>
    <row r="84" spans="1:21" ht="18" customHeight="1" x14ac:dyDescent="0.15">
      <c r="A84" s="3"/>
      <c r="B84" s="118"/>
      <c r="C84" s="119"/>
      <c r="D84" s="119"/>
      <c r="E84" s="119"/>
      <c r="F84" s="120"/>
      <c r="G84" s="152"/>
      <c r="H84" s="153"/>
      <c r="I84" s="153"/>
      <c r="J84" s="154"/>
      <c r="K84" s="118"/>
      <c r="L84" s="119"/>
      <c r="M84" s="119"/>
      <c r="N84" s="119"/>
      <c r="O84" s="119"/>
      <c r="P84" s="119"/>
      <c r="Q84" s="120"/>
      <c r="R84" s="152"/>
      <c r="S84" s="153"/>
      <c r="T84" s="153"/>
      <c r="U84" s="154"/>
    </row>
    <row r="85" spans="1:21" ht="18" customHeight="1" x14ac:dyDescent="0.15">
      <c r="A85" s="3"/>
      <c r="B85" s="118"/>
      <c r="C85" s="119"/>
      <c r="D85" s="119"/>
      <c r="E85" s="119"/>
      <c r="F85" s="120"/>
      <c r="G85" s="152"/>
      <c r="H85" s="153"/>
      <c r="I85" s="153"/>
      <c r="J85" s="154"/>
      <c r="K85" s="118"/>
      <c r="L85" s="119"/>
      <c r="M85" s="119"/>
      <c r="N85" s="119"/>
      <c r="O85" s="119"/>
      <c r="P85" s="119"/>
      <c r="Q85" s="120"/>
      <c r="R85" s="152"/>
      <c r="S85" s="153"/>
      <c r="T85" s="153"/>
      <c r="U85" s="154"/>
    </row>
    <row r="86" spans="1:21" ht="18" customHeight="1" x14ac:dyDescent="0.15">
      <c r="A86" s="3"/>
      <c r="B86" s="118"/>
      <c r="C86" s="119"/>
      <c r="D86" s="119"/>
      <c r="E86" s="119"/>
      <c r="F86" s="120"/>
      <c r="G86" s="152"/>
      <c r="H86" s="153"/>
      <c r="I86" s="153"/>
      <c r="J86" s="154"/>
      <c r="K86" s="118"/>
      <c r="L86" s="119"/>
      <c r="M86" s="119"/>
      <c r="N86" s="119"/>
      <c r="O86" s="119"/>
      <c r="P86" s="119"/>
      <c r="Q86" s="120"/>
      <c r="R86" s="152"/>
      <c r="S86" s="153"/>
      <c r="T86" s="153"/>
      <c r="U86" s="154"/>
    </row>
    <row r="87" spans="1:21" ht="18" customHeight="1" x14ac:dyDescent="0.15">
      <c r="A87" s="3"/>
      <c r="B87" s="121"/>
      <c r="C87" s="122"/>
      <c r="D87" s="122"/>
      <c r="E87" s="122"/>
      <c r="F87" s="123"/>
      <c r="G87" s="149"/>
      <c r="H87" s="150"/>
      <c r="I87" s="150"/>
      <c r="J87" s="151"/>
      <c r="K87" s="121"/>
      <c r="L87" s="122"/>
      <c r="M87" s="122"/>
      <c r="N87" s="122"/>
      <c r="O87" s="122"/>
      <c r="P87" s="122"/>
      <c r="Q87" s="123"/>
      <c r="R87" s="149"/>
      <c r="S87" s="150"/>
      <c r="T87" s="150"/>
      <c r="U87" s="151"/>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108</v>
      </c>
    </row>
    <row r="90" spans="1:21" ht="18.75" customHeight="1" x14ac:dyDescent="0.15">
      <c r="B90" s="158" t="s">
        <v>53</v>
      </c>
      <c r="C90" s="159"/>
      <c r="D90" s="107" t="s">
        <v>54</v>
      </c>
      <c r="E90" s="108"/>
      <c r="F90" s="108"/>
      <c r="G90" s="108"/>
      <c r="H90" s="108"/>
      <c r="I90" s="108"/>
      <c r="J90" s="108"/>
      <c r="K90" s="108"/>
      <c r="L90" s="108"/>
      <c r="M90" s="108"/>
      <c r="N90" s="108"/>
      <c r="O90" s="108"/>
      <c r="P90" s="108"/>
      <c r="Q90" s="108"/>
      <c r="R90" s="108"/>
      <c r="S90" s="108"/>
      <c r="T90" s="108"/>
      <c r="U90" s="109"/>
    </row>
    <row r="91" spans="1:21" ht="97.5" customHeight="1" x14ac:dyDescent="0.15">
      <c r="B91" s="155" t="s">
        <v>60</v>
      </c>
      <c r="C91" s="22" t="s">
        <v>55</v>
      </c>
      <c r="D91" s="95" t="s">
        <v>142</v>
      </c>
      <c r="E91" s="96"/>
      <c r="F91" s="96"/>
      <c r="G91" s="96"/>
      <c r="H91" s="96"/>
      <c r="I91" s="96"/>
      <c r="J91" s="96"/>
      <c r="K91" s="96"/>
      <c r="L91" s="96"/>
      <c r="M91" s="96"/>
      <c r="N91" s="96"/>
      <c r="O91" s="96"/>
      <c r="P91" s="96"/>
      <c r="Q91" s="96"/>
      <c r="R91" s="96"/>
      <c r="S91" s="96"/>
      <c r="T91" s="96"/>
      <c r="U91" s="97"/>
    </row>
    <row r="92" spans="1:21" ht="97.5" customHeight="1" x14ac:dyDescent="0.15">
      <c r="B92" s="156"/>
      <c r="C92" s="23" t="s">
        <v>75</v>
      </c>
      <c r="D92" s="92" t="s">
        <v>169</v>
      </c>
      <c r="E92" s="110"/>
      <c r="F92" s="110"/>
      <c r="G92" s="110"/>
      <c r="H92" s="110"/>
      <c r="I92" s="110"/>
      <c r="J92" s="110"/>
      <c r="K92" s="110"/>
      <c r="L92" s="110"/>
      <c r="M92" s="110"/>
      <c r="N92" s="110"/>
      <c r="O92" s="110"/>
      <c r="P92" s="110"/>
      <c r="Q92" s="110"/>
      <c r="R92" s="110"/>
      <c r="S92" s="110"/>
      <c r="T92" s="110"/>
      <c r="U92" s="111"/>
    </row>
    <row r="93" spans="1:21" ht="97.5" customHeight="1" x14ac:dyDescent="0.15">
      <c r="B93" s="155" t="s">
        <v>61</v>
      </c>
      <c r="C93" s="24" t="s">
        <v>69</v>
      </c>
      <c r="D93" s="95" t="s">
        <v>174</v>
      </c>
      <c r="E93" s="96"/>
      <c r="F93" s="96"/>
      <c r="G93" s="96"/>
      <c r="H93" s="96"/>
      <c r="I93" s="96"/>
      <c r="J93" s="96"/>
      <c r="K93" s="96"/>
      <c r="L93" s="96"/>
      <c r="M93" s="96"/>
      <c r="N93" s="96"/>
      <c r="O93" s="96"/>
      <c r="P93" s="96"/>
      <c r="Q93" s="96"/>
      <c r="R93" s="96"/>
      <c r="S93" s="96"/>
      <c r="T93" s="96"/>
      <c r="U93" s="97"/>
    </row>
    <row r="94" spans="1:21" ht="97.5" customHeight="1" x14ac:dyDescent="0.15">
      <c r="B94" s="157"/>
      <c r="C94" s="25" t="s">
        <v>70</v>
      </c>
      <c r="D94" s="92" t="s">
        <v>175</v>
      </c>
      <c r="E94" s="93"/>
      <c r="F94" s="93"/>
      <c r="G94" s="93"/>
      <c r="H94" s="93"/>
      <c r="I94" s="93"/>
      <c r="J94" s="93"/>
      <c r="K94" s="93"/>
      <c r="L94" s="93"/>
      <c r="M94" s="93"/>
      <c r="N94" s="93"/>
      <c r="O94" s="93"/>
      <c r="P94" s="93"/>
      <c r="Q94" s="93"/>
      <c r="R94" s="93"/>
      <c r="S94" s="93"/>
      <c r="T94" s="93"/>
      <c r="U94" s="94"/>
    </row>
    <row r="95" spans="1:21" ht="97.5" customHeight="1" x14ac:dyDescent="0.15">
      <c r="B95" s="155" t="s">
        <v>62</v>
      </c>
      <c r="C95" s="24" t="s">
        <v>71</v>
      </c>
      <c r="D95" s="95" t="s">
        <v>176</v>
      </c>
      <c r="E95" s="96"/>
      <c r="F95" s="96"/>
      <c r="G95" s="96"/>
      <c r="H95" s="96"/>
      <c r="I95" s="96"/>
      <c r="J95" s="96"/>
      <c r="K95" s="96"/>
      <c r="L95" s="96"/>
      <c r="M95" s="96"/>
      <c r="N95" s="96"/>
      <c r="O95" s="96"/>
      <c r="P95" s="96"/>
      <c r="Q95" s="96"/>
      <c r="R95" s="96"/>
      <c r="S95" s="96"/>
      <c r="T95" s="96"/>
      <c r="U95" s="97"/>
    </row>
    <row r="96" spans="1:21" ht="97.5" customHeight="1" x14ac:dyDescent="0.15">
      <c r="B96" s="157"/>
      <c r="C96" s="26" t="s">
        <v>72</v>
      </c>
      <c r="D96" s="92" t="s">
        <v>170</v>
      </c>
      <c r="E96" s="93"/>
      <c r="F96" s="93"/>
      <c r="G96" s="93"/>
      <c r="H96" s="93"/>
      <c r="I96" s="93"/>
      <c r="J96" s="93"/>
      <c r="K96" s="93"/>
      <c r="L96" s="93"/>
      <c r="M96" s="93"/>
      <c r="N96" s="93"/>
      <c r="O96" s="93"/>
      <c r="P96" s="93"/>
      <c r="Q96" s="93"/>
      <c r="R96" s="93"/>
      <c r="S96" s="93"/>
      <c r="T96" s="93"/>
      <c r="U96" s="94"/>
    </row>
    <row r="97" spans="1:33" ht="97.5" customHeight="1" x14ac:dyDescent="0.15">
      <c r="B97" s="155" t="s">
        <v>76</v>
      </c>
      <c r="C97" s="22" t="s">
        <v>57</v>
      </c>
      <c r="D97" s="95" t="s">
        <v>177</v>
      </c>
      <c r="E97" s="96"/>
      <c r="F97" s="96"/>
      <c r="G97" s="96"/>
      <c r="H97" s="96"/>
      <c r="I97" s="96"/>
      <c r="J97" s="96"/>
      <c r="K97" s="96"/>
      <c r="L97" s="96"/>
      <c r="M97" s="96"/>
      <c r="N97" s="96"/>
      <c r="O97" s="96"/>
      <c r="P97" s="96"/>
      <c r="Q97" s="96"/>
      <c r="R97" s="96"/>
      <c r="S97" s="96"/>
      <c r="T97" s="96"/>
      <c r="U97" s="97"/>
    </row>
    <row r="98" spans="1:33" ht="97.5" customHeight="1" x14ac:dyDescent="0.15">
      <c r="B98" s="157"/>
      <c r="C98" s="25" t="s">
        <v>59</v>
      </c>
      <c r="D98" s="92" t="s">
        <v>171</v>
      </c>
      <c r="E98" s="93"/>
      <c r="F98" s="93"/>
      <c r="G98" s="93"/>
      <c r="H98" s="93"/>
      <c r="I98" s="93"/>
      <c r="J98" s="93"/>
      <c r="K98" s="93"/>
      <c r="L98" s="93"/>
      <c r="M98" s="93"/>
      <c r="N98" s="93"/>
      <c r="O98" s="93"/>
      <c r="P98" s="93"/>
      <c r="Q98" s="93"/>
      <c r="R98" s="93"/>
      <c r="S98" s="93"/>
      <c r="T98" s="93"/>
      <c r="U98" s="94"/>
    </row>
    <row r="99" spans="1:33" ht="97.5" customHeight="1" x14ac:dyDescent="0.15">
      <c r="B99" s="155" t="s">
        <v>77</v>
      </c>
      <c r="C99" s="24" t="s">
        <v>56</v>
      </c>
      <c r="D99" s="95" t="s">
        <v>172</v>
      </c>
      <c r="E99" s="96"/>
      <c r="F99" s="96"/>
      <c r="G99" s="96"/>
      <c r="H99" s="96"/>
      <c r="I99" s="96"/>
      <c r="J99" s="96"/>
      <c r="K99" s="96"/>
      <c r="L99" s="96"/>
      <c r="M99" s="96"/>
      <c r="N99" s="96"/>
      <c r="O99" s="96"/>
      <c r="P99" s="96"/>
      <c r="Q99" s="96"/>
      <c r="R99" s="96"/>
      <c r="S99" s="96"/>
      <c r="T99" s="96"/>
      <c r="U99" s="97"/>
    </row>
    <row r="100" spans="1:33" ht="97.5" customHeight="1" x14ac:dyDescent="0.15">
      <c r="B100" s="156"/>
      <c r="C100" s="27" t="s">
        <v>73</v>
      </c>
      <c r="D100" s="98" t="s">
        <v>173</v>
      </c>
      <c r="E100" s="99"/>
      <c r="F100" s="99"/>
      <c r="G100" s="99"/>
      <c r="H100" s="99"/>
      <c r="I100" s="99"/>
      <c r="J100" s="99"/>
      <c r="K100" s="99"/>
      <c r="L100" s="99"/>
      <c r="M100" s="99"/>
      <c r="N100" s="99"/>
      <c r="O100" s="99"/>
      <c r="P100" s="99"/>
      <c r="Q100" s="99"/>
      <c r="R100" s="99"/>
      <c r="S100" s="99"/>
      <c r="T100" s="99"/>
      <c r="U100" s="100"/>
    </row>
    <row r="101" spans="1:33" ht="97.5" customHeight="1" x14ac:dyDescent="0.15">
      <c r="B101" s="157"/>
      <c r="C101" s="26" t="s">
        <v>74</v>
      </c>
      <c r="D101" s="92" t="s">
        <v>143</v>
      </c>
      <c r="E101" s="93"/>
      <c r="F101" s="93"/>
      <c r="G101" s="93"/>
      <c r="H101" s="93"/>
      <c r="I101" s="93"/>
      <c r="J101" s="93"/>
      <c r="K101" s="93"/>
      <c r="L101" s="93"/>
      <c r="M101" s="93"/>
      <c r="N101" s="93"/>
      <c r="O101" s="93"/>
      <c r="P101" s="93"/>
      <c r="Q101" s="93"/>
      <c r="R101" s="93"/>
      <c r="S101" s="93"/>
      <c r="T101" s="93"/>
      <c r="U101" s="94"/>
    </row>
    <row r="102" spans="1:33" ht="6" customHeight="1" x14ac:dyDescent="0.15"/>
    <row r="103" spans="1:33" ht="18.75" customHeight="1" x14ac:dyDescent="0.15">
      <c r="A103" s="1" t="s">
        <v>109</v>
      </c>
    </row>
    <row r="104" spans="1:33" ht="81.75" customHeight="1" x14ac:dyDescent="0.15">
      <c r="B104" s="146" t="s">
        <v>179</v>
      </c>
      <c r="C104" s="147"/>
      <c r="D104" s="147"/>
      <c r="E104" s="147"/>
      <c r="F104" s="147"/>
      <c r="G104" s="147"/>
      <c r="H104" s="147"/>
      <c r="I104" s="147"/>
      <c r="J104" s="147"/>
      <c r="K104" s="147"/>
      <c r="L104" s="147"/>
      <c r="M104" s="147"/>
      <c r="N104" s="147"/>
      <c r="O104" s="147"/>
      <c r="P104" s="147"/>
      <c r="Q104" s="147"/>
      <c r="R104" s="147"/>
      <c r="S104" s="147"/>
      <c r="T104" s="147"/>
      <c r="U104" s="148"/>
    </row>
    <row r="106" spans="1:33" ht="18.75" customHeight="1" x14ac:dyDescent="0.15">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91" t="s">
        <v>130</v>
      </c>
      <c r="C108" s="91"/>
      <c r="D108" s="91"/>
      <c r="E108" s="91"/>
      <c r="F108" s="91"/>
      <c r="G108" s="91"/>
      <c r="H108" s="91"/>
      <c r="I108" s="91"/>
      <c r="J108" s="91"/>
      <c r="K108" s="91"/>
      <c r="L108" s="91"/>
      <c r="M108" s="91"/>
      <c r="N108" s="91"/>
      <c r="O108" s="91"/>
      <c r="P108" s="91"/>
      <c r="Q108" s="91"/>
      <c r="R108" s="91"/>
      <c r="S108" s="91"/>
      <c r="T108" s="91"/>
      <c r="U108" s="91"/>
      <c r="V108" s="69"/>
      <c r="W108" s="69"/>
      <c r="X108" s="69"/>
      <c r="Y108" s="69"/>
      <c r="Z108" s="69"/>
      <c r="AA108" s="69"/>
      <c r="AB108" s="69"/>
      <c r="AC108" s="69"/>
      <c r="AD108" s="69"/>
      <c r="AE108" s="69"/>
      <c r="AF108" s="69"/>
      <c r="AG108" s="69"/>
    </row>
    <row r="109" spans="1:33" ht="37.15" customHeight="1" x14ac:dyDescent="0.15">
      <c r="A109" s="73"/>
      <c r="B109" s="91"/>
      <c r="C109" s="91"/>
      <c r="D109" s="91"/>
      <c r="E109" s="91"/>
      <c r="F109" s="91"/>
      <c r="G109" s="91"/>
      <c r="H109" s="91"/>
      <c r="I109" s="91"/>
      <c r="J109" s="91"/>
      <c r="K109" s="91"/>
      <c r="L109" s="91"/>
      <c r="M109" s="91"/>
      <c r="N109" s="91"/>
      <c r="O109" s="91"/>
      <c r="P109" s="91"/>
      <c r="Q109" s="91"/>
      <c r="R109" s="91"/>
      <c r="S109" s="91"/>
      <c r="T109" s="91"/>
      <c r="U109" s="91"/>
      <c r="V109" s="69"/>
      <c r="W109" s="69"/>
      <c r="X109" s="69"/>
      <c r="Y109" s="69"/>
      <c r="Z109" s="69"/>
      <c r="AA109" s="69"/>
      <c r="AB109" s="69"/>
      <c r="AC109" s="69"/>
      <c r="AD109" s="69"/>
      <c r="AE109" s="69"/>
      <c r="AF109" s="69"/>
      <c r="AG109" s="69"/>
    </row>
    <row r="110" spans="1:33" ht="18.75" customHeight="1" x14ac:dyDescent="0.15">
      <c r="A110" s="73"/>
      <c r="B110" s="166" t="s">
        <v>126</v>
      </c>
      <c r="C110" s="166"/>
      <c r="D110" s="166"/>
      <c r="E110" s="166"/>
      <c r="F110" s="166"/>
      <c r="G110" s="166"/>
      <c r="H110" s="166"/>
      <c r="I110" s="166"/>
      <c r="J110" s="166"/>
      <c r="K110" s="166"/>
      <c r="L110" s="166"/>
      <c r="M110" s="166"/>
      <c r="N110" s="166"/>
      <c r="O110" s="166"/>
      <c r="P110" s="166"/>
      <c r="Q110" s="166"/>
      <c r="R110" s="166"/>
      <c r="S110" s="166"/>
      <c r="T110" s="166"/>
      <c r="U110" s="166"/>
      <c r="V110" s="69"/>
      <c r="W110" s="69"/>
      <c r="X110" s="69"/>
      <c r="Y110" s="69"/>
      <c r="Z110" s="69"/>
      <c r="AA110" s="69"/>
      <c r="AB110" s="69"/>
      <c r="AC110" s="69"/>
      <c r="AD110" s="69"/>
      <c r="AE110" s="69"/>
      <c r="AF110" s="69"/>
      <c r="AG110" s="69"/>
    </row>
    <row r="111" spans="1:33" ht="18.75" customHeight="1" x14ac:dyDescent="0.15">
      <c r="A111" s="73"/>
      <c r="B111" s="167" t="s">
        <v>54</v>
      </c>
      <c r="C111" s="167"/>
      <c r="D111" s="167"/>
      <c r="E111" s="167"/>
      <c r="F111" s="167"/>
      <c r="G111" s="167"/>
      <c r="H111" s="167"/>
      <c r="I111" s="167"/>
      <c r="J111" s="167"/>
      <c r="K111" s="167"/>
      <c r="L111" s="167"/>
      <c r="M111" s="167"/>
      <c r="N111" s="167"/>
      <c r="O111" s="167"/>
      <c r="P111" s="167"/>
      <c r="Q111" s="167"/>
      <c r="R111" s="167"/>
      <c r="S111" s="167"/>
      <c r="T111" s="167"/>
      <c r="U111" s="167"/>
      <c r="V111" s="68"/>
      <c r="W111" s="68"/>
      <c r="X111" s="68"/>
      <c r="Y111" s="68"/>
      <c r="Z111" s="68"/>
      <c r="AA111" s="68"/>
      <c r="AB111" s="68"/>
      <c r="AC111" s="68"/>
      <c r="AD111" s="68"/>
      <c r="AE111" s="68"/>
      <c r="AF111" s="68"/>
      <c r="AG111" s="68"/>
    </row>
    <row r="112" spans="1:33" ht="132" customHeight="1" x14ac:dyDescent="0.15">
      <c r="A112" s="73"/>
      <c r="B112" s="168"/>
      <c r="C112" s="168"/>
      <c r="D112" s="168"/>
      <c r="E112" s="168"/>
      <c r="F112" s="168"/>
      <c r="G112" s="168"/>
      <c r="H112" s="168"/>
      <c r="I112" s="168"/>
      <c r="J112" s="168"/>
      <c r="K112" s="168"/>
      <c r="L112" s="168"/>
      <c r="M112" s="168"/>
      <c r="N112" s="168"/>
      <c r="O112" s="168"/>
      <c r="P112" s="168"/>
      <c r="Q112" s="168"/>
      <c r="R112" s="168"/>
      <c r="S112" s="168"/>
      <c r="T112" s="168"/>
      <c r="U112" s="168"/>
      <c r="V112" s="70"/>
      <c r="W112" s="70"/>
      <c r="X112" s="70"/>
      <c r="Y112" s="70"/>
      <c r="Z112" s="70"/>
      <c r="AA112" s="70"/>
      <c r="AB112" s="70"/>
      <c r="AC112" s="70"/>
      <c r="AD112" s="70"/>
      <c r="AE112" s="70"/>
      <c r="AF112" s="70"/>
      <c r="AG112" s="70"/>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101"/>
  <sheetViews>
    <sheetView view="pageBreakPreview" topLeftCell="A4" zoomScaleNormal="100" zoomScaleSheetLayoutView="100" workbookViewId="0">
      <selection activeCell="D93" sqref="D93:U93"/>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98</v>
      </c>
    </row>
    <row r="2" spans="1:21" ht="18" customHeight="1" x14ac:dyDescent="0.15">
      <c r="A2" s="75"/>
      <c r="B2" s="75"/>
      <c r="C2" s="75"/>
      <c r="D2" s="75"/>
      <c r="E2" s="75"/>
      <c r="F2" s="75"/>
      <c r="G2" s="75"/>
      <c r="H2" s="75"/>
      <c r="I2" s="75"/>
      <c r="J2" s="75"/>
      <c r="K2" s="75"/>
      <c r="L2" s="75"/>
      <c r="M2" s="75"/>
      <c r="N2" s="75"/>
      <c r="O2" s="75"/>
      <c r="P2" s="75"/>
      <c r="Q2" s="170" t="str">
        <f>'様式１　プログラムを構成する授業科目'!C2</f>
        <v>九州国際大学</v>
      </c>
      <c r="R2" s="170"/>
      <c r="S2" s="170"/>
    </row>
    <row r="3" spans="1:21" ht="18" customHeight="1" x14ac:dyDescent="0.15">
      <c r="A3" s="135" t="s">
        <v>47</v>
      </c>
      <c r="B3" s="135"/>
      <c r="C3" s="135"/>
      <c r="D3" s="135"/>
      <c r="E3" s="135"/>
      <c r="F3" s="135"/>
      <c r="G3" s="135"/>
      <c r="H3" s="135"/>
      <c r="I3" s="135"/>
      <c r="J3" s="135"/>
      <c r="K3" s="135"/>
      <c r="L3" s="135"/>
      <c r="M3" s="135"/>
      <c r="N3" s="135"/>
      <c r="O3" s="135"/>
      <c r="P3" s="135"/>
      <c r="Q3" s="135"/>
      <c r="R3" s="135"/>
      <c r="S3" s="135"/>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80</v>
      </c>
      <c r="B5" s="75"/>
      <c r="C5" s="132" t="s">
        <v>144</v>
      </c>
      <c r="D5" s="134"/>
      <c r="E5" s="80" t="s">
        <v>51</v>
      </c>
      <c r="F5" s="80"/>
      <c r="G5" s="80"/>
      <c r="H5" s="80"/>
      <c r="I5" s="80"/>
      <c r="J5" s="80"/>
      <c r="K5" s="80"/>
      <c r="L5" s="80"/>
      <c r="M5" s="80"/>
      <c r="N5" s="80"/>
      <c r="O5" s="80"/>
      <c r="P5" s="80"/>
      <c r="Q5" s="80"/>
      <c r="R5" s="78"/>
      <c r="S5" s="78"/>
    </row>
    <row r="6" spans="1:21" ht="7.15" customHeight="1" x14ac:dyDescent="0.15">
      <c r="A6" s="75"/>
      <c r="B6" s="75"/>
      <c r="C6" s="86"/>
      <c r="D6" s="86"/>
      <c r="E6" s="80"/>
      <c r="F6" s="80"/>
      <c r="G6" s="80"/>
      <c r="H6" s="80"/>
      <c r="I6" s="80"/>
      <c r="J6" s="80"/>
      <c r="K6" s="80"/>
      <c r="L6" s="80"/>
      <c r="M6" s="80"/>
      <c r="N6" s="80"/>
      <c r="O6" s="80"/>
      <c r="P6" s="80"/>
      <c r="Q6" s="80"/>
      <c r="R6" s="78"/>
      <c r="S6" s="78"/>
    </row>
    <row r="7" spans="1:21" ht="18" customHeight="1" x14ac:dyDescent="0.15">
      <c r="A7" s="75" t="s">
        <v>118</v>
      </c>
      <c r="B7" s="75"/>
      <c r="C7" s="86"/>
      <c r="D7" s="86"/>
      <c r="E7" s="80" t="s">
        <v>119</v>
      </c>
      <c r="F7" s="84">
        <v>1508</v>
      </c>
      <c r="G7" s="82" t="s">
        <v>120</v>
      </c>
      <c r="H7" s="80" t="s">
        <v>121</v>
      </c>
      <c r="I7" s="84">
        <v>432</v>
      </c>
      <c r="J7" s="82" t="s">
        <v>120</v>
      </c>
      <c r="K7" s="77" t="s">
        <v>122</v>
      </c>
      <c r="L7" s="80" t="s">
        <v>123</v>
      </c>
      <c r="M7" s="84">
        <f>F7+I7</f>
        <v>1940</v>
      </c>
      <c r="N7" s="80" t="s">
        <v>1</v>
      </c>
      <c r="O7" s="82" t="s">
        <v>124</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134</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1" t="s">
        <v>44</v>
      </c>
      <c r="C11" s="181" t="s">
        <v>83</v>
      </c>
      <c r="D11" s="173" t="s">
        <v>46</v>
      </c>
      <c r="E11" s="175" t="s">
        <v>39</v>
      </c>
      <c r="F11" s="169" t="s">
        <v>112</v>
      </c>
      <c r="G11" s="169"/>
      <c r="H11" s="169" t="s">
        <v>82</v>
      </c>
      <c r="I11" s="169"/>
      <c r="J11" s="169" t="s">
        <v>48</v>
      </c>
      <c r="K11" s="169"/>
      <c r="L11" s="169" t="s">
        <v>49</v>
      </c>
      <c r="M11" s="169"/>
      <c r="N11" s="169" t="s">
        <v>92</v>
      </c>
      <c r="O11" s="169"/>
      <c r="P11" s="169" t="s">
        <v>50</v>
      </c>
      <c r="Q11" s="169"/>
      <c r="R11" s="177" t="s">
        <v>35</v>
      </c>
      <c r="S11" s="179" t="s">
        <v>32</v>
      </c>
      <c r="U11" s="2"/>
    </row>
    <row r="12" spans="1:21" ht="16.899999999999999" customHeight="1" x14ac:dyDescent="0.15">
      <c r="B12" s="172"/>
      <c r="C12" s="182"/>
      <c r="D12" s="174"/>
      <c r="E12" s="176"/>
      <c r="F12" s="63" t="s">
        <v>91</v>
      </c>
      <c r="G12" s="63" t="s">
        <v>29</v>
      </c>
      <c r="H12" s="63" t="s">
        <v>91</v>
      </c>
      <c r="I12" s="63" t="s">
        <v>29</v>
      </c>
      <c r="J12" s="63" t="s">
        <v>91</v>
      </c>
      <c r="K12" s="63" t="s">
        <v>29</v>
      </c>
      <c r="L12" s="63" t="s">
        <v>91</v>
      </c>
      <c r="M12" s="63" t="s">
        <v>29</v>
      </c>
      <c r="N12" s="63" t="s">
        <v>91</v>
      </c>
      <c r="O12" s="63" t="s">
        <v>29</v>
      </c>
      <c r="P12" s="63" t="s">
        <v>91</v>
      </c>
      <c r="Q12" s="64" t="s">
        <v>29</v>
      </c>
      <c r="R12" s="178"/>
      <c r="S12" s="180"/>
      <c r="U12" s="2"/>
    </row>
    <row r="13" spans="1:21" ht="18" customHeight="1" x14ac:dyDescent="0.15">
      <c r="A13" s="6"/>
      <c r="B13" s="65" t="s">
        <v>145</v>
      </c>
      <c r="C13" s="51">
        <v>597</v>
      </c>
      <c r="D13" s="52">
        <v>150</v>
      </c>
      <c r="E13" s="53">
        <v>600</v>
      </c>
      <c r="F13" s="53">
        <v>120</v>
      </c>
      <c r="G13" s="53">
        <v>35</v>
      </c>
      <c r="H13" s="53">
        <v>66</v>
      </c>
      <c r="I13" s="53">
        <v>4</v>
      </c>
      <c r="J13" s="53"/>
      <c r="K13" s="53"/>
      <c r="L13" s="53"/>
      <c r="M13" s="53"/>
      <c r="N13" s="53"/>
      <c r="O13" s="53"/>
      <c r="P13" s="53"/>
      <c r="Q13" s="66"/>
      <c r="R13" s="52">
        <f t="shared" ref="R13:R32" si="0">F13+H13+J13+L13+N13+P13</f>
        <v>186</v>
      </c>
      <c r="S13" s="88">
        <f t="shared" ref="S13:S33" si="1">R13/E13</f>
        <v>0.31</v>
      </c>
    </row>
    <row r="14" spans="1:21" ht="18" customHeight="1" x14ac:dyDescent="0.15">
      <c r="A14" s="6"/>
      <c r="B14" s="11" t="s">
        <v>146</v>
      </c>
      <c r="C14" s="54">
        <v>1342</v>
      </c>
      <c r="D14" s="55">
        <v>350</v>
      </c>
      <c r="E14" s="56">
        <v>1400</v>
      </c>
      <c r="F14" s="57">
        <v>293</v>
      </c>
      <c r="G14" s="57">
        <v>67</v>
      </c>
      <c r="H14" s="57">
        <v>166</v>
      </c>
      <c r="I14" s="57">
        <v>32</v>
      </c>
      <c r="J14" s="57"/>
      <c r="K14" s="57"/>
      <c r="L14" s="57"/>
      <c r="M14" s="57"/>
      <c r="N14" s="57"/>
      <c r="O14" s="57"/>
      <c r="P14" s="57"/>
      <c r="Q14" s="54"/>
      <c r="R14" s="55">
        <f t="shared" si="0"/>
        <v>459</v>
      </c>
      <c r="S14" s="8">
        <f t="shared" si="1"/>
        <v>0.32785714285714285</v>
      </c>
    </row>
    <row r="15" spans="1:21" ht="18" customHeight="1" x14ac:dyDescent="0.15">
      <c r="A15" s="6"/>
      <c r="B15" s="11" t="s">
        <v>147</v>
      </c>
      <c r="C15" s="54">
        <v>1</v>
      </c>
      <c r="D15" s="55">
        <v>0</v>
      </c>
      <c r="E15" s="56">
        <v>0</v>
      </c>
      <c r="F15" s="57">
        <v>0</v>
      </c>
      <c r="G15" s="57">
        <v>0</v>
      </c>
      <c r="H15" s="57">
        <v>0</v>
      </c>
      <c r="I15" s="57">
        <v>0</v>
      </c>
      <c r="J15" s="57"/>
      <c r="K15" s="57"/>
      <c r="L15" s="57"/>
      <c r="M15" s="57"/>
      <c r="N15" s="57"/>
      <c r="O15" s="57"/>
      <c r="P15" s="57"/>
      <c r="Q15" s="54"/>
      <c r="R15" s="55">
        <f t="shared" si="0"/>
        <v>0</v>
      </c>
      <c r="S15" s="8" t="e">
        <f t="shared" si="1"/>
        <v>#DIV/0!</v>
      </c>
    </row>
    <row r="16" spans="1:21" ht="18" customHeight="1" x14ac:dyDescent="0.15">
      <c r="A16" s="6"/>
      <c r="B16" s="11"/>
      <c r="C16" s="54"/>
      <c r="D16" s="55"/>
      <c r="E16" s="56"/>
      <c r="F16" s="57"/>
      <c r="G16" s="57"/>
      <c r="H16" s="57"/>
      <c r="I16" s="57"/>
      <c r="J16" s="57"/>
      <c r="K16" s="57"/>
      <c r="L16" s="57"/>
      <c r="M16" s="57"/>
      <c r="N16" s="57"/>
      <c r="O16" s="57"/>
      <c r="P16" s="57"/>
      <c r="Q16" s="54"/>
      <c r="R16" s="55">
        <f t="shared" si="0"/>
        <v>0</v>
      </c>
      <c r="S16" s="8" t="e">
        <f t="shared" si="1"/>
        <v>#DIV/0!</v>
      </c>
    </row>
    <row r="17" spans="1:19" ht="18" customHeight="1" x14ac:dyDescent="0.15">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15">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15">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15">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15">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15">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15">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15">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15">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15">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15">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15">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15">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15">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15">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15">
      <c r="B33" s="13" t="s">
        <v>33</v>
      </c>
      <c r="C33" s="60">
        <f t="shared" ref="C33" si="2">SUM(C13:C32)</f>
        <v>1940</v>
      </c>
      <c r="D33" s="61">
        <f t="shared" ref="D33:R33" si="3">SUM(D13:D32)</f>
        <v>500</v>
      </c>
      <c r="E33" s="62">
        <f t="shared" si="3"/>
        <v>2000</v>
      </c>
      <c r="F33" s="62">
        <f t="shared" si="3"/>
        <v>413</v>
      </c>
      <c r="G33" s="62">
        <f t="shared" ref="G33:H33" si="4">SUM(G13:G32)</f>
        <v>102</v>
      </c>
      <c r="H33" s="62">
        <f t="shared" si="4"/>
        <v>232</v>
      </c>
      <c r="I33" s="62">
        <f t="shared" ref="I33:J33" si="5">SUM(I13:I32)</f>
        <v>36</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645</v>
      </c>
      <c r="S33" s="9">
        <f t="shared" si="1"/>
        <v>0.32250000000000001</v>
      </c>
    </row>
    <row r="91" spans="4:21" ht="18.75" customHeight="1" x14ac:dyDescent="0.15">
      <c r="D91" s="89" t="s">
        <v>142</v>
      </c>
    </row>
    <row r="92" spans="4:21" ht="18.75" customHeight="1" x14ac:dyDescent="0.15">
      <c r="D92" s="87"/>
      <c r="E92" s="87"/>
      <c r="F92" s="87"/>
      <c r="G92" s="87"/>
      <c r="H92" s="87"/>
      <c r="I92" s="87"/>
      <c r="J92" s="87"/>
      <c r="K92" s="87"/>
      <c r="L92" s="87"/>
      <c r="M92" s="87"/>
      <c r="N92" s="87"/>
      <c r="O92" s="87"/>
      <c r="P92" s="87"/>
      <c r="Q92" s="87"/>
      <c r="R92" s="87"/>
      <c r="S92" s="87"/>
      <c r="T92" s="87"/>
      <c r="U92" s="87"/>
    </row>
    <row r="93" spans="4:21" ht="18.75" customHeight="1" x14ac:dyDescent="0.15">
      <c r="D93" s="89" t="s">
        <v>174</v>
      </c>
    </row>
    <row r="94" spans="4:21" ht="18.75" customHeight="1" x14ac:dyDescent="0.15">
      <c r="D94" s="89" t="s">
        <v>175</v>
      </c>
    </row>
    <row r="95" spans="4:21" ht="18.75" customHeight="1" x14ac:dyDescent="0.15">
      <c r="D95" s="89" t="s">
        <v>176</v>
      </c>
    </row>
    <row r="96" spans="4:21" ht="18.75" customHeight="1" x14ac:dyDescent="0.15">
      <c r="D96" s="89" t="s">
        <v>170</v>
      </c>
    </row>
    <row r="97" spans="4:4" ht="18.75" customHeight="1" x14ac:dyDescent="0.15">
      <c r="D97" s="89" t="s">
        <v>177</v>
      </c>
    </row>
    <row r="98" spans="4:4" ht="18.75" customHeight="1" x14ac:dyDescent="0.15">
      <c r="D98" s="89" t="s">
        <v>171</v>
      </c>
    </row>
    <row r="99" spans="4:4" ht="18.75" customHeight="1" x14ac:dyDescent="0.15">
      <c r="D99" s="89" t="s">
        <v>172</v>
      </c>
    </row>
    <row r="100" spans="4:4" ht="18.75" customHeight="1" x14ac:dyDescent="0.15">
      <c r="D100" s="89" t="s">
        <v>173</v>
      </c>
    </row>
    <row r="101" spans="4:4" ht="18.75" customHeight="1" x14ac:dyDescent="0.15">
      <c r="D101" s="89" t="s">
        <v>143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U134"/>
  <sheetViews>
    <sheetView showZeros="0" tabSelected="1" view="pageBreakPreview" topLeftCell="A4" zoomScaleNormal="100" zoomScaleSheetLayoutView="100" workbookViewId="0">
      <selection activeCell="L19" sqref="L19"/>
    </sheetView>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63</v>
      </c>
      <c r="I1" s="29" t="s">
        <v>97</v>
      </c>
    </row>
    <row r="2" spans="1:9" ht="18.75" customHeight="1" x14ac:dyDescent="0.15">
      <c r="G2" s="29" t="s">
        <v>99</v>
      </c>
      <c r="H2" s="107" t="str">
        <f>'様式１　プログラムを構成する授業科目'!C2</f>
        <v>九州国際大学</v>
      </c>
      <c r="I2" s="109"/>
    </row>
    <row r="3" spans="1:9" ht="18.75" customHeight="1" x14ac:dyDescent="0.15">
      <c r="G3" s="29"/>
      <c r="H3" s="10"/>
      <c r="I3" s="10"/>
    </row>
    <row r="4" spans="1:9" ht="18.600000000000001" customHeight="1" x14ac:dyDescent="0.15">
      <c r="A4" s="211" t="s">
        <v>36</v>
      </c>
      <c r="B4" s="211"/>
      <c r="C4" s="211"/>
      <c r="D4" s="211"/>
      <c r="E4" s="211"/>
      <c r="F4" s="211"/>
      <c r="G4" s="211"/>
      <c r="H4" s="211"/>
      <c r="I4" s="211"/>
    </row>
    <row r="5" spans="1:9" ht="13.15" customHeight="1" x14ac:dyDescent="0.15">
      <c r="B5" s="3"/>
      <c r="C5" s="3"/>
      <c r="D5" s="3"/>
      <c r="E5" s="3"/>
      <c r="F5" s="3"/>
      <c r="G5" s="3"/>
      <c r="H5" s="3"/>
      <c r="I5" s="3"/>
    </row>
    <row r="6" spans="1:9" ht="18" customHeight="1" x14ac:dyDescent="0.15">
      <c r="A6" s="1" t="s">
        <v>0</v>
      </c>
      <c r="B6" s="10" t="s">
        <v>86</v>
      </c>
      <c r="C6" s="231" t="s">
        <v>87</v>
      </c>
      <c r="D6" s="231"/>
      <c r="E6" s="28">
        <v>59</v>
      </c>
      <c r="F6" s="3" t="s">
        <v>1</v>
      </c>
      <c r="G6" s="3" t="s">
        <v>2</v>
      </c>
      <c r="H6" s="28">
        <v>47</v>
      </c>
      <c r="I6" s="10" t="s">
        <v>1</v>
      </c>
    </row>
    <row r="7" spans="1:9" ht="12" customHeight="1" x14ac:dyDescent="0.15">
      <c r="C7" s="2"/>
      <c r="D7" s="2"/>
      <c r="E7" s="2"/>
      <c r="F7" s="2"/>
      <c r="G7" s="2"/>
      <c r="H7" s="2"/>
      <c r="I7" s="32"/>
    </row>
    <row r="8" spans="1:9" ht="18" customHeight="1" x14ac:dyDescent="0.15">
      <c r="A8" s="1" t="s">
        <v>3</v>
      </c>
      <c r="B8" s="10" t="s">
        <v>88</v>
      </c>
      <c r="E8" s="3"/>
      <c r="F8" s="3"/>
      <c r="G8" s="3"/>
      <c r="H8" s="28">
        <v>3</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29" t="s">
        <v>42</v>
      </c>
      <c r="C11" s="226" t="s">
        <v>149</v>
      </c>
      <c r="D11" s="229"/>
      <c r="E11" s="230"/>
      <c r="F11" s="32"/>
      <c r="G11" s="29" t="s">
        <v>10</v>
      </c>
      <c r="H11" s="226" t="s">
        <v>148</v>
      </c>
      <c r="I11" s="230"/>
    </row>
    <row r="12" spans="1:9" ht="10.15" customHeight="1" x14ac:dyDescent="0.15">
      <c r="B12" s="29"/>
      <c r="C12" s="10"/>
      <c r="D12" s="32"/>
      <c r="E12" s="32"/>
      <c r="F12" s="32"/>
      <c r="G12" s="29"/>
      <c r="H12" s="10"/>
      <c r="I12" s="32"/>
    </row>
    <row r="13" spans="1:9" ht="18" customHeight="1" x14ac:dyDescent="0.15">
      <c r="A13" s="1" t="s">
        <v>7</v>
      </c>
      <c r="B13" s="10" t="s">
        <v>84</v>
      </c>
      <c r="C13" s="3"/>
      <c r="D13" s="3"/>
      <c r="E13" s="3"/>
      <c r="F13" s="3"/>
      <c r="G13" s="3"/>
      <c r="H13" s="3"/>
      <c r="I13" s="3"/>
    </row>
    <row r="14" spans="1:9" ht="18" customHeight="1" x14ac:dyDescent="0.15">
      <c r="B14" s="226" t="s">
        <v>181</v>
      </c>
      <c r="C14" s="227"/>
      <c r="D14" s="227"/>
      <c r="E14" s="227"/>
      <c r="F14" s="227"/>
      <c r="G14" s="227"/>
      <c r="H14" s="227"/>
      <c r="I14" s="228"/>
    </row>
    <row r="15" spans="1:9" ht="9" customHeight="1" x14ac:dyDescent="0.15">
      <c r="B15" s="3"/>
      <c r="C15" s="3"/>
      <c r="D15" s="3"/>
      <c r="E15" s="3"/>
      <c r="F15" s="3"/>
      <c r="G15" s="3"/>
      <c r="H15" s="3"/>
      <c r="I15" s="3"/>
    </row>
    <row r="16" spans="1:9" ht="18" customHeight="1" x14ac:dyDescent="0.15">
      <c r="B16" s="29" t="s">
        <v>42</v>
      </c>
      <c r="C16" s="226" t="s">
        <v>150</v>
      </c>
      <c r="D16" s="229"/>
      <c r="E16" s="230"/>
      <c r="F16" s="32"/>
      <c r="G16" s="29" t="s">
        <v>10</v>
      </c>
      <c r="H16" s="226" t="s">
        <v>151</v>
      </c>
      <c r="I16" s="230"/>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2" t="s">
        <v>152</v>
      </c>
      <c r="C19" s="213"/>
      <c r="D19" s="213"/>
      <c r="E19" s="213"/>
      <c r="F19" s="213"/>
      <c r="G19" s="213"/>
      <c r="H19" s="213"/>
      <c r="I19" s="21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5" t="s">
        <v>153</v>
      </c>
      <c r="C22" s="216"/>
      <c r="D22" s="216"/>
      <c r="E22" s="216"/>
      <c r="F22" s="216"/>
      <c r="G22" s="216"/>
      <c r="H22" s="216"/>
      <c r="I22" s="217"/>
    </row>
    <row r="23" spans="1:9" ht="18.75" customHeight="1" x14ac:dyDescent="0.15">
      <c r="A23" s="14"/>
      <c r="B23" s="218"/>
      <c r="C23" s="219"/>
      <c r="D23" s="219"/>
      <c r="E23" s="219"/>
      <c r="F23" s="219"/>
      <c r="G23" s="219"/>
      <c r="H23" s="219"/>
      <c r="I23" s="220"/>
    </row>
    <row r="24" spans="1:9" ht="18.75" customHeight="1" x14ac:dyDescent="0.15">
      <c r="A24" s="14"/>
      <c r="B24" s="218"/>
      <c r="C24" s="219"/>
      <c r="D24" s="219"/>
      <c r="E24" s="219"/>
      <c r="F24" s="219"/>
      <c r="G24" s="219"/>
      <c r="H24" s="219"/>
      <c r="I24" s="220"/>
    </row>
    <row r="25" spans="1:9" ht="18.75" customHeight="1" x14ac:dyDescent="0.15">
      <c r="A25" s="14"/>
      <c r="B25" s="218"/>
      <c r="C25" s="219"/>
      <c r="D25" s="219"/>
      <c r="E25" s="219"/>
      <c r="F25" s="219"/>
      <c r="G25" s="219"/>
      <c r="H25" s="219"/>
      <c r="I25" s="220"/>
    </row>
    <row r="26" spans="1:9" ht="18.75" customHeight="1" x14ac:dyDescent="0.15">
      <c r="A26" s="14"/>
      <c r="B26" s="218"/>
      <c r="C26" s="219"/>
      <c r="D26" s="219"/>
      <c r="E26" s="219"/>
      <c r="F26" s="219"/>
      <c r="G26" s="219"/>
      <c r="H26" s="219"/>
      <c r="I26" s="220"/>
    </row>
    <row r="27" spans="1:9" ht="18.75" customHeight="1" x14ac:dyDescent="0.15">
      <c r="A27" s="14"/>
      <c r="B27" s="218"/>
      <c r="C27" s="219"/>
      <c r="D27" s="219"/>
      <c r="E27" s="219"/>
      <c r="F27" s="219"/>
      <c r="G27" s="219"/>
      <c r="H27" s="219"/>
      <c r="I27" s="220"/>
    </row>
    <row r="28" spans="1:9" ht="18.75" customHeight="1" x14ac:dyDescent="0.15">
      <c r="A28" s="14"/>
      <c r="B28" s="218"/>
      <c r="C28" s="219"/>
      <c r="D28" s="219"/>
      <c r="E28" s="219"/>
      <c r="F28" s="219"/>
      <c r="G28" s="219"/>
      <c r="H28" s="219"/>
      <c r="I28" s="220"/>
    </row>
    <row r="29" spans="1:9" ht="18.75" customHeight="1" x14ac:dyDescent="0.15">
      <c r="A29" s="14"/>
      <c r="B29" s="218"/>
      <c r="C29" s="219"/>
      <c r="D29" s="219"/>
      <c r="E29" s="219"/>
      <c r="F29" s="219"/>
      <c r="G29" s="219"/>
      <c r="H29" s="219"/>
      <c r="I29" s="220"/>
    </row>
    <row r="30" spans="1:9" ht="18.75" customHeight="1" x14ac:dyDescent="0.15">
      <c r="A30" s="14"/>
      <c r="B30" s="221"/>
      <c r="C30" s="222"/>
      <c r="D30" s="222"/>
      <c r="E30" s="222"/>
      <c r="F30" s="222"/>
      <c r="G30" s="222"/>
      <c r="H30" s="222"/>
      <c r="I30" s="220"/>
    </row>
    <row r="31" spans="1:9" ht="18.75" customHeight="1" x14ac:dyDescent="0.15">
      <c r="A31" s="14"/>
      <c r="B31" s="221"/>
      <c r="C31" s="222"/>
      <c r="D31" s="222"/>
      <c r="E31" s="222"/>
      <c r="F31" s="222"/>
      <c r="G31" s="222"/>
      <c r="H31" s="222"/>
      <c r="I31" s="220"/>
    </row>
    <row r="32" spans="1:9" ht="18.75" customHeight="1" x14ac:dyDescent="0.15">
      <c r="A32" s="14"/>
      <c r="B32" s="223"/>
      <c r="C32" s="224"/>
      <c r="D32" s="224"/>
      <c r="E32" s="224"/>
      <c r="F32" s="224"/>
      <c r="G32" s="224"/>
      <c r="H32" s="224"/>
      <c r="I32" s="22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5" t="s">
        <v>154</v>
      </c>
      <c r="C35" s="216"/>
      <c r="D35" s="216"/>
      <c r="E35" s="216"/>
      <c r="F35" s="216"/>
      <c r="G35" s="216"/>
      <c r="H35" s="216"/>
      <c r="I35" s="217"/>
    </row>
    <row r="36" spans="1:9" ht="18.75" customHeight="1" x14ac:dyDescent="0.15">
      <c r="A36" s="14"/>
      <c r="B36" s="221"/>
      <c r="C36" s="222"/>
      <c r="D36" s="222"/>
      <c r="E36" s="222"/>
      <c r="F36" s="222"/>
      <c r="G36" s="222"/>
      <c r="H36" s="222"/>
      <c r="I36" s="220"/>
    </row>
    <row r="37" spans="1:9" ht="18.75" customHeight="1" x14ac:dyDescent="0.15">
      <c r="A37" s="14"/>
      <c r="B37" s="221"/>
      <c r="C37" s="222"/>
      <c r="D37" s="222"/>
      <c r="E37" s="222"/>
      <c r="F37" s="222"/>
      <c r="G37" s="222"/>
      <c r="H37" s="222"/>
      <c r="I37" s="220"/>
    </row>
    <row r="38" spans="1:9" ht="18.75" customHeight="1" x14ac:dyDescent="0.15">
      <c r="A38" s="14"/>
      <c r="B38" s="221"/>
      <c r="C38" s="222"/>
      <c r="D38" s="222"/>
      <c r="E38" s="222"/>
      <c r="F38" s="222"/>
      <c r="G38" s="222"/>
      <c r="H38" s="222"/>
      <c r="I38" s="220"/>
    </row>
    <row r="39" spans="1:9" ht="18.75" customHeight="1" x14ac:dyDescent="0.15">
      <c r="A39" s="14"/>
      <c r="B39" s="221"/>
      <c r="C39" s="222"/>
      <c r="D39" s="222"/>
      <c r="E39" s="222"/>
      <c r="F39" s="222"/>
      <c r="G39" s="222"/>
      <c r="H39" s="222"/>
      <c r="I39" s="220"/>
    </row>
    <row r="40" spans="1:9" ht="18.75" customHeight="1" x14ac:dyDescent="0.15">
      <c r="A40" s="14"/>
      <c r="B40" s="221"/>
      <c r="C40" s="222"/>
      <c r="D40" s="222"/>
      <c r="E40" s="222"/>
      <c r="F40" s="222"/>
      <c r="G40" s="222"/>
      <c r="H40" s="222"/>
      <c r="I40" s="220"/>
    </row>
    <row r="41" spans="1:9" ht="18.75" customHeight="1" x14ac:dyDescent="0.15">
      <c r="A41" s="14"/>
      <c r="B41" s="221"/>
      <c r="C41" s="222"/>
      <c r="D41" s="222"/>
      <c r="E41" s="222"/>
      <c r="F41" s="222"/>
      <c r="G41" s="222"/>
      <c r="H41" s="222"/>
      <c r="I41" s="220"/>
    </row>
    <row r="42" spans="1:9" ht="18.75" customHeight="1" x14ac:dyDescent="0.15">
      <c r="A42" s="14"/>
      <c r="B42" s="221"/>
      <c r="C42" s="222"/>
      <c r="D42" s="222"/>
      <c r="E42" s="222"/>
      <c r="F42" s="222"/>
      <c r="G42" s="222"/>
      <c r="H42" s="222"/>
      <c r="I42" s="220"/>
    </row>
    <row r="43" spans="1:9" ht="18.75" customHeight="1" x14ac:dyDescent="0.15">
      <c r="A43" s="14"/>
      <c r="B43" s="221"/>
      <c r="C43" s="222"/>
      <c r="D43" s="222"/>
      <c r="E43" s="222"/>
      <c r="F43" s="222"/>
      <c r="G43" s="222"/>
      <c r="H43" s="222"/>
      <c r="I43" s="220"/>
    </row>
    <row r="44" spans="1:9" ht="18.75" customHeight="1" x14ac:dyDescent="0.15">
      <c r="A44" s="14"/>
      <c r="B44" s="221"/>
      <c r="C44" s="222"/>
      <c r="D44" s="222"/>
      <c r="E44" s="222"/>
      <c r="F44" s="222"/>
      <c r="G44" s="222"/>
      <c r="H44" s="222"/>
      <c r="I44" s="220"/>
    </row>
    <row r="45" spans="1:9" ht="18.75" customHeight="1" x14ac:dyDescent="0.15">
      <c r="A45" s="14"/>
      <c r="B45" s="221"/>
      <c r="C45" s="222"/>
      <c r="D45" s="222"/>
      <c r="E45" s="222"/>
      <c r="F45" s="222"/>
      <c r="G45" s="222"/>
      <c r="H45" s="222"/>
      <c r="I45" s="220"/>
    </row>
    <row r="46" spans="1:9" ht="18.75" customHeight="1" x14ac:dyDescent="0.15">
      <c r="A46" s="14"/>
      <c r="B46" s="223"/>
      <c r="C46" s="224"/>
      <c r="D46" s="224"/>
      <c r="E46" s="224"/>
      <c r="F46" s="224"/>
      <c r="G46" s="224"/>
      <c r="H46" s="224"/>
      <c r="I46" s="225"/>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3" t="s">
        <v>128</v>
      </c>
      <c r="C49" s="200">
        <f>'様式２ 履修者等数の実績'!S33</f>
        <v>0.32250000000000001</v>
      </c>
      <c r="D49" s="200"/>
      <c r="E49" s="33" t="s">
        <v>64</v>
      </c>
      <c r="F49" s="200">
        <v>0.5</v>
      </c>
      <c r="G49" s="200"/>
      <c r="H49" s="33" t="s">
        <v>65</v>
      </c>
      <c r="I49" s="34">
        <v>0.75</v>
      </c>
      <c r="J49" s="1"/>
      <c r="M49" s="1"/>
      <c r="N49" s="35"/>
    </row>
    <row r="50" spans="1:15" s="3" customFormat="1" ht="18.75" customHeight="1" x14ac:dyDescent="0.15">
      <c r="B50" s="36" t="s">
        <v>85</v>
      </c>
      <c r="C50" s="183">
        <v>1</v>
      </c>
      <c r="D50" s="183"/>
      <c r="E50" s="36" t="s">
        <v>129</v>
      </c>
      <c r="F50" s="183">
        <v>1</v>
      </c>
      <c r="G50" s="183"/>
      <c r="H50" s="36" t="s">
        <v>66</v>
      </c>
      <c r="I50" s="37">
        <f>'様式２ 履修者等数の実績'!E33</f>
        <v>2000</v>
      </c>
      <c r="J50" s="1"/>
      <c r="M50" s="1"/>
      <c r="N50" s="35"/>
    </row>
    <row r="51" spans="1:15" ht="18.75" customHeight="1" x14ac:dyDescent="0.15">
      <c r="A51" s="1"/>
      <c r="B51" s="233" t="s">
        <v>67</v>
      </c>
      <c r="C51" s="234"/>
      <c r="D51" s="234"/>
      <c r="E51" s="234"/>
      <c r="F51" s="234"/>
      <c r="G51" s="234"/>
      <c r="H51" s="234"/>
      <c r="I51" s="235"/>
      <c r="N51" s="35"/>
      <c r="O51" s="3"/>
    </row>
    <row r="52" spans="1:15" ht="18.75" customHeight="1" x14ac:dyDescent="0.15">
      <c r="A52" s="1"/>
      <c r="B52" s="201" t="s">
        <v>155</v>
      </c>
      <c r="C52" s="202"/>
      <c r="D52" s="202"/>
      <c r="E52" s="202"/>
      <c r="F52" s="202"/>
      <c r="G52" s="202"/>
      <c r="H52" s="202"/>
      <c r="I52" s="203"/>
      <c r="N52" s="35"/>
      <c r="O52" s="3"/>
    </row>
    <row r="53" spans="1:15" ht="18.75" customHeight="1" x14ac:dyDescent="0.15">
      <c r="A53" s="1"/>
      <c r="B53" s="204"/>
      <c r="C53" s="205"/>
      <c r="D53" s="205"/>
      <c r="E53" s="205"/>
      <c r="F53" s="205"/>
      <c r="G53" s="205"/>
      <c r="H53" s="205"/>
      <c r="I53" s="206"/>
      <c r="N53" s="35"/>
      <c r="O53" s="3"/>
    </row>
    <row r="54" spans="1:15" ht="18.75" customHeight="1" x14ac:dyDescent="0.15">
      <c r="A54" s="1"/>
      <c r="B54" s="204"/>
      <c r="C54" s="205"/>
      <c r="D54" s="205"/>
      <c r="E54" s="205"/>
      <c r="F54" s="205"/>
      <c r="G54" s="205"/>
      <c r="H54" s="205"/>
      <c r="I54" s="206"/>
    </row>
    <row r="55" spans="1:15" ht="18.75" customHeight="1" x14ac:dyDescent="0.15">
      <c r="A55" s="1"/>
      <c r="B55" s="204"/>
      <c r="C55" s="205"/>
      <c r="D55" s="205"/>
      <c r="E55" s="205"/>
      <c r="F55" s="205"/>
      <c r="G55" s="205"/>
      <c r="H55" s="205"/>
      <c r="I55" s="206"/>
    </row>
    <row r="56" spans="1:15" ht="18.75" customHeight="1" x14ac:dyDescent="0.15">
      <c r="A56" s="1"/>
      <c r="B56" s="204"/>
      <c r="C56" s="205"/>
      <c r="D56" s="205"/>
      <c r="E56" s="205"/>
      <c r="F56" s="205"/>
      <c r="G56" s="205"/>
      <c r="H56" s="205"/>
      <c r="I56" s="206"/>
    </row>
    <row r="57" spans="1:15" ht="18.75" customHeight="1" x14ac:dyDescent="0.15">
      <c r="A57" s="1"/>
      <c r="B57" s="204"/>
      <c r="C57" s="205"/>
      <c r="D57" s="205"/>
      <c r="E57" s="205"/>
      <c r="F57" s="205"/>
      <c r="G57" s="205"/>
      <c r="H57" s="205"/>
      <c r="I57" s="206"/>
    </row>
    <row r="58" spans="1:15" ht="18.75" customHeight="1" x14ac:dyDescent="0.15">
      <c r="A58" s="1"/>
      <c r="B58" s="204"/>
      <c r="C58" s="205"/>
      <c r="D58" s="205"/>
      <c r="E58" s="205"/>
      <c r="F58" s="205"/>
      <c r="G58" s="205"/>
      <c r="H58" s="205"/>
      <c r="I58" s="206"/>
    </row>
    <row r="59" spans="1:15" ht="18.75" customHeight="1" x14ac:dyDescent="0.15">
      <c r="A59" s="1"/>
      <c r="B59" s="204"/>
      <c r="C59" s="205"/>
      <c r="D59" s="205"/>
      <c r="E59" s="205"/>
      <c r="F59" s="205"/>
      <c r="G59" s="205"/>
      <c r="H59" s="205"/>
      <c r="I59" s="206"/>
    </row>
    <row r="60" spans="1:15" ht="18.75" customHeight="1" x14ac:dyDescent="0.15">
      <c r="A60" s="1"/>
      <c r="B60" s="204"/>
      <c r="C60" s="205"/>
      <c r="D60" s="205"/>
      <c r="E60" s="205"/>
      <c r="F60" s="205"/>
      <c r="G60" s="205"/>
      <c r="H60" s="205"/>
      <c r="I60" s="206"/>
    </row>
    <row r="61" spans="1:15" ht="18.75" customHeight="1" x14ac:dyDescent="0.15">
      <c r="A61" s="1"/>
      <c r="B61" s="204"/>
      <c r="C61" s="205"/>
      <c r="D61" s="205"/>
      <c r="E61" s="205"/>
      <c r="F61" s="205"/>
      <c r="G61" s="205"/>
      <c r="H61" s="205"/>
      <c r="I61" s="206"/>
    </row>
    <row r="62" spans="1:15" ht="18.75" customHeight="1" x14ac:dyDescent="0.15">
      <c r="A62" s="1"/>
      <c r="B62" s="204"/>
      <c r="C62" s="205"/>
      <c r="D62" s="205"/>
      <c r="E62" s="205"/>
      <c r="F62" s="205"/>
      <c r="G62" s="205"/>
      <c r="H62" s="205"/>
      <c r="I62" s="206"/>
    </row>
    <row r="63" spans="1:15" ht="18.75" customHeight="1" x14ac:dyDescent="0.15">
      <c r="A63" s="1"/>
      <c r="B63" s="207"/>
      <c r="C63" s="208"/>
      <c r="D63" s="208"/>
      <c r="E63" s="208"/>
      <c r="F63" s="208"/>
      <c r="G63" s="208"/>
      <c r="H63" s="208"/>
      <c r="I63" s="209"/>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4" t="s">
        <v>156</v>
      </c>
      <c r="C66" s="185"/>
      <c r="D66" s="185"/>
      <c r="E66" s="185"/>
      <c r="F66" s="185"/>
      <c r="G66" s="185"/>
      <c r="H66" s="185"/>
      <c r="I66" s="186"/>
    </row>
    <row r="67" spans="1:9" ht="18.75" customHeight="1" x14ac:dyDescent="0.15">
      <c r="A67" s="4"/>
      <c r="B67" s="187"/>
      <c r="C67" s="188"/>
      <c r="D67" s="188"/>
      <c r="E67" s="188"/>
      <c r="F67" s="188"/>
      <c r="G67" s="188"/>
      <c r="H67" s="188"/>
      <c r="I67" s="189"/>
    </row>
    <row r="68" spans="1:9" ht="18.75" customHeight="1" x14ac:dyDescent="0.15">
      <c r="A68" s="4"/>
      <c r="B68" s="187"/>
      <c r="C68" s="188"/>
      <c r="D68" s="188"/>
      <c r="E68" s="188"/>
      <c r="F68" s="188"/>
      <c r="G68" s="188"/>
      <c r="H68" s="188"/>
      <c r="I68" s="189"/>
    </row>
    <row r="69" spans="1:9" ht="18.75" customHeight="1" x14ac:dyDescent="0.15">
      <c r="A69" s="4"/>
      <c r="B69" s="187"/>
      <c r="C69" s="188"/>
      <c r="D69" s="188"/>
      <c r="E69" s="188"/>
      <c r="F69" s="188"/>
      <c r="G69" s="188"/>
      <c r="H69" s="188"/>
      <c r="I69" s="189"/>
    </row>
    <row r="70" spans="1:9" ht="18.75" customHeight="1" x14ac:dyDescent="0.15">
      <c r="A70" s="4"/>
      <c r="B70" s="187"/>
      <c r="C70" s="188"/>
      <c r="D70" s="188"/>
      <c r="E70" s="188"/>
      <c r="F70" s="188"/>
      <c r="G70" s="188"/>
      <c r="H70" s="188"/>
      <c r="I70" s="189"/>
    </row>
    <row r="71" spans="1:9" ht="18.75" customHeight="1" x14ac:dyDescent="0.15">
      <c r="A71" s="4"/>
      <c r="B71" s="187"/>
      <c r="C71" s="188"/>
      <c r="D71" s="188"/>
      <c r="E71" s="188"/>
      <c r="F71" s="188"/>
      <c r="G71" s="188"/>
      <c r="H71" s="188"/>
      <c r="I71" s="189"/>
    </row>
    <row r="72" spans="1:9" ht="18.75" customHeight="1" x14ac:dyDescent="0.15">
      <c r="A72" s="4"/>
      <c r="B72" s="187"/>
      <c r="C72" s="188"/>
      <c r="D72" s="188"/>
      <c r="E72" s="188"/>
      <c r="F72" s="188"/>
      <c r="G72" s="188"/>
      <c r="H72" s="188"/>
      <c r="I72" s="189"/>
    </row>
    <row r="73" spans="1:9" ht="18.75" customHeight="1" x14ac:dyDescent="0.15">
      <c r="A73" s="4"/>
      <c r="B73" s="187"/>
      <c r="C73" s="188"/>
      <c r="D73" s="188"/>
      <c r="E73" s="188"/>
      <c r="F73" s="188"/>
      <c r="G73" s="188"/>
      <c r="H73" s="188"/>
      <c r="I73" s="189"/>
    </row>
    <row r="74" spans="1:9" ht="18.75" customHeight="1" x14ac:dyDescent="0.15">
      <c r="A74" s="4"/>
      <c r="B74" s="187"/>
      <c r="C74" s="188"/>
      <c r="D74" s="188"/>
      <c r="E74" s="188"/>
      <c r="F74" s="188"/>
      <c r="G74" s="188"/>
      <c r="H74" s="188"/>
      <c r="I74" s="189"/>
    </row>
    <row r="75" spans="1:9" ht="18.75" customHeight="1" x14ac:dyDescent="0.15">
      <c r="A75" s="4"/>
      <c r="B75" s="187"/>
      <c r="C75" s="188"/>
      <c r="D75" s="188"/>
      <c r="E75" s="188"/>
      <c r="F75" s="188"/>
      <c r="G75" s="188"/>
      <c r="H75" s="188"/>
      <c r="I75" s="189"/>
    </row>
    <row r="76" spans="1:9" ht="18.75" customHeight="1" x14ac:dyDescent="0.15">
      <c r="A76" s="4"/>
      <c r="B76" s="187"/>
      <c r="C76" s="188"/>
      <c r="D76" s="188"/>
      <c r="E76" s="188"/>
      <c r="F76" s="188"/>
      <c r="G76" s="188"/>
      <c r="H76" s="188"/>
      <c r="I76" s="189"/>
    </row>
    <row r="77" spans="1:9" ht="18.75" customHeight="1" x14ac:dyDescent="0.15">
      <c r="A77" s="4"/>
      <c r="B77" s="190"/>
      <c r="C77" s="191"/>
      <c r="D77" s="191"/>
      <c r="E77" s="191"/>
      <c r="F77" s="191"/>
      <c r="G77" s="191"/>
      <c r="H77" s="191"/>
      <c r="I77" s="192"/>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4" t="s">
        <v>157</v>
      </c>
      <c r="C80" s="185"/>
      <c r="D80" s="185"/>
      <c r="E80" s="185"/>
      <c r="F80" s="185"/>
      <c r="G80" s="185"/>
      <c r="H80" s="185"/>
      <c r="I80" s="193"/>
    </row>
    <row r="81" spans="1:21" ht="18.75" customHeight="1" x14ac:dyDescent="0.15">
      <c r="A81" s="1"/>
      <c r="B81" s="194"/>
      <c r="C81" s="195"/>
      <c r="D81" s="195"/>
      <c r="E81" s="195"/>
      <c r="F81" s="195"/>
      <c r="G81" s="195"/>
      <c r="H81" s="195"/>
      <c r="I81" s="196"/>
    </row>
    <row r="82" spans="1:21" ht="18.75" customHeight="1" x14ac:dyDescent="0.15">
      <c r="A82" s="1"/>
      <c r="B82" s="194"/>
      <c r="C82" s="195"/>
      <c r="D82" s="195"/>
      <c r="E82" s="195"/>
      <c r="F82" s="195"/>
      <c r="G82" s="195"/>
      <c r="H82" s="195"/>
      <c r="I82" s="196"/>
    </row>
    <row r="83" spans="1:21" ht="18.75" customHeight="1" x14ac:dyDescent="0.15">
      <c r="A83" s="1"/>
      <c r="B83" s="194"/>
      <c r="C83" s="195"/>
      <c r="D83" s="195"/>
      <c r="E83" s="195"/>
      <c r="F83" s="195"/>
      <c r="G83" s="195"/>
      <c r="H83" s="195"/>
      <c r="I83" s="196"/>
    </row>
    <row r="84" spans="1:21" ht="18.75" customHeight="1" x14ac:dyDescent="0.15">
      <c r="A84" s="1"/>
      <c r="B84" s="194"/>
      <c r="C84" s="195"/>
      <c r="D84" s="195"/>
      <c r="E84" s="195"/>
      <c r="F84" s="195"/>
      <c r="G84" s="195"/>
      <c r="H84" s="195"/>
      <c r="I84" s="196"/>
    </row>
    <row r="85" spans="1:21" ht="18.75" customHeight="1" x14ac:dyDescent="0.15">
      <c r="A85" s="1"/>
      <c r="B85" s="194"/>
      <c r="C85" s="195"/>
      <c r="D85" s="195"/>
      <c r="E85" s="195"/>
      <c r="F85" s="195"/>
      <c r="G85" s="195"/>
      <c r="H85" s="195"/>
      <c r="I85" s="196"/>
    </row>
    <row r="86" spans="1:21" ht="18.75" customHeight="1" x14ac:dyDescent="0.15">
      <c r="A86" s="1"/>
      <c r="B86" s="194"/>
      <c r="C86" s="195"/>
      <c r="D86" s="195"/>
      <c r="E86" s="195"/>
      <c r="F86" s="195"/>
      <c r="G86" s="195"/>
      <c r="H86" s="195"/>
      <c r="I86" s="196"/>
    </row>
    <row r="87" spans="1:21" ht="18.75" customHeight="1" x14ac:dyDescent="0.15">
      <c r="A87" s="1"/>
      <c r="B87" s="194"/>
      <c r="C87" s="195"/>
      <c r="D87" s="195"/>
      <c r="E87" s="195"/>
      <c r="F87" s="195"/>
      <c r="G87" s="195"/>
      <c r="H87" s="195"/>
      <c r="I87" s="196"/>
    </row>
    <row r="88" spans="1:21" ht="18.75" customHeight="1" x14ac:dyDescent="0.15">
      <c r="A88" s="1"/>
      <c r="B88" s="194"/>
      <c r="C88" s="195"/>
      <c r="D88" s="195"/>
      <c r="E88" s="195"/>
      <c r="F88" s="195"/>
      <c r="G88" s="195"/>
      <c r="H88" s="195"/>
      <c r="I88" s="196"/>
    </row>
    <row r="89" spans="1:21" ht="18.75" customHeight="1" x14ac:dyDescent="0.15">
      <c r="A89" s="1"/>
      <c r="B89" s="194"/>
      <c r="C89" s="195"/>
      <c r="D89" s="195"/>
      <c r="E89" s="195"/>
      <c r="F89" s="195"/>
      <c r="G89" s="195"/>
      <c r="H89" s="195"/>
      <c r="I89" s="196"/>
    </row>
    <row r="90" spans="1:21" ht="18.75" customHeight="1" x14ac:dyDescent="0.15">
      <c r="A90" s="4"/>
      <c r="B90" s="194"/>
      <c r="C90" s="195"/>
      <c r="D90" s="195"/>
      <c r="E90" s="195"/>
      <c r="F90" s="195"/>
      <c r="G90" s="195"/>
      <c r="H90" s="195"/>
      <c r="I90" s="196"/>
    </row>
    <row r="91" spans="1:21" ht="18.75" customHeight="1" x14ac:dyDescent="0.15">
      <c r="A91" s="4"/>
      <c r="B91" s="197"/>
      <c r="C91" s="198"/>
      <c r="D91" s="198"/>
      <c r="E91" s="198"/>
      <c r="F91" s="198"/>
      <c r="G91" s="198"/>
      <c r="H91" s="198"/>
      <c r="I91" s="199"/>
    </row>
    <row r="92" spans="1:21" ht="7.5" customHeight="1" x14ac:dyDescent="0.15">
      <c r="A92" s="4"/>
      <c r="B92" s="4"/>
      <c r="C92" s="4"/>
      <c r="D92" s="4"/>
      <c r="E92" s="4"/>
      <c r="F92" s="4"/>
      <c r="G92" s="4"/>
      <c r="H92" s="4"/>
      <c r="I92" s="4"/>
      <c r="J92" s="87"/>
      <c r="K92" s="87"/>
      <c r="L92" s="87"/>
      <c r="M92" s="87"/>
      <c r="N92" s="87"/>
      <c r="O92" s="87"/>
      <c r="P92" s="87"/>
      <c r="Q92" s="87"/>
      <c r="R92" s="87"/>
      <c r="S92" s="87"/>
      <c r="T92" s="87"/>
      <c r="U92" s="87"/>
    </row>
    <row r="93" spans="1:21" ht="18.75" customHeight="1" x14ac:dyDescent="0.15">
      <c r="A93" s="1" t="s">
        <v>43</v>
      </c>
      <c r="B93" s="90" t="s">
        <v>13</v>
      </c>
      <c r="D93" s="89"/>
    </row>
    <row r="94" spans="1:21" ht="18.75" customHeight="1" x14ac:dyDescent="0.15">
      <c r="A94" s="1"/>
      <c r="B94" s="215" t="s">
        <v>158</v>
      </c>
      <c r="C94" s="216"/>
      <c r="D94" s="216"/>
      <c r="E94" s="216"/>
      <c r="F94" s="216"/>
      <c r="G94" s="216"/>
      <c r="H94" s="216"/>
      <c r="I94" s="217"/>
    </row>
    <row r="95" spans="1:21" ht="18.75" customHeight="1" x14ac:dyDescent="0.15">
      <c r="A95" s="1"/>
      <c r="B95" s="221"/>
      <c r="C95" s="222"/>
      <c r="D95" s="222"/>
      <c r="E95" s="222"/>
      <c r="F95" s="222"/>
      <c r="G95" s="222"/>
      <c r="H95" s="222"/>
      <c r="I95" s="220"/>
    </row>
    <row r="96" spans="1:21" ht="18.75" customHeight="1" x14ac:dyDescent="0.15">
      <c r="A96" s="1"/>
      <c r="B96" s="221"/>
      <c r="C96" s="222"/>
      <c r="D96" s="222"/>
      <c r="E96" s="222"/>
      <c r="F96" s="222"/>
      <c r="G96" s="222"/>
      <c r="H96" s="222"/>
      <c r="I96" s="220"/>
    </row>
    <row r="97" spans="1:9" ht="18.75" customHeight="1" x14ac:dyDescent="0.15">
      <c r="A97" s="1"/>
      <c r="B97" s="221"/>
      <c r="C97" s="222"/>
      <c r="D97" s="222"/>
      <c r="E97" s="222"/>
      <c r="F97" s="222"/>
      <c r="G97" s="222"/>
      <c r="H97" s="222"/>
      <c r="I97" s="220"/>
    </row>
    <row r="98" spans="1:9" ht="18.75" customHeight="1" x14ac:dyDescent="0.15">
      <c r="A98" s="1"/>
      <c r="B98" s="221"/>
      <c r="C98" s="222"/>
      <c r="D98" s="222"/>
      <c r="E98" s="222"/>
      <c r="F98" s="222"/>
      <c r="G98" s="222"/>
      <c r="H98" s="222"/>
      <c r="I98" s="220"/>
    </row>
    <row r="99" spans="1:9" ht="18.75" customHeight="1" x14ac:dyDescent="0.15">
      <c r="A99" s="1"/>
      <c r="B99" s="221"/>
      <c r="C99" s="222"/>
      <c r="D99" s="222"/>
      <c r="E99" s="222"/>
      <c r="F99" s="222"/>
      <c r="G99" s="222"/>
      <c r="H99" s="222"/>
      <c r="I99" s="220"/>
    </row>
    <row r="100" spans="1:9" ht="18.75" customHeight="1" x14ac:dyDescent="0.15">
      <c r="A100" s="1"/>
      <c r="B100" s="221"/>
      <c r="C100" s="222"/>
      <c r="D100" s="222"/>
      <c r="E100" s="222"/>
      <c r="F100" s="222"/>
      <c r="G100" s="222"/>
      <c r="H100" s="222"/>
      <c r="I100" s="220"/>
    </row>
    <row r="101" spans="1:9" ht="18.75" customHeight="1" x14ac:dyDescent="0.15">
      <c r="A101" s="1"/>
      <c r="B101" s="221"/>
      <c r="C101" s="222"/>
      <c r="D101" s="222"/>
      <c r="E101" s="222"/>
      <c r="F101" s="222"/>
      <c r="G101" s="222"/>
      <c r="H101" s="222"/>
      <c r="I101" s="220"/>
    </row>
    <row r="102" spans="1:9" ht="18.75" customHeight="1" x14ac:dyDescent="0.15">
      <c r="A102" s="1"/>
      <c r="B102" s="221"/>
      <c r="C102" s="222"/>
      <c r="D102" s="222"/>
      <c r="E102" s="222"/>
      <c r="F102" s="222"/>
      <c r="G102" s="222"/>
      <c r="H102" s="222"/>
      <c r="I102" s="220"/>
    </row>
    <row r="103" spans="1:9" ht="18.75" customHeight="1" x14ac:dyDescent="0.15">
      <c r="A103" s="1"/>
      <c r="B103" s="221"/>
      <c r="C103" s="222"/>
      <c r="D103" s="222"/>
      <c r="E103" s="222"/>
      <c r="F103" s="222"/>
      <c r="G103" s="222"/>
      <c r="H103" s="222"/>
      <c r="I103" s="220"/>
    </row>
    <row r="104" spans="1:9" ht="18.75" customHeight="1" x14ac:dyDescent="0.15">
      <c r="A104" s="1"/>
      <c r="B104" s="221"/>
      <c r="C104" s="222"/>
      <c r="D104" s="222"/>
      <c r="E104" s="222"/>
      <c r="F104" s="222"/>
      <c r="G104" s="222"/>
      <c r="H104" s="222"/>
      <c r="I104" s="220"/>
    </row>
    <row r="105" spans="1:9" ht="18.75" customHeight="1" x14ac:dyDescent="0.15">
      <c r="A105" s="4"/>
      <c r="B105" s="223"/>
      <c r="C105" s="224"/>
      <c r="D105" s="224"/>
      <c r="E105" s="224"/>
      <c r="F105" s="224"/>
      <c r="G105" s="224"/>
      <c r="H105" s="224"/>
      <c r="I105" s="225"/>
    </row>
    <row r="106" spans="1:9" ht="7.5" customHeight="1" x14ac:dyDescent="0.15">
      <c r="A106" s="4"/>
      <c r="B106" s="4"/>
      <c r="C106" s="4"/>
      <c r="D106" s="4"/>
      <c r="E106" s="4"/>
      <c r="F106" s="4"/>
      <c r="G106" s="4"/>
      <c r="H106" s="4"/>
      <c r="I106" s="4"/>
    </row>
    <row r="107" spans="1:9" ht="18.75" customHeight="1" x14ac:dyDescent="0.15">
      <c r="A107" s="1" t="s">
        <v>30</v>
      </c>
      <c r="B107" s="232" t="s">
        <v>45</v>
      </c>
      <c r="C107" s="232"/>
      <c r="D107" s="232"/>
      <c r="E107" s="232"/>
      <c r="F107" s="232"/>
      <c r="G107" s="232"/>
      <c r="H107" s="232"/>
      <c r="I107" s="232"/>
    </row>
    <row r="108" spans="1:9" ht="18.75" customHeight="1" x14ac:dyDescent="0.15">
      <c r="A108" s="4"/>
      <c r="B108" s="215" t="s">
        <v>159</v>
      </c>
      <c r="C108" s="216"/>
      <c r="D108" s="216"/>
      <c r="E108" s="216"/>
      <c r="F108" s="216"/>
      <c r="G108" s="216"/>
      <c r="H108" s="216"/>
      <c r="I108" s="217"/>
    </row>
    <row r="109" spans="1:9" ht="18.75" customHeight="1" x14ac:dyDescent="0.15">
      <c r="A109" s="4"/>
      <c r="B109" s="221"/>
      <c r="C109" s="222"/>
      <c r="D109" s="222"/>
      <c r="E109" s="222"/>
      <c r="F109" s="222"/>
      <c r="G109" s="222"/>
      <c r="H109" s="222"/>
      <c r="I109" s="220"/>
    </row>
    <row r="110" spans="1:9" ht="18.75" customHeight="1" x14ac:dyDescent="0.15">
      <c r="A110" s="4"/>
      <c r="B110" s="221"/>
      <c r="C110" s="222"/>
      <c r="D110" s="222"/>
      <c r="E110" s="222"/>
      <c r="F110" s="222"/>
      <c r="G110" s="222"/>
      <c r="H110" s="222"/>
      <c r="I110" s="220"/>
    </row>
    <row r="111" spans="1:9" ht="18.75" customHeight="1" x14ac:dyDescent="0.15">
      <c r="A111" s="4"/>
      <c r="B111" s="221"/>
      <c r="C111" s="222"/>
      <c r="D111" s="222"/>
      <c r="E111" s="222"/>
      <c r="F111" s="222"/>
      <c r="G111" s="222"/>
      <c r="H111" s="222"/>
      <c r="I111" s="220"/>
    </row>
    <row r="112" spans="1:9" ht="18.75" customHeight="1" x14ac:dyDescent="0.15">
      <c r="A112" s="4"/>
      <c r="B112" s="221"/>
      <c r="C112" s="222"/>
      <c r="D112" s="222"/>
      <c r="E112" s="222"/>
      <c r="F112" s="222"/>
      <c r="G112" s="222"/>
      <c r="H112" s="222"/>
      <c r="I112" s="220"/>
    </row>
    <row r="113" spans="1:9" ht="18.75" customHeight="1" x14ac:dyDescent="0.15">
      <c r="A113" s="4"/>
      <c r="B113" s="221"/>
      <c r="C113" s="222"/>
      <c r="D113" s="222"/>
      <c r="E113" s="222"/>
      <c r="F113" s="222"/>
      <c r="G113" s="222"/>
      <c r="H113" s="222"/>
      <c r="I113" s="220"/>
    </row>
    <row r="114" spans="1:9" ht="18.75" customHeight="1" x14ac:dyDescent="0.15">
      <c r="A114" s="4"/>
      <c r="B114" s="221"/>
      <c r="C114" s="222"/>
      <c r="D114" s="222"/>
      <c r="E114" s="222"/>
      <c r="F114" s="222"/>
      <c r="G114" s="222"/>
      <c r="H114" s="222"/>
      <c r="I114" s="220"/>
    </row>
    <row r="115" spans="1:9" ht="18.75" customHeight="1" x14ac:dyDescent="0.15">
      <c r="A115" s="4"/>
      <c r="B115" s="221"/>
      <c r="C115" s="222"/>
      <c r="D115" s="222"/>
      <c r="E115" s="222"/>
      <c r="F115" s="222"/>
      <c r="G115" s="222"/>
      <c r="H115" s="222"/>
      <c r="I115" s="220"/>
    </row>
    <row r="116" spans="1:9" ht="18.75" customHeight="1" x14ac:dyDescent="0.15">
      <c r="A116" s="4"/>
      <c r="B116" s="221"/>
      <c r="C116" s="222"/>
      <c r="D116" s="222"/>
      <c r="E116" s="222"/>
      <c r="F116" s="222"/>
      <c r="G116" s="222"/>
      <c r="H116" s="222"/>
      <c r="I116" s="220"/>
    </row>
    <row r="117" spans="1:9" ht="18.75" customHeight="1" x14ac:dyDescent="0.15">
      <c r="A117" s="4"/>
      <c r="B117" s="221"/>
      <c r="C117" s="222"/>
      <c r="D117" s="222"/>
      <c r="E117" s="222"/>
      <c r="F117" s="222"/>
      <c r="G117" s="222"/>
      <c r="H117" s="222"/>
      <c r="I117" s="220"/>
    </row>
    <row r="118" spans="1:9" ht="18.75" customHeight="1" x14ac:dyDescent="0.15">
      <c r="A118" s="4"/>
      <c r="B118" s="221"/>
      <c r="C118" s="222"/>
      <c r="D118" s="222"/>
      <c r="E118" s="222"/>
      <c r="F118" s="222"/>
      <c r="G118" s="222"/>
      <c r="H118" s="222"/>
      <c r="I118" s="220"/>
    </row>
    <row r="119" spans="1:9" ht="18.75" customHeight="1" x14ac:dyDescent="0.15">
      <c r="A119" s="4"/>
      <c r="B119" s="223"/>
      <c r="C119" s="224"/>
      <c r="D119" s="224"/>
      <c r="E119" s="224"/>
      <c r="F119" s="224"/>
      <c r="G119" s="224"/>
      <c r="H119" s="224"/>
      <c r="I119" s="225"/>
    </row>
    <row r="120" spans="1:9" ht="7.5" customHeight="1" x14ac:dyDescent="0.15">
      <c r="A120" s="4"/>
      <c r="B120" s="38"/>
      <c r="C120" s="38"/>
      <c r="D120" s="38"/>
      <c r="E120" s="38"/>
      <c r="F120" s="38"/>
      <c r="G120" s="38"/>
      <c r="H120" s="38"/>
      <c r="I120" s="38"/>
    </row>
    <row r="121" spans="1:9" ht="18.75" customHeight="1" x14ac:dyDescent="0.15">
      <c r="A121" s="67"/>
      <c r="B121" s="210"/>
      <c r="C121" s="210"/>
      <c r="D121" s="210"/>
      <c r="E121" s="210"/>
      <c r="F121" s="210"/>
      <c r="G121" s="210"/>
      <c r="H121" s="210"/>
      <c r="I121" s="210"/>
    </row>
    <row r="122" spans="1:9" ht="18.75" customHeight="1" x14ac:dyDescent="0.15">
      <c r="A122" s="67"/>
      <c r="B122" s="210"/>
      <c r="C122" s="210"/>
      <c r="D122" s="210"/>
      <c r="E122" s="210"/>
      <c r="F122" s="210"/>
      <c r="G122" s="210"/>
      <c r="H122" s="210"/>
      <c r="I122" s="210"/>
    </row>
    <row r="123" spans="1:9" ht="18.75" customHeight="1" x14ac:dyDescent="0.15">
      <c r="A123" s="4"/>
      <c r="B123" s="71"/>
      <c r="C123" s="71"/>
      <c r="D123" s="71"/>
      <c r="E123" s="71"/>
      <c r="F123" s="71"/>
      <c r="G123" s="71"/>
      <c r="H123" s="71"/>
      <c r="I123" s="72"/>
    </row>
    <row r="124" spans="1:9" ht="18.75" customHeight="1" x14ac:dyDescent="0.15">
      <c r="A124" s="4"/>
      <c r="B124" s="72"/>
      <c r="C124" s="72"/>
      <c r="D124" s="72"/>
      <c r="E124" s="72"/>
      <c r="F124" s="72"/>
      <c r="G124" s="72"/>
      <c r="H124" s="72"/>
      <c r="I124" s="72"/>
    </row>
    <row r="125" spans="1:9" ht="18.75" customHeight="1" x14ac:dyDescent="0.15">
      <c r="A125" s="4"/>
      <c r="B125" s="72"/>
      <c r="C125" s="72"/>
      <c r="D125" s="72"/>
      <c r="E125" s="72"/>
      <c r="F125" s="72"/>
      <c r="G125" s="72"/>
      <c r="H125" s="72"/>
      <c r="I125" s="72"/>
    </row>
    <row r="126" spans="1:9" ht="18.75" customHeight="1" x14ac:dyDescent="0.15">
      <c r="A126" s="4"/>
      <c r="B126" s="72"/>
      <c r="C126" s="72"/>
      <c r="D126" s="72"/>
      <c r="E126" s="72"/>
      <c r="F126" s="72"/>
      <c r="G126" s="72"/>
      <c r="H126" s="72"/>
      <c r="I126" s="72"/>
    </row>
    <row r="127" spans="1:9" ht="18.75" customHeight="1" x14ac:dyDescent="0.15">
      <c r="A127" s="4"/>
      <c r="B127" s="72"/>
      <c r="C127" s="72"/>
      <c r="D127" s="72"/>
      <c r="E127" s="72"/>
      <c r="F127" s="72"/>
      <c r="G127" s="72"/>
      <c r="H127" s="72"/>
      <c r="I127" s="72"/>
    </row>
    <row r="128" spans="1:9" ht="18.75" customHeight="1" x14ac:dyDescent="0.15">
      <c r="A128" s="4"/>
      <c r="B128" s="72"/>
      <c r="C128" s="72"/>
      <c r="D128" s="72"/>
      <c r="E128" s="72"/>
      <c r="F128" s="72"/>
      <c r="G128" s="72"/>
      <c r="H128" s="72"/>
      <c r="I128" s="72"/>
    </row>
    <row r="129" spans="1:9" ht="18.75" customHeight="1" x14ac:dyDescent="0.15">
      <c r="A129" s="4"/>
      <c r="B129" s="72"/>
      <c r="C129" s="72"/>
      <c r="D129" s="72"/>
      <c r="E129" s="72"/>
      <c r="F129" s="72"/>
      <c r="G129" s="72"/>
      <c r="H129" s="72"/>
      <c r="I129" s="72"/>
    </row>
    <row r="130" spans="1:9" ht="18.75" customHeight="1" x14ac:dyDescent="0.15">
      <c r="A130" s="4"/>
      <c r="B130" s="72"/>
      <c r="C130" s="72"/>
      <c r="D130" s="72"/>
      <c r="E130" s="72"/>
      <c r="F130" s="72"/>
      <c r="G130" s="72"/>
      <c r="H130" s="72"/>
      <c r="I130" s="72"/>
    </row>
    <row r="131" spans="1:9" ht="18.75" customHeight="1" x14ac:dyDescent="0.15">
      <c r="A131" s="4"/>
      <c r="B131" s="72"/>
      <c r="C131" s="72"/>
      <c r="D131" s="72"/>
      <c r="E131" s="72"/>
      <c r="F131" s="72"/>
      <c r="G131" s="72"/>
      <c r="H131" s="72"/>
      <c r="I131" s="72"/>
    </row>
    <row r="132" spans="1:9" ht="18.75" customHeight="1" x14ac:dyDescent="0.15">
      <c r="A132" s="4"/>
      <c r="B132" s="72"/>
      <c r="C132" s="72"/>
      <c r="D132" s="72"/>
      <c r="E132" s="72"/>
      <c r="F132" s="72"/>
      <c r="G132" s="72"/>
      <c r="H132" s="72"/>
      <c r="I132" s="72"/>
    </row>
    <row r="133" spans="1:9" ht="14.25" x14ac:dyDescent="0.15">
      <c r="A133" s="4"/>
      <c r="B133" s="72"/>
      <c r="C133" s="72"/>
      <c r="D133" s="72"/>
      <c r="E133" s="72"/>
      <c r="F133" s="72"/>
      <c r="G133" s="72"/>
      <c r="H133" s="72"/>
      <c r="I133" s="72"/>
    </row>
    <row r="134" spans="1:9" ht="7.5" customHeight="1" x14ac:dyDescent="0.15">
      <c r="A134" s="4"/>
      <c r="B134" s="72"/>
      <c r="C134" s="72"/>
      <c r="D134" s="72"/>
      <c r="E134" s="72"/>
      <c r="F134" s="72"/>
      <c r="G134" s="72"/>
      <c r="H134" s="72"/>
      <c r="I134" s="7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U101"/>
  <sheetViews>
    <sheetView showZeros="0" view="pageBreakPreview" topLeftCell="A20" zoomScaleNormal="100" zoomScaleSheetLayoutView="100" workbookViewId="0">
      <selection activeCell="E20" sqref="E20:I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29" t="s">
        <v>96</v>
      </c>
    </row>
    <row r="2" spans="1:9" ht="18.75" customHeight="1" x14ac:dyDescent="0.15">
      <c r="H2" s="29" t="s">
        <v>99</v>
      </c>
      <c r="I2" s="28" t="str">
        <f>'様式１　プログラムを構成する授業科目'!C2</f>
        <v>九州国際大学</v>
      </c>
    </row>
    <row r="3" spans="1:9" ht="18.75" customHeight="1" x14ac:dyDescent="0.15">
      <c r="A3" s="211" t="s">
        <v>28</v>
      </c>
      <c r="B3" s="211"/>
      <c r="C3" s="211"/>
      <c r="D3" s="211"/>
      <c r="E3" s="211"/>
      <c r="F3" s="211"/>
      <c r="G3" s="211"/>
      <c r="H3" s="211"/>
      <c r="I3" s="211"/>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26" t="s">
        <v>160</v>
      </c>
      <c r="C6" s="258"/>
      <c r="D6" s="258"/>
      <c r="E6" s="258"/>
      <c r="F6" s="258"/>
      <c r="G6" s="258"/>
      <c r="H6" s="259"/>
      <c r="I6" s="3"/>
    </row>
    <row r="7" spans="1:9" ht="9" customHeight="1" x14ac:dyDescent="0.15">
      <c r="A7" s="5"/>
      <c r="B7" s="10"/>
      <c r="C7" s="10"/>
      <c r="D7" s="10"/>
      <c r="E7" s="10"/>
      <c r="F7" s="10"/>
      <c r="G7" s="10"/>
      <c r="H7" s="10"/>
      <c r="I7" s="3"/>
    </row>
    <row r="8" spans="1:9" ht="18.75" customHeight="1" x14ac:dyDescent="0.15">
      <c r="A8" s="5"/>
      <c r="B8" s="3"/>
      <c r="C8" s="3"/>
      <c r="D8" s="29" t="s">
        <v>42</v>
      </c>
      <c r="E8" s="30" t="s">
        <v>149</v>
      </c>
      <c r="F8" s="3"/>
      <c r="G8" s="29" t="s">
        <v>10</v>
      </c>
      <c r="H8" s="30" t="s">
        <v>148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7" t="s">
        <v>24</v>
      </c>
      <c r="C11" s="108"/>
      <c r="D11" s="109"/>
      <c r="E11" s="108" t="s">
        <v>26</v>
      </c>
      <c r="F11" s="108"/>
      <c r="G11" s="108"/>
      <c r="H11" s="108"/>
      <c r="I11" s="109"/>
    </row>
    <row r="12" spans="1:9" ht="26.25" customHeight="1" x14ac:dyDescent="0.15">
      <c r="B12" s="39" t="s">
        <v>14</v>
      </c>
      <c r="C12" s="46"/>
      <c r="D12" s="40"/>
      <c r="E12" s="47"/>
      <c r="F12" s="47"/>
      <c r="G12" s="47"/>
      <c r="H12" s="47"/>
      <c r="I12" s="40"/>
    </row>
    <row r="13" spans="1:9" ht="210.75" customHeight="1" x14ac:dyDescent="0.15">
      <c r="B13" s="41"/>
      <c r="C13" s="241" t="s">
        <v>15</v>
      </c>
      <c r="D13" s="242"/>
      <c r="E13" s="254" t="s">
        <v>161</v>
      </c>
      <c r="F13" s="243"/>
      <c r="G13" s="243"/>
      <c r="H13" s="243"/>
      <c r="I13" s="244"/>
    </row>
    <row r="14" spans="1:9" ht="210.75" customHeight="1" x14ac:dyDescent="0.15">
      <c r="B14" s="41"/>
      <c r="C14" s="256" t="s">
        <v>16</v>
      </c>
      <c r="D14" s="257"/>
      <c r="E14" s="254" t="s">
        <v>162</v>
      </c>
      <c r="F14" s="243"/>
      <c r="G14" s="243"/>
      <c r="H14" s="243"/>
      <c r="I14" s="244"/>
    </row>
    <row r="15" spans="1:9" ht="210.75" customHeight="1" x14ac:dyDescent="0.15">
      <c r="B15" s="41"/>
      <c r="C15" s="241" t="s">
        <v>17</v>
      </c>
      <c r="D15" s="242"/>
      <c r="E15" s="254" t="s">
        <v>163</v>
      </c>
      <c r="F15" s="243"/>
      <c r="G15" s="243"/>
      <c r="H15" s="243"/>
      <c r="I15" s="244"/>
    </row>
    <row r="16" spans="1:9" ht="210.75" customHeight="1" x14ac:dyDescent="0.15">
      <c r="B16" s="41"/>
      <c r="C16" s="241" t="s">
        <v>18</v>
      </c>
      <c r="D16" s="242"/>
      <c r="E16" s="254" t="s">
        <v>164</v>
      </c>
      <c r="F16" s="243"/>
      <c r="G16" s="243"/>
      <c r="H16" s="243"/>
      <c r="I16" s="244"/>
    </row>
    <row r="17" spans="2:9" ht="210.75" customHeight="1" x14ac:dyDescent="0.15">
      <c r="B17" s="42"/>
      <c r="C17" s="245" t="s">
        <v>19</v>
      </c>
      <c r="D17" s="246"/>
      <c r="E17" s="255" t="s">
        <v>165</v>
      </c>
      <c r="F17" s="247"/>
      <c r="G17" s="247"/>
      <c r="H17" s="247"/>
      <c r="I17" s="248"/>
    </row>
    <row r="18" spans="2:9" ht="24" customHeight="1" x14ac:dyDescent="0.15">
      <c r="B18" s="39" t="s">
        <v>20</v>
      </c>
      <c r="C18" s="43"/>
      <c r="D18" s="44"/>
      <c r="E18" s="45"/>
      <c r="F18" s="45"/>
      <c r="G18" s="45"/>
      <c r="H18" s="45"/>
      <c r="I18" s="48"/>
    </row>
    <row r="19" spans="2:9" ht="218.25" customHeight="1" x14ac:dyDescent="0.15">
      <c r="B19" s="41"/>
      <c r="C19" s="241" t="s">
        <v>21</v>
      </c>
      <c r="D19" s="242"/>
      <c r="E19" s="243" t="s">
        <v>166</v>
      </c>
      <c r="F19" s="243"/>
      <c r="G19" s="243"/>
      <c r="H19" s="243"/>
      <c r="I19" s="244"/>
    </row>
    <row r="20" spans="2:9" ht="218.25" customHeight="1" x14ac:dyDescent="0.15">
      <c r="B20" s="42"/>
      <c r="C20" s="245" t="s">
        <v>22</v>
      </c>
      <c r="D20" s="246"/>
      <c r="E20" s="247" t="s">
        <v>180</v>
      </c>
      <c r="F20" s="247"/>
      <c r="G20" s="247"/>
      <c r="H20" s="247"/>
      <c r="I20" s="248"/>
    </row>
    <row r="21" spans="2:9" ht="218.25" customHeight="1" x14ac:dyDescent="0.15">
      <c r="B21" s="249" t="s">
        <v>23</v>
      </c>
      <c r="C21" s="250"/>
      <c r="D21" s="251"/>
      <c r="E21" s="252" t="s">
        <v>167</v>
      </c>
      <c r="F21" s="252"/>
      <c r="G21" s="252"/>
      <c r="H21" s="252"/>
      <c r="I21" s="253"/>
    </row>
    <row r="22" spans="2:9" ht="218.25" customHeight="1" x14ac:dyDescent="0.15">
      <c r="B22" s="236" t="s">
        <v>135</v>
      </c>
      <c r="C22" s="237"/>
      <c r="D22" s="238"/>
      <c r="E22" s="239" t="s">
        <v>168</v>
      </c>
      <c r="F22" s="239"/>
      <c r="G22" s="239"/>
      <c r="H22" s="239"/>
      <c r="I22" s="24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row r="91" spans="4:21" ht="22.5" customHeight="1" x14ac:dyDescent="0.15">
      <c r="D91" s="89" t="s">
        <v>142</v>
      </c>
    </row>
    <row r="92" spans="4:21" ht="22.5" customHeight="1" x14ac:dyDescent="0.15">
      <c r="D92" s="87"/>
      <c r="E92" s="87"/>
      <c r="F92" s="87"/>
      <c r="G92" s="87"/>
      <c r="H92" s="87"/>
      <c r="I92" s="87"/>
      <c r="J92" s="87"/>
      <c r="K92" s="87"/>
      <c r="L92" s="87"/>
      <c r="M92" s="87"/>
      <c r="N92" s="87"/>
      <c r="O92" s="87"/>
      <c r="P92" s="87"/>
      <c r="Q92" s="87"/>
      <c r="R92" s="87"/>
      <c r="S92" s="87"/>
      <c r="T92" s="87"/>
      <c r="U92" s="87"/>
    </row>
    <row r="93" spans="4:21" ht="22.5" customHeight="1" x14ac:dyDescent="0.15">
      <c r="D93" s="89" t="s">
        <v>174</v>
      </c>
    </row>
    <row r="94" spans="4:21" ht="22.5" customHeight="1" x14ac:dyDescent="0.15">
      <c r="D94" s="89" t="s">
        <v>175</v>
      </c>
    </row>
    <row r="95" spans="4:21" ht="22.5" customHeight="1" x14ac:dyDescent="0.15">
      <c r="D95" s="89" t="s">
        <v>176</v>
      </c>
    </row>
    <row r="96" spans="4:21" ht="22.5" customHeight="1" x14ac:dyDescent="0.15">
      <c r="D96" s="89" t="s">
        <v>170</v>
      </c>
    </row>
    <row r="97" spans="4:4" ht="22.5" customHeight="1" x14ac:dyDescent="0.15">
      <c r="D97" s="89" t="s">
        <v>177</v>
      </c>
    </row>
    <row r="98" spans="4:4" ht="22.5" customHeight="1" x14ac:dyDescent="0.15">
      <c r="D98" s="89" t="s">
        <v>171</v>
      </c>
    </row>
    <row r="99" spans="4:4" ht="22.5" customHeight="1" x14ac:dyDescent="0.15">
      <c r="D99" s="89" t="s">
        <v>172</v>
      </c>
    </row>
    <row r="100" spans="4:4" ht="22.5" customHeight="1" x14ac:dyDescent="0.15">
      <c r="D100" s="89" t="s">
        <v>173</v>
      </c>
    </row>
    <row r="101" spans="4:4" ht="22.5" customHeight="1" x14ac:dyDescent="0.15">
      <c r="D101" s="89" t="s">
        <v>143</v>
      </c>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山本 智子</cp:lastModifiedBy>
  <cp:lastPrinted>2024-05-13T02:04:42Z</cp:lastPrinted>
  <dcterms:created xsi:type="dcterms:W3CDTF">2011-06-14T05:32:50Z</dcterms:created>
  <dcterms:modified xsi:type="dcterms:W3CDTF">2024-06-19T04:32:51Z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