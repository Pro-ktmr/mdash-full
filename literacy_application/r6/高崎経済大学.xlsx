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U:\教務共通\13-1 数理・データサイエンス部会\★リテラシーレベル認定申請\④R6申請\（訂正後再々提出）\01_高崎経済大学_リテラシー\"/>
    </mc:Choice>
  </mc:AlternateContent>
  <bookViews>
    <workbookView xWindow="0" yWindow="0" windowWidth="15915" windowHeight="10920" tabRatio="885" activeTab="2"/>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13" i="40" l="1"/>
  <c r="S13" i="40" s="1"/>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<sst xmlns="http://schemas.openxmlformats.org/spreadsheetml/2006/main" count="279" uniqueCount="181">
  <si>
    <t>様式１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</si>
  <si>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</si>
  <si>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</si>
  <si>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高崎経済大学</t>
    <rPh sb="0" eb="6">
      <t>タカサキケイザイダイガク</t>
    </rPh>
    <phoneticPr fontId="1"/>
  </si>
  <si>
    <t>プログラム名</t>
    <rPh sb="5" eb="6">
      <t>メイ</t>
    </rPh>
    <phoneticPr fontId="1"/>
  </si>
  <si>
    <t>数理・データサイエンス・AI学修プログラム</t>
  </si>
  <si>
    <t>プログラムを構成する授業科目について</t>
    <phoneticPr fontId="1"/>
  </si>
  <si>
    <t>① 教育プログラムの修了要件</t>
    <rPh sb="2" eb="4">
      <t>キョウイク</t>
    </rPh>
    <rPh sb="10" eb="14">
      <t>シュウリョウヨウケン</t>
    </rPh>
    <phoneticPr fontId="1"/>
  </si>
  <si>
    <t>学部・学科によって、修了要件は相違しない</t>
  </si>
  <si>
    <t>② 対象となる学部・学科名称</t>
    <phoneticPr fontId="1"/>
  </si>
  <si>
    <t>③ 修了要件</t>
    <phoneticPr fontId="1"/>
  </si>
  <si>
    <t>【プルダウンリスト】</t>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</si>
  <si>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</si>
  <si>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</si>
  <si>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</si>
  <si>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必要最低科目数・単位数</t>
    <rPh sb="4" eb="7">
      <t>カモクスウ</t>
    </rPh>
    <phoneticPr fontId="1"/>
  </si>
  <si>
    <t>科目</t>
    <rPh sb="0" eb="2">
      <t>カモク</t>
    </rPh>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</si>
  <si>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</si>
  <si>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</si>
  <si>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</si>
  <si>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</si>
  <si>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</si>
  <si>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</si>
  <si>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</si>
  <si>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</si>
  <si>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データサイエンス入門</t>
    <rPh sb="8" eb="10">
      <t>ニュウモン</t>
    </rPh>
    <phoneticPr fontId="1"/>
  </si>
  <si>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</si>
  <si>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</si>
  <si>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</si>
  <si>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</si>
  <si>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</si>
  <si>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</si>
  <si>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</si>
  <si>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</si>
  <si>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</si>
  <si>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</si>
  <si>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</si>
  <si>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</si>
  <si>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</si>
  <si>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</si>
  <si>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</si>
  <si>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</si>
  <si>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データサイエンス入門</t>
  </si>
  <si>
    <t>4‐3データ構造とプログラミング基礎</t>
  </si>
  <si>
    <t>4‐7データハンドリング</t>
  </si>
  <si>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</si>
  <si>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</si>
  <si>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</si>
  <si>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</si>
  <si>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・ビッグデータ、IoT、AI、ロボット（第1回，第2回）
・データ量の増加、計算機の処理性能の向上、AIの非連続的進化（第1回）
・第4次産業革命、Society 5.0、データ駆動型社会（第1回）</t>
  </si>
  <si>
    <t>1-6</t>
    <phoneticPr fontId="1"/>
  </si>
  <si>
    <t>・AI等を活用した新しいビジネスモデル(シェアリングエコノミー、商品のレコメンデーションなど)（第3回）</t>
  </si>
  <si>
    <t>（２）「社会で活用されているデータ」や「データの活用領域」は非常に広範囲であって、日常生活や社会の課題を解決する有用なツールになり得るもの</t>
    <phoneticPr fontId="1"/>
  </si>
  <si>
    <t>・調査データ、実験データ、人の行動ログデータ、機械の稼働ログデータなど（第2回）
・1次データ、2次データ、データのメタ化（第2回）
・構造化データ、非構造化データ（文章、画像/動画、音声/音楽など）（第6回）
・データのオープン化（オープンデータ）（第2回）</t>
  </si>
  <si>
    <t>・データ・AI活用領域の広がり(生産、消費、文化活動など)（第3回）
・研究開発、調達、製造、物流、販売、マーケティング、サービスなど（第3回）</t>
  </si>
  <si>
    <t>（３）様々なデータ利活用の現場におけるデータ利活用事例が示され、様々な適用領域（流通、製造、金融、サービス、インフラ、公共、ヘルスケア等）の知見と組み合わせることで価値を創出するもの</t>
    <phoneticPr fontId="1"/>
  </si>
  <si>
    <t>・データ解析：予測、グルーピング、パターン発見、最適化、シミュレーション・データ同化など（第8回，第12回）
・データ可視化：複合グラフ、2軸グラフ、多次元の可視化、関係性の可視化、地図上の可視化、挙動・軌跡の可視化、リアルタイム可視化など（第5回，第6回，第8回，第9回，第11回）
・非構造化データ処理：言語処理、画像/動画処理、音声/音楽処理など（第14回）</t>
  </si>
  <si>
    <t>・流通、製造、金融、サービス、インフラ、公共、ヘルスケア等におけるデータ・AI利活用事例紹介（第3回）</t>
  </si>
  <si>
    <t>（４）活用に当たっての様々な留意事項（ELSI、個人情報、データ倫理、ＡＩ社会原則等）を考慮し、情報セキュリティや情報漏洩等、データを守る上での留意事項への理解をする</t>
    <phoneticPr fontId="1"/>
  </si>
  <si>
    <t>・ELSI（Ethical, Legal and Social Issues）（第4回）
・個人情報保護、EU一般データ保護規則(GDPR)、忘れられる権利、オプトアウト（第4回）
・データ倫理：データのねつ造、改ざん、盗用、プライバシー保護（第4回）
・データバイアス、アルゴリズムバイアス（第4回）
・データ・AI活用における負の事例紹介（第4回）</t>
  </si>
  <si>
    <t>・情報セキュリティ：機密性、完全性、可用性（第4回）
・匿名加工情報、暗号化、パスワード、悪意ある情報搾取（第4回）</t>
  </si>
  <si>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</si>
  <si>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</si>
  <si>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・データ表現（棒グラフ、折線グラフ、散布図、ヒートマップ）（第6回，第10回，第11回）
・不適切なグラフ表現（チャートジャンク、不必要な視覚的要素）（第7回）</t>
  </si>
  <si>
    <t>・データの集計（和、平均）（第5回）
・データの並び替え、ランキング（第5回）
・データ解析ツール（スプレッドシート）（第9回，第10回）
・表形式のデータ（csv）（第9回，第11回）</t>
  </si>
  <si>
    <t>⑪ プログラムの学修成果（学生等が身に付けられる能力等）</t>
    <phoneticPr fontId="1"/>
  </si>
  <si>
    <t>【参考】</t>
    <rPh sb="1" eb="3">
      <t>サンコウ</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</si>
  <si>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</si>
  <si>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</si>
  <si>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</si>
  <si>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様式２</t>
    <phoneticPr fontId="1"/>
  </si>
  <si>
    <t>プログラムの履修者数等の実績について</t>
    <phoneticPr fontId="1"/>
  </si>
  <si>
    <t>①プログラム開設年度</t>
    <rPh sb="6" eb="8">
      <t>カイセツ</t>
    </rPh>
    <rPh sb="8" eb="10">
      <t>ネンド</t>
    </rPh>
    <phoneticPr fontId="1"/>
  </si>
  <si>
    <t>令和５</t>
    <rPh sb="0" eb="2">
      <t>レイワ</t>
    </rPh>
    <phoneticPr fontId="1"/>
  </si>
  <si>
    <t>年度</t>
    <rPh sb="0" eb="2">
      <t>ネンド</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</si>
  <si>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</si>
  <si>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</si>
  <si>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</si>
  <si>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</si>
  <si>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</si>
  <si>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</si>
  <si>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人</t>
    <rPh sb="0" eb="1">
      <t>ニン</t>
    </rPh>
    <phoneticPr fontId="1"/>
  </si>
  <si>
    <t>）</t>
    <phoneticPr fontId="1"/>
  </si>
  <si>
    <t>③履修者・修了者の実績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</si>
  <si>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</si>
  <si>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</si>
  <si>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</si>
  <si>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</si>
  <si>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</si>
  <si>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</si>
  <si>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</si>
  <si>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</si>
  <si>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</si>
  <si>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</si>
  <si>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</si>
  <si>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</si>
  <si>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</si>
  <si>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</si>
  <si>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経済学部</t>
    <rPh sb="0" eb="4">
      <t>ケイザイガクブ</t>
    </rPh>
    <phoneticPr fontId="1"/>
  </si>
  <si>
    <t>地域政策学部</t>
    <rPh sb="0" eb="6">
      <t>チイキセイサクガクブ</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</si>
  <si>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</si>
  <si>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</si>
  <si>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</si>
  <si>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</si>
  <si>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</si>
  <si>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</si>
  <si>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</si>
  <si>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</si>
  <si>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</si>
  <si>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</si>
  <si>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</si>
  <si>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</si>
  <si>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</si>
  <si>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野崎　謙二</t>
    <rPh sb="0" eb="2">
      <t>ノザキ</t>
    </rPh>
    <rPh sb="3" eb="5">
      <t>ケンジ</t>
    </rPh>
    <phoneticPr fontId="1"/>
  </si>
  <si>
    <t>（役職名）</t>
    <rPh sb="1" eb="4">
      <t>ヤクショクメイ</t>
    </rPh>
    <phoneticPr fontId="1"/>
  </si>
  <si>
    <t>基礎教育センター長</t>
    <rPh sb="0" eb="4">
      <t>キソキョウイク</t>
    </rPh>
    <rPh sb="8" eb="9">
      <t>チョウ</t>
    </rPh>
    <phoneticPr fontId="1"/>
  </si>
  <si>
    <t>④</t>
    <phoneticPr fontId="1"/>
  </si>
  <si>
    <t>プログラムを改善・進化させるための体制（委員会・組織等）</t>
    <phoneticPr fontId="1"/>
  </si>
  <si>
    <t>⑤</t>
    <phoneticPr fontId="1"/>
  </si>
  <si>
    <t>プログラムを改善・進化させるための体制を定める規則名称</t>
    <phoneticPr fontId="1"/>
  </si>
  <si>
    <t>⑥</t>
    <phoneticPr fontId="1"/>
  </si>
  <si>
    <t>体制の目的</t>
    <rPh sb="0" eb="2">
      <t>タイセイ</t>
    </rPh>
    <rPh sb="3" eb="5">
      <t>モクテキ</t>
    </rPh>
    <phoneticPr fontId="1"/>
  </si>
  <si>
    <t>⑦</t>
    <phoneticPr fontId="1"/>
  </si>
  <si>
    <t>具体的な構成員</t>
    <rPh sb="0" eb="3">
      <t>グタイテキ</t>
    </rPh>
    <rPh sb="4" eb="7">
      <t>コウセイイン</t>
    </rPh>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</si>
  <si>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</si>
  <si>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</si>
  <si>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令和５年度実績</t>
    <rPh sb="0" eb="2">
      <t>レイワ</t>
    </rPh>
    <rPh sb="3" eb="5">
      <t>ネンド</t>
    </rPh>
    <rPh sb="5" eb="7">
      <t>ジッセキ</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</si>
  <si>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</si>
  <si>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</si>
  <si>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</si>
  <si>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</si>
  <si>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</si>
  <si>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</si>
  <si>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</si>
  <si>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</si>
  <si>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</si>
  <si>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</si>
  <si>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⑪</t>
    <phoneticPr fontId="1"/>
  </si>
  <si>
    <t>できる限り多くの学生が履修・修得できるようなサポート体制</t>
    <rPh sb="26" eb="28">
      <t>タイセイ</t>
    </rPh>
    <phoneticPr fontId="1"/>
  </si>
  <si>
    <t>⑫</t>
    <phoneticPr fontId="1"/>
  </si>
  <si>
    <t>授業時間内外で学習指導、質問を受け付ける具体的な仕組み</t>
    <rPh sb="20" eb="23">
      <t>グタイテキ</t>
    </rPh>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</si>
  <si>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</si>
  <si>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</si>
  <si>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</si>
  <si>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</si>
  <si>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基礎教育センター</t>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</si>
  <si>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</si>
  <si>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</si>
  <si>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</si>
  <si>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</si>
  <si>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</si>
  <si>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</si>
  <si>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</si>
  <si>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</si>
  <si>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</si>
  <si>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</si>
  <si>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</si>
  <si>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</si>
  <si>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</si>
  <si>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</si>
  <si>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本プログラムでは，データの処理，集計，可視化，分析を行うためのデータサイエンスの基礎的事項を学ぶとともに，社会で実施されている分析結果を適切に読み解き，説明できる力を修得する。達成目標は以下の通りである。
・データサイエンスに関わる世の中の変化や必要性を理解する。
・データの読み方，表し方を理解し，基礎的なデータサイエンス手法を使いこなせるようになる。
・より専門的なデータサイエンスに興味・関心を持つ。
・データサイエンス・AIの限界や留意事項について理解する。</t>
    <phoneticPr fontId="1"/>
  </si>
  <si>
    <t>企業の採用担当者とのコミュニケーションを適宜とることで，実社会で求められる真の実学に根差した教育力の強化を図る。そのために，産業界や実務経験を有する教員との意見交換やアンケートを実施し，「データサイエンス入門」の学習内容の見直しを継続的に行うことを検討している。</t>
    <phoneticPr fontId="1"/>
  </si>
  <si>
    <t>本学における「データサイエンス入門」の受講生は，数学に苦手意識を感じている学生が多いことが特徴的である。データサイエンスを学習する上で，高度な数学的概念や複雑な数式を過度に使用することを避け，学生が興味を持ちやすいように，直感的で視覚的に理解しやすい説明を心がけている。また，データ分析についても説明が抽象的になりすぎないように配慮し，実際のデータを用いた実践的な演習を通して，分析プロセスの具体的なイメージが構築できるような学習方法を実践している。
授業アンケートにより学生の理解度や難易度を把握し，継続的に授業方法の見直しを行う。</t>
    <phoneticPr fontId="1"/>
  </si>
  <si>
    <t>・基礎教育センター長
　野崎　謙二（経済学部・教授）
・基礎教育センター長補佐
　八木橋　慶一（地域政策学部・教授）
・基礎教育センター委員
　小林　徹（経済学部・教授）　　
　澤田　悠紀（経済学部・教授）　　
　土谷　岳史（経済学部・教授）
　井手　拓郎（地域政策学部・准教授）　　
　太田　慧（地域政策学部・准教授）　
　鈴木　耕太郎（地域政策学部・准教授）
　中井　真理子（教育グループリーダー）
　髙橋　徳彦（教務チームリーダー）
　和南城　さやか（教務チームリーダー）</t>
    <rPh sb="68" eb="70">
      <t>イイン</t>
    </rPh>
    <phoneticPr fontId="1"/>
  </si>
  <si>
    <t xml:space="preserve">各学部における経済，経営，地域等の専門領域において，数理・データサイエンス・AI教育に関わる教員との意見交換やアンケートを元に，各専門分野の観点を取り入れ，「データサイエンス入門」の学習項目の検討や見直しを継続的に行う。これによって本学の学生に適合する履修内容を提供することが可能となり，より多くの学生の履修を推進することを目指す。
</t>
    <phoneticPr fontId="1"/>
  </si>
  <si>
    <t>・データの種類（量的変数、質的変数）（第5回）
・データの分布(ヒストグラム)と代表値（平均値、中央値、最頻値）（第5回）
・代表値の性質の違い（実社会では平均値＝最頻値でないことが多い）（第5回）
・データのばらつき（分散、標準偏差、偏差値）（第5回）
・打ち切りや脱落を含むデータ、層別の必要なデータ（第5回）
・相関と因果（相関係数、擬似相関、交絡）（第7回）
・母集団と標本抽出（国勢調査、アンケート調査、全数調査、単純無作為抽出、層別抽出、多段抽出）（第7回）
・クロス集計表、分割表、相関係数行列、散布図行列（第9回）
・統計情報の正しい理解（誇張表現に惑わされない）（第7回）</t>
    <phoneticPr fontId="1"/>
  </si>
  <si>
    <t>本プログラムは「データサイエンス入門」（経済学部総合科目，地域政策学部特別講義）の2単位を修得することを修了要件とする。</t>
    <rPh sb="45" eb="46">
      <t>シュウ</t>
    </rPh>
    <phoneticPr fontId="1"/>
  </si>
  <si>
    <t xml:space="preserve">2023年度は1クラス開講でのスタートとなり2024年度も1クラスで開講予定である。
2023年度「データサイエンス入門」の受講生に対して，履修開始時と終了時にデータサイエンス教育に関するアンケートを実施しており，受講生の関心，興味，受講動機を把握するようにしている。
また，受講率の低い地域政策学部の学生に対しては，受講生向けのアンケートとは別に，1年生全員に対してのアンケートも実施しており，データサイエンス科目の履修意欲に関する状況の把握を進めている。アンケートの結果を踏まえて，本学学生の専門分野に合致するデータサイエンス科目の学習項目の検討や見直しを継続的に進める。また，「データサイエンス入門」の必修化に向けて検討を行っている。
</t>
    <rPh sb="48" eb="49">
      <t>ド</t>
    </rPh>
    <rPh sb="70" eb="72">
      <t>リシュウ</t>
    </rPh>
    <phoneticPr fontId="1"/>
  </si>
  <si>
    <t>本プログラムの履修科目である「データサイエンス入門」は経済学部では総合科目，地域政策学部では特別講義として設置しており，全ての学年の全学の学生が受講可能な科目として開講している。2023年度は受講人数の制限を設けず，受講希望学生は全員受講が可能であった。2024年度も受講制限を設けていない。また，受講者の増加により教室の制限が出てくることも考えられるが，オンデマンドコンテンツを活用した授業運営も視野に入れて検討を進めている。</t>
    <phoneticPr fontId="1"/>
  </si>
  <si>
    <t>大学ホームページや本学新入生向け情報誌（INTRO）で2023年度に「データサイエンス入門」の授業がスタートしたことを周知している。講義シラバスをインターネット上で共有しており，学生は必要なときにいつでも授業の概要を確認できるようになっている。
また，地域政策学部では1年生の必修科目の中で「データサイエンス入門」の授業を周知し，履修を促している。</t>
    <phoneticPr fontId="1"/>
  </si>
  <si>
    <t>2023年度は「データサイエンス入門」はLMSやMicrosoft Teamsを活用して講義を実施した。受講生の受講状況や提出物の提出状況の確認，提出物の閲覧・評価はすべてオンライン上で確認することが可能である。</t>
    <phoneticPr fontId="1"/>
  </si>
  <si>
    <t>高崎経済大学基礎教育センター規程、高崎経済大学基礎教育センター運営細則</t>
    <rPh sb="0" eb="6">
      <t>タカサキケイザイダイガク</t>
    </rPh>
    <rPh sb="6" eb="10">
      <t>キソキョウイク</t>
    </rPh>
    <rPh sb="14" eb="16">
      <t>キテイ</t>
    </rPh>
    <rPh sb="17" eb="23">
      <t>タカサキケイザイダイガク</t>
    </rPh>
    <rPh sb="23" eb="27">
      <t>キソキョウイク</t>
    </rPh>
    <rPh sb="31" eb="35">
      <t>ウンエイサイソク</t>
    </rPh>
    <phoneticPr fontId="1"/>
  </si>
  <si>
    <t>基礎教育センターは本学における基礎教育科目にかかる教育の適切な実施を図ることを目的としている。
本プログラムに関しては，全学共通で実施する数理・データサイエンス・AI教育のカリキュラムや実施体制，制度について検討を行いこれを実施する。
全学共通の基礎事項としてのリテラシーレベル科目に加え，各学部の専門領域へ接続する応用レベル科目群からなるプログラムの内容を継続的に検討・実施する。</t>
    <phoneticPr fontId="1"/>
  </si>
  <si>
    <t xml:space="preserve">2023年度より「データサイエンス入門」を開講し，初年度は250名（経済学部197名，地域政策学部53名）の学生が履修した。単位の修得状況は250名の履修者のうち208名が合格しており，これは履修生の約83%に該当する。本学全学生（4,054名）における履修割合は必ずしも高いとは言えないため，初年次教育の場等を通じて，周知を徹底して履修者増を図る。
</t>
    <rPh sb="25" eb="28">
      <t>ショネンド</t>
    </rPh>
    <rPh sb="54" eb="56">
      <t>ガクセイ</t>
    </rPh>
    <rPh sb="57" eb="59">
      <t>リシュウ</t>
    </rPh>
    <rPh sb="65" eb="66">
      <t>シュウ</t>
    </rPh>
    <rPh sb="110" eb="112">
      <t>ホンガク</t>
    </rPh>
    <rPh sb="112" eb="113">
      <t>ゼン</t>
    </rPh>
    <rPh sb="113" eb="115">
      <t>ガクセイ</t>
    </rPh>
    <rPh sb="127" eb="131">
      <t>リシュウワリアイ</t>
    </rPh>
    <rPh sb="132" eb="133">
      <t>カナラ</t>
    </rPh>
    <rPh sb="136" eb="137">
      <t>タカ</t>
    </rPh>
    <rPh sb="140" eb="141">
      <t>イ</t>
    </rPh>
    <rPh sb="147" eb="150">
      <t>ショネンジ</t>
    </rPh>
    <rPh sb="150" eb="152">
      <t>キョウイク</t>
    </rPh>
    <rPh sb="153" eb="154">
      <t>バ</t>
    </rPh>
    <rPh sb="154" eb="155">
      <t>ナド</t>
    </rPh>
    <rPh sb="156" eb="157">
      <t>ツウ</t>
    </rPh>
    <phoneticPr fontId="1"/>
  </si>
  <si>
    <t>「データサイエンス入門」の履修終了時にアンケートを実施し，「他の学生にすすめたい」という質問項目で推奨度を把握している。
2023年度の結果は，「ほかの学生にすすめたい」という項目に対して，「あてはまる」が51.7%，「ややあてはまる」が37.1%となっていた。「あてはまる」と「ややあてはまる」を合わせて88.8%と，高い割合の学生が他の学生へ推奨したいとの評価を得ている。これらのアンケート結果についても担当教員がLMS上で把握している。</t>
    <rPh sb="13" eb="15">
      <t>リシュウ</t>
    </rPh>
    <rPh sb="160" eb="161">
      <t>タカ</t>
    </rPh>
    <rPh sb="162" eb="164">
      <t>ワリアイ</t>
    </rPh>
    <rPh sb="165" eb="167">
      <t>ガクセイ</t>
    </rPh>
    <rPh sb="168" eb="169">
      <t>タ</t>
    </rPh>
    <rPh sb="170" eb="172">
      <t>ガクセイ</t>
    </rPh>
    <rPh sb="173" eb="175">
      <t>スイショウ</t>
    </rPh>
    <rPh sb="180" eb="182">
      <t>ヒョウカ</t>
    </rPh>
    <rPh sb="183" eb="184">
      <t>エ</t>
    </rPh>
    <phoneticPr fontId="1"/>
  </si>
  <si>
    <t>開講初年度のため現時点での情報はないが，今後，「データサイエンス入門」の単位を修得し，本プログラムを修了した卒業生の進路や就職状況，就職先企業を追跡調査する。また，就職先企業へのヒアリングやアンケートを実施し，本プログラム修了生の活躍状況や企業の評価を調査することを検討している。</t>
    <rPh sb="8" eb="11">
      <t>ゲンジテン</t>
    </rPh>
    <rPh sb="13" eb="15">
      <t>ジョウホウ</t>
    </rPh>
    <rPh sb="20" eb="22">
      <t>コンゴ</t>
    </rPh>
    <rPh sb="39" eb="40">
      <t>シュウ</t>
    </rPh>
    <phoneticPr fontId="1"/>
  </si>
  <si>
    <t xml:space="preserve">全ての授業コンテンツはLMS上に公開し，学生はオンライン上でいつでもどこからでも自分の都合の良いタイミングで予習や復習が可能である。また，担当教員は，TeamsやSNS，Eメールを活用して学生との双方向性のコミュニケーションをとれるようにして質問等に対応した。2024年度以降も同じ体制を継続する。							
							</t>
    <rPh sb="69" eb="73">
      <t>タントウキョウイン</t>
    </rPh>
    <rPh sb="144" eb="146">
      <t>ケイゾク</t>
    </rPh>
    <phoneticPr fontId="1"/>
  </si>
  <si>
    <t>「データサイエンス入門」の受講生に対して，毎回の授業内容を確認する理解度のチェックテストやリアクションペーパーの提出を行っている。これらは全てLMS上で実施しており，担当教員はいつでも内容を確認することができ，リアルタイムで状況を把握している。リアクションペーパーおよびチェックテストの結果から，常に一定以上の理解度を維持していることが確認できた。
授業の最終回には，本授業及びデータサイエンス全般に関する意識調査を行っている。2023年度は，「データサイエンス分野の知識は，重要だと思う」という項目に対して，9割以上の学生が同意していた（「あてはまる」66.3％，「ややあてはまる」27.0％）。また，「データサイエンス分野に関する学習機会を楽しみにしている」という項目に対しては8割の学生が肯定的な回答であった（「あてはまる」33.7％，「ややあてはまる」48.3％）。このように，データサイエンスを学ぶことの必要性を理解しつつ，興味関心も高まっており，おおむね学習目標を達成していたと考えられる。ただし，今後関連科目を履修したいかどうかを尋ねたところ，データサイエンス関連科目（76.4％）に比べ，数理・統計科目（51.7％）の履修意図は低かった。よって，学生の学習成果を確認し難易度に留意しつつ，興味関心が向上していくよう努める。</t>
    <rPh sb="17" eb="18">
      <t>タイ</t>
    </rPh>
    <rPh sb="59" eb="60">
      <t>オコナ</t>
    </rPh>
    <rPh sb="143" eb="145">
      <t>ケッカ</t>
    </rPh>
    <rPh sb="148" eb="149">
      <t>ツネ</t>
    </rPh>
    <rPh sb="150" eb="152">
      <t>イッテイ</t>
    </rPh>
    <rPh sb="152" eb="154">
      <t>イジョウ</t>
    </rPh>
    <rPh sb="155" eb="158">
      <t>リカイド</t>
    </rPh>
    <rPh sb="159" eb="161">
      <t>イジ</t>
    </rPh>
    <rPh sb="168" eb="170">
      <t>カクニン</t>
    </rPh>
    <rPh sb="184" eb="185">
      <t>ホン</t>
    </rPh>
    <rPh sb="185" eb="188">
      <t>ジュギョウオヨ</t>
    </rPh>
    <rPh sb="197" eb="199">
      <t>ゼンパン</t>
    </rPh>
    <rPh sb="200" eb="201">
      <t>カン</t>
    </rPh>
    <rPh sb="218" eb="220">
      <t>ネンド</t>
    </rPh>
    <rPh sb="248" eb="250">
      <t>コウモク</t>
    </rPh>
    <rPh sb="251" eb="252">
      <t>タイ</t>
    </rPh>
    <rPh sb="256" eb="257">
      <t>ワリ</t>
    </rPh>
    <rPh sb="257" eb="259">
      <t>イジョウ</t>
    </rPh>
    <rPh sb="260" eb="262">
      <t>ガクセイ</t>
    </rPh>
    <rPh sb="263" eb="265">
      <t>ドウイ</t>
    </rPh>
    <rPh sb="334" eb="336">
      <t>コウモク</t>
    </rPh>
    <rPh sb="337" eb="338">
      <t>タイ</t>
    </rPh>
    <rPh sb="342" eb="343">
      <t>ワリ</t>
    </rPh>
    <rPh sb="344" eb="346">
      <t>ガクセイ</t>
    </rPh>
    <rPh sb="347" eb="350">
      <t>コウテイテキ</t>
    </rPh>
    <rPh sb="351" eb="353">
      <t>カイトウ</t>
    </rPh>
    <rPh sb="402" eb="403">
      <t>マナ</t>
    </rPh>
    <rPh sb="407" eb="410">
      <t>ヒツヨウセイ</t>
    </rPh>
    <rPh sb="411" eb="413">
      <t>リカイ</t>
    </rPh>
    <rPh sb="417" eb="421">
      <t>キョウミカンシン</t>
    </rPh>
    <rPh sb="422" eb="423">
      <t>タカ</t>
    </rPh>
    <rPh sb="455" eb="457">
      <t>コンゴ</t>
    </rPh>
    <rPh sb="457" eb="459">
      <t>カンレン</t>
    </rPh>
    <rPh sb="459" eb="461">
      <t>カモク</t>
    </rPh>
    <rPh sb="487" eb="489">
      <t>カンレン</t>
    </rPh>
    <rPh sb="489" eb="491">
      <t>カモク</t>
    </rPh>
    <rPh sb="499" eb="500">
      <t>クラ</t>
    </rPh>
    <rPh sb="502" eb="504">
      <t>スウリ</t>
    </rPh>
    <rPh sb="505" eb="507">
      <t>トウケイ</t>
    </rPh>
    <rPh sb="507" eb="509">
      <t>カモク</t>
    </rPh>
    <rPh sb="517" eb="519">
      <t>リシュウ</t>
    </rPh>
    <rPh sb="519" eb="521">
      <t>イト</t>
    </rPh>
    <rPh sb="522" eb="523">
      <t>ヒク</t>
    </rPh>
    <rPh sb="552" eb="556">
      <t>キョウミカンシン</t>
    </rPh>
    <phoneticPr fontId="1"/>
  </si>
  <si>
    <t>「データサイエンス入門」の履修終了時のアンケートによって学生の理解度及び授業の難易度について学生がどのように認識しているかの確認を行っている。また，履修開始時のアンケートの結果と比較することで，個々の学習項目について理解度が向上したかどうかもチェックしている。これらのアンケート結果は担当教員がリアルタイムでLMS上で把握することが可能である。
2023年度の最終課題の点数は100点中平均84点と比較的高い数値が得られており，一定の理解が進んでいる。それと一致するように，学生アンケートでは，7割以上の学生が「授業内容がよく理解できた」と回答していた（「あてはまる」31.5％，「ややあてはまる」40.4％）。履修開始時のアンケートと比較しても，多くの学生がデータサイエンスに関する用語の理解や習得状況が上昇したと感じていた。このように，さまざまな指標から，学生の理解度が授業を受講することで向上したことが確認できた。</t>
    <rPh sb="13" eb="15">
      <t>リシュウ</t>
    </rPh>
    <rPh sb="74" eb="76">
      <t>リシュウ</t>
    </rPh>
    <rPh sb="177" eb="179">
      <t>ネンド</t>
    </rPh>
    <rPh sb="180" eb="182">
      <t>サイシュウ</t>
    </rPh>
    <rPh sb="182" eb="184">
      <t>カダイ</t>
    </rPh>
    <rPh sb="185" eb="187">
      <t>テンスウ</t>
    </rPh>
    <rPh sb="191" eb="192">
      <t>テン</t>
    </rPh>
    <rPh sb="192" eb="193">
      <t>チュウ</t>
    </rPh>
    <rPh sb="193" eb="195">
      <t>ヘイキン</t>
    </rPh>
    <rPh sb="229" eb="231">
      <t>イッチ</t>
    </rPh>
    <rPh sb="237" eb="239">
      <t>ガクセイ</t>
    </rPh>
    <rPh sb="248" eb="249">
      <t>ワリ</t>
    </rPh>
    <rPh sb="249" eb="251">
      <t>イジョウ</t>
    </rPh>
    <rPh sb="252" eb="254">
      <t>ガクセイ</t>
    </rPh>
    <rPh sb="256" eb="260">
      <t>ジュギョウナイヨウ</t>
    </rPh>
    <rPh sb="263" eb="265">
      <t>リカイ</t>
    </rPh>
    <rPh sb="270" eb="272">
      <t>カイトウ</t>
    </rPh>
    <rPh sb="306" eb="308">
      <t>リシュウ</t>
    </rPh>
    <rPh sb="324" eb="325">
      <t>オオ</t>
    </rPh>
    <rPh sb="327" eb="329">
      <t>ガクセイ</t>
    </rPh>
    <rPh sb="339" eb="340">
      <t>カン</t>
    </rPh>
    <rPh sb="342" eb="344">
      <t>ヨウゴ</t>
    </rPh>
    <rPh sb="345" eb="347">
      <t>リカイ</t>
    </rPh>
    <rPh sb="348" eb="352">
      <t>シュウトクジョウキョウ</t>
    </rPh>
    <rPh sb="353" eb="355">
      <t>ジョウショウ</t>
    </rPh>
    <rPh sb="358" eb="359">
      <t>カン</t>
    </rPh>
    <rPh sb="375" eb="377">
      <t>シヒョウ</t>
    </rPh>
    <rPh sb="390" eb="392">
      <t>ジュコウ</t>
    </rPh>
    <rPh sb="397" eb="399">
      <t>コウジョウ</t>
    </rPh>
    <rPh sb="404" eb="406">
      <t>カクニン</t>
    </rPh>
    <phoneticPr fontId="1"/>
  </si>
  <si>
    <t>本学の特徴を生かして，経済，経営，地域等の専門領域への応用を視野に入れたデータサイエンスの基礎を学べるような学習内容を検討している。授業の中では，これらの分野の専門家をゲスト講師に迎えて，データサイエンスがどのように活用されているかを実際の例を通して学習するようにしている。こうした工夫により，データサイエンスを学習する意義を実感できるような学習内容を目指している。
また，履修の開始時と終了時で実施している学生アンケートによりデータサイエンスへの興味や関心，自身にとって必要なものであるかの調査を行っている。授業を受講したことでこれらの意識がどう変化したかを把握することができる。</t>
    <rPh sb="187" eb="189">
      <t>リシュウ</t>
    </rPh>
    <phoneticPr fontId="1"/>
  </si>
  <si>
    <t>高崎経済大学基礎教育センター</t>
    <rPh sb="0" eb="6">
      <t>タカサキケイザイダイガク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</si>
</sst>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1">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1" xfId="0" applyFont="1" applyBorder="1" applyAlignment="1">
      <alignment horizontal="center"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2" fillId="0" borderId="14" xfId="0" applyFont="1" applyFill="1" applyBorder="1" applyAlignment="1">
      <alignment horizontal="center" vertical="center" shrinkToFit="1"/>
    </xf>
    <xf numFmtId="0" fontId="2" fillId="0" borderId="20" xfId="0" applyFont="1" applyFill="1" applyBorder="1" applyAlignment="1">
      <alignment horizontal="center" vertical="center" shrinkToFit="1"/>
    </xf>
    <xf numFmtId="0" fontId="2" fillId="0" borderId="13" xfId="0" applyFont="1" applyFill="1" applyBorder="1" applyAlignment="1">
      <alignment horizontal="center" vertical="center" shrinkToFit="1"/>
    </xf>
    <xf numFmtId="0" fontId="2" fillId="0" borderId="35" xfId="0" applyFont="1" applyFill="1" applyBorder="1" applyAlignment="1">
      <alignment horizontal="center" vertical="center" shrinkToFit="1"/>
    </xf>
    <xf numFmtId="38" fontId="2" fillId="0" borderId="5" xfId="2" applyFont="1" applyFill="1" applyBorder="1" applyAlignment="1">
      <alignment vertical="center" shrinkToFit="1"/>
    </xf>
    <xf numFmtId="38" fontId="2" fillId="0" borderId="46" xfId="2" applyFont="1" applyFill="1" applyBorder="1" applyAlignment="1">
      <alignment vertical="center" shrinkToFit="1"/>
    </xf>
    <xf numFmtId="0" fontId="2" fillId="0" borderId="1" xfId="0" applyFont="1" applyFill="1" applyBorder="1" applyAlignment="1">
      <alignment horizontal="center" vertical="center"/>
    </xf>
    <xf numFmtId="0" fontId="12" fillId="0" borderId="6" xfId="0" applyFont="1" applyBorder="1" applyAlignment="1">
      <alignment horizontal="left" vertical="center" wrapText="1"/>
    </xf>
    <xf numFmtId="0" fontId="2" fillId="0" borderId="18" xfId="0" applyFont="1" applyFill="1" applyBorder="1" applyAlignment="1">
      <alignment horizontal="center" vertical="center" shrinkToFit="1"/>
    </xf>
    <xf numFmtId="0" fontId="2" fillId="0" borderId="19" xfId="0" applyFont="1" applyFill="1" applyBorder="1" applyAlignment="1">
      <alignment horizontal="center" vertical="center" shrinkToFit="1"/>
    </xf>
    <xf numFmtId="0" fontId="2" fillId="0" borderId="17" xfId="0" applyFont="1" applyFill="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Fill="1" applyBorder="1" applyAlignment="1">
      <alignment vertical="center" shrinkToFit="1"/>
    </xf>
    <xf numFmtId="0" fontId="2" fillId="0" borderId="19" xfId="0" applyFont="1" applyFill="1" applyBorder="1" applyAlignment="1">
      <alignment vertical="center" shrinkToFit="1"/>
    </xf>
    <xf numFmtId="0" fontId="2" fillId="0" borderId="17" xfId="0" applyFont="1" applyFill="1" applyBorder="1" applyAlignment="1">
      <alignment vertical="center" shrinkToFit="1"/>
    </xf>
    <xf numFmtId="0" fontId="2" fillId="0" borderId="32" xfId="0" applyFont="1" applyFill="1" applyBorder="1" applyAlignment="1">
      <alignment vertical="center" shrinkToFit="1"/>
    </xf>
    <xf numFmtId="0" fontId="2" fillId="0" borderId="33" xfId="0" applyFont="1" applyFill="1" applyBorder="1" applyAlignment="1">
      <alignment vertical="center" shrinkToFit="1"/>
    </xf>
    <xf numFmtId="0" fontId="2" fillId="0" borderId="34" xfId="0" applyFont="1" applyFill="1" applyBorder="1" applyAlignment="1">
      <alignment vertical="center" shrinkToFit="1"/>
    </xf>
    <xf numFmtId="0" fontId="12" fillId="0" borderId="1" xfId="0" applyFont="1" applyBorder="1" applyAlignment="1">
      <alignment horizontal="center" vertical="center"/>
    </xf>
    <xf numFmtId="0" fontId="15" fillId="0" borderId="1" xfId="0" applyFont="1" applyFill="1" applyBorder="1" applyAlignment="1">
      <alignment vertical="center" wrapText="1"/>
    </xf>
    <xf numFmtId="0" fontId="2" fillId="0" borderId="29" xfId="0" applyFont="1" applyFill="1" applyBorder="1" applyAlignment="1">
      <alignment vertical="center" shrinkToFit="1"/>
    </xf>
    <xf numFmtId="0" fontId="2" fillId="0" borderId="31" xfId="0" applyFont="1" applyFill="1" applyBorder="1" applyAlignment="1">
      <alignment vertical="center" shrinkToFit="1"/>
    </xf>
    <xf numFmtId="0" fontId="2" fillId="0" borderId="30" xfId="0" applyFont="1" applyFill="1" applyBorder="1" applyAlignment="1">
      <alignment vertical="center" shrinkToFit="1"/>
    </xf>
    <xf numFmtId="0" fontId="2" fillId="0" borderId="0" xfId="0" applyFont="1" applyAlignment="1">
      <alignment vertical="center" wrapText="1"/>
    </xf>
    <xf numFmtId="0" fontId="2" fillId="0" borderId="29" xfId="0" applyFont="1" applyFill="1" applyBorder="1" applyAlignment="1">
      <alignment horizontal="center" vertical="center" shrinkToFit="1"/>
    </xf>
    <xf numFmtId="0" fontId="2" fillId="0" borderId="31" xfId="0" applyFont="1" applyFill="1" applyBorder="1" applyAlignment="1">
      <alignment horizontal="center" vertical="center" shrinkToFit="1"/>
    </xf>
    <xf numFmtId="0" fontId="2" fillId="0" borderId="30" xfId="0" applyFont="1" applyFill="1" applyBorder="1" applyAlignment="1">
      <alignment horizontal="center"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27" xfId="0" applyFont="1" applyBorder="1" applyAlignment="1">
      <alignment vertical="center" wrapText="1"/>
    </xf>
    <xf numFmtId="0" fontId="16" fillId="0" borderId="0" xfId="0" applyFont="1" applyAlignment="1">
      <alignment horizontal="center" vertical="center"/>
    </xf>
    <xf numFmtId="0" fontId="13" fillId="0" borderId="7" xfId="0" applyFont="1" applyFill="1" applyBorder="1" applyAlignment="1">
      <alignment horizontal="left" vertical="top" wrapText="1" shrinkToFit="1"/>
    </xf>
    <xf numFmtId="0" fontId="13" fillId="0" borderId="8" xfId="0" applyFont="1" applyFill="1" applyBorder="1" applyAlignment="1">
      <alignment horizontal="left" vertical="top" wrapText="1" shrinkToFit="1"/>
    </xf>
    <xf numFmtId="0" fontId="13" fillId="0" borderId="9" xfId="0" applyFont="1" applyFill="1" applyBorder="1" applyAlignment="1">
      <alignment horizontal="left" vertical="top" wrapText="1" shrinkToFit="1"/>
    </xf>
    <xf numFmtId="0" fontId="13" fillId="0" borderId="5" xfId="0" applyFont="1" applyFill="1" applyBorder="1" applyAlignment="1">
      <alignment horizontal="left" vertical="top" wrapText="1" shrinkToFit="1"/>
    </xf>
    <xf numFmtId="0" fontId="13" fillId="0" borderId="0" xfId="0" applyFont="1" applyFill="1" applyAlignment="1">
      <alignment horizontal="left" vertical="top" wrapText="1" shrinkToFit="1"/>
    </xf>
    <xf numFmtId="0" fontId="13" fillId="0" borderId="10" xfId="0" applyFont="1" applyFill="1" applyBorder="1" applyAlignment="1">
      <alignment horizontal="left" vertical="top" wrapText="1" shrinkToFit="1"/>
    </xf>
    <xf numFmtId="0" fontId="13" fillId="0" borderId="11" xfId="0" applyFont="1" applyFill="1" applyBorder="1" applyAlignment="1">
      <alignment horizontal="left" vertical="top" wrapText="1" shrinkToFit="1"/>
    </xf>
    <xf numFmtId="0" fontId="13" fillId="0" borderId="6" xfId="0" applyFont="1" applyFill="1" applyBorder="1" applyAlignment="1">
      <alignment horizontal="left" vertical="top" wrapText="1" shrinkToFit="1"/>
    </xf>
    <xf numFmtId="0" fontId="13" fillId="0" borderId="12" xfId="0" applyFont="1" applyFill="1" applyBorder="1" applyAlignment="1">
      <alignment horizontal="left" vertical="top" wrapText="1" shrinkToFit="1"/>
    </xf>
    <xf numFmtId="0" fontId="13" fillId="0" borderId="0" xfId="0" applyFont="1" applyAlignment="1">
      <alignment vertical="center" wrapText="1"/>
    </xf>
    <xf numFmtId="0" fontId="2" fillId="0" borderId="2" xfId="0" applyFont="1" applyFill="1" applyBorder="1" applyAlignment="1">
      <alignment vertical="center" wrapText="1" shrinkToFit="1"/>
    </xf>
    <xf numFmtId="0" fontId="2" fillId="0" borderId="3" xfId="0" applyFont="1" applyFill="1" applyBorder="1" applyAlignment="1">
      <alignment vertical="center" wrapText="1" shrinkToFit="1"/>
    </xf>
    <xf numFmtId="0" fontId="2" fillId="0" borderId="4" xfId="0" applyFont="1" applyFill="1" applyBorder="1" applyAlignment="1">
      <alignment vertical="center" wrapText="1" shrinkToFit="1"/>
    </xf>
    <xf numFmtId="0" fontId="2" fillId="0" borderId="32" xfId="0" applyFont="1" applyFill="1" applyBorder="1" applyAlignment="1">
      <alignment horizontal="center" vertical="center" shrinkToFit="1"/>
    </xf>
    <xf numFmtId="0" fontId="2" fillId="0" borderId="33" xfId="0" applyFont="1" applyFill="1" applyBorder="1" applyAlignment="1">
      <alignment horizontal="center" vertical="center" shrinkToFit="1"/>
    </xf>
    <xf numFmtId="0" fontId="2" fillId="0" borderId="34" xfId="0" applyFont="1" applyFill="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2" xfId="0" applyFont="1" applyFill="1" applyBorder="1" applyAlignment="1">
      <alignment horizontal="center" vertical="center"/>
    </xf>
    <xf numFmtId="0" fontId="13" fillId="0" borderId="3" xfId="0" applyFont="1" applyFill="1" applyBorder="1" applyAlignment="1">
      <alignment horizontal="center" vertical="center"/>
    </xf>
    <xf numFmtId="0" fontId="13" fillId="0" borderId="4" xfId="0" applyFont="1" applyFill="1" applyBorder="1" applyAlignment="1">
      <alignment horizontal="center" vertical="center"/>
    </xf>
    <xf numFmtId="0" fontId="12" fillId="0" borderId="0" xfId="0" applyFont="1" applyAlignment="1">
      <alignment horizontal="left" vertical="center" wrapText="1"/>
    </xf>
    <xf numFmtId="49" fontId="3" fillId="0" borderId="32" xfId="0" applyNumberFormat="1" applyFont="1" applyFill="1" applyBorder="1" applyAlignment="1">
      <alignment horizontal="left" vertical="center" wrapText="1"/>
    </xf>
    <xf numFmtId="49" fontId="3" fillId="0" borderId="33" xfId="0" applyNumberFormat="1" applyFont="1" applyFill="1" applyBorder="1" applyAlignment="1">
      <alignment horizontal="left" vertical="center"/>
    </xf>
    <xf numFmtId="49" fontId="3" fillId="0" borderId="34" xfId="0" applyNumberFormat="1" applyFont="1" applyFill="1" applyBorder="1" applyAlignment="1">
      <alignment horizontal="left" vertical="center"/>
    </xf>
    <xf numFmtId="49" fontId="3" fillId="0" borderId="29" xfId="0" applyNumberFormat="1" applyFont="1" applyFill="1" applyBorder="1" applyAlignment="1">
      <alignment horizontal="left" vertical="center" wrapText="1"/>
    </xf>
    <xf numFmtId="49" fontId="3" fillId="0" borderId="31" xfId="0" applyNumberFormat="1" applyFont="1" applyFill="1" applyBorder="1" applyAlignment="1">
      <alignment horizontal="left" vertical="center"/>
    </xf>
    <xf numFmtId="49" fontId="3" fillId="0" borderId="30" xfId="0" applyNumberFormat="1" applyFont="1" applyFill="1" applyBorder="1" applyAlignment="1">
      <alignment horizontal="left" vertical="center"/>
    </xf>
    <xf numFmtId="49" fontId="3" fillId="0" borderId="18" xfId="0" applyNumberFormat="1" applyFont="1" applyFill="1" applyBorder="1" applyAlignment="1">
      <alignment horizontal="left" vertical="center" wrapText="1"/>
    </xf>
    <xf numFmtId="49" fontId="3" fillId="0" borderId="19" xfId="0" applyNumberFormat="1" applyFont="1" applyFill="1" applyBorder="1" applyAlignment="1">
      <alignment horizontal="left" vertical="center"/>
    </xf>
    <xf numFmtId="49" fontId="3" fillId="0" borderId="17" xfId="0" applyNumberFormat="1" applyFont="1" applyFill="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xf>
    <xf numFmtId="0" fontId="13" fillId="0" borderId="2" xfId="0" applyFont="1" applyBorder="1" applyAlignment="1">
      <alignment vertical="center" shrinkToFit="1"/>
    </xf>
    <xf numFmtId="0" fontId="13" fillId="0" borderId="3" xfId="0" applyFont="1" applyBorder="1" applyAlignment="1">
      <alignment vertical="center" shrinkToFit="1"/>
    </xf>
    <xf numFmtId="0" fontId="13" fillId="0" borderId="4" xfId="0" applyFont="1" applyBorder="1" applyAlignment="1">
      <alignment vertical="center" shrinkToFit="1"/>
    </xf>
    <xf numFmtId="0" fontId="2" fillId="0" borderId="7" xfId="0" applyFont="1" applyFill="1" applyBorder="1" applyAlignment="1">
      <alignment vertical="top" wrapText="1" shrinkToFit="1"/>
    </xf>
    <xf numFmtId="0" fontId="2" fillId="0" borderId="8" xfId="0" applyFont="1" applyFill="1" applyBorder="1" applyAlignment="1">
      <alignment vertical="top" wrapText="1" shrinkToFit="1"/>
    </xf>
    <xf numFmtId="0" fontId="2" fillId="0" borderId="9" xfId="0" applyFont="1" applyFill="1" applyBorder="1" applyAlignment="1">
      <alignment vertical="top" shrinkToFit="1"/>
    </xf>
    <xf numFmtId="0" fontId="2" fillId="0" borderId="5" xfId="0" applyFont="1" applyFill="1" applyBorder="1" applyAlignment="1">
      <alignment vertical="top" wrapText="1" shrinkToFit="1"/>
    </xf>
    <xf numFmtId="0" fontId="2" fillId="0" borderId="0" xfId="0" applyFont="1" applyFill="1" applyAlignment="1">
      <alignment vertical="top" wrapText="1" shrinkToFit="1"/>
    </xf>
    <xf numFmtId="0" fontId="2" fillId="0" borderId="10" xfId="0" applyFont="1" applyFill="1" applyBorder="1" applyAlignment="1">
      <alignment vertical="top" shrinkToFit="1"/>
    </xf>
    <xf numFmtId="0" fontId="2" fillId="0" borderId="5" xfId="0" applyFont="1" applyFill="1" applyBorder="1" applyAlignment="1">
      <alignment vertical="top" shrinkToFit="1"/>
    </xf>
    <xf numFmtId="0" fontId="2" fillId="0" borderId="0" xfId="0" applyFont="1" applyFill="1" applyAlignment="1">
      <alignment vertical="top" shrinkToFit="1"/>
    </xf>
    <xf numFmtId="0" fontId="2" fillId="0" borderId="11" xfId="0" applyFont="1" applyFill="1" applyBorder="1" applyAlignment="1">
      <alignment vertical="top" shrinkToFit="1"/>
    </xf>
    <xf numFmtId="0" fontId="2" fillId="0" borderId="6" xfId="0" applyFont="1" applyFill="1" applyBorder="1" applyAlignment="1">
      <alignment vertical="top" shrinkToFit="1"/>
    </xf>
    <xf numFmtId="0" fontId="2" fillId="0" borderId="12" xfId="0" applyFont="1" applyFill="1" applyBorder="1" applyAlignment="1">
      <alignment vertical="top"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pplyAlignment="1">
      <alignment vertical="center"/>
    </xf>
    <xf numFmtId="0" fontId="5" fillId="0" borderId="4" xfId="0" applyFont="1" applyBorder="1" applyAlignment="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13" fillId="0" borderId="7" xfId="0" applyFont="1" applyFill="1" applyBorder="1" applyAlignment="1">
      <alignment vertical="top" wrapText="1" shrinkToFit="1"/>
    </xf>
    <xf numFmtId="0" fontId="13" fillId="0" borderId="8" xfId="0" applyFont="1" applyFill="1" applyBorder="1" applyAlignment="1">
      <alignment vertical="top" wrapText="1" shrinkToFit="1"/>
    </xf>
    <xf numFmtId="0" fontId="13" fillId="0" borderId="9" xfId="0" applyFont="1" applyFill="1" applyBorder="1" applyAlignment="1">
      <alignment vertical="top" shrinkToFit="1"/>
    </xf>
    <xf numFmtId="0" fontId="13" fillId="0" borderId="5" xfId="0" applyFont="1" applyFill="1" applyBorder="1" applyAlignment="1">
      <alignment vertical="top" shrinkToFit="1"/>
    </xf>
    <xf numFmtId="0" fontId="13" fillId="0" borderId="0" xfId="0" applyFont="1" applyFill="1" applyAlignment="1">
      <alignment vertical="top" shrinkToFit="1"/>
    </xf>
    <xf numFmtId="0" fontId="13" fillId="0" borderId="10" xfId="0" applyFont="1" applyFill="1" applyBorder="1" applyAlignment="1">
      <alignment vertical="top" shrinkToFit="1"/>
    </xf>
    <xf numFmtId="0" fontId="13" fillId="0" borderId="11" xfId="0" applyFont="1" applyFill="1" applyBorder="1" applyAlignment="1">
      <alignment vertical="top" shrinkToFit="1"/>
    </xf>
    <xf numFmtId="0" fontId="13" fillId="0" borderId="6" xfId="0" applyFont="1" applyFill="1" applyBorder="1" applyAlignment="1">
      <alignment vertical="top" shrinkToFit="1"/>
    </xf>
    <xf numFmtId="0" fontId="13" fillId="0" borderId="12" xfId="0" applyFont="1" applyFill="1" applyBorder="1" applyAlignment="1">
      <alignment vertical="top" shrinkToFit="1"/>
    </xf>
    <xf numFmtId="0" fontId="2" fillId="0" borderId="0" xfId="0" applyFont="1" applyAlignme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13" fillId="0" borderId="7" xfId="0" applyFont="1" applyFill="1" applyBorder="1" applyAlignment="1">
      <alignment vertical="top" wrapText="1"/>
    </xf>
    <xf numFmtId="0" fontId="13" fillId="0" borderId="8" xfId="0" applyFont="1" applyFill="1" applyBorder="1" applyAlignment="1">
      <alignment vertical="top" wrapText="1"/>
    </xf>
    <xf numFmtId="0" fontId="13" fillId="0" borderId="9" xfId="0" applyFont="1" applyFill="1" applyBorder="1" applyAlignment="1">
      <alignment vertical="top" wrapText="1"/>
    </xf>
    <xf numFmtId="0" fontId="13" fillId="0" borderId="5" xfId="0" applyFont="1" applyFill="1" applyBorder="1" applyAlignment="1">
      <alignment vertical="top" wrapText="1"/>
    </xf>
    <xf numFmtId="0" fontId="13" fillId="0" borderId="0" xfId="0" applyFont="1" applyFill="1" applyAlignment="1">
      <alignment vertical="top" wrapText="1"/>
    </xf>
    <xf numFmtId="0" fontId="13" fillId="0" borderId="10" xfId="0" applyFont="1" applyFill="1" applyBorder="1" applyAlignment="1">
      <alignment vertical="top" wrapText="1"/>
    </xf>
    <xf numFmtId="0" fontId="13" fillId="0" borderId="11" xfId="0" applyFont="1" applyFill="1" applyBorder="1" applyAlignment="1">
      <alignment vertical="top" wrapText="1"/>
    </xf>
    <xf numFmtId="0" fontId="13" fillId="0" borderId="6" xfId="0" applyFont="1" applyFill="1" applyBorder="1" applyAlignment="1">
      <alignment vertical="top" wrapText="1"/>
    </xf>
    <xf numFmtId="0" fontId="13" fillId="0" borderId="12" xfId="0" applyFont="1" applyFill="1" applyBorder="1" applyAlignment="1">
      <alignment vertical="top" wrapText="1"/>
    </xf>
    <xf numFmtId="0" fontId="13" fillId="0" borderId="9" xfId="0" applyFont="1" applyFill="1" applyBorder="1" applyAlignment="1">
      <alignment vertical="top"/>
    </xf>
    <xf numFmtId="0" fontId="13" fillId="0" borderId="5" xfId="0" applyFont="1" applyFill="1" applyBorder="1" applyAlignment="1">
      <alignment vertical="top"/>
    </xf>
    <xf numFmtId="0" fontId="13" fillId="0" borderId="0" xfId="0" applyFont="1" applyFill="1" applyAlignment="1">
      <alignment vertical="top"/>
    </xf>
    <xf numFmtId="0" fontId="13" fillId="0" borderId="10" xfId="0" applyFont="1" applyFill="1" applyBorder="1" applyAlignment="1">
      <alignment vertical="top"/>
    </xf>
    <xf numFmtId="0" fontId="13" fillId="0" borderId="11" xfId="0" applyFont="1" applyFill="1" applyBorder="1" applyAlignment="1">
      <alignment vertical="top"/>
    </xf>
    <xf numFmtId="0" fontId="13" fillId="0" borderId="6" xfId="0" applyFont="1" applyFill="1" applyBorder="1" applyAlignment="1">
      <alignment vertical="top"/>
    </xf>
    <xf numFmtId="0" fontId="13" fillId="0" borderId="12" xfId="0" applyFont="1" applyFill="1" applyBorder="1" applyAlignment="1">
      <alignment vertical="top"/>
    </xf>
    <xf numFmtId="9" fontId="2" fillId="0" borderId="1" xfId="0" applyNumberFormat="1" applyFont="1" applyBorder="1" applyAlignment="1">
      <alignment horizontal="center" vertical="center" wrapText="1" shrinkToFit="1"/>
    </xf>
    <xf numFmtId="0" fontId="2" fillId="0" borderId="16" xfId="0" applyFont="1" applyBorder="1" applyAlignment="1">
      <alignment vertical="center"/>
    </xf>
    <xf numFmtId="0" fontId="5" fillId="0" borderId="17" xfId="0" applyFont="1" applyBorder="1" applyAlignment="1">
      <alignment vertical="center"/>
    </xf>
    <xf numFmtId="0" fontId="2" fillId="0" borderId="18" xfId="0" applyFont="1" applyFill="1" applyBorder="1" applyAlignment="1">
      <alignment vertical="top" wrapText="1" shrinkToFit="1"/>
    </xf>
    <xf numFmtId="0" fontId="2" fillId="0" borderId="19" xfId="0" applyFont="1" applyFill="1" applyBorder="1" applyAlignment="1">
      <alignment vertical="top" wrapText="1" shrinkToFit="1"/>
    </xf>
    <xf numFmtId="0" fontId="2" fillId="0" borderId="17" xfId="0" applyFont="1" applyFill="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13" fillId="0" borderId="18" xfId="0" applyFont="1" applyFill="1" applyBorder="1" applyAlignment="1">
      <alignment vertical="top" wrapText="1" shrinkToFit="1"/>
    </xf>
    <xf numFmtId="0" fontId="13" fillId="0" borderId="19" xfId="0" applyFont="1" applyFill="1" applyBorder="1" applyAlignment="1">
      <alignment vertical="top" wrapText="1" shrinkToFit="1"/>
    </xf>
    <xf numFmtId="0" fontId="13" fillId="0" borderId="17" xfId="0" applyFont="1" applyFill="1" applyBorder="1" applyAlignment="1">
      <alignment vertical="top" wrapText="1" shrinkToFi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Fill="1" applyBorder="1" applyAlignment="1">
      <alignment vertical="top" wrapText="1" shrinkToFit="1"/>
    </xf>
    <xf numFmtId="0" fontId="2" fillId="0" borderId="33" xfId="0" applyFont="1" applyFill="1" applyBorder="1" applyAlignment="1">
      <alignment vertical="top" wrapText="1" shrinkToFit="1"/>
    </xf>
    <xf numFmtId="0" fontId="2" fillId="0" borderId="34" xfId="0" applyFont="1" applyFill="1" applyBorder="1" applyAlignment="1">
      <alignment vertical="top" wrapText="1"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Fill="1" applyBorder="1" applyAlignment="1">
      <alignment vertical="top" wrapText="1" shrinkToFit="1"/>
    </xf>
    <xf numFmtId="0" fontId="2" fillId="0" borderId="12" xfId="0" applyFont="1" applyFill="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13" fillId="0" borderId="37" xfId="0" applyFont="1" applyFill="1" applyBorder="1" applyAlignment="1">
      <alignment vertical="top" wrapText="1" shrinkToFit="1"/>
    </xf>
    <xf numFmtId="0" fontId="13" fillId="0" borderId="38" xfId="0" applyFont="1" applyFill="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14"/>
  <sheetViews>
    <sheetView showZeros="0" view="pageBreakPreview" topLeftCell="A11" zoomScaleNormal="100" zoomScaleSheetLayoutView="100" workbookViewId="0">
      <selection activeCell="AE14" sqref="AE14"/>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2"/>
      <c r="B1" s="72"/>
      <c r="C1" s="72"/>
      <c r="D1" s="72"/>
      <c r="E1" s="72"/>
      <c r="F1" s="72"/>
      <c r="G1" s="72"/>
      <c r="H1" s="72"/>
      <c r="I1" s="72"/>
      <c r="J1" s="72"/>
      <c r="K1" s="72"/>
      <c r="L1" s="72"/>
      <c r="M1" s="72"/>
      <c r="N1" s="72"/>
      <c r="O1" s="72"/>
      <c r="P1" s="72"/>
      <c r="Q1" s="72"/>
      <c r="R1" s="72"/>
      <c r="S1" s="72"/>
      <c r="T1" s="137" t="s">
        <v>0</v>
      </c>
      <c r="U1" s="137"/>
      <c r="V1" s="2" t="s">
        <v>1</v>
      </c>
    </row>
    <row r="2" spans="1:24" ht="18.75" customHeight="1" x14ac:dyDescent="0.15">
      <c r="A2" s="72"/>
      <c r="B2" s="73" t="s">
        <v>2</v>
      </c>
      <c r="C2" s="138" t="s">
        <v>3</v>
      </c>
      <c r="D2" s="139"/>
      <c r="E2" s="139"/>
      <c r="F2" s="139"/>
      <c r="G2" s="139"/>
      <c r="H2" s="139"/>
      <c r="I2" s="139"/>
      <c r="J2" s="140"/>
      <c r="K2" s="74"/>
      <c r="L2" s="75"/>
      <c r="M2" s="75"/>
      <c r="N2" s="75"/>
      <c r="O2" s="75"/>
      <c r="P2" s="75"/>
      <c r="Q2" s="75"/>
      <c r="R2" s="75"/>
      <c r="S2" s="75"/>
      <c r="T2" s="75"/>
      <c r="U2" s="75"/>
    </row>
    <row r="3" spans="1:24" ht="18.75" customHeight="1" x14ac:dyDescent="0.15">
      <c r="A3" s="72"/>
      <c r="B3" s="73" t="s">
        <v>4</v>
      </c>
      <c r="C3" s="141" t="s">
        <v>5</v>
      </c>
      <c r="D3" s="142"/>
      <c r="E3" s="142"/>
      <c r="F3" s="142"/>
      <c r="G3" s="142"/>
      <c r="H3" s="142"/>
      <c r="I3" s="142"/>
      <c r="J3" s="143"/>
      <c r="K3" s="74"/>
      <c r="L3" s="75"/>
      <c r="M3" s="75"/>
      <c r="N3" s="75"/>
      <c r="O3" s="75"/>
      <c r="P3" s="75"/>
      <c r="Q3" s="75"/>
      <c r="R3" s="75"/>
      <c r="S3" s="75"/>
      <c r="T3" s="75"/>
      <c r="U3" s="75"/>
    </row>
    <row r="4" spans="1:24" ht="15" customHeight="1" x14ac:dyDescent="0.15">
      <c r="A4" s="72"/>
      <c r="B4" s="72"/>
      <c r="C4" s="72"/>
      <c r="D4" s="72"/>
      <c r="E4" s="72"/>
      <c r="F4" s="72"/>
      <c r="G4" s="72"/>
      <c r="H4" s="72"/>
      <c r="I4" s="72"/>
      <c r="J4" s="72"/>
      <c r="K4" s="72"/>
      <c r="L4" s="74"/>
      <c r="M4" s="76"/>
      <c r="N4" s="76"/>
      <c r="O4" s="76"/>
      <c r="P4" s="76"/>
      <c r="Q4" s="76"/>
      <c r="R4" s="76"/>
      <c r="S4" s="76"/>
      <c r="T4" s="76"/>
      <c r="U4" s="76"/>
    </row>
    <row r="5" spans="1:24" ht="18" customHeight="1" x14ac:dyDescent="0.15">
      <c r="A5" s="118" t="s">
        <v>6</v>
      </c>
      <c r="B5" s="118"/>
      <c r="C5" s="118"/>
      <c r="D5" s="118"/>
      <c r="E5" s="118"/>
      <c r="F5" s="118"/>
      <c r="G5" s="118"/>
      <c r="H5" s="118"/>
      <c r="I5" s="118"/>
      <c r="J5" s="118"/>
      <c r="K5" s="118"/>
      <c r="L5" s="118"/>
      <c r="M5" s="118"/>
      <c r="N5" s="118"/>
      <c r="O5" s="118"/>
      <c r="P5" s="118"/>
      <c r="Q5" s="118"/>
      <c r="R5" s="118"/>
      <c r="S5" s="118"/>
      <c r="T5" s="118"/>
      <c r="U5" s="118"/>
    </row>
    <row r="6" spans="1:24" ht="15" customHeight="1" x14ac:dyDescent="0.15">
      <c r="A6" s="72"/>
      <c r="B6" s="77"/>
      <c r="C6" s="77"/>
      <c r="D6" s="77"/>
      <c r="E6" s="77"/>
      <c r="F6" s="77"/>
      <c r="G6" s="77"/>
      <c r="H6" s="77"/>
      <c r="I6" s="77"/>
      <c r="J6" s="77"/>
      <c r="K6" s="77"/>
      <c r="L6" s="77"/>
      <c r="M6" s="77"/>
      <c r="N6" s="77"/>
      <c r="O6" s="77"/>
      <c r="P6" s="77"/>
      <c r="Q6" s="77"/>
      <c r="R6" s="77"/>
      <c r="S6" s="77"/>
      <c r="T6" s="77"/>
      <c r="U6" s="77"/>
    </row>
    <row r="7" spans="1:24" ht="15" customHeight="1" x14ac:dyDescent="0.15">
      <c r="A7" s="72" t="s">
        <v>7</v>
      </c>
      <c r="B7" s="77"/>
      <c r="C7" s="77"/>
      <c r="D7" s="77"/>
      <c r="E7" s="77"/>
      <c r="F7" s="71"/>
      <c r="G7" s="71"/>
      <c r="H7" s="71"/>
      <c r="I7" s="71"/>
      <c r="J7" s="71"/>
      <c r="K7" s="71"/>
      <c r="L7" s="157" t="s">
        <v>8</v>
      </c>
      <c r="M7" s="158"/>
      <c r="N7" s="158"/>
      <c r="O7" s="158"/>
      <c r="P7" s="158"/>
      <c r="Q7" s="158"/>
      <c r="R7" s="158"/>
      <c r="S7" s="158"/>
      <c r="T7" s="158"/>
      <c r="U7" s="159"/>
    </row>
    <row r="8" spans="1:24" ht="6" customHeight="1" x14ac:dyDescent="0.15">
      <c r="A8" s="72"/>
      <c r="B8" s="77"/>
      <c r="C8" s="77"/>
      <c r="D8" s="77"/>
      <c r="E8" s="77"/>
      <c r="F8" s="77"/>
      <c r="G8" s="77"/>
      <c r="H8" s="77"/>
      <c r="I8" s="77"/>
      <c r="J8" s="77"/>
      <c r="K8" s="77"/>
      <c r="L8" s="77"/>
      <c r="M8" s="77"/>
      <c r="N8" s="77"/>
      <c r="O8" s="77"/>
      <c r="P8" s="77"/>
      <c r="Q8" s="77"/>
      <c r="R8" s="77"/>
      <c r="S8" s="77"/>
      <c r="T8" s="77"/>
      <c r="U8" s="77"/>
    </row>
    <row r="9" spans="1:24" ht="18" customHeight="1" x14ac:dyDescent="0.15">
      <c r="A9" s="72" t="s">
        <v>9</v>
      </c>
      <c r="B9" s="72"/>
      <c r="C9" s="77"/>
      <c r="D9" s="77"/>
      <c r="E9" s="72"/>
      <c r="F9" s="72"/>
      <c r="G9" s="72"/>
      <c r="H9" s="72"/>
      <c r="I9" s="72"/>
      <c r="J9" s="72"/>
      <c r="K9" s="74"/>
      <c r="L9" s="71"/>
      <c r="M9" s="71"/>
      <c r="N9" s="71"/>
      <c r="O9" s="71"/>
      <c r="P9" s="71"/>
      <c r="Q9" s="71"/>
      <c r="R9" s="71"/>
      <c r="S9" s="71"/>
      <c r="T9" s="71"/>
      <c r="U9" s="71"/>
    </row>
    <row r="10" spans="1:24" ht="6" customHeight="1" x14ac:dyDescent="0.15">
      <c r="A10" s="72"/>
      <c r="B10" s="77"/>
      <c r="C10" s="77"/>
      <c r="D10" s="77"/>
      <c r="E10" s="77"/>
      <c r="F10" s="77"/>
      <c r="G10" s="77"/>
      <c r="H10" s="77"/>
      <c r="I10" s="77"/>
      <c r="J10" s="77"/>
      <c r="K10" s="77"/>
      <c r="L10" s="78"/>
      <c r="M10" s="77"/>
      <c r="N10" s="77"/>
      <c r="O10" s="77"/>
      <c r="P10" s="77"/>
      <c r="Q10" s="77"/>
      <c r="R10" s="77"/>
      <c r="S10" s="77"/>
      <c r="T10" s="77"/>
      <c r="U10" s="77"/>
    </row>
    <row r="11" spans="1:24" ht="18" customHeight="1" x14ac:dyDescent="0.15">
      <c r="A11" s="72"/>
      <c r="B11" s="160"/>
      <c r="C11" s="161"/>
      <c r="D11" s="161"/>
      <c r="E11" s="161"/>
      <c r="F11" s="161"/>
      <c r="G11" s="161"/>
      <c r="H11" s="161"/>
      <c r="I11" s="161"/>
      <c r="J11" s="161"/>
      <c r="K11" s="161"/>
      <c r="L11" s="161"/>
      <c r="M11" s="161"/>
      <c r="N11" s="161"/>
      <c r="O11" s="161"/>
      <c r="P11" s="161"/>
      <c r="Q11" s="161"/>
      <c r="R11" s="161"/>
      <c r="S11" s="161"/>
      <c r="T11" s="161"/>
      <c r="U11" s="162"/>
    </row>
    <row r="12" spans="1:24" ht="18" customHeight="1" x14ac:dyDescent="0.15">
      <c r="A12" s="72"/>
      <c r="B12" s="163"/>
      <c r="C12" s="164"/>
      <c r="D12" s="164"/>
      <c r="E12" s="164"/>
      <c r="F12" s="164"/>
      <c r="G12" s="164"/>
      <c r="H12" s="164"/>
      <c r="I12" s="164"/>
      <c r="J12" s="164"/>
      <c r="K12" s="164"/>
      <c r="L12" s="164"/>
      <c r="M12" s="164"/>
      <c r="N12" s="164"/>
      <c r="O12" s="164"/>
      <c r="P12" s="164"/>
      <c r="Q12" s="164"/>
      <c r="R12" s="164"/>
      <c r="S12" s="164"/>
      <c r="T12" s="164"/>
      <c r="U12" s="165"/>
    </row>
    <row r="13" spans="1:24" ht="6" customHeight="1" x14ac:dyDescent="0.15">
      <c r="A13" s="72"/>
      <c r="B13" s="77"/>
      <c r="C13" s="77"/>
      <c r="D13" s="77"/>
      <c r="E13" s="77"/>
      <c r="F13" s="77"/>
      <c r="G13" s="77"/>
      <c r="H13" s="77"/>
      <c r="I13" s="77"/>
      <c r="J13" s="77"/>
      <c r="K13" s="77"/>
      <c r="L13" s="78"/>
      <c r="M13" s="77"/>
      <c r="N13" s="77"/>
      <c r="O13" s="77"/>
      <c r="P13" s="77"/>
      <c r="Q13" s="77"/>
      <c r="R13" s="77"/>
      <c r="S13" s="77"/>
      <c r="T13" s="77"/>
      <c r="U13" s="77"/>
    </row>
    <row r="14" spans="1:24" ht="18" customHeight="1" x14ac:dyDescent="0.15">
      <c r="A14" s="72" t="s">
        <v>10</v>
      </c>
      <c r="B14" s="77"/>
      <c r="C14" s="77"/>
      <c r="D14" s="77"/>
      <c r="E14" s="74"/>
      <c r="F14" s="74"/>
      <c r="G14" s="74"/>
      <c r="H14" s="74"/>
      <c r="I14" s="74"/>
      <c r="J14" s="74"/>
      <c r="K14" s="74"/>
      <c r="L14" s="79"/>
      <c r="M14" s="79"/>
      <c r="N14" s="79"/>
      <c r="O14" s="79"/>
      <c r="P14" s="79"/>
      <c r="Q14" s="79"/>
      <c r="R14" s="79"/>
      <c r="S14" s="79"/>
      <c r="T14" s="79"/>
      <c r="U14" s="79"/>
    </row>
    <row r="15" spans="1:24" ht="18" customHeight="1" x14ac:dyDescent="0.15">
      <c r="A15" s="72"/>
      <c r="B15" s="119" t="s">
        <v>166</v>
      </c>
      <c r="C15" s="120"/>
      <c r="D15" s="120"/>
      <c r="E15" s="120"/>
      <c r="F15" s="120"/>
      <c r="G15" s="120"/>
      <c r="H15" s="120"/>
      <c r="I15" s="120"/>
      <c r="J15" s="120"/>
      <c r="K15" s="120"/>
      <c r="L15" s="120"/>
      <c r="M15" s="120"/>
      <c r="N15" s="120"/>
      <c r="O15" s="120"/>
      <c r="P15" s="120"/>
      <c r="Q15" s="120"/>
      <c r="R15" s="120"/>
      <c r="S15" s="120"/>
      <c r="T15" s="120"/>
      <c r="U15" s="121"/>
      <c r="X15" s="1" t="s">
        <v>11</v>
      </c>
    </row>
    <row r="16" spans="1:24" ht="18" customHeight="1" x14ac:dyDescent="0.15">
      <c r="A16" s="72"/>
      <c r="B16" s="122"/>
      <c r="C16" s="123"/>
      <c r="D16" s="123"/>
      <c r="E16" s="123"/>
      <c r="F16" s="123"/>
      <c r="G16" s="123"/>
      <c r="H16" s="123"/>
      <c r="I16" s="123"/>
      <c r="J16" s="123"/>
      <c r="K16" s="123"/>
      <c r="L16" s="123"/>
      <c r="M16" s="123"/>
      <c r="N16" s="123"/>
      <c r="O16" s="123"/>
      <c r="P16" s="123"/>
      <c r="Q16" s="123"/>
      <c r="R16" s="123"/>
      <c r="S16" s="123"/>
      <c r="T16" s="123"/>
      <c r="U16" s="124"/>
      <c r="X16" s="1" t="s">
        <v>12</v>
      </c>
    </row>
    <row r="17" spans="1:24" ht="18" customHeight="1" x14ac:dyDescent="0.15">
      <c r="A17" s="72"/>
      <c r="B17" s="122"/>
      <c r="C17" s="123"/>
      <c r="D17" s="123"/>
      <c r="E17" s="123"/>
      <c r="F17" s="123"/>
      <c r="G17" s="123"/>
      <c r="H17" s="123"/>
      <c r="I17" s="123"/>
      <c r="J17" s="123"/>
      <c r="K17" s="123"/>
      <c r="L17" s="123"/>
      <c r="M17" s="123"/>
      <c r="N17" s="123"/>
      <c r="O17" s="123"/>
      <c r="P17" s="123"/>
      <c r="Q17" s="123"/>
      <c r="R17" s="123"/>
      <c r="S17" s="123"/>
      <c r="T17" s="123"/>
      <c r="U17" s="124"/>
      <c r="X17" s="1" t="s">
        <v>13</v>
      </c>
    </row>
    <row r="18" spans="1:24" ht="18" customHeight="1" x14ac:dyDescent="0.15">
      <c r="A18" s="72"/>
      <c r="B18" s="122"/>
      <c r="C18" s="123"/>
      <c r="D18" s="123"/>
      <c r="E18" s="123"/>
      <c r="F18" s="123"/>
      <c r="G18" s="123"/>
      <c r="H18" s="123"/>
      <c r="I18" s="123"/>
      <c r="J18" s="123"/>
      <c r="K18" s="123"/>
      <c r="L18" s="123"/>
      <c r="M18" s="123"/>
      <c r="N18" s="123"/>
      <c r="O18" s="123"/>
      <c r="P18" s="123"/>
      <c r="Q18" s="123"/>
      <c r="R18" s="123"/>
      <c r="S18" s="123"/>
      <c r="T18" s="123"/>
      <c r="U18" s="124"/>
      <c r="X18" s="1" t="s">
        <v>14</v>
      </c>
    </row>
    <row r="19" spans="1:24" ht="18" customHeight="1" x14ac:dyDescent="0.15">
      <c r="A19" s="72"/>
      <c r="B19" s="122"/>
      <c r="C19" s="123"/>
      <c r="D19" s="123"/>
      <c r="E19" s="123"/>
      <c r="F19" s="123"/>
      <c r="G19" s="123"/>
      <c r="H19" s="123"/>
      <c r="I19" s="123"/>
      <c r="J19" s="123"/>
      <c r="K19" s="123"/>
      <c r="L19" s="123"/>
      <c r="M19" s="123"/>
      <c r="N19" s="123"/>
      <c r="O19" s="123"/>
      <c r="P19" s="123"/>
      <c r="Q19" s="123"/>
      <c r="R19" s="123"/>
      <c r="S19" s="123"/>
      <c r="T19" s="123"/>
      <c r="U19" s="124"/>
    </row>
    <row r="20" spans="1:24" ht="18" customHeight="1" x14ac:dyDescent="0.15">
      <c r="A20" s="72"/>
      <c r="B20" s="125"/>
      <c r="C20" s="126"/>
      <c r="D20" s="126"/>
      <c r="E20" s="126"/>
      <c r="F20" s="126"/>
      <c r="G20" s="126"/>
      <c r="H20" s="126"/>
      <c r="I20" s="126"/>
      <c r="J20" s="126"/>
      <c r="K20" s="126"/>
      <c r="L20" s="126"/>
      <c r="M20" s="126"/>
      <c r="N20" s="126"/>
      <c r="O20" s="126"/>
      <c r="P20" s="126"/>
      <c r="Q20" s="126"/>
      <c r="R20" s="126"/>
      <c r="S20" s="126"/>
      <c r="T20" s="126"/>
      <c r="U20" s="127"/>
    </row>
    <row r="21" spans="1:24" ht="7.5" customHeight="1" x14ac:dyDescent="0.15">
      <c r="A21" s="72"/>
      <c r="B21" s="77"/>
      <c r="C21" s="77"/>
      <c r="D21" s="77"/>
      <c r="E21" s="77"/>
      <c r="F21" s="77"/>
      <c r="G21" s="77"/>
      <c r="H21" s="77"/>
      <c r="I21" s="77"/>
      <c r="J21" s="77"/>
      <c r="K21" s="77"/>
      <c r="L21" s="77"/>
      <c r="M21" s="77"/>
      <c r="N21" s="77"/>
      <c r="O21" s="77"/>
      <c r="P21" s="77"/>
      <c r="Q21" s="77"/>
      <c r="R21" s="77"/>
      <c r="S21" s="77"/>
      <c r="T21" s="77"/>
      <c r="U21" s="77"/>
    </row>
    <row r="22" spans="1:24" ht="19.899999999999999" customHeight="1" x14ac:dyDescent="0.15">
      <c r="A22" s="72"/>
      <c r="B22" s="72" t="s">
        <v>15</v>
      </c>
      <c r="C22" s="72"/>
      <c r="D22" s="72"/>
      <c r="E22" s="80">
        <v>1</v>
      </c>
      <c r="F22" s="72" t="s">
        <v>16</v>
      </c>
      <c r="G22" s="72"/>
      <c r="H22" s="81">
        <v>2</v>
      </c>
      <c r="I22" s="77" t="s">
        <v>17</v>
      </c>
      <c r="J22" s="77"/>
      <c r="K22" s="74"/>
      <c r="L22" s="72"/>
      <c r="M22" s="74" t="s">
        <v>18</v>
      </c>
      <c r="N22" s="154" t="s">
        <v>14</v>
      </c>
      <c r="O22" s="155"/>
      <c r="P22" s="155"/>
      <c r="Q22" s="155"/>
      <c r="R22" s="155"/>
      <c r="S22" s="155"/>
      <c r="T22" s="155"/>
      <c r="U22" s="156"/>
    </row>
    <row r="23" spans="1:24" ht="7.5" customHeight="1" x14ac:dyDescent="0.15">
      <c r="A23" s="72"/>
      <c r="B23" s="77"/>
      <c r="C23" s="77"/>
      <c r="D23" s="77"/>
      <c r="E23" s="77"/>
      <c r="F23" s="77"/>
      <c r="G23" s="77"/>
      <c r="H23" s="77"/>
      <c r="I23" s="77"/>
      <c r="J23" s="77"/>
      <c r="K23" s="77"/>
      <c r="L23" s="77"/>
      <c r="M23" s="77"/>
      <c r="N23" s="77"/>
      <c r="O23" s="77"/>
      <c r="P23" s="77"/>
      <c r="Q23" s="77"/>
      <c r="R23" s="77"/>
      <c r="S23" s="77"/>
      <c r="T23" s="77"/>
      <c r="U23" s="77"/>
    </row>
    <row r="24" spans="1:24" ht="18" customHeight="1" x14ac:dyDescent="0.15">
      <c r="A24" s="128" t="s">
        <v>19</v>
      </c>
      <c r="B24" s="128"/>
      <c r="C24" s="128"/>
      <c r="D24" s="128"/>
      <c r="E24" s="128"/>
      <c r="F24" s="128"/>
      <c r="G24" s="128"/>
      <c r="H24" s="128"/>
      <c r="I24" s="128"/>
      <c r="J24" s="128"/>
      <c r="K24" s="128"/>
      <c r="L24" s="128"/>
      <c r="M24" s="128"/>
      <c r="N24" s="128"/>
      <c r="O24" s="128"/>
      <c r="P24" s="128"/>
      <c r="Q24" s="128"/>
      <c r="R24" s="128"/>
      <c r="S24" s="128"/>
      <c r="T24" s="128"/>
      <c r="U24" s="128"/>
    </row>
    <row r="25" spans="1:24" ht="18" customHeight="1" x14ac:dyDescent="0.15">
      <c r="A25" s="128"/>
      <c r="B25" s="128"/>
      <c r="C25" s="128"/>
      <c r="D25" s="128"/>
      <c r="E25" s="128"/>
      <c r="F25" s="128"/>
      <c r="G25" s="128"/>
      <c r="H25" s="128"/>
      <c r="I25" s="128"/>
      <c r="J25" s="128"/>
      <c r="K25" s="128"/>
      <c r="L25" s="128"/>
      <c r="M25" s="128"/>
      <c r="N25" s="128"/>
      <c r="O25" s="128"/>
      <c r="P25" s="128"/>
      <c r="Q25" s="128"/>
      <c r="R25" s="128"/>
      <c r="S25" s="128"/>
      <c r="T25" s="128"/>
      <c r="U25" s="128"/>
    </row>
    <row r="26" spans="1:24" ht="18" customHeight="1" x14ac:dyDescent="0.15">
      <c r="B26" s="94" t="s">
        <v>20</v>
      </c>
      <c r="C26" s="95"/>
      <c r="D26" s="95"/>
      <c r="E26" s="95"/>
      <c r="F26" s="96"/>
      <c r="G26" s="47" t="s">
        <v>21</v>
      </c>
      <c r="H26" s="46" t="s">
        <v>22</v>
      </c>
      <c r="I26" s="17" t="s">
        <v>23</v>
      </c>
      <c r="J26" s="17" t="s">
        <v>24</v>
      </c>
      <c r="K26" s="94" t="s">
        <v>20</v>
      </c>
      <c r="L26" s="95"/>
      <c r="M26" s="95"/>
      <c r="N26" s="95"/>
      <c r="O26" s="95"/>
      <c r="P26" s="95"/>
      <c r="Q26" s="96"/>
      <c r="R26" s="47" t="s">
        <v>21</v>
      </c>
      <c r="S26" s="46" t="s">
        <v>22</v>
      </c>
      <c r="T26" s="17" t="s">
        <v>23</v>
      </c>
      <c r="U26" s="17" t="s">
        <v>24</v>
      </c>
    </row>
    <row r="27" spans="1:24" ht="18" customHeight="1" x14ac:dyDescent="0.15">
      <c r="B27" s="105" t="s">
        <v>25</v>
      </c>
      <c r="C27" s="106"/>
      <c r="D27" s="106"/>
      <c r="E27" s="106"/>
      <c r="F27" s="107"/>
      <c r="G27" s="83">
        <v>2</v>
      </c>
      <c r="H27" s="83" t="s">
        <v>26</v>
      </c>
      <c r="I27" s="83" t="s">
        <v>26</v>
      </c>
      <c r="J27" s="83" t="s">
        <v>26</v>
      </c>
      <c r="K27" s="105"/>
      <c r="L27" s="106"/>
      <c r="M27" s="106"/>
      <c r="N27" s="106"/>
      <c r="O27" s="106"/>
      <c r="P27" s="106"/>
      <c r="Q27" s="107"/>
      <c r="R27" s="83"/>
      <c r="S27" s="83"/>
      <c r="T27" s="83"/>
      <c r="U27" s="83"/>
    </row>
    <row r="28" spans="1:24" ht="18" customHeight="1" x14ac:dyDescent="0.15">
      <c r="B28" s="97"/>
      <c r="C28" s="98"/>
      <c r="D28" s="98"/>
      <c r="E28" s="98"/>
      <c r="F28" s="99"/>
      <c r="G28" s="84"/>
      <c r="H28" s="84"/>
      <c r="I28" s="84"/>
      <c r="J28" s="84"/>
      <c r="K28" s="97"/>
      <c r="L28" s="98"/>
      <c r="M28" s="98"/>
      <c r="N28" s="98"/>
      <c r="O28" s="98"/>
      <c r="P28" s="98"/>
      <c r="Q28" s="99"/>
      <c r="R28" s="84"/>
      <c r="S28" s="84"/>
      <c r="T28" s="84"/>
      <c r="U28" s="84"/>
    </row>
    <row r="29" spans="1:24" ht="18" customHeight="1" x14ac:dyDescent="0.15">
      <c r="B29" s="97"/>
      <c r="C29" s="98"/>
      <c r="D29" s="98"/>
      <c r="E29" s="98"/>
      <c r="F29" s="99"/>
      <c r="G29" s="84"/>
      <c r="H29" s="84"/>
      <c r="I29" s="84"/>
      <c r="J29" s="84"/>
      <c r="K29" s="97"/>
      <c r="L29" s="98"/>
      <c r="M29" s="98"/>
      <c r="N29" s="98"/>
      <c r="O29" s="98"/>
      <c r="P29" s="98"/>
      <c r="Q29" s="99"/>
      <c r="R29" s="84"/>
      <c r="S29" s="84"/>
      <c r="T29" s="84"/>
      <c r="U29" s="84"/>
    </row>
    <row r="30" spans="1:24" ht="18" customHeight="1" x14ac:dyDescent="0.15">
      <c r="B30" s="97"/>
      <c r="C30" s="98"/>
      <c r="D30" s="98"/>
      <c r="E30" s="98"/>
      <c r="F30" s="99"/>
      <c r="G30" s="84"/>
      <c r="H30" s="84"/>
      <c r="I30" s="84"/>
      <c r="J30" s="84"/>
      <c r="K30" s="97"/>
      <c r="L30" s="98"/>
      <c r="M30" s="98"/>
      <c r="N30" s="98"/>
      <c r="O30" s="98"/>
      <c r="P30" s="98"/>
      <c r="Q30" s="99"/>
      <c r="R30" s="84"/>
      <c r="S30" s="84"/>
      <c r="T30" s="84"/>
      <c r="U30" s="84"/>
    </row>
    <row r="31" spans="1:24" ht="18" customHeight="1" x14ac:dyDescent="0.15">
      <c r="B31" s="97"/>
      <c r="C31" s="98"/>
      <c r="D31" s="98"/>
      <c r="E31" s="98"/>
      <c r="F31" s="99"/>
      <c r="G31" s="84"/>
      <c r="H31" s="84"/>
      <c r="I31" s="84"/>
      <c r="J31" s="84"/>
      <c r="K31" s="97"/>
      <c r="L31" s="98"/>
      <c r="M31" s="98"/>
      <c r="N31" s="98"/>
      <c r="O31" s="98"/>
      <c r="P31" s="98"/>
      <c r="Q31" s="99"/>
      <c r="R31" s="84"/>
      <c r="S31" s="84"/>
      <c r="T31" s="84"/>
      <c r="U31" s="84"/>
    </row>
    <row r="32" spans="1:24" ht="18" customHeight="1" x14ac:dyDescent="0.15">
      <c r="A32" s="3"/>
      <c r="B32" s="97"/>
      <c r="C32" s="98"/>
      <c r="D32" s="98"/>
      <c r="E32" s="98"/>
      <c r="F32" s="99"/>
      <c r="G32" s="84"/>
      <c r="H32" s="84"/>
      <c r="I32" s="84"/>
      <c r="J32" s="84"/>
      <c r="K32" s="97"/>
      <c r="L32" s="98"/>
      <c r="M32" s="98"/>
      <c r="N32" s="98"/>
      <c r="O32" s="98"/>
      <c r="P32" s="98"/>
      <c r="Q32" s="99"/>
      <c r="R32" s="84"/>
      <c r="S32" s="84"/>
      <c r="T32" s="84"/>
      <c r="U32" s="84"/>
    </row>
    <row r="33" spans="1:21" ht="18" customHeight="1" x14ac:dyDescent="0.15">
      <c r="A33" s="3"/>
      <c r="B33" s="100"/>
      <c r="C33" s="101"/>
      <c r="D33" s="101"/>
      <c r="E33" s="101"/>
      <c r="F33" s="102"/>
      <c r="G33" s="85"/>
      <c r="H33" s="85"/>
      <c r="I33" s="86"/>
      <c r="J33" s="86"/>
      <c r="K33" s="100"/>
      <c r="L33" s="101"/>
      <c r="M33" s="101"/>
      <c r="N33" s="101"/>
      <c r="O33" s="101"/>
      <c r="P33" s="101"/>
      <c r="Q33" s="102"/>
      <c r="R33" s="85"/>
      <c r="S33" s="85"/>
      <c r="T33" s="86"/>
      <c r="U33" s="86"/>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08" t="s">
        <v>27</v>
      </c>
      <c r="B35" s="108"/>
      <c r="C35" s="108"/>
      <c r="D35" s="108"/>
      <c r="E35" s="108"/>
      <c r="F35" s="108"/>
      <c r="G35" s="108"/>
      <c r="H35" s="108"/>
      <c r="I35" s="108"/>
      <c r="J35" s="108"/>
      <c r="K35" s="108"/>
      <c r="L35" s="108"/>
      <c r="M35" s="108"/>
      <c r="N35" s="108"/>
      <c r="O35" s="108"/>
      <c r="P35" s="108"/>
      <c r="Q35" s="108"/>
      <c r="R35" s="108"/>
      <c r="S35" s="108"/>
      <c r="T35" s="108"/>
      <c r="U35" s="108"/>
    </row>
    <row r="36" spans="1:21" ht="18" customHeight="1" x14ac:dyDescent="0.15">
      <c r="A36" s="108"/>
      <c r="B36" s="108"/>
      <c r="C36" s="108"/>
      <c r="D36" s="108"/>
      <c r="E36" s="108"/>
      <c r="F36" s="108"/>
      <c r="G36" s="108"/>
      <c r="H36" s="108"/>
      <c r="I36" s="108"/>
      <c r="J36" s="108"/>
      <c r="K36" s="108"/>
      <c r="L36" s="108"/>
      <c r="M36" s="108"/>
      <c r="N36" s="108"/>
      <c r="O36" s="108"/>
      <c r="P36" s="108"/>
      <c r="Q36" s="108"/>
      <c r="R36" s="108"/>
      <c r="S36" s="108"/>
      <c r="T36" s="108"/>
      <c r="U36" s="108"/>
    </row>
    <row r="37" spans="1:21" ht="18" customHeight="1" x14ac:dyDescent="0.15">
      <c r="B37" s="94" t="s">
        <v>20</v>
      </c>
      <c r="C37" s="95"/>
      <c r="D37" s="95"/>
      <c r="E37" s="95"/>
      <c r="F37" s="96"/>
      <c r="G37" s="47" t="s">
        <v>21</v>
      </c>
      <c r="H37" s="46" t="s">
        <v>22</v>
      </c>
      <c r="I37" s="17" t="s">
        <v>28</v>
      </c>
      <c r="J37" s="17" t="s">
        <v>29</v>
      </c>
      <c r="K37" s="94" t="s">
        <v>20</v>
      </c>
      <c r="L37" s="95"/>
      <c r="M37" s="95"/>
      <c r="N37" s="95"/>
      <c r="O37" s="95"/>
      <c r="P37" s="95"/>
      <c r="Q37" s="96"/>
      <c r="R37" s="47" t="s">
        <v>21</v>
      </c>
      <c r="S37" s="46" t="s">
        <v>22</v>
      </c>
      <c r="T37" s="17" t="s">
        <v>28</v>
      </c>
      <c r="U37" s="17" t="s">
        <v>29</v>
      </c>
    </row>
    <row r="38" spans="1:21" ht="18" customHeight="1" x14ac:dyDescent="0.15">
      <c r="B38" s="105" t="s">
        <v>25</v>
      </c>
      <c r="C38" s="106"/>
      <c r="D38" s="106"/>
      <c r="E38" s="106"/>
      <c r="F38" s="107"/>
      <c r="G38" s="83">
        <v>2</v>
      </c>
      <c r="H38" s="83" t="s">
        <v>26</v>
      </c>
      <c r="I38" s="83" t="s">
        <v>26</v>
      </c>
      <c r="J38" s="83" t="s">
        <v>26</v>
      </c>
      <c r="K38" s="105"/>
      <c r="L38" s="106"/>
      <c r="M38" s="106"/>
      <c r="N38" s="106"/>
      <c r="O38" s="106"/>
      <c r="P38" s="106"/>
      <c r="Q38" s="107"/>
      <c r="R38" s="83"/>
      <c r="S38" s="83"/>
      <c r="T38" s="83"/>
      <c r="U38" s="83"/>
    </row>
    <row r="39" spans="1:21" ht="18" customHeight="1" x14ac:dyDescent="0.15">
      <c r="B39" s="97"/>
      <c r="C39" s="98"/>
      <c r="D39" s="98"/>
      <c r="E39" s="98"/>
      <c r="F39" s="99"/>
      <c r="G39" s="84"/>
      <c r="H39" s="84"/>
      <c r="I39" s="84"/>
      <c r="J39" s="84"/>
      <c r="K39" s="97"/>
      <c r="L39" s="98"/>
      <c r="M39" s="98"/>
      <c r="N39" s="98"/>
      <c r="O39" s="98"/>
      <c r="P39" s="98"/>
      <c r="Q39" s="99"/>
      <c r="R39" s="84"/>
      <c r="S39" s="84"/>
      <c r="T39" s="84"/>
      <c r="U39" s="84"/>
    </row>
    <row r="40" spans="1:21" ht="18" customHeight="1" x14ac:dyDescent="0.15">
      <c r="B40" s="97"/>
      <c r="C40" s="98"/>
      <c r="D40" s="98"/>
      <c r="E40" s="98"/>
      <c r="F40" s="99"/>
      <c r="G40" s="84"/>
      <c r="H40" s="84"/>
      <c r="I40" s="84"/>
      <c r="J40" s="84"/>
      <c r="K40" s="97"/>
      <c r="L40" s="98"/>
      <c r="M40" s="98"/>
      <c r="N40" s="98"/>
      <c r="O40" s="98"/>
      <c r="P40" s="98"/>
      <c r="Q40" s="99"/>
      <c r="R40" s="84"/>
      <c r="S40" s="84"/>
      <c r="T40" s="84"/>
      <c r="U40" s="84"/>
    </row>
    <row r="41" spans="1:21" ht="18" customHeight="1" x14ac:dyDescent="0.15">
      <c r="B41" s="97"/>
      <c r="C41" s="98"/>
      <c r="D41" s="98"/>
      <c r="E41" s="98"/>
      <c r="F41" s="99"/>
      <c r="G41" s="84"/>
      <c r="H41" s="84"/>
      <c r="I41" s="84"/>
      <c r="J41" s="84"/>
      <c r="K41" s="97"/>
      <c r="L41" s="98"/>
      <c r="M41" s="98"/>
      <c r="N41" s="98"/>
      <c r="O41" s="98"/>
      <c r="P41" s="98"/>
      <c r="Q41" s="99"/>
      <c r="R41" s="84"/>
      <c r="S41" s="84"/>
      <c r="T41" s="84"/>
      <c r="U41" s="84"/>
    </row>
    <row r="42" spans="1:21" ht="18" customHeight="1" x14ac:dyDescent="0.15">
      <c r="B42" s="97"/>
      <c r="C42" s="98"/>
      <c r="D42" s="98"/>
      <c r="E42" s="98"/>
      <c r="F42" s="99"/>
      <c r="G42" s="84"/>
      <c r="H42" s="84"/>
      <c r="I42" s="84"/>
      <c r="J42" s="84"/>
      <c r="K42" s="97"/>
      <c r="L42" s="98"/>
      <c r="M42" s="98"/>
      <c r="N42" s="98"/>
      <c r="O42" s="98"/>
      <c r="P42" s="98"/>
      <c r="Q42" s="99"/>
      <c r="R42" s="84"/>
      <c r="S42" s="84"/>
      <c r="T42" s="84"/>
      <c r="U42" s="84"/>
    </row>
    <row r="43" spans="1:21" ht="18" customHeight="1" x14ac:dyDescent="0.15">
      <c r="B43" s="97"/>
      <c r="C43" s="98"/>
      <c r="D43" s="98"/>
      <c r="E43" s="98"/>
      <c r="F43" s="99"/>
      <c r="G43" s="84"/>
      <c r="H43" s="84"/>
      <c r="I43" s="84"/>
      <c r="J43" s="84"/>
      <c r="K43" s="97"/>
      <c r="L43" s="98"/>
      <c r="M43" s="98"/>
      <c r="N43" s="98"/>
      <c r="O43" s="98"/>
      <c r="P43" s="98"/>
      <c r="Q43" s="99"/>
      <c r="R43" s="84"/>
      <c r="S43" s="84"/>
      <c r="T43" s="84"/>
      <c r="U43" s="84"/>
    </row>
    <row r="44" spans="1:21" ht="18" customHeight="1" x14ac:dyDescent="0.15">
      <c r="B44" s="100"/>
      <c r="C44" s="101"/>
      <c r="D44" s="101"/>
      <c r="E44" s="101"/>
      <c r="F44" s="102"/>
      <c r="G44" s="85"/>
      <c r="H44" s="85"/>
      <c r="I44" s="86"/>
      <c r="J44" s="86"/>
      <c r="K44" s="100"/>
      <c r="L44" s="101"/>
      <c r="M44" s="101"/>
      <c r="N44" s="101"/>
      <c r="O44" s="101"/>
      <c r="P44" s="101"/>
      <c r="Q44" s="102"/>
      <c r="R44" s="85"/>
      <c r="S44" s="85"/>
      <c r="T44" s="86"/>
      <c r="U44" s="86"/>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08" t="s">
        <v>30</v>
      </c>
      <c r="B46" s="108"/>
      <c r="C46" s="108"/>
      <c r="D46" s="108"/>
      <c r="E46" s="108"/>
      <c r="F46" s="108"/>
      <c r="G46" s="108"/>
      <c r="H46" s="108"/>
      <c r="I46" s="108"/>
      <c r="J46" s="108"/>
      <c r="K46" s="108"/>
      <c r="L46" s="108"/>
      <c r="M46" s="108"/>
      <c r="N46" s="108"/>
      <c r="O46" s="108"/>
      <c r="P46" s="108"/>
      <c r="Q46" s="108"/>
      <c r="R46" s="108"/>
      <c r="S46" s="108"/>
      <c r="T46" s="108"/>
      <c r="U46" s="108"/>
    </row>
    <row r="47" spans="1:21" ht="18" customHeight="1" x14ac:dyDescent="0.15">
      <c r="A47" s="108"/>
      <c r="B47" s="108"/>
      <c r="C47" s="108"/>
      <c r="D47" s="108"/>
      <c r="E47" s="108"/>
      <c r="F47" s="108"/>
      <c r="G47" s="108"/>
      <c r="H47" s="108"/>
      <c r="I47" s="108"/>
      <c r="J47" s="108"/>
      <c r="K47" s="108"/>
      <c r="L47" s="108"/>
      <c r="M47" s="108"/>
      <c r="N47" s="108"/>
      <c r="O47" s="108"/>
      <c r="P47" s="108"/>
      <c r="Q47" s="108"/>
      <c r="R47" s="108"/>
      <c r="S47" s="108"/>
      <c r="T47" s="108"/>
      <c r="U47" s="108"/>
    </row>
    <row r="48" spans="1:21" ht="18" customHeight="1" x14ac:dyDescent="0.15">
      <c r="B48" s="94" t="s">
        <v>20</v>
      </c>
      <c r="C48" s="95"/>
      <c r="D48" s="95"/>
      <c r="E48" s="95"/>
      <c r="F48" s="96"/>
      <c r="G48" s="47" t="s">
        <v>21</v>
      </c>
      <c r="H48" s="46" t="s">
        <v>22</v>
      </c>
      <c r="I48" s="17" t="s">
        <v>31</v>
      </c>
      <c r="J48" s="17" t="s">
        <v>32</v>
      </c>
      <c r="K48" s="94" t="s">
        <v>20</v>
      </c>
      <c r="L48" s="95"/>
      <c r="M48" s="95"/>
      <c r="N48" s="95"/>
      <c r="O48" s="95"/>
      <c r="P48" s="95"/>
      <c r="Q48" s="96"/>
      <c r="R48" s="47" t="s">
        <v>21</v>
      </c>
      <c r="S48" s="46" t="s">
        <v>22</v>
      </c>
      <c r="T48" s="17" t="s">
        <v>31</v>
      </c>
      <c r="U48" s="17" t="s">
        <v>32</v>
      </c>
    </row>
    <row r="49" spans="1:21" ht="18" customHeight="1" x14ac:dyDescent="0.15">
      <c r="A49" s="3"/>
      <c r="B49" s="105" t="s">
        <v>25</v>
      </c>
      <c r="C49" s="106"/>
      <c r="D49" s="106"/>
      <c r="E49" s="106"/>
      <c r="F49" s="107"/>
      <c r="G49" s="83">
        <v>2</v>
      </c>
      <c r="H49" s="83" t="s">
        <v>26</v>
      </c>
      <c r="I49" s="83" t="s">
        <v>26</v>
      </c>
      <c r="J49" s="83" t="s">
        <v>26</v>
      </c>
      <c r="K49" s="105"/>
      <c r="L49" s="106"/>
      <c r="M49" s="106"/>
      <c r="N49" s="106"/>
      <c r="O49" s="106"/>
      <c r="P49" s="106"/>
      <c r="Q49" s="107"/>
      <c r="R49" s="83"/>
      <c r="S49" s="83"/>
      <c r="T49" s="83"/>
      <c r="U49" s="83"/>
    </row>
    <row r="50" spans="1:21" ht="18" customHeight="1" x14ac:dyDescent="0.15">
      <c r="A50" s="3"/>
      <c r="B50" s="97"/>
      <c r="C50" s="98"/>
      <c r="D50" s="98"/>
      <c r="E50" s="98"/>
      <c r="F50" s="99"/>
      <c r="G50" s="84"/>
      <c r="H50" s="84"/>
      <c r="I50" s="84"/>
      <c r="J50" s="84"/>
      <c r="K50" s="97"/>
      <c r="L50" s="98"/>
      <c r="M50" s="98"/>
      <c r="N50" s="98"/>
      <c r="O50" s="98"/>
      <c r="P50" s="98"/>
      <c r="Q50" s="99"/>
      <c r="R50" s="84"/>
      <c r="S50" s="84"/>
      <c r="T50" s="84"/>
      <c r="U50" s="84"/>
    </row>
    <row r="51" spans="1:21" ht="18" customHeight="1" x14ac:dyDescent="0.15">
      <c r="A51" s="3"/>
      <c r="B51" s="97"/>
      <c r="C51" s="98"/>
      <c r="D51" s="98"/>
      <c r="E51" s="98"/>
      <c r="F51" s="99"/>
      <c r="G51" s="84"/>
      <c r="H51" s="84"/>
      <c r="I51" s="84"/>
      <c r="J51" s="84"/>
      <c r="K51" s="97"/>
      <c r="L51" s="98"/>
      <c r="M51" s="98"/>
      <c r="N51" s="98"/>
      <c r="O51" s="98"/>
      <c r="P51" s="98"/>
      <c r="Q51" s="99"/>
      <c r="R51" s="84"/>
      <c r="S51" s="84"/>
      <c r="T51" s="84"/>
      <c r="U51" s="84"/>
    </row>
    <row r="52" spans="1:21" ht="18" customHeight="1" x14ac:dyDescent="0.15">
      <c r="A52" s="3"/>
      <c r="B52" s="97"/>
      <c r="C52" s="98"/>
      <c r="D52" s="98"/>
      <c r="E52" s="98"/>
      <c r="F52" s="99"/>
      <c r="G52" s="84"/>
      <c r="H52" s="84"/>
      <c r="I52" s="84"/>
      <c r="J52" s="84"/>
      <c r="K52" s="97"/>
      <c r="L52" s="98"/>
      <c r="M52" s="98"/>
      <c r="N52" s="98"/>
      <c r="O52" s="98"/>
      <c r="P52" s="98"/>
      <c r="Q52" s="99"/>
      <c r="R52" s="84"/>
      <c r="S52" s="84"/>
      <c r="T52" s="84"/>
      <c r="U52" s="84"/>
    </row>
    <row r="53" spans="1:21" ht="18" customHeight="1" x14ac:dyDescent="0.15">
      <c r="A53" s="3"/>
      <c r="B53" s="97"/>
      <c r="C53" s="98"/>
      <c r="D53" s="98"/>
      <c r="E53" s="98"/>
      <c r="F53" s="99"/>
      <c r="G53" s="84"/>
      <c r="H53" s="84"/>
      <c r="I53" s="84"/>
      <c r="J53" s="84"/>
      <c r="K53" s="97"/>
      <c r="L53" s="98"/>
      <c r="M53" s="98"/>
      <c r="N53" s="98"/>
      <c r="O53" s="98"/>
      <c r="P53" s="98"/>
      <c r="Q53" s="99"/>
      <c r="R53" s="84"/>
      <c r="S53" s="84"/>
      <c r="T53" s="84"/>
      <c r="U53" s="84"/>
    </row>
    <row r="54" spans="1:21" ht="18" customHeight="1" x14ac:dyDescent="0.15">
      <c r="A54" s="3"/>
      <c r="B54" s="97"/>
      <c r="C54" s="98"/>
      <c r="D54" s="98"/>
      <c r="E54" s="98"/>
      <c r="F54" s="99"/>
      <c r="G54" s="84"/>
      <c r="H54" s="84"/>
      <c r="I54" s="84"/>
      <c r="J54" s="84"/>
      <c r="K54" s="97"/>
      <c r="L54" s="98"/>
      <c r="M54" s="98"/>
      <c r="N54" s="98"/>
      <c r="O54" s="98"/>
      <c r="P54" s="98"/>
      <c r="Q54" s="99"/>
      <c r="R54" s="84"/>
      <c r="S54" s="84"/>
      <c r="T54" s="84"/>
      <c r="U54" s="84"/>
    </row>
    <row r="55" spans="1:21" ht="18" customHeight="1" x14ac:dyDescent="0.15">
      <c r="A55" s="3"/>
      <c r="B55" s="100"/>
      <c r="C55" s="101"/>
      <c r="D55" s="101"/>
      <c r="E55" s="101"/>
      <c r="F55" s="102"/>
      <c r="G55" s="85"/>
      <c r="H55" s="85"/>
      <c r="I55" s="86"/>
      <c r="J55" s="86"/>
      <c r="K55" s="100"/>
      <c r="L55" s="101"/>
      <c r="M55" s="101"/>
      <c r="N55" s="101"/>
      <c r="O55" s="101"/>
      <c r="P55" s="101"/>
      <c r="Q55" s="102"/>
      <c r="R55" s="85"/>
      <c r="S55" s="85"/>
      <c r="T55" s="86"/>
      <c r="U55" s="86"/>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08" t="s">
        <v>33</v>
      </c>
      <c r="B57" s="108"/>
      <c r="C57" s="108"/>
      <c r="D57" s="108"/>
      <c r="E57" s="108"/>
      <c r="F57" s="108"/>
      <c r="G57" s="108"/>
      <c r="H57" s="108"/>
      <c r="I57" s="108"/>
      <c r="J57" s="108"/>
      <c r="K57" s="108"/>
      <c r="L57" s="108"/>
      <c r="M57" s="108"/>
      <c r="N57" s="108"/>
      <c r="O57" s="108"/>
      <c r="P57" s="108"/>
      <c r="Q57" s="108"/>
      <c r="R57" s="108"/>
      <c r="S57" s="108"/>
      <c r="T57" s="108"/>
      <c r="U57" s="108"/>
    </row>
    <row r="58" spans="1:21" ht="18" customHeight="1" x14ac:dyDescent="0.15">
      <c r="A58" s="108"/>
      <c r="B58" s="108"/>
      <c r="C58" s="108"/>
      <c r="D58" s="108"/>
      <c r="E58" s="108"/>
      <c r="F58" s="108"/>
      <c r="G58" s="108"/>
      <c r="H58" s="108"/>
      <c r="I58" s="108"/>
      <c r="J58" s="108"/>
      <c r="K58" s="108"/>
      <c r="L58" s="108"/>
      <c r="M58" s="108"/>
      <c r="N58" s="108"/>
      <c r="O58" s="108"/>
      <c r="P58" s="108"/>
      <c r="Q58" s="108"/>
      <c r="R58" s="108"/>
      <c r="S58" s="108"/>
      <c r="T58" s="108"/>
      <c r="U58" s="108"/>
    </row>
    <row r="59" spans="1:21" ht="18" customHeight="1" x14ac:dyDescent="0.15">
      <c r="B59" s="94" t="s">
        <v>20</v>
      </c>
      <c r="C59" s="95"/>
      <c r="D59" s="95"/>
      <c r="E59" s="95"/>
      <c r="F59" s="96"/>
      <c r="G59" s="47" t="s">
        <v>21</v>
      </c>
      <c r="H59" s="46" t="s">
        <v>22</v>
      </c>
      <c r="I59" s="17" t="s">
        <v>34</v>
      </c>
      <c r="J59" s="17" t="s">
        <v>35</v>
      </c>
      <c r="K59" s="94" t="s">
        <v>20</v>
      </c>
      <c r="L59" s="95"/>
      <c r="M59" s="95"/>
      <c r="N59" s="95"/>
      <c r="O59" s="95"/>
      <c r="P59" s="95"/>
      <c r="Q59" s="96"/>
      <c r="R59" s="47" t="s">
        <v>21</v>
      </c>
      <c r="S59" s="46" t="s">
        <v>22</v>
      </c>
      <c r="T59" s="17" t="s">
        <v>34</v>
      </c>
      <c r="U59" s="17" t="s">
        <v>35</v>
      </c>
    </row>
    <row r="60" spans="1:21" ht="18" customHeight="1" x14ac:dyDescent="0.15">
      <c r="A60" s="3"/>
      <c r="B60" s="105" t="s">
        <v>25</v>
      </c>
      <c r="C60" s="106"/>
      <c r="D60" s="106"/>
      <c r="E60" s="106"/>
      <c r="F60" s="107"/>
      <c r="G60" s="83">
        <v>2</v>
      </c>
      <c r="H60" s="83" t="s">
        <v>26</v>
      </c>
      <c r="I60" s="83" t="s">
        <v>26</v>
      </c>
      <c r="J60" s="83" t="s">
        <v>26</v>
      </c>
      <c r="K60" s="105"/>
      <c r="L60" s="106"/>
      <c r="M60" s="106"/>
      <c r="N60" s="106"/>
      <c r="O60" s="106"/>
      <c r="P60" s="106"/>
      <c r="Q60" s="107"/>
      <c r="R60" s="83"/>
      <c r="S60" s="83"/>
      <c r="T60" s="83"/>
      <c r="U60" s="83"/>
    </row>
    <row r="61" spans="1:21" ht="18" customHeight="1" x14ac:dyDescent="0.15">
      <c r="A61" s="3"/>
      <c r="B61" s="97"/>
      <c r="C61" s="98"/>
      <c r="D61" s="98"/>
      <c r="E61" s="98"/>
      <c r="F61" s="99"/>
      <c r="G61" s="84"/>
      <c r="H61" s="84"/>
      <c r="I61" s="84"/>
      <c r="J61" s="84"/>
      <c r="K61" s="97"/>
      <c r="L61" s="98"/>
      <c r="M61" s="98"/>
      <c r="N61" s="98"/>
      <c r="O61" s="98"/>
      <c r="P61" s="98"/>
      <c r="Q61" s="99"/>
      <c r="R61" s="84"/>
      <c r="S61" s="84"/>
      <c r="T61" s="84"/>
      <c r="U61" s="84"/>
    </row>
    <row r="62" spans="1:21" ht="18" customHeight="1" x14ac:dyDescent="0.15">
      <c r="A62" s="3"/>
      <c r="B62" s="97"/>
      <c r="C62" s="98"/>
      <c r="D62" s="98"/>
      <c r="E62" s="98"/>
      <c r="F62" s="99"/>
      <c r="G62" s="84"/>
      <c r="H62" s="84"/>
      <c r="I62" s="84"/>
      <c r="J62" s="84"/>
      <c r="K62" s="97"/>
      <c r="L62" s="98"/>
      <c r="M62" s="98"/>
      <c r="N62" s="98"/>
      <c r="O62" s="98"/>
      <c r="P62" s="98"/>
      <c r="Q62" s="99"/>
      <c r="R62" s="84"/>
      <c r="S62" s="84"/>
      <c r="T62" s="84"/>
      <c r="U62" s="84"/>
    </row>
    <row r="63" spans="1:21" ht="18" customHeight="1" x14ac:dyDescent="0.15">
      <c r="A63" s="3"/>
      <c r="B63" s="97"/>
      <c r="C63" s="98"/>
      <c r="D63" s="98"/>
      <c r="E63" s="98"/>
      <c r="F63" s="99"/>
      <c r="G63" s="84"/>
      <c r="H63" s="84"/>
      <c r="I63" s="84"/>
      <c r="J63" s="84"/>
      <c r="K63" s="97"/>
      <c r="L63" s="98"/>
      <c r="M63" s="98"/>
      <c r="N63" s="98"/>
      <c r="O63" s="98"/>
      <c r="P63" s="98"/>
      <c r="Q63" s="99"/>
      <c r="R63" s="84"/>
      <c r="S63" s="84"/>
      <c r="T63" s="84"/>
      <c r="U63" s="84"/>
    </row>
    <row r="64" spans="1:21" ht="18" customHeight="1" x14ac:dyDescent="0.15">
      <c r="A64" s="3"/>
      <c r="B64" s="97"/>
      <c r="C64" s="98"/>
      <c r="D64" s="98"/>
      <c r="E64" s="98"/>
      <c r="F64" s="99"/>
      <c r="G64" s="84"/>
      <c r="H64" s="84"/>
      <c r="I64" s="84"/>
      <c r="J64" s="84"/>
      <c r="K64" s="97"/>
      <c r="L64" s="98"/>
      <c r="M64" s="98"/>
      <c r="N64" s="98"/>
      <c r="O64" s="98"/>
      <c r="P64" s="98"/>
      <c r="Q64" s="99"/>
      <c r="R64" s="84"/>
      <c r="S64" s="84"/>
      <c r="T64" s="84"/>
      <c r="U64" s="84"/>
    </row>
    <row r="65" spans="1:21" ht="18" customHeight="1" x14ac:dyDescent="0.15">
      <c r="A65" s="3"/>
      <c r="B65" s="97"/>
      <c r="C65" s="98"/>
      <c r="D65" s="98"/>
      <c r="E65" s="98"/>
      <c r="F65" s="99"/>
      <c r="G65" s="84"/>
      <c r="H65" s="84"/>
      <c r="I65" s="84"/>
      <c r="J65" s="84"/>
      <c r="K65" s="97"/>
      <c r="L65" s="98"/>
      <c r="M65" s="98"/>
      <c r="N65" s="98"/>
      <c r="O65" s="98"/>
      <c r="P65" s="98"/>
      <c r="Q65" s="99"/>
      <c r="R65" s="84"/>
      <c r="S65" s="84"/>
      <c r="T65" s="84"/>
      <c r="U65" s="84"/>
    </row>
    <row r="66" spans="1:21" ht="18" customHeight="1" x14ac:dyDescent="0.15">
      <c r="A66" s="3"/>
      <c r="B66" s="100"/>
      <c r="C66" s="101"/>
      <c r="D66" s="101"/>
      <c r="E66" s="101"/>
      <c r="F66" s="102"/>
      <c r="G66" s="85"/>
      <c r="H66" s="85"/>
      <c r="I66" s="86"/>
      <c r="J66" s="86"/>
      <c r="K66" s="100"/>
      <c r="L66" s="101"/>
      <c r="M66" s="101"/>
      <c r="N66" s="101"/>
      <c r="O66" s="101"/>
      <c r="P66" s="101"/>
      <c r="Q66" s="102"/>
      <c r="R66" s="85"/>
      <c r="S66" s="85"/>
      <c r="T66" s="86"/>
      <c r="U66" s="86"/>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08" t="s">
        <v>36</v>
      </c>
      <c r="B68" s="108"/>
      <c r="C68" s="108"/>
      <c r="D68" s="108"/>
      <c r="E68" s="108"/>
      <c r="F68" s="108"/>
      <c r="G68" s="108"/>
      <c r="H68" s="108"/>
      <c r="I68" s="108"/>
      <c r="J68" s="108"/>
      <c r="K68" s="108"/>
      <c r="L68" s="108"/>
      <c r="M68" s="108"/>
      <c r="N68" s="108"/>
      <c r="O68" s="108"/>
      <c r="P68" s="108"/>
      <c r="Q68" s="108"/>
      <c r="R68" s="108"/>
      <c r="S68" s="108"/>
      <c r="T68" s="108"/>
      <c r="U68" s="108"/>
    </row>
    <row r="69" spans="1:21" ht="18" customHeight="1" x14ac:dyDescent="0.15">
      <c r="A69" s="108"/>
      <c r="B69" s="108"/>
      <c r="C69" s="108"/>
      <c r="D69" s="108"/>
      <c r="E69" s="108"/>
      <c r="F69" s="108"/>
      <c r="G69" s="108"/>
      <c r="H69" s="108"/>
      <c r="I69" s="108"/>
      <c r="J69" s="108"/>
      <c r="K69" s="108"/>
      <c r="L69" s="108"/>
      <c r="M69" s="108"/>
      <c r="N69" s="108"/>
      <c r="O69" s="108"/>
      <c r="P69" s="108"/>
      <c r="Q69" s="108"/>
      <c r="R69" s="108"/>
      <c r="S69" s="108"/>
      <c r="T69" s="108"/>
      <c r="U69" s="108"/>
    </row>
    <row r="70" spans="1:21" ht="18" customHeight="1" x14ac:dyDescent="0.15">
      <c r="B70" s="94" t="s">
        <v>20</v>
      </c>
      <c r="C70" s="95"/>
      <c r="D70" s="95"/>
      <c r="E70" s="95"/>
      <c r="F70" s="47" t="s">
        <v>21</v>
      </c>
      <c r="G70" s="46" t="s">
        <v>22</v>
      </c>
      <c r="H70" s="17" t="s">
        <v>37</v>
      </c>
      <c r="I70" s="17" t="s">
        <v>38</v>
      </c>
      <c r="J70" s="17" t="s">
        <v>39</v>
      </c>
      <c r="K70" s="94" t="s">
        <v>20</v>
      </c>
      <c r="L70" s="95"/>
      <c r="M70" s="95"/>
      <c r="N70" s="95"/>
      <c r="O70" s="95"/>
      <c r="P70" s="96"/>
      <c r="Q70" s="47" t="s">
        <v>21</v>
      </c>
      <c r="R70" s="46" t="s">
        <v>22</v>
      </c>
      <c r="S70" s="17" t="s">
        <v>37</v>
      </c>
      <c r="T70" s="17" t="s">
        <v>38</v>
      </c>
      <c r="U70" s="17" t="s">
        <v>39</v>
      </c>
    </row>
    <row r="71" spans="1:21" ht="18" customHeight="1" x14ac:dyDescent="0.15">
      <c r="A71" s="3"/>
      <c r="B71" s="105" t="s">
        <v>25</v>
      </c>
      <c r="C71" s="106"/>
      <c r="D71" s="106"/>
      <c r="E71" s="107"/>
      <c r="F71" s="83">
        <v>2</v>
      </c>
      <c r="G71" s="83" t="s">
        <v>26</v>
      </c>
      <c r="H71" s="83" t="s">
        <v>26</v>
      </c>
      <c r="I71" s="83" t="s">
        <v>26</v>
      </c>
      <c r="J71" s="83" t="s">
        <v>26</v>
      </c>
      <c r="K71" s="105"/>
      <c r="L71" s="106"/>
      <c r="M71" s="106"/>
      <c r="N71" s="106"/>
      <c r="O71" s="106"/>
      <c r="P71" s="107"/>
      <c r="Q71" s="83"/>
      <c r="R71" s="83"/>
      <c r="S71" s="83"/>
      <c r="T71" s="83"/>
      <c r="U71" s="83"/>
    </row>
    <row r="72" spans="1:21" ht="18" customHeight="1" x14ac:dyDescent="0.15">
      <c r="A72" s="3"/>
      <c r="B72" s="97"/>
      <c r="C72" s="98"/>
      <c r="D72" s="98"/>
      <c r="E72" s="98"/>
      <c r="F72" s="84"/>
      <c r="G72" s="84"/>
      <c r="H72" s="84"/>
      <c r="I72" s="84"/>
      <c r="J72" s="84"/>
      <c r="K72" s="97"/>
      <c r="L72" s="98"/>
      <c r="M72" s="98"/>
      <c r="N72" s="98"/>
      <c r="O72" s="98"/>
      <c r="P72" s="99"/>
      <c r="Q72" s="84"/>
      <c r="R72" s="84"/>
      <c r="S72" s="84"/>
      <c r="T72" s="84"/>
      <c r="U72" s="84"/>
    </row>
    <row r="73" spans="1:21" ht="18" customHeight="1" x14ac:dyDescent="0.15">
      <c r="A73" s="3"/>
      <c r="B73" s="97"/>
      <c r="C73" s="98"/>
      <c r="D73" s="98"/>
      <c r="E73" s="98"/>
      <c r="F73" s="84"/>
      <c r="G73" s="84"/>
      <c r="H73" s="84"/>
      <c r="I73" s="84"/>
      <c r="J73" s="84"/>
      <c r="K73" s="97"/>
      <c r="L73" s="98"/>
      <c r="M73" s="98"/>
      <c r="N73" s="98"/>
      <c r="O73" s="98"/>
      <c r="P73" s="99"/>
      <c r="Q73" s="84"/>
      <c r="R73" s="84"/>
      <c r="S73" s="84"/>
      <c r="T73" s="84"/>
      <c r="U73" s="84"/>
    </row>
    <row r="74" spans="1:21" ht="18" customHeight="1" x14ac:dyDescent="0.15">
      <c r="A74" s="3"/>
      <c r="B74" s="97"/>
      <c r="C74" s="98"/>
      <c r="D74" s="98"/>
      <c r="E74" s="98"/>
      <c r="F74" s="84"/>
      <c r="G74" s="84"/>
      <c r="H74" s="84"/>
      <c r="I74" s="84"/>
      <c r="J74" s="84"/>
      <c r="K74" s="97"/>
      <c r="L74" s="98"/>
      <c r="M74" s="98"/>
      <c r="N74" s="98"/>
      <c r="O74" s="98"/>
      <c r="P74" s="99"/>
      <c r="Q74" s="84"/>
      <c r="R74" s="84"/>
      <c r="S74" s="84"/>
      <c r="T74" s="84"/>
      <c r="U74" s="84"/>
    </row>
    <row r="75" spans="1:21" ht="18" customHeight="1" x14ac:dyDescent="0.15">
      <c r="A75" s="3"/>
      <c r="B75" s="97"/>
      <c r="C75" s="98"/>
      <c r="D75" s="98"/>
      <c r="E75" s="98"/>
      <c r="F75" s="84"/>
      <c r="G75" s="84"/>
      <c r="H75" s="84"/>
      <c r="I75" s="84"/>
      <c r="J75" s="84"/>
      <c r="K75" s="97"/>
      <c r="L75" s="98"/>
      <c r="M75" s="98"/>
      <c r="N75" s="98"/>
      <c r="O75" s="98"/>
      <c r="P75" s="99"/>
      <c r="Q75" s="84"/>
      <c r="R75" s="84"/>
      <c r="S75" s="84"/>
      <c r="T75" s="84"/>
      <c r="U75" s="84"/>
    </row>
    <row r="76" spans="1:21" ht="18" customHeight="1" x14ac:dyDescent="0.15">
      <c r="A76" s="3"/>
      <c r="B76" s="97"/>
      <c r="C76" s="98"/>
      <c r="D76" s="98"/>
      <c r="E76" s="98"/>
      <c r="F76" s="84"/>
      <c r="G76" s="84"/>
      <c r="H76" s="84"/>
      <c r="I76" s="84"/>
      <c r="J76" s="84"/>
      <c r="K76" s="97"/>
      <c r="L76" s="98"/>
      <c r="M76" s="98"/>
      <c r="N76" s="98"/>
      <c r="O76" s="98"/>
      <c r="P76" s="99"/>
      <c r="Q76" s="84"/>
      <c r="R76" s="84"/>
      <c r="S76" s="84"/>
      <c r="T76" s="84"/>
      <c r="U76" s="84"/>
    </row>
    <row r="77" spans="1:21" ht="18" customHeight="1" x14ac:dyDescent="0.15">
      <c r="A77" s="3"/>
      <c r="B77" s="100"/>
      <c r="C77" s="101"/>
      <c r="D77" s="101"/>
      <c r="E77" s="101"/>
      <c r="F77" s="85"/>
      <c r="G77" s="85"/>
      <c r="H77" s="86"/>
      <c r="I77" s="86"/>
      <c r="J77" s="86"/>
      <c r="K77" s="100"/>
      <c r="L77" s="101"/>
      <c r="M77" s="101"/>
      <c r="N77" s="101"/>
      <c r="O77" s="101"/>
      <c r="P77" s="102"/>
      <c r="Q77" s="85"/>
      <c r="R77" s="85"/>
      <c r="S77" s="86"/>
      <c r="T77" s="86"/>
      <c r="U77" s="86"/>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40</v>
      </c>
      <c r="I79" s="3"/>
      <c r="J79" s="3"/>
      <c r="K79" s="3"/>
      <c r="L79" s="3"/>
      <c r="M79" s="3"/>
      <c r="N79" s="3"/>
      <c r="O79" s="3"/>
      <c r="P79" s="3"/>
      <c r="Q79" s="3"/>
      <c r="R79" s="3"/>
      <c r="S79" s="3"/>
      <c r="T79" s="3"/>
      <c r="U79" s="3"/>
    </row>
    <row r="80" spans="1:21" ht="18" customHeight="1" x14ac:dyDescent="0.15">
      <c r="B80" s="94" t="s">
        <v>20</v>
      </c>
      <c r="C80" s="95"/>
      <c r="D80" s="95"/>
      <c r="E80" s="95"/>
      <c r="F80" s="96"/>
      <c r="G80" s="94" t="s">
        <v>41</v>
      </c>
      <c r="H80" s="95"/>
      <c r="I80" s="95"/>
      <c r="J80" s="96"/>
      <c r="K80" s="114" t="s">
        <v>20</v>
      </c>
      <c r="L80" s="115"/>
      <c r="M80" s="115"/>
      <c r="N80" s="115"/>
      <c r="O80" s="115"/>
      <c r="P80" s="115"/>
      <c r="Q80" s="116"/>
      <c r="R80" s="94" t="s">
        <v>41</v>
      </c>
      <c r="S80" s="95"/>
      <c r="T80" s="95"/>
      <c r="U80" s="96"/>
    </row>
    <row r="81" spans="1:21" ht="18" customHeight="1" x14ac:dyDescent="0.15">
      <c r="A81" s="3"/>
      <c r="B81" s="105" t="s">
        <v>42</v>
      </c>
      <c r="C81" s="106"/>
      <c r="D81" s="106"/>
      <c r="E81" s="106"/>
      <c r="F81" s="107"/>
      <c r="G81" s="109" t="s">
        <v>43</v>
      </c>
      <c r="H81" s="110"/>
      <c r="I81" s="110"/>
      <c r="J81" s="111"/>
      <c r="K81" s="105"/>
      <c r="L81" s="106"/>
      <c r="M81" s="106"/>
      <c r="N81" s="106"/>
      <c r="O81" s="106"/>
      <c r="P81" s="106"/>
      <c r="Q81" s="107"/>
      <c r="R81" s="109"/>
      <c r="S81" s="110"/>
      <c r="T81" s="110"/>
      <c r="U81" s="111"/>
    </row>
    <row r="82" spans="1:21" ht="18" customHeight="1" x14ac:dyDescent="0.15">
      <c r="A82" s="3"/>
      <c r="B82" s="97" t="s">
        <v>42</v>
      </c>
      <c r="C82" s="98"/>
      <c r="D82" s="98"/>
      <c r="E82" s="98"/>
      <c r="F82" s="99"/>
      <c r="G82" s="91" t="s">
        <v>44</v>
      </c>
      <c r="H82" s="92"/>
      <c r="I82" s="92"/>
      <c r="J82" s="93"/>
      <c r="K82" s="97"/>
      <c r="L82" s="98"/>
      <c r="M82" s="98"/>
      <c r="N82" s="98"/>
      <c r="O82" s="98"/>
      <c r="P82" s="98"/>
      <c r="Q82" s="99"/>
      <c r="R82" s="91"/>
      <c r="S82" s="92"/>
      <c r="T82" s="92"/>
      <c r="U82" s="93"/>
    </row>
    <row r="83" spans="1:21" ht="18" customHeight="1" x14ac:dyDescent="0.15">
      <c r="A83" s="3"/>
      <c r="B83" s="97"/>
      <c r="C83" s="98"/>
      <c r="D83" s="98"/>
      <c r="E83" s="98"/>
      <c r="F83" s="99"/>
      <c r="G83" s="91"/>
      <c r="H83" s="92"/>
      <c r="I83" s="92"/>
      <c r="J83" s="93"/>
      <c r="K83" s="97"/>
      <c r="L83" s="98"/>
      <c r="M83" s="98"/>
      <c r="N83" s="98"/>
      <c r="O83" s="98"/>
      <c r="P83" s="98"/>
      <c r="Q83" s="99"/>
      <c r="R83" s="91"/>
      <c r="S83" s="92"/>
      <c r="T83" s="92"/>
      <c r="U83" s="93"/>
    </row>
    <row r="84" spans="1:21" ht="18" customHeight="1" x14ac:dyDescent="0.15">
      <c r="A84" s="3"/>
      <c r="B84" s="97"/>
      <c r="C84" s="98"/>
      <c r="D84" s="98"/>
      <c r="E84" s="98"/>
      <c r="F84" s="99"/>
      <c r="G84" s="91"/>
      <c r="H84" s="92"/>
      <c r="I84" s="92"/>
      <c r="J84" s="93"/>
      <c r="K84" s="97"/>
      <c r="L84" s="98"/>
      <c r="M84" s="98"/>
      <c r="N84" s="98"/>
      <c r="O84" s="98"/>
      <c r="P84" s="98"/>
      <c r="Q84" s="99"/>
      <c r="R84" s="91"/>
      <c r="S84" s="92"/>
      <c r="T84" s="92"/>
      <c r="U84" s="93"/>
    </row>
    <row r="85" spans="1:21" ht="18" customHeight="1" x14ac:dyDescent="0.15">
      <c r="A85" s="3"/>
      <c r="B85" s="97"/>
      <c r="C85" s="98"/>
      <c r="D85" s="98"/>
      <c r="E85" s="98"/>
      <c r="F85" s="99"/>
      <c r="G85" s="91"/>
      <c r="H85" s="92"/>
      <c r="I85" s="92"/>
      <c r="J85" s="93"/>
      <c r="K85" s="97"/>
      <c r="L85" s="98"/>
      <c r="M85" s="98"/>
      <c r="N85" s="98"/>
      <c r="O85" s="98"/>
      <c r="P85" s="98"/>
      <c r="Q85" s="99"/>
      <c r="R85" s="91"/>
      <c r="S85" s="92"/>
      <c r="T85" s="92"/>
      <c r="U85" s="93"/>
    </row>
    <row r="86" spans="1:21" ht="18" customHeight="1" x14ac:dyDescent="0.15">
      <c r="A86" s="3"/>
      <c r="B86" s="97"/>
      <c r="C86" s="98"/>
      <c r="D86" s="98"/>
      <c r="E86" s="98"/>
      <c r="F86" s="99"/>
      <c r="G86" s="91"/>
      <c r="H86" s="92"/>
      <c r="I86" s="92"/>
      <c r="J86" s="93"/>
      <c r="K86" s="97"/>
      <c r="L86" s="98"/>
      <c r="M86" s="98"/>
      <c r="N86" s="98"/>
      <c r="O86" s="98"/>
      <c r="P86" s="98"/>
      <c r="Q86" s="99"/>
      <c r="R86" s="91"/>
      <c r="S86" s="92"/>
      <c r="T86" s="92"/>
      <c r="U86" s="93"/>
    </row>
    <row r="87" spans="1:21" ht="18" customHeight="1" x14ac:dyDescent="0.15">
      <c r="A87" s="3"/>
      <c r="B87" s="100"/>
      <c r="C87" s="101"/>
      <c r="D87" s="101"/>
      <c r="E87" s="101"/>
      <c r="F87" s="102"/>
      <c r="G87" s="132"/>
      <c r="H87" s="133"/>
      <c r="I87" s="133"/>
      <c r="J87" s="134"/>
      <c r="K87" s="100"/>
      <c r="L87" s="101"/>
      <c r="M87" s="101"/>
      <c r="N87" s="101"/>
      <c r="O87" s="101"/>
      <c r="P87" s="101"/>
      <c r="Q87" s="102"/>
      <c r="R87" s="132"/>
      <c r="S87" s="133"/>
      <c r="T87" s="133"/>
      <c r="U87" s="134"/>
    </row>
    <row r="88" spans="1:21" ht="18" customHeight="1" x14ac:dyDescent="0.15">
      <c r="A88" s="3"/>
      <c r="B88" s="6"/>
      <c r="C88" s="6"/>
      <c r="D88" s="6"/>
      <c r="E88" s="6"/>
      <c r="F88" s="6"/>
      <c r="G88" s="18"/>
      <c r="H88" s="18"/>
      <c r="I88" s="18"/>
      <c r="J88" s="18"/>
      <c r="K88" s="6"/>
      <c r="L88" s="6"/>
      <c r="M88" s="6"/>
      <c r="N88" s="6"/>
      <c r="O88" s="6"/>
      <c r="P88" s="6"/>
      <c r="Q88" s="6"/>
      <c r="R88" s="18"/>
      <c r="S88" s="18"/>
      <c r="T88" s="18"/>
      <c r="U88" s="18"/>
    </row>
    <row r="89" spans="1:21" ht="18.75" customHeight="1" x14ac:dyDescent="0.15">
      <c r="A89" s="1" t="s">
        <v>45</v>
      </c>
    </row>
    <row r="90" spans="1:21" ht="18.75" customHeight="1" x14ac:dyDescent="0.15">
      <c r="B90" s="135" t="s">
        <v>46</v>
      </c>
      <c r="C90" s="136"/>
      <c r="D90" s="94" t="s">
        <v>47</v>
      </c>
      <c r="E90" s="95"/>
      <c r="F90" s="95"/>
      <c r="G90" s="95"/>
      <c r="H90" s="95"/>
      <c r="I90" s="95"/>
      <c r="J90" s="95"/>
      <c r="K90" s="95"/>
      <c r="L90" s="95"/>
      <c r="M90" s="95"/>
      <c r="N90" s="95"/>
      <c r="O90" s="95"/>
      <c r="P90" s="95"/>
      <c r="Q90" s="95"/>
      <c r="R90" s="95"/>
      <c r="S90" s="95"/>
      <c r="T90" s="95"/>
      <c r="U90" s="96"/>
    </row>
    <row r="91" spans="1:21" ht="97.5" customHeight="1" x14ac:dyDescent="0.15">
      <c r="B91" s="112" t="s">
        <v>48</v>
      </c>
      <c r="C91" s="19" t="s">
        <v>23</v>
      </c>
      <c r="D91" s="148" t="s">
        <v>49</v>
      </c>
      <c r="E91" s="149"/>
      <c r="F91" s="149"/>
      <c r="G91" s="149"/>
      <c r="H91" s="149"/>
      <c r="I91" s="149"/>
      <c r="J91" s="149"/>
      <c r="K91" s="149"/>
      <c r="L91" s="149"/>
      <c r="M91" s="149"/>
      <c r="N91" s="149"/>
      <c r="O91" s="149"/>
      <c r="P91" s="149"/>
      <c r="Q91" s="149"/>
      <c r="R91" s="149"/>
      <c r="S91" s="149"/>
      <c r="T91" s="149"/>
      <c r="U91" s="150"/>
    </row>
    <row r="92" spans="1:21" ht="97.5" customHeight="1" x14ac:dyDescent="0.15">
      <c r="B92" s="117"/>
      <c r="C92" s="20" t="s">
        <v>50</v>
      </c>
      <c r="D92" s="145" t="s">
        <v>51</v>
      </c>
      <c r="E92" s="146"/>
      <c r="F92" s="146"/>
      <c r="G92" s="146"/>
      <c r="H92" s="146"/>
      <c r="I92" s="146"/>
      <c r="J92" s="146"/>
      <c r="K92" s="146"/>
      <c r="L92" s="146"/>
      <c r="M92" s="146"/>
      <c r="N92" s="146"/>
      <c r="O92" s="146"/>
      <c r="P92" s="146"/>
      <c r="Q92" s="146"/>
      <c r="R92" s="146"/>
      <c r="S92" s="146"/>
      <c r="T92" s="146"/>
      <c r="U92" s="147"/>
    </row>
    <row r="93" spans="1:21" ht="97.5" customHeight="1" x14ac:dyDescent="0.15">
      <c r="B93" s="112" t="s">
        <v>52</v>
      </c>
      <c r="C93" s="21" t="s">
        <v>28</v>
      </c>
      <c r="D93" s="148" t="s">
        <v>53</v>
      </c>
      <c r="E93" s="149"/>
      <c r="F93" s="149"/>
      <c r="G93" s="149"/>
      <c r="H93" s="149"/>
      <c r="I93" s="149"/>
      <c r="J93" s="149"/>
      <c r="K93" s="149"/>
      <c r="L93" s="149"/>
      <c r="M93" s="149"/>
      <c r="N93" s="149"/>
      <c r="O93" s="149"/>
      <c r="P93" s="149"/>
      <c r="Q93" s="149"/>
      <c r="R93" s="149"/>
      <c r="S93" s="149"/>
      <c r="T93" s="149"/>
      <c r="U93" s="150"/>
    </row>
    <row r="94" spans="1:21" ht="97.5" customHeight="1" x14ac:dyDescent="0.15">
      <c r="B94" s="113"/>
      <c r="C94" s="22" t="s">
        <v>29</v>
      </c>
      <c r="D94" s="145" t="s">
        <v>54</v>
      </c>
      <c r="E94" s="146"/>
      <c r="F94" s="146"/>
      <c r="G94" s="146"/>
      <c r="H94" s="146"/>
      <c r="I94" s="146"/>
      <c r="J94" s="146"/>
      <c r="K94" s="146"/>
      <c r="L94" s="146"/>
      <c r="M94" s="146"/>
      <c r="N94" s="146"/>
      <c r="O94" s="146"/>
      <c r="P94" s="146"/>
      <c r="Q94" s="146"/>
      <c r="R94" s="146"/>
      <c r="S94" s="146"/>
      <c r="T94" s="146"/>
      <c r="U94" s="147"/>
    </row>
    <row r="95" spans="1:21" ht="97.5" customHeight="1" x14ac:dyDescent="0.15">
      <c r="B95" s="112" t="s">
        <v>55</v>
      </c>
      <c r="C95" s="21" t="s">
        <v>31</v>
      </c>
      <c r="D95" s="148" t="s">
        <v>56</v>
      </c>
      <c r="E95" s="149"/>
      <c r="F95" s="149"/>
      <c r="G95" s="149"/>
      <c r="H95" s="149"/>
      <c r="I95" s="149"/>
      <c r="J95" s="149"/>
      <c r="K95" s="149"/>
      <c r="L95" s="149"/>
      <c r="M95" s="149"/>
      <c r="N95" s="149"/>
      <c r="O95" s="149"/>
      <c r="P95" s="149"/>
      <c r="Q95" s="149"/>
      <c r="R95" s="149"/>
      <c r="S95" s="149"/>
      <c r="T95" s="149"/>
      <c r="U95" s="150"/>
    </row>
    <row r="96" spans="1:21" ht="97.5" customHeight="1" x14ac:dyDescent="0.15">
      <c r="B96" s="113"/>
      <c r="C96" s="23" t="s">
        <v>32</v>
      </c>
      <c r="D96" s="145" t="s">
        <v>57</v>
      </c>
      <c r="E96" s="146"/>
      <c r="F96" s="146"/>
      <c r="G96" s="146"/>
      <c r="H96" s="146"/>
      <c r="I96" s="146"/>
      <c r="J96" s="146"/>
      <c r="K96" s="146"/>
      <c r="L96" s="146"/>
      <c r="M96" s="146"/>
      <c r="N96" s="146"/>
      <c r="O96" s="146"/>
      <c r="P96" s="146"/>
      <c r="Q96" s="146"/>
      <c r="R96" s="146"/>
      <c r="S96" s="146"/>
      <c r="T96" s="146"/>
      <c r="U96" s="147"/>
    </row>
    <row r="97" spans="1:33" ht="97.5" customHeight="1" x14ac:dyDescent="0.15">
      <c r="B97" s="112" t="s">
        <v>58</v>
      </c>
      <c r="C97" s="19" t="s">
        <v>34</v>
      </c>
      <c r="D97" s="148" t="s">
        <v>59</v>
      </c>
      <c r="E97" s="149"/>
      <c r="F97" s="149"/>
      <c r="G97" s="149"/>
      <c r="H97" s="149"/>
      <c r="I97" s="149"/>
      <c r="J97" s="149"/>
      <c r="K97" s="149"/>
      <c r="L97" s="149"/>
      <c r="M97" s="149"/>
      <c r="N97" s="149"/>
      <c r="O97" s="149"/>
      <c r="P97" s="149"/>
      <c r="Q97" s="149"/>
      <c r="R97" s="149"/>
      <c r="S97" s="149"/>
      <c r="T97" s="149"/>
      <c r="U97" s="150"/>
    </row>
    <row r="98" spans="1:33" ht="97.5" customHeight="1" x14ac:dyDescent="0.15">
      <c r="B98" s="113"/>
      <c r="C98" s="22" t="s">
        <v>35</v>
      </c>
      <c r="D98" s="145" t="s">
        <v>60</v>
      </c>
      <c r="E98" s="146"/>
      <c r="F98" s="146"/>
      <c r="G98" s="146"/>
      <c r="H98" s="146"/>
      <c r="I98" s="146"/>
      <c r="J98" s="146"/>
      <c r="K98" s="146"/>
      <c r="L98" s="146"/>
      <c r="M98" s="146"/>
      <c r="N98" s="146"/>
      <c r="O98" s="146"/>
      <c r="P98" s="146"/>
      <c r="Q98" s="146"/>
      <c r="R98" s="146"/>
      <c r="S98" s="146"/>
      <c r="T98" s="146"/>
      <c r="U98" s="147"/>
    </row>
    <row r="99" spans="1:33" ht="97.5" customHeight="1" x14ac:dyDescent="0.15">
      <c r="B99" s="112" t="s">
        <v>61</v>
      </c>
      <c r="C99" s="21" t="s">
        <v>62</v>
      </c>
      <c r="D99" s="148" t="s">
        <v>165</v>
      </c>
      <c r="E99" s="149"/>
      <c r="F99" s="149"/>
      <c r="G99" s="149"/>
      <c r="H99" s="149"/>
      <c r="I99" s="149"/>
      <c r="J99" s="149"/>
      <c r="K99" s="149"/>
      <c r="L99" s="149"/>
      <c r="M99" s="149"/>
      <c r="N99" s="149"/>
      <c r="O99" s="149"/>
      <c r="P99" s="149"/>
      <c r="Q99" s="149"/>
      <c r="R99" s="149"/>
      <c r="S99" s="149"/>
      <c r="T99" s="149"/>
      <c r="U99" s="150"/>
    </row>
    <row r="100" spans="1:33" ht="97.5" customHeight="1" x14ac:dyDescent="0.15">
      <c r="B100" s="117"/>
      <c r="C100" s="24" t="s">
        <v>38</v>
      </c>
      <c r="D100" s="151" t="s">
        <v>63</v>
      </c>
      <c r="E100" s="152"/>
      <c r="F100" s="152"/>
      <c r="G100" s="152"/>
      <c r="H100" s="152"/>
      <c r="I100" s="152"/>
      <c r="J100" s="152"/>
      <c r="K100" s="152"/>
      <c r="L100" s="152"/>
      <c r="M100" s="152"/>
      <c r="N100" s="152"/>
      <c r="O100" s="152"/>
      <c r="P100" s="152"/>
      <c r="Q100" s="152"/>
      <c r="R100" s="152"/>
      <c r="S100" s="152"/>
      <c r="T100" s="152"/>
      <c r="U100" s="153"/>
    </row>
    <row r="101" spans="1:33" ht="97.5" customHeight="1" x14ac:dyDescent="0.15">
      <c r="B101" s="113"/>
      <c r="C101" s="23" t="s">
        <v>39</v>
      </c>
      <c r="D101" s="145" t="s">
        <v>64</v>
      </c>
      <c r="E101" s="146"/>
      <c r="F101" s="146"/>
      <c r="G101" s="146"/>
      <c r="H101" s="146"/>
      <c r="I101" s="146"/>
      <c r="J101" s="146"/>
      <c r="K101" s="146"/>
      <c r="L101" s="146"/>
      <c r="M101" s="146"/>
      <c r="N101" s="146"/>
      <c r="O101" s="146"/>
      <c r="P101" s="146"/>
      <c r="Q101" s="146"/>
      <c r="R101" s="146"/>
      <c r="S101" s="146"/>
      <c r="T101" s="146"/>
      <c r="U101" s="147"/>
    </row>
    <row r="102" spans="1:33" ht="6" customHeight="1" x14ac:dyDescent="0.15"/>
    <row r="103" spans="1:33" ht="18.75" customHeight="1" x14ac:dyDescent="0.15">
      <c r="A103" s="1" t="s">
        <v>65</v>
      </c>
    </row>
    <row r="104" spans="1:33" ht="87" customHeight="1" x14ac:dyDescent="0.15">
      <c r="B104" s="129" t="s">
        <v>160</v>
      </c>
      <c r="C104" s="130"/>
      <c r="D104" s="130"/>
      <c r="E104" s="130"/>
      <c r="F104" s="130"/>
      <c r="G104" s="130"/>
      <c r="H104" s="130"/>
      <c r="I104" s="130"/>
      <c r="J104" s="130"/>
      <c r="K104" s="130"/>
      <c r="L104" s="130"/>
      <c r="M104" s="130"/>
      <c r="N104" s="130"/>
      <c r="O104" s="130"/>
      <c r="P104" s="130"/>
      <c r="Q104" s="130"/>
      <c r="R104" s="130"/>
      <c r="S104" s="130"/>
      <c r="T104" s="130"/>
      <c r="U104" s="131"/>
    </row>
    <row r="106" spans="1:33" ht="18.75" customHeight="1" x14ac:dyDescent="0.15">
      <c r="A106" s="71" t="s">
        <v>66</v>
      </c>
      <c r="B106" s="72"/>
      <c r="C106" s="72"/>
      <c r="D106" s="72"/>
      <c r="E106" s="72"/>
      <c r="F106" s="72"/>
      <c r="G106" s="72"/>
      <c r="H106" s="72"/>
      <c r="I106" s="72"/>
      <c r="J106" s="72"/>
      <c r="K106" s="72"/>
      <c r="L106" s="72"/>
      <c r="M106" s="72"/>
      <c r="N106" s="72"/>
      <c r="O106" s="72"/>
      <c r="P106" s="72"/>
      <c r="Q106" s="72"/>
      <c r="R106" s="72"/>
      <c r="S106" s="72"/>
      <c r="T106" s="72"/>
      <c r="U106" s="72"/>
    </row>
    <row r="107" spans="1:33" ht="18.75" customHeight="1" x14ac:dyDescent="0.15">
      <c r="A107" s="71" t="s">
        <v>67</v>
      </c>
      <c r="B107" s="71"/>
      <c r="C107" s="71"/>
      <c r="D107" s="71"/>
      <c r="E107" s="71"/>
      <c r="F107" s="71"/>
      <c r="G107" s="71"/>
      <c r="H107" s="71"/>
      <c r="I107" s="71"/>
      <c r="J107" s="71"/>
      <c r="K107" s="71"/>
      <c r="L107" s="71"/>
      <c r="M107" s="71"/>
      <c r="N107" s="71"/>
      <c r="O107" s="71"/>
      <c r="P107" s="71"/>
      <c r="Q107" s="71"/>
      <c r="R107" s="71"/>
      <c r="S107" s="71"/>
      <c r="T107" s="71"/>
      <c r="U107" s="71"/>
      <c r="V107" s="2"/>
      <c r="W107" s="2"/>
      <c r="X107" s="2"/>
      <c r="Y107" s="2"/>
      <c r="Z107" s="2"/>
      <c r="AA107" s="2"/>
      <c r="AB107" s="2"/>
      <c r="AC107" s="2"/>
      <c r="AD107" s="2"/>
      <c r="AE107" s="2"/>
      <c r="AF107" s="2"/>
      <c r="AG107" s="2"/>
    </row>
    <row r="108" spans="1:33" ht="18.75" customHeight="1" x14ac:dyDescent="0.15">
      <c r="A108" s="71"/>
      <c r="B108" s="144" t="s">
        <v>68</v>
      </c>
      <c r="C108" s="144"/>
      <c r="D108" s="144"/>
      <c r="E108" s="144"/>
      <c r="F108" s="144"/>
      <c r="G108" s="144"/>
      <c r="H108" s="144"/>
      <c r="I108" s="144"/>
      <c r="J108" s="144"/>
      <c r="K108" s="144"/>
      <c r="L108" s="144"/>
      <c r="M108" s="144"/>
      <c r="N108" s="144"/>
      <c r="O108" s="144"/>
      <c r="P108" s="144"/>
      <c r="Q108" s="144"/>
      <c r="R108" s="144"/>
      <c r="S108" s="144"/>
      <c r="T108" s="144"/>
      <c r="U108" s="144"/>
      <c r="V108" s="67"/>
      <c r="W108" s="67"/>
      <c r="X108" s="67"/>
      <c r="Y108" s="67"/>
      <c r="Z108" s="67"/>
      <c r="AA108" s="67"/>
      <c r="AB108" s="67"/>
      <c r="AC108" s="67"/>
      <c r="AD108" s="67"/>
      <c r="AE108" s="67"/>
      <c r="AF108" s="67"/>
      <c r="AG108" s="67"/>
    </row>
    <row r="109" spans="1:33" ht="37.15" customHeight="1" x14ac:dyDescent="0.15">
      <c r="A109" s="71"/>
      <c r="B109" s="144"/>
      <c r="C109" s="144"/>
      <c r="D109" s="144"/>
      <c r="E109" s="144"/>
      <c r="F109" s="144"/>
      <c r="G109" s="144"/>
      <c r="H109" s="144"/>
      <c r="I109" s="144"/>
      <c r="J109" s="144"/>
      <c r="K109" s="144"/>
      <c r="L109" s="144"/>
      <c r="M109" s="144"/>
      <c r="N109" s="144"/>
      <c r="O109" s="144"/>
      <c r="P109" s="144"/>
      <c r="Q109" s="144"/>
      <c r="R109" s="144"/>
      <c r="S109" s="144"/>
      <c r="T109" s="144"/>
      <c r="U109" s="144"/>
      <c r="V109" s="67"/>
      <c r="W109" s="67"/>
      <c r="X109" s="67"/>
      <c r="Y109" s="67"/>
      <c r="Z109" s="67"/>
      <c r="AA109" s="67"/>
      <c r="AB109" s="67"/>
      <c r="AC109" s="67"/>
      <c r="AD109" s="67"/>
      <c r="AE109" s="67"/>
      <c r="AF109" s="67"/>
      <c r="AG109" s="67"/>
    </row>
    <row r="110" spans="1:33" ht="18.75" customHeight="1" x14ac:dyDescent="0.15">
      <c r="A110" s="71"/>
      <c r="B110" s="90" t="s">
        <v>69</v>
      </c>
      <c r="C110" s="90"/>
      <c r="D110" s="90"/>
      <c r="E110" s="90"/>
      <c r="F110" s="90"/>
      <c r="G110" s="90"/>
      <c r="H110" s="90"/>
      <c r="I110" s="90"/>
      <c r="J110" s="90"/>
      <c r="K110" s="90"/>
      <c r="L110" s="90"/>
      <c r="M110" s="90"/>
      <c r="N110" s="90"/>
      <c r="O110" s="90"/>
      <c r="P110" s="90"/>
      <c r="Q110" s="90"/>
      <c r="R110" s="90"/>
      <c r="S110" s="90"/>
      <c r="T110" s="90"/>
      <c r="U110" s="90"/>
      <c r="V110" s="67"/>
      <c r="W110" s="67"/>
      <c r="X110" s="67"/>
      <c r="Y110" s="67"/>
      <c r="Z110" s="67"/>
      <c r="AA110" s="67"/>
      <c r="AB110" s="67"/>
      <c r="AC110" s="67"/>
      <c r="AD110" s="67"/>
      <c r="AE110" s="67"/>
      <c r="AF110" s="67"/>
      <c r="AG110" s="67"/>
    </row>
    <row r="111" spans="1:33" ht="18.75" customHeight="1" x14ac:dyDescent="0.15">
      <c r="A111" s="71"/>
      <c r="B111" s="103" t="s">
        <v>47</v>
      </c>
      <c r="C111" s="103"/>
      <c r="D111" s="103"/>
      <c r="E111" s="103"/>
      <c r="F111" s="103"/>
      <c r="G111" s="103"/>
      <c r="H111" s="103"/>
      <c r="I111" s="103"/>
      <c r="J111" s="103"/>
      <c r="K111" s="103"/>
      <c r="L111" s="103"/>
      <c r="M111" s="103"/>
      <c r="N111" s="103"/>
      <c r="O111" s="103"/>
      <c r="P111" s="103"/>
      <c r="Q111" s="103"/>
      <c r="R111" s="103"/>
      <c r="S111" s="103"/>
      <c r="T111" s="103"/>
      <c r="U111" s="103"/>
      <c r="V111" s="66"/>
      <c r="W111" s="66"/>
      <c r="X111" s="66"/>
      <c r="Y111" s="66"/>
      <c r="Z111" s="66"/>
      <c r="AA111" s="66"/>
      <c r="AB111" s="66"/>
      <c r="AC111" s="66"/>
      <c r="AD111" s="66"/>
      <c r="AE111" s="66"/>
      <c r="AF111" s="66"/>
      <c r="AG111" s="66"/>
    </row>
    <row r="112" spans="1:33" ht="132" customHeight="1" x14ac:dyDescent="0.15">
      <c r="A112" s="71"/>
      <c r="B112" s="104"/>
      <c r="C112" s="104"/>
      <c r="D112" s="104"/>
      <c r="E112" s="104"/>
      <c r="F112" s="104"/>
      <c r="G112" s="104"/>
      <c r="H112" s="104"/>
      <c r="I112" s="104"/>
      <c r="J112" s="104"/>
      <c r="K112" s="104"/>
      <c r="L112" s="104"/>
      <c r="M112" s="104"/>
      <c r="N112" s="104"/>
      <c r="O112" s="104"/>
      <c r="P112" s="104"/>
      <c r="Q112" s="104"/>
      <c r="R112" s="104"/>
      <c r="S112" s="104"/>
      <c r="T112" s="104"/>
      <c r="U112" s="104"/>
      <c r="V112" s="68"/>
      <c r="W112" s="68"/>
      <c r="X112" s="68"/>
      <c r="Y112" s="68"/>
      <c r="Z112" s="68"/>
      <c r="AA112" s="68"/>
      <c r="AB112" s="68"/>
      <c r="AC112" s="68"/>
      <c r="AD112" s="68"/>
      <c r="AE112" s="68"/>
      <c r="AF112" s="68"/>
      <c r="AG112" s="68"/>
    </row>
    <row r="114" ht="18" customHeight="1" x14ac:dyDescent="0.15"/>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R71:U77 S38:U44 H38:J44 S49:U55 H49:J55 S60:U66 G71:J77 H60:J66">
      <formula1>"○"</formula1>
    </dataValidation>
    <dataValidation type="list" allowBlank="1" showInputMessage="1" showErrorMessage="1" sqref="U34 U45 E34:H34 E45:H45">
      <formula1>"全学開講,一部開講"</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G81:G88 R81:R88 H81:J82 H85:J88 S85:U88 S81:U8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view="pageBreakPreview" zoomScaleNormal="100" zoomScaleSheetLayoutView="100" workbookViewId="0">
      <selection activeCell="S126" sqref="S126"/>
    </sheetView>
  </sheetViews>
  <sheetFormatPr defaultColWidth="9" defaultRowHeight="18.75" customHeight="1" x14ac:dyDescent="0.15"/>
  <cols>
    <col min="1" max="1" width="2.75" style="1" customWidth="1"/>
    <col min="2" max="2" width="20.75" style="1" customWidth="1"/>
    <col min="3" max="18" width="6.125" style="1" customWidth="1"/>
    <col min="19" max="19" width="6.625" style="1" customWidth="1"/>
    <col min="20" max="16384" width="9" style="1"/>
  </cols>
  <sheetData>
    <row r="1" spans="1:21" ht="18" customHeight="1" x14ac:dyDescent="0.15">
      <c r="A1" s="72"/>
      <c r="B1" s="72"/>
      <c r="C1" s="72"/>
      <c r="D1" s="72"/>
      <c r="E1" s="72"/>
      <c r="F1" s="72"/>
      <c r="G1" s="72"/>
      <c r="H1" s="72"/>
      <c r="I1" s="72"/>
      <c r="J1" s="72"/>
      <c r="K1" s="72"/>
      <c r="L1" s="72"/>
      <c r="M1" s="72"/>
      <c r="N1" s="72"/>
      <c r="O1" s="72"/>
      <c r="P1" s="72"/>
      <c r="Q1" s="72"/>
      <c r="R1" s="72"/>
      <c r="S1" s="72" t="s">
        <v>70</v>
      </c>
    </row>
    <row r="2" spans="1:21" ht="18" customHeight="1" x14ac:dyDescent="0.15">
      <c r="A2" s="72"/>
      <c r="B2" s="72"/>
      <c r="C2" s="72"/>
      <c r="D2" s="72"/>
      <c r="E2" s="72"/>
      <c r="F2" s="72"/>
      <c r="G2" s="72"/>
      <c r="H2" s="72"/>
      <c r="I2" s="72"/>
      <c r="J2" s="72"/>
      <c r="K2" s="72"/>
      <c r="L2" s="72"/>
      <c r="M2" s="72"/>
      <c r="N2" s="72"/>
      <c r="O2" s="72"/>
      <c r="P2" s="72"/>
      <c r="Q2" s="167" t="str">
        <f>'様式１　プログラムを構成する授業科目'!C2</f>
        <v>高崎経済大学</v>
      </c>
      <c r="R2" s="167"/>
      <c r="S2" s="167"/>
    </row>
    <row r="3" spans="1:21" ht="18" customHeight="1" x14ac:dyDescent="0.15">
      <c r="A3" s="118" t="s">
        <v>71</v>
      </c>
      <c r="B3" s="118"/>
      <c r="C3" s="118"/>
      <c r="D3" s="118"/>
      <c r="E3" s="118"/>
      <c r="F3" s="118"/>
      <c r="G3" s="118"/>
      <c r="H3" s="118"/>
      <c r="I3" s="118"/>
      <c r="J3" s="118"/>
      <c r="K3" s="118"/>
      <c r="L3" s="118"/>
      <c r="M3" s="118"/>
      <c r="N3" s="118"/>
      <c r="O3" s="118"/>
      <c r="P3" s="118"/>
      <c r="Q3" s="118"/>
      <c r="R3" s="118"/>
      <c r="S3" s="118"/>
    </row>
    <row r="4" spans="1:21" ht="7.5" customHeight="1" x14ac:dyDescent="0.15">
      <c r="A4" s="77"/>
      <c r="B4" s="77"/>
      <c r="C4" s="77"/>
      <c r="D4" s="77"/>
      <c r="E4" s="77"/>
      <c r="F4" s="77"/>
      <c r="G4" s="77"/>
      <c r="H4" s="77"/>
      <c r="I4" s="77"/>
      <c r="J4" s="77"/>
      <c r="K4" s="77"/>
      <c r="L4" s="77"/>
      <c r="M4" s="77"/>
      <c r="N4" s="77"/>
      <c r="O4" s="77"/>
      <c r="P4" s="77"/>
      <c r="Q4" s="77"/>
      <c r="R4" s="77"/>
      <c r="S4" s="77"/>
    </row>
    <row r="5" spans="1:21" ht="18" customHeight="1" x14ac:dyDescent="0.15">
      <c r="A5" s="72" t="s">
        <v>72</v>
      </c>
      <c r="B5" s="72"/>
      <c r="C5" s="168" t="s">
        <v>73</v>
      </c>
      <c r="D5" s="169"/>
      <c r="E5" s="77" t="s">
        <v>74</v>
      </c>
      <c r="F5" s="77"/>
      <c r="G5" s="77"/>
      <c r="H5" s="77"/>
      <c r="I5" s="77"/>
      <c r="J5" s="77"/>
      <c r="K5" s="77"/>
      <c r="L5" s="77"/>
      <c r="M5" s="77"/>
      <c r="N5" s="77"/>
      <c r="O5" s="77"/>
      <c r="P5" s="77"/>
      <c r="Q5" s="77"/>
      <c r="R5" s="75"/>
      <c r="S5" s="75"/>
    </row>
    <row r="6" spans="1:21" ht="7.15" customHeight="1" x14ac:dyDescent="0.15">
      <c r="A6" s="72"/>
      <c r="B6" s="72"/>
      <c r="C6" s="82"/>
      <c r="D6" s="82"/>
      <c r="E6" s="77"/>
      <c r="F6" s="77"/>
      <c r="G6" s="77"/>
      <c r="H6" s="77"/>
      <c r="I6" s="77"/>
      <c r="J6" s="77"/>
      <c r="K6" s="77"/>
      <c r="L6" s="77"/>
      <c r="M6" s="77"/>
      <c r="N6" s="77"/>
      <c r="O6" s="77"/>
      <c r="P6" s="77"/>
      <c r="Q6" s="77"/>
      <c r="R6" s="75"/>
      <c r="S6" s="75"/>
    </row>
    <row r="7" spans="1:21" ht="18" customHeight="1" x14ac:dyDescent="0.15">
      <c r="A7" s="72" t="s">
        <v>75</v>
      </c>
      <c r="B7" s="72"/>
      <c r="C7" s="82"/>
      <c r="D7" s="82"/>
      <c r="E7" s="77" t="s">
        <v>76</v>
      </c>
      <c r="F7" s="80">
        <v>2564</v>
      </c>
      <c r="G7" s="78" t="s">
        <v>77</v>
      </c>
      <c r="H7" s="77" t="s">
        <v>78</v>
      </c>
      <c r="I7" s="80">
        <v>1490</v>
      </c>
      <c r="J7" s="78" t="s">
        <v>77</v>
      </c>
      <c r="K7" s="74" t="s">
        <v>79</v>
      </c>
      <c r="L7" s="77" t="s">
        <v>80</v>
      </c>
      <c r="M7" s="80">
        <f>F7+I7</f>
        <v>4054</v>
      </c>
      <c r="N7" s="77" t="s">
        <v>81</v>
      </c>
      <c r="O7" s="78" t="s">
        <v>82</v>
      </c>
      <c r="P7" s="77"/>
      <c r="Q7" s="77"/>
      <c r="R7" s="75"/>
      <c r="S7" s="75"/>
    </row>
    <row r="8" spans="1:21" ht="6" customHeight="1" x14ac:dyDescent="0.15">
      <c r="A8" s="77"/>
      <c r="B8" s="77"/>
      <c r="C8" s="77"/>
      <c r="D8" s="77"/>
      <c r="E8" s="77"/>
      <c r="F8" s="77"/>
      <c r="G8" s="77"/>
      <c r="H8" s="77"/>
      <c r="I8" s="77"/>
      <c r="J8" s="77"/>
      <c r="K8" s="77"/>
      <c r="L8" s="77"/>
      <c r="M8" s="77"/>
      <c r="N8" s="77"/>
      <c r="O8" s="77"/>
      <c r="P8" s="77"/>
      <c r="Q8" s="77"/>
      <c r="R8" s="77"/>
      <c r="S8" s="77"/>
    </row>
    <row r="9" spans="1:21" ht="18" customHeight="1" x14ac:dyDescent="0.15">
      <c r="A9" s="72" t="s">
        <v>83</v>
      </c>
      <c r="B9" s="77"/>
      <c r="C9" s="77"/>
      <c r="D9" s="77"/>
      <c r="E9" s="77"/>
      <c r="F9" s="77"/>
      <c r="G9" s="77"/>
      <c r="H9" s="77"/>
      <c r="I9" s="77"/>
      <c r="J9" s="77"/>
      <c r="K9" s="77"/>
      <c r="L9" s="77"/>
      <c r="M9" s="77"/>
      <c r="N9" s="77"/>
      <c r="O9" s="77"/>
      <c r="P9" s="77"/>
      <c r="Q9" s="77"/>
      <c r="R9" s="77"/>
      <c r="S9" s="77"/>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70" t="s">
        <v>84</v>
      </c>
      <c r="C11" s="180" t="s">
        <v>85</v>
      </c>
      <c r="D11" s="172" t="s">
        <v>86</v>
      </c>
      <c r="E11" s="174" t="s">
        <v>87</v>
      </c>
      <c r="F11" s="166" t="s">
        <v>88</v>
      </c>
      <c r="G11" s="166"/>
      <c r="H11" s="166" t="s">
        <v>89</v>
      </c>
      <c r="I11" s="166"/>
      <c r="J11" s="166" t="s">
        <v>90</v>
      </c>
      <c r="K11" s="166"/>
      <c r="L11" s="166" t="s">
        <v>91</v>
      </c>
      <c r="M11" s="166"/>
      <c r="N11" s="166" t="s">
        <v>92</v>
      </c>
      <c r="O11" s="166"/>
      <c r="P11" s="166" t="s">
        <v>93</v>
      </c>
      <c r="Q11" s="166"/>
      <c r="R11" s="176" t="s">
        <v>94</v>
      </c>
      <c r="S11" s="178" t="s">
        <v>95</v>
      </c>
      <c r="U11" s="2"/>
    </row>
    <row r="12" spans="1:21" ht="16.899999999999999" customHeight="1" x14ac:dyDescent="0.15">
      <c r="B12" s="171"/>
      <c r="C12" s="181"/>
      <c r="D12" s="173"/>
      <c r="E12" s="175"/>
      <c r="F12" s="60" t="s">
        <v>96</v>
      </c>
      <c r="G12" s="60" t="s">
        <v>97</v>
      </c>
      <c r="H12" s="60" t="s">
        <v>96</v>
      </c>
      <c r="I12" s="60" t="s">
        <v>97</v>
      </c>
      <c r="J12" s="60" t="s">
        <v>96</v>
      </c>
      <c r="K12" s="60" t="s">
        <v>97</v>
      </c>
      <c r="L12" s="60" t="s">
        <v>96</v>
      </c>
      <c r="M12" s="60" t="s">
        <v>97</v>
      </c>
      <c r="N12" s="60" t="s">
        <v>96</v>
      </c>
      <c r="O12" s="60" t="s">
        <v>97</v>
      </c>
      <c r="P12" s="60" t="s">
        <v>96</v>
      </c>
      <c r="Q12" s="61" t="s">
        <v>97</v>
      </c>
      <c r="R12" s="177"/>
      <c r="S12" s="179"/>
      <c r="U12" s="2"/>
    </row>
    <row r="13" spans="1:21" ht="18" customHeight="1" x14ac:dyDescent="0.15">
      <c r="A13" s="6"/>
      <c r="B13" s="62" t="s">
        <v>98</v>
      </c>
      <c r="C13" s="48">
        <v>2171</v>
      </c>
      <c r="D13" s="49">
        <v>480</v>
      </c>
      <c r="E13" s="50">
        <v>1920</v>
      </c>
      <c r="F13" s="87">
        <v>197</v>
      </c>
      <c r="G13" s="87">
        <v>165</v>
      </c>
      <c r="H13" s="50"/>
      <c r="I13" s="50"/>
      <c r="J13" s="50"/>
      <c r="K13" s="50"/>
      <c r="L13" s="50"/>
      <c r="M13" s="50"/>
      <c r="N13" s="50"/>
      <c r="O13" s="50"/>
      <c r="P13" s="50"/>
      <c r="Q13" s="63"/>
      <c r="R13" s="49">
        <f>F13+H13+J13+L13+N13+P13</f>
        <v>197</v>
      </c>
      <c r="S13" s="64">
        <f>R13/E13</f>
        <v>0.10260416666666666</v>
      </c>
    </row>
    <row r="14" spans="1:21" ht="18" customHeight="1" x14ac:dyDescent="0.15">
      <c r="A14" s="6"/>
      <c r="B14" s="11" t="s">
        <v>99</v>
      </c>
      <c r="C14" s="51">
        <v>1883</v>
      </c>
      <c r="D14" s="52">
        <v>420</v>
      </c>
      <c r="E14" s="53">
        <v>1760</v>
      </c>
      <c r="F14" s="88">
        <v>53</v>
      </c>
      <c r="G14" s="88">
        <v>43</v>
      </c>
      <c r="H14" s="54"/>
      <c r="I14" s="54"/>
      <c r="J14" s="54"/>
      <c r="K14" s="54"/>
      <c r="L14" s="54"/>
      <c r="M14" s="54"/>
      <c r="N14" s="54"/>
      <c r="O14" s="54"/>
      <c r="P14" s="54"/>
      <c r="Q14" s="51"/>
      <c r="R14" s="52">
        <f t="shared" ref="R14:R32" si="0">F14+H14+J14+L14+N14+P14</f>
        <v>53</v>
      </c>
      <c r="S14" s="16">
        <f t="shared" ref="S14:S33" si="1">R14/E14</f>
        <v>3.0113636363636363E-2</v>
      </c>
    </row>
    <row r="15" spans="1:21" ht="18" customHeight="1" x14ac:dyDescent="0.15">
      <c r="A15" s="6"/>
      <c r="B15" s="11"/>
      <c r="C15" s="51"/>
      <c r="D15" s="52"/>
      <c r="E15" s="53"/>
      <c r="F15" s="54"/>
      <c r="G15" s="54"/>
      <c r="H15" s="54"/>
      <c r="I15" s="54"/>
      <c r="J15" s="54"/>
      <c r="K15" s="54"/>
      <c r="L15" s="54"/>
      <c r="M15" s="54"/>
      <c r="N15" s="54"/>
      <c r="O15" s="54"/>
      <c r="P15" s="54"/>
      <c r="Q15" s="51"/>
      <c r="R15" s="52">
        <f t="shared" si="0"/>
        <v>0</v>
      </c>
      <c r="S15" s="8" t="e">
        <f t="shared" si="1"/>
        <v>#DIV/0!</v>
      </c>
    </row>
    <row r="16" spans="1:21" ht="18" customHeight="1" x14ac:dyDescent="0.15">
      <c r="A16" s="6"/>
      <c r="B16" s="11"/>
      <c r="C16" s="51"/>
      <c r="D16" s="52"/>
      <c r="E16" s="53"/>
      <c r="F16" s="54"/>
      <c r="G16" s="54"/>
      <c r="H16" s="54"/>
      <c r="I16" s="54"/>
      <c r="J16" s="54"/>
      <c r="K16" s="54"/>
      <c r="L16" s="54"/>
      <c r="M16" s="54"/>
      <c r="N16" s="54"/>
      <c r="O16" s="54"/>
      <c r="P16" s="54"/>
      <c r="Q16" s="51"/>
      <c r="R16" s="52">
        <f t="shared" si="0"/>
        <v>0</v>
      </c>
      <c r="S16" s="8" t="e">
        <f t="shared" si="1"/>
        <v>#DIV/0!</v>
      </c>
    </row>
    <row r="17" spans="1:19" ht="18" customHeight="1" x14ac:dyDescent="0.15">
      <c r="A17" s="6"/>
      <c r="B17" s="11"/>
      <c r="C17" s="51"/>
      <c r="D17" s="52"/>
      <c r="E17" s="53"/>
      <c r="F17" s="54"/>
      <c r="G17" s="54"/>
      <c r="H17" s="54"/>
      <c r="I17" s="54"/>
      <c r="J17" s="54"/>
      <c r="K17" s="54"/>
      <c r="L17" s="54"/>
      <c r="M17" s="54"/>
      <c r="N17" s="54"/>
      <c r="O17" s="54"/>
      <c r="P17" s="54"/>
      <c r="Q17" s="51"/>
      <c r="R17" s="52">
        <f t="shared" si="0"/>
        <v>0</v>
      </c>
      <c r="S17" s="8" t="e">
        <f t="shared" si="1"/>
        <v>#DIV/0!</v>
      </c>
    </row>
    <row r="18" spans="1:19" ht="18" customHeight="1" x14ac:dyDescent="0.15">
      <c r="A18" s="6"/>
      <c r="B18" s="11"/>
      <c r="C18" s="51"/>
      <c r="D18" s="52"/>
      <c r="E18" s="53"/>
      <c r="F18" s="54"/>
      <c r="G18" s="54"/>
      <c r="H18" s="54"/>
      <c r="I18" s="54"/>
      <c r="J18" s="54"/>
      <c r="K18" s="54"/>
      <c r="L18" s="54"/>
      <c r="M18" s="54"/>
      <c r="N18" s="54"/>
      <c r="O18" s="54"/>
      <c r="P18" s="54"/>
      <c r="Q18" s="51"/>
      <c r="R18" s="52">
        <f t="shared" si="0"/>
        <v>0</v>
      </c>
      <c r="S18" s="8" t="e">
        <f t="shared" si="1"/>
        <v>#DIV/0!</v>
      </c>
    </row>
    <row r="19" spans="1:19" ht="18" customHeight="1" x14ac:dyDescent="0.15">
      <c r="A19" s="6"/>
      <c r="B19" s="11"/>
      <c r="C19" s="51"/>
      <c r="D19" s="52"/>
      <c r="E19" s="53"/>
      <c r="F19" s="54"/>
      <c r="G19" s="54"/>
      <c r="H19" s="54"/>
      <c r="I19" s="54"/>
      <c r="J19" s="54"/>
      <c r="K19" s="54"/>
      <c r="L19" s="54"/>
      <c r="M19" s="54"/>
      <c r="N19" s="54"/>
      <c r="O19" s="54"/>
      <c r="P19" s="54"/>
      <c r="Q19" s="51"/>
      <c r="R19" s="52">
        <f t="shared" si="0"/>
        <v>0</v>
      </c>
      <c r="S19" s="8" t="e">
        <f t="shared" si="1"/>
        <v>#DIV/0!</v>
      </c>
    </row>
    <row r="20" spans="1:19" ht="18" customHeight="1" x14ac:dyDescent="0.15">
      <c r="A20" s="6"/>
      <c r="B20" s="11"/>
      <c r="C20" s="51"/>
      <c r="D20" s="52"/>
      <c r="E20" s="53"/>
      <c r="F20" s="54"/>
      <c r="G20" s="54"/>
      <c r="H20" s="54"/>
      <c r="I20" s="54"/>
      <c r="J20" s="54"/>
      <c r="K20" s="54"/>
      <c r="L20" s="54"/>
      <c r="M20" s="54"/>
      <c r="N20" s="54"/>
      <c r="O20" s="54"/>
      <c r="P20" s="54"/>
      <c r="Q20" s="51"/>
      <c r="R20" s="52">
        <f t="shared" si="0"/>
        <v>0</v>
      </c>
      <c r="S20" s="8" t="e">
        <f t="shared" si="1"/>
        <v>#DIV/0!</v>
      </c>
    </row>
    <row r="21" spans="1:19" ht="18" customHeight="1" x14ac:dyDescent="0.15">
      <c r="A21" s="6"/>
      <c r="B21" s="11"/>
      <c r="C21" s="51"/>
      <c r="D21" s="52"/>
      <c r="E21" s="53"/>
      <c r="F21" s="54"/>
      <c r="G21" s="54"/>
      <c r="H21" s="54"/>
      <c r="I21" s="54"/>
      <c r="J21" s="54"/>
      <c r="K21" s="54"/>
      <c r="L21" s="54"/>
      <c r="M21" s="54"/>
      <c r="N21" s="54"/>
      <c r="O21" s="54"/>
      <c r="P21" s="54"/>
      <c r="Q21" s="51"/>
      <c r="R21" s="52">
        <f t="shared" si="0"/>
        <v>0</v>
      </c>
      <c r="S21" s="8" t="e">
        <f t="shared" si="1"/>
        <v>#DIV/0!</v>
      </c>
    </row>
    <row r="22" spans="1:19" ht="18" customHeight="1" x14ac:dyDescent="0.15">
      <c r="A22" s="6"/>
      <c r="B22" s="11"/>
      <c r="C22" s="51"/>
      <c r="D22" s="52"/>
      <c r="E22" s="53"/>
      <c r="F22" s="54"/>
      <c r="G22" s="54"/>
      <c r="H22" s="54"/>
      <c r="I22" s="54"/>
      <c r="J22" s="54"/>
      <c r="K22" s="54"/>
      <c r="L22" s="54"/>
      <c r="M22" s="54"/>
      <c r="N22" s="54"/>
      <c r="O22" s="54"/>
      <c r="P22" s="54"/>
      <c r="Q22" s="51"/>
      <c r="R22" s="52">
        <f t="shared" si="0"/>
        <v>0</v>
      </c>
      <c r="S22" s="8" t="e">
        <f t="shared" si="1"/>
        <v>#DIV/0!</v>
      </c>
    </row>
    <row r="23" spans="1:19" ht="18" customHeight="1" x14ac:dyDescent="0.15">
      <c r="A23" s="6"/>
      <c r="B23" s="11"/>
      <c r="C23" s="51"/>
      <c r="D23" s="52"/>
      <c r="E23" s="53"/>
      <c r="F23" s="54"/>
      <c r="G23" s="54"/>
      <c r="H23" s="54"/>
      <c r="I23" s="54"/>
      <c r="J23" s="54"/>
      <c r="K23" s="54"/>
      <c r="L23" s="54"/>
      <c r="M23" s="54"/>
      <c r="N23" s="54"/>
      <c r="O23" s="54"/>
      <c r="P23" s="54"/>
      <c r="Q23" s="51"/>
      <c r="R23" s="52">
        <f t="shared" si="0"/>
        <v>0</v>
      </c>
      <c r="S23" s="8" t="e">
        <f t="shared" si="1"/>
        <v>#DIV/0!</v>
      </c>
    </row>
    <row r="24" spans="1:19" ht="18" customHeight="1" x14ac:dyDescent="0.15">
      <c r="A24" s="6"/>
      <c r="B24" s="11"/>
      <c r="C24" s="51"/>
      <c r="D24" s="52"/>
      <c r="E24" s="53"/>
      <c r="F24" s="54"/>
      <c r="G24" s="54"/>
      <c r="H24" s="54"/>
      <c r="I24" s="54"/>
      <c r="J24" s="54"/>
      <c r="K24" s="54"/>
      <c r="L24" s="54"/>
      <c r="M24" s="54"/>
      <c r="N24" s="54"/>
      <c r="O24" s="54"/>
      <c r="P24" s="54"/>
      <c r="Q24" s="51"/>
      <c r="R24" s="52">
        <f t="shared" si="0"/>
        <v>0</v>
      </c>
      <c r="S24" s="8" t="e">
        <f t="shared" si="1"/>
        <v>#DIV/0!</v>
      </c>
    </row>
    <row r="25" spans="1:19" ht="18" customHeight="1" x14ac:dyDescent="0.15">
      <c r="A25" s="6"/>
      <c r="B25" s="11"/>
      <c r="C25" s="51"/>
      <c r="D25" s="52"/>
      <c r="E25" s="53"/>
      <c r="F25" s="54"/>
      <c r="G25" s="54"/>
      <c r="H25" s="54"/>
      <c r="I25" s="54"/>
      <c r="J25" s="54"/>
      <c r="K25" s="54"/>
      <c r="L25" s="54"/>
      <c r="M25" s="54"/>
      <c r="N25" s="54"/>
      <c r="O25" s="54"/>
      <c r="P25" s="54"/>
      <c r="Q25" s="51"/>
      <c r="R25" s="52">
        <f t="shared" si="0"/>
        <v>0</v>
      </c>
      <c r="S25" s="8" t="e">
        <f t="shared" si="1"/>
        <v>#DIV/0!</v>
      </c>
    </row>
    <row r="26" spans="1:19" ht="18" customHeight="1" x14ac:dyDescent="0.15">
      <c r="A26" s="6"/>
      <c r="B26" s="11"/>
      <c r="C26" s="51"/>
      <c r="D26" s="52"/>
      <c r="E26" s="53"/>
      <c r="F26" s="54"/>
      <c r="G26" s="54"/>
      <c r="H26" s="54"/>
      <c r="I26" s="54"/>
      <c r="J26" s="54"/>
      <c r="K26" s="54"/>
      <c r="L26" s="54"/>
      <c r="M26" s="54"/>
      <c r="N26" s="54"/>
      <c r="O26" s="54"/>
      <c r="P26" s="54"/>
      <c r="Q26" s="51"/>
      <c r="R26" s="52">
        <f t="shared" si="0"/>
        <v>0</v>
      </c>
      <c r="S26" s="8" t="e">
        <f t="shared" si="1"/>
        <v>#DIV/0!</v>
      </c>
    </row>
    <row r="27" spans="1:19" ht="18" customHeight="1" x14ac:dyDescent="0.15">
      <c r="A27" s="6"/>
      <c r="B27" s="11"/>
      <c r="C27" s="51"/>
      <c r="D27" s="52"/>
      <c r="E27" s="53"/>
      <c r="F27" s="54"/>
      <c r="G27" s="54"/>
      <c r="H27" s="54"/>
      <c r="I27" s="54"/>
      <c r="J27" s="54"/>
      <c r="K27" s="54"/>
      <c r="L27" s="54"/>
      <c r="M27" s="54"/>
      <c r="N27" s="54"/>
      <c r="O27" s="54"/>
      <c r="P27" s="54"/>
      <c r="Q27" s="51"/>
      <c r="R27" s="52">
        <f t="shared" si="0"/>
        <v>0</v>
      </c>
      <c r="S27" s="8" t="e">
        <f t="shared" si="1"/>
        <v>#DIV/0!</v>
      </c>
    </row>
    <row r="28" spans="1:19" ht="18" customHeight="1" x14ac:dyDescent="0.15">
      <c r="A28" s="6"/>
      <c r="B28" s="11"/>
      <c r="C28" s="51"/>
      <c r="D28" s="52"/>
      <c r="E28" s="53"/>
      <c r="F28" s="54"/>
      <c r="G28" s="54"/>
      <c r="H28" s="54"/>
      <c r="I28" s="54"/>
      <c r="J28" s="54"/>
      <c r="K28" s="54"/>
      <c r="L28" s="54"/>
      <c r="M28" s="54"/>
      <c r="N28" s="54"/>
      <c r="O28" s="54"/>
      <c r="P28" s="54"/>
      <c r="Q28" s="51"/>
      <c r="R28" s="52">
        <f t="shared" si="0"/>
        <v>0</v>
      </c>
      <c r="S28" s="8" t="e">
        <f t="shared" si="1"/>
        <v>#DIV/0!</v>
      </c>
    </row>
    <row r="29" spans="1:19" ht="18" customHeight="1" x14ac:dyDescent="0.15">
      <c r="A29" s="6"/>
      <c r="B29" s="11"/>
      <c r="C29" s="51"/>
      <c r="D29" s="52"/>
      <c r="E29" s="53"/>
      <c r="F29" s="54"/>
      <c r="G29" s="54"/>
      <c r="H29" s="54"/>
      <c r="I29" s="54"/>
      <c r="J29" s="54"/>
      <c r="K29" s="54"/>
      <c r="L29" s="54"/>
      <c r="M29" s="54"/>
      <c r="N29" s="54"/>
      <c r="O29" s="54"/>
      <c r="P29" s="54"/>
      <c r="Q29" s="51"/>
      <c r="R29" s="52">
        <f t="shared" si="0"/>
        <v>0</v>
      </c>
      <c r="S29" s="8" t="e">
        <f t="shared" si="1"/>
        <v>#DIV/0!</v>
      </c>
    </row>
    <row r="30" spans="1:19" ht="18" customHeight="1" x14ac:dyDescent="0.15">
      <c r="A30" s="6"/>
      <c r="B30" s="11"/>
      <c r="C30" s="51"/>
      <c r="D30" s="55"/>
      <c r="E30" s="53"/>
      <c r="F30" s="54"/>
      <c r="G30" s="54"/>
      <c r="H30" s="54"/>
      <c r="I30" s="54"/>
      <c r="J30" s="54"/>
      <c r="K30" s="54"/>
      <c r="L30" s="54"/>
      <c r="M30" s="54"/>
      <c r="N30" s="54"/>
      <c r="O30" s="54"/>
      <c r="P30" s="54"/>
      <c r="Q30" s="51"/>
      <c r="R30" s="55">
        <f t="shared" si="0"/>
        <v>0</v>
      </c>
      <c r="S30" s="8" t="e">
        <f t="shared" si="1"/>
        <v>#DIV/0!</v>
      </c>
    </row>
    <row r="31" spans="1:19" ht="18" customHeight="1" x14ac:dyDescent="0.15">
      <c r="A31" s="6"/>
      <c r="B31" s="11"/>
      <c r="C31" s="51"/>
      <c r="D31" s="55"/>
      <c r="E31" s="53"/>
      <c r="F31" s="54"/>
      <c r="G31" s="54"/>
      <c r="H31" s="54"/>
      <c r="I31" s="54"/>
      <c r="J31" s="54"/>
      <c r="K31" s="54"/>
      <c r="L31" s="54"/>
      <c r="M31" s="54"/>
      <c r="N31" s="54"/>
      <c r="O31" s="54"/>
      <c r="P31" s="54"/>
      <c r="Q31" s="51"/>
      <c r="R31" s="55">
        <f t="shared" si="0"/>
        <v>0</v>
      </c>
      <c r="S31" s="8" t="e">
        <f t="shared" si="1"/>
        <v>#DIV/0!</v>
      </c>
    </row>
    <row r="32" spans="1:19" ht="18" customHeight="1" thickBot="1" x14ac:dyDescent="0.2">
      <c r="A32" s="6"/>
      <c r="B32" s="12"/>
      <c r="C32" s="48"/>
      <c r="D32" s="56"/>
      <c r="E32" s="50"/>
      <c r="F32" s="50"/>
      <c r="G32" s="50"/>
      <c r="H32" s="50"/>
      <c r="I32" s="50"/>
      <c r="J32" s="50"/>
      <c r="K32" s="50"/>
      <c r="L32" s="50"/>
      <c r="M32" s="50"/>
      <c r="N32" s="50"/>
      <c r="O32" s="50"/>
      <c r="P32" s="50"/>
      <c r="Q32" s="51"/>
      <c r="R32" s="56">
        <f t="shared" si="0"/>
        <v>0</v>
      </c>
      <c r="S32" s="7" t="e">
        <f t="shared" si="1"/>
        <v>#DIV/0!</v>
      </c>
    </row>
    <row r="33" spans="2:19" ht="18" customHeight="1" thickTop="1" x14ac:dyDescent="0.15">
      <c r="B33" s="13" t="s">
        <v>100</v>
      </c>
      <c r="C33" s="57">
        <f t="shared" ref="C33" si="2">SUM(C13:C32)</f>
        <v>4054</v>
      </c>
      <c r="D33" s="58">
        <f t="shared" ref="D33:R33" si="3">SUM(D13:D32)</f>
        <v>900</v>
      </c>
      <c r="E33" s="59">
        <f t="shared" si="3"/>
        <v>3680</v>
      </c>
      <c r="F33" s="59">
        <f t="shared" si="3"/>
        <v>250</v>
      </c>
      <c r="G33" s="59">
        <f t="shared" ref="G33:H33" si="4">SUM(G13:G32)</f>
        <v>208</v>
      </c>
      <c r="H33" s="59">
        <f t="shared" si="4"/>
        <v>0</v>
      </c>
      <c r="I33" s="59">
        <f t="shared" ref="I33:J33" si="5">SUM(I13:I32)</f>
        <v>0</v>
      </c>
      <c r="J33" s="59">
        <f t="shared" si="5"/>
        <v>0</v>
      </c>
      <c r="K33" s="59">
        <f t="shared" ref="K33:O33" si="6">SUM(K13:K32)</f>
        <v>0</v>
      </c>
      <c r="L33" s="59">
        <f t="shared" si="6"/>
        <v>0</v>
      </c>
      <c r="M33" s="59">
        <f t="shared" si="6"/>
        <v>0</v>
      </c>
      <c r="N33" s="59">
        <f t="shared" si="6"/>
        <v>0</v>
      </c>
      <c r="O33" s="59">
        <f t="shared" si="6"/>
        <v>0</v>
      </c>
      <c r="P33" s="59">
        <f t="shared" ref="P33:Q33" si="7">SUM(P13:P32)</f>
        <v>0</v>
      </c>
      <c r="Q33" s="57">
        <f t="shared" si="7"/>
        <v>0</v>
      </c>
      <c r="R33" s="58">
        <f t="shared" si="3"/>
        <v>250</v>
      </c>
      <c r="S33" s="9">
        <f t="shared" si="1"/>
        <v>6.7934782608695649E-2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tabSelected="1" view="pageBreakPreview" zoomScaleNormal="100" zoomScaleSheetLayoutView="100" workbookViewId="0">
      <selection activeCell="B15" sqref="B15"/>
    </sheetView>
  </sheetViews>
  <sheetFormatPr defaultColWidth="11.375" defaultRowHeight="18.75" customHeight="1" x14ac:dyDescent="0.15"/>
  <cols>
    <col min="1" max="1" width="2.75" style="28"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8" t="s">
        <v>101</v>
      </c>
      <c r="I1" s="26" t="s">
        <v>102</v>
      </c>
    </row>
    <row r="2" spans="1:9" ht="18.75" customHeight="1" x14ac:dyDescent="0.15">
      <c r="G2" s="26" t="s">
        <v>2</v>
      </c>
      <c r="H2" s="94" t="str">
        <f>'様式１　プログラムを構成する授業科目'!C2</f>
        <v>高崎経済大学</v>
      </c>
      <c r="I2" s="96"/>
    </row>
    <row r="3" spans="1:9" ht="18.75" customHeight="1" x14ac:dyDescent="0.15">
      <c r="G3" s="26"/>
      <c r="H3" s="10"/>
      <c r="I3" s="10"/>
    </row>
    <row r="4" spans="1:9" ht="18.600000000000001" customHeight="1" x14ac:dyDescent="0.15">
      <c r="A4" s="183" t="s">
        <v>103</v>
      </c>
      <c r="B4" s="183"/>
      <c r="C4" s="183"/>
      <c r="D4" s="183"/>
      <c r="E4" s="183"/>
      <c r="F4" s="183"/>
      <c r="G4" s="183"/>
      <c r="H4" s="183"/>
      <c r="I4" s="183"/>
    </row>
    <row r="5" spans="1:9" ht="13.15" customHeight="1" x14ac:dyDescent="0.15">
      <c r="B5" s="3"/>
      <c r="C5" s="3"/>
      <c r="D5" s="3"/>
      <c r="E5" s="3"/>
      <c r="F5" s="3"/>
      <c r="G5" s="3"/>
      <c r="H5" s="3"/>
      <c r="I5" s="3"/>
    </row>
    <row r="6" spans="1:9" ht="18" customHeight="1" x14ac:dyDescent="0.15">
      <c r="A6" s="1" t="s">
        <v>104</v>
      </c>
      <c r="B6" s="10" t="s">
        <v>105</v>
      </c>
      <c r="C6" s="212" t="s">
        <v>106</v>
      </c>
      <c r="D6" s="212"/>
      <c r="E6" s="25">
        <v>104</v>
      </c>
      <c r="F6" s="3" t="s">
        <v>81</v>
      </c>
      <c r="G6" s="3" t="s">
        <v>107</v>
      </c>
      <c r="H6" s="25">
        <v>248</v>
      </c>
      <c r="I6" s="10" t="s">
        <v>81</v>
      </c>
    </row>
    <row r="7" spans="1:9" ht="12" customHeight="1" x14ac:dyDescent="0.15">
      <c r="C7" s="2"/>
      <c r="D7" s="2"/>
      <c r="E7" s="2"/>
      <c r="F7" s="2"/>
      <c r="G7" s="2"/>
      <c r="H7" s="2"/>
      <c r="I7" s="29"/>
    </row>
    <row r="8" spans="1:9" ht="18" customHeight="1" x14ac:dyDescent="0.15">
      <c r="A8" s="1" t="s">
        <v>108</v>
      </c>
      <c r="B8" s="10" t="s">
        <v>109</v>
      </c>
      <c r="E8" s="3"/>
      <c r="F8" s="3"/>
      <c r="G8" s="3"/>
      <c r="H8" s="89">
        <v>4</v>
      </c>
      <c r="I8" s="10" t="s">
        <v>81</v>
      </c>
    </row>
    <row r="9" spans="1:9" ht="9" customHeight="1" x14ac:dyDescent="0.15">
      <c r="B9" s="3"/>
      <c r="C9" s="3"/>
      <c r="D9" s="3"/>
      <c r="E9" s="3"/>
      <c r="F9" s="3"/>
      <c r="G9" s="3"/>
      <c r="H9" s="3"/>
      <c r="I9" s="3"/>
    </row>
    <row r="10" spans="1:9" ht="18" customHeight="1" x14ac:dyDescent="0.15">
      <c r="A10" s="1" t="s">
        <v>110</v>
      </c>
      <c r="B10" s="10" t="s">
        <v>111</v>
      </c>
      <c r="C10" s="3"/>
      <c r="D10" s="3"/>
      <c r="E10" s="3"/>
      <c r="F10" s="3"/>
      <c r="G10" s="3"/>
      <c r="H10" s="3"/>
      <c r="I10" s="3"/>
    </row>
    <row r="11" spans="1:9" ht="18" customHeight="1" x14ac:dyDescent="0.15">
      <c r="B11" s="26" t="s">
        <v>112</v>
      </c>
      <c r="C11" s="207" t="s">
        <v>113</v>
      </c>
      <c r="D11" s="210"/>
      <c r="E11" s="211"/>
      <c r="F11" s="29"/>
      <c r="G11" s="26" t="s">
        <v>114</v>
      </c>
      <c r="H11" s="207" t="s">
        <v>115</v>
      </c>
      <c r="I11" s="211"/>
    </row>
    <row r="12" spans="1:9" ht="10.15" customHeight="1" x14ac:dyDescent="0.15">
      <c r="B12" s="26"/>
      <c r="C12" s="10"/>
      <c r="D12" s="29"/>
      <c r="E12" s="29"/>
      <c r="F12" s="29"/>
      <c r="G12" s="26"/>
      <c r="H12" s="10"/>
      <c r="I12" s="29"/>
    </row>
    <row r="13" spans="1:9" ht="18" customHeight="1" x14ac:dyDescent="0.15">
      <c r="A13" s="1" t="s">
        <v>116</v>
      </c>
      <c r="B13" s="10" t="s">
        <v>117</v>
      </c>
      <c r="C13" s="3"/>
      <c r="D13" s="3"/>
      <c r="E13" s="3"/>
      <c r="F13" s="3"/>
      <c r="G13" s="3"/>
      <c r="H13" s="3"/>
      <c r="I13" s="3"/>
    </row>
    <row r="14" spans="1:9" ht="18" customHeight="1" x14ac:dyDescent="0.15">
      <c r="B14" s="207" t="s">
        <v>180</v>
      </c>
      <c r="C14" s="208"/>
      <c r="D14" s="208"/>
      <c r="E14" s="208"/>
      <c r="F14" s="208"/>
      <c r="G14" s="208"/>
      <c r="H14" s="208"/>
      <c r="I14" s="209"/>
    </row>
    <row r="15" spans="1:9" ht="9" customHeight="1" x14ac:dyDescent="0.15">
      <c r="B15" s="3"/>
      <c r="C15" s="3"/>
      <c r="D15" s="3"/>
      <c r="E15" s="3"/>
      <c r="F15" s="3"/>
      <c r="G15" s="3"/>
      <c r="H15" s="3"/>
      <c r="I15" s="3"/>
    </row>
    <row r="16" spans="1:9" ht="18" customHeight="1" x14ac:dyDescent="0.15">
      <c r="B16" s="26" t="s">
        <v>112</v>
      </c>
      <c r="C16" s="207" t="s">
        <v>113</v>
      </c>
      <c r="D16" s="210"/>
      <c r="E16" s="211"/>
      <c r="F16" s="29"/>
      <c r="G16" s="26" t="s">
        <v>114</v>
      </c>
      <c r="H16" s="207" t="s">
        <v>115</v>
      </c>
      <c r="I16" s="211"/>
    </row>
    <row r="17" spans="1:9" ht="18" customHeight="1" x14ac:dyDescent="0.15">
      <c r="B17" s="3"/>
      <c r="C17" s="3"/>
      <c r="D17" s="3"/>
      <c r="E17" s="3"/>
      <c r="F17" s="3"/>
      <c r="G17" s="3"/>
      <c r="H17" s="3"/>
      <c r="I17" s="3"/>
    </row>
    <row r="18" spans="1:9" ht="18.75" customHeight="1" x14ac:dyDescent="0.15">
      <c r="A18" s="1" t="s">
        <v>118</v>
      </c>
      <c r="B18" s="1" t="s">
        <v>119</v>
      </c>
      <c r="I18" s="3"/>
    </row>
    <row r="19" spans="1:9" ht="18.75" customHeight="1" x14ac:dyDescent="0.15">
      <c r="A19" s="1"/>
      <c r="B19" s="184" t="s">
        <v>171</v>
      </c>
      <c r="C19" s="185"/>
      <c r="D19" s="185"/>
      <c r="E19" s="185"/>
      <c r="F19" s="185"/>
      <c r="G19" s="185"/>
      <c r="H19" s="185"/>
      <c r="I19" s="186"/>
    </row>
    <row r="20" spans="1:9" ht="7.5" customHeight="1" x14ac:dyDescent="0.15">
      <c r="B20" s="3"/>
      <c r="C20" s="3"/>
      <c r="D20" s="3"/>
      <c r="E20" s="3"/>
      <c r="F20" s="3"/>
      <c r="G20" s="3"/>
      <c r="H20" s="3"/>
      <c r="I20" s="3"/>
    </row>
    <row r="21" spans="1:9" ht="18.75" customHeight="1" x14ac:dyDescent="0.15">
      <c r="A21" s="1" t="s">
        <v>120</v>
      </c>
      <c r="B21" s="1" t="s">
        <v>121</v>
      </c>
    </row>
    <row r="22" spans="1:9" ht="18.75" customHeight="1" x14ac:dyDescent="0.15">
      <c r="A22" s="14"/>
      <c r="B22" s="187" t="s">
        <v>172</v>
      </c>
      <c r="C22" s="188"/>
      <c r="D22" s="188"/>
      <c r="E22" s="188"/>
      <c r="F22" s="188"/>
      <c r="G22" s="188"/>
      <c r="H22" s="188"/>
      <c r="I22" s="189"/>
    </row>
    <row r="23" spans="1:9" ht="18.75" customHeight="1" x14ac:dyDescent="0.15">
      <c r="A23" s="14"/>
      <c r="B23" s="190"/>
      <c r="C23" s="191"/>
      <c r="D23" s="191"/>
      <c r="E23" s="191"/>
      <c r="F23" s="191"/>
      <c r="G23" s="191"/>
      <c r="H23" s="191"/>
      <c r="I23" s="192"/>
    </row>
    <row r="24" spans="1:9" ht="18.75" customHeight="1" x14ac:dyDescent="0.15">
      <c r="A24" s="14"/>
      <c r="B24" s="190"/>
      <c r="C24" s="191"/>
      <c r="D24" s="191"/>
      <c r="E24" s="191"/>
      <c r="F24" s="191"/>
      <c r="G24" s="191"/>
      <c r="H24" s="191"/>
      <c r="I24" s="192"/>
    </row>
    <row r="25" spans="1:9" ht="18.75" customHeight="1" x14ac:dyDescent="0.15">
      <c r="A25" s="14"/>
      <c r="B25" s="190"/>
      <c r="C25" s="191"/>
      <c r="D25" s="191"/>
      <c r="E25" s="191"/>
      <c r="F25" s="191"/>
      <c r="G25" s="191"/>
      <c r="H25" s="191"/>
      <c r="I25" s="192"/>
    </row>
    <row r="26" spans="1:9" ht="18.75" customHeight="1" x14ac:dyDescent="0.15">
      <c r="A26" s="14"/>
      <c r="B26" s="190"/>
      <c r="C26" s="191"/>
      <c r="D26" s="191"/>
      <c r="E26" s="191"/>
      <c r="F26" s="191"/>
      <c r="G26" s="191"/>
      <c r="H26" s="191"/>
      <c r="I26" s="192"/>
    </row>
    <row r="27" spans="1:9" ht="18.75" customHeight="1" x14ac:dyDescent="0.15">
      <c r="A27" s="14"/>
      <c r="B27" s="190"/>
      <c r="C27" s="191"/>
      <c r="D27" s="191"/>
      <c r="E27" s="191"/>
      <c r="F27" s="191"/>
      <c r="G27" s="191"/>
      <c r="H27" s="191"/>
      <c r="I27" s="192"/>
    </row>
    <row r="28" spans="1:9" ht="18.75" customHeight="1" x14ac:dyDescent="0.15">
      <c r="A28" s="14"/>
      <c r="B28" s="190"/>
      <c r="C28" s="191"/>
      <c r="D28" s="191"/>
      <c r="E28" s="191"/>
      <c r="F28" s="191"/>
      <c r="G28" s="191"/>
      <c r="H28" s="191"/>
      <c r="I28" s="192"/>
    </row>
    <row r="29" spans="1:9" ht="18.75" customHeight="1" x14ac:dyDescent="0.15">
      <c r="A29" s="14"/>
      <c r="B29" s="190"/>
      <c r="C29" s="191"/>
      <c r="D29" s="191"/>
      <c r="E29" s="191"/>
      <c r="F29" s="191"/>
      <c r="G29" s="191"/>
      <c r="H29" s="191"/>
      <c r="I29" s="192"/>
    </row>
    <row r="30" spans="1:9" ht="18.75" customHeight="1" x14ac:dyDescent="0.15">
      <c r="A30" s="14"/>
      <c r="B30" s="193"/>
      <c r="C30" s="194"/>
      <c r="D30" s="194"/>
      <c r="E30" s="194"/>
      <c r="F30" s="194"/>
      <c r="G30" s="194"/>
      <c r="H30" s="194"/>
      <c r="I30" s="192"/>
    </row>
    <row r="31" spans="1:9" ht="18.75" customHeight="1" x14ac:dyDescent="0.15">
      <c r="A31" s="14"/>
      <c r="B31" s="193"/>
      <c r="C31" s="194"/>
      <c r="D31" s="194"/>
      <c r="E31" s="194"/>
      <c r="F31" s="194"/>
      <c r="G31" s="194"/>
      <c r="H31" s="194"/>
      <c r="I31" s="192"/>
    </row>
    <row r="32" spans="1:9" ht="18.75" customHeight="1" x14ac:dyDescent="0.15">
      <c r="A32" s="14"/>
      <c r="B32" s="195"/>
      <c r="C32" s="196"/>
      <c r="D32" s="196"/>
      <c r="E32" s="196"/>
      <c r="F32" s="196"/>
      <c r="G32" s="196"/>
      <c r="H32" s="196"/>
      <c r="I32" s="197"/>
    </row>
    <row r="33" spans="1:9" ht="7.5" customHeight="1" x14ac:dyDescent="0.15">
      <c r="A33" s="14"/>
      <c r="B33" s="14"/>
      <c r="C33" s="14"/>
      <c r="D33" s="14"/>
      <c r="E33" s="14"/>
      <c r="F33" s="14"/>
      <c r="G33" s="14"/>
      <c r="H33" s="14"/>
      <c r="I33" s="14"/>
    </row>
    <row r="34" spans="1:9" ht="18.75" customHeight="1" x14ac:dyDescent="0.15">
      <c r="A34" s="15" t="s">
        <v>122</v>
      </c>
      <c r="B34" s="15" t="s">
        <v>123</v>
      </c>
      <c r="C34" s="10"/>
      <c r="D34" s="15"/>
      <c r="E34" s="15"/>
      <c r="F34" s="15"/>
      <c r="G34" s="15"/>
      <c r="H34" s="15"/>
      <c r="I34" s="15"/>
    </row>
    <row r="35" spans="1:9" ht="18.75" customHeight="1" x14ac:dyDescent="0.15">
      <c r="A35" s="14"/>
      <c r="B35" s="198" t="s">
        <v>163</v>
      </c>
      <c r="C35" s="199"/>
      <c r="D35" s="199"/>
      <c r="E35" s="199"/>
      <c r="F35" s="199"/>
      <c r="G35" s="199"/>
      <c r="H35" s="199"/>
      <c r="I35" s="200"/>
    </row>
    <row r="36" spans="1:9" ht="18.75" customHeight="1" x14ac:dyDescent="0.15">
      <c r="A36" s="14"/>
      <c r="B36" s="201"/>
      <c r="C36" s="202"/>
      <c r="D36" s="202"/>
      <c r="E36" s="202"/>
      <c r="F36" s="202"/>
      <c r="G36" s="202"/>
      <c r="H36" s="202"/>
      <c r="I36" s="203"/>
    </row>
    <row r="37" spans="1:9" ht="18.75" customHeight="1" x14ac:dyDescent="0.15">
      <c r="A37" s="14"/>
      <c r="B37" s="201"/>
      <c r="C37" s="202"/>
      <c r="D37" s="202"/>
      <c r="E37" s="202"/>
      <c r="F37" s="202"/>
      <c r="G37" s="202"/>
      <c r="H37" s="202"/>
      <c r="I37" s="203"/>
    </row>
    <row r="38" spans="1:9" ht="18.75" customHeight="1" x14ac:dyDescent="0.15">
      <c r="A38" s="14"/>
      <c r="B38" s="201"/>
      <c r="C38" s="202"/>
      <c r="D38" s="202"/>
      <c r="E38" s="202"/>
      <c r="F38" s="202"/>
      <c r="G38" s="202"/>
      <c r="H38" s="202"/>
      <c r="I38" s="203"/>
    </row>
    <row r="39" spans="1:9" ht="18.75" customHeight="1" x14ac:dyDescent="0.15">
      <c r="A39" s="14"/>
      <c r="B39" s="201"/>
      <c r="C39" s="202"/>
      <c r="D39" s="202"/>
      <c r="E39" s="202"/>
      <c r="F39" s="202"/>
      <c r="G39" s="202"/>
      <c r="H39" s="202"/>
      <c r="I39" s="203"/>
    </row>
    <row r="40" spans="1:9" ht="18.75" customHeight="1" x14ac:dyDescent="0.15">
      <c r="A40" s="14"/>
      <c r="B40" s="201"/>
      <c r="C40" s="202"/>
      <c r="D40" s="202"/>
      <c r="E40" s="202"/>
      <c r="F40" s="202"/>
      <c r="G40" s="202"/>
      <c r="H40" s="202"/>
      <c r="I40" s="203"/>
    </row>
    <row r="41" spans="1:9" ht="18.75" customHeight="1" x14ac:dyDescent="0.15">
      <c r="A41" s="14"/>
      <c r="B41" s="201"/>
      <c r="C41" s="202"/>
      <c r="D41" s="202"/>
      <c r="E41" s="202"/>
      <c r="F41" s="202"/>
      <c r="G41" s="202"/>
      <c r="H41" s="202"/>
      <c r="I41" s="203"/>
    </row>
    <row r="42" spans="1:9" ht="18.75" customHeight="1" x14ac:dyDescent="0.15">
      <c r="A42" s="14"/>
      <c r="B42" s="201"/>
      <c r="C42" s="202"/>
      <c r="D42" s="202"/>
      <c r="E42" s="202"/>
      <c r="F42" s="202"/>
      <c r="G42" s="202"/>
      <c r="H42" s="202"/>
      <c r="I42" s="203"/>
    </row>
    <row r="43" spans="1:9" ht="18.75" customHeight="1" x14ac:dyDescent="0.15">
      <c r="A43" s="14"/>
      <c r="B43" s="201"/>
      <c r="C43" s="202"/>
      <c r="D43" s="202"/>
      <c r="E43" s="202"/>
      <c r="F43" s="202"/>
      <c r="G43" s="202"/>
      <c r="H43" s="202"/>
      <c r="I43" s="203"/>
    </row>
    <row r="44" spans="1:9" ht="18.75" customHeight="1" x14ac:dyDescent="0.15">
      <c r="A44" s="14"/>
      <c r="B44" s="201"/>
      <c r="C44" s="202"/>
      <c r="D44" s="202"/>
      <c r="E44" s="202"/>
      <c r="F44" s="202"/>
      <c r="G44" s="202"/>
      <c r="H44" s="202"/>
      <c r="I44" s="203"/>
    </row>
    <row r="45" spans="1:9" ht="18.75" customHeight="1" x14ac:dyDescent="0.15">
      <c r="A45" s="14"/>
      <c r="B45" s="201"/>
      <c r="C45" s="202"/>
      <c r="D45" s="202"/>
      <c r="E45" s="202"/>
      <c r="F45" s="202"/>
      <c r="G45" s="202"/>
      <c r="H45" s="202"/>
      <c r="I45" s="203"/>
    </row>
    <row r="46" spans="1:9" ht="18.75" customHeight="1" x14ac:dyDescent="0.15">
      <c r="A46" s="14"/>
      <c r="B46" s="204"/>
      <c r="C46" s="205"/>
      <c r="D46" s="205"/>
      <c r="E46" s="205"/>
      <c r="F46" s="205"/>
      <c r="G46" s="205"/>
      <c r="H46" s="205"/>
      <c r="I46" s="206"/>
    </row>
    <row r="47" spans="1:9" ht="7.5" customHeight="1" x14ac:dyDescent="0.15">
      <c r="A47" s="4"/>
      <c r="B47" s="4"/>
      <c r="C47" s="4"/>
      <c r="D47" s="4"/>
      <c r="E47" s="4"/>
      <c r="F47" s="4"/>
      <c r="G47" s="4"/>
      <c r="H47" s="4"/>
      <c r="I47" s="4"/>
    </row>
    <row r="48" spans="1:9" ht="18.75" customHeight="1" x14ac:dyDescent="0.15">
      <c r="A48" s="1" t="s">
        <v>124</v>
      </c>
      <c r="B48" s="1" t="s">
        <v>125</v>
      </c>
    </row>
    <row r="49" spans="1:15" s="3" customFormat="1" ht="18.75" customHeight="1" x14ac:dyDescent="0.15">
      <c r="B49" s="30" t="s">
        <v>126</v>
      </c>
      <c r="C49" s="243">
        <f>'様式２ 履修者等数の実績'!S33</f>
        <v>6.7934782608695649E-2</v>
      </c>
      <c r="D49" s="243"/>
      <c r="E49" s="30" t="s">
        <v>127</v>
      </c>
      <c r="F49" s="243">
        <v>0.1</v>
      </c>
      <c r="G49" s="243"/>
      <c r="H49" s="30" t="s">
        <v>128</v>
      </c>
      <c r="I49" s="31">
        <v>0.15</v>
      </c>
      <c r="J49" s="1"/>
      <c r="M49" s="1"/>
      <c r="N49" s="32"/>
    </row>
    <row r="50" spans="1:15" s="3" customFormat="1" ht="18.75" customHeight="1" x14ac:dyDescent="0.15">
      <c r="B50" s="33" t="s">
        <v>129</v>
      </c>
      <c r="C50" s="226">
        <v>0.3</v>
      </c>
      <c r="D50" s="226"/>
      <c r="E50" s="33" t="s">
        <v>130</v>
      </c>
      <c r="F50" s="226">
        <v>0.4</v>
      </c>
      <c r="G50" s="226"/>
      <c r="H50" s="33" t="s">
        <v>131</v>
      </c>
      <c r="I50" s="34">
        <f>'様式２ 履修者等数の実績'!E33</f>
        <v>3680</v>
      </c>
      <c r="J50" s="1"/>
      <c r="M50" s="1"/>
      <c r="N50" s="32"/>
    </row>
    <row r="51" spans="1:15" ht="18.75" customHeight="1" x14ac:dyDescent="0.15">
      <c r="A51" s="1"/>
      <c r="B51" s="223" t="s">
        <v>132</v>
      </c>
      <c r="C51" s="224"/>
      <c r="D51" s="224"/>
      <c r="E51" s="224"/>
      <c r="F51" s="224"/>
      <c r="G51" s="224"/>
      <c r="H51" s="224"/>
      <c r="I51" s="225"/>
      <c r="N51" s="32"/>
      <c r="O51" s="3"/>
    </row>
    <row r="52" spans="1:15" ht="18.75" customHeight="1" x14ac:dyDescent="0.15">
      <c r="A52" s="1"/>
      <c r="B52" s="227" t="s">
        <v>167</v>
      </c>
      <c r="C52" s="228"/>
      <c r="D52" s="228"/>
      <c r="E52" s="228"/>
      <c r="F52" s="228"/>
      <c r="G52" s="228"/>
      <c r="H52" s="228"/>
      <c r="I52" s="229"/>
      <c r="N52" s="32"/>
      <c r="O52" s="3"/>
    </row>
    <row r="53" spans="1:15" ht="18.75" customHeight="1" x14ac:dyDescent="0.15">
      <c r="A53" s="1"/>
      <c r="B53" s="230"/>
      <c r="C53" s="231"/>
      <c r="D53" s="231"/>
      <c r="E53" s="231"/>
      <c r="F53" s="231"/>
      <c r="G53" s="231"/>
      <c r="H53" s="231"/>
      <c r="I53" s="232"/>
      <c r="N53" s="32"/>
      <c r="O53" s="3"/>
    </row>
    <row r="54" spans="1:15" ht="18.75" customHeight="1" x14ac:dyDescent="0.15">
      <c r="A54" s="1"/>
      <c r="B54" s="230"/>
      <c r="C54" s="231"/>
      <c r="D54" s="231"/>
      <c r="E54" s="231"/>
      <c r="F54" s="231"/>
      <c r="G54" s="231"/>
      <c r="H54" s="231"/>
      <c r="I54" s="232"/>
    </row>
    <row r="55" spans="1:15" ht="18.75" customHeight="1" x14ac:dyDescent="0.15">
      <c r="A55" s="1"/>
      <c r="B55" s="230"/>
      <c r="C55" s="231"/>
      <c r="D55" s="231"/>
      <c r="E55" s="231"/>
      <c r="F55" s="231"/>
      <c r="G55" s="231"/>
      <c r="H55" s="231"/>
      <c r="I55" s="232"/>
    </row>
    <row r="56" spans="1:15" ht="18.75" customHeight="1" x14ac:dyDescent="0.15">
      <c r="A56" s="1"/>
      <c r="B56" s="230"/>
      <c r="C56" s="231"/>
      <c r="D56" s="231"/>
      <c r="E56" s="231"/>
      <c r="F56" s="231"/>
      <c r="G56" s="231"/>
      <c r="H56" s="231"/>
      <c r="I56" s="232"/>
    </row>
    <row r="57" spans="1:15" ht="18.75" customHeight="1" x14ac:dyDescent="0.15">
      <c r="A57" s="1"/>
      <c r="B57" s="230"/>
      <c r="C57" s="231"/>
      <c r="D57" s="231"/>
      <c r="E57" s="231"/>
      <c r="F57" s="231"/>
      <c r="G57" s="231"/>
      <c r="H57" s="231"/>
      <c r="I57" s="232"/>
    </row>
    <row r="58" spans="1:15" ht="18.75" customHeight="1" x14ac:dyDescent="0.15">
      <c r="A58" s="1"/>
      <c r="B58" s="230"/>
      <c r="C58" s="231"/>
      <c r="D58" s="231"/>
      <c r="E58" s="231"/>
      <c r="F58" s="231"/>
      <c r="G58" s="231"/>
      <c r="H58" s="231"/>
      <c r="I58" s="232"/>
    </row>
    <row r="59" spans="1:15" ht="18.75" customHeight="1" x14ac:dyDescent="0.15">
      <c r="A59" s="1"/>
      <c r="B59" s="230"/>
      <c r="C59" s="231"/>
      <c r="D59" s="231"/>
      <c r="E59" s="231"/>
      <c r="F59" s="231"/>
      <c r="G59" s="231"/>
      <c r="H59" s="231"/>
      <c r="I59" s="232"/>
    </row>
    <row r="60" spans="1:15" ht="18.75" customHeight="1" x14ac:dyDescent="0.15">
      <c r="A60" s="1"/>
      <c r="B60" s="230"/>
      <c r="C60" s="231"/>
      <c r="D60" s="231"/>
      <c r="E60" s="231"/>
      <c r="F60" s="231"/>
      <c r="G60" s="231"/>
      <c r="H60" s="231"/>
      <c r="I60" s="232"/>
    </row>
    <row r="61" spans="1:15" ht="18.75" customHeight="1" x14ac:dyDescent="0.15">
      <c r="A61" s="1"/>
      <c r="B61" s="230"/>
      <c r="C61" s="231"/>
      <c r="D61" s="231"/>
      <c r="E61" s="231"/>
      <c r="F61" s="231"/>
      <c r="G61" s="231"/>
      <c r="H61" s="231"/>
      <c r="I61" s="232"/>
    </row>
    <row r="62" spans="1:15" ht="18.75" customHeight="1" x14ac:dyDescent="0.15">
      <c r="A62" s="1"/>
      <c r="B62" s="230"/>
      <c r="C62" s="231"/>
      <c r="D62" s="231"/>
      <c r="E62" s="231"/>
      <c r="F62" s="231"/>
      <c r="G62" s="231"/>
      <c r="H62" s="231"/>
      <c r="I62" s="232"/>
    </row>
    <row r="63" spans="1:15" ht="18.75" customHeight="1" x14ac:dyDescent="0.15">
      <c r="A63" s="1"/>
      <c r="B63" s="233"/>
      <c r="C63" s="234"/>
      <c r="D63" s="234"/>
      <c r="E63" s="234"/>
      <c r="F63" s="234"/>
      <c r="G63" s="234"/>
      <c r="H63" s="234"/>
      <c r="I63" s="235"/>
    </row>
    <row r="64" spans="1:15" ht="7.5" customHeight="1" x14ac:dyDescent="0.15">
      <c r="A64" s="14"/>
      <c r="B64" s="14"/>
      <c r="C64" s="14"/>
      <c r="D64" s="14"/>
      <c r="E64" s="14"/>
      <c r="F64" s="14"/>
      <c r="G64" s="14"/>
      <c r="H64" s="14"/>
      <c r="I64" s="14"/>
    </row>
    <row r="65" spans="1:9" ht="18.75" customHeight="1" x14ac:dyDescent="0.15">
      <c r="A65" s="15" t="s">
        <v>133</v>
      </c>
      <c r="B65" s="1" t="s">
        <v>134</v>
      </c>
      <c r="I65" s="15"/>
    </row>
    <row r="66" spans="1:9" ht="18.75" customHeight="1" x14ac:dyDescent="0.15">
      <c r="A66" s="4"/>
      <c r="B66" s="227" t="s">
        <v>168</v>
      </c>
      <c r="C66" s="228"/>
      <c r="D66" s="228"/>
      <c r="E66" s="228"/>
      <c r="F66" s="228"/>
      <c r="G66" s="228"/>
      <c r="H66" s="228"/>
      <c r="I66" s="229"/>
    </row>
    <row r="67" spans="1:9" ht="18.75" customHeight="1" x14ac:dyDescent="0.15">
      <c r="A67" s="4"/>
      <c r="B67" s="230"/>
      <c r="C67" s="231"/>
      <c r="D67" s="231"/>
      <c r="E67" s="231"/>
      <c r="F67" s="231"/>
      <c r="G67" s="231"/>
      <c r="H67" s="231"/>
      <c r="I67" s="232"/>
    </row>
    <row r="68" spans="1:9" ht="18.75" customHeight="1" x14ac:dyDescent="0.15">
      <c r="A68" s="4"/>
      <c r="B68" s="230"/>
      <c r="C68" s="231"/>
      <c r="D68" s="231"/>
      <c r="E68" s="231"/>
      <c r="F68" s="231"/>
      <c r="G68" s="231"/>
      <c r="H68" s="231"/>
      <c r="I68" s="232"/>
    </row>
    <row r="69" spans="1:9" ht="18.75" customHeight="1" x14ac:dyDescent="0.15">
      <c r="A69" s="4"/>
      <c r="B69" s="230"/>
      <c r="C69" s="231"/>
      <c r="D69" s="231"/>
      <c r="E69" s="231"/>
      <c r="F69" s="231"/>
      <c r="G69" s="231"/>
      <c r="H69" s="231"/>
      <c r="I69" s="232"/>
    </row>
    <row r="70" spans="1:9" ht="18.75" customHeight="1" x14ac:dyDescent="0.15">
      <c r="A70" s="4"/>
      <c r="B70" s="230"/>
      <c r="C70" s="231"/>
      <c r="D70" s="231"/>
      <c r="E70" s="231"/>
      <c r="F70" s="231"/>
      <c r="G70" s="231"/>
      <c r="H70" s="231"/>
      <c r="I70" s="232"/>
    </row>
    <row r="71" spans="1:9" ht="18.75" customHeight="1" x14ac:dyDescent="0.15">
      <c r="A71" s="4"/>
      <c r="B71" s="230"/>
      <c r="C71" s="231"/>
      <c r="D71" s="231"/>
      <c r="E71" s="231"/>
      <c r="F71" s="231"/>
      <c r="G71" s="231"/>
      <c r="H71" s="231"/>
      <c r="I71" s="232"/>
    </row>
    <row r="72" spans="1:9" ht="18.75" customHeight="1" x14ac:dyDescent="0.15">
      <c r="A72" s="4"/>
      <c r="B72" s="230"/>
      <c r="C72" s="231"/>
      <c r="D72" s="231"/>
      <c r="E72" s="231"/>
      <c r="F72" s="231"/>
      <c r="G72" s="231"/>
      <c r="H72" s="231"/>
      <c r="I72" s="232"/>
    </row>
    <row r="73" spans="1:9" ht="18.75" customHeight="1" x14ac:dyDescent="0.15">
      <c r="A73" s="4"/>
      <c r="B73" s="230"/>
      <c r="C73" s="231"/>
      <c r="D73" s="231"/>
      <c r="E73" s="231"/>
      <c r="F73" s="231"/>
      <c r="G73" s="231"/>
      <c r="H73" s="231"/>
      <c r="I73" s="232"/>
    </row>
    <row r="74" spans="1:9" ht="18.75" customHeight="1" x14ac:dyDescent="0.15">
      <c r="A74" s="4"/>
      <c r="B74" s="230"/>
      <c r="C74" s="231"/>
      <c r="D74" s="231"/>
      <c r="E74" s="231"/>
      <c r="F74" s="231"/>
      <c r="G74" s="231"/>
      <c r="H74" s="231"/>
      <c r="I74" s="232"/>
    </row>
    <row r="75" spans="1:9" ht="18.75" customHeight="1" x14ac:dyDescent="0.15">
      <c r="A75" s="4"/>
      <c r="B75" s="230"/>
      <c r="C75" s="231"/>
      <c r="D75" s="231"/>
      <c r="E75" s="231"/>
      <c r="F75" s="231"/>
      <c r="G75" s="231"/>
      <c r="H75" s="231"/>
      <c r="I75" s="232"/>
    </row>
    <row r="76" spans="1:9" ht="18.75" customHeight="1" x14ac:dyDescent="0.15">
      <c r="A76" s="4"/>
      <c r="B76" s="230"/>
      <c r="C76" s="231"/>
      <c r="D76" s="231"/>
      <c r="E76" s="231"/>
      <c r="F76" s="231"/>
      <c r="G76" s="231"/>
      <c r="H76" s="231"/>
      <c r="I76" s="232"/>
    </row>
    <row r="77" spans="1:9" ht="18.75" customHeight="1" x14ac:dyDescent="0.15">
      <c r="A77" s="4"/>
      <c r="B77" s="233"/>
      <c r="C77" s="234"/>
      <c r="D77" s="234"/>
      <c r="E77" s="234"/>
      <c r="F77" s="234"/>
      <c r="G77" s="234"/>
      <c r="H77" s="234"/>
      <c r="I77" s="235"/>
    </row>
    <row r="78" spans="1:9" ht="7.5" customHeight="1" x14ac:dyDescent="0.15">
      <c r="A78" s="4"/>
      <c r="B78" s="4"/>
      <c r="C78" s="4"/>
      <c r="D78" s="4"/>
      <c r="E78" s="4"/>
      <c r="F78" s="4"/>
      <c r="G78" s="4"/>
      <c r="H78" s="4"/>
      <c r="I78" s="4"/>
    </row>
    <row r="79" spans="1:9" ht="18.75" customHeight="1" x14ac:dyDescent="0.15">
      <c r="A79" s="1" t="s">
        <v>135</v>
      </c>
      <c r="B79" s="1" t="s">
        <v>136</v>
      </c>
    </row>
    <row r="80" spans="1:9" ht="18.75" customHeight="1" x14ac:dyDescent="0.15">
      <c r="A80" s="1"/>
      <c r="B80" s="227" t="s">
        <v>169</v>
      </c>
      <c r="C80" s="228"/>
      <c r="D80" s="228"/>
      <c r="E80" s="228"/>
      <c r="F80" s="228"/>
      <c r="G80" s="228"/>
      <c r="H80" s="228"/>
      <c r="I80" s="236"/>
    </row>
    <row r="81" spans="1:11" ht="18.75" customHeight="1" x14ac:dyDescent="0.15">
      <c r="A81" s="1"/>
      <c r="B81" s="237"/>
      <c r="C81" s="238"/>
      <c r="D81" s="238"/>
      <c r="E81" s="238"/>
      <c r="F81" s="238"/>
      <c r="G81" s="238"/>
      <c r="H81" s="238"/>
      <c r="I81" s="239"/>
    </row>
    <row r="82" spans="1:11" ht="18.75" customHeight="1" x14ac:dyDescent="0.15">
      <c r="A82" s="1"/>
      <c r="B82" s="237"/>
      <c r="C82" s="238"/>
      <c r="D82" s="238"/>
      <c r="E82" s="238"/>
      <c r="F82" s="238"/>
      <c r="G82" s="238"/>
      <c r="H82" s="238"/>
      <c r="I82" s="239"/>
    </row>
    <row r="83" spans="1:11" ht="18.75" customHeight="1" x14ac:dyDescent="0.15">
      <c r="A83" s="1"/>
      <c r="B83" s="237"/>
      <c r="C83" s="238"/>
      <c r="D83" s="238"/>
      <c r="E83" s="238"/>
      <c r="F83" s="238"/>
      <c r="G83" s="238"/>
      <c r="H83" s="238"/>
      <c r="I83" s="239"/>
    </row>
    <row r="84" spans="1:11" ht="18.75" customHeight="1" x14ac:dyDescent="0.15">
      <c r="A84" s="1"/>
      <c r="B84" s="237"/>
      <c r="C84" s="238"/>
      <c r="D84" s="238"/>
      <c r="E84" s="238"/>
      <c r="F84" s="238"/>
      <c r="G84" s="238"/>
      <c r="H84" s="238"/>
      <c r="I84" s="239"/>
    </row>
    <row r="85" spans="1:11" ht="18.75" customHeight="1" x14ac:dyDescent="0.15">
      <c r="A85" s="1"/>
      <c r="B85" s="237"/>
      <c r="C85" s="238"/>
      <c r="D85" s="238"/>
      <c r="E85" s="238"/>
      <c r="F85" s="238"/>
      <c r="G85" s="238"/>
      <c r="H85" s="238"/>
      <c r="I85" s="239"/>
      <c r="K85" s="72"/>
    </row>
    <row r="86" spans="1:11" ht="18.75" customHeight="1" x14ac:dyDescent="0.15">
      <c r="A86" s="1"/>
      <c r="B86" s="237"/>
      <c r="C86" s="238"/>
      <c r="D86" s="238"/>
      <c r="E86" s="238"/>
      <c r="F86" s="238"/>
      <c r="G86" s="238"/>
      <c r="H86" s="238"/>
      <c r="I86" s="239"/>
    </row>
    <row r="87" spans="1:11" ht="18.75" customHeight="1" x14ac:dyDescent="0.15">
      <c r="A87" s="1"/>
      <c r="B87" s="237"/>
      <c r="C87" s="238"/>
      <c r="D87" s="238"/>
      <c r="E87" s="238"/>
      <c r="F87" s="238"/>
      <c r="G87" s="238"/>
      <c r="H87" s="238"/>
      <c r="I87" s="239"/>
    </row>
    <row r="88" spans="1:11" ht="18.75" customHeight="1" x14ac:dyDescent="0.15">
      <c r="A88" s="1"/>
      <c r="B88" s="237"/>
      <c r="C88" s="238"/>
      <c r="D88" s="238"/>
      <c r="E88" s="238"/>
      <c r="F88" s="238"/>
      <c r="G88" s="238"/>
      <c r="H88" s="238"/>
      <c r="I88" s="239"/>
    </row>
    <row r="89" spans="1:11" ht="18.75" customHeight="1" x14ac:dyDescent="0.15">
      <c r="A89" s="1"/>
      <c r="B89" s="237"/>
      <c r="C89" s="238"/>
      <c r="D89" s="238"/>
      <c r="E89" s="238"/>
      <c r="F89" s="238"/>
      <c r="G89" s="238"/>
      <c r="H89" s="238"/>
      <c r="I89" s="239"/>
    </row>
    <row r="90" spans="1:11" ht="18.75" customHeight="1" x14ac:dyDescent="0.15">
      <c r="A90" s="4"/>
      <c r="B90" s="237"/>
      <c r="C90" s="238"/>
      <c r="D90" s="238"/>
      <c r="E90" s="238"/>
      <c r="F90" s="238"/>
      <c r="G90" s="238"/>
      <c r="H90" s="238"/>
      <c r="I90" s="239"/>
    </row>
    <row r="91" spans="1:11" ht="18.75" customHeight="1" x14ac:dyDescent="0.15">
      <c r="A91" s="4"/>
      <c r="B91" s="240"/>
      <c r="C91" s="241"/>
      <c r="D91" s="241"/>
      <c r="E91" s="241"/>
      <c r="F91" s="241"/>
      <c r="G91" s="241"/>
      <c r="H91" s="241"/>
      <c r="I91" s="242"/>
    </row>
    <row r="92" spans="1:11" ht="7.5" customHeight="1" x14ac:dyDescent="0.15">
      <c r="A92" s="4"/>
      <c r="B92" s="4"/>
      <c r="C92" s="4"/>
      <c r="D92" s="4"/>
      <c r="E92" s="4"/>
      <c r="F92" s="4"/>
      <c r="G92" s="4"/>
      <c r="H92" s="4"/>
      <c r="I92" s="4"/>
    </row>
    <row r="93" spans="1:11" ht="18.75" customHeight="1" x14ac:dyDescent="0.15">
      <c r="A93" s="1" t="s">
        <v>137</v>
      </c>
      <c r="B93" s="1" t="s">
        <v>138</v>
      </c>
    </row>
    <row r="94" spans="1:11" ht="18.75" customHeight="1" x14ac:dyDescent="0.15">
      <c r="A94" s="1"/>
      <c r="B94" s="213" t="s">
        <v>170</v>
      </c>
      <c r="C94" s="214"/>
      <c r="D94" s="214"/>
      <c r="E94" s="214"/>
      <c r="F94" s="214"/>
      <c r="G94" s="214"/>
      <c r="H94" s="214"/>
      <c r="I94" s="215"/>
    </row>
    <row r="95" spans="1:11" ht="18.75" customHeight="1" x14ac:dyDescent="0.15">
      <c r="A95" s="1"/>
      <c r="B95" s="216"/>
      <c r="C95" s="217"/>
      <c r="D95" s="217"/>
      <c r="E95" s="217"/>
      <c r="F95" s="217"/>
      <c r="G95" s="217"/>
      <c r="H95" s="217"/>
      <c r="I95" s="218"/>
    </row>
    <row r="96" spans="1:11" ht="18.75" customHeight="1" x14ac:dyDescent="0.15">
      <c r="A96" s="1"/>
      <c r="B96" s="216"/>
      <c r="C96" s="217"/>
      <c r="D96" s="217"/>
      <c r="E96" s="217"/>
      <c r="F96" s="217"/>
      <c r="G96" s="217"/>
      <c r="H96" s="217"/>
      <c r="I96" s="218"/>
    </row>
    <row r="97" spans="1:9" ht="18.75" customHeight="1" x14ac:dyDescent="0.15">
      <c r="A97" s="1"/>
      <c r="B97" s="216"/>
      <c r="C97" s="217"/>
      <c r="D97" s="217"/>
      <c r="E97" s="217"/>
      <c r="F97" s="217"/>
      <c r="G97" s="217"/>
      <c r="H97" s="217"/>
      <c r="I97" s="218"/>
    </row>
    <row r="98" spans="1:9" ht="18.75" customHeight="1" x14ac:dyDescent="0.15">
      <c r="A98" s="1"/>
      <c r="B98" s="216"/>
      <c r="C98" s="217"/>
      <c r="D98" s="217"/>
      <c r="E98" s="217"/>
      <c r="F98" s="217"/>
      <c r="G98" s="217"/>
      <c r="H98" s="217"/>
      <c r="I98" s="218"/>
    </row>
    <row r="99" spans="1:9" ht="18.75" customHeight="1" x14ac:dyDescent="0.15">
      <c r="A99" s="1"/>
      <c r="B99" s="216"/>
      <c r="C99" s="217"/>
      <c r="D99" s="217"/>
      <c r="E99" s="217"/>
      <c r="F99" s="217"/>
      <c r="G99" s="217"/>
      <c r="H99" s="217"/>
      <c r="I99" s="218"/>
    </row>
    <row r="100" spans="1:9" ht="18.75" customHeight="1" x14ac:dyDescent="0.15">
      <c r="A100" s="1"/>
      <c r="B100" s="216"/>
      <c r="C100" s="217"/>
      <c r="D100" s="217"/>
      <c r="E100" s="217"/>
      <c r="F100" s="217"/>
      <c r="G100" s="217"/>
      <c r="H100" s="217"/>
      <c r="I100" s="218"/>
    </row>
    <row r="101" spans="1:9" ht="18.75" customHeight="1" x14ac:dyDescent="0.15">
      <c r="A101" s="1"/>
      <c r="B101" s="216"/>
      <c r="C101" s="217"/>
      <c r="D101" s="217"/>
      <c r="E101" s="217"/>
      <c r="F101" s="217"/>
      <c r="G101" s="217"/>
      <c r="H101" s="217"/>
      <c r="I101" s="218"/>
    </row>
    <row r="102" spans="1:9" ht="18.75" customHeight="1" x14ac:dyDescent="0.15">
      <c r="A102" s="1"/>
      <c r="B102" s="216"/>
      <c r="C102" s="217"/>
      <c r="D102" s="217"/>
      <c r="E102" s="217"/>
      <c r="F102" s="217"/>
      <c r="G102" s="217"/>
      <c r="H102" s="217"/>
      <c r="I102" s="218"/>
    </row>
    <row r="103" spans="1:9" ht="18.75" customHeight="1" x14ac:dyDescent="0.15">
      <c r="A103" s="1"/>
      <c r="B103" s="216"/>
      <c r="C103" s="217"/>
      <c r="D103" s="217"/>
      <c r="E103" s="217"/>
      <c r="F103" s="217"/>
      <c r="G103" s="217"/>
      <c r="H103" s="217"/>
      <c r="I103" s="218"/>
    </row>
    <row r="104" spans="1:9" ht="18.75" customHeight="1" x14ac:dyDescent="0.15">
      <c r="A104" s="1"/>
      <c r="B104" s="216"/>
      <c r="C104" s="217"/>
      <c r="D104" s="217"/>
      <c r="E104" s="217"/>
      <c r="F104" s="217"/>
      <c r="G104" s="217"/>
      <c r="H104" s="217"/>
      <c r="I104" s="218"/>
    </row>
    <row r="105" spans="1:9" ht="18.75" customHeight="1" x14ac:dyDescent="0.15">
      <c r="A105" s="4"/>
      <c r="B105" s="219"/>
      <c r="C105" s="220"/>
      <c r="D105" s="220"/>
      <c r="E105" s="220"/>
      <c r="F105" s="220"/>
      <c r="G105" s="220"/>
      <c r="H105" s="220"/>
      <c r="I105" s="221"/>
    </row>
    <row r="106" spans="1:9" ht="7.5" customHeight="1" x14ac:dyDescent="0.15">
      <c r="A106" s="4"/>
      <c r="B106" s="4"/>
      <c r="C106" s="4"/>
      <c r="D106" s="4"/>
      <c r="E106" s="4"/>
      <c r="F106" s="4"/>
      <c r="G106" s="4"/>
      <c r="H106" s="4"/>
      <c r="I106" s="4"/>
    </row>
    <row r="107" spans="1:9" ht="18.75" customHeight="1" x14ac:dyDescent="0.15">
      <c r="A107" s="1" t="s">
        <v>139</v>
      </c>
      <c r="B107" s="222" t="s">
        <v>140</v>
      </c>
      <c r="C107" s="222"/>
      <c r="D107" s="222"/>
      <c r="E107" s="222"/>
      <c r="F107" s="222"/>
      <c r="G107" s="222"/>
      <c r="H107" s="222"/>
      <c r="I107" s="222"/>
    </row>
    <row r="108" spans="1:9" ht="18.75" customHeight="1" x14ac:dyDescent="0.15">
      <c r="A108" s="4"/>
      <c r="B108" s="213" t="s">
        <v>176</v>
      </c>
      <c r="C108" s="214"/>
      <c r="D108" s="214"/>
      <c r="E108" s="214"/>
      <c r="F108" s="214"/>
      <c r="G108" s="214"/>
      <c r="H108" s="214"/>
      <c r="I108" s="215"/>
    </row>
    <row r="109" spans="1:9" ht="18.75" customHeight="1" x14ac:dyDescent="0.15">
      <c r="A109" s="4"/>
      <c r="B109" s="216"/>
      <c r="C109" s="217"/>
      <c r="D109" s="217"/>
      <c r="E109" s="217"/>
      <c r="F109" s="217"/>
      <c r="G109" s="217"/>
      <c r="H109" s="217"/>
      <c r="I109" s="218"/>
    </row>
    <row r="110" spans="1:9" ht="18.75" customHeight="1" x14ac:dyDescent="0.15">
      <c r="A110" s="4"/>
      <c r="B110" s="216"/>
      <c r="C110" s="217"/>
      <c r="D110" s="217"/>
      <c r="E110" s="217"/>
      <c r="F110" s="217"/>
      <c r="G110" s="217"/>
      <c r="H110" s="217"/>
      <c r="I110" s="218"/>
    </row>
    <row r="111" spans="1:9" ht="18.75" customHeight="1" x14ac:dyDescent="0.15">
      <c r="A111" s="4"/>
      <c r="B111" s="216"/>
      <c r="C111" s="217"/>
      <c r="D111" s="217"/>
      <c r="E111" s="217"/>
      <c r="F111" s="217"/>
      <c r="G111" s="217"/>
      <c r="H111" s="217"/>
      <c r="I111" s="218"/>
    </row>
    <row r="112" spans="1:9" ht="18.75" customHeight="1" x14ac:dyDescent="0.15">
      <c r="A112" s="4"/>
      <c r="B112" s="216"/>
      <c r="C112" s="217"/>
      <c r="D112" s="217"/>
      <c r="E112" s="217"/>
      <c r="F112" s="217"/>
      <c r="G112" s="217"/>
      <c r="H112" s="217"/>
      <c r="I112" s="218"/>
    </row>
    <row r="113" spans="1:9" ht="18.75" customHeight="1" x14ac:dyDescent="0.15">
      <c r="A113" s="4"/>
      <c r="B113" s="216"/>
      <c r="C113" s="217"/>
      <c r="D113" s="217"/>
      <c r="E113" s="217"/>
      <c r="F113" s="217"/>
      <c r="G113" s="217"/>
      <c r="H113" s="217"/>
      <c r="I113" s="218"/>
    </row>
    <row r="114" spans="1:9" ht="18.75" customHeight="1" x14ac:dyDescent="0.15">
      <c r="A114" s="4"/>
      <c r="B114" s="216"/>
      <c r="C114" s="217"/>
      <c r="D114" s="217"/>
      <c r="E114" s="217"/>
      <c r="F114" s="217"/>
      <c r="G114" s="217"/>
      <c r="H114" s="217"/>
      <c r="I114" s="218"/>
    </row>
    <row r="115" spans="1:9" ht="18.75" customHeight="1" x14ac:dyDescent="0.15">
      <c r="A115" s="4"/>
      <c r="B115" s="216"/>
      <c r="C115" s="217"/>
      <c r="D115" s="217"/>
      <c r="E115" s="217"/>
      <c r="F115" s="217"/>
      <c r="G115" s="217"/>
      <c r="H115" s="217"/>
      <c r="I115" s="218"/>
    </row>
    <row r="116" spans="1:9" ht="18.75" customHeight="1" x14ac:dyDescent="0.15">
      <c r="A116" s="4"/>
      <c r="B116" s="216"/>
      <c r="C116" s="217"/>
      <c r="D116" s="217"/>
      <c r="E116" s="217"/>
      <c r="F116" s="217"/>
      <c r="G116" s="217"/>
      <c r="H116" s="217"/>
      <c r="I116" s="218"/>
    </row>
    <row r="117" spans="1:9" ht="18.75" customHeight="1" x14ac:dyDescent="0.15">
      <c r="A117" s="4"/>
      <c r="B117" s="216"/>
      <c r="C117" s="217"/>
      <c r="D117" s="217"/>
      <c r="E117" s="217"/>
      <c r="F117" s="217"/>
      <c r="G117" s="217"/>
      <c r="H117" s="217"/>
      <c r="I117" s="218"/>
    </row>
    <row r="118" spans="1:9" ht="18.75" customHeight="1" x14ac:dyDescent="0.15">
      <c r="A118" s="4"/>
      <c r="B118" s="216"/>
      <c r="C118" s="217"/>
      <c r="D118" s="217"/>
      <c r="E118" s="217"/>
      <c r="F118" s="217"/>
      <c r="G118" s="217"/>
      <c r="H118" s="217"/>
      <c r="I118" s="218"/>
    </row>
    <row r="119" spans="1:9" ht="18.75" customHeight="1" x14ac:dyDescent="0.15">
      <c r="A119" s="4"/>
      <c r="B119" s="219"/>
      <c r="C119" s="220"/>
      <c r="D119" s="220"/>
      <c r="E119" s="220"/>
      <c r="F119" s="220"/>
      <c r="G119" s="220"/>
      <c r="H119" s="220"/>
      <c r="I119" s="221"/>
    </row>
    <row r="120" spans="1:9" ht="7.5" customHeight="1" x14ac:dyDescent="0.15">
      <c r="A120" s="4"/>
      <c r="B120" s="35"/>
      <c r="C120" s="35"/>
      <c r="D120" s="35"/>
      <c r="E120" s="35"/>
      <c r="F120" s="35"/>
      <c r="G120" s="35"/>
      <c r="H120" s="35"/>
      <c r="I120" s="35"/>
    </row>
    <row r="121" spans="1:9" ht="18.75" customHeight="1" x14ac:dyDescent="0.15">
      <c r="A121" s="65"/>
      <c r="B121" s="182"/>
      <c r="C121" s="182"/>
      <c r="D121" s="182"/>
      <c r="E121" s="182"/>
      <c r="F121" s="182"/>
      <c r="G121" s="182"/>
      <c r="H121" s="182"/>
      <c r="I121" s="182"/>
    </row>
    <row r="122" spans="1:9" ht="18.75" customHeight="1" x14ac:dyDescent="0.15">
      <c r="A122" s="65"/>
      <c r="B122" s="182"/>
      <c r="C122" s="182"/>
      <c r="D122" s="182"/>
      <c r="E122" s="182"/>
      <c r="F122" s="182"/>
      <c r="G122" s="182"/>
      <c r="H122" s="182"/>
      <c r="I122" s="182"/>
    </row>
    <row r="123" spans="1:9" ht="18.75" customHeight="1" x14ac:dyDescent="0.15">
      <c r="A123" s="4"/>
      <c r="B123" s="69"/>
      <c r="C123" s="69"/>
      <c r="D123" s="69"/>
      <c r="E123" s="69"/>
      <c r="F123" s="69"/>
      <c r="G123" s="69"/>
      <c r="H123" s="69"/>
      <c r="I123" s="70"/>
    </row>
    <row r="124" spans="1:9" ht="18.75" customHeight="1" x14ac:dyDescent="0.15">
      <c r="A124" s="4"/>
      <c r="B124" s="70"/>
      <c r="C124" s="70"/>
      <c r="D124" s="70"/>
      <c r="E124" s="70"/>
      <c r="F124" s="70"/>
      <c r="G124" s="70"/>
      <c r="H124" s="70"/>
      <c r="I124" s="70"/>
    </row>
    <row r="125" spans="1:9" ht="18.75" customHeight="1" x14ac:dyDescent="0.15">
      <c r="A125" s="4"/>
      <c r="B125" s="70"/>
      <c r="C125" s="70"/>
      <c r="D125" s="70"/>
      <c r="E125" s="70"/>
      <c r="F125" s="70"/>
      <c r="G125" s="70"/>
      <c r="H125" s="70"/>
      <c r="I125" s="70"/>
    </row>
    <row r="126" spans="1:9" ht="18.75" customHeight="1" x14ac:dyDescent="0.15">
      <c r="A126" s="4"/>
      <c r="B126" s="70"/>
      <c r="C126" s="70"/>
      <c r="D126" s="70"/>
      <c r="E126" s="70"/>
      <c r="F126" s="70"/>
      <c r="G126" s="70"/>
      <c r="H126" s="70"/>
      <c r="I126" s="70"/>
    </row>
    <row r="127" spans="1:9" ht="18.75" customHeight="1" x14ac:dyDescent="0.15">
      <c r="A127" s="4"/>
      <c r="B127" s="70"/>
      <c r="C127" s="70"/>
      <c r="D127" s="70"/>
      <c r="E127" s="70"/>
      <c r="F127" s="70"/>
      <c r="G127" s="70"/>
      <c r="H127" s="70"/>
      <c r="I127" s="70"/>
    </row>
    <row r="128" spans="1:9" ht="18.75" customHeight="1" x14ac:dyDescent="0.15">
      <c r="A128" s="4"/>
      <c r="B128" s="70"/>
      <c r="C128" s="70"/>
      <c r="D128" s="70"/>
      <c r="E128" s="70"/>
      <c r="F128" s="70"/>
      <c r="G128" s="70"/>
      <c r="H128" s="70"/>
      <c r="I128" s="70"/>
    </row>
    <row r="129" spans="1:9" ht="18.75" customHeight="1" x14ac:dyDescent="0.15">
      <c r="A129" s="4"/>
      <c r="B129" s="70"/>
      <c r="C129" s="70"/>
      <c r="D129" s="70"/>
      <c r="E129" s="70"/>
      <c r="F129" s="70"/>
      <c r="G129" s="70"/>
      <c r="H129" s="70"/>
      <c r="I129" s="70"/>
    </row>
    <row r="130" spans="1:9" ht="18.75" customHeight="1" x14ac:dyDescent="0.15">
      <c r="A130" s="4"/>
      <c r="B130" s="70"/>
      <c r="C130" s="70"/>
      <c r="D130" s="70"/>
      <c r="E130" s="70"/>
      <c r="F130" s="70"/>
      <c r="G130" s="70"/>
      <c r="H130" s="70"/>
      <c r="I130" s="70"/>
    </row>
    <row r="131" spans="1:9" ht="18.75" customHeight="1" x14ac:dyDescent="0.15">
      <c r="A131" s="4"/>
      <c r="B131" s="70"/>
      <c r="C131" s="70"/>
      <c r="D131" s="70"/>
      <c r="E131" s="70"/>
      <c r="F131" s="70"/>
      <c r="G131" s="70"/>
      <c r="H131" s="70"/>
      <c r="I131" s="70"/>
    </row>
    <row r="132" spans="1:9" ht="18.75" customHeight="1" x14ac:dyDescent="0.15">
      <c r="A132" s="4"/>
      <c r="B132" s="70"/>
      <c r="C132" s="70"/>
      <c r="D132" s="70"/>
      <c r="E132" s="70"/>
      <c r="F132" s="70"/>
      <c r="G132" s="70"/>
      <c r="H132" s="70"/>
      <c r="I132" s="70"/>
    </row>
    <row r="133" spans="1:9" ht="14.25" x14ac:dyDescent="0.15">
      <c r="A133" s="4"/>
      <c r="B133" s="70"/>
      <c r="C133" s="70"/>
      <c r="D133" s="70"/>
      <c r="E133" s="70"/>
      <c r="F133" s="70"/>
      <c r="G133" s="70"/>
      <c r="H133" s="70"/>
      <c r="I133" s="70"/>
    </row>
    <row r="134" spans="1:9" ht="7.5" customHeight="1" x14ac:dyDescent="0.15">
      <c r="A134" s="4"/>
      <c r="B134" s="70"/>
      <c r="C134" s="70"/>
      <c r="D134" s="70"/>
      <c r="E134" s="70"/>
      <c r="F134" s="70"/>
      <c r="G134" s="70"/>
      <c r="H134" s="70"/>
      <c r="I134" s="70"/>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topLeftCell="A21" zoomScaleNormal="100" zoomScaleSheetLayoutView="100" workbookViewId="0">
      <selection activeCell="E23" sqref="E23"/>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141</v>
      </c>
      <c r="I1" s="26" t="s">
        <v>142</v>
      </c>
    </row>
    <row r="2" spans="1:9" ht="18.75" customHeight="1" x14ac:dyDescent="0.15">
      <c r="H2" s="26" t="s">
        <v>2</v>
      </c>
      <c r="I2" s="25" t="str">
        <f>'様式１　プログラムを構成する授業科目'!C2</f>
        <v>高崎経済大学</v>
      </c>
    </row>
    <row r="3" spans="1:9" ht="18.75" customHeight="1" x14ac:dyDescent="0.15">
      <c r="A3" s="183" t="s">
        <v>143</v>
      </c>
      <c r="B3" s="183"/>
      <c r="C3" s="183"/>
      <c r="D3" s="183"/>
      <c r="E3" s="183"/>
      <c r="F3" s="183"/>
      <c r="G3" s="183"/>
      <c r="H3" s="183"/>
      <c r="I3" s="183"/>
    </row>
    <row r="4" spans="1:9" ht="18.75" customHeight="1" x14ac:dyDescent="0.15">
      <c r="A4" s="5"/>
      <c r="B4" s="5"/>
      <c r="C4" s="5"/>
      <c r="D4" s="5"/>
      <c r="E4" s="5"/>
      <c r="F4" s="5"/>
      <c r="G4" s="5"/>
      <c r="H4" s="5"/>
      <c r="I4" s="5"/>
    </row>
    <row r="5" spans="1:9" ht="18.75" customHeight="1" x14ac:dyDescent="0.15">
      <c r="A5" s="1" t="s">
        <v>104</v>
      </c>
      <c r="B5" s="10" t="s">
        <v>144</v>
      </c>
      <c r="C5" s="5"/>
      <c r="D5" s="5"/>
      <c r="E5" s="5"/>
      <c r="F5" s="5"/>
      <c r="G5" s="5"/>
      <c r="H5" s="5"/>
      <c r="I5" s="5"/>
    </row>
    <row r="6" spans="1:9" ht="26.25" customHeight="1" x14ac:dyDescent="0.15">
      <c r="A6" s="5"/>
      <c r="B6" s="207" t="s">
        <v>145</v>
      </c>
      <c r="C6" s="254"/>
      <c r="D6" s="254"/>
      <c r="E6" s="254"/>
      <c r="F6" s="254"/>
      <c r="G6" s="254"/>
      <c r="H6" s="255"/>
      <c r="I6" s="3"/>
    </row>
    <row r="7" spans="1:9" ht="9" customHeight="1" x14ac:dyDescent="0.15">
      <c r="A7" s="5"/>
      <c r="B7" s="10"/>
      <c r="C7" s="10"/>
      <c r="D7" s="10"/>
      <c r="E7" s="10"/>
      <c r="F7" s="10"/>
      <c r="G7" s="10"/>
      <c r="H7" s="10"/>
      <c r="I7" s="3"/>
    </row>
    <row r="8" spans="1:9" ht="18.75" customHeight="1" x14ac:dyDescent="0.15">
      <c r="A8" s="5"/>
      <c r="B8" s="3"/>
      <c r="C8" s="3"/>
      <c r="D8" s="26" t="s">
        <v>112</v>
      </c>
      <c r="E8" s="27" t="s">
        <v>113</v>
      </c>
      <c r="F8" s="3"/>
      <c r="G8" s="26" t="s">
        <v>114</v>
      </c>
      <c r="H8" s="27" t="s">
        <v>115</v>
      </c>
      <c r="I8" s="3"/>
    </row>
    <row r="9" spans="1:9" ht="7.5" customHeight="1" x14ac:dyDescent="0.15">
      <c r="A9" s="5"/>
      <c r="B9" s="5"/>
      <c r="C9" s="5"/>
      <c r="D9" s="5"/>
      <c r="E9" s="5"/>
      <c r="F9" s="5"/>
      <c r="G9" s="5"/>
      <c r="H9" s="5"/>
      <c r="I9" s="5"/>
    </row>
    <row r="10" spans="1:9" ht="18.75" customHeight="1" x14ac:dyDescent="0.15">
      <c r="A10" s="1" t="s">
        <v>108</v>
      </c>
      <c r="B10" s="1" t="s">
        <v>146</v>
      </c>
      <c r="C10" s="4"/>
      <c r="D10" s="4"/>
      <c r="E10" s="4"/>
      <c r="F10" s="4"/>
      <c r="G10" s="4"/>
      <c r="H10" s="4"/>
      <c r="I10" s="4"/>
    </row>
    <row r="11" spans="1:9" ht="18.75" customHeight="1" x14ac:dyDescent="0.15">
      <c r="B11" s="94" t="s">
        <v>147</v>
      </c>
      <c r="C11" s="95"/>
      <c r="D11" s="96"/>
      <c r="E11" s="95" t="s">
        <v>148</v>
      </c>
      <c r="F11" s="95"/>
      <c r="G11" s="95"/>
      <c r="H11" s="95"/>
      <c r="I11" s="96"/>
    </row>
    <row r="12" spans="1:9" ht="26.25" customHeight="1" x14ac:dyDescent="0.15">
      <c r="B12" s="36" t="s">
        <v>149</v>
      </c>
      <c r="C12" s="43"/>
      <c r="D12" s="37"/>
      <c r="E12" s="44"/>
      <c r="F12" s="44"/>
      <c r="G12" s="44"/>
      <c r="H12" s="44"/>
      <c r="I12" s="37"/>
    </row>
    <row r="13" spans="1:9" ht="210.75" customHeight="1" x14ac:dyDescent="0.15">
      <c r="B13" s="38"/>
      <c r="C13" s="249" t="s">
        <v>150</v>
      </c>
      <c r="D13" s="250"/>
      <c r="E13" s="251" t="s">
        <v>173</v>
      </c>
      <c r="F13" s="252"/>
      <c r="G13" s="252"/>
      <c r="H13" s="252"/>
      <c r="I13" s="253"/>
    </row>
    <row r="14" spans="1:9" ht="210.75" customHeight="1" x14ac:dyDescent="0.15">
      <c r="B14" s="38"/>
      <c r="C14" s="244" t="s">
        <v>151</v>
      </c>
      <c r="D14" s="245"/>
      <c r="E14" s="246" t="s">
        <v>177</v>
      </c>
      <c r="F14" s="247"/>
      <c r="G14" s="247"/>
      <c r="H14" s="247"/>
      <c r="I14" s="248"/>
    </row>
    <row r="15" spans="1:9" ht="210.75" customHeight="1" x14ac:dyDescent="0.15">
      <c r="B15" s="38"/>
      <c r="C15" s="249" t="s">
        <v>152</v>
      </c>
      <c r="D15" s="250"/>
      <c r="E15" s="251" t="s">
        <v>178</v>
      </c>
      <c r="F15" s="252"/>
      <c r="G15" s="252"/>
      <c r="H15" s="252"/>
      <c r="I15" s="253"/>
    </row>
    <row r="16" spans="1:9" ht="210.75" customHeight="1" x14ac:dyDescent="0.15">
      <c r="B16" s="38"/>
      <c r="C16" s="249" t="s">
        <v>153</v>
      </c>
      <c r="D16" s="250"/>
      <c r="E16" s="251" t="s">
        <v>174</v>
      </c>
      <c r="F16" s="252"/>
      <c r="G16" s="252"/>
      <c r="H16" s="252"/>
      <c r="I16" s="253"/>
    </row>
    <row r="17" spans="2:9" ht="210.75" customHeight="1" x14ac:dyDescent="0.15">
      <c r="B17" s="39"/>
      <c r="C17" s="256" t="s">
        <v>154</v>
      </c>
      <c r="D17" s="257"/>
      <c r="E17" s="258" t="s">
        <v>164</v>
      </c>
      <c r="F17" s="259"/>
      <c r="G17" s="259"/>
      <c r="H17" s="259"/>
      <c r="I17" s="260"/>
    </row>
    <row r="18" spans="2:9" ht="24" customHeight="1" x14ac:dyDescent="0.15">
      <c r="B18" s="36" t="s">
        <v>155</v>
      </c>
      <c r="C18" s="40"/>
      <c r="D18" s="41"/>
      <c r="E18" s="42"/>
      <c r="F18" s="42"/>
      <c r="G18" s="42"/>
      <c r="H18" s="42"/>
      <c r="I18" s="45"/>
    </row>
    <row r="19" spans="2:9" ht="218.25" customHeight="1" x14ac:dyDescent="0.15">
      <c r="B19" s="38"/>
      <c r="C19" s="249" t="s">
        <v>156</v>
      </c>
      <c r="D19" s="250"/>
      <c r="E19" s="252" t="s">
        <v>175</v>
      </c>
      <c r="F19" s="252"/>
      <c r="G19" s="252"/>
      <c r="H19" s="252"/>
      <c r="I19" s="253"/>
    </row>
    <row r="20" spans="2:9" ht="218.25" customHeight="1" x14ac:dyDescent="0.15">
      <c r="B20" s="39"/>
      <c r="C20" s="256" t="s">
        <v>157</v>
      </c>
      <c r="D20" s="257"/>
      <c r="E20" s="259" t="s">
        <v>161</v>
      </c>
      <c r="F20" s="259"/>
      <c r="G20" s="259"/>
      <c r="H20" s="259"/>
      <c r="I20" s="260"/>
    </row>
    <row r="21" spans="2:9" ht="218.25" customHeight="1" x14ac:dyDescent="0.15">
      <c r="B21" s="266" t="s">
        <v>158</v>
      </c>
      <c r="C21" s="267"/>
      <c r="D21" s="268"/>
      <c r="E21" s="269" t="s">
        <v>179</v>
      </c>
      <c r="F21" s="269"/>
      <c r="G21" s="269"/>
      <c r="H21" s="269"/>
      <c r="I21" s="270"/>
    </row>
    <row r="22" spans="2:9" ht="218.25" customHeight="1" x14ac:dyDescent="0.15">
      <c r="B22" s="261" t="s">
        <v>159</v>
      </c>
      <c r="C22" s="262"/>
      <c r="D22" s="263"/>
      <c r="E22" s="264" t="s">
        <v>162</v>
      </c>
      <c r="F22" s="264"/>
      <c r="G22" s="264"/>
      <c r="H22" s="264"/>
      <c r="I22" s="265"/>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D60B9D1E1A150244AC71FD95D76C59D7" ma:contentTypeVersion="12" ma:contentTypeDescription="新しいドキュメントを作成します。" ma:contentTypeScope="" ma:versionID="e170ec0f21526dd305688f12c7c9dd1d">
  <xsd:schema xmlns:xsd="http://www.w3.org/2001/XMLSchema" xmlns:xs="http://www.w3.org/2001/XMLSchema" xmlns:p="http://schemas.microsoft.com/office/2006/metadata/properties" xmlns:ns2="0c17e5b7-026f-4447-bbe2-b1e6707345dc" xmlns:ns3="b183a37a-a2aa-4004-be4e-07455f0c1210" targetNamespace="http://schemas.microsoft.com/office/2006/metadata/properties" ma:root="true" ma:fieldsID="5c61a8087e36b3593927be1b14626c63" ns2:_="" ns3:_="">
    <xsd:import namespace="0c17e5b7-026f-4447-bbe2-b1e6707345dc"/>
    <xsd:import namespace="b183a37a-a2aa-4004-be4e-07455f0c1210"/>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17e5b7-026f-4447-bbe2-b1e6707345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画像タグ" ma:readOnly="false" ma:fieldId="{5cf76f15-5ced-4ddc-b409-7134ff3c332f}" ma:taxonomyMulti="true" ma:sspId="3f7c26c5-4704-4628-9f93-16ddbb96c851"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83a37a-a2aa-4004-be4e-07455f0c1210"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e8fd9624-a84b-4938-af6f-3211bcb5effa}" ma:internalName="TaxCatchAll" ma:showField="CatchAllData" ma:web="b183a37a-a2aa-4004-be4e-07455f0c12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b183a37a-a2aa-4004-be4e-07455f0c1210" xsi:nil="true"/>
    <lcf76f155ced4ddcb4097134ff3c332f xmlns="0c17e5b7-026f-4447-bbe2-b1e6707345dc">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BE1B237-C428-4594-826B-37669520E5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17e5b7-026f-4447-bbe2-b1e6707345dc"/>
    <ds:schemaRef ds:uri="b183a37a-a2aa-4004-be4e-07455f0c12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7F7578F-3A9A-4975-9825-D96B4701FD61}">
  <ds:schemaRefs>
    <ds:schemaRef ds:uri="http://purl.org/dc/terms/"/>
    <ds:schemaRef ds:uri="b183a37a-a2aa-4004-be4e-07455f0c1210"/>
    <ds:schemaRef ds:uri="http://schemas.microsoft.com/office/2006/documentManagement/types"/>
    <ds:schemaRef ds:uri="http://schemas.microsoft.com/office/infopath/2007/PartnerControls"/>
    <ds:schemaRef ds:uri="0c17e5b7-026f-4447-bbe2-b1e6707345dc"/>
    <ds:schemaRef ds:uri="http://purl.org/dc/elements/1.1/"/>
    <ds:schemaRef ds:uri="http://schemas.microsoft.com/office/2006/metadata/propertie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185274CD-CF09-4DC9-89F9-14547574DC1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Windows ユーザー</cp:lastModifiedBy>
  <cp:revision/>
  <cp:lastPrinted>2024-05-07T03:42:18Z</cp:lastPrinted>
  <dcterms:created xsi:type="dcterms:W3CDTF">2011-06-14T05:32:50Z</dcterms:created>
  <dcterms:modified xsi:type="dcterms:W3CDTF">2024-06-17T10:02:16Z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0x010100D60B9D1E1A150244AC71FD95D76C59D7</vt:lpwstr>
  </property>
  <property fmtid="{D5CDD505-2E9C-101B-9397-08002B2CF9AE}" pid="10" name="MediaServiceImageTags">
    <vt:lpwstr/>
  </property>
</Properties>
</file>