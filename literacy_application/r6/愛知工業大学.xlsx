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1"/>
  <workbookPr defaultThemeVersion="124226"/>
  <mc:AlternateContent xmlns:mc="http://schemas.openxmlformats.org/markup-compatibility/2006">
    <mc:Choice Requires="x15">
      <x15ac:absPath xmlns:x15ac="http://schemas.microsoft.com/office/spreadsheetml/2010/11/ac" url="\\jimu-fs1\kyoumu$\public\999_MDASH\2024申請\文科省提出\20240620再々々提出資料\01_愛知工業大学_リテラシー\"/>
    </mc:Choice>
  </mc:AlternateContent>
  <xr:revisionPtr revIDLastSave="0" documentId="13_ncr:1_{3898AF42-65D5-4445-AA08-008B1BDE80A5}" xr6:coauthVersionLast="36" xr6:coauthVersionMax="36" xr10:uidLastSave="{00000000-0000-0000-0000-000000000000}"/>
  <bookViews>
    <workbookView xWindow="0" yWindow="0" windowWidth="28800" windowHeight="11760" tabRatio="885" activeTab="3" xr2:uid="{00000000-000D-0000-FFFF-FFFF00000000}"/>
  </bookViews>
  <sheets>
    <sheet name="様式１-1　プログラムを構成する授業科目" sheetId="39" r:id="rId1"/>
    <sheet name="様式１-2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プログラムを構成する授業科目'!$X$16:$X$18</definedName>
    <definedName name="_xlnm._FilterDatabase" localSheetId="1" hidden="1">'様式１-2　プログラムを構成する授業科目'!$X$16:$X$18</definedName>
    <definedName name="_xlnm._FilterDatabase" localSheetId="2" hidden="1">'様式２ 履修者等数の実績'!#REF!</definedName>
    <definedName name="_xlnm.Print_Area" localSheetId="0">'様式１-1　プログラムを構成する授業科目'!$A$1:$U$112</definedName>
    <definedName name="_xlnm.Print_Area" localSheetId="1">'様式１-2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<sst xmlns="http://schemas.openxmlformats.org/spreadsheetml/2006/main" count="538" uniqueCount="221">
  <si>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</si>
  <si>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</si>
  <si>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</si>
  <si>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</si>
  <si>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</si>
  <si>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</si>
  <si>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</si>
  <si>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</si>
  <si>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</si>
  <si>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</si>
  <si>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</si>
  <si>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</si>
  <si>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</si>
  <si>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</si>
  <si>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</si>
  <si>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</si>
  <si>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</si>
  <si>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</si>
  <si>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</si>
  <si>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</si>
  <si>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</si>
  <si>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</si>
  <si>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</si>
  <si>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</si>
  <si>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</si>
  <si>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</si>
  <si>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</si>
  <si>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</si>
  <si>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</si>
  <si>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</si>
  <si>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</si>
  <si>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</si>
  <si>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</si>
  <si>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</si>
  <si>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</si>
  <si>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</si>
  <si>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</si>
  <si>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</si>
  <si>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</si>
  <si>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</si>
  <si>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</si>
  <si>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</si>
  <si>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</si>
  <si>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</si>
  <si>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</si>
  <si>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</si>
  <si>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</si>
  <si>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</si>
  <si>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</si>
  <si>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</si>
  <si>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</si>
  <si>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</si>
  <si>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</si>
  <si>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</si>
  <si>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</si>
  <si>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</si>
  <si>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</si>
  <si>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</si>
  <si>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</si>
  <si>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</si>
  <si>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</si>
  <si>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</si>
  <si>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</si>
  <si>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</si>
  <si>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</si>
  <si>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</si>
  <si>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</si>
  <si>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</si>
  <si>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</si>
  <si>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</si>
  <si>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</si>
  <si>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</si>
  <si>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</si>
  <si>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</si>
  <si>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</si>
  <si>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</si>
  <si>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</si>
  <si>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</si>
  <si>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</si>
  <si>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</si>
  <si>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</si>
  <si>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</si>
  <si>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</si>
  <si>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</si>
  <si>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</si>
  <si>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</si>
  <si>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</si>
  <si>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</si>
  <si>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</si>
  <si>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</si>
  <si>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</si>
  <si>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</si>
  <si>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</si>
  <si>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</si>
  <si>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</si>
  <si>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</si>
  <si>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</si>
  <si>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</si>
  <si>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</si>
  <si>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</si>
  <si>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</si>
  <si>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</si>
  <si>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</si>
  <si>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</si>
  <si>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</si>
  <si>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</si>
  <si>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</si>
  <si>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</si>
  <si>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</si>
  <si>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</si>
  <si>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</si>
  <si>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</si>
  <si>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</si>
  <si>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</si>
  <si>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</si>
  <si>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</si>
  <si>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</si>
  <si>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</si>
  <si>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</si>
  <si>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</si>
  <si>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</si>
  <si>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</si>
  <si>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</si>
  <si>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</si>
  <si>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</si>
  <si>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</si>
  <si>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</si>
  <si>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</si>
  <si>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</si>
  <si>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</si>
  <si>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</si>
  <si>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</si>
  <si>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</si>
  <si>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</si>
  <si>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</si>
  <si>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</si>
  <si>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愛知工業大学</t>
    <rPh sb="0" eb="2">
      <t>アイチ</t>
    </rPh>
    <rPh sb="2" eb="4">
      <t>コウギョウ</t>
    </rPh>
    <rPh sb="4" eb="6">
      <t>ダイガク</t>
    </rPh>
    <phoneticPr fontId="1"/>
  </si>
  <si>
    <t>愛知工業大学数理・データサイエンス・ＡＩ教育リテラシープログラム</t>
    <rPh sb="0" eb="2">
      <t>アイチ</t>
    </rPh>
    <rPh sb="2" eb="4">
      <t>コウギョウ</t>
    </rPh>
    <rPh sb="4" eb="6">
      <t>ダイガク</t>
    </rPh>
    <rPh sb="6" eb="8">
      <t>スウリ</t>
    </rPh>
    <rPh sb="20" eb="22">
      <t>キョウイク</t>
    </rPh>
    <phoneticPr fontId="1"/>
  </si>
  <si>
    <t>工学部、情報科学部</t>
    <rPh sb="0" eb="3">
      <t>コウガクブ</t>
    </rPh>
    <rPh sb="4" eb="6">
      <t>ジョウホウ</t>
    </rPh>
    <rPh sb="6" eb="8">
      <t>カガク</t>
    </rPh>
    <rPh sb="8" eb="9">
      <t>ブ</t>
    </rPh>
    <phoneticPr fontId="1"/>
  </si>
  <si>
    <t>○</t>
  </si>
  <si>
    <t>データサイエンス基礎数理</t>
    <rPh sb="8" eb="12">
      <t>キソスウリ</t>
    </rPh>
    <phoneticPr fontId="1"/>
  </si>
  <si>
    <t>令和5</t>
    <rPh sb="0" eb="2">
      <t>レイワ</t>
    </rPh>
    <phoneticPr fontId="1"/>
  </si>
  <si>
    <t>工学部</t>
    <rPh sb="0" eb="3">
      <t>コウガクブ</t>
    </rPh>
    <phoneticPr fontId="1"/>
  </si>
  <si>
    <t>経営学部</t>
    <rPh sb="0" eb="2">
      <t>ケイエイ</t>
    </rPh>
    <rPh sb="2" eb="4">
      <t>ガクブ</t>
    </rPh>
    <phoneticPr fontId="1"/>
  </si>
  <si>
    <t>情報科学部</t>
    <rPh sb="0" eb="2">
      <t>ジョウホウ</t>
    </rPh>
    <rPh sb="2" eb="4">
      <t>カガク</t>
    </rPh>
    <rPh sb="4" eb="5">
      <t>ブ</t>
    </rPh>
    <phoneticPr fontId="1"/>
  </si>
  <si>
    <t>鳥井　昭宏</t>
    <rPh sb="0" eb="2">
      <t>トリイ</t>
    </rPh>
    <rPh sb="3" eb="5">
      <t>アキヒロ</t>
    </rPh>
    <phoneticPr fontId="1"/>
  </si>
  <si>
    <t>教学センター長</t>
    <rPh sb="0" eb="2">
      <t>キョウガク</t>
    </rPh>
    <rPh sb="6" eb="7">
      <t>チョウ</t>
    </rPh>
    <phoneticPr fontId="1"/>
  </si>
  <si>
    <t>教務委員会</t>
    <rPh sb="0" eb="2">
      <t>キョウム</t>
    </rPh>
    <rPh sb="2" eb="5">
      <t>イインカイ</t>
    </rPh>
    <phoneticPr fontId="1"/>
  </si>
  <si>
    <t>自己点検・評価委員会</t>
    <rPh sb="0" eb="4">
      <t>ジコテンケン</t>
    </rPh>
    <rPh sb="5" eb="10">
      <t>ヒョウカイインカイ</t>
    </rPh>
    <phoneticPr fontId="1"/>
  </si>
  <si>
    <t>山田　英介</t>
    <rPh sb="0" eb="2">
      <t>ヤマダ</t>
    </rPh>
    <rPh sb="3" eb="5">
      <t>エイスケ</t>
    </rPh>
    <phoneticPr fontId="1"/>
  </si>
  <si>
    <t>副学長</t>
    <rPh sb="0" eb="3">
      <t>フクガクチョウ</t>
    </rPh>
    <phoneticPr fontId="1"/>
  </si>
  <si>
    <t>・社会の変化を把握して、数理・データサイエンス・ＡＩの基礎を理解できるようになる。
・データサイエンスの各分野（確率、統計、機械学習、ディープラーニング、AI等）に必要な基礎知識と感覚を身に付けることができる。
・具体的なデータ（数値）の取り扱いを通して数理的思考やデータの分析活用能力を身に付けることができる。</t>
    <rPh sb="1" eb="3">
      <t>シャカイ</t>
    </rPh>
    <rPh sb="4" eb="6">
      <t>ヘンカ</t>
    </rPh>
    <rPh sb="7" eb="9">
      <t>ハアク</t>
    </rPh>
    <rPh sb="12" eb="14">
      <t>スウリ</t>
    </rPh>
    <rPh sb="27" eb="29">
      <t>キソ</t>
    </rPh>
    <rPh sb="30" eb="32">
      <t>リカイ</t>
    </rPh>
    <rPh sb="95" eb="96">
      <t>ツ</t>
    </rPh>
    <rPh sb="144" eb="145">
      <t>ミ</t>
    </rPh>
    <rPh sb="146" eb="147">
      <t>ツ</t>
    </rPh>
    <phoneticPr fontId="1"/>
  </si>
  <si>
    <t>電子情報工学セミナー</t>
    <rPh sb="0" eb="2">
      <t>デンシ</t>
    </rPh>
    <rPh sb="2" eb="4">
      <t>ジョウホウ</t>
    </rPh>
    <rPh sb="4" eb="6">
      <t>コウガク</t>
    </rPh>
    <phoneticPr fontId="1"/>
  </si>
  <si>
    <t>応用化学セミナー</t>
    <rPh sb="0" eb="4">
      <t>オウヨウカガク</t>
    </rPh>
    <phoneticPr fontId="1"/>
  </si>
  <si>
    <t>建築セミナー</t>
    <rPh sb="0" eb="2">
      <t>ケンチク</t>
    </rPh>
    <phoneticPr fontId="1"/>
  </si>
  <si>
    <t>電気工学セミナー</t>
    <rPh sb="0" eb="4">
      <t>デンキコウガク</t>
    </rPh>
    <phoneticPr fontId="1"/>
  </si>
  <si>
    <t>プログラミング</t>
    <phoneticPr fontId="1"/>
  </si>
  <si>
    <t>キャリアデザインⅠ</t>
    <phoneticPr fontId="1"/>
  </si>
  <si>
    <t>キャリアデザインⅠ</t>
    <phoneticPr fontId="1"/>
  </si>
  <si>
    <t>様式１-1</t>
    <rPh sb="0" eb="2">
      <t>ヨウシキ</t>
    </rPh>
    <phoneticPr fontId="1"/>
  </si>
  <si>
    <t>様式１-2</t>
    <rPh sb="0" eb="2">
      <t>ヨウシキ</t>
    </rPh>
    <phoneticPr fontId="1"/>
  </si>
  <si>
    <t>コンピュータ概論Ⅱ</t>
    <rPh sb="6" eb="8">
      <t>ガイロン</t>
    </rPh>
    <phoneticPr fontId="1"/>
  </si>
  <si>
    <t>当該科目は主に低学年次の配当科目であり、上級年次での再履修が可能である。
また、本プログラムを終了する上で必要な数学、物理学を学ぶため、学習支援センターを開設している。学習支援センターでは、数学及び物理学の教員が常駐しており、学生の勉学をサポートしている。</t>
    <rPh sb="0" eb="2">
      <t>トウガイ</t>
    </rPh>
    <rPh sb="2" eb="4">
      <t>カモク</t>
    </rPh>
    <rPh sb="5" eb="6">
      <t>オモ</t>
    </rPh>
    <rPh sb="7" eb="10">
      <t>テイガクネン</t>
    </rPh>
    <rPh sb="10" eb="11">
      <t>ジ</t>
    </rPh>
    <rPh sb="12" eb="14">
      <t>ハイトウ</t>
    </rPh>
    <rPh sb="14" eb="16">
      <t>カモク</t>
    </rPh>
    <rPh sb="20" eb="22">
      <t>ジョウキュウ</t>
    </rPh>
    <rPh sb="22" eb="24">
      <t>ネンジ</t>
    </rPh>
    <rPh sb="26" eb="27">
      <t>サイ</t>
    </rPh>
    <rPh sb="27" eb="29">
      <t>リシュウ</t>
    </rPh>
    <rPh sb="30" eb="32">
      <t>カノウ</t>
    </rPh>
    <rPh sb="47" eb="49">
      <t>シュウリョウ</t>
    </rPh>
    <rPh sb="51" eb="52">
      <t>ウエ</t>
    </rPh>
    <rPh sb="53" eb="55">
      <t>ヒツヨウ</t>
    </rPh>
    <rPh sb="63" eb="64">
      <t>マナ</t>
    </rPh>
    <rPh sb="106" eb="108">
      <t>ジョウチュウ</t>
    </rPh>
    <phoneticPr fontId="1"/>
  </si>
  <si>
    <t>データサイエンス基礎数学</t>
    <rPh sb="8" eb="10">
      <t>キソ</t>
    </rPh>
    <rPh sb="10" eb="12">
      <t>スウガク</t>
    </rPh>
    <phoneticPr fontId="1"/>
  </si>
  <si>
    <t>セミナー人と自然</t>
    <rPh sb="4" eb="5">
      <t>ヒト</t>
    </rPh>
    <rPh sb="6" eb="8">
      <t>シゼン</t>
    </rPh>
    <phoneticPr fontId="1"/>
  </si>
  <si>
    <t>ITセキュリティ「コンピュータ概論Ⅱ」（14回目）</t>
    <rPh sb="15" eb="17">
      <t>ガイロン</t>
    </rPh>
    <rPh sb="22" eb="23">
      <t>カイ</t>
    </rPh>
    <rPh sb="23" eb="24">
      <t>メ</t>
    </rPh>
    <phoneticPr fontId="1"/>
  </si>
  <si>
    <t>コンピュータ概論Ⅱ</t>
    <rPh sb="6" eb="8">
      <t>ガイロン</t>
    </rPh>
    <phoneticPr fontId="1"/>
  </si>
  <si>
    <t>プログラミングⅡ及び演習</t>
    <rPh sb="8" eb="9">
      <t>オヨ</t>
    </rPh>
    <rPh sb="10" eb="12">
      <t>エンシュウ</t>
    </rPh>
    <phoneticPr fontId="1"/>
  </si>
  <si>
    <t>キャリアデザインⅠ</t>
    <phoneticPr fontId="1"/>
  </si>
  <si>
    <t>データサイエンス基礎数理</t>
    <phoneticPr fontId="1"/>
  </si>
  <si>
    <t>建築セミナー</t>
    <phoneticPr fontId="1"/>
  </si>
  <si>
    <t>機械基礎数学</t>
    <rPh sb="0" eb="6">
      <t>キカイキソスウガク</t>
    </rPh>
    <phoneticPr fontId="1"/>
  </si>
  <si>
    <t>セミナー人と自然</t>
    <rPh sb="4" eb="5">
      <t>ヒト</t>
    </rPh>
    <rPh sb="6" eb="8">
      <t>シゼン</t>
    </rPh>
    <phoneticPr fontId="1"/>
  </si>
  <si>
    <t>土木施工</t>
    <rPh sb="0" eb="2">
      <t>ドボク</t>
    </rPh>
    <rPh sb="2" eb="4">
      <t>セコウ</t>
    </rPh>
    <phoneticPr fontId="1"/>
  </si>
  <si>
    <t>FD委員会が毎学期、全ての授業のフィードバックアンケートを実施している。本プログラムの構成科目を含めて「授業を通じて学問や研究への興味や意欲を膨らませることができたか」「自身の成長や将来につながると感じたか」「授業に満足したか」という設問に概ね80％以上が「そう思う」または「どちらかといえばそう思う」と回答している。
当該科目の合格率は高い水準であり、学修成果はあると評価している。
卒業要件の必修科目では複数の教員が授業を担当している。IR委員会で同一科目を複数教員が担当する場合の成績状況を分析しており、他の科目と同様に授業改善を図っていく。
授業フィードバックアンケート結果を自己点検評価委員会の専門委員会に報告し、教育プログラムの評価・改善に活用する。</t>
    <rPh sb="52" eb="54">
      <t>ジュギョウ</t>
    </rPh>
    <rPh sb="55" eb="56">
      <t>ツウ</t>
    </rPh>
    <rPh sb="58" eb="60">
      <t>ガクモン</t>
    </rPh>
    <rPh sb="61" eb="63">
      <t>ケンキュウ</t>
    </rPh>
    <rPh sb="65" eb="67">
      <t>キョウミ</t>
    </rPh>
    <rPh sb="68" eb="70">
      <t>イヨク</t>
    </rPh>
    <rPh sb="71" eb="72">
      <t>フク</t>
    </rPh>
    <rPh sb="85" eb="87">
      <t>ジシン</t>
    </rPh>
    <rPh sb="88" eb="90">
      <t>セイチョウ</t>
    </rPh>
    <rPh sb="91" eb="93">
      <t>ショウライ</t>
    </rPh>
    <rPh sb="99" eb="100">
      <t>カン</t>
    </rPh>
    <rPh sb="105" eb="107">
      <t>ジュギョウ</t>
    </rPh>
    <rPh sb="108" eb="110">
      <t>マンゾク</t>
    </rPh>
    <rPh sb="125" eb="127">
      <t>イジョウ</t>
    </rPh>
    <rPh sb="131" eb="132">
      <t>オモ</t>
    </rPh>
    <rPh sb="148" eb="149">
      <t>オモ</t>
    </rPh>
    <rPh sb="160" eb="162">
      <t>トウガイ</t>
    </rPh>
    <rPh sb="162" eb="164">
      <t>カモク</t>
    </rPh>
    <rPh sb="165" eb="168">
      <t>ゴウカクリツ</t>
    </rPh>
    <rPh sb="169" eb="170">
      <t>タカ</t>
    </rPh>
    <rPh sb="171" eb="173">
      <t>スイジュン</t>
    </rPh>
    <rPh sb="177" eb="179">
      <t>ガクシュウ</t>
    </rPh>
    <rPh sb="179" eb="181">
      <t>セイカ</t>
    </rPh>
    <rPh sb="185" eb="187">
      <t>ヒョウカ</t>
    </rPh>
    <rPh sb="193" eb="195">
      <t>ソツギョウ</t>
    </rPh>
    <rPh sb="195" eb="197">
      <t>ヨウケン</t>
    </rPh>
    <rPh sb="198" eb="200">
      <t>ヒッシュウ</t>
    </rPh>
    <rPh sb="200" eb="202">
      <t>カモク</t>
    </rPh>
    <rPh sb="204" eb="206">
      <t>フクスウ</t>
    </rPh>
    <rPh sb="207" eb="209">
      <t>キョウイン</t>
    </rPh>
    <rPh sb="210" eb="212">
      <t>ジュギョウ</t>
    </rPh>
    <rPh sb="213" eb="215">
      <t>タントウ</t>
    </rPh>
    <rPh sb="222" eb="225">
      <t>イインカイ</t>
    </rPh>
    <rPh sb="226" eb="228">
      <t>ドウイツ</t>
    </rPh>
    <rPh sb="228" eb="230">
      <t>カモク</t>
    </rPh>
    <rPh sb="231" eb="233">
      <t>フクスウ</t>
    </rPh>
    <rPh sb="233" eb="235">
      <t>キョウイン</t>
    </rPh>
    <rPh sb="236" eb="238">
      <t>タントウ</t>
    </rPh>
    <rPh sb="240" eb="242">
      <t>バアイ</t>
    </rPh>
    <rPh sb="243" eb="245">
      <t>セイセキ</t>
    </rPh>
    <rPh sb="245" eb="247">
      <t>ジョウキョウ</t>
    </rPh>
    <rPh sb="248" eb="250">
      <t>ブンセキ</t>
    </rPh>
    <rPh sb="255" eb="256">
      <t>タ</t>
    </rPh>
    <rPh sb="257" eb="259">
      <t>カモク</t>
    </rPh>
    <rPh sb="260" eb="262">
      <t>ドウヨウ</t>
    </rPh>
    <rPh sb="263" eb="265">
      <t>ジュギョウ</t>
    </rPh>
    <rPh sb="265" eb="267">
      <t>カイゼン</t>
    </rPh>
    <rPh sb="268" eb="269">
      <t>ハカ</t>
    </rPh>
    <phoneticPr fontId="1"/>
  </si>
  <si>
    <t>FD委員会が授業フィードバックアンケートを行っている。
アンケート結果は上記の通りであり、学生の理解度はある程度の水準に達していると考えられるが、さらに多くの学生の理解度が高まるよう自己点検・評価委員会の専門委員会とFD委員会が連携し、本プログラムの構成科目の授業改善に取り組む。</t>
    <rPh sb="2" eb="5">
      <t>イインカイ</t>
    </rPh>
    <rPh sb="6" eb="8">
      <t>ジュギョウ</t>
    </rPh>
    <rPh sb="21" eb="22">
      <t>オコナ</t>
    </rPh>
    <rPh sb="36" eb="38">
      <t>ジョウキ</t>
    </rPh>
    <rPh sb="39" eb="40">
      <t>トオ</t>
    </rPh>
    <rPh sb="66" eb="67">
      <t>カンガ</t>
    </rPh>
    <rPh sb="114" eb="116">
      <t>レンケイ</t>
    </rPh>
    <phoneticPr fontId="1"/>
  </si>
  <si>
    <t xml:space="preserve">現状の学生アンケートには、他の学生への推奨度を測る設問を設けていない。
FD委員会においてアンケート全体の設問を再度検討する。
なお、FD委員会は、学生FD委員と意見交換の場を設けており、意見交換結果は大学全体で共有している。本プログラムの構成科目の推奨度について、学生FD委員との意見交換の設問及び結果の公表対象や公表方法を検討していく。
</t>
    <phoneticPr fontId="1"/>
  </si>
  <si>
    <t>多くの専門教育科目にまたがる本プログラムは、おのずと一定の高い履修率が達成できる見込みであると評価しているが、卒業上の必須要件としている学部とそうでない学部があることから、経年データを分析して、全学的な履修者数、履修率が向上するよう取り組みを進めていく。
また、基礎教育センター自然科学教室では「データサイエンスのための基礎数理」との書籍を刊行し、より学生の履修を推進している。</t>
    <phoneticPr fontId="1"/>
  </si>
  <si>
    <t>本プログラムは令和5年度から開始している。修了者は在学中のため、進路、活躍状況、企業等の評価は現時点では得ることができない。
本学では卒業生の就職先企業を中心に、教育課程に関して意見交換する機会を毎年設けている。今後は教育課程に関する意見交換だけでなく、教育プログラム修了者の活躍状況や企業からの評価を知ることができるよう取り組んでいく。</t>
    <rPh sb="0" eb="1">
      <t>ホン</t>
    </rPh>
    <rPh sb="7" eb="9">
      <t>レイワ</t>
    </rPh>
    <rPh sb="10" eb="12">
      <t>ネンド</t>
    </rPh>
    <rPh sb="14" eb="16">
      <t>カイシ</t>
    </rPh>
    <rPh sb="21" eb="24">
      <t>シュウリョウシャ</t>
    </rPh>
    <rPh sb="25" eb="28">
      <t>ザイガクチュウ</t>
    </rPh>
    <rPh sb="32" eb="34">
      <t>シンロ</t>
    </rPh>
    <rPh sb="35" eb="37">
      <t>カツヤク</t>
    </rPh>
    <rPh sb="37" eb="39">
      <t>ジョウキョウ</t>
    </rPh>
    <rPh sb="40" eb="42">
      <t>キギョウ</t>
    </rPh>
    <rPh sb="42" eb="43">
      <t>トウ</t>
    </rPh>
    <rPh sb="44" eb="46">
      <t>ヒョウカ</t>
    </rPh>
    <rPh sb="47" eb="50">
      <t>ゲンジテン</t>
    </rPh>
    <rPh sb="52" eb="53">
      <t>エ</t>
    </rPh>
    <phoneticPr fontId="1"/>
  </si>
  <si>
    <t>前述の通り、企業との意見交換を定期的に行い、大学が行う教育について産業界の視点を参考にしている。
今後は意見交換の機会に本プログラムの概要を説明して、意見を伺うことができるようにしていく。
教育プログラム修了者の数理・データサイエンス・AIに関するリテラシーやスキルに関する意見を収集する。また東海デジタル人材育成プラットフォームに参加している企業との情報交換によって、産業界の視点を含めて学外の意見を収集する。</t>
    <phoneticPr fontId="1"/>
  </si>
  <si>
    <t>学生は低学年時に本プログラムを学修する。上級年次に進んで専門領域を学ぶ中で、数理・データサイエンス・AIの必要性を認識し、「学ぶことの意義」と「学ぶ楽しさ」を理解できるよう教育課程を構成している。
なお、当該プログラムの構成科目が取り上げる数理・データサイエンス・AIに関する学生の関心は、FD委員会における授業フィードバックを用いて集計し、自己点検・評価委員会の専門委員会において分析する。</t>
    <rPh sb="8" eb="9">
      <t>ホン</t>
    </rPh>
    <rPh sb="20" eb="22">
      <t>ジョウキュウ</t>
    </rPh>
    <rPh sb="22" eb="24">
      <t>ネンジ</t>
    </rPh>
    <rPh sb="25" eb="26">
      <t>スス</t>
    </rPh>
    <rPh sb="53" eb="56">
      <t>ヒツヨウセイ</t>
    </rPh>
    <rPh sb="57" eb="59">
      <t>ニンシキ</t>
    </rPh>
    <rPh sb="62" eb="63">
      <t>マナ</t>
    </rPh>
    <rPh sb="67" eb="69">
      <t>イギ</t>
    </rPh>
    <rPh sb="86" eb="88">
      <t>キョウイク</t>
    </rPh>
    <rPh sb="88" eb="90">
      <t>カテイ</t>
    </rPh>
    <rPh sb="91" eb="93">
      <t>コウセイ</t>
    </rPh>
    <phoneticPr fontId="1"/>
  </si>
  <si>
    <t>当該科目は自然科学・社会科学を学ぶ上で基礎となる内容である。
授業の理解度はFD委員会における授業フィードバックを用いて集計し、IR推進室がまとめる修得率とともに自己点検・評価委員会の専門委員会において分析する。その分析を踏まえて教務委員会において本プログラムで行う学習内容を確認し、より分かりやすい内容となるよう定期的に検討する。</t>
    <rPh sb="0" eb="2">
      <t>トウガイ</t>
    </rPh>
    <rPh sb="2" eb="4">
      <t>カモク</t>
    </rPh>
    <rPh sb="5" eb="7">
      <t>シゼン</t>
    </rPh>
    <rPh sb="7" eb="9">
      <t>カガク</t>
    </rPh>
    <rPh sb="10" eb="12">
      <t>シャカイ</t>
    </rPh>
    <rPh sb="12" eb="14">
      <t>カガク</t>
    </rPh>
    <rPh sb="15" eb="16">
      <t>マナ</t>
    </rPh>
    <rPh sb="17" eb="18">
      <t>ウエ</t>
    </rPh>
    <rPh sb="19" eb="21">
      <t>キソ</t>
    </rPh>
    <rPh sb="24" eb="26">
      <t>ナイヨウ</t>
    </rPh>
    <phoneticPr fontId="1"/>
  </si>
  <si>
    <t>経営データ解析Ⅰ</t>
    <rPh sb="0" eb="2">
      <t>ケイエイ</t>
    </rPh>
    <rPh sb="5" eb="7">
      <t>カイセキ</t>
    </rPh>
    <phoneticPr fontId="1"/>
  </si>
  <si>
    <t>経営データ解析Ⅰ</t>
    <phoneticPr fontId="1"/>
  </si>
  <si>
    <t>実データへの応用「経営データ解析Ⅰ」（11～13回目）
データ操作/トランザクション処理（SQL，ロールバック，ロールフォワード）「コンピュータ概論Ⅱ」（12回目）</t>
    <rPh sb="6" eb="8">
      <t>オウヨウ</t>
    </rPh>
    <rPh sb="24" eb="25">
      <t>カイ</t>
    </rPh>
    <rPh sb="25" eb="26">
      <t>メ</t>
    </rPh>
    <rPh sb="72" eb="74">
      <t>ガイロン</t>
    </rPh>
    <rPh sb="79" eb="81">
      <t>カイメ</t>
    </rPh>
    <phoneticPr fontId="1"/>
  </si>
  <si>
    <t>実データへの応用「経営データ解析Ⅰ」（11～13回目）
応用数学（順列、組合せ、集合、ベン図、条件付き確率、代表値、確率分布、正規分布）「コンピュータ概論Ⅱ」（2回目）</t>
    <rPh sb="75" eb="77">
      <t>ガイロン</t>
    </rPh>
    <rPh sb="81" eb="83">
      <t>カイメ</t>
    </rPh>
    <phoneticPr fontId="1"/>
  </si>
  <si>
    <t>機械学習の実応用例「データサイエンス基礎数学」（1回目）
データマイニング技術の実例やデータ解析を行う職業であるデータサイエンティストについての紹介を行う「経営データ解析Ⅰ」（1回目）</t>
    <rPh sb="0" eb="2">
      <t>キカイ</t>
    </rPh>
    <rPh sb="2" eb="4">
      <t>ガクシュウ</t>
    </rPh>
    <rPh sb="5" eb="6">
      <t>ジツ</t>
    </rPh>
    <rPh sb="6" eb="8">
      <t>オウヨウ</t>
    </rPh>
    <rPh sb="8" eb="9">
      <t>レイ</t>
    </rPh>
    <rPh sb="18" eb="22">
      <t>キソスウガク</t>
    </rPh>
    <rPh sb="25" eb="26">
      <t>カイ</t>
    </rPh>
    <rPh sb="26" eb="27">
      <t>メ</t>
    </rPh>
    <phoneticPr fontId="1"/>
  </si>
  <si>
    <t>AIと数学の関係「データサイエンス基礎数学」（1回目）
データマイニング技術の実例「経営データ解析Ⅰ」（2回目）</t>
    <rPh sb="3" eb="5">
      <t>スウガク</t>
    </rPh>
    <rPh sb="6" eb="8">
      <t>カンケイ</t>
    </rPh>
    <rPh sb="17" eb="21">
      <t>キソスウガク</t>
    </rPh>
    <rPh sb="24" eb="25">
      <t>カイ</t>
    </rPh>
    <rPh sb="25" eb="26">
      <t>メ</t>
    </rPh>
    <rPh sb="36" eb="38">
      <t>ギジュツ</t>
    </rPh>
    <rPh sb="39" eb="41">
      <t>ジツレイ</t>
    </rPh>
    <rPh sb="42" eb="44">
      <t>ケイエイ</t>
    </rPh>
    <rPh sb="47" eb="49">
      <t>カイセキ</t>
    </rPh>
    <rPh sb="53" eb="54">
      <t>カイ</t>
    </rPh>
    <rPh sb="54" eb="55">
      <t>メ</t>
    </rPh>
    <phoneticPr fontId="1"/>
  </si>
  <si>
    <t>実データへの応用「経営データ解析Ⅰ」（11～13回目）</t>
    <phoneticPr fontId="1"/>
  </si>
  <si>
    <t>実データへの応用（Pythonプログラミングを使うテーマあり）「経営データ解析Ⅰ」（10-13回目）
プログラミング「コンピュータ概論Ⅱ」（4回目）</t>
    <rPh sb="0" eb="1">
      <t>ジツ</t>
    </rPh>
    <rPh sb="6" eb="8">
      <t>オウヨウ</t>
    </rPh>
    <rPh sb="23" eb="24">
      <t>ツカ</t>
    </rPh>
    <rPh sb="47" eb="48">
      <t>カイ</t>
    </rPh>
    <rPh sb="48" eb="49">
      <t>メ</t>
    </rPh>
    <rPh sb="65" eb="67">
      <t>ガイロン</t>
    </rPh>
    <rPh sb="71" eb="72">
      <t>カイ</t>
    </rPh>
    <rPh sb="72" eb="73">
      <t>メ</t>
    </rPh>
    <phoneticPr fontId="1"/>
  </si>
  <si>
    <t>データマイニング技術の実例やデータ解析を行う職業であるデータサイエンティストについての紹介を行う（データ倫理，AI活用の負の例も教えている）「経営データ解析Ⅰ」（1回目）</t>
    <rPh sb="52" eb="54">
      <t>リンリ</t>
    </rPh>
    <rPh sb="57" eb="59">
      <t>カツヨウ</t>
    </rPh>
    <rPh sb="60" eb="61">
      <t>フ</t>
    </rPh>
    <rPh sb="62" eb="63">
      <t>レイ</t>
    </rPh>
    <rPh sb="64" eb="65">
      <t>オシ</t>
    </rPh>
    <rPh sb="82" eb="83">
      <t>カイ</t>
    </rPh>
    <rPh sb="83" eb="84">
      <t>メ</t>
    </rPh>
    <phoneticPr fontId="1"/>
  </si>
  <si>
    <t>データマイニング技術の実例やデータ解析を行う職業であるデータサイエンティストについての紹介を行う（社会で使われている実データについての説明含む）「経営データ解析Ⅰ」（1回目）</t>
    <rPh sb="49" eb="51">
      <t>シャカイ</t>
    </rPh>
    <rPh sb="52" eb="53">
      <t>ツカ</t>
    </rPh>
    <rPh sb="58" eb="59">
      <t>ジツ</t>
    </rPh>
    <rPh sb="67" eb="69">
      <t>セツメイ</t>
    </rPh>
    <rPh sb="69" eb="70">
      <t>フク</t>
    </rPh>
    <phoneticPr fontId="1"/>
  </si>
  <si>
    <t>データマイニング技術の実例やデータ解析を行う職業であるデータサイエンティストについての紹介を行う（AI活用領域についての説明含む））「経営データ解析Ⅰ」（1回目）</t>
    <rPh sb="51" eb="53">
      <t>カツヨウ</t>
    </rPh>
    <rPh sb="53" eb="55">
      <t>リョウイキ</t>
    </rPh>
    <phoneticPr fontId="1"/>
  </si>
  <si>
    <t>データマイニング技術の実例やデータ解析を行う職業であるデータサイエンティストについての紹介を行う（データ解析の現場での実例の紹介含む）「経営データ解析Ⅰ」（1回目）</t>
    <rPh sb="52" eb="54">
      <t>カイセキ</t>
    </rPh>
    <rPh sb="55" eb="57">
      <t>ゲンバ</t>
    </rPh>
    <rPh sb="59" eb="61">
      <t>ジツレイ</t>
    </rPh>
    <rPh sb="62" eb="64">
      <t>ショウカイ</t>
    </rPh>
    <rPh sb="64" eb="65">
      <t>フク</t>
    </rPh>
    <phoneticPr fontId="1"/>
  </si>
  <si>
    <t>Society5.0「電気工学セミナー、電子情報工学セミナー、応用化学セミナー、セミナー人と自然」（面接授業及びオンライン）
Society5.0「プログラミング」（1回目）
建築におけるデータサイエンス活用事例「建築セミナー」（1回目）
Society5.0「キャリアデザインⅠ」（オンライン）</t>
    <rPh sb="44" eb="45">
      <t>ヒト</t>
    </rPh>
    <rPh sb="46" eb="48">
      <t>シゼン</t>
    </rPh>
    <phoneticPr fontId="1"/>
  </si>
  <si>
    <t>機械学習とその応用事例（例：異常検知）「電気工学セミナー」（面接授業及びオンライン）
応用事例２：機械学習「プログラミングⅡ及び演習」（14回目）
機械学習と深層学習の応用と発展「応用化学セミナー」（面接授業及びオンライン）
活用分野（機械学習）「機械基礎数学」（13回目）
路線測量，GNSS，写真測量，河川測量，用地測量，地理情報システム，地図編集「応用測量学及び演習」（2回目～14回目）
機械学習の応用と発展(需要予測，異常検知，商品推薦など)「建築セミナー」（7回目）
機械学習・深層学習とその応用事例「キャリアデザインⅠ」（オンライン）</t>
    <phoneticPr fontId="1"/>
  </si>
  <si>
    <r>
      <t>AIの歴史・AI技術の活用領域「電気工学セミナー、電子情報工学セミナー、応用化学セミナー」（面接授業及びオンライン）
AI技術の活用領域「プログラミング」（15回目）
ＡＩの基礎「機械基礎数学」（13回目）
データサイエンス・AI関連「セミナー人と自然」（6回目、10回目）
AI技術の活</t>
    </r>
    <r>
      <rPr>
        <sz val="9"/>
        <color theme="1"/>
        <rFont val="Microsoft YaHei UI"/>
        <family val="3"/>
        <charset val="134"/>
      </rPr>
      <t>⽤</t>
    </r>
    <r>
      <rPr>
        <sz val="9"/>
        <color theme="1"/>
        <rFont val="ＭＳ Ｐゴシック"/>
        <family val="3"/>
        <charset val="128"/>
        <scheme val="minor"/>
      </rPr>
      <t>領域の広がり(流通，製造，</t>
    </r>
    <r>
      <rPr>
        <sz val="9"/>
        <color theme="1"/>
        <rFont val="Microsoft YaHei UI"/>
        <family val="3"/>
        <charset val="134"/>
      </rPr>
      <t>⾦</t>
    </r>
    <r>
      <rPr>
        <sz val="9"/>
        <color theme="1"/>
        <rFont val="ＭＳ Ｐゴシック"/>
        <family val="3"/>
        <charset val="128"/>
        <scheme val="minor"/>
      </rPr>
      <t>融，インフラ，公共，ヘルスケアなど)「建築セミナー」（3回目）
簡単なAIの歴史・AI技術の活用領域「キャリアデザインⅠ」（オンライン）</t>
    </r>
    <phoneticPr fontId="1"/>
  </si>
  <si>
    <r>
      <t>統計(2)（データの相関）「データサイエンス基礎数理」14回目）
AIの歴史・AI技術の活用領域「電気工学セミナー、電子情報工学セミナー、応用化学セミナー」（面接授業及びオンライン）
AI技術の活用領域「プログラミング」（15回目）
ＡＩの基礎「機械基礎数学」（13回目）
データサイエンス・AI関連「セミナー人と自然」（6回目、10回目）
AI技術の活</t>
    </r>
    <r>
      <rPr>
        <sz val="9"/>
        <color theme="1"/>
        <rFont val="Microsoft YaHei UI"/>
        <family val="3"/>
        <charset val="134"/>
      </rPr>
      <t>⽤</t>
    </r>
    <r>
      <rPr>
        <sz val="9"/>
        <color theme="1"/>
        <rFont val="ＭＳ Ｐゴシック"/>
        <family val="3"/>
        <charset val="128"/>
        <scheme val="minor"/>
      </rPr>
      <t>領域の広がり(流通，製造，</t>
    </r>
    <r>
      <rPr>
        <sz val="9"/>
        <color theme="1"/>
        <rFont val="Microsoft YaHei UI"/>
        <family val="3"/>
        <charset val="134"/>
      </rPr>
      <t>⾦</t>
    </r>
    <r>
      <rPr>
        <sz val="9"/>
        <color theme="1"/>
        <rFont val="ＭＳ Ｐゴシック"/>
        <family val="3"/>
        <charset val="128"/>
        <scheme val="minor"/>
      </rPr>
      <t>融，インフラ，公共，ヘルスケアなど)「建築セミナー」（3回目）
簡単なAIの歴史・AI技術の活用領域「キャリアデザインⅠ」（オンライン）</t>
    </r>
    <rPh sb="22" eb="24">
      <t>キソ</t>
    </rPh>
    <rPh sb="24" eb="26">
      <t>スウリ</t>
    </rPh>
    <rPh sb="29" eb="30">
      <t>カイ</t>
    </rPh>
    <rPh sb="30" eb="31">
      <t>メ</t>
    </rPh>
    <phoneticPr fontId="1"/>
  </si>
  <si>
    <t>ビッグデータの活用事例、機械稼働ログデータの活用事例「電気工学セミナー、電子情報工学セミナー」（面接授業及びオンライン）
ビッグデータの収集・蓄積および活用事例「応用化学セミナー」（面接授業及びオンライン）
ビッグデータ（ICT情報通信技術の進展、ビッグデータ活用事例）「プログラミング」（1回目）
情報数理･ビッグデータを用いた、施工の自動化・効率化、施工管理の効率化「土木施工」（15回目）
建築におけるデータサイエンス活用事例「建築セミナー」（1回目）
ビッグデータの活用事例、機械稼働ログデータの活用事例「キャリアデザインⅠ」（オンライン）</t>
    <phoneticPr fontId="1"/>
  </si>
  <si>
    <t>AI利用時における倫理「電気工学セミナー、電子情報工学セミナー、応用化学セミナー」（面接授業及びオンライン）
AI技術の倫理的問題「プログラミング」（15回目）
データサイエンス・AI関連「セミナー人と自然」（6回目、10回目）
AI倫理・AIの社会的受容性「建築セミナー」（5回目）
AI利用時における倫理「キャリアデザインⅠ」（オンライン）</t>
    <phoneticPr fontId="1"/>
  </si>
  <si>
    <t xml:space="preserve">AI利用時のプライバシー保護の重要性・個人情報の取り扱い「電気工学セミナー、電子情報工学セミナー、応用化学セミナー」（面接授業及びオンライン）
AI技術の活用領域「プログラミング」（15回目）
データサイエンス・AI関連「セミナー人と自然」（6回目、10回目）
AI倫理・AIの社会的受容性「建築セミナー」（5回目）
AI利用時のプライバシー保護の重要性・個人情報の取り扱い「キャリアデザインⅠ」（オンライン）
</t>
    <rPh sb="29" eb="31">
      <t>デンキ</t>
    </rPh>
    <rPh sb="31" eb="33">
      <t>コウガク</t>
    </rPh>
    <rPh sb="38" eb="44">
      <t>デンシジョウホウコウガク</t>
    </rPh>
    <rPh sb="49" eb="53">
      <t>オウヨウカガク</t>
    </rPh>
    <rPh sb="146" eb="148">
      <t>ケンチク</t>
    </rPh>
    <rPh sb="155" eb="156">
      <t>カイ</t>
    </rPh>
    <rPh sb="156" eb="157">
      <t>メ</t>
    </rPh>
    <phoneticPr fontId="1"/>
  </si>
  <si>
    <t>データ分析手法（例：回帰）「電気工学セミナー、電子情報工学セミナー」（面接授業及びオンライン）
データ型や関数を使用したプログラミングの作成と活用「応用化学セミナー」（6回目）
コンピュータで扱うデータ（数値・文字） とそのデータ型（整数型・浮動小数点型・文字型） 「プログラミング」（2回目）
データサイエンス・AI関連「セミナー人と自然」（6回目、10回目）
実世界で進む機械学習の応用と発展、深層学習の応用と発展「建築セミナー」（7,9回目）
データ分析手法「キャリアデザインⅠ」（オンライン）
統計(1)（度数分布，平均，分散，標準偏差）「データサイエンス基礎数理」（13回目）</t>
    <rPh sb="14" eb="16">
      <t>デンキ</t>
    </rPh>
    <rPh sb="16" eb="18">
      <t>コウガク</t>
    </rPh>
    <rPh sb="23" eb="29">
      <t>デンシジョウホウコウガク</t>
    </rPh>
    <rPh sb="74" eb="78">
      <t>オウヨウカガク</t>
    </rPh>
    <rPh sb="85" eb="86">
      <t>カイ</t>
    </rPh>
    <rPh sb="86" eb="87">
      <t>メ</t>
    </rPh>
    <rPh sb="144" eb="145">
      <t>カイ</t>
    </rPh>
    <rPh sb="145" eb="146">
      <t>メ</t>
    </rPh>
    <rPh sb="199" eb="201">
      <t>シンソウ</t>
    </rPh>
    <rPh sb="201" eb="203">
      <t>ガクシュウ</t>
    </rPh>
    <rPh sb="204" eb="206">
      <t>オウヨウ</t>
    </rPh>
    <rPh sb="207" eb="209">
      <t>ハッテン</t>
    </rPh>
    <rPh sb="210" eb="212">
      <t>ケンチク</t>
    </rPh>
    <rPh sb="221" eb="222">
      <t>カイ</t>
    </rPh>
    <rPh sb="222" eb="223">
      <t>メ</t>
    </rPh>
    <rPh sb="282" eb="284">
      <t>キソ</t>
    </rPh>
    <rPh sb="284" eb="286">
      <t>スウリ</t>
    </rPh>
    <rPh sb="290" eb="291">
      <t>カイ</t>
    </rPh>
    <rPh sb="291" eb="292">
      <t>メ</t>
    </rPh>
    <phoneticPr fontId="1"/>
  </si>
  <si>
    <t>データ可視化手法（比較・分布）「電気工学セミナー、電子情報工学セミナー」（面接授業及びオンライン）
データ型や関数を使用したプログラミングの作成と活用「応用化学セミナー」（6回目）
コンピュータの入出力「プログラミング」（3,6回目）
データサイエンス・AI関連「セミナー人と自然」（6回目、10回目）
実世界で進む機械学習の応用と発展、深層学習の応用と発展「建築セミナー」（7,9回目）
データ可視化手法「キャリアデザインⅠ」（オンライン）
統計(1)（度数分布，平均，分散，標準偏差）「データサイエンス基礎数理」（13回目）</t>
    <rPh sb="16" eb="18">
      <t>デンキ</t>
    </rPh>
    <rPh sb="18" eb="20">
      <t>コウガク</t>
    </rPh>
    <rPh sb="25" eb="31">
      <t>デンシジョウホウコウガク</t>
    </rPh>
    <rPh sb="114" eb="115">
      <t>カイ</t>
    </rPh>
    <rPh sb="115" eb="116">
      <t>メ</t>
    </rPh>
    <rPh sb="262" eb="263">
      <t>メ</t>
    </rPh>
    <phoneticPr fontId="1"/>
  </si>
  <si>
    <t>データ分析手法（例：回帰）やデータ可視化手法（比較・分布）「電気工学セミナー、電子情報工学セミナー」（面接授業及びオンライン）
データ型や関数を使用したプログラミングの作成と活用「応用化学セミナー」（6回目）
 基本的な演算子を学び、プログラムを作成「プログラミング」（4回目）
データサイエンス・AI関連「セミナー人と自然」（6回目、10回目）
実世界で進む機械学習の応用と発展、深層学習の応用と発展「建築セミナー」（7,9回目）
データ分析手法やデータ可視化手法「キャリアデザインⅠ」（オンライン）
統計(1)（度数分布，平均，分散，標準偏差）「データサイエンス基礎数理」（13回目）</t>
    <rPh sb="30" eb="32">
      <t>デンキ</t>
    </rPh>
    <rPh sb="32" eb="34">
      <t>コウガク</t>
    </rPh>
    <rPh sb="39" eb="41">
      <t>デンシ</t>
    </rPh>
    <rPh sb="41" eb="43">
      <t>ジョウホウ</t>
    </rPh>
    <rPh sb="43" eb="45">
      <t>コウガク</t>
    </rPh>
    <rPh sb="136" eb="137">
      <t>カイ</t>
    </rPh>
    <rPh sb="137" eb="138">
      <t>メ</t>
    </rPh>
    <rPh sb="292" eb="293">
      <t>メ</t>
    </rPh>
    <phoneticPr fontId="1"/>
  </si>
  <si>
    <t>本学の教務委員会は教務の企画及び運営に関する事項について調査審議し、教務の運営に関する事項の総合調整について協議することを目的としている。中でも「教育課程の編成、改善及び履修に関すること」、「その他教務に関すること」を所掌事項としており、本学の教育課程において、数理・データサイエンス科目の位置付け及び具体的な履修について、調査審議する体制を整えている。なお、教務委員会は教学センター長をはじめ、各学部各学科の教員に加え、数理・データサイエンスを扱う基礎教育センターの教員が委員として参加していることから、本プログラムにおいて、全学的な協議を行うことを目的としている。</t>
    <phoneticPr fontId="1"/>
  </si>
  <si>
    <t>・教学センター長 電気学科 教授 鳥井　昭宏
・教学副センター長 情報科学科 准教授 松河　剛司
・電気学科 教授 森　竜雄
・電気学科 教授 五島　敬史郎
・応用化学科 准教授 西村　聡子
・応用化学科 教授 小林　雄一
・応用化学科 講師 宮本　寛子
・機械学科 教授 日比野　良一
・機械学科 教授 香川　高弘
・社会基盤学科 准教授 倉橋　奨
・建築学科 教授 薩川　恵一
・経営学科 教授 丸山　恭司
・情報科学科 教授 塚田　敏
・基礎教育センター 准教授 巌佐　正智
・基礎教育センター 准教授 玉崎　紫
・教職課程 教授 小出　禎子
・教務・学生サービス課 課長 加藤　聡</t>
    <rPh sb="33" eb="35">
      <t>ジョウホウ</t>
    </rPh>
    <rPh sb="35" eb="37">
      <t>カガク</t>
    </rPh>
    <rPh sb="37" eb="38">
      <t>カ</t>
    </rPh>
    <rPh sb="86" eb="87">
      <t>ジュン</t>
    </rPh>
    <phoneticPr fontId="1"/>
  </si>
  <si>
    <t>他の授業と同様、担当教員はオフィスアワーを設定しており、学生は授業時間内外を問わず質問することができることに加え、一部科目においては、TA及びSAを配置し、授業時間内の学生からの質問に対応可能な環境を整えている。AI基礎に関する分野は、大学独自のオンライン教材を活用し、自由な時間で学習できるようにしている。</t>
    <phoneticPr fontId="1"/>
  </si>
  <si>
    <t>工学部では、本プログラムの修了要件である「データサイエンス基礎数理」は卒業要件の必修科目として設定しているため、全ての学生が修得する必要がある。各学科のセミナー科目、「プログラミング」、「プログラミングⅡ及び演習」「機械基礎数学」も卒業要件の必修科目である。最終的にはほぼ全ての学生が履修・修得することが予測される。
経営学部では、本プログラムの修了要件である「データサイエンス基礎数学」を卒業要件の必修科目として設定している。
情報科学部では、本プログラムを構成する「データサイエンス基礎数理」「キャリアデザインⅠ」がともに卒業要件の必修科目であるため、全ての学生が修得することになる。
学部学科によっては本プログラムの必須科目が卒業要件の選択必修科目、選択科目であることから、今後の履修状況を確認して、他学部と近い履修水準とできるよう学生に周知するなど、方策を検討する。
令和6年度中にIR推進室が該当科目の履修・修得状況を自己点検・評価委員会の専門委員会に報告し、評価・改善に活用する。教務委員会とも連携を取り、時間割編成等の工夫を検討していく予定である。</t>
    <rPh sb="0" eb="3">
      <t>コウガクブ</t>
    </rPh>
    <rPh sb="56" eb="57">
      <t>スベ</t>
    </rPh>
    <rPh sb="59" eb="61">
      <t>ガクセイ</t>
    </rPh>
    <rPh sb="62" eb="64">
      <t>シュウトク</t>
    </rPh>
    <rPh sb="66" eb="68">
      <t>ヒツヨウ</t>
    </rPh>
    <rPh sb="72" eb="73">
      <t>カク</t>
    </rPh>
    <rPh sb="73" eb="75">
      <t>ガッカ</t>
    </rPh>
    <rPh sb="80" eb="82">
      <t>カモク</t>
    </rPh>
    <rPh sb="102" eb="103">
      <t>オヨ</t>
    </rPh>
    <rPh sb="104" eb="106">
      <t>エンシュウ</t>
    </rPh>
    <rPh sb="108" eb="110">
      <t>キカイ</t>
    </rPh>
    <rPh sb="110" eb="114">
      <t>キソスウガク</t>
    </rPh>
    <rPh sb="129" eb="132">
      <t>サイシュウテキ</t>
    </rPh>
    <rPh sb="136" eb="137">
      <t>スベ</t>
    </rPh>
    <rPh sb="139" eb="141">
      <t>ガクセイ</t>
    </rPh>
    <rPh sb="142" eb="144">
      <t>リシュウ</t>
    </rPh>
    <rPh sb="145" eb="147">
      <t>シュウトク</t>
    </rPh>
    <rPh sb="152" eb="154">
      <t>ヨソク</t>
    </rPh>
    <rPh sb="159" eb="161">
      <t>ケイエイ</t>
    </rPh>
    <rPh sb="161" eb="163">
      <t>ガクブ</t>
    </rPh>
    <rPh sb="192" eb="193">
      <t>ガク</t>
    </rPh>
    <rPh sb="215" eb="220">
      <t>ジョウホウカガクブ</t>
    </rPh>
    <rPh sb="223" eb="224">
      <t>ホン</t>
    </rPh>
    <rPh sb="230" eb="232">
      <t>コウセイ</t>
    </rPh>
    <rPh sb="243" eb="247">
      <t>キソスウリ</t>
    </rPh>
    <rPh sb="263" eb="267">
      <t>ソツギョウヨウケン</t>
    </rPh>
    <rPh sb="268" eb="272">
      <t>ヒッシュウカモク</t>
    </rPh>
    <rPh sb="278" eb="279">
      <t>スベ</t>
    </rPh>
    <rPh sb="281" eb="283">
      <t>ガクセイ</t>
    </rPh>
    <rPh sb="284" eb="286">
      <t>シュウトク</t>
    </rPh>
    <rPh sb="295" eb="297">
      <t>ガクブ</t>
    </rPh>
    <rPh sb="297" eb="299">
      <t>ガッカ</t>
    </rPh>
    <rPh sb="304" eb="305">
      <t>ホン</t>
    </rPh>
    <rPh sb="311" eb="315">
      <t>ヒッスカモク</t>
    </rPh>
    <rPh sb="316" eb="318">
      <t>ソツギョウ</t>
    </rPh>
    <rPh sb="318" eb="320">
      <t>ヨウケン</t>
    </rPh>
    <rPh sb="321" eb="323">
      <t>センタク</t>
    </rPh>
    <rPh sb="323" eb="325">
      <t>ヒッシュウ</t>
    </rPh>
    <rPh sb="325" eb="327">
      <t>カモク</t>
    </rPh>
    <rPh sb="328" eb="330">
      <t>センタク</t>
    </rPh>
    <rPh sb="330" eb="332">
      <t>カモク</t>
    </rPh>
    <rPh sb="340" eb="342">
      <t>コンゴ</t>
    </rPh>
    <rPh sb="343" eb="345">
      <t>リシュウ</t>
    </rPh>
    <rPh sb="345" eb="347">
      <t>ジョウキョウ</t>
    </rPh>
    <rPh sb="348" eb="350">
      <t>カクニン</t>
    </rPh>
    <rPh sb="353" eb="356">
      <t>タガクブ</t>
    </rPh>
    <rPh sb="357" eb="358">
      <t>チカ</t>
    </rPh>
    <rPh sb="359" eb="361">
      <t>リシュウ</t>
    </rPh>
    <rPh sb="361" eb="363">
      <t>スイジュン</t>
    </rPh>
    <rPh sb="369" eb="371">
      <t>ガクセイ</t>
    </rPh>
    <rPh sb="372" eb="374">
      <t>シュウチ</t>
    </rPh>
    <rPh sb="379" eb="381">
      <t>ホウサク</t>
    </rPh>
    <rPh sb="382" eb="384">
      <t>ケントウ</t>
    </rPh>
    <phoneticPr fontId="1"/>
  </si>
  <si>
    <t>愛知工業大学リテラシープログラム</t>
    <rPh sb="0" eb="2">
      <t>アイチ</t>
    </rPh>
    <rPh sb="2" eb="4">
      <t>コウギョウ</t>
    </rPh>
    <rPh sb="4" eb="6">
      <t>ダイガク</t>
    </rPh>
    <phoneticPr fontId="1"/>
  </si>
  <si>
    <t>AIの学習と社会実装「電気工学セミナー、電子情報工学セミナー、応用化学セミナー」（面接授業及びオンライン）
AI技術の社会実装「プログラミング」（15回目）
AI技術について学ぶ「セミナー人と自然」（面接授業及びオンライン）
AIの社会実装「建築セミナー」（11回目）
AIの学習と社会実装「キャリアデザインⅠ」（オンライン）</t>
    <rPh sb="96" eb="98">
      <t>シゼン</t>
    </rPh>
    <phoneticPr fontId="1"/>
  </si>
  <si>
    <t>キャリアデザインⅠ</t>
    <phoneticPr fontId="1"/>
  </si>
  <si>
    <t>建築セミナー</t>
    <phoneticPr fontId="1"/>
  </si>
  <si>
    <t>セミナー人と自然</t>
    <phoneticPr fontId="1"/>
  </si>
  <si>
    <t>応用測量学及び演習</t>
    <rPh sb="0" eb="6">
      <t>オウヨウソクリョウガクオヨ</t>
    </rPh>
    <rPh sb="7" eb="9">
      <t>エンシュウ</t>
    </rPh>
    <phoneticPr fontId="1"/>
  </si>
  <si>
    <t>機械基礎数学</t>
    <rPh sb="0" eb="6">
      <t>キカイキソスウガク</t>
    </rPh>
    <phoneticPr fontId="1"/>
  </si>
  <si>
    <t>本プログラムの必須科目の多くは、卒業要件の必修科目としている。
本プログラムは令和5年度から開始しているが、リテラシーレベルでは1年時配当科目を中心に構成している。年次を経るにつれて履修者数・履修率ともに増えていくことが予想できる。
令和8年度には80%以上の学生が履修する見込みである。
学部学科によっては卒業要件の選択科目を本プログラムの終了に必要な科目としているため、学生に本プログラムの趣旨や目的を周知することで、ほぼ全ての学生が履修できることを目指していく。</t>
    <rPh sb="0" eb="1">
      <t>ホン</t>
    </rPh>
    <rPh sb="7" eb="11">
      <t>ヒッスカモク</t>
    </rPh>
    <rPh sb="12" eb="13">
      <t>オオ</t>
    </rPh>
    <rPh sb="16" eb="20">
      <t>ソツギョウヨウケン</t>
    </rPh>
    <rPh sb="21" eb="25">
      <t>ヒッシュウカモク</t>
    </rPh>
    <rPh sb="32" eb="33">
      <t>ホン</t>
    </rPh>
    <rPh sb="39" eb="41">
      <t>レイワ</t>
    </rPh>
    <rPh sb="42" eb="44">
      <t>ネンド</t>
    </rPh>
    <rPh sb="46" eb="48">
      <t>カイシ</t>
    </rPh>
    <rPh sb="82" eb="84">
      <t>ネンジ</t>
    </rPh>
    <rPh sb="85" eb="86">
      <t>ヘ</t>
    </rPh>
    <rPh sb="91" eb="95">
      <t>リシュウシャスウ</t>
    </rPh>
    <rPh sb="96" eb="99">
      <t>リシュウリツ</t>
    </rPh>
    <rPh sb="102" eb="103">
      <t>フ</t>
    </rPh>
    <rPh sb="110" eb="112">
      <t>ヨソウ</t>
    </rPh>
    <rPh sb="117" eb="119">
      <t>レイワ</t>
    </rPh>
    <rPh sb="120" eb="122">
      <t>ネンド</t>
    </rPh>
    <rPh sb="127" eb="129">
      <t>イジョウ</t>
    </rPh>
    <rPh sb="130" eb="132">
      <t>ガクセイ</t>
    </rPh>
    <rPh sb="133" eb="135">
      <t>リシュウ</t>
    </rPh>
    <rPh sb="137" eb="139">
      <t>ミコ</t>
    </rPh>
    <rPh sb="146" eb="148">
      <t>ガクブ</t>
    </rPh>
    <rPh sb="148" eb="150">
      <t>ガッカ</t>
    </rPh>
    <rPh sb="155" eb="159">
      <t>ソツギョウヨウケン</t>
    </rPh>
    <rPh sb="160" eb="164">
      <t>センタクカモク</t>
    </rPh>
    <rPh sb="165" eb="166">
      <t>ホン</t>
    </rPh>
    <rPh sb="172" eb="174">
      <t>シュウリョウ</t>
    </rPh>
    <rPh sb="175" eb="177">
      <t>ヒツヨウ</t>
    </rPh>
    <rPh sb="188" eb="190">
      <t>ガクセイ</t>
    </rPh>
    <rPh sb="191" eb="192">
      <t>ホン</t>
    </rPh>
    <rPh sb="198" eb="200">
      <t>シュシ</t>
    </rPh>
    <rPh sb="201" eb="203">
      <t>モクテキ</t>
    </rPh>
    <rPh sb="204" eb="206">
      <t>シュウチ</t>
    </rPh>
    <rPh sb="214" eb="215">
      <t>スベ</t>
    </rPh>
    <rPh sb="217" eb="219">
      <t>ガクセイ</t>
    </rPh>
    <rPh sb="220" eb="222">
      <t>リシュウ</t>
    </rPh>
    <rPh sb="228" eb="230">
      <t>メザ</t>
    </rPh>
    <phoneticPr fontId="1"/>
  </si>
  <si>
    <t>数理・データサイエンス・AI教育の基礎となる科目として「データサイエンス基礎数理」（一部学部では「数理・データサイエンス基礎数学」）を全学的に卒業上の必修科目として1年時に配置している。
本学では学部間の受講乗り入れは想定していないが、各学部の専門教育を学ぶ科目の中にリテラシーレベルの科目を配置している。各々の専門領域に応じて、希望する学生全員が自身の教育課程の中で受講可能となるよう設定している。</t>
    <rPh sb="0" eb="2">
      <t>スウリ</t>
    </rPh>
    <rPh sb="14" eb="16">
      <t>キョウイク</t>
    </rPh>
    <rPh sb="17" eb="19">
      <t>キソ</t>
    </rPh>
    <rPh sb="22" eb="24">
      <t>カモク</t>
    </rPh>
    <rPh sb="36" eb="40">
      <t>キソスウリ</t>
    </rPh>
    <rPh sb="42" eb="44">
      <t>イチブ</t>
    </rPh>
    <rPh sb="49" eb="51">
      <t>スウリ</t>
    </rPh>
    <rPh sb="60" eb="64">
      <t>キソスウガク</t>
    </rPh>
    <rPh sb="67" eb="70">
      <t>ゼンガクテキ</t>
    </rPh>
    <rPh sb="71" eb="74">
      <t>ソツギョウジョウ</t>
    </rPh>
    <rPh sb="75" eb="79">
      <t>ヒッシュウカモク</t>
    </rPh>
    <rPh sb="83" eb="85">
      <t>ネンジ</t>
    </rPh>
    <rPh sb="86" eb="88">
      <t>ハイチ</t>
    </rPh>
    <rPh sb="94" eb="96">
      <t>ホンガク</t>
    </rPh>
    <rPh sb="98" eb="101">
      <t>ガクブカン</t>
    </rPh>
    <rPh sb="102" eb="105">
      <t>ジュコウノ</t>
    </rPh>
    <rPh sb="106" eb="107">
      <t>イ</t>
    </rPh>
    <rPh sb="109" eb="111">
      <t>ソウテイ</t>
    </rPh>
    <rPh sb="153" eb="155">
      <t>オノオノ</t>
    </rPh>
    <rPh sb="156" eb="158">
      <t>センモン</t>
    </rPh>
    <rPh sb="158" eb="160">
      <t>リョウイキ</t>
    </rPh>
    <rPh sb="161" eb="162">
      <t>オウ</t>
    </rPh>
    <rPh sb="165" eb="167">
      <t>キボウ</t>
    </rPh>
    <rPh sb="169" eb="171">
      <t>ガクセイ</t>
    </rPh>
    <rPh sb="171" eb="173">
      <t>ゼンイン</t>
    </rPh>
    <rPh sb="174" eb="176">
      <t>ジシン</t>
    </rPh>
    <rPh sb="177" eb="179">
      <t>キョウイク</t>
    </rPh>
    <rPh sb="179" eb="181">
      <t>カテイ</t>
    </rPh>
    <rPh sb="182" eb="183">
      <t>ナカ</t>
    </rPh>
    <rPh sb="184" eb="186">
      <t>ジュコウ</t>
    </rPh>
    <rPh sb="186" eb="188">
      <t>カノウ</t>
    </rPh>
    <rPh sb="193" eb="195">
      <t>セッテイ</t>
    </rPh>
    <phoneticPr fontId="1"/>
  </si>
  <si>
    <t>リテラシーレベルを修了するために必要な科目を、学部学科ごとに分かりやすく周知する。
本学では必修科目は自動的に履修設定されるため、全ての学生が履修することとなる。
卒業要件の選択必修科目や選択科目については、学生にモデル時間割を提供するなど、学生に履修を促す取り組みを進めている。
今後はオリエンテーション等で本プログラムの説明を行い、すべての学生が履修するよう取り組んでいく。</t>
    <rPh sb="9" eb="11">
      <t>シュウリョウ</t>
    </rPh>
    <rPh sb="16" eb="18">
      <t>ヒツヨウ</t>
    </rPh>
    <rPh sb="19" eb="21">
      <t>カモク</t>
    </rPh>
    <rPh sb="23" eb="25">
      <t>ガクブ</t>
    </rPh>
    <rPh sb="25" eb="27">
      <t>ガッカ</t>
    </rPh>
    <rPh sb="30" eb="31">
      <t>ワ</t>
    </rPh>
    <rPh sb="36" eb="38">
      <t>シュウチ</t>
    </rPh>
    <rPh sb="42" eb="44">
      <t>ホンガク</t>
    </rPh>
    <rPh sb="46" eb="48">
      <t>ヒッシュウ</t>
    </rPh>
    <rPh sb="48" eb="50">
      <t>カモク</t>
    </rPh>
    <rPh sb="51" eb="54">
      <t>ジドウテキ</t>
    </rPh>
    <rPh sb="55" eb="57">
      <t>リシュウ</t>
    </rPh>
    <rPh sb="57" eb="59">
      <t>セッテイ</t>
    </rPh>
    <rPh sb="65" eb="66">
      <t>スベ</t>
    </rPh>
    <rPh sb="68" eb="70">
      <t>ガクセイ</t>
    </rPh>
    <rPh sb="71" eb="73">
      <t>リシュウ</t>
    </rPh>
    <rPh sb="82" eb="84">
      <t>ソツギョウ</t>
    </rPh>
    <rPh sb="84" eb="86">
      <t>ヨウケン</t>
    </rPh>
    <rPh sb="87" eb="89">
      <t>センタク</t>
    </rPh>
    <rPh sb="89" eb="91">
      <t>ヒッシュウ</t>
    </rPh>
    <rPh sb="91" eb="93">
      <t>カモク</t>
    </rPh>
    <rPh sb="94" eb="96">
      <t>センタク</t>
    </rPh>
    <rPh sb="96" eb="98">
      <t>カモク</t>
    </rPh>
    <rPh sb="141" eb="143">
      <t>コンゴ</t>
    </rPh>
    <rPh sb="153" eb="154">
      <t>トウ</t>
    </rPh>
    <rPh sb="155" eb="156">
      <t>ホン</t>
    </rPh>
    <rPh sb="162" eb="164">
      <t>セツメイ</t>
    </rPh>
    <rPh sb="165" eb="166">
      <t>オコナ</t>
    </rPh>
    <rPh sb="172" eb="174">
      <t>ガクセイ</t>
    </rPh>
    <rPh sb="175" eb="177">
      <t>リシュウ</t>
    </rPh>
    <rPh sb="181" eb="182">
      <t>ト</t>
    </rPh>
    <rPh sb="183" eb="184">
      <t>ク</t>
    </rPh>
    <phoneticPr fontId="1"/>
  </si>
  <si>
    <t>電気学科：「データサイエンス基礎数理（2単位）」を修得すること。 「電気工学セミナー（1単位）」または「電子情報工学セミナー（1単位）」及び「プログラミングⅡ及び演習（3単位）」を修得すること
応用化学科：「データサイエンス基礎数理（2単位）」、「応用化学セミナー（1単位）」を全て修得すること
機械学科：「データサイエンス基礎数理（2単位）」、「プログラミング（2単位）」、「機械基礎数学（2単位）」を全て修得すること
土木工学科：「データサイエンス基礎数理（2単位）」、「セミナー人と自然（1単位）」、「土木施工（2単位）」、「応用測量学及び演習（3単位）」を全て修得すること
建築学科：「データサイエンス基礎数理（2単位）」、「建築セミナー（1単位）」を全て修得すること
情報科学科：「データサイエンス基礎数理（2単位）」、「キャリアデザインⅠ（2単位）」を全て修得すること</t>
    <rPh sb="0" eb="2">
      <t>デンキ</t>
    </rPh>
    <rPh sb="2" eb="4">
      <t>ガッカ</t>
    </rPh>
    <rPh sb="64" eb="66">
      <t>タンイ</t>
    </rPh>
    <rPh sb="97" eb="99">
      <t>オウヨウ</t>
    </rPh>
    <rPh sb="99" eb="101">
      <t>カガク</t>
    </rPh>
    <rPh sb="101" eb="102">
      <t>カ</t>
    </rPh>
    <rPh sb="211" eb="216">
      <t>ドボクコウガクカ</t>
    </rPh>
    <rPh sb="291" eb="293">
      <t>ケンチク</t>
    </rPh>
    <rPh sb="293" eb="295">
      <t>ガッカ</t>
    </rPh>
    <rPh sb="339" eb="341">
      <t>ジョウホウ</t>
    </rPh>
    <rPh sb="341" eb="343">
      <t>カガク</t>
    </rPh>
    <rPh sb="343" eb="344">
      <t>カキカイガッカ</t>
    </rPh>
    <phoneticPr fontId="1"/>
  </si>
  <si>
    <t>「データサイエンス基礎数学（2単位）」、「経営データ解析Ⅰ（2単位）」、「コンピュータ概論Ⅱ（2単位）」を全て修得すること</t>
    <phoneticPr fontId="1"/>
  </si>
  <si>
    <t>愛知工業大学教務委員会規程</t>
    <rPh sb="0" eb="2">
      <t>アイチ</t>
    </rPh>
    <rPh sb="2" eb="4">
      <t>コウギョウ</t>
    </rPh>
    <rPh sb="4" eb="6">
      <t>ダイガク</t>
    </rPh>
    <rPh sb="6" eb="8">
      <t>キョウム</t>
    </rPh>
    <rPh sb="8" eb="11">
      <t>イインカイ</t>
    </rPh>
    <rPh sb="11" eb="13">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</si>
</sst>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9"/>
      <color theme="1"/>
      <name val="Microsoft YaHei UI"/>
      <family val="3"/>
      <charset val="134"/>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3" fillId="0" borderId="1" xfId="0" applyFont="1" applyBorder="1" applyAlignment="1">
      <alignment horizontal="right" vertical="center"/>
    </xf>
    <xf numFmtId="9" fontId="2" fillId="0" borderId="14"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8" fillId="0" borderId="7" xfId="0" applyFont="1" applyBorder="1" applyAlignment="1">
      <alignment horizontal="left" vertical="top" wrapText="1" shrinkToFit="1"/>
    </xf>
    <xf numFmtId="0" fontId="18" fillId="0" borderId="8" xfId="0" applyFont="1" applyBorder="1" applyAlignment="1">
      <alignment horizontal="left" vertical="top" wrapText="1" shrinkToFit="1"/>
    </xf>
    <xf numFmtId="0" fontId="18" fillId="0" borderId="9" xfId="0" applyFont="1" applyBorder="1" applyAlignment="1">
      <alignment horizontal="left" vertical="top" wrapText="1" shrinkToFit="1"/>
    </xf>
    <xf numFmtId="0" fontId="18" fillId="0" borderId="5" xfId="0" applyFont="1" applyBorder="1" applyAlignment="1">
      <alignment horizontal="left" vertical="top" wrapText="1" shrinkToFit="1"/>
    </xf>
    <xf numFmtId="0" fontId="18" fillId="0" borderId="0" xfId="0" applyFont="1" applyAlignment="1">
      <alignment horizontal="left" vertical="top" wrapText="1" shrinkToFit="1"/>
    </xf>
    <xf numFmtId="0" fontId="18" fillId="0" borderId="10" xfId="0" applyFont="1" applyBorder="1" applyAlignment="1">
      <alignment horizontal="left" vertical="top" wrapText="1" shrinkToFit="1"/>
    </xf>
    <xf numFmtId="0" fontId="18" fillId="0" borderId="11" xfId="0" applyFont="1" applyBorder="1" applyAlignment="1">
      <alignment horizontal="left" vertical="top" wrapText="1" shrinkToFit="1"/>
    </xf>
    <xf numFmtId="0" fontId="18" fillId="0" borderId="6" xfId="0" applyFont="1" applyBorder="1" applyAlignment="1">
      <alignment horizontal="left" vertical="top" wrapText="1" shrinkToFit="1"/>
    </xf>
    <xf numFmtId="0" fontId="18"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49" fontId="3" fillId="0" borderId="32" xfId="0" applyNumberFormat="1" applyFont="1" applyBorder="1" applyAlignment="1">
      <alignment horizontal="left" vertical="center"/>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7" xfId="0" applyNumberFormat="1" applyFont="1" applyBorder="1" applyAlignment="1">
      <alignment horizontal="left" vertical="center" wrapText="1"/>
    </xf>
    <xf numFmtId="49" fontId="3" fillId="0" borderId="8" xfId="0" applyNumberFormat="1" applyFont="1" applyBorder="1" applyAlignment="1">
      <alignment horizontal="left" vertical="center"/>
    </xf>
    <xf numFmtId="49" fontId="3" fillId="0" borderId="9" xfId="0" applyNumberFormat="1" applyFont="1" applyBorder="1" applyAlignment="1">
      <alignment horizontal="left" vertical="center"/>
    </xf>
    <xf numFmtId="49" fontId="3" fillId="0" borderId="11" xfId="0" applyNumberFormat="1" applyFont="1" applyBorder="1" applyAlignment="1">
      <alignment horizontal="left" vertical="center" wrapText="1"/>
    </xf>
    <xf numFmtId="49" fontId="3" fillId="0" borderId="6" xfId="0" applyNumberFormat="1" applyFont="1" applyBorder="1" applyAlignment="1">
      <alignment horizontal="left" vertical="center"/>
    </xf>
    <xf numFmtId="49" fontId="3" fillId="0" borderId="12" xfId="0" applyNumberFormat="1" applyFont="1" applyBorder="1" applyAlignment="1">
      <alignment horizontal="left" vertical="center"/>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40" zoomScaleNormal="100" zoomScaleSheetLayoutView="100" workbookViewId="0">
      <selection activeCell="B21" sqref="B2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38" t="s">
        <v>159</v>
      </c>
      <c r="U1" s="138"/>
      <c r="V1" s="2" t="s">
        <v>99</v>
      </c>
    </row>
    <row r="2" spans="1:24" ht="18.75" customHeight="1" x14ac:dyDescent="0.15">
      <c r="A2" s="75"/>
      <c r="B2" s="76" t="s">
        <v>98</v>
      </c>
      <c r="C2" s="139" t="s">
        <v>136</v>
      </c>
      <c r="D2" s="140"/>
      <c r="E2" s="140"/>
      <c r="F2" s="140"/>
      <c r="G2" s="140"/>
      <c r="H2" s="140"/>
      <c r="I2" s="140"/>
      <c r="J2" s="141"/>
      <c r="K2" s="77"/>
      <c r="L2" s="78"/>
      <c r="M2" s="78"/>
      <c r="N2" s="78"/>
      <c r="O2" s="78"/>
      <c r="P2" s="78"/>
      <c r="Q2" s="78"/>
      <c r="R2" s="78"/>
      <c r="S2" s="78"/>
      <c r="T2" s="78"/>
      <c r="U2" s="78"/>
    </row>
    <row r="3" spans="1:24" ht="18.75" customHeight="1" x14ac:dyDescent="0.15">
      <c r="A3" s="75"/>
      <c r="B3" s="76" t="s">
        <v>93</v>
      </c>
      <c r="C3" s="142" t="s">
        <v>208</v>
      </c>
      <c r="D3" s="143"/>
      <c r="E3" s="143"/>
      <c r="F3" s="143"/>
      <c r="G3" s="143"/>
      <c r="H3" s="143"/>
      <c r="I3" s="143"/>
      <c r="J3" s="144"/>
      <c r="K3" s="77"/>
      <c r="L3" s="78"/>
      <c r="M3" s="78"/>
      <c r="N3" s="78"/>
      <c r="O3" s="78"/>
      <c r="P3" s="78"/>
      <c r="Q3" s="78"/>
      <c r="R3" s="78"/>
      <c r="S3" s="78"/>
      <c r="T3" s="78"/>
      <c r="U3" s="78"/>
    </row>
    <row r="4" spans="1:24" ht="15" customHeight="1" x14ac:dyDescent="0.15">
      <c r="A4" s="75"/>
      <c r="B4" s="75"/>
      <c r="C4" s="75"/>
      <c r="D4" s="75"/>
      <c r="E4" s="75"/>
      <c r="F4" s="75"/>
      <c r="G4" s="75"/>
      <c r="H4" s="75"/>
      <c r="I4" s="75"/>
      <c r="J4" s="75"/>
      <c r="K4" s="75"/>
      <c r="L4" s="77"/>
      <c r="M4" s="79"/>
      <c r="N4" s="79"/>
      <c r="O4" s="79"/>
      <c r="P4" s="79"/>
      <c r="Q4" s="79"/>
      <c r="R4" s="79"/>
      <c r="S4" s="79"/>
      <c r="T4" s="79"/>
      <c r="U4" s="79"/>
    </row>
    <row r="5" spans="1:24" ht="18" customHeight="1" x14ac:dyDescent="0.15">
      <c r="A5" s="119" t="s">
        <v>37</v>
      </c>
      <c r="B5" s="119"/>
      <c r="C5" s="119"/>
      <c r="D5" s="119"/>
      <c r="E5" s="119"/>
      <c r="F5" s="119"/>
      <c r="G5" s="119"/>
      <c r="H5" s="119"/>
      <c r="I5" s="119"/>
      <c r="J5" s="119"/>
      <c r="K5" s="119"/>
      <c r="L5" s="119"/>
      <c r="M5" s="119"/>
      <c r="N5" s="119"/>
      <c r="O5" s="119"/>
      <c r="P5" s="119"/>
      <c r="Q5" s="119"/>
      <c r="R5" s="119"/>
      <c r="S5" s="119"/>
      <c r="T5" s="119"/>
      <c r="U5" s="119"/>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131</v>
      </c>
      <c r="B7" s="80"/>
      <c r="C7" s="80"/>
      <c r="D7" s="80"/>
      <c r="E7" s="80"/>
      <c r="F7" s="74"/>
      <c r="G7" s="74"/>
      <c r="H7" s="74"/>
      <c r="I7" s="74"/>
      <c r="J7" s="74"/>
      <c r="K7" s="74"/>
      <c r="L7" s="158" t="s">
        <v>129</v>
      </c>
      <c r="M7" s="159"/>
      <c r="N7" s="159"/>
      <c r="O7" s="159"/>
      <c r="P7" s="159"/>
      <c r="Q7" s="159"/>
      <c r="R7" s="159"/>
      <c r="S7" s="159"/>
      <c r="T7" s="159"/>
      <c r="U7" s="160"/>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132</v>
      </c>
      <c r="B9" s="75"/>
      <c r="C9" s="80"/>
      <c r="D9" s="80"/>
      <c r="E9" s="75"/>
      <c r="F9" s="75"/>
      <c r="G9" s="75"/>
      <c r="H9" s="75"/>
      <c r="I9" s="75"/>
      <c r="J9" s="75"/>
      <c r="K9" s="77"/>
      <c r="L9" s="74"/>
      <c r="M9" s="74"/>
      <c r="N9" s="74"/>
      <c r="O9" s="74"/>
      <c r="P9" s="74"/>
      <c r="Q9" s="74"/>
      <c r="R9" s="74"/>
      <c r="S9" s="74"/>
      <c r="T9" s="74"/>
      <c r="U9" s="74"/>
    </row>
    <row r="10" spans="1:24" ht="6" customHeight="1" x14ac:dyDescent="0.15">
      <c r="A10" s="75"/>
      <c r="B10" s="80"/>
      <c r="C10" s="80"/>
      <c r="D10" s="80"/>
      <c r="E10" s="80"/>
      <c r="F10" s="80"/>
      <c r="G10" s="80"/>
      <c r="H10" s="80"/>
      <c r="I10" s="80"/>
      <c r="J10" s="80"/>
      <c r="K10" s="80"/>
      <c r="L10" s="81"/>
      <c r="M10" s="80"/>
      <c r="N10" s="80"/>
      <c r="O10" s="80"/>
      <c r="P10" s="80"/>
      <c r="Q10" s="80"/>
      <c r="R10" s="80"/>
      <c r="S10" s="80"/>
      <c r="T10" s="80"/>
      <c r="U10" s="80"/>
    </row>
    <row r="11" spans="1:24" ht="18" customHeight="1" x14ac:dyDescent="0.15">
      <c r="A11" s="75"/>
      <c r="B11" s="161" t="s">
        <v>138</v>
      </c>
      <c r="C11" s="162"/>
      <c r="D11" s="162"/>
      <c r="E11" s="162"/>
      <c r="F11" s="162"/>
      <c r="G11" s="162"/>
      <c r="H11" s="162"/>
      <c r="I11" s="162"/>
      <c r="J11" s="162"/>
      <c r="K11" s="162"/>
      <c r="L11" s="162"/>
      <c r="M11" s="162"/>
      <c r="N11" s="162"/>
      <c r="O11" s="162"/>
      <c r="P11" s="162"/>
      <c r="Q11" s="162"/>
      <c r="R11" s="162"/>
      <c r="S11" s="162"/>
      <c r="T11" s="162"/>
      <c r="U11" s="163"/>
    </row>
    <row r="12" spans="1:24" ht="18" customHeight="1" x14ac:dyDescent="0.15">
      <c r="A12" s="75"/>
      <c r="B12" s="164"/>
      <c r="C12" s="165"/>
      <c r="D12" s="165"/>
      <c r="E12" s="165"/>
      <c r="F12" s="165"/>
      <c r="G12" s="165"/>
      <c r="H12" s="165"/>
      <c r="I12" s="165"/>
      <c r="J12" s="165"/>
      <c r="K12" s="165"/>
      <c r="L12" s="165"/>
      <c r="M12" s="165"/>
      <c r="N12" s="165"/>
      <c r="O12" s="165"/>
      <c r="P12" s="165"/>
      <c r="Q12" s="165"/>
      <c r="R12" s="165"/>
      <c r="S12" s="165"/>
      <c r="T12" s="165"/>
      <c r="U12" s="166"/>
    </row>
    <row r="13" spans="1:24" ht="6" customHeight="1" x14ac:dyDescent="0.15">
      <c r="A13" s="75"/>
      <c r="B13" s="80"/>
      <c r="C13" s="80"/>
      <c r="D13" s="80"/>
      <c r="E13" s="80"/>
      <c r="F13" s="80"/>
      <c r="G13" s="80"/>
      <c r="H13" s="80"/>
      <c r="I13" s="80"/>
      <c r="J13" s="80"/>
      <c r="K13" s="80"/>
      <c r="L13" s="81"/>
      <c r="M13" s="80"/>
      <c r="N13" s="80"/>
      <c r="O13" s="80"/>
      <c r="P13" s="80"/>
      <c r="Q13" s="80"/>
      <c r="R13" s="80"/>
      <c r="S13" s="80"/>
      <c r="T13" s="80"/>
      <c r="U13" s="80"/>
    </row>
    <row r="14" spans="1:24" ht="18" customHeight="1" x14ac:dyDescent="0.15">
      <c r="A14" s="75" t="s">
        <v>100</v>
      </c>
      <c r="B14" s="80"/>
      <c r="C14" s="80"/>
      <c r="D14" s="80"/>
      <c r="E14" s="77"/>
      <c r="F14" s="77"/>
      <c r="G14" s="77"/>
      <c r="H14" s="77"/>
      <c r="I14" s="77"/>
      <c r="J14" s="77"/>
      <c r="K14" s="77"/>
      <c r="L14" s="82"/>
      <c r="M14" s="82"/>
      <c r="N14" s="82"/>
      <c r="O14" s="82"/>
      <c r="P14" s="82"/>
      <c r="Q14" s="82"/>
      <c r="R14" s="82"/>
      <c r="S14" s="82"/>
      <c r="T14" s="82"/>
      <c r="U14" s="82"/>
    </row>
    <row r="15" spans="1:24" ht="18" customHeight="1" x14ac:dyDescent="0.15">
      <c r="A15" s="75"/>
      <c r="B15" s="120" t="s">
        <v>218</v>
      </c>
      <c r="C15" s="121"/>
      <c r="D15" s="121"/>
      <c r="E15" s="121"/>
      <c r="F15" s="121"/>
      <c r="G15" s="121"/>
      <c r="H15" s="121"/>
      <c r="I15" s="121"/>
      <c r="J15" s="121"/>
      <c r="K15" s="121"/>
      <c r="L15" s="121"/>
      <c r="M15" s="121"/>
      <c r="N15" s="121"/>
      <c r="O15" s="121"/>
      <c r="P15" s="121"/>
      <c r="Q15" s="121"/>
      <c r="R15" s="121"/>
      <c r="S15" s="121"/>
      <c r="T15" s="121"/>
      <c r="U15" s="122"/>
      <c r="X15" s="1" t="s">
        <v>94</v>
      </c>
    </row>
    <row r="16" spans="1:24" ht="18" customHeight="1" x14ac:dyDescent="0.15">
      <c r="A16" s="75"/>
      <c r="B16" s="123"/>
      <c r="C16" s="124"/>
      <c r="D16" s="124"/>
      <c r="E16" s="124"/>
      <c r="F16" s="124"/>
      <c r="G16" s="124"/>
      <c r="H16" s="124"/>
      <c r="I16" s="124"/>
      <c r="J16" s="124"/>
      <c r="K16" s="124"/>
      <c r="L16" s="124"/>
      <c r="M16" s="124"/>
      <c r="N16" s="124"/>
      <c r="O16" s="124"/>
      <c r="P16" s="124"/>
      <c r="Q16" s="124"/>
      <c r="R16" s="124"/>
      <c r="S16" s="124"/>
      <c r="T16" s="124"/>
      <c r="U16" s="125"/>
      <c r="X16" s="1" t="s">
        <v>114</v>
      </c>
    </row>
    <row r="17" spans="1:24" ht="18" customHeight="1" x14ac:dyDescent="0.15">
      <c r="A17" s="75"/>
      <c r="B17" s="123"/>
      <c r="C17" s="124"/>
      <c r="D17" s="124"/>
      <c r="E17" s="124"/>
      <c r="F17" s="124"/>
      <c r="G17" s="124"/>
      <c r="H17" s="124"/>
      <c r="I17" s="124"/>
      <c r="J17" s="124"/>
      <c r="K17" s="124"/>
      <c r="L17" s="124"/>
      <c r="M17" s="124"/>
      <c r="N17" s="124"/>
      <c r="O17" s="124"/>
      <c r="P17" s="124"/>
      <c r="Q17" s="124"/>
      <c r="R17" s="124"/>
      <c r="S17" s="124"/>
      <c r="T17" s="124"/>
      <c r="U17" s="125"/>
      <c r="X17" s="1" t="s">
        <v>115</v>
      </c>
    </row>
    <row r="18" spans="1:24" ht="18" customHeight="1" x14ac:dyDescent="0.15">
      <c r="A18" s="75"/>
      <c r="B18" s="123"/>
      <c r="C18" s="124"/>
      <c r="D18" s="124"/>
      <c r="E18" s="124"/>
      <c r="F18" s="124"/>
      <c r="G18" s="124"/>
      <c r="H18" s="124"/>
      <c r="I18" s="124"/>
      <c r="J18" s="124"/>
      <c r="K18" s="124"/>
      <c r="L18" s="124"/>
      <c r="M18" s="124"/>
      <c r="N18" s="124"/>
      <c r="O18" s="124"/>
      <c r="P18" s="124"/>
      <c r="Q18" s="124"/>
      <c r="R18" s="124"/>
      <c r="S18" s="124"/>
      <c r="T18" s="124"/>
      <c r="U18" s="125"/>
      <c r="X18" s="1" t="s">
        <v>116</v>
      </c>
    </row>
    <row r="19" spans="1:24" ht="18" customHeight="1" x14ac:dyDescent="0.15">
      <c r="A19" s="75"/>
      <c r="B19" s="123"/>
      <c r="C19" s="124"/>
      <c r="D19" s="124"/>
      <c r="E19" s="124"/>
      <c r="F19" s="124"/>
      <c r="G19" s="124"/>
      <c r="H19" s="124"/>
      <c r="I19" s="124"/>
      <c r="J19" s="124"/>
      <c r="K19" s="124"/>
      <c r="L19" s="124"/>
      <c r="M19" s="124"/>
      <c r="N19" s="124"/>
      <c r="O19" s="124"/>
      <c r="P19" s="124"/>
      <c r="Q19" s="124"/>
      <c r="R19" s="124"/>
      <c r="S19" s="124"/>
      <c r="T19" s="124"/>
      <c r="U19" s="125"/>
    </row>
    <row r="20" spans="1:24" ht="18" customHeight="1" x14ac:dyDescent="0.15">
      <c r="A20" s="75"/>
      <c r="B20" s="126"/>
      <c r="C20" s="127"/>
      <c r="D20" s="127"/>
      <c r="E20" s="127"/>
      <c r="F20" s="127"/>
      <c r="G20" s="127"/>
      <c r="H20" s="127"/>
      <c r="I20" s="127"/>
      <c r="J20" s="127"/>
      <c r="K20" s="127"/>
      <c r="L20" s="127"/>
      <c r="M20" s="127"/>
      <c r="N20" s="127"/>
      <c r="O20" s="127"/>
      <c r="P20" s="127"/>
      <c r="Q20" s="127"/>
      <c r="R20" s="127"/>
      <c r="S20" s="127"/>
      <c r="T20" s="127"/>
      <c r="U20" s="128"/>
    </row>
    <row r="21" spans="1:24" ht="7.5" customHeight="1" x14ac:dyDescent="0.15">
      <c r="A21" s="75"/>
      <c r="B21" s="80"/>
      <c r="C21" s="80"/>
      <c r="D21" s="80"/>
      <c r="E21" s="80"/>
      <c r="F21" s="80"/>
      <c r="G21" s="80"/>
      <c r="H21" s="80"/>
      <c r="I21" s="80"/>
      <c r="J21" s="80"/>
      <c r="K21" s="80"/>
      <c r="L21" s="80"/>
      <c r="M21" s="80"/>
      <c r="N21" s="80"/>
      <c r="O21" s="80"/>
      <c r="P21" s="80"/>
      <c r="Q21" s="80"/>
      <c r="R21" s="80"/>
      <c r="S21" s="80"/>
      <c r="T21" s="80"/>
      <c r="U21" s="80"/>
    </row>
    <row r="22" spans="1:24" ht="19.899999999999999" customHeight="1" x14ac:dyDescent="0.15">
      <c r="A22" s="75"/>
      <c r="B22" s="75" t="s">
        <v>133</v>
      </c>
      <c r="C22" s="75"/>
      <c r="D22" s="75"/>
      <c r="E22" s="83">
        <v>2</v>
      </c>
      <c r="F22" s="75" t="s">
        <v>112</v>
      </c>
      <c r="G22" s="75"/>
      <c r="H22" s="84">
        <v>3</v>
      </c>
      <c r="I22" s="80" t="s">
        <v>113</v>
      </c>
      <c r="J22" s="80"/>
      <c r="K22" s="77"/>
      <c r="L22" s="75"/>
      <c r="M22" s="77" t="s">
        <v>109</v>
      </c>
      <c r="N22" s="155" t="s">
        <v>116</v>
      </c>
      <c r="O22" s="156"/>
      <c r="P22" s="156"/>
      <c r="Q22" s="156"/>
      <c r="R22" s="156"/>
      <c r="S22" s="156"/>
      <c r="T22" s="156"/>
      <c r="U22" s="157"/>
    </row>
    <row r="23" spans="1:24" ht="7.5" customHeight="1" x14ac:dyDescent="0.15">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29" t="s">
        <v>101</v>
      </c>
      <c r="B24" s="129"/>
      <c r="C24" s="129"/>
      <c r="D24" s="129"/>
      <c r="E24" s="129"/>
      <c r="F24" s="129"/>
      <c r="G24" s="129"/>
      <c r="H24" s="129"/>
      <c r="I24" s="129"/>
      <c r="J24" s="129"/>
      <c r="K24" s="129"/>
      <c r="L24" s="129"/>
      <c r="M24" s="129"/>
      <c r="N24" s="129"/>
      <c r="O24" s="129"/>
      <c r="P24" s="129"/>
      <c r="Q24" s="129"/>
      <c r="R24" s="129"/>
      <c r="S24" s="129"/>
      <c r="T24" s="129"/>
      <c r="U24" s="129"/>
    </row>
    <row r="25" spans="1:24" ht="18" customHeight="1" x14ac:dyDescent="0.15">
      <c r="A25" s="129"/>
      <c r="B25" s="129"/>
      <c r="C25" s="129"/>
      <c r="D25" s="129"/>
      <c r="E25" s="129"/>
      <c r="F25" s="129"/>
      <c r="G25" s="129"/>
      <c r="H25" s="129"/>
      <c r="I25" s="129"/>
      <c r="J25" s="129"/>
      <c r="K25" s="129"/>
      <c r="L25" s="129"/>
      <c r="M25" s="129"/>
      <c r="N25" s="129"/>
      <c r="O25" s="129"/>
      <c r="P25" s="129"/>
      <c r="Q25" s="129"/>
      <c r="R25" s="129"/>
      <c r="S25" s="129"/>
      <c r="T25" s="129"/>
      <c r="U25" s="129"/>
    </row>
    <row r="26" spans="1:24" ht="18" customHeight="1" x14ac:dyDescent="0.15">
      <c r="B26" s="92" t="s">
        <v>51</v>
      </c>
      <c r="C26" s="93"/>
      <c r="D26" s="93"/>
      <c r="E26" s="93"/>
      <c r="F26" s="94"/>
      <c r="G26" s="51" t="s">
        <v>77</v>
      </c>
      <c r="H26" s="50" t="s">
        <v>80</v>
      </c>
      <c r="I26" s="17" t="s">
        <v>54</v>
      </c>
      <c r="J26" s="17" t="s">
        <v>57</v>
      </c>
      <c r="K26" s="92" t="s">
        <v>51</v>
      </c>
      <c r="L26" s="93"/>
      <c r="M26" s="93"/>
      <c r="N26" s="93"/>
      <c r="O26" s="93"/>
      <c r="P26" s="93"/>
      <c r="Q26" s="94"/>
      <c r="R26" s="51" t="s">
        <v>77</v>
      </c>
      <c r="S26" s="50" t="s">
        <v>80</v>
      </c>
      <c r="T26" s="17" t="s">
        <v>54</v>
      </c>
      <c r="U26" s="17" t="s">
        <v>57</v>
      </c>
    </row>
    <row r="27" spans="1:24" ht="18" customHeight="1" x14ac:dyDescent="0.15">
      <c r="B27" s="103" t="s">
        <v>155</v>
      </c>
      <c r="C27" s="104"/>
      <c r="D27" s="104"/>
      <c r="E27" s="104"/>
      <c r="F27" s="105"/>
      <c r="G27" s="18">
        <v>1</v>
      </c>
      <c r="H27" s="18"/>
      <c r="I27" s="18" t="s">
        <v>139</v>
      </c>
      <c r="J27" s="18" t="s">
        <v>139</v>
      </c>
      <c r="K27" s="103"/>
      <c r="L27" s="104"/>
      <c r="M27" s="104"/>
      <c r="N27" s="104"/>
      <c r="O27" s="104"/>
      <c r="P27" s="104"/>
      <c r="Q27" s="105"/>
      <c r="R27" s="18"/>
      <c r="S27" s="18"/>
      <c r="T27" s="18"/>
      <c r="U27" s="18"/>
    </row>
    <row r="28" spans="1:24" ht="18" customHeight="1" x14ac:dyDescent="0.15">
      <c r="B28" s="95" t="s">
        <v>152</v>
      </c>
      <c r="C28" s="96"/>
      <c r="D28" s="96"/>
      <c r="E28" s="96"/>
      <c r="F28" s="97"/>
      <c r="G28" s="19">
        <v>1</v>
      </c>
      <c r="H28" s="19"/>
      <c r="I28" s="19" t="s">
        <v>139</v>
      </c>
      <c r="J28" s="19" t="s">
        <v>139</v>
      </c>
      <c r="K28" s="95"/>
      <c r="L28" s="96"/>
      <c r="M28" s="96"/>
      <c r="N28" s="96"/>
      <c r="O28" s="96"/>
      <c r="P28" s="96"/>
      <c r="Q28" s="97"/>
      <c r="R28" s="19"/>
      <c r="S28" s="19"/>
      <c r="T28" s="19"/>
      <c r="U28" s="19"/>
    </row>
    <row r="29" spans="1:24" ht="18" customHeight="1" x14ac:dyDescent="0.15">
      <c r="B29" s="95" t="s">
        <v>153</v>
      </c>
      <c r="C29" s="96"/>
      <c r="D29" s="96"/>
      <c r="E29" s="96"/>
      <c r="F29" s="97"/>
      <c r="G29" s="19">
        <v>1</v>
      </c>
      <c r="H29" s="19"/>
      <c r="I29" s="19" t="s">
        <v>139</v>
      </c>
      <c r="J29" s="19" t="s">
        <v>139</v>
      </c>
      <c r="K29" s="95"/>
      <c r="L29" s="96"/>
      <c r="M29" s="96"/>
      <c r="N29" s="96"/>
      <c r="O29" s="96"/>
      <c r="P29" s="96"/>
      <c r="Q29" s="97"/>
      <c r="R29" s="19"/>
      <c r="S29" s="19"/>
      <c r="T29" s="19"/>
      <c r="U29" s="19"/>
    </row>
    <row r="30" spans="1:24" ht="18" customHeight="1" x14ac:dyDescent="0.15">
      <c r="B30" s="95" t="s">
        <v>156</v>
      </c>
      <c r="C30" s="96"/>
      <c r="D30" s="96"/>
      <c r="E30" s="96"/>
      <c r="F30" s="97"/>
      <c r="G30" s="19">
        <v>2</v>
      </c>
      <c r="H30" s="19"/>
      <c r="I30" s="19" t="s">
        <v>139</v>
      </c>
      <c r="J30" s="19" t="s">
        <v>139</v>
      </c>
      <c r="K30" s="95"/>
      <c r="L30" s="96"/>
      <c r="M30" s="96"/>
      <c r="N30" s="96"/>
      <c r="O30" s="96"/>
      <c r="P30" s="96"/>
      <c r="Q30" s="97"/>
      <c r="R30" s="19"/>
      <c r="S30" s="19"/>
      <c r="T30" s="19"/>
      <c r="U30" s="19"/>
    </row>
    <row r="31" spans="1:24" ht="18" customHeight="1" x14ac:dyDescent="0.15">
      <c r="B31" s="95" t="s">
        <v>164</v>
      </c>
      <c r="C31" s="96"/>
      <c r="D31" s="96"/>
      <c r="E31" s="96"/>
      <c r="F31" s="97"/>
      <c r="G31" s="19">
        <v>1</v>
      </c>
      <c r="H31" s="19"/>
      <c r="I31" s="19" t="s">
        <v>139</v>
      </c>
      <c r="J31" s="19" t="s">
        <v>139</v>
      </c>
      <c r="K31" s="95"/>
      <c r="L31" s="96"/>
      <c r="M31" s="96"/>
      <c r="N31" s="96"/>
      <c r="O31" s="96"/>
      <c r="P31" s="96"/>
      <c r="Q31" s="97"/>
      <c r="R31" s="19"/>
      <c r="S31" s="19"/>
      <c r="T31" s="19"/>
      <c r="U31" s="19"/>
    </row>
    <row r="32" spans="1:24" ht="18" customHeight="1" x14ac:dyDescent="0.15">
      <c r="A32" s="3"/>
      <c r="B32" s="95" t="s">
        <v>154</v>
      </c>
      <c r="C32" s="96"/>
      <c r="D32" s="96"/>
      <c r="E32" s="96"/>
      <c r="F32" s="97"/>
      <c r="G32" s="19">
        <v>1</v>
      </c>
      <c r="H32" s="19"/>
      <c r="I32" s="19" t="s">
        <v>139</v>
      </c>
      <c r="J32" s="19" t="s">
        <v>139</v>
      </c>
      <c r="K32" s="95"/>
      <c r="L32" s="96"/>
      <c r="M32" s="96"/>
      <c r="N32" s="96"/>
      <c r="O32" s="96"/>
      <c r="P32" s="96"/>
      <c r="Q32" s="97"/>
      <c r="R32" s="19"/>
      <c r="S32" s="19"/>
      <c r="T32" s="19"/>
      <c r="U32" s="19"/>
    </row>
    <row r="33" spans="1:21" ht="18" customHeight="1" x14ac:dyDescent="0.15">
      <c r="A33" s="3"/>
      <c r="B33" s="98" t="s">
        <v>157</v>
      </c>
      <c r="C33" s="99"/>
      <c r="D33" s="99"/>
      <c r="E33" s="99"/>
      <c r="F33" s="100"/>
      <c r="G33" s="20">
        <v>2</v>
      </c>
      <c r="H33" s="20"/>
      <c r="I33" s="21" t="s">
        <v>139</v>
      </c>
      <c r="J33" s="21" t="s">
        <v>139</v>
      </c>
      <c r="K33" s="98"/>
      <c r="L33" s="99"/>
      <c r="M33" s="99"/>
      <c r="N33" s="99"/>
      <c r="O33" s="99"/>
      <c r="P33" s="99"/>
      <c r="Q33" s="100"/>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9" t="s">
        <v>102</v>
      </c>
      <c r="B35" s="109"/>
      <c r="C35" s="109"/>
      <c r="D35" s="109"/>
      <c r="E35" s="109"/>
      <c r="F35" s="109"/>
      <c r="G35" s="109"/>
      <c r="H35" s="109"/>
      <c r="I35" s="109"/>
      <c r="J35" s="109"/>
      <c r="K35" s="109"/>
      <c r="L35" s="109"/>
      <c r="M35" s="109"/>
      <c r="N35" s="109"/>
      <c r="O35" s="109"/>
      <c r="P35" s="109"/>
      <c r="Q35" s="109"/>
      <c r="R35" s="109"/>
      <c r="S35" s="109"/>
      <c r="T35" s="109"/>
      <c r="U35" s="109"/>
    </row>
    <row r="36" spans="1:21" ht="18" customHeight="1" x14ac:dyDescent="0.15">
      <c r="A36" s="109"/>
      <c r="B36" s="109"/>
      <c r="C36" s="109"/>
      <c r="D36" s="109"/>
      <c r="E36" s="109"/>
      <c r="F36" s="109"/>
      <c r="G36" s="109"/>
      <c r="H36" s="109"/>
      <c r="I36" s="109"/>
      <c r="J36" s="109"/>
      <c r="K36" s="109"/>
      <c r="L36" s="109"/>
      <c r="M36" s="109"/>
      <c r="N36" s="109"/>
      <c r="O36" s="109"/>
      <c r="P36" s="109"/>
      <c r="Q36" s="109"/>
      <c r="R36" s="109"/>
      <c r="S36" s="109"/>
      <c r="T36" s="109"/>
      <c r="U36" s="109"/>
    </row>
    <row r="37" spans="1:21" ht="18" customHeight="1" x14ac:dyDescent="0.15">
      <c r="B37" s="92" t="s">
        <v>51</v>
      </c>
      <c r="C37" s="93"/>
      <c r="D37" s="93"/>
      <c r="E37" s="93"/>
      <c r="F37" s="94"/>
      <c r="G37" s="51" t="s">
        <v>77</v>
      </c>
      <c r="H37" s="50" t="s">
        <v>80</v>
      </c>
      <c r="I37" s="17" t="s">
        <v>68</v>
      </c>
      <c r="J37" s="17" t="s">
        <v>69</v>
      </c>
      <c r="K37" s="92" t="s">
        <v>51</v>
      </c>
      <c r="L37" s="93"/>
      <c r="M37" s="93"/>
      <c r="N37" s="93"/>
      <c r="O37" s="93"/>
      <c r="P37" s="93"/>
      <c r="Q37" s="94"/>
      <c r="R37" s="51" t="s">
        <v>77</v>
      </c>
      <c r="S37" s="50" t="s">
        <v>80</v>
      </c>
      <c r="T37" s="17" t="s">
        <v>68</v>
      </c>
      <c r="U37" s="17" t="s">
        <v>69</v>
      </c>
    </row>
    <row r="38" spans="1:21" ht="18" customHeight="1" x14ac:dyDescent="0.15">
      <c r="B38" s="103" t="s">
        <v>155</v>
      </c>
      <c r="C38" s="104"/>
      <c r="D38" s="104"/>
      <c r="E38" s="104"/>
      <c r="F38" s="105"/>
      <c r="G38" s="18">
        <v>1</v>
      </c>
      <c r="H38" s="18"/>
      <c r="I38" s="18" t="s">
        <v>139</v>
      </c>
      <c r="J38" s="18" t="s">
        <v>139</v>
      </c>
      <c r="K38" s="103" t="s">
        <v>212</v>
      </c>
      <c r="L38" s="104"/>
      <c r="M38" s="104"/>
      <c r="N38" s="104"/>
      <c r="O38" s="104"/>
      <c r="P38" s="104"/>
      <c r="Q38" s="105"/>
      <c r="R38" s="18">
        <v>1</v>
      </c>
      <c r="S38" s="18"/>
      <c r="T38" s="18"/>
      <c r="U38" s="18" t="s">
        <v>139</v>
      </c>
    </row>
    <row r="39" spans="1:21" ht="18" customHeight="1" x14ac:dyDescent="0.15">
      <c r="B39" s="95" t="s">
        <v>167</v>
      </c>
      <c r="C39" s="96"/>
      <c r="D39" s="96"/>
      <c r="E39" s="96"/>
      <c r="F39" s="97"/>
      <c r="G39" s="19">
        <v>3</v>
      </c>
      <c r="H39" s="19"/>
      <c r="I39" s="19" t="s">
        <v>139</v>
      </c>
      <c r="J39" s="19"/>
      <c r="K39" s="95" t="s">
        <v>211</v>
      </c>
      <c r="L39" s="96"/>
      <c r="M39" s="96"/>
      <c r="N39" s="96"/>
      <c r="O39" s="96"/>
      <c r="P39" s="96"/>
      <c r="Q39" s="97"/>
      <c r="R39" s="19">
        <v>1</v>
      </c>
      <c r="S39" s="19"/>
      <c r="T39" s="19" t="s">
        <v>139</v>
      </c>
      <c r="U39" s="19" t="s">
        <v>139</v>
      </c>
    </row>
    <row r="40" spans="1:21" ht="18" customHeight="1" x14ac:dyDescent="0.15">
      <c r="B40" s="95" t="s">
        <v>152</v>
      </c>
      <c r="C40" s="96"/>
      <c r="D40" s="96"/>
      <c r="E40" s="96"/>
      <c r="F40" s="97"/>
      <c r="G40" s="19">
        <v>1</v>
      </c>
      <c r="H40" s="19"/>
      <c r="I40" s="19"/>
      <c r="J40" s="19" t="s">
        <v>139</v>
      </c>
      <c r="K40" s="95" t="s">
        <v>210</v>
      </c>
      <c r="L40" s="96"/>
      <c r="M40" s="96"/>
      <c r="N40" s="96"/>
      <c r="O40" s="96"/>
      <c r="P40" s="96"/>
      <c r="Q40" s="97"/>
      <c r="R40" s="19">
        <v>2</v>
      </c>
      <c r="S40" s="19"/>
      <c r="T40" s="19" t="s">
        <v>139</v>
      </c>
      <c r="U40" s="19" t="s">
        <v>139</v>
      </c>
    </row>
    <row r="41" spans="1:21" ht="18" customHeight="1" x14ac:dyDescent="0.15">
      <c r="B41" s="95" t="s">
        <v>153</v>
      </c>
      <c r="C41" s="96"/>
      <c r="D41" s="96"/>
      <c r="E41" s="96"/>
      <c r="F41" s="97"/>
      <c r="G41" s="19">
        <v>1</v>
      </c>
      <c r="H41" s="19"/>
      <c r="I41" s="19" t="s">
        <v>139</v>
      </c>
      <c r="J41" s="19" t="s">
        <v>139</v>
      </c>
      <c r="K41" s="95"/>
      <c r="L41" s="96"/>
      <c r="M41" s="96"/>
      <c r="N41" s="96"/>
      <c r="O41" s="96"/>
      <c r="P41" s="96"/>
      <c r="Q41" s="97"/>
      <c r="R41" s="19"/>
      <c r="S41" s="19"/>
      <c r="T41" s="19"/>
      <c r="U41" s="19"/>
    </row>
    <row r="42" spans="1:21" ht="18" customHeight="1" x14ac:dyDescent="0.15">
      <c r="B42" s="95" t="s">
        <v>156</v>
      </c>
      <c r="C42" s="96"/>
      <c r="D42" s="96"/>
      <c r="E42" s="96"/>
      <c r="F42" s="97"/>
      <c r="G42" s="19">
        <v>2</v>
      </c>
      <c r="H42" s="19"/>
      <c r="I42" s="19"/>
      <c r="J42" s="19" t="s">
        <v>139</v>
      </c>
      <c r="K42" s="95"/>
      <c r="L42" s="96"/>
      <c r="M42" s="96"/>
      <c r="N42" s="96"/>
      <c r="O42" s="96"/>
      <c r="P42" s="96"/>
      <c r="Q42" s="97"/>
      <c r="R42" s="19"/>
      <c r="S42" s="19"/>
      <c r="T42" s="19"/>
      <c r="U42" s="19"/>
    </row>
    <row r="43" spans="1:21" ht="18" customHeight="1" x14ac:dyDescent="0.15">
      <c r="B43" s="95" t="s">
        <v>214</v>
      </c>
      <c r="C43" s="96"/>
      <c r="D43" s="96"/>
      <c r="E43" s="96"/>
      <c r="F43" s="97"/>
      <c r="G43" s="19">
        <v>2</v>
      </c>
      <c r="H43" s="19"/>
      <c r="I43" s="19" t="s">
        <v>139</v>
      </c>
      <c r="J43" s="19" t="s">
        <v>139</v>
      </c>
      <c r="K43" s="95"/>
      <c r="L43" s="96"/>
      <c r="M43" s="96"/>
      <c r="N43" s="96"/>
      <c r="O43" s="96"/>
      <c r="P43" s="96"/>
      <c r="Q43" s="97"/>
      <c r="R43" s="19"/>
      <c r="S43" s="19"/>
      <c r="T43" s="19"/>
      <c r="U43" s="19"/>
    </row>
    <row r="44" spans="1:21" ht="18" customHeight="1" x14ac:dyDescent="0.15">
      <c r="B44" s="98" t="s">
        <v>213</v>
      </c>
      <c r="C44" s="99"/>
      <c r="D44" s="99"/>
      <c r="E44" s="99"/>
      <c r="F44" s="100"/>
      <c r="G44" s="20">
        <v>3</v>
      </c>
      <c r="H44" s="20"/>
      <c r="I44" s="21" t="s">
        <v>139</v>
      </c>
      <c r="J44" s="21"/>
      <c r="K44" s="98"/>
      <c r="L44" s="99"/>
      <c r="M44" s="99"/>
      <c r="N44" s="99"/>
      <c r="O44" s="99"/>
      <c r="P44" s="99"/>
      <c r="Q44" s="100"/>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9" t="s">
        <v>103</v>
      </c>
      <c r="B46" s="109"/>
      <c r="C46" s="109"/>
      <c r="D46" s="109"/>
      <c r="E46" s="109"/>
      <c r="F46" s="109"/>
      <c r="G46" s="109"/>
      <c r="H46" s="109"/>
      <c r="I46" s="109"/>
      <c r="J46" s="109"/>
      <c r="K46" s="109"/>
      <c r="L46" s="109"/>
      <c r="M46" s="109"/>
      <c r="N46" s="109"/>
      <c r="O46" s="109"/>
      <c r="P46" s="109"/>
      <c r="Q46" s="109"/>
      <c r="R46" s="109"/>
      <c r="S46" s="109"/>
      <c r="T46" s="109"/>
      <c r="U46" s="109"/>
    </row>
    <row r="47" spans="1:21" ht="18" customHeight="1" x14ac:dyDescent="0.15">
      <c r="A47" s="109"/>
      <c r="B47" s="109"/>
      <c r="C47" s="109"/>
      <c r="D47" s="109"/>
      <c r="E47" s="109"/>
      <c r="F47" s="109"/>
      <c r="G47" s="109"/>
      <c r="H47" s="109"/>
      <c r="I47" s="109"/>
      <c r="J47" s="109"/>
      <c r="K47" s="109"/>
      <c r="L47" s="109"/>
      <c r="M47" s="109"/>
      <c r="N47" s="109"/>
      <c r="O47" s="109"/>
      <c r="P47" s="109"/>
      <c r="Q47" s="109"/>
      <c r="R47" s="109"/>
      <c r="S47" s="109"/>
      <c r="T47" s="109"/>
      <c r="U47" s="109"/>
    </row>
    <row r="48" spans="1:21" ht="18" customHeight="1" x14ac:dyDescent="0.15">
      <c r="B48" s="92" t="s">
        <v>51</v>
      </c>
      <c r="C48" s="93"/>
      <c r="D48" s="93"/>
      <c r="E48" s="93"/>
      <c r="F48" s="94"/>
      <c r="G48" s="51" t="s">
        <v>77</v>
      </c>
      <c r="H48" s="50" t="s">
        <v>80</v>
      </c>
      <c r="I48" s="17" t="s">
        <v>70</v>
      </c>
      <c r="J48" s="17" t="s">
        <v>71</v>
      </c>
      <c r="K48" s="92" t="s">
        <v>51</v>
      </c>
      <c r="L48" s="93"/>
      <c r="M48" s="93"/>
      <c r="N48" s="93"/>
      <c r="O48" s="93"/>
      <c r="P48" s="93"/>
      <c r="Q48" s="94"/>
      <c r="R48" s="51" t="s">
        <v>77</v>
      </c>
      <c r="S48" s="50" t="s">
        <v>80</v>
      </c>
      <c r="T48" s="17" t="s">
        <v>70</v>
      </c>
      <c r="U48" s="17" t="s">
        <v>71</v>
      </c>
    </row>
    <row r="49" spans="1:21" ht="18" customHeight="1" x14ac:dyDescent="0.15">
      <c r="A49" s="3"/>
      <c r="B49" s="103" t="s">
        <v>155</v>
      </c>
      <c r="C49" s="104"/>
      <c r="D49" s="104"/>
      <c r="E49" s="104"/>
      <c r="F49" s="105"/>
      <c r="G49" s="18">
        <v>1</v>
      </c>
      <c r="H49" s="18"/>
      <c r="I49" s="18" t="s">
        <v>139</v>
      </c>
      <c r="J49" s="18" t="s">
        <v>139</v>
      </c>
      <c r="K49" s="103" t="s">
        <v>170</v>
      </c>
      <c r="L49" s="104"/>
      <c r="M49" s="104"/>
      <c r="N49" s="104"/>
      <c r="O49" s="104"/>
      <c r="P49" s="104"/>
      <c r="Q49" s="105"/>
      <c r="R49" s="18">
        <v>1</v>
      </c>
      <c r="S49" s="18"/>
      <c r="T49" s="18" t="s">
        <v>139</v>
      </c>
      <c r="U49" s="18" t="s">
        <v>139</v>
      </c>
    </row>
    <row r="50" spans="1:21" ht="18" customHeight="1" x14ac:dyDescent="0.15">
      <c r="A50" s="3"/>
      <c r="B50" s="95" t="s">
        <v>152</v>
      </c>
      <c r="C50" s="96"/>
      <c r="D50" s="96"/>
      <c r="E50" s="96"/>
      <c r="F50" s="97"/>
      <c r="G50" s="19">
        <v>1</v>
      </c>
      <c r="H50" s="19"/>
      <c r="I50" s="19" t="s">
        <v>139</v>
      </c>
      <c r="J50" s="19" t="s">
        <v>139</v>
      </c>
      <c r="K50" s="95" t="s">
        <v>168</v>
      </c>
      <c r="L50" s="96"/>
      <c r="M50" s="96"/>
      <c r="N50" s="96"/>
      <c r="O50" s="96"/>
      <c r="P50" s="96"/>
      <c r="Q50" s="97"/>
      <c r="R50" s="19">
        <v>2</v>
      </c>
      <c r="S50" s="19"/>
      <c r="T50" s="19" t="s">
        <v>139</v>
      </c>
      <c r="U50" s="19" t="s">
        <v>139</v>
      </c>
    </row>
    <row r="51" spans="1:21" ht="18" customHeight="1" x14ac:dyDescent="0.15">
      <c r="A51" s="3"/>
      <c r="B51" s="95" t="s">
        <v>153</v>
      </c>
      <c r="C51" s="96"/>
      <c r="D51" s="96"/>
      <c r="E51" s="96"/>
      <c r="F51" s="97"/>
      <c r="G51" s="19">
        <v>1</v>
      </c>
      <c r="H51" s="19"/>
      <c r="I51" s="19" t="s">
        <v>139</v>
      </c>
      <c r="J51" s="19" t="s">
        <v>139</v>
      </c>
      <c r="K51" s="95" t="s">
        <v>169</v>
      </c>
      <c r="L51" s="96"/>
      <c r="M51" s="96"/>
      <c r="N51" s="96"/>
      <c r="O51" s="96"/>
      <c r="P51" s="96"/>
      <c r="Q51" s="97"/>
      <c r="R51" s="19">
        <v>2</v>
      </c>
      <c r="S51" s="19" t="s">
        <v>139</v>
      </c>
      <c r="T51" s="19" t="s">
        <v>139</v>
      </c>
      <c r="U51" s="19"/>
    </row>
    <row r="52" spans="1:21" ht="18" customHeight="1" x14ac:dyDescent="0.15">
      <c r="A52" s="3"/>
      <c r="B52" s="95" t="s">
        <v>156</v>
      </c>
      <c r="C52" s="96"/>
      <c r="D52" s="96"/>
      <c r="E52" s="96"/>
      <c r="F52" s="97"/>
      <c r="G52" s="19">
        <v>2</v>
      </c>
      <c r="H52" s="19"/>
      <c r="I52" s="19" t="s">
        <v>139</v>
      </c>
      <c r="J52" s="19" t="s">
        <v>139</v>
      </c>
      <c r="K52" s="106"/>
      <c r="L52" s="107"/>
      <c r="M52" s="107"/>
      <c r="N52" s="107"/>
      <c r="O52" s="107"/>
      <c r="P52" s="107"/>
      <c r="Q52" s="108"/>
      <c r="R52" s="19"/>
      <c r="S52" s="19"/>
      <c r="T52" s="19"/>
      <c r="U52" s="19"/>
    </row>
    <row r="53" spans="1:21" ht="18" customHeight="1" x14ac:dyDescent="0.15">
      <c r="A53" s="3"/>
      <c r="B53" s="95" t="s">
        <v>171</v>
      </c>
      <c r="C53" s="96"/>
      <c r="D53" s="96"/>
      <c r="E53" s="96"/>
      <c r="F53" s="97"/>
      <c r="G53" s="19">
        <v>2</v>
      </c>
      <c r="H53" s="19"/>
      <c r="I53" s="19" t="s">
        <v>139</v>
      </c>
      <c r="J53" s="19"/>
      <c r="K53" s="95"/>
      <c r="L53" s="96"/>
      <c r="M53" s="96"/>
      <c r="N53" s="96"/>
      <c r="O53" s="96"/>
      <c r="P53" s="96"/>
      <c r="Q53" s="97"/>
      <c r="R53" s="19"/>
      <c r="S53" s="19"/>
      <c r="T53" s="19"/>
      <c r="U53" s="19"/>
    </row>
    <row r="54" spans="1:21" ht="18" customHeight="1" x14ac:dyDescent="0.15">
      <c r="A54" s="3"/>
      <c r="B54" s="95" t="s">
        <v>172</v>
      </c>
      <c r="C54" s="96"/>
      <c r="D54" s="96"/>
      <c r="E54" s="96"/>
      <c r="F54" s="97"/>
      <c r="G54" s="19">
        <v>1</v>
      </c>
      <c r="H54" s="19"/>
      <c r="I54" s="19" t="s">
        <v>139</v>
      </c>
      <c r="J54" s="19"/>
      <c r="K54" s="95"/>
      <c r="L54" s="96"/>
      <c r="M54" s="96"/>
      <c r="N54" s="96"/>
      <c r="O54" s="96"/>
      <c r="P54" s="96"/>
      <c r="Q54" s="97"/>
      <c r="R54" s="19"/>
      <c r="S54" s="19"/>
      <c r="T54" s="19"/>
      <c r="U54" s="19"/>
    </row>
    <row r="55" spans="1:21" ht="18" customHeight="1" x14ac:dyDescent="0.15">
      <c r="A55" s="3"/>
      <c r="B55" s="98" t="s">
        <v>173</v>
      </c>
      <c r="C55" s="99"/>
      <c r="D55" s="99"/>
      <c r="E55" s="99"/>
      <c r="F55" s="100"/>
      <c r="G55" s="20">
        <v>2</v>
      </c>
      <c r="H55" s="20"/>
      <c r="I55" s="21"/>
      <c r="J55" s="21" t="s">
        <v>139</v>
      </c>
      <c r="K55" s="98"/>
      <c r="L55" s="99"/>
      <c r="M55" s="99"/>
      <c r="N55" s="99"/>
      <c r="O55" s="99"/>
      <c r="P55" s="99"/>
      <c r="Q55" s="100"/>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9" t="s">
        <v>104</v>
      </c>
      <c r="B57" s="109"/>
      <c r="C57" s="109"/>
      <c r="D57" s="109"/>
      <c r="E57" s="109"/>
      <c r="F57" s="109"/>
      <c r="G57" s="109"/>
      <c r="H57" s="109"/>
      <c r="I57" s="109"/>
      <c r="J57" s="109"/>
      <c r="K57" s="109"/>
      <c r="L57" s="109"/>
      <c r="M57" s="109"/>
      <c r="N57" s="109"/>
      <c r="O57" s="109"/>
      <c r="P57" s="109"/>
      <c r="Q57" s="109"/>
      <c r="R57" s="109"/>
      <c r="S57" s="109"/>
      <c r="T57" s="109"/>
      <c r="U57" s="109"/>
    </row>
    <row r="58" spans="1:21" ht="18" customHeight="1" x14ac:dyDescent="0.15">
      <c r="A58" s="109"/>
      <c r="B58" s="109"/>
      <c r="C58" s="109"/>
      <c r="D58" s="109"/>
      <c r="E58" s="109"/>
      <c r="F58" s="109"/>
      <c r="G58" s="109"/>
      <c r="H58" s="109"/>
      <c r="I58" s="109"/>
      <c r="J58" s="109"/>
      <c r="K58" s="109"/>
      <c r="L58" s="109"/>
      <c r="M58" s="109"/>
      <c r="N58" s="109"/>
      <c r="O58" s="109"/>
      <c r="P58" s="109"/>
      <c r="Q58" s="109"/>
      <c r="R58" s="109"/>
      <c r="S58" s="109"/>
      <c r="T58" s="109"/>
      <c r="U58" s="109"/>
    </row>
    <row r="59" spans="1:21" ht="18" customHeight="1" x14ac:dyDescent="0.15">
      <c r="B59" s="92" t="s">
        <v>51</v>
      </c>
      <c r="C59" s="93"/>
      <c r="D59" s="93"/>
      <c r="E59" s="93"/>
      <c r="F59" s="94"/>
      <c r="G59" s="51" t="s">
        <v>77</v>
      </c>
      <c r="H59" s="50" t="s">
        <v>80</v>
      </c>
      <c r="I59" s="17" t="s">
        <v>56</v>
      </c>
      <c r="J59" s="17" t="s">
        <v>58</v>
      </c>
      <c r="K59" s="92" t="s">
        <v>51</v>
      </c>
      <c r="L59" s="93"/>
      <c r="M59" s="93"/>
      <c r="N59" s="93"/>
      <c r="O59" s="93"/>
      <c r="P59" s="93"/>
      <c r="Q59" s="94"/>
      <c r="R59" s="51" t="s">
        <v>77</v>
      </c>
      <c r="S59" s="50" t="s">
        <v>80</v>
      </c>
      <c r="T59" s="17" t="s">
        <v>56</v>
      </c>
      <c r="U59" s="17" t="s">
        <v>58</v>
      </c>
    </row>
    <row r="60" spans="1:21" ht="18" customHeight="1" x14ac:dyDescent="0.15">
      <c r="A60" s="3"/>
      <c r="B60" s="103" t="s">
        <v>155</v>
      </c>
      <c r="C60" s="104"/>
      <c r="D60" s="104"/>
      <c r="E60" s="104"/>
      <c r="F60" s="105"/>
      <c r="G60" s="18">
        <v>1</v>
      </c>
      <c r="H60" s="18"/>
      <c r="I60" s="18" t="s">
        <v>139</v>
      </c>
      <c r="J60" s="18" t="s">
        <v>139</v>
      </c>
      <c r="K60" s="103"/>
      <c r="L60" s="104"/>
      <c r="M60" s="104"/>
      <c r="N60" s="104"/>
      <c r="O60" s="104"/>
      <c r="P60" s="104"/>
      <c r="Q60" s="105"/>
      <c r="R60" s="18"/>
      <c r="S60" s="18"/>
      <c r="T60" s="18"/>
      <c r="U60" s="18"/>
    </row>
    <row r="61" spans="1:21" ht="18" customHeight="1" x14ac:dyDescent="0.15">
      <c r="A61" s="3"/>
      <c r="B61" s="95" t="s">
        <v>152</v>
      </c>
      <c r="C61" s="96"/>
      <c r="D61" s="96"/>
      <c r="E61" s="96"/>
      <c r="F61" s="97"/>
      <c r="G61" s="19">
        <v>1</v>
      </c>
      <c r="H61" s="19"/>
      <c r="I61" s="19" t="s">
        <v>139</v>
      </c>
      <c r="J61" s="19" t="s">
        <v>139</v>
      </c>
      <c r="K61" s="95"/>
      <c r="L61" s="96"/>
      <c r="M61" s="96"/>
      <c r="N61" s="96"/>
      <c r="O61" s="96"/>
      <c r="P61" s="96"/>
      <c r="Q61" s="97"/>
      <c r="R61" s="19"/>
      <c r="S61" s="19"/>
      <c r="T61" s="19"/>
      <c r="U61" s="19"/>
    </row>
    <row r="62" spans="1:21" ht="18" customHeight="1" x14ac:dyDescent="0.15">
      <c r="A62" s="3"/>
      <c r="B62" s="95" t="s">
        <v>153</v>
      </c>
      <c r="C62" s="96"/>
      <c r="D62" s="96"/>
      <c r="E62" s="96"/>
      <c r="F62" s="97"/>
      <c r="G62" s="19">
        <v>1</v>
      </c>
      <c r="H62" s="19"/>
      <c r="I62" s="19" t="s">
        <v>139</v>
      </c>
      <c r="J62" s="19" t="s">
        <v>139</v>
      </c>
      <c r="K62" s="95"/>
      <c r="L62" s="96"/>
      <c r="M62" s="96"/>
      <c r="N62" s="96"/>
      <c r="O62" s="96"/>
      <c r="P62" s="96"/>
      <c r="Q62" s="97"/>
      <c r="R62" s="19"/>
      <c r="S62" s="19"/>
      <c r="T62" s="19"/>
      <c r="U62" s="19"/>
    </row>
    <row r="63" spans="1:21" ht="18" customHeight="1" x14ac:dyDescent="0.15">
      <c r="A63" s="3"/>
      <c r="B63" s="95" t="s">
        <v>156</v>
      </c>
      <c r="C63" s="96"/>
      <c r="D63" s="96"/>
      <c r="E63" s="96"/>
      <c r="F63" s="97"/>
      <c r="G63" s="19">
        <v>2</v>
      </c>
      <c r="H63" s="19"/>
      <c r="I63" s="19" t="s">
        <v>139</v>
      </c>
      <c r="J63" s="19" t="s">
        <v>139</v>
      </c>
      <c r="K63" s="95"/>
      <c r="L63" s="96"/>
      <c r="M63" s="96"/>
      <c r="N63" s="96"/>
      <c r="O63" s="96"/>
      <c r="P63" s="96"/>
      <c r="Q63" s="97"/>
      <c r="R63" s="19"/>
      <c r="S63" s="19"/>
      <c r="T63" s="19"/>
      <c r="U63" s="19"/>
    </row>
    <row r="64" spans="1:21" ht="18" customHeight="1" x14ac:dyDescent="0.15">
      <c r="A64" s="3"/>
      <c r="B64" s="95" t="s">
        <v>164</v>
      </c>
      <c r="C64" s="96"/>
      <c r="D64" s="96"/>
      <c r="E64" s="96"/>
      <c r="F64" s="97"/>
      <c r="G64" s="19">
        <v>1</v>
      </c>
      <c r="H64" s="19"/>
      <c r="I64" s="19" t="s">
        <v>139</v>
      </c>
      <c r="J64" s="19" t="s">
        <v>139</v>
      </c>
      <c r="K64" s="95"/>
      <c r="L64" s="96"/>
      <c r="M64" s="96"/>
      <c r="N64" s="96"/>
      <c r="O64" s="96"/>
      <c r="P64" s="96"/>
      <c r="Q64" s="97"/>
      <c r="R64" s="19"/>
      <c r="S64" s="19"/>
      <c r="T64" s="19"/>
      <c r="U64" s="19"/>
    </row>
    <row r="65" spans="1:21" ht="18" customHeight="1" x14ac:dyDescent="0.15">
      <c r="A65" s="3"/>
      <c r="B65" s="95" t="s">
        <v>154</v>
      </c>
      <c r="C65" s="96"/>
      <c r="D65" s="96"/>
      <c r="E65" s="96"/>
      <c r="F65" s="97"/>
      <c r="G65" s="19">
        <v>1</v>
      </c>
      <c r="H65" s="19"/>
      <c r="I65" s="19" t="s">
        <v>139</v>
      </c>
      <c r="J65" s="19" t="s">
        <v>139</v>
      </c>
      <c r="K65" s="95"/>
      <c r="L65" s="96"/>
      <c r="M65" s="96"/>
      <c r="N65" s="96"/>
      <c r="O65" s="96"/>
      <c r="P65" s="96"/>
      <c r="Q65" s="97"/>
      <c r="R65" s="19"/>
      <c r="S65" s="19"/>
      <c r="T65" s="19"/>
      <c r="U65" s="19"/>
    </row>
    <row r="66" spans="1:21" ht="18" customHeight="1" x14ac:dyDescent="0.15">
      <c r="A66" s="3"/>
      <c r="B66" s="98" t="s">
        <v>157</v>
      </c>
      <c r="C66" s="99"/>
      <c r="D66" s="99"/>
      <c r="E66" s="99"/>
      <c r="F66" s="100"/>
      <c r="G66" s="20">
        <v>2</v>
      </c>
      <c r="H66" s="20"/>
      <c r="I66" s="21" t="s">
        <v>139</v>
      </c>
      <c r="J66" s="21" t="s">
        <v>139</v>
      </c>
      <c r="K66" s="98"/>
      <c r="L66" s="99"/>
      <c r="M66" s="99"/>
      <c r="N66" s="99"/>
      <c r="O66" s="99"/>
      <c r="P66" s="99"/>
      <c r="Q66" s="100"/>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9" t="s">
        <v>105</v>
      </c>
      <c r="B68" s="109"/>
      <c r="C68" s="109"/>
      <c r="D68" s="109"/>
      <c r="E68" s="109"/>
      <c r="F68" s="109"/>
      <c r="G68" s="109"/>
      <c r="H68" s="109"/>
      <c r="I68" s="109"/>
      <c r="J68" s="109"/>
      <c r="K68" s="109"/>
      <c r="L68" s="109"/>
      <c r="M68" s="109"/>
      <c r="N68" s="109"/>
      <c r="O68" s="109"/>
      <c r="P68" s="109"/>
      <c r="Q68" s="109"/>
      <c r="R68" s="109"/>
      <c r="S68" s="109"/>
      <c r="T68" s="109"/>
      <c r="U68" s="109"/>
    </row>
    <row r="69" spans="1:21" ht="18" customHeight="1" x14ac:dyDescent="0.15">
      <c r="A69" s="109"/>
      <c r="B69" s="109"/>
      <c r="C69" s="109"/>
      <c r="D69" s="109"/>
      <c r="E69" s="109"/>
      <c r="F69" s="109"/>
      <c r="G69" s="109"/>
      <c r="H69" s="109"/>
      <c r="I69" s="109"/>
      <c r="J69" s="109"/>
      <c r="K69" s="109"/>
      <c r="L69" s="109"/>
      <c r="M69" s="109"/>
      <c r="N69" s="109"/>
      <c r="O69" s="109"/>
      <c r="P69" s="109"/>
      <c r="Q69" s="109"/>
      <c r="R69" s="109"/>
      <c r="S69" s="109"/>
      <c r="T69" s="109"/>
      <c r="U69" s="109"/>
    </row>
    <row r="70" spans="1:21" ht="18" customHeight="1" x14ac:dyDescent="0.15">
      <c r="B70" s="92" t="s">
        <v>51</v>
      </c>
      <c r="C70" s="93"/>
      <c r="D70" s="93"/>
      <c r="E70" s="93"/>
      <c r="F70" s="51" t="s">
        <v>77</v>
      </c>
      <c r="G70" s="50" t="s">
        <v>80</v>
      </c>
      <c r="H70" s="17" t="s">
        <v>92</v>
      </c>
      <c r="I70" s="17" t="s">
        <v>72</v>
      </c>
      <c r="J70" s="17" t="s">
        <v>73</v>
      </c>
      <c r="K70" s="92" t="s">
        <v>51</v>
      </c>
      <c r="L70" s="93"/>
      <c r="M70" s="93"/>
      <c r="N70" s="93"/>
      <c r="O70" s="93"/>
      <c r="P70" s="94"/>
      <c r="Q70" s="51" t="s">
        <v>77</v>
      </c>
      <c r="R70" s="50" t="s">
        <v>80</v>
      </c>
      <c r="S70" s="17" t="s">
        <v>92</v>
      </c>
      <c r="T70" s="17" t="s">
        <v>72</v>
      </c>
      <c r="U70" s="17" t="s">
        <v>73</v>
      </c>
    </row>
    <row r="71" spans="1:21" ht="18" customHeight="1" x14ac:dyDescent="0.15">
      <c r="A71" s="3"/>
      <c r="B71" s="103" t="s">
        <v>155</v>
      </c>
      <c r="C71" s="104"/>
      <c r="D71" s="104"/>
      <c r="E71" s="104"/>
      <c r="F71" s="18">
        <v>1</v>
      </c>
      <c r="G71" s="18"/>
      <c r="H71" s="18" t="s">
        <v>139</v>
      </c>
      <c r="I71" s="18" t="s">
        <v>139</v>
      </c>
      <c r="J71" s="18" t="s">
        <v>139</v>
      </c>
      <c r="K71" s="103" t="s">
        <v>140</v>
      </c>
      <c r="L71" s="104"/>
      <c r="M71" s="104"/>
      <c r="N71" s="104"/>
      <c r="O71" s="104"/>
      <c r="P71" s="105"/>
      <c r="Q71" s="18">
        <v>2</v>
      </c>
      <c r="R71" s="18" t="s">
        <v>139</v>
      </c>
      <c r="S71" s="18" t="s">
        <v>139</v>
      </c>
      <c r="T71" s="18" t="s">
        <v>139</v>
      </c>
      <c r="U71" s="18" t="s">
        <v>139</v>
      </c>
    </row>
    <row r="72" spans="1:21" ht="18" customHeight="1" x14ac:dyDescent="0.15">
      <c r="A72" s="3"/>
      <c r="B72" s="95" t="s">
        <v>152</v>
      </c>
      <c r="C72" s="96"/>
      <c r="D72" s="96"/>
      <c r="E72" s="96"/>
      <c r="F72" s="19">
        <v>1</v>
      </c>
      <c r="G72" s="19"/>
      <c r="H72" s="19" t="s">
        <v>139</v>
      </c>
      <c r="I72" s="19" t="s">
        <v>139</v>
      </c>
      <c r="J72" s="19" t="s">
        <v>139</v>
      </c>
      <c r="K72" s="95"/>
      <c r="L72" s="96"/>
      <c r="M72" s="96"/>
      <c r="N72" s="96"/>
      <c r="O72" s="96"/>
      <c r="P72" s="97"/>
      <c r="Q72" s="19"/>
      <c r="R72" s="19"/>
      <c r="S72" s="19"/>
      <c r="T72" s="19"/>
      <c r="U72" s="19"/>
    </row>
    <row r="73" spans="1:21" ht="18" customHeight="1" x14ac:dyDescent="0.15">
      <c r="A73" s="3"/>
      <c r="B73" s="95" t="s">
        <v>153</v>
      </c>
      <c r="C73" s="96"/>
      <c r="D73" s="96"/>
      <c r="E73" s="96"/>
      <c r="F73" s="19">
        <v>1</v>
      </c>
      <c r="G73" s="19"/>
      <c r="H73" s="19" t="s">
        <v>139</v>
      </c>
      <c r="I73" s="19" t="s">
        <v>139</v>
      </c>
      <c r="J73" s="19" t="s">
        <v>139</v>
      </c>
      <c r="K73" s="95"/>
      <c r="L73" s="96"/>
      <c r="M73" s="96"/>
      <c r="N73" s="96"/>
      <c r="O73" s="96"/>
      <c r="P73" s="97"/>
      <c r="Q73" s="19"/>
      <c r="R73" s="19"/>
      <c r="S73" s="19"/>
      <c r="T73" s="19"/>
      <c r="U73" s="19"/>
    </row>
    <row r="74" spans="1:21" ht="18" customHeight="1" x14ac:dyDescent="0.15">
      <c r="A74" s="3"/>
      <c r="B74" s="95" t="s">
        <v>156</v>
      </c>
      <c r="C74" s="96"/>
      <c r="D74" s="96"/>
      <c r="E74" s="96"/>
      <c r="F74" s="19">
        <v>2</v>
      </c>
      <c r="G74" s="19"/>
      <c r="H74" s="19" t="s">
        <v>139</v>
      </c>
      <c r="I74" s="19" t="s">
        <v>139</v>
      </c>
      <c r="J74" s="19" t="s">
        <v>139</v>
      </c>
      <c r="K74" s="95"/>
      <c r="L74" s="96"/>
      <c r="M74" s="96"/>
      <c r="N74" s="96"/>
      <c r="O74" s="96"/>
      <c r="P74" s="97"/>
      <c r="Q74" s="19"/>
      <c r="R74" s="19"/>
      <c r="S74" s="19"/>
      <c r="T74" s="19"/>
      <c r="U74" s="19"/>
    </row>
    <row r="75" spans="1:21" ht="18" customHeight="1" x14ac:dyDescent="0.15">
      <c r="A75" s="3"/>
      <c r="B75" s="95" t="s">
        <v>164</v>
      </c>
      <c r="C75" s="96"/>
      <c r="D75" s="96"/>
      <c r="E75" s="96"/>
      <c r="F75" s="19">
        <v>1</v>
      </c>
      <c r="G75" s="19"/>
      <c r="H75" s="19" t="s">
        <v>139</v>
      </c>
      <c r="I75" s="19" t="s">
        <v>139</v>
      </c>
      <c r="J75" s="19" t="s">
        <v>139</v>
      </c>
      <c r="K75" s="95"/>
      <c r="L75" s="96"/>
      <c r="M75" s="96"/>
      <c r="N75" s="96"/>
      <c r="O75" s="96"/>
      <c r="P75" s="97"/>
      <c r="Q75" s="19"/>
      <c r="R75" s="19"/>
      <c r="S75" s="19"/>
      <c r="T75" s="19"/>
      <c r="U75" s="19"/>
    </row>
    <row r="76" spans="1:21" ht="18" customHeight="1" x14ac:dyDescent="0.15">
      <c r="A76" s="3"/>
      <c r="B76" s="95" t="s">
        <v>154</v>
      </c>
      <c r="C76" s="96"/>
      <c r="D76" s="96"/>
      <c r="E76" s="96"/>
      <c r="F76" s="19">
        <v>1</v>
      </c>
      <c r="G76" s="19"/>
      <c r="H76" s="19" t="s">
        <v>139</v>
      </c>
      <c r="I76" s="19" t="s">
        <v>139</v>
      </c>
      <c r="J76" s="19" t="s">
        <v>139</v>
      </c>
      <c r="K76" s="95"/>
      <c r="L76" s="96"/>
      <c r="M76" s="96"/>
      <c r="N76" s="96"/>
      <c r="O76" s="96"/>
      <c r="P76" s="97"/>
      <c r="Q76" s="19"/>
      <c r="R76" s="19"/>
      <c r="S76" s="19"/>
      <c r="T76" s="19"/>
      <c r="U76" s="19"/>
    </row>
    <row r="77" spans="1:21" ht="18" customHeight="1" x14ac:dyDescent="0.15">
      <c r="A77" s="3"/>
      <c r="B77" s="98" t="s">
        <v>158</v>
      </c>
      <c r="C77" s="99"/>
      <c r="D77" s="99"/>
      <c r="E77" s="99"/>
      <c r="F77" s="20">
        <v>2</v>
      </c>
      <c r="G77" s="20"/>
      <c r="H77" s="21" t="s">
        <v>139</v>
      </c>
      <c r="I77" s="21" t="s">
        <v>139</v>
      </c>
      <c r="J77" s="21" t="s">
        <v>139</v>
      </c>
      <c r="K77" s="98"/>
      <c r="L77" s="99"/>
      <c r="M77" s="99"/>
      <c r="N77" s="99"/>
      <c r="O77" s="99"/>
      <c r="P77" s="100"/>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92" t="s">
        <v>51</v>
      </c>
      <c r="C80" s="93"/>
      <c r="D80" s="93"/>
      <c r="E80" s="93"/>
      <c r="F80" s="94"/>
      <c r="G80" s="92" t="s">
        <v>78</v>
      </c>
      <c r="H80" s="93"/>
      <c r="I80" s="93"/>
      <c r="J80" s="94"/>
      <c r="K80" s="115" t="s">
        <v>51</v>
      </c>
      <c r="L80" s="116"/>
      <c r="M80" s="116"/>
      <c r="N80" s="116"/>
      <c r="O80" s="116"/>
      <c r="P80" s="116"/>
      <c r="Q80" s="117"/>
      <c r="R80" s="92" t="s">
        <v>78</v>
      </c>
      <c r="S80" s="93"/>
      <c r="T80" s="93"/>
      <c r="U80" s="94"/>
    </row>
    <row r="81" spans="1:21" ht="18" customHeight="1" x14ac:dyDescent="0.15">
      <c r="A81" s="3"/>
      <c r="B81" s="103"/>
      <c r="C81" s="104"/>
      <c r="D81" s="104"/>
      <c r="E81" s="104"/>
      <c r="F81" s="105"/>
      <c r="G81" s="110"/>
      <c r="H81" s="111"/>
      <c r="I81" s="111"/>
      <c r="J81" s="112"/>
      <c r="K81" s="103"/>
      <c r="L81" s="104"/>
      <c r="M81" s="104"/>
      <c r="N81" s="104"/>
      <c r="O81" s="104"/>
      <c r="P81" s="104"/>
      <c r="Q81" s="105"/>
      <c r="R81" s="110"/>
      <c r="S81" s="111"/>
      <c r="T81" s="111"/>
      <c r="U81" s="112"/>
    </row>
    <row r="82" spans="1:21" ht="18" customHeight="1" x14ac:dyDescent="0.15">
      <c r="A82" s="3"/>
      <c r="B82" s="95"/>
      <c r="C82" s="96"/>
      <c r="D82" s="96"/>
      <c r="E82" s="96"/>
      <c r="F82" s="97"/>
      <c r="G82" s="89"/>
      <c r="H82" s="90"/>
      <c r="I82" s="90"/>
      <c r="J82" s="91"/>
      <c r="K82" s="95"/>
      <c r="L82" s="96"/>
      <c r="M82" s="96"/>
      <c r="N82" s="96"/>
      <c r="O82" s="96"/>
      <c r="P82" s="96"/>
      <c r="Q82" s="97"/>
      <c r="R82" s="89"/>
      <c r="S82" s="90"/>
      <c r="T82" s="90"/>
      <c r="U82" s="91"/>
    </row>
    <row r="83" spans="1:21" ht="18" customHeight="1" x14ac:dyDescent="0.15">
      <c r="A83" s="3"/>
      <c r="B83" s="95"/>
      <c r="C83" s="96"/>
      <c r="D83" s="96"/>
      <c r="E83" s="96"/>
      <c r="F83" s="97"/>
      <c r="G83" s="89"/>
      <c r="H83" s="90"/>
      <c r="I83" s="90"/>
      <c r="J83" s="91"/>
      <c r="K83" s="95"/>
      <c r="L83" s="96"/>
      <c r="M83" s="96"/>
      <c r="N83" s="96"/>
      <c r="O83" s="96"/>
      <c r="P83" s="96"/>
      <c r="Q83" s="97"/>
      <c r="R83" s="89"/>
      <c r="S83" s="90"/>
      <c r="T83" s="90"/>
      <c r="U83" s="91"/>
    </row>
    <row r="84" spans="1:21" ht="18" customHeight="1" x14ac:dyDescent="0.15">
      <c r="A84" s="3"/>
      <c r="B84" s="95"/>
      <c r="C84" s="96"/>
      <c r="D84" s="96"/>
      <c r="E84" s="96"/>
      <c r="F84" s="97"/>
      <c r="G84" s="89"/>
      <c r="H84" s="90"/>
      <c r="I84" s="90"/>
      <c r="J84" s="91"/>
      <c r="K84" s="95"/>
      <c r="L84" s="96"/>
      <c r="M84" s="96"/>
      <c r="N84" s="96"/>
      <c r="O84" s="96"/>
      <c r="P84" s="96"/>
      <c r="Q84" s="97"/>
      <c r="R84" s="89"/>
      <c r="S84" s="90"/>
      <c r="T84" s="90"/>
      <c r="U84" s="91"/>
    </row>
    <row r="85" spans="1:21" ht="18" customHeight="1" x14ac:dyDescent="0.15">
      <c r="A85" s="3"/>
      <c r="B85" s="95"/>
      <c r="C85" s="96"/>
      <c r="D85" s="96"/>
      <c r="E85" s="96"/>
      <c r="F85" s="97"/>
      <c r="G85" s="89"/>
      <c r="H85" s="90"/>
      <c r="I85" s="90"/>
      <c r="J85" s="91"/>
      <c r="K85" s="95"/>
      <c r="L85" s="96"/>
      <c r="M85" s="96"/>
      <c r="N85" s="96"/>
      <c r="O85" s="96"/>
      <c r="P85" s="96"/>
      <c r="Q85" s="97"/>
      <c r="R85" s="89"/>
      <c r="S85" s="90"/>
      <c r="T85" s="90"/>
      <c r="U85" s="91"/>
    </row>
    <row r="86" spans="1:21" ht="18" customHeight="1" x14ac:dyDescent="0.15">
      <c r="A86" s="3"/>
      <c r="B86" s="95"/>
      <c r="C86" s="96"/>
      <c r="D86" s="96"/>
      <c r="E86" s="96"/>
      <c r="F86" s="97"/>
      <c r="G86" s="89"/>
      <c r="H86" s="90"/>
      <c r="I86" s="90"/>
      <c r="J86" s="91"/>
      <c r="K86" s="95"/>
      <c r="L86" s="96"/>
      <c r="M86" s="96"/>
      <c r="N86" s="96"/>
      <c r="O86" s="96"/>
      <c r="P86" s="96"/>
      <c r="Q86" s="97"/>
      <c r="R86" s="89"/>
      <c r="S86" s="90"/>
      <c r="T86" s="90"/>
      <c r="U86" s="91"/>
    </row>
    <row r="87" spans="1:21" ht="18" customHeight="1" x14ac:dyDescent="0.15">
      <c r="A87" s="3"/>
      <c r="B87" s="98"/>
      <c r="C87" s="99"/>
      <c r="D87" s="99"/>
      <c r="E87" s="99"/>
      <c r="F87" s="100"/>
      <c r="G87" s="133"/>
      <c r="H87" s="134"/>
      <c r="I87" s="134"/>
      <c r="J87" s="135"/>
      <c r="K87" s="98"/>
      <c r="L87" s="99"/>
      <c r="M87" s="99"/>
      <c r="N87" s="99"/>
      <c r="O87" s="99"/>
      <c r="P87" s="99"/>
      <c r="Q87" s="100"/>
      <c r="R87" s="133"/>
      <c r="S87" s="134"/>
      <c r="T87" s="134"/>
      <c r="U87" s="135"/>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36" t="s">
        <v>52</v>
      </c>
      <c r="C90" s="137"/>
      <c r="D90" s="92" t="s">
        <v>53</v>
      </c>
      <c r="E90" s="93"/>
      <c r="F90" s="93"/>
      <c r="G90" s="93"/>
      <c r="H90" s="93"/>
      <c r="I90" s="93"/>
      <c r="J90" s="93"/>
      <c r="K90" s="93"/>
      <c r="L90" s="93"/>
      <c r="M90" s="93"/>
      <c r="N90" s="93"/>
      <c r="O90" s="93"/>
      <c r="P90" s="93"/>
      <c r="Q90" s="93"/>
      <c r="R90" s="93"/>
      <c r="S90" s="93"/>
      <c r="T90" s="93"/>
      <c r="U90" s="94"/>
    </row>
    <row r="91" spans="1:21" ht="97.5" customHeight="1" x14ac:dyDescent="0.15">
      <c r="B91" s="113" t="s">
        <v>59</v>
      </c>
      <c r="C91" s="23" t="s">
        <v>54</v>
      </c>
      <c r="D91" s="149" t="s">
        <v>194</v>
      </c>
      <c r="E91" s="150"/>
      <c r="F91" s="150"/>
      <c r="G91" s="150"/>
      <c r="H91" s="150"/>
      <c r="I91" s="150"/>
      <c r="J91" s="150"/>
      <c r="K91" s="150"/>
      <c r="L91" s="150"/>
      <c r="M91" s="150"/>
      <c r="N91" s="150"/>
      <c r="O91" s="150"/>
      <c r="P91" s="150"/>
      <c r="Q91" s="150"/>
      <c r="R91" s="150"/>
      <c r="S91" s="150"/>
      <c r="T91" s="150"/>
      <c r="U91" s="151"/>
    </row>
    <row r="92" spans="1:21" ht="97.5" customHeight="1" x14ac:dyDescent="0.15">
      <c r="B92" s="118"/>
      <c r="C92" s="24" t="s">
        <v>74</v>
      </c>
      <c r="D92" s="146" t="s">
        <v>209</v>
      </c>
      <c r="E92" s="147"/>
      <c r="F92" s="147"/>
      <c r="G92" s="147"/>
      <c r="H92" s="147"/>
      <c r="I92" s="147"/>
      <c r="J92" s="147"/>
      <c r="K92" s="147"/>
      <c r="L92" s="147"/>
      <c r="M92" s="147"/>
      <c r="N92" s="147"/>
      <c r="O92" s="147"/>
      <c r="P92" s="147"/>
      <c r="Q92" s="147"/>
      <c r="R92" s="147"/>
      <c r="S92" s="147"/>
      <c r="T92" s="147"/>
      <c r="U92" s="148"/>
    </row>
    <row r="93" spans="1:21" ht="97.5" customHeight="1" x14ac:dyDescent="0.15">
      <c r="B93" s="113" t="s">
        <v>60</v>
      </c>
      <c r="C93" s="25" t="s">
        <v>68</v>
      </c>
      <c r="D93" s="149" t="s">
        <v>195</v>
      </c>
      <c r="E93" s="150"/>
      <c r="F93" s="150"/>
      <c r="G93" s="150"/>
      <c r="H93" s="150"/>
      <c r="I93" s="150"/>
      <c r="J93" s="150"/>
      <c r="K93" s="150"/>
      <c r="L93" s="150"/>
      <c r="M93" s="150"/>
      <c r="N93" s="150"/>
      <c r="O93" s="150"/>
      <c r="P93" s="150"/>
      <c r="Q93" s="150"/>
      <c r="R93" s="150"/>
      <c r="S93" s="150"/>
      <c r="T93" s="150"/>
      <c r="U93" s="151"/>
    </row>
    <row r="94" spans="1:21" ht="97.5" customHeight="1" x14ac:dyDescent="0.15">
      <c r="B94" s="114"/>
      <c r="C94" s="26" t="s">
        <v>69</v>
      </c>
      <c r="D94" s="146" t="s">
        <v>196</v>
      </c>
      <c r="E94" s="147"/>
      <c r="F94" s="147"/>
      <c r="G94" s="147"/>
      <c r="H94" s="147"/>
      <c r="I94" s="147"/>
      <c r="J94" s="147"/>
      <c r="K94" s="147"/>
      <c r="L94" s="147"/>
      <c r="M94" s="147"/>
      <c r="N94" s="147"/>
      <c r="O94" s="147"/>
      <c r="P94" s="147"/>
      <c r="Q94" s="147"/>
      <c r="R94" s="147"/>
      <c r="S94" s="147"/>
      <c r="T94" s="147"/>
      <c r="U94" s="148"/>
    </row>
    <row r="95" spans="1:21" ht="97.5" customHeight="1" x14ac:dyDescent="0.15">
      <c r="B95" s="113" t="s">
        <v>61</v>
      </c>
      <c r="C95" s="25" t="s">
        <v>70</v>
      </c>
      <c r="D95" s="149" t="s">
        <v>197</v>
      </c>
      <c r="E95" s="150"/>
      <c r="F95" s="150"/>
      <c r="G95" s="150"/>
      <c r="H95" s="150"/>
      <c r="I95" s="150"/>
      <c r="J95" s="150"/>
      <c r="K95" s="150"/>
      <c r="L95" s="150"/>
      <c r="M95" s="150"/>
      <c r="N95" s="150"/>
      <c r="O95" s="150"/>
      <c r="P95" s="150"/>
      <c r="Q95" s="150"/>
      <c r="R95" s="150"/>
      <c r="S95" s="150"/>
      <c r="T95" s="150"/>
      <c r="U95" s="151"/>
    </row>
    <row r="96" spans="1:21" ht="97.5" customHeight="1" x14ac:dyDescent="0.15">
      <c r="B96" s="114"/>
      <c r="C96" s="27" t="s">
        <v>71</v>
      </c>
      <c r="D96" s="146" t="s">
        <v>198</v>
      </c>
      <c r="E96" s="147"/>
      <c r="F96" s="147"/>
      <c r="G96" s="147"/>
      <c r="H96" s="147"/>
      <c r="I96" s="147"/>
      <c r="J96" s="147"/>
      <c r="K96" s="147"/>
      <c r="L96" s="147"/>
      <c r="M96" s="147"/>
      <c r="N96" s="147"/>
      <c r="O96" s="147"/>
      <c r="P96" s="147"/>
      <c r="Q96" s="147"/>
      <c r="R96" s="147"/>
      <c r="S96" s="147"/>
      <c r="T96" s="147"/>
      <c r="U96" s="148"/>
    </row>
    <row r="97" spans="1:33" ht="97.5" customHeight="1" x14ac:dyDescent="0.15">
      <c r="B97" s="113" t="s">
        <v>75</v>
      </c>
      <c r="C97" s="23" t="s">
        <v>56</v>
      </c>
      <c r="D97" s="149" t="s">
        <v>199</v>
      </c>
      <c r="E97" s="150"/>
      <c r="F97" s="150"/>
      <c r="G97" s="150"/>
      <c r="H97" s="150"/>
      <c r="I97" s="150"/>
      <c r="J97" s="150"/>
      <c r="K97" s="150"/>
      <c r="L97" s="150"/>
      <c r="M97" s="150"/>
      <c r="N97" s="150"/>
      <c r="O97" s="150"/>
      <c r="P97" s="150"/>
      <c r="Q97" s="150"/>
      <c r="R97" s="150"/>
      <c r="S97" s="150"/>
      <c r="T97" s="150"/>
      <c r="U97" s="151"/>
    </row>
    <row r="98" spans="1:33" ht="97.5" customHeight="1" x14ac:dyDescent="0.15">
      <c r="B98" s="114"/>
      <c r="C98" s="26" t="s">
        <v>58</v>
      </c>
      <c r="D98" s="146" t="s">
        <v>200</v>
      </c>
      <c r="E98" s="147"/>
      <c r="F98" s="147"/>
      <c r="G98" s="147"/>
      <c r="H98" s="147"/>
      <c r="I98" s="147"/>
      <c r="J98" s="147"/>
      <c r="K98" s="147"/>
      <c r="L98" s="147"/>
      <c r="M98" s="147"/>
      <c r="N98" s="147"/>
      <c r="O98" s="147"/>
      <c r="P98" s="147"/>
      <c r="Q98" s="147"/>
      <c r="R98" s="147"/>
      <c r="S98" s="147"/>
      <c r="T98" s="147"/>
      <c r="U98" s="148"/>
    </row>
    <row r="99" spans="1:33" ht="97.5" customHeight="1" x14ac:dyDescent="0.15">
      <c r="B99" s="113" t="s">
        <v>76</v>
      </c>
      <c r="C99" s="25" t="s">
        <v>55</v>
      </c>
      <c r="D99" s="149" t="s">
        <v>201</v>
      </c>
      <c r="E99" s="150"/>
      <c r="F99" s="150"/>
      <c r="G99" s="150"/>
      <c r="H99" s="150"/>
      <c r="I99" s="150"/>
      <c r="J99" s="150"/>
      <c r="K99" s="150"/>
      <c r="L99" s="150"/>
      <c r="M99" s="150"/>
      <c r="N99" s="150"/>
      <c r="O99" s="150"/>
      <c r="P99" s="150"/>
      <c r="Q99" s="150"/>
      <c r="R99" s="150"/>
      <c r="S99" s="150"/>
      <c r="T99" s="150"/>
      <c r="U99" s="151"/>
    </row>
    <row r="100" spans="1:33" ht="97.5" customHeight="1" x14ac:dyDescent="0.15">
      <c r="B100" s="118"/>
      <c r="C100" s="28" t="s">
        <v>72</v>
      </c>
      <c r="D100" s="152" t="s">
        <v>202</v>
      </c>
      <c r="E100" s="153"/>
      <c r="F100" s="153"/>
      <c r="G100" s="153"/>
      <c r="H100" s="153"/>
      <c r="I100" s="153"/>
      <c r="J100" s="153"/>
      <c r="K100" s="153"/>
      <c r="L100" s="153"/>
      <c r="M100" s="153"/>
      <c r="N100" s="153"/>
      <c r="O100" s="153"/>
      <c r="P100" s="153"/>
      <c r="Q100" s="153"/>
      <c r="R100" s="153"/>
      <c r="S100" s="153"/>
      <c r="T100" s="153"/>
      <c r="U100" s="154"/>
    </row>
    <row r="101" spans="1:33" ht="97.5" customHeight="1" x14ac:dyDescent="0.15">
      <c r="B101" s="114"/>
      <c r="C101" s="27" t="s">
        <v>73</v>
      </c>
      <c r="D101" s="146" t="s">
        <v>203</v>
      </c>
      <c r="E101" s="147"/>
      <c r="F101" s="147"/>
      <c r="G101" s="147"/>
      <c r="H101" s="147"/>
      <c r="I101" s="147"/>
      <c r="J101" s="147"/>
      <c r="K101" s="147"/>
      <c r="L101" s="147"/>
      <c r="M101" s="147"/>
      <c r="N101" s="147"/>
      <c r="O101" s="147"/>
      <c r="P101" s="147"/>
      <c r="Q101" s="147"/>
      <c r="R101" s="147"/>
      <c r="S101" s="147"/>
      <c r="T101" s="147"/>
      <c r="U101" s="148"/>
    </row>
    <row r="102" spans="1:33" ht="6" customHeight="1" x14ac:dyDescent="0.15"/>
    <row r="103" spans="1:33" ht="18.75" customHeight="1" x14ac:dyDescent="0.15">
      <c r="A103" s="1" t="s">
        <v>108</v>
      </c>
    </row>
    <row r="104" spans="1:33" ht="81.75" customHeight="1" x14ac:dyDescent="0.15">
      <c r="B104" s="130" t="s">
        <v>151</v>
      </c>
      <c r="C104" s="131"/>
      <c r="D104" s="131"/>
      <c r="E104" s="131"/>
      <c r="F104" s="131"/>
      <c r="G104" s="131"/>
      <c r="H104" s="131"/>
      <c r="I104" s="131"/>
      <c r="J104" s="131"/>
      <c r="K104" s="131"/>
      <c r="L104" s="131"/>
      <c r="M104" s="131"/>
      <c r="N104" s="131"/>
      <c r="O104" s="131"/>
      <c r="P104" s="131"/>
      <c r="Q104" s="131"/>
      <c r="R104" s="131"/>
      <c r="S104" s="131"/>
      <c r="T104" s="131"/>
      <c r="U104" s="132"/>
    </row>
    <row r="106" spans="1:33" ht="18.75" customHeight="1" x14ac:dyDescent="0.15">
      <c r="A106" s="74" t="s">
        <v>124</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15">
      <c r="A107" s="74" t="s">
        <v>126</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x14ac:dyDescent="0.15">
      <c r="A108" s="74"/>
      <c r="B108" s="145" t="s">
        <v>130</v>
      </c>
      <c r="C108" s="145"/>
      <c r="D108" s="145"/>
      <c r="E108" s="145"/>
      <c r="F108" s="145"/>
      <c r="G108" s="145"/>
      <c r="H108" s="145"/>
      <c r="I108" s="145"/>
      <c r="J108" s="145"/>
      <c r="K108" s="145"/>
      <c r="L108" s="145"/>
      <c r="M108" s="145"/>
      <c r="N108" s="145"/>
      <c r="O108" s="145"/>
      <c r="P108" s="145"/>
      <c r="Q108" s="145"/>
      <c r="R108" s="145"/>
      <c r="S108" s="145"/>
      <c r="T108" s="145"/>
      <c r="U108" s="145"/>
      <c r="V108" s="70"/>
      <c r="W108" s="70"/>
      <c r="X108" s="70"/>
      <c r="Y108" s="70"/>
      <c r="Z108" s="70"/>
      <c r="AA108" s="70"/>
      <c r="AB108" s="70"/>
      <c r="AC108" s="70"/>
      <c r="AD108" s="70"/>
      <c r="AE108" s="70"/>
      <c r="AF108" s="70"/>
      <c r="AG108" s="70"/>
    </row>
    <row r="109" spans="1:33" ht="37.15" customHeight="1" x14ac:dyDescent="0.15">
      <c r="A109" s="74"/>
      <c r="B109" s="145"/>
      <c r="C109" s="145"/>
      <c r="D109" s="145"/>
      <c r="E109" s="145"/>
      <c r="F109" s="145"/>
      <c r="G109" s="145"/>
      <c r="H109" s="145"/>
      <c r="I109" s="145"/>
      <c r="J109" s="145"/>
      <c r="K109" s="145"/>
      <c r="L109" s="145"/>
      <c r="M109" s="145"/>
      <c r="N109" s="145"/>
      <c r="O109" s="145"/>
      <c r="P109" s="145"/>
      <c r="Q109" s="145"/>
      <c r="R109" s="145"/>
      <c r="S109" s="145"/>
      <c r="T109" s="145"/>
      <c r="U109" s="145"/>
      <c r="V109" s="70"/>
      <c r="W109" s="70"/>
      <c r="X109" s="70"/>
      <c r="Y109" s="70"/>
      <c r="Z109" s="70"/>
      <c r="AA109" s="70"/>
      <c r="AB109" s="70"/>
      <c r="AC109" s="70"/>
      <c r="AD109" s="70"/>
      <c r="AE109" s="70"/>
      <c r="AF109" s="70"/>
      <c r="AG109" s="70"/>
    </row>
    <row r="110" spans="1:33" ht="18.75" customHeight="1" x14ac:dyDescent="0.15">
      <c r="A110" s="74"/>
      <c r="B110" s="88" t="s">
        <v>125</v>
      </c>
      <c r="C110" s="88"/>
      <c r="D110" s="88"/>
      <c r="E110" s="88"/>
      <c r="F110" s="88"/>
      <c r="G110" s="88"/>
      <c r="H110" s="88"/>
      <c r="I110" s="88"/>
      <c r="J110" s="88"/>
      <c r="K110" s="88"/>
      <c r="L110" s="88"/>
      <c r="M110" s="88"/>
      <c r="N110" s="88"/>
      <c r="O110" s="88"/>
      <c r="P110" s="88"/>
      <c r="Q110" s="88"/>
      <c r="R110" s="88"/>
      <c r="S110" s="88"/>
      <c r="T110" s="88"/>
      <c r="U110" s="88"/>
      <c r="V110" s="70"/>
      <c r="W110" s="70"/>
      <c r="X110" s="70"/>
      <c r="Y110" s="70"/>
      <c r="Z110" s="70"/>
      <c r="AA110" s="70"/>
      <c r="AB110" s="70"/>
      <c r="AC110" s="70"/>
      <c r="AD110" s="70"/>
      <c r="AE110" s="70"/>
      <c r="AF110" s="70"/>
      <c r="AG110" s="70"/>
    </row>
    <row r="111" spans="1:33" ht="18.75" customHeight="1" x14ac:dyDescent="0.15">
      <c r="A111" s="74"/>
      <c r="B111" s="101" t="s">
        <v>53</v>
      </c>
      <c r="C111" s="101"/>
      <c r="D111" s="101"/>
      <c r="E111" s="101"/>
      <c r="F111" s="101"/>
      <c r="G111" s="101"/>
      <c r="H111" s="101"/>
      <c r="I111" s="101"/>
      <c r="J111" s="101"/>
      <c r="K111" s="101"/>
      <c r="L111" s="101"/>
      <c r="M111" s="101"/>
      <c r="N111" s="101"/>
      <c r="O111" s="101"/>
      <c r="P111" s="101"/>
      <c r="Q111" s="101"/>
      <c r="R111" s="101"/>
      <c r="S111" s="101"/>
      <c r="T111" s="101"/>
      <c r="U111" s="101"/>
      <c r="V111" s="69"/>
      <c r="W111" s="69"/>
      <c r="X111" s="69"/>
      <c r="Y111" s="69"/>
      <c r="Z111" s="69"/>
      <c r="AA111" s="69"/>
      <c r="AB111" s="69"/>
      <c r="AC111" s="69"/>
      <c r="AD111" s="69"/>
      <c r="AE111" s="69"/>
      <c r="AF111" s="69"/>
      <c r="AG111" s="69"/>
    </row>
    <row r="112" spans="1:33" ht="132" customHeight="1" x14ac:dyDescent="0.15">
      <c r="A112" s="74"/>
      <c r="B112" s="102"/>
      <c r="C112" s="102"/>
      <c r="D112" s="102"/>
      <c r="E112" s="102"/>
      <c r="F112" s="102"/>
      <c r="G112" s="102"/>
      <c r="H112" s="102"/>
      <c r="I112" s="102"/>
      <c r="J112" s="102"/>
      <c r="K112" s="102"/>
      <c r="L112" s="102"/>
      <c r="M112" s="102"/>
      <c r="N112" s="102"/>
      <c r="O112" s="102"/>
      <c r="P112" s="102"/>
      <c r="Q112" s="102"/>
      <c r="R112" s="102"/>
      <c r="S112" s="102"/>
      <c r="T112" s="102"/>
      <c r="U112" s="102"/>
      <c r="V112" s="71"/>
      <c r="W112" s="71"/>
      <c r="X112" s="71"/>
      <c r="Y112" s="71"/>
      <c r="Z112" s="71"/>
      <c r="AA112" s="71"/>
      <c r="AB112" s="71"/>
      <c r="AC112" s="71"/>
      <c r="AD112" s="71"/>
      <c r="AE112" s="71"/>
      <c r="AF112" s="71"/>
      <c r="AG112" s="71"/>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H27:J33 S27:U33 R71:U77 S38:U44 H49:J55 S49:U55 H38:J44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9243-84A1-4BC8-8A71-55595C26C8FA}">
  <sheetPr>
    <pageSetUpPr fitToPage="1"/>
  </sheetPr>
  <dimension ref="A1:AG114"/>
  <sheetViews>
    <sheetView showZeros="0" view="pageBreakPreview" topLeftCell="A16" zoomScaleNormal="100" zoomScaleSheetLayoutView="100" workbookViewId="0">
      <selection activeCell="Y16" sqref="Y16"/>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38" t="s">
        <v>160</v>
      </c>
      <c r="U1" s="138"/>
      <c r="V1" s="2" t="s">
        <v>99</v>
      </c>
    </row>
    <row r="2" spans="1:24" ht="18.75" customHeight="1" x14ac:dyDescent="0.15">
      <c r="A2" s="75"/>
      <c r="B2" s="76" t="s">
        <v>98</v>
      </c>
      <c r="C2" s="139" t="s">
        <v>136</v>
      </c>
      <c r="D2" s="140"/>
      <c r="E2" s="140"/>
      <c r="F2" s="140"/>
      <c r="G2" s="140"/>
      <c r="H2" s="140"/>
      <c r="I2" s="140"/>
      <c r="J2" s="141"/>
      <c r="K2" s="77"/>
      <c r="L2" s="78"/>
      <c r="M2" s="78"/>
      <c r="N2" s="78"/>
      <c r="O2" s="78"/>
      <c r="P2" s="78"/>
      <c r="Q2" s="78"/>
      <c r="R2" s="78"/>
      <c r="S2" s="78"/>
      <c r="T2" s="78"/>
      <c r="U2" s="78"/>
    </row>
    <row r="3" spans="1:24" ht="18.75" customHeight="1" x14ac:dyDescent="0.15">
      <c r="A3" s="75"/>
      <c r="B3" s="76" t="s">
        <v>93</v>
      </c>
      <c r="C3" s="142" t="s">
        <v>137</v>
      </c>
      <c r="D3" s="143"/>
      <c r="E3" s="143"/>
      <c r="F3" s="143"/>
      <c r="G3" s="143"/>
      <c r="H3" s="143"/>
      <c r="I3" s="143"/>
      <c r="J3" s="144"/>
      <c r="K3" s="77"/>
      <c r="L3" s="78"/>
      <c r="M3" s="78"/>
      <c r="N3" s="78"/>
      <c r="O3" s="78"/>
      <c r="P3" s="78"/>
      <c r="Q3" s="78"/>
      <c r="R3" s="78"/>
      <c r="S3" s="78"/>
      <c r="T3" s="78"/>
      <c r="U3" s="78"/>
    </row>
    <row r="4" spans="1:24" ht="15" customHeight="1" x14ac:dyDescent="0.15">
      <c r="A4" s="75"/>
      <c r="B4" s="75"/>
      <c r="C4" s="75"/>
      <c r="D4" s="75"/>
      <c r="E4" s="75"/>
      <c r="F4" s="75"/>
      <c r="G4" s="75"/>
      <c r="H4" s="75"/>
      <c r="I4" s="75"/>
      <c r="J4" s="75"/>
      <c r="K4" s="75"/>
      <c r="L4" s="77"/>
      <c r="M4" s="79"/>
      <c r="N4" s="79"/>
      <c r="O4" s="79"/>
      <c r="P4" s="79"/>
      <c r="Q4" s="79"/>
      <c r="R4" s="79"/>
      <c r="S4" s="79"/>
      <c r="T4" s="79"/>
      <c r="U4" s="79"/>
    </row>
    <row r="5" spans="1:24" ht="18" customHeight="1" x14ac:dyDescent="0.15">
      <c r="A5" s="119" t="s">
        <v>37</v>
      </c>
      <c r="B5" s="119"/>
      <c r="C5" s="119"/>
      <c r="D5" s="119"/>
      <c r="E5" s="119"/>
      <c r="F5" s="119"/>
      <c r="G5" s="119"/>
      <c r="H5" s="119"/>
      <c r="I5" s="119"/>
      <c r="J5" s="119"/>
      <c r="K5" s="119"/>
      <c r="L5" s="119"/>
      <c r="M5" s="119"/>
      <c r="N5" s="119"/>
      <c r="O5" s="119"/>
      <c r="P5" s="119"/>
      <c r="Q5" s="119"/>
      <c r="R5" s="119"/>
      <c r="S5" s="119"/>
      <c r="T5" s="119"/>
      <c r="U5" s="119"/>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131</v>
      </c>
      <c r="B7" s="80"/>
      <c r="C7" s="80"/>
      <c r="D7" s="80"/>
      <c r="E7" s="80"/>
      <c r="F7" s="74"/>
      <c r="G7" s="74"/>
      <c r="H7" s="74"/>
      <c r="I7" s="74"/>
      <c r="J7" s="74"/>
      <c r="K7" s="74"/>
      <c r="L7" s="158" t="s">
        <v>129</v>
      </c>
      <c r="M7" s="159"/>
      <c r="N7" s="159"/>
      <c r="O7" s="159"/>
      <c r="P7" s="159"/>
      <c r="Q7" s="159"/>
      <c r="R7" s="159"/>
      <c r="S7" s="159"/>
      <c r="T7" s="159"/>
      <c r="U7" s="160"/>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132</v>
      </c>
      <c r="B9" s="75"/>
      <c r="C9" s="80"/>
      <c r="D9" s="80"/>
      <c r="E9" s="75"/>
      <c r="F9" s="75"/>
      <c r="G9" s="75"/>
      <c r="H9" s="75"/>
      <c r="I9" s="75"/>
      <c r="J9" s="75"/>
      <c r="K9" s="77"/>
      <c r="L9" s="74"/>
      <c r="M9" s="74"/>
      <c r="N9" s="74"/>
      <c r="O9" s="74"/>
      <c r="P9" s="74"/>
      <c r="Q9" s="74"/>
      <c r="R9" s="74"/>
      <c r="S9" s="74"/>
      <c r="T9" s="74"/>
      <c r="U9" s="74"/>
    </row>
    <row r="10" spans="1:24" ht="6" customHeight="1" x14ac:dyDescent="0.15">
      <c r="A10" s="75"/>
      <c r="B10" s="80"/>
      <c r="C10" s="80"/>
      <c r="D10" s="80"/>
      <c r="E10" s="80"/>
      <c r="F10" s="80"/>
      <c r="G10" s="80"/>
      <c r="H10" s="80"/>
      <c r="I10" s="80"/>
      <c r="J10" s="80"/>
      <c r="K10" s="80"/>
      <c r="L10" s="81"/>
      <c r="M10" s="80"/>
      <c r="N10" s="80"/>
      <c r="O10" s="80"/>
      <c r="P10" s="80"/>
      <c r="Q10" s="80"/>
      <c r="R10" s="80"/>
      <c r="S10" s="80"/>
      <c r="T10" s="80"/>
      <c r="U10" s="80"/>
    </row>
    <row r="11" spans="1:24" ht="18" customHeight="1" x14ac:dyDescent="0.15">
      <c r="A11" s="75"/>
      <c r="B11" s="161" t="s">
        <v>143</v>
      </c>
      <c r="C11" s="162"/>
      <c r="D11" s="162"/>
      <c r="E11" s="162"/>
      <c r="F11" s="162"/>
      <c r="G11" s="162"/>
      <c r="H11" s="162"/>
      <c r="I11" s="162"/>
      <c r="J11" s="162"/>
      <c r="K11" s="162"/>
      <c r="L11" s="162"/>
      <c r="M11" s="162"/>
      <c r="N11" s="162"/>
      <c r="O11" s="162"/>
      <c r="P11" s="162"/>
      <c r="Q11" s="162"/>
      <c r="R11" s="162"/>
      <c r="S11" s="162"/>
      <c r="T11" s="162"/>
      <c r="U11" s="163"/>
    </row>
    <row r="12" spans="1:24" ht="18" customHeight="1" x14ac:dyDescent="0.15">
      <c r="A12" s="75"/>
      <c r="B12" s="164"/>
      <c r="C12" s="165"/>
      <c r="D12" s="165"/>
      <c r="E12" s="165"/>
      <c r="F12" s="165"/>
      <c r="G12" s="165"/>
      <c r="H12" s="165"/>
      <c r="I12" s="165"/>
      <c r="J12" s="165"/>
      <c r="K12" s="165"/>
      <c r="L12" s="165"/>
      <c r="M12" s="165"/>
      <c r="N12" s="165"/>
      <c r="O12" s="165"/>
      <c r="P12" s="165"/>
      <c r="Q12" s="165"/>
      <c r="R12" s="165"/>
      <c r="S12" s="165"/>
      <c r="T12" s="165"/>
      <c r="U12" s="166"/>
    </row>
    <row r="13" spans="1:24" ht="6" customHeight="1" x14ac:dyDescent="0.15">
      <c r="A13" s="75"/>
      <c r="B13" s="80"/>
      <c r="C13" s="80"/>
      <c r="D13" s="80"/>
      <c r="E13" s="80"/>
      <c r="F13" s="80"/>
      <c r="G13" s="80"/>
      <c r="H13" s="80"/>
      <c r="I13" s="80"/>
      <c r="J13" s="80"/>
      <c r="K13" s="80"/>
      <c r="L13" s="81"/>
      <c r="M13" s="80"/>
      <c r="N13" s="80"/>
      <c r="O13" s="80"/>
      <c r="P13" s="80"/>
      <c r="Q13" s="80"/>
      <c r="R13" s="80"/>
      <c r="S13" s="80"/>
      <c r="T13" s="80"/>
      <c r="U13" s="80"/>
    </row>
    <row r="14" spans="1:24" ht="18" customHeight="1" x14ac:dyDescent="0.15">
      <c r="A14" s="75" t="s">
        <v>100</v>
      </c>
      <c r="B14" s="80"/>
      <c r="C14" s="80"/>
      <c r="D14" s="80"/>
      <c r="E14" s="77"/>
      <c r="F14" s="77"/>
      <c r="G14" s="77"/>
      <c r="H14" s="77"/>
      <c r="I14" s="77"/>
      <c r="J14" s="77"/>
      <c r="K14" s="77"/>
      <c r="L14" s="82"/>
      <c r="M14" s="82"/>
      <c r="N14" s="82"/>
      <c r="O14" s="82"/>
      <c r="P14" s="82"/>
      <c r="Q14" s="82"/>
      <c r="R14" s="82"/>
      <c r="S14" s="82"/>
      <c r="T14" s="82"/>
      <c r="U14" s="82"/>
    </row>
    <row r="15" spans="1:24" ht="18" customHeight="1" x14ac:dyDescent="0.15">
      <c r="A15" s="75"/>
      <c r="B15" s="167" t="s">
        <v>219</v>
      </c>
      <c r="C15" s="168"/>
      <c r="D15" s="168"/>
      <c r="E15" s="168"/>
      <c r="F15" s="168"/>
      <c r="G15" s="168"/>
      <c r="H15" s="168"/>
      <c r="I15" s="168"/>
      <c r="J15" s="168"/>
      <c r="K15" s="168"/>
      <c r="L15" s="168"/>
      <c r="M15" s="168"/>
      <c r="N15" s="168"/>
      <c r="O15" s="168"/>
      <c r="P15" s="168"/>
      <c r="Q15" s="168"/>
      <c r="R15" s="168"/>
      <c r="S15" s="168"/>
      <c r="T15" s="168"/>
      <c r="U15" s="169"/>
      <c r="X15" s="1" t="s">
        <v>94</v>
      </c>
    </row>
    <row r="16" spans="1:24" ht="18" customHeight="1" x14ac:dyDescent="0.15">
      <c r="A16" s="75"/>
      <c r="B16" s="170"/>
      <c r="C16" s="171"/>
      <c r="D16" s="171"/>
      <c r="E16" s="171"/>
      <c r="F16" s="171"/>
      <c r="G16" s="171"/>
      <c r="H16" s="171"/>
      <c r="I16" s="171"/>
      <c r="J16" s="171"/>
      <c r="K16" s="171"/>
      <c r="L16" s="171"/>
      <c r="M16" s="171"/>
      <c r="N16" s="171"/>
      <c r="O16" s="171"/>
      <c r="P16" s="171"/>
      <c r="Q16" s="171"/>
      <c r="R16" s="171"/>
      <c r="S16" s="171"/>
      <c r="T16" s="171"/>
      <c r="U16" s="172"/>
      <c r="X16" s="1" t="s">
        <v>114</v>
      </c>
    </row>
    <row r="17" spans="1:24" ht="18" customHeight="1" x14ac:dyDescent="0.15">
      <c r="A17" s="75"/>
      <c r="B17" s="170"/>
      <c r="C17" s="171"/>
      <c r="D17" s="171"/>
      <c r="E17" s="171"/>
      <c r="F17" s="171"/>
      <c r="G17" s="171"/>
      <c r="H17" s="171"/>
      <c r="I17" s="171"/>
      <c r="J17" s="171"/>
      <c r="K17" s="171"/>
      <c r="L17" s="171"/>
      <c r="M17" s="171"/>
      <c r="N17" s="171"/>
      <c r="O17" s="171"/>
      <c r="P17" s="171"/>
      <c r="Q17" s="171"/>
      <c r="R17" s="171"/>
      <c r="S17" s="171"/>
      <c r="T17" s="171"/>
      <c r="U17" s="172"/>
      <c r="X17" s="1" t="s">
        <v>115</v>
      </c>
    </row>
    <row r="18" spans="1:24" ht="18" customHeight="1" x14ac:dyDescent="0.15">
      <c r="A18" s="75"/>
      <c r="B18" s="170"/>
      <c r="C18" s="171"/>
      <c r="D18" s="171"/>
      <c r="E18" s="171"/>
      <c r="F18" s="171"/>
      <c r="G18" s="171"/>
      <c r="H18" s="171"/>
      <c r="I18" s="171"/>
      <c r="J18" s="171"/>
      <c r="K18" s="171"/>
      <c r="L18" s="171"/>
      <c r="M18" s="171"/>
      <c r="N18" s="171"/>
      <c r="O18" s="171"/>
      <c r="P18" s="171"/>
      <c r="Q18" s="171"/>
      <c r="R18" s="171"/>
      <c r="S18" s="171"/>
      <c r="T18" s="171"/>
      <c r="U18" s="172"/>
      <c r="X18" s="1" t="s">
        <v>116</v>
      </c>
    </row>
    <row r="19" spans="1:24" ht="18" customHeight="1" x14ac:dyDescent="0.15">
      <c r="A19" s="75"/>
      <c r="B19" s="170"/>
      <c r="C19" s="171"/>
      <c r="D19" s="171"/>
      <c r="E19" s="171"/>
      <c r="F19" s="171"/>
      <c r="G19" s="171"/>
      <c r="H19" s="171"/>
      <c r="I19" s="171"/>
      <c r="J19" s="171"/>
      <c r="K19" s="171"/>
      <c r="L19" s="171"/>
      <c r="M19" s="171"/>
      <c r="N19" s="171"/>
      <c r="O19" s="171"/>
      <c r="P19" s="171"/>
      <c r="Q19" s="171"/>
      <c r="R19" s="171"/>
      <c r="S19" s="171"/>
      <c r="T19" s="171"/>
      <c r="U19" s="172"/>
    </row>
    <row r="20" spans="1:24" ht="18" customHeight="1" x14ac:dyDescent="0.15">
      <c r="A20" s="75"/>
      <c r="B20" s="173"/>
      <c r="C20" s="174"/>
      <c r="D20" s="174"/>
      <c r="E20" s="174"/>
      <c r="F20" s="174"/>
      <c r="G20" s="174"/>
      <c r="H20" s="174"/>
      <c r="I20" s="174"/>
      <c r="J20" s="174"/>
      <c r="K20" s="174"/>
      <c r="L20" s="174"/>
      <c r="M20" s="174"/>
      <c r="N20" s="174"/>
      <c r="O20" s="174"/>
      <c r="P20" s="174"/>
      <c r="Q20" s="174"/>
      <c r="R20" s="174"/>
      <c r="S20" s="174"/>
      <c r="T20" s="174"/>
      <c r="U20" s="175"/>
    </row>
    <row r="21" spans="1:24" ht="7.5" customHeight="1" x14ac:dyDescent="0.15">
      <c r="A21" s="75"/>
      <c r="B21" s="80"/>
      <c r="C21" s="80"/>
      <c r="D21" s="80"/>
      <c r="E21" s="80"/>
      <c r="F21" s="80"/>
      <c r="G21" s="80"/>
      <c r="H21" s="80"/>
      <c r="I21" s="80"/>
      <c r="J21" s="80"/>
      <c r="K21" s="80"/>
      <c r="L21" s="80"/>
      <c r="M21" s="80"/>
      <c r="N21" s="80"/>
      <c r="O21" s="80"/>
      <c r="P21" s="80"/>
      <c r="Q21" s="80"/>
      <c r="R21" s="80"/>
      <c r="S21" s="80"/>
      <c r="T21" s="80"/>
      <c r="U21" s="80"/>
    </row>
    <row r="22" spans="1:24" ht="19.899999999999999" customHeight="1" x14ac:dyDescent="0.15">
      <c r="A22" s="75"/>
      <c r="B22" s="75" t="s">
        <v>133</v>
      </c>
      <c r="C22" s="75"/>
      <c r="D22" s="75"/>
      <c r="E22" s="83">
        <v>3</v>
      </c>
      <c r="F22" s="75" t="s">
        <v>112</v>
      </c>
      <c r="G22" s="75"/>
      <c r="H22" s="86">
        <v>6</v>
      </c>
      <c r="I22" s="80" t="s">
        <v>113</v>
      </c>
      <c r="J22" s="80"/>
      <c r="K22" s="77"/>
      <c r="L22" s="75"/>
      <c r="M22" s="77" t="s">
        <v>109</v>
      </c>
      <c r="N22" s="155" t="s">
        <v>116</v>
      </c>
      <c r="O22" s="156"/>
      <c r="P22" s="156"/>
      <c r="Q22" s="156"/>
      <c r="R22" s="156"/>
      <c r="S22" s="156"/>
      <c r="T22" s="156"/>
      <c r="U22" s="157"/>
    </row>
    <row r="23" spans="1:24" ht="7.5" customHeight="1" x14ac:dyDescent="0.15">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29" t="s">
        <v>101</v>
      </c>
      <c r="B24" s="129"/>
      <c r="C24" s="129"/>
      <c r="D24" s="129"/>
      <c r="E24" s="129"/>
      <c r="F24" s="129"/>
      <c r="G24" s="129"/>
      <c r="H24" s="129"/>
      <c r="I24" s="129"/>
      <c r="J24" s="129"/>
      <c r="K24" s="129"/>
      <c r="L24" s="129"/>
      <c r="M24" s="129"/>
      <c r="N24" s="129"/>
      <c r="O24" s="129"/>
      <c r="P24" s="129"/>
      <c r="Q24" s="129"/>
      <c r="R24" s="129"/>
      <c r="S24" s="129"/>
      <c r="T24" s="129"/>
      <c r="U24" s="129"/>
    </row>
    <row r="25" spans="1:24" ht="18" customHeight="1" x14ac:dyDescent="0.15">
      <c r="A25" s="129"/>
      <c r="B25" s="129"/>
      <c r="C25" s="129"/>
      <c r="D25" s="129"/>
      <c r="E25" s="129"/>
      <c r="F25" s="129"/>
      <c r="G25" s="129"/>
      <c r="H25" s="129"/>
      <c r="I25" s="129"/>
      <c r="J25" s="129"/>
      <c r="K25" s="129"/>
      <c r="L25" s="129"/>
      <c r="M25" s="129"/>
      <c r="N25" s="129"/>
      <c r="O25" s="129"/>
      <c r="P25" s="129"/>
      <c r="Q25" s="129"/>
      <c r="R25" s="129"/>
      <c r="S25" s="129"/>
      <c r="T25" s="129"/>
      <c r="U25" s="129"/>
    </row>
    <row r="26" spans="1:24" ht="18" customHeight="1" x14ac:dyDescent="0.15">
      <c r="B26" s="92" t="s">
        <v>51</v>
      </c>
      <c r="C26" s="93"/>
      <c r="D26" s="93"/>
      <c r="E26" s="93"/>
      <c r="F26" s="94"/>
      <c r="G26" s="51" t="s">
        <v>77</v>
      </c>
      <c r="H26" s="50" t="s">
        <v>80</v>
      </c>
      <c r="I26" s="17" t="s">
        <v>54</v>
      </c>
      <c r="J26" s="17" t="s">
        <v>57</v>
      </c>
      <c r="K26" s="92" t="s">
        <v>51</v>
      </c>
      <c r="L26" s="93"/>
      <c r="M26" s="93"/>
      <c r="N26" s="93"/>
      <c r="O26" s="93"/>
      <c r="P26" s="93"/>
      <c r="Q26" s="94"/>
      <c r="R26" s="51" t="s">
        <v>77</v>
      </c>
      <c r="S26" s="50" t="s">
        <v>80</v>
      </c>
      <c r="T26" s="17" t="s">
        <v>54</v>
      </c>
      <c r="U26" s="17" t="s">
        <v>57</v>
      </c>
    </row>
    <row r="27" spans="1:24" ht="18" customHeight="1" x14ac:dyDescent="0.15">
      <c r="B27" s="103" t="s">
        <v>163</v>
      </c>
      <c r="C27" s="104"/>
      <c r="D27" s="104"/>
      <c r="E27" s="104"/>
      <c r="F27" s="105"/>
      <c r="G27" s="18">
        <v>2</v>
      </c>
      <c r="H27" s="18" t="s">
        <v>139</v>
      </c>
      <c r="I27" s="18" t="s">
        <v>139</v>
      </c>
      <c r="J27" s="18" t="s">
        <v>139</v>
      </c>
      <c r="K27" s="103"/>
      <c r="L27" s="104"/>
      <c r="M27" s="104"/>
      <c r="N27" s="104"/>
      <c r="O27" s="104"/>
      <c r="P27" s="104"/>
      <c r="Q27" s="105"/>
      <c r="R27" s="18"/>
      <c r="S27" s="18"/>
      <c r="T27" s="18"/>
      <c r="U27" s="18"/>
    </row>
    <row r="28" spans="1:24" ht="18" customHeight="1" x14ac:dyDescent="0.15">
      <c r="B28" s="95" t="s">
        <v>182</v>
      </c>
      <c r="C28" s="96"/>
      <c r="D28" s="96"/>
      <c r="E28" s="96"/>
      <c r="F28" s="97"/>
      <c r="G28" s="19">
        <v>2</v>
      </c>
      <c r="H28" s="19" t="s">
        <v>139</v>
      </c>
      <c r="I28" s="19" t="s">
        <v>139</v>
      </c>
      <c r="J28" s="19" t="s">
        <v>139</v>
      </c>
      <c r="K28" s="95"/>
      <c r="L28" s="96"/>
      <c r="M28" s="96"/>
      <c r="N28" s="96"/>
      <c r="O28" s="96"/>
      <c r="P28" s="96"/>
      <c r="Q28" s="97"/>
      <c r="R28" s="19"/>
      <c r="S28" s="19"/>
      <c r="T28" s="19"/>
      <c r="U28" s="19"/>
    </row>
    <row r="29" spans="1:24" ht="18" customHeight="1" x14ac:dyDescent="0.15">
      <c r="B29" s="95"/>
      <c r="C29" s="96"/>
      <c r="D29" s="96"/>
      <c r="E29" s="96"/>
      <c r="F29" s="97"/>
      <c r="G29" s="19"/>
      <c r="H29" s="19"/>
      <c r="I29" s="19"/>
      <c r="J29" s="19"/>
      <c r="K29" s="95"/>
      <c r="L29" s="96"/>
      <c r="M29" s="96"/>
      <c r="N29" s="96"/>
      <c r="O29" s="96"/>
      <c r="P29" s="96"/>
      <c r="Q29" s="97"/>
      <c r="R29" s="19"/>
      <c r="S29" s="19"/>
      <c r="T29" s="19"/>
      <c r="U29" s="19"/>
    </row>
    <row r="30" spans="1:24" ht="18" customHeight="1" x14ac:dyDescent="0.15">
      <c r="B30" s="95"/>
      <c r="C30" s="96"/>
      <c r="D30" s="96"/>
      <c r="E30" s="96"/>
      <c r="F30" s="97"/>
      <c r="G30" s="19"/>
      <c r="H30" s="19"/>
      <c r="I30" s="19"/>
      <c r="J30" s="19"/>
      <c r="K30" s="95"/>
      <c r="L30" s="96"/>
      <c r="M30" s="96"/>
      <c r="N30" s="96"/>
      <c r="O30" s="96"/>
      <c r="P30" s="96"/>
      <c r="Q30" s="97"/>
      <c r="R30" s="19"/>
      <c r="S30" s="19"/>
      <c r="T30" s="19"/>
      <c r="U30" s="19"/>
    </row>
    <row r="31" spans="1:24" ht="18" customHeight="1" x14ac:dyDescent="0.15">
      <c r="B31" s="95"/>
      <c r="C31" s="96"/>
      <c r="D31" s="96"/>
      <c r="E31" s="96"/>
      <c r="F31" s="97"/>
      <c r="G31" s="19"/>
      <c r="H31" s="19"/>
      <c r="I31" s="19"/>
      <c r="J31" s="19"/>
      <c r="K31" s="95"/>
      <c r="L31" s="96"/>
      <c r="M31" s="96"/>
      <c r="N31" s="96"/>
      <c r="O31" s="96"/>
      <c r="P31" s="96"/>
      <c r="Q31" s="97"/>
      <c r="R31" s="19"/>
      <c r="S31" s="19"/>
      <c r="T31" s="19"/>
      <c r="U31" s="19"/>
    </row>
    <row r="32" spans="1:24" ht="18" customHeight="1" x14ac:dyDescent="0.15">
      <c r="A32" s="3"/>
      <c r="B32" s="95"/>
      <c r="C32" s="96"/>
      <c r="D32" s="96"/>
      <c r="E32" s="96"/>
      <c r="F32" s="97"/>
      <c r="G32" s="19"/>
      <c r="H32" s="19"/>
      <c r="I32" s="19"/>
      <c r="J32" s="19"/>
      <c r="K32" s="95"/>
      <c r="L32" s="96"/>
      <c r="M32" s="96"/>
      <c r="N32" s="96"/>
      <c r="O32" s="96"/>
      <c r="P32" s="96"/>
      <c r="Q32" s="97"/>
      <c r="R32" s="19"/>
      <c r="S32" s="19"/>
      <c r="T32" s="19"/>
      <c r="U32" s="19"/>
    </row>
    <row r="33" spans="1:21" ht="18" customHeight="1" x14ac:dyDescent="0.15">
      <c r="A33" s="3"/>
      <c r="B33" s="98"/>
      <c r="C33" s="99"/>
      <c r="D33" s="99"/>
      <c r="E33" s="99"/>
      <c r="F33" s="100"/>
      <c r="G33" s="20"/>
      <c r="H33" s="20"/>
      <c r="I33" s="21"/>
      <c r="J33" s="21"/>
      <c r="K33" s="98"/>
      <c r="L33" s="99"/>
      <c r="M33" s="99"/>
      <c r="N33" s="99"/>
      <c r="O33" s="99"/>
      <c r="P33" s="99"/>
      <c r="Q33" s="100"/>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9" t="s">
        <v>102</v>
      </c>
      <c r="B35" s="109"/>
      <c r="C35" s="109"/>
      <c r="D35" s="109"/>
      <c r="E35" s="109"/>
      <c r="F35" s="109"/>
      <c r="G35" s="109"/>
      <c r="H35" s="109"/>
      <c r="I35" s="109"/>
      <c r="J35" s="109"/>
      <c r="K35" s="109"/>
      <c r="L35" s="109"/>
      <c r="M35" s="109"/>
      <c r="N35" s="109"/>
      <c r="O35" s="109"/>
      <c r="P35" s="109"/>
      <c r="Q35" s="109"/>
      <c r="R35" s="109"/>
      <c r="S35" s="109"/>
      <c r="T35" s="109"/>
      <c r="U35" s="109"/>
    </row>
    <row r="36" spans="1:21" ht="18" customHeight="1" x14ac:dyDescent="0.15">
      <c r="A36" s="109"/>
      <c r="B36" s="109"/>
      <c r="C36" s="109"/>
      <c r="D36" s="109"/>
      <c r="E36" s="109"/>
      <c r="F36" s="109"/>
      <c r="G36" s="109"/>
      <c r="H36" s="109"/>
      <c r="I36" s="109"/>
      <c r="J36" s="109"/>
      <c r="K36" s="109"/>
      <c r="L36" s="109"/>
      <c r="M36" s="109"/>
      <c r="N36" s="109"/>
      <c r="O36" s="109"/>
      <c r="P36" s="109"/>
      <c r="Q36" s="109"/>
      <c r="R36" s="109"/>
      <c r="S36" s="109"/>
      <c r="T36" s="109"/>
      <c r="U36" s="109"/>
    </row>
    <row r="37" spans="1:21" ht="18" customHeight="1" x14ac:dyDescent="0.15">
      <c r="B37" s="92" t="s">
        <v>51</v>
      </c>
      <c r="C37" s="93"/>
      <c r="D37" s="93"/>
      <c r="E37" s="93"/>
      <c r="F37" s="94"/>
      <c r="G37" s="51" t="s">
        <v>77</v>
      </c>
      <c r="H37" s="50" t="s">
        <v>80</v>
      </c>
      <c r="I37" s="17" t="s">
        <v>68</v>
      </c>
      <c r="J37" s="17" t="s">
        <v>69</v>
      </c>
      <c r="K37" s="92" t="s">
        <v>51</v>
      </c>
      <c r="L37" s="93"/>
      <c r="M37" s="93"/>
      <c r="N37" s="93"/>
      <c r="O37" s="93"/>
      <c r="P37" s="93"/>
      <c r="Q37" s="94"/>
      <c r="R37" s="51" t="s">
        <v>77</v>
      </c>
      <c r="S37" s="50" t="s">
        <v>80</v>
      </c>
      <c r="T37" s="17" t="s">
        <v>68</v>
      </c>
      <c r="U37" s="17" t="s">
        <v>69</v>
      </c>
    </row>
    <row r="38" spans="1:21" ht="18" customHeight="1" x14ac:dyDescent="0.15">
      <c r="B38" s="103" t="s">
        <v>182</v>
      </c>
      <c r="C38" s="104"/>
      <c r="D38" s="104"/>
      <c r="E38" s="104"/>
      <c r="F38" s="105"/>
      <c r="G38" s="18">
        <v>2</v>
      </c>
      <c r="H38" s="18" t="s">
        <v>139</v>
      </c>
      <c r="I38" s="18" t="s">
        <v>139</v>
      </c>
      <c r="J38" s="18" t="s">
        <v>139</v>
      </c>
      <c r="K38" s="103"/>
      <c r="L38" s="104"/>
      <c r="M38" s="104"/>
      <c r="N38" s="104"/>
      <c r="O38" s="104"/>
      <c r="P38" s="104"/>
      <c r="Q38" s="105"/>
      <c r="R38" s="18"/>
      <c r="S38" s="18"/>
      <c r="T38" s="18"/>
      <c r="U38" s="18"/>
    </row>
    <row r="39" spans="1:21" ht="18" customHeight="1" x14ac:dyDescent="0.15">
      <c r="B39" s="95"/>
      <c r="C39" s="96"/>
      <c r="D39" s="96"/>
      <c r="E39" s="96"/>
      <c r="F39" s="97"/>
      <c r="G39" s="19"/>
      <c r="H39" s="19"/>
      <c r="I39" s="19"/>
      <c r="J39" s="19"/>
      <c r="K39" s="95"/>
      <c r="L39" s="96"/>
      <c r="M39" s="96"/>
      <c r="N39" s="96"/>
      <c r="O39" s="96"/>
      <c r="P39" s="96"/>
      <c r="Q39" s="97"/>
      <c r="R39" s="19"/>
      <c r="S39" s="19"/>
      <c r="T39" s="19"/>
      <c r="U39" s="19"/>
    </row>
    <row r="40" spans="1:21" ht="18" customHeight="1" x14ac:dyDescent="0.15">
      <c r="B40" s="95"/>
      <c r="C40" s="96"/>
      <c r="D40" s="96"/>
      <c r="E40" s="96"/>
      <c r="F40" s="97"/>
      <c r="G40" s="19"/>
      <c r="H40" s="19"/>
      <c r="I40" s="19"/>
      <c r="J40" s="19"/>
      <c r="K40" s="95"/>
      <c r="L40" s="96"/>
      <c r="M40" s="96"/>
      <c r="N40" s="96"/>
      <c r="O40" s="96"/>
      <c r="P40" s="96"/>
      <c r="Q40" s="97"/>
      <c r="R40" s="19"/>
      <c r="S40" s="19"/>
      <c r="T40" s="19"/>
      <c r="U40" s="19"/>
    </row>
    <row r="41" spans="1:21" ht="18" customHeight="1" x14ac:dyDescent="0.15">
      <c r="B41" s="95"/>
      <c r="C41" s="96"/>
      <c r="D41" s="96"/>
      <c r="E41" s="96"/>
      <c r="F41" s="97"/>
      <c r="G41" s="19"/>
      <c r="H41" s="19"/>
      <c r="I41" s="19"/>
      <c r="J41" s="19"/>
      <c r="K41" s="95"/>
      <c r="L41" s="96"/>
      <c r="M41" s="96"/>
      <c r="N41" s="96"/>
      <c r="O41" s="96"/>
      <c r="P41" s="96"/>
      <c r="Q41" s="97"/>
      <c r="R41" s="19"/>
      <c r="S41" s="19"/>
      <c r="T41" s="19"/>
      <c r="U41" s="19"/>
    </row>
    <row r="42" spans="1:21" ht="18" customHeight="1" x14ac:dyDescent="0.15">
      <c r="B42" s="95"/>
      <c r="C42" s="96"/>
      <c r="D42" s="96"/>
      <c r="E42" s="96"/>
      <c r="F42" s="97"/>
      <c r="G42" s="19"/>
      <c r="H42" s="19"/>
      <c r="I42" s="19"/>
      <c r="J42" s="19"/>
      <c r="K42" s="95"/>
      <c r="L42" s="96"/>
      <c r="M42" s="96"/>
      <c r="N42" s="96"/>
      <c r="O42" s="96"/>
      <c r="P42" s="96"/>
      <c r="Q42" s="97"/>
      <c r="R42" s="19"/>
      <c r="S42" s="19"/>
      <c r="T42" s="19"/>
      <c r="U42" s="19"/>
    </row>
    <row r="43" spans="1:21" ht="18" customHeight="1" x14ac:dyDescent="0.15">
      <c r="B43" s="95"/>
      <c r="C43" s="96"/>
      <c r="D43" s="96"/>
      <c r="E43" s="96"/>
      <c r="F43" s="97"/>
      <c r="G43" s="19"/>
      <c r="H43" s="19"/>
      <c r="I43" s="19"/>
      <c r="J43" s="19"/>
      <c r="K43" s="95"/>
      <c r="L43" s="96"/>
      <c r="M43" s="96"/>
      <c r="N43" s="96"/>
      <c r="O43" s="96"/>
      <c r="P43" s="96"/>
      <c r="Q43" s="97"/>
      <c r="R43" s="19"/>
      <c r="S43" s="19"/>
      <c r="T43" s="19"/>
      <c r="U43" s="19"/>
    </row>
    <row r="44" spans="1:21" ht="18" customHeight="1" x14ac:dyDescent="0.15">
      <c r="B44" s="98"/>
      <c r="C44" s="99"/>
      <c r="D44" s="99"/>
      <c r="E44" s="99"/>
      <c r="F44" s="100"/>
      <c r="G44" s="20"/>
      <c r="H44" s="20"/>
      <c r="I44" s="21"/>
      <c r="J44" s="21"/>
      <c r="K44" s="98"/>
      <c r="L44" s="99"/>
      <c r="M44" s="99"/>
      <c r="N44" s="99"/>
      <c r="O44" s="99"/>
      <c r="P44" s="99"/>
      <c r="Q44" s="100"/>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9" t="s">
        <v>103</v>
      </c>
      <c r="B46" s="109"/>
      <c r="C46" s="109"/>
      <c r="D46" s="109"/>
      <c r="E46" s="109"/>
      <c r="F46" s="109"/>
      <c r="G46" s="109"/>
      <c r="H46" s="109"/>
      <c r="I46" s="109"/>
      <c r="J46" s="109"/>
      <c r="K46" s="109"/>
      <c r="L46" s="109"/>
      <c r="M46" s="109"/>
      <c r="N46" s="109"/>
      <c r="O46" s="109"/>
      <c r="P46" s="109"/>
      <c r="Q46" s="109"/>
      <c r="R46" s="109"/>
      <c r="S46" s="109"/>
      <c r="T46" s="109"/>
      <c r="U46" s="109"/>
    </row>
    <row r="47" spans="1:21" ht="18" customHeight="1" x14ac:dyDescent="0.15">
      <c r="A47" s="109"/>
      <c r="B47" s="109"/>
      <c r="C47" s="109"/>
      <c r="D47" s="109"/>
      <c r="E47" s="109"/>
      <c r="F47" s="109"/>
      <c r="G47" s="109"/>
      <c r="H47" s="109"/>
      <c r="I47" s="109"/>
      <c r="J47" s="109"/>
      <c r="K47" s="109"/>
      <c r="L47" s="109"/>
      <c r="M47" s="109"/>
      <c r="N47" s="109"/>
      <c r="O47" s="109"/>
      <c r="P47" s="109"/>
      <c r="Q47" s="109"/>
      <c r="R47" s="109"/>
      <c r="S47" s="109"/>
      <c r="T47" s="109"/>
      <c r="U47" s="109"/>
    </row>
    <row r="48" spans="1:21" ht="18" customHeight="1" x14ac:dyDescent="0.15">
      <c r="B48" s="92" t="s">
        <v>51</v>
      </c>
      <c r="C48" s="93"/>
      <c r="D48" s="93"/>
      <c r="E48" s="93"/>
      <c r="F48" s="94"/>
      <c r="G48" s="51" t="s">
        <v>77</v>
      </c>
      <c r="H48" s="50" t="s">
        <v>80</v>
      </c>
      <c r="I48" s="17" t="s">
        <v>70</v>
      </c>
      <c r="J48" s="17" t="s">
        <v>71</v>
      </c>
      <c r="K48" s="92" t="s">
        <v>51</v>
      </c>
      <c r="L48" s="93"/>
      <c r="M48" s="93"/>
      <c r="N48" s="93"/>
      <c r="O48" s="93"/>
      <c r="P48" s="93"/>
      <c r="Q48" s="94"/>
      <c r="R48" s="51" t="s">
        <v>77</v>
      </c>
      <c r="S48" s="50" t="s">
        <v>80</v>
      </c>
      <c r="T48" s="17" t="s">
        <v>70</v>
      </c>
      <c r="U48" s="17" t="s">
        <v>71</v>
      </c>
    </row>
    <row r="49" spans="1:21" ht="18" customHeight="1" x14ac:dyDescent="0.15">
      <c r="A49" s="3"/>
      <c r="B49" s="103" t="s">
        <v>182</v>
      </c>
      <c r="C49" s="104"/>
      <c r="D49" s="104"/>
      <c r="E49" s="104"/>
      <c r="F49" s="105"/>
      <c r="G49" s="18">
        <v>2</v>
      </c>
      <c r="H49" s="18" t="s">
        <v>139</v>
      </c>
      <c r="I49" s="18" t="s">
        <v>139</v>
      </c>
      <c r="J49" s="18" t="s">
        <v>139</v>
      </c>
      <c r="K49" s="103"/>
      <c r="L49" s="104"/>
      <c r="M49" s="104"/>
      <c r="N49" s="104"/>
      <c r="O49" s="104"/>
      <c r="P49" s="104"/>
      <c r="Q49" s="105"/>
      <c r="R49" s="18"/>
      <c r="S49" s="18"/>
      <c r="T49" s="18"/>
      <c r="U49" s="18"/>
    </row>
    <row r="50" spans="1:21" ht="18" customHeight="1" x14ac:dyDescent="0.15">
      <c r="A50" s="3"/>
      <c r="B50" s="95" t="s">
        <v>161</v>
      </c>
      <c r="C50" s="96"/>
      <c r="D50" s="96"/>
      <c r="E50" s="96"/>
      <c r="F50" s="97"/>
      <c r="G50" s="19">
        <v>2</v>
      </c>
      <c r="H50" s="19" t="s">
        <v>139</v>
      </c>
      <c r="I50" s="19" t="s">
        <v>139</v>
      </c>
      <c r="J50" s="19"/>
      <c r="K50" s="95"/>
      <c r="L50" s="96"/>
      <c r="M50" s="96"/>
      <c r="N50" s="96"/>
      <c r="O50" s="96"/>
      <c r="P50" s="96"/>
      <c r="Q50" s="97"/>
      <c r="R50" s="19"/>
      <c r="S50" s="19"/>
      <c r="T50" s="19"/>
      <c r="U50" s="19"/>
    </row>
    <row r="51" spans="1:21" ht="18" customHeight="1" x14ac:dyDescent="0.15">
      <c r="A51" s="3"/>
      <c r="B51" s="95"/>
      <c r="C51" s="96"/>
      <c r="D51" s="96"/>
      <c r="E51" s="96"/>
      <c r="F51" s="97"/>
      <c r="G51" s="19"/>
      <c r="H51" s="19"/>
      <c r="I51" s="19"/>
      <c r="J51" s="19"/>
      <c r="K51" s="95"/>
      <c r="L51" s="96"/>
      <c r="M51" s="96"/>
      <c r="N51" s="96"/>
      <c r="O51" s="96"/>
      <c r="P51" s="96"/>
      <c r="Q51" s="97"/>
      <c r="R51" s="19"/>
      <c r="S51" s="19"/>
      <c r="T51" s="19"/>
      <c r="U51" s="19"/>
    </row>
    <row r="52" spans="1:21" ht="18" customHeight="1" x14ac:dyDescent="0.15">
      <c r="A52" s="3"/>
      <c r="B52" s="95"/>
      <c r="C52" s="96"/>
      <c r="D52" s="96"/>
      <c r="E52" s="96"/>
      <c r="F52" s="97"/>
      <c r="G52" s="19"/>
      <c r="H52" s="19"/>
      <c r="I52" s="19"/>
      <c r="J52" s="19"/>
      <c r="K52" s="95"/>
      <c r="L52" s="96"/>
      <c r="M52" s="96"/>
      <c r="N52" s="96"/>
      <c r="O52" s="96"/>
      <c r="P52" s="96"/>
      <c r="Q52" s="97"/>
      <c r="R52" s="19"/>
      <c r="S52" s="19"/>
      <c r="T52" s="19"/>
      <c r="U52" s="19"/>
    </row>
    <row r="53" spans="1:21" ht="18" customHeight="1" x14ac:dyDescent="0.15">
      <c r="A53" s="3"/>
      <c r="B53" s="95"/>
      <c r="C53" s="96"/>
      <c r="D53" s="96"/>
      <c r="E53" s="96"/>
      <c r="F53" s="97"/>
      <c r="G53" s="19"/>
      <c r="H53" s="19"/>
      <c r="I53" s="19"/>
      <c r="J53" s="19"/>
      <c r="K53" s="95"/>
      <c r="L53" s="96"/>
      <c r="M53" s="96"/>
      <c r="N53" s="96"/>
      <c r="O53" s="96"/>
      <c r="P53" s="96"/>
      <c r="Q53" s="97"/>
      <c r="R53" s="19"/>
      <c r="S53" s="19"/>
      <c r="T53" s="19"/>
      <c r="U53" s="19"/>
    </row>
    <row r="54" spans="1:21" ht="18" customHeight="1" x14ac:dyDescent="0.15">
      <c r="A54" s="3"/>
      <c r="B54" s="95"/>
      <c r="C54" s="96"/>
      <c r="D54" s="96"/>
      <c r="E54" s="96"/>
      <c r="F54" s="97"/>
      <c r="G54" s="19"/>
      <c r="H54" s="19"/>
      <c r="I54" s="19"/>
      <c r="J54" s="19"/>
      <c r="K54" s="95"/>
      <c r="L54" s="96"/>
      <c r="M54" s="96"/>
      <c r="N54" s="96"/>
      <c r="O54" s="96"/>
      <c r="P54" s="96"/>
      <c r="Q54" s="97"/>
      <c r="R54" s="19"/>
      <c r="S54" s="19"/>
      <c r="T54" s="19"/>
      <c r="U54" s="19"/>
    </row>
    <row r="55" spans="1:21" ht="18" customHeight="1" x14ac:dyDescent="0.15">
      <c r="A55" s="3"/>
      <c r="B55" s="98"/>
      <c r="C55" s="99"/>
      <c r="D55" s="99"/>
      <c r="E55" s="99"/>
      <c r="F55" s="100"/>
      <c r="G55" s="20"/>
      <c r="H55" s="20"/>
      <c r="I55" s="21"/>
      <c r="J55" s="21"/>
      <c r="K55" s="98"/>
      <c r="L55" s="99"/>
      <c r="M55" s="99"/>
      <c r="N55" s="99"/>
      <c r="O55" s="99"/>
      <c r="P55" s="99"/>
      <c r="Q55" s="100"/>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9" t="s">
        <v>104</v>
      </c>
      <c r="B57" s="109"/>
      <c r="C57" s="109"/>
      <c r="D57" s="109"/>
      <c r="E57" s="109"/>
      <c r="F57" s="109"/>
      <c r="G57" s="109"/>
      <c r="H57" s="109"/>
      <c r="I57" s="109"/>
      <c r="J57" s="109"/>
      <c r="K57" s="109"/>
      <c r="L57" s="109"/>
      <c r="M57" s="109"/>
      <c r="N57" s="109"/>
      <c r="O57" s="109"/>
      <c r="P57" s="109"/>
      <c r="Q57" s="109"/>
      <c r="R57" s="109"/>
      <c r="S57" s="109"/>
      <c r="T57" s="109"/>
      <c r="U57" s="109"/>
    </row>
    <row r="58" spans="1:21" ht="18" customHeight="1" x14ac:dyDescent="0.15">
      <c r="A58" s="109"/>
      <c r="B58" s="109"/>
      <c r="C58" s="109"/>
      <c r="D58" s="109"/>
      <c r="E58" s="109"/>
      <c r="F58" s="109"/>
      <c r="G58" s="109"/>
      <c r="H58" s="109"/>
      <c r="I58" s="109"/>
      <c r="J58" s="109"/>
      <c r="K58" s="109"/>
      <c r="L58" s="109"/>
      <c r="M58" s="109"/>
      <c r="N58" s="109"/>
      <c r="O58" s="109"/>
      <c r="P58" s="109"/>
      <c r="Q58" s="109"/>
      <c r="R58" s="109"/>
      <c r="S58" s="109"/>
      <c r="T58" s="109"/>
      <c r="U58" s="109"/>
    </row>
    <row r="59" spans="1:21" ht="18" customHeight="1" x14ac:dyDescent="0.15">
      <c r="B59" s="92" t="s">
        <v>51</v>
      </c>
      <c r="C59" s="93"/>
      <c r="D59" s="93"/>
      <c r="E59" s="93"/>
      <c r="F59" s="94"/>
      <c r="G59" s="51" t="s">
        <v>77</v>
      </c>
      <c r="H59" s="50" t="s">
        <v>80</v>
      </c>
      <c r="I59" s="17" t="s">
        <v>56</v>
      </c>
      <c r="J59" s="17" t="s">
        <v>58</v>
      </c>
      <c r="K59" s="92" t="s">
        <v>51</v>
      </c>
      <c r="L59" s="93"/>
      <c r="M59" s="93"/>
      <c r="N59" s="93"/>
      <c r="O59" s="93"/>
      <c r="P59" s="93"/>
      <c r="Q59" s="94"/>
      <c r="R59" s="51" t="s">
        <v>77</v>
      </c>
      <c r="S59" s="50" t="s">
        <v>80</v>
      </c>
      <c r="T59" s="17" t="s">
        <v>56</v>
      </c>
      <c r="U59" s="17" t="s">
        <v>58</v>
      </c>
    </row>
    <row r="60" spans="1:21" ht="18" customHeight="1" x14ac:dyDescent="0.15">
      <c r="A60" s="3"/>
      <c r="B60" s="103" t="s">
        <v>182</v>
      </c>
      <c r="C60" s="104"/>
      <c r="D60" s="104"/>
      <c r="E60" s="104"/>
      <c r="F60" s="105"/>
      <c r="G60" s="18">
        <v>2</v>
      </c>
      <c r="H60" s="18" t="s">
        <v>139</v>
      </c>
      <c r="I60" s="18" t="s">
        <v>139</v>
      </c>
      <c r="J60" s="18"/>
      <c r="K60" s="103"/>
      <c r="L60" s="104"/>
      <c r="M60" s="104"/>
      <c r="N60" s="104"/>
      <c r="O60" s="104"/>
      <c r="P60" s="104"/>
      <c r="Q60" s="105"/>
      <c r="R60" s="18"/>
      <c r="S60" s="18"/>
      <c r="T60" s="18"/>
      <c r="U60" s="18"/>
    </row>
    <row r="61" spans="1:21" ht="18" customHeight="1" x14ac:dyDescent="0.15">
      <c r="A61" s="3"/>
      <c r="B61" s="95" t="s">
        <v>161</v>
      </c>
      <c r="C61" s="96"/>
      <c r="D61" s="96"/>
      <c r="E61" s="96"/>
      <c r="F61" s="97"/>
      <c r="G61" s="19">
        <v>2</v>
      </c>
      <c r="H61" s="19" t="s">
        <v>139</v>
      </c>
      <c r="I61" s="19"/>
      <c r="J61" s="19" t="s">
        <v>139</v>
      </c>
      <c r="K61" s="95"/>
      <c r="L61" s="96"/>
      <c r="M61" s="96"/>
      <c r="N61" s="96"/>
      <c r="O61" s="96"/>
      <c r="P61" s="96"/>
      <c r="Q61" s="97"/>
      <c r="R61" s="19"/>
      <c r="S61" s="19"/>
      <c r="T61" s="19"/>
      <c r="U61" s="19"/>
    </row>
    <row r="62" spans="1:21" ht="18" customHeight="1" x14ac:dyDescent="0.15">
      <c r="A62" s="3"/>
      <c r="B62" s="95"/>
      <c r="C62" s="96"/>
      <c r="D62" s="96"/>
      <c r="E62" s="96"/>
      <c r="F62" s="97"/>
      <c r="G62" s="19"/>
      <c r="H62" s="19"/>
      <c r="I62" s="19"/>
      <c r="J62" s="19"/>
      <c r="K62" s="95"/>
      <c r="L62" s="96"/>
      <c r="M62" s="96"/>
      <c r="N62" s="96"/>
      <c r="O62" s="96"/>
      <c r="P62" s="96"/>
      <c r="Q62" s="97"/>
      <c r="R62" s="19"/>
      <c r="S62" s="19"/>
      <c r="T62" s="19"/>
      <c r="U62" s="19"/>
    </row>
    <row r="63" spans="1:21" ht="18" customHeight="1" x14ac:dyDescent="0.15">
      <c r="A63" s="3"/>
      <c r="B63" s="95"/>
      <c r="C63" s="96"/>
      <c r="D63" s="96"/>
      <c r="E63" s="96"/>
      <c r="F63" s="97"/>
      <c r="G63" s="19"/>
      <c r="H63" s="19"/>
      <c r="I63" s="19"/>
      <c r="J63" s="19"/>
      <c r="K63" s="95"/>
      <c r="L63" s="96"/>
      <c r="M63" s="96"/>
      <c r="N63" s="96"/>
      <c r="O63" s="96"/>
      <c r="P63" s="96"/>
      <c r="Q63" s="97"/>
      <c r="R63" s="19"/>
      <c r="S63" s="19"/>
      <c r="T63" s="19"/>
      <c r="U63" s="19"/>
    </row>
    <row r="64" spans="1:21" ht="18" customHeight="1" x14ac:dyDescent="0.15">
      <c r="A64" s="3"/>
      <c r="B64" s="95"/>
      <c r="C64" s="96"/>
      <c r="D64" s="96"/>
      <c r="E64" s="96"/>
      <c r="F64" s="97"/>
      <c r="G64" s="19"/>
      <c r="H64" s="19"/>
      <c r="I64" s="19"/>
      <c r="J64" s="19"/>
      <c r="K64" s="95"/>
      <c r="L64" s="96"/>
      <c r="M64" s="96"/>
      <c r="N64" s="96"/>
      <c r="O64" s="96"/>
      <c r="P64" s="96"/>
      <c r="Q64" s="97"/>
      <c r="R64" s="19"/>
      <c r="S64" s="19"/>
      <c r="T64" s="19"/>
      <c r="U64" s="19"/>
    </row>
    <row r="65" spans="1:21" ht="18" customHeight="1" x14ac:dyDescent="0.15">
      <c r="A65" s="3"/>
      <c r="B65" s="95"/>
      <c r="C65" s="96"/>
      <c r="D65" s="96"/>
      <c r="E65" s="96"/>
      <c r="F65" s="97"/>
      <c r="G65" s="19"/>
      <c r="H65" s="19"/>
      <c r="I65" s="19"/>
      <c r="J65" s="19"/>
      <c r="K65" s="95"/>
      <c r="L65" s="96"/>
      <c r="M65" s="96"/>
      <c r="N65" s="96"/>
      <c r="O65" s="96"/>
      <c r="P65" s="96"/>
      <c r="Q65" s="97"/>
      <c r="R65" s="19"/>
      <c r="S65" s="19"/>
      <c r="T65" s="19"/>
      <c r="U65" s="19"/>
    </row>
    <row r="66" spans="1:21" ht="18" customHeight="1" x14ac:dyDescent="0.15">
      <c r="A66" s="3"/>
      <c r="B66" s="98"/>
      <c r="C66" s="99"/>
      <c r="D66" s="99"/>
      <c r="E66" s="99"/>
      <c r="F66" s="100"/>
      <c r="G66" s="20"/>
      <c r="H66" s="20"/>
      <c r="I66" s="21"/>
      <c r="J66" s="21"/>
      <c r="K66" s="98"/>
      <c r="L66" s="99"/>
      <c r="M66" s="99"/>
      <c r="N66" s="99"/>
      <c r="O66" s="99"/>
      <c r="P66" s="99"/>
      <c r="Q66" s="100"/>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9" t="s">
        <v>105</v>
      </c>
      <c r="B68" s="109"/>
      <c r="C68" s="109"/>
      <c r="D68" s="109"/>
      <c r="E68" s="109"/>
      <c r="F68" s="109"/>
      <c r="G68" s="109"/>
      <c r="H68" s="109"/>
      <c r="I68" s="109"/>
      <c r="J68" s="109"/>
      <c r="K68" s="109"/>
      <c r="L68" s="109"/>
      <c r="M68" s="109"/>
      <c r="N68" s="109"/>
      <c r="O68" s="109"/>
      <c r="P68" s="109"/>
      <c r="Q68" s="109"/>
      <c r="R68" s="109"/>
      <c r="S68" s="109"/>
      <c r="T68" s="109"/>
      <c r="U68" s="109"/>
    </row>
    <row r="69" spans="1:21" ht="18" customHeight="1" x14ac:dyDescent="0.15">
      <c r="A69" s="109"/>
      <c r="B69" s="109"/>
      <c r="C69" s="109"/>
      <c r="D69" s="109"/>
      <c r="E69" s="109"/>
      <c r="F69" s="109"/>
      <c r="G69" s="109"/>
      <c r="H69" s="109"/>
      <c r="I69" s="109"/>
      <c r="J69" s="109"/>
      <c r="K69" s="109"/>
      <c r="L69" s="109"/>
      <c r="M69" s="109"/>
      <c r="N69" s="109"/>
      <c r="O69" s="109"/>
      <c r="P69" s="109"/>
      <c r="Q69" s="109"/>
      <c r="R69" s="109"/>
      <c r="S69" s="109"/>
      <c r="T69" s="109"/>
      <c r="U69" s="109"/>
    </row>
    <row r="70" spans="1:21" ht="18" customHeight="1" x14ac:dyDescent="0.15">
      <c r="B70" s="92" t="s">
        <v>51</v>
      </c>
      <c r="C70" s="93"/>
      <c r="D70" s="93"/>
      <c r="E70" s="93"/>
      <c r="F70" s="51" t="s">
        <v>77</v>
      </c>
      <c r="G70" s="50" t="s">
        <v>80</v>
      </c>
      <c r="H70" s="17" t="s">
        <v>92</v>
      </c>
      <c r="I70" s="17" t="s">
        <v>72</v>
      </c>
      <c r="J70" s="17" t="s">
        <v>73</v>
      </c>
      <c r="K70" s="92" t="s">
        <v>51</v>
      </c>
      <c r="L70" s="93"/>
      <c r="M70" s="93"/>
      <c r="N70" s="93"/>
      <c r="O70" s="93"/>
      <c r="P70" s="94"/>
      <c r="Q70" s="51" t="s">
        <v>77</v>
      </c>
      <c r="R70" s="50" t="s">
        <v>80</v>
      </c>
      <c r="S70" s="17" t="s">
        <v>92</v>
      </c>
      <c r="T70" s="17" t="s">
        <v>72</v>
      </c>
      <c r="U70" s="17" t="s">
        <v>73</v>
      </c>
    </row>
    <row r="71" spans="1:21" ht="18" customHeight="1" x14ac:dyDescent="0.15">
      <c r="A71" s="3"/>
      <c r="B71" s="103" t="s">
        <v>183</v>
      </c>
      <c r="C71" s="104"/>
      <c r="D71" s="104"/>
      <c r="E71" s="104"/>
      <c r="F71" s="18">
        <v>2</v>
      </c>
      <c r="G71" s="18" t="s">
        <v>139</v>
      </c>
      <c r="H71" s="18" t="s">
        <v>139</v>
      </c>
      <c r="I71" s="18" t="s">
        <v>139</v>
      </c>
      <c r="J71" s="18" t="s">
        <v>139</v>
      </c>
      <c r="K71" s="103"/>
      <c r="L71" s="104"/>
      <c r="M71" s="104"/>
      <c r="N71" s="104"/>
      <c r="O71" s="104"/>
      <c r="P71" s="105"/>
      <c r="Q71" s="18"/>
      <c r="R71" s="18"/>
      <c r="S71" s="18"/>
      <c r="T71" s="18"/>
      <c r="U71" s="18"/>
    </row>
    <row r="72" spans="1:21" ht="18" customHeight="1" x14ac:dyDescent="0.15">
      <c r="A72" s="3"/>
      <c r="B72" s="95" t="s">
        <v>166</v>
      </c>
      <c r="C72" s="96"/>
      <c r="D72" s="96"/>
      <c r="E72" s="96"/>
      <c r="F72" s="19">
        <v>2</v>
      </c>
      <c r="G72" s="19" t="s">
        <v>139</v>
      </c>
      <c r="H72" s="19" t="s">
        <v>139</v>
      </c>
      <c r="I72" s="19"/>
      <c r="J72" s="19" t="s">
        <v>139</v>
      </c>
      <c r="K72" s="95"/>
      <c r="L72" s="96"/>
      <c r="M72" s="96"/>
      <c r="N72" s="96"/>
      <c r="O72" s="96"/>
      <c r="P72" s="97"/>
      <c r="Q72" s="19"/>
      <c r="R72" s="19"/>
      <c r="S72" s="19"/>
      <c r="T72" s="19"/>
      <c r="U72" s="19"/>
    </row>
    <row r="73" spans="1:21" ht="18" customHeight="1" x14ac:dyDescent="0.15">
      <c r="A73" s="3"/>
      <c r="B73" s="95"/>
      <c r="C73" s="96"/>
      <c r="D73" s="96"/>
      <c r="E73" s="96"/>
      <c r="F73" s="19"/>
      <c r="G73" s="19"/>
      <c r="H73" s="19"/>
      <c r="I73" s="19"/>
      <c r="J73" s="19"/>
      <c r="K73" s="95"/>
      <c r="L73" s="96"/>
      <c r="M73" s="96"/>
      <c r="N73" s="96"/>
      <c r="O73" s="96"/>
      <c r="P73" s="97"/>
      <c r="Q73" s="19"/>
      <c r="R73" s="19"/>
      <c r="S73" s="19"/>
      <c r="T73" s="19"/>
      <c r="U73" s="19"/>
    </row>
    <row r="74" spans="1:21" ht="18" customHeight="1" x14ac:dyDescent="0.15">
      <c r="A74" s="3"/>
      <c r="B74" s="95"/>
      <c r="C74" s="96"/>
      <c r="D74" s="96"/>
      <c r="E74" s="96"/>
      <c r="F74" s="19"/>
      <c r="G74" s="19"/>
      <c r="H74" s="19"/>
      <c r="I74" s="19"/>
      <c r="J74" s="19"/>
      <c r="K74" s="95"/>
      <c r="L74" s="96"/>
      <c r="M74" s="96"/>
      <c r="N74" s="96"/>
      <c r="O74" s="96"/>
      <c r="P74" s="97"/>
      <c r="Q74" s="19"/>
      <c r="R74" s="19"/>
      <c r="S74" s="19"/>
      <c r="T74" s="19"/>
      <c r="U74" s="19"/>
    </row>
    <row r="75" spans="1:21" ht="18" customHeight="1" x14ac:dyDescent="0.15">
      <c r="A75" s="3"/>
      <c r="B75" s="95"/>
      <c r="C75" s="96"/>
      <c r="D75" s="96"/>
      <c r="E75" s="96"/>
      <c r="F75" s="19"/>
      <c r="G75" s="19"/>
      <c r="H75" s="19"/>
      <c r="I75" s="19"/>
      <c r="J75" s="19"/>
      <c r="K75" s="95"/>
      <c r="L75" s="96"/>
      <c r="M75" s="96"/>
      <c r="N75" s="96"/>
      <c r="O75" s="96"/>
      <c r="P75" s="97"/>
      <c r="Q75" s="19"/>
      <c r="R75" s="19"/>
      <c r="S75" s="19"/>
      <c r="T75" s="19"/>
      <c r="U75" s="19"/>
    </row>
    <row r="76" spans="1:21" ht="18" customHeight="1" x14ac:dyDescent="0.15">
      <c r="A76" s="3"/>
      <c r="B76" s="95"/>
      <c r="C76" s="96"/>
      <c r="D76" s="96"/>
      <c r="E76" s="96"/>
      <c r="F76" s="19"/>
      <c r="G76" s="19"/>
      <c r="H76" s="19"/>
      <c r="I76" s="19"/>
      <c r="J76" s="19"/>
      <c r="K76" s="95"/>
      <c r="L76" s="96"/>
      <c r="M76" s="96"/>
      <c r="N76" s="96"/>
      <c r="O76" s="96"/>
      <c r="P76" s="97"/>
      <c r="Q76" s="19"/>
      <c r="R76" s="19"/>
      <c r="S76" s="19"/>
      <c r="T76" s="19"/>
      <c r="U76" s="19"/>
    </row>
    <row r="77" spans="1:21" ht="18" customHeight="1" x14ac:dyDescent="0.15">
      <c r="A77" s="3"/>
      <c r="B77" s="98"/>
      <c r="C77" s="99"/>
      <c r="D77" s="99"/>
      <c r="E77" s="99"/>
      <c r="F77" s="20"/>
      <c r="G77" s="20"/>
      <c r="H77" s="21"/>
      <c r="I77" s="21"/>
      <c r="J77" s="21"/>
      <c r="K77" s="98"/>
      <c r="L77" s="99"/>
      <c r="M77" s="99"/>
      <c r="N77" s="99"/>
      <c r="O77" s="99"/>
      <c r="P77" s="100"/>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92" t="s">
        <v>51</v>
      </c>
      <c r="C80" s="93"/>
      <c r="D80" s="93"/>
      <c r="E80" s="93"/>
      <c r="F80" s="94"/>
      <c r="G80" s="92" t="s">
        <v>78</v>
      </c>
      <c r="H80" s="93"/>
      <c r="I80" s="93"/>
      <c r="J80" s="94"/>
      <c r="K80" s="115" t="s">
        <v>51</v>
      </c>
      <c r="L80" s="116"/>
      <c r="M80" s="116"/>
      <c r="N80" s="116"/>
      <c r="O80" s="116"/>
      <c r="P80" s="116"/>
      <c r="Q80" s="117"/>
      <c r="R80" s="92" t="s">
        <v>78</v>
      </c>
      <c r="S80" s="93"/>
      <c r="T80" s="93"/>
      <c r="U80" s="94"/>
    </row>
    <row r="81" spans="1:21" ht="18" customHeight="1" x14ac:dyDescent="0.15">
      <c r="A81" s="3"/>
      <c r="B81" s="103"/>
      <c r="C81" s="104"/>
      <c r="D81" s="104"/>
      <c r="E81" s="104"/>
      <c r="F81" s="105"/>
      <c r="G81" s="110"/>
      <c r="H81" s="111"/>
      <c r="I81" s="111"/>
      <c r="J81" s="112"/>
      <c r="K81" s="103"/>
      <c r="L81" s="104"/>
      <c r="M81" s="104"/>
      <c r="N81" s="104"/>
      <c r="O81" s="104"/>
      <c r="P81" s="104"/>
      <c r="Q81" s="105"/>
      <c r="R81" s="110"/>
      <c r="S81" s="111"/>
      <c r="T81" s="111"/>
      <c r="U81" s="112"/>
    </row>
    <row r="82" spans="1:21" ht="18" customHeight="1" x14ac:dyDescent="0.15">
      <c r="A82" s="3"/>
      <c r="B82" s="95"/>
      <c r="C82" s="96"/>
      <c r="D82" s="96"/>
      <c r="E82" s="96"/>
      <c r="F82" s="97"/>
      <c r="G82" s="89"/>
      <c r="H82" s="90"/>
      <c r="I82" s="90"/>
      <c r="J82" s="91"/>
      <c r="K82" s="95"/>
      <c r="L82" s="96"/>
      <c r="M82" s="96"/>
      <c r="N82" s="96"/>
      <c r="O82" s="96"/>
      <c r="P82" s="96"/>
      <c r="Q82" s="97"/>
      <c r="R82" s="89"/>
      <c r="S82" s="90"/>
      <c r="T82" s="90"/>
      <c r="U82" s="91"/>
    </row>
    <row r="83" spans="1:21" ht="18" customHeight="1" x14ac:dyDescent="0.15">
      <c r="A83" s="3"/>
      <c r="B83" s="95"/>
      <c r="C83" s="96"/>
      <c r="D83" s="96"/>
      <c r="E83" s="96"/>
      <c r="F83" s="97"/>
      <c r="G83" s="89"/>
      <c r="H83" s="90"/>
      <c r="I83" s="90"/>
      <c r="J83" s="91"/>
      <c r="K83" s="95"/>
      <c r="L83" s="96"/>
      <c r="M83" s="96"/>
      <c r="N83" s="96"/>
      <c r="O83" s="96"/>
      <c r="P83" s="96"/>
      <c r="Q83" s="97"/>
      <c r="R83" s="89"/>
      <c r="S83" s="90"/>
      <c r="T83" s="90"/>
      <c r="U83" s="91"/>
    </row>
    <row r="84" spans="1:21" ht="18" customHeight="1" x14ac:dyDescent="0.15">
      <c r="A84" s="3"/>
      <c r="B84" s="95"/>
      <c r="C84" s="96"/>
      <c r="D84" s="96"/>
      <c r="E84" s="96"/>
      <c r="F84" s="97"/>
      <c r="G84" s="89"/>
      <c r="H84" s="90"/>
      <c r="I84" s="90"/>
      <c r="J84" s="91"/>
      <c r="K84" s="95"/>
      <c r="L84" s="96"/>
      <c r="M84" s="96"/>
      <c r="N84" s="96"/>
      <c r="O84" s="96"/>
      <c r="P84" s="96"/>
      <c r="Q84" s="97"/>
      <c r="R84" s="89"/>
      <c r="S84" s="90"/>
      <c r="T84" s="90"/>
      <c r="U84" s="91"/>
    </row>
    <row r="85" spans="1:21" ht="18" customHeight="1" x14ac:dyDescent="0.15">
      <c r="A85" s="3"/>
      <c r="B85" s="95"/>
      <c r="C85" s="96"/>
      <c r="D85" s="96"/>
      <c r="E85" s="96"/>
      <c r="F85" s="97"/>
      <c r="G85" s="89"/>
      <c r="H85" s="90"/>
      <c r="I85" s="90"/>
      <c r="J85" s="91"/>
      <c r="K85" s="95"/>
      <c r="L85" s="96"/>
      <c r="M85" s="96"/>
      <c r="N85" s="96"/>
      <c r="O85" s="96"/>
      <c r="P85" s="96"/>
      <c r="Q85" s="97"/>
      <c r="R85" s="89"/>
      <c r="S85" s="90"/>
      <c r="T85" s="90"/>
      <c r="U85" s="91"/>
    </row>
    <row r="86" spans="1:21" ht="18" customHeight="1" x14ac:dyDescent="0.15">
      <c r="A86" s="3"/>
      <c r="B86" s="95"/>
      <c r="C86" s="96"/>
      <c r="D86" s="96"/>
      <c r="E86" s="96"/>
      <c r="F86" s="97"/>
      <c r="G86" s="89"/>
      <c r="H86" s="90"/>
      <c r="I86" s="90"/>
      <c r="J86" s="91"/>
      <c r="K86" s="95"/>
      <c r="L86" s="96"/>
      <c r="M86" s="96"/>
      <c r="N86" s="96"/>
      <c r="O86" s="96"/>
      <c r="P86" s="96"/>
      <c r="Q86" s="97"/>
      <c r="R86" s="89"/>
      <c r="S86" s="90"/>
      <c r="T86" s="90"/>
      <c r="U86" s="91"/>
    </row>
    <row r="87" spans="1:21" ht="18" customHeight="1" x14ac:dyDescent="0.15">
      <c r="A87" s="3"/>
      <c r="B87" s="98"/>
      <c r="C87" s="99"/>
      <c r="D87" s="99"/>
      <c r="E87" s="99"/>
      <c r="F87" s="100"/>
      <c r="G87" s="133"/>
      <c r="H87" s="134"/>
      <c r="I87" s="134"/>
      <c r="J87" s="135"/>
      <c r="K87" s="98"/>
      <c r="L87" s="99"/>
      <c r="M87" s="99"/>
      <c r="N87" s="99"/>
      <c r="O87" s="99"/>
      <c r="P87" s="99"/>
      <c r="Q87" s="100"/>
      <c r="R87" s="133"/>
      <c r="S87" s="134"/>
      <c r="T87" s="134"/>
      <c r="U87" s="135"/>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36" t="s">
        <v>52</v>
      </c>
      <c r="C90" s="137"/>
      <c r="D90" s="92" t="s">
        <v>53</v>
      </c>
      <c r="E90" s="93"/>
      <c r="F90" s="93"/>
      <c r="G90" s="93"/>
      <c r="H90" s="93"/>
      <c r="I90" s="93"/>
      <c r="J90" s="93"/>
      <c r="K90" s="93"/>
      <c r="L90" s="93"/>
      <c r="M90" s="93"/>
      <c r="N90" s="93"/>
      <c r="O90" s="93"/>
      <c r="P90" s="93"/>
      <c r="Q90" s="93"/>
      <c r="R90" s="93"/>
      <c r="S90" s="93"/>
      <c r="T90" s="93"/>
      <c r="U90" s="94"/>
    </row>
    <row r="91" spans="1:21" ht="97.5" customHeight="1" x14ac:dyDescent="0.15">
      <c r="B91" s="113" t="s">
        <v>59</v>
      </c>
      <c r="C91" s="23" t="s">
        <v>54</v>
      </c>
      <c r="D91" s="149" t="s">
        <v>187</v>
      </c>
      <c r="E91" s="150"/>
      <c r="F91" s="150"/>
      <c r="G91" s="150"/>
      <c r="H91" s="150"/>
      <c r="I91" s="150"/>
      <c r="J91" s="150"/>
      <c r="K91" s="150"/>
      <c r="L91" s="150"/>
      <c r="M91" s="150"/>
      <c r="N91" s="150"/>
      <c r="O91" s="150"/>
      <c r="P91" s="150"/>
      <c r="Q91" s="150"/>
      <c r="R91" s="150"/>
      <c r="S91" s="150"/>
      <c r="T91" s="150"/>
      <c r="U91" s="151"/>
    </row>
    <row r="92" spans="1:21" ht="97.5" customHeight="1" x14ac:dyDescent="0.15">
      <c r="B92" s="118"/>
      <c r="C92" s="24" t="s">
        <v>74</v>
      </c>
      <c r="D92" s="146" t="s">
        <v>186</v>
      </c>
      <c r="E92" s="147"/>
      <c r="F92" s="147"/>
      <c r="G92" s="147"/>
      <c r="H92" s="147"/>
      <c r="I92" s="147"/>
      <c r="J92" s="147"/>
      <c r="K92" s="147"/>
      <c r="L92" s="147"/>
      <c r="M92" s="147"/>
      <c r="N92" s="147"/>
      <c r="O92" s="147"/>
      <c r="P92" s="147"/>
      <c r="Q92" s="147"/>
      <c r="R92" s="147"/>
      <c r="S92" s="147"/>
      <c r="T92" s="147"/>
      <c r="U92" s="148"/>
    </row>
    <row r="93" spans="1:21" ht="97.5" customHeight="1" x14ac:dyDescent="0.15">
      <c r="B93" s="113" t="s">
        <v>60</v>
      </c>
      <c r="C93" s="25" t="s">
        <v>68</v>
      </c>
      <c r="D93" s="149" t="s">
        <v>191</v>
      </c>
      <c r="E93" s="177"/>
      <c r="F93" s="177"/>
      <c r="G93" s="177"/>
      <c r="H93" s="177"/>
      <c r="I93" s="177"/>
      <c r="J93" s="177"/>
      <c r="K93" s="177"/>
      <c r="L93" s="177"/>
      <c r="M93" s="177"/>
      <c r="N93" s="177"/>
      <c r="O93" s="177"/>
      <c r="P93" s="177"/>
      <c r="Q93" s="177"/>
      <c r="R93" s="177"/>
      <c r="S93" s="177"/>
      <c r="T93" s="177"/>
      <c r="U93" s="178"/>
    </row>
    <row r="94" spans="1:21" ht="97.5" customHeight="1" x14ac:dyDescent="0.15">
      <c r="B94" s="114"/>
      <c r="C94" s="26" t="s">
        <v>69</v>
      </c>
      <c r="D94" s="146" t="s">
        <v>192</v>
      </c>
      <c r="E94" s="179"/>
      <c r="F94" s="179"/>
      <c r="G94" s="179"/>
      <c r="H94" s="179"/>
      <c r="I94" s="179"/>
      <c r="J94" s="179"/>
      <c r="K94" s="179"/>
      <c r="L94" s="179"/>
      <c r="M94" s="179"/>
      <c r="N94" s="179"/>
      <c r="O94" s="179"/>
      <c r="P94" s="179"/>
      <c r="Q94" s="179"/>
      <c r="R94" s="179"/>
      <c r="S94" s="179"/>
      <c r="T94" s="179"/>
      <c r="U94" s="180"/>
    </row>
    <row r="95" spans="1:21" ht="97.5" customHeight="1" x14ac:dyDescent="0.15">
      <c r="B95" s="113" t="s">
        <v>61</v>
      </c>
      <c r="C95" s="25" t="s">
        <v>70</v>
      </c>
      <c r="D95" s="149" t="s">
        <v>189</v>
      </c>
      <c r="E95" s="150"/>
      <c r="F95" s="150"/>
      <c r="G95" s="150"/>
      <c r="H95" s="150"/>
      <c r="I95" s="150"/>
      <c r="J95" s="150"/>
      <c r="K95" s="150"/>
      <c r="L95" s="150"/>
      <c r="M95" s="150"/>
      <c r="N95" s="150"/>
      <c r="O95" s="150"/>
      <c r="P95" s="150"/>
      <c r="Q95" s="150"/>
      <c r="R95" s="150"/>
      <c r="S95" s="150"/>
      <c r="T95" s="150"/>
      <c r="U95" s="151"/>
    </row>
    <row r="96" spans="1:21" ht="97.5" customHeight="1" x14ac:dyDescent="0.15">
      <c r="B96" s="114"/>
      <c r="C96" s="27" t="s">
        <v>71</v>
      </c>
      <c r="D96" s="176" t="s">
        <v>193</v>
      </c>
      <c r="E96" s="147"/>
      <c r="F96" s="147"/>
      <c r="G96" s="147"/>
      <c r="H96" s="147"/>
      <c r="I96" s="147"/>
      <c r="J96" s="147"/>
      <c r="K96" s="147"/>
      <c r="L96" s="147"/>
      <c r="M96" s="147"/>
      <c r="N96" s="147"/>
      <c r="O96" s="147"/>
      <c r="P96" s="147"/>
      <c r="Q96" s="147"/>
      <c r="R96" s="147"/>
      <c r="S96" s="147"/>
      <c r="T96" s="147"/>
      <c r="U96" s="148"/>
    </row>
    <row r="97" spans="1:33" ht="97.5" customHeight="1" x14ac:dyDescent="0.15">
      <c r="B97" s="113" t="s">
        <v>75</v>
      </c>
      <c r="C97" s="23" t="s">
        <v>56</v>
      </c>
      <c r="D97" s="149" t="s">
        <v>190</v>
      </c>
      <c r="E97" s="150"/>
      <c r="F97" s="150"/>
      <c r="G97" s="150"/>
      <c r="H97" s="150"/>
      <c r="I97" s="150"/>
      <c r="J97" s="150"/>
      <c r="K97" s="150"/>
      <c r="L97" s="150"/>
      <c r="M97" s="150"/>
      <c r="N97" s="150"/>
      <c r="O97" s="150"/>
      <c r="P97" s="150"/>
      <c r="Q97" s="150"/>
      <c r="R97" s="150"/>
      <c r="S97" s="150"/>
      <c r="T97" s="150"/>
      <c r="U97" s="151"/>
    </row>
    <row r="98" spans="1:33" ht="97.5" customHeight="1" x14ac:dyDescent="0.15">
      <c r="B98" s="114"/>
      <c r="C98" s="26" t="s">
        <v>58</v>
      </c>
      <c r="D98" s="146" t="s">
        <v>165</v>
      </c>
      <c r="E98" s="147"/>
      <c r="F98" s="147"/>
      <c r="G98" s="147"/>
      <c r="H98" s="147"/>
      <c r="I98" s="147"/>
      <c r="J98" s="147"/>
      <c r="K98" s="147"/>
      <c r="L98" s="147"/>
      <c r="M98" s="147"/>
      <c r="N98" s="147"/>
      <c r="O98" s="147"/>
      <c r="P98" s="147"/>
      <c r="Q98" s="147"/>
      <c r="R98" s="147"/>
      <c r="S98" s="147"/>
      <c r="T98" s="147"/>
      <c r="U98" s="148"/>
    </row>
    <row r="99" spans="1:33" ht="97.5" customHeight="1" x14ac:dyDescent="0.15">
      <c r="B99" s="113" t="s">
        <v>76</v>
      </c>
      <c r="C99" s="25" t="s">
        <v>55</v>
      </c>
      <c r="D99" s="181" t="s">
        <v>185</v>
      </c>
      <c r="E99" s="182"/>
      <c r="F99" s="182"/>
      <c r="G99" s="182"/>
      <c r="H99" s="182"/>
      <c r="I99" s="182"/>
      <c r="J99" s="182"/>
      <c r="K99" s="182"/>
      <c r="L99" s="182"/>
      <c r="M99" s="182"/>
      <c r="N99" s="182"/>
      <c r="O99" s="182"/>
      <c r="P99" s="182"/>
      <c r="Q99" s="182"/>
      <c r="R99" s="182"/>
      <c r="S99" s="182"/>
      <c r="T99" s="182"/>
      <c r="U99" s="183"/>
    </row>
    <row r="100" spans="1:33" ht="97.5" customHeight="1" x14ac:dyDescent="0.15">
      <c r="B100" s="118"/>
      <c r="C100" s="28" t="s">
        <v>72</v>
      </c>
      <c r="D100" s="152" t="s">
        <v>188</v>
      </c>
      <c r="E100" s="153"/>
      <c r="F100" s="153"/>
      <c r="G100" s="153"/>
      <c r="H100" s="153"/>
      <c r="I100" s="153"/>
      <c r="J100" s="153"/>
      <c r="K100" s="153"/>
      <c r="L100" s="153"/>
      <c r="M100" s="153"/>
      <c r="N100" s="153"/>
      <c r="O100" s="153"/>
      <c r="P100" s="153"/>
      <c r="Q100" s="153"/>
      <c r="R100" s="153"/>
      <c r="S100" s="153"/>
      <c r="T100" s="153"/>
      <c r="U100" s="154"/>
    </row>
    <row r="101" spans="1:33" ht="97.5" customHeight="1" x14ac:dyDescent="0.15">
      <c r="B101" s="114"/>
      <c r="C101" s="27" t="s">
        <v>73</v>
      </c>
      <c r="D101" s="184" t="s">
        <v>184</v>
      </c>
      <c r="E101" s="185"/>
      <c r="F101" s="185"/>
      <c r="G101" s="185"/>
      <c r="H101" s="185"/>
      <c r="I101" s="185"/>
      <c r="J101" s="185"/>
      <c r="K101" s="185"/>
      <c r="L101" s="185"/>
      <c r="M101" s="185"/>
      <c r="N101" s="185"/>
      <c r="O101" s="185"/>
      <c r="P101" s="185"/>
      <c r="Q101" s="185"/>
      <c r="R101" s="185"/>
      <c r="S101" s="185"/>
      <c r="T101" s="185"/>
      <c r="U101" s="186"/>
    </row>
    <row r="102" spans="1:33" ht="6" customHeight="1" x14ac:dyDescent="0.15"/>
    <row r="103" spans="1:33" ht="18.75" customHeight="1" x14ac:dyDescent="0.15">
      <c r="A103" s="1" t="s">
        <v>108</v>
      </c>
    </row>
    <row r="104" spans="1:33" ht="81.75" customHeight="1" x14ac:dyDescent="0.15">
      <c r="B104" s="130" t="s">
        <v>151</v>
      </c>
      <c r="C104" s="131"/>
      <c r="D104" s="131"/>
      <c r="E104" s="131"/>
      <c r="F104" s="131"/>
      <c r="G104" s="131"/>
      <c r="H104" s="131"/>
      <c r="I104" s="131"/>
      <c r="J104" s="131"/>
      <c r="K104" s="131"/>
      <c r="L104" s="131"/>
      <c r="M104" s="131"/>
      <c r="N104" s="131"/>
      <c r="O104" s="131"/>
      <c r="P104" s="131"/>
      <c r="Q104" s="131"/>
      <c r="R104" s="131"/>
      <c r="S104" s="131"/>
      <c r="T104" s="131"/>
      <c r="U104" s="132"/>
    </row>
    <row r="106" spans="1:33" ht="18.75" customHeight="1" x14ac:dyDescent="0.15">
      <c r="A106" s="74" t="s">
        <v>124</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15">
      <c r="A107" s="74" t="s">
        <v>126</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x14ac:dyDescent="0.15">
      <c r="A108" s="74"/>
      <c r="B108" s="145" t="s">
        <v>130</v>
      </c>
      <c r="C108" s="145"/>
      <c r="D108" s="145"/>
      <c r="E108" s="145"/>
      <c r="F108" s="145"/>
      <c r="G108" s="145"/>
      <c r="H108" s="145"/>
      <c r="I108" s="145"/>
      <c r="J108" s="145"/>
      <c r="K108" s="145"/>
      <c r="L108" s="145"/>
      <c r="M108" s="145"/>
      <c r="N108" s="145"/>
      <c r="O108" s="145"/>
      <c r="P108" s="145"/>
      <c r="Q108" s="145"/>
      <c r="R108" s="145"/>
      <c r="S108" s="145"/>
      <c r="T108" s="145"/>
      <c r="U108" s="145"/>
      <c r="V108" s="70"/>
      <c r="W108" s="70"/>
      <c r="X108" s="70"/>
      <c r="Y108" s="70"/>
      <c r="Z108" s="70"/>
      <c r="AA108" s="70"/>
      <c r="AB108" s="70"/>
      <c r="AC108" s="70"/>
      <c r="AD108" s="70"/>
      <c r="AE108" s="70"/>
      <c r="AF108" s="70"/>
      <c r="AG108" s="70"/>
    </row>
    <row r="109" spans="1:33" ht="37.15" customHeight="1" x14ac:dyDescent="0.15">
      <c r="A109" s="74"/>
      <c r="B109" s="145"/>
      <c r="C109" s="145"/>
      <c r="D109" s="145"/>
      <c r="E109" s="145"/>
      <c r="F109" s="145"/>
      <c r="G109" s="145"/>
      <c r="H109" s="145"/>
      <c r="I109" s="145"/>
      <c r="J109" s="145"/>
      <c r="K109" s="145"/>
      <c r="L109" s="145"/>
      <c r="M109" s="145"/>
      <c r="N109" s="145"/>
      <c r="O109" s="145"/>
      <c r="P109" s="145"/>
      <c r="Q109" s="145"/>
      <c r="R109" s="145"/>
      <c r="S109" s="145"/>
      <c r="T109" s="145"/>
      <c r="U109" s="145"/>
      <c r="V109" s="70"/>
      <c r="W109" s="70"/>
      <c r="X109" s="70"/>
      <c r="Y109" s="70"/>
      <c r="Z109" s="70"/>
      <c r="AA109" s="70"/>
      <c r="AB109" s="70"/>
      <c r="AC109" s="70"/>
      <c r="AD109" s="70"/>
      <c r="AE109" s="70"/>
      <c r="AF109" s="70"/>
      <c r="AG109" s="70"/>
    </row>
    <row r="110" spans="1:33" ht="18.75" customHeight="1" x14ac:dyDescent="0.15">
      <c r="A110" s="74"/>
      <c r="B110" s="88" t="s">
        <v>125</v>
      </c>
      <c r="C110" s="88"/>
      <c r="D110" s="88"/>
      <c r="E110" s="88"/>
      <c r="F110" s="88"/>
      <c r="G110" s="88"/>
      <c r="H110" s="88"/>
      <c r="I110" s="88"/>
      <c r="J110" s="88"/>
      <c r="K110" s="88"/>
      <c r="L110" s="88"/>
      <c r="M110" s="88"/>
      <c r="N110" s="88"/>
      <c r="O110" s="88"/>
      <c r="P110" s="88"/>
      <c r="Q110" s="88"/>
      <c r="R110" s="88"/>
      <c r="S110" s="88"/>
      <c r="T110" s="88"/>
      <c r="U110" s="88"/>
      <c r="V110" s="70"/>
      <c r="W110" s="70"/>
      <c r="X110" s="70"/>
      <c r="Y110" s="70"/>
      <c r="Z110" s="70"/>
      <c r="AA110" s="70"/>
      <c r="AB110" s="70"/>
      <c r="AC110" s="70"/>
      <c r="AD110" s="70"/>
      <c r="AE110" s="70"/>
      <c r="AF110" s="70"/>
      <c r="AG110" s="70"/>
    </row>
    <row r="111" spans="1:33" ht="18.75" customHeight="1" x14ac:dyDescent="0.15">
      <c r="A111" s="74"/>
      <c r="B111" s="101" t="s">
        <v>53</v>
      </c>
      <c r="C111" s="101"/>
      <c r="D111" s="101"/>
      <c r="E111" s="101"/>
      <c r="F111" s="101"/>
      <c r="G111" s="101"/>
      <c r="H111" s="101"/>
      <c r="I111" s="101"/>
      <c r="J111" s="101"/>
      <c r="K111" s="101"/>
      <c r="L111" s="101"/>
      <c r="M111" s="101"/>
      <c r="N111" s="101"/>
      <c r="O111" s="101"/>
      <c r="P111" s="101"/>
      <c r="Q111" s="101"/>
      <c r="R111" s="101"/>
      <c r="S111" s="101"/>
      <c r="T111" s="101"/>
      <c r="U111" s="101"/>
      <c r="V111" s="69"/>
      <c r="W111" s="69"/>
      <c r="X111" s="69"/>
      <c r="Y111" s="69"/>
      <c r="Z111" s="69"/>
      <c r="AA111" s="69"/>
      <c r="AB111" s="69"/>
      <c r="AC111" s="69"/>
      <c r="AD111" s="69"/>
      <c r="AE111" s="69"/>
      <c r="AF111" s="69"/>
      <c r="AG111" s="69"/>
    </row>
    <row r="112" spans="1:33" ht="132" customHeight="1" x14ac:dyDescent="0.15">
      <c r="A112" s="74"/>
      <c r="B112" s="102"/>
      <c r="C112" s="102"/>
      <c r="D112" s="102"/>
      <c r="E112" s="102"/>
      <c r="F112" s="102"/>
      <c r="G112" s="102"/>
      <c r="H112" s="102"/>
      <c r="I112" s="102"/>
      <c r="J112" s="102"/>
      <c r="K112" s="102"/>
      <c r="L112" s="102"/>
      <c r="M112" s="102"/>
      <c r="N112" s="102"/>
      <c r="O112" s="102"/>
      <c r="P112" s="102"/>
      <c r="Q112" s="102"/>
      <c r="R112" s="102"/>
      <c r="S112" s="102"/>
      <c r="T112" s="102"/>
      <c r="U112" s="102"/>
      <c r="V112" s="71"/>
      <c r="W112" s="71"/>
      <c r="X112" s="71"/>
      <c r="Y112" s="71"/>
      <c r="Z112" s="71"/>
      <c r="AA112" s="71"/>
      <c r="AB112" s="71"/>
      <c r="AC112" s="71"/>
      <c r="AD112" s="71"/>
      <c r="AE112" s="71"/>
      <c r="AF112" s="71"/>
      <c r="AG112" s="71"/>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C6734A2B-B213-47D5-941F-7D30B561CF60}">
      <formula1>$X$16:$X$18</formula1>
    </dataValidation>
    <dataValidation type="list" allowBlank="1" showInputMessage="1" showErrorMessage="1" sqref="G81:G88 R81:R88 H81:J82 H85:J88 S85:U88 S81:U82" xr:uid="{BC7AB549-DD58-4C34-B02C-67408C02E0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988E4FF-C264-447E-92DA-76399768F808}">
      <formula1>"学部・学科によって、修了要件は相違する,学部・学科によって、修了要件は相違しない"</formula1>
    </dataValidation>
    <dataValidation type="list" allowBlank="1" showInputMessage="1" showErrorMessage="1" sqref="U34 U45 E34:H34 E45:H45" xr:uid="{FF9DEFA1-6356-42C3-A41E-6B1545FEC008}">
      <formula1>"全学開講,一部開講"</formula1>
    </dataValidation>
    <dataValidation type="list" allowBlank="1" showInputMessage="1" showErrorMessage="1" sqref="H27:J33 S27:U33 R71:U77 S38:U44 H38:J44 S49:U55 H49:J55 S60:U66 G71:J77 H60:J66" xr:uid="{6C3F02A2-829C-4F5B-88BD-25BBD4F690B2}">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F14" sqref="F14"/>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5"/>
      <c r="B1" s="75"/>
      <c r="C1" s="75"/>
      <c r="D1" s="75"/>
      <c r="E1" s="75"/>
      <c r="F1" s="75"/>
      <c r="G1" s="75"/>
      <c r="H1" s="75"/>
      <c r="I1" s="75"/>
      <c r="J1" s="75"/>
      <c r="K1" s="75"/>
      <c r="L1" s="75"/>
      <c r="M1" s="75"/>
      <c r="N1" s="75"/>
      <c r="O1" s="75"/>
      <c r="P1" s="75"/>
      <c r="Q1" s="75"/>
      <c r="R1" s="75"/>
      <c r="S1" s="75" t="s">
        <v>97</v>
      </c>
    </row>
    <row r="2" spans="1:21" ht="18" customHeight="1" x14ac:dyDescent="0.15">
      <c r="A2" s="75"/>
      <c r="B2" s="75"/>
      <c r="C2" s="75"/>
      <c r="D2" s="75"/>
      <c r="E2" s="75"/>
      <c r="F2" s="75"/>
      <c r="G2" s="75"/>
      <c r="H2" s="75"/>
      <c r="I2" s="75"/>
      <c r="J2" s="75"/>
      <c r="K2" s="75"/>
      <c r="L2" s="75"/>
      <c r="M2" s="75"/>
      <c r="N2" s="75"/>
      <c r="O2" s="75"/>
      <c r="P2" s="75"/>
      <c r="Q2" s="188" t="str">
        <f>'様式１-1　プログラムを構成する授業科目'!C2</f>
        <v>愛知工業大学</v>
      </c>
      <c r="R2" s="188"/>
      <c r="S2" s="188"/>
    </row>
    <row r="3" spans="1:21" ht="18" customHeight="1" x14ac:dyDescent="0.15">
      <c r="A3" s="119" t="s">
        <v>46</v>
      </c>
      <c r="B3" s="119"/>
      <c r="C3" s="119"/>
      <c r="D3" s="119"/>
      <c r="E3" s="119"/>
      <c r="F3" s="119"/>
      <c r="G3" s="119"/>
      <c r="H3" s="119"/>
      <c r="I3" s="119"/>
      <c r="J3" s="119"/>
      <c r="K3" s="119"/>
      <c r="L3" s="119"/>
      <c r="M3" s="119"/>
      <c r="N3" s="119"/>
      <c r="O3" s="119"/>
      <c r="P3" s="119"/>
      <c r="Q3" s="119"/>
      <c r="R3" s="119"/>
      <c r="S3" s="119"/>
    </row>
    <row r="4" spans="1:21" ht="7.5" customHeight="1" x14ac:dyDescent="0.15">
      <c r="A4" s="80"/>
      <c r="B4" s="80"/>
      <c r="C4" s="80"/>
      <c r="D4" s="80"/>
      <c r="E4" s="80"/>
      <c r="F4" s="80"/>
      <c r="G4" s="80"/>
      <c r="H4" s="80"/>
      <c r="I4" s="80"/>
      <c r="J4" s="80"/>
      <c r="K4" s="80"/>
      <c r="L4" s="80"/>
      <c r="M4" s="80"/>
      <c r="N4" s="80"/>
      <c r="O4" s="80"/>
      <c r="P4" s="80"/>
      <c r="Q4" s="80"/>
      <c r="R4" s="80"/>
      <c r="S4" s="80"/>
    </row>
    <row r="5" spans="1:21" ht="18" customHeight="1" x14ac:dyDescent="0.15">
      <c r="A5" s="75" t="s">
        <v>79</v>
      </c>
      <c r="B5" s="75"/>
      <c r="C5" s="142" t="s">
        <v>141</v>
      </c>
      <c r="D5" s="144"/>
      <c r="E5" s="80" t="s">
        <v>50</v>
      </c>
      <c r="F5" s="80"/>
      <c r="G5" s="80"/>
      <c r="H5" s="80"/>
      <c r="I5" s="80"/>
      <c r="J5" s="80"/>
      <c r="K5" s="80"/>
      <c r="L5" s="80"/>
      <c r="M5" s="80"/>
      <c r="N5" s="80"/>
      <c r="O5" s="80"/>
      <c r="P5" s="80"/>
      <c r="Q5" s="80"/>
      <c r="R5" s="78"/>
      <c r="S5" s="78"/>
    </row>
    <row r="6" spans="1:21" ht="7.15" customHeight="1" x14ac:dyDescent="0.15">
      <c r="A6" s="75"/>
      <c r="B6" s="75"/>
      <c r="C6" s="85"/>
      <c r="D6" s="85"/>
      <c r="E6" s="80"/>
      <c r="F6" s="80"/>
      <c r="G6" s="80"/>
      <c r="H6" s="80"/>
      <c r="I6" s="80"/>
      <c r="J6" s="80"/>
      <c r="K6" s="80"/>
      <c r="L6" s="80"/>
      <c r="M6" s="80"/>
      <c r="N6" s="80"/>
      <c r="O6" s="80"/>
      <c r="P6" s="80"/>
      <c r="Q6" s="80"/>
      <c r="R6" s="78"/>
      <c r="S6" s="78"/>
    </row>
    <row r="7" spans="1:21" ht="18" customHeight="1" x14ac:dyDescent="0.15">
      <c r="A7" s="75" t="s">
        <v>117</v>
      </c>
      <c r="B7" s="75"/>
      <c r="C7" s="85"/>
      <c r="D7" s="85"/>
      <c r="E7" s="80" t="s">
        <v>118</v>
      </c>
      <c r="F7" s="83">
        <v>5217</v>
      </c>
      <c r="G7" s="81" t="s">
        <v>119</v>
      </c>
      <c r="H7" s="80" t="s">
        <v>120</v>
      </c>
      <c r="I7" s="83">
        <v>808</v>
      </c>
      <c r="J7" s="81" t="s">
        <v>119</v>
      </c>
      <c r="K7" s="77" t="s">
        <v>121</v>
      </c>
      <c r="L7" s="80" t="s">
        <v>122</v>
      </c>
      <c r="M7" s="83">
        <f>F7+I7</f>
        <v>6025</v>
      </c>
      <c r="N7" s="80" t="s">
        <v>1</v>
      </c>
      <c r="O7" s="81" t="s">
        <v>123</v>
      </c>
      <c r="P7" s="80"/>
      <c r="Q7" s="80"/>
      <c r="R7" s="78"/>
      <c r="S7" s="78"/>
    </row>
    <row r="8" spans="1:21" ht="6" customHeight="1" x14ac:dyDescent="0.15">
      <c r="A8" s="80"/>
      <c r="B8" s="80"/>
      <c r="C8" s="80"/>
      <c r="D8" s="80"/>
      <c r="E8" s="80"/>
      <c r="F8" s="80"/>
      <c r="G8" s="80"/>
      <c r="H8" s="80"/>
      <c r="I8" s="80"/>
      <c r="J8" s="80"/>
      <c r="K8" s="80"/>
      <c r="L8" s="80"/>
      <c r="M8" s="80"/>
      <c r="N8" s="80"/>
      <c r="O8" s="80"/>
      <c r="P8" s="80"/>
      <c r="Q8" s="80"/>
      <c r="R8" s="80"/>
      <c r="S8" s="80"/>
    </row>
    <row r="9" spans="1:21" ht="18" customHeight="1" x14ac:dyDescent="0.15">
      <c r="A9" s="75" t="s">
        <v>134</v>
      </c>
      <c r="B9" s="80"/>
      <c r="C9" s="80"/>
      <c r="D9" s="80"/>
      <c r="E9" s="80"/>
      <c r="F9" s="80"/>
      <c r="G9" s="80"/>
      <c r="H9" s="80"/>
      <c r="I9" s="80"/>
      <c r="J9" s="80"/>
      <c r="K9" s="80"/>
      <c r="L9" s="80"/>
      <c r="M9" s="80"/>
      <c r="N9" s="80"/>
      <c r="O9" s="80"/>
      <c r="P9" s="80"/>
      <c r="Q9" s="80"/>
      <c r="R9" s="80"/>
      <c r="S9" s="8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89" t="s">
        <v>43</v>
      </c>
      <c r="C11" s="199" t="s">
        <v>82</v>
      </c>
      <c r="D11" s="191" t="s">
        <v>45</v>
      </c>
      <c r="E11" s="193" t="s">
        <v>38</v>
      </c>
      <c r="F11" s="187" t="s">
        <v>111</v>
      </c>
      <c r="G11" s="187"/>
      <c r="H11" s="187" t="s">
        <v>81</v>
      </c>
      <c r="I11" s="187"/>
      <c r="J11" s="187" t="s">
        <v>47</v>
      </c>
      <c r="K11" s="187"/>
      <c r="L11" s="187" t="s">
        <v>48</v>
      </c>
      <c r="M11" s="187"/>
      <c r="N11" s="187" t="s">
        <v>91</v>
      </c>
      <c r="O11" s="187"/>
      <c r="P11" s="187" t="s">
        <v>49</v>
      </c>
      <c r="Q11" s="187"/>
      <c r="R11" s="195" t="s">
        <v>34</v>
      </c>
      <c r="S11" s="197" t="s">
        <v>31</v>
      </c>
      <c r="U11" s="2"/>
    </row>
    <row r="12" spans="1:21" ht="16.899999999999999" customHeight="1" x14ac:dyDescent="0.15">
      <c r="B12" s="190"/>
      <c r="C12" s="200"/>
      <c r="D12" s="192"/>
      <c r="E12" s="194"/>
      <c r="F12" s="64" t="s">
        <v>90</v>
      </c>
      <c r="G12" s="64" t="s">
        <v>28</v>
      </c>
      <c r="H12" s="64" t="s">
        <v>90</v>
      </c>
      <c r="I12" s="64" t="s">
        <v>28</v>
      </c>
      <c r="J12" s="64" t="s">
        <v>90</v>
      </c>
      <c r="K12" s="64" t="s">
        <v>28</v>
      </c>
      <c r="L12" s="64" t="s">
        <v>90</v>
      </c>
      <c r="M12" s="64" t="s">
        <v>28</v>
      </c>
      <c r="N12" s="64" t="s">
        <v>90</v>
      </c>
      <c r="O12" s="64" t="s">
        <v>28</v>
      </c>
      <c r="P12" s="64" t="s">
        <v>90</v>
      </c>
      <c r="Q12" s="65" t="s">
        <v>28</v>
      </c>
      <c r="R12" s="196"/>
      <c r="S12" s="198"/>
      <c r="U12" s="2"/>
    </row>
    <row r="13" spans="1:21" ht="18" customHeight="1" x14ac:dyDescent="0.15">
      <c r="A13" s="6"/>
      <c r="B13" s="66" t="s">
        <v>142</v>
      </c>
      <c r="C13" s="52">
        <v>4501</v>
      </c>
      <c r="D13" s="53">
        <v>985</v>
      </c>
      <c r="E13" s="54">
        <v>3940</v>
      </c>
      <c r="F13" s="54">
        <v>1163</v>
      </c>
      <c r="G13" s="54">
        <v>940</v>
      </c>
      <c r="H13" s="54"/>
      <c r="I13" s="54"/>
      <c r="J13" s="54"/>
      <c r="K13" s="54"/>
      <c r="L13" s="54"/>
      <c r="M13" s="54"/>
      <c r="N13" s="54"/>
      <c r="O13" s="54"/>
      <c r="P13" s="54"/>
      <c r="Q13" s="67"/>
      <c r="R13" s="53">
        <f t="shared" ref="R13:R32" si="0">F13+H13+J13+L13+N13+P13</f>
        <v>1163</v>
      </c>
      <c r="S13" s="87">
        <f t="shared" ref="S13:S33" si="1">R13/E13</f>
        <v>0.29517766497461928</v>
      </c>
    </row>
    <row r="14" spans="1:21" ht="18" customHeight="1" x14ac:dyDescent="0.15">
      <c r="A14" s="6"/>
      <c r="B14" s="11" t="s">
        <v>143</v>
      </c>
      <c r="C14" s="55">
        <v>607</v>
      </c>
      <c r="D14" s="56">
        <v>130</v>
      </c>
      <c r="E14" s="57">
        <v>520</v>
      </c>
      <c r="F14" s="58">
        <v>149</v>
      </c>
      <c r="G14" s="58">
        <v>0</v>
      </c>
      <c r="H14" s="58"/>
      <c r="I14" s="58"/>
      <c r="J14" s="58"/>
      <c r="K14" s="58"/>
      <c r="L14" s="58"/>
      <c r="M14" s="58"/>
      <c r="N14" s="58"/>
      <c r="O14" s="58"/>
      <c r="P14" s="58"/>
      <c r="Q14" s="55"/>
      <c r="R14" s="56">
        <f t="shared" si="0"/>
        <v>149</v>
      </c>
      <c r="S14" s="16">
        <f t="shared" si="1"/>
        <v>0.28653846153846152</v>
      </c>
    </row>
    <row r="15" spans="1:21" ht="18" customHeight="1" x14ac:dyDescent="0.15">
      <c r="A15" s="6"/>
      <c r="B15" s="11" t="s">
        <v>144</v>
      </c>
      <c r="C15" s="55">
        <v>917</v>
      </c>
      <c r="D15" s="56">
        <v>200</v>
      </c>
      <c r="E15" s="57">
        <v>800</v>
      </c>
      <c r="F15" s="58">
        <v>228</v>
      </c>
      <c r="G15" s="58">
        <v>226</v>
      </c>
      <c r="H15" s="58"/>
      <c r="I15" s="58"/>
      <c r="J15" s="58"/>
      <c r="K15" s="58"/>
      <c r="L15" s="58"/>
      <c r="M15" s="58"/>
      <c r="N15" s="58"/>
      <c r="O15" s="58"/>
      <c r="P15" s="58"/>
      <c r="Q15" s="55"/>
      <c r="R15" s="56">
        <f t="shared" si="0"/>
        <v>228</v>
      </c>
      <c r="S15" s="8">
        <f t="shared" si="1"/>
        <v>0.28499999999999998</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32</v>
      </c>
      <c r="C33" s="61">
        <f t="shared" ref="C33" si="2">SUM(C13:C32)</f>
        <v>6025</v>
      </c>
      <c r="D33" s="62">
        <f t="shared" ref="D33:R33" si="3">SUM(D13:D32)</f>
        <v>1315</v>
      </c>
      <c r="E33" s="63">
        <f t="shared" si="3"/>
        <v>5260</v>
      </c>
      <c r="F33" s="63">
        <f t="shared" si="3"/>
        <v>1540</v>
      </c>
      <c r="G33" s="63">
        <f t="shared" ref="G33:H33" si="4">SUM(G13:G32)</f>
        <v>1166</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1540</v>
      </c>
      <c r="S33" s="9">
        <f t="shared" si="1"/>
        <v>0.29277566539923955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Q11" sqref="Q11"/>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62</v>
      </c>
      <c r="I1" s="30" t="s">
        <v>96</v>
      </c>
    </row>
    <row r="2" spans="1:9" ht="18.75" customHeight="1" x14ac:dyDescent="0.15">
      <c r="G2" s="30" t="s">
        <v>98</v>
      </c>
      <c r="H2" s="92" t="str">
        <f>'様式１-1　プログラムを構成する授業科目'!C2</f>
        <v>愛知工業大学</v>
      </c>
      <c r="I2" s="94"/>
    </row>
    <row r="3" spans="1:9" ht="18.75" customHeight="1" x14ac:dyDescent="0.15">
      <c r="G3" s="30"/>
      <c r="H3" s="10"/>
      <c r="I3" s="10"/>
    </row>
    <row r="4" spans="1:9" ht="18.600000000000001" customHeight="1" x14ac:dyDescent="0.15">
      <c r="A4" s="202" t="s">
        <v>35</v>
      </c>
      <c r="B4" s="202"/>
      <c r="C4" s="202"/>
      <c r="D4" s="202"/>
      <c r="E4" s="202"/>
      <c r="F4" s="202"/>
      <c r="G4" s="202"/>
      <c r="H4" s="202"/>
      <c r="I4" s="202"/>
    </row>
    <row r="5" spans="1:9" ht="13.15" customHeight="1" x14ac:dyDescent="0.15">
      <c r="B5" s="3"/>
      <c r="C5" s="3"/>
      <c r="D5" s="3"/>
      <c r="E5" s="3"/>
      <c r="F5" s="3"/>
      <c r="G5" s="3"/>
      <c r="H5" s="3"/>
      <c r="I5" s="3"/>
    </row>
    <row r="6" spans="1:9" ht="18" customHeight="1" x14ac:dyDescent="0.15">
      <c r="A6" s="1" t="s">
        <v>0</v>
      </c>
      <c r="B6" s="10" t="s">
        <v>85</v>
      </c>
      <c r="C6" s="231" t="s">
        <v>86</v>
      </c>
      <c r="D6" s="231"/>
      <c r="E6" s="29">
        <v>170</v>
      </c>
      <c r="F6" s="3" t="s">
        <v>1</v>
      </c>
      <c r="G6" s="3" t="s">
        <v>2</v>
      </c>
      <c r="H6" s="29">
        <v>324</v>
      </c>
      <c r="I6" s="10" t="s">
        <v>1</v>
      </c>
    </row>
    <row r="7" spans="1:9" ht="12" customHeight="1" x14ac:dyDescent="0.15">
      <c r="C7" s="2"/>
      <c r="D7" s="2"/>
      <c r="E7" s="2"/>
      <c r="F7" s="2"/>
      <c r="G7" s="2"/>
      <c r="H7" s="2"/>
      <c r="I7" s="33"/>
    </row>
    <row r="8" spans="1:9" ht="18" customHeight="1" x14ac:dyDescent="0.15">
      <c r="A8" s="1" t="s">
        <v>3</v>
      </c>
      <c r="B8" s="10" t="s">
        <v>87</v>
      </c>
      <c r="E8" s="3"/>
      <c r="F8" s="3"/>
      <c r="G8" s="3"/>
      <c r="H8" s="29">
        <v>39</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30" t="s">
        <v>41</v>
      </c>
      <c r="C11" s="226" t="s">
        <v>145</v>
      </c>
      <c r="D11" s="229"/>
      <c r="E11" s="230"/>
      <c r="F11" s="33"/>
      <c r="G11" s="30" t="s">
        <v>10</v>
      </c>
      <c r="H11" s="226" t="s">
        <v>146</v>
      </c>
      <c r="I11" s="230"/>
    </row>
    <row r="12" spans="1:9" ht="10.15" customHeight="1" x14ac:dyDescent="0.15">
      <c r="B12" s="30"/>
      <c r="C12" s="10"/>
      <c r="D12" s="33"/>
      <c r="E12" s="33"/>
      <c r="F12" s="33"/>
      <c r="G12" s="30"/>
      <c r="H12" s="10"/>
      <c r="I12" s="33"/>
    </row>
    <row r="13" spans="1:9" ht="18" customHeight="1" x14ac:dyDescent="0.15">
      <c r="A13" s="1" t="s">
        <v>7</v>
      </c>
      <c r="B13" s="10" t="s">
        <v>83</v>
      </c>
      <c r="C13" s="3"/>
      <c r="D13" s="3"/>
      <c r="E13" s="3"/>
      <c r="F13" s="3"/>
      <c r="G13" s="3"/>
      <c r="H13" s="3"/>
      <c r="I13" s="3"/>
    </row>
    <row r="14" spans="1:9" ht="18" customHeight="1" x14ac:dyDescent="0.15">
      <c r="B14" s="226" t="s">
        <v>147</v>
      </c>
      <c r="C14" s="227"/>
      <c r="D14" s="227"/>
      <c r="E14" s="227"/>
      <c r="F14" s="227"/>
      <c r="G14" s="227"/>
      <c r="H14" s="227"/>
      <c r="I14" s="228"/>
    </row>
    <row r="15" spans="1:9" ht="9" customHeight="1" x14ac:dyDescent="0.15">
      <c r="B15" s="3"/>
      <c r="C15" s="3"/>
      <c r="D15" s="3"/>
      <c r="E15" s="3"/>
      <c r="F15" s="3"/>
      <c r="G15" s="3"/>
      <c r="H15" s="3"/>
      <c r="I15" s="3"/>
    </row>
    <row r="16" spans="1:9" ht="18" customHeight="1" x14ac:dyDescent="0.15">
      <c r="B16" s="30" t="s">
        <v>41</v>
      </c>
      <c r="C16" s="226" t="s">
        <v>145</v>
      </c>
      <c r="D16" s="229"/>
      <c r="E16" s="230"/>
      <c r="F16" s="33"/>
      <c r="G16" s="30" t="s">
        <v>10</v>
      </c>
      <c r="H16" s="226" t="s">
        <v>146</v>
      </c>
      <c r="I16" s="230"/>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03" t="s">
        <v>220</v>
      </c>
      <c r="C19" s="204"/>
      <c r="D19" s="204"/>
      <c r="E19" s="204"/>
      <c r="F19" s="204"/>
      <c r="G19" s="204"/>
      <c r="H19" s="204"/>
      <c r="I19" s="205"/>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206" t="s">
        <v>204</v>
      </c>
      <c r="C22" s="207"/>
      <c r="D22" s="207"/>
      <c r="E22" s="207"/>
      <c r="F22" s="207"/>
      <c r="G22" s="207"/>
      <c r="H22" s="207"/>
      <c r="I22" s="208"/>
    </row>
    <row r="23" spans="1:9" ht="18.75" customHeight="1" x14ac:dyDescent="0.15">
      <c r="A23" s="14"/>
      <c r="B23" s="209"/>
      <c r="C23" s="210"/>
      <c r="D23" s="210"/>
      <c r="E23" s="210"/>
      <c r="F23" s="210"/>
      <c r="G23" s="210"/>
      <c r="H23" s="210"/>
      <c r="I23" s="211"/>
    </row>
    <row r="24" spans="1:9" ht="18.75" customHeight="1" x14ac:dyDescent="0.15">
      <c r="A24" s="14"/>
      <c r="B24" s="209"/>
      <c r="C24" s="210"/>
      <c r="D24" s="210"/>
      <c r="E24" s="210"/>
      <c r="F24" s="210"/>
      <c r="G24" s="210"/>
      <c r="H24" s="210"/>
      <c r="I24" s="211"/>
    </row>
    <row r="25" spans="1:9" ht="18.75" customHeight="1" x14ac:dyDescent="0.15">
      <c r="A25" s="14"/>
      <c r="B25" s="209"/>
      <c r="C25" s="210"/>
      <c r="D25" s="210"/>
      <c r="E25" s="210"/>
      <c r="F25" s="210"/>
      <c r="G25" s="210"/>
      <c r="H25" s="210"/>
      <c r="I25" s="211"/>
    </row>
    <row r="26" spans="1:9" ht="18.75" customHeight="1" x14ac:dyDescent="0.15">
      <c r="A26" s="14"/>
      <c r="B26" s="209"/>
      <c r="C26" s="210"/>
      <c r="D26" s="210"/>
      <c r="E26" s="210"/>
      <c r="F26" s="210"/>
      <c r="G26" s="210"/>
      <c r="H26" s="210"/>
      <c r="I26" s="211"/>
    </row>
    <row r="27" spans="1:9" ht="18.75" customHeight="1" x14ac:dyDescent="0.15">
      <c r="A27" s="14"/>
      <c r="B27" s="209"/>
      <c r="C27" s="210"/>
      <c r="D27" s="210"/>
      <c r="E27" s="210"/>
      <c r="F27" s="210"/>
      <c r="G27" s="210"/>
      <c r="H27" s="210"/>
      <c r="I27" s="211"/>
    </row>
    <row r="28" spans="1:9" ht="18.75" customHeight="1" x14ac:dyDescent="0.15">
      <c r="A28" s="14"/>
      <c r="B28" s="209"/>
      <c r="C28" s="210"/>
      <c r="D28" s="210"/>
      <c r="E28" s="210"/>
      <c r="F28" s="210"/>
      <c r="G28" s="210"/>
      <c r="H28" s="210"/>
      <c r="I28" s="211"/>
    </row>
    <row r="29" spans="1:9" ht="18.75" customHeight="1" x14ac:dyDescent="0.15">
      <c r="A29" s="14"/>
      <c r="B29" s="209"/>
      <c r="C29" s="210"/>
      <c r="D29" s="210"/>
      <c r="E29" s="210"/>
      <c r="F29" s="210"/>
      <c r="G29" s="210"/>
      <c r="H29" s="210"/>
      <c r="I29" s="211"/>
    </row>
    <row r="30" spans="1:9" ht="18.75" customHeight="1" x14ac:dyDescent="0.15">
      <c r="A30" s="14"/>
      <c r="B30" s="212"/>
      <c r="C30" s="213"/>
      <c r="D30" s="213"/>
      <c r="E30" s="213"/>
      <c r="F30" s="213"/>
      <c r="G30" s="213"/>
      <c r="H30" s="213"/>
      <c r="I30" s="211"/>
    </row>
    <row r="31" spans="1:9" ht="18.75" customHeight="1" x14ac:dyDescent="0.15">
      <c r="A31" s="14"/>
      <c r="B31" s="212"/>
      <c r="C31" s="213"/>
      <c r="D31" s="213"/>
      <c r="E31" s="213"/>
      <c r="F31" s="213"/>
      <c r="G31" s="213"/>
      <c r="H31" s="213"/>
      <c r="I31" s="211"/>
    </row>
    <row r="32" spans="1:9" ht="18.75" customHeight="1" x14ac:dyDescent="0.15">
      <c r="A32" s="14"/>
      <c r="B32" s="214"/>
      <c r="C32" s="215"/>
      <c r="D32" s="215"/>
      <c r="E32" s="215"/>
      <c r="F32" s="215"/>
      <c r="G32" s="215"/>
      <c r="H32" s="215"/>
      <c r="I32" s="216"/>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7" t="s">
        <v>205</v>
      </c>
      <c r="C35" s="218"/>
      <c r="D35" s="218"/>
      <c r="E35" s="218"/>
      <c r="F35" s="218"/>
      <c r="G35" s="218"/>
      <c r="H35" s="218"/>
      <c r="I35" s="219"/>
    </row>
    <row r="36" spans="1:9" ht="18.75" customHeight="1" x14ac:dyDescent="0.15">
      <c r="A36" s="14"/>
      <c r="B36" s="220"/>
      <c r="C36" s="221"/>
      <c r="D36" s="221"/>
      <c r="E36" s="221"/>
      <c r="F36" s="221"/>
      <c r="G36" s="221"/>
      <c r="H36" s="221"/>
      <c r="I36" s="222"/>
    </row>
    <row r="37" spans="1:9" ht="18.75" customHeight="1" x14ac:dyDescent="0.15">
      <c r="A37" s="14"/>
      <c r="B37" s="220"/>
      <c r="C37" s="221"/>
      <c r="D37" s="221"/>
      <c r="E37" s="221"/>
      <c r="F37" s="221"/>
      <c r="G37" s="221"/>
      <c r="H37" s="221"/>
      <c r="I37" s="222"/>
    </row>
    <row r="38" spans="1:9" ht="18.75" customHeight="1" x14ac:dyDescent="0.15">
      <c r="A38" s="14"/>
      <c r="B38" s="220"/>
      <c r="C38" s="221"/>
      <c r="D38" s="221"/>
      <c r="E38" s="221"/>
      <c r="F38" s="221"/>
      <c r="G38" s="221"/>
      <c r="H38" s="221"/>
      <c r="I38" s="222"/>
    </row>
    <row r="39" spans="1:9" ht="18.75" customHeight="1" x14ac:dyDescent="0.15">
      <c r="A39" s="14"/>
      <c r="B39" s="220"/>
      <c r="C39" s="221"/>
      <c r="D39" s="221"/>
      <c r="E39" s="221"/>
      <c r="F39" s="221"/>
      <c r="G39" s="221"/>
      <c r="H39" s="221"/>
      <c r="I39" s="222"/>
    </row>
    <row r="40" spans="1:9" ht="18.75" customHeight="1" x14ac:dyDescent="0.15">
      <c r="A40" s="14"/>
      <c r="B40" s="220"/>
      <c r="C40" s="221"/>
      <c r="D40" s="221"/>
      <c r="E40" s="221"/>
      <c r="F40" s="221"/>
      <c r="G40" s="221"/>
      <c r="H40" s="221"/>
      <c r="I40" s="222"/>
    </row>
    <row r="41" spans="1:9" ht="18.75" customHeight="1" x14ac:dyDescent="0.15">
      <c r="A41" s="14"/>
      <c r="B41" s="220"/>
      <c r="C41" s="221"/>
      <c r="D41" s="221"/>
      <c r="E41" s="221"/>
      <c r="F41" s="221"/>
      <c r="G41" s="221"/>
      <c r="H41" s="221"/>
      <c r="I41" s="222"/>
    </row>
    <row r="42" spans="1:9" ht="18.75" customHeight="1" x14ac:dyDescent="0.15">
      <c r="A42" s="14"/>
      <c r="B42" s="220"/>
      <c r="C42" s="221"/>
      <c r="D42" s="221"/>
      <c r="E42" s="221"/>
      <c r="F42" s="221"/>
      <c r="G42" s="221"/>
      <c r="H42" s="221"/>
      <c r="I42" s="222"/>
    </row>
    <row r="43" spans="1:9" ht="18.75" customHeight="1" x14ac:dyDescent="0.15">
      <c r="A43" s="14"/>
      <c r="B43" s="220"/>
      <c r="C43" s="221"/>
      <c r="D43" s="221"/>
      <c r="E43" s="221"/>
      <c r="F43" s="221"/>
      <c r="G43" s="221"/>
      <c r="H43" s="221"/>
      <c r="I43" s="222"/>
    </row>
    <row r="44" spans="1:9" ht="18.75" customHeight="1" x14ac:dyDescent="0.15">
      <c r="A44" s="14"/>
      <c r="B44" s="220"/>
      <c r="C44" s="221"/>
      <c r="D44" s="221"/>
      <c r="E44" s="221"/>
      <c r="F44" s="221"/>
      <c r="G44" s="221"/>
      <c r="H44" s="221"/>
      <c r="I44" s="222"/>
    </row>
    <row r="45" spans="1:9" ht="18.75" customHeight="1" x14ac:dyDescent="0.15">
      <c r="A45" s="14"/>
      <c r="B45" s="220"/>
      <c r="C45" s="221"/>
      <c r="D45" s="221"/>
      <c r="E45" s="221"/>
      <c r="F45" s="221"/>
      <c r="G45" s="221"/>
      <c r="H45" s="221"/>
      <c r="I45" s="222"/>
    </row>
    <row r="46" spans="1:9" ht="18.75" customHeight="1" x14ac:dyDescent="0.15">
      <c r="A46" s="14"/>
      <c r="B46" s="223"/>
      <c r="C46" s="224"/>
      <c r="D46" s="224"/>
      <c r="E46" s="224"/>
      <c r="F46" s="224"/>
      <c r="G46" s="224"/>
      <c r="H46" s="224"/>
      <c r="I46" s="225"/>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34" t="s">
        <v>127</v>
      </c>
      <c r="C49" s="253">
        <f>'様式２ 履修者等数の実績'!S33</f>
        <v>0.29277566539923955</v>
      </c>
      <c r="D49" s="253"/>
      <c r="E49" s="34" t="s">
        <v>63</v>
      </c>
      <c r="F49" s="253">
        <v>0.4</v>
      </c>
      <c r="G49" s="253"/>
      <c r="H49" s="34" t="s">
        <v>64</v>
      </c>
      <c r="I49" s="35">
        <v>0.6</v>
      </c>
      <c r="J49" s="1"/>
      <c r="M49" s="1"/>
      <c r="N49" s="36"/>
    </row>
    <row r="50" spans="1:15" s="3" customFormat="1" ht="18.75" customHeight="1" x14ac:dyDescent="0.15">
      <c r="B50" s="37" t="s">
        <v>84</v>
      </c>
      <c r="C50" s="236">
        <v>0.8</v>
      </c>
      <c r="D50" s="236"/>
      <c r="E50" s="37" t="s">
        <v>128</v>
      </c>
      <c r="F50" s="236">
        <v>0.9</v>
      </c>
      <c r="G50" s="236"/>
      <c r="H50" s="37" t="s">
        <v>65</v>
      </c>
      <c r="I50" s="38">
        <f>'様式２ 履修者等数の実績'!E33</f>
        <v>5260</v>
      </c>
      <c r="J50" s="1"/>
      <c r="M50" s="1"/>
      <c r="N50" s="36"/>
    </row>
    <row r="51" spans="1:15" ht="18.75" customHeight="1" x14ac:dyDescent="0.15">
      <c r="A51" s="1"/>
      <c r="B51" s="233" t="s">
        <v>66</v>
      </c>
      <c r="C51" s="234"/>
      <c r="D51" s="234"/>
      <c r="E51" s="234"/>
      <c r="F51" s="234"/>
      <c r="G51" s="234"/>
      <c r="H51" s="234"/>
      <c r="I51" s="235"/>
      <c r="N51" s="36"/>
      <c r="O51" s="3"/>
    </row>
    <row r="52" spans="1:15" ht="18.75" customHeight="1" x14ac:dyDescent="0.15">
      <c r="A52" s="1"/>
      <c r="B52" s="254" t="s">
        <v>215</v>
      </c>
      <c r="C52" s="255"/>
      <c r="D52" s="255"/>
      <c r="E52" s="255"/>
      <c r="F52" s="255"/>
      <c r="G52" s="255"/>
      <c r="H52" s="255"/>
      <c r="I52" s="256"/>
      <c r="N52" s="36"/>
      <c r="O52" s="3"/>
    </row>
    <row r="53" spans="1:15" ht="18.75" customHeight="1" x14ac:dyDescent="0.15">
      <c r="A53" s="1"/>
      <c r="B53" s="257"/>
      <c r="C53" s="258"/>
      <c r="D53" s="258"/>
      <c r="E53" s="258"/>
      <c r="F53" s="258"/>
      <c r="G53" s="258"/>
      <c r="H53" s="258"/>
      <c r="I53" s="259"/>
      <c r="N53" s="36"/>
      <c r="O53" s="3"/>
    </row>
    <row r="54" spans="1:15" ht="18.75" customHeight="1" x14ac:dyDescent="0.15">
      <c r="A54" s="1"/>
      <c r="B54" s="257"/>
      <c r="C54" s="258"/>
      <c r="D54" s="258"/>
      <c r="E54" s="258"/>
      <c r="F54" s="258"/>
      <c r="G54" s="258"/>
      <c r="H54" s="258"/>
      <c r="I54" s="259"/>
    </row>
    <row r="55" spans="1:15" ht="18.75" customHeight="1" x14ac:dyDescent="0.15">
      <c r="A55" s="1"/>
      <c r="B55" s="257"/>
      <c r="C55" s="258"/>
      <c r="D55" s="258"/>
      <c r="E55" s="258"/>
      <c r="F55" s="258"/>
      <c r="G55" s="258"/>
      <c r="H55" s="258"/>
      <c r="I55" s="259"/>
    </row>
    <row r="56" spans="1:15" ht="18.75" customHeight="1" x14ac:dyDescent="0.15">
      <c r="A56" s="1"/>
      <c r="B56" s="257"/>
      <c r="C56" s="258"/>
      <c r="D56" s="258"/>
      <c r="E56" s="258"/>
      <c r="F56" s="258"/>
      <c r="G56" s="258"/>
      <c r="H56" s="258"/>
      <c r="I56" s="259"/>
    </row>
    <row r="57" spans="1:15" ht="18.75" customHeight="1" x14ac:dyDescent="0.15">
      <c r="A57" s="1"/>
      <c r="B57" s="257"/>
      <c r="C57" s="258"/>
      <c r="D57" s="258"/>
      <c r="E57" s="258"/>
      <c r="F57" s="258"/>
      <c r="G57" s="258"/>
      <c r="H57" s="258"/>
      <c r="I57" s="259"/>
    </row>
    <row r="58" spans="1:15" ht="18.75" customHeight="1" x14ac:dyDescent="0.15">
      <c r="A58" s="1"/>
      <c r="B58" s="257"/>
      <c r="C58" s="258"/>
      <c r="D58" s="258"/>
      <c r="E58" s="258"/>
      <c r="F58" s="258"/>
      <c r="G58" s="258"/>
      <c r="H58" s="258"/>
      <c r="I58" s="259"/>
    </row>
    <row r="59" spans="1:15" ht="18.75" customHeight="1" x14ac:dyDescent="0.15">
      <c r="A59" s="1"/>
      <c r="B59" s="257"/>
      <c r="C59" s="258"/>
      <c r="D59" s="258"/>
      <c r="E59" s="258"/>
      <c r="F59" s="258"/>
      <c r="G59" s="258"/>
      <c r="H59" s="258"/>
      <c r="I59" s="259"/>
    </row>
    <row r="60" spans="1:15" ht="18.75" customHeight="1" x14ac:dyDescent="0.15">
      <c r="A60" s="1"/>
      <c r="B60" s="257"/>
      <c r="C60" s="258"/>
      <c r="D60" s="258"/>
      <c r="E60" s="258"/>
      <c r="F60" s="258"/>
      <c r="G60" s="258"/>
      <c r="H60" s="258"/>
      <c r="I60" s="259"/>
    </row>
    <row r="61" spans="1:15" ht="18.75" customHeight="1" x14ac:dyDescent="0.15">
      <c r="A61" s="1"/>
      <c r="B61" s="257"/>
      <c r="C61" s="258"/>
      <c r="D61" s="258"/>
      <c r="E61" s="258"/>
      <c r="F61" s="258"/>
      <c r="G61" s="258"/>
      <c r="H61" s="258"/>
      <c r="I61" s="259"/>
    </row>
    <row r="62" spans="1:15" ht="18.75" customHeight="1" x14ac:dyDescent="0.15">
      <c r="A62" s="1"/>
      <c r="B62" s="257"/>
      <c r="C62" s="258"/>
      <c r="D62" s="258"/>
      <c r="E62" s="258"/>
      <c r="F62" s="258"/>
      <c r="G62" s="258"/>
      <c r="H62" s="258"/>
      <c r="I62" s="259"/>
    </row>
    <row r="63" spans="1:15" ht="18.75" customHeight="1" x14ac:dyDescent="0.15">
      <c r="A63" s="1"/>
      <c r="B63" s="260"/>
      <c r="C63" s="261"/>
      <c r="D63" s="261"/>
      <c r="E63" s="261"/>
      <c r="F63" s="261"/>
      <c r="G63" s="261"/>
      <c r="H63" s="261"/>
      <c r="I63" s="262"/>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37" t="s">
        <v>216</v>
      </c>
      <c r="C66" s="238"/>
      <c r="D66" s="238"/>
      <c r="E66" s="238"/>
      <c r="F66" s="238"/>
      <c r="G66" s="238"/>
      <c r="H66" s="238"/>
      <c r="I66" s="239"/>
    </row>
    <row r="67" spans="1:9" ht="18.75" customHeight="1" x14ac:dyDescent="0.15">
      <c r="A67" s="4"/>
      <c r="B67" s="240"/>
      <c r="C67" s="241"/>
      <c r="D67" s="241"/>
      <c r="E67" s="241"/>
      <c r="F67" s="241"/>
      <c r="G67" s="241"/>
      <c r="H67" s="241"/>
      <c r="I67" s="242"/>
    </row>
    <row r="68" spans="1:9" ht="18.75" customHeight="1" x14ac:dyDescent="0.15">
      <c r="A68" s="4"/>
      <c r="B68" s="240"/>
      <c r="C68" s="241"/>
      <c r="D68" s="241"/>
      <c r="E68" s="241"/>
      <c r="F68" s="241"/>
      <c r="G68" s="241"/>
      <c r="H68" s="241"/>
      <c r="I68" s="242"/>
    </row>
    <row r="69" spans="1:9" ht="18.75" customHeight="1" x14ac:dyDescent="0.15">
      <c r="A69" s="4"/>
      <c r="B69" s="240"/>
      <c r="C69" s="241"/>
      <c r="D69" s="241"/>
      <c r="E69" s="241"/>
      <c r="F69" s="241"/>
      <c r="G69" s="241"/>
      <c r="H69" s="241"/>
      <c r="I69" s="242"/>
    </row>
    <row r="70" spans="1:9" ht="18.75" customHeight="1" x14ac:dyDescent="0.15">
      <c r="A70" s="4"/>
      <c r="B70" s="240"/>
      <c r="C70" s="241"/>
      <c r="D70" s="241"/>
      <c r="E70" s="241"/>
      <c r="F70" s="241"/>
      <c r="G70" s="241"/>
      <c r="H70" s="241"/>
      <c r="I70" s="242"/>
    </row>
    <row r="71" spans="1:9" ht="18.75" customHeight="1" x14ac:dyDescent="0.15">
      <c r="A71" s="4"/>
      <c r="B71" s="240"/>
      <c r="C71" s="241"/>
      <c r="D71" s="241"/>
      <c r="E71" s="241"/>
      <c r="F71" s="241"/>
      <c r="G71" s="241"/>
      <c r="H71" s="241"/>
      <c r="I71" s="242"/>
    </row>
    <row r="72" spans="1:9" ht="18.75" customHeight="1" x14ac:dyDescent="0.15">
      <c r="A72" s="4"/>
      <c r="B72" s="240"/>
      <c r="C72" s="241"/>
      <c r="D72" s="241"/>
      <c r="E72" s="241"/>
      <c r="F72" s="241"/>
      <c r="G72" s="241"/>
      <c r="H72" s="241"/>
      <c r="I72" s="242"/>
    </row>
    <row r="73" spans="1:9" ht="18.75" customHeight="1" x14ac:dyDescent="0.15">
      <c r="A73" s="4"/>
      <c r="B73" s="240"/>
      <c r="C73" s="241"/>
      <c r="D73" s="241"/>
      <c r="E73" s="241"/>
      <c r="F73" s="241"/>
      <c r="G73" s="241"/>
      <c r="H73" s="241"/>
      <c r="I73" s="242"/>
    </row>
    <row r="74" spans="1:9" ht="18.75" customHeight="1" x14ac:dyDescent="0.15">
      <c r="A74" s="4"/>
      <c r="B74" s="240"/>
      <c r="C74" s="241"/>
      <c r="D74" s="241"/>
      <c r="E74" s="241"/>
      <c r="F74" s="241"/>
      <c r="G74" s="241"/>
      <c r="H74" s="241"/>
      <c r="I74" s="242"/>
    </row>
    <row r="75" spans="1:9" ht="18.75" customHeight="1" x14ac:dyDescent="0.15">
      <c r="A75" s="4"/>
      <c r="B75" s="240"/>
      <c r="C75" s="241"/>
      <c r="D75" s="241"/>
      <c r="E75" s="241"/>
      <c r="F75" s="241"/>
      <c r="G75" s="241"/>
      <c r="H75" s="241"/>
      <c r="I75" s="242"/>
    </row>
    <row r="76" spans="1:9" ht="18.75" customHeight="1" x14ac:dyDescent="0.15">
      <c r="A76" s="4"/>
      <c r="B76" s="240"/>
      <c r="C76" s="241"/>
      <c r="D76" s="241"/>
      <c r="E76" s="241"/>
      <c r="F76" s="241"/>
      <c r="G76" s="241"/>
      <c r="H76" s="241"/>
      <c r="I76" s="242"/>
    </row>
    <row r="77" spans="1:9" ht="18.75" customHeight="1" x14ac:dyDescent="0.15">
      <c r="A77" s="4"/>
      <c r="B77" s="243"/>
      <c r="C77" s="244"/>
      <c r="D77" s="244"/>
      <c r="E77" s="244"/>
      <c r="F77" s="244"/>
      <c r="G77" s="244"/>
      <c r="H77" s="244"/>
      <c r="I77" s="245"/>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37" t="s">
        <v>217</v>
      </c>
      <c r="C80" s="238"/>
      <c r="D80" s="238"/>
      <c r="E80" s="238"/>
      <c r="F80" s="238"/>
      <c r="G80" s="238"/>
      <c r="H80" s="238"/>
      <c r="I80" s="246"/>
    </row>
    <row r="81" spans="1:9" ht="18.75" customHeight="1" x14ac:dyDescent="0.15">
      <c r="A81" s="1"/>
      <c r="B81" s="247"/>
      <c r="C81" s="248"/>
      <c r="D81" s="248"/>
      <c r="E81" s="248"/>
      <c r="F81" s="248"/>
      <c r="G81" s="248"/>
      <c r="H81" s="248"/>
      <c r="I81" s="249"/>
    </row>
    <row r="82" spans="1:9" ht="18.75" customHeight="1" x14ac:dyDescent="0.15">
      <c r="A82" s="1"/>
      <c r="B82" s="247"/>
      <c r="C82" s="248"/>
      <c r="D82" s="248"/>
      <c r="E82" s="248"/>
      <c r="F82" s="248"/>
      <c r="G82" s="248"/>
      <c r="H82" s="248"/>
      <c r="I82" s="249"/>
    </row>
    <row r="83" spans="1:9" ht="18.75" customHeight="1" x14ac:dyDescent="0.15">
      <c r="A83" s="1"/>
      <c r="B83" s="247"/>
      <c r="C83" s="248"/>
      <c r="D83" s="248"/>
      <c r="E83" s="248"/>
      <c r="F83" s="248"/>
      <c r="G83" s="248"/>
      <c r="H83" s="248"/>
      <c r="I83" s="249"/>
    </row>
    <row r="84" spans="1:9" ht="18.75" customHeight="1" x14ac:dyDescent="0.15">
      <c r="A84" s="1"/>
      <c r="B84" s="247"/>
      <c r="C84" s="248"/>
      <c r="D84" s="248"/>
      <c r="E84" s="248"/>
      <c r="F84" s="248"/>
      <c r="G84" s="248"/>
      <c r="H84" s="248"/>
      <c r="I84" s="249"/>
    </row>
    <row r="85" spans="1:9" ht="18.75" customHeight="1" x14ac:dyDescent="0.15">
      <c r="A85" s="1"/>
      <c r="B85" s="247"/>
      <c r="C85" s="248"/>
      <c r="D85" s="248"/>
      <c r="E85" s="248"/>
      <c r="F85" s="248"/>
      <c r="G85" s="248"/>
      <c r="H85" s="248"/>
      <c r="I85" s="249"/>
    </row>
    <row r="86" spans="1:9" ht="18.75" customHeight="1" x14ac:dyDescent="0.15">
      <c r="A86" s="1"/>
      <c r="B86" s="247"/>
      <c r="C86" s="248"/>
      <c r="D86" s="248"/>
      <c r="E86" s="248"/>
      <c r="F86" s="248"/>
      <c r="G86" s="248"/>
      <c r="H86" s="248"/>
      <c r="I86" s="249"/>
    </row>
    <row r="87" spans="1:9" ht="18.75" customHeight="1" x14ac:dyDescent="0.15">
      <c r="A87" s="1"/>
      <c r="B87" s="247"/>
      <c r="C87" s="248"/>
      <c r="D87" s="248"/>
      <c r="E87" s="248"/>
      <c r="F87" s="248"/>
      <c r="G87" s="248"/>
      <c r="H87" s="248"/>
      <c r="I87" s="249"/>
    </row>
    <row r="88" spans="1:9" ht="18.75" customHeight="1" x14ac:dyDescent="0.15">
      <c r="A88" s="1"/>
      <c r="B88" s="247"/>
      <c r="C88" s="248"/>
      <c r="D88" s="248"/>
      <c r="E88" s="248"/>
      <c r="F88" s="248"/>
      <c r="G88" s="248"/>
      <c r="H88" s="248"/>
      <c r="I88" s="249"/>
    </row>
    <row r="89" spans="1:9" ht="18.75" customHeight="1" x14ac:dyDescent="0.15">
      <c r="A89" s="1"/>
      <c r="B89" s="247"/>
      <c r="C89" s="248"/>
      <c r="D89" s="248"/>
      <c r="E89" s="248"/>
      <c r="F89" s="248"/>
      <c r="G89" s="248"/>
      <c r="H89" s="248"/>
      <c r="I89" s="249"/>
    </row>
    <row r="90" spans="1:9" ht="18.75" customHeight="1" x14ac:dyDescent="0.15">
      <c r="A90" s="4"/>
      <c r="B90" s="247"/>
      <c r="C90" s="248"/>
      <c r="D90" s="248"/>
      <c r="E90" s="248"/>
      <c r="F90" s="248"/>
      <c r="G90" s="248"/>
      <c r="H90" s="248"/>
      <c r="I90" s="249"/>
    </row>
    <row r="91" spans="1:9" ht="18.75" customHeight="1" x14ac:dyDescent="0.15">
      <c r="A91" s="4"/>
      <c r="B91" s="250"/>
      <c r="C91" s="251"/>
      <c r="D91" s="251"/>
      <c r="E91" s="251"/>
      <c r="F91" s="251"/>
      <c r="G91" s="251"/>
      <c r="H91" s="251"/>
      <c r="I91" s="252"/>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206" t="s">
        <v>162</v>
      </c>
      <c r="C94" s="207"/>
      <c r="D94" s="207"/>
      <c r="E94" s="207"/>
      <c r="F94" s="207"/>
      <c r="G94" s="207"/>
      <c r="H94" s="207"/>
      <c r="I94" s="208"/>
    </row>
    <row r="95" spans="1:9" ht="18.75" customHeight="1" x14ac:dyDescent="0.15">
      <c r="A95" s="1"/>
      <c r="B95" s="212"/>
      <c r="C95" s="213"/>
      <c r="D95" s="213"/>
      <c r="E95" s="213"/>
      <c r="F95" s="213"/>
      <c r="G95" s="213"/>
      <c r="H95" s="213"/>
      <c r="I95" s="211"/>
    </row>
    <row r="96" spans="1:9" ht="18.75" customHeight="1" x14ac:dyDescent="0.15">
      <c r="A96" s="1"/>
      <c r="B96" s="212"/>
      <c r="C96" s="213"/>
      <c r="D96" s="213"/>
      <c r="E96" s="213"/>
      <c r="F96" s="213"/>
      <c r="G96" s="213"/>
      <c r="H96" s="213"/>
      <c r="I96" s="211"/>
    </row>
    <row r="97" spans="1:9" ht="18.75" customHeight="1" x14ac:dyDescent="0.15">
      <c r="A97" s="1"/>
      <c r="B97" s="212"/>
      <c r="C97" s="213"/>
      <c r="D97" s="213"/>
      <c r="E97" s="213"/>
      <c r="F97" s="213"/>
      <c r="G97" s="213"/>
      <c r="H97" s="213"/>
      <c r="I97" s="211"/>
    </row>
    <row r="98" spans="1:9" ht="18.75" customHeight="1" x14ac:dyDescent="0.15">
      <c r="A98" s="1"/>
      <c r="B98" s="212"/>
      <c r="C98" s="213"/>
      <c r="D98" s="213"/>
      <c r="E98" s="213"/>
      <c r="F98" s="213"/>
      <c r="G98" s="213"/>
      <c r="H98" s="213"/>
      <c r="I98" s="211"/>
    </row>
    <row r="99" spans="1:9" ht="18.75" customHeight="1" x14ac:dyDescent="0.15">
      <c r="A99" s="1"/>
      <c r="B99" s="212"/>
      <c r="C99" s="213"/>
      <c r="D99" s="213"/>
      <c r="E99" s="213"/>
      <c r="F99" s="213"/>
      <c r="G99" s="213"/>
      <c r="H99" s="213"/>
      <c r="I99" s="211"/>
    </row>
    <row r="100" spans="1:9" ht="18.75" customHeight="1" x14ac:dyDescent="0.15">
      <c r="A100" s="1"/>
      <c r="B100" s="212"/>
      <c r="C100" s="213"/>
      <c r="D100" s="213"/>
      <c r="E100" s="213"/>
      <c r="F100" s="213"/>
      <c r="G100" s="213"/>
      <c r="H100" s="213"/>
      <c r="I100" s="211"/>
    </row>
    <row r="101" spans="1:9" ht="18.75" customHeight="1" x14ac:dyDescent="0.15">
      <c r="A101" s="1"/>
      <c r="B101" s="212"/>
      <c r="C101" s="213"/>
      <c r="D101" s="213"/>
      <c r="E101" s="213"/>
      <c r="F101" s="213"/>
      <c r="G101" s="213"/>
      <c r="H101" s="213"/>
      <c r="I101" s="211"/>
    </row>
    <row r="102" spans="1:9" ht="18.75" customHeight="1" x14ac:dyDescent="0.15">
      <c r="A102" s="1"/>
      <c r="B102" s="212"/>
      <c r="C102" s="213"/>
      <c r="D102" s="213"/>
      <c r="E102" s="213"/>
      <c r="F102" s="213"/>
      <c r="G102" s="213"/>
      <c r="H102" s="213"/>
      <c r="I102" s="211"/>
    </row>
    <row r="103" spans="1:9" ht="18.75" customHeight="1" x14ac:dyDescent="0.15">
      <c r="A103" s="1"/>
      <c r="B103" s="212"/>
      <c r="C103" s="213"/>
      <c r="D103" s="213"/>
      <c r="E103" s="213"/>
      <c r="F103" s="213"/>
      <c r="G103" s="213"/>
      <c r="H103" s="213"/>
      <c r="I103" s="211"/>
    </row>
    <row r="104" spans="1:9" ht="18.75" customHeight="1" x14ac:dyDescent="0.15">
      <c r="A104" s="1"/>
      <c r="B104" s="212"/>
      <c r="C104" s="213"/>
      <c r="D104" s="213"/>
      <c r="E104" s="213"/>
      <c r="F104" s="213"/>
      <c r="G104" s="213"/>
      <c r="H104" s="213"/>
      <c r="I104" s="211"/>
    </row>
    <row r="105" spans="1:9" ht="18.75" customHeight="1" x14ac:dyDescent="0.15">
      <c r="A105" s="4"/>
      <c r="B105" s="214"/>
      <c r="C105" s="215"/>
      <c r="D105" s="215"/>
      <c r="E105" s="215"/>
      <c r="F105" s="215"/>
      <c r="G105" s="215"/>
      <c r="H105" s="215"/>
      <c r="I105" s="216"/>
    </row>
    <row r="106" spans="1:9" ht="7.5" customHeight="1" x14ac:dyDescent="0.15">
      <c r="A106" s="4"/>
      <c r="B106" s="4"/>
      <c r="C106" s="4"/>
      <c r="D106" s="4"/>
      <c r="E106" s="4"/>
      <c r="F106" s="4"/>
      <c r="G106" s="4"/>
      <c r="H106" s="4"/>
      <c r="I106" s="4"/>
    </row>
    <row r="107" spans="1:9" ht="18.75" customHeight="1" x14ac:dyDescent="0.15">
      <c r="A107" s="1" t="s">
        <v>29</v>
      </c>
      <c r="B107" s="232" t="s">
        <v>44</v>
      </c>
      <c r="C107" s="232"/>
      <c r="D107" s="232"/>
      <c r="E107" s="232"/>
      <c r="F107" s="232"/>
      <c r="G107" s="232"/>
      <c r="H107" s="232"/>
      <c r="I107" s="232"/>
    </row>
    <row r="108" spans="1:9" ht="18.75" customHeight="1" x14ac:dyDescent="0.15">
      <c r="A108" s="4"/>
      <c r="B108" s="206" t="s">
        <v>206</v>
      </c>
      <c r="C108" s="207"/>
      <c r="D108" s="207"/>
      <c r="E108" s="207"/>
      <c r="F108" s="207"/>
      <c r="G108" s="207"/>
      <c r="H108" s="207"/>
      <c r="I108" s="208"/>
    </row>
    <row r="109" spans="1:9" ht="18.75" customHeight="1" x14ac:dyDescent="0.15">
      <c r="A109" s="4"/>
      <c r="B109" s="212"/>
      <c r="C109" s="213"/>
      <c r="D109" s="213"/>
      <c r="E109" s="213"/>
      <c r="F109" s="213"/>
      <c r="G109" s="213"/>
      <c r="H109" s="213"/>
      <c r="I109" s="211"/>
    </row>
    <row r="110" spans="1:9" ht="18.75" customHeight="1" x14ac:dyDescent="0.15">
      <c r="A110" s="4"/>
      <c r="B110" s="212"/>
      <c r="C110" s="213"/>
      <c r="D110" s="213"/>
      <c r="E110" s="213"/>
      <c r="F110" s="213"/>
      <c r="G110" s="213"/>
      <c r="H110" s="213"/>
      <c r="I110" s="211"/>
    </row>
    <row r="111" spans="1:9" ht="18.75" customHeight="1" x14ac:dyDescent="0.15">
      <c r="A111" s="4"/>
      <c r="B111" s="212"/>
      <c r="C111" s="213"/>
      <c r="D111" s="213"/>
      <c r="E111" s="213"/>
      <c r="F111" s="213"/>
      <c r="G111" s="213"/>
      <c r="H111" s="213"/>
      <c r="I111" s="211"/>
    </row>
    <row r="112" spans="1:9" ht="18.75" customHeight="1" x14ac:dyDescent="0.15">
      <c r="A112" s="4"/>
      <c r="B112" s="212"/>
      <c r="C112" s="213"/>
      <c r="D112" s="213"/>
      <c r="E112" s="213"/>
      <c r="F112" s="213"/>
      <c r="G112" s="213"/>
      <c r="H112" s="213"/>
      <c r="I112" s="211"/>
    </row>
    <row r="113" spans="1:9" ht="18.75" customHeight="1" x14ac:dyDescent="0.15">
      <c r="A113" s="4"/>
      <c r="B113" s="212"/>
      <c r="C113" s="213"/>
      <c r="D113" s="213"/>
      <c r="E113" s="213"/>
      <c r="F113" s="213"/>
      <c r="G113" s="213"/>
      <c r="H113" s="213"/>
      <c r="I113" s="211"/>
    </row>
    <row r="114" spans="1:9" ht="18.75" customHeight="1" x14ac:dyDescent="0.15">
      <c r="A114" s="4"/>
      <c r="B114" s="212"/>
      <c r="C114" s="213"/>
      <c r="D114" s="213"/>
      <c r="E114" s="213"/>
      <c r="F114" s="213"/>
      <c r="G114" s="213"/>
      <c r="H114" s="213"/>
      <c r="I114" s="211"/>
    </row>
    <row r="115" spans="1:9" ht="18.75" customHeight="1" x14ac:dyDescent="0.15">
      <c r="A115" s="4"/>
      <c r="B115" s="212"/>
      <c r="C115" s="213"/>
      <c r="D115" s="213"/>
      <c r="E115" s="213"/>
      <c r="F115" s="213"/>
      <c r="G115" s="213"/>
      <c r="H115" s="213"/>
      <c r="I115" s="211"/>
    </row>
    <row r="116" spans="1:9" ht="18.75" customHeight="1" x14ac:dyDescent="0.15">
      <c r="A116" s="4"/>
      <c r="B116" s="212"/>
      <c r="C116" s="213"/>
      <c r="D116" s="213"/>
      <c r="E116" s="213"/>
      <c r="F116" s="213"/>
      <c r="G116" s="213"/>
      <c r="H116" s="213"/>
      <c r="I116" s="211"/>
    </row>
    <row r="117" spans="1:9" ht="18.75" customHeight="1" x14ac:dyDescent="0.15">
      <c r="A117" s="4"/>
      <c r="B117" s="212"/>
      <c r="C117" s="213"/>
      <c r="D117" s="213"/>
      <c r="E117" s="213"/>
      <c r="F117" s="213"/>
      <c r="G117" s="213"/>
      <c r="H117" s="213"/>
      <c r="I117" s="211"/>
    </row>
    <row r="118" spans="1:9" ht="18.75" customHeight="1" x14ac:dyDescent="0.15">
      <c r="A118" s="4"/>
      <c r="B118" s="212"/>
      <c r="C118" s="213"/>
      <c r="D118" s="213"/>
      <c r="E118" s="213"/>
      <c r="F118" s="213"/>
      <c r="G118" s="213"/>
      <c r="H118" s="213"/>
      <c r="I118" s="211"/>
    </row>
    <row r="119" spans="1:9" ht="18.75" customHeight="1" x14ac:dyDescent="0.15">
      <c r="A119" s="4"/>
      <c r="B119" s="214"/>
      <c r="C119" s="215"/>
      <c r="D119" s="215"/>
      <c r="E119" s="215"/>
      <c r="F119" s="215"/>
      <c r="G119" s="215"/>
      <c r="H119" s="215"/>
      <c r="I119" s="216"/>
    </row>
    <row r="120" spans="1:9" ht="7.5" customHeight="1" x14ac:dyDescent="0.15">
      <c r="A120" s="4"/>
      <c r="B120" s="39"/>
      <c r="C120" s="39"/>
      <c r="D120" s="39"/>
      <c r="E120" s="39"/>
      <c r="F120" s="39"/>
      <c r="G120" s="39"/>
      <c r="H120" s="39"/>
      <c r="I120" s="39"/>
    </row>
    <row r="121" spans="1:9" ht="18.75" customHeight="1" x14ac:dyDescent="0.15">
      <c r="A121" s="68"/>
      <c r="B121" s="201"/>
      <c r="C121" s="201"/>
      <c r="D121" s="201"/>
      <c r="E121" s="201"/>
      <c r="F121" s="201"/>
      <c r="G121" s="201"/>
      <c r="H121" s="201"/>
      <c r="I121" s="201"/>
    </row>
    <row r="122" spans="1:9" ht="18.75" customHeight="1" x14ac:dyDescent="0.15">
      <c r="A122" s="68"/>
      <c r="B122" s="201"/>
      <c r="C122" s="201"/>
      <c r="D122" s="201"/>
      <c r="E122" s="201"/>
      <c r="F122" s="201"/>
      <c r="G122" s="201"/>
      <c r="H122" s="201"/>
      <c r="I122" s="201"/>
    </row>
    <row r="123" spans="1:9" ht="18.75" customHeight="1" x14ac:dyDescent="0.15">
      <c r="A123" s="4"/>
      <c r="B123" s="72"/>
      <c r="C123" s="72"/>
      <c r="D123" s="72"/>
      <c r="E123" s="72"/>
      <c r="F123" s="72"/>
      <c r="G123" s="72"/>
      <c r="H123" s="72"/>
      <c r="I123" s="73"/>
    </row>
    <row r="124" spans="1:9" ht="18.75" customHeight="1" x14ac:dyDescent="0.15">
      <c r="A124" s="4"/>
      <c r="B124" s="73"/>
      <c r="C124" s="73"/>
      <c r="D124" s="73"/>
      <c r="E124" s="73"/>
      <c r="F124" s="73"/>
      <c r="G124" s="73"/>
      <c r="H124" s="73"/>
      <c r="I124" s="73"/>
    </row>
    <row r="125" spans="1:9" ht="18.75" customHeight="1" x14ac:dyDescent="0.15">
      <c r="A125" s="4"/>
      <c r="B125" s="73"/>
      <c r="C125" s="73"/>
      <c r="D125" s="73"/>
      <c r="E125" s="73"/>
      <c r="F125" s="73"/>
      <c r="G125" s="73"/>
      <c r="H125" s="73"/>
      <c r="I125" s="73"/>
    </row>
    <row r="126" spans="1:9" ht="18.75" customHeight="1" x14ac:dyDescent="0.15">
      <c r="A126" s="4"/>
      <c r="B126" s="73"/>
      <c r="C126" s="73"/>
      <c r="D126" s="73"/>
      <c r="E126" s="73"/>
      <c r="F126" s="73"/>
      <c r="G126" s="73"/>
      <c r="H126" s="73"/>
      <c r="I126" s="73"/>
    </row>
    <row r="127" spans="1:9" ht="18.75" customHeight="1" x14ac:dyDescent="0.15">
      <c r="A127" s="4"/>
      <c r="B127" s="73"/>
      <c r="C127" s="73"/>
      <c r="D127" s="73"/>
      <c r="E127" s="73"/>
      <c r="F127" s="73"/>
      <c r="G127" s="73"/>
      <c r="H127" s="73"/>
      <c r="I127" s="73"/>
    </row>
    <row r="128" spans="1:9" ht="18.75" customHeight="1" x14ac:dyDescent="0.15">
      <c r="A128" s="4"/>
      <c r="B128" s="73"/>
      <c r="C128" s="73"/>
      <c r="D128" s="73"/>
      <c r="E128" s="73"/>
      <c r="F128" s="73"/>
      <c r="G128" s="73"/>
      <c r="H128" s="73"/>
      <c r="I128" s="73"/>
    </row>
    <row r="129" spans="1:9" ht="18.75" customHeight="1" x14ac:dyDescent="0.15">
      <c r="A129" s="4"/>
      <c r="B129" s="73"/>
      <c r="C129" s="73"/>
      <c r="D129" s="73"/>
      <c r="E129" s="73"/>
      <c r="F129" s="73"/>
      <c r="G129" s="73"/>
      <c r="H129" s="73"/>
      <c r="I129" s="73"/>
    </row>
    <row r="130" spans="1:9" ht="18.75" customHeight="1" x14ac:dyDescent="0.15">
      <c r="A130" s="4"/>
      <c r="B130" s="73"/>
      <c r="C130" s="73"/>
      <c r="D130" s="73"/>
      <c r="E130" s="73"/>
      <c r="F130" s="73"/>
      <c r="G130" s="73"/>
      <c r="H130" s="73"/>
      <c r="I130" s="73"/>
    </row>
    <row r="131" spans="1:9" ht="18.75" customHeight="1" x14ac:dyDescent="0.15">
      <c r="A131" s="4"/>
      <c r="B131" s="73"/>
      <c r="C131" s="73"/>
      <c r="D131" s="73"/>
      <c r="E131" s="73"/>
      <c r="F131" s="73"/>
      <c r="G131" s="73"/>
      <c r="H131" s="73"/>
      <c r="I131" s="73"/>
    </row>
    <row r="132" spans="1:9" ht="18.75" customHeight="1" x14ac:dyDescent="0.15">
      <c r="A132" s="4"/>
      <c r="B132" s="73"/>
      <c r="C132" s="73"/>
      <c r="D132" s="73"/>
      <c r="E132" s="73"/>
      <c r="F132" s="73"/>
      <c r="G132" s="73"/>
      <c r="H132" s="73"/>
      <c r="I132" s="73"/>
    </row>
    <row r="133" spans="1:9" ht="14.25" x14ac:dyDescent="0.15">
      <c r="A133" s="4"/>
      <c r="B133" s="73"/>
      <c r="C133" s="73"/>
      <c r="D133" s="73"/>
      <c r="E133" s="73"/>
      <c r="F133" s="73"/>
      <c r="G133" s="73"/>
      <c r="H133" s="73"/>
      <c r="I133" s="73"/>
    </row>
    <row r="134" spans="1:9" ht="7.5" customHeight="1" x14ac:dyDescent="0.15">
      <c r="A134" s="4"/>
      <c r="B134" s="73"/>
      <c r="C134" s="73"/>
      <c r="D134" s="73"/>
      <c r="E134" s="73"/>
      <c r="F134" s="73"/>
      <c r="G134" s="73"/>
      <c r="H134" s="73"/>
      <c r="I134" s="7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1" zoomScale="80" zoomScaleNormal="100" zoomScaleSheetLayoutView="80" workbookViewId="0">
      <selection activeCell="O14" sqref="O14"/>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67</v>
      </c>
      <c r="I1" s="30" t="s">
        <v>95</v>
      </c>
    </row>
    <row r="2" spans="1:9" ht="18.75" customHeight="1" x14ac:dyDescent="0.15">
      <c r="H2" s="30" t="s">
        <v>98</v>
      </c>
      <c r="I2" s="29" t="str">
        <f>'様式１-1　プログラムを構成する授業科目'!C2</f>
        <v>愛知工業大学</v>
      </c>
    </row>
    <row r="3" spans="1:9" ht="18.75" customHeight="1" x14ac:dyDescent="0.15">
      <c r="A3" s="202" t="s">
        <v>27</v>
      </c>
      <c r="B3" s="202"/>
      <c r="C3" s="202"/>
      <c r="D3" s="202"/>
      <c r="E3" s="202"/>
      <c r="F3" s="202"/>
      <c r="G3" s="202"/>
      <c r="H3" s="202"/>
      <c r="I3" s="202"/>
    </row>
    <row r="4" spans="1:9" ht="18.75" customHeight="1" x14ac:dyDescent="0.15">
      <c r="A4" s="5"/>
      <c r="B4" s="5"/>
      <c r="C4" s="5"/>
      <c r="D4" s="5"/>
      <c r="E4" s="5"/>
      <c r="F4" s="5"/>
      <c r="G4" s="5"/>
      <c r="H4" s="5"/>
      <c r="I4" s="5"/>
    </row>
    <row r="5" spans="1:9" ht="18.75" customHeight="1" x14ac:dyDescent="0.15">
      <c r="A5" s="1" t="s">
        <v>0</v>
      </c>
      <c r="B5" s="10" t="s">
        <v>89</v>
      </c>
      <c r="C5" s="5"/>
      <c r="D5" s="5"/>
      <c r="E5" s="5"/>
      <c r="F5" s="5"/>
      <c r="G5" s="5"/>
      <c r="H5" s="5"/>
      <c r="I5" s="5"/>
    </row>
    <row r="6" spans="1:9" ht="26.25" customHeight="1" x14ac:dyDescent="0.15">
      <c r="A6" s="5"/>
      <c r="B6" s="226" t="s">
        <v>148</v>
      </c>
      <c r="C6" s="270"/>
      <c r="D6" s="270"/>
      <c r="E6" s="270"/>
      <c r="F6" s="270"/>
      <c r="G6" s="270"/>
      <c r="H6" s="271"/>
      <c r="I6" s="3"/>
    </row>
    <row r="7" spans="1:9" ht="9" customHeight="1" x14ac:dyDescent="0.15">
      <c r="A7" s="5"/>
      <c r="B7" s="10"/>
      <c r="C7" s="10"/>
      <c r="D7" s="10"/>
      <c r="E7" s="10"/>
      <c r="F7" s="10"/>
      <c r="G7" s="10"/>
      <c r="H7" s="10"/>
      <c r="I7" s="3"/>
    </row>
    <row r="8" spans="1:9" ht="18.75" customHeight="1" x14ac:dyDescent="0.15">
      <c r="A8" s="5"/>
      <c r="B8" s="3"/>
      <c r="C8" s="3"/>
      <c r="D8" s="30" t="s">
        <v>41</v>
      </c>
      <c r="E8" s="31" t="s">
        <v>149</v>
      </c>
      <c r="F8" s="3"/>
      <c r="G8" s="30" t="s">
        <v>10</v>
      </c>
      <c r="H8" s="31" t="s">
        <v>150</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2" t="s">
        <v>23</v>
      </c>
      <c r="C11" s="93"/>
      <c r="D11" s="94"/>
      <c r="E11" s="93" t="s">
        <v>25</v>
      </c>
      <c r="F11" s="93"/>
      <c r="G11" s="93"/>
      <c r="H11" s="93"/>
      <c r="I11" s="94"/>
    </row>
    <row r="12" spans="1:9" ht="26.25" customHeight="1" x14ac:dyDescent="0.15">
      <c r="B12" s="40" t="s">
        <v>13</v>
      </c>
      <c r="C12" s="47"/>
      <c r="D12" s="41"/>
      <c r="E12" s="48"/>
      <c r="F12" s="48"/>
      <c r="G12" s="48"/>
      <c r="H12" s="48"/>
      <c r="I12" s="41"/>
    </row>
    <row r="13" spans="1:9" ht="210.75" customHeight="1" x14ac:dyDescent="0.15">
      <c r="B13" s="42"/>
      <c r="C13" s="268" t="s">
        <v>14</v>
      </c>
      <c r="D13" s="269"/>
      <c r="E13" s="265" t="s">
        <v>207</v>
      </c>
      <c r="F13" s="266"/>
      <c r="G13" s="266"/>
      <c r="H13" s="266"/>
      <c r="I13" s="267"/>
    </row>
    <row r="14" spans="1:9" ht="210.75" customHeight="1" x14ac:dyDescent="0.15">
      <c r="B14" s="42"/>
      <c r="C14" s="263" t="s">
        <v>15</v>
      </c>
      <c r="D14" s="264"/>
      <c r="E14" s="265" t="s">
        <v>174</v>
      </c>
      <c r="F14" s="266"/>
      <c r="G14" s="266"/>
      <c r="H14" s="266"/>
      <c r="I14" s="267"/>
    </row>
    <row r="15" spans="1:9" ht="210.75" customHeight="1" x14ac:dyDescent="0.15">
      <c r="B15" s="42"/>
      <c r="C15" s="268" t="s">
        <v>16</v>
      </c>
      <c r="D15" s="269"/>
      <c r="E15" s="265" t="s">
        <v>175</v>
      </c>
      <c r="F15" s="266"/>
      <c r="G15" s="266"/>
      <c r="H15" s="266"/>
      <c r="I15" s="267"/>
    </row>
    <row r="16" spans="1:9" ht="210.75" customHeight="1" x14ac:dyDescent="0.15">
      <c r="B16" s="42"/>
      <c r="C16" s="268" t="s">
        <v>17</v>
      </c>
      <c r="D16" s="269"/>
      <c r="E16" s="265" t="s">
        <v>176</v>
      </c>
      <c r="F16" s="266"/>
      <c r="G16" s="266"/>
      <c r="H16" s="266"/>
      <c r="I16" s="267"/>
    </row>
    <row r="17" spans="2:9" ht="210.75" customHeight="1" x14ac:dyDescent="0.15">
      <c r="B17" s="43"/>
      <c r="C17" s="272" t="s">
        <v>18</v>
      </c>
      <c r="D17" s="273"/>
      <c r="E17" s="274" t="s">
        <v>177</v>
      </c>
      <c r="F17" s="275"/>
      <c r="G17" s="275"/>
      <c r="H17" s="275"/>
      <c r="I17" s="276"/>
    </row>
    <row r="18" spans="2:9" ht="24" customHeight="1" x14ac:dyDescent="0.15">
      <c r="B18" s="40" t="s">
        <v>19</v>
      </c>
      <c r="C18" s="44"/>
      <c r="D18" s="45"/>
      <c r="E18" s="46"/>
      <c r="F18" s="46"/>
      <c r="G18" s="46"/>
      <c r="H18" s="46"/>
      <c r="I18" s="49"/>
    </row>
    <row r="19" spans="2:9" ht="218.25" customHeight="1" x14ac:dyDescent="0.15">
      <c r="B19" s="42"/>
      <c r="C19" s="268" t="s">
        <v>20</v>
      </c>
      <c r="D19" s="269"/>
      <c r="E19" s="266" t="s">
        <v>178</v>
      </c>
      <c r="F19" s="266"/>
      <c r="G19" s="266"/>
      <c r="H19" s="266"/>
      <c r="I19" s="267"/>
    </row>
    <row r="20" spans="2:9" ht="218.25" customHeight="1" x14ac:dyDescent="0.15">
      <c r="B20" s="43"/>
      <c r="C20" s="272" t="s">
        <v>21</v>
      </c>
      <c r="D20" s="273"/>
      <c r="E20" s="275" t="s">
        <v>179</v>
      </c>
      <c r="F20" s="275"/>
      <c r="G20" s="275"/>
      <c r="H20" s="275"/>
      <c r="I20" s="276"/>
    </row>
    <row r="21" spans="2:9" ht="218.25" customHeight="1" x14ac:dyDescent="0.15">
      <c r="B21" s="282" t="s">
        <v>22</v>
      </c>
      <c r="C21" s="283"/>
      <c r="D21" s="284"/>
      <c r="E21" s="285" t="s">
        <v>180</v>
      </c>
      <c r="F21" s="285"/>
      <c r="G21" s="285"/>
      <c r="H21" s="285"/>
      <c r="I21" s="286"/>
    </row>
    <row r="22" spans="2:9" ht="218.25" customHeight="1" x14ac:dyDescent="0.15">
      <c r="B22" s="277" t="s">
        <v>135</v>
      </c>
      <c r="C22" s="278"/>
      <c r="D22" s="279"/>
      <c r="E22" s="280" t="s">
        <v>181</v>
      </c>
      <c r="F22" s="280"/>
      <c r="G22" s="280"/>
      <c r="H22" s="280"/>
      <c r="I22" s="28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様式１-2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 </cp:lastModifiedBy>
  <cp:lastPrinted>2024-05-09T08:02:57Z</cp:lastPrinted>
  <dcterms:created xsi:type="dcterms:W3CDTF">2011-06-14T05:32:50Z</dcterms:created>
  <dcterms:modified xsi:type="dcterms:W3CDTF">2024-06-20T01:48:57Z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