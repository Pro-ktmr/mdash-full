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06"/>
  <workbookPr defaultThemeVersion="124226"/>
  <mc:AlternateContent xmlns:mc="http://schemas.openxmlformats.org/markup-compatibility/2006">
    <mc:Choice Requires="x15">
      <x15ac:absPath xmlns:x15ac="http://schemas.microsoft.com/office/spreadsheetml/2010/11/ac" url="\\10.10.10.131\（吉備・短大）ssc教務部教務課\大学教務\教務課共有\数理データサイエンスAI認定プログラム\数理データサイエンス申請関連\申請関連資料\正）提出書類\提出データ\"/>
    </mc:Choice>
  </mc:AlternateContent>
  <xr:revisionPtr revIDLastSave="2" documentId="13_ncr:1_{06A70A38-2C7B-4000-A726-1B85F009B553}" xr6:coauthVersionLast="47" xr6:coauthVersionMax="47" xr10:uidLastSave="{6A2984F0-3CA4-45D7-8C48-F58C596B98CF}"/>
  <bookViews>
    <workbookView xWindow="-108" yWindow="-108" windowWidth="23256" windowHeight="12456" tabRatio="885"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プログラムを構成する授業科目'!$W$16:$W$18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c r="M33" i="40"/>
  <c r="P33" i="40"/>
  <c r="Q33" i="40"/>
  <c r="O33" i="40"/>
  <c r="N33" i="40"/>
  <c r="L33" i="40"/>
  <c r="J33" i="40"/>
  <c r="K33" i="40"/>
  <c r="H33" i="40"/>
  <c r="R14" i="40"/>
  <c r="R15" i="40"/>
  <c r="R16" i="40"/>
  <c r="R17" i="40"/>
  <c r="R18" i="40"/>
  <c r="R19" i="40"/>
  <c r="R20" i="40"/>
  <c r="R21" i="40"/>
  <c r="R22" i="40"/>
  <c r="R23" i="40"/>
  <c r="R24" i="40"/>
  <c r="R25" i="40"/>
  <c r="R26" i="40"/>
  <c r="R27" i="40"/>
  <c r="R28" i="40"/>
  <c r="R29" i="40"/>
  <c r="R30" i="40"/>
  <c r="R31" i="40"/>
  <c r="R32" i="40"/>
  <c r="R13" i="40"/>
  <c r="S13" i="40"/>
  <c r="C33" i="40"/>
  <c r="G33" i="40"/>
  <c r="F33" i="40"/>
  <c r="E33" i="40"/>
  <c r="I50" i="41"/>
  <c r="D33" i="40"/>
  <c r="S32" i="40"/>
  <c r="S31" i="40"/>
  <c r="S30" i="40"/>
  <c r="S29" i="40"/>
  <c r="S28" i="40"/>
  <c r="S27" i="40"/>
  <c r="S26" i="40"/>
  <c r="S25" i="40"/>
  <c r="S24" i="40"/>
  <c r="S23" i="40"/>
  <c r="S22" i="40"/>
  <c r="S21" i="40"/>
  <c r="S20" i="40"/>
  <c r="S19" i="40"/>
  <c r="S18" i="40"/>
  <c r="S17" i="40"/>
  <c r="S16" i="40"/>
  <c r="S15" i="40"/>
  <c r="S14" i="40"/>
  <c r="R33" i="40"/>
  <c r="S33" i="40"/>
  <c r="C49" i="41"/>
</calcChain>
</file>

<file path=xl/sharedStrings.xml><?xml version="1.0" encoding="utf-8"?>
<sst xmlns="http://schemas.openxmlformats.org/spreadsheetml/2006/main" count="301" uniqueCount="192">
  <si>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</si>
  <si>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</si>
  <si>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</si>
  <si>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吉備国際大学</t>
    <rPh sb="0" eb="6">
      <t>キビコクサイダイガク</t>
    </rPh>
    <phoneticPr fontId="1"/>
  </si>
  <si>
    <t>プログラム名</t>
    <rPh sb="5" eb="6">
      <t>メイ</t>
    </rPh>
    <phoneticPr fontId="1"/>
  </si>
  <si>
    <t>数理・データサイエンス・AI教育プログラム（リテラシーレベル）</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</si>
  <si>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</si>
  <si>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</si>
  <si>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</si>
  <si>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</si>
  <si>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</si>
  <si>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プログラムを構成する2つの科目「数理・データサイエンス・AI基礎」（1年次秋学期配当、2単位）と「数理・データサイエンス・AI応用（オンライン）」（2年次春学期配当、2単位）をいずれも修得すること。</t>
  </si>
  <si>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</si>
  <si>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</si>
  <si>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</si>
  <si>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</si>
  <si>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</si>
  <si>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</si>
  <si>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</si>
  <si>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</si>
  <si>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</si>
  <si>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</si>
  <si>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</si>
  <si>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</si>
  <si>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</si>
  <si>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</si>
  <si>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数理・データサイエンス・AI基礎</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</si>
  <si>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</si>
  <si>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</si>
  <si>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</si>
  <si>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</si>
  <si>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</si>
  <si>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</si>
  <si>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</si>
  <si>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</si>
  <si>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</si>
  <si>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</si>
  <si>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</si>
  <si>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</si>
  <si>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</si>
  <si>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</si>
  <si>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数理・データサイエンス・AI応用</t>
  </si>
  <si>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</si>
  <si>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</si>
  <si>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4‐3データ構造とプログラミング基礎</t>
  </si>
  <si>
    <t xml:space="preserve">数理・データサイエンス・AI応用			</t>
  </si>
  <si>
    <t>4‐9データ活用実践（教師なし学習）</t>
  </si>
  <si>
    <t>4‐7データハンドリング</t>
  </si>
  <si>
    <t>4‐8データ活用実践（教師あり学習）</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</si>
  <si>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</si>
  <si>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</si>
  <si>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</si>
  <si>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</si>
  <si>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・ビッグデータ、IoT、AI、ロボット「数理・データサイエンス・AI基礎」（第1回、第2回、第3回）
・データ量の増加、計算機の処理性能の向上、AIの非連続的進化「数理・データサイエンス・AI基礎」（第1回、第5回）
・第4次産業革命、Society5.0、データ駆動型社会「数理・データサイエンス・AI基礎」（第2回、第3回）</t>
    <phoneticPr fontId="1"/>
  </si>
  <si>
    <t>1-6</t>
    <phoneticPr fontId="1"/>
  </si>
  <si>
    <t>・AI最新技術の活用例（深層生成モデル、敵対的生成ネットワーク、強化学習、転移学習など）「数理・データサイエンス・AI基礎」（第1回、第5回）</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</si>
  <si>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</si>
  <si>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・調査データ、実験データ、人の行動ログデータ、機械の稼働ログデータなど「数理・データサイエンス・AI基礎」（第3回、第6回）
・1次データ、2次データ、データのメタ化「数理・データサイエンス・AI基礎」（第3回）
・構造化データ、非構造化データ（文章、画像/動画、音声/音楽など）「数理・データサイエンス・AI基礎」（第6回）
・データ作成（ビッグデータとアノテーション）「数理・データサイエンス・AI基礎」（第6回）
・データのオープン化（オープンデータ）「数理・データサイエンス・AI基礎」（第6回）</t>
    <phoneticPr fontId="1"/>
  </si>
  <si>
    <t>・データ・AI活用領域の広がり(生産、消費、文化活動など)「数理・データサイエンス・AI基礎」（第3回、第4回）
・研究開発、調達、製造、物流、販売、マーケティング、サービスなど「数理・データサイエンス・AI基礎」（第3回）
・仮説検証、知識発見、原因究明、計画策定、判断支援、活動代替、新規生成など「数理・データサイエンス・AI基礎」（第3回）</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</si>
  <si>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</si>
  <si>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・特化型AIと汎用AI、今のAIで出来ることと出来ないこと、AIとビッグデータ「数理・データサイエンス・AI基礎」（第1回、第5回）
・認識技術、ルールベース、自動化技術「数理・データサイエンス・AI基礎」（第1回、第5回、第10回）</t>
    <phoneticPr fontId="1"/>
  </si>
  <si>
    <t>・流通、製造、金融、サービス、インフラ、公共、ヘルスケア等におけるデータ・AI利活用事例紹介「数理・データサイエンス・AI基礎」（第3回、第4回）</t>
    <phoneticPr fontId="1"/>
  </si>
  <si>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</si>
  <si>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Issues）「数理・データサイエンス・AI基礎」（第2回、第7回、第8回）
・個人情報保護、EU一般データ保護規則(GDPR)、忘れられる権利、オプトアウト「数理・データサイエンス・AI基礎」（第7回、第8回）
・データ倫理：データのねつ造、改ざん、盗用、プライバシー保護「数理・データサイエンス・AI基礎」（第7回、第8回）
・AI社会原則（公平性、説明責任、透明性、人間中心の判断）「数理・データサイエンス・AI基礎」（第2回、第7回、第8回）
・データバイアス、アルゴリズムバイアス「数理・データサイエンス・AI基礎」（第2回、第7回、第8回）
・データ・AI活用における負の事例紹介「数理・データサイエンス・AI基礎」（第2回、第7回、第8回）</t>
    <phoneticPr fontId="1"/>
  </si>
  <si>
    <t>・情報セキュリティ：機密性、完全性、可用性「数理・データサイエンス・AI基礎」（第8回）
・匿名加工情報、暗号化、パスワード、悪意ある情報搾取「数理・データサイエンス・AI基礎」（第8回、第9回）
・情報漏洩等によるセキュリティ事故の事例紹介「数理・データサイエンス・AI基礎」（第9回）</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</si>
  <si>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</si>
  <si>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</si>
  <si>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・データの種類（量的変数、質的変数）「数理・データサイエンス・AI基礎」（第6回）
・データの分布（ヒストグラム）と代表値（平均値、中央値、最頻値）「数理・データサイエンス・AI基礎」（第6回、第9回）「数理・データサイエンス・AI応用」（第2回）
・代表値の性質の違い（実社会では平均値＝最頻値でないことが多い）「数理・データサイエンス・AI基礎」（第6回、第9回）「数理・データサイエンス・AI応用」（第2回）
・データのばらつき（分散、標準偏差、偏差値）「数理・データサイエンス・AI基礎」（第6回、第9回）「数理・データサイエンス・AI応用」（第3回、第4回、第5回）
・相関と因果（相関係数、疑似相関、交絡）「数理・データサイエンス・AI応用」（第5回）
・母集団と標本抽出（国勢調査、アンケート調査、全数調査、単純無作為抽出、層別抽出、多段抽出）「数理・データサイエンス・AI応用」（第1回）</t>
    <rPh sb="62" eb="65">
      <t>ヘイキンチ</t>
    </rPh>
    <rPh sb="66" eb="69">
      <t>チュウオウチ</t>
    </rPh>
    <rPh sb="70" eb="73">
      <t>サイヒンチ</t>
    </rPh>
    <phoneticPr fontId="1"/>
  </si>
  <si>
    <t>・データ表現（棒グラフ、折線グラフ、散布図、ヒートマップ）「数理・データサイエンス・AI基礎」（第5回、第6回）「数理・データサイエンス・AI応用」（第3回）
・データの図表表現（チャート化）「数理・データサイエンス・AI基礎」（第5回、第6回）「数理・データサイエンス・AI応用」（第5回）
・優れた可視化事例の紹介（可視化することによって新たな気づきがあった事例など）「数理・データサイエンス・AI基礎」（第6回、第9回）「数理・データサイエンス・AI応用」（第5回）</t>
    <phoneticPr fontId="1"/>
  </si>
  <si>
    <t>・データの集計（和、平均）「数理・データサイエンス・AI応用」（第2回）
・データの並び替え、ランキング「数理・データサイエンス・AI応用」（第2回、第3回）
・データ解析ツール（スプレッドシート）「数理・データサイエンス・AI応用」（第4回、第5回、第6回）
・表形式のデータ（csv）「数理・データサイエンス・AI基礎」（第12回）「数理・データサイエンス・AI応用」（第5回）</t>
    <phoneticPr fontId="1"/>
  </si>
  <si>
    <t>⑪ プログラムの学修成果（学生等が身に付けられる能力等）</t>
    <phoneticPr fontId="1"/>
  </si>
  <si>
    <t>本科目の到達目標は，
(1)今後のデジタル社会において，数理・データサイエンス・AIを日常の生活，仕事等の場で使いこなすことができる基礎的素養を主体的に身に付けること，
(2)学修した数理・データサイエンス・AIに関する知識・技能をもとに，これらを扱う際には，人間中心の適切な判断ができ，不安なく自らの意志でAI 等の恩恵を享受し，これらを説明し，活用できるようになること，
である。　</t>
  </si>
  <si>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</si>
  <si>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</si>
  <si>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</si>
  <si>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</si>
  <si>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該当なし</t>
    <rPh sb="0" eb="2">
      <t>ガイトウ</t>
    </rPh>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</si>
  <si>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</si>
  <si>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</si>
  <si>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</si>
  <si>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</si>
  <si>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</si>
  <si>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</si>
  <si>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</si>
  <si>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</si>
  <si>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</si>
  <si>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</si>
  <si>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</si>
  <si>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</si>
  <si>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</si>
  <si>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</si>
  <si>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</si>
  <si>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</si>
  <si>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</si>
  <si>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</si>
  <si>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</si>
  <si>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</si>
  <si>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</si>
  <si>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</si>
  <si>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</si>
  <si>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</si>
  <si>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</si>
  <si>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</si>
  <si>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</si>
  <si>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</si>
  <si>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社会科学部</t>
    <rPh sb="0" eb="5">
      <t>シャカイカガクブ</t>
    </rPh>
    <phoneticPr fontId="1"/>
  </si>
  <si>
    <t>保健医療福祉学部</t>
    <rPh sb="0" eb="8">
      <t>ホケンイリョウフクシガクブ</t>
    </rPh>
    <phoneticPr fontId="1"/>
  </si>
  <si>
    <t>心理学部</t>
    <rPh sb="0" eb="4">
      <t>シンリガクブ</t>
    </rPh>
    <phoneticPr fontId="1"/>
  </si>
  <si>
    <t>農学部</t>
    <rPh sb="0" eb="3">
      <t>ノウガクブ</t>
    </rPh>
    <phoneticPr fontId="1"/>
  </si>
  <si>
    <t>外国語学部</t>
    <rPh sb="0" eb="5">
      <t>ガイコクゴガクブ</t>
    </rPh>
    <phoneticPr fontId="1"/>
  </si>
  <si>
    <t>アニメーション文化学部</t>
    <rPh sb="7" eb="11">
      <t>ブンカガクブ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</si>
  <si>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</si>
  <si>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</si>
  <si>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</si>
  <si>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</si>
  <si>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</si>
  <si>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</si>
  <si>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</si>
  <si>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</si>
  <si>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</si>
  <si>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</si>
  <si>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</si>
  <si>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</si>
  <si>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</si>
  <si>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佐藤　匡</t>
  </si>
  <si>
    <t>（役職名）</t>
    <rPh sb="1" eb="4">
      <t>ヤクショクメイ</t>
    </rPh>
    <phoneticPr fontId="1"/>
  </si>
  <si>
    <t>情報教育センター分室長</t>
  </si>
  <si>
    <t>④</t>
    <phoneticPr fontId="1"/>
  </si>
  <si>
    <t>プログラムを改善・進化させるための体制（委員会・組織等）</t>
    <phoneticPr fontId="1"/>
  </si>
  <si>
    <t>全学教養教育委員会 情報教育部会</t>
  </si>
  <si>
    <t>部会長</t>
  </si>
  <si>
    <t>⑤</t>
    <phoneticPr fontId="1"/>
  </si>
  <si>
    <t>プログラムを改善・進化させるための体制を定める規則名称</t>
    <phoneticPr fontId="1"/>
  </si>
  <si>
    <t>吉備国際大学委員会規程</t>
  </si>
  <si>
    <t>⑥</t>
    <phoneticPr fontId="1"/>
  </si>
  <si>
    <t>体制の目的</t>
    <rPh sb="0" eb="2">
      <t>タイセイ</t>
    </rPh>
    <rPh sb="3" eb="5">
      <t>モクテキ</t>
    </rPh>
    <phoneticPr fontId="1"/>
  </si>
  <si>
    <t>情報教育部会は、全学教養教育委員会の下に設置され、吉備国際大学における教養教育（情報教育）の編成や教育内容、教育方法の向上や改善などについて審議を行い、教員の情報教育力や学生の学修力の向上を目的としている。数理・データサイエンス・AI教育においては、同プログラムの編成や運営、履修者数の向上に関することについても審議している。</t>
  </si>
  <si>
    <t>⑦</t>
    <phoneticPr fontId="1"/>
  </si>
  <si>
    <t>具体的な構成員</t>
    <rPh sb="0" eb="3">
      <t>グタイテキ</t>
    </rPh>
    <rPh sb="4" eb="7">
      <t>コウセイイン</t>
    </rPh>
    <phoneticPr fontId="1"/>
  </si>
  <si>
    <t>情報教育部会　部会長　外国語学部　教授　佐藤 匡
情報教育部会　副部会長　アニメーション文化学部　准教授　大谷 卓史
社会科学部　講師　竹岡 志朗
社会科学部　准教授　天岡 寛
保健医療福祉学部　准教授　安福 真弓
保健医療福祉学部　准教授　元田 弘敏
保健医療福祉学部　教授　樋口 博之
保健医療福祉学部　准教授　狩長 弘親
心理学部　講師　村上 勝典
心理学部　准教授　秀 真一郎
農学部　教授　桧原 健一郎
農学部　講師　林 将也
外国語学部　教授　髙木 秀明
アニメーション文化学部　講師　今村 俊介
教務部長　溝井 智子</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</si>
  <si>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</si>
  <si>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</si>
  <si>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</si>
  <si>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</si>
  <si>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</si>
  <si>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</si>
  <si>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</si>
  <si>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</si>
  <si>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</si>
  <si>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上記の目標を実現するために、本プログラムについてオリエンテーション等でより一層の周知を図るとともに本プログラムの目的と意義について説明し、学生自身が目標を持って履修するよう指導する。また、本プログラムを構成する2つの科目について、学生をTAなどの教育サポートスタッフとして活用するなど履修生が学びやすい環境づくりを行うとともに、令和8年度までに必修化を行い、令和9年度に100％を目指す予定である。</t>
    <rPh sb="176" eb="177">
      <t>オコナ</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</si>
  <si>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</si>
  <si>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</si>
  <si>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本プログラムは全学部学科の学生が履修できるものとなっている。また、このプログラムを構成する2つの科目「数理・データサイエンス・AI基礎」（1年次秋学期配当、2単位）では複数のクラスを設けており、学生の履修機会を確保している。また「数理・データサイエンス・AI応用（オンライン）」（2年次春学期配当、2単位）においても、令和6年度の授業から複数のクラスを設けている。</t>
    <rPh sb="159" eb="161">
      <t>レイワ</t>
    </rPh>
    <rPh sb="162" eb="164">
      <t>ネンド</t>
    </rPh>
    <rPh sb="165" eb="167">
      <t>ジュギョウ</t>
    </rPh>
    <rPh sb="169" eb="171">
      <t>フクスウ</t>
    </rPh>
    <rPh sb="176" eb="177">
      <t>モウ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</si>
  <si>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</si>
  <si>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</si>
  <si>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数理・データサイエンス・AI受講のすすめ」といった資料を作成し、春学期・秋学期の初めに行っている学科別オリエンテーションの際に全学生へ配布するとともに、プログラムの詳細な説明を行うことで履修を促している。また、学科指導やチューターとの面談で履修指導を行っており、本プログラムを履修するよう指導する。さらに、基礎的な情報リテラシーを涵養する授業である「情報活用」や、「数理・データサイエンス・ＡＩ基礎」の授業において、現代社会における統計学やデータサイエンスの重要性や社会的に注目の高いＡＩについて、その社会や生活への影響を解説して学生の意識を喚起するとともに、本学のプログラムを説明し受講を促す。</t>
  </si>
  <si>
    <t>⑪</t>
    <phoneticPr fontId="1"/>
  </si>
  <si>
    <t>できる限り多くの学生が履修・修得できるようなサポート体制</t>
    <rPh sb="26" eb="28">
      <t>タイセイ</t>
    </rPh>
    <phoneticPr fontId="1"/>
  </si>
  <si>
    <t>令和8年度までに「数理・データサイエンス・AI基礎」および「数理・データサイエンス・AI応用」を必修科目とすることで、学生全員が履修する体制の整備を目指している。
本学では、学生と教職員が学務支援システムUniversalPassportおよび、学内グループウェアMicrosoftTeamsを使用して直接コミュニケーション・連絡できる体制を構築している。新入生オリエンテーションにおいては、これらの学内システムの説明を行うとともに、UniversalPassportを通じて、「数理・データサイエンス・AI基礎」および「数理・データサイエンス・AI応用」のシラバスの閲覧・授業履修登録が支障なくできるよう教務課および学科教員が連携して、指導を行っている。また、新入生を含む学生がこれらのシステムを自力で支障なく活用できるよう、情報教育センターおよび教務課、情報システム課が協力し、学内システムの利用法を解説する「ＩＣＴ活用ガイドブック」を作成したうえで、毎年改訂し、上記のUniversalPassportで公開している。上記ガイドブックのメンテナンス・更新作業を容易に行えるよう、現在はWordPressによるブログ化に取り組んでいる。学生の上記システムの利用における質問・問い合わせは、情報教育センター教員が受け付け、必要に応じて、学生に対して情報システム課および教務課のサポートを案内している。</t>
  </si>
  <si>
    <t>⑫</t>
    <phoneticPr fontId="1"/>
  </si>
  <si>
    <t>授業時間内外で学習指導、質問を受け付ける具体的な仕組み</t>
    <rPh sb="20" eb="23">
      <t>グタイテキ</t>
    </rPh>
    <phoneticPr fontId="1"/>
  </si>
  <si>
    <t>本学では、教職員と学生が学内グループウェアMicrosoftTeamsおよび、学務支援システムUniversalPassportを使用して直接コミュニケーション・連絡できる体制を構築している。授業内においては、これらのコミュニケーションツールを活用して、教員は授業資料や課題を学生に対して提供できる。また、授業内外において、これらのコミュニケーションツールを活用し、受講学生に対して個別的な学習指導を行うとともに、個々の学生からの質問も直接受け付けている。情報教育センターおよび情報システム課、教務課の協力のもと、上記のサポート体制を通じて、このしくみが実効的に機能するよう対応し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</si>
  <si>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</si>
  <si>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</si>
  <si>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</si>
  <si>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</si>
  <si>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自己点検・自己評価委員会</t>
  </si>
  <si>
    <t>栗田　喜勝</t>
  </si>
  <si>
    <t>委員長</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</si>
  <si>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</si>
  <si>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</si>
  <si>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</si>
  <si>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</si>
  <si>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</si>
  <si>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学では同プログラムは令和4年度より実施しており、学生のプログラム履修・修得状況については、全学教養教育委員会情報教育部会において点検・分析・改善を行い、全学的な履修者数・履修率の向上を図っている。令和4年度は「数理・データサイエンス・AI基礎」が19名と少なかったことから、資料を作成し、学科別オリエンテーションにおいて科目の必要性等の説明を行ったことにより、令和5年度は92名に増加している。</t>
  </si>
  <si>
    <t>学修成果</t>
    <rPh sb="0" eb="2">
      <t>ガクシュウ</t>
    </rPh>
    <rPh sb="2" eb="4">
      <t>セイカ</t>
    </rPh>
    <phoneticPr fontId="1"/>
  </si>
  <si>
    <t>本プログラムを構成する「数理・データサイエンス・AI基礎」および「数理・データサイエンス・AI応用」の単位修得状況を見ると、いずれの科目も70%以上の履修者が5段階評価の4以上を取得しており、学生が内容を理解していたと考えられる。また、授業終了後に授業アンケートを実施しており、回答結果を分析し学修成果を把握している。</t>
  </si>
  <si>
    <t>学生アンケート等を通じた学生の内容の理解度</t>
  </si>
  <si>
    <t>「数理・データサイエンス・AI基礎」「数理・データサイエンス・AI応用」では授業アンケートを実施している。この結果を通じて授業内容の理解度や学習内容に対する学生の意見を収集し、教育内容の改善を図っている。「数理・データサイエンス・AI基礎」では、「授業内容を分かりやすく説明していた」および「学生の理解に合わせた授業をしていた」といった項目において、約90%の学生が「そう思う」、「どちらかといえばそう思う」と回答している。「数理・データサイエンス・AI応用」では、MicrosoftTeamsのチームの「会議」機能を活用し、各回の授業終了後、学生の授業の理解度（主観的パーセンテージによる回答を求めている）の確認と感想を集約しており、受講者はおおむね理解度が70-80%であると回答している。</t>
  </si>
  <si>
    <t>学生アンケート等を通じた後輩等他の学生への推奨度</t>
  </si>
  <si>
    <t>授業アンケートの結果において、「授業の内容は興味や関心が持てるものだった」という項目に対して、90%以上の学生が「そう思う」「どちらかといえばそう思う」と回答しており、後輩学生に対しての推奨といった面においても肯定的な意見が期待できる。</t>
  </si>
  <si>
    <t>全学的な履修者数、履修率向上に向けた計画の達成・進捗状況</t>
  </si>
  <si>
    <t>本プログラムを構成する2つの科目については、TAを活用するなどして令和8年度までにカリキュラム変更を行い、必修化を目指している。
令和5年度においては履修者数、履修率の向上を図るため、オリエンテーションにおける本教育プログラムの学生への周知、学生が事前に詳細な学修内容を知る機会の提供、複数の曜日時限のクラスを設ける等、学生が受講しやすい授業環境の整備、LMS(ユニバーサルパスポート)を利用した学生の自主学習環境の整備、授業時間内外における学生指導・質問への対応体制の整備等を行った。</t>
  </si>
  <si>
    <t>学外からの視点</t>
    <rPh sb="0" eb="2">
      <t>ガクガイ</t>
    </rPh>
    <rPh sb="5" eb="7">
      <t>シテン</t>
    </rPh>
    <phoneticPr fontId="1"/>
  </si>
  <si>
    <t>教育プログラム修了者の進路、活躍状況、企業等の評価</t>
  </si>
  <si>
    <t>令和4年度の入学生より開始したプログラムであるため、令和8年度以降に実施する卒業時のアンケート、ならびに卒業から1、2年後に実施する就職先へのアンケートにより、修了者の活躍状況および企業評価等の把握を行う。</t>
  </si>
  <si>
    <t>産業界からの視点を含めた教育プログラム内容・手法等への意見</t>
  </si>
  <si>
    <t>自己点検・自己評価委員会において、地元の高等学校、教育委員会や産業界から地元の企業の方を呼び、意見を聞いている。外部評価者からの意見を含めた自己点検・評価の結果を踏まえて、今後、地元の高等学校や教育委員会、産業界からの視点を含めた教育プログラム内容・手法等への意見を反映した改善が随時行われていく予定である。</t>
  </si>
  <si>
    <t>数理・データサイエンス・ＡＩを「学ぶ楽しさ」「学ぶことの意義」を理解させること</t>
  </si>
  <si>
    <t>令和6年度秋学期からは本学の学内コンビニエンスストアに弁当を納入する設置法人（順正学園）関連企業に依頼し、弁当の納入・販売実績に関するデータ提供を受け、身近なビジネスに関する実データを使って「データを説明する」「データを扱う」学修ができる体制を整備する。また、データサイエンスやAIにかかわる公共放送（NHK）の番組のインターネット配信につき、権利者の利益を不当に害しない範囲で利用する。データサイエンスやAIの最新技術やその応用について学生にわかりやすく、視聴覚に訴求する形で情報提供を行う。なお、本学の設置法人である順正学園は、SARTRASに対して授業目的公衆送信補償金を支払っており、下記のNHKの説明からこのような利用が可能と判断している。
https://www.nhk.or.jp/nijiriyou/kyouiku.html</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</si>
  <si>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</si>
  <si>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本学教育へ反映させることを狙いとして、卒業生の就職先へのヒアリングにより、本学の教育に期待することや産業界で求められている資質・能力、本学卒業生に対する満足度等の情報収集を行い、企業との教育コンテンツの共同開発等を通じて、産業界からのニーズの把握に取り組んでいる。また、定期的に「数理・データサイエンス・AI基礎」および「数理・データサイエンス・AI応用」の教員が気軽に会話できる雰囲気のミーティング（「座談会」と称している）を行い、内容・水準を維持・向上しつつ、より「分かりやすい」授業とするため、それぞれの授業の取り組みや、数理・データサイエンス・AIにかかわる最近の技術発展や社会・経済の変化について情報・意見交換を行っ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</si>
</sst>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ゴシック"/>
      <family val="3"/>
      <charset val="128"/>
    </font>
    <font>
      <sz val="10"/>
      <color rgb="FFFF0000"/>
      <name val="ＭＳ Ｐゴシック"/>
      <family val="3"/>
      <charset val="128"/>
      <scheme val="minor"/>
    </font>
    <font>
      <sz val="10"/>
      <color rgb="FF000000"/>
      <name val="ＭＳ Ｐゴシック"/>
      <family val="3"/>
      <charset val="128"/>
      <scheme val="minor"/>
    </font>
    <font>
      <sz val="9"/>
      <color rgb="FF000000"/>
      <name val="ＭＳ Ｐゴシック"/>
      <family val="3"/>
      <charset val="128"/>
    </font>
    <font>
      <sz val="9"/>
      <color theme="1"/>
      <name val="ＭＳ Ｐゴシック"/>
      <family val="3"/>
      <charset val="128"/>
    </font>
    <font>
      <sz val="10"/>
      <name val="ＭＳ Ｐゴシック"/>
      <family val="3"/>
      <charset val="128"/>
      <scheme val="minor"/>
    </font>
    <font>
      <sz val="7"/>
      <name val="ＭＳ Ｐゴシック"/>
      <family val="3"/>
      <charset val="128"/>
      <scheme val="minor"/>
    </font>
    <font>
      <sz val="12"/>
      <name val="ＭＳ ゴシック"/>
      <family val="3"/>
      <charset val="128"/>
    </font>
    <font>
      <sz val="12"/>
      <color theme="1"/>
      <name val="ＭＳ Ｐゴシック"/>
      <family val="3"/>
      <charset val="128"/>
    </font>
    <font>
      <sz val="12"/>
      <color rgb="FF000000"/>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0" fontId="9" fillId="0" borderId="0" xfId="0" applyFont="1">
      <alignment vertical="center"/>
    </xf>
    <xf numFmtId="0" fontId="10" fillId="0" borderId="0" xfId="0" applyFont="1">
      <alignment vertical="center"/>
    </xf>
    <xf numFmtId="0" fontId="10" fillId="0" borderId="0" xfId="0" applyFont="1" applyAlignment="1">
      <alignment vertical="center" wrapText="1"/>
    </xf>
    <xf numFmtId="49" fontId="10"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2" fillId="0" borderId="0" xfId="0" applyFont="1">
      <alignment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0" xfId="0" applyFont="1" applyAlignment="1">
      <alignment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center" vertical="center"/>
    </xf>
    <xf numFmtId="0" fontId="12" fillId="0" borderId="1" xfId="0" applyFont="1" applyBorder="1">
      <alignment vertical="center"/>
    </xf>
    <xf numFmtId="0" fontId="12" fillId="0" borderId="1" xfId="0" applyFont="1" applyBorder="1" applyAlignment="1">
      <alignment horizontal="left" vertical="center"/>
    </xf>
    <xf numFmtId="0" fontId="12" fillId="0" borderId="0" xfId="0" applyFont="1" applyAlignment="1">
      <alignment horizontal="center" vertical="center" shrinkToFi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5" fillId="3" borderId="0" xfId="0" applyFont="1" applyFill="1">
      <alignment vertical="center"/>
    </xf>
    <xf numFmtId="0" fontId="17" fillId="0" borderId="0" xfId="0" applyFont="1" applyAlignment="1">
      <alignment vertical="center" wrapText="1"/>
    </xf>
    <xf numFmtId="0" fontId="18" fillId="0" borderId="0" xfId="0" applyFont="1" applyAlignment="1">
      <alignment vertical="center" wrapText="1"/>
    </xf>
    <xf numFmtId="49" fontId="18" fillId="0" borderId="0" xfId="0" applyNumberFormat="1" applyFont="1" applyAlignment="1">
      <alignment vertical="center" wrapText="1" shrinkToFit="1"/>
    </xf>
    <xf numFmtId="0" fontId="22" fillId="0" borderId="32" xfId="0" applyFont="1" applyBorder="1" applyAlignment="1">
      <alignment horizontal="center" vertical="center"/>
    </xf>
    <xf numFmtId="0" fontId="22" fillId="0" borderId="35" xfId="0" applyFont="1" applyBorder="1" applyAlignment="1">
      <alignment horizontal="center" vertical="center"/>
    </xf>
    <xf numFmtId="0" fontId="12" fillId="0" borderId="48" xfId="0" applyFont="1" applyBorder="1" applyAlignment="1">
      <alignment horizontal="left" vertical="center" shrinkToFit="1"/>
    </xf>
    <xf numFmtId="38" fontId="12" fillId="0" borderId="45" xfId="2" applyFont="1" applyBorder="1" applyAlignment="1">
      <alignment vertical="center" shrinkToFit="1"/>
    </xf>
    <xf numFmtId="38" fontId="12" fillId="0" borderId="0" xfId="2" applyFont="1" applyAlignment="1">
      <alignment vertical="center" shrinkToFit="1"/>
    </xf>
    <xf numFmtId="38" fontId="12" fillId="0" borderId="5" xfId="2" applyFont="1" applyBorder="1" applyAlignment="1">
      <alignment vertical="center" shrinkToFit="1"/>
    </xf>
    <xf numFmtId="38" fontId="12" fillId="0" borderId="48" xfId="2" applyFont="1" applyBorder="1" applyAlignment="1">
      <alignment vertical="center" shrinkToFit="1"/>
    </xf>
    <xf numFmtId="9" fontId="12" fillId="0" borderId="14" xfId="0" applyNumberFormat="1" applyFont="1" applyBorder="1" applyAlignment="1">
      <alignment vertical="center" shrinkToFit="1"/>
    </xf>
    <xf numFmtId="0" fontId="12" fillId="0" borderId="20" xfId="0" applyFont="1" applyBorder="1" applyAlignment="1">
      <alignment horizontal="left" vertical="center" shrinkToFit="1"/>
    </xf>
    <xf numFmtId="38" fontId="12" fillId="0" borderId="20" xfId="2" applyFont="1" applyBorder="1" applyAlignment="1">
      <alignment vertical="center" shrinkToFit="1"/>
    </xf>
    <xf numFmtId="38" fontId="12" fillId="0" borderId="19" xfId="2" applyFont="1" applyBorder="1" applyAlignment="1">
      <alignment vertical="center" shrinkToFit="1"/>
    </xf>
    <xf numFmtId="38" fontId="12" fillId="0" borderId="18" xfId="2" applyFont="1" applyBorder="1" applyAlignment="1">
      <alignment vertical="center" shrinkToFit="1"/>
    </xf>
    <xf numFmtId="38" fontId="12" fillId="0" borderId="46" xfId="2" applyFont="1" applyBorder="1" applyAlignment="1">
      <alignment vertical="center" shrinkToFit="1"/>
    </xf>
    <xf numFmtId="9" fontId="12" fillId="0" borderId="20" xfId="0" applyNumberFormat="1" applyFont="1" applyBorder="1" applyAlignment="1">
      <alignment vertical="center" shrinkToFit="1"/>
    </xf>
    <xf numFmtId="38" fontId="12" fillId="0" borderId="46" xfId="2" applyFont="1" applyFill="1" applyBorder="1" applyAlignment="1">
      <alignment vertical="center" shrinkToFit="1"/>
    </xf>
    <xf numFmtId="38" fontId="12" fillId="0" borderId="17" xfId="2" applyFont="1" applyBorder="1" applyAlignment="1">
      <alignment vertical="center" shrinkToFit="1"/>
    </xf>
    <xf numFmtId="0" fontId="12" fillId="0" borderId="21" xfId="0" applyFont="1" applyBorder="1" applyAlignment="1">
      <alignment horizontal="left" vertical="center" shrinkToFit="1"/>
    </xf>
    <xf numFmtId="38" fontId="12" fillId="0" borderId="10" xfId="2" applyFont="1" applyBorder="1" applyAlignment="1">
      <alignment vertical="center" shrinkToFit="1"/>
    </xf>
    <xf numFmtId="9" fontId="12" fillId="0" borderId="10" xfId="0" applyNumberFormat="1" applyFont="1" applyBorder="1" applyAlignment="1">
      <alignment vertical="center" shrinkToFit="1"/>
    </xf>
    <xf numFmtId="0" fontId="12" fillId="0" borderId="25" xfId="0" applyFont="1" applyBorder="1" applyAlignment="1">
      <alignment horizontal="center" vertical="center" shrinkToFit="1"/>
    </xf>
    <xf numFmtId="38" fontId="12" fillId="0" borderId="25" xfId="2" applyFont="1" applyBorder="1" applyAlignment="1">
      <alignment vertical="center" shrinkToFit="1"/>
    </xf>
    <xf numFmtId="38" fontId="12" fillId="0" borderId="23" xfId="2" applyFont="1" applyBorder="1" applyAlignment="1">
      <alignment vertical="center" shrinkToFit="1"/>
    </xf>
    <xf numFmtId="38" fontId="12" fillId="0" borderId="22" xfId="2" applyFont="1" applyBorder="1" applyAlignment="1">
      <alignment vertical="center" shrinkToFit="1"/>
    </xf>
    <xf numFmtId="9" fontId="12" fillId="0" borderId="24" xfId="0" applyNumberFormat="1" applyFont="1" applyBorder="1" applyAlignment="1">
      <alignment vertical="center" shrinkToFit="1"/>
    </xf>
    <xf numFmtId="0" fontId="2" fillId="0" borderId="1" xfId="0" applyFont="1" applyBorder="1" applyAlignment="1">
      <alignment horizontal="left" vertical="center"/>
    </xf>
    <xf numFmtId="0" fontId="3" fillId="0" borderId="10" xfId="0" applyFont="1" applyBorder="1" applyAlignment="1">
      <alignment vertical="top" wrapText="1"/>
    </xf>
    <xf numFmtId="0" fontId="14" fillId="0" borderId="37" xfId="0" applyFont="1" applyBorder="1" applyAlignment="1">
      <alignment vertical="top" shrinkToFit="1"/>
    </xf>
    <xf numFmtId="0" fontId="14" fillId="0" borderId="38" xfId="0" applyFont="1" applyBorder="1" applyAlignment="1">
      <alignment vertical="top" shrinkToFit="1"/>
    </xf>
    <xf numFmtId="0" fontId="18" fillId="0" borderId="0" xfId="0" applyFont="1" applyAlignment="1">
      <alignment horizontal="center" vertical="center" wrapText="1"/>
    </xf>
    <xf numFmtId="0" fontId="11"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1" fillId="0" borderId="1" xfId="0" applyFont="1" applyBorder="1" applyAlignment="1">
      <alignment horizontal="center" vertical="center"/>
    </xf>
    <xf numFmtId="0" fontId="14"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5" fillId="0" borderId="0" xfId="0" applyFont="1" applyAlignment="1">
      <alignment horizontal="center" vertical="center"/>
    </xf>
    <xf numFmtId="0" fontId="12" fillId="0" borderId="7" xfId="0" applyFont="1" applyBorder="1" applyAlignment="1">
      <alignment horizontal="left" vertical="top" wrapText="1" shrinkToFit="1"/>
    </xf>
    <xf numFmtId="0" fontId="12" fillId="0" borderId="8" xfId="0" applyFont="1" applyBorder="1" applyAlignment="1">
      <alignment horizontal="left" vertical="top" wrapText="1" shrinkToFit="1"/>
    </xf>
    <xf numFmtId="0" fontId="12" fillId="0" borderId="9" xfId="0" applyFont="1" applyBorder="1" applyAlignment="1">
      <alignment horizontal="left" vertical="top" wrapText="1" shrinkToFit="1"/>
    </xf>
    <xf numFmtId="0" fontId="12" fillId="0" borderId="5" xfId="0" applyFont="1" applyBorder="1" applyAlignment="1">
      <alignment horizontal="left" vertical="top" wrapText="1" shrinkToFit="1"/>
    </xf>
    <xf numFmtId="0" fontId="12" fillId="0" borderId="0" xfId="0" applyFont="1" applyAlignment="1">
      <alignment horizontal="left" vertical="top" wrapText="1" shrinkToFit="1"/>
    </xf>
    <xf numFmtId="0" fontId="12" fillId="0" borderId="10" xfId="0" applyFont="1" applyBorder="1" applyAlignment="1">
      <alignment horizontal="left" vertical="top" wrapText="1" shrinkToFit="1"/>
    </xf>
    <xf numFmtId="0" fontId="12" fillId="0" borderId="11" xfId="0" applyFont="1" applyBorder="1" applyAlignment="1">
      <alignment horizontal="left" vertical="top" wrapText="1" shrinkToFit="1"/>
    </xf>
    <xf numFmtId="0" fontId="12" fillId="0" borderId="6" xfId="0" applyFont="1" applyBorder="1" applyAlignment="1">
      <alignment horizontal="left" vertical="top" wrapText="1" shrinkToFit="1"/>
    </xf>
    <xf numFmtId="0" fontId="12" fillId="0" borderId="12" xfId="0" applyFont="1" applyBorder="1" applyAlignment="1">
      <alignment horizontal="left" vertical="top" wrapText="1" shrinkToFit="1"/>
    </xf>
    <xf numFmtId="0" fontId="12" fillId="0" borderId="0" xfId="0" applyFont="1" applyAlignment="1">
      <alignment vertical="center" wrapText="1"/>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2" fillId="0" borderId="0" xfId="0" applyFont="1" applyAlignment="1">
      <alignment horizontal="righ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19" fillId="0" borderId="18" xfId="0" applyNumberFormat="1" applyFont="1" applyBorder="1" applyAlignment="1">
      <alignment horizontal="left" vertical="center" wrapText="1"/>
    </xf>
    <xf numFmtId="49" fontId="20" fillId="0" borderId="19" xfId="0" applyNumberFormat="1" applyFont="1" applyBorder="1" applyAlignment="1">
      <alignment horizontal="left" vertical="center"/>
    </xf>
    <xf numFmtId="49" fontId="20" fillId="0" borderId="17" xfId="0" applyNumberFormat="1" applyFont="1" applyBorder="1" applyAlignment="1">
      <alignment horizontal="lef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11" xfId="0" applyFont="1" applyBorder="1" applyAlignment="1">
      <alignment horizontal="left" vertical="center" wrapText="1"/>
    </xf>
    <xf numFmtId="0" fontId="12" fillId="0" borderId="6" xfId="0" applyFont="1" applyBorder="1" applyAlignment="1">
      <alignment horizontal="left" vertical="center" wrapText="1"/>
    </xf>
    <xf numFmtId="0" fontId="12" fillId="0" borderId="12" xfId="0" applyFont="1" applyBorder="1" applyAlignment="1">
      <alignment horizontal="left" vertical="center" wrapText="1"/>
    </xf>
    <xf numFmtId="0" fontId="1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21" fillId="0" borderId="8"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11"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12" xfId="0" applyFont="1" applyBorder="1" applyAlignment="1">
      <alignment horizontal="center" vertical="center" wrapText="1"/>
    </xf>
    <xf numFmtId="0" fontId="21" fillId="0" borderId="9" xfId="0" applyFont="1" applyBorder="1" applyAlignment="1">
      <alignment horizontal="center" vertical="center"/>
    </xf>
    <xf numFmtId="0" fontId="21" fillId="0" borderId="12" xfId="0" applyFont="1" applyBorder="1" applyAlignment="1">
      <alignment horizontal="center" vertical="center"/>
    </xf>
    <xf numFmtId="0" fontId="21" fillId="0" borderId="15" xfId="0" applyFont="1" applyBorder="1" applyAlignment="1">
      <alignment horizontal="center" vertical="center" wrapText="1"/>
    </xf>
    <xf numFmtId="0" fontId="21" fillId="0" borderId="13" xfId="0" applyFont="1" applyBorder="1" applyAlignment="1">
      <alignment horizontal="center" vertical="center" wrapText="1"/>
    </xf>
    <xf numFmtId="0" fontId="9"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9" xfId="0" applyFont="1" applyBorder="1" applyAlignment="1">
      <alignment vertical="top"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25"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4" fillId="0" borderId="7" xfId="0" applyFont="1" applyBorder="1" applyAlignment="1">
      <alignment vertical="top" wrapText="1"/>
    </xf>
    <xf numFmtId="0" fontId="24" fillId="0" borderId="8" xfId="0" applyFont="1" applyBorder="1" applyAlignment="1">
      <alignment vertical="top" wrapText="1"/>
    </xf>
    <xf numFmtId="0" fontId="24" fillId="0" borderId="9" xfId="0" applyFont="1" applyBorder="1" applyAlignment="1">
      <alignment vertical="top" wrapText="1"/>
    </xf>
    <xf numFmtId="0" fontId="24" fillId="0" borderId="5" xfId="0" applyFont="1" applyBorder="1" applyAlignment="1">
      <alignment vertical="top" wrapText="1"/>
    </xf>
    <xf numFmtId="0" fontId="24" fillId="0" borderId="0" xfId="0" applyFont="1" applyAlignment="1">
      <alignment vertical="top" wrapText="1"/>
    </xf>
    <xf numFmtId="0" fontId="24" fillId="0" borderId="10" xfId="0" applyFont="1" applyBorder="1" applyAlignment="1">
      <alignment vertical="top" wrapText="1"/>
    </xf>
    <xf numFmtId="0" fontId="24" fillId="0" borderId="11" xfId="0" applyFont="1" applyBorder="1" applyAlignment="1">
      <alignment vertical="top" wrapText="1"/>
    </xf>
    <xf numFmtId="0" fontId="24" fillId="0" borderId="6" xfId="0" applyFont="1" applyBorder="1" applyAlignment="1">
      <alignment vertical="top" wrapText="1"/>
    </xf>
    <xf numFmtId="0" fontId="24" fillId="0" borderId="12" xfId="0" applyFont="1" applyBorder="1" applyAlignment="1">
      <alignment vertical="top" wrapText="1"/>
    </xf>
    <xf numFmtId="0" fontId="24" fillId="0" borderId="9" xfId="0" applyFont="1" applyBorder="1" applyAlignment="1">
      <alignment vertical="top"/>
    </xf>
    <xf numFmtId="0" fontId="24" fillId="0" borderId="5" xfId="0" applyFont="1" applyBorder="1" applyAlignment="1">
      <alignment vertical="top"/>
    </xf>
    <xf numFmtId="0" fontId="24" fillId="0" borderId="0" xfId="0" applyFont="1" applyAlignment="1">
      <alignment vertical="top"/>
    </xf>
    <xf numFmtId="0" fontId="24" fillId="0" borderId="10" xfId="0" applyFont="1" applyBorder="1" applyAlignment="1">
      <alignment vertical="top"/>
    </xf>
    <xf numFmtId="0" fontId="24" fillId="0" borderId="11" xfId="0" applyFont="1" applyBorder="1" applyAlignment="1">
      <alignment vertical="top"/>
    </xf>
    <xf numFmtId="0" fontId="24" fillId="0" borderId="6" xfId="0" applyFont="1" applyBorder="1" applyAlignment="1">
      <alignment vertical="top"/>
    </xf>
    <xf numFmtId="0" fontId="24"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0" borderId="9" xfId="0" applyFont="1" applyBorder="1" applyAlignment="1">
      <alignment horizontal="left" vertical="top" wrapText="1"/>
    </xf>
    <xf numFmtId="0" fontId="24" fillId="0" borderId="5" xfId="0" applyFont="1" applyBorder="1" applyAlignment="1">
      <alignment horizontal="left" vertical="top" wrapText="1"/>
    </xf>
    <xf numFmtId="0" fontId="24" fillId="0" borderId="0" xfId="0" applyFont="1" applyAlignment="1">
      <alignment horizontal="left" vertical="top" wrapText="1"/>
    </xf>
    <xf numFmtId="0" fontId="24" fillId="0" borderId="10" xfId="0" applyFont="1" applyBorder="1" applyAlignment="1">
      <alignment horizontal="left" vertical="top" wrapText="1"/>
    </xf>
    <xf numFmtId="0" fontId="24" fillId="0" borderId="11" xfId="0" applyFont="1" applyBorder="1" applyAlignment="1">
      <alignment horizontal="left" vertical="top" wrapText="1"/>
    </xf>
    <xf numFmtId="0" fontId="24" fillId="0" borderId="6" xfId="0" applyFont="1" applyBorder="1" applyAlignment="1">
      <alignment horizontal="left" vertical="top" wrapText="1"/>
    </xf>
    <xf numFmtId="0" fontId="24" fillId="0" borderId="12" xfId="0" applyFont="1" applyBorder="1" applyAlignment="1">
      <alignment horizontal="left" vertical="top" wrapText="1"/>
    </xf>
    <xf numFmtId="0" fontId="23" fillId="0" borderId="18" xfId="0" applyFont="1" applyBorder="1" applyAlignment="1">
      <alignment vertical="top" wrapText="1" shrinkToFit="1"/>
    </xf>
    <xf numFmtId="0" fontId="23" fillId="0" borderId="19" xfId="0" applyFont="1" applyBorder="1" applyAlignment="1">
      <alignment vertical="top" wrapText="1" shrinkToFit="1"/>
    </xf>
    <xf numFmtId="0" fontId="23"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3" fillId="0" borderId="32" xfId="0" applyFont="1" applyBorder="1" applyAlignment="1">
      <alignment vertical="top" wrapText="1" shrinkToFit="1"/>
    </xf>
    <xf numFmtId="0" fontId="23" fillId="0" borderId="33" xfId="0" applyFont="1" applyBorder="1" applyAlignment="1">
      <alignment vertical="top" wrapText="1" shrinkToFit="1"/>
    </xf>
    <xf numFmtId="0" fontId="23" fillId="0" borderId="34" xfId="0" applyFont="1" applyBorder="1" applyAlignment="1">
      <alignment vertical="top" wrapText="1" shrinkToFit="1"/>
    </xf>
    <xf numFmtId="0" fontId="12" fillId="0" borderId="11" xfId="0" applyFont="1" applyBorder="1" applyAlignment="1">
      <alignment vertical="center" wrapText="1"/>
    </xf>
    <xf numFmtId="0" fontId="12" fillId="0" borderId="6" xfId="0" applyFont="1" applyBorder="1" applyAlignment="1">
      <alignment vertical="center" wrapText="1"/>
    </xf>
    <xf numFmtId="0" fontId="12" fillId="0" borderId="12" xfId="0" applyFont="1" applyBorder="1" applyAlignment="1">
      <alignment vertical="center" wrapText="1"/>
    </xf>
    <xf numFmtId="0" fontId="23" fillId="0" borderId="6" xfId="0" applyFont="1" applyBorder="1" applyAlignment="1">
      <alignment vertical="top" wrapText="1" shrinkToFit="1"/>
    </xf>
    <xf numFmtId="0" fontId="23"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3" fillId="0" borderId="37" xfId="0" applyFont="1" applyBorder="1" applyAlignment="1">
      <alignment vertical="top" wrapText="1" shrinkToFit="1"/>
    </xf>
    <xf numFmtId="0" fontId="23" fillId="0" borderId="38" xfId="0" applyFont="1" applyBorder="1" applyAlignment="1">
      <alignment vertical="top" wrapText="1" shrinkToFit="1"/>
    </xf>
    <xf numFmtId="0" fontId="5" fillId="0" borderId="3" xfId="0" applyFont="1" applyBorder="1" applyAlignment="1">
      <alignment vertical="center"/>
    </xf>
    <xf numFmtId="0" fontId="5" fillId="0" borderId="4" xfId="0" applyFont="1" applyBorder="1" applyAlignment="1">
      <alignment vertical="center"/>
    </xf>
    <xf numFmtId="0" fontId="2" fillId="0" borderId="0" xfId="0" applyFont="1" applyAlignment="1">
      <alignment vertical="center"/>
    </xf>
    <xf numFmtId="0" fontId="2" fillId="0" borderId="16" xfId="0" applyFont="1" applyBorder="1" applyAlignment="1">
      <alignment vertical="center"/>
    </xf>
    <xf numFmtId="0" fontId="5" fillId="0" borderId="17" xfId="0" applyFont="1" applyBorder="1" applyAlignment="1">
      <alignment vertical="center"/>
    </xf>
    <xf numFmtId="0" fontId="16" fillId="0" borderId="1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F114"/>
  <sheetViews>
    <sheetView showZeros="0" view="pageBreakPreview" zoomScaleNormal="100" zoomScaleSheetLayoutView="100" workbookViewId="0"/>
  </sheetViews>
  <sheetFormatPr defaultColWidth="9" defaultRowHeight="18.75" customHeight="1"/>
  <cols>
    <col min="1" max="1" width="2.375" style="1" customWidth="1"/>
    <col min="2" max="2" width="16.375" style="1" customWidth="1"/>
    <col min="3" max="21" width="5.625" style="1" customWidth="1"/>
    <col min="22" max="22" width="3.375" style="1" customWidth="1"/>
    <col min="23" max="23" width="48.625" style="1" hidden="1" customWidth="1"/>
    <col min="24" max="24" width="93.375" style="63" customWidth="1"/>
    <col min="25" max="41" width="5" style="1" customWidth="1"/>
    <col min="42" max="16384" width="9" style="1"/>
  </cols>
  <sheetData>
    <row r="1" spans="1:23" ht="18.600000000000001" customHeight="1">
      <c r="A1" s="48"/>
      <c r="B1" s="48"/>
      <c r="C1" s="48"/>
      <c r="D1" s="48"/>
      <c r="E1" s="48"/>
      <c r="F1" s="48"/>
      <c r="G1" s="48"/>
      <c r="H1" s="48"/>
      <c r="I1" s="48"/>
      <c r="J1" s="48"/>
      <c r="K1" s="48"/>
      <c r="L1" s="48"/>
      <c r="M1" s="48"/>
      <c r="N1" s="48"/>
      <c r="O1" s="48"/>
      <c r="P1" s="48"/>
      <c r="Q1" s="48"/>
      <c r="R1" s="48"/>
      <c r="S1" s="48"/>
      <c r="T1" s="141" t="s">
        <v>0</v>
      </c>
      <c r="U1" s="141"/>
      <c r="V1" s="2" t="s">
        <v>1</v>
      </c>
    </row>
    <row r="2" spans="1:23" ht="18.75" customHeight="1">
      <c r="A2" s="48"/>
      <c r="B2" s="50" t="s">
        <v>2</v>
      </c>
      <c r="C2" s="142" t="s">
        <v>3</v>
      </c>
      <c r="D2" s="143"/>
      <c r="E2" s="143"/>
      <c r="F2" s="143"/>
      <c r="G2" s="143"/>
      <c r="H2" s="143"/>
      <c r="I2" s="143"/>
      <c r="J2" s="144"/>
      <c r="K2" s="49"/>
      <c r="L2" s="51"/>
      <c r="M2" s="51"/>
      <c r="N2" s="51"/>
      <c r="O2" s="51"/>
      <c r="P2" s="51"/>
      <c r="Q2" s="51"/>
      <c r="R2" s="51"/>
      <c r="S2" s="51"/>
      <c r="T2" s="51"/>
      <c r="U2" s="51"/>
    </row>
    <row r="3" spans="1:23" ht="18.75" customHeight="1">
      <c r="A3" s="48"/>
      <c r="B3" s="50" t="s">
        <v>4</v>
      </c>
      <c r="C3" s="145" t="s">
        <v>5</v>
      </c>
      <c r="D3" s="146"/>
      <c r="E3" s="146"/>
      <c r="F3" s="146"/>
      <c r="G3" s="146"/>
      <c r="H3" s="146"/>
      <c r="I3" s="146"/>
      <c r="J3" s="147"/>
      <c r="K3" s="49"/>
      <c r="L3" s="51"/>
      <c r="M3" s="51"/>
      <c r="N3" s="51"/>
      <c r="O3" s="51"/>
      <c r="P3" s="51"/>
      <c r="Q3" s="51"/>
      <c r="R3" s="51"/>
      <c r="S3" s="51"/>
      <c r="T3" s="51"/>
      <c r="U3" s="51"/>
    </row>
    <row r="4" spans="1:23" ht="15" customHeight="1">
      <c r="A4" s="48"/>
      <c r="B4" s="48"/>
      <c r="C4" s="48"/>
      <c r="D4" s="48"/>
      <c r="E4" s="48"/>
      <c r="F4" s="48"/>
      <c r="G4" s="48"/>
      <c r="H4" s="48"/>
      <c r="I4" s="48"/>
      <c r="J4" s="48"/>
      <c r="K4" s="48"/>
      <c r="L4" s="49"/>
      <c r="M4" s="52"/>
      <c r="N4" s="52"/>
      <c r="O4" s="52"/>
      <c r="P4" s="52"/>
      <c r="Q4" s="52"/>
      <c r="R4" s="52"/>
      <c r="S4" s="52"/>
      <c r="T4" s="52"/>
      <c r="U4" s="52"/>
    </row>
    <row r="5" spans="1:23" ht="18" customHeight="1">
      <c r="A5" s="122" t="s">
        <v>6</v>
      </c>
      <c r="B5" s="122"/>
      <c r="C5" s="122"/>
      <c r="D5" s="122"/>
      <c r="E5" s="122"/>
      <c r="F5" s="122"/>
      <c r="G5" s="122"/>
      <c r="H5" s="122"/>
      <c r="I5" s="122"/>
      <c r="J5" s="122"/>
      <c r="K5" s="122"/>
      <c r="L5" s="122"/>
      <c r="M5" s="122"/>
      <c r="N5" s="122"/>
      <c r="O5" s="122"/>
      <c r="P5" s="122"/>
      <c r="Q5" s="122"/>
      <c r="R5" s="122"/>
      <c r="S5" s="122"/>
      <c r="T5" s="122"/>
      <c r="U5" s="122"/>
    </row>
    <row r="6" spans="1:23" ht="15" customHeight="1">
      <c r="A6" s="48"/>
      <c r="B6" s="53"/>
      <c r="C6" s="53"/>
      <c r="D6" s="53"/>
      <c r="E6" s="53"/>
      <c r="F6" s="53"/>
      <c r="G6" s="53"/>
      <c r="H6" s="53"/>
      <c r="I6" s="53"/>
      <c r="J6" s="53"/>
      <c r="K6" s="53"/>
      <c r="L6" s="53"/>
      <c r="M6" s="53"/>
      <c r="N6" s="53"/>
      <c r="O6" s="53"/>
      <c r="P6" s="53"/>
      <c r="Q6" s="53"/>
      <c r="R6" s="53"/>
      <c r="S6" s="53"/>
      <c r="T6" s="53"/>
      <c r="U6" s="53"/>
    </row>
    <row r="7" spans="1:23" ht="15" customHeight="1">
      <c r="A7" s="48" t="s">
        <v>7</v>
      </c>
      <c r="B7" s="53"/>
      <c r="C7" s="53"/>
      <c r="D7" s="53"/>
      <c r="E7" s="53"/>
      <c r="F7" s="47"/>
      <c r="G7" s="47"/>
      <c r="H7" s="47"/>
      <c r="I7" s="47"/>
      <c r="J7" s="47"/>
      <c r="K7" s="47"/>
      <c r="L7" s="161" t="s">
        <v>8</v>
      </c>
      <c r="M7" s="162"/>
      <c r="N7" s="162"/>
      <c r="O7" s="162"/>
      <c r="P7" s="162"/>
      <c r="Q7" s="162"/>
      <c r="R7" s="162"/>
      <c r="S7" s="162"/>
      <c r="T7" s="162"/>
      <c r="U7" s="163"/>
    </row>
    <row r="8" spans="1:23" ht="6" customHeight="1">
      <c r="A8" s="48"/>
      <c r="B8" s="53"/>
      <c r="C8" s="53"/>
      <c r="D8" s="53"/>
      <c r="E8" s="53"/>
      <c r="F8" s="53"/>
      <c r="G8" s="53"/>
      <c r="H8" s="53"/>
      <c r="I8" s="53"/>
      <c r="J8" s="53"/>
      <c r="K8" s="53"/>
      <c r="L8" s="53"/>
      <c r="M8" s="53"/>
      <c r="N8" s="53"/>
      <c r="O8" s="53"/>
      <c r="P8" s="53"/>
      <c r="Q8" s="53"/>
      <c r="R8" s="53"/>
      <c r="S8" s="53"/>
      <c r="T8" s="53"/>
      <c r="U8" s="53"/>
    </row>
    <row r="9" spans="1:23" ht="18" customHeight="1">
      <c r="A9" s="48" t="s">
        <v>9</v>
      </c>
      <c r="B9" s="48"/>
      <c r="C9" s="53"/>
      <c r="D9" s="53"/>
      <c r="E9" s="48"/>
      <c r="F9" s="48"/>
      <c r="G9" s="48"/>
      <c r="H9" s="48"/>
      <c r="I9" s="48"/>
      <c r="J9" s="48"/>
      <c r="K9" s="49"/>
      <c r="L9" s="47"/>
      <c r="M9" s="47"/>
      <c r="N9" s="47"/>
      <c r="O9" s="47"/>
      <c r="P9" s="47"/>
      <c r="Q9" s="47"/>
      <c r="R9" s="47"/>
      <c r="S9" s="47"/>
      <c r="T9" s="47"/>
      <c r="U9" s="47"/>
    </row>
    <row r="10" spans="1:23" ht="6" customHeight="1">
      <c r="A10" s="48"/>
      <c r="B10" s="53"/>
      <c r="C10" s="53"/>
      <c r="D10" s="53"/>
      <c r="E10" s="53"/>
      <c r="F10" s="53"/>
      <c r="G10" s="53"/>
      <c r="H10" s="53"/>
      <c r="I10" s="53"/>
      <c r="J10" s="53"/>
      <c r="K10" s="53"/>
      <c r="L10" s="54"/>
      <c r="M10" s="53"/>
      <c r="N10" s="53"/>
      <c r="O10" s="53"/>
      <c r="P10" s="53"/>
      <c r="Q10" s="53"/>
      <c r="R10" s="53"/>
      <c r="S10" s="53"/>
      <c r="T10" s="53"/>
      <c r="U10" s="53"/>
    </row>
    <row r="11" spans="1:23" ht="18" customHeight="1">
      <c r="A11" s="48"/>
      <c r="B11" s="166"/>
      <c r="C11" s="167"/>
      <c r="D11" s="167"/>
      <c r="E11" s="167"/>
      <c r="F11" s="167"/>
      <c r="G11" s="167"/>
      <c r="H11" s="167"/>
      <c r="I11" s="167"/>
      <c r="J11" s="167"/>
      <c r="K11" s="167"/>
      <c r="L11" s="167"/>
      <c r="M11" s="167"/>
      <c r="N11" s="167"/>
      <c r="O11" s="167"/>
      <c r="P11" s="167"/>
      <c r="Q11" s="167"/>
      <c r="R11" s="167"/>
      <c r="S11" s="167"/>
      <c r="T11" s="167"/>
      <c r="U11" s="168"/>
    </row>
    <row r="12" spans="1:23" ht="18" customHeight="1">
      <c r="A12" s="48"/>
      <c r="B12" s="169"/>
      <c r="C12" s="170"/>
      <c r="D12" s="170"/>
      <c r="E12" s="170"/>
      <c r="F12" s="170"/>
      <c r="G12" s="170"/>
      <c r="H12" s="170"/>
      <c r="I12" s="170"/>
      <c r="J12" s="170"/>
      <c r="K12" s="170"/>
      <c r="L12" s="170"/>
      <c r="M12" s="170"/>
      <c r="N12" s="170"/>
      <c r="O12" s="170"/>
      <c r="P12" s="170"/>
      <c r="Q12" s="170"/>
      <c r="R12" s="170"/>
      <c r="S12" s="170"/>
      <c r="T12" s="170"/>
      <c r="U12" s="171"/>
    </row>
    <row r="13" spans="1:23" ht="6" customHeight="1">
      <c r="A13" s="48"/>
      <c r="B13" s="53"/>
      <c r="C13" s="53"/>
      <c r="D13" s="53"/>
      <c r="E13" s="53"/>
      <c r="F13" s="53"/>
      <c r="G13" s="53"/>
      <c r="H13" s="53"/>
      <c r="I13" s="53"/>
      <c r="J13" s="53"/>
      <c r="K13" s="53"/>
      <c r="L13" s="54"/>
      <c r="M13" s="53"/>
      <c r="N13" s="53"/>
      <c r="O13" s="53"/>
      <c r="P13" s="53"/>
      <c r="Q13" s="53"/>
      <c r="R13" s="53"/>
      <c r="S13" s="53"/>
      <c r="T13" s="53"/>
      <c r="U13" s="53"/>
    </row>
    <row r="14" spans="1:23" ht="18" customHeight="1">
      <c r="A14" s="48" t="s">
        <v>10</v>
      </c>
      <c r="B14" s="53"/>
      <c r="C14" s="53"/>
      <c r="D14" s="53"/>
      <c r="E14" s="49"/>
      <c r="F14" s="49"/>
      <c r="G14" s="49"/>
      <c r="H14" s="49"/>
      <c r="I14" s="49"/>
      <c r="J14" s="49"/>
      <c r="K14" s="49"/>
      <c r="L14" s="55"/>
      <c r="M14" s="55"/>
      <c r="N14" s="55"/>
      <c r="O14" s="55"/>
      <c r="P14" s="55"/>
      <c r="Q14" s="55"/>
      <c r="R14" s="55"/>
      <c r="S14" s="55"/>
      <c r="T14" s="55"/>
      <c r="U14" s="55"/>
    </row>
    <row r="15" spans="1:23" ht="18" customHeight="1">
      <c r="A15" s="48"/>
      <c r="B15" s="123" t="s">
        <v>11</v>
      </c>
      <c r="C15" s="124"/>
      <c r="D15" s="124"/>
      <c r="E15" s="124"/>
      <c r="F15" s="124"/>
      <c r="G15" s="124"/>
      <c r="H15" s="124"/>
      <c r="I15" s="124"/>
      <c r="J15" s="124"/>
      <c r="K15" s="124"/>
      <c r="L15" s="124"/>
      <c r="M15" s="124"/>
      <c r="N15" s="124"/>
      <c r="O15" s="124"/>
      <c r="P15" s="124"/>
      <c r="Q15" s="124"/>
      <c r="R15" s="124"/>
      <c r="S15" s="124"/>
      <c r="T15" s="124"/>
      <c r="U15" s="125"/>
      <c r="W15" s="1" t="s">
        <v>12</v>
      </c>
    </row>
    <row r="16" spans="1:23" ht="18" customHeight="1">
      <c r="A16" s="48"/>
      <c r="B16" s="126"/>
      <c r="C16" s="127"/>
      <c r="D16" s="127"/>
      <c r="E16" s="127"/>
      <c r="F16" s="127"/>
      <c r="G16" s="127"/>
      <c r="H16" s="127"/>
      <c r="I16" s="127"/>
      <c r="J16" s="127"/>
      <c r="K16" s="127"/>
      <c r="L16" s="127"/>
      <c r="M16" s="127"/>
      <c r="N16" s="127"/>
      <c r="O16" s="127"/>
      <c r="P16" s="127"/>
      <c r="Q16" s="127"/>
      <c r="R16" s="127"/>
      <c r="S16" s="127"/>
      <c r="T16" s="127"/>
      <c r="U16" s="128"/>
      <c r="W16" s="1" t="s">
        <v>13</v>
      </c>
    </row>
    <row r="17" spans="1:23" ht="18" customHeight="1">
      <c r="A17" s="48"/>
      <c r="B17" s="126"/>
      <c r="C17" s="127"/>
      <c r="D17" s="127"/>
      <c r="E17" s="127"/>
      <c r="F17" s="127"/>
      <c r="G17" s="127"/>
      <c r="H17" s="127"/>
      <c r="I17" s="127"/>
      <c r="J17" s="127"/>
      <c r="K17" s="127"/>
      <c r="L17" s="127"/>
      <c r="M17" s="127"/>
      <c r="N17" s="127"/>
      <c r="O17" s="127"/>
      <c r="P17" s="127"/>
      <c r="Q17" s="127"/>
      <c r="R17" s="127"/>
      <c r="S17" s="127"/>
      <c r="T17" s="127"/>
      <c r="U17" s="128"/>
      <c r="W17" s="1" t="s">
        <v>14</v>
      </c>
    </row>
    <row r="18" spans="1:23" ht="18" customHeight="1">
      <c r="A18" s="48"/>
      <c r="B18" s="126"/>
      <c r="C18" s="127"/>
      <c r="D18" s="127"/>
      <c r="E18" s="127"/>
      <c r="F18" s="127"/>
      <c r="G18" s="127"/>
      <c r="H18" s="127"/>
      <c r="I18" s="127"/>
      <c r="J18" s="127"/>
      <c r="K18" s="127"/>
      <c r="L18" s="127"/>
      <c r="M18" s="127"/>
      <c r="N18" s="127"/>
      <c r="O18" s="127"/>
      <c r="P18" s="127"/>
      <c r="Q18" s="127"/>
      <c r="R18" s="127"/>
      <c r="S18" s="127"/>
      <c r="T18" s="127"/>
      <c r="U18" s="128"/>
      <c r="W18" s="1" t="s">
        <v>15</v>
      </c>
    </row>
    <row r="19" spans="1:23" ht="18" customHeight="1">
      <c r="A19" s="48"/>
      <c r="B19" s="126"/>
      <c r="C19" s="127"/>
      <c r="D19" s="127"/>
      <c r="E19" s="127"/>
      <c r="F19" s="127"/>
      <c r="G19" s="127"/>
      <c r="H19" s="127"/>
      <c r="I19" s="127"/>
      <c r="J19" s="127"/>
      <c r="K19" s="127"/>
      <c r="L19" s="127"/>
      <c r="M19" s="127"/>
      <c r="N19" s="127"/>
      <c r="O19" s="127"/>
      <c r="P19" s="127"/>
      <c r="Q19" s="127"/>
      <c r="R19" s="127"/>
      <c r="S19" s="127"/>
      <c r="T19" s="127"/>
      <c r="U19" s="128"/>
    </row>
    <row r="20" spans="1:23" ht="18" customHeight="1">
      <c r="A20" s="48"/>
      <c r="B20" s="129"/>
      <c r="C20" s="130"/>
      <c r="D20" s="130"/>
      <c r="E20" s="130"/>
      <c r="F20" s="130"/>
      <c r="G20" s="130"/>
      <c r="H20" s="130"/>
      <c r="I20" s="130"/>
      <c r="J20" s="130"/>
      <c r="K20" s="130"/>
      <c r="L20" s="130"/>
      <c r="M20" s="130"/>
      <c r="N20" s="130"/>
      <c r="O20" s="130"/>
      <c r="P20" s="130"/>
      <c r="Q20" s="130"/>
      <c r="R20" s="130"/>
      <c r="S20" s="130"/>
      <c r="T20" s="130"/>
      <c r="U20" s="131"/>
    </row>
    <row r="21" spans="1:23" ht="7.5" customHeight="1">
      <c r="A21" s="48"/>
      <c r="B21" s="53"/>
      <c r="C21" s="53"/>
      <c r="D21" s="53"/>
      <c r="E21" s="53"/>
      <c r="F21" s="53"/>
      <c r="G21" s="53"/>
      <c r="H21" s="53"/>
      <c r="I21" s="53"/>
      <c r="J21" s="53"/>
      <c r="K21" s="53"/>
      <c r="L21" s="53"/>
      <c r="M21" s="53"/>
      <c r="N21" s="53"/>
      <c r="O21" s="53"/>
      <c r="P21" s="53"/>
      <c r="Q21" s="53"/>
      <c r="R21" s="53"/>
      <c r="S21" s="53"/>
      <c r="T21" s="53"/>
      <c r="U21" s="53"/>
    </row>
    <row r="22" spans="1:23" ht="19.899999999999999" customHeight="1">
      <c r="A22" s="48"/>
      <c r="B22" s="48" t="s">
        <v>16</v>
      </c>
      <c r="C22" s="48"/>
      <c r="D22" s="48"/>
      <c r="E22" s="56">
        <v>2</v>
      </c>
      <c r="F22" s="48" t="s">
        <v>17</v>
      </c>
      <c r="G22" s="48"/>
      <c r="H22" s="57">
        <v>4</v>
      </c>
      <c r="I22" s="53" t="s">
        <v>18</v>
      </c>
      <c r="J22" s="53"/>
      <c r="K22" s="49"/>
      <c r="L22" s="48"/>
      <c r="M22" s="49" t="s">
        <v>19</v>
      </c>
      <c r="N22" s="158" t="s">
        <v>14</v>
      </c>
      <c r="O22" s="159"/>
      <c r="P22" s="159"/>
      <c r="Q22" s="159"/>
      <c r="R22" s="159"/>
      <c r="S22" s="159"/>
      <c r="T22" s="159"/>
      <c r="U22" s="160"/>
    </row>
    <row r="23" spans="1:23" ht="7.5" customHeight="1">
      <c r="A23" s="48"/>
      <c r="B23" s="53"/>
      <c r="C23" s="53"/>
      <c r="D23" s="53"/>
      <c r="E23" s="53"/>
      <c r="F23" s="53"/>
      <c r="G23" s="53"/>
      <c r="H23" s="53"/>
      <c r="I23" s="53"/>
      <c r="J23" s="53"/>
      <c r="K23" s="53"/>
      <c r="L23" s="53"/>
      <c r="M23" s="53"/>
      <c r="N23" s="53"/>
      <c r="O23" s="53"/>
      <c r="P23" s="53"/>
      <c r="Q23" s="53"/>
      <c r="R23" s="53"/>
      <c r="S23" s="53"/>
      <c r="T23" s="53"/>
      <c r="U23" s="53"/>
    </row>
    <row r="24" spans="1:23" ht="18" customHeight="1">
      <c r="A24" s="132" t="s">
        <v>20</v>
      </c>
      <c r="B24" s="132"/>
      <c r="C24" s="132"/>
      <c r="D24" s="132"/>
      <c r="E24" s="132"/>
      <c r="F24" s="132"/>
      <c r="G24" s="132"/>
      <c r="H24" s="132"/>
      <c r="I24" s="132"/>
      <c r="J24" s="132"/>
      <c r="K24" s="132"/>
      <c r="L24" s="132"/>
      <c r="M24" s="132"/>
      <c r="N24" s="132"/>
      <c r="O24" s="132"/>
      <c r="P24" s="132"/>
      <c r="Q24" s="132"/>
      <c r="R24" s="132"/>
      <c r="S24" s="132"/>
      <c r="T24" s="132"/>
      <c r="U24" s="132"/>
    </row>
    <row r="25" spans="1:23" ht="18" customHeight="1">
      <c r="A25" s="132"/>
      <c r="B25" s="132"/>
      <c r="C25" s="132"/>
      <c r="D25" s="132"/>
      <c r="E25" s="132"/>
      <c r="F25" s="132"/>
      <c r="G25" s="132"/>
      <c r="H25" s="132"/>
      <c r="I25" s="132"/>
      <c r="J25" s="132"/>
      <c r="K25" s="132"/>
      <c r="L25" s="132"/>
      <c r="M25" s="132"/>
      <c r="N25" s="132"/>
      <c r="O25" s="132"/>
      <c r="P25" s="132"/>
      <c r="Q25" s="132"/>
      <c r="R25" s="132"/>
      <c r="S25" s="132"/>
      <c r="T25" s="132"/>
      <c r="U25" s="132"/>
    </row>
    <row r="26" spans="1:23" ht="18" customHeight="1">
      <c r="B26" s="98" t="s">
        <v>21</v>
      </c>
      <c r="C26" s="99"/>
      <c r="D26" s="99"/>
      <c r="E26" s="99"/>
      <c r="F26" s="100"/>
      <c r="G26" s="40" t="s">
        <v>22</v>
      </c>
      <c r="H26" s="39" t="s">
        <v>23</v>
      </c>
      <c r="I26" s="10" t="s">
        <v>24</v>
      </c>
      <c r="J26" s="10" t="s">
        <v>25</v>
      </c>
      <c r="K26" s="98" t="s">
        <v>21</v>
      </c>
      <c r="L26" s="99"/>
      <c r="M26" s="99"/>
      <c r="N26" s="99"/>
      <c r="O26" s="99"/>
      <c r="P26" s="99"/>
      <c r="Q26" s="100"/>
      <c r="R26" s="40" t="s">
        <v>22</v>
      </c>
      <c r="S26" s="39" t="s">
        <v>23</v>
      </c>
      <c r="T26" s="10" t="s">
        <v>24</v>
      </c>
      <c r="U26" s="10" t="s">
        <v>25</v>
      </c>
    </row>
    <row r="27" spans="1:23" ht="18" customHeight="1">
      <c r="B27" s="109" t="s">
        <v>26</v>
      </c>
      <c r="C27" s="110"/>
      <c r="D27" s="110"/>
      <c r="E27" s="110"/>
      <c r="F27" s="111"/>
      <c r="G27" s="11">
        <v>2</v>
      </c>
      <c r="H27" s="11" t="s">
        <v>27</v>
      </c>
      <c r="I27" s="11" t="s">
        <v>27</v>
      </c>
      <c r="J27" s="11" t="s">
        <v>27</v>
      </c>
      <c r="K27" s="109"/>
      <c r="L27" s="110"/>
      <c r="M27" s="110"/>
      <c r="N27" s="110"/>
      <c r="O27" s="110"/>
      <c r="P27" s="110"/>
      <c r="Q27" s="111"/>
      <c r="R27" s="11"/>
      <c r="S27" s="11"/>
      <c r="T27" s="11"/>
      <c r="U27" s="11"/>
    </row>
    <row r="28" spans="1:23" ht="18" customHeight="1">
      <c r="B28" s="101"/>
      <c r="C28" s="102"/>
      <c r="D28" s="102"/>
      <c r="E28" s="102"/>
      <c r="F28" s="103"/>
      <c r="G28" s="12"/>
      <c r="H28" s="12"/>
      <c r="I28" s="12"/>
      <c r="J28" s="12"/>
      <c r="K28" s="101"/>
      <c r="L28" s="102"/>
      <c r="M28" s="102"/>
      <c r="N28" s="102"/>
      <c r="O28" s="102"/>
      <c r="P28" s="102"/>
      <c r="Q28" s="103"/>
      <c r="R28" s="12"/>
      <c r="S28" s="12"/>
      <c r="T28" s="12"/>
      <c r="U28" s="12"/>
    </row>
    <row r="29" spans="1:23" ht="18" customHeight="1">
      <c r="B29" s="101"/>
      <c r="C29" s="102"/>
      <c r="D29" s="102"/>
      <c r="E29" s="102"/>
      <c r="F29" s="103"/>
      <c r="G29" s="12"/>
      <c r="H29" s="12"/>
      <c r="I29" s="12"/>
      <c r="J29" s="12"/>
      <c r="K29" s="101"/>
      <c r="L29" s="102"/>
      <c r="M29" s="102"/>
      <c r="N29" s="102"/>
      <c r="O29" s="102"/>
      <c r="P29" s="102"/>
      <c r="Q29" s="103"/>
      <c r="R29" s="12"/>
      <c r="S29" s="12"/>
      <c r="T29" s="12"/>
      <c r="U29" s="12"/>
    </row>
    <row r="30" spans="1:23" ht="18" customHeight="1">
      <c r="B30" s="101"/>
      <c r="C30" s="102"/>
      <c r="D30" s="102"/>
      <c r="E30" s="102"/>
      <c r="F30" s="103"/>
      <c r="G30" s="12"/>
      <c r="H30" s="12"/>
      <c r="I30" s="12"/>
      <c r="J30" s="12"/>
      <c r="K30" s="101"/>
      <c r="L30" s="102"/>
      <c r="M30" s="102"/>
      <c r="N30" s="102"/>
      <c r="O30" s="102"/>
      <c r="P30" s="102"/>
      <c r="Q30" s="103"/>
      <c r="R30" s="12"/>
      <c r="S30" s="12"/>
      <c r="T30" s="12"/>
      <c r="U30" s="12"/>
    </row>
    <row r="31" spans="1:23" ht="18" customHeight="1">
      <c r="B31" s="101"/>
      <c r="C31" s="102"/>
      <c r="D31" s="102"/>
      <c r="E31" s="102"/>
      <c r="F31" s="103"/>
      <c r="G31" s="12"/>
      <c r="H31" s="12"/>
      <c r="I31" s="12"/>
      <c r="J31" s="12"/>
      <c r="K31" s="101"/>
      <c r="L31" s="102"/>
      <c r="M31" s="102"/>
      <c r="N31" s="102"/>
      <c r="O31" s="102"/>
      <c r="P31" s="102"/>
      <c r="Q31" s="103"/>
      <c r="R31" s="12"/>
      <c r="S31" s="12"/>
      <c r="T31" s="12"/>
      <c r="U31" s="12"/>
    </row>
    <row r="32" spans="1:23" ht="18" customHeight="1">
      <c r="A32" s="3"/>
      <c r="B32" s="101"/>
      <c r="C32" s="102"/>
      <c r="D32" s="102"/>
      <c r="E32" s="102"/>
      <c r="F32" s="103"/>
      <c r="G32" s="12"/>
      <c r="H32" s="12"/>
      <c r="I32" s="12"/>
      <c r="J32" s="12"/>
      <c r="K32" s="101"/>
      <c r="L32" s="102"/>
      <c r="M32" s="102"/>
      <c r="N32" s="102"/>
      <c r="O32" s="102"/>
      <c r="P32" s="102"/>
      <c r="Q32" s="103"/>
      <c r="R32" s="12"/>
      <c r="S32" s="12"/>
      <c r="T32" s="12"/>
      <c r="U32" s="12"/>
    </row>
    <row r="33" spans="1:21" ht="18" customHeight="1">
      <c r="A33" s="3"/>
      <c r="B33" s="104"/>
      <c r="C33" s="105"/>
      <c r="D33" s="105"/>
      <c r="E33" s="105"/>
      <c r="F33" s="106"/>
      <c r="G33" s="13"/>
      <c r="H33" s="13"/>
      <c r="I33" s="14"/>
      <c r="J33" s="14"/>
      <c r="K33" s="104"/>
      <c r="L33" s="105"/>
      <c r="M33" s="105"/>
      <c r="N33" s="105"/>
      <c r="O33" s="105"/>
      <c r="P33" s="105"/>
      <c r="Q33" s="106"/>
      <c r="R33" s="13"/>
      <c r="S33" s="13"/>
      <c r="T33" s="14"/>
      <c r="U33" s="14"/>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2" t="s">
        <v>28</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c r="B37" s="98" t="s">
        <v>21</v>
      </c>
      <c r="C37" s="99"/>
      <c r="D37" s="99"/>
      <c r="E37" s="99"/>
      <c r="F37" s="100"/>
      <c r="G37" s="40" t="s">
        <v>22</v>
      </c>
      <c r="H37" s="39" t="s">
        <v>23</v>
      </c>
      <c r="I37" s="10" t="s">
        <v>29</v>
      </c>
      <c r="J37" s="10" t="s">
        <v>30</v>
      </c>
      <c r="K37" s="98" t="s">
        <v>21</v>
      </c>
      <c r="L37" s="99"/>
      <c r="M37" s="99"/>
      <c r="N37" s="99"/>
      <c r="O37" s="99"/>
      <c r="P37" s="99"/>
      <c r="Q37" s="100"/>
      <c r="R37" s="40" t="s">
        <v>22</v>
      </c>
      <c r="S37" s="39" t="s">
        <v>23</v>
      </c>
      <c r="T37" s="10" t="s">
        <v>29</v>
      </c>
      <c r="U37" s="10" t="s">
        <v>30</v>
      </c>
    </row>
    <row r="38" spans="1:21" ht="18" customHeight="1">
      <c r="B38" s="109" t="s">
        <v>26</v>
      </c>
      <c r="C38" s="110"/>
      <c r="D38" s="110"/>
      <c r="E38" s="110"/>
      <c r="F38" s="111"/>
      <c r="G38" s="11">
        <v>2</v>
      </c>
      <c r="H38" s="11" t="s">
        <v>27</v>
      </c>
      <c r="I38" s="11" t="s">
        <v>27</v>
      </c>
      <c r="J38" s="11" t="s">
        <v>27</v>
      </c>
      <c r="K38" s="109"/>
      <c r="L38" s="110"/>
      <c r="M38" s="110"/>
      <c r="N38" s="110"/>
      <c r="O38" s="110"/>
      <c r="P38" s="110"/>
      <c r="Q38" s="111"/>
      <c r="R38" s="11"/>
      <c r="S38" s="11"/>
      <c r="T38" s="11"/>
      <c r="U38" s="11"/>
    </row>
    <row r="39" spans="1:21" ht="18" customHeight="1">
      <c r="B39" s="101"/>
      <c r="C39" s="102"/>
      <c r="D39" s="102"/>
      <c r="E39" s="102"/>
      <c r="F39" s="103"/>
      <c r="G39" s="12"/>
      <c r="H39" s="12"/>
      <c r="I39" s="12"/>
      <c r="J39" s="12"/>
      <c r="K39" s="101"/>
      <c r="L39" s="102"/>
      <c r="M39" s="102"/>
      <c r="N39" s="102"/>
      <c r="O39" s="102"/>
      <c r="P39" s="102"/>
      <c r="Q39" s="103"/>
      <c r="R39" s="12"/>
      <c r="S39" s="12"/>
      <c r="T39" s="12"/>
      <c r="U39" s="12"/>
    </row>
    <row r="40" spans="1:21" ht="18" customHeight="1">
      <c r="B40" s="101"/>
      <c r="C40" s="102"/>
      <c r="D40" s="102"/>
      <c r="E40" s="102"/>
      <c r="F40" s="103"/>
      <c r="G40" s="12"/>
      <c r="H40" s="12"/>
      <c r="I40" s="12"/>
      <c r="J40" s="12"/>
      <c r="K40" s="101"/>
      <c r="L40" s="102"/>
      <c r="M40" s="102"/>
      <c r="N40" s="102"/>
      <c r="O40" s="102"/>
      <c r="P40" s="102"/>
      <c r="Q40" s="103"/>
      <c r="R40" s="12"/>
      <c r="S40" s="12"/>
      <c r="T40" s="12"/>
      <c r="U40" s="12"/>
    </row>
    <row r="41" spans="1:21" ht="18" customHeight="1">
      <c r="B41" s="101"/>
      <c r="C41" s="102"/>
      <c r="D41" s="102"/>
      <c r="E41" s="102"/>
      <c r="F41" s="103"/>
      <c r="G41" s="12"/>
      <c r="H41" s="12"/>
      <c r="I41" s="12"/>
      <c r="J41" s="12"/>
      <c r="K41" s="101"/>
      <c r="L41" s="102"/>
      <c r="M41" s="102"/>
      <c r="N41" s="102"/>
      <c r="O41" s="102"/>
      <c r="P41" s="102"/>
      <c r="Q41" s="103"/>
      <c r="R41" s="12"/>
      <c r="S41" s="12"/>
      <c r="T41" s="12"/>
      <c r="U41" s="12"/>
    </row>
    <row r="42" spans="1:21" ht="18" customHeight="1">
      <c r="B42" s="101"/>
      <c r="C42" s="102"/>
      <c r="D42" s="102"/>
      <c r="E42" s="102"/>
      <c r="F42" s="103"/>
      <c r="G42" s="12"/>
      <c r="H42" s="12"/>
      <c r="I42" s="12"/>
      <c r="J42" s="12"/>
      <c r="K42" s="101"/>
      <c r="L42" s="102"/>
      <c r="M42" s="102"/>
      <c r="N42" s="102"/>
      <c r="O42" s="102"/>
      <c r="P42" s="102"/>
      <c r="Q42" s="103"/>
      <c r="R42" s="12"/>
      <c r="S42" s="12"/>
      <c r="T42" s="12"/>
      <c r="U42" s="12"/>
    </row>
    <row r="43" spans="1:21" ht="18" customHeight="1">
      <c r="B43" s="101"/>
      <c r="C43" s="102"/>
      <c r="D43" s="102"/>
      <c r="E43" s="102"/>
      <c r="F43" s="103"/>
      <c r="G43" s="12"/>
      <c r="H43" s="12"/>
      <c r="I43" s="12"/>
      <c r="J43" s="12"/>
      <c r="K43" s="101"/>
      <c r="L43" s="102"/>
      <c r="M43" s="102"/>
      <c r="N43" s="102"/>
      <c r="O43" s="102"/>
      <c r="P43" s="102"/>
      <c r="Q43" s="103"/>
      <c r="R43" s="12"/>
      <c r="S43" s="12"/>
      <c r="T43" s="12"/>
      <c r="U43" s="12"/>
    </row>
    <row r="44" spans="1:21" ht="18" customHeight="1">
      <c r="B44" s="104"/>
      <c r="C44" s="105"/>
      <c r="D44" s="105"/>
      <c r="E44" s="105"/>
      <c r="F44" s="106"/>
      <c r="G44" s="13"/>
      <c r="H44" s="13"/>
      <c r="I44" s="14"/>
      <c r="J44" s="14"/>
      <c r="K44" s="104"/>
      <c r="L44" s="105"/>
      <c r="M44" s="105"/>
      <c r="N44" s="105"/>
      <c r="O44" s="105"/>
      <c r="P44" s="105"/>
      <c r="Q44" s="106"/>
      <c r="R44" s="13"/>
      <c r="S44" s="13"/>
      <c r="T44" s="14"/>
      <c r="U44" s="14"/>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2" t="s">
        <v>31</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c r="B48" s="98" t="s">
        <v>21</v>
      </c>
      <c r="C48" s="99"/>
      <c r="D48" s="99"/>
      <c r="E48" s="99"/>
      <c r="F48" s="100"/>
      <c r="G48" s="40" t="s">
        <v>22</v>
      </c>
      <c r="H48" s="39" t="s">
        <v>23</v>
      </c>
      <c r="I48" s="10" t="s">
        <v>32</v>
      </c>
      <c r="J48" s="10" t="s">
        <v>33</v>
      </c>
      <c r="K48" s="98" t="s">
        <v>21</v>
      </c>
      <c r="L48" s="99"/>
      <c r="M48" s="99"/>
      <c r="N48" s="99"/>
      <c r="O48" s="99"/>
      <c r="P48" s="99"/>
      <c r="Q48" s="100"/>
      <c r="R48" s="40" t="s">
        <v>22</v>
      </c>
      <c r="S48" s="39" t="s">
        <v>23</v>
      </c>
      <c r="T48" s="10" t="s">
        <v>32</v>
      </c>
      <c r="U48" s="10" t="s">
        <v>33</v>
      </c>
    </row>
    <row r="49" spans="1:21" ht="18" customHeight="1">
      <c r="A49" s="3"/>
      <c r="B49" s="109" t="s">
        <v>26</v>
      </c>
      <c r="C49" s="110"/>
      <c r="D49" s="110"/>
      <c r="E49" s="110"/>
      <c r="F49" s="111"/>
      <c r="G49" s="11">
        <v>2</v>
      </c>
      <c r="H49" s="11" t="s">
        <v>27</v>
      </c>
      <c r="I49" s="11" t="s">
        <v>27</v>
      </c>
      <c r="J49" s="11" t="s">
        <v>27</v>
      </c>
      <c r="K49" s="109"/>
      <c r="L49" s="110"/>
      <c r="M49" s="110"/>
      <c r="N49" s="110"/>
      <c r="O49" s="110"/>
      <c r="P49" s="110"/>
      <c r="Q49" s="111"/>
      <c r="R49" s="11"/>
      <c r="S49" s="11"/>
      <c r="T49" s="11"/>
      <c r="U49" s="11"/>
    </row>
    <row r="50" spans="1:21" ht="18" customHeight="1">
      <c r="A50" s="3"/>
      <c r="B50" s="101"/>
      <c r="C50" s="102"/>
      <c r="D50" s="102"/>
      <c r="E50" s="102"/>
      <c r="F50" s="103"/>
      <c r="G50" s="12"/>
      <c r="H50" s="12"/>
      <c r="I50" s="12"/>
      <c r="J50" s="12"/>
      <c r="K50" s="101"/>
      <c r="L50" s="102"/>
      <c r="M50" s="102"/>
      <c r="N50" s="102"/>
      <c r="O50" s="102"/>
      <c r="P50" s="102"/>
      <c r="Q50" s="103"/>
      <c r="R50" s="12"/>
      <c r="S50" s="12"/>
      <c r="T50" s="12"/>
      <c r="U50" s="12"/>
    </row>
    <row r="51" spans="1:21" ht="18" customHeight="1">
      <c r="A51" s="3"/>
      <c r="B51" s="101"/>
      <c r="C51" s="102"/>
      <c r="D51" s="102"/>
      <c r="E51" s="102"/>
      <c r="F51" s="103"/>
      <c r="G51" s="12"/>
      <c r="H51" s="12"/>
      <c r="I51" s="12"/>
      <c r="J51" s="12"/>
      <c r="K51" s="101"/>
      <c r="L51" s="102"/>
      <c r="M51" s="102"/>
      <c r="N51" s="102"/>
      <c r="O51" s="102"/>
      <c r="P51" s="102"/>
      <c r="Q51" s="103"/>
      <c r="R51" s="12"/>
      <c r="S51" s="12"/>
      <c r="T51" s="12"/>
      <c r="U51" s="12"/>
    </row>
    <row r="52" spans="1:21" ht="18" customHeight="1">
      <c r="A52" s="3"/>
      <c r="B52" s="101"/>
      <c r="C52" s="102"/>
      <c r="D52" s="102"/>
      <c r="E52" s="102"/>
      <c r="F52" s="103"/>
      <c r="G52" s="12"/>
      <c r="H52" s="12"/>
      <c r="I52" s="12"/>
      <c r="J52" s="12"/>
      <c r="K52" s="101"/>
      <c r="L52" s="102"/>
      <c r="M52" s="102"/>
      <c r="N52" s="102"/>
      <c r="O52" s="102"/>
      <c r="P52" s="102"/>
      <c r="Q52" s="103"/>
      <c r="R52" s="12"/>
      <c r="S52" s="12"/>
      <c r="T52" s="12"/>
      <c r="U52" s="12"/>
    </row>
    <row r="53" spans="1:21" ht="18" customHeight="1">
      <c r="A53" s="3"/>
      <c r="B53" s="101"/>
      <c r="C53" s="102"/>
      <c r="D53" s="102"/>
      <c r="E53" s="102"/>
      <c r="F53" s="103"/>
      <c r="G53" s="12"/>
      <c r="H53" s="12"/>
      <c r="I53" s="12"/>
      <c r="J53" s="12"/>
      <c r="K53" s="101"/>
      <c r="L53" s="102"/>
      <c r="M53" s="102"/>
      <c r="N53" s="102"/>
      <c r="O53" s="102"/>
      <c r="P53" s="102"/>
      <c r="Q53" s="103"/>
      <c r="R53" s="12"/>
      <c r="S53" s="12"/>
      <c r="T53" s="12"/>
      <c r="U53" s="12"/>
    </row>
    <row r="54" spans="1:21" ht="18" customHeight="1">
      <c r="A54" s="3"/>
      <c r="B54" s="101"/>
      <c r="C54" s="102"/>
      <c r="D54" s="102"/>
      <c r="E54" s="102"/>
      <c r="F54" s="103"/>
      <c r="G54" s="12"/>
      <c r="H54" s="12"/>
      <c r="I54" s="12"/>
      <c r="J54" s="12"/>
      <c r="K54" s="101"/>
      <c r="L54" s="102"/>
      <c r="M54" s="102"/>
      <c r="N54" s="102"/>
      <c r="O54" s="102"/>
      <c r="P54" s="102"/>
      <c r="Q54" s="103"/>
      <c r="R54" s="12"/>
      <c r="S54" s="12"/>
      <c r="T54" s="12"/>
      <c r="U54" s="12"/>
    </row>
    <row r="55" spans="1:21" ht="18" customHeight="1">
      <c r="A55" s="3"/>
      <c r="B55" s="104"/>
      <c r="C55" s="105"/>
      <c r="D55" s="105"/>
      <c r="E55" s="105"/>
      <c r="F55" s="106"/>
      <c r="G55" s="13"/>
      <c r="H55" s="13"/>
      <c r="I55" s="14"/>
      <c r="J55" s="14"/>
      <c r="K55" s="104"/>
      <c r="L55" s="105"/>
      <c r="M55" s="105"/>
      <c r="N55" s="105"/>
      <c r="O55" s="105"/>
      <c r="P55" s="105"/>
      <c r="Q55" s="106"/>
      <c r="R55" s="13"/>
      <c r="S55" s="13"/>
      <c r="T55" s="14"/>
      <c r="U55" s="14"/>
    </row>
    <row r="56" spans="1:21" ht="7.5" customHeight="1">
      <c r="B56" s="8"/>
      <c r="C56" s="8"/>
      <c r="D56" s="8"/>
      <c r="E56" s="8"/>
      <c r="F56" s="8"/>
      <c r="G56" s="8"/>
      <c r="H56" s="8"/>
      <c r="I56" s="8"/>
      <c r="J56" s="8"/>
      <c r="K56" s="8"/>
      <c r="L56" s="8"/>
      <c r="M56" s="8"/>
      <c r="N56" s="8"/>
      <c r="O56" s="8"/>
      <c r="P56" s="8"/>
      <c r="Q56" s="8"/>
      <c r="R56" s="8"/>
      <c r="S56" s="8"/>
      <c r="T56" s="8"/>
    </row>
    <row r="57" spans="1:21" ht="18" customHeight="1">
      <c r="A57" s="112" t="s">
        <v>34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c r="B59" s="98" t="s">
        <v>21</v>
      </c>
      <c r="C59" s="99"/>
      <c r="D59" s="99"/>
      <c r="E59" s="99"/>
      <c r="F59" s="100"/>
      <c r="G59" s="40" t="s">
        <v>22</v>
      </c>
      <c r="H59" s="39" t="s">
        <v>23</v>
      </c>
      <c r="I59" s="10" t="s">
        <v>35</v>
      </c>
      <c r="J59" s="10" t="s">
        <v>36</v>
      </c>
      <c r="K59" s="98" t="s">
        <v>21</v>
      </c>
      <c r="L59" s="99"/>
      <c r="M59" s="99"/>
      <c r="N59" s="99"/>
      <c r="O59" s="99"/>
      <c r="P59" s="99"/>
      <c r="Q59" s="100"/>
      <c r="R59" s="40" t="s">
        <v>22</v>
      </c>
      <c r="S59" s="39" t="s">
        <v>23</v>
      </c>
      <c r="T59" s="10" t="s">
        <v>35</v>
      </c>
      <c r="U59" s="10" t="s">
        <v>36</v>
      </c>
    </row>
    <row r="60" spans="1:21" ht="18" customHeight="1">
      <c r="A60" s="3"/>
      <c r="B60" s="109" t="s">
        <v>26</v>
      </c>
      <c r="C60" s="110"/>
      <c r="D60" s="110"/>
      <c r="E60" s="110"/>
      <c r="F60" s="111"/>
      <c r="G60" s="11">
        <v>2</v>
      </c>
      <c r="H60" s="11" t="s">
        <v>27</v>
      </c>
      <c r="I60" s="11" t="s">
        <v>27</v>
      </c>
      <c r="J60" s="11" t="s">
        <v>27</v>
      </c>
      <c r="K60" s="109"/>
      <c r="L60" s="110"/>
      <c r="M60" s="110"/>
      <c r="N60" s="110"/>
      <c r="O60" s="110"/>
      <c r="P60" s="110"/>
      <c r="Q60" s="111"/>
      <c r="R60" s="11"/>
      <c r="S60" s="11"/>
      <c r="T60" s="11"/>
      <c r="U60" s="11"/>
    </row>
    <row r="61" spans="1:21" ht="18" customHeight="1">
      <c r="A61" s="3"/>
      <c r="B61" s="101"/>
      <c r="C61" s="102"/>
      <c r="D61" s="102"/>
      <c r="E61" s="102"/>
      <c r="F61" s="103"/>
      <c r="G61" s="12"/>
      <c r="H61" s="12"/>
      <c r="I61" s="12"/>
      <c r="J61" s="12"/>
      <c r="K61" s="101"/>
      <c r="L61" s="102"/>
      <c r="M61" s="102"/>
      <c r="N61" s="102"/>
      <c r="O61" s="102"/>
      <c r="P61" s="102"/>
      <c r="Q61" s="103"/>
      <c r="R61" s="12"/>
      <c r="S61" s="12"/>
      <c r="T61" s="12"/>
      <c r="U61" s="12"/>
    </row>
    <row r="62" spans="1:21" ht="18" customHeight="1">
      <c r="A62" s="3"/>
      <c r="B62" s="101"/>
      <c r="C62" s="102"/>
      <c r="D62" s="102"/>
      <c r="E62" s="102"/>
      <c r="F62" s="103"/>
      <c r="G62" s="12"/>
      <c r="H62" s="12"/>
      <c r="I62" s="12"/>
      <c r="J62" s="12"/>
      <c r="K62" s="101"/>
      <c r="L62" s="102"/>
      <c r="M62" s="102"/>
      <c r="N62" s="102"/>
      <c r="O62" s="102"/>
      <c r="P62" s="102"/>
      <c r="Q62" s="103"/>
      <c r="R62" s="12"/>
      <c r="S62" s="12"/>
      <c r="T62" s="12"/>
      <c r="U62" s="12"/>
    </row>
    <row r="63" spans="1:21" ht="18" customHeight="1">
      <c r="A63" s="3"/>
      <c r="B63" s="101"/>
      <c r="C63" s="102"/>
      <c r="D63" s="102"/>
      <c r="E63" s="102"/>
      <c r="F63" s="103"/>
      <c r="G63" s="12"/>
      <c r="H63" s="12"/>
      <c r="I63" s="12"/>
      <c r="J63" s="12"/>
      <c r="K63" s="101"/>
      <c r="L63" s="102"/>
      <c r="M63" s="102"/>
      <c r="N63" s="102"/>
      <c r="O63" s="102"/>
      <c r="P63" s="102"/>
      <c r="Q63" s="103"/>
      <c r="R63" s="12"/>
      <c r="S63" s="12"/>
      <c r="T63" s="12"/>
      <c r="U63" s="12"/>
    </row>
    <row r="64" spans="1:21" ht="18" customHeight="1">
      <c r="A64" s="3"/>
      <c r="B64" s="101"/>
      <c r="C64" s="102"/>
      <c r="D64" s="102"/>
      <c r="E64" s="102"/>
      <c r="F64" s="103"/>
      <c r="G64" s="12"/>
      <c r="H64" s="12"/>
      <c r="I64" s="12"/>
      <c r="J64" s="12"/>
      <c r="K64" s="101"/>
      <c r="L64" s="102"/>
      <c r="M64" s="102"/>
      <c r="N64" s="102"/>
      <c r="O64" s="102"/>
      <c r="P64" s="102"/>
      <c r="Q64" s="103"/>
      <c r="R64" s="12"/>
      <c r="S64" s="12"/>
      <c r="T64" s="12"/>
      <c r="U64" s="12"/>
    </row>
    <row r="65" spans="1:21" ht="18" customHeight="1">
      <c r="A65" s="3"/>
      <c r="B65" s="101"/>
      <c r="C65" s="102"/>
      <c r="D65" s="102"/>
      <c r="E65" s="102"/>
      <c r="F65" s="103"/>
      <c r="G65" s="12"/>
      <c r="H65" s="12"/>
      <c r="I65" s="12"/>
      <c r="J65" s="12"/>
      <c r="K65" s="101"/>
      <c r="L65" s="102"/>
      <c r="M65" s="102"/>
      <c r="N65" s="102"/>
      <c r="O65" s="102"/>
      <c r="P65" s="102"/>
      <c r="Q65" s="103"/>
      <c r="R65" s="12"/>
      <c r="S65" s="12"/>
      <c r="T65" s="12"/>
      <c r="U65" s="12"/>
    </row>
    <row r="66" spans="1:21" ht="18" customHeight="1">
      <c r="A66" s="3"/>
      <c r="B66" s="104"/>
      <c r="C66" s="105"/>
      <c r="D66" s="105"/>
      <c r="E66" s="105"/>
      <c r="F66" s="106"/>
      <c r="G66" s="13"/>
      <c r="H66" s="13"/>
      <c r="I66" s="14"/>
      <c r="J66" s="14"/>
      <c r="K66" s="104"/>
      <c r="L66" s="105"/>
      <c r="M66" s="105"/>
      <c r="N66" s="105"/>
      <c r="O66" s="105"/>
      <c r="P66" s="105"/>
      <c r="Q66" s="106"/>
      <c r="R66" s="13"/>
      <c r="S66" s="13"/>
      <c r="T66" s="14"/>
      <c r="U66" s="14"/>
    </row>
    <row r="67" spans="1:21" ht="7.5" customHeight="1">
      <c r="B67" s="8"/>
      <c r="C67" s="8"/>
      <c r="D67" s="8"/>
      <c r="E67" s="8"/>
      <c r="F67" s="8"/>
      <c r="G67" s="8"/>
      <c r="H67" s="8"/>
      <c r="I67" s="8"/>
      <c r="J67" s="8"/>
      <c r="K67" s="8"/>
      <c r="L67" s="8"/>
      <c r="M67" s="8"/>
      <c r="N67" s="8"/>
      <c r="O67" s="8"/>
      <c r="P67" s="8"/>
      <c r="Q67" s="8"/>
      <c r="R67" s="8"/>
      <c r="S67" s="8"/>
      <c r="T67" s="8"/>
    </row>
    <row r="68" spans="1:21" ht="18" customHeight="1">
      <c r="A68" s="112" t="s">
        <v>37</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c r="B70" s="98" t="s">
        <v>21</v>
      </c>
      <c r="C70" s="99"/>
      <c r="D70" s="99"/>
      <c r="E70" s="99"/>
      <c r="F70" s="40" t="s">
        <v>22</v>
      </c>
      <c r="G70" s="39" t="s">
        <v>23</v>
      </c>
      <c r="H70" s="10" t="s">
        <v>38</v>
      </c>
      <c r="I70" s="10" t="s">
        <v>39</v>
      </c>
      <c r="J70" s="10" t="s">
        <v>40</v>
      </c>
      <c r="K70" s="98" t="s">
        <v>21</v>
      </c>
      <c r="L70" s="99"/>
      <c r="M70" s="99"/>
      <c r="N70" s="99"/>
      <c r="O70" s="99"/>
      <c r="P70" s="100"/>
      <c r="Q70" s="40" t="s">
        <v>22</v>
      </c>
      <c r="R70" s="39" t="s">
        <v>23</v>
      </c>
      <c r="S70" s="10" t="s">
        <v>38</v>
      </c>
      <c r="T70" s="10" t="s">
        <v>39</v>
      </c>
      <c r="U70" s="10" t="s">
        <v>40</v>
      </c>
    </row>
    <row r="71" spans="1:21" ht="18" customHeight="1">
      <c r="A71" s="3"/>
      <c r="B71" s="109" t="s">
        <v>26</v>
      </c>
      <c r="C71" s="110"/>
      <c r="D71" s="110"/>
      <c r="E71" s="111"/>
      <c r="F71" s="11">
        <v>2</v>
      </c>
      <c r="G71" s="11" t="s">
        <v>27</v>
      </c>
      <c r="H71" s="11" t="s">
        <v>27</v>
      </c>
      <c r="I71" s="11" t="s">
        <v>27</v>
      </c>
      <c r="J71" s="11" t="s">
        <v>27</v>
      </c>
      <c r="K71" s="109"/>
      <c r="L71" s="110"/>
      <c r="M71" s="110"/>
      <c r="N71" s="110"/>
      <c r="O71" s="110"/>
      <c r="P71" s="111"/>
      <c r="Q71" s="11"/>
      <c r="R71" s="11"/>
      <c r="S71" s="11"/>
      <c r="T71" s="11"/>
      <c r="U71" s="11"/>
    </row>
    <row r="72" spans="1:21" ht="18" customHeight="1">
      <c r="A72" s="3"/>
      <c r="B72" s="101" t="s">
        <v>41</v>
      </c>
      <c r="C72" s="102"/>
      <c r="D72" s="102"/>
      <c r="E72" s="102"/>
      <c r="F72" s="12">
        <v>2</v>
      </c>
      <c r="G72" s="12" t="s">
        <v>27</v>
      </c>
      <c r="H72" s="12" t="s">
        <v>27</v>
      </c>
      <c r="I72" s="12" t="s">
        <v>27</v>
      </c>
      <c r="J72" s="12" t="s">
        <v>27</v>
      </c>
      <c r="K72" s="101"/>
      <c r="L72" s="102"/>
      <c r="M72" s="102"/>
      <c r="N72" s="102"/>
      <c r="O72" s="102"/>
      <c r="P72" s="103"/>
      <c r="Q72" s="12"/>
      <c r="R72" s="12"/>
      <c r="S72" s="12"/>
      <c r="T72" s="12"/>
      <c r="U72" s="12"/>
    </row>
    <row r="73" spans="1:21" ht="18" customHeight="1">
      <c r="A73" s="3"/>
      <c r="B73" s="101"/>
      <c r="C73" s="102"/>
      <c r="D73" s="102"/>
      <c r="E73" s="102"/>
      <c r="F73" s="12"/>
      <c r="G73" s="12"/>
      <c r="H73" s="12"/>
      <c r="I73" s="12"/>
      <c r="J73" s="12"/>
      <c r="K73" s="101"/>
      <c r="L73" s="102"/>
      <c r="M73" s="102"/>
      <c r="N73" s="102"/>
      <c r="O73" s="102"/>
      <c r="P73" s="103"/>
      <c r="Q73" s="12"/>
      <c r="R73" s="12"/>
      <c r="S73" s="12"/>
      <c r="T73" s="12"/>
      <c r="U73" s="12"/>
    </row>
    <row r="74" spans="1:21" ht="18" customHeight="1">
      <c r="A74" s="3"/>
      <c r="B74" s="101"/>
      <c r="C74" s="102"/>
      <c r="D74" s="102"/>
      <c r="E74" s="102"/>
      <c r="F74" s="12"/>
      <c r="G74" s="12"/>
      <c r="H74" s="12"/>
      <c r="I74" s="12"/>
      <c r="J74" s="12"/>
      <c r="K74" s="101"/>
      <c r="L74" s="102"/>
      <c r="M74" s="102"/>
      <c r="N74" s="102"/>
      <c r="O74" s="102"/>
      <c r="P74" s="103"/>
      <c r="Q74" s="12"/>
      <c r="R74" s="12"/>
      <c r="S74" s="12"/>
      <c r="T74" s="12"/>
      <c r="U74" s="12"/>
    </row>
    <row r="75" spans="1:21" ht="18" customHeight="1">
      <c r="A75" s="3"/>
      <c r="B75" s="101"/>
      <c r="C75" s="102"/>
      <c r="D75" s="102"/>
      <c r="E75" s="102"/>
      <c r="F75" s="12"/>
      <c r="G75" s="12"/>
      <c r="H75" s="12"/>
      <c r="I75" s="12"/>
      <c r="J75" s="12"/>
      <c r="K75" s="101"/>
      <c r="L75" s="102"/>
      <c r="M75" s="102"/>
      <c r="N75" s="102"/>
      <c r="O75" s="102"/>
      <c r="P75" s="103"/>
      <c r="Q75" s="12"/>
      <c r="R75" s="12"/>
      <c r="S75" s="12"/>
      <c r="T75" s="12"/>
      <c r="U75" s="12"/>
    </row>
    <row r="76" spans="1:21" ht="18" customHeight="1">
      <c r="A76" s="3"/>
      <c r="B76" s="101"/>
      <c r="C76" s="102"/>
      <c r="D76" s="102"/>
      <c r="E76" s="102"/>
      <c r="F76" s="12"/>
      <c r="G76" s="12"/>
      <c r="H76" s="12"/>
      <c r="I76" s="12"/>
      <c r="J76" s="12"/>
      <c r="K76" s="101"/>
      <c r="L76" s="102"/>
      <c r="M76" s="102"/>
      <c r="N76" s="102"/>
      <c r="O76" s="102"/>
      <c r="P76" s="103"/>
      <c r="Q76" s="12"/>
      <c r="R76" s="12"/>
      <c r="S76" s="12"/>
      <c r="T76" s="12"/>
      <c r="U76" s="12"/>
    </row>
    <row r="77" spans="1:21" ht="18" customHeight="1">
      <c r="A77" s="3"/>
      <c r="B77" s="104"/>
      <c r="C77" s="105"/>
      <c r="D77" s="105"/>
      <c r="E77" s="105"/>
      <c r="F77" s="13"/>
      <c r="G77" s="13"/>
      <c r="H77" s="14"/>
      <c r="I77" s="14"/>
      <c r="J77" s="14"/>
      <c r="K77" s="104"/>
      <c r="L77" s="105"/>
      <c r="M77" s="105"/>
      <c r="N77" s="105"/>
      <c r="O77" s="105"/>
      <c r="P77" s="106"/>
      <c r="Q77" s="13"/>
      <c r="R77" s="13"/>
      <c r="S77" s="14"/>
      <c r="T77" s="14"/>
      <c r="U77" s="14"/>
    </row>
    <row r="78" spans="1:21" ht="7.5" customHeight="1">
      <c r="B78" s="8"/>
      <c r="C78" s="8"/>
      <c r="D78" s="8"/>
      <c r="E78" s="8"/>
      <c r="F78" s="8"/>
      <c r="G78" s="8"/>
      <c r="H78" s="8"/>
      <c r="I78" s="8"/>
      <c r="J78" s="8"/>
      <c r="K78" s="8"/>
      <c r="L78" s="8"/>
      <c r="M78" s="8"/>
      <c r="N78" s="8"/>
      <c r="O78" s="8"/>
      <c r="P78" s="8"/>
      <c r="Q78" s="8"/>
      <c r="R78" s="8"/>
      <c r="S78" s="8"/>
      <c r="T78" s="8"/>
    </row>
    <row r="79" spans="1:21" ht="18" customHeight="1">
      <c r="A79" s="1" t="s">
        <v>42</v>
      </c>
      <c r="I79" s="3"/>
      <c r="J79" s="3"/>
      <c r="K79" s="3"/>
      <c r="L79" s="3"/>
      <c r="M79" s="3"/>
      <c r="N79" s="3"/>
      <c r="O79" s="3"/>
      <c r="P79" s="3"/>
      <c r="Q79" s="3"/>
      <c r="R79" s="3"/>
      <c r="S79" s="3"/>
      <c r="T79" s="3"/>
      <c r="U79" s="3"/>
    </row>
    <row r="80" spans="1:21" ht="18" customHeight="1">
      <c r="B80" s="98" t="s">
        <v>21</v>
      </c>
      <c r="C80" s="99"/>
      <c r="D80" s="99"/>
      <c r="E80" s="99"/>
      <c r="F80" s="100"/>
      <c r="G80" s="98" t="s">
        <v>43</v>
      </c>
      <c r="H80" s="99"/>
      <c r="I80" s="99"/>
      <c r="J80" s="100"/>
      <c r="K80" s="118" t="s">
        <v>21</v>
      </c>
      <c r="L80" s="119"/>
      <c r="M80" s="119"/>
      <c r="N80" s="119"/>
      <c r="O80" s="119"/>
      <c r="P80" s="119"/>
      <c r="Q80" s="120"/>
      <c r="R80" s="98" t="s">
        <v>43</v>
      </c>
      <c r="S80" s="99"/>
      <c r="T80" s="99"/>
      <c r="U80" s="100"/>
    </row>
    <row r="81" spans="1:24" ht="18" customHeight="1">
      <c r="A81" s="3"/>
      <c r="B81" s="109" t="s">
        <v>26</v>
      </c>
      <c r="C81" s="110"/>
      <c r="D81" s="110"/>
      <c r="E81" s="110"/>
      <c r="F81" s="111"/>
      <c r="G81" s="113" t="s">
        <v>44</v>
      </c>
      <c r="H81" s="114"/>
      <c r="I81" s="114"/>
      <c r="J81" s="115"/>
      <c r="K81" s="109" t="s">
        <v>45</v>
      </c>
      <c r="L81" s="110"/>
      <c r="M81" s="110"/>
      <c r="N81" s="110"/>
      <c r="O81" s="110"/>
      <c r="P81" s="110"/>
      <c r="Q81" s="111"/>
      <c r="R81" s="113" t="s">
        <v>46</v>
      </c>
      <c r="S81" s="114"/>
      <c r="T81" s="114"/>
      <c r="U81" s="115"/>
    </row>
    <row r="82" spans="1:24" ht="18" customHeight="1">
      <c r="A82" s="3"/>
      <c r="B82" s="101" t="s">
        <v>26</v>
      </c>
      <c r="C82" s="102"/>
      <c r="D82" s="102"/>
      <c r="E82" s="102"/>
      <c r="F82" s="103"/>
      <c r="G82" s="95" t="s">
        <v>47</v>
      </c>
      <c r="H82" s="96"/>
      <c r="I82" s="96"/>
      <c r="J82" s="97"/>
      <c r="K82" s="101"/>
      <c r="L82" s="102"/>
      <c r="M82" s="102"/>
      <c r="N82" s="102"/>
      <c r="O82" s="102"/>
      <c r="P82" s="102"/>
      <c r="Q82" s="103"/>
      <c r="R82" s="95"/>
      <c r="S82" s="96"/>
      <c r="T82" s="96"/>
      <c r="U82" s="97"/>
    </row>
    <row r="83" spans="1:24" ht="18" customHeight="1">
      <c r="A83" s="3"/>
      <c r="B83" s="101" t="s">
        <v>26</v>
      </c>
      <c r="C83" s="102"/>
      <c r="D83" s="102"/>
      <c r="E83" s="102"/>
      <c r="F83" s="103"/>
      <c r="G83" s="95" t="s">
        <v>48</v>
      </c>
      <c r="H83" s="96"/>
      <c r="I83" s="96"/>
      <c r="J83" s="97"/>
      <c r="K83" s="101"/>
      <c r="L83" s="102"/>
      <c r="M83" s="102"/>
      <c r="N83" s="102"/>
      <c r="O83" s="102"/>
      <c r="P83" s="102"/>
      <c r="Q83" s="103"/>
      <c r="R83" s="95"/>
      <c r="S83" s="96"/>
      <c r="T83" s="96"/>
      <c r="U83" s="97"/>
    </row>
    <row r="84" spans="1:24" ht="18" customHeight="1">
      <c r="A84" s="3"/>
      <c r="B84" s="101" t="s">
        <v>26</v>
      </c>
      <c r="C84" s="102"/>
      <c r="D84" s="102"/>
      <c r="E84" s="102"/>
      <c r="F84" s="103"/>
      <c r="G84" s="95" t="s">
        <v>46</v>
      </c>
      <c r="H84" s="96"/>
      <c r="I84" s="96"/>
      <c r="J84" s="97"/>
      <c r="K84" s="101"/>
      <c r="L84" s="102"/>
      <c r="M84" s="102"/>
      <c r="N84" s="102"/>
      <c r="O84" s="102"/>
      <c r="P84" s="102"/>
      <c r="Q84" s="103"/>
      <c r="R84" s="95"/>
      <c r="S84" s="96"/>
      <c r="T84" s="96"/>
      <c r="U84" s="97"/>
    </row>
    <row r="85" spans="1:24" ht="18" customHeight="1">
      <c r="A85" s="3"/>
      <c r="B85" s="101" t="s">
        <v>45</v>
      </c>
      <c r="C85" s="102"/>
      <c r="D85" s="102"/>
      <c r="E85" s="102"/>
      <c r="F85" s="103"/>
      <c r="G85" s="95" t="s">
        <v>44</v>
      </c>
      <c r="H85" s="96"/>
      <c r="I85" s="96"/>
      <c r="J85" s="97"/>
      <c r="K85" s="101"/>
      <c r="L85" s="102"/>
      <c r="M85" s="102"/>
      <c r="N85" s="102"/>
      <c r="O85" s="102"/>
      <c r="P85" s="102"/>
      <c r="Q85" s="103"/>
      <c r="R85" s="95"/>
      <c r="S85" s="96"/>
      <c r="T85" s="96"/>
      <c r="U85" s="97"/>
    </row>
    <row r="86" spans="1:24" ht="18" customHeight="1">
      <c r="A86" s="3"/>
      <c r="B86" s="101" t="s">
        <v>41</v>
      </c>
      <c r="C86" s="102"/>
      <c r="D86" s="102"/>
      <c r="E86" s="102"/>
      <c r="F86" s="103"/>
      <c r="G86" s="95" t="s">
        <v>47</v>
      </c>
      <c r="H86" s="96"/>
      <c r="I86" s="96"/>
      <c r="J86" s="97"/>
      <c r="K86" s="101"/>
      <c r="L86" s="102"/>
      <c r="M86" s="102"/>
      <c r="N86" s="102"/>
      <c r="O86" s="102"/>
      <c r="P86" s="102"/>
      <c r="Q86" s="103"/>
      <c r="R86" s="95"/>
      <c r="S86" s="96"/>
      <c r="T86" s="96"/>
      <c r="U86" s="97"/>
    </row>
    <row r="87" spans="1:24" ht="18" customHeight="1">
      <c r="A87" s="3"/>
      <c r="B87" s="104" t="s">
        <v>45</v>
      </c>
      <c r="C87" s="105"/>
      <c r="D87" s="105"/>
      <c r="E87" s="105"/>
      <c r="F87" s="106"/>
      <c r="G87" s="136" t="s">
        <v>48</v>
      </c>
      <c r="H87" s="137"/>
      <c r="I87" s="137"/>
      <c r="J87" s="138"/>
      <c r="K87" s="104"/>
      <c r="L87" s="105"/>
      <c r="M87" s="105"/>
      <c r="N87" s="105"/>
      <c r="O87" s="105"/>
      <c r="P87" s="105"/>
      <c r="Q87" s="106"/>
      <c r="R87" s="136"/>
      <c r="S87" s="137"/>
      <c r="T87" s="137"/>
      <c r="U87" s="138"/>
    </row>
    <row r="88" spans="1:24" ht="18" customHeight="1">
      <c r="A88" s="3"/>
      <c r="B88" s="6"/>
      <c r="C88" s="6"/>
      <c r="D88" s="6"/>
      <c r="E88" s="6"/>
      <c r="F88" s="6"/>
      <c r="G88" s="15"/>
      <c r="H88" s="15"/>
      <c r="I88" s="15"/>
      <c r="J88" s="15"/>
      <c r="K88" s="6"/>
      <c r="L88" s="6"/>
      <c r="M88" s="6"/>
      <c r="N88" s="6"/>
      <c r="O88" s="6"/>
      <c r="P88" s="6"/>
      <c r="Q88" s="6"/>
      <c r="R88" s="15"/>
      <c r="S88" s="15"/>
      <c r="T88" s="15"/>
      <c r="U88" s="15"/>
    </row>
    <row r="89" spans="1:24" ht="18.75" customHeight="1">
      <c r="A89" s="1" t="s">
        <v>49</v>
      </c>
    </row>
    <row r="90" spans="1:24" ht="18.75" customHeight="1">
      <c r="B90" s="139" t="s">
        <v>50</v>
      </c>
      <c r="C90" s="140"/>
      <c r="D90" s="98" t="s">
        <v>51</v>
      </c>
      <c r="E90" s="99"/>
      <c r="F90" s="99"/>
      <c r="G90" s="99"/>
      <c r="H90" s="99"/>
      <c r="I90" s="99"/>
      <c r="J90" s="99"/>
      <c r="K90" s="99"/>
      <c r="L90" s="99"/>
      <c r="M90" s="99"/>
      <c r="N90" s="99"/>
      <c r="O90" s="99"/>
      <c r="P90" s="99"/>
      <c r="Q90" s="99"/>
      <c r="R90" s="99"/>
      <c r="S90" s="99"/>
      <c r="T90" s="99"/>
      <c r="U90" s="100"/>
      <c r="X90" s="93"/>
    </row>
    <row r="91" spans="1:24" ht="97.5" customHeight="1">
      <c r="B91" s="116" t="s">
        <v>52</v>
      </c>
      <c r="C91" s="16" t="s">
        <v>24</v>
      </c>
      <c r="D91" s="152" t="s">
        <v>53</v>
      </c>
      <c r="E91" s="153"/>
      <c r="F91" s="153"/>
      <c r="G91" s="153"/>
      <c r="H91" s="153"/>
      <c r="I91" s="153"/>
      <c r="J91" s="153"/>
      <c r="K91" s="153"/>
      <c r="L91" s="153"/>
      <c r="M91" s="153"/>
      <c r="N91" s="153"/>
      <c r="O91" s="153"/>
      <c r="P91" s="153"/>
      <c r="Q91" s="153"/>
      <c r="R91" s="153"/>
      <c r="S91" s="153"/>
      <c r="T91" s="153"/>
      <c r="U91" s="154"/>
    </row>
    <row r="92" spans="1:24" ht="97.5" customHeight="1">
      <c r="B92" s="121"/>
      <c r="C92" s="17" t="s">
        <v>54</v>
      </c>
      <c r="D92" s="149" t="s">
        <v>55</v>
      </c>
      <c r="E92" s="150"/>
      <c r="F92" s="150"/>
      <c r="G92" s="150"/>
      <c r="H92" s="150"/>
      <c r="I92" s="150"/>
      <c r="J92" s="150"/>
      <c r="K92" s="150"/>
      <c r="L92" s="150"/>
      <c r="M92" s="150"/>
      <c r="N92" s="150"/>
      <c r="O92" s="150"/>
      <c r="P92" s="150"/>
      <c r="Q92" s="150"/>
      <c r="R92" s="150"/>
      <c r="S92" s="150"/>
      <c r="T92" s="150"/>
      <c r="U92" s="151"/>
    </row>
    <row r="93" spans="1:24" ht="97.5" customHeight="1">
      <c r="B93" s="116" t="s">
        <v>56</v>
      </c>
      <c r="C93" s="18" t="s">
        <v>29</v>
      </c>
      <c r="D93" s="152" t="s">
        <v>57</v>
      </c>
      <c r="E93" s="153"/>
      <c r="F93" s="153"/>
      <c r="G93" s="153"/>
      <c r="H93" s="153"/>
      <c r="I93" s="153"/>
      <c r="J93" s="153"/>
      <c r="K93" s="153"/>
      <c r="L93" s="153"/>
      <c r="M93" s="153"/>
      <c r="N93" s="153"/>
      <c r="O93" s="153"/>
      <c r="P93" s="153"/>
      <c r="Q93" s="153"/>
      <c r="R93" s="153"/>
      <c r="S93" s="153"/>
      <c r="T93" s="153"/>
      <c r="U93" s="154"/>
    </row>
    <row r="94" spans="1:24" ht="97.5" customHeight="1">
      <c r="B94" s="117"/>
      <c r="C94" s="19" t="s">
        <v>30</v>
      </c>
      <c r="D94" s="149" t="s">
        <v>58</v>
      </c>
      <c r="E94" s="164"/>
      <c r="F94" s="164"/>
      <c r="G94" s="164"/>
      <c r="H94" s="164"/>
      <c r="I94" s="164"/>
      <c r="J94" s="164"/>
      <c r="K94" s="164"/>
      <c r="L94" s="164"/>
      <c r="M94" s="164"/>
      <c r="N94" s="164"/>
      <c r="O94" s="164"/>
      <c r="P94" s="164"/>
      <c r="Q94" s="164"/>
      <c r="R94" s="164"/>
      <c r="S94" s="164"/>
      <c r="T94" s="164"/>
      <c r="U94" s="165"/>
      <c r="X94" s="62"/>
    </row>
    <row r="95" spans="1:24" ht="97.5" customHeight="1">
      <c r="B95" s="116" t="s">
        <v>59</v>
      </c>
      <c r="C95" s="18" t="s">
        <v>32</v>
      </c>
      <c r="D95" s="152" t="s">
        <v>60</v>
      </c>
      <c r="E95" s="153"/>
      <c r="F95" s="153"/>
      <c r="G95" s="153"/>
      <c r="H95" s="153"/>
      <c r="I95" s="153"/>
      <c r="J95" s="153"/>
      <c r="K95" s="153"/>
      <c r="L95" s="153"/>
      <c r="M95" s="153"/>
      <c r="N95" s="153"/>
      <c r="O95" s="153"/>
      <c r="P95" s="153"/>
      <c r="Q95" s="153"/>
      <c r="R95" s="153"/>
      <c r="S95" s="153"/>
      <c r="T95" s="153"/>
      <c r="U95" s="154"/>
    </row>
    <row r="96" spans="1:24" ht="97.5" customHeight="1">
      <c r="B96" s="117"/>
      <c r="C96" s="20" t="s">
        <v>33</v>
      </c>
      <c r="D96" s="149" t="s">
        <v>61</v>
      </c>
      <c r="E96" s="150"/>
      <c r="F96" s="150"/>
      <c r="G96" s="150"/>
      <c r="H96" s="150"/>
      <c r="I96" s="150"/>
      <c r="J96" s="150"/>
      <c r="K96" s="150"/>
      <c r="L96" s="150"/>
      <c r="M96" s="150"/>
      <c r="N96" s="150"/>
      <c r="O96" s="150"/>
      <c r="P96" s="150"/>
      <c r="Q96" s="150"/>
      <c r="R96" s="150"/>
      <c r="S96" s="150"/>
      <c r="T96" s="150"/>
      <c r="U96" s="151"/>
      <c r="X96" s="62"/>
    </row>
    <row r="97" spans="1:32" ht="105" customHeight="1">
      <c r="B97" s="116" t="s">
        <v>62</v>
      </c>
      <c r="C97" s="16" t="s">
        <v>35</v>
      </c>
      <c r="D97" s="152" t="s">
        <v>63</v>
      </c>
      <c r="E97" s="153"/>
      <c r="F97" s="153"/>
      <c r="G97" s="153"/>
      <c r="H97" s="153"/>
      <c r="I97" s="153"/>
      <c r="J97" s="153"/>
      <c r="K97" s="153"/>
      <c r="L97" s="153"/>
      <c r="M97" s="153"/>
      <c r="N97" s="153"/>
      <c r="O97" s="153"/>
      <c r="P97" s="153"/>
      <c r="Q97" s="153"/>
      <c r="R97" s="153"/>
      <c r="S97" s="153"/>
      <c r="T97" s="153"/>
      <c r="U97" s="154"/>
    </row>
    <row r="98" spans="1:32" ht="97.5" customHeight="1">
      <c r="B98" s="117"/>
      <c r="C98" s="19" t="s">
        <v>36</v>
      </c>
      <c r="D98" s="149" t="s">
        <v>64</v>
      </c>
      <c r="E98" s="150"/>
      <c r="F98" s="150"/>
      <c r="G98" s="150"/>
      <c r="H98" s="150"/>
      <c r="I98" s="150"/>
      <c r="J98" s="150"/>
      <c r="K98" s="150"/>
      <c r="L98" s="150"/>
      <c r="M98" s="150"/>
      <c r="N98" s="150"/>
      <c r="O98" s="150"/>
      <c r="P98" s="150"/>
      <c r="Q98" s="150"/>
      <c r="R98" s="150"/>
      <c r="S98" s="150"/>
      <c r="T98" s="150"/>
      <c r="U98" s="151"/>
      <c r="X98" s="62"/>
    </row>
    <row r="99" spans="1:32" ht="110.45" customHeight="1">
      <c r="B99" s="116" t="s">
        <v>65</v>
      </c>
      <c r="C99" s="18" t="s">
        <v>66</v>
      </c>
      <c r="D99" s="152" t="s">
        <v>67</v>
      </c>
      <c r="E99" s="153"/>
      <c r="F99" s="153"/>
      <c r="G99" s="153"/>
      <c r="H99" s="153"/>
      <c r="I99" s="153"/>
      <c r="J99" s="153"/>
      <c r="K99" s="153"/>
      <c r="L99" s="153"/>
      <c r="M99" s="153"/>
      <c r="N99" s="153"/>
      <c r="O99" s="153"/>
      <c r="P99" s="153"/>
      <c r="Q99" s="153"/>
      <c r="R99" s="153"/>
      <c r="S99" s="153"/>
      <c r="T99" s="153"/>
      <c r="U99" s="154"/>
    </row>
    <row r="100" spans="1:32" ht="97.5" customHeight="1">
      <c r="B100" s="121"/>
      <c r="C100" s="21" t="s">
        <v>39</v>
      </c>
      <c r="D100" s="155" t="s">
        <v>68</v>
      </c>
      <c r="E100" s="156"/>
      <c r="F100" s="156"/>
      <c r="G100" s="156"/>
      <c r="H100" s="156"/>
      <c r="I100" s="156"/>
      <c r="J100" s="156"/>
      <c r="K100" s="156"/>
      <c r="L100" s="156"/>
      <c r="M100" s="156"/>
      <c r="N100" s="156"/>
      <c r="O100" s="156"/>
      <c r="P100" s="156"/>
      <c r="Q100" s="156"/>
      <c r="R100" s="156"/>
      <c r="S100" s="156"/>
      <c r="T100" s="156"/>
      <c r="U100" s="157"/>
      <c r="X100" s="62"/>
    </row>
    <row r="101" spans="1:32" ht="97.5" customHeight="1">
      <c r="B101" s="117"/>
      <c r="C101" s="20" t="s">
        <v>40</v>
      </c>
      <c r="D101" s="149" t="s">
        <v>69</v>
      </c>
      <c r="E101" s="150"/>
      <c r="F101" s="150"/>
      <c r="G101" s="150"/>
      <c r="H101" s="150"/>
      <c r="I101" s="150"/>
      <c r="J101" s="150"/>
      <c r="K101" s="150"/>
      <c r="L101" s="150"/>
      <c r="M101" s="150"/>
      <c r="N101" s="150"/>
      <c r="O101" s="150"/>
      <c r="P101" s="150"/>
      <c r="Q101" s="150"/>
      <c r="R101" s="150"/>
      <c r="S101" s="150"/>
      <c r="T101" s="150"/>
      <c r="U101" s="151"/>
      <c r="X101" s="62"/>
    </row>
    <row r="102" spans="1:32" ht="6" customHeight="1"/>
    <row r="103" spans="1:32" ht="18.75" customHeight="1">
      <c r="A103" s="1" t="s">
        <v>70</v>
      </c>
    </row>
    <row r="104" spans="1:32" ht="81.75" customHeight="1">
      <c r="B104" s="133" t="s">
        <v>71</v>
      </c>
      <c r="C104" s="134"/>
      <c r="D104" s="134"/>
      <c r="E104" s="134"/>
      <c r="F104" s="134"/>
      <c r="G104" s="134"/>
      <c r="H104" s="134"/>
      <c r="I104" s="134"/>
      <c r="J104" s="134"/>
      <c r="K104" s="134"/>
      <c r="L104" s="134"/>
      <c r="M104" s="134"/>
      <c r="N104" s="134"/>
      <c r="O104" s="134"/>
      <c r="P104" s="134"/>
      <c r="Q104" s="134"/>
      <c r="R104" s="134"/>
      <c r="S104" s="134"/>
      <c r="T104" s="134"/>
      <c r="U104" s="135"/>
    </row>
    <row r="106" spans="1:32" ht="18.75" customHeight="1">
      <c r="A106" s="47" t="s">
        <v>72</v>
      </c>
      <c r="B106" s="48"/>
      <c r="C106" s="48"/>
      <c r="D106" s="48"/>
      <c r="E106" s="48"/>
      <c r="F106" s="48"/>
      <c r="G106" s="48"/>
      <c r="H106" s="48"/>
      <c r="I106" s="48"/>
      <c r="J106" s="48"/>
      <c r="K106" s="48"/>
      <c r="L106" s="48"/>
      <c r="M106" s="48"/>
      <c r="N106" s="48"/>
      <c r="O106" s="48"/>
      <c r="P106" s="48"/>
      <c r="Q106" s="48"/>
      <c r="R106" s="48"/>
      <c r="S106" s="48"/>
      <c r="T106" s="48"/>
      <c r="U106" s="48"/>
    </row>
    <row r="107" spans="1:32" ht="18.75" customHeight="1">
      <c r="A107" s="47" t="s">
        <v>73</v>
      </c>
      <c r="B107" s="47"/>
      <c r="C107" s="47"/>
      <c r="D107" s="47"/>
      <c r="E107" s="47"/>
      <c r="F107" s="47"/>
      <c r="G107" s="47"/>
      <c r="H107" s="47"/>
      <c r="I107" s="47"/>
      <c r="J107" s="47"/>
      <c r="K107" s="47"/>
      <c r="L107" s="47"/>
      <c r="M107" s="47"/>
      <c r="N107" s="47"/>
      <c r="O107" s="47"/>
      <c r="P107" s="47"/>
      <c r="Q107" s="47"/>
      <c r="R107" s="47"/>
      <c r="S107" s="47"/>
      <c r="T107" s="47"/>
      <c r="U107" s="47"/>
      <c r="V107" s="2"/>
      <c r="W107" s="2"/>
      <c r="Y107" s="2"/>
      <c r="Z107" s="2"/>
      <c r="AA107" s="2"/>
      <c r="AB107" s="2"/>
      <c r="AC107" s="2"/>
      <c r="AD107" s="2"/>
      <c r="AE107" s="2"/>
      <c r="AF107" s="2"/>
    </row>
    <row r="108" spans="1:32" ht="18.75" customHeight="1">
      <c r="A108" s="47"/>
      <c r="B108" s="148" t="s">
        <v>74</v>
      </c>
      <c r="C108" s="148"/>
      <c r="D108" s="148"/>
      <c r="E108" s="148"/>
      <c r="F108" s="148"/>
      <c r="G108" s="148"/>
      <c r="H108" s="148"/>
      <c r="I108" s="148"/>
      <c r="J108" s="148"/>
      <c r="K108" s="148"/>
      <c r="L108" s="148"/>
      <c r="M108" s="148"/>
      <c r="N108" s="148"/>
      <c r="O108" s="148"/>
      <c r="P108" s="148"/>
      <c r="Q108" s="148"/>
      <c r="R108" s="148"/>
      <c r="S108" s="148"/>
      <c r="T108" s="148"/>
      <c r="U108" s="148"/>
      <c r="V108" s="43"/>
      <c r="W108" s="43"/>
      <c r="Y108" s="43"/>
      <c r="Z108" s="43"/>
      <c r="AA108" s="43"/>
      <c r="AB108" s="43"/>
      <c r="AC108" s="43"/>
      <c r="AD108" s="43"/>
      <c r="AE108" s="43"/>
      <c r="AF108" s="43"/>
    </row>
    <row r="109" spans="1:32" ht="37.15" customHeight="1">
      <c r="A109" s="47"/>
      <c r="B109" s="148"/>
      <c r="C109" s="148"/>
      <c r="D109" s="148"/>
      <c r="E109" s="148"/>
      <c r="F109" s="148"/>
      <c r="G109" s="148"/>
      <c r="H109" s="148"/>
      <c r="I109" s="148"/>
      <c r="J109" s="148"/>
      <c r="K109" s="148"/>
      <c r="L109" s="148"/>
      <c r="M109" s="148"/>
      <c r="N109" s="148"/>
      <c r="O109" s="148"/>
      <c r="P109" s="148"/>
      <c r="Q109" s="148"/>
      <c r="R109" s="148"/>
      <c r="S109" s="148"/>
      <c r="T109" s="148"/>
      <c r="U109" s="148"/>
      <c r="V109" s="43"/>
      <c r="W109" s="43"/>
      <c r="Y109" s="43"/>
      <c r="Z109" s="43"/>
      <c r="AA109" s="43"/>
      <c r="AB109" s="43"/>
      <c r="AC109" s="43"/>
      <c r="AD109" s="43"/>
      <c r="AE109" s="43"/>
      <c r="AF109" s="43"/>
    </row>
    <row r="110" spans="1:32" ht="18.75" customHeight="1">
      <c r="A110" s="47"/>
      <c r="B110" s="94" t="s">
        <v>75</v>
      </c>
      <c r="C110" s="94"/>
      <c r="D110" s="94"/>
      <c r="E110" s="94"/>
      <c r="F110" s="94"/>
      <c r="G110" s="94"/>
      <c r="H110" s="94"/>
      <c r="I110" s="94"/>
      <c r="J110" s="94"/>
      <c r="K110" s="94"/>
      <c r="L110" s="94"/>
      <c r="M110" s="94"/>
      <c r="N110" s="94"/>
      <c r="O110" s="94"/>
      <c r="P110" s="94"/>
      <c r="Q110" s="94"/>
      <c r="R110" s="94"/>
      <c r="S110" s="94"/>
      <c r="T110" s="94"/>
      <c r="U110" s="94"/>
      <c r="V110" s="43"/>
      <c r="W110" s="43"/>
      <c r="Y110" s="43"/>
      <c r="Z110" s="43"/>
      <c r="AA110" s="43"/>
      <c r="AB110" s="43"/>
      <c r="AC110" s="43"/>
      <c r="AD110" s="43"/>
      <c r="AE110" s="43"/>
      <c r="AF110" s="43"/>
    </row>
    <row r="111" spans="1:32" ht="18.75" customHeight="1">
      <c r="A111" s="47"/>
      <c r="B111" s="107" t="s">
        <v>51</v>
      </c>
      <c r="C111" s="107"/>
      <c r="D111" s="107"/>
      <c r="E111" s="107"/>
      <c r="F111" s="107"/>
      <c r="G111" s="107"/>
      <c r="H111" s="107"/>
      <c r="I111" s="107"/>
      <c r="J111" s="107"/>
      <c r="K111" s="107"/>
      <c r="L111" s="107"/>
      <c r="M111" s="107"/>
      <c r="N111" s="107"/>
      <c r="O111" s="107"/>
      <c r="P111" s="107"/>
      <c r="Q111" s="107"/>
      <c r="R111" s="107"/>
      <c r="S111" s="107"/>
      <c r="T111" s="107"/>
      <c r="U111" s="107"/>
      <c r="V111" s="42"/>
      <c r="W111" s="42"/>
      <c r="Y111" s="42"/>
      <c r="Z111" s="42"/>
      <c r="AA111" s="42"/>
      <c r="AB111" s="42"/>
      <c r="AC111" s="42"/>
      <c r="AD111" s="42"/>
      <c r="AE111" s="42"/>
      <c r="AF111" s="42"/>
    </row>
    <row r="112" spans="1:32" ht="132" customHeight="1">
      <c r="A112" s="47"/>
      <c r="B112" s="108" t="s">
        <v>76</v>
      </c>
      <c r="C112" s="108"/>
      <c r="D112" s="108"/>
      <c r="E112" s="108"/>
      <c r="F112" s="108"/>
      <c r="G112" s="108"/>
      <c r="H112" s="108"/>
      <c r="I112" s="108"/>
      <c r="J112" s="108"/>
      <c r="K112" s="108"/>
      <c r="L112" s="108"/>
      <c r="M112" s="108"/>
      <c r="N112" s="108"/>
      <c r="O112" s="108"/>
      <c r="P112" s="108"/>
      <c r="Q112" s="108"/>
      <c r="R112" s="108"/>
      <c r="S112" s="108"/>
      <c r="T112" s="108"/>
      <c r="U112" s="108"/>
      <c r="V112" s="44"/>
      <c r="W112" s="44"/>
      <c r="X112" s="64"/>
      <c r="Y112" s="44"/>
      <c r="Z112" s="44"/>
      <c r="AA112" s="44"/>
      <c r="AB112" s="44"/>
      <c r="AC112" s="44"/>
      <c r="AD112" s="44"/>
      <c r="AE112" s="44"/>
      <c r="AF112" s="44"/>
    </row>
    <row r="114" ht="18" customHeight="1"/>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$W$16:$W$18</formula1>
    </dataValidation>
  </dataValidations>
  <printOptions horizontalCentered="1" vertic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H11" sqref="H11:I11"/>
    </sheetView>
  </sheetViews>
  <sheetFormatPr defaultColWidth="9" defaultRowHeight="18.75" customHeight="1"/>
  <cols>
    <col min="1" max="1" width="2.75" style="1" customWidth="1"/>
    <col min="2" max="2" width="20.75" style="1" customWidth="1"/>
    <col min="3" max="18" width="6.125" style="1" customWidth="1"/>
    <col min="19" max="19" width="6.625" style="1" customWidth="1"/>
    <col min="20" max="16384" width="9" style="1"/>
  </cols>
  <sheetData>
    <row r="1" spans="1:21" ht="18" customHeight="1">
      <c r="A1" s="48"/>
      <c r="B1" s="48"/>
      <c r="C1" s="48"/>
      <c r="D1" s="48"/>
      <c r="E1" s="48"/>
      <c r="F1" s="48"/>
      <c r="G1" s="48"/>
      <c r="H1" s="48"/>
      <c r="I1" s="48"/>
      <c r="J1" s="48"/>
      <c r="K1" s="48"/>
      <c r="L1" s="48"/>
      <c r="M1" s="48"/>
      <c r="N1" s="48"/>
      <c r="O1" s="48"/>
      <c r="P1" s="48"/>
      <c r="Q1" s="48"/>
      <c r="R1" s="48"/>
      <c r="S1" s="48" t="s">
        <v>77</v>
      </c>
    </row>
    <row r="2" spans="1:21" ht="18" customHeight="1">
      <c r="A2" s="48"/>
      <c r="B2" s="48"/>
      <c r="C2" s="48"/>
      <c r="D2" s="48"/>
      <c r="E2" s="48"/>
      <c r="F2" s="48"/>
      <c r="G2" s="48"/>
      <c r="H2" s="48"/>
      <c r="I2" s="48"/>
      <c r="J2" s="48"/>
      <c r="K2" s="48"/>
      <c r="L2" s="48"/>
      <c r="M2" s="48"/>
      <c r="N2" s="48"/>
      <c r="O2" s="48"/>
      <c r="P2" s="48"/>
      <c r="Q2" s="173" t="str">
        <f>'様式１　プログラムを構成する授業科目'!C2</f>
        <v>吉備国際大学</v>
      </c>
      <c r="R2" s="173"/>
      <c r="S2" s="173"/>
    </row>
    <row r="3" spans="1:21" ht="18" customHeight="1">
      <c r="A3" s="122" t="s">
        <v>78</v>
      </c>
      <c r="B3" s="122"/>
      <c r="C3" s="122"/>
      <c r="D3" s="122"/>
      <c r="E3" s="122"/>
      <c r="F3" s="122"/>
      <c r="G3" s="122"/>
      <c r="H3" s="122"/>
      <c r="I3" s="122"/>
      <c r="J3" s="122"/>
      <c r="K3" s="122"/>
      <c r="L3" s="122"/>
      <c r="M3" s="122"/>
      <c r="N3" s="122"/>
      <c r="O3" s="122"/>
      <c r="P3" s="122"/>
      <c r="Q3" s="122"/>
      <c r="R3" s="122"/>
      <c r="S3" s="122"/>
    </row>
    <row r="4" spans="1:21" ht="7.5" customHeight="1">
      <c r="A4" s="53"/>
      <c r="B4" s="53"/>
      <c r="C4" s="53"/>
      <c r="D4" s="53"/>
      <c r="E4" s="53"/>
      <c r="F4" s="53"/>
      <c r="G4" s="53"/>
      <c r="H4" s="53"/>
      <c r="I4" s="53"/>
      <c r="J4" s="53"/>
      <c r="K4" s="53"/>
      <c r="L4" s="53"/>
      <c r="M4" s="53"/>
      <c r="N4" s="53"/>
      <c r="O4" s="53"/>
      <c r="P4" s="53"/>
      <c r="Q4" s="53"/>
      <c r="R4" s="53"/>
      <c r="S4" s="53"/>
    </row>
    <row r="5" spans="1:21" ht="18" customHeight="1">
      <c r="A5" s="48" t="s">
        <v>79</v>
      </c>
      <c r="B5" s="48"/>
      <c r="C5" s="145" t="s">
        <v>80</v>
      </c>
      <c r="D5" s="147"/>
      <c r="E5" s="53" t="s">
        <v>81</v>
      </c>
      <c r="F5" s="53"/>
      <c r="G5" s="53"/>
      <c r="H5" s="53"/>
      <c r="I5" s="53"/>
      <c r="J5" s="53"/>
      <c r="K5" s="53"/>
      <c r="L5" s="53"/>
      <c r="M5" s="53"/>
      <c r="N5" s="53"/>
      <c r="O5" s="53"/>
      <c r="P5" s="53"/>
      <c r="Q5" s="53"/>
      <c r="R5" s="51"/>
      <c r="S5" s="51"/>
    </row>
    <row r="6" spans="1:21" ht="7.15" customHeight="1">
      <c r="A6" s="48"/>
      <c r="B6" s="48"/>
      <c r="C6" s="58"/>
      <c r="D6" s="58"/>
      <c r="E6" s="53"/>
      <c r="F6" s="53"/>
      <c r="G6" s="53"/>
      <c r="H6" s="53"/>
      <c r="I6" s="53"/>
      <c r="J6" s="53"/>
      <c r="K6" s="53"/>
      <c r="L6" s="53"/>
      <c r="M6" s="53"/>
      <c r="N6" s="53"/>
      <c r="O6" s="53"/>
      <c r="P6" s="53"/>
      <c r="Q6" s="53"/>
      <c r="R6" s="51"/>
      <c r="S6" s="51"/>
    </row>
    <row r="7" spans="1:21" ht="18" customHeight="1">
      <c r="A7" s="48" t="s">
        <v>82</v>
      </c>
      <c r="B7" s="48"/>
      <c r="C7" s="58"/>
      <c r="D7" s="58"/>
      <c r="E7" s="53" t="s">
        <v>83</v>
      </c>
      <c r="F7" s="56">
        <v>941</v>
      </c>
      <c r="G7" s="54" t="s">
        <v>84</v>
      </c>
      <c r="H7" s="53" t="s">
        <v>85</v>
      </c>
      <c r="I7" s="56">
        <v>543</v>
      </c>
      <c r="J7" s="54" t="s">
        <v>84</v>
      </c>
      <c r="K7" s="49" t="s">
        <v>86</v>
      </c>
      <c r="L7" s="53" t="s">
        <v>87</v>
      </c>
      <c r="M7" s="56">
        <f>F7+I7</f>
        <v>1484</v>
      </c>
      <c r="N7" s="53" t="s">
        <v>88</v>
      </c>
      <c r="O7" s="54" t="s">
        <v>89</v>
      </c>
      <c r="P7" s="48"/>
      <c r="Q7" s="53"/>
      <c r="R7" s="51"/>
      <c r="S7" s="51"/>
    </row>
    <row r="8" spans="1:21" ht="6" customHeight="1">
      <c r="A8" s="53"/>
      <c r="B8" s="53"/>
      <c r="C8" s="53"/>
      <c r="D8" s="53"/>
      <c r="E8" s="53"/>
      <c r="F8" s="53"/>
      <c r="G8" s="53"/>
      <c r="H8" s="53"/>
      <c r="I8" s="53"/>
      <c r="J8" s="53"/>
      <c r="K8" s="53"/>
      <c r="L8" s="53"/>
      <c r="M8" s="53"/>
      <c r="N8" s="53"/>
      <c r="O8" s="53"/>
      <c r="P8" s="53"/>
      <c r="Q8" s="53"/>
      <c r="R8" s="53"/>
      <c r="S8" s="53"/>
    </row>
    <row r="9" spans="1:21" ht="18" customHeight="1">
      <c r="A9" s="48" t="s">
        <v>90</v>
      </c>
      <c r="B9" s="53"/>
      <c r="C9" s="53"/>
      <c r="D9" s="53"/>
      <c r="E9" s="53"/>
      <c r="F9" s="53"/>
      <c r="G9" s="53"/>
      <c r="H9" s="53"/>
      <c r="I9" s="53"/>
      <c r="J9" s="53"/>
      <c r="K9" s="53"/>
      <c r="L9" s="53"/>
      <c r="M9" s="53"/>
      <c r="N9" s="53"/>
      <c r="O9" s="53"/>
      <c r="P9" s="53"/>
      <c r="Q9" s="53"/>
      <c r="R9" s="53"/>
      <c r="S9" s="53"/>
    </row>
    <row r="10" spans="1:21" ht="6" customHeight="1">
      <c r="B10" s="3"/>
      <c r="C10" s="3"/>
      <c r="D10" s="3"/>
      <c r="E10" s="3"/>
      <c r="F10" s="3"/>
      <c r="G10" s="3"/>
      <c r="H10" s="3"/>
      <c r="I10" s="3"/>
      <c r="J10" s="3"/>
      <c r="K10" s="3"/>
      <c r="L10" s="3"/>
      <c r="M10" s="3"/>
      <c r="N10" s="3"/>
      <c r="O10" s="3"/>
      <c r="P10" s="3"/>
      <c r="Q10" s="3"/>
      <c r="R10" s="3"/>
      <c r="S10" s="3"/>
    </row>
    <row r="11" spans="1:21" ht="18" customHeight="1">
      <c r="B11" s="174" t="s">
        <v>91</v>
      </c>
      <c r="C11" s="184" t="s">
        <v>92</v>
      </c>
      <c r="D11" s="176" t="s">
        <v>93</v>
      </c>
      <c r="E11" s="178" t="s">
        <v>94</v>
      </c>
      <c r="F11" s="172" t="s">
        <v>95</v>
      </c>
      <c r="G11" s="172"/>
      <c r="H11" s="172" t="s">
        <v>96</v>
      </c>
      <c r="I11" s="172"/>
      <c r="J11" s="172" t="s">
        <v>97</v>
      </c>
      <c r="K11" s="172"/>
      <c r="L11" s="172" t="s">
        <v>98</v>
      </c>
      <c r="M11" s="172"/>
      <c r="N11" s="172" t="s">
        <v>99</v>
      </c>
      <c r="O11" s="172"/>
      <c r="P11" s="172" t="s">
        <v>100</v>
      </c>
      <c r="Q11" s="172"/>
      <c r="R11" s="180" t="s">
        <v>101</v>
      </c>
      <c r="S11" s="182" t="s">
        <v>102</v>
      </c>
      <c r="U11" s="2"/>
    </row>
    <row r="12" spans="1:21" ht="16.899999999999999" customHeight="1">
      <c r="B12" s="175"/>
      <c r="C12" s="185"/>
      <c r="D12" s="177"/>
      <c r="E12" s="179"/>
      <c r="F12" s="65" t="s">
        <v>103</v>
      </c>
      <c r="G12" s="65" t="s">
        <v>104</v>
      </c>
      <c r="H12" s="65" t="s">
        <v>103</v>
      </c>
      <c r="I12" s="65" t="s">
        <v>104</v>
      </c>
      <c r="J12" s="65" t="s">
        <v>103</v>
      </c>
      <c r="K12" s="65" t="s">
        <v>104</v>
      </c>
      <c r="L12" s="65" t="s">
        <v>103</v>
      </c>
      <c r="M12" s="65" t="s">
        <v>104</v>
      </c>
      <c r="N12" s="65" t="s">
        <v>103</v>
      </c>
      <c r="O12" s="65" t="s">
        <v>104</v>
      </c>
      <c r="P12" s="65" t="s">
        <v>103</v>
      </c>
      <c r="Q12" s="66" t="s">
        <v>104</v>
      </c>
      <c r="R12" s="181"/>
      <c r="S12" s="183"/>
      <c r="U12" s="2"/>
    </row>
    <row r="13" spans="1:21" ht="18" customHeight="1">
      <c r="A13" s="6"/>
      <c r="B13" s="67" t="s">
        <v>105</v>
      </c>
      <c r="C13" s="68">
        <v>501</v>
      </c>
      <c r="D13" s="69">
        <v>182</v>
      </c>
      <c r="E13" s="70">
        <v>684</v>
      </c>
      <c r="F13" s="70">
        <v>22</v>
      </c>
      <c r="G13" s="70">
        <v>0</v>
      </c>
      <c r="H13" s="70">
        <v>3</v>
      </c>
      <c r="I13" s="70">
        <v>0</v>
      </c>
      <c r="J13" s="70"/>
      <c r="K13" s="70"/>
      <c r="L13" s="70"/>
      <c r="M13" s="70"/>
      <c r="N13" s="70"/>
      <c r="O13" s="70"/>
      <c r="P13" s="70"/>
      <c r="Q13" s="71"/>
      <c r="R13" s="69">
        <f t="shared" ref="R13:R32" si="0">F13+H13+J13+L13+N13+P13</f>
        <v>25</v>
      </c>
      <c r="S13" s="72">
        <f t="shared" ref="S13:S33" si="1">R13/E13</f>
        <v>3.6549707602339179E-2</v>
      </c>
    </row>
    <row r="14" spans="1:21" ht="18" customHeight="1">
      <c r="A14" s="6"/>
      <c r="B14" s="73" t="s">
        <v>106</v>
      </c>
      <c r="C14" s="74">
        <v>315</v>
      </c>
      <c r="D14" s="75">
        <v>150</v>
      </c>
      <c r="E14" s="76">
        <v>580</v>
      </c>
      <c r="F14" s="77">
        <v>12</v>
      </c>
      <c r="G14" s="77">
        <v>0</v>
      </c>
      <c r="H14" s="77">
        <v>0</v>
      </c>
      <c r="I14" s="77">
        <v>0</v>
      </c>
      <c r="J14" s="77"/>
      <c r="K14" s="77"/>
      <c r="L14" s="77"/>
      <c r="M14" s="77"/>
      <c r="N14" s="77"/>
      <c r="O14" s="77"/>
      <c r="P14" s="77"/>
      <c r="Q14" s="74"/>
      <c r="R14" s="75">
        <f t="shared" si="0"/>
        <v>12</v>
      </c>
      <c r="S14" s="78">
        <f t="shared" si="1"/>
        <v>2.0689655172413793E-2</v>
      </c>
    </row>
    <row r="15" spans="1:21" ht="18" customHeight="1">
      <c r="A15" s="6"/>
      <c r="B15" s="73" t="s">
        <v>107</v>
      </c>
      <c r="C15" s="74">
        <v>154</v>
      </c>
      <c r="D15" s="75">
        <v>40</v>
      </c>
      <c r="E15" s="76">
        <v>200</v>
      </c>
      <c r="F15" s="77">
        <v>7</v>
      </c>
      <c r="G15" s="77">
        <v>0</v>
      </c>
      <c r="H15" s="77">
        <v>1</v>
      </c>
      <c r="I15" s="77">
        <v>0</v>
      </c>
      <c r="J15" s="77"/>
      <c r="K15" s="77"/>
      <c r="L15" s="77"/>
      <c r="M15" s="77"/>
      <c r="N15" s="77"/>
      <c r="O15" s="77"/>
      <c r="P15" s="77"/>
      <c r="Q15" s="74"/>
      <c r="R15" s="75">
        <f t="shared" si="0"/>
        <v>8</v>
      </c>
      <c r="S15" s="78">
        <f t="shared" si="1"/>
        <v>0.04</v>
      </c>
    </row>
    <row r="16" spans="1:21" ht="18" customHeight="1">
      <c r="A16" s="6"/>
      <c r="B16" s="73" t="s">
        <v>108</v>
      </c>
      <c r="C16" s="74">
        <v>220</v>
      </c>
      <c r="D16" s="75">
        <v>92</v>
      </c>
      <c r="E16" s="76">
        <v>364</v>
      </c>
      <c r="F16" s="79">
        <v>47</v>
      </c>
      <c r="G16" s="79">
        <v>6</v>
      </c>
      <c r="H16" s="77">
        <v>12</v>
      </c>
      <c r="I16" s="77">
        <v>0</v>
      </c>
      <c r="J16" s="77"/>
      <c r="K16" s="77"/>
      <c r="L16" s="77"/>
      <c r="M16" s="77"/>
      <c r="N16" s="77"/>
      <c r="O16" s="77"/>
      <c r="P16" s="77"/>
      <c r="Q16" s="74"/>
      <c r="R16" s="75">
        <f t="shared" si="0"/>
        <v>59</v>
      </c>
      <c r="S16" s="78">
        <f t="shared" si="1"/>
        <v>0.16208791208791209</v>
      </c>
    </row>
    <row r="17" spans="1:19" ht="18" customHeight="1">
      <c r="A17" s="6"/>
      <c r="B17" s="73" t="s">
        <v>109</v>
      </c>
      <c r="C17" s="74">
        <v>178</v>
      </c>
      <c r="D17" s="75">
        <v>50</v>
      </c>
      <c r="E17" s="76">
        <v>200</v>
      </c>
      <c r="F17" s="77">
        <v>2</v>
      </c>
      <c r="G17" s="77">
        <v>0</v>
      </c>
      <c r="H17" s="77">
        <v>0</v>
      </c>
      <c r="I17" s="77">
        <v>0</v>
      </c>
      <c r="J17" s="77"/>
      <c r="K17" s="77"/>
      <c r="L17" s="77"/>
      <c r="M17" s="77"/>
      <c r="N17" s="77"/>
      <c r="O17" s="77"/>
      <c r="P17" s="77"/>
      <c r="Q17" s="74"/>
      <c r="R17" s="75">
        <f t="shared" si="0"/>
        <v>2</v>
      </c>
      <c r="S17" s="78">
        <f t="shared" si="1"/>
        <v>0.01</v>
      </c>
    </row>
    <row r="18" spans="1:19" ht="18" customHeight="1">
      <c r="A18" s="6"/>
      <c r="B18" s="73" t="s">
        <v>110</v>
      </c>
      <c r="C18" s="74">
        <v>116</v>
      </c>
      <c r="D18" s="75">
        <v>40</v>
      </c>
      <c r="E18" s="76">
        <v>160</v>
      </c>
      <c r="F18" s="77">
        <v>10</v>
      </c>
      <c r="G18" s="77">
        <v>0</v>
      </c>
      <c r="H18" s="77">
        <v>3</v>
      </c>
      <c r="I18" s="77">
        <v>0</v>
      </c>
      <c r="J18" s="77"/>
      <c r="K18" s="77"/>
      <c r="L18" s="77"/>
      <c r="M18" s="77"/>
      <c r="N18" s="77"/>
      <c r="O18" s="77"/>
      <c r="P18" s="77"/>
      <c r="Q18" s="74"/>
      <c r="R18" s="75">
        <f t="shared" si="0"/>
        <v>13</v>
      </c>
      <c r="S18" s="78">
        <f t="shared" si="1"/>
        <v>8.1250000000000003E-2</v>
      </c>
    </row>
    <row r="19" spans="1:19" ht="18" customHeight="1">
      <c r="A19" s="6"/>
      <c r="B19" s="73"/>
      <c r="C19" s="74"/>
      <c r="D19" s="75"/>
      <c r="E19" s="76"/>
      <c r="F19" s="77"/>
      <c r="G19" s="77"/>
      <c r="H19" s="77"/>
      <c r="I19" s="77"/>
      <c r="J19" s="77"/>
      <c r="K19" s="77"/>
      <c r="L19" s="77"/>
      <c r="M19" s="77"/>
      <c r="N19" s="77"/>
      <c r="O19" s="77"/>
      <c r="P19" s="77"/>
      <c r="Q19" s="74"/>
      <c r="R19" s="75">
        <f t="shared" si="0"/>
        <v>0</v>
      </c>
      <c r="S19" s="78" t="e">
        <f t="shared" si="1"/>
        <v>#DIV/0!</v>
      </c>
    </row>
    <row r="20" spans="1:19" ht="18" customHeight="1">
      <c r="A20" s="6"/>
      <c r="B20" s="73"/>
      <c r="C20" s="74"/>
      <c r="D20" s="75"/>
      <c r="E20" s="76"/>
      <c r="F20" s="77"/>
      <c r="G20" s="77"/>
      <c r="H20" s="77"/>
      <c r="I20" s="77"/>
      <c r="J20" s="77"/>
      <c r="K20" s="77"/>
      <c r="L20" s="77"/>
      <c r="M20" s="77"/>
      <c r="N20" s="77"/>
      <c r="O20" s="77"/>
      <c r="P20" s="77"/>
      <c r="Q20" s="74"/>
      <c r="R20" s="75">
        <f t="shared" si="0"/>
        <v>0</v>
      </c>
      <c r="S20" s="78" t="e">
        <f t="shared" si="1"/>
        <v>#DIV/0!</v>
      </c>
    </row>
    <row r="21" spans="1:19" ht="18" customHeight="1">
      <c r="A21" s="6"/>
      <c r="B21" s="73"/>
      <c r="C21" s="74"/>
      <c r="D21" s="75"/>
      <c r="E21" s="76"/>
      <c r="F21" s="77"/>
      <c r="G21" s="77"/>
      <c r="H21" s="77"/>
      <c r="I21" s="77"/>
      <c r="J21" s="77"/>
      <c r="K21" s="77"/>
      <c r="L21" s="77"/>
      <c r="M21" s="77"/>
      <c r="N21" s="77"/>
      <c r="O21" s="77"/>
      <c r="P21" s="77"/>
      <c r="Q21" s="74"/>
      <c r="R21" s="75">
        <f t="shared" si="0"/>
        <v>0</v>
      </c>
      <c r="S21" s="78" t="e">
        <f t="shared" si="1"/>
        <v>#DIV/0!</v>
      </c>
    </row>
    <row r="22" spans="1:19" ht="18" customHeight="1">
      <c r="A22" s="6"/>
      <c r="B22" s="73"/>
      <c r="C22" s="74"/>
      <c r="D22" s="75"/>
      <c r="E22" s="76"/>
      <c r="F22" s="77"/>
      <c r="G22" s="77"/>
      <c r="H22" s="77"/>
      <c r="I22" s="77"/>
      <c r="J22" s="77"/>
      <c r="K22" s="77"/>
      <c r="L22" s="77"/>
      <c r="M22" s="77"/>
      <c r="N22" s="77"/>
      <c r="O22" s="77"/>
      <c r="P22" s="77"/>
      <c r="Q22" s="74"/>
      <c r="R22" s="75">
        <f t="shared" si="0"/>
        <v>0</v>
      </c>
      <c r="S22" s="78" t="e">
        <f t="shared" si="1"/>
        <v>#DIV/0!</v>
      </c>
    </row>
    <row r="23" spans="1:19" ht="18" customHeight="1">
      <c r="A23" s="6"/>
      <c r="B23" s="73"/>
      <c r="C23" s="74"/>
      <c r="D23" s="75"/>
      <c r="E23" s="76"/>
      <c r="F23" s="77"/>
      <c r="G23" s="77"/>
      <c r="H23" s="77"/>
      <c r="I23" s="77"/>
      <c r="J23" s="77"/>
      <c r="K23" s="77"/>
      <c r="L23" s="77"/>
      <c r="M23" s="77"/>
      <c r="N23" s="77"/>
      <c r="O23" s="77"/>
      <c r="P23" s="77"/>
      <c r="Q23" s="74"/>
      <c r="R23" s="75">
        <f t="shared" si="0"/>
        <v>0</v>
      </c>
      <c r="S23" s="78" t="e">
        <f t="shared" si="1"/>
        <v>#DIV/0!</v>
      </c>
    </row>
    <row r="24" spans="1:19" ht="18" customHeight="1">
      <c r="A24" s="6"/>
      <c r="B24" s="73"/>
      <c r="C24" s="74"/>
      <c r="D24" s="75"/>
      <c r="E24" s="76"/>
      <c r="F24" s="77"/>
      <c r="G24" s="77"/>
      <c r="H24" s="77"/>
      <c r="I24" s="77"/>
      <c r="J24" s="77"/>
      <c r="K24" s="77"/>
      <c r="L24" s="77"/>
      <c r="M24" s="77"/>
      <c r="N24" s="77"/>
      <c r="O24" s="77"/>
      <c r="P24" s="77"/>
      <c r="Q24" s="74"/>
      <c r="R24" s="75">
        <f t="shared" si="0"/>
        <v>0</v>
      </c>
      <c r="S24" s="78" t="e">
        <f t="shared" si="1"/>
        <v>#DIV/0!</v>
      </c>
    </row>
    <row r="25" spans="1:19" ht="18" customHeight="1">
      <c r="A25" s="6"/>
      <c r="B25" s="73"/>
      <c r="C25" s="74"/>
      <c r="D25" s="75"/>
      <c r="E25" s="76"/>
      <c r="F25" s="77"/>
      <c r="G25" s="77"/>
      <c r="H25" s="77"/>
      <c r="I25" s="77"/>
      <c r="J25" s="77"/>
      <c r="K25" s="77"/>
      <c r="L25" s="77"/>
      <c r="M25" s="77"/>
      <c r="N25" s="77"/>
      <c r="O25" s="77"/>
      <c r="P25" s="77"/>
      <c r="Q25" s="74"/>
      <c r="R25" s="75">
        <f t="shared" si="0"/>
        <v>0</v>
      </c>
      <c r="S25" s="78" t="e">
        <f t="shared" si="1"/>
        <v>#DIV/0!</v>
      </c>
    </row>
    <row r="26" spans="1:19" ht="18" customHeight="1">
      <c r="A26" s="6"/>
      <c r="B26" s="73"/>
      <c r="C26" s="74"/>
      <c r="D26" s="75"/>
      <c r="E26" s="76"/>
      <c r="F26" s="77"/>
      <c r="G26" s="77"/>
      <c r="H26" s="77"/>
      <c r="I26" s="77"/>
      <c r="J26" s="77"/>
      <c r="K26" s="77"/>
      <c r="L26" s="77"/>
      <c r="M26" s="77"/>
      <c r="N26" s="77"/>
      <c r="O26" s="77"/>
      <c r="P26" s="77"/>
      <c r="Q26" s="74"/>
      <c r="R26" s="75">
        <f t="shared" si="0"/>
        <v>0</v>
      </c>
      <c r="S26" s="78" t="e">
        <f t="shared" si="1"/>
        <v>#DIV/0!</v>
      </c>
    </row>
    <row r="27" spans="1:19" ht="18" customHeight="1">
      <c r="A27" s="6"/>
      <c r="B27" s="73"/>
      <c r="C27" s="74"/>
      <c r="D27" s="75"/>
      <c r="E27" s="76"/>
      <c r="F27" s="77"/>
      <c r="G27" s="77"/>
      <c r="H27" s="77"/>
      <c r="I27" s="77"/>
      <c r="J27" s="77"/>
      <c r="K27" s="77"/>
      <c r="L27" s="77"/>
      <c r="M27" s="77"/>
      <c r="N27" s="77"/>
      <c r="O27" s="77"/>
      <c r="P27" s="77"/>
      <c r="Q27" s="74"/>
      <c r="R27" s="75">
        <f t="shared" si="0"/>
        <v>0</v>
      </c>
      <c r="S27" s="78" t="e">
        <f t="shared" si="1"/>
        <v>#DIV/0!</v>
      </c>
    </row>
    <row r="28" spans="1:19" ht="18" customHeight="1">
      <c r="A28" s="6"/>
      <c r="B28" s="73"/>
      <c r="C28" s="74"/>
      <c r="D28" s="75"/>
      <c r="E28" s="76"/>
      <c r="F28" s="77"/>
      <c r="G28" s="77"/>
      <c r="H28" s="77"/>
      <c r="I28" s="77"/>
      <c r="J28" s="77"/>
      <c r="K28" s="77"/>
      <c r="L28" s="77"/>
      <c r="M28" s="77"/>
      <c r="N28" s="77"/>
      <c r="O28" s="77"/>
      <c r="P28" s="77"/>
      <c r="Q28" s="74"/>
      <c r="R28" s="75">
        <f t="shared" si="0"/>
        <v>0</v>
      </c>
      <c r="S28" s="78" t="e">
        <f t="shared" si="1"/>
        <v>#DIV/0!</v>
      </c>
    </row>
    <row r="29" spans="1:19" ht="18" customHeight="1">
      <c r="A29" s="6"/>
      <c r="B29" s="73"/>
      <c r="C29" s="74"/>
      <c r="D29" s="75"/>
      <c r="E29" s="76"/>
      <c r="F29" s="77"/>
      <c r="G29" s="77"/>
      <c r="H29" s="77"/>
      <c r="I29" s="77"/>
      <c r="J29" s="77"/>
      <c r="K29" s="77"/>
      <c r="L29" s="77"/>
      <c r="M29" s="77"/>
      <c r="N29" s="77"/>
      <c r="O29" s="77"/>
      <c r="P29" s="77"/>
      <c r="Q29" s="74"/>
      <c r="R29" s="75">
        <f t="shared" si="0"/>
        <v>0</v>
      </c>
      <c r="S29" s="78" t="e">
        <f t="shared" si="1"/>
        <v>#DIV/0!</v>
      </c>
    </row>
    <row r="30" spans="1:19" ht="18" customHeight="1">
      <c r="A30" s="6"/>
      <c r="B30" s="73"/>
      <c r="C30" s="74"/>
      <c r="D30" s="80"/>
      <c r="E30" s="76"/>
      <c r="F30" s="77"/>
      <c r="G30" s="77"/>
      <c r="H30" s="77"/>
      <c r="I30" s="77"/>
      <c r="J30" s="77"/>
      <c r="K30" s="77"/>
      <c r="L30" s="77"/>
      <c r="M30" s="77"/>
      <c r="N30" s="77"/>
      <c r="O30" s="77"/>
      <c r="P30" s="77"/>
      <c r="Q30" s="74"/>
      <c r="R30" s="80">
        <f t="shared" si="0"/>
        <v>0</v>
      </c>
      <c r="S30" s="78" t="e">
        <f t="shared" si="1"/>
        <v>#DIV/0!</v>
      </c>
    </row>
    <row r="31" spans="1:19" ht="18" customHeight="1">
      <c r="A31" s="6"/>
      <c r="B31" s="73"/>
      <c r="C31" s="74"/>
      <c r="D31" s="80"/>
      <c r="E31" s="76"/>
      <c r="F31" s="77"/>
      <c r="G31" s="77"/>
      <c r="H31" s="77"/>
      <c r="I31" s="77"/>
      <c r="J31" s="77"/>
      <c r="K31" s="77"/>
      <c r="L31" s="77"/>
      <c r="M31" s="77"/>
      <c r="N31" s="77"/>
      <c r="O31" s="77"/>
      <c r="P31" s="77"/>
      <c r="Q31" s="74"/>
      <c r="R31" s="80">
        <f t="shared" si="0"/>
        <v>0</v>
      </c>
      <c r="S31" s="78" t="e">
        <f t="shared" si="1"/>
        <v>#DIV/0!</v>
      </c>
    </row>
    <row r="32" spans="1:19" ht="18" customHeight="1" thickBot="1">
      <c r="A32" s="6"/>
      <c r="B32" s="81"/>
      <c r="C32" s="68"/>
      <c r="D32" s="82"/>
      <c r="E32" s="70"/>
      <c r="F32" s="70"/>
      <c r="G32" s="70"/>
      <c r="H32" s="70"/>
      <c r="I32" s="70"/>
      <c r="J32" s="70"/>
      <c r="K32" s="70"/>
      <c r="L32" s="70"/>
      <c r="M32" s="70"/>
      <c r="N32" s="70"/>
      <c r="O32" s="70"/>
      <c r="P32" s="70"/>
      <c r="Q32" s="74"/>
      <c r="R32" s="82">
        <f t="shared" si="0"/>
        <v>0</v>
      </c>
      <c r="S32" s="83" t="e">
        <f t="shared" si="1"/>
        <v>#DIV/0!</v>
      </c>
    </row>
    <row r="33" spans="2:19" ht="18" customHeight="1" thickTop="1">
      <c r="B33" s="84" t="s">
        <v>111</v>
      </c>
      <c r="C33" s="85">
        <f t="shared" ref="C33" si="2">SUM(C13:C32)</f>
        <v>1484</v>
      </c>
      <c r="D33" s="86">
        <f t="shared" ref="D33:R33" si="3">SUM(D13:D32)</f>
        <v>554</v>
      </c>
      <c r="E33" s="87">
        <f t="shared" si="3"/>
        <v>2188</v>
      </c>
      <c r="F33" s="87">
        <f t="shared" si="3"/>
        <v>100</v>
      </c>
      <c r="G33" s="87">
        <f t="shared" ref="G33:H33" si="4">SUM(G13:G32)</f>
        <v>6</v>
      </c>
      <c r="H33" s="87">
        <f t="shared" si="4"/>
        <v>19</v>
      </c>
      <c r="I33" s="87">
        <f t="shared" ref="I33:J33" si="5">SUM(I13:I32)</f>
        <v>0</v>
      </c>
      <c r="J33" s="87">
        <f t="shared" si="5"/>
        <v>0</v>
      </c>
      <c r="K33" s="87">
        <f t="shared" ref="K33:O33" si="6">SUM(K13:K32)</f>
        <v>0</v>
      </c>
      <c r="L33" s="87">
        <f t="shared" si="6"/>
        <v>0</v>
      </c>
      <c r="M33" s="87">
        <f t="shared" si="6"/>
        <v>0</v>
      </c>
      <c r="N33" s="87">
        <f t="shared" si="6"/>
        <v>0</v>
      </c>
      <c r="O33" s="87">
        <f t="shared" si="6"/>
        <v>0</v>
      </c>
      <c r="P33" s="87">
        <f t="shared" ref="P33:Q33" si="7">SUM(P13:P32)</f>
        <v>0</v>
      </c>
      <c r="Q33" s="85">
        <f t="shared" si="7"/>
        <v>0</v>
      </c>
      <c r="R33" s="86">
        <f t="shared" si="3"/>
        <v>119</v>
      </c>
      <c r="S33" s="88">
        <f t="shared" si="1"/>
        <v>5.4387568555758686E-2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cols>
    <col min="1" max="1" width="2.75" style="24"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4" t="s">
        <v>112</v>
      </c>
      <c r="I1" s="23" t="s">
        <v>113</v>
      </c>
    </row>
    <row r="2" spans="1:9" ht="18.75" customHeight="1">
      <c r="G2" s="23" t="s">
        <v>2</v>
      </c>
      <c r="H2" s="98" t="str">
        <f>'様式１　プログラムを構成する授業科目'!C2</f>
        <v>吉備国際大学</v>
      </c>
      <c r="I2" s="100"/>
    </row>
    <row r="3" spans="1:9" ht="18.75" customHeight="1">
      <c r="G3" s="23"/>
      <c r="H3" s="7"/>
      <c r="I3" s="7"/>
    </row>
    <row r="4" spans="1:9" ht="18.600000000000001" customHeight="1">
      <c r="A4" s="187" t="s">
        <v>114</v>
      </c>
      <c r="B4" s="187"/>
      <c r="C4" s="187"/>
      <c r="D4" s="187"/>
      <c r="E4" s="187"/>
      <c r="F4" s="187"/>
      <c r="G4" s="187"/>
      <c r="H4" s="187"/>
      <c r="I4" s="187"/>
    </row>
    <row r="5" spans="1:9" ht="13.15" customHeight="1">
      <c r="B5" s="3"/>
      <c r="C5" s="3"/>
      <c r="D5" s="3"/>
      <c r="E5" s="3"/>
      <c r="F5" s="3"/>
      <c r="G5" s="3"/>
      <c r="H5" s="3"/>
      <c r="I5" s="3"/>
    </row>
    <row r="6" spans="1:9" ht="18" customHeight="1">
      <c r="A6" s="1" t="s">
        <v>115</v>
      </c>
      <c r="B6" s="7" t="s">
        <v>116</v>
      </c>
      <c r="C6" s="206" t="s">
        <v>117</v>
      </c>
      <c r="D6" s="206"/>
      <c r="E6" s="59">
        <v>109</v>
      </c>
      <c r="F6" s="60" t="s">
        <v>88</v>
      </c>
      <c r="G6" s="60" t="s">
        <v>118</v>
      </c>
      <c r="H6" s="59">
        <v>165</v>
      </c>
      <c r="I6" s="7" t="s">
        <v>88</v>
      </c>
    </row>
    <row r="7" spans="1:9" ht="12" customHeight="1">
      <c r="C7" s="2"/>
      <c r="D7" s="2"/>
      <c r="E7" s="61"/>
      <c r="F7" s="61"/>
      <c r="G7" s="61"/>
      <c r="H7" s="61"/>
      <c r="I7" s="25"/>
    </row>
    <row r="8" spans="1:9" ht="18" customHeight="1">
      <c r="A8" s="1" t="s">
        <v>119</v>
      </c>
      <c r="B8" s="7" t="s">
        <v>120</v>
      </c>
      <c r="E8" s="3"/>
      <c r="F8" s="3"/>
      <c r="G8" s="3"/>
      <c r="H8" s="22">
        <v>5</v>
      </c>
      <c r="I8" s="7" t="s">
        <v>88</v>
      </c>
    </row>
    <row r="9" spans="1:9" ht="9" customHeight="1">
      <c r="B9" s="3"/>
      <c r="C9" s="3"/>
      <c r="D9" s="3"/>
      <c r="E9" s="3"/>
      <c r="F9" s="3"/>
      <c r="G9" s="3"/>
      <c r="H9" s="3"/>
      <c r="I9" s="3"/>
    </row>
    <row r="10" spans="1:9" ht="18" customHeight="1">
      <c r="A10" s="1" t="s">
        <v>121</v>
      </c>
      <c r="B10" s="7" t="s">
        <v>122</v>
      </c>
      <c r="C10" s="3"/>
      <c r="D10" s="3"/>
      <c r="E10" s="3"/>
      <c r="F10" s="3"/>
      <c r="G10" s="3"/>
      <c r="H10" s="3"/>
      <c r="I10" s="3"/>
    </row>
    <row r="11" spans="1:9" ht="18" customHeight="1">
      <c r="B11" s="23" t="s">
        <v>123</v>
      </c>
      <c r="C11" s="203" t="s">
        <v>124</v>
      </c>
      <c r="D11" s="204"/>
      <c r="E11" s="205"/>
      <c r="F11" s="25"/>
      <c r="G11" s="23" t="s">
        <v>125</v>
      </c>
      <c r="H11" s="203" t="s">
        <v>126</v>
      </c>
      <c r="I11" s="205"/>
    </row>
    <row r="12" spans="1:9" ht="10.15" customHeight="1">
      <c r="B12" s="23"/>
      <c r="C12" s="7"/>
      <c r="D12" s="25"/>
      <c r="E12" s="25"/>
      <c r="F12" s="25"/>
      <c r="G12" s="23"/>
      <c r="H12" s="7"/>
      <c r="I12" s="25"/>
    </row>
    <row r="13" spans="1:9" ht="18" customHeight="1">
      <c r="A13" s="1" t="s">
        <v>127</v>
      </c>
      <c r="B13" s="7" t="s">
        <v>128</v>
      </c>
      <c r="C13" s="3"/>
      <c r="D13" s="3"/>
      <c r="E13" s="3"/>
      <c r="F13" s="3"/>
      <c r="G13" s="3"/>
      <c r="H13" s="3"/>
      <c r="I13" s="3"/>
    </row>
    <row r="14" spans="1:9" ht="18" customHeight="1">
      <c r="B14" s="203" t="s">
        <v>129</v>
      </c>
      <c r="C14" s="259"/>
      <c r="D14" s="259"/>
      <c r="E14" s="259"/>
      <c r="F14" s="259"/>
      <c r="G14" s="259"/>
      <c r="H14" s="259"/>
      <c r="I14" s="260"/>
    </row>
    <row r="15" spans="1:9" ht="9" customHeight="1">
      <c r="B15" s="3"/>
      <c r="C15" s="3"/>
      <c r="D15" s="3"/>
      <c r="E15" s="3"/>
      <c r="F15" s="3"/>
      <c r="G15" s="3"/>
      <c r="H15" s="3"/>
      <c r="I15" s="3"/>
    </row>
    <row r="16" spans="1:9" ht="18" customHeight="1">
      <c r="B16" s="23" t="s">
        <v>123</v>
      </c>
      <c r="C16" s="203" t="s">
        <v>124</v>
      </c>
      <c r="D16" s="204"/>
      <c r="E16" s="205"/>
      <c r="F16" s="25"/>
      <c r="G16" s="23" t="s">
        <v>125</v>
      </c>
      <c r="H16" s="203" t="s">
        <v>130</v>
      </c>
      <c r="I16" s="205"/>
    </row>
    <row r="17" spans="1:9" ht="18" customHeight="1">
      <c r="B17" s="3"/>
      <c r="C17" s="3"/>
      <c r="D17" s="3"/>
      <c r="E17" s="3"/>
      <c r="F17" s="3"/>
      <c r="G17" s="3"/>
      <c r="H17" s="3"/>
      <c r="I17" s="3"/>
    </row>
    <row r="18" spans="1:9" ht="18.75" customHeight="1">
      <c r="A18" s="1" t="s">
        <v>131</v>
      </c>
      <c r="B18" s="1" t="s">
        <v>132</v>
      </c>
      <c r="I18" s="3"/>
    </row>
    <row r="19" spans="1:9" ht="18.75" customHeight="1">
      <c r="A19" s="1"/>
      <c r="B19" s="188" t="s">
        <v>133</v>
      </c>
      <c r="C19" s="189"/>
      <c r="D19" s="189"/>
      <c r="E19" s="189"/>
      <c r="F19" s="189"/>
      <c r="G19" s="189"/>
      <c r="H19" s="189"/>
      <c r="I19" s="190"/>
    </row>
    <row r="20" spans="1:9" ht="7.5" customHeight="1">
      <c r="B20" s="3"/>
      <c r="C20" s="3"/>
      <c r="D20" s="3"/>
      <c r="E20" s="3"/>
      <c r="F20" s="3"/>
      <c r="G20" s="3"/>
      <c r="H20" s="3"/>
      <c r="I20" s="3"/>
    </row>
    <row r="21" spans="1:9" ht="18.75" customHeight="1">
      <c r="A21" s="1" t="s">
        <v>134</v>
      </c>
      <c r="B21" s="1" t="s">
        <v>135</v>
      </c>
    </row>
    <row r="22" spans="1:9" ht="18.75" customHeight="1">
      <c r="A22" s="8"/>
      <c r="B22" s="191" t="s">
        <v>136</v>
      </c>
      <c r="C22" s="192"/>
      <c r="D22" s="192"/>
      <c r="E22" s="192"/>
      <c r="F22" s="192"/>
      <c r="G22" s="192"/>
      <c r="H22" s="192"/>
      <c r="I22" s="193"/>
    </row>
    <row r="23" spans="1:9" ht="18.75" customHeight="1">
      <c r="A23" s="8"/>
      <c r="B23" s="194"/>
      <c r="C23" s="195"/>
      <c r="D23" s="195"/>
      <c r="E23" s="195"/>
      <c r="F23" s="195"/>
      <c r="G23" s="195"/>
      <c r="H23" s="195"/>
      <c r="I23" s="196"/>
    </row>
    <row r="24" spans="1:9" ht="18.75" customHeight="1">
      <c r="A24" s="8"/>
      <c r="B24" s="194"/>
      <c r="C24" s="195"/>
      <c r="D24" s="195"/>
      <c r="E24" s="195"/>
      <c r="F24" s="195"/>
      <c r="G24" s="195"/>
      <c r="H24" s="195"/>
      <c r="I24" s="196"/>
    </row>
    <row r="25" spans="1:9" ht="18.75" customHeight="1">
      <c r="A25" s="8"/>
      <c r="B25" s="194"/>
      <c r="C25" s="195"/>
      <c r="D25" s="195"/>
      <c r="E25" s="195"/>
      <c r="F25" s="195"/>
      <c r="G25" s="195"/>
      <c r="H25" s="195"/>
      <c r="I25" s="196"/>
    </row>
    <row r="26" spans="1:9" ht="18.75" customHeight="1">
      <c r="A26" s="8"/>
      <c r="B26" s="194"/>
      <c r="C26" s="195"/>
      <c r="D26" s="195"/>
      <c r="E26" s="195"/>
      <c r="F26" s="195"/>
      <c r="G26" s="195"/>
      <c r="H26" s="195"/>
      <c r="I26" s="196"/>
    </row>
    <row r="27" spans="1:9" ht="18.75" customHeight="1">
      <c r="A27" s="8"/>
      <c r="B27" s="194"/>
      <c r="C27" s="195"/>
      <c r="D27" s="195"/>
      <c r="E27" s="195"/>
      <c r="F27" s="195"/>
      <c r="G27" s="195"/>
      <c r="H27" s="195"/>
      <c r="I27" s="196"/>
    </row>
    <row r="28" spans="1:9" ht="18.75" customHeight="1">
      <c r="A28" s="8"/>
      <c r="B28" s="194"/>
      <c r="C28" s="195"/>
      <c r="D28" s="195"/>
      <c r="E28" s="195"/>
      <c r="F28" s="195"/>
      <c r="G28" s="195"/>
      <c r="H28" s="195"/>
      <c r="I28" s="196"/>
    </row>
    <row r="29" spans="1:9" ht="18.75" customHeight="1">
      <c r="A29" s="8"/>
      <c r="B29" s="194"/>
      <c r="C29" s="195"/>
      <c r="D29" s="195"/>
      <c r="E29" s="195"/>
      <c r="F29" s="195"/>
      <c r="G29" s="195"/>
      <c r="H29" s="195"/>
      <c r="I29" s="196"/>
    </row>
    <row r="30" spans="1:9" ht="18.75" customHeight="1">
      <c r="A30" s="8"/>
      <c r="B30" s="197"/>
      <c r="C30" s="198"/>
      <c r="D30" s="198"/>
      <c r="E30" s="198"/>
      <c r="F30" s="198"/>
      <c r="G30" s="198"/>
      <c r="H30" s="198"/>
      <c r="I30" s="196"/>
    </row>
    <row r="31" spans="1:9" ht="18.75" customHeight="1">
      <c r="A31" s="8"/>
      <c r="B31" s="197"/>
      <c r="C31" s="198"/>
      <c r="D31" s="198"/>
      <c r="E31" s="198"/>
      <c r="F31" s="198"/>
      <c r="G31" s="198"/>
      <c r="H31" s="198"/>
      <c r="I31" s="196"/>
    </row>
    <row r="32" spans="1:9" ht="18.75" customHeight="1">
      <c r="A32" s="8"/>
      <c r="B32" s="199"/>
      <c r="C32" s="200"/>
      <c r="D32" s="200"/>
      <c r="E32" s="200"/>
      <c r="F32" s="200"/>
      <c r="G32" s="200"/>
      <c r="H32" s="200"/>
      <c r="I32" s="201"/>
    </row>
    <row r="33" spans="1:9" ht="7.5" customHeight="1">
      <c r="A33" s="8"/>
      <c r="B33" s="8"/>
      <c r="C33" s="8"/>
      <c r="D33" s="8"/>
      <c r="E33" s="8"/>
      <c r="F33" s="8"/>
      <c r="G33" s="8"/>
      <c r="H33" s="8"/>
      <c r="I33" s="8"/>
    </row>
    <row r="34" spans="1:9" ht="18.75" customHeight="1">
      <c r="A34" s="9" t="s">
        <v>137</v>
      </c>
      <c r="B34" s="9" t="s">
        <v>138</v>
      </c>
      <c r="C34" s="7"/>
      <c r="D34" s="9"/>
      <c r="E34" s="9"/>
      <c r="F34" s="9"/>
      <c r="G34" s="9"/>
      <c r="H34" s="9"/>
      <c r="I34" s="9"/>
    </row>
    <row r="35" spans="1:9" ht="18.75" customHeight="1">
      <c r="A35" s="8"/>
      <c r="B35" s="202" t="s">
        <v>139</v>
      </c>
      <c r="C35" s="192"/>
      <c r="D35" s="192"/>
      <c r="E35" s="192"/>
      <c r="F35" s="192"/>
      <c r="G35" s="192"/>
      <c r="H35" s="192"/>
      <c r="I35" s="193"/>
    </row>
    <row r="36" spans="1:9" ht="18.75" customHeight="1">
      <c r="A36" s="8"/>
      <c r="B36" s="197"/>
      <c r="C36" s="198"/>
      <c r="D36" s="198"/>
      <c r="E36" s="198"/>
      <c r="F36" s="198"/>
      <c r="G36" s="198"/>
      <c r="H36" s="198"/>
      <c r="I36" s="196"/>
    </row>
    <row r="37" spans="1:9" ht="18.75" customHeight="1">
      <c r="A37" s="8"/>
      <c r="B37" s="197"/>
      <c r="C37" s="198"/>
      <c r="D37" s="198"/>
      <c r="E37" s="198"/>
      <c r="F37" s="198"/>
      <c r="G37" s="198"/>
      <c r="H37" s="198"/>
      <c r="I37" s="196"/>
    </row>
    <row r="38" spans="1:9" ht="18.75" customHeight="1">
      <c r="A38" s="8"/>
      <c r="B38" s="197"/>
      <c r="C38" s="198"/>
      <c r="D38" s="198"/>
      <c r="E38" s="198"/>
      <c r="F38" s="198"/>
      <c r="G38" s="198"/>
      <c r="H38" s="198"/>
      <c r="I38" s="196"/>
    </row>
    <row r="39" spans="1:9" ht="18.75" customHeight="1">
      <c r="A39" s="8"/>
      <c r="B39" s="197"/>
      <c r="C39" s="198"/>
      <c r="D39" s="198"/>
      <c r="E39" s="198"/>
      <c r="F39" s="198"/>
      <c r="G39" s="198"/>
      <c r="H39" s="198"/>
      <c r="I39" s="196"/>
    </row>
    <row r="40" spans="1:9" ht="18.75" customHeight="1">
      <c r="A40" s="8"/>
      <c r="B40" s="197"/>
      <c r="C40" s="198"/>
      <c r="D40" s="198"/>
      <c r="E40" s="198"/>
      <c r="F40" s="198"/>
      <c r="G40" s="198"/>
      <c r="H40" s="198"/>
      <c r="I40" s="196"/>
    </row>
    <row r="41" spans="1:9" ht="18.75" customHeight="1">
      <c r="A41" s="8"/>
      <c r="B41" s="197"/>
      <c r="C41" s="198"/>
      <c r="D41" s="198"/>
      <c r="E41" s="198"/>
      <c r="F41" s="198"/>
      <c r="G41" s="198"/>
      <c r="H41" s="198"/>
      <c r="I41" s="196"/>
    </row>
    <row r="42" spans="1:9" ht="18.75" customHeight="1">
      <c r="A42" s="8"/>
      <c r="B42" s="197"/>
      <c r="C42" s="198"/>
      <c r="D42" s="198"/>
      <c r="E42" s="198"/>
      <c r="F42" s="198"/>
      <c r="G42" s="198"/>
      <c r="H42" s="198"/>
      <c r="I42" s="196"/>
    </row>
    <row r="43" spans="1:9" ht="18.75" customHeight="1">
      <c r="A43" s="8"/>
      <c r="B43" s="197"/>
      <c r="C43" s="198"/>
      <c r="D43" s="198"/>
      <c r="E43" s="198"/>
      <c r="F43" s="198"/>
      <c r="G43" s="198"/>
      <c r="H43" s="198"/>
      <c r="I43" s="196"/>
    </row>
    <row r="44" spans="1:9" ht="18.75" customHeight="1">
      <c r="A44" s="8"/>
      <c r="B44" s="197"/>
      <c r="C44" s="198"/>
      <c r="D44" s="198"/>
      <c r="E44" s="198"/>
      <c r="F44" s="198"/>
      <c r="G44" s="198"/>
      <c r="H44" s="198"/>
      <c r="I44" s="196"/>
    </row>
    <row r="45" spans="1:9" ht="18.75" customHeight="1">
      <c r="A45" s="8"/>
      <c r="B45" s="197"/>
      <c r="C45" s="198"/>
      <c r="D45" s="198"/>
      <c r="E45" s="198"/>
      <c r="F45" s="198"/>
      <c r="G45" s="198"/>
      <c r="H45" s="198"/>
      <c r="I45" s="196"/>
    </row>
    <row r="46" spans="1:9" ht="18.75" customHeight="1">
      <c r="A46" s="8"/>
      <c r="B46" s="199"/>
      <c r="C46" s="200"/>
      <c r="D46" s="200"/>
      <c r="E46" s="200"/>
      <c r="F46" s="200"/>
      <c r="G46" s="200"/>
      <c r="H46" s="200"/>
      <c r="I46" s="201"/>
    </row>
    <row r="47" spans="1:9" ht="7.5" customHeight="1">
      <c r="A47" s="4"/>
      <c r="B47" s="4"/>
      <c r="C47" s="4"/>
      <c r="D47" s="4"/>
      <c r="E47" s="4"/>
      <c r="F47" s="4"/>
      <c r="G47" s="4"/>
      <c r="H47" s="4"/>
      <c r="I47" s="4"/>
    </row>
    <row r="48" spans="1:9" ht="18.75" customHeight="1">
      <c r="A48" s="1" t="s">
        <v>140</v>
      </c>
      <c r="B48" s="1" t="s">
        <v>141</v>
      </c>
    </row>
    <row r="49" spans="1:15" s="3" customFormat="1" ht="18.75" customHeight="1">
      <c r="B49" s="26" t="s">
        <v>142</v>
      </c>
      <c r="C49" s="227">
        <f>'様式２ 履修者等数の実績'!S33</f>
        <v>5.4387568555758686E-2</v>
      </c>
      <c r="D49" s="227"/>
      <c r="E49" s="26" t="s">
        <v>143</v>
      </c>
      <c r="F49" s="227">
        <v>0.2</v>
      </c>
      <c r="G49" s="227"/>
      <c r="H49" s="26" t="s">
        <v>144</v>
      </c>
      <c r="I49" s="27">
        <v>0.4</v>
      </c>
      <c r="J49" s="1"/>
      <c r="M49" s="1"/>
      <c r="N49" s="28"/>
    </row>
    <row r="50" spans="1:15" s="3" customFormat="1" ht="18.75" customHeight="1">
      <c r="B50" s="29" t="s">
        <v>145</v>
      </c>
      <c r="C50" s="210">
        <v>0.6</v>
      </c>
      <c r="D50" s="210"/>
      <c r="E50" s="29" t="s">
        <v>146</v>
      </c>
      <c r="F50" s="210">
        <v>1</v>
      </c>
      <c r="G50" s="210"/>
      <c r="H50" s="29" t="s">
        <v>147</v>
      </c>
      <c r="I50" s="30">
        <f>'様式２ 履修者等数の実績'!E33</f>
        <v>2188</v>
      </c>
      <c r="J50" s="1"/>
      <c r="M50" s="1"/>
      <c r="N50" s="28"/>
    </row>
    <row r="51" spans="1:15" ht="18.75" customHeight="1">
      <c r="A51" s="1"/>
      <c r="B51" s="207" t="s">
        <v>148</v>
      </c>
      <c r="C51" s="208"/>
      <c r="D51" s="208"/>
      <c r="E51" s="208"/>
      <c r="F51" s="208"/>
      <c r="G51" s="208"/>
      <c r="H51" s="208"/>
      <c r="I51" s="209"/>
      <c r="N51" s="28"/>
      <c r="O51" s="3"/>
    </row>
    <row r="52" spans="1:15" ht="18.75" customHeight="1">
      <c r="A52" s="1"/>
      <c r="B52" s="228" t="s">
        <v>149</v>
      </c>
      <c r="C52" s="229"/>
      <c r="D52" s="229"/>
      <c r="E52" s="229"/>
      <c r="F52" s="229"/>
      <c r="G52" s="229"/>
      <c r="H52" s="229"/>
      <c r="I52" s="230"/>
      <c r="N52" s="28"/>
      <c r="O52" s="3"/>
    </row>
    <row r="53" spans="1:15" ht="18.75" customHeight="1">
      <c r="A53" s="1"/>
      <c r="B53" s="231"/>
      <c r="C53" s="232"/>
      <c r="D53" s="232"/>
      <c r="E53" s="232"/>
      <c r="F53" s="232"/>
      <c r="G53" s="232"/>
      <c r="H53" s="232"/>
      <c r="I53" s="233"/>
      <c r="N53" s="28"/>
      <c r="O53" s="3"/>
    </row>
    <row r="54" spans="1:15" ht="18.75" customHeight="1">
      <c r="A54" s="1"/>
      <c r="B54" s="231"/>
      <c r="C54" s="232"/>
      <c r="D54" s="232"/>
      <c r="E54" s="232"/>
      <c r="F54" s="232"/>
      <c r="G54" s="232"/>
      <c r="H54" s="232"/>
      <c r="I54" s="233"/>
    </row>
    <row r="55" spans="1:15" ht="18.75" customHeight="1">
      <c r="A55" s="1"/>
      <c r="B55" s="231"/>
      <c r="C55" s="232"/>
      <c r="D55" s="232"/>
      <c r="E55" s="232"/>
      <c r="F55" s="232"/>
      <c r="G55" s="232"/>
      <c r="H55" s="232"/>
      <c r="I55" s="233"/>
    </row>
    <row r="56" spans="1:15" ht="18.75" customHeight="1">
      <c r="A56" s="1"/>
      <c r="B56" s="231"/>
      <c r="C56" s="232"/>
      <c r="D56" s="232"/>
      <c r="E56" s="232"/>
      <c r="F56" s="232"/>
      <c r="G56" s="232"/>
      <c r="H56" s="232"/>
      <c r="I56" s="233"/>
    </row>
    <row r="57" spans="1:15" ht="18.75" customHeight="1">
      <c r="A57" s="1"/>
      <c r="B57" s="231"/>
      <c r="C57" s="232"/>
      <c r="D57" s="232"/>
      <c r="E57" s="232"/>
      <c r="F57" s="232"/>
      <c r="G57" s="232"/>
      <c r="H57" s="232"/>
      <c r="I57" s="233"/>
    </row>
    <row r="58" spans="1:15" ht="18.75" customHeight="1">
      <c r="A58" s="1"/>
      <c r="B58" s="231"/>
      <c r="C58" s="232"/>
      <c r="D58" s="232"/>
      <c r="E58" s="232"/>
      <c r="F58" s="232"/>
      <c r="G58" s="232"/>
      <c r="H58" s="232"/>
      <c r="I58" s="233"/>
    </row>
    <row r="59" spans="1:15" ht="18.75" customHeight="1">
      <c r="A59" s="1"/>
      <c r="B59" s="231"/>
      <c r="C59" s="232"/>
      <c r="D59" s="232"/>
      <c r="E59" s="232"/>
      <c r="F59" s="232"/>
      <c r="G59" s="232"/>
      <c r="H59" s="232"/>
      <c r="I59" s="233"/>
    </row>
    <row r="60" spans="1:15" ht="18.75" customHeight="1">
      <c r="A60" s="1"/>
      <c r="B60" s="231"/>
      <c r="C60" s="232"/>
      <c r="D60" s="232"/>
      <c r="E60" s="232"/>
      <c r="F60" s="232"/>
      <c r="G60" s="232"/>
      <c r="H60" s="232"/>
      <c r="I60" s="233"/>
    </row>
    <row r="61" spans="1:15" ht="18.75" customHeight="1">
      <c r="A61" s="1"/>
      <c r="B61" s="231"/>
      <c r="C61" s="232"/>
      <c r="D61" s="232"/>
      <c r="E61" s="232"/>
      <c r="F61" s="232"/>
      <c r="G61" s="232"/>
      <c r="H61" s="232"/>
      <c r="I61" s="233"/>
    </row>
    <row r="62" spans="1:15" ht="18.75" customHeight="1">
      <c r="A62" s="1"/>
      <c r="B62" s="231"/>
      <c r="C62" s="232"/>
      <c r="D62" s="232"/>
      <c r="E62" s="232"/>
      <c r="F62" s="232"/>
      <c r="G62" s="232"/>
      <c r="H62" s="232"/>
      <c r="I62" s="233"/>
    </row>
    <row r="63" spans="1:15" ht="18.75" customHeight="1">
      <c r="A63" s="1"/>
      <c r="B63" s="234"/>
      <c r="C63" s="235"/>
      <c r="D63" s="235"/>
      <c r="E63" s="235"/>
      <c r="F63" s="235"/>
      <c r="G63" s="235"/>
      <c r="H63" s="235"/>
      <c r="I63" s="236"/>
    </row>
    <row r="64" spans="1:15" ht="7.5" customHeight="1">
      <c r="A64" s="8"/>
      <c r="B64" s="8"/>
      <c r="C64" s="8"/>
      <c r="D64" s="8"/>
      <c r="E64" s="8"/>
      <c r="F64" s="8"/>
      <c r="G64" s="8"/>
      <c r="H64" s="8"/>
      <c r="I64" s="8"/>
    </row>
    <row r="65" spans="1:9" ht="18.75" customHeight="1">
      <c r="A65" s="9" t="s">
        <v>150</v>
      </c>
      <c r="B65" s="1" t="s">
        <v>151</v>
      </c>
      <c r="I65" s="9"/>
    </row>
    <row r="66" spans="1:9" ht="18.75" customHeight="1">
      <c r="A66" s="4"/>
      <c r="B66" s="211" t="s">
        <v>152</v>
      </c>
      <c r="C66" s="212"/>
      <c r="D66" s="212"/>
      <c r="E66" s="212"/>
      <c r="F66" s="212"/>
      <c r="G66" s="212"/>
      <c r="H66" s="212"/>
      <c r="I66" s="213"/>
    </row>
    <row r="67" spans="1:9" ht="18.75" customHeight="1">
      <c r="A67" s="4"/>
      <c r="B67" s="214"/>
      <c r="C67" s="215"/>
      <c r="D67" s="215"/>
      <c r="E67" s="215"/>
      <c r="F67" s="215"/>
      <c r="G67" s="215"/>
      <c r="H67" s="215"/>
      <c r="I67" s="216"/>
    </row>
    <row r="68" spans="1:9" ht="18.75" customHeight="1">
      <c r="A68" s="4"/>
      <c r="B68" s="214"/>
      <c r="C68" s="215"/>
      <c r="D68" s="215"/>
      <c r="E68" s="215"/>
      <c r="F68" s="215"/>
      <c r="G68" s="215"/>
      <c r="H68" s="215"/>
      <c r="I68" s="216"/>
    </row>
    <row r="69" spans="1:9" ht="18.75" customHeight="1">
      <c r="A69" s="4"/>
      <c r="B69" s="214"/>
      <c r="C69" s="215"/>
      <c r="D69" s="215"/>
      <c r="E69" s="215"/>
      <c r="F69" s="215"/>
      <c r="G69" s="215"/>
      <c r="H69" s="215"/>
      <c r="I69" s="216"/>
    </row>
    <row r="70" spans="1:9" ht="18.75" customHeight="1">
      <c r="A70" s="4"/>
      <c r="B70" s="214"/>
      <c r="C70" s="215"/>
      <c r="D70" s="215"/>
      <c r="E70" s="215"/>
      <c r="F70" s="215"/>
      <c r="G70" s="215"/>
      <c r="H70" s="215"/>
      <c r="I70" s="216"/>
    </row>
    <row r="71" spans="1:9" ht="18.75" customHeight="1">
      <c r="A71" s="4"/>
      <c r="B71" s="214"/>
      <c r="C71" s="215"/>
      <c r="D71" s="215"/>
      <c r="E71" s="215"/>
      <c r="F71" s="215"/>
      <c r="G71" s="215"/>
      <c r="H71" s="215"/>
      <c r="I71" s="216"/>
    </row>
    <row r="72" spans="1:9" ht="18.75" customHeight="1">
      <c r="A72" s="4"/>
      <c r="B72" s="214"/>
      <c r="C72" s="215"/>
      <c r="D72" s="215"/>
      <c r="E72" s="215"/>
      <c r="F72" s="215"/>
      <c r="G72" s="215"/>
      <c r="H72" s="215"/>
      <c r="I72" s="216"/>
    </row>
    <row r="73" spans="1:9" ht="18.75" customHeight="1">
      <c r="A73" s="4"/>
      <c r="B73" s="214"/>
      <c r="C73" s="215"/>
      <c r="D73" s="215"/>
      <c r="E73" s="215"/>
      <c r="F73" s="215"/>
      <c r="G73" s="215"/>
      <c r="H73" s="215"/>
      <c r="I73" s="216"/>
    </row>
    <row r="74" spans="1:9" ht="18.75" customHeight="1">
      <c r="A74" s="4"/>
      <c r="B74" s="214"/>
      <c r="C74" s="215"/>
      <c r="D74" s="215"/>
      <c r="E74" s="215"/>
      <c r="F74" s="215"/>
      <c r="G74" s="215"/>
      <c r="H74" s="215"/>
      <c r="I74" s="216"/>
    </row>
    <row r="75" spans="1:9" ht="18.75" customHeight="1">
      <c r="A75" s="4"/>
      <c r="B75" s="214"/>
      <c r="C75" s="215"/>
      <c r="D75" s="215"/>
      <c r="E75" s="215"/>
      <c r="F75" s="215"/>
      <c r="G75" s="215"/>
      <c r="H75" s="215"/>
      <c r="I75" s="216"/>
    </row>
    <row r="76" spans="1:9" ht="18.75" customHeight="1">
      <c r="A76" s="4"/>
      <c r="B76" s="214"/>
      <c r="C76" s="215"/>
      <c r="D76" s="215"/>
      <c r="E76" s="215"/>
      <c r="F76" s="215"/>
      <c r="G76" s="215"/>
      <c r="H76" s="215"/>
      <c r="I76" s="216"/>
    </row>
    <row r="77" spans="1:9" ht="18.75" customHeight="1">
      <c r="A77" s="4"/>
      <c r="B77" s="217"/>
      <c r="C77" s="218"/>
      <c r="D77" s="218"/>
      <c r="E77" s="218"/>
      <c r="F77" s="218"/>
      <c r="G77" s="218"/>
      <c r="H77" s="218"/>
      <c r="I77" s="219"/>
    </row>
    <row r="78" spans="1:9" ht="7.5" customHeight="1">
      <c r="A78" s="4"/>
      <c r="B78" s="4"/>
      <c r="C78" s="4"/>
      <c r="D78" s="4"/>
      <c r="E78" s="4"/>
      <c r="F78" s="4"/>
      <c r="G78" s="4"/>
      <c r="H78" s="4"/>
      <c r="I78" s="4"/>
    </row>
    <row r="79" spans="1:9" ht="18.75" customHeight="1">
      <c r="A79" s="1" t="s">
        <v>153</v>
      </c>
      <c r="B79" s="1" t="s">
        <v>154</v>
      </c>
    </row>
    <row r="80" spans="1:9" ht="18.75" customHeight="1">
      <c r="A80" s="1"/>
      <c r="B80" s="211" t="s">
        <v>155</v>
      </c>
      <c r="C80" s="212"/>
      <c r="D80" s="212"/>
      <c r="E80" s="212"/>
      <c r="F80" s="212"/>
      <c r="G80" s="212"/>
      <c r="H80" s="212"/>
      <c r="I80" s="220"/>
    </row>
    <row r="81" spans="1:9" ht="18.75" customHeight="1">
      <c r="A81" s="1"/>
      <c r="B81" s="221"/>
      <c r="C81" s="222"/>
      <c r="D81" s="222"/>
      <c r="E81" s="222"/>
      <c r="F81" s="222"/>
      <c r="G81" s="222"/>
      <c r="H81" s="222"/>
      <c r="I81" s="223"/>
    </row>
    <row r="82" spans="1:9" ht="18.75" customHeight="1">
      <c r="A82" s="1"/>
      <c r="B82" s="221"/>
      <c r="C82" s="222"/>
      <c r="D82" s="222"/>
      <c r="E82" s="222"/>
      <c r="F82" s="222"/>
      <c r="G82" s="222"/>
      <c r="H82" s="222"/>
      <c r="I82" s="223"/>
    </row>
    <row r="83" spans="1:9" ht="18.75" customHeight="1">
      <c r="A83" s="1"/>
      <c r="B83" s="221"/>
      <c r="C83" s="222"/>
      <c r="D83" s="222"/>
      <c r="E83" s="222"/>
      <c r="F83" s="222"/>
      <c r="G83" s="222"/>
      <c r="H83" s="222"/>
      <c r="I83" s="223"/>
    </row>
    <row r="84" spans="1:9" ht="18.75" customHeight="1">
      <c r="A84" s="1"/>
      <c r="B84" s="221"/>
      <c r="C84" s="222"/>
      <c r="D84" s="222"/>
      <c r="E84" s="222"/>
      <c r="F84" s="222"/>
      <c r="G84" s="222"/>
      <c r="H84" s="222"/>
      <c r="I84" s="223"/>
    </row>
    <row r="85" spans="1:9" ht="18.75" customHeight="1">
      <c r="A85" s="1"/>
      <c r="B85" s="221"/>
      <c r="C85" s="222"/>
      <c r="D85" s="222"/>
      <c r="E85" s="222"/>
      <c r="F85" s="222"/>
      <c r="G85" s="222"/>
      <c r="H85" s="222"/>
      <c r="I85" s="223"/>
    </row>
    <row r="86" spans="1:9" ht="18.75" customHeight="1">
      <c r="A86" s="1"/>
      <c r="B86" s="221"/>
      <c r="C86" s="222"/>
      <c r="D86" s="222"/>
      <c r="E86" s="222"/>
      <c r="F86" s="222"/>
      <c r="G86" s="222"/>
      <c r="H86" s="222"/>
      <c r="I86" s="223"/>
    </row>
    <row r="87" spans="1:9" ht="18.75" customHeight="1">
      <c r="A87" s="1"/>
      <c r="B87" s="221"/>
      <c r="C87" s="222"/>
      <c r="D87" s="222"/>
      <c r="E87" s="222"/>
      <c r="F87" s="222"/>
      <c r="G87" s="222"/>
      <c r="H87" s="222"/>
      <c r="I87" s="223"/>
    </row>
    <row r="88" spans="1:9" ht="18.75" customHeight="1">
      <c r="A88" s="1"/>
      <c r="B88" s="221"/>
      <c r="C88" s="222"/>
      <c r="D88" s="222"/>
      <c r="E88" s="222"/>
      <c r="F88" s="222"/>
      <c r="G88" s="222"/>
      <c r="H88" s="222"/>
      <c r="I88" s="223"/>
    </row>
    <row r="89" spans="1:9" ht="18.75" customHeight="1">
      <c r="A89" s="1"/>
      <c r="B89" s="221"/>
      <c r="C89" s="222"/>
      <c r="D89" s="222"/>
      <c r="E89" s="222"/>
      <c r="F89" s="222"/>
      <c r="G89" s="222"/>
      <c r="H89" s="222"/>
      <c r="I89" s="223"/>
    </row>
    <row r="90" spans="1:9" ht="18.75" customHeight="1">
      <c r="A90" s="4"/>
      <c r="B90" s="221"/>
      <c r="C90" s="222"/>
      <c r="D90" s="222"/>
      <c r="E90" s="222"/>
      <c r="F90" s="222"/>
      <c r="G90" s="222"/>
      <c r="H90" s="222"/>
      <c r="I90" s="223"/>
    </row>
    <row r="91" spans="1:9" ht="18.75" customHeight="1">
      <c r="A91" s="4"/>
      <c r="B91" s="224"/>
      <c r="C91" s="225"/>
      <c r="D91" s="225"/>
      <c r="E91" s="225"/>
      <c r="F91" s="225"/>
      <c r="G91" s="225"/>
      <c r="H91" s="225"/>
      <c r="I91" s="226"/>
    </row>
    <row r="92" spans="1:9" ht="7.5" customHeight="1">
      <c r="A92" s="4"/>
      <c r="B92" s="4"/>
      <c r="C92" s="4"/>
      <c r="D92" s="4"/>
      <c r="E92" s="4"/>
      <c r="F92" s="4"/>
      <c r="G92" s="4"/>
      <c r="H92" s="4"/>
      <c r="I92" s="4"/>
    </row>
    <row r="93" spans="1:9" ht="18.75" customHeight="1">
      <c r="A93" s="1" t="s">
        <v>156</v>
      </c>
      <c r="B93" s="1" t="s">
        <v>157</v>
      </c>
    </row>
    <row r="94" spans="1:9" ht="18.75" customHeight="1">
      <c r="A94" s="1"/>
      <c r="B94" s="191" t="s">
        <v>158</v>
      </c>
      <c r="C94" s="192"/>
      <c r="D94" s="192"/>
      <c r="E94" s="192"/>
      <c r="F94" s="192"/>
      <c r="G94" s="192"/>
      <c r="H94" s="192"/>
      <c r="I94" s="193"/>
    </row>
    <row r="95" spans="1:9" ht="18.75" customHeight="1">
      <c r="A95" s="1"/>
      <c r="B95" s="197"/>
      <c r="C95" s="198"/>
      <c r="D95" s="198"/>
      <c r="E95" s="198"/>
      <c r="F95" s="198"/>
      <c r="G95" s="198"/>
      <c r="H95" s="198"/>
      <c r="I95" s="196"/>
    </row>
    <row r="96" spans="1:9" ht="18.75" customHeight="1">
      <c r="A96" s="1"/>
      <c r="B96" s="197"/>
      <c r="C96" s="198"/>
      <c r="D96" s="198"/>
      <c r="E96" s="198"/>
      <c r="F96" s="198"/>
      <c r="G96" s="198"/>
      <c r="H96" s="198"/>
      <c r="I96" s="196"/>
    </row>
    <row r="97" spans="1:9" ht="18.75" customHeight="1">
      <c r="A97" s="1"/>
      <c r="B97" s="197"/>
      <c r="C97" s="198"/>
      <c r="D97" s="198"/>
      <c r="E97" s="198"/>
      <c r="F97" s="198"/>
      <c r="G97" s="198"/>
      <c r="H97" s="198"/>
      <c r="I97" s="196"/>
    </row>
    <row r="98" spans="1:9" ht="18.75" customHeight="1">
      <c r="A98" s="1"/>
      <c r="B98" s="197"/>
      <c r="C98" s="198"/>
      <c r="D98" s="198"/>
      <c r="E98" s="198"/>
      <c r="F98" s="198"/>
      <c r="G98" s="198"/>
      <c r="H98" s="198"/>
      <c r="I98" s="196"/>
    </row>
    <row r="99" spans="1:9" ht="18.75" customHeight="1">
      <c r="A99" s="1"/>
      <c r="B99" s="197"/>
      <c r="C99" s="198"/>
      <c r="D99" s="198"/>
      <c r="E99" s="198"/>
      <c r="F99" s="198"/>
      <c r="G99" s="198"/>
      <c r="H99" s="198"/>
      <c r="I99" s="196"/>
    </row>
    <row r="100" spans="1:9" ht="18.75" customHeight="1">
      <c r="A100" s="1"/>
      <c r="B100" s="197"/>
      <c r="C100" s="198"/>
      <c r="D100" s="198"/>
      <c r="E100" s="198"/>
      <c r="F100" s="198"/>
      <c r="G100" s="198"/>
      <c r="H100" s="198"/>
      <c r="I100" s="196"/>
    </row>
    <row r="101" spans="1:9" ht="18.75" customHeight="1">
      <c r="A101" s="1"/>
      <c r="B101" s="197"/>
      <c r="C101" s="198"/>
      <c r="D101" s="198"/>
      <c r="E101" s="198"/>
      <c r="F101" s="198"/>
      <c r="G101" s="198"/>
      <c r="H101" s="198"/>
      <c r="I101" s="196"/>
    </row>
    <row r="102" spans="1:9" ht="18.75" customHeight="1">
      <c r="A102" s="1"/>
      <c r="B102" s="197"/>
      <c r="C102" s="198"/>
      <c r="D102" s="198"/>
      <c r="E102" s="198"/>
      <c r="F102" s="198"/>
      <c r="G102" s="198"/>
      <c r="H102" s="198"/>
      <c r="I102" s="196"/>
    </row>
    <row r="103" spans="1:9" ht="18.75" customHeight="1">
      <c r="A103" s="1"/>
      <c r="B103" s="197"/>
      <c r="C103" s="198"/>
      <c r="D103" s="198"/>
      <c r="E103" s="198"/>
      <c r="F103" s="198"/>
      <c r="G103" s="198"/>
      <c r="H103" s="198"/>
      <c r="I103" s="196"/>
    </row>
    <row r="104" spans="1:9" ht="18.75" customHeight="1">
      <c r="A104" s="1"/>
      <c r="B104" s="197"/>
      <c r="C104" s="198"/>
      <c r="D104" s="198"/>
      <c r="E104" s="198"/>
      <c r="F104" s="198"/>
      <c r="G104" s="198"/>
      <c r="H104" s="198"/>
      <c r="I104" s="196"/>
    </row>
    <row r="105" spans="1:9" ht="18.75" customHeight="1">
      <c r="A105" s="4"/>
      <c r="B105" s="199"/>
      <c r="C105" s="200"/>
      <c r="D105" s="200"/>
      <c r="E105" s="200"/>
      <c r="F105" s="200"/>
      <c r="G105" s="200"/>
      <c r="H105" s="200"/>
      <c r="I105" s="201"/>
    </row>
    <row r="106" spans="1:9" ht="7.5" customHeight="1">
      <c r="A106" s="4"/>
      <c r="B106" s="4"/>
      <c r="C106" s="4"/>
      <c r="D106" s="4"/>
      <c r="E106" s="4"/>
      <c r="F106" s="4"/>
      <c r="G106" s="4"/>
      <c r="H106" s="4"/>
      <c r="I106" s="4"/>
    </row>
    <row r="107" spans="1:9" ht="18.75" customHeight="1">
      <c r="A107" s="1" t="s">
        <v>159</v>
      </c>
      <c r="B107" s="261" t="s">
        <v>160</v>
      </c>
      <c r="C107" s="261"/>
      <c r="D107" s="261"/>
      <c r="E107" s="261"/>
      <c r="F107" s="261"/>
      <c r="G107" s="261"/>
      <c r="H107" s="261"/>
      <c r="I107" s="261"/>
    </row>
    <row r="108" spans="1:9" ht="18.75" customHeight="1">
      <c r="A108" s="4"/>
      <c r="B108" s="191" t="s">
        <v>161</v>
      </c>
      <c r="C108" s="192"/>
      <c r="D108" s="192"/>
      <c r="E108" s="192"/>
      <c r="F108" s="192"/>
      <c r="G108" s="192"/>
      <c r="H108" s="192"/>
      <c r="I108" s="193"/>
    </row>
    <row r="109" spans="1:9" ht="18.75" customHeight="1">
      <c r="A109" s="4"/>
      <c r="B109" s="197"/>
      <c r="C109" s="198"/>
      <c r="D109" s="198"/>
      <c r="E109" s="198"/>
      <c r="F109" s="198"/>
      <c r="G109" s="198"/>
      <c r="H109" s="198"/>
      <c r="I109" s="196"/>
    </row>
    <row r="110" spans="1:9" ht="18.75" customHeight="1">
      <c r="A110" s="4"/>
      <c r="B110" s="197"/>
      <c r="C110" s="198"/>
      <c r="D110" s="198"/>
      <c r="E110" s="198"/>
      <c r="F110" s="198"/>
      <c r="G110" s="198"/>
      <c r="H110" s="198"/>
      <c r="I110" s="196"/>
    </row>
    <row r="111" spans="1:9" ht="18.75" customHeight="1">
      <c r="A111" s="4"/>
      <c r="B111" s="197"/>
      <c r="C111" s="198"/>
      <c r="D111" s="198"/>
      <c r="E111" s="198"/>
      <c r="F111" s="198"/>
      <c r="G111" s="198"/>
      <c r="H111" s="198"/>
      <c r="I111" s="196"/>
    </row>
    <row r="112" spans="1:9" ht="18.75" customHeight="1">
      <c r="A112" s="4"/>
      <c r="B112" s="197"/>
      <c r="C112" s="198"/>
      <c r="D112" s="198"/>
      <c r="E112" s="198"/>
      <c r="F112" s="198"/>
      <c r="G112" s="198"/>
      <c r="H112" s="198"/>
      <c r="I112" s="196"/>
    </row>
    <row r="113" spans="1:9" ht="18.75" customHeight="1">
      <c r="A113" s="4"/>
      <c r="B113" s="197"/>
      <c r="C113" s="198"/>
      <c r="D113" s="198"/>
      <c r="E113" s="198"/>
      <c r="F113" s="198"/>
      <c r="G113" s="198"/>
      <c r="H113" s="198"/>
      <c r="I113" s="196"/>
    </row>
    <row r="114" spans="1:9" ht="18.75" customHeight="1">
      <c r="A114" s="4"/>
      <c r="B114" s="197"/>
      <c r="C114" s="198"/>
      <c r="D114" s="198"/>
      <c r="E114" s="198"/>
      <c r="F114" s="198"/>
      <c r="G114" s="198"/>
      <c r="H114" s="198"/>
      <c r="I114" s="196"/>
    </row>
    <row r="115" spans="1:9" ht="18.75" customHeight="1">
      <c r="A115" s="4"/>
      <c r="B115" s="197"/>
      <c r="C115" s="198"/>
      <c r="D115" s="198"/>
      <c r="E115" s="198"/>
      <c r="F115" s="198"/>
      <c r="G115" s="198"/>
      <c r="H115" s="198"/>
      <c r="I115" s="196"/>
    </row>
    <row r="116" spans="1:9" ht="18.75" customHeight="1">
      <c r="A116" s="4"/>
      <c r="B116" s="197"/>
      <c r="C116" s="198"/>
      <c r="D116" s="198"/>
      <c r="E116" s="198"/>
      <c r="F116" s="198"/>
      <c r="G116" s="198"/>
      <c r="H116" s="198"/>
      <c r="I116" s="196"/>
    </row>
    <row r="117" spans="1:9" ht="18.75" customHeight="1">
      <c r="A117" s="4"/>
      <c r="B117" s="197"/>
      <c r="C117" s="198"/>
      <c r="D117" s="198"/>
      <c r="E117" s="198"/>
      <c r="F117" s="198"/>
      <c r="G117" s="198"/>
      <c r="H117" s="198"/>
      <c r="I117" s="196"/>
    </row>
    <row r="118" spans="1:9" ht="18.75" customHeight="1">
      <c r="A118" s="4"/>
      <c r="B118" s="197"/>
      <c r="C118" s="198"/>
      <c r="D118" s="198"/>
      <c r="E118" s="198"/>
      <c r="F118" s="198"/>
      <c r="G118" s="198"/>
      <c r="H118" s="198"/>
      <c r="I118" s="196"/>
    </row>
    <row r="119" spans="1:9" ht="18.75" customHeight="1">
      <c r="A119" s="4"/>
      <c r="B119" s="199"/>
      <c r="C119" s="200"/>
      <c r="D119" s="200"/>
      <c r="E119" s="200"/>
      <c r="F119" s="200"/>
      <c r="G119" s="200"/>
      <c r="H119" s="200"/>
      <c r="I119" s="201"/>
    </row>
    <row r="120" spans="1:9" ht="7.5" customHeight="1">
      <c r="A120" s="4"/>
      <c r="B120" s="31"/>
      <c r="C120" s="31"/>
      <c r="D120" s="31"/>
      <c r="E120" s="31"/>
      <c r="F120" s="31"/>
      <c r="G120" s="31"/>
      <c r="H120" s="31"/>
      <c r="I120" s="31"/>
    </row>
    <row r="121" spans="1:9" ht="18.75" customHeight="1">
      <c r="A121" s="41"/>
      <c r="B121" s="186"/>
      <c r="C121" s="186"/>
      <c r="D121" s="186"/>
      <c r="E121" s="186"/>
      <c r="F121" s="186"/>
      <c r="G121" s="186"/>
      <c r="H121" s="186"/>
      <c r="I121" s="186"/>
    </row>
    <row r="122" spans="1:9" ht="18.75" customHeight="1">
      <c r="A122" s="41"/>
      <c r="B122" s="186"/>
      <c r="C122" s="186"/>
      <c r="D122" s="186"/>
      <c r="E122" s="186"/>
      <c r="F122" s="186"/>
      <c r="G122" s="186"/>
      <c r="H122" s="186"/>
      <c r="I122" s="186"/>
    </row>
    <row r="123" spans="1:9" ht="18.75" customHeight="1">
      <c r="A123" s="4"/>
      <c r="B123" s="45"/>
      <c r="C123" s="45"/>
      <c r="D123" s="45"/>
      <c r="E123" s="45"/>
      <c r="F123" s="45"/>
      <c r="G123" s="45"/>
      <c r="H123" s="45"/>
      <c r="I123" s="46"/>
    </row>
    <row r="124" spans="1:9" ht="18.75" customHeight="1">
      <c r="A124" s="4"/>
      <c r="B124" s="46"/>
      <c r="C124" s="46"/>
      <c r="D124" s="46"/>
      <c r="E124" s="46"/>
      <c r="F124" s="46"/>
      <c r="G124" s="46"/>
      <c r="H124" s="46"/>
      <c r="I124" s="46"/>
    </row>
    <row r="125" spans="1:9" ht="18.75" customHeight="1">
      <c r="A125" s="4"/>
      <c r="B125" s="46"/>
      <c r="C125" s="46"/>
      <c r="D125" s="46"/>
      <c r="E125" s="46"/>
      <c r="F125" s="46"/>
      <c r="G125" s="46"/>
      <c r="H125" s="46"/>
      <c r="I125" s="46"/>
    </row>
    <row r="126" spans="1:9" ht="18.75" customHeight="1">
      <c r="A126" s="4"/>
      <c r="B126" s="46"/>
      <c r="C126" s="46"/>
      <c r="D126" s="46"/>
      <c r="E126" s="46"/>
      <c r="F126" s="46"/>
      <c r="G126" s="46"/>
      <c r="H126" s="46"/>
      <c r="I126" s="46"/>
    </row>
    <row r="127" spans="1:9" ht="18.75" customHeight="1">
      <c r="A127" s="4"/>
      <c r="B127" s="46"/>
      <c r="C127" s="46"/>
      <c r="D127" s="46"/>
      <c r="E127" s="46"/>
      <c r="F127" s="46"/>
      <c r="G127" s="46"/>
      <c r="H127" s="46"/>
      <c r="I127" s="46"/>
    </row>
    <row r="128" spans="1:9" ht="18.75" customHeight="1">
      <c r="A128" s="4"/>
      <c r="B128" s="46"/>
      <c r="C128" s="46"/>
      <c r="D128" s="46"/>
      <c r="E128" s="46"/>
      <c r="F128" s="46"/>
      <c r="G128" s="46"/>
      <c r="H128" s="46"/>
      <c r="I128" s="46"/>
    </row>
    <row r="129" spans="1:9" ht="18.75" customHeight="1">
      <c r="A129" s="4"/>
      <c r="B129" s="46"/>
      <c r="C129" s="46"/>
      <c r="D129" s="46"/>
      <c r="E129" s="46"/>
      <c r="F129" s="46"/>
      <c r="G129" s="46"/>
      <c r="H129" s="46"/>
      <c r="I129" s="46"/>
    </row>
    <row r="130" spans="1:9" ht="18.75" customHeight="1">
      <c r="A130" s="4"/>
      <c r="B130" s="46"/>
      <c r="C130" s="46"/>
      <c r="D130" s="46"/>
      <c r="E130" s="46"/>
      <c r="F130" s="46"/>
      <c r="G130" s="46"/>
      <c r="H130" s="46"/>
      <c r="I130" s="46"/>
    </row>
    <row r="131" spans="1:9" ht="18.75" customHeight="1">
      <c r="A131" s="4"/>
      <c r="B131" s="46"/>
      <c r="C131" s="46"/>
      <c r="D131" s="46"/>
      <c r="E131" s="46"/>
      <c r="F131" s="46"/>
      <c r="G131" s="46"/>
      <c r="H131" s="46"/>
      <c r="I131" s="46"/>
    </row>
    <row r="132" spans="1:9" ht="18.75" customHeight="1">
      <c r="A132" s="4"/>
      <c r="B132" s="46"/>
      <c r="C132" s="46"/>
      <c r="D132" s="46"/>
      <c r="E132" s="46"/>
      <c r="F132" s="46"/>
      <c r="G132" s="46"/>
      <c r="H132" s="46"/>
      <c r="I132" s="46"/>
    </row>
    <row r="133" spans="1:9" ht="14.45">
      <c r="A133" s="4"/>
      <c r="B133" s="46"/>
      <c r="C133" s="46"/>
      <c r="D133" s="46"/>
      <c r="E133" s="46"/>
      <c r="F133" s="46"/>
      <c r="G133" s="46"/>
      <c r="H133" s="46"/>
      <c r="I133" s="46"/>
    </row>
    <row r="134" spans="1:9" ht="7.5" customHeight="1">
      <c r="A134" s="4"/>
      <c r="B134" s="46"/>
      <c r="C134" s="46"/>
      <c r="D134" s="46"/>
      <c r="E134" s="46"/>
      <c r="F134" s="46"/>
      <c r="G134" s="46"/>
      <c r="H134" s="46"/>
      <c r="I134" s="46"/>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85" zoomScaleNormal="100" zoomScaleSheetLayoutView="85" workbookViewId="0"/>
  </sheetViews>
  <sheetFormatPr defaultColWidth="11.375" defaultRowHeight="22.5" customHeight="1"/>
  <cols>
    <col min="1" max="3" width="2.75" style="1" customWidth="1"/>
    <col min="4" max="4" width="22.25" style="1" customWidth="1"/>
    <col min="5" max="5" width="30.625" style="1" customWidth="1"/>
    <col min="6" max="7" width="7.75" style="1" customWidth="1"/>
    <col min="8" max="9" width="30.625" style="1" customWidth="1"/>
    <col min="10" max="10" width="4.125" style="1" customWidth="1"/>
    <col min="11" max="16384" width="11.375" style="1"/>
  </cols>
  <sheetData>
    <row r="1" spans="1:9" ht="18.75" customHeight="1">
      <c r="A1" s="1" t="s">
        <v>162</v>
      </c>
      <c r="I1" s="23" t="s">
        <v>163</v>
      </c>
    </row>
    <row r="2" spans="1:9" ht="18.75" customHeight="1">
      <c r="H2" s="23" t="s">
        <v>2</v>
      </c>
      <c r="I2" s="22" t="str">
        <f>'様式１　プログラムを構成する授業科目'!C2</f>
        <v>吉備国際大学</v>
      </c>
    </row>
    <row r="3" spans="1:9" ht="18.75" customHeight="1">
      <c r="A3" s="187" t="s">
        <v>164</v>
      </c>
      <c r="B3" s="187"/>
      <c r="C3" s="187"/>
      <c r="D3" s="187"/>
      <c r="E3" s="187"/>
      <c r="F3" s="187"/>
      <c r="G3" s="187"/>
      <c r="H3" s="187"/>
      <c r="I3" s="187"/>
    </row>
    <row r="4" spans="1:9" ht="18.75" customHeight="1">
      <c r="A4" s="5"/>
      <c r="B4" s="5"/>
      <c r="C4" s="5"/>
      <c r="D4" s="5"/>
      <c r="E4" s="5"/>
      <c r="F4" s="5"/>
      <c r="G4" s="5"/>
      <c r="H4" s="5"/>
      <c r="I4" s="5"/>
    </row>
    <row r="5" spans="1:9" ht="18.75" customHeight="1">
      <c r="A5" s="1" t="s">
        <v>115</v>
      </c>
      <c r="B5" s="7" t="s">
        <v>165</v>
      </c>
      <c r="C5" s="5"/>
      <c r="D5" s="5"/>
      <c r="E5" s="5"/>
      <c r="F5" s="5"/>
      <c r="G5" s="5"/>
      <c r="H5" s="5"/>
      <c r="I5" s="5"/>
    </row>
    <row r="6" spans="1:9" ht="26.25" customHeight="1">
      <c r="A6" s="5"/>
      <c r="B6" s="203" t="s">
        <v>166</v>
      </c>
      <c r="C6" s="242"/>
      <c r="D6" s="242"/>
      <c r="E6" s="242"/>
      <c r="F6" s="242"/>
      <c r="G6" s="242"/>
      <c r="H6" s="243"/>
      <c r="I6" s="3"/>
    </row>
    <row r="7" spans="1:9" ht="9" customHeight="1">
      <c r="A7" s="5"/>
      <c r="B7" s="7"/>
      <c r="C7" s="7"/>
      <c r="D7" s="7"/>
      <c r="E7" s="7"/>
      <c r="F7" s="7"/>
      <c r="G7" s="7"/>
      <c r="H7" s="7"/>
      <c r="I7" s="3"/>
    </row>
    <row r="8" spans="1:9" ht="18.75" customHeight="1">
      <c r="A8" s="5"/>
      <c r="B8" s="3"/>
      <c r="C8" s="3"/>
      <c r="D8" s="23" t="s">
        <v>123</v>
      </c>
      <c r="E8" s="89" t="s">
        <v>167</v>
      </c>
      <c r="F8" s="3"/>
      <c r="G8" s="23" t="s">
        <v>125</v>
      </c>
      <c r="H8" s="89" t="s">
        <v>168</v>
      </c>
      <c r="I8" s="3"/>
    </row>
    <row r="9" spans="1:9" ht="7.5" customHeight="1">
      <c r="A9" s="5"/>
      <c r="B9" s="5"/>
      <c r="C9" s="5"/>
      <c r="D9" s="5"/>
      <c r="E9" s="5"/>
      <c r="F9" s="5"/>
      <c r="G9" s="5"/>
      <c r="H9" s="5"/>
      <c r="I9" s="5"/>
    </row>
    <row r="10" spans="1:9" ht="18.75" customHeight="1">
      <c r="A10" s="1" t="s">
        <v>119</v>
      </c>
      <c r="B10" s="1" t="s">
        <v>169</v>
      </c>
      <c r="C10" s="4"/>
      <c r="D10" s="4"/>
      <c r="E10" s="4"/>
      <c r="F10" s="4"/>
      <c r="G10" s="4"/>
      <c r="H10" s="4"/>
      <c r="I10" s="4"/>
    </row>
    <row r="11" spans="1:9" ht="18.75" customHeight="1">
      <c r="B11" s="98" t="s">
        <v>170</v>
      </c>
      <c r="C11" s="99"/>
      <c r="D11" s="100"/>
      <c r="E11" s="99" t="s">
        <v>171</v>
      </c>
      <c r="F11" s="99"/>
      <c r="G11" s="99"/>
      <c r="H11" s="99"/>
      <c r="I11" s="100"/>
    </row>
    <row r="12" spans="1:9" ht="26.25" customHeight="1">
      <c r="B12" s="32" t="s">
        <v>172</v>
      </c>
      <c r="C12" s="38"/>
      <c r="D12" s="33"/>
      <c r="I12" s="90"/>
    </row>
    <row r="13" spans="1:9" ht="210.75" customHeight="1">
      <c r="B13" s="34"/>
      <c r="C13" s="240" t="s">
        <v>173</v>
      </c>
      <c r="D13" s="241"/>
      <c r="E13" s="237" t="s">
        <v>174</v>
      </c>
      <c r="F13" s="238"/>
      <c r="G13" s="238"/>
      <c r="H13" s="238"/>
      <c r="I13" s="239"/>
    </row>
    <row r="14" spans="1:9" ht="210.75" customHeight="1">
      <c r="B14" s="34"/>
      <c r="C14" s="262" t="s">
        <v>175</v>
      </c>
      <c r="D14" s="263"/>
      <c r="E14" s="237" t="s">
        <v>176</v>
      </c>
      <c r="F14" s="238"/>
      <c r="G14" s="238"/>
      <c r="H14" s="238"/>
      <c r="I14" s="239"/>
    </row>
    <row r="15" spans="1:9" ht="210.75" customHeight="1">
      <c r="B15" s="34"/>
      <c r="C15" s="240" t="s">
        <v>177</v>
      </c>
      <c r="D15" s="241"/>
      <c r="E15" s="264" t="s">
        <v>178</v>
      </c>
      <c r="F15" s="238"/>
      <c r="G15" s="238"/>
      <c r="H15" s="238"/>
      <c r="I15" s="239"/>
    </row>
    <row r="16" spans="1:9" ht="210.75" customHeight="1">
      <c r="B16" s="34"/>
      <c r="C16" s="240" t="s">
        <v>179</v>
      </c>
      <c r="D16" s="241"/>
      <c r="E16" s="237" t="s">
        <v>180</v>
      </c>
      <c r="F16" s="238"/>
      <c r="G16" s="238"/>
      <c r="H16" s="238"/>
      <c r="I16" s="239"/>
    </row>
    <row r="17" spans="2:9" ht="210.75" customHeight="1">
      <c r="B17" s="35"/>
      <c r="C17" s="244" t="s">
        <v>181</v>
      </c>
      <c r="D17" s="245"/>
      <c r="E17" s="246" t="s">
        <v>182</v>
      </c>
      <c r="F17" s="247"/>
      <c r="G17" s="247"/>
      <c r="H17" s="247"/>
      <c r="I17" s="248"/>
    </row>
    <row r="18" spans="2:9" ht="24" customHeight="1">
      <c r="B18" s="32" t="s">
        <v>183</v>
      </c>
      <c r="C18" s="36"/>
      <c r="D18" s="37"/>
      <c r="E18" s="91"/>
      <c r="F18" s="91"/>
      <c r="G18" s="91"/>
      <c r="H18" s="91"/>
      <c r="I18" s="92"/>
    </row>
    <row r="19" spans="2:9" ht="218.25" customHeight="1">
      <c r="B19" s="34"/>
      <c r="C19" s="240" t="s">
        <v>184</v>
      </c>
      <c r="D19" s="241"/>
      <c r="E19" s="238" t="s">
        <v>185</v>
      </c>
      <c r="F19" s="238"/>
      <c r="G19" s="238"/>
      <c r="H19" s="238"/>
      <c r="I19" s="239"/>
    </row>
    <row r="20" spans="2:9" ht="218.25" customHeight="1">
      <c r="B20" s="35"/>
      <c r="C20" s="244" t="s">
        <v>186</v>
      </c>
      <c r="D20" s="245"/>
      <c r="E20" s="247" t="s">
        <v>187</v>
      </c>
      <c r="F20" s="247"/>
      <c r="G20" s="247"/>
      <c r="H20" s="247"/>
      <c r="I20" s="248"/>
    </row>
    <row r="21" spans="2:9" ht="218.25" customHeight="1">
      <c r="B21" s="254" t="s">
        <v>188</v>
      </c>
      <c r="C21" s="255"/>
      <c r="D21" s="256"/>
      <c r="E21" s="257" t="s">
        <v>189</v>
      </c>
      <c r="F21" s="257"/>
      <c r="G21" s="257"/>
      <c r="H21" s="257"/>
      <c r="I21" s="258"/>
    </row>
    <row r="22" spans="2:9" ht="218.25" customHeight="1">
      <c r="B22" s="249" t="s">
        <v>190</v>
      </c>
      <c r="C22" s="250"/>
      <c r="D22" s="251"/>
      <c r="E22" s="252" t="s">
        <v>191</v>
      </c>
      <c r="F22" s="252"/>
      <c r="G22" s="252"/>
      <c r="H22" s="252"/>
      <c r="I22" s="25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8"/>
      <c r="C28" s="8"/>
      <c r="D28" s="8"/>
      <c r="E28" s="8"/>
      <c r="F28" s="8"/>
      <c r="G28" s="8"/>
      <c r="H28" s="8"/>
      <c r="I28" s="8"/>
    </row>
    <row r="29" spans="2:9" ht="22.5" customHeight="1">
      <c r="B29" s="8"/>
      <c r="C29" s="8"/>
      <c r="D29" s="8"/>
      <c r="E29" s="8"/>
      <c r="F29" s="8"/>
      <c r="G29" s="8"/>
      <c r="H29" s="8"/>
      <c r="I29" s="8"/>
    </row>
    <row r="30" spans="2:9" ht="22.5" customHeight="1">
      <c r="B30" s="8"/>
      <c r="C30" s="8"/>
      <c r="D30" s="8"/>
      <c r="E30" s="8"/>
      <c r="F30" s="8"/>
      <c r="G30" s="8"/>
      <c r="H30" s="8"/>
      <c r="I30" s="8"/>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4DF27F792946428298F2F49B5E5556" ma:contentTypeVersion="11" ma:contentTypeDescription="新しいドキュメントを作成します。" ma:contentTypeScope="" ma:versionID="c59dab03fd010009536d5ecf550dda0f">
  <xsd:schema xmlns:xsd="http://www.w3.org/2001/XMLSchema" xmlns:xs="http://www.w3.org/2001/XMLSchema" xmlns:p="http://schemas.microsoft.com/office/2006/metadata/properties" xmlns:ns2="beabd49a-0a4d-4aa8-88c7-aa02b0fafd2e" xmlns:ns3="a1936353-5472-4d6f-baa8-7309aef54911" targetNamespace="http://schemas.microsoft.com/office/2006/metadata/properties" ma:root="true" ma:fieldsID="31dd562204376e4feeadd0e2dfb2b53c" ns2:_="" ns3:_="">
    <xsd:import namespace="beabd49a-0a4d-4aa8-88c7-aa02b0fafd2e"/>
    <xsd:import namespace="a1936353-5472-4d6f-baa8-7309aef549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abd49a-0a4d-4aa8-88c7-aa02b0fafd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71d422a-2f05-4f5f-b368-e9da9955cbb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936353-5472-4d6f-baa8-7309aef549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ae01e05-5b87-4db5-aa51-343e6ccce2be}" ma:internalName="TaxCatchAll" ma:showField="CatchAllData" ma:web="a1936353-5472-4d6f-baa8-7309aef549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eabd49a-0a4d-4aa8-88c7-aa02b0fafd2e">
      <Terms xmlns="http://schemas.microsoft.com/office/infopath/2007/PartnerControls"/>
    </lcf76f155ced4ddcb4097134ff3c332f>
    <TaxCatchAll xmlns="a1936353-5472-4d6f-baa8-7309aef54911" xsi:nil="true"/>
  </documentManagement>
</p:properties>
</file>

<file path=customXml/itemProps1.xml><?xml version="1.0" encoding="utf-8"?>
<ds:datastoreItem xmlns:ds="http://schemas.openxmlformats.org/officeDocument/2006/customXml" ds:itemID="{C230E0C2-590A-4C91-9A0B-67DC71C7895B}"/>
</file>

<file path=customXml/itemProps2.xml><?xml version="1.0" encoding="utf-8"?>
<ds:datastoreItem xmlns:ds="http://schemas.openxmlformats.org/officeDocument/2006/customXml" ds:itemID="{32E97ED5-72F9-41EB-9BF5-22EEF5C44EBB}"/>
</file>

<file path=customXml/itemProps3.xml><?xml version="1.0" encoding="utf-8"?>
<ds:datastoreItem xmlns:ds="http://schemas.openxmlformats.org/officeDocument/2006/customXml" ds:itemID="{6CE3F7F2-5130-450F-8B61-F1CE0FDF5B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松永真</cp:lastModifiedBy>
  <cp:revision/>
  <dcterms:created xsi:type="dcterms:W3CDTF">2011-06-14T05:32:50Z</dcterms:created>
  <dcterms:modified xsi:type="dcterms:W3CDTF">2024-05-11T23:31:58Z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0x0101000E4DF27F792946428298F2F49B5E5556</vt:lpwstr>
  </property>
  <property fmtid="{D5CDD505-2E9C-101B-9397-08002B2CF9AE}" pid="10" name="MediaServiceImageTags">
    <vt:lpwstr/>
  </property>
</Properties>
</file>