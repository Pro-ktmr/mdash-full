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jimu-fs.nakamura-u.ac.jp\004_教務部\16会議・研修・セミナー\01学内\11情報教育センター会議\R6数理・データサイエンス・AI教育プログラムリテラシーレベル認定申請\03.提出資料\中村学園大学短期大学部\01_中村学園大学短期大学部_リテラシー\"/>
    </mc:Choice>
  </mc:AlternateContent>
  <xr:revisionPtr revIDLastSave="0" documentId="13_ncr:1_{DDD949E2-4844-4162-BF7E-5D627D1BA429}" xr6:coauthVersionLast="47" xr6:coauthVersionMax="47" xr10:uidLastSave="{00000000-0000-0000-0000-000000000000}"/>
  <bookViews>
    <workbookView xWindow="-28920" yWindow="-15" windowWidth="29040" windowHeight="1572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<sst xmlns="http://schemas.openxmlformats.org/spreadsheetml/2006/main" count="279" uniqueCount="181">
  <si>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</si>
  <si>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</si>
  <si>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</si>
  <si>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</si>
  <si>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</si>
  <si>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</si>
  <si>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</si>
  <si>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</si>
  <si>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</si>
  <si>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</si>
  <si>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</si>
  <si>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</si>
  <si>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</si>
  <si>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</si>
  <si>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</si>
  <si>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</si>
  <si>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</si>
  <si>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</si>
  <si>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</si>
  <si>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</si>
  <si>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</si>
  <si>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</si>
  <si>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</si>
  <si>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</si>
  <si>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</si>
  <si>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</si>
  <si>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</si>
  <si>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</si>
  <si>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</si>
  <si>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</si>
  <si>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</si>
  <si>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</si>
  <si>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</si>
  <si>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</si>
  <si>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</si>
  <si>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</si>
  <si>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</si>
  <si>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</si>
  <si>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</si>
  <si>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</si>
  <si>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</si>
  <si>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</si>
  <si>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</si>
  <si>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</si>
  <si>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</si>
  <si>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</si>
  <si>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</si>
  <si>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</si>
  <si>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</si>
  <si>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</si>
  <si>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</si>
  <si>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</si>
  <si>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</si>
  <si>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</si>
  <si>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</si>
  <si>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</si>
  <si>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</si>
  <si>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</si>
  <si>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</si>
  <si>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</si>
  <si>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</si>
  <si>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</si>
  <si>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</si>
  <si>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</si>
  <si>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</si>
  <si>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</si>
  <si>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</si>
  <si>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</si>
  <si>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</si>
  <si>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</si>
  <si>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</si>
  <si>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</si>
  <si>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</si>
  <si>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</si>
  <si>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</si>
  <si>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</si>
  <si>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</si>
  <si>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</si>
  <si>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</si>
  <si>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</si>
  <si>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</si>
  <si>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</si>
  <si>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</si>
  <si>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</si>
  <si>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</si>
  <si>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</si>
  <si>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</si>
  <si>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</si>
  <si>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</si>
  <si>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</si>
  <si>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</si>
  <si>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</si>
  <si>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</si>
  <si>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</si>
  <si>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</si>
  <si>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</si>
  <si>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</si>
  <si>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</si>
  <si>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</si>
  <si>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</si>
  <si>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</si>
  <si>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</si>
  <si>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</si>
  <si>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</si>
  <si>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</si>
  <si>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</si>
  <si>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</si>
  <si>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</si>
  <si>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</si>
  <si>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</si>
  <si>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</si>
  <si>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</si>
  <si>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</si>
  <si>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</si>
  <si>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</si>
  <si>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</si>
  <si>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</si>
  <si>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</si>
  <si>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</si>
  <si>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</si>
  <si>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</si>
  <si>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</si>
  <si>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</si>
  <si>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</si>
  <si>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</si>
  <si>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</si>
  <si>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</si>
  <si>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</si>
  <si>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</si>
  <si>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</si>
  <si>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</si>
  <si>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</si>
  <si>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</si>
  <si>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</si>
  <si>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</si>
  <si>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</si>
  <si>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令和4</t>
    <rPh sb="0" eb="2">
      <t>レイワ</t>
    </rPh>
    <phoneticPr fontId="1"/>
  </si>
  <si>
    <t>中村学園大学短期大学部</t>
    <rPh sb="0" eb="2">
      <t>ナカムラ</t>
    </rPh>
    <rPh sb="2" eb="4">
      <t>ガクエン</t>
    </rPh>
    <rPh sb="4" eb="6">
      <t>ダイガク</t>
    </rPh>
    <rPh sb="6" eb="9">
      <t>タンキダイ</t>
    </rPh>
    <rPh sb="9" eb="11">
      <t>ガクブ</t>
    </rPh>
    <phoneticPr fontId="1"/>
  </si>
  <si>
    <t>食物栄養学科</t>
    <rPh sb="0" eb="2">
      <t>ショクモツ</t>
    </rPh>
    <rPh sb="2" eb="4">
      <t>エイヨウ</t>
    </rPh>
    <rPh sb="4" eb="6">
      <t>ガッカ</t>
    </rPh>
    <phoneticPr fontId="1"/>
  </si>
  <si>
    <t>キャリア開発学科</t>
    <rPh sb="4" eb="6">
      <t>カイハツ</t>
    </rPh>
    <rPh sb="6" eb="8">
      <t>ガッカ</t>
    </rPh>
    <phoneticPr fontId="1"/>
  </si>
  <si>
    <t>幼児保育学科</t>
    <rPh sb="0" eb="2">
      <t>ヨウジ</t>
    </rPh>
    <rPh sb="2" eb="4">
      <t>ホイク</t>
    </rPh>
    <rPh sb="4" eb="6">
      <t>ガッカ</t>
    </rPh>
    <phoneticPr fontId="1"/>
  </si>
  <si>
    <t>山本　朋弘</t>
    <rPh sb="0" eb="2">
      <t>ヤマモト</t>
    </rPh>
    <rPh sb="3" eb="5">
      <t>トモヒロ</t>
    </rPh>
    <phoneticPr fontId="1"/>
  </si>
  <si>
    <t>情報教育センター長</t>
    <rPh sb="0" eb="2">
      <t>ジョウホウ</t>
    </rPh>
    <rPh sb="2" eb="4">
      <t>キョウイク</t>
    </rPh>
    <rPh sb="8" eb="9">
      <t>チョウ</t>
    </rPh>
    <phoneticPr fontId="1"/>
  </si>
  <si>
    <t>情報教育委員長</t>
    <rPh sb="0" eb="2">
      <t>ジョウホウ</t>
    </rPh>
    <rPh sb="2" eb="4">
      <t>キョウイク</t>
    </rPh>
    <rPh sb="4" eb="7">
      <t>イインチョウ</t>
    </rPh>
    <phoneticPr fontId="1"/>
  </si>
  <si>
    <t>情報教育委員会</t>
    <rPh sb="0" eb="2">
      <t>ジョウホウ</t>
    </rPh>
    <rPh sb="2" eb="4">
      <t>キョウイク</t>
    </rPh>
    <rPh sb="4" eb="7">
      <t>イインカイ</t>
    </rPh>
    <phoneticPr fontId="1"/>
  </si>
  <si>
    <t>情報教育委員会細則</t>
    <rPh sb="0" eb="2">
      <t>ジョウホウ</t>
    </rPh>
    <rPh sb="2" eb="4">
      <t>キョウイク</t>
    </rPh>
    <rPh sb="4" eb="7">
      <t>イインカイ</t>
    </rPh>
    <rPh sb="7" eb="9">
      <t>サイソク</t>
    </rPh>
    <phoneticPr fontId="1"/>
  </si>
  <si>
    <t>学部・学科によって、修了要件は相違しない</t>
  </si>
  <si>
    <t>プログラムを構成する「データサイエンス入門」2単位を修得すること。</t>
    <phoneticPr fontId="1"/>
  </si>
  <si>
    <t>データサイエンス入門</t>
    <phoneticPr fontId="1"/>
  </si>
  <si>
    <t>○</t>
  </si>
  <si>
    <t>データサイエンス入門</t>
    <rPh sb="8" eb="10">
      <t>ニュウモン</t>
    </rPh>
    <phoneticPr fontId="1"/>
  </si>
  <si>
    <t>4-1統計および数理基礎</t>
  </si>
  <si>
    <t>・ビッグデータ、IoT、AI、ロボット (1回目)
・データ量の増加、計算機の処理性能の向上、AIの非連続的進化 (1回目)
・第4次産業革命、Society 5.0、データ駆動型社会 (1回目)
・複数技術を組み合わせたAIサービス (1回目)
・人間の知的活動とAIの関係性 (1回目)
・データを起点としたものの見方、人間の知的活動を起点としたものの見方 (1回目)</t>
  </si>
  <si>
    <t>・AI等を活用した新しいビジネスモデル(シェアリングエコノミー、商品のレコメンデーションなど) (3回目)
・AI最新技術の活用例(深層生成モデル、敵対的生成ネットワーク、強化学習、転移学習など (3回目)</t>
  </si>
  <si>
    <t>・調査データ、実験データ、人の行動ログデータ、機械の稼働ログデータなど (2回目)
・1次データ、2次データ、データのメタ化 (2回目)
・構造化データ、非構造化データ(文章、画像/動画、音声/音楽など)  (2回目)
・データ作成(ビッグデータとアノテーション)  (2回目)
・データのオープン化(オープンデータ) (2回目)</t>
  </si>
  <si>
    <t>・データ・AI活用領域の広がり(生産、消費、文化活動など) (3回目)
・研究開発、調達、製造、物流、販売、マーケティング、サービスなど (3回目)
・仮説検証、知識発見、原因究明、計画策定、判断支援、活動代替、新規生成など (3回目)</t>
  </si>
  <si>
    <t>・データ解析:予測、グルーピング、パターン発見、最適化、シミュレーション・データ同化など (3回目)
・データ可視化:複合グラフ、2軸グラフ、多次元の可視化、関係性の可視化、地図上の可視化、
挙動・軌跡の可視化、リアルタイム可視化など (5回目)
・非構造化データ処理:言語処理、画像/動画処理、音声/音楽処理など (2回目)
・特化型AIと汎用AI、今のAIで出来ることと出来ないこと、AIとビッグデータ(・データ・AI活用領域の広がり(生産、消費、文化活動など) (3回目)
・研究開発、調達、製造、物流、販売、マーケティング、サービスなど (3回目)
・仮説検証、知識発見、原因究明、計画策定、判断支援、活動代替、新規生成など (3回目)
・認識技術、ルールベース、自動化技術 (3回目)</t>
  </si>
  <si>
    <t>・ELSI(Ethical, Legal and Social Issues) (15回目)
・個人情報保護、EU一般データ保護規則(GDPR)、忘れられる権利、オプトアウト (15回目)
・データ倫理:データのねつ造、改ざん、盗用、プライバシー保護 (15回目)
・AI社会原則(公平性、説明責任、透明性、人間中心の判断) (15回目)
・データバイアス、アルゴリズムバイアス (15回目)
・AIサービスの責任論 (15回目)
・データ・AI活用における負の事例紹介 (15回目)</t>
  </si>
  <si>
    <t>・情報セキュリティ:機密性、完全性、可用性 (15回目)
・匿名加工情報、暗号化、パスワード、悪意ある情報搾取 (15回目)
・情報漏洩等によるセキュリティ事故の事例紹介 (15回目)</t>
  </si>
  <si>
    <t>・データの種類(量的変数、質的変数) (5回目)
・データの分布(ヒストグラム)と代表値(平均値、中央値、最頻値)  (5回目、6回目、8回目、10回目)
・代表値の性質の違い(実社会では平均値=最頻値でないことが多い) (6回目)
・データのばらつき(分散、標準偏差、偏差値) (8回目)
・観測データに含まれる誤差の扱い (10回目)
・打ち切りや脱落を含むデータ、層別の必要なデータ (10回目)
・相関と因果(相関係数、擬似相関、交絡) (11回目)
・母集団と標本抽出(国勢調査、アンケート調査、全数調査、単純無作為抽出、層別抽出、多段抽出)  (2回目)
・クロス集計表、分割表、相関係数行列、散布図行列 (11回目、12回目)
・統計情報の正しい理解(誇張表現に惑わされない) (12回目)</t>
  </si>
  <si>
    <t>・データ表現(棒グラフ、折線グラフ、散布図、ヒートマップ) (5回目)
・データの図表表現(チャート化) ・データの比較(条件をそろえた比較、処理の前後での比較、A/Bテスト) (5回目)
・不適切なグラフ表現(チャートジャンク、不必要な視覚的要素) (12回目)
・優れた可視化事例の紹介(可視化することによって新たな気づきがあった事例など) (5回目)</t>
  </si>
  <si>
    <t>・データの集計(和、平均) ・データの並び替え、ランキング (第5回)
・データ解析ツール(スプレッドシート) (4回目)
・表形式のデータ(csv) (7回目)</t>
  </si>
  <si>
    <t>・データサイエンスを学ぶ意義を説明できる。
・データの表現方法と種類について説明できる。
・身の回りのデータについて、グラフや表を利用して整理できる。
・身の回りのデータについて、特徴を表現し説明できる。
・データを取り扱う扱う上での留意点について説明できる。</t>
  </si>
  <si>
    <t>「データサイエンス入門」において、本プログラムを学ぶ目的となにを修得するかを課題としたものを、生成AIでどのような回答が得られるかを実際にデモンストレーションを行った。生成AIの出力結果が授業内容との乖離を示すとともに、実際の内容に適合したものを出力するためのプロンプトとして何を入力すればよいかを示した。また、生成AIで課題を作成する際の問題点についても説明した。</t>
  </si>
  <si>
    <t>情報教育及び教育の情報化について、教育内容や指導の充実、質の維持・向上を図ることを目的とし、審議するための委員会として、情報教育委員会を設置している。本委員会では情報教育及び教育の情報化における全学的な指針、開講授業科目および教員の配当に関する事項等について審議を行う。</t>
    <rPh sb="68" eb="70">
      <t>セッチ</t>
    </rPh>
    <rPh sb="75" eb="76">
      <t>ホン</t>
    </rPh>
    <rPh sb="76" eb="79">
      <t>イインカイ</t>
    </rPh>
    <rPh sb="124" eb="125">
      <t>ナド</t>
    </rPh>
    <rPh sb="129" eb="131">
      <t>シンギ</t>
    </rPh>
    <rPh sb="132" eb="133">
      <t>オコナ</t>
    </rPh>
    <phoneticPr fontId="1"/>
  </si>
  <si>
    <t>データサイエンス入門はすべての学部生が受講できるよう、短大合同の教養科目として開講している。また、多くの学生が受講できるよう、前学期に1コマ、後学期に1コマと時間割を分けて開講している。多様なメディアを使用したオンデマンド方式で開講しているので、教室の定員に制限されることなく受講可能となる。</t>
    <rPh sb="15" eb="17">
      <t>ガクブ</t>
    </rPh>
    <rPh sb="17" eb="18">
      <t>セイ</t>
    </rPh>
    <rPh sb="19" eb="21">
      <t>ジュコウ</t>
    </rPh>
    <rPh sb="27" eb="29">
      <t>タンダイ</t>
    </rPh>
    <rPh sb="29" eb="31">
      <t>ゴウドウ</t>
    </rPh>
    <rPh sb="39" eb="41">
      <t>カイコウ</t>
    </rPh>
    <rPh sb="49" eb="50">
      <t>オオ</t>
    </rPh>
    <rPh sb="52" eb="54">
      <t>ガクセイ</t>
    </rPh>
    <rPh sb="55" eb="57">
      <t>ジュコウ</t>
    </rPh>
    <rPh sb="79" eb="82">
      <t>ジカンワリ</t>
    </rPh>
    <rPh sb="83" eb="84">
      <t>ワ</t>
    </rPh>
    <phoneticPr fontId="1"/>
  </si>
  <si>
    <t>入学後の新入生オリエンテーションの際に、データサイエンスを学ぶ必要性を説明し、履修を促している。また時間割上は、特定の曜日時限に配置されるが、オンデマンド方式により学習可能なことをシラバス等で周知することにより、履修の幅を広げている。</t>
    <phoneticPr fontId="1"/>
  </si>
  <si>
    <t>本プログラムに係る授業のビデオはLMSに蓄積し、授業が終了した後でも、各回の授業内容を繰り返し視聴できる環境を整備している。授業ビデオは開講中いつでも視聴できるが、LMSの確認テストの実施時期は授業資料公開から1週間としている。これにより、学習を先延ばしせずに着実に履修・修得できるようにしている。</t>
    <rPh sb="7" eb="8">
      <t>カカ</t>
    </rPh>
    <rPh sb="35" eb="37">
      <t>カクカイ</t>
    </rPh>
    <rPh sb="38" eb="40">
      <t>ジュギョウ</t>
    </rPh>
    <rPh sb="40" eb="42">
      <t>ナイヨウ</t>
    </rPh>
    <phoneticPr fontId="1"/>
  </si>
  <si>
    <t>LMSのコミュニケーション機能により担当教員が迅速に対応できるようにしている。オフィスアワーは週の複数時間に設定することにより、学生が個別に質問できる体制を整えている。</t>
    <phoneticPr fontId="1"/>
  </si>
  <si>
    <t>現在は教養科目の選択科目としているため、開講数を増やしているものの、他の教養科目との兼ね合いがあり、全員が履修できる状況ではない。今後は教養科目だけでなく専門科目のカリキュラム改定を視野に入れ、それに付随して、数理・データサイエンス・AI教育全体のカリキュラムの策定を進めていけるよう検討する。</t>
    <rPh sb="91" eb="93">
      <t>シヤ</t>
    </rPh>
    <rPh sb="94" eb="95">
      <t>イ</t>
    </rPh>
    <rPh sb="134" eb="135">
      <t>スス</t>
    </rPh>
    <phoneticPr fontId="1"/>
  </si>
  <si>
    <t>本学では、社会人を対象とした「食MBAリカレント講座」を開講している。本講座のアドバンストコースでは、「フードビジネスのためのDX推進戦略」を提供しており、本プログラムと重複している内容もある。講座受講者に対するアンケートでは、数理・データサイエンス・AIの素養を身につけることができたという回答もあり、また今後大学で修得すべきであるという意見がある。</t>
    <phoneticPr fontId="1"/>
  </si>
  <si>
    <t>受講者の関心分野を題材にすることにより、学ぶ楽しさを理解するように努めている。たとえば、「コサイン類似度」の説明では、小麦粉を材料とする食品を題材にして、実際に似ていると感じる食品と数学的に求めた値が一致することを確認するようにしている。また機械学習では、学内で販売しているパンを識別するといった話題を取り入れることにより、学ぶ楽しさを感じられるようにしている。</t>
    <phoneticPr fontId="1"/>
  </si>
  <si>
    <t>本プログラムは2年目であることと、リテラシーレベルであるため、修了者の進路先での活躍状況、企業等での評価は得られていない。本学では毎年、卒業生と就職先にアンケートを実施している。今後、本プログラムの成果を評価する項目を追加することを検討する。</t>
    <rPh sb="37" eb="38">
      <t>サキ</t>
    </rPh>
    <phoneticPr fontId="1"/>
  </si>
  <si>
    <t>全学科生を対象にした通常の対面授業においては、分野ごとの異なる内容を講義することに困難がある。しかしながらオンデマンド授業の特性を活かすことにより、具体的な事例については、同一カリキュラムの中で学部ごとに最適化することが可能である。現時点では、題材はすべて同じであるが、対象分野ごとに題材を用意することによって、わかりやすい授業とすることが可能であると考えている。</t>
    <rPh sb="1" eb="3">
      <t>ガッカ</t>
    </rPh>
    <phoneticPr fontId="1"/>
  </si>
  <si>
    <t>教務情報システムにより、教務部ならびにプログラム実施者がプログラムの履修・修得状況を確認できるようにしている。プログラムを開設した令和4年度は、開講数が1コマと少なかったため、履修者数が年間41名に留まったが、令和5年度は開講数を2コマに増やすことにより、履修数が年間168名と増加した。そのうち155名が単位を修得し、単位修得率は92％となった。</t>
    <rPh sb="37" eb="39">
      <t>シュウトク</t>
    </rPh>
    <rPh sb="90" eb="91">
      <t>シャ</t>
    </rPh>
    <rPh sb="91" eb="92">
      <t>スウ</t>
    </rPh>
    <rPh sb="93" eb="95">
      <t>ネンカン</t>
    </rPh>
    <rPh sb="97" eb="98">
      <t>メイ</t>
    </rPh>
    <rPh sb="99" eb="100">
      <t>トド</t>
    </rPh>
    <rPh sb="130" eb="131">
      <t>スウ</t>
    </rPh>
    <rPh sb="132" eb="134">
      <t>ネンカン</t>
    </rPh>
    <rPh sb="137" eb="138">
      <t>メイ</t>
    </rPh>
    <rPh sb="151" eb="152">
      <t>メイ</t>
    </rPh>
    <rPh sb="153" eb="155">
      <t>タンイ</t>
    </rPh>
    <rPh sb="156" eb="158">
      <t>シュウトク</t>
    </rPh>
    <rPh sb="160" eb="162">
      <t>タンイ</t>
    </rPh>
    <rPh sb="162" eb="164">
      <t>シュウトク</t>
    </rPh>
    <rPh sb="164" eb="165">
      <t>リツ</t>
    </rPh>
    <phoneticPr fontId="1"/>
  </si>
  <si>
    <t>本プログラムでは、LMSにほぼ毎回確認テストを設定しており、学生自身が学修成果を確認できるようになっている。また最終成績、アンケートの結果に基づき、情報教育委員会でコンテンツの見直しを行うこととしている。</t>
    <rPh sb="92" eb="93">
      <t>オコナ</t>
    </rPh>
    <phoneticPr fontId="1"/>
  </si>
  <si>
    <t>中村学園大学短期大学部 数理・データサイエンス・AI教育 リテラシーレベルプログラム</t>
    <rPh sb="0" eb="2">
      <t>ナカムラ</t>
    </rPh>
    <rPh sb="2" eb="4">
      <t>ガクエン</t>
    </rPh>
    <rPh sb="4" eb="6">
      <t>ダイガク</t>
    </rPh>
    <rPh sb="6" eb="9">
      <t>タンキダイ</t>
    </rPh>
    <rPh sb="9" eb="11">
      <t>ガクブ</t>
    </rPh>
    <rPh sb="12" eb="14">
      <t>スウリ</t>
    </rPh>
    <rPh sb="26" eb="28">
      <t>キョウイク</t>
    </rPh>
    <phoneticPr fontId="1"/>
  </si>
  <si>
    <t>令和5年度から開講数を増やしたため、履修者数を増やすことができた。今後も該当授業の開講数を増やし、さらに受講しやすい環境を整備する。現時点では未定であるが、いずれは履修必須とすることも検討を進めていく。</t>
    <rPh sb="0" eb="2">
      <t>レイワ</t>
    </rPh>
    <rPh sb="3" eb="5">
      <t>ネンド</t>
    </rPh>
    <rPh sb="7" eb="9">
      <t>カイコウ</t>
    </rPh>
    <rPh sb="9" eb="10">
      <t>スウ</t>
    </rPh>
    <rPh sb="11" eb="12">
      <t>フ</t>
    </rPh>
    <rPh sb="18" eb="20">
      <t>リシュウ</t>
    </rPh>
    <rPh sb="20" eb="21">
      <t>シャ</t>
    </rPh>
    <rPh sb="21" eb="22">
      <t>スウ</t>
    </rPh>
    <rPh sb="23" eb="24">
      <t>フ</t>
    </rPh>
    <rPh sb="33" eb="35">
      <t>コンゴ</t>
    </rPh>
    <rPh sb="36" eb="38">
      <t>ガイトウ</t>
    </rPh>
    <rPh sb="38" eb="40">
      <t>ジュギョウ</t>
    </rPh>
    <rPh sb="41" eb="43">
      <t>カイコウ</t>
    </rPh>
    <rPh sb="43" eb="44">
      <t>スウ</t>
    </rPh>
    <rPh sb="45" eb="46">
      <t>フ</t>
    </rPh>
    <rPh sb="52" eb="54">
      <t>ジュコウ</t>
    </rPh>
    <rPh sb="58" eb="60">
      <t>カンキョウ</t>
    </rPh>
    <rPh sb="61" eb="63">
      <t>セイビ</t>
    </rPh>
    <rPh sb="66" eb="69">
      <t>ゲンジテン</t>
    </rPh>
    <rPh sb="71" eb="73">
      <t>ミテイ</t>
    </rPh>
    <rPh sb="82" eb="84">
      <t>リシュウ</t>
    </rPh>
    <rPh sb="84" eb="86">
      <t>ヒッス</t>
    </rPh>
    <rPh sb="92" eb="94">
      <t>ケントウ</t>
    </rPh>
    <rPh sb="95" eb="96">
      <t>スス</t>
    </rPh>
    <phoneticPr fontId="1"/>
  </si>
  <si>
    <t>学生による授業アンケート『私はこの授業の到達目標とする能力を身に付けることができた。』の項目にて、「とてもそう思う」「そう思う」が90%、「あまり思わない」「全く思わない」が3%の回答を得た。</t>
    <rPh sb="13" eb="14">
      <t>ワタシ</t>
    </rPh>
    <rPh sb="17" eb="19">
      <t>ジュギョウ</t>
    </rPh>
    <rPh sb="20" eb="22">
      <t>トウタツ</t>
    </rPh>
    <rPh sb="22" eb="24">
      <t>モクヒョウ</t>
    </rPh>
    <rPh sb="27" eb="29">
      <t>ノウリョク</t>
    </rPh>
    <rPh sb="30" eb="31">
      <t>ミ</t>
    </rPh>
    <rPh sb="32" eb="33">
      <t>ツ</t>
    </rPh>
    <rPh sb="44" eb="46">
      <t>コウモク</t>
    </rPh>
    <rPh sb="90" eb="92">
      <t>カイトウ</t>
    </rPh>
    <rPh sb="93" eb="94">
      <t>エ</t>
    </rPh>
    <phoneticPr fontId="1"/>
  </si>
  <si>
    <t>学生による授業アンケート『私は総合的にこの授業を次のように評価する。』の項目において、「非常に良い」「良い」が84%、「少し改善してほしい」「改善してほしい」が7％の回答を得た。
自由記述では、動画が何度も視聴可能であること、視聴時間の制約がないこと、スライドだけでなく画面操作を含めた動画であるため理解しやすい、音声が聞き取りやすかったという肯定的な意見がほとんどであった。また履修した学年と学部とで相違があるが、他の授業科目の復習になった、これまで修得しなかった新たな知見が得られた等の意見が多かったため、学生への推奨度は高いと考えられる。</t>
    <rPh sb="13" eb="14">
      <t>ワタシ</t>
    </rPh>
    <rPh sb="15" eb="18">
      <t>ソウゴウテキ</t>
    </rPh>
    <rPh sb="21" eb="23">
      <t>ジュギョウ</t>
    </rPh>
    <rPh sb="24" eb="25">
      <t>ツギ</t>
    </rPh>
    <rPh sb="29" eb="31">
      <t>ヒョウカ</t>
    </rPh>
    <rPh sb="36" eb="38">
      <t>コウモク</t>
    </rPh>
    <rPh sb="256" eb="258">
      <t>ガクセイ</t>
    </rPh>
    <rPh sb="260" eb="262">
      <t>スイショウ</t>
    </rPh>
    <rPh sb="262" eb="263">
      <t>ド</t>
    </rPh>
    <rPh sb="264" eb="265">
      <t>タカ</t>
    </rPh>
    <rPh sb="267" eb="268">
      <t>カンガ</t>
    </rPh>
    <phoneticPr fontId="1"/>
  </si>
  <si>
    <t>情報教育センター長（兼メディアセンター長）　山本　朋弘
栄養科学部　栄養科学科　准教授　中藤　哲也
栄養科学部　フード・マネジメント学科　講師　木村　俊輔
教育学部　児童幼児教育学科　講師　野口　太輔
流通科学部　流通科学科　講師　坂本　健成
短期大学部　食物栄養学科　准教授　長光　博史
短期大学部　キャリア開発学科　准教授　宮本　和典
短期大学部　幼児保育学科　准教授　橋本　弘治
教務委員長　前田　卓雄
学術情報部　課長　馬場　丈晴
教務部　部長　塚元　富一郎
その他委員会が必要と認めた者
※本委員会は令和6年度に設置された委員会であり、申請前年度までは情報教育検討ワーキンググループとして活動し、プログラムの策定、改善等を行った。</t>
    <rPh sb="10" eb="11">
      <t>ケン</t>
    </rPh>
    <rPh sb="19" eb="20">
      <t>チョウ</t>
    </rPh>
    <rPh sb="22" eb="24">
      <t>ヤマモト</t>
    </rPh>
    <rPh sb="25" eb="27">
      <t>トモヒロ</t>
    </rPh>
    <rPh sb="28" eb="31">
      <t>エイヨウカ</t>
    </rPh>
    <rPh sb="34" eb="37">
      <t>エイヨウカ</t>
    </rPh>
    <rPh sb="37" eb="39">
      <t>ガッカ</t>
    </rPh>
    <rPh sb="40" eb="43">
      <t>ジュンキョウジュ</t>
    </rPh>
    <rPh sb="44" eb="46">
      <t>ナカトウ</t>
    </rPh>
    <rPh sb="47" eb="49">
      <t>テツヤ</t>
    </rPh>
    <rPh sb="66" eb="68">
      <t>ガッカ</t>
    </rPh>
    <rPh sb="69" eb="71">
      <t>コウシ</t>
    </rPh>
    <rPh sb="72" eb="74">
      <t>キムラ</t>
    </rPh>
    <rPh sb="75" eb="77">
      <t>シュンスケ</t>
    </rPh>
    <rPh sb="78" eb="80">
      <t>キョウイク</t>
    </rPh>
    <rPh sb="80" eb="82">
      <t>ガクブ</t>
    </rPh>
    <rPh sb="83" eb="85">
      <t>ジドウ</t>
    </rPh>
    <rPh sb="85" eb="87">
      <t>ヨウジ</t>
    </rPh>
    <rPh sb="87" eb="89">
      <t>キョウイク</t>
    </rPh>
    <rPh sb="89" eb="91">
      <t>ガッカ</t>
    </rPh>
    <rPh sb="92" eb="94">
      <t>コウシ</t>
    </rPh>
    <rPh sb="95" eb="97">
      <t>ノグチ</t>
    </rPh>
    <rPh sb="101" eb="103">
      <t>リュウツウ</t>
    </rPh>
    <rPh sb="103" eb="105">
      <t>カガク</t>
    </rPh>
    <rPh sb="105" eb="106">
      <t>ブ</t>
    </rPh>
    <rPh sb="107" eb="109">
      <t>リュウツウ</t>
    </rPh>
    <rPh sb="109" eb="110">
      <t>カ</t>
    </rPh>
    <rPh sb="110" eb="112">
      <t>ガッカ</t>
    </rPh>
    <rPh sb="113" eb="115">
      <t>コウシ</t>
    </rPh>
    <rPh sb="116" eb="118">
      <t>サカモト</t>
    </rPh>
    <rPh sb="119" eb="121">
      <t>ケンセイ</t>
    </rPh>
    <rPh sb="122" eb="125">
      <t>タンキダイ</t>
    </rPh>
    <rPh sb="125" eb="127">
      <t>ガクブ</t>
    </rPh>
    <rPh sb="128" eb="130">
      <t>ショクモツ</t>
    </rPh>
    <rPh sb="130" eb="132">
      <t>エイヨウ</t>
    </rPh>
    <rPh sb="132" eb="134">
      <t>ガッカ</t>
    </rPh>
    <rPh sb="135" eb="138">
      <t>ジュンキョウジュ</t>
    </rPh>
    <rPh sb="139" eb="141">
      <t>ナガミツ</t>
    </rPh>
    <rPh sb="142" eb="144">
      <t>ヒロシ</t>
    </rPh>
    <rPh sb="145" eb="150">
      <t>タンキダイガクブ</t>
    </rPh>
    <rPh sb="155" eb="157">
      <t>カイハツ</t>
    </rPh>
    <rPh sb="157" eb="159">
      <t>ガッカ</t>
    </rPh>
    <rPh sb="160" eb="163">
      <t>ジュンキョウジュ</t>
    </rPh>
    <rPh sb="164" eb="166">
      <t>ミヤモト</t>
    </rPh>
    <rPh sb="167" eb="169">
      <t>カズノリ</t>
    </rPh>
    <rPh sb="170" eb="173">
      <t>タンキダイ</t>
    </rPh>
    <rPh sb="173" eb="175">
      <t>ガクブ</t>
    </rPh>
    <rPh sb="176" eb="178">
      <t>ヨウジ</t>
    </rPh>
    <rPh sb="178" eb="180">
      <t>ホイク</t>
    </rPh>
    <rPh sb="180" eb="182">
      <t>ガッカ</t>
    </rPh>
    <rPh sb="183" eb="186">
      <t>ジュンキョウジュ</t>
    </rPh>
    <rPh sb="187" eb="189">
      <t>ハシモト</t>
    </rPh>
    <rPh sb="190" eb="191">
      <t>ヒロ</t>
    </rPh>
    <rPh sb="191" eb="192">
      <t>ジ</t>
    </rPh>
    <rPh sb="193" eb="195">
      <t>キョウム</t>
    </rPh>
    <rPh sb="195" eb="198">
      <t>イインチョウ</t>
    </rPh>
    <rPh sb="199" eb="201">
      <t>マエダ</t>
    </rPh>
    <rPh sb="202" eb="203">
      <t>タク</t>
    </rPh>
    <rPh sb="203" eb="204">
      <t>オ</t>
    </rPh>
    <rPh sb="211" eb="213">
      <t>カチョウ</t>
    </rPh>
    <rPh sb="214" eb="216">
      <t>ババ</t>
    </rPh>
    <rPh sb="217" eb="219">
      <t>タケハル</t>
    </rPh>
    <rPh sb="224" eb="226">
      <t>ブチョウ</t>
    </rPh>
    <rPh sb="227" eb="229">
      <t>ツカモト</t>
    </rPh>
    <rPh sb="230" eb="231">
      <t>トミ</t>
    </rPh>
    <rPh sb="231" eb="233">
      <t>イチロウ</t>
    </rPh>
    <rPh sb="251" eb="252">
      <t>ホン</t>
    </rPh>
    <rPh sb="252" eb="255">
      <t>イインカイ</t>
    </rPh>
    <rPh sb="256" eb="258">
      <t>レイワ</t>
    </rPh>
    <rPh sb="259" eb="261">
      <t>ネンド</t>
    </rPh>
    <rPh sb="262" eb="264">
      <t>セッチ</t>
    </rPh>
    <rPh sb="267" eb="270">
      <t>イインカイ</t>
    </rPh>
    <rPh sb="274" eb="276">
      <t>シンセイ</t>
    </rPh>
    <rPh sb="276" eb="279">
      <t>ゼンネンド</t>
    </rPh>
    <rPh sb="282" eb="284">
      <t>ジョウホウ</t>
    </rPh>
    <rPh sb="284" eb="286">
      <t>キョウイク</t>
    </rPh>
    <rPh sb="286" eb="288">
      <t>ケントウ</t>
    </rPh>
    <rPh sb="300" eb="302">
      <t>カツドウ</t>
    </rPh>
    <rPh sb="310" eb="312">
      <t>サクテイ</t>
    </rPh>
    <rPh sb="313" eb="315">
      <t>カイゼン</t>
    </rPh>
    <rPh sb="315" eb="316">
      <t>トウ</t>
    </rPh>
    <rPh sb="317" eb="318">
      <t>オコナ</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</si>
</sst>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4"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0" xfId="0" applyFont="1" applyAlignment="1">
      <alignment horizontal="center" vertical="center" shrinkToFit="1"/>
    </xf>
    <xf numFmtId="49" fontId="3" fillId="0" borderId="42"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38" xfId="0" applyNumberFormat="1" applyFont="1" applyBorder="1" applyAlignment="1">
      <alignment horizontal="center" vertical="center"/>
    </xf>
    <xf numFmtId="49" fontId="3" fillId="0" borderId="25" xfId="0" applyNumberFormat="1" applyFont="1" applyBorder="1" applyAlignment="1">
      <alignment horizontal="center" vertical="center"/>
    </xf>
    <xf numFmtId="49" fontId="3" fillId="0" borderId="41" xfId="0" applyNumberFormat="1" applyFont="1" applyBorder="1" applyAlignment="1">
      <alignment horizontal="center" vertical="center"/>
    </xf>
    <xf numFmtId="49" fontId="3" fillId="0" borderId="27"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6" xfId="0" applyFont="1" applyFill="1" applyBorder="1" applyAlignment="1">
      <alignment vertical="top" wrapText="1"/>
    </xf>
    <xf numFmtId="0" fontId="3" fillId="2" borderId="37" xfId="0" applyFont="1" applyFill="1" applyBorder="1" applyAlignment="1">
      <alignment vertical="top" wrapText="1"/>
    </xf>
    <xf numFmtId="0" fontId="3" fillId="2" borderId="36"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7"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4"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5"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4"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1" xfId="0" applyFont="1" applyBorder="1" applyAlignment="1">
      <alignment horizontal="center" vertical="center"/>
    </xf>
    <xf numFmtId="0" fontId="8" fillId="0" borderId="34" xfId="0" applyFont="1" applyBorder="1" applyAlignment="1">
      <alignment horizontal="center" vertical="center"/>
    </xf>
    <xf numFmtId="0" fontId="2" fillId="0" borderId="47" xfId="0" applyFont="1" applyBorder="1" applyAlignment="1">
      <alignment horizontal="left" vertical="center" shrinkToFit="1"/>
    </xf>
    <xf numFmtId="38" fontId="2" fillId="0" borderId="47"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0" xfId="0" applyFont="1" applyAlignment="1">
      <alignment horizontal="center" vertical="center" shrinkToFit="1"/>
    </xf>
    <xf numFmtId="9" fontId="2" fillId="0" borderId="44" xfId="0" applyNumberFormat="1" applyFont="1" applyBorder="1" applyAlignment="1">
      <alignment vertical="center" shrinkToFit="1"/>
    </xf>
    <xf numFmtId="9" fontId="2" fillId="0" borderId="24" xfId="0" applyNumberFormat="1" applyFont="1" applyBorder="1" applyAlignment="1">
      <alignment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1"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12" fillId="0" borderId="1" xfId="0" applyFont="1" applyBorder="1" applyAlignment="1">
      <alignment horizontal="center" vertical="center"/>
    </xf>
    <xf numFmtId="0" fontId="13" fillId="0" borderId="1" xfId="0" applyFont="1" applyBorder="1" applyAlignment="1">
      <alignment horizontal="left" vertical="top" wrapText="1"/>
    </xf>
    <xf numFmtId="0" fontId="2" fillId="0" borderId="28"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vertical="center" shrinkToFit="1"/>
    </xf>
    <xf numFmtId="0" fontId="2" fillId="0" borderId="0" xfId="0" applyFont="1" applyAlignment="1">
      <alignment vertical="center" wrapText="1"/>
    </xf>
    <xf numFmtId="0" fontId="2" fillId="0" borderId="28"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29" xfId="0" applyFont="1" applyBorder="1" applyAlignment="1">
      <alignment horizontal="center" vertical="center" shrinkToFit="1"/>
    </xf>
    <xf numFmtId="0" fontId="3" fillId="0" borderId="39" xfId="0" applyFont="1" applyBorder="1" applyAlignment="1">
      <alignment vertical="center" wrapText="1"/>
    </xf>
    <xf numFmtId="0" fontId="3" fillId="0" borderId="40"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6" xfId="0" applyFont="1" applyBorder="1" applyAlignment="1">
      <alignment vertical="center" wrapText="1"/>
    </xf>
    <xf numFmtId="0" fontId="15"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1" xfId="0" applyFont="1" applyBorder="1" applyAlignment="1">
      <alignment horizontal="center"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2" fillId="0" borderId="0" xfId="0" applyFont="1" applyAlignment="1">
      <alignment horizontal="left" vertical="center" wrapText="1"/>
    </xf>
    <xf numFmtId="49" fontId="2" fillId="0" borderId="31" xfId="0" applyNumberFormat="1" applyFont="1" applyBorder="1" applyAlignment="1">
      <alignment horizontal="left" vertical="center" wrapText="1"/>
    </xf>
    <xf numFmtId="49" fontId="2" fillId="0" borderId="32" xfId="0" applyNumberFormat="1" applyFont="1" applyBorder="1" applyAlignment="1">
      <alignment horizontal="left" vertical="center"/>
    </xf>
    <xf numFmtId="49" fontId="2" fillId="0" borderId="33" xfId="0" applyNumberFormat="1" applyFont="1" applyBorder="1" applyAlignment="1">
      <alignment horizontal="left" vertical="center"/>
    </xf>
    <xf numFmtId="49" fontId="2" fillId="0" borderId="28" xfId="0" applyNumberFormat="1" applyFont="1" applyBorder="1" applyAlignment="1">
      <alignment horizontal="left" vertical="center" wrapText="1"/>
    </xf>
    <xf numFmtId="49" fontId="2" fillId="0" borderId="30" xfId="0" applyNumberFormat="1" applyFont="1" applyBorder="1" applyAlignment="1">
      <alignment horizontal="left" vertical="center"/>
    </xf>
    <xf numFmtId="49" fontId="2" fillId="0" borderId="29" xfId="0" applyNumberFormat="1" applyFont="1" applyBorder="1" applyAlignment="1">
      <alignment horizontal="left" vertical="center"/>
    </xf>
    <xf numFmtId="49" fontId="2" fillId="0" borderId="18" xfId="0" applyNumberFormat="1" applyFont="1" applyBorder="1" applyAlignment="1">
      <alignment horizontal="left" vertical="center" wrapText="1"/>
    </xf>
    <xf numFmtId="49" fontId="2" fillId="0" borderId="19" xfId="0" applyNumberFormat="1" applyFont="1" applyBorder="1" applyAlignment="1">
      <alignment horizontal="left" vertical="center"/>
    </xf>
    <xf numFmtId="49" fontId="2"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6" xfId="0" applyFont="1" applyBorder="1" applyAlignment="1">
      <alignment vertical="center" wrapText="1"/>
    </xf>
    <xf numFmtId="0" fontId="2" fillId="0" borderId="33" xfId="0" applyFont="1" applyBorder="1" applyAlignment="1">
      <alignment vertical="center" wrapText="1"/>
    </xf>
    <xf numFmtId="0" fontId="2" fillId="0" borderId="31" xfId="0" applyFont="1" applyBorder="1" applyAlignment="1">
      <alignment vertical="top" wrapText="1" shrinkToFi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5"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6" xfId="0" applyFont="1" applyBorder="1" applyAlignment="1">
      <alignment vertical="top" wrapText="1" shrinkToFit="1"/>
    </xf>
    <xf numFmtId="0" fontId="2" fillId="0" borderId="37"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election activeCell="D92" sqref="D92:U92"/>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3"/>
      <c r="B1" s="73"/>
      <c r="C1" s="73"/>
      <c r="D1" s="73"/>
      <c r="E1" s="73"/>
      <c r="F1" s="73"/>
      <c r="G1" s="73"/>
      <c r="H1" s="73"/>
      <c r="I1" s="73"/>
      <c r="J1" s="73"/>
      <c r="K1" s="73"/>
      <c r="L1" s="73"/>
      <c r="M1" s="73"/>
      <c r="N1" s="73"/>
      <c r="O1" s="73"/>
      <c r="P1" s="73"/>
      <c r="Q1" s="73"/>
      <c r="R1" s="73"/>
      <c r="S1" s="73"/>
      <c r="T1" s="132" t="s">
        <v>12</v>
      </c>
      <c r="U1" s="132"/>
      <c r="V1" s="2" t="s">
        <v>100</v>
      </c>
    </row>
    <row r="2" spans="1:24" ht="18.75" customHeight="1" x14ac:dyDescent="0.15">
      <c r="A2" s="73"/>
      <c r="B2" s="75" t="s">
        <v>99</v>
      </c>
      <c r="C2" s="133" t="s">
        <v>137</v>
      </c>
      <c r="D2" s="134"/>
      <c r="E2" s="134"/>
      <c r="F2" s="134"/>
      <c r="G2" s="134"/>
      <c r="H2" s="134"/>
      <c r="I2" s="134"/>
      <c r="J2" s="135"/>
      <c r="K2" s="74"/>
      <c r="L2" s="76"/>
      <c r="M2" s="76"/>
      <c r="N2" s="76"/>
      <c r="O2" s="76"/>
      <c r="P2" s="76"/>
      <c r="Q2" s="76"/>
      <c r="R2" s="76"/>
      <c r="S2" s="76"/>
      <c r="T2" s="76"/>
      <c r="U2" s="76"/>
    </row>
    <row r="3" spans="1:24" ht="18.75" customHeight="1" x14ac:dyDescent="0.15">
      <c r="A3" s="73"/>
      <c r="B3" s="75" t="s">
        <v>94</v>
      </c>
      <c r="C3" s="136" t="s">
        <v>176</v>
      </c>
      <c r="D3" s="137"/>
      <c r="E3" s="137"/>
      <c r="F3" s="137"/>
      <c r="G3" s="137"/>
      <c r="H3" s="137"/>
      <c r="I3" s="137"/>
      <c r="J3" s="138"/>
      <c r="K3" s="74"/>
      <c r="L3" s="76"/>
      <c r="M3" s="76"/>
      <c r="N3" s="76"/>
      <c r="O3" s="76"/>
      <c r="P3" s="76"/>
      <c r="Q3" s="76"/>
      <c r="R3" s="76"/>
      <c r="S3" s="76"/>
      <c r="T3" s="76"/>
      <c r="U3" s="76"/>
    </row>
    <row r="4" spans="1:24" ht="15" customHeight="1" x14ac:dyDescent="0.15">
      <c r="A4" s="73"/>
      <c r="B4" s="73"/>
      <c r="C4" s="73"/>
      <c r="D4" s="73"/>
      <c r="E4" s="73"/>
      <c r="F4" s="73"/>
      <c r="G4" s="73"/>
      <c r="H4" s="73"/>
      <c r="I4" s="73"/>
      <c r="J4" s="73"/>
      <c r="K4" s="73"/>
      <c r="L4" s="74"/>
      <c r="M4" s="77"/>
      <c r="N4" s="77"/>
      <c r="O4" s="77"/>
      <c r="P4" s="77"/>
      <c r="Q4" s="77"/>
      <c r="R4" s="77"/>
      <c r="S4" s="77"/>
      <c r="T4" s="77"/>
      <c r="U4" s="77"/>
    </row>
    <row r="5" spans="1:24" ht="18" customHeight="1" x14ac:dyDescent="0.15">
      <c r="A5" s="113" t="s">
        <v>38</v>
      </c>
      <c r="B5" s="113"/>
      <c r="C5" s="113"/>
      <c r="D5" s="113"/>
      <c r="E5" s="113"/>
      <c r="F5" s="113"/>
      <c r="G5" s="113"/>
      <c r="H5" s="113"/>
      <c r="I5" s="113"/>
      <c r="J5" s="113"/>
      <c r="K5" s="113"/>
      <c r="L5" s="113"/>
      <c r="M5" s="113"/>
      <c r="N5" s="113"/>
      <c r="O5" s="113"/>
      <c r="P5" s="113"/>
      <c r="Q5" s="113"/>
      <c r="R5" s="113"/>
      <c r="S5" s="113"/>
      <c r="T5" s="113"/>
      <c r="U5" s="113"/>
    </row>
    <row r="6" spans="1:24" ht="15" customHeight="1" x14ac:dyDescent="0.15">
      <c r="A6" s="73"/>
      <c r="B6" s="78"/>
      <c r="C6" s="78"/>
      <c r="D6" s="78"/>
      <c r="E6" s="78"/>
      <c r="F6" s="78"/>
      <c r="G6" s="78"/>
      <c r="H6" s="78"/>
      <c r="I6" s="78"/>
      <c r="J6" s="78"/>
      <c r="K6" s="78"/>
      <c r="L6" s="78"/>
      <c r="M6" s="78"/>
      <c r="N6" s="78"/>
      <c r="O6" s="78"/>
      <c r="P6" s="78"/>
      <c r="Q6" s="78"/>
      <c r="R6" s="78"/>
      <c r="S6" s="78"/>
      <c r="T6" s="78"/>
      <c r="U6" s="78"/>
    </row>
    <row r="7" spans="1:24" ht="15" customHeight="1" x14ac:dyDescent="0.15">
      <c r="A7" s="73" t="s">
        <v>131</v>
      </c>
      <c r="B7" s="78"/>
      <c r="C7" s="78"/>
      <c r="D7" s="78"/>
      <c r="E7" s="78"/>
      <c r="F7" s="72"/>
      <c r="G7" s="72"/>
      <c r="H7" s="72"/>
      <c r="I7" s="72"/>
      <c r="J7" s="72"/>
      <c r="K7" s="72"/>
      <c r="L7" s="152" t="s">
        <v>146</v>
      </c>
      <c r="M7" s="153"/>
      <c r="N7" s="153"/>
      <c r="O7" s="153"/>
      <c r="P7" s="153"/>
      <c r="Q7" s="153"/>
      <c r="R7" s="153"/>
      <c r="S7" s="153"/>
      <c r="T7" s="153"/>
      <c r="U7" s="154"/>
    </row>
    <row r="8" spans="1:24" ht="6" customHeight="1" x14ac:dyDescent="0.15">
      <c r="A8" s="73"/>
      <c r="B8" s="78"/>
      <c r="C8" s="78"/>
      <c r="D8" s="78"/>
      <c r="E8" s="78"/>
      <c r="F8" s="78"/>
      <c r="G8" s="78"/>
      <c r="H8" s="78"/>
      <c r="I8" s="78"/>
      <c r="J8" s="78"/>
      <c r="K8" s="78"/>
      <c r="L8" s="78"/>
      <c r="M8" s="78"/>
      <c r="N8" s="78"/>
      <c r="O8" s="78"/>
      <c r="P8" s="78"/>
      <c r="Q8" s="78"/>
      <c r="R8" s="78"/>
      <c r="S8" s="78"/>
      <c r="T8" s="78"/>
      <c r="U8" s="78"/>
    </row>
    <row r="9" spans="1:24" ht="18" customHeight="1" x14ac:dyDescent="0.15">
      <c r="A9" s="73" t="s">
        <v>132</v>
      </c>
      <c r="B9" s="73"/>
      <c r="C9" s="78"/>
      <c r="D9" s="78"/>
      <c r="E9" s="73"/>
      <c r="F9" s="73"/>
      <c r="G9" s="73"/>
      <c r="H9" s="73"/>
      <c r="I9" s="73"/>
      <c r="J9" s="73"/>
      <c r="K9" s="74"/>
      <c r="L9" s="72"/>
      <c r="M9" s="72"/>
      <c r="N9" s="72"/>
      <c r="O9" s="72"/>
      <c r="P9" s="72"/>
      <c r="Q9" s="72"/>
      <c r="R9" s="72"/>
      <c r="S9" s="72"/>
      <c r="T9" s="72"/>
      <c r="U9" s="72"/>
    </row>
    <row r="10" spans="1:24" ht="6" customHeight="1" x14ac:dyDescent="0.15">
      <c r="A10" s="73"/>
      <c r="B10" s="78"/>
      <c r="C10" s="78"/>
      <c r="D10" s="78"/>
      <c r="E10" s="78"/>
      <c r="F10" s="78"/>
      <c r="G10" s="78"/>
      <c r="H10" s="78"/>
      <c r="I10" s="78"/>
      <c r="J10" s="78"/>
      <c r="K10" s="78"/>
      <c r="L10" s="79"/>
      <c r="M10" s="78"/>
      <c r="N10" s="78"/>
      <c r="O10" s="78"/>
      <c r="P10" s="78"/>
      <c r="Q10" s="78"/>
      <c r="R10" s="78"/>
      <c r="S10" s="78"/>
      <c r="T10" s="78"/>
      <c r="U10" s="78"/>
    </row>
    <row r="11" spans="1:24" ht="18" customHeight="1" x14ac:dyDescent="0.15">
      <c r="A11" s="73"/>
      <c r="B11" s="155"/>
      <c r="C11" s="156"/>
      <c r="D11" s="156"/>
      <c r="E11" s="156"/>
      <c r="F11" s="156"/>
      <c r="G11" s="156"/>
      <c r="H11" s="156"/>
      <c r="I11" s="156"/>
      <c r="J11" s="156"/>
      <c r="K11" s="156"/>
      <c r="L11" s="156"/>
      <c r="M11" s="156"/>
      <c r="N11" s="156"/>
      <c r="O11" s="156"/>
      <c r="P11" s="156"/>
      <c r="Q11" s="156"/>
      <c r="R11" s="156"/>
      <c r="S11" s="156"/>
      <c r="T11" s="156"/>
      <c r="U11" s="157"/>
    </row>
    <row r="12" spans="1:24" ht="18" customHeight="1" x14ac:dyDescent="0.15">
      <c r="A12" s="73"/>
      <c r="B12" s="158"/>
      <c r="C12" s="159"/>
      <c r="D12" s="159"/>
      <c r="E12" s="159"/>
      <c r="F12" s="159"/>
      <c r="G12" s="159"/>
      <c r="H12" s="159"/>
      <c r="I12" s="159"/>
      <c r="J12" s="159"/>
      <c r="K12" s="159"/>
      <c r="L12" s="159"/>
      <c r="M12" s="159"/>
      <c r="N12" s="159"/>
      <c r="O12" s="159"/>
      <c r="P12" s="159"/>
      <c r="Q12" s="159"/>
      <c r="R12" s="159"/>
      <c r="S12" s="159"/>
      <c r="T12" s="159"/>
      <c r="U12" s="160"/>
    </row>
    <row r="13" spans="1:24" ht="6" customHeight="1" x14ac:dyDescent="0.15">
      <c r="A13" s="73"/>
      <c r="B13" s="78"/>
      <c r="C13" s="78"/>
      <c r="D13" s="78"/>
      <c r="E13" s="78"/>
      <c r="F13" s="78"/>
      <c r="G13" s="78"/>
      <c r="H13" s="78"/>
      <c r="I13" s="78"/>
      <c r="J13" s="78"/>
      <c r="K13" s="78"/>
      <c r="L13" s="79"/>
      <c r="M13" s="78"/>
      <c r="N13" s="78"/>
      <c r="O13" s="78"/>
      <c r="P13" s="78"/>
      <c r="Q13" s="78"/>
      <c r="R13" s="78"/>
      <c r="S13" s="78"/>
      <c r="T13" s="78"/>
      <c r="U13" s="78"/>
    </row>
    <row r="14" spans="1:24" ht="18" customHeight="1" x14ac:dyDescent="0.15">
      <c r="A14" s="73" t="s">
        <v>101</v>
      </c>
      <c r="B14" s="78"/>
      <c r="C14" s="78"/>
      <c r="D14" s="78"/>
      <c r="E14" s="74"/>
      <c r="F14" s="74"/>
      <c r="G14" s="74"/>
      <c r="H14" s="74"/>
      <c r="I14" s="74"/>
      <c r="J14" s="74"/>
      <c r="K14" s="74"/>
      <c r="L14" s="80"/>
      <c r="M14" s="80"/>
      <c r="N14" s="80"/>
      <c r="O14" s="80"/>
      <c r="P14" s="80"/>
      <c r="Q14" s="80"/>
      <c r="R14" s="80"/>
      <c r="S14" s="80"/>
      <c r="T14" s="80"/>
      <c r="U14" s="80"/>
    </row>
    <row r="15" spans="1:24" ht="18" customHeight="1" x14ac:dyDescent="0.15">
      <c r="A15" s="73"/>
      <c r="B15" s="114" t="s">
        <v>147</v>
      </c>
      <c r="C15" s="115"/>
      <c r="D15" s="115"/>
      <c r="E15" s="115"/>
      <c r="F15" s="115"/>
      <c r="G15" s="115"/>
      <c r="H15" s="115"/>
      <c r="I15" s="115"/>
      <c r="J15" s="115"/>
      <c r="K15" s="115"/>
      <c r="L15" s="115"/>
      <c r="M15" s="115"/>
      <c r="N15" s="115"/>
      <c r="O15" s="115"/>
      <c r="P15" s="115"/>
      <c r="Q15" s="115"/>
      <c r="R15" s="115"/>
      <c r="S15" s="115"/>
      <c r="T15" s="115"/>
      <c r="U15" s="116"/>
      <c r="X15" s="1" t="s">
        <v>95</v>
      </c>
    </row>
    <row r="16" spans="1:24" ht="18" customHeight="1" x14ac:dyDescent="0.15">
      <c r="A16" s="73"/>
      <c r="B16" s="117"/>
      <c r="C16" s="118"/>
      <c r="D16" s="118"/>
      <c r="E16" s="118"/>
      <c r="F16" s="118"/>
      <c r="G16" s="118"/>
      <c r="H16" s="118"/>
      <c r="I16" s="118"/>
      <c r="J16" s="118"/>
      <c r="K16" s="118"/>
      <c r="L16" s="118"/>
      <c r="M16" s="118"/>
      <c r="N16" s="118"/>
      <c r="O16" s="118"/>
      <c r="P16" s="118"/>
      <c r="Q16" s="118"/>
      <c r="R16" s="118"/>
      <c r="S16" s="118"/>
      <c r="T16" s="118"/>
      <c r="U16" s="119"/>
      <c r="X16" s="1" t="s">
        <v>115</v>
      </c>
    </row>
    <row r="17" spans="1:24" ht="18" customHeight="1" x14ac:dyDescent="0.15">
      <c r="A17" s="73"/>
      <c r="B17" s="117"/>
      <c r="C17" s="118"/>
      <c r="D17" s="118"/>
      <c r="E17" s="118"/>
      <c r="F17" s="118"/>
      <c r="G17" s="118"/>
      <c r="H17" s="118"/>
      <c r="I17" s="118"/>
      <c r="J17" s="118"/>
      <c r="K17" s="118"/>
      <c r="L17" s="118"/>
      <c r="M17" s="118"/>
      <c r="N17" s="118"/>
      <c r="O17" s="118"/>
      <c r="P17" s="118"/>
      <c r="Q17" s="118"/>
      <c r="R17" s="118"/>
      <c r="S17" s="118"/>
      <c r="T17" s="118"/>
      <c r="U17" s="119"/>
      <c r="X17" s="1" t="s">
        <v>116</v>
      </c>
    </row>
    <row r="18" spans="1:24" ht="18" customHeight="1" x14ac:dyDescent="0.15">
      <c r="A18" s="73"/>
      <c r="B18" s="117"/>
      <c r="C18" s="118"/>
      <c r="D18" s="118"/>
      <c r="E18" s="118"/>
      <c r="F18" s="118"/>
      <c r="G18" s="118"/>
      <c r="H18" s="118"/>
      <c r="I18" s="118"/>
      <c r="J18" s="118"/>
      <c r="K18" s="118"/>
      <c r="L18" s="118"/>
      <c r="M18" s="118"/>
      <c r="N18" s="118"/>
      <c r="O18" s="118"/>
      <c r="P18" s="118"/>
      <c r="Q18" s="118"/>
      <c r="R18" s="118"/>
      <c r="S18" s="118"/>
      <c r="T18" s="118"/>
      <c r="U18" s="119"/>
      <c r="X18" s="1" t="s">
        <v>117</v>
      </c>
    </row>
    <row r="19" spans="1:24" ht="18" customHeight="1" x14ac:dyDescent="0.15">
      <c r="A19" s="73"/>
      <c r="B19" s="117"/>
      <c r="C19" s="118"/>
      <c r="D19" s="118"/>
      <c r="E19" s="118"/>
      <c r="F19" s="118"/>
      <c r="G19" s="118"/>
      <c r="H19" s="118"/>
      <c r="I19" s="118"/>
      <c r="J19" s="118"/>
      <c r="K19" s="118"/>
      <c r="L19" s="118"/>
      <c r="M19" s="118"/>
      <c r="N19" s="118"/>
      <c r="O19" s="118"/>
      <c r="P19" s="118"/>
      <c r="Q19" s="118"/>
      <c r="R19" s="118"/>
      <c r="S19" s="118"/>
      <c r="T19" s="118"/>
      <c r="U19" s="119"/>
    </row>
    <row r="20" spans="1:24" ht="18" customHeight="1" x14ac:dyDescent="0.15">
      <c r="A20" s="73"/>
      <c r="B20" s="120"/>
      <c r="C20" s="121"/>
      <c r="D20" s="121"/>
      <c r="E20" s="121"/>
      <c r="F20" s="121"/>
      <c r="G20" s="121"/>
      <c r="H20" s="121"/>
      <c r="I20" s="121"/>
      <c r="J20" s="121"/>
      <c r="K20" s="121"/>
      <c r="L20" s="121"/>
      <c r="M20" s="121"/>
      <c r="N20" s="121"/>
      <c r="O20" s="121"/>
      <c r="P20" s="121"/>
      <c r="Q20" s="121"/>
      <c r="R20" s="121"/>
      <c r="S20" s="121"/>
      <c r="T20" s="121"/>
      <c r="U20" s="122"/>
    </row>
    <row r="21" spans="1:24" ht="7.5" customHeight="1" x14ac:dyDescent="0.15">
      <c r="A21" s="73"/>
      <c r="B21" s="78"/>
      <c r="C21" s="78"/>
      <c r="D21" s="78"/>
      <c r="E21" s="78"/>
      <c r="F21" s="78"/>
      <c r="G21" s="78"/>
      <c r="H21" s="78"/>
      <c r="I21" s="78"/>
      <c r="J21" s="78"/>
      <c r="K21" s="78"/>
      <c r="L21" s="78"/>
      <c r="M21" s="78"/>
      <c r="N21" s="78"/>
      <c r="O21" s="78"/>
      <c r="P21" s="78"/>
      <c r="Q21" s="78"/>
      <c r="R21" s="78"/>
      <c r="S21" s="78"/>
      <c r="T21" s="78"/>
      <c r="U21" s="78"/>
    </row>
    <row r="22" spans="1:24" ht="19.899999999999999" customHeight="1" x14ac:dyDescent="0.15">
      <c r="A22" s="73"/>
      <c r="B22" s="73" t="s">
        <v>133</v>
      </c>
      <c r="C22" s="73"/>
      <c r="D22" s="73"/>
      <c r="E22" s="81">
        <v>1</v>
      </c>
      <c r="F22" s="73" t="s">
        <v>113</v>
      </c>
      <c r="G22" s="73"/>
      <c r="H22" s="81">
        <v>2</v>
      </c>
      <c r="I22" s="78" t="s">
        <v>114</v>
      </c>
      <c r="J22" s="78"/>
      <c r="K22" s="74"/>
      <c r="L22" s="73"/>
      <c r="M22" s="74" t="s">
        <v>110</v>
      </c>
      <c r="N22" s="149" t="s">
        <v>117</v>
      </c>
      <c r="O22" s="150"/>
      <c r="P22" s="150"/>
      <c r="Q22" s="150"/>
      <c r="R22" s="150"/>
      <c r="S22" s="150"/>
      <c r="T22" s="150"/>
      <c r="U22" s="151"/>
    </row>
    <row r="23" spans="1:24" ht="7.5" customHeight="1" x14ac:dyDescent="0.15">
      <c r="A23" s="73"/>
      <c r="B23" s="78"/>
      <c r="C23" s="78"/>
      <c r="D23" s="78"/>
      <c r="E23" s="78"/>
      <c r="F23" s="78"/>
      <c r="G23" s="78"/>
      <c r="H23" s="78"/>
      <c r="I23" s="78"/>
      <c r="J23" s="78"/>
      <c r="K23" s="78"/>
      <c r="L23" s="78"/>
      <c r="M23" s="78"/>
      <c r="N23" s="78"/>
      <c r="O23" s="78"/>
      <c r="P23" s="78"/>
      <c r="Q23" s="78"/>
      <c r="R23" s="78"/>
      <c r="S23" s="78"/>
      <c r="T23" s="78"/>
      <c r="U23" s="78"/>
    </row>
    <row r="24" spans="1:24" ht="18" customHeight="1" x14ac:dyDescent="0.15">
      <c r="A24" s="123" t="s">
        <v>102</v>
      </c>
      <c r="B24" s="123"/>
      <c r="C24" s="123"/>
      <c r="D24" s="123"/>
      <c r="E24" s="123"/>
      <c r="F24" s="123"/>
      <c r="G24" s="123"/>
      <c r="H24" s="123"/>
      <c r="I24" s="123"/>
      <c r="J24" s="123"/>
      <c r="K24" s="123"/>
      <c r="L24" s="123"/>
      <c r="M24" s="123"/>
      <c r="N24" s="123"/>
      <c r="O24" s="123"/>
      <c r="P24" s="123"/>
      <c r="Q24" s="123"/>
      <c r="R24" s="123"/>
      <c r="S24" s="123"/>
      <c r="T24" s="123"/>
      <c r="U24" s="123"/>
    </row>
    <row r="25" spans="1:24" ht="18" customHeight="1" x14ac:dyDescent="0.15">
      <c r="A25" s="123"/>
      <c r="B25" s="123"/>
      <c r="C25" s="123"/>
      <c r="D25" s="123"/>
      <c r="E25" s="123"/>
      <c r="F25" s="123"/>
      <c r="G25" s="123"/>
      <c r="H25" s="123"/>
      <c r="I25" s="123"/>
      <c r="J25" s="123"/>
      <c r="K25" s="123"/>
      <c r="L25" s="123"/>
      <c r="M25" s="123"/>
      <c r="N25" s="123"/>
      <c r="O25" s="123"/>
      <c r="P25" s="123"/>
      <c r="Q25" s="123"/>
      <c r="R25" s="123"/>
      <c r="S25" s="123"/>
      <c r="T25" s="123"/>
      <c r="U25" s="123"/>
    </row>
    <row r="26" spans="1:24" ht="18" customHeight="1" x14ac:dyDescent="0.15">
      <c r="B26" s="89" t="s">
        <v>52</v>
      </c>
      <c r="C26" s="90"/>
      <c r="D26" s="90"/>
      <c r="E26" s="90"/>
      <c r="F26" s="91"/>
      <c r="G26" s="49" t="s">
        <v>78</v>
      </c>
      <c r="H26" s="48" t="s">
        <v>81</v>
      </c>
      <c r="I26" s="15" t="s">
        <v>55</v>
      </c>
      <c r="J26" s="15" t="s">
        <v>58</v>
      </c>
      <c r="K26" s="89" t="s">
        <v>52</v>
      </c>
      <c r="L26" s="90"/>
      <c r="M26" s="90"/>
      <c r="N26" s="90"/>
      <c r="O26" s="90"/>
      <c r="P26" s="90"/>
      <c r="Q26" s="91"/>
      <c r="R26" s="49" t="s">
        <v>78</v>
      </c>
      <c r="S26" s="48" t="s">
        <v>81</v>
      </c>
      <c r="T26" s="15" t="s">
        <v>55</v>
      </c>
      <c r="U26" s="15" t="s">
        <v>58</v>
      </c>
    </row>
    <row r="27" spans="1:24" ht="18" customHeight="1" x14ac:dyDescent="0.15">
      <c r="B27" s="100" t="s">
        <v>148</v>
      </c>
      <c r="C27" s="101"/>
      <c r="D27" s="101"/>
      <c r="E27" s="101"/>
      <c r="F27" s="102"/>
      <c r="G27" s="16">
        <v>2</v>
      </c>
      <c r="H27" s="16" t="s">
        <v>149</v>
      </c>
      <c r="I27" s="16" t="s">
        <v>149</v>
      </c>
      <c r="J27" s="16" t="s">
        <v>149</v>
      </c>
      <c r="K27" s="100"/>
      <c r="L27" s="101"/>
      <c r="M27" s="101"/>
      <c r="N27" s="101"/>
      <c r="O27" s="101"/>
      <c r="P27" s="101"/>
      <c r="Q27" s="102"/>
      <c r="R27" s="16"/>
      <c r="S27" s="16"/>
      <c r="T27" s="16"/>
      <c r="U27" s="16"/>
    </row>
    <row r="28" spans="1:24" ht="18" customHeight="1" x14ac:dyDescent="0.15">
      <c r="B28" s="92"/>
      <c r="C28" s="93"/>
      <c r="D28" s="93"/>
      <c r="E28" s="93"/>
      <c r="F28" s="94"/>
      <c r="G28" s="17"/>
      <c r="H28" s="17"/>
      <c r="I28" s="17"/>
      <c r="J28" s="17"/>
      <c r="K28" s="92"/>
      <c r="L28" s="93"/>
      <c r="M28" s="93"/>
      <c r="N28" s="93"/>
      <c r="O28" s="93"/>
      <c r="P28" s="93"/>
      <c r="Q28" s="94"/>
      <c r="R28" s="17"/>
      <c r="S28" s="17"/>
      <c r="T28" s="17"/>
      <c r="U28" s="17"/>
    </row>
    <row r="29" spans="1:24" ht="18" customHeight="1" x14ac:dyDescent="0.15">
      <c r="B29" s="92"/>
      <c r="C29" s="93"/>
      <c r="D29" s="93"/>
      <c r="E29" s="93"/>
      <c r="F29" s="94"/>
      <c r="G29" s="17"/>
      <c r="H29" s="17"/>
      <c r="I29" s="17"/>
      <c r="J29" s="17"/>
      <c r="K29" s="92"/>
      <c r="L29" s="93"/>
      <c r="M29" s="93"/>
      <c r="N29" s="93"/>
      <c r="O29" s="93"/>
      <c r="P29" s="93"/>
      <c r="Q29" s="94"/>
      <c r="R29" s="17"/>
      <c r="S29" s="17"/>
      <c r="T29" s="17"/>
      <c r="U29" s="17"/>
    </row>
    <row r="30" spans="1:24" ht="18" customHeight="1" x14ac:dyDescent="0.15">
      <c r="B30" s="92"/>
      <c r="C30" s="93"/>
      <c r="D30" s="93"/>
      <c r="E30" s="93"/>
      <c r="F30" s="94"/>
      <c r="G30" s="17"/>
      <c r="H30" s="17"/>
      <c r="I30" s="17"/>
      <c r="J30" s="17"/>
      <c r="K30" s="92"/>
      <c r="L30" s="93"/>
      <c r="M30" s="93"/>
      <c r="N30" s="93"/>
      <c r="O30" s="93"/>
      <c r="P30" s="93"/>
      <c r="Q30" s="94"/>
      <c r="R30" s="17"/>
      <c r="S30" s="17"/>
      <c r="T30" s="17"/>
      <c r="U30" s="17"/>
    </row>
    <row r="31" spans="1:24" ht="18" customHeight="1" x14ac:dyDescent="0.15">
      <c r="B31" s="92"/>
      <c r="C31" s="93"/>
      <c r="D31" s="93"/>
      <c r="E31" s="93"/>
      <c r="F31" s="94"/>
      <c r="G31" s="17"/>
      <c r="H31" s="17"/>
      <c r="I31" s="17"/>
      <c r="J31" s="17"/>
      <c r="K31" s="92"/>
      <c r="L31" s="93"/>
      <c r="M31" s="93"/>
      <c r="N31" s="93"/>
      <c r="O31" s="93"/>
      <c r="P31" s="93"/>
      <c r="Q31" s="94"/>
      <c r="R31" s="17"/>
      <c r="S31" s="17"/>
      <c r="T31" s="17"/>
      <c r="U31" s="17"/>
    </row>
    <row r="32" spans="1:24" ht="18" customHeight="1" x14ac:dyDescent="0.15">
      <c r="A32" s="3"/>
      <c r="B32" s="92"/>
      <c r="C32" s="93"/>
      <c r="D32" s="93"/>
      <c r="E32" s="93"/>
      <c r="F32" s="94"/>
      <c r="G32" s="17"/>
      <c r="H32" s="17"/>
      <c r="I32" s="17"/>
      <c r="J32" s="17"/>
      <c r="K32" s="92"/>
      <c r="L32" s="93"/>
      <c r="M32" s="93"/>
      <c r="N32" s="93"/>
      <c r="O32" s="93"/>
      <c r="P32" s="93"/>
      <c r="Q32" s="94"/>
      <c r="R32" s="17"/>
      <c r="S32" s="17"/>
      <c r="T32" s="17"/>
      <c r="U32" s="17"/>
    </row>
    <row r="33" spans="1:21" ht="18" customHeight="1" x14ac:dyDescent="0.15">
      <c r="A33" s="3"/>
      <c r="B33" s="95"/>
      <c r="C33" s="96"/>
      <c r="D33" s="96"/>
      <c r="E33" s="96"/>
      <c r="F33" s="97"/>
      <c r="G33" s="18"/>
      <c r="H33" s="18"/>
      <c r="I33" s="19"/>
      <c r="J33" s="19"/>
      <c r="K33" s="95"/>
      <c r="L33" s="96"/>
      <c r="M33" s="96"/>
      <c r="N33" s="96"/>
      <c r="O33" s="96"/>
      <c r="P33" s="96"/>
      <c r="Q33" s="97"/>
      <c r="R33" s="18"/>
      <c r="S33" s="18"/>
      <c r="T33" s="19"/>
      <c r="U33" s="19"/>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3" t="s">
        <v>103</v>
      </c>
      <c r="B35" s="103"/>
      <c r="C35" s="103"/>
      <c r="D35" s="103"/>
      <c r="E35" s="103"/>
      <c r="F35" s="103"/>
      <c r="G35" s="103"/>
      <c r="H35" s="103"/>
      <c r="I35" s="103"/>
      <c r="J35" s="103"/>
      <c r="K35" s="103"/>
      <c r="L35" s="103"/>
      <c r="M35" s="103"/>
      <c r="N35" s="103"/>
      <c r="O35" s="103"/>
      <c r="P35" s="103"/>
      <c r="Q35" s="103"/>
      <c r="R35" s="103"/>
      <c r="S35" s="103"/>
      <c r="T35" s="103"/>
      <c r="U35" s="103"/>
    </row>
    <row r="36" spans="1:21" ht="18" customHeight="1" x14ac:dyDescent="0.15">
      <c r="A36" s="103"/>
      <c r="B36" s="103"/>
      <c r="C36" s="103"/>
      <c r="D36" s="103"/>
      <c r="E36" s="103"/>
      <c r="F36" s="103"/>
      <c r="G36" s="103"/>
      <c r="H36" s="103"/>
      <c r="I36" s="103"/>
      <c r="J36" s="103"/>
      <c r="K36" s="103"/>
      <c r="L36" s="103"/>
      <c r="M36" s="103"/>
      <c r="N36" s="103"/>
      <c r="O36" s="103"/>
      <c r="P36" s="103"/>
      <c r="Q36" s="103"/>
      <c r="R36" s="103"/>
      <c r="S36" s="103"/>
      <c r="T36" s="103"/>
      <c r="U36" s="103"/>
    </row>
    <row r="37" spans="1:21" ht="18" customHeight="1" x14ac:dyDescent="0.15">
      <c r="B37" s="89" t="s">
        <v>52</v>
      </c>
      <c r="C37" s="90"/>
      <c r="D37" s="90"/>
      <c r="E37" s="90"/>
      <c r="F37" s="91"/>
      <c r="G37" s="49" t="s">
        <v>78</v>
      </c>
      <c r="H37" s="48" t="s">
        <v>81</v>
      </c>
      <c r="I37" s="15" t="s">
        <v>69</v>
      </c>
      <c r="J37" s="15" t="s">
        <v>70</v>
      </c>
      <c r="K37" s="89" t="s">
        <v>52</v>
      </c>
      <c r="L37" s="90"/>
      <c r="M37" s="90"/>
      <c r="N37" s="90"/>
      <c r="O37" s="90"/>
      <c r="P37" s="90"/>
      <c r="Q37" s="91"/>
      <c r="R37" s="49" t="s">
        <v>78</v>
      </c>
      <c r="S37" s="48" t="s">
        <v>81</v>
      </c>
      <c r="T37" s="15" t="s">
        <v>69</v>
      </c>
      <c r="U37" s="15" t="s">
        <v>70</v>
      </c>
    </row>
    <row r="38" spans="1:21" ht="18" customHeight="1" x14ac:dyDescent="0.15">
      <c r="B38" s="100" t="s">
        <v>148</v>
      </c>
      <c r="C38" s="101"/>
      <c r="D38" s="101"/>
      <c r="E38" s="101"/>
      <c r="F38" s="102"/>
      <c r="G38" s="16">
        <v>2</v>
      </c>
      <c r="H38" s="16" t="s">
        <v>149</v>
      </c>
      <c r="I38" s="16" t="s">
        <v>149</v>
      </c>
      <c r="J38" s="16" t="s">
        <v>149</v>
      </c>
      <c r="K38" s="100"/>
      <c r="L38" s="101"/>
      <c r="M38" s="101"/>
      <c r="N38" s="101"/>
      <c r="O38" s="101"/>
      <c r="P38" s="101"/>
      <c r="Q38" s="102"/>
      <c r="R38" s="16"/>
      <c r="S38" s="16"/>
      <c r="T38" s="16"/>
      <c r="U38" s="16"/>
    </row>
    <row r="39" spans="1:21" ht="18" customHeight="1" x14ac:dyDescent="0.15">
      <c r="B39" s="92"/>
      <c r="C39" s="93"/>
      <c r="D39" s="93"/>
      <c r="E39" s="93"/>
      <c r="F39" s="94"/>
      <c r="G39" s="17"/>
      <c r="H39" s="17"/>
      <c r="I39" s="17"/>
      <c r="J39" s="17"/>
      <c r="K39" s="92"/>
      <c r="L39" s="93"/>
      <c r="M39" s="93"/>
      <c r="N39" s="93"/>
      <c r="O39" s="93"/>
      <c r="P39" s="93"/>
      <c r="Q39" s="94"/>
      <c r="R39" s="17"/>
      <c r="S39" s="17"/>
      <c r="T39" s="17"/>
      <c r="U39" s="17"/>
    </row>
    <row r="40" spans="1:21" ht="18" customHeight="1" x14ac:dyDescent="0.15">
      <c r="B40" s="92"/>
      <c r="C40" s="93"/>
      <c r="D40" s="93"/>
      <c r="E40" s="93"/>
      <c r="F40" s="94"/>
      <c r="G40" s="17"/>
      <c r="H40" s="17"/>
      <c r="I40" s="17"/>
      <c r="J40" s="17"/>
      <c r="K40" s="92"/>
      <c r="L40" s="93"/>
      <c r="M40" s="93"/>
      <c r="N40" s="93"/>
      <c r="O40" s="93"/>
      <c r="P40" s="93"/>
      <c r="Q40" s="94"/>
      <c r="R40" s="17"/>
      <c r="S40" s="17"/>
      <c r="T40" s="17"/>
      <c r="U40" s="17"/>
    </row>
    <row r="41" spans="1:21" ht="18" customHeight="1" x14ac:dyDescent="0.15">
      <c r="B41" s="92"/>
      <c r="C41" s="93"/>
      <c r="D41" s="93"/>
      <c r="E41" s="93"/>
      <c r="F41" s="94"/>
      <c r="G41" s="17"/>
      <c r="H41" s="17"/>
      <c r="I41" s="17"/>
      <c r="J41" s="17"/>
      <c r="K41" s="92"/>
      <c r="L41" s="93"/>
      <c r="M41" s="93"/>
      <c r="N41" s="93"/>
      <c r="O41" s="93"/>
      <c r="P41" s="93"/>
      <c r="Q41" s="94"/>
      <c r="R41" s="17"/>
      <c r="S41" s="17"/>
      <c r="T41" s="17"/>
      <c r="U41" s="17"/>
    </row>
    <row r="42" spans="1:21" ht="18" customHeight="1" x14ac:dyDescent="0.15">
      <c r="B42" s="92"/>
      <c r="C42" s="93"/>
      <c r="D42" s="93"/>
      <c r="E42" s="93"/>
      <c r="F42" s="94"/>
      <c r="G42" s="17"/>
      <c r="H42" s="17"/>
      <c r="I42" s="17"/>
      <c r="J42" s="17"/>
      <c r="K42" s="92"/>
      <c r="L42" s="93"/>
      <c r="M42" s="93"/>
      <c r="N42" s="93"/>
      <c r="O42" s="93"/>
      <c r="P42" s="93"/>
      <c r="Q42" s="94"/>
      <c r="R42" s="17"/>
      <c r="S42" s="17"/>
      <c r="T42" s="17"/>
      <c r="U42" s="17"/>
    </row>
    <row r="43" spans="1:21" ht="18" customHeight="1" x14ac:dyDescent="0.15">
      <c r="B43" s="92"/>
      <c r="C43" s="93"/>
      <c r="D43" s="93"/>
      <c r="E43" s="93"/>
      <c r="F43" s="94"/>
      <c r="G43" s="17"/>
      <c r="H43" s="17"/>
      <c r="I43" s="17"/>
      <c r="J43" s="17"/>
      <c r="K43" s="92"/>
      <c r="L43" s="93"/>
      <c r="M43" s="93"/>
      <c r="N43" s="93"/>
      <c r="O43" s="93"/>
      <c r="P43" s="93"/>
      <c r="Q43" s="94"/>
      <c r="R43" s="17"/>
      <c r="S43" s="17"/>
      <c r="T43" s="17"/>
      <c r="U43" s="17"/>
    </row>
    <row r="44" spans="1:21" ht="18" customHeight="1" x14ac:dyDescent="0.15">
      <c r="B44" s="95"/>
      <c r="C44" s="96"/>
      <c r="D44" s="96"/>
      <c r="E44" s="96"/>
      <c r="F44" s="97"/>
      <c r="G44" s="18"/>
      <c r="H44" s="18"/>
      <c r="I44" s="19"/>
      <c r="J44" s="19"/>
      <c r="K44" s="95"/>
      <c r="L44" s="96"/>
      <c r="M44" s="96"/>
      <c r="N44" s="96"/>
      <c r="O44" s="96"/>
      <c r="P44" s="96"/>
      <c r="Q44" s="97"/>
      <c r="R44" s="18"/>
      <c r="S44" s="18"/>
      <c r="T44" s="19"/>
      <c r="U44" s="19"/>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3" t="s">
        <v>104</v>
      </c>
      <c r="B46" s="103"/>
      <c r="C46" s="103"/>
      <c r="D46" s="103"/>
      <c r="E46" s="103"/>
      <c r="F46" s="103"/>
      <c r="G46" s="103"/>
      <c r="H46" s="103"/>
      <c r="I46" s="103"/>
      <c r="J46" s="103"/>
      <c r="K46" s="103"/>
      <c r="L46" s="103"/>
      <c r="M46" s="103"/>
      <c r="N46" s="103"/>
      <c r="O46" s="103"/>
      <c r="P46" s="103"/>
      <c r="Q46" s="103"/>
      <c r="R46" s="103"/>
      <c r="S46" s="103"/>
      <c r="T46" s="103"/>
      <c r="U46" s="103"/>
    </row>
    <row r="47" spans="1:21" ht="18" customHeight="1" x14ac:dyDescent="0.15">
      <c r="A47" s="103"/>
      <c r="B47" s="103"/>
      <c r="C47" s="103"/>
      <c r="D47" s="103"/>
      <c r="E47" s="103"/>
      <c r="F47" s="103"/>
      <c r="G47" s="103"/>
      <c r="H47" s="103"/>
      <c r="I47" s="103"/>
      <c r="J47" s="103"/>
      <c r="K47" s="103"/>
      <c r="L47" s="103"/>
      <c r="M47" s="103"/>
      <c r="N47" s="103"/>
      <c r="O47" s="103"/>
      <c r="P47" s="103"/>
      <c r="Q47" s="103"/>
      <c r="R47" s="103"/>
      <c r="S47" s="103"/>
      <c r="T47" s="103"/>
      <c r="U47" s="103"/>
    </row>
    <row r="48" spans="1:21" ht="18" customHeight="1" x14ac:dyDescent="0.15">
      <c r="B48" s="89" t="s">
        <v>52</v>
      </c>
      <c r="C48" s="90"/>
      <c r="D48" s="90"/>
      <c r="E48" s="90"/>
      <c r="F48" s="91"/>
      <c r="G48" s="49" t="s">
        <v>78</v>
      </c>
      <c r="H48" s="48" t="s">
        <v>81</v>
      </c>
      <c r="I48" s="15" t="s">
        <v>71</v>
      </c>
      <c r="J48" s="15" t="s">
        <v>72</v>
      </c>
      <c r="K48" s="89" t="s">
        <v>52</v>
      </c>
      <c r="L48" s="90"/>
      <c r="M48" s="90"/>
      <c r="N48" s="90"/>
      <c r="O48" s="90"/>
      <c r="P48" s="90"/>
      <c r="Q48" s="91"/>
      <c r="R48" s="49" t="s">
        <v>78</v>
      </c>
      <c r="S48" s="48" t="s">
        <v>81</v>
      </c>
      <c r="T48" s="15" t="s">
        <v>71</v>
      </c>
      <c r="U48" s="15" t="s">
        <v>72</v>
      </c>
    </row>
    <row r="49" spans="1:21" ht="18" customHeight="1" x14ac:dyDescent="0.15">
      <c r="A49" s="3"/>
      <c r="B49" s="100" t="s">
        <v>148</v>
      </c>
      <c r="C49" s="101"/>
      <c r="D49" s="101"/>
      <c r="E49" s="101"/>
      <c r="F49" s="102"/>
      <c r="G49" s="16">
        <v>2</v>
      </c>
      <c r="H49" s="16" t="s">
        <v>149</v>
      </c>
      <c r="I49" s="16" t="s">
        <v>149</v>
      </c>
      <c r="J49" s="16" t="s">
        <v>149</v>
      </c>
      <c r="K49" s="100"/>
      <c r="L49" s="101"/>
      <c r="M49" s="101"/>
      <c r="N49" s="101"/>
      <c r="O49" s="101"/>
      <c r="P49" s="101"/>
      <c r="Q49" s="102"/>
      <c r="R49" s="16"/>
      <c r="S49" s="16"/>
      <c r="T49" s="16"/>
      <c r="U49" s="16"/>
    </row>
    <row r="50" spans="1:21" ht="18" customHeight="1" x14ac:dyDescent="0.15">
      <c r="A50" s="3"/>
      <c r="B50" s="92"/>
      <c r="C50" s="93"/>
      <c r="D50" s="93"/>
      <c r="E50" s="93"/>
      <c r="F50" s="94"/>
      <c r="G50" s="17"/>
      <c r="H50" s="17"/>
      <c r="I50" s="17"/>
      <c r="J50" s="17"/>
      <c r="K50" s="92"/>
      <c r="L50" s="93"/>
      <c r="M50" s="93"/>
      <c r="N50" s="93"/>
      <c r="O50" s="93"/>
      <c r="P50" s="93"/>
      <c r="Q50" s="94"/>
      <c r="R50" s="17"/>
      <c r="S50" s="17"/>
      <c r="T50" s="17"/>
      <c r="U50" s="17"/>
    </row>
    <row r="51" spans="1:21" ht="18" customHeight="1" x14ac:dyDescent="0.15">
      <c r="A51" s="3"/>
      <c r="B51" s="92"/>
      <c r="C51" s="93"/>
      <c r="D51" s="93"/>
      <c r="E51" s="93"/>
      <c r="F51" s="94"/>
      <c r="G51" s="17"/>
      <c r="H51" s="17"/>
      <c r="I51" s="17"/>
      <c r="J51" s="17"/>
      <c r="K51" s="92"/>
      <c r="L51" s="93"/>
      <c r="M51" s="93"/>
      <c r="N51" s="93"/>
      <c r="O51" s="93"/>
      <c r="P51" s="93"/>
      <c r="Q51" s="94"/>
      <c r="R51" s="17"/>
      <c r="S51" s="17"/>
      <c r="T51" s="17"/>
      <c r="U51" s="17"/>
    </row>
    <row r="52" spans="1:21" ht="18" customHeight="1" x14ac:dyDescent="0.15">
      <c r="A52" s="3"/>
      <c r="B52" s="92"/>
      <c r="C52" s="93"/>
      <c r="D52" s="93"/>
      <c r="E52" s="93"/>
      <c r="F52" s="94"/>
      <c r="G52" s="17"/>
      <c r="H52" s="17"/>
      <c r="I52" s="17"/>
      <c r="J52" s="17"/>
      <c r="K52" s="92"/>
      <c r="L52" s="93"/>
      <c r="M52" s="93"/>
      <c r="N52" s="93"/>
      <c r="O52" s="93"/>
      <c r="P52" s="93"/>
      <c r="Q52" s="94"/>
      <c r="R52" s="17"/>
      <c r="S52" s="17"/>
      <c r="T52" s="17"/>
      <c r="U52" s="17"/>
    </row>
    <row r="53" spans="1:21" ht="18" customHeight="1" x14ac:dyDescent="0.15">
      <c r="A53" s="3"/>
      <c r="B53" s="92"/>
      <c r="C53" s="93"/>
      <c r="D53" s="93"/>
      <c r="E53" s="93"/>
      <c r="F53" s="94"/>
      <c r="G53" s="17"/>
      <c r="H53" s="17"/>
      <c r="I53" s="17"/>
      <c r="J53" s="17"/>
      <c r="K53" s="92"/>
      <c r="L53" s="93"/>
      <c r="M53" s="93"/>
      <c r="N53" s="93"/>
      <c r="O53" s="93"/>
      <c r="P53" s="93"/>
      <c r="Q53" s="94"/>
      <c r="R53" s="17"/>
      <c r="S53" s="17"/>
      <c r="T53" s="17"/>
      <c r="U53" s="17"/>
    </row>
    <row r="54" spans="1:21" ht="18" customHeight="1" x14ac:dyDescent="0.15">
      <c r="A54" s="3"/>
      <c r="B54" s="92"/>
      <c r="C54" s="93"/>
      <c r="D54" s="93"/>
      <c r="E54" s="93"/>
      <c r="F54" s="94"/>
      <c r="G54" s="17"/>
      <c r="H54" s="17"/>
      <c r="I54" s="17"/>
      <c r="J54" s="17"/>
      <c r="K54" s="92"/>
      <c r="L54" s="93"/>
      <c r="M54" s="93"/>
      <c r="N54" s="93"/>
      <c r="O54" s="93"/>
      <c r="P54" s="93"/>
      <c r="Q54" s="94"/>
      <c r="R54" s="17"/>
      <c r="S54" s="17"/>
      <c r="T54" s="17"/>
      <c r="U54" s="17"/>
    </row>
    <row r="55" spans="1:21" ht="18" customHeight="1" x14ac:dyDescent="0.15">
      <c r="A55" s="3"/>
      <c r="B55" s="95"/>
      <c r="C55" s="96"/>
      <c r="D55" s="96"/>
      <c r="E55" s="96"/>
      <c r="F55" s="97"/>
      <c r="G55" s="18"/>
      <c r="H55" s="18"/>
      <c r="I55" s="19"/>
      <c r="J55" s="19"/>
      <c r="K55" s="95"/>
      <c r="L55" s="96"/>
      <c r="M55" s="96"/>
      <c r="N55" s="96"/>
      <c r="O55" s="96"/>
      <c r="P55" s="96"/>
      <c r="Q55" s="97"/>
      <c r="R55" s="18"/>
      <c r="S55" s="18"/>
      <c r="T55" s="19"/>
      <c r="U55" s="19"/>
    </row>
    <row r="56" spans="1:21" ht="7.5" customHeight="1" x14ac:dyDescent="0.15">
      <c r="B56" s="13"/>
      <c r="C56" s="13"/>
      <c r="D56" s="13"/>
      <c r="E56" s="13"/>
      <c r="F56" s="13"/>
      <c r="G56" s="13"/>
      <c r="H56" s="13"/>
      <c r="I56" s="13"/>
      <c r="J56" s="13"/>
      <c r="K56" s="13"/>
      <c r="L56" s="13"/>
      <c r="M56" s="13"/>
      <c r="N56" s="13"/>
      <c r="O56" s="13"/>
      <c r="P56" s="13"/>
      <c r="Q56" s="13"/>
      <c r="R56" s="13"/>
      <c r="S56" s="13"/>
      <c r="T56" s="13"/>
    </row>
    <row r="57" spans="1:21" ht="18" customHeight="1" x14ac:dyDescent="0.15">
      <c r="A57" s="103" t="s">
        <v>105</v>
      </c>
      <c r="B57" s="103"/>
      <c r="C57" s="103"/>
      <c r="D57" s="103"/>
      <c r="E57" s="103"/>
      <c r="F57" s="103"/>
      <c r="G57" s="103"/>
      <c r="H57" s="103"/>
      <c r="I57" s="103"/>
      <c r="J57" s="103"/>
      <c r="K57" s="103"/>
      <c r="L57" s="103"/>
      <c r="M57" s="103"/>
      <c r="N57" s="103"/>
      <c r="O57" s="103"/>
      <c r="P57" s="103"/>
      <c r="Q57" s="103"/>
      <c r="R57" s="103"/>
      <c r="S57" s="103"/>
      <c r="T57" s="103"/>
      <c r="U57" s="103"/>
    </row>
    <row r="58" spans="1:21" ht="18" customHeight="1" x14ac:dyDescent="0.15">
      <c r="A58" s="103"/>
      <c r="B58" s="103"/>
      <c r="C58" s="103"/>
      <c r="D58" s="103"/>
      <c r="E58" s="103"/>
      <c r="F58" s="103"/>
      <c r="G58" s="103"/>
      <c r="H58" s="103"/>
      <c r="I58" s="103"/>
      <c r="J58" s="103"/>
      <c r="K58" s="103"/>
      <c r="L58" s="103"/>
      <c r="M58" s="103"/>
      <c r="N58" s="103"/>
      <c r="O58" s="103"/>
      <c r="P58" s="103"/>
      <c r="Q58" s="103"/>
      <c r="R58" s="103"/>
      <c r="S58" s="103"/>
      <c r="T58" s="103"/>
      <c r="U58" s="103"/>
    </row>
    <row r="59" spans="1:21" ht="18" customHeight="1" x14ac:dyDescent="0.15">
      <c r="B59" s="89" t="s">
        <v>52</v>
      </c>
      <c r="C59" s="90"/>
      <c r="D59" s="90"/>
      <c r="E59" s="90"/>
      <c r="F59" s="91"/>
      <c r="G59" s="49" t="s">
        <v>78</v>
      </c>
      <c r="H59" s="48" t="s">
        <v>81</v>
      </c>
      <c r="I59" s="15" t="s">
        <v>57</v>
      </c>
      <c r="J59" s="15" t="s">
        <v>59</v>
      </c>
      <c r="K59" s="89" t="s">
        <v>52</v>
      </c>
      <c r="L59" s="90"/>
      <c r="M59" s="90"/>
      <c r="N59" s="90"/>
      <c r="O59" s="90"/>
      <c r="P59" s="90"/>
      <c r="Q59" s="91"/>
      <c r="R59" s="49" t="s">
        <v>78</v>
      </c>
      <c r="S59" s="48" t="s">
        <v>81</v>
      </c>
      <c r="T59" s="15" t="s">
        <v>57</v>
      </c>
      <c r="U59" s="15" t="s">
        <v>59</v>
      </c>
    </row>
    <row r="60" spans="1:21" ht="18" customHeight="1" x14ac:dyDescent="0.15">
      <c r="A60" s="3"/>
      <c r="B60" s="100" t="s">
        <v>148</v>
      </c>
      <c r="C60" s="101"/>
      <c r="D60" s="101"/>
      <c r="E60" s="101"/>
      <c r="F60" s="102"/>
      <c r="G60" s="16">
        <v>2</v>
      </c>
      <c r="H60" s="16" t="s">
        <v>149</v>
      </c>
      <c r="I60" s="16" t="s">
        <v>149</v>
      </c>
      <c r="J60" s="16" t="s">
        <v>149</v>
      </c>
      <c r="K60" s="100"/>
      <c r="L60" s="101"/>
      <c r="M60" s="101"/>
      <c r="N60" s="101"/>
      <c r="O60" s="101"/>
      <c r="P60" s="101"/>
      <c r="Q60" s="102"/>
      <c r="R60" s="16"/>
      <c r="S60" s="16"/>
      <c r="T60" s="16"/>
      <c r="U60" s="16"/>
    </row>
    <row r="61" spans="1:21" ht="18" customHeight="1" x14ac:dyDescent="0.15">
      <c r="A61" s="3"/>
      <c r="B61" s="92"/>
      <c r="C61" s="93"/>
      <c r="D61" s="93"/>
      <c r="E61" s="93"/>
      <c r="F61" s="94"/>
      <c r="G61" s="17"/>
      <c r="H61" s="17"/>
      <c r="I61" s="17"/>
      <c r="J61" s="17"/>
      <c r="K61" s="92"/>
      <c r="L61" s="93"/>
      <c r="M61" s="93"/>
      <c r="N61" s="93"/>
      <c r="O61" s="93"/>
      <c r="P61" s="93"/>
      <c r="Q61" s="94"/>
      <c r="R61" s="17"/>
      <c r="S61" s="17"/>
      <c r="T61" s="17"/>
      <c r="U61" s="17"/>
    </row>
    <row r="62" spans="1:21" ht="18" customHeight="1" x14ac:dyDescent="0.15">
      <c r="A62" s="3"/>
      <c r="B62" s="92"/>
      <c r="C62" s="93"/>
      <c r="D62" s="93"/>
      <c r="E62" s="93"/>
      <c r="F62" s="94"/>
      <c r="G62" s="17"/>
      <c r="H62" s="17"/>
      <c r="I62" s="17"/>
      <c r="J62" s="17"/>
      <c r="K62" s="92"/>
      <c r="L62" s="93"/>
      <c r="M62" s="93"/>
      <c r="N62" s="93"/>
      <c r="O62" s="93"/>
      <c r="P62" s="93"/>
      <c r="Q62" s="94"/>
      <c r="R62" s="17"/>
      <c r="S62" s="17"/>
      <c r="T62" s="17"/>
      <c r="U62" s="17"/>
    </row>
    <row r="63" spans="1:21" ht="18" customHeight="1" x14ac:dyDescent="0.15">
      <c r="A63" s="3"/>
      <c r="B63" s="92"/>
      <c r="C63" s="93"/>
      <c r="D63" s="93"/>
      <c r="E63" s="93"/>
      <c r="F63" s="94"/>
      <c r="G63" s="17"/>
      <c r="H63" s="17"/>
      <c r="I63" s="17"/>
      <c r="J63" s="17"/>
      <c r="K63" s="92"/>
      <c r="L63" s="93"/>
      <c r="M63" s="93"/>
      <c r="N63" s="93"/>
      <c r="O63" s="93"/>
      <c r="P63" s="93"/>
      <c r="Q63" s="94"/>
      <c r="R63" s="17"/>
      <c r="S63" s="17"/>
      <c r="T63" s="17"/>
      <c r="U63" s="17"/>
    </row>
    <row r="64" spans="1:21" ht="18" customHeight="1" x14ac:dyDescent="0.15">
      <c r="A64" s="3"/>
      <c r="B64" s="92"/>
      <c r="C64" s="93"/>
      <c r="D64" s="93"/>
      <c r="E64" s="93"/>
      <c r="F64" s="94"/>
      <c r="G64" s="17"/>
      <c r="H64" s="17"/>
      <c r="I64" s="17"/>
      <c r="J64" s="17"/>
      <c r="K64" s="92"/>
      <c r="L64" s="93"/>
      <c r="M64" s="93"/>
      <c r="N64" s="93"/>
      <c r="O64" s="93"/>
      <c r="P64" s="93"/>
      <c r="Q64" s="94"/>
      <c r="R64" s="17"/>
      <c r="S64" s="17"/>
      <c r="T64" s="17"/>
      <c r="U64" s="17"/>
    </row>
    <row r="65" spans="1:21" ht="18" customHeight="1" x14ac:dyDescent="0.15">
      <c r="A65" s="3"/>
      <c r="B65" s="92"/>
      <c r="C65" s="93"/>
      <c r="D65" s="93"/>
      <c r="E65" s="93"/>
      <c r="F65" s="94"/>
      <c r="G65" s="17"/>
      <c r="H65" s="17"/>
      <c r="I65" s="17"/>
      <c r="J65" s="17"/>
      <c r="K65" s="92"/>
      <c r="L65" s="93"/>
      <c r="M65" s="93"/>
      <c r="N65" s="93"/>
      <c r="O65" s="93"/>
      <c r="P65" s="93"/>
      <c r="Q65" s="94"/>
      <c r="R65" s="17"/>
      <c r="S65" s="17"/>
      <c r="T65" s="17"/>
      <c r="U65" s="17"/>
    </row>
    <row r="66" spans="1:21" ht="18" customHeight="1" x14ac:dyDescent="0.15">
      <c r="A66" s="3"/>
      <c r="B66" s="95"/>
      <c r="C66" s="96"/>
      <c r="D66" s="96"/>
      <c r="E66" s="96"/>
      <c r="F66" s="97"/>
      <c r="G66" s="18"/>
      <c r="H66" s="18"/>
      <c r="I66" s="19"/>
      <c r="J66" s="19"/>
      <c r="K66" s="95"/>
      <c r="L66" s="96"/>
      <c r="M66" s="96"/>
      <c r="N66" s="96"/>
      <c r="O66" s="96"/>
      <c r="P66" s="96"/>
      <c r="Q66" s="97"/>
      <c r="R66" s="18"/>
      <c r="S66" s="18"/>
      <c r="T66" s="19"/>
      <c r="U66" s="19"/>
    </row>
    <row r="67" spans="1:21" ht="7.5" customHeight="1" x14ac:dyDescent="0.15">
      <c r="B67" s="13"/>
      <c r="C67" s="13"/>
      <c r="D67" s="13"/>
      <c r="E67" s="13"/>
      <c r="F67" s="13"/>
      <c r="G67" s="13"/>
      <c r="H67" s="13"/>
      <c r="I67" s="13"/>
      <c r="J67" s="13"/>
      <c r="K67" s="13"/>
      <c r="L67" s="13"/>
      <c r="M67" s="13"/>
      <c r="N67" s="13"/>
      <c r="O67" s="13"/>
      <c r="P67" s="13"/>
      <c r="Q67" s="13"/>
      <c r="R67" s="13"/>
      <c r="S67" s="13"/>
      <c r="T67" s="13"/>
    </row>
    <row r="68" spans="1:21" ht="18" customHeight="1" x14ac:dyDescent="0.15">
      <c r="A68" s="103" t="s">
        <v>106</v>
      </c>
      <c r="B68" s="103"/>
      <c r="C68" s="103"/>
      <c r="D68" s="103"/>
      <c r="E68" s="103"/>
      <c r="F68" s="103"/>
      <c r="G68" s="103"/>
      <c r="H68" s="103"/>
      <c r="I68" s="103"/>
      <c r="J68" s="103"/>
      <c r="K68" s="103"/>
      <c r="L68" s="103"/>
      <c r="M68" s="103"/>
      <c r="N68" s="103"/>
      <c r="O68" s="103"/>
      <c r="P68" s="103"/>
      <c r="Q68" s="103"/>
      <c r="R68" s="103"/>
      <c r="S68" s="103"/>
      <c r="T68" s="103"/>
      <c r="U68" s="103"/>
    </row>
    <row r="69" spans="1:21" ht="18" customHeight="1" x14ac:dyDescent="0.15">
      <c r="A69" s="103"/>
      <c r="B69" s="103"/>
      <c r="C69" s="103"/>
      <c r="D69" s="103"/>
      <c r="E69" s="103"/>
      <c r="F69" s="103"/>
      <c r="G69" s="103"/>
      <c r="H69" s="103"/>
      <c r="I69" s="103"/>
      <c r="J69" s="103"/>
      <c r="K69" s="103"/>
      <c r="L69" s="103"/>
      <c r="M69" s="103"/>
      <c r="N69" s="103"/>
      <c r="O69" s="103"/>
      <c r="P69" s="103"/>
      <c r="Q69" s="103"/>
      <c r="R69" s="103"/>
      <c r="S69" s="103"/>
      <c r="T69" s="103"/>
      <c r="U69" s="103"/>
    </row>
    <row r="70" spans="1:21" ht="18" customHeight="1" x14ac:dyDescent="0.15">
      <c r="B70" s="89" t="s">
        <v>52</v>
      </c>
      <c r="C70" s="90"/>
      <c r="D70" s="90"/>
      <c r="E70" s="90"/>
      <c r="F70" s="49" t="s">
        <v>78</v>
      </c>
      <c r="G70" s="48" t="s">
        <v>81</v>
      </c>
      <c r="H70" s="15" t="s">
        <v>93</v>
      </c>
      <c r="I70" s="15" t="s">
        <v>73</v>
      </c>
      <c r="J70" s="15" t="s">
        <v>74</v>
      </c>
      <c r="K70" s="89" t="s">
        <v>52</v>
      </c>
      <c r="L70" s="90"/>
      <c r="M70" s="90"/>
      <c r="N70" s="90"/>
      <c r="O70" s="90"/>
      <c r="P70" s="91"/>
      <c r="Q70" s="49" t="s">
        <v>78</v>
      </c>
      <c r="R70" s="48" t="s">
        <v>81</v>
      </c>
      <c r="S70" s="15" t="s">
        <v>93</v>
      </c>
      <c r="T70" s="15" t="s">
        <v>73</v>
      </c>
      <c r="U70" s="15" t="s">
        <v>74</v>
      </c>
    </row>
    <row r="71" spans="1:21" ht="18" customHeight="1" x14ac:dyDescent="0.15">
      <c r="A71" s="3"/>
      <c r="B71" s="100" t="s">
        <v>150</v>
      </c>
      <c r="C71" s="101"/>
      <c r="D71" s="101"/>
      <c r="E71" s="102"/>
      <c r="F71" s="16">
        <v>2</v>
      </c>
      <c r="G71" s="16" t="s">
        <v>149</v>
      </c>
      <c r="H71" s="16" t="s">
        <v>149</v>
      </c>
      <c r="I71" s="16" t="s">
        <v>149</v>
      </c>
      <c r="J71" s="16" t="s">
        <v>149</v>
      </c>
      <c r="K71" s="100"/>
      <c r="L71" s="101"/>
      <c r="M71" s="101"/>
      <c r="N71" s="101"/>
      <c r="O71" s="101"/>
      <c r="P71" s="102"/>
      <c r="Q71" s="16"/>
      <c r="R71" s="16"/>
      <c r="S71" s="16"/>
      <c r="T71" s="16"/>
      <c r="U71" s="16"/>
    </row>
    <row r="72" spans="1:21" ht="18" customHeight="1" x14ac:dyDescent="0.15">
      <c r="A72" s="3"/>
      <c r="B72" s="92"/>
      <c r="C72" s="93"/>
      <c r="D72" s="93"/>
      <c r="E72" s="93"/>
      <c r="F72" s="17"/>
      <c r="G72" s="17"/>
      <c r="H72" s="17"/>
      <c r="I72" s="17"/>
      <c r="J72" s="17"/>
      <c r="K72" s="92"/>
      <c r="L72" s="93"/>
      <c r="M72" s="93"/>
      <c r="N72" s="93"/>
      <c r="O72" s="93"/>
      <c r="P72" s="94"/>
      <c r="Q72" s="17"/>
      <c r="R72" s="17"/>
      <c r="S72" s="17"/>
      <c r="T72" s="17"/>
      <c r="U72" s="17"/>
    </row>
    <row r="73" spans="1:21" ht="18" customHeight="1" x14ac:dyDescent="0.15">
      <c r="A73" s="3"/>
      <c r="B73" s="92"/>
      <c r="C73" s="93"/>
      <c r="D73" s="93"/>
      <c r="E73" s="93"/>
      <c r="F73" s="17"/>
      <c r="G73" s="17"/>
      <c r="H73" s="17"/>
      <c r="I73" s="17"/>
      <c r="J73" s="17"/>
      <c r="K73" s="92"/>
      <c r="L73" s="93"/>
      <c r="M73" s="93"/>
      <c r="N73" s="93"/>
      <c r="O73" s="93"/>
      <c r="P73" s="94"/>
      <c r="Q73" s="17"/>
      <c r="R73" s="17"/>
      <c r="S73" s="17"/>
      <c r="T73" s="17"/>
      <c r="U73" s="17"/>
    </row>
    <row r="74" spans="1:21" ht="18" customHeight="1" x14ac:dyDescent="0.15">
      <c r="A74" s="3"/>
      <c r="B74" s="92"/>
      <c r="C74" s="93"/>
      <c r="D74" s="93"/>
      <c r="E74" s="93"/>
      <c r="F74" s="17"/>
      <c r="G74" s="17"/>
      <c r="H74" s="17"/>
      <c r="I74" s="17"/>
      <c r="J74" s="17"/>
      <c r="K74" s="92"/>
      <c r="L74" s="93"/>
      <c r="M74" s="93"/>
      <c r="N74" s="93"/>
      <c r="O74" s="93"/>
      <c r="P74" s="94"/>
      <c r="Q74" s="17"/>
      <c r="R74" s="17"/>
      <c r="S74" s="17"/>
      <c r="T74" s="17"/>
      <c r="U74" s="17"/>
    </row>
    <row r="75" spans="1:21" ht="18" customHeight="1" x14ac:dyDescent="0.15">
      <c r="A75" s="3"/>
      <c r="B75" s="92"/>
      <c r="C75" s="93"/>
      <c r="D75" s="93"/>
      <c r="E75" s="93"/>
      <c r="F75" s="17"/>
      <c r="G75" s="17"/>
      <c r="H75" s="17"/>
      <c r="I75" s="17"/>
      <c r="J75" s="17"/>
      <c r="K75" s="92"/>
      <c r="L75" s="93"/>
      <c r="M75" s="93"/>
      <c r="N75" s="93"/>
      <c r="O75" s="93"/>
      <c r="P75" s="94"/>
      <c r="Q75" s="17"/>
      <c r="R75" s="17"/>
      <c r="S75" s="17"/>
      <c r="T75" s="17"/>
      <c r="U75" s="17"/>
    </row>
    <row r="76" spans="1:21" ht="18" customHeight="1" x14ac:dyDescent="0.15">
      <c r="A76" s="3"/>
      <c r="B76" s="92"/>
      <c r="C76" s="93"/>
      <c r="D76" s="93"/>
      <c r="E76" s="93"/>
      <c r="F76" s="17"/>
      <c r="G76" s="17"/>
      <c r="H76" s="17"/>
      <c r="I76" s="17"/>
      <c r="J76" s="17"/>
      <c r="K76" s="92"/>
      <c r="L76" s="93"/>
      <c r="M76" s="93"/>
      <c r="N76" s="93"/>
      <c r="O76" s="93"/>
      <c r="P76" s="94"/>
      <c r="Q76" s="17"/>
      <c r="R76" s="17"/>
      <c r="S76" s="17"/>
      <c r="T76" s="17"/>
      <c r="U76" s="17"/>
    </row>
    <row r="77" spans="1:21" ht="18" customHeight="1" x14ac:dyDescent="0.15">
      <c r="A77" s="3"/>
      <c r="B77" s="95"/>
      <c r="C77" s="96"/>
      <c r="D77" s="96"/>
      <c r="E77" s="96"/>
      <c r="F77" s="18"/>
      <c r="G77" s="18"/>
      <c r="H77" s="19"/>
      <c r="I77" s="19"/>
      <c r="J77" s="19"/>
      <c r="K77" s="95"/>
      <c r="L77" s="96"/>
      <c r="M77" s="96"/>
      <c r="N77" s="96"/>
      <c r="O77" s="96"/>
      <c r="P77" s="97"/>
      <c r="Q77" s="18"/>
      <c r="R77" s="18"/>
      <c r="S77" s="19"/>
      <c r="T77" s="19"/>
      <c r="U77" s="19"/>
    </row>
    <row r="78" spans="1:21" ht="7.5" customHeight="1" x14ac:dyDescent="0.15">
      <c r="B78" s="13"/>
      <c r="C78" s="13"/>
      <c r="D78" s="13"/>
      <c r="E78" s="13"/>
      <c r="F78" s="13"/>
      <c r="G78" s="13"/>
      <c r="H78" s="13"/>
      <c r="I78" s="13"/>
      <c r="J78" s="13"/>
      <c r="K78" s="13"/>
      <c r="L78" s="13"/>
      <c r="M78" s="13"/>
      <c r="N78" s="13"/>
      <c r="O78" s="13"/>
      <c r="P78" s="13"/>
      <c r="Q78" s="13"/>
      <c r="R78" s="13"/>
      <c r="S78" s="13"/>
      <c r="T78" s="13"/>
    </row>
    <row r="79" spans="1:21" ht="18" customHeight="1" x14ac:dyDescent="0.15">
      <c r="A79" s="1" t="s">
        <v>107</v>
      </c>
      <c r="I79" s="3"/>
      <c r="J79" s="3"/>
      <c r="K79" s="3"/>
      <c r="L79" s="3"/>
      <c r="M79" s="3"/>
      <c r="N79" s="3"/>
      <c r="O79" s="3"/>
      <c r="P79" s="3"/>
      <c r="Q79" s="3"/>
      <c r="R79" s="3"/>
      <c r="S79" s="3"/>
      <c r="T79" s="3"/>
      <c r="U79" s="3"/>
    </row>
    <row r="80" spans="1:21" ht="18" customHeight="1" x14ac:dyDescent="0.15">
      <c r="B80" s="89" t="s">
        <v>52</v>
      </c>
      <c r="C80" s="90"/>
      <c r="D80" s="90"/>
      <c r="E80" s="90"/>
      <c r="F80" s="91"/>
      <c r="G80" s="89" t="s">
        <v>79</v>
      </c>
      <c r="H80" s="90"/>
      <c r="I80" s="90"/>
      <c r="J80" s="91"/>
      <c r="K80" s="109" t="s">
        <v>52</v>
      </c>
      <c r="L80" s="110"/>
      <c r="M80" s="110"/>
      <c r="N80" s="110"/>
      <c r="O80" s="110"/>
      <c r="P80" s="110"/>
      <c r="Q80" s="111"/>
      <c r="R80" s="89" t="s">
        <v>79</v>
      </c>
      <c r="S80" s="90"/>
      <c r="T80" s="90"/>
      <c r="U80" s="91"/>
    </row>
    <row r="81" spans="1:21" ht="18" customHeight="1" x14ac:dyDescent="0.15">
      <c r="A81" s="3"/>
      <c r="B81" s="100" t="s">
        <v>150</v>
      </c>
      <c r="C81" s="101"/>
      <c r="D81" s="101"/>
      <c r="E81" s="101"/>
      <c r="F81" s="102"/>
      <c r="G81" s="104" t="s">
        <v>151</v>
      </c>
      <c r="H81" s="105"/>
      <c r="I81" s="105"/>
      <c r="J81" s="106"/>
      <c r="K81" s="100"/>
      <c r="L81" s="101"/>
      <c r="M81" s="101"/>
      <c r="N81" s="101"/>
      <c r="O81" s="101"/>
      <c r="P81" s="101"/>
      <c r="Q81" s="102"/>
      <c r="R81" s="104"/>
      <c r="S81" s="105"/>
      <c r="T81" s="105"/>
      <c r="U81" s="106"/>
    </row>
    <row r="82" spans="1:21" ht="18" customHeight="1" x14ac:dyDescent="0.15">
      <c r="A82" s="3"/>
      <c r="B82" s="92"/>
      <c r="C82" s="93"/>
      <c r="D82" s="93"/>
      <c r="E82" s="93"/>
      <c r="F82" s="94"/>
      <c r="G82" s="86"/>
      <c r="H82" s="87"/>
      <c r="I82" s="87"/>
      <c r="J82" s="88"/>
      <c r="K82" s="92"/>
      <c r="L82" s="93"/>
      <c r="M82" s="93"/>
      <c r="N82" s="93"/>
      <c r="O82" s="93"/>
      <c r="P82" s="93"/>
      <c r="Q82" s="94"/>
      <c r="R82" s="86"/>
      <c r="S82" s="87"/>
      <c r="T82" s="87"/>
      <c r="U82" s="88"/>
    </row>
    <row r="83" spans="1:21" ht="18" customHeight="1" x14ac:dyDescent="0.15">
      <c r="A83" s="3"/>
      <c r="B83" s="92"/>
      <c r="C83" s="93"/>
      <c r="D83" s="93"/>
      <c r="E83" s="93"/>
      <c r="F83" s="94"/>
      <c r="G83" s="86"/>
      <c r="H83" s="87"/>
      <c r="I83" s="87"/>
      <c r="J83" s="88"/>
      <c r="K83" s="92"/>
      <c r="L83" s="93"/>
      <c r="M83" s="93"/>
      <c r="N83" s="93"/>
      <c r="O83" s="93"/>
      <c r="P83" s="93"/>
      <c r="Q83" s="94"/>
      <c r="R83" s="86"/>
      <c r="S83" s="87"/>
      <c r="T83" s="87"/>
      <c r="U83" s="88"/>
    </row>
    <row r="84" spans="1:21" ht="18" customHeight="1" x14ac:dyDescent="0.15">
      <c r="A84" s="3"/>
      <c r="B84" s="92"/>
      <c r="C84" s="93"/>
      <c r="D84" s="93"/>
      <c r="E84" s="93"/>
      <c r="F84" s="94"/>
      <c r="G84" s="86"/>
      <c r="H84" s="87"/>
      <c r="I84" s="87"/>
      <c r="J84" s="88"/>
      <c r="K84" s="92"/>
      <c r="L84" s="93"/>
      <c r="M84" s="93"/>
      <c r="N84" s="93"/>
      <c r="O84" s="93"/>
      <c r="P84" s="93"/>
      <c r="Q84" s="94"/>
      <c r="R84" s="86"/>
      <c r="S84" s="87"/>
      <c r="T84" s="87"/>
      <c r="U84" s="88"/>
    </row>
    <row r="85" spans="1:21" ht="18" customHeight="1" x14ac:dyDescent="0.15">
      <c r="A85" s="3"/>
      <c r="B85" s="92"/>
      <c r="C85" s="93"/>
      <c r="D85" s="93"/>
      <c r="E85" s="93"/>
      <c r="F85" s="94"/>
      <c r="G85" s="86"/>
      <c r="H85" s="87"/>
      <c r="I85" s="87"/>
      <c r="J85" s="88"/>
      <c r="K85" s="92"/>
      <c r="L85" s="93"/>
      <c r="M85" s="93"/>
      <c r="N85" s="93"/>
      <c r="O85" s="93"/>
      <c r="P85" s="93"/>
      <c r="Q85" s="94"/>
      <c r="R85" s="86"/>
      <c r="S85" s="87"/>
      <c r="T85" s="87"/>
      <c r="U85" s="88"/>
    </row>
    <row r="86" spans="1:21" ht="18" customHeight="1" x14ac:dyDescent="0.15">
      <c r="A86" s="3"/>
      <c r="B86" s="92"/>
      <c r="C86" s="93"/>
      <c r="D86" s="93"/>
      <c r="E86" s="93"/>
      <c r="F86" s="94"/>
      <c r="G86" s="86"/>
      <c r="H86" s="87"/>
      <c r="I86" s="87"/>
      <c r="J86" s="88"/>
      <c r="K86" s="92"/>
      <c r="L86" s="93"/>
      <c r="M86" s="93"/>
      <c r="N86" s="93"/>
      <c r="O86" s="93"/>
      <c r="P86" s="93"/>
      <c r="Q86" s="94"/>
      <c r="R86" s="86"/>
      <c r="S86" s="87"/>
      <c r="T86" s="87"/>
      <c r="U86" s="88"/>
    </row>
    <row r="87" spans="1:21" ht="18" customHeight="1" x14ac:dyDescent="0.15">
      <c r="A87" s="3"/>
      <c r="B87" s="95"/>
      <c r="C87" s="96"/>
      <c r="D87" s="96"/>
      <c r="E87" s="96"/>
      <c r="F87" s="97"/>
      <c r="G87" s="127"/>
      <c r="H87" s="128"/>
      <c r="I87" s="128"/>
      <c r="J87" s="129"/>
      <c r="K87" s="95"/>
      <c r="L87" s="96"/>
      <c r="M87" s="96"/>
      <c r="N87" s="96"/>
      <c r="O87" s="96"/>
      <c r="P87" s="96"/>
      <c r="Q87" s="97"/>
      <c r="R87" s="127"/>
      <c r="S87" s="128"/>
      <c r="T87" s="128"/>
      <c r="U87" s="129"/>
    </row>
    <row r="88" spans="1:21" ht="18" customHeight="1" x14ac:dyDescent="0.15">
      <c r="A88" s="3"/>
      <c r="B88" s="6"/>
      <c r="C88" s="6"/>
      <c r="D88" s="6"/>
      <c r="E88" s="6"/>
      <c r="F88" s="6"/>
      <c r="G88" s="20"/>
      <c r="H88" s="20"/>
      <c r="I88" s="20"/>
      <c r="J88" s="20"/>
      <c r="K88" s="6"/>
      <c r="L88" s="6"/>
      <c r="M88" s="6"/>
      <c r="N88" s="6"/>
      <c r="O88" s="6"/>
      <c r="P88" s="6"/>
      <c r="Q88" s="6"/>
      <c r="R88" s="20"/>
      <c r="S88" s="20"/>
      <c r="T88" s="20"/>
      <c r="U88" s="20"/>
    </row>
    <row r="89" spans="1:21" ht="18.75" customHeight="1" x14ac:dyDescent="0.15">
      <c r="A89" s="1" t="s">
        <v>108</v>
      </c>
    </row>
    <row r="90" spans="1:21" ht="18.75" customHeight="1" x14ac:dyDescent="0.15">
      <c r="B90" s="130" t="s">
        <v>53</v>
      </c>
      <c r="C90" s="131"/>
      <c r="D90" s="89" t="s">
        <v>54</v>
      </c>
      <c r="E90" s="90"/>
      <c r="F90" s="90"/>
      <c r="G90" s="90"/>
      <c r="H90" s="90"/>
      <c r="I90" s="90"/>
      <c r="J90" s="90"/>
      <c r="K90" s="90"/>
      <c r="L90" s="90"/>
      <c r="M90" s="90"/>
      <c r="N90" s="90"/>
      <c r="O90" s="90"/>
      <c r="P90" s="90"/>
      <c r="Q90" s="90"/>
      <c r="R90" s="90"/>
      <c r="S90" s="90"/>
      <c r="T90" s="90"/>
      <c r="U90" s="91"/>
    </row>
    <row r="91" spans="1:21" ht="97.5" customHeight="1" x14ac:dyDescent="0.15">
      <c r="B91" s="107" t="s">
        <v>60</v>
      </c>
      <c r="C91" s="21" t="s">
        <v>55</v>
      </c>
      <c r="D91" s="143" t="s">
        <v>152</v>
      </c>
      <c r="E91" s="144"/>
      <c r="F91" s="144"/>
      <c r="G91" s="144"/>
      <c r="H91" s="144"/>
      <c r="I91" s="144"/>
      <c r="J91" s="144"/>
      <c r="K91" s="144"/>
      <c r="L91" s="144"/>
      <c r="M91" s="144"/>
      <c r="N91" s="144"/>
      <c r="O91" s="144"/>
      <c r="P91" s="144"/>
      <c r="Q91" s="144"/>
      <c r="R91" s="144"/>
      <c r="S91" s="144"/>
      <c r="T91" s="144"/>
      <c r="U91" s="145"/>
    </row>
    <row r="92" spans="1:21" ht="97.5" customHeight="1" x14ac:dyDescent="0.15">
      <c r="B92" s="112"/>
      <c r="C92" s="22" t="s">
        <v>75</v>
      </c>
      <c r="D92" s="140" t="s">
        <v>153</v>
      </c>
      <c r="E92" s="141"/>
      <c r="F92" s="141"/>
      <c r="G92" s="141"/>
      <c r="H92" s="141"/>
      <c r="I92" s="141"/>
      <c r="J92" s="141"/>
      <c r="K92" s="141"/>
      <c r="L92" s="141"/>
      <c r="M92" s="141"/>
      <c r="N92" s="141"/>
      <c r="O92" s="141"/>
      <c r="P92" s="141"/>
      <c r="Q92" s="141"/>
      <c r="R92" s="141"/>
      <c r="S92" s="141"/>
      <c r="T92" s="141"/>
      <c r="U92" s="142"/>
    </row>
    <row r="93" spans="1:21" ht="97.5" customHeight="1" x14ac:dyDescent="0.15">
      <c r="B93" s="107" t="s">
        <v>61</v>
      </c>
      <c r="C93" s="23" t="s">
        <v>69</v>
      </c>
      <c r="D93" s="143" t="s">
        <v>154</v>
      </c>
      <c r="E93" s="144"/>
      <c r="F93" s="144"/>
      <c r="G93" s="144"/>
      <c r="H93" s="144"/>
      <c r="I93" s="144"/>
      <c r="J93" s="144"/>
      <c r="K93" s="144"/>
      <c r="L93" s="144"/>
      <c r="M93" s="144"/>
      <c r="N93" s="144"/>
      <c r="O93" s="144"/>
      <c r="P93" s="144"/>
      <c r="Q93" s="144"/>
      <c r="R93" s="144"/>
      <c r="S93" s="144"/>
      <c r="T93" s="144"/>
      <c r="U93" s="145"/>
    </row>
    <row r="94" spans="1:21" ht="97.5" customHeight="1" x14ac:dyDescent="0.15">
      <c r="B94" s="108"/>
      <c r="C94" s="24" t="s">
        <v>70</v>
      </c>
      <c r="D94" s="140" t="s">
        <v>155</v>
      </c>
      <c r="E94" s="141"/>
      <c r="F94" s="141"/>
      <c r="G94" s="141"/>
      <c r="H94" s="141"/>
      <c r="I94" s="141"/>
      <c r="J94" s="141"/>
      <c r="K94" s="141"/>
      <c r="L94" s="141"/>
      <c r="M94" s="141"/>
      <c r="N94" s="141"/>
      <c r="O94" s="141"/>
      <c r="P94" s="141"/>
      <c r="Q94" s="141"/>
      <c r="R94" s="141"/>
      <c r="S94" s="141"/>
      <c r="T94" s="141"/>
      <c r="U94" s="142"/>
    </row>
    <row r="95" spans="1:21" ht="141.75" customHeight="1" x14ac:dyDescent="0.15">
      <c r="B95" s="107" t="s">
        <v>62</v>
      </c>
      <c r="C95" s="23" t="s">
        <v>71</v>
      </c>
      <c r="D95" s="143" t="s">
        <v>156</v>
      </c>
      <c r="E95" s="144"/>
      <c r="F95" s="144"/>
      <c r="G95" s="144"/>
      <c r="H95" s="144"/>
      <c r="I95" s="144"/>
      <c r="J95" s="144"/>
      <c r="K95" s="144"/>
      <c r="L95" s="144"/>
      <c r="M95" s="144"/>
      <c r="N95" s="144"/>
      <c r="O95" s="144"/>
      <c r="P95" s="144"/>
      <c r="Q95" s="144"/>
      <c r="R95" s="144"/>
      <c r="S95" s="144"/>
      <c r="T95" s="144"/>
      <c r="U95" s="145"/>
    </row>
    <row r="96" spans="1:21" ht="138.75" customHeight="1" x14ac:dyDescent="0.15">
      <c r="B96" s="108"/>
      <c r="C96" s="25" t="s">
        <v>72</v>
      </c>
      <c r="D96" s="140" t="s">
        <v>156</v>
      </c>
      <c r="E96" s="141"/>
      <c r="F96" s="141"/>
      <c r="G96" s="141"/>
      <c r="H96" s="141"/>
      <c r="I96" s="141"/>
      <c r="J96" s="141"/>
      <c r="K96" s="141"/>
      <c r="L96" s="141"/>
      <c r="M96" s="141"/>
      <c r="N96" s="141"/>
      <c r="O96" s="141"/>
      <c r="P96" s="141"/>
      <c r="Q96" s="141"/>
      <c r="R96" s="141"/>
      <c r="S96" s="141"/>
      <c r="T96" s="141"/>
      <c r="U96" s="142"/>
    </row>
    <row r="97" spans="1:33" ht="111" customHeight="1" x14ac:dyDescent="0.15">
      <c r="B97" s="107" t="s">
        <v>76</v>
      </c>
      <c r="C97" s="21" t="s">
        <v>57</v>
      </c>
      <c r="D97" s="143" t="s">
        <v>157</v>
      </c>
      <c r="E97" s="144"/>
      <c r="F97" s="144"/>
      <c r="G97" s="144"/>
      <c r="H97" s="144"/>
      <c r="I97" s="144"/>
      <c r="J97" s="144"/>
      <c r="K97" s="144"/>
      <c r="L97" s="144"/>
      <c r="M97" s="144"/>
      <c r="N97" s="144"/>
      <c r="O97" s="144"/>
      <c r="P97" s="144"/>
      <c r="Q97" s="144"/>
      <c r="R97" s="144"/>
      <c r="S97" s="144"/>
      <c r="T97" s="144"/>
      <c r="U97" s="145"/>
    </row>
    <row r="98" spans="1:33" ht="97.5" customHeight="1" x14ac:dyDescent="0.15">
      <c r="B98" s="108"/>
      <c r="C98" s="24" t="s">
        <v>59</v>
      </c>
      <c r="D98" s="140" t="s">
        <v>158</v>
      </c>
      <c r="E98" s="141"/>
      <c r="F98" s="141"/>
      <c r="G98" s="141"/>
      <c r="H98" s="141"/>
      <c r="I98" s="141"/>
      <c r="J98" s="141"/>
      <c r="K98" s="141"/>
      <c r="L98" s="141"/>
      <c r="M98" s="141"/>
      <c r="N98" s="141"/>
      <c r="O98" s="141"/>
      <c r="P98" s="141"/>
      <c r="Q98" s="141"/>
      <c r="R98" s="141"/>
      <c r="S98" s="141"/>
      <c r="T98" s="141"/>
      <c r="U98" s="142"/>
    </row>
    <row r="99" spans="1:33" ht="152.25" customHeight="1" x14ac:dyDescent="0.15">
      <c r="B99" s="107" t="s">
        <v>77</v>
      </c>
      <c r="C99" s="23" t="s">
        <v>56</v>
      </c>
      <c r="D99" s="143" t="s">
        <v>159</v>
      </c>
      <c r="E99" s="144"/>
      <c r="F99" s="144"/>
      <c r="G99" s="144"/>
      <c r="H99" s="144"/>
      <c r="I99" s="144"/>
      <c r="J99" s="144"/>
      <c r="K99" s="144"/>
      <c r="L99" s="144"/>
      <c r="M99" s="144"/>
      <c r="N99" s="144"/>
      <c r="O99" s="144"/>
      <c r="P99" s="144"/>
      <c r="Q99" s="144"/>
      <c r="R99" s="144"/>
      <c r="S99" s="144"/>
      <c r="T99" s="144"/>
      <c r="U99" s="145"/>
    </row>
    <row r="100" spans="1:33" ht="97.5" customHeight="1" x14ac:dyDescent="0.15">
      <c r="B100" s="112"/>
      <c r="C100" s="26" t="s">
        <v>73</v>
      </c>
      <c r="D100" s="146" t="s">
        <v>160</v>
      </c>
      <c r="E100" s="147"/>
      <c r="F100" s="147"/>
      <c r="G100" s="147"/>
      <c r="H100" s="147"/>
      <c r="I100" s="147"/>
      <c r="J100" s="147"/>
      <c r="K100" s="147"/>
      <c r="L100" s="147"/>
      <c r="M100" s="147"/>
      <c r="N100" s="147"/>
      <c r="O100" s="147"/>
      <c r="P100" s="147"/>
      <c r="Q100" s="147"/>
      <c r="R100" s="147"/>
      <c r="S100" s="147"/>
      <c r="T100" s="147"/>
      <c r="U100" s="148"/>
    </row>
    <row r="101" spans="1:33" ht="97.5" customHeight="1" x14ac:dyDescent="0.15">
      <c r="B101" s="108"/>
      <c r="C101" s="25" t="s">
        <v>74</v>
      </c>
      <c r="D101" s="140" t="s">
        <v>161</v>
      </c>
      <c r="E101" s="141"/>
      <c r="F101" s="141"/>
      <c r="G101" s="141"/>
      <c r="H101" s="141"/>
      <c r="I101" s="141"/>
      <c r="J101" s="141"/>
      <c r="K101" s="141"/>
      <c r="L101" s="141"/>
      <c r="M101" s="141"/>
      <c r="N101" s="141"/>
      <c r="O101" s="141"/>
      <c r="P101" s="141"/>
      <c r="Q101" s="141"/>
      <c r="R101" s="141"/>
      <c r="S101" s="141"/>
      <c r="T101" s="141"/>
      <c r="U101" s="142"/>
    </row>
    <row r="102" spans="1:33" ht="6" customHeight="1" x14ac:dyDescent="0.15"/>
    <row r="103" spans="1:33" ht="18.75" customHeight="1" x14ac:dyDescent="0.15">
      <c r="A103" s="1" t="s">
        <v>109</v>
      </c>
    </row>
    <row r="104" spans="1:33" ht="81.75" customHeight="1" x14ac:dyDescent="0.15">
      <c r="B104" s="124" t="s">
        <v>162</v>
      </c>
      <c r="C104" s="125"/>
      <c r="D104" s="125"/>
      <c r="E104" s="125"/>
      <c r="F104" s="125"/>
      <c r="G104" s="125"/>
      <c r="H104" s="125"/>
      <c r="I104" s="125"/>
      <c r="J104" s="125"/>
      <c r="K104" s="125"/>
      <c r="L104" s="125"/>
      <c r="M104" s="125"/>
      <c r="N104" s="125"/>
      <c r="O104" s="125"/>
      <c r="P104" s="125"/>
      <c r="Q104" s="125"/>
      <c r="R104" s="125"/>
      <c r="S104" s="125"/>
      <c r="T104" s="125"/>
      <c r="U104" s="126"/>
    </row>
    <row r="106" spans="1:33" ht="18.75" customHeight="1" x14ac:dyDescent="0.15">
      <c r="A106" s="72" t="s">
        <v>125</v>
      </c>
      <c r="B106" s="73"/>
      <c r="C106" s="73"/>
      <c r="D106" s="73"/>
      <c r="E106" s="73"/>
      <c r="F106" s="73"/>
      <c r="G106" s="73"/>
      <c r="H106" s="73"/>
      <c r="I106" s="73"/>
      <c r="J106" s="73"/>
      <c r="K106" s="73"/>
      <c r="L106" s="73"/>
      <c r="M106" s="73"/>
      <c r="N106" s="73"/>
      <c r="O106" s="73"/>
      <c r="P106" s="73"/>
      <c r="Q106" s="73"/>
      <c r="R106" s="73"/>
      <c r="S106" s="73"/>
      <c r="T106" s="73"/>
      <c r="U106" s="73"/>
    </row>
    <row r="107" spans="1:33" ht="18.75" customHeight="1" x14ac:dyDescent="0.15">
      <c r="A107" s="72" t="s">
        <v>127</v>
      </c>
      <c r="B107" s="72"/>
      <c r="C107" s="72"/>
      <c r="D107" s="72"/>
      <c r="E107" s="72"/>
      <c r="F107" s="72"/>
      <c r="G107" s="72"/>
      <c r="H107" s="72"/>
      <c r="I107" s="72"/>
      <c r="J107" s="72"/>
      <c r="K107" s="72"/>
      <c r="L107" s="72"/>
      <c r="M107" s="72"/>
      <c r="N107" s="72"/>
      <c r="O107" s="72"/>
      <c r="P107" s="72"/>
      <c r="Q107" s="72"/>
      <c r="R107" s="72"/>
      <c r="S107" s="72"/>
      <c r="T107" s="72"/>
      <c r="U107" s="72"/>
      <c r="V107" s="2"/>
      <c r="W107" s="2"/>
      <c r="X107" s="2"/>
      <c r="Y107" s="2"/>
      <c r="Z107" s="2"/>
      <c r="AA107" s="2"/>
      <c r="AB107" s="2"/>
      <c r="AC107" s="2"/>
      <c r="AD107" s="2"/>
      <c r="AE107" s="2"/>
      <c r="AF107" s="2"/>
      <c r="AG107" s="2"/>
    </row>
    <row r="108" spans="1:33" ht="18.75" customHeight="1" x14ac:dyDescent="0.15">
      <c r="A108" s="72"/>
      <c r="B108" s="139" t="s">
        <v>130</v>
      </c>
      <c r="C108" s="139"/>
      <c r="D108" s="139"/>
      <c r="E108" s="139"/>
      <c r="F108" s="139"/>
      <c r="G108" s="139"/>
      <c r="H108" s="139"/>
      <c r="I108" s="139"/>
      <c r="J108" s="139"/>
      <c r="K108" s="139"/>
      <c r="L108" s="139"/>
      <c r="M108" s="139"/>
      <c r="N108" s="139"/>
      <c r="O108" s="139"/>
      <c r="P108" s="139"/>
      <c r="Q108" s="139"/>
      <c r="R108" s="139"/>
      <c r="S108" s="139"/>
      <c r="T108" s="139"/>
      <c r="U108" s="139"/>
      <c r="V108" s="68"/>
      <c r="W108" s="68"/>
      <c r="X108" s="68"/>
      <c r="Y108" s="68"/>
      <c r="Z108" s="68"/>
      <c r="AA108" s="68"/>
      <c r="AB108" s="68"/>
      <c r="AC108" s="68"/>
      <c r="AD108" s="68"/>
      <c r="AE108" s="68"/>
      <c r="AF108" s="68"/>
      <c r="AG108" s="68"/>
    </row>
    <row r="109" spans="1:33" ht="37.15" customHeight="1" x14ac:dyDescent="0.15">
      <c r="A109" s="72"/>
      <c r="B109" s="139"/>
      <c r="C109" s="139"/>
      <c r="D109" s="139"/>
      <c r="E109" s="139"/>
      <c r="F109" s="139"/>
      <c r="G109" s="139"/>
      <c r="H109" s="139"/>
      <c r="I109" s="139"/>
      <c r="J109" s="139"/>
      <c r="K109" s="139"/>
      <c r="L109" s="139"/>
      <c r="M109" s="139"/>
      <c r="N109" s="139"/>
      <c r="O109" s="139"/>
      <c r="P109" s="139"/>
      <c r="Q109" s="139"/>
      <c r="R109" s="139"/>
      <c r="S109" s="139"/>
      <c r="T109" s="139"/>
      <c r="U109" s="139"/>
      <c r="V109" s="68"/>
      <c r="W109" s="68"/>
      <c r="X109" s="68"/>
      <c r="Y109" s="68"/>
      <c r="Z109" s="68"/>
      <c r="AA109" s="68"/>
      <c r="AB109" s="68"/>
      <c r="AC109" s="68"/>
      <c r="AD109" s="68"/>
      <c r="AE109" s="68"/>
      <c r="AF109" s="68"/>
      <c r="AG109" s="68"/>
    </row>
    <row r="110" spans="1:33" ht="18.75" customHeight="1" x14ac:dyDescent="0.15">
      <c r="A110" s="72"/>
      <c r="B110" s="85" t="s">
        <v>126</v>
      </c>
      <c r="C110" s="85"/>
      <c r="D110" s="85"/>
      <c r="E110" s="85"/>
      <c r="F110" s="85"/>
      <c r="G110" s="85"/>
      <c r="H110" s="85"/>
      <c r="I110" s="85"/>
      <c r="J110" s="85"/>
      <c r="K110" s="85"/>
      <c r="L110" s="85"/>
      <c r="M110" s="85"/>
      <c r="N110" s="85"/>
      <c r="O110" s="85"/>
      <c r="P110" s="85"/>
      <c r="Q110" s="85"/>
      <c r="R110" s="85"/>
      <c r="S110" s="85"/>
      <c r="T110" s="85"/>
      <c r="U110" s="85"/>
      <c r="V110" s="68"/>
      <c r="W110" s="68"/>
      <c r="X110" s="68"/>
      <c r="Y110" s="68"/>
      <c r="Z110" s="68"/>
      <c r="AA110" s="68"/>
      <c r="AB110" s="68"/>
      <c r="AC110" s="68"/>
      <c r="AD110" s="68"/>
      <c r="AE110" s="68"/>
      <c r="AF110" s="68"/>
      <c r="AG110" s="68"/>
    </row>
    <row r="111" spans="1:33" ht="18.75" customHeight="1" x14ac:dyDescent="0.15">
      <c r="A111" s="72"/>
      <c r="B111" s="98" t="s">
        <v>54</v>
      </c>
      <c r="C111" s="98"/>
      <c r="D111" s="98"/>
      <c r="E111" s="98"/>
      <c r="F111" s="98"/>
      <c r="G111" s="98"/>
      <c r="H111" s="98"/>
      <c r="I111" s="98"/>
      <c r="J111" s="98"/>
      <c r="K111" s="98"/>
      <c r="L111" s="98"/>
      <c r="M111" s="98"/>
      <c r="N111" s="98"/>
      <c r="O111" s="98"/>
      <c r="P111" s="98"/>
      <c r="Q111" s="98"/>
      <c r="R111" s="98"/>
      <c r="S111" s="98"/>
      <c r="T111" s="98"/>
      <c r="U111" s="98"/>
      <c r="V111" s="67"/>
      <c r="W111" s="67"/>
      <c r="X111" s="67"/>
      <c r="Y111" s="67"/>
      <c r="Z111" s="67"/>
      <c r="AA111" s="67"/>
      <c r="AB111" s="67"/>
      <c r="AC111" s="67"/>
      <c r="AD111" s="67"/>
      <c r="AE111" s="67"/>
      <c r="AF111" s="67"/>
      <c r="AG111" s="67"/>
    </row>
    <row r="112" spans="1:33" ht="132" customHeight="1" x14ac:dyDescent="0.15">
      <c r="A112" s="72"/>
      <c r="B112" s="99" t="s">
        <v>163</v>
      </c>
      <c r="C112" s="99"/>
      <c r="D112" s="99"/>
      <c r="E112" s="99"/>
      <c r="F112" s="99"/>
      <c r="G112" s="99"/>
      <c r="H112" s="99"/>
      <c r="I112" s="99"/>
      <c r="J112" s="99"/>
      <c r="K112" s="99"/>
      <c r="L112" s="99"/>
      <c r="M112" s="99"/>
      <c r="N112" s="99"/>
      <c r="O112" s="99"/>
      <c r="P112" s="99"/>
      <c r="Q112" s="99"/>
      <c r="R112" s="99"/>
      <c r="S112" s="99"/>
      <c r="T112" s="99"/>
      <c r="U112" s="99"/>
      <c r="V112" s="69"/>
      <c r="W112" s="69"/>
      <c r="X112" s="69"/>
      <c r="Y112" s="69"/>
      <c r="Z112" s="69"/>
      <c r="AA112" s="69"/>
      <c r="AB112" s="69"/>
      <c r="AC112" s="69"/>
      <c r="AD112" s="69"/>
      <c r="AE112" s="69"/>
      <c r="AF112" s="69"/>
      <c r="AG112" s="69"/>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H81:J82 R81:R88 S81:U82 H85:J88 S85:U88 G81:G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K16" sqref="K16"/>
    </sheetView>
  </sheetViews>
  <sheetFormatPr defaultColWidth="9" defaultRowHeight="18.75" customHeight="1" x14ac:dyDescent="0.15"/>
  <cols>
    <col min="1" max="1" width="2.75" style="1" customWidth="1"/>
    <col min="2" max="2" width="20.75" style="1" customWidth="1"/>
    <col min="3" max="17" width="6.125" style="1" customWidth="1"/>
    <col min="18" max="19" width="9.125" style="1" customWidth="1"/>
    <col min="20" max="16384" width="9" style="1"/>
  </cols>
  <sheetData>
    <row r="1" spans="1:21" ht="18" customHeight="1" x14ac:dyDescent="0.15">
      <c r="A1" s="73"/>
      <c r="B1" s="73"/>
      <c r="C1" s="73"/>
      <c r="D1" s="73"/>
      <c r="E1" s="73"/>
      <c r="F1" s="73"/>
      <c r="G1" s="73"/>
      <c r="H1" s="73"/>
      <c r="I1" s="73"/>
      <c r="J1" s="73"/>
      <c r="K1" s="73"/>
      <c r="L1" s="73"/>
      <c r="M1" s="73"/>
      <c r="N1" s="73"/>
      <c r="O1" s="73"/>
      <c r="P1" s="73"/>
      <c r="Q1" s="73"/>
      <c r="R1" s="73"/>
      <c r="S1" s="73" t="s">
        <v>98</v>
      </c>
    </row>
    <row r="2" spans="1:21" ht="18" customHeight="1" x14ac:dyDescent="0.15">
      <c r="A2" s="73"/>
      <c r="B2" s="73"/>
      <c r="C2" s="73"/>
      <c r="D2" s="73"/>
      <c r="E2" s="73"/>
      <c r="F2" s="73"/>
      <c r="G2" s="73"/>
      <c r="H2" s="73"/>
      <c r="I2" s="73"/>
      <c r="J2" s="73"/>
      <c r="K2" s="73"/>
      <c r="L2" s="73"/>
      <c r="M2" s="73"/>
      <c r="N2" s="73"/>
      <c r="O2" s="73"/>
      <c r="P2" s="73"/>
      <c r="Q2" s="162" t="str">
        <f>'様式１　プログラムを構成する授業科目'!C2</f>
        <v>中村学園大学短期大学部</v>
      </c>
      <c r="R2" s="162"/>
      <c r="S2" s="162"/>
    </row>
    <row r="3" spans="1:21" ht="18" customHeight="1" x14ac:dyDescent="0.15">
      <c r="A3" s="113" t="s">
        <v>47</v>
      </c>
      <c r="B3" s="113"/>
      <c r="C3" s="113"/>
      <c r="D3" s="113"/>
      <c r="E3" s="113"/>
      <c r="F3" s="113"/>
      <c r="G3" s="113"/>
      <c r="H3" s="113"/>
      <c r="I3" s="113"/>
      <c r="J3" s="113"/>
      <c r="K3" s="113"/>
      <c r="L3" s="113"/>
      <c r="M3" s="113"/>
      <c r="N3" s="113"/>
      <c r="O3" s="113"/>
      <c r="P3" s="113"/>
      <c r="Q3" s="113"/>
      <c r="R3" s="113"/>
      <c r="S3" s="113"/>
    </row>
    <row r="4" spans="1:21" ht="7.5" customHeight="1" x14ac:dyDescent="0.15">
      <c r="A4" s="78"/>
      <c r="B4" s="78"/>
      <c r="C4" s="78"/>
      <c r="D4" s="78"/>
      <c r="E4" s="78"/>
      <c r="F4" s="78"/>
      <c r="G4" s="78"/>
      <c r="H4" s="78"/>
      <c r="I4" s="78"/>
      <c r="J4" s="78"/>
      <c r="K4" s="78"/>
      <c r="L4" s="78"/>
      <c r="M4" s="78"/>
      <c r="N4" s="78"/>
      <c r="O4" s="78"/>
      <c r="P4" s="78"/>
      <c r="Q4" s="78"/>
      <c r="R4" s="78"/>
      <c r="S4" s="78"/>
    </row>
    <row r="5" spans="1:21" ht="18" customHeight="1" x14ac:dyDescent="0.15">
      <c r="A5" s="73" t="s">
        <v>80</v>
      </c>
      <c r="B5" s="73"/>
      <c r="C5" s="136" t="s">
        <v>136</v>
      </c>
      <c r="D5" s="138"/>
      <c r="E5" s="78" t="s">
        <v>51</v>
      </c>
      <c r="F5" s="78"/>
      <c r="G5" s="78"/>
      <c r="H5" s="78"/>
      <c r="I5" s="78"/>
      <c r="J5" s="78"/>
      <c r="K5" s="78"/>
      <c r="L5" s="78"/>
      <c r="M5" s="78"/>
      <c r="N5" s="78"/>
      <c r="O5" s="78"/>
      <c r="P5" s="78"/>
      <c r="Q5" s="78"/>
      <c r="R5" s="76"/>
      <c r="S5" s="76"/>
    </row>
    <row r="6" spans="1:21" ht="7.15" customHeight="1" x14ac:dyDescent="0.15">
      <c r="A6" s="73"/>
      <c r="B6" s="73"/>
      <c r="C6" s="82"/>
      <c r="D6" s="82"/>
      <c r="E6" s="78"/>
      <c r="F6" s="78"/>
      <c r="G6" s="78"/>
      <c r="H6" s="78"/>
      <c r="I6" s="78"/>
      <c r="J6" s="78"/>
      <c r="K6" s="78"/>
      <c r="L6" s="78"/>
      <c r="M6" s="78"/>
      <c r="N6" s="78"/>
      <c r="O6" s="78"/>
      <c r="P6" s="78"/>
      <c r="Q6" s="78"/>
      <c r="R6" s="76"/>
      <c r="S6" s="76"/>
    </row>
    <row r="7" spans="1:21" ht="18" customHeight="1" x14ac:dyDescent="0.15">
      <c r="A7" s="73" t="s">
        <v>118</v>
      </c>
      <c r="B7" s="73"/>
      <c r="C7" s="82"/>
      <c r="D7" s="82"/>
      <c r="E7" s="78" t="s">
        <v>119</v>
      </c>
      <c r="F7" s="81">
        <v>103</v>
      </c>
      <c r="G7" s="79" t="s">
        <v>120</v>
      </c>
      <c r="H7" s="78" t="s">
        <v>121</v>
      </c>
      <c r="I7" s="81">
        <v>749</v>
      </c>
      <c r="J7" s="79" t="s">
        <v>120</v>
      </c>
      <c r="K7" s="74" t="s">
        <v>122</v>
      </c>
      <c r="L7" s="78" t="s">
        <v>123</v>
      </c>
      <c r="M7" s="81">
        <f>F7+I7</f>
        <v>852</v>
      </c>
      <c r="N7" s="78" t="s">
        <v>1</v>
      </c>
      <c r="O7" s="79" t="s">
        <v>124</v>
      </c>
      <c r="P7" s="78"/>
      <c r="Q7" s="78"/>
      <c r="R7" s="76"/>
      <c r="S7" s="76"/>
    </row>
    <row r="8" spans="1:21" ht="6" customHeight="1" x14ac:dyDescent="0.15">
      <c r="A8" s="78"/>
      <c r="B8" s="78"/>
      <c r="C8" s="78"/>
      <c r="D8" s="78"/>
      <c r="E8" s="78"/>
      <c r="F8" s="78"/>
      <c r="G8" s="78"/>
      <c r="H8" s="78"/>
      <c r="I8" s="78"/>
      <c r="J8" s="78"/>
      <c r="K8" s="78"/>
      <c r="L8" s="78"/>
      <c r="M8" s="78"/>
      <c r="N8" s="78"/>
      <c r="O8" s="78"/>
      <c r="P8" s="78"/>
      <c r="Q8" s="78"/>
      <c r="R8" s="78"/>
      <c r="S8" s="78"/>
    </row>
    <row r="9" spans="1:21" ht="18" customHeight="1" x14ac:dyDescent="0.15">
      <c r="A9" s="73" t="s">
        <v>134</v>
      </c>
      <c r="B9" s="78"/>
      <c r="C9" s="78"/>
      <c r="D9" s="78"/>
      <c r="E9" s="78"/>
      <c r="F9" s="78"/>
      <c r="G9" s="78"/>
      <c r="H9" s="78"/>
      <c r="I9" s="78"/>
      <c r="J9" s="78"/>
      <c r="K9" s="78"/>
      <c r="L9" s="78"/>
      <c r="M9" s="78"/>
      <c r="N9" s="78"/>
      <c r="O9" s="78"/>
      <c r="P9" s="78"/>
      <c r="Q9" s="78"/>
      <c r="R9" s="78"/>
      <c r="S9" s="78"/>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3" t="s">
        <v>44</v>
      </c>
      <c r="C11" s="173" t="s">
        <v>83</v>
      </c>
      <c r="D11" s="165" t="s">
        <v>46</v>
      </c>
      <c r="E11" s="167" t="s">
        <v>39</v>
      </c>
      <c r="F11" s="161" t="s">
        <v>112</v>
      </c>
      <c r="G11" s="161"/>
      <c r="H11" s="161" t="s">
        <v>82</v>
      </c>
      <c r="I11" s="161"/>
      <c r="J11" s="161" t="s">
        <v>48</v>
      </c>
      <c r="K11" s="161"/>
      <c r="L11" s="161" t="s">
        <v>49</v>
      </c>
      <c r="M11" s="161"/>
      <c r="N11" s="161" t="s">
        <v>92</v>
      </c>
      <c r="O11" s="161"/>
      <c r="P11" s="161" t="s">
        <v>50</v>
      </c>
      <c r="Q11" s="161"/>
      <c r="R11" s="169" t="s">
        <v>35</v>
      </c>
      <c r="S11" s="171" t="s">
        <v>32</v>
      </c>
      <c r="U11" s="2"/>
    </row>
    <row r="12" spans="1:21" ht="16.899999999999999" customHeight="1" x14ac:dyDescent="0.15">
      <c r="B12" s="164"/>
      <c r="C12" s="174"/>
      <c r="D12" s="166"/>
      <c r="E12" s="168"/>
      <c r="F12" s="62" t="s">
        <v>91</v>
      </c>
      <c r="G12" s="62" t="s">
        <v>29</v>
      </c>
      <c r="H12" s="62" t="s">
        <v>91</v>
      </c>
      <c r="I12" s="62" t="s">
        <v>29</v>
      </c>
      <c r="J12" s="62" t="s">
        <v>91</v>
      </c>
      <c r="K12" s="62" t="s">
        <v>29</v>
      </c>
      <c r="L12" s="62" t="s">
        <v>91</v>
      </c>
      <c r="M12" s="62" t="s">
        <v>29</v>
      </c>
      <c r="N12" s="62" t="s">
        <v>91</v>
      </c>
      <c r="O12" s="62" t="s">
        <v>29</v>
      </c>
      <c r="P12" s="62" t="s">
        <v>91</v>
      </c>
      <c r="Q12" s="63" t="s">
        <v>29</v>
      </c>
      <c r="R12" s="170"/>
      <c r="S12" s="172"/>
      <c r="U12" s="2"/>
    </row>
    <row r="13" spans="1:21" ht="18" customHeight="1" x14ac:dyDescent="0.15">
      <c r="A13" s="6"/>
      <c r="B13" s="64" t="s">
        <v>138</v>
      </c>
      <c r="C13" s="50">
        <v>176</v>
      </c>
      <c r="D13" s="51">
        <v>80</v>
      </c>
      <c r="E13" s="52">
        <v>160</v>
      </c>
      <c r="F13" s="52">
        <v>23</v>
      </c>
      <c r="G13" s="52">
        <v>18</v>
      </c>
      <c r="H13" s="52">
        <v>4</v>
      </c>
      <c r="I13" s="52">
        <v>4</v>
      </c>
      <c r="J13" s="52"/>
      <c r="K13" s="52"/>
      <c r="L13" s="52"/>
      <c r="M13" s="52"/>
      <c r="N13" s="52"/>
      <c r="O13" s="52"/>
      <c r="P13" s="52"/>
      <c r="Q13" s="65"/>
      <c r="R13" s="51">
        <f t="shared" ref="R13:R32" si="0">F13+H13+J13+L13+N13+P13</f>
        <v>27</v>
      </c>
      <c r="S13" s="83">
        <f t="shared" ref="S13:S33" si="1">R13/E13</f>
        <v>0.16875000000000001</v>
      </c>
    </row>
    <row r="14" spans="1:21" ht="18" customHeight="1" x14ac:dyDescent="0.15">
      <c r="A14" s="6"/>
      <c r="B14" s="10" t="s">
        <v>139</v>
      </c>
      <c r="C14" s="53">
        <v>284</v>
      </c>
      <c r="D14" s="54">
        <v>120</v>
      </c>
      <c r="E14" s="55">
        <v>240</v>
      </c>
      <c r="F14" s="56">
        <v>86</v>
      </c>
      <c r="G14" s="56">
        <v>82</v>
      </c>
      <c r="H14" s="56">
        <v>23</v>
      </c>
      <c r="I14" s="56">
        <v>21</v>
      </c>
      <c r="J14" s="56"/>
      <c r="K14" s="56"/>
      <c r="L14" s="56"/>
      <c r="M14" s="56"/>
      <c r="N14" s="56"/>
      <c r="O14" s="56"/>
      <c r="P14" s="56"/>
      <c r="Q14" s="53"/>
      <c r="R14" s="54">
        <f t="shared" si="0"/>
        <v>109</v>
      </c>
      <c r="S14" s="8">
        <f t="shared" si="1"/>
        <v>0.45416666666666666</v>
      </c>
    </row>
    <row r="15" spans="1:21" ht="18" customHeight="1" x14ac:dyDescent="0.15">
      <c r="A15" s="6"/>
      <c r="B15" s="10" t="s">
        <v>140</v>
      </c>
      <c r="C15" s="53">
        <v>392</v>
      </c>
      <c r="D15" s="54">
        <v>190</v>
      </c>
      <c r="E15" s="55">
        <v>380</v>
      </c>
      <c r="F15" s="56">
        <v>59</v>
      </c>
      <c r="G15" s="56">
        <v>55</v>
      </c>
      <c r="H15" s="56">
        <v>14</v>
      </c>
      <c r="I15" s="56">
        <v>14</v>
      </c>
      <c r="J15" s="56"/>
      <c r="K15" s="56"/>
      <c r="L15" s="56"/>
      <c r="M15" s="56"/>
      <c r="N15" s="56"/>
      <c r="O15" s="56"/>
      <c r="P15" s="56"/>
      <c r="Q15" s="53"/>
      <c r="R15" s="54">
        <f t="shared" si="0"/>
        <v>73</v>
      </c>
      <c r="S15" s="8">
        <f t="shared" si="1"/>
        <v>0.19210526315789472</v>
      </c>
    </row>
    <row r="16" spans="1:21" ht="18" customHeight="1" x14ac:dyDescent="0.15">
      <c r="A16" s="6"/>
      <c r="B16" s="10"/>
      <c r="C16" s="53"/>
      <c r="D16" s="54"/>
      <c r="E16" s="55"/>
      <c r="F16" s="56"/>
      <c r="G16" s="56"/>
      <c r="H16" s="56"/>
      <c r="I16" s="56"/>
      <c r="J16" s="56"/>
      <c r="K16" s="56"/>
      <c r="L16" s="56"/>
      <c r="M16" s="56"/>
      <c r="N16" s="56"/>
      <c r="O16" s="56"/>
      <c r="P16" s="56"/>
      <c r="Q16" s="53"/>
      <c r="R16" s="54">
        <f t="shared" si="0"/>
        <v>0</v>
      </c>
      <c r="S16" s="8" t="e">
        <f t="shared" si="1"/>
        <v>#DIV/0!</v>
      </c>
    </row>
    <row r="17" spans="1:19" ht="18" customHeight="1" x14ac:dyDescent="0.15">
      <c r="A17" s="6"/>
      <c r="B17" s="10"/>
      <c r="C17" s="53"/>
      <c r="D17" s="54"/>
      <c r="E17" s="55"/>
      <c r="F17" s="56"/>
      <c r="G17" s="56"/>
      <c r="H17" s="56"/>
      <c r="I17" s="56"/>
      <c r="J17" s="56"/>
      <c r="K17" s="56"/>
      <c r="L17" s="56"/>
      <c r="M17" s="56"/>
      <c r="N17" s="56"/>
      <c r="O17" s="56"/>
      <c r="P17" s="56"/>
      <c r="Q17" s="53"/>
      <c r="R17" s="54">
        <f t="shared" si="0"/>
        <v>0</v>
      </c>
      <c r="S17" s="8" t="e">
        <f t="shared" si="1"/>
        <v>#DIV/0!</v>
      </c>
    </row>
    <row r="18" spans="1:19" ht="18" customHeight="1" x14ac:dyDescent="0.15">
      <c r="A18" s="6"/>
      <c r="B18" s="10"/>
      <c r="C18" s="53"/>
      <c r="D18" s="54"/>
      <c r="E18" s="55"/>
      <c r="F18" s="56"/>
      <c r="G18" s="56"/>
      <c r="H18" s="56"/>
      <c r="I18" s="56"/>
      <c r="J18" s="56"/>
      <c r="K18" s="56"/>
      <c r="L18" s="56"/>
      <c r="M18" s="56"/>
      <c r="N18" s="56"/>
      <c r="O18" s="56"/>
      <c r="P18" s="56"/>
      <c r="Q18" s="53"/>
      <c r="R18" s="54">
        <f t="shared" si="0"/>
        <v>0</v>
      </c>
      <c r="S18" s="8" t="e">
        <f t="shared" si="1"/>
        <v>#DIV/0!</v>
      </c>
    </row>
    <row r="19" spans="1:19" ht="18" customHeight="1" x14ac:dyDescent="0.15">
      <c r="A19" s="6"/>
      <c r="B19" s="10"/>
      <c r="C19" s="53"/>
      <c r="D19" s="54"/>
      <c r="E19" s="55"/>
      <c r="F19" s="56"/>
      <c r="G19" s="56"/>
      <c r="H19" s="56"/>
      <c r="I19" s="56"/>
      <c r="J19" s="56"/>
      <c r="K19" s="56"/>
      <c r="L19" s="56"/>
      <c r="M19" s="56"/>
      <c r="N19" s="56"/>
      <c r="O19" s="56"/>
      <c r="P19" s="56"/>
      <c r="Q19" s="53"/>
      <c r="R19" s="54">
        <f t="shared" si="0"/>
        <v>0</v>
      </c>
      <c r="S19" s="8" t="e">
        <f t="shared" si="1"/>
        <v>#DIV/0!</v>
      </c>
    </row>
    <row r="20" spans="1:19" ht="18" customHeight="1" x14ac:dyDescent="0.15">
      <c r="A20" s="6"/>
      <c r="B20" s="10"/>
      <c r="C20" s="53"/>
      <c r="D20" s="54"/>
      <c r="E20" s="55"/>
      <c r="F20" s="56"/>
      <c r="G20" s="56"/>
      <c r="H20" s="56"/>
      <c r="I20" s="56"/>
      <c r="J20" s="56"/>
      <c r="K20" s="56"/>
      <c r="L20" s="56"/>
      <c r="M20" s="56"/>
      <c r="N20" s="56"/>
      <c r="O20" s="56"/>
      <c r="P20" s="56"/>
      <c r="Q20" s="53"/>
      <c r="R20" s="54">
        <f t="shared" si="0"/>
        <v>0</v>
      </c>
      <c r="S20" s="8" t="e">
        <f t="shared" si="1"/>
        <v>#DIV/0!</v>
      </c>
    </row>
    <row r="21" spans="1:19" ht="18" customHeight="1" x14ac:dyDescent="0.15">
      <c r="A21" s="6"/>
      <c r="B21" s="10"/>
      <c r="C21" s="53"/>
      <c r="D21" s="54"/>
      <c r="E21" s="55"/>
      <c r="F21" s="56"/>
      <c r="G21" s="56"/>
      <c r="H21" s="56"/>
      <c r="I21" s="56"/>
      <c r="J21" s="56"/>
      <c r="K21" s="56"/>
      <c r="L21" s="56"/>
      <c r="M21" s="56"/>
      <c r="N21" s="56"/>
      <c r="O21" s="56"/>
      <c r="P21" s="56"/>
      <c r="Q21" s="53"/>
      <c r="R21" s="54">
        <f t="shared" si="0"/>
        <v>0</v>
      </c>
      <c r="S21" s="8" t="e">
        <f t="shared" si="1"/>
        <v>#DIV/0!</v>
      </c>
    </row>
    <row r="22" spans="1:19" ht="18" customHeight="1" x14ac:dyDescent="0.15">
      <c r="A22" s="6"/>
      <c r="B22" s="10"/>
      <c r="C22" s="53"/>
      <c r="D22" s="54"/>
      <c r="E22" s="55"/>
      <c r="F22" s="56"/>
      <c r="G22" s="56"/>
      <c r="H22" s="56"/>
      <c r="I22" s="56"/>
      <c r="J22" s="56"/>
      <c r="K22" s="56"/>
      <c r="L22" s="56"/>
      <c r="M22" s="56"/>
      <c r="N22" s="56"/>
      <c r="O22" s="56"/>
      <c r="P22" s="56"/>
      <c r="Q22" s="53"/>
      <c r="R22" s="54">
        <f t="shared" si="0"/>
        <v>0</v>
      </c>
      <c r="S22" s="8" t="e">
        <f t="shared" si="1"/>
        <v>#DIV/0!</v>
      </c>
    </row>
    <row r="23" spans="1:19" ht="18" customHeight="1" x14ac:dyDescent="0.15">
      <c r="A23" s="6"/>
      <c r="B23" s="10"/>
      <c r="C23" s="53"/>
      <c r="D23" s="54"/>
      <c r="E23" s="55"/>
      <c r="F23" s="56"/>
      <c r="G23" s="56"/>
      <c r="H23" s="56"/>
      <c r="I23" s="56"/>
      <c r="J23" s="56"/>
      <c r="K23" s="56"/>
      <c r="L23" s="56"/>
      <c r="M23" s="56"/>
      <c r="N23" s="56"/>
      <c r="O23" s="56"/>
      <c r="P23" s="56"/>
      <c r="Q23" s="53"/>
      <c r="R23" s="54">
        <f t="shared" si="0"/>
        <v>0</v>
      </c>
      <c r="S23" s="8" t="e">
        <f t="shared" si="1"/>
        <v>#DIV/0!</v>
      </c>
    </row>
    <row r="24" spans="1:19" ht="18" customHeight="1" x14ac:dyDescent="0.15">
      <c r="A24" s="6"/>
      <c r="B24" s="10"/>
      <c r="C24" s="53"/>
      <c r="D24" s="54"/>
      <c r="E24" s="55"/>
      <c r="F24" s="56"/>
      <c r="G24" s="56"/>
      <c r="H24" s="56"/>
      <c r="I24" s="56"/>
      <c r="J24" s="56"/>
      <c r="K24" s="56"/>
      <c r="L24" s="56"/>
      <c r="M24" s="56"/>
      <c r="N24" s="56"/>
      <c r="O24" s="56"/>
      <c r="P24" s="56"/>
      <c r="Q24" s="53"/>
      <c r="R24" s="54">
        <f t="shared" si="0"/>
        <v>0</v>
      </c>
      <c r="S24" s="8" t="e">
        <f t="shared" si="1"/>
        <v>#DIV/0!</v>
      </c>
    </row>
    <row r="25" spans="1:19" ht="18" customHeight="1" x14ac:dyDescent="0.15">
      <c r="A25" s="6"/>
      <c r="B25" s="10"/>
      <c r="C25" s="53"/>
      <c r="D25" s="54"/>
      <c r="E25" s="55"/>
      <c r="F25" s="56"/>
      <c r="G25" s="56"/>
      <c r="H25" s="56"/>
      <c r="I25" s="56"/>
      <c r="J25" s="56"/>
      <c r="K25" s="56"/>
      <c r="L25" s="56"/>
      <c r="M25" s="56"/>
      <c r="N25" s="56"/>
      <c r="O25" s="56"/>
      <c r="P25" s="56"/>
      <c r="Q25" s="53"/>
      <c r="R25" s="54">
        <f t="shared" si="0"/>
        <v>0</v>
      </c>
      <c r="S25" s="8" t="e">
        <f t="shared" si="1"/>
        <v>#DIV/0!</v>
      </c>
    </row>
    <row r="26" spans="1:19" ht="18" customHeight="1" x14ac:dyDescent="0.15">
      <c r="A26" s="6"/>
      <c r="B26" s="10"/>
      <c r="C26" s="53"/>
      <c r="D26" s="54"/>
      <c r="E26" s="55"/>
      <c r="F26" s="56"/>
      <c r="G26" s="56"/>
      <c r="H26" s="56"/>
      <c r="I26" s="56"/>
      <c r="J26" s="56"/>
      <c r="K26" s="56"/>
      <c r="L26" s="56"/>
      <c r="M26" s="56"/>
      <c r="N26" s="56"/>
      <c r="O26" s="56"/>
      <c r="P26" s="56"/>
      <c r="Q26" s="53"/>
      <c r="R26" s="54">
        <f t="shared" si="0"/>
        <v>0</v>
      </c>
      <c r="S26" s="8" t="e">
        <f t="shared" si="1"/>
        <v>#DIV/0!</v>
      </c>
    </row>
    <row r="27" spans="1:19" ht="18" customHeight="1" x14ac:dyDescent="0.15">
      <c r="A27" s="6"/>
      <c r="B27" s="10"/>
      <c r="C27" s="53"/>
      <c r="D27" s="54"/>
      <c r="E27" s="55"/>
      <c r="F27" s="56"/>
      <c r="G27" s="56"/>
      <c r="H27" s="56"/>
      <c r="I27" s="56"/>
      <c r="J27" s="56"/>
      <c r="K27" s="56"/>
      <c r="L27" s="56"/>
      <c r="M27" s="56"/>
      <c r="N27" s="56"/>
      <c r="O27" s="56"/>
      <c r="P27" s="56"/>
      <c r="Q27" s="53"/>
      <c r="R27" s="54">
        <f t="shared" si="0"/>
        <v>0</v>
      </c>
      <c r="S27" s="8" t="e">
        <f t="shared" si="1"/>
        <v>#DIV/0!</v>
      </c>
    </row>
    <row r="28" spans="1:19" ht="18" customHeight="1" x14ac:dyDescent="0.15">
      <c r="A28" s="6"/>
      <c r="B28" s="10"/>
      <c r="C28" s="53"/>
      <c r="D28" s="54"/>
      <c r="E28" s="55"/>
      <c r="F28" s="56"/>
      <c r="G28" s="56"/>
      <c r="H28" s="56"/>
      <c r="I28" s="56"/>
      <c r="J28" s="56"/>
      <c r="K28" s="56"/>
      <c r="L28" s="56"/>
      <c r="M28" s="56"/>
      <c r="N28" s="56"/>
      <c r="O28" s="56"/>
      <c r="P28" s="56"/>
      <c r="Q28" s="53"/>
      <c r="R28" s="54">
        <f t="shared" si="0"/>
        <v>0</v>
      </c>
      <c r="S28" s="8" t="e">
        <f t="shared" si="1"/>
        <v>#DIV/0!</v>
      </c>
    </row>
    <row r="29" spans="1:19" ht="18" customHeight="1" x14ac:dyDescent="0.15">
      <c r="A29" s="6"/>
      <c r="B29" s="10"/>
      <c r="C29" s="53"/>
      <c r="D29" s="54"/>
      <c r="E29" s="55"/>
      <c r="F29" s="56"/>
      <c r="G29" s="56"/>
      <c r="H29" s="56"/>
      <c r="I29" s="56"/>
      <c r="J29" s="56"/>
      <c r="K29" s="56"/>
      <c r="L29" s="56"/>
      <c r="M29" s="56"/>
      <c r="N29" s="56"/>
      <c r="O29" s="56"/>
      <c r="P29" s="56"/>
      <c r="Q29" s="53"/>
      <c r="R29" s="54">
        <f t="shared" si="0"/>
        <v>0</v>
      </c>
      <c r="S29" s="8" t="e">
        <f t="shared" si="1"/>
        <v>#DIV/0!</v>
      </c>
    </row>
    <row r="30" spans="1:19" ht="18" customHeight="1" x14ac:dyDescent="0.15">
      <c r="A30" s="6"/>
      <c r="B30" s="10"/>
      <c r="C30" s="53"/>
      <c r="D30" s="57"/>
      <c r="E30" s="55"/>
      <c r="F30" s="56"/>
      <c r="G30" s="56"/>
      <c r="H30" s="56"/>
      <c r="I30" s="56"/>
      <c r="J30" s="56"/>
      <c r="K30" s="56"/>
      <c r="L30" s="56"/>
      <c r="M30" s="56"/>
      <c r="N30" s="56"/>
      <c r="O30" s="56"/>
      <c r="P30" s="56"/>
      <c r="Q30" s="53"/>
      <c r="R30" s="57">
        <f t="shared" si="0"/>
        <v>0</v>
      </c>
      <c r="S30" s="8" t="e">
        <f t="shared" si="1"/>
        <v>#DIV/0!</v>
      </c>
    </row>
    <row r="31" spans="1:19" ht="18" customHeight="1" x14ac:dyDescent="0.15">
      <c r="A31" s="6"/>
      <c r="B31" s="10"/>
      <c r="C31" s="53"/>
      <c r="D31" s="57"/>
      <c r="E31" s="55"/>
      <c r="F31" s="56"/>
      <c r="G31" s="56"/>
      <c r="H31" s="56"/>
      <c r="I31" s="56"/>
      <c r="J31" s="56"/>
      <c r="K31" s="56"/>
      <c r="L31" s="56"/>
      <c r="M31" s="56"/>
      <c r="N31" s="56"/>
      <c r="O31" s="56"/>
      <c r="P31" s="56"/>
      <c r="Q31" s="53"/>
      <c r="R31" s="57">
        <f t="shared" si="0"/>
        <v>0</v>
      </c>
      <c r="S31" s="8" t="e">
        <f t="shared" si="1"/>
        <v>#DIV/0!</v>
      </c>
    </row>
    <row r="32" spans="1:19" ht="18" customHeight="1" thickBot="1" x14ac:dyDescent="0.2">
      <c r="A32" s="6"/>
      <c r="B32" s="11"/>
      <c r="C32" s="50"/>
      <c r="D32" s="58"/>
      <c r="E32" s="52"/>
      <c r="F32" s="52"/>
      <c r="G32" s="52"/>
      <c r="H32" s="52"/>
      <c r="I32" s="52"/>
      <c r="J32" s="52"/>
      <c r="K32" s="52"/>
      <c r="L32" s="52"/>
      <c r="M32" s="52"/>
      <c r="N32" s="52"/>
      <c r="O32" s="52"/>
      <c r="P32" s="52"/>
      <c r="Q32" s="53"/>
      <c r="R32" s="58">
        <f t="shared" si="0"/>
        <v>0</v>
      </c>
      <c r="S32" s="7" t="e">
        <f t="shared" si="1"/>
        <v>#DIV/0!</v>
      </c>
    </row>
    <row r="33" spans="2:19" ht="18" customHeight="1" thickTop="1" x14ac:dyDescent="0.15">
      <c r="B33" s="12" t="s">
        <v>33</v>
      </c>
      <c r="C33" s="59">
        <f t="shared" ref="C33" si="2">SUM(C13:C32)</f>
        <v>852</v>
      </c>
      <c r="D33" s="60">
        <f t="shared" ref="D33:R33" si="3">SUM(D13:D32)</f>
        <v>390</v>
      </c>
      <c r="E33" s="61">
        <f t="shared" si="3"/>
        <v>780</v>
      </c>
      <c r="F33" s="61">
        <f t="shared" si="3"/>
        <v>168</v>
      </c>
      <c r="G33" s="61">
        <f t="shared" ref="G33:H33" si="4">SUM(G13:G32)</f>
        <v>155</v>
      </c>
      <c r="H33" s="61">
        <f t="shared" si="4"/>
        <v>41</v>
      </c>
      <c r="I33" s="61">
        <f t="shared" ref="I33:J33" si="5">SUM(I13:I32)</f>
        <v>39</v>
      </c>
      <c r="J33" s="61">
        <f t="shared" si="5"/>
        <v>0</v>
      </c>
      <c r="K33" s="61">
        <f t="shared" ref="K33:O33" si="6">SUM(K13:K32)</f>
        <v>0</v>
      </c>
      <c r="L33" s="61">
        <f t="shared" si="6"/>
        <v>0</v>
      </c>
      <c r="M33" s="61">
        <f t="shared" si="6"/>
        <v>0</v>
      </c>
      <c r="N33" s="61">
        <f t="shared" si="6"/>
        <v>0</v>
      </c>
      <c r="O33" s="61">
        <f t="shared" si="6"/>
        <v>0</v>
      </c>
      <c r="P33" s="61">
        <f t="shared" ref="P33:Q33" si="7">SUM(P13:P32)</f>
        <v>0</v>
      </c>
      <c r="Q33" s="59">
        <f t="shared" si="7"/>
        <v>0</v>
      </c>
      <c r="R33" s="60">
        <f t="shared" si="3"/>
        <v>209</v>
      </c>
      <c r="S33" s="84">
        <f t="shared" si="1"/>
        <v>0.26794871794871794</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8"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47" sqref="B47"/>
    </sheetView>
  </sheetViews>
  <sheetFormatPr defaultColWidth="11.375" defaultRowHeight="18.75" customHeight="1" x14ac:dyDescent="0.15"/>
  <cols>
    <col min="1" max="1" width="2.75" style="3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0" t="s">
        <v>63</v>
      </c>
      <c r="I1" s="28" t="s">
        <v>97</v>
      </c>
    </row>
    <row r="2" spans="1:9" ht="18.75" customHeight="1" x14ac:dyDescent="0.15">
      <c r="G2" s="28" t="s">
        <v>99</v>
      </c>
      <c r="H2" s="89" t="str">
        <f>'様式１　プログラムを構成する授業科目'!C2</f>
        <v>中村学園大学短期大学部</v>
      </c>
      <c r="I2" s="91"/>
    </row>
    <row r="3" spans="1:9" ht="18.75" customHeight="1" x14ac:dyDescent="0.15">
      <c r="G3" s="28"/>
      <c r="H3" s="9"/>
      <c r="I3" s="9"/>
    </row>
    <row r="4" spans="1:9" ht="18.600000000000001" customHeight="1" x14ac:dyDescent="0.15">
      <c r="A4" s="176" t="s">
        <v>36</v>
      </c>
      <c r="B4" s="176"/>
      <c r="C4" s="176"/>
      <c r="D4" s="176"/>
      <c r="E4" s="176"/>
      <c r="F4" s="176"/>
      <c r="G4" s="176"/>
      <c r="H4" s="176"/>
      <c r="I4" s="176"/>
    </row>
    <row r="5" spans="1:9" ht="13.15" customHeight="1" x14ac:dyDescent="0.15">
      <c r="B5" s="3"/>
      <c r="C5" s="3"/>
      <c r="D5" s="3"/>
      <c r="E5" s="3"/>
      <c r="F5" s="3"/>
      <c r="G5" s="3"/>
      <c r="H5" s="3"/>
      <c r="I5" s="3"/>
    </row>
    <row r="6" spans="1:9" ht="18" customHeight="1" x14ac:dyDescent="0.15">
      <c r="A6" s="1" t="s">
        <v>0</v>
      </c>
      <c r="B6" s="9" t="s">
        <v>86</v>
      </c>
      <c r="C6" s="196" t="s">
        <v>87</v>
      </c>
      <c r="D6" s="196"/>
      <c r="E6" s="27">
        <v>44</v>
      </c>
      <c r="F6" s="3" t="s">
        <v>1</v>
      </c>
      <c r="G6" s="3" t="s">
        <v>2</v>
      </c>
      <c r="H6" s="27">
        <v>36</v>
      </c>
      <c r="I6" s="9" t="s">
        <v>1</v>
      </c>
    </row>
    <row r="7" spans="1:9" ht="12" customHeight="1" x14ac:dyDescent="0.15">
      <c r="C7" s="2"/>
      <c r="D7" s="2"/>
      <c r="E7" s="2"/>
      <c r="F7" s="2"/>
      <c r="G7" s="2"/>
      <c r="H7" s="2"/>
      <c r="I7" s="31"/>
    </row>
    <row r="8" spans="1:9" ht="18" customHeight="1" x14ac:dyDescent="0.15">
      <c r="A8" s="1" t="s">
        <v>3</v>
      </c>
      <c r="B8" s="9" t="s">
        <v>88</v>
      </c>
      <c r="E8" s="3"/>
      <c r="F8" s="3"/>
      <c r="G8" s="3"/>
      <c r="H8" s="27">
        <v>1</v>
      </c>
      <c r="I8" s="9" t="s">
        <v>1</v>
      </c>
    </row>
    <row r="9" spans="1:9" ht="9" customHeight="1" x14ac:dyDescent="0.15">
      <c r="B9" s="3"/>
      <c r="C9" s="3"/>
      <c r="D9" s="3"/>
      <c r="E9" s="3"/>
      <c r="F9" s="3"/>
      <c r="G9" s="3"/>
      <c r="H9" s="3"/>
      <c r="I9" s="3"/>
    </row>
    <row r="10" spans="1:9" ht="18" customHeight="1" x14ac:dyDescent="0.15">
      <c r="A10" s="1" t="s">
        <v>4</v>
      </c>
      <c r="B10" s="9" t="s">
        <v>89</v>
      </c>
      <c r="C10" s="3"/>
      <c r="D10" s="3"/>
      <c r="E10" s="3"/>
      <c r="F10" s="3"/>
      <c r="G10" s="3"/>
      <c r="H10" s="3"/>
      <c r="I10" s="3"/>
    </row>
    <row r="11" spans="1:9" ht="18" customHeight="1" x14ac:dyDescent="0.15">
      <c r="B11" s="28" t="s">
        <v>42</v>
      </c>
      <c r="C11" s="191" t="s">
        <v>141</v>
      </c>
      <c r="D11" s="194"/>
      <c r="E11" s="195"/>
      <c r="F11" s="31"/>
      <c r="G11" s="28" t="s">
        <v>10</v>
      </c>
      <c r="H11" s="191" t="s">
        <v>142</v>
      </c>
      <c r="I11" s="195"/>
    </row>
    <row r="12" spans="1:9" ht="10.15" customHeight="1" x14ac:dyDescent="0.15">
      <c r="B12" s="28"/>
      <c r="C12" s="9"/>
      <c r="D12" s="31"/>
      <c r="E12" s="31"/>
      <c r="F12" s="31"/>
      <c r="G12" s="28"/>
      <c r="H12" s="9"/>
      <c r="I12" s="31"/>
    </row>
    <row r="13" spans="1:9" ht="18" customHeight="1" x14ac:dyDescent="0.15">
      <c r="A13" s="1" t="s">
        <v>7</v>
      </c>
      <c r="B13" s="9" t="s">
        <v>84</v>
      </c>
      <c r="C13" s="3"/>
      <c r="D13" s="3"/>
      <c r="E13" s="3"/>
      <c r="F13" s="3"/>
      <c r="G13" s="3"/>
      <c r="H13" s="3"/>
      <c r="I13" s="3"/>
    </row>
    <row r="14" spans="1:9" ht="18" customHeight="1" x14ac:dyDescent="0.15">
      <c r="B14" s="191" t="s">
        <v>144</v>
      </c>
      <c r="C14" s="192"/>
      <c r="D14" s="192"/>
      <c r="E14" s="192"/>
      <c r="F14" s="192"/>
      <c r="G14" s="192"/>
      <c r="H14" s="192"/>
      <c r="I14" s="193"/>
    </row>
    <row r="15" spans="1:9" ht="9" customHeight="1" x14ac:dyDescent="0.15">
      <c r="B15" s="3"/>
      <c r="C15" s="3"/>
      <c r="D15" s="3"/>
      <c r="E15" s="3"/>
      <c r="F15" s="3"/>
      <c r="G15" s="3"/>
      <c r="H15" s="3"/>
      <c r="I15" s="3"/>
    </row>
    <row r="16" spans="1:9" ht="18" customHeight="1" x14ac:dyDescent="0.15">
      <c r="B16" s="28" t="s">
        <v>42</v>
      </c>
      <c r="C16" s="191" t="s">
        <v>141</v>
      </c>
      <c r="D16" s="194"/>
      <c r="E16" s="195"/>
      <c r="F16" s="31"/>
      <c r="G16" s="28" t="s">
        <v>10</v>
      </c>
      <c r="H16" s="191" t="s">
        <v>143</v>
      </c>
      <c r="I16" s="195"/>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177" t="s">
        <v>145</v>
      </c>
      <c r="C19" s="178"/>
      <c r="D19" s="178"/>
      <c r="E19" s="178"/>
      <c r="F19" s="178"/>
      <c r="G19" s="178"/>
      <c r="H19" s="178"/>
      <c r="I19" s="179"/>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3"/>
      <c r="B22" s="180" t="s">
        <v>164</v>
      </c>
      <c r="C22" s="181"/>
      <c r="D22" s="181"/>
      <c r="E22" s="181"/>
      <c r="F22" s="181"/>
      <c r="G22" s="181"/>
      <c r="H22" s="181"/>
      <c r="I22" s="182"/>
    </row>
    <row r="23" spans="1:9" ht="18.75" customHeight="1" x14ac:dyDescent="0.15">
      <c r="A23" s="13"/>
      <c r="B23" s="183"/>
      <c r="C23" s="184"/>
      <c r="D23" s="184"/>
      <c r="E23" s="184"/>
      <c r="F23" s="184"/>
      <c r="G23" s="184"/>
      <c r="H23" s="184"/>
      <c r="I23" s="185"/>
    </row>
    <row r="24" spans="1:9" ht="18.75" customHeight="1" x14ac:dyDescent="0.15">
      <c r="A24" s="13"/>
      <c r="B24" s="183"/>
      <c r="C24" s="184"/>
      <c r="D24" s="184"/>
      <c r="E24" s="184"/>
      <c r="F24" s="184"/>
      <c r="G24" s="184"/>
      <c r="H24" s="184"/>
      <c r="I24" s="185"/>
    </row>
    <row r="25" spans="1:9" ht="18.75" customHeight="1" x14ac:dyDescent="0.15">
      <c r="A25" s="13"/>
      <c r="B25" s="183"/>
      <c r="C25" s="184"/>
      <c r="D25" s="184"/>
      <c r="E25" s="184"/>
      <c r="F25" s="184"/>
      <c r="G25" s="184"/>
      <c r="H25" s="184"/>
      <c r="I25" s="185"/>
    </row>
    <row r="26" spans="1:9" ht="18.75" customHeight="1" x14ac:dyDescent="0.15">
      <c r="A26" s="13"/>
      <c r="B26" s="183"/>
      <c r="C26" s="184"/>
      <c r="D26" s="184"/>
      <c r="E26" s="184"/>
      <c r="F26" s="184"/>
      <c r="G26" s="184"/>
      <c r="H26" s="184"/>
      <c r="I26" s="185"/>
    </row>
    <row r="27" spans="1:9" ht="18.75" customHeight="1" x14ac:dyDescent="0.15">
      <c r="A27" s="13"/>
      <c r="B27" s="183"/>
      <c r="C27" s="184"/>
      <c r="D27" s="184"/>
      <c r="E27" s="184"/>
      <c r="F27" s="184"/>
      <c r="G27" s="184"/>
      <c r="H27" s="184"/>
      <c r="I27" s="185"/>
    </row>
    <row r="28" spans="1:9" ht="18.75" customHeight="1" x14ac:dyDescent="0.15">
      <c r="A28" s="13"/>
      <c r="B28" s="183"/>
      <c r="C28" s="184"/>
      <c r="D28" s="184"/>
      <c r="E28" s="184"/>
      <c r="F28" s="184"/>
      <c r="G28" s="184"/>
      <c r="H28" s="184"/>
      <c r="I28" s="185"/>
    </row>
    <row r="29" spans="1:9" ht="18.75" customHeight="1" x14ac:dyDescent="0.15">
      <c r="A29" s="13"/>
      <c r="B29" s="183"/>
      <c r="C29" s="184"/>
      <c r="D29" s="184"/>
      <c r="E29" s="184"/>
      <c r="F29" s="184"/>
      <c r="G29" s="184"/>
      <c r="H29" s="184"/>
      <c r="I29" s="185"/>
    </row>
    <row r="30" spans="1:9" ht="18.75" customHeight="1" x14ac:dyDescent="0.15">
      <c r="A30" s="13"/>
      <c r="B30" s="186"/>
      <c r="C30" s="187"/>
      <c r="D30" s="187"/>
      <c r="E30" s="187"/>
      <c r="F30" s="187"/>
      <c r="G30" s="187"/>
      <c r="H30" s="187"/>
      <c r="I30" s="185"/>
    </row>
    <row r="31" spans="1:9" ht="18.75" customHeight="1" x14ac:dyDescent="0.15">
      <c r="A31" s="13"/>
      <c r="B31" s="186"/>
      <c r="C31" s="187"/>
      <c r="D31" s="187"/>
      <c r="E31" s="187"/>
      <c r="F31" s="187"/>
      <c r="G31" s="187"/>
      <c r="H31" s="187"/>
      <c r="I31" s="185"/>
    </row>
    <row r="32" spans="1:9" ht="18.75" customHeight="1" x14ac:dyDescent="0.15">
      <c r="A32" s="13"/>
      <c r="B32" s="188"/>
      <c r="C32" s="189"/>
      <c r="D32" s="189"/>
      <c r="E32" s="189"/>
      <c r="F32" s="189"/>
      <c r="G32" s="189"/>
      <c r="H32" s="189"/>
      <c r="I32" s="190"/>
    </row>
    <row r="33" spans="1:9" ht="7.5" customHeight="1" x14ac:dyDescent="0.15">
      <c r="A33" s="13"/>
      <c r="B33" s="13"/>
      <c r="C33" s="13"/>
      <c r="D33" s="13"/>
      <c r="E33" s="13"/>
      <c r="F33" s="13"/>
      <c r="G33" s="13"/>
      <c r="H33" s="13"/>
      <c r="I33" s="13"/>
    </row>
    <row r="34" spans="1:9" ht="18.75" customHeight="1" x14ac:dyDescent="0.15">
      <c r="A34" s="14" t="s">
        <v>6</v>
      </c>
      <c r="B34" s="14" t="s">
        <v>9</v>
      </c>
      <c r="C34" s="9"/>
      <c r="D34" s="14"/>
      <c r="E34" s="14"/>
      <c r="F34" s="14"/>
      <c r="G34" s="14"/>
      <c r="H34" s="14"/>
      <c r="I34" s="14"/>
    </row>
    <row r="35" spans="1:9" ht="18.75" customHeight="1" x14ac:dyDescent="0.15">
      <c r="A35" s="13"/>
      <c r="B35" s="180" t="s">
        <v>180</v>
      </c>
      <c r="C35" s="181"/>
      <c r="D35" s="181"/>
      <c r="E35" s="181"/>
      <c r="F35" s="181"/>
      <c r="G35" s="181"/>
      <c r="H35" s="181"/>
      <c r="I35" s="182"/>
    </row>
    <row r="36" spans="1:9" ht="18.75" customHeight="1" x14ac:dyDescent="0.15">
      <c r="A36" s="13"/>
      <c r="B36" s="186"/>
      <c r="C36" s="187"/>
      <c r="D36" s="187"/>
      <c r="E36" s="187"/>
      <c r="F36" s="187"/>
      <c r="G36" s="187"/>
      <c r="H36" s="187"/>
      <c r="I36" s="185"/>
    </row>
    <row r="37" spans="1:9" ht="18.75" customHeight="1" x14ac:dyDescent="0.15">
      <c r="A37" s="13"/>
      <c r="B37" s="186"/>
      <c r="C37" s="187"/>
      <c r="D37" s="187"/>
      <c r="E37" s="187"/>
      <c r="F37" s="187"/>
      <c r="G37" s="187"/>
      <c r="H37" s="187"/>
      <c r="I37" s="185"/>
    </row>
    <row r="38" spans="1:9" ht="18.75" customHeight="1" x14ac:dyDescent="0.15">
      <c r="A38" s="13"/>
      <c r="B38" s="186"/>
      <c r="C38" s="187"/>
      <c r="D38" s="187"/>
      <c r="E38" s="187"/>
      <c r="F38" s="187"/>
      <c r="G38" s="187"/>
      <c r="H38" s="187"/>
      <c r="I38" s="185"/>
    </row>
    <row r="39" spans="1:9" ht="18.75" customHeight="1" x14ac:dyDescent="0.15">
      <c r="A39" s="13"/>
      <c r="B39" s="186"/>
      <c r="C39" s="187"/>
      <c r="D39" s="187"/>
      <c r="E39" s="187"/>
      <c r="F39" s="187"/>
      <c r="G39" s="187"/>
      <c r="H39" s="187"/>
      <c r="I39" s="185"/>
    </row>
    <row r="40" spans="1:9" ht="18.75" customHeight="1" x14ac:dyDescent="0.15">
      <c r="A40" s="13"/>
      <c r="B40" s="186"/>
      <c r="C40" s="187"/>
      <c r="D40" s="187"/>
      <c r="E40" s="187"/>
      <c r="F40" s="187"/>
      <c r="G40" s="187"/>
      <c r="H40" s="187"/>
      <c r="I40" s="185"/>
    </row>
    <row r="41" spans="1:9" ht="18.75" customHeight="1" x14ac:dyDescent="0.15">
      <c r="A41" s="13"/>
      <c r="B41" s="186"/>
      <c r="C41" s="187"/>
      <c r="D41" s="187"/>
      <c r="E41" s="187"/>
      <c r="F41" s="187"/>
      <c r="G41" s="187"/>
      <c r="H41" s="187"/>
      <c r="I41" s="185"/>
    </row>
    <row r="42" spans="1:9" ht="18.75" customHeight="1" x14ac:dyDescent="0.15">
      <c r="A42" s="13"/>
      <c r="B42" s="186"/>
      <c r="C42" s="187"/>
      <c r="D42" s="187"/>
      <c r="E42" s="187"/>
      <c r="F42" s="187"/>
      <c r="G42" s="187"/>
      <c r="H42" s="187"/>
      <c r="I42" s="185"/>
    </row>
    <row r="43" spans="1:9" ht="18.75" customHeight="1" x14ac:dyDescent="0.15">
      <c r="A43" s="13"/>
      <c r="B43" s="186"/>
      <c r="C43" s="187"/>
      <c r="D43" s="187"/>
      <c r="E43" s="187"/>
      <c r="F43" s="187"/>
      <c r="G43" s="187"/>
      <c r="H43" s="187"/>
      <c r="I43" s="185"/>
    </row>
    <row r="44" spans="1:9" ht="18.75" customHeight="1" x14ac:dyDescent="0.15">
      <c r="A44" s="13"/>
      <c r="B44" s="186"/>
      <c r="C44" s="187"/>
      <c r="D44" s="187"/>
      <c r="E44" s="187"/>
      <c r="F44" s="187"/>
      <c r="G44" s="187"/>
      <c r="H44" s="187"/>
      <c r="I44" s="185"/>
    </row>
    <row r="45" spans="1:9" ht="18.75" customHeight="1" x14ac:dyDescent="0.15">
      <c r="A45" s="13"/>
      <c r="B45" s="186"/>
      <c r="C45" s="187"/>
      <c r="D45" s="187"/>
      <c r="E45" s="187"/>
      <c r="F45" s="187"/>
      <c r="G45" s="187"/>
      <c r="H45" s="187"/>
      <c r="I45" s="185"/>
    </row>
    <row r="46" spans="1:9" ht="18.75" customHeight="1" x14ac:dyDescent="0.15">
      <c r="A46" s="13"/>
      <c r="B46" s="188"/>
      <c r="C46" s="189"/>
      <c r="D46" s="189"/>
      <c r="E46" s="189"/>
      <c r="F46" s="189"/>
      <c r="G46" s="189"/>
      <c r="H46" s="189"/>
      <c r="I46" s="190"/>
    </row>
    <row r="47" spans="1:9" ht="7.5" customHeight="1" x14ac:dyDescent="0.15">
      <c r="A47" s="4"/>
      <c r="B47" s="4"/>
      <c r="C47" s="4"/>
      <c r="D47" s="4"/>
      <c r="E47" s="4"/>
      <c r="F47" s="4"/>
      <c r="G47" s="4"/>
      <c r="H47" s="4"/>
      <c r="I47" s="4"/>
    </row>
    <row r="48" spans="1:9" ht="18.75" customHeight="1" x14ac:dyDescent="0.15">
      <c r="A48" s="1" t="s">
        <v>31</v>
      </c>
      <c r="B48" s="1" t="s">
        <v>111</v>
      </c>
    </row>
    <row r="49" spans="1:15" s="3" customFormat="1" ht="18.75" customHeight="1" x14ac:dyDescent="0.15">
      <c r="B49" s="32" t="s">
        <v>128</v>
      </c>
      <c r="C49" s="218">
        <f>'様式２ 履修者等数の実績'!S33</f>
        <v>0.26794871794871794</v>
      </c>
      <c r="D49" s="218"/>
      <c r="E49" s="32" t="s">
        <v>64</v>
      </c>
      <c r="F49" s="218">
        <v>0.51</v>
      </c>
      <c r="G49" s="218"/>
      <c r="H49" s="32" t="s">
        <v>65</v>
      </c>
      <c r="I49" s="33">
        <v>0.75</v>
      </c>
      <c r="J49" s="1"/>
      <c r="M49" s="1"/>
      <c r="N49" s="34"/>
    </row>
    <row r="50" spans="1:15" s="3" customFormat="1" ht="18.75" customHeight="1" x14ac:dyDescent="0.15">
      <c r="B50" s="35" t="s">
        <v>85</v>
      </c>
      <c r="C50" s="201">
        <v>0.85</v>
      </c>
      <c r="D50" s="201"/>
      <c r="E50" s="35" t="s">
        <v>129</v>
      </c>
      <c r="F50" s="201">
        <v>1</v>
      </c>
      <c r="G50" s="201"/>
      <c r="H50" s="35" t="s">
        <v>66</v>
      </c>
      <c r="I50" s="36">
        <f>'様式２ 履修者等数の実績'!E33</f>
        <v>780</v>
      </c>
      <c r="J50" s="1"/>
      <c r="M50" s="1"/>
      <c r="N50" s="34"/>
    </row>
    <row r="51" spans="1:15" ht="18.75" customHeight="1" x14ac:dyDescent="0.15">
      <c r="A51" s="1"/>
      <c r="B51" s="198" t="s">
        <v>67</v>
      </c>
      <c r="C51" s="199"/>
      <c r="D51" s="199"/>
      <c r="E51" s="199"/>
      <c r="F51" s="199"/>
      <c r="G51" s="199"/>
      <c r="H51" s="199"/>
      <c r="I51" s="200"/>
      <c r="N51" s="34"/>
      <c r="O51" s="3"/>
    </row>
    <row r="52" spans="1:15" ht="18.75" customHeight="1" x14ac:dyDescent="0.15">
      <c r="A52" s="1"/>
      <c r="B52" s="219" t="s">
        <v>177</v>
      </c>
      <c r="C52" s="220"/>
      <c r="D52" s="220"/>
      <c r="E52" s="220"/>
      <c r="F52" s="220"/>
      <c r="G52" s="220"/>
      <c r="H52" s="220"/>
      <c r="I52" s="221"/>
      <c r="N52" s="34"/>
      <c r="O52" s="3"/>
    </row>
    <row r="53" spans="1:15" ht="18.75" customHeight="1" x14ac:dyDescent="0.15">
      <c r="A53" s="1"/>
      <c r="B53" s="222"/>
      <c r="C53" s="223"/>
      <c r="D53" s="223"/>
      <c r="E53" s="223"/>
      <c r="F53" s="223"/>
      <c r="G53" s="223"/>
      <c r="H53" s="223"/>
      <c r="I53" s="224"/>
      <c r="N53" s="34"/>
      <c r="O53" s="3"/>
    </row>
    <row r="54" spans="1:15" ht="18.75" customHeight="1" x14ac:dyDescent="0.15">
      <c r="A54" s="1"/>
      <c r="B54" s="222"/>
      <c r="C54" s="223"/>
      <c r="D54" s="223"/>
      <c r="E54" s="223"/>
      <c r="F54" s="223"/>
      <c r="G54" s="223"/>
      <c r="H54" s="223"/>
      <c r="I54" s="224"/>
    </row>
    <row r="55" spans="1:15" ht="18.75" customHeight="1" x14ac:dyDescent="0.15">
      <c r="A55" s="1"/>
      <c r="B55" s="222"/>
      <c r="C55" s="223"/>
      <c r="D55" s="223"/>
      <c r="E55" s="223"/>
      <c r="F55" s="223"/>
      <c r="G55" s="223"/>
      <c r="H55" s="223"/>
      <c r="I55" s="224"/>
    </row>
    <row r="56" spans="1:15" ht="18.75" customHeight="1" x14ac:dyDescent="0.15">
      <c r="A56" s="1"/>
      <c r="B56" s="222"/>
      <c r="C56" s="223"/>
      <c r="D56" s="223"/>
      <c r="E56" s="223"/>
      <c r="F56" s="223"/>
      <c r="G56" s="223"/>
      <c r="H56" s="223"/>
      <c r="I56" s="224"/>
    </row>
    <row r="57" spans="1:15" ht="18.75" customHeight="1" x14ac:dyDescent="0.15">
      <c r="A57" s="1"/>
      <c r="B57" s="222"/>
      <c r="C57" s="223"/>
      <c r="D57" s="223"/>
      <c r="E57" s="223"/>
      <c r="F57" s="223"/>
      <c r="G57" s="223"/>
      <c r="H57" s="223"/>
      <c r="I57" s="224"/>
    </row>
    <row r="58" spans="1:15" ht="18.75" customHeight="1" x14ac:dyDescent="0.15">
      <c r="A58" s="1"/>
      <c r="B58" s="222"/>
      <c r="C58" s="223"/>
      <c r="D58" s="223"/>
      <c r="E58" s="223"/>
      <c r="F58" s="223"/>
      <c r="G58" s="223"/>
      <c r="H58" s="223"/>
      <c r="I58" s="224"/>
    </row>
    <row r="59" spans="1:15" ht="18.75" customHeight="1" x14ac:dyDescent="0.15">
      <c r="A59" s="1"/>
      <c r="B59" s="222"/>
      <c r="C59" s="223"/>
      <c r="D59" s="223"/>
      <c r="E59" s="223"/>
      <c r="F59" s="223"/>
      <c r="G59" s="223"/>
      <c r="H59" s="223"/>
      <c r="I59" s="224"/>
    </row>
    <row r="60" spans="1:15" ht="18.75" customHeight="1" x14ac:dyDescent="0.15">
      <c r="A60" s="1"/>
      <c r="B60" s="222"/>
      <c r="C60" s="223"/>
      <c r="D60" s="223"/>
      <c r="E60" s="223"/>
      <c r="F60" s="223"/>
      <c r="G60" s="223"/>
      <c r="H60" s="223"/>
      <c r="I60" s="224"/>
    </row>
    <row r="61" spans="1:15" ht="18.75" customHeight="1" x14ac:dyDescent="0.15">
      <c r="A61" s="1"/>
      <c r="B61" s="222"/>
      <c r="C61" s="223"/>
      <c r="D61" s="223"/>
      <c r="E61" s="223"/>
      <c r="F61" s="223"/>
      <c r="G61" s="223"/>
      <c r="H61" s="223"/>
      <c r="I61" s="224"/>
    </row>
    <row r="62" spans="1:15" ht="18.75" customHeight="1" x14ac:dyDescent="0.15">
      <c r="A62" s="1"/>
      <c r="B62" s="222"/>
      <c r="C62" s="223"/>
      <c r="D62" s="223"/>
      <c r="E62" s="223"/>
      <c r="F62" s="223"/>
      <c r="G62" s="223"/>
      <c r="H62" s="223"/>
      <c r="I62" s="224"/>
    </row>
    <row r="63" spans="1:15" ht="18.75" customHeight="1" x14ac:dyDescent="0.15">
      <c r="A63" s="1"/>
      <c r="B63" s="225"/>
      <c r="C63" s="226"/>
      <c r="D63" s="226"/>
      <c r="E63" s="226"/>
      <c r="F63" s="226"/>
      <c r="G63" s="226"/>
      <c r="H63" s="226"/>
      <c r="I63" s="227"/>
    </row>
    <row r="64" spans="1:15" ht="7.5" customHeight="1" x14ac:dyDescent="0.15">
      <c r="A64" s="13"/>
      <c r="B64" s="13"/>
      <c r="C64" s="13"/>
      <c r="D64" s="13"/>
      <c r="E64" s="13"/>
      <c r="F64" s="13"/>
      <c r="G64" s="13"/>
      <c r="H64" s="13"/>
      <c r="I64" s="13"/>
    </row>
    <row r="65" spans="1:9" ht="18.75" customHeight="1" x14ac:dyDescent="0.15">
      <c r="A65" s="14" t="s">
        <v>34</v>
      </c>
      <c r="B65" s="1" t="s">
        <v>37</v>
      </c>
      <c r="I65" s="14"/>
    </row>
    <row r="66" spans="1:9" ht="18.75" customHeight="1" x14ac:dyDescent="0.15">
      <c r="A66" s="4"/>
      <c r="B66" s="202" t="s">
        <v>165</v>
      </c>
      <c r="C66" s="203"/>
      <c r="D66" s="203"/>
      <c r="E66" s="203"/>
      <c r="F66" s="203"/>
      <c r="G66" s="203"/>
      <c r="H66" s="203"/>
      <c r="I66" s="204"/>
    </row>
    <row r="67" spans="1:9" ht="18.75" customHeight="1" x14ac:dyDescent="0.15">
      <c r="A67" s="4"/>
      <c r="B67" s="205"/>
      <c r="C67" s="206"/>
      <c r="D67" s="206"/>
      <c r="E67" s="206"/>
      <c r="F67" s="206"/>
      <c r="G67" s="206"/>
      <c r="H67" s="206"/>
      <c r="I67" s="207"/>
    </row>
    <row r="68" spans="1:9" ht="18.75" customHeight="1" x14ac:dyDescent="0.15">
      <c r="A68" s="4"/>
      <c r="B68" s="205"/>
      <c r="C68" s="206"/>
      <c r="D68" s="206"/>
      <c r="E68" s="206"/>
      <c r="F68" s="206"/>
      <c r="G68" s="206"/>
      <c r="H68" s="206"/>
      <c r="I68" s="207"/>
    </row>
    <row r="69" spans="1:9" ht="18.75" customHeight="1" x14ac:dyDescent="0.15">
      <c r="A69" s="4"/>
      <c r="B69" s="205"/>
      <c r="C69" s="206"/>
      <c r="D69" s="206"/>
      <c r="E69" s="206"/>
      <c r="F69" s="206"/>
      <c r="G69" s="206"/>
      <c r="H69" s="206"/>
      <c r="I69" s="207"/>
    </row>
    <row r="70" spans="1:9" ht="18.75" customHeight="1" x14ac:dyDescent="0.15">
      <c r="A70" s="4"/>
      <c r="B70" s="205"/>
      <c r="C70" s="206"/>
      <c r="D70" s="206"/>
      <c r="E70" s="206"/>
      <c r="F70" s="206"/>
      <c r="G70" s="206"/>
      <c r="H70" s="206"/>
      <c r="I70" s="207"/>
    </row>
    <row r="71" spans="1:9" ht="18.75" customHeight="1" x14ac:dyDescent="0.15">
      <c r="A71" s="4"/>
      <c r="B71" s="205"/>
      <c r="C71" s="206"/>
      <c r="D71" s="206"/>
      <c r="E71" s="206"/>
      <c r="F71" s="206"/>
      <c r="G71" s="206"/>
      <c r="H71" s="206"/>
      <c r="I71" s="207"/>
    </row>
    <row r="72" spans="1:9" ht="18.75" customHeight="1" x14ac:dyDescent="0.15">
      <c r="A72" s="4"/>
      <c r="B72" s="205"/>
      <c r="C72" s="206"/>
      <c r="D72" s="206"/>
      <c r="E72" s="206"/>
      <c r="F72" s="206"/>
      <c r="G72" s="206"/>
      <c r="H72" s="206"/>
      <c r="I72" s="207"/>
    </row>
    <row r="73" spans="1:9" ht="18.75" customHeight="1" x14ac:dyDescent="0.15">
      <c r="A73" s="4"/>
      <c r="B73" s="205"/>
      <c r="C73" s="206"/>
      <c r="D73" s="206"/>
      <c r="E73" s="206"/>
      <c r="F73" s="206"/>
      <c r="G73" s="206"/>
      <c r="H73" s="206"/>
      <c r="I73" s="207"/>
    </row>
    <row r="74" spans="1:9" ht="18.75" customHeight="1" x14ac:dyDescent="0.15">
      <c r="A74" s="4"/>
      <c r="B74" s="205"/>
      <c r="C74" s="206"/>
      <c r="D74" s="206"/>
      <c r="E74" s="206"/>
      <c r="F74" s="206"/>
      <c r="G74" s="206"/>
      <c r="H74" s="206"/>
      <c r="I74" s="207"/>
    </row>
    <row r="75" spans="1:9" ht="18.75" customHeight="1" x14ac:dyDescent="0.15">
      <c r="A75" s="4"/>
      <c r="B75" s="205"/>
      <c r="C75" s="206"/>
      <c r="D75" s="206"/>
      <c r="E75" s="206"/>
      <c r="F75" s="206"/>
      <c r="G75" s="206"/>
      <c r="H75" s="206"/>
      <c r="I75" s="207"/>
    </row>
    <row r="76" spans="1:9" ht="18.75" customHeight="1" x14ac:dyDescent="0.15">
      <c r="A76" s="4"/>
      <c r="B76" s="205"/>
      <c r="C76" s="206"/>
      <c r="D76" s="206"/>
      <c r="E76" s="206"/>
      <c r="F76" s="206"/>
      <c r="G76" s="206"/>
      <c r="H76" s="206"/>
      <c r="I76" s="207"/>
    </row>
    <row r="77" spans="1:9" ht="18.75" customHeight="1" x14ac:dyDescent="0.15">
      <c r="A77" s="4"/>
      <c r="B77" s="208"/>
      <c r="C77" s="209"/>
      <c r="D77" s="209"/>
      <c r="E77" s="209"/>
      <c r="F77" s="209"/>
      <c r="G77" s="209"/>
      <c r="H77" s="209"/>
      <c r="I77" s="210"/>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202" t="s">
        <v>166</v>
      </c>
      <c r="C80" s="203"/>
      <c r="D80" s="203"/>
      <c r="E80" s="203"/>
      <c r="F80" s="203"/>
      <c r="G80" s="203"/>
      <c r="H80" s="203"/>
      <c r="I80" s="211"/>
    </row>
    <row r="81" spans="1:9" ht="18.75" customHeight="1" x14ac:dyDescent="0.15">
      <c r="A81" s="1"/>
      <c r="B81" s="212"/>
      <c r="C81" s="213"/>
      <c r="D81" s="213"/>
      <c r="E81" s="213"/>
      <c r="F81" s="213"/>
      <c r="G81" s="213"/>
      <c r="H81" s="213"/>
      <c r="I81" s="214"/>
    </row>
    <row r="82" spans="1:9" ht="18.75" customHeight="1" x14ac:dyDescent="0.15">
      <c r="A82" s="1"/>
      <c r="B82" s="212"/>
      <c r="C82" s="213"/>
      <c r="D82" s="213"/>
      <c r="E82" s="213"/>
      <c r="F82" s="213"/>
      <c r="G82" s="213"/>
      <c r="H82" s="213"/>
      <c r="I82" s="214"/>
    </row>
    <row r="83" spans="1:9" ht="18.75" customHeight="1" x14ac:dyDescent="0.15">
      <c r="A83" s="1"/>
      <c r="B83" s="212"/>
      <c r="C83" s="213"/>
      <c r="D83" s="213"/>
      <c r="E83" s="213"/>
      <c r="F83" s="213"/>
      <c r="G83" s="213"/>
      <c r="H83" s="213"/>
      <c r="I83" s="214"/>
    </row>
    <row r="84" spans="1:9" ht="18.75" customHeight="1" x14ac:dyDescent="0.15">
      <c r="A84" s="1"/>
      <c r="B84" s="212"/>
      <c r="C84" s="213"/>
      <c r="D84" s="213"/>
      <c r="E84" s="213"/>
      <c r="F84" s="213"/>
      <c r="G84" s="213"/>
      <c r="H84" s="213"/>
      <c r="I84" s="214"/>
    </row>
    <row r="85" spans="1:9" ht="18.75" customHeight="1" x14ac:dyDescent="0.15">
      <c r="A85" s="1"/>
      <c r="B85" s="212"/>
      <c r="C85" s="213"/>
      <c r="D85" s="213"/>
      <c r="E85" s="213"/>
      <c r="F85" s="213"/>
      <c r="G85" s="213"/>
      <c r="H85" s="213"/>
      <c r="I85" s="214"/>
    </row>
    <row r="86" spans="1:9" ht="18.75" customHeight="1" x14ac:dyDescent="0.15">
      <c r="A86" s="1"/>
      <c r="B86" s="212"/>
      <c r="C86" s="213"/>
      <c r="D86" s="213"/>
      <c r="E86" s="213"/>
      <c r="F86" s="213"/>
      <c r="G86" s="213"/>
      <c r="H86" s="213"/>
      <c r="I86" s="214"/>
    </row>
    <row r="87" spans="1:9" ht="18.75" customHeight="1" x14ac:dyDescent="0.15">
      <c r="A87" s="1"/>
      <c r="B87" s="212"/>
      <c r="C87" s="213"/>
      <c r="D87" s="213"/>
      <c r="E87" s="213"/>
      <c r="F87" s="213"/>
      <c r="G87" s="213"/>
      <c r="H87" s="213"/>
      <c r="I87" s="214"/>
    </row>
    <row r="88" spans="1:9" ht="18.75" customHeight="1" x14ac:dyDescent="0.15">
      <c r="A88" s="1"/>
      <c r="B88" s="212"/>
      <c r="C88" s="213"/>
      <c r="D88" s="213"/>
      <c r="E88" s="213"/>
      <c r="F88" s="213"/>
      <c r="G88" s="213"/>
      <c r="H88" s="213"/>
      <c r="I88" s="214"/>
    </row>
    <row r="89" spans="1:9" ht="18.75" customHeight="1" x14ac:dyDescent="0.15">
      <c r="A89" s="1"/>
      <c r="B89" s="212"/>
      <c r="C89" s="213"/>
      <c r="D89" s="213"/>
      <c r="E89" s="213"/>
      <c r="F89" s="213"/>
      <c r="G89" s="213"/>
      <c r="H89" s="213"/>
      <c r="I89" s="214"/>
    </row>
    <row r="90" spans="1:9" ht="18.75" customHeight="1" x14ac:dyDescent="0.15">
      <c r="A90" s="4"/>
      <c r="B90" s="212"/>
      <c r="C90" s="213"/>
      <c r="D90" s="213"/>
      <c r="E90" s="213"/>
      <c r="F90" s="213"/>
      <c r="G90" s="213"/>
      <c r="H90" s="213"/>
      <c r="I90" s="214"/>
    </row>
    <row r="91" spans="1:9" ht="18.75" customHeight="1" x14ac:dyDescent="0.15">
      <c r="A91" s="4"/>
      <c r="B91" s="215"/>
      <c r="C91" s="216"/>
      <c r="D91" s="216"/>
      <c r="E91" s="216"/>
      <c r="F91" s="216"/>
      <c r="G91" s="216"/>
      <c r="H91" s="216"/>
      <c r="I91" s="217"/>
    </row>
    <row r="92" spans="1:9" ht="7.5"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180" t="s">
        <v>167</v>
      </c>
      <c r="C94" s="181"/>
      <c r="D94" s="181"/>
      <c r="E94" s="181"/>
      <c r="F94" s="181"/>
      <c r="G94" s="181"/>
      <c r="H94" s="181"/>
      <c r="I94" s="182"/>
    </row>
    <row r="95" spans="1:9" ht="18.75" customHeight="1" x14ac:dyDescent="0.15">
      <c r="A95" s="1"/>
      <c r="B95" s="186"/>
      <c r="C95" s="187"/>
      <c r="D95" s="187"/>
      <c r="E95" s="187"/>
      <c r="F95" s="187"/>
      <c r="G95" s="187"/>
      <c r="H95" s="187"/>
      <c r="I95" s="185"/>
    </row>
    <row r="96" spans="1:9" ht="18.75" customHeight="1" x14ac:dyDescent="0.15">
      <c r="A96" s="1"/>
      <c r="B96" s="186"/>
      <c r="C96" s="187"/>
      <c r="D96" s="187"/>
      <c r="E96" s="187"/>
      <c r="F96" s="187"/>
      <c r="G96" s="187"/>
      <c r="H96" s="187"/>
      <c r="I96" s="185"/>
    </row>
    <row r="97" spans="1:9" ht="18.75" customHeight="1" x14ac:dyDescent="0.15">
      <c r="A97" s="1"/>
      <c r="B97" s="186"/>
      <c r="C97" s="187"/>
      <c r="D97" s="187"/>
      <c r="E97" s="187"/>
      <c r="F97" s="187"/>
      <c r="G97" s="187"/>
      <c r="H97" s="187"/>
      <c r="I97" s="185"/>
    </row>
    <row r="98" spans="1:9" ht="18.75" customHeight="1" x14ac:dyDescent="0.15">
      <c r="A98" s="1"/>
      <c r="B98" s="186"/>
      <c r="C98" s="187"/>
      <c r="D98" s="187"/>
      <c r="E98" s="187"/>
      <c r="F98" s="187"/>
      <c r="G98" s="187"/>
      <c r="H98" s="187"/>
      <c r="I98" s="185"/>
    </row>
    <row r="99" spans="1:9" ht="18.75" customHeight="1" x14ac:dyDescent="0.15">
      <c r="A99" s="1"/>
      <c r="B99" s="186"/>
      <c r="C99" s="187"/>
      <c r="D99" s="187"/>
      <c r="E99" s="187"/>
      <c r="F99" s="187"/>
      <c r="G99" s="187"/>
      <c r="H99" s="187"/>
      <c r="I99" s="185"/>
    </row>
    <row r="100" spans="1:9" ht="18.75" customHeight="1" x14ac:dyDescent="0.15">
      <c r="A100" s="1"/>
      <c r="B100" s="186"/>
      <c r="C100" s="187"/>
      <c r="D100" s="187"/>
      <c r="E100" s="187"/>
      <c r="F100" s="187"/>
      <c r="G100" s="187"/>
      <c r="H100" s="187"/>
      <c r="I100" s="185"/>
    </row>
    <row r="101" spans="1:9" ht="18.75" customHeight="1" x14ac:dyDescent="0.15">
      <c r="A101" s="1"/>
      <c r="B101" s="186"/>
      <c r="C101" s="187"/>
      <c r="D101" s="187"/>
      <c r="E101" s="187"/>
      <c r="F101" s="187"/>
      <c r="G101" s="187"/>
      <c r="H101" s="187"/>
      <c r="I101" s="185"/>
    </row>
    <row r="102" spans="1:9" ht="18.75" customHeight="1" x14ac:dyDescent="0.15">
      <c r="A102" s="1"/>
      <c r="B102" s="186"/>
      <c r="C102" s="187"/>
      <c r="D102" s="187"/>
      <c r="E102" s="187"/>
      <c r="F102" s="187"/>
      <c r="G102" s="187"/>
      <c r="H102" s="187"/>
      <c r="I102" s="185"/>
    </row>
    <row r="103" spans="1:9" ht="18.75" customHeight="1" x14ac:dyDescent="0.15">
      <c r="A103" s="1"/>
      <c r="B103" s="186"/>
      <c r="C103" s="187"/>
      <c r="D103" s="187"/>
      <c r="E103" s="187"/>
      <c r="F103" s="187"/>
      <c r="G103" s="187"/>
      <c r="H103" s="187"/>
      <c r="I103" s="185"/>
    </row>
    <row r="104" spans="1:9" ht="18.75" customHeight="1" x14ac:dyDescent="0.15">
      <c r="A104" s="1"/>
      <c r="B104" s="186"/>
      <c r="C104" s="187"/>
      <c r="D104" s="187"/>
      <c r="E104" s="187"/>
      <c r="F104" s="187"/>
      <c r="G104" s="187"/>
      <c r="H104" s="187"/>
      <c r="I104" s="185"/>
    </row>
    <row r="105" spans="1:9" ht="18.75" customHeight="1" x14ac:dyDescent="0.15">
      <c r="A105" s="4"/>
      <c r="B105" s="188"/>
      <c r="C105" s="189"/>
      <c r="D105" s="189"/>
      <c r="E105" s="189"/>
      <c r="F105" s="189"/>
      <c r="G105" s="189"/>
      <c r="H105" s="189"/>
      <c r="I105" s="190"/>
    </row>
    <row r="106" spans="1:9" ht="7.5" customHeight="1" x14ac:dyDescent="0.15">
      <c r="A106" s="4"/>
      <c r="B106" s="4"/>
      <c r="C106" s="4"/>
      <c r="D106" s="4"/>
      <c r="E106" s="4"/>
      <c r="F106" s="4"/>
      <c r="G106" s="4"/>
      <c r="H106" s="4"/>
      <c r="I106" s="4"/>
    </row>
    <row r="107" spans="1:9" ht="18.75" customHeight="1" x14ac:dyDescent="0.15">
      <c r="A107" s="1" t="s">
        <v>30</v>
      </c>
      <c r="B107" s="197" t="s">
        <v>45</v>
      </c>
      <c r="C107" s="197"/>
      <c r="D107" s="197"/>
      <c r="E107" s="197"/>
      <c r="F107" s="197"/>
      <c r="G107" s="197"/>
      <c r="H107" s="197"/>
      <c r="I107" s="197"/>
    </row>
    <row r="108" spans="1:9" ht="18.75" customHeight="1" x14ac:dyDescent="0.15">
      <c r="A108" s="4"/>
      <c r="B108" s="180" t="s">
        <v>168</v>
      </c>
      <c r="C108" s="181"/>
      <c r="D108" s="181"/>
      <c r="E108" s="181"/>
      <c r="F108" s="181"/>
      <c r="G108" s="181"/>
      <c r="H108" s="181"/>
      <c r="I108" s="182"/>
    </row>
    <row r="109" spans="1:9" ht="18.75" customHeight="1" x14ac:dyDescent="0.15">
      <c r="A109" s="4"/>
      <c r="B109" s="186"/>
      <c r="C109" s="187"/>
      <c r="D109" s="187"/>
      <c r="E109" s="187"/>
      <c r="F109" s="187"/>
      <c r="G109" s="187"/>
      <c r="H109" s="187"/>
      <c r="I109" s="185"/>
    </row>
    <row r="110" spans="1:9" ht="18.75" customHeight="1" x14ac:dyDescent="0.15">
      <c r="A110" s="4"/>
      <c r="B110" s="186"/>
      <c r="C110" s="187"/>
      <c r="D110" s="187"/>
      <c r="E110" s="187"/>
      <c r="F110" s="187"/>
      <c r="G110" s="187"/>
      <c r="H110" s="187"/>
      <c r="I110" s="185"/>
    </row>
    <row r="111" spans="1:9" ht="18.75" customHeight="1" x14ac:dyDescent="0.15">
      <c r="A111" s="4"/>
      <c r="B111" s="186"/>
      <c r="C111" s="187"/>
      <c r="D111" s="187"/>
      <c r="E111" s="187"/>
      <c r="F111" s="187"/>
      <c r="G111" s="187"/>
      <c r="H111" s="187"/>
      <c r="I111" s="185"/>
    </row>
    <row r="112" spans="1:9" ht="18.75" customHeight="1" x14ac:dyDescent="0.15">
      <c r="A112" s="4"/>
      <c r="B112" s="186"/>
      <c r="C112" s="187"/>
      <c r="D112" s="187"/>
      <c r="E112" s="187"/>
      <c r="F112" s="187"/>
      <c r="G112" s="187"/>
      <c r="H112" s="187"/>
      <c r="I112" s="185"/>
    </row>
    <row r="113" spans="1:9" ht="18.75" customHeight="1" x14ac:dyDescent="0.15">
      <c r="A113" s="4"/>
      <c r="B113" s="186"/>
      <c r="C113" s="187"/>
      <c r="D113" s="187"/>
      <c r="E113" s="187"/>
      <c r="F113" s="187"/>
      <c r="G113" s="187"/>
      <c r="H113" s="187"/>
      <c r="I113" s="185"/>
    </row>
    <row r="114" spans="1:9" ht="18.75" customHeight="1" x14ac:dyDescent="0.15">
      <c r="A114" s="4"/>
      <c r="B114" s="186"/>
      <c r="C114" s="187"/>
      <c r="D114" s="187"/>
      <c r="E114" s="187"/>
      <c r="F114" s="187"/>
      <c r="G114" s="187"/>
      <c r="H114" s="187"/>
      <c r="I114" s="185"/>
    </row>
    <row r="115" spans="1:9" ht="18.75" customHeight="1" x14ac:dyDescent="0.15">
      <c r="A115" s="4"/>
      <c r="B115" s="186"/>
      <c r="C115" s="187"/>
      <c r="D115" s="187"/>
      <c r="E115" s="187"/>
      <c r="F115" s="187"/>
      <c r="G115" s="187"/>
      <c r="H115" s="187"/>
      <c r="I115" s="185"/>
    </row>
    <row r="116" spans="1:9" ht="18.75" customHeight="1" x14ac:dyDescent="0.15">
      <c r="A116" s="4"/>
      <c r="B116" s="186"/>
      <c r="C116" s="187"/>
      <c r="D116" s="187"/>
      <c r="E116" s="187"/>
      <c r="F116" s="187"/>
      <c r="G116" s="187"/>
      <c r="H116" s="187"/>
      <c r="I116" s="185"/>
    </row>
    <row r="117" spans="1:9" ht="18.75" customHeight="1" x14ac:dyDescent="0.15">
      <c r="A117" s="4"/>
      <c r="B117" s="186"/>
      <c r="C117" s="187"/>
      <c r="D117" s="187"/>
      <c r="E117" s="187"/>
      <c r="F117" s="187"/>
      <c r="G117" s="187"/>
      <c r="H117" s="187"/>
      <c r="I117" s="185"/>
    </row>
    <row r="118" spans="1:9" ht="18.75" customHeight="1" x14ac:dyDescent="0.15">
      <c r="A118" s="4"/>
      <c r="B118" s="186"/>
      <c r="C118" s="187"/>
      <c r="D118" s="187"/>
      <c r="E118" s="187"/>
      <c r="F118" s="187"/>
      <c r="G118" s="187"/>
      <c r="H118" s="187"/>
      <c r="I118" s="185"/>
    </row>
    <row r="119" spans="1:9" ht="18.75" customHeight="1" x14ac:dyDescent="0.15">
      <c r="A119" s="4"/>
      <c r="B119" s="188"/>
      <c r="C119" s="189"/>
      <c r="D119" s="189"/>
      <c r="E119" s="189"/>
      <c r="F119" s="189"/>
      <c r="G119" s="189"/>
      <c r="H119" s="189"/>
      <c r="I119" s="190"/>
    </row>
    <row r="120" spans="1:9" ht="7.5" customHeight="1" x14ac:dyDescent="0.15">
      <c r="A120" s="4"/>
      <c r="B120" s="37"/>
      <c r="C120" s="37"/>
      <c r="D120" s="37"/>
      <c r="E120" s="37"/>
      <c r="F120" s="37"/>
      <c r="G120" s="37"/>
      <c r="H120" s="37"/>
      <c r="I120" s="37"/>
    </row>
    <row r="121" spans="1:9" ht="18.75" customHeight="1" x14ac:dyDescent="0.15">
      <c r="A121" s="66"/>
      <c r="B121" s="175"/>
      <c r="C121" s="175"/>
      <c r="D121" s="175"/>
      <c r="E121" s="175"/>
      <c r="F121" s="175"/>
      <c r="G121" s="175"/>
      <c r="H121" s="175"/>
      <c r="I121" s="175"/>
    </row>
    <row r="122" spans="1:9" ht="18.75" customHeight="1" x14ac:dyDescent="0.15">
      <c r="A122" s="66"/>
      <c r="B122" s="175"/>
      <c r="C122" s="175"/>
      <c r="D122" s="175"/>
      <c r="E122" s="175"/>
      <c r="F122" s="175"/>
      <c r="G122" s="175"/>
      <c r="H122" s="175"/>
      <c r="I122" s="175"/>
    </row>
    <row r="123" spans="1:9" ht="18.75" customHeight="1" x14ac:dyDescent="0.15">
      <c r="A123" s="4"/>
      <c r="B123" s="70"/>
      <c r="C123" s="70"/>
      <c r="D123" s="70"/>
      <c r="E123" s="70"/>
      <c r="F123" s="70"/>
      <c r="G123" s="70"/>
      <c r="H123" s="70"/>
      <c r="I123" s="71"/>
    </row>
    <row r="124" spans="1:9" ht="18.75" customHeight="1" x14ac:dyDescent="0.15">
      <c r="A124" s="4"/>
      <c r="B124" s="71"/>
      <c r="C124" s="71"/>
      <c r="D124" s="71"/>
      <c r="E124" s="71"/>
      <c r="F124" s="71"/>
      <c r="G124" s="71"/>
      <c r="H124" s="71"/>
      <c r="I124" s="71"/>
    </row>
    <row r="125" spans="1:9" ht="18.75" customHeight="1" x14ac:dyDescent="0.15">
      <c r="A125" s="4"/>
      <c r="B125" s="71"/>
      <c r="C125" s="71"/>
      <c r="D125" s="71"/>
      <c r="E125" s="71"/>
      <c r="F125" s="71"/>
      <c r="G125" s="71"/>
      <c r="H125" s="71"/>
      <c r="I125" s="71"/>
    </row>
    <row r="126" spans="1:9" ht="18.75" customHeight="1" x14ac:dyDescent="0.15">
      <c r="A126" s="4"/>
      <c r="B126" s="71"/>
      <c r="C126" s="71"/>
      <c r="D126" s="71"/>
      <c r="E126" s="71"/>
      <c r="F126" s="71"/>
      <c r="G126" s="71"/>
      <c r="H126" s="71"/>
      <c r="I126" s="71"/>
    </row>
    <row r="127" spans="1:9" ht="18.75" customHeight="1" x14ac:dyDescent="0.15">
      <c r="A127" s="4"/>
      <c r="B127" s="71"/>
      <c r="C127" s="71"/>
      <c r="D127" s="71"/>
      <c r="E127" s="71"/>
      <c r="F127" s="71"/>
      <c r="G127" s="71"/>
      <c r="H127" s="71"/>
      <c r="I127" s="71"/>
    </row>
    <row r="128" spans="1:9" ht="18.75" customHeight="1" x14ac:dyDescent="0.15">
      <c r="A128" s="4"/>
      <c r="B128" s="71"/>
      <c r="C128" s="71"/>
      <c r="D128" s="71"/>
      <c r="E128" s="71"/>
      <c r="F128" s="71"/>
      <c r="G128" s="71"/>
      <c r="H128" s="71"/>
      <c r="I128" s="71"/>
    </row>
    <row r="129" spans="1:9" ht="18.75" customHeight="1" x14ac:dyDescent="0.15">
      <c r="A129" s="4"/>
      <c r="B129" s="71"/>
      <c r="C129" s="71"/>
      <c r="D129" s="71"/>
      <c r="E129" s="71"/>
      <c r="F129" s="71"/>
      <c r="G129" s="71"/>
      <c r="H129" s="71"/>
      <c r="I129" s="71"/>
    </row>
    <row r="130" spans="1:9" ht="18.75" customHeight="1" x14ac:dyDescent="0.15">
      <c r="A130" s="4"/>
      <c r="B130" s="71"/>
      <c r="C130" s="71"/>
      <c r="D130" s="71"/>
      <c r="E130" s="71"/>
      <c r="F130" s="71"/>
      <c r="G130" s="71"/>
      <c r="H130" s="71"/>
      <c r="I130" s="71"/>
    </row>
    <row r="131" spans="1:9" ht="18.75" customHeight="1" x14ac:dyDescent="0.15">
      <c r="A131" s="4"/>
      <c r="B131" s="71"/>
      <c r="C131" s="71"/>
      <c r="D131" s="71"/>
      <c r="E131" s="71"/>
      <c r="F131" s="71"/>
      <c r="G131" s="71"/>
      <c r="H131" s="71"/>
      <c r="I131" s="71"/>
    </row>
    <row r="132" spans="1:9" ht="18.75" customHeight="1" x14ac:dyDescent="0.15">
      <c r="A132" s="4"/>
      <c r="B132" s="71"/>
      <c r="C132" s="71"/>
      <c r="D132" s="71"/>
      <c r="E132" s="71"/>
      <c r="F132" s="71"/>
      <c r="G132" s="71"/>
      <c r="H132" s="71"/>
      <c r="I132" s="71"/>
    </row>
    <row r="133" spans="1:9" ht="14.25" x14ac:dyDescent="0.15">
      <c r="A133" s="4"/>
      <c r="B133" s="71"/>
      <c r="C133" s="71"/>
      <c r="D133" s="71"/>
      <c r="E133" s="71"/>
      <c r="F133" s="71"/>
      <c r="G133" s="71"/>
      <c r="H133" s="71"/>
      <c r="I133" s="71"/>
    </row>
    <row r="134" spans="1:9" ht="7.5" customHeight="1" x14ac:dyDescent="0.15">
      <c r="A134" s="4"/>
      <c r="B134" s="71"/>
      <c r="C134" s="71"/>
      <c r="D134" s="71"/>
      <c r="E134" s="71"/>
      <c r="F134" s="71"/>
      <c r="G134" s="71"/>
      <c r="H134" s="71"/>
      <c r="I134" s="71"/>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E16" sqref="E16:I16"/>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68</v>
      </c>
      <c r="I1" s="28" t="s">
        <v>96</v>
      </c>
    </row>
    <row r="2" spans="1:9" ht="18.75" customHeight="1" x14ac:dyDescent="0.15">
      <c r="H2" s="28" t="s">
        <v>99</v>
      </c>
      <c r="I2" s="27" t="str">
        <f>'様式１　プログラムを構成する授業科目'!C2</f>
        <v>中村学園大学短期大学部</v>
      </c>
    </row>
    <row r="3" spans="1:9" ht="18.75" customHeight="1" x14ac:dyDescent="0.15">
      <c r="A3" s="176" t="s">
        <v>28</v>
      </c>
      <c r="B3" s="176"/>
      <c r="C3" s="176"/>
      <c r="D3" s="176"/>
      <c r="E3" s="176"/>
      <c r="F3" s="176"/>
      <c r="G3" s="176"/>
      <c r="H3" s="176"/>
      <c r="I3" s="176"/>
    </row>
    <row r="4" spans="1:9" ht="18.75" customHeight="1" x14ac:dyDescent="0.15">
      <c r="A4" s="5"/>
      <c r="B4" s="5"/>
      <c r="C4" s="5"/>
      <c r="D4" s="5"/>
      <c r="E4" s="5"/>
      <c r="F4" s="5"/>
      <c r="G4" s="5"/>
      <c r="H4" s="5"/>
      <c r="I4" s="5"/>
    </row>
    <row r="5" spans="1:9" ht="18.75" customHeight="1" x14ac:dyDescent="0.15">
      <c r="A5" s="1" t="s">
        <v>0</v>
      </c>
      <c r="B5" s="9" t="s">
        <v>90</v>
      </c>
      <c r="C5" s="5"/>
      <c r="D5" s="5"/>
      <c r="E5" s="5"/>
      <c r="F5" s="5"/>
      <c r="G5" s="5"/>
      <c r="H5" s="5"/>
      <c r="I5" s="5"/>
    </row>
    <row r="6" spans="1:9" ht="26.25" customHeight="1" x14ac:dyDescent="0.15">
      <c r="A6" s="5"/>
      <c r="B6" s="191" t="s">
        <v>144</v>
      </c>
      <c r="C6" s="235"/>
      <c r="D6" s="235"/>
      <c r="E6" s="235"/>
      <c r="F6" s="235"/>
      <c r="G6" s="235"/>
      <c r="H6" s="236"/>
      <c r="I6" s="3"/>
    </row>
    <row r="7" spans="1:9" ht="9" customHeight="1" x14ac:dyDescent="0.15">
      <c r="A7" s="5"/>
      <c r="B7" s="9"/>
      <c r="C7" s="9"/>
      <c r="D7" s="9"/>
      <c r="E7" s="9"/>
      <c r="F7" s="9"/>
      <c r="G7" s="9"/>
      <c r="H7" s="9"/>
      <c r="I7" s="3"/>
    </row>
    <row r="8" spans="1:9" ht="18.75" customHeight="1" x14ac:dyDescent="0.15">
      <c r="A8" s="5"/>
      <c r="B8" s="3"/>
      <c r="C8" s="3"/>
      <c r="D8" s="28" t="s">
        <v>42</v>
      </c>
      <c r="E8" s="29" t="s">
        <v>141</v>
      </c>
      <c r="F8" s="3"/>
      <c r="G8" s="28" t="s">
        <v>10</v>
      </c>
      <c r="H8" s="29" t="s">
        <v>143</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89" t="s">
        <v>24</v>
      </c>
      <c r="C11" s="90"/>
      <c r="D11" s="91"/>
      <c r="E11" s="90" t="s">
        <v>26</v>
      </c>
      <c r="F11" s="90"/>
      <c r="G11" s="90"/>
      <c r="H11" s="90"/>
      <c r="I11" s="91"/>
    </row>
    <row r="12" spans="1:9" ht="26.25" customHeight="1" x14ac:dyDescent="0.15">
      <c r="B12" s="38" t="s">
        <v>14</v>
      </c>
      <c r="C12" s="45"/>
      <c r="D12" s="39"/>
      <c r="E12" s="46"/>
      <c r="F12" s="46"/>
      <c r="G12" s="46"/>
      <c r="H12" s="46"/>
      <c r="I12" s="39"/>
    </row>
    <row r="13" spans="1:9" ht="210.75" customHeight="1" x14ac:dyDescent="0.15">
      <c r="B13" s="40"/>
      <c r="C13" s="233" t="s">
        <v>15</v>
      </c>
      <c r="D13" s="234"/>
      <c r="E13" s="230" t="s">
        <v>174</v>
      </c>
      <c r="F13" s="231"/>
      <c r="G13" s="231"/>
      <c r="H13" s="231"/>
      <c r="I13" s="232"/>
    </row>
    <row r="14" spans="1:9" ht="210.75" customHeight="1" x14ac:dyDescent="0.15">
      <c r="B14" s="40"/>
      <c r="C14" s="228" t="s">
        <v>16</v>
      </c>
      <c r="D14" s="229"/>
      <c r="E14" s="230" t="s">
        <v>175</v>
      </c>
      <c r="F14" s="231"/>
      <c r="G14" s="231"/>
      <c r="H14" s="231"/>
      <c r="I14" s="232"/>
    </row>
    <row r="15" spans="1:9" ht="210.75" customHeight="1" x14ac:dyDescent="0.15">
      <c r="B15" s="40"/>
      <c r="C15" s="233" t="s">
        <v>17</v>
      </c>
      <c r="D15" s="234"/>
      <c r="E15" s="230" t="s">
        <v>178</v>
      </c>
      <c r="F15" s="231"/>
      <c r="G15" s="231"/>
      <c r="H15" s="231"/>
      <c r="I15" s="232"/>
    </row>
    <row r="16" spans="1:9" ht="210.75" customHeight="1" x14ac:dyDescent="0.15">
      <c r="B16" s="40"/>
      <c r="C16" s="233" t="s">
        <v>18</v>
      </c>
      <c r="D16" s="234"/>
      <c r="E16" s="230" t="s">
        <v>179</v>
      </c>
      <c r="F16" s="231"/>
      <c r="G16" s="231"/>
      <c r="H16" s="231"/>
      <c r="I16" s="232"/>
    </row>
    <row r="17" spans="2:9" ht="210.75" customHeight="1" x14ac:dyDescent="0.15">
      <c r="B17" s="41"/>
      <c r="C17" s="237" t="s">
        <v>19</v>
      </c>
      <c r="D17" s="238"/>
      <c r="E17" s="239" t="s">
        <v>169</v>
      </c>
      <c r="F17" s="240"/>
      <c r="G17" s="240"/>
      <c r="H17" s="240"/>
      <c r="I17" s="241"/>
    </row>
    <row r="18" spans="2:9" ht="24" customHeight="1" x14ac:dyDescent="0.15">
      <c r="B18" s="38" t="s">
        <v>20</v>
      </c>
      <c r="C18" s="42"/>
      <c r="D18" s="43"/>
      <c r="E18" s="44"/>
      <c r="F18" s="44"/>
      <c r="G18" s="44"/>
      <c r="H18" s="44"/>
      <c r="I18" s="47"/>
    </row>
    <row r="19" spans="2:9" ht="218.25" customHeight="1" x14ac:dyDescent="0.15">
      <c r="B19" s="40"/>
      <c r="C19" s="233" t="s">
        <v>21</v>
      </c>
      <c r="D19" s="234"/>
      <c r="E19" s="231" t="s">
        <v>172</v>
      </c>
      <c r="F19" s="231"/>
      <c r="G19" s="231"/>
      <c r="H19" s="231"/>
      <c r="I19" s="232"/>
    </row>
    <row r="20" spans="2:9" ht="218.25" customHeight="1" x14ac:dyDescent="0.15">
      <c r="B20" s="41"/>
      <c r="C20" s="237" t="s">
        <v>22</v>
      </c>
      <c r="D20" s="238"/>
      <c r="E20" s="240" t="s">
        <v>170</v>
      </c>
      <c r="F20" s="240"/>
      <c r="G20" s="240"/>
      <c r="H20" s="240"/>
      <c r="I20" s="241"/>
    </row>
    <row r="21" spans="2:9" ht="218.25" customHeight="1" x14ac:dyDescent="0.15">
      <c r="B21" s="247" t="s">
        <v>23</v>
      </c>
      <c r="C21" s="248"/>
      <c r="D21" s="249"/>
      <c r="E21" s="250" t="s">
        <v>171</v>
      </c>
      <c r="F21" s="250"/>
      <c r="G21" s="250"/>
      <c r="H21" s="250"/>
      <c r="I21" s="251"/>
    </row>
    <row r="22" spans="2:9" ht="218.25" customHeight="1" x14ac:dyDescent="0.15">
      <c r="B22" s="242" t="s">
        <v>135</v>
      </c>
      <c r="C22" s="243"/>
      <c r="D22" s="244"/>
      <c r="E22" s="245" t="s">
        <v>173</v>
      </c>
      <c r="F22" s="245"/>
      <c r="G22" s="245"/>
      <c r="H22" s="245"/>
      <c r="I22" s="24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3"/>
      <c r="C28" s="13"/>
      <c r="D28" s="13"/>
      <c r="E28" s="13"/>
      <c r="F28" s="13"/>
      <c r="G28" s="13"/>
      <c r="H28" s="13"/>
      <c r="I28" s="13"/>
    </row>
    <row r="29" spans="2:9" ht="22.5" customHeight="1" x14ac:dyDescent="0.15">
      <c r="B29" s="13"/>
      <c r="C29" s="13"/>
      <c r="D29" s="13"/>
      <c r="E29" s="13"/>
      <c r="F29" s="13"/>
      <c r="G29" s="13"/>
      <c r="H29" s="13"/>
      <c r="I29" s="13"/>
    </row>
    <row r="30" spans="2:9" ht="22.5" customHeight="1" x14ac:dyDescent="0.15">
      <c r="B30" s="13"/>
      <c r="C30" s="13"/>
      <c r="D30" s="13"/>
      <c r="E30" s="13"/>
      <c r="F30" s="13"/>
      <c r="G30" s="13"/>
      <c r="H30" s="13"/>
      <c r="I30" s="13"/>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花岡　佑輔</cp:lastModifiedBy>
  <cp:lastPrinted>2024-05-09T09:32:22Z</cp:lastPrinted>
  <dcterms:created xsi:type="dcterms:W3CDTF">2011-06-14T05:32:50Z</dcterms:created>
  <dcterms:modified xsi:type="dcterms:W3CDTF">2024-05-09T09:47:24Z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