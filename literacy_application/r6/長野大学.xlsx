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G:\共有ドライブ\jimu-group-kyoumu［教務］\す数理・データサイエンス・ＡＩ教育プログラム認定\5.再提出\"/>
    </mc:Choice>
  </mc:AlternateContent>
  <xr:revisionPtr revIDLastSave="0" documentId="8_{5F619222-03E5-42E4-B581-18B76DAAD275}" xr6:coauthVersionLast="47" xr6:coauthVersionMax="47" xr10:uidLastSave="{00000000-0000-0000-0000-000000000000}"/>
  <bookViews>
    <workbookView xWindow="-120" yWindow="-120" windowWidth="29040" windowHeight="157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<sst xmlns="http://schemas.openxmlformats.org/spreadsheetml/2006/main" count="281" uniqueCount="185">
  <si>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</si>
  <si>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</si>
  <si>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</si>
  <si>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</si>
  <si>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</si>
  <si>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</si>
  <si>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</si>
  <si>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</si>
  <si>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</si>
  <si>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</si>
  <si>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</si>
  <si>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</si>
  <si>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</si>
  <si>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</si>
  <si>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</si>
  <si>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</si>
  <si>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</si>
  <si>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</si>
  <si>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</si>
  <si>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</si>
  <si>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</si>
  <si>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</si>
  <si>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</si>
  <si>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</si>
  <si>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</si>
  <si>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</si>
  <si>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</si>
  <si>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</si>
  <si>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</si>
  <si>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</si>
  <si>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</si>
  <si>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</si>
  <si>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</si>
  <si>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</si>
  <si>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</si>
  <si>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</si>
  <si>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</si>
  <si>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</si>
  <si>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</si>
  <si>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</si>
  <si>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</si>
  <si>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</si>
  <si>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</si>
  <si>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</si>
  <si>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</si>
  <si>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</si>
  <si>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</si>
  <si>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</si>
  <si>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</si>
  <si>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</si>
  <si>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</si>
  <si>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</si>
  <si>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</si>
  <si>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</si>
  <si>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</si>
  <si>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</si>
  <si>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</si>
  <si>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</si>
  <si>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</si>
  <si>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</si>
  <si>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</si>
  <si>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</si>
  <si>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</si>
  <si>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</si>
  <si>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</si>
  <si>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</si>
  <si>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</si>
  <si>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</si>
  <si>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</si>
  <si>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</si>
  <si>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</si>
  <si>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</si>
  <si>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</si>
  <si>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</si>
  <si>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</si>
  <si>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</si>
  <si>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</si>
  <si>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</si>
  <si>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</si>
  <si>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</si>
  <si>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</si>
  <si>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</si>
  <si>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</si>
  <si>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</si>
  <si>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</si>
  <si>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</si>
  <si>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</si>
  <si>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</si>
  <si>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</si>
  <si>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</si>
  <si>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</si>
  <si>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</si>
  <si>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</si>
  <si>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</si>
  <si>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</si>
  <si>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</si>
  <si>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</si>
  <si>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</si>
  <si>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</si>
  <si>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</si>
  <si>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</si>
  <si>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</si>
  <si>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</si>
  <si>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</si>
  <si>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</si>
  <si>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</si>
  <si>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</si>
  <si>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</si>
  <si>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</si>
  <si>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</si>
  <si>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</si>
  <si>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</si>
  <si>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</si>
  <si>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</si>
  <si>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</si>
  <si>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</si>
  <si>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</si>
  <si>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</si>
  <si>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</si>
  <si>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</si>
  <si>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</si>
  <si>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</si>
  <si>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</si>
  <si>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</si>
  <si>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</si>
  <si>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</si>
  <si>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</si>
  <si>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</si>
  <si>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</si>
  <si>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</si>
  <si>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</si>
  <si>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</si>
  <si>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</si>
  <si>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</si>
  <si>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</si>
  <si>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</si>
  <si>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公立大学法人　長野大学</t>
    <phoneticPr fontId="1"/>
  </si>
  <si>
    <t>数理・データサイエンス・AI教育プログラム</t>
    <phoneticPr fontId="1"/>
  </si>
  <si>
    <t>学部・学科によって、修了要件は相違しない</t>
  </si>
  <si>
    <t>データサイエンス概論</t>
    <phoneticPr fontId="1"/>
  </si>
  <si>
    <t>○</t>
  </si>
  <si>
    <t>社会で起きている変化
　１）ビッグデータ、 ２）検索エンジンとSNS、３）第４次産業革命、４）AIの驚異的発達　等 （１回）</t>
    <phoneticPr fontId="1"/>
  </si>
  <si>
    <t>データ・AI利活用のための技術
　１）さまざまなデータ解析－予測、２）さまざまなデータ解析－グルーピングとクラスタリング、３）さまざまなデータ解析－発見、４）データ解析の関連話題　等 （4回）</t>
    <phoneticPr fontId="1"/>
  </si>
  <si>
    <t>社会で活用されているデータ
　１）データの種類、２）データの所有者、３）構造化データと非構造化データ、４）自動翻訳 （2回）</t>
    <phoneticPr fontId="1"/>
  </si>
  <si>
    <t>データとAIの活用領域
　１）事業活動におけるデータ・AI活用の広がり、２）活用目的ごとのデータ・AI活用の広がり （3回）</t>
    <phoneticPr fontId="1"/>
  </si>
  <si>
    <t>データ・AI活用の現場
　１）データ分析による意思決定、２）情報技術による自動化、 ３）データ分析・自動化の実際、４）組織的考慮点 （5回）</t>
    <phoneticPr fontId="1"/>
  </si>
  <si>
    <t>データ・AI利活用の最新動向
　１）AI等を活用した新しいビジネスモデル、２）AI最新技術の活用例 （6回）</t>
    <phoneticPr fontId="1"/>
  </si>
  <si>
    <t>データ・AIを扱う上での留意事項
　１）ELSI、２）一般データ保護規則：GDPR、３）十分性認定、４）AI倫理　等 （10回）</t>
    <phoneticPr fontId="1"/>
  </si>
  <si>
    <t>データを守る上での留意事項
　１）データサイエンスにおけるセキュリティとプライバシー、２）データサイエンスと情報セキュリティ、３）データサイエンスとプライバシー （11回）</t>
    <phoneticPr fontId="1"/>
  </si>
  <si>
    <t>データを読む
　１）データの種類、２）データの分布と代表値、３）代表値の性質の違い、４）データのばらつき　等 （7回）</t>
    <phoneticPr fontId="1"/>
  </si>
  <si>
    <t>データを説明する
　１）データの表現、２）データの図解表現、３）データの比較、４）不適切なグラフ表現　等 （8回）</t>
    <phoneticPr fontId="1"/>
  </si>
  <si>
    <t>データを扱う
　１）表形式のデータ、２）データ解析ツール、３）SSDSEデータを扱う （9回）</t>
    <phoneticPr fontId="1"/>
  </si>
  <si>
    <t xml:space="preserve">①　今後のデジタル社会において、数理・データサイエンス・AIを日常の生活、仕事等の場で使いこなすことができる基礎的素養
②　学修した数理・データサイエンス・AIに関する知識・技能をもとに、これらを扱う際には、人間中心の適切な判断ができるようになる能力
③　AI等の恩恵を不安なく自らの意志で享受し、これらを説明し、活用できる能力 </t>
    <phoneticPr fontId="1"/>
  </si>
  <si>
    <t>　数理・データサイエンス・AI教育推進委員会を設置し全学的に数理・データサイエンス・AI教育を推進し、MDASHの推進、教育プログラムの方針設定、検討、改善等を行う。</t>
    <phoneticPr fontId="1"/>
  </si>
  <si>
    <t>長野大学数理・データサイエンス・AI教育推進委員会</t>
    <phoneticPr fontId="1"/>
  </si>
  <si>
    <t>長野大学数理・データサイエンス・AI教育推進委員会規程</t>
    <phoneticPr fontId="1"/>
  </si>
  <si>
    <t>熊谷　圭介</t>
    <rPh sb="0" eb="2">
      <t>クマガイ</t>
    </rPh>
    <rPh sb="3" eb="5">
      <t>ケイスケ</t>
    </rPh>
    <phoneticPr fontId="1"/>
  </si>
  <si>
    <t>副学長</t>
    <rPh sb="0" eb="3">
      <t>フクガクチョウ</t>
    </rPh>
    <phoneticPr fontId="1"/>
  </si>
  <si>
    <t>小林　淳一</t>
    <rPh sb="0" eb="2">
      <t>コバヤシ</t>
    </rPh>
    <rPh sb="3" eb="5">
      <t>ジュンイチ</t>
    </rPh>
    <phoneticPr fontId="1"/>
  </si>
  <si>
    <t>学長</t>
    <rPh sb="0" eb="2">
      <t>ガクチョウ</t>
    </rPh>
    <phoneticPr fontId="1"/>
  </si>
  <si>
    <t>ガイダンスでの資料配布および説明時間の設定を行い、担当教員が各学部ごとに本プログラムの必要性が理解できるように取り組む。また、複数クラスの開講の際、各クラスの授業時間を同時間にまとめず、時間割を調整し、どの学部の学生でも受講ができる取り組みを行う。
今後飛躍的に活用が進められるAIがもたらす恩恵を、不安なく自らの意思で享受・活用できるようになるためには、デジタル社会の基礎知識である「数理・データサイエンス・AI」に関する知識・技能などを身につけることが必要であるため、ポータルサイトでの定期的な当該プログラムに関する通知や、当該プログラムに関するポスターを学内の掲示版に掲示し、学生が意識しやすい環境を作る。</t>
    <rPh sb="7" eb="11">
      <t>シリョウハイフ</t>
    </rPh>
    <rPh sb="14" eb="16">
      <t>セツメイ</t>
    </rPh>
    <rPh sb="16" eb="18">
      <t>ジカン</t>
    </rPh>
    <rPh sb="19" eb="21">
      <t>セッテイ</t>
    </rPh>
    <rPh sb="22" eb="23">
      <t>オコナ</t>
    </rPh>
    <rPh sb="25" eb="29">
      <t>タントウキョウイン</t>
    </rPh>
    <rPh sb="30" eb="33">
      <t>カクガクブ</t>
    </rPh>
    <rPh sb="36" eb="37">
      <t>ホン</t>
    </rPh>
    <rPh sb="43" eb="46">
      <t>ヒツヨウセイ</t>
    </rPh>
    <rPh sb="47" eb="49">
      <t>リカイ</t>
    </rPh>
    <rPh sb="55" eb="56">
      <t>ト</t>
    </rPh>
    <rPh sb="57" eb="58">
      <t>ク</t>
    </rPh>
    <rPh sb="72" eb="73">
      <t>サイ</t>
    </rPh>
    <rPh sb="74" eb="75">
      <t>カク</t>
    </rPh>
    <rPh sb="79" eb="83">
      <t>ジュギョウジカン</t>
    </rPh>
    <rPh sb="84" eb="87">
      <t>ドウジカン</t>
    </rPh>
    <rPh sb="93" eb="96">
      <t>ジカンワリ</t>
    </rPh>
    <rPh sb="97" eb="99">
      <t>チョウセイ</t>
    </rPh>
    <rPh sb="103" eb="105">
      <t>ガクブ</t>
    </rPh>
    <rPh sb="106" eb="108">
      <t>ガクセイ</t>
    </rPh>
    <rPh sb="110" eb="112">
      <t>ジュコウ</t>
    </rPh>
    <rPh sb="116" eb="117">
      <t>ト</t>
    </rPh>
    <rPh sb="118" eb="119">
      <t>ク</t>
    </rPh>
    <rPh sb="121" eb="122">
      <t>オコナ</t>
    </rPh>
    <rPh sb="300" eb="302">
      <t>カンキョウ</t>
    </rPh>
    <rPh sb="303" eb="304">
      <t>ツク</t>
    </rPh>
    <phoneticPr fontId="1"/>
  </si>
  <si>
    <t>学生は、LMSにおいて講義資料をいつでも参照できるほか、掲示板を介しての質問や教員からのサポートが受けられる体制となっている。</t>
    <phoneticPr fontId="1"/>
  </si>
  <si>
    <t>上記に述べたLMSでのサポート体制のほかに、オフィスアワーを全教員が設定し、学内に公開していることから、直接教員と対面での質問や個別サポートを受けることも可能な仕組みを設けている。</t>
    <phoneticPr fontId="1"/>
  </si>
  <si>
    <t>数理・データサイエンス・AI教育推進委員会</t>
    <phoneticPr fontId="1"/>
  </si>
  <si>
    <t>数理・データサイエンス・AI教育推進委員会およびサポートの教育支援担当（事務）が連携し、プログラムの履修・修得状況の把握およびデータの蓄積と分析を担う。
またその状況および結果については、教学IR担当、各学部教授会、学長・学部長会議、理事会において情報共有され、検証および改善を全学的に実施する。</t>
    <phoneticPr fontId="1"/>
  </si>
  <si>
    <t>数理・データサイエンス・AI教育推進委員会において、授業アンケートによる学修者の到達度の把握、レポートの提出状況、成績等を相対的に検証・分析により、学修成果の確認と改善に向けた検討を行う。
学生は、科目に対して、学修目標の設定および、提出物を蓄積し振り返るポートフォリオを利用する。</t>
    <rPh sb="95" eb="97">
      <t>ガクセイ</t>
    </rPh>
    <rPh sb="99" eb="101">
      <t>カモク</t>
    </rPh>
    <rPh sb="102" eb="103">
      <t>タイ</t>
    </rPh>
    <rPh sb="106" eb="108">
      <t>ガクシュウ</t>
    </rPh>
    <rPh sb="108" eb="110">
      <t>モクヒョウ</t>
    </rPh>
    <rPh sb="111" eb="113">
      <t>セッテイ</t>
    </rPh>
    <rPh sb="117" eb="120">
      <t>テイシュツブツ</t>
    </rPh>
    <rPh sb="121" eb="123">
      <t>チクセキ</t>
    </rPh>
    <rPh sb="124" eb="125">
      <t>フ</t>
    </rPh>
    <rPh sb="126" eb="127">
      <t>カエ</t>
    </rPh>
    <rPh sb="136" eb="138">
      <t>リヨウ</t>
    </rPh>
    <phoneticPr fontId="1"/>
  </si>
  <si>
    <t>当該プログラム科目の授業アンケートについては、結果を在学生や新入生に公開し、当該プログラムの履修を推奨する。
新入生ガイダンスや在学生ガイダンスにおいても、結果の公表を行い、より履修を推奨する。</t>
    <phoneticPr fontId="1"/>
  </si>
  <si>
    <t>本学の学生アンケートでは、選択式設問で【主体的学修】自主学習時間、自発的な学び【到達理解】理解度、学修の到達度、発見や成長および視野の広がり、 【授業運営】知的好奇心の触発、 【全体】意欲的になる内容であったか、記述式設問で【到達理解】何を学んだか 【全体】良かった点、改善点などを問う10問が設定されており、当該科目においての授業アンケ―トで、到達理解の分析が可能であり、学生が意欲的に取り組み、自己の成長や視野の広がりに通じるものであったかを確認・分析する。またその結果を科目担当教員および数理・データサイエンス・AI教育推進委員会において共有し、改善に役立てる。</t>
    <phoneticPr fontId="1"/>
  </si>
  <si>
    <t>今後飛躍的に活用が進められるAIがもたらす恩恵を、不安なく自らの意思で享受・活用できるようになるためには、デジタル社会の基礎知識である「数理・データサイエンス・AI」に関する知識・技能などを身につけることが必要であるということを、履修ガイダンス等で学生に周知し、当該科目を本学のDPとも関連付け学部を超えた知識の修得の必要性を認識させる。
また計画に沿った履修者数、履修率の向上状態を数理・データサイエンス・AI教育推進委員会において、確認し、達成状況の検証、改善策の策定、実施を行う。</t>
    <phoneticPr fontId="1"/>
  </si>
  <si>
    <t>本学の「インターンシップ」の科目では、3学部の学生が企業でのインターンシップを実施しており、3学部の教員も数多く企業との橋渡しや学生のフォローを行っている。インターンシップ派遣先の企業に協力を得て、当該プログラムでの教育についての意見聴取を行い、当該プログラムに産業界のニーズを取り入れた改善策の策定を数理・データサイエンス・AI教育推進委員会において行う。</t>
    <phoneticPr fontId="1"/>
  </si>
  <si>
    <t>当該プログラム修了者の進路や就職内定状況を、キャリアサポート担当と連携して把握し、データの分析を行い、教育効果の検証を行う。また修了者の就職先にはヒアリング等を行い、当該プログラムの影響、修了者の就職後の活躍状況などの情報収集を行う。
その結果については、数理・データサイエンス・AI教育推進委員会において検証を行い、学内での情報共有や公表を行う。</t>
    <phoneticPr fontId="1"/>
  </si>
  <si>
    <t xml:space="preserve">データサイエンスを学んだことがない学生も、拒否反応を示すことなく受講できるよう、データサイエンスに関する基礎的素養、いわゆるリテラシーレベルの知識・技能を修得することを目的に、社会においてデータやAIがどのように利活用されているか、データから何を読み取り、またどのように扱ったらよいかについて、さらに、データやAIを利活用する際の留意点などについて学修する。また、AIを実装する際に必要となるプログラミングの基礎についても演習を交えながら修得する講義とする。
またLMSやオフィスアワーでの個別サポートなど、学生が支援を受けながら単位が修得できるよう継続的なサポートで理解を促していく。 </t>
    <phoneticPr fontId="1"/>
  </si>
  <si>
    <t>ChatGPTなどより身近になったAI活用の最新動向などに触れ、ビジネスと結びついたデータ、AIの活用など社会でどのように利活用され、新たな価値を生んでいるのかなどの分かりやすい内容も取り入れながら、データを扱い、AI実装のための演習なども行い、水準を維持しつつ、学生が今後デジタル社会で必要な知識を修得できる授業構成としている。</t>
    <rPh sb="61" eb="64">
      <t>リカツヨウ</t>
    </rPh>
    <phoneticPr fontId="1"/>
  </si>
  <si>
    <t>令和5</t>
    <rPh sb="0" eb="2">
      <t>レイワ</t>
    </rPh>
    <phoneticPr fontId="1"/>
  </si>
  <si>
    <t>(1)　副学長１名 熊谷　圭介教授
(2)　大学教育センター長　丹野　傑史教授
(3)　数理・データサイエンス・AI関連科目担当者　髙橋　雅夫教授、飯田一朗教授、矢島　正男教授
(4)　学長が指名する事務局職員　教育支援担当課長　久保田　亜希子</t>
    <rPh sb="10" eb="12">
      <t>クマガイ</t>
    </rPh>
    <rPh sb="13" eb="15">
      <t>ケイスケ</t>
    </rPh>
    <rPh sb="15" eb="17">
      <t>キョウジュ</t>
    </rPh>
    <rPh sb="32" eb="34">
      <t>タンノ</t>
    </rPh>
    <rPh sb="37" eb="39">
      <t>キョウジュ</t>
    </rPh>
    <rPh sb="66" eb="68">
      <t>タカハシ</t>
    </rPh>
    <rPh sb="69" eb="71">
      <t>マサオ</t>
    </rPh>
    <rPh sb="71" eb="73">
      <t>キョウジュ</t>
    </rPh>
    <rPh sb="78" eb="80">
      <t>キョウジュ</t>
    </rPh>
    <rPh sb="86" eb="88">
      <t>キョウジュ</t>
    </rPh>
    <rPh sb="106" eb="110">
      <t>キョウイクシエン</t>
    </rPh>
    <rPh sb="110" eb="112">
      <t>タントウ</t>
    </rPh>
    <rPh sb="112" eb="114">
      <t>カチョウ</t>
    </rPh>
    <rPh sb="115" eb="118">
      <t>クボタ</t>
    </rPh>
    <rPh sb="119" eb="122">
      <t>アキコ</t>
    </rPh>
    <phoneticPr fontId="1"/>
  </si>
  <si>
    <t>微分積分学</t>
    <phoneticPr fontId="1"/>
  </si>
  <si>
    <t>4-1統計および数理基礎</t>
  </si>
  <si>
    <t>データサイエンス概論において、ChatGPTやStable Diffusionなどの生成AIとはどのようなもので、どのような機能があり、どのような分野に応用され、また、現在どのような課題があるかについて具体的な事例を紹介し、生成AIを利用する際の注意点について解説を実施している。</t>
    <rPh sb="101" eb="104">
      <t>グタイテキ</t>
    </rPh>
    <rPh sb="105" eb="107">
      <t>ジレイ</t>
    </rPh>
    <phoneticPr fontId="1"/>
  </si>
  <si>
    <t>線形代数学</t>
    <rPh sb="0" eb="2">
      <t>センケイ</t>
    </rPh>
    <rPh sb="2" eb="4">
      <t>ダイスウ</t>
    </rPh>
    <rPh sb="4" eb="5">
      <t>ガク</t>
    </rPh>
    <phoneticPr fontId="1"/>
  </si>
  <si>
    <t>履修者の増加に対応するため、前期・後期での開講および複数クラスの開講も実施予定である。なぜ、数理・データサイエンス・AIを学ぶのか、理解する基礎から入り、知識がない社会福祉学部や環境ツーリズム学部の学生でも受講しやすい内容とし、デジタル社会に対応できる人材育成を目指す。また、数理・データサイエンス・AIをより深く理解できるよう、選択科目として基礎数学の科目「線形代数学」および「微分積分学」も用意し、全学部が学びを深められる体系も整備している。</t>
    <rPh sb="26" eb="28">
      <t>フクスウ</t>
    </rPh>
    <rPh sb="32" eb="34">
      <t>カイコウ</t>
    </rPh>
    <rPh sb="155" eb="156">
      <t>フカ</t>
    </rPh>
    <rPh sb="157" eb="159">
      <t>リカイ</t>
    </rPh>
    <rPh sb="165" eb="167">
      <t>センタク</t>
    </rPh>
    <rPh sb="167" eb="169">
      <t>カモク</t>
    </rPh>
    <rPh sb="172" eb="176">
      <t>キソスウガク</t>
    </rPh>
    <rPh sb="177" eb="179">
      <t>カモク</t>
    </rPh>
    <rPh sb="180" eb="182">
      <t>センケイ</t>
    </rPh>
    <rPh sb="182" eb="184">
      <t>ダイスウ</t>
    </rPh>
    <rPh sb="184" eb="185">
      <t>ガク</t>
    </rPh>
    <rPh sb="190" eb="192">
      <t>ビブン</t>
    </rPh>
    <rPh sb="192" eb="195">
      <t>セキブンガク</t>
    </rPh>
    <rPh sb="197" eb="199">
      <t>ヨウイ</t>
    </rPh>
    <rPh sb="201" eb="204">
      <t>ゼンガクブ</t>
    </rPh>
    <rPh sb="205" eb="206">
      <t>マナ</t>
    </rPh>
    <rPh sb="208" eb="209">
      <t>フカ</t>
    </rPh>
    <rPh sb="213" eb="215">
      <t>タイケイ</t>
    </rPh>
    <rPh sb="216" eb="218">
      <t>セイビ</t>
    </rPh>
    <phoneticPr fontId="1"/>
  </si>
  <si>
    <r>
      <t>本学が定める所定の科目「データサイエンス概論」（2単位）を修得し、数理・データサイエンス・AIへの関</t>
    </r>
    <r>
      <rPr>
        <sz val="12"/>
        <rFont val="Microsoft YaHei"/>
        <family val="2"/>
        <charset val="134"/>
      </rPr>
      <t>⼼</t>
    </r>
    <r>
      <rPr>
        <sz val="12"/>
        <rFont val="ＭＳ Ｐゴシック"/>
        <family val="3"/>
        <charset val="128"/>
        <scheme val="minor"/>
      </rPr>
      <t>を</t>
    </r>
    <r>
      <rPr>
        <sz val="12"/>
        <rFont val="Microsoft YaHei"/>
        <family val="2"/>
        <charset val="134"/>
      </rPr>
      <t>⾼</t>
    </r>
    <r>
      <rPr>
        <sz val="12"/>
        <rFont val="ＭＳ Ｐゴシック"/>
        <family val="3"/>
        <charset val="128"/>
        <scheme val="minor"/>
      </rPr>
      <t>め、適切に理解し活</t>
    </r>
    <r>
      <rPr>
        <sz val="12"/>
        <rFont val="Microsoft YaHei"/>
        <family val="2"/>
        <charset val="134"/>
      </rPr>
      <t>⽤</t>
    </r>
    <r>
      <rPr>
        <sz val="12"/>
        <rFont val="ＭＳ Ｐゴシック"/>
        <family val="3"/>
        <charset val="128"/>
        <scheme val="minor"/>
      </rPr>
      <t>する基礎的な能</t>
    </r>
    <r>
      <rPr>
        <sz val="12"/>
        <rFont val="Microsoft YaHei"/>
        <family val="2"/>
        <charset val="134"/>
      </rPr>
      <t>⼒</t>
    </r>
    <r>
      <rPr>
        <sz val="12"/>
        <rFont val="ＭＳ Ｐゴシック"/>
        <family val="3"/>
        <charset val="128"/>
        <scheme val="minor"/>
      </rPr>
      <t>を有していること。
また選択科目として、さらに数理・データサイエンス・AIの知識を深める「線形代数学」および「微分積分学」を用意し、基礎数学の知識の修得が可能である。（選択科目は本プログラムの修了要件の単位には含めない。）</t>
    </r>
    <rPh sb="83" eb="85">
      <t>センタク</t>
    </rPh>
    <rPh sb="85" eb="87">
      <t>カモク</t>
    </rPh>
    <rPh sb="116" eb="120">
      <t>センケイダイスウ</t>
    </rPh>
    <rPh sb="120" eb="121">
      <t>ガク</t>
    </rPh>
    <rPh sb="133" eb="135">
      <t>ヨウイ</t>
    </rPh>
    <rPh sb="137" eb="141">
      <t>キソスウガク</t>
    </rPh>
    <rPh sb="142" eb="144">
      <t>チシキ</t>
    </rPh>
    <rPh sb="145" eb="147">
      <t>シュウトク</t>
    </rPh>
    <rPh sb="148" eb="150">
      <t>カノウ</t>
    </rPh>
    <rPh sb="155" eb="157">
      <t>センタク</t>
    </rPh>
    <rPh sb="157" eb="159">
      <t>カモク</t>
    </rPh>
    <rPh sb="160" eb="161">
      <t>ホン</t>
    </rPh>
    <rPh sb="167" eb="171">
      <t>シュウリョウヨウケン</t>
    </rPh>
    <rPh sb="172" eb="174">
      <t>タンイ</t>
    </rPh>
    <rPh sb="176" eb="177">
      <t>フク</t>
    </rPh>
    <phoneticPr fontId="1"/>
  </si>
  <si>
    <t xml:space="preserve">令和5年度においては、当初の見込みより少ない履修者数ではあるが、学生アンケートなどから、AIやデータサイエンスへの興味を持つ学生が増加傾向にあり、学生も社会のニーズを自覚しつつある。新しい時代に対応できる人材の輩出は、社会に貢献できる職業人を育成目標に掲げる本学にとっての責務であり、令和6年度は新入生に対し、ガイダンスで個別に本プログラムを説明する時間を設け、学生への周知を徹底し、学生の意識改革を行い、4月の段階で3学部合計で235名の履修登録があった。また令和６年度からは、これまでの１学期の開講だけでなく、前期および後期の双方に授業を設定し、学生が履修しやすい環境を整備し、履修率の増加に繋げる。
令和7年度からは、SPARCの連携開設科目で既にデータサイエンスリテラシーの科目が必修化されている社会福祉学部を除いた環境ツーリズム学部および企業情報学部において、必修化する。社会福祉学部の学生も、より学修を深めたい希望者は受講できるよう、開講クラスを前期後期に複数クラス設定する。
令和6年度　履修者数230人（履修率17％）
令和7年度　履修者数250人（履修率35％）
令和8年度　履修者数250人（履修率53％）
令和9年度　履修者数250人（履修率70％）
</t>
    <rPh sb="142" eb="144">
      <t>レイワ</t>
    </rPh>
    <rPh sb="145" eb="147">
      <t>ネンド</t>
    </rPh>
    <rPh sb="148" eb="151">
      <t>シンニュウセイ</t>
    </rPh>
    <rPh sb="152" eb="153">
      <t>タイ</t>
    </rPh>
    <rPh sb="161" eb="163">
      <t>コベツ</t>
    </rPh>
    <rPh sb="164" eb="165">
      <t>ホン</t>
    </rPh>
    <rPh sb="171" eb="173">
      <t>セツメイ</t>
    </rPh>
    <rPh sb="175" eb="177">
      <t>ジカン</t>
    </rPh>
    <rPh sb="178" eb="179">
      <t>モウ</t>
    </rPh>
    <rPh sb="204" eb="205">
      <t>ガツ</t>
    </rPh>
    <rPh sb="206" eb="208">
      <t>ダンカイ</t>
    </rPh>
    <rPh sb="210" eb="212">
      <t>ガクブ</t>
    </rPh>
    <rPh sb="212" eb="214">
      <t>ゴウケイ</t>
    </rPh>
    <rPh sb="218" eb="219">
      <t>メイ</t>
    </rPh>
    <rPh sb="220" eb="222">
      <t>リシュウ</t>
    </rPh>
    <rPh sb="222" eb="224">
      <t>トウロク</t>
    </rPh>
    <rPh sb="231" eb="233">
      <t>レイワ</t>
    </rPh>
    <rPh sb="234" eb="236">
      <t>ネンド</t>
    </rPh>
    <rPh sb="246" eb="248">
      <t>ガッキ</t>
    </rPh>
    <rPh sb="249" eb="251">
      <t>カイコウ</t>
    </rPh>
    <rPh sb="257" eb="259">
      <t>ゼンキ</t>
    </rPh>
    <rPh sb="262" eb="264">
      <t>コウキ</t>
    </rPh>
    <rPh sb="265" eb="267">
      <t>ソウホウ</t>
    </rPh>
    <rPh sb="268" eb="270">
      <t>ジュギョウ</t>
    </rPh>
    <rPh sb="271" eb="273">
      <t>セッテイ</t>
    </rPh>
    <rPh sb="275" eb="277">
      <t>ガクセイ</t>
    </rPh>
    <rPh sb="278" eb="280">
      <t>リシュウ</t>
    </rPh>
    <rPh sb="284" eb="286">
      <t>カンキョウ</t>
    </rPh>
    <rPh sb="287" eb="289">
      <t>セイビ</t>
    </rPh>
    <rPh sb="291" eb="294">
      <t>リシュウリツ</t>
    </rPh>
    <rPh sb="295" eb="297">
      <t>ゾウカ</t>
    </rPh>
    <rPh sb="298" eb="299">
      <t>ツナ</t>
    </rPh>
    <rPh sb="303" eb="305">
      <t>レイワ</t>
    </rPh>
    <rPh sb="306" eb="308">
      <t>ネンド</t>
    </rPh>
    <rPh sb="318" eb="320">
      <t>レンケイ</t>
    </rPh>
    <rPh sb="320" eb="322">
      <t>カイセツ</t>
    </rPh>
    <rPh sb="322" eb="324">
      <t>カモク</t>
    </rPh>
    <rPh sb="325" eb="326">
      <t>スデ</t>
    </rPh>
    <rPh sb="341" eb="343">
      <t>カモク</t>
    </rPh>
    <rPh sb="344" eb="346">
      <t>ヒッシュウ</t>
    </rPh>
    <rPh sb="346" eb="347">
      <t>カ</t>
    </rPh>
    <rPh sb="352" eb="358">
      <t>シャカイフクシガクブ</t>
    </rPh>
    <rPh sb="359" eb="360">
      <t>ノゾ</t>
    </rPh>
    <rPh sb="362" eb="364">
      <t>カンキョウ</t>
    </rPh>
    <rPh sb="369" eb="371">
      <t>ガクブ</t>
    </rPh>
    <rPh sb="374" eb="378">
      <t>キギョウジョウホウ</t>
    </rPh>
    <rPh sb="378" eb="380">
      <t>ガクブ</t>
    </rPh>
    <rPh sb="385" eb="387">
      <t>ヒッシュウ</t>
    </rPh>
    <rPh sb="387" eb="388">
      <t>カ</t>
    </rPh>
    <rPh sb="391" eb="397">
      <t>シャカイフクシガクブ</t>
    </rPh>
    <rPh sb="398" eb="400">
      <t>ガクセイ</t>
    </rPh>
    <rPh sb="404" eb="406">
      <t>ガクシュウ</t>
    </rPh>
    <rPh sb="407" eb="408">
      <t>フカ</t>
    </rPh>
    <rPh sb="411" eb="414">
      <t>キボウシャ</t>
    </rPh>
    <rPh sb="415" eb="417">
      <t>ジュコウ</t>
    </rPh>
    <rPh sb="423" eb="425">
      <t>カイコウ</t>
    </rPh>
    <rPh sb="429" eb="431">
      <t>ゼンキ</t>
    </rPh>
    <rPh sb="431" eb="433">
      <t>コウキ</t>
    </rPh>
    <rPh sb="434" eb="436">
      <t>フクスウ</t>
    </rPh>
    <rPh sb="439" eb="441">
      <t>セッテイ</t>
    </rPh>
    <rPh sb="445" eb="447">
      <t>レイワ</t>
    </rPh>
    <rPh sb="448" eb="450">
      <t>ネンド</t>
    </rPh>
    <rPh sb="451" eb="455">
      <t>リシュウシャスウ</t>
    </rPh>
    <rPh sb="458" eb="460">
      <t>リシュウ</t>
    </rPh>
    <rPh sb="460" eb="461">
      <t>リツ</t>
    </rPh>
    <phoneticPr fontId="1"/>
  </si>
  <si>
    <t>社会福祉学部</t>
    <rPh sb="0" eb="4">
      <t>シャカイフクシ</t>
    </rPh>
    <rPh sb="4" eb="6">
      <t>ガクブ</t>
    </rPh>
    <phoneticPr fontId="1"/>
  </si>
  <si>
    <t>環境ツーリズム学部</t>
    <rPh sb="0" eb="2">
      <t>カンキョウ</t>
    </rPh>
    <rPh sb="7" eb="9">
      <t>ガクブ</t>
    </rPh>
    <phoneticPr fontId="1"/>
  </si>
  <si>
    <t>企業情報学部</t>
    <rPh sb="0" eb="4">
      <t>キギョウジョウホウ</t>
    </rPh>
    <rPh sb="4" eb="6">
      <t>ガクブ</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</si>
</sst>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0"/>
      <name val="ＭＳ Ｐゴシック"/>
      <family val="3"/>
      <charset val="128"/>
      <scheme val="minor"/>
    </font>
    <font>
      <sz val="12"/>
      <name val="Microsoft YaHei"/>
      <family val="2"/>
      <charset val="134"/>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2" fillId="0" borderId="0" xfId="0" applyFont="1">
      <alignment vertical="center"/>
    </xf>
    <xf numFmtId="0" fontId="12" fillId="0" borderId="0" xfId="0" applyFont="1" applyAlignment="1">
      <alignment horizontal="right" vertical="center"/>
    </xf>
    <xf numFmtId="0" fontId="12" fillId="0" borderId="1" xfId="0" applyFont="1" applyBorder="1" applyAlignment="1">
      <alignment horizontal="center" vertical="center"/>
    </xf>
    <xf numFmtId="0" fontId="12" fillId="0" borderId="0" xfId="0" applyFont="1" applyAlignment="1">
      <alignment vertical="center" shrinkToFit="1"/>
    </xf>
    <xf numFmtId="0" fontId="12" fillId="0" borderId="0" xfId="0" applyFont="1" applyAlignment="1">
      <alignment horizontal="left" vertical="center" shrinkToFit="1"/>
    </xf>
    <xf numFmtId="0" fontId="12" fillId="0" borderId="0" xfId="0" applyFont="1" applyAlignment="1">
      <alignment horizontal="center" vertical="center"/>
    </xf>
    <xf numFmtId="0" fontId="12" fillId="0" borderId="0" xfId="0" applyFont="1" applyAlignment="1">
      <alignment horizontal="left" vertical="center"/>
    </xf>
    <xf numFmtId="0" fontId="11" fillId="0" borderId="0" xfId="0" applyFont="1" applyAlignment="1">
      <alignment horizontal="center" vertical="center"/>
    </xf>
    <xf numFmtId="0" fontId="12" fillId="0" borderId="1" xfId="0" applyFont="1" applyBorder="1">
      <alignment vertical="center"/>
    </xf>
    <xf numFmtId="0" fontId="12" fillId="0" borderId="1" xfId="0" applyFont="1" applyBorder="1" applyAlignment="1">
      <alignment horizontal="left" vertical="center"/>
    </xf>
    <xf numFmtId="0" fontId="12" fillId="0" borderId="0" xfId="0" applyFont="1" applyAlignment="1">
      <alignment horizontal="center" vertical="center" shrinkToFit="1"/>
    </xf>
    <xf numFmtId="0" fontId="14" fillId="0" borderId="1" xfId="0" applyFont="1" applyBorder="1" applyAlignment="1">
      <alignment horizontal="center" vertical="center" shrinkToFit="1"/>
    </xf>
    <xf numFmtId="0" fontId="14" fillId="0" borderId="4" xfId="0" applyFont="1" applyBorder="1" applyAlignment="1">
      <alignment horizontal="center" vertical="center" shrinkToFit="1"/>
    </xf>
    <xf numFmtId="49" fontId="14" fillId="0" borderId="1" xfId="0" applyNumberFormat="1" applyFont="1" applyBorder="1" applyAlignment="1">
      <alignment horizontal="center" vertical="center"/>
    </xf>
    <xf numFmtId="0" fontId="12" fillId="0" borderId="14" xfId="0" applyFont="1" applyBorder="1" applyAlignment="1">
      <alignment horizontal="center" vertical="center" shrinkToFit="1"/>
    </xf>
    <xf numFmtId="0" fontId="12" fillId="0" borderId="20" xfId="0" applyFont="1" applyBorder="1" applyAlignment="1">
      <alignment horizontal="center" vertical="center" shrinkToFit="1"/>
    </xf>
    <xf numFmtId="0" fontId="12" fillId="0" borderId="13" xfId="0" applyFont="1" applyBorder="1" applyAlignment="1">
      <alignment horizontal="center" vertical="center" shrinkToFit="1"/>
    </xf>
    <xf numFmtId="0" fontId="12" fillId="0" borderId="35" xfId="0" applyFont="1" applyBorder="1" applyAlignment="1">
      <alignment horizontal="center" vertical="center" shrinkToFit="1"/>
    </xf>
    <xf numFmtId="0" fontId="12" fillId="0" borderId="0" xfId="0" applyFont="1" applyAlignment="1">
      <alignment vertical="top" wrapText="1"/>
    </xf>
    <xf numFmtId="49" fontId="14" fillId="0" borderId="43" xfId="0" applyNumberFormat="1" applyFont="1" applyBorder="1" applyAlignment="1">
      <alignment horizontal="center" vertical="center"/>
    </xf>
    <xf numFmtId="49" fontId="14" fillId="0" borderId="44" xfId="0" applyNumberFormat="1" applyFont="1" applyBorder="1" applyAlignment="1">
      <alignment horizontal="center" vertical="center"/>
    </xf>
    <xf numFmtId="49" fontId="14" fillId="0" borderId="39" xfId="0" applyNumberFormat="1" applyFont="1" applyBorder="1" applyAlignment="1">
      <alignment horizontal="center" vertical="center"/>
    </xf>
    <xf numFmtId="49" fontId="14" fillId="0" borderId="26" xfId="0" applyNumberFormat="1" applyFont="1" applyBorder="1" applyAlignment="1">
      <alignment horizontal="center" vertical="center"/>
    </xf>
    <xf numFmtId="49" fontId="14" fillId="0" borderId="42" xfId="0" applyNumberFormat="1" applyFont="1" applyBorder="1" applyAlignment="1">
      <alignment horizontal="center" vertical="center"/>
    </xf>
    <xf numFmtId="49" fontId="14" fillId="0" borderId="28" xfId="0" applyNumberFormat="1" applyFont="1" applyBorder="1" applyAlignment="1">
      <alignment horizontal="center"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11" fillId="0" borderId="6" xfId="0" applyFont="1" applyBorder="1" applyAlignment="1">
      <alignment horizontal="left" vertical="center" wrapText="1"/>
    </xf>
    <xf numFmtId="0" fontId="12" fillId="0" borderId="18" xfId="0" applyFont="1" applyBorder="1" applyAlignment="1">
      <alignment horizontal="center" vertical="center" shrinkToFit="1"/>
    </xf>
    <xf numFmtId="0" fontId="12" fillId="0" borderId="19" xfId="0" applyFont="1" applyBorder="1" applyAlignment="1">
      <alignment horizontal="center" vertical="center" shrinkToFit="1"/>
    </xf>
    <xf numFmtId="0" fontId="12" fillId="0" borderId="17"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18" xfId="0" applyFont="1" applyBorder="1" applyAlignment="1">
      <alignment vertical="center" shrinkToFit="1"/>
    </xf>
    <xf numFmtId="0" fontId="12" fillId="0" borderId="19" xfId="0" applyFont="1" applyBorder="1" applyAlignment="1">
      <alignment vertical="center" shrinkToFit="1"/>
    </xf>
    <xf numFmtId="0" fontId="12" fillId="0" borderId="17" xfId="0" applyFont="1" applyBorder="1" applyAlignment="1">
      <alignment vertical="center" shrinkToFit="1"/>
    </xf>
    <xf numFmtId="0" fontId="12" fillId="0" borderId="32" xfId="0" applyFont="1" applyBorder="1" applyAlignment="1">
      <alignment vertical="center" shrinkToFit="1"/>
    </xf>
    <xf numFmtId="0" fontId="12" fillId="0" borderId="33" xfId="0" applyFont="1" applyBorder="1" applyAlignment="1">
      <alignment vertical="center" shrinkToFit="1"/>
    </xf>
    <xf numFmtId="0" fontId="12" fillId="0" borderId="34" xfId="0" applyFont="1" applyBorder="1" applyAlignment="1">
      <alignment vertical="center" shrinkToFit="1"/>
    </xf>
    <xf numFmtId="0" fontId="11" fillId="0" borderId="1" xfId="0" applyFont="1" applyBorder="1" applyAlignment="1">
      <alignment horizontal="center" vertical="center"/>
    </xf>
    <xf numFmtId="0" fontId="14" fillId="0" borderId="1" xfId="0" applyFont="1" applyBorder="1" applyAlignment="1">
      <alignment vertical="center" wrapText="1"/>
    </xf>
    <xf numFmtId="0" fontId="12" fillId="0" borderId="29" xfId="0" applyFont="1" applyBorder="1" applyAlignment="1">
      <alignment vertical="center" shrinkToFit="1"/>
    </xf>
    <xf numFmtId="0" fontId="12" fillId="0" borderId="31" xfId="0" applyFont="1" applyBorder="1" applyAlignment="1">
      <alignment vertical="center" shrinkToFit="1"/>
    </xf>
    <xf numFmtId="0" fontId="12" fillId="0" borderId="30" xfId="0" applyFont="1" applyBorder="1" applyAlignment="1">
      <alignment vertical="center" shrinkToFit="1"/>
    </xf>
    <xf numFmtId="0" fontId="12" fillId="0" borderId="0" xfId="0" applyFont="1" applyAlignment="1">
      <alignment vertical="center" wrapText="1"/>
    </xf>
    <xf numFmtId="0" fontId="12" fillId="0" borderId="29" xfId="0" applyFont="1" applyBorder="1" applyAlignment="1">
      <alignment horizontal="center" vertical="center" shrinkToFit="1"/>
    </xf>
    <xf numFmtId="0" fontId="12" fillId="0" borderId="31" xfId="0" applyFont="1" applyBorder="1" applyAlignment="1">
      <alignment horizontal="center" vertical="center" shrinkToFit="1"/>
    </xf>
    <xf numFmtId="0" fontId="12" fillId="0" borderId="30" xfId="0" applyFont="1" applyBorder="1" applyAlignment="1">
      <alignment horizontal="center" vertical="center" shrinkToFit="1"/>
    </xf>
    <xf numFmtId="0" fontId="14" fillId="0" borderId="40" xfId="0" applyFont="1" applyBorder="1" applyAlignment="1">
      <alignment vertical="center" wrapText="1"/>
    </xf>
    <xf numFmtId="0" fontId="14" fillId="0" borderId="41" xfId="0" applyFont="1" applyBorder="1" applyAlignment="1">
      <alignment vertical="center" wrapText="1"/>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4" fillId="0" borderId="27" xfId="0" applyFont="1" applyBorder="1" applyAlignment="1">
      <alignment vertical="center" wrapText="1"/>
    </xf>
    <xf numFmtId="0" fontId="15" fillId="0" borderId="0" xfId="0" applyFont="1" applyAlignment="1">
      <alignment horizontal="center" vertical="center"/>
    </xf>
    <xf numFmtId="0" fontId="12" fillId="0" borderId="7" xfId="0" applyFont="1" applyBorder="1" applyAlignment="1">
      <alignment horizontal="left" vertical="top" wrapText="1" shrinkToFit="1"/>
    </xf>
    <xf numFmtId="0" fontId="12" fillId="0" borderId="8"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6" xfId="0" applyFont="1" applyBorder="1" applyAlignment="1">
      <alignment horizontal="left" vertical="top" wrapText="1" shrinkToFit="1"/>
    </xf>
    <xf numFmtId="0" fontId="12" fillId="0" borderId="12" xfId="0" applyFont="1" applyBorder="1" applyAlignment="1">
      <alignment horizontal="left" vertical="top" wrapText="1" shrinkToFit="1"/>
    </xf>
    <xf numFmtId="0" fontId="12" fillId="0" borderId="2" xfId="0" applyFont="1" applyBorder="1" applyAlignment="1">
      <alignment vertical="center" wrapText="1" shrinkToFit="1"/>
    </xf>
    <xf numFmtId="0" fontId="12" fillId="0" borderId="3" xfId="0" applyFont="1" applyBorder="1" applyAlignment="1">
      <alignment vertical="center" wrapText="1" shrinkToFit="1"/>
    </xf>
    <xf numFmtId="0" fontId="12" fillId="0" borderId="4" xfId="0" applyFont="1" applyBorder="1" applyAlignment="1">
      <alignment vertical="center" wrapText="1" shrinkToFit="1"/>
    </xf>
    <xf numFmtId="0" fontId="12" fillId="0" borderId="32" xfId="0" applyFont="1" applyBorder="1" applyAlignment="1">
      <alignment horizontal="center" vertical="center" shrinkToFit="1"/>
    </xf>
    <xf numFmtId="0" fontId="12" fillId="0" borderId="33" xfId="0" applyFont="1" applyBorder="1" applyAlignment="1">
      <alignment horizontal="center" vertical="center" shrinkToFit="1"/>
    </xf>
    <xf numFmtId="0" fontId="12" fillId="0" borderId="34" xfId="0" applyFont="1" applyBorder="1" applyAlignment="1">
      <alignment horizontal="center" vertical="center" shrinkToFit="1"/>
    </xf>
    <xf numFmtId="0" fontId="16" fillId="0" borderId="2" xfId="0" applyFont="1" applyBorder="1" applyAlignment="1">
      <alignment horizontal="center" vertical="center" shrinkToFit="1"/>
    </xf>
    <xf numFmtId="0" fontId="16" fillId="0" borderId="4" xfId="0" applyFont="1" applyBorder="1" applyAlignment="1">
      <alignment horizontal="center" vertical="center" shrinkToFit="1"/>
    </xf>
    <xf numFmtId="0" fontId="12" fillId="0" borderId="0" xfId="0" applyFont="1" applyAlignment="1">
      <alignment horizontal="right" vertical="center"/>
    </xf>
    <xf numFmtId="0" fontId="11" fillId="0" borderId="0" xfId="0" applyFont="1" applyAlignment="1">
      <alignment horizontal="left" vertical="center" wrapText="1"/>
    </xf>
    <xf numFmtId="49" fontId="14" fillId="0" borderId="32" xfId="0" applyNumberFormat="1" applyFont="1" applyBorder="1" applyAlignment="1">
      <alignment horizontal="left" vertical="center" wrapText="1"/>
    </xf>
    <xf numFmtId="49" fontId="14" fillId="0" borderId="33" xfId="0" applyNumberFormat="1" applyFont="1" applyBorder="1" applyAlignment="1">
      <alignment horizontal="left" vertical="center"/>
    </xf>
    <xf numFmtId="49" fontId="14" fillId="0" borderId="34" xfId="0" applyNumberFormat="1" applyFont="1" applyBorder="1" applyAlignment="1">
      <alignment horizontal="left" vertical="center"/>
    </xf>
    <xf numFmtId="49" fontId="14" fillId="0" borderId="29" xfId="0" applyNumberFormat="1" applyFont="1" applyBorder="1" applyAlignment="1">
      <alignment horizontal="left" vertical="center" wrapText="1"/>
    </xf>
    <xf numFmtId="49" fontId="14" fillId="0" borderId="31" xfId="0" applyNumberFormat="1" applyFont="1" applyBorder="1" applyAlignment="1">
      <alignment horizontal="left" vertical="center"/>
    </xf>
    <xf numFmtId="49" fontId="14" fillId="0" borderId="30" xfId="0" applyNumberFormat="1" applyFont="1" applyBorder="1" applyAlignment="1">
      <alignment horizontal="left" vertical="center"/>
    </xf>
    <xf numFmtId="49" fontId="14" fillId="0" borderId="18" xfId="0" applyNumberFormat="1" applyFont="1" applyBorder="1" applyAlignment="1">
      <alignment horizontal="left" vertical="center" wrapText="1"/>
    </xf>
    <xf numFmtId="49" fontId="14" fillId="0" borderId="19" xfId="0" applyNumberFormat="1" applyFont="1" applyBorder="1" applyAlignment="1">
      <alignment horizontal="left" vertical="center"/>
    </xf>
    <xf numFmtId="49" fontId="14" fillId="0" borderId="17" xfId="0" applyNumberFormat="1" applyFont="1" applyBorder="1" applyAlignment="1">
      <alignment horizontal="left" vertical="center"/>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1" xfId="0" applyFont="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2" fillId="0" borderId="14" xfId="0" applyFont="1" applyBorder="1" applyAlignment="1">
      <alignment horizontal="center" vertical="center"/>
    </xf>
    <xf numFmtId="0" fontId="1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12" fillId="0" borderId="7" xfId="0" applyFont="1" applyBorder="1" applyAlignment="1">
      <alignment vertical="top" wrapText="1"/>
    </xf>
    <xf numFmtId="0" fontId="12" fillId="0" borderId="8" xfId="0" applyFont="1" applyBorder="1" applyAlignment="1">
      <alignment vertical="top" wrapText="1"/>
    </xf>
    <xf numFmtId="0" fontId="12" fillId="0" borderId="9" xfId="0" applyFont="1" applyBorder="1" applyAlignment="1">
      <alignment vertical="top" wrapText="1"/>
    </xf>
    <xf numFmtId="0" fontId="12" fillId="0" borderId="5" xfId="0" applyFont="1" applyBorder="1" applyAlignment="1">
      <alignment vertical="top" wrapText="1"/>
    </xf>
    <xf numFmtId="0" fontId="12" fillId="0" borderId="0" xfId="0" applyFont="1" applyAlignment="1">
      <alignment vertical="top" wrapText="1"/>
    </xf>
    <xf numFmtId="0" fontId="12" fillId="0" borderId="10" xfId="0" applyFont="1" applyBorder="1" applyAlignment="1">
      <alignment vertical="top" wrapText="1"/>
    </xf>
    <xf numFmtId="0" fontId="12" fillId="0" borderId="11" xfId="0" applyFont="1" applyBorder="1" applyAlignment="1">
      <alignment vertical="top" wrapText="1"/>
    </xf>
    <xf numFmtId="0" fontId="12" fillId="0" borderId="6" xfId="0" applyFont="1" applyBorder="1" applyAlignment="1">
      <alignment vertical="top" wrapText="1"/>
    </xf>
    <xf numFmtId="0" fontId="12" fillId="0" borderId="12"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2" fillId="0" borderId="7" xfId="0" applyFont="1" applyBorder="1" applyAlignment="1">
      <alignment horizontal="lef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0" fontId="12" fillId="0" borderId="5" xfId="0" applyFont="1" applyBorder="1" applyAlignment="1">
      <alignment horizontal="left" vertical="top" wrapText="1"/>
    </xf>
    <xf numFmtId="0" fontId="12" fillId="0" borderId="0" xfId="0" applyFont="1" applyAlignment="1">
      <alignment horizontal="left" vertical="top" wrapText="1"/>
    </xf>
    <xf numFmtId="0" fontId="12" fillId="0" borderId="10" xfId="0" applyFont="1" applyBorder="1" applyAlignment="1">
      <alignment horizontal="left" vertical="top" wrapText="1"/>
    </xf>
    <xf numFmtId="0" fontId="12" fillId="0" borderId="11" xfId="0" applyFont="1" applyBorder="1" applyAlignment="1">
      <alignment horizontal="left" vertical="top" wrapText="1"/>
    </xf>
    <xf numFmtId="0" fontId="12" fillId="0" borderId="6" xfId="0" applyFont="1" applyBorder="1" applyAlignment="1">
      <alignment horizontal="left" vertical="top" wrapText="1"/>
    </xf>
    <xf numFmtId="0" fontId="1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3" xfId="0" applyFont="1" applyBorder="1" applyAlignment="1">
      <alignment horizontal="center" vertical="center"/>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2" fillId="0" borderId="11" xfId="0" applyFont="1" applyBorder="1" applyAlignment="1">
      <alignment vertical="center" wrapText="1"/>
    </xf>
    <xf numFmtId="0" fontId="12" fillId="0" borderId="6" xfId="0" applyFont="1" applyBorder="1" applyAlignment="1">
      <alignment vertical="center" wrapText="1"/>
    </xf>
    <xf numFmtId="0" fontId="1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Y23" sqref="Y23"/>
    </sheetView>
  </sheetViews>
  <sheetFormatPr defaultColWidth="9" defaultRowHeight="18.75" customHeight="1" x14ac:dyDescent="0.15"/>
  <cols>
    <col min="1" max="1" width="2.5" style="59" customWidth="1"/>
    <col min="2" max="2" width="16.5" style="59" customWidth="1"/>
    <col min="3" max="21" width="5.625" style="59" customWidth="1"/>
    <col min="22" max="22" width="9" style="59"/>
    <col min="23" max="23" width="3.625" style="59" customWidth="1"/>
    <col min="24" max="24" width="48.625" style="59" hidden="1" customWidth="1"/>
    <col min="25" max="16384" width="9" style="59"/>
  </cols>
  <sheetData>
    <row r="1" spans="1:24" ht="18.600000000000001" customHeight="1" x14ac:dyDescent="0.15">
      <c r="T1" s="132" t="s">
        <v>12</v>
      </c>
      <c r="U1" s="132"/>
      <c r="V1" s="58" t="s">
        <v>100</v>
      </c>
    </row>
    <row r="2" spans="1:24" ht="18.75" customHeight="1" x14ac:dyDescent="0.15">
      <c r="B2" s="61" t="s">
        <v>99</v>
      </c>
      <c r="C2" s="90" t="s">
        <v>136</v>
      </c>
      <c r="D2" s="91"/>
      <c r="E2" s="91"/>
      <c r="F2" s="91"/>
      <c r="G2" s="91"/>
      <c r="H2" s="91"/>
      <c r="I2" s="91"/>
      <c r="J2" s="92"/>
      <c r="K2" s="60"/>
      <c r="L2" s="62"/>
      <c r="M2" s="62"/>
      <c r="N2" s="62"/>
      <c r="O2" s="62"/>
      <c r="P2" s="62"/>
      <c r="Q2" s="62"/>
      <c r="R2" s="62"/>
      <c r="S2" s="62"/>
      <c r="T2" s="62"/>
      <c r="U2" s="62"/>
    </row>
    <row r="3" spans="1:24" ht="18.75" customHeight="1" x14ac:dyDescent="0.15">
      <c r="B3" s="61" t="s">
        <v>94</v>
      </c>
      <c r="C3" s="90" t="s">
        <v>137</v>
      </c>
      <c r="D3" s="91"/>
      <c r="E3" s="91"/>
      <c r="F3" s="91"/>
      <c r="G3" s="91"/>
      <c r="H3" s="91"/>
      <c r="I3" s="91"/>
      <c r="J3" s="92"/>
      <c r="K3" s="60"/>
      <c r="L3" s="62"/>
      <c r="M3" s="62"/>
      <c r="N3" s="62"/>
      <c r="O3" s="62"/>
      <c r="P3" s="62"/>
      <c r="Q3" s="62"/>
      <c r="R3" s="62"/>
      <c r="S3" s="62"/>
      <c r="T3" s="62"/>
      <c r="U3" s="62"/>
    </row>
    <row r="4" spans="1:24" ht="15" customHeight="1" x14ac:dyDescent="0.15">
      <c r="L4" s="60"/>
      <c r="M4" s="63"/>
      <c r="N4" s="63"/>
      <c r="O4" s="63"/>
      <c r="P4" s="63"/>
      <c r="Q4" s="63"/>
      <c r="R4" s="63"/>
      <c r="S4" s="63"/>
      <c r="T4" s="63"/>
      <c r="U4" s="63"/>
    </row>
    <row r="5" spans="1:24" ht="18" customHeight="1" x14ac:dyDescent="0.15">
      <c r="A5" s="114" t="s">
        <v>38</v>
      </c>
      <c r="B5" s="114"/>
      <c r="C5" s="114"/>
      <c r="D5" s="114"/>
      <c r="E5" s="114"/>
      <c r="F5" s="114"/>
      <c r="G5" s="114"/>
      <c r="H5" s="114"/>
      <c r="I5" s="114"/>
      <c r="J5" s="114"/>
      <c r="K5" s="114"/>
      <c r="L5" s="114"/>
      <c r="M5" s="114"/>
      <c r="N5" s="114"/>
      <c r="O5" s="114"/>
      <c r="P5" s="114"/>
      <c r="Q5" s="114"/>
      <c r="R5" s="114"/>
      <c r="S5" s="114"/>
      <c r="T5" s="114"/>
      <c r="U5" s="114"/>
    </row>
    <row r="6" spans="1:24" ht="15" customHeight="1" x14ac:dyDescent="0.15">
      <c r="B6" s="64"/>
      <c r="C6" s="64"/>
      <c r="D6" s="64"/>
      <c r="E6" s="64"/>
      <c r="F6" s="64"/>
      <c r="G6" s="64"/>
      <c r="H6" s="64"/>
      <c r="I6" s="64"/>
      <c r="J6" s="64"/>
      <c r="K6" s="64"/>
      <c r="L6" s="64"/>
      <c r="M6" s="64"/>
      <c r="N6" s="64"/>
      <c r="O6" s="64"/>
      <c r="P6" s="64"/>
      <c r="Q6" s="64"/>
      <c r="R6" s="64"/>
      <c r="S6" s="64"/>
      <c r="T6" s="64"/>
      <c r="U6" s="64"/>
    </row>
    <row r="7" spans="1:24" ht="15" customHeight="1" x14ac:dyDescent="0.15">
      <c r="A7" s="59" t="s">
        <v>131</v>
      </c>
      <c r="B7" s="64"/>
      <c r="C7" s="64"/>
      <c r="D7" s="64"/>
      <c r="E7" s="64"/>
      <c r="F7" s="58"/>
      <c r="G7" s="58"/>
      <c r="H7" s="58"/>
      <c r="I7" s="58"/>
      <c r="J7" s="58"/>
      <c r="K7" s="58"/>
      <c r="L7" s="146" t="s">
        <v>138</v>
      </c>
      <c r="M7" s="147"/>
      <c r="N7" s="147"/>
      <c r="O7" s="147"/>
      <c r="P7" s="147"/>
      <c r="Q7" s="147"/>
      <c r="R7" s="147"/>
      <c r="S7" s="147"/>
      <c r="T7" s="147"/>
      <c r="U7" s="148"/>
    </row>
    <row r="8" spans="1:24" ht="6" customHeight="1" x14ac:dyDescent="0.15">
      <c r="B8" s="64"/>
      <c r="C8" s="64"/>
      <c r="D8" s="64"/>
      <c r="E8" s="64"/>
      <c r="F8" s="64"/>
      <c r="G8" s="64"/>
      <c r="H8" s="64"/>
      <c r="I8" s="64"/>
      <c r="J8" s="64"/>
      <c r="K8" s="64"/>
      <c r="L8" s="64"/>
      <c r="M8" s="64"/>
      <c r="N8" s="64"/>
      <c r="O8" s="64"/>
      <c r="P8" s="64"/>
      <c r="Q8" s="64"/>
      <c r="R8" s="64"/>
      <c r="S8" s="64"/>
      <c r="T8" s="64"/>
      <c r="U8" s="64"/>
    </row>
    <row r="9" spans="1:24" ht="18" customHeight="1" x14ac:dyDescent="0.15">
      <c r="A9" s="59" t="s">
        <v>132</v>
      </c>
      <c r="C9" s="64"/>
      <c r="D9" s="64"/>
      <c r="K9" s="60"/>
      <c r="L9" s="58"/>
      <c r="M9" s="58"/>
      <c r="N9" s="58"/>
      <c r="O9" s="58"/>
      <c r="P9" s="58"/>
      <c r="Q9" s="58"/>
      <c r="R9" s="58"/>
      <c r="S9" s="58"/>
      <c r="T9" s="58"/>
      <c r="U9" s="58"/>
    </row>
    <row r="10" spans="1:24" ht="6" customHeight="1" x14ac:dyDescent="0.15">
      <c r="B10" s="64"/>
      <c r="C10" s="64"/>
      <c r="D10" s="64"/>
      <c r="E10" s="64"/>
      <c r="F10" s="64"/>
      <c r="G10" s="64"/>
      <c r="H10" s="64"/>
      <c r="I10" s="64"/>
      <c r="J10" s="64"/>
      <c r="K10" s="64"/>
      <c r="L10" s="65"/>
      <c r="M10" s="64"/>
      <c r="N10" s="64"/>
      <c r="O10" s="64"/>
      <c r="P10" s="64"/>
      <c r="Q10" s="64"/>
      <c r="R10" s="64"/>
      <c r="S10" s="64"/>
      <c r="T10" s="64"/>
      <c r="U10" s="64"/>
    </row>
    <row r="11" spans="1:24" ht="18" customHeight="1" x14ac:dyDescent="0.15">
      <c r="B11" s="149"/>
      <c r="C11" s="150"/>
      <c r="D11" s="150"/>
      <c r="E11" s="150"/>
      <c r="F11" s="150"/>
      <c r="G11" s="150"/>
      <c r="H11" s="150"/>
      <c r="I11" s="150"/>
      <c r="J11" s="150"/>
      <c r="K11" s="150"/>
      <c r="L11" s="150"/>
      <c r="M11" s="150"/>
      <c r="N11" s="150"/>
      <c r="O11" s="150"/>
      <c r="P11" s="150"/>
      <c r="Q11" s="150"/>
      <c r="R11" s="150"/>
      <c r="S11" s="150"/>
      <c r="T11" s="150"/>
      <c r="U11" s="151"/>
    </row>
    <row r="12" spans="1:24" ht="18" customHeight="1" x14ac:dyDescent="0.15">
      <c r="B12" s="152"/>
      <c r="C12" s="153"/>
      <c r="D12" s="153"/>
      <c r="E12" s="153"/>
      <c r="F12" s="153"/>
      <c r="G12" s="153"/>
      <c r="H12" s="153"/>
      <c r="I12" s="153"/>
      <c r="J12" s="153"/>
      <c r="K12" s="153"/>
      <c r="L12" s="153"/>
      <c r="M12" s="153"/>
      <c r="N12" s="153"/>
      <c r="O12" s="153"/>
      <c r="P12" s="153"/>
      <c r="Q12" s="153"/>
      <c r="R12" s="153"/>
      <c r="S12" s="153"/>
      <c r="T12" s="153"/>
      <c r="U12" s="154"/>
    </row>
    <row r="13" spans="1:24" ht="6" customHeight="1" x14ac:dyDescent="0.15">
      <c r="B13" s="64"/>
      <c r="C13" s="64"/>
      <c r="D13" s="64"/>
      <c r="E13" s="64"/>
      <c r="F13" s="64"/>
      <c r="G13" s="64"/>
      <c r="H13" s="64"/>
      <c r="I13" s="64"/>
      <c r="J13" s="64"/>
      <c r="K13" s="64"/>
      <c r="L13" s="65"/>
      <c r="M13" s="64"/>
      <c r="N13" s="64"/>
      <c r="O13" s="64"/>
      <c r="P13" s="64"/>
      <c r="Q13" s="64"/>
      <c r="R13" s="64"/>
      <c r="S13" s="64"/>
      <c r="T13" s="64"/>
      <c r="U13" s="64"/>
    </row>
    <row r="14" spans="1:24" ht="18" customHeight="1" x14ac:dyDescent="0.15">
      <c r="A14" s="59" t="s">
        <v>101</v>
      </c>
      <c r="B14" s="64"/>
      <c r="C14" s="64"/>
      <c r="D14" s="64"/>
      <c r="E14" s="60"/>
      <c r="F14" s="60"/>
      <c r="G14" s="60"/>
      <c r="H14" s="60"/>
      <c r="I14" s="60"/>
      <c r="J14" s="60"/>
      <c r="K14" s="60"/>
      <c r="L14" s="66"/>
      <c r="M14" s="66"/>
      <c r="N14" s="66"/>
      <c r="O14" s="66"/>
      <c r="P14" s="66"/>
      <c r="Q14" s="66"/>
      <c r="R14" s="66"/>
      <c r="S14" s="66"/>
      <c r="T14" s="66"/>
      <c r="U14" s="66"/>
    </row>
    <row r="15" spans="1:24" ht="18" customHeight="1" x14ac:dyDescent="0.15">
      <c r="B15" s="115" t="s">
        <v>180</v>
      </c>
      <c r="C15" s="116"/>
      <c r="D15" s="116"/>
      <c r="E15" s="116"/>
      <c r="F15" s="116"/>
      <c r="G15" s="116"/>
      <c r="H15" s="116"/>
      <c r="I15" s="116"/>
      <c r="J15" s="116"/>
      <c r="K15" s="116"/>
      <c r="L15" s="116"/>
      <c r="M15" s="116"/>
      <c r="N15" s="116"/>
      <c r="O15" s="116"/>
      <c r="P15" s="116"/>
      <c r="Q15" s="116"/>
      <c r="R15" s="116"/>
      <c r="S15" s="116"/>
      <c r="T15" s="116"/>
      <c r="U15" s="117"/>
      <c r="X15" s="59" t="s">
        <v>95</v>
      </c>
    </row>
    <row r="16" spans="1:24" ht="18" customHeight="1" x14ac:dyDescent="0.15">
      <c r="B16" s="118"/>
      <c r="C16" s="119"/>
      <c r="D16" s="119"/>
      <c r="E16" s="119"/>
      <c r="F16" s="119"/>
      <c r="G16" s="119"/>
      <c r="H16" s="119"/>
      <c r="I16" s="119"/>
      <c r="J16" s="119"/>
      <c r="K16" s="119"/>
      <c r="L16" s="119"/>
      <c r="M16" s="119"/>
      <c r="N16" s="119"/>
      <c r="O16" s="119"/>
      <c r="P16" s="119"/>
      <c r="Q16" s="119"/>
      <c r="R16" s="119"/>
      <c r="S16" s="119"/>
      <c r="T16" s="119"/>
      <c r="U16" s="120"/>
      <c r="X16" s="59" t="s">
        <v>115</v>
      </c>
    </row>
    <row r="17" spans="1:24" ht="18" customHeight="1" x14ac:dyDescent="0.15">
      <c r="B17" s="118"/>
      <c r="C17" s="119"/>
      <c r="D17" s="119"/>
      <c r="E17" s="119"/>
      <c r="F17" s="119"/>
      <c r="G17" s="119"/>
      <c r="H17" s="119"/>
      <c r="I17" s="119"/>
      <c r="J17" s="119"/>
      <c r="K17" s="119"/>
      <c r="L17" s="119"/>
      <c r="M17" s="119"/>
      <c r="N17" s="119"/>
      <c r="O17" s="119"/>
      <c r="P17" s="119"/>
      <c r="Q17" s="119"/>
      <c r="R17" s="119"/>
      <c r="S17" s="119"/>
      <c r="T17" s="119"/>
      <c r="U17" s="120"/>
      <c r="X17" s="59" t="s">
        <v>116</v>
      </c>
    </row>
    <row r="18" spans="1:24" ht="18" customHeight="1" x14ac:dyDescent="0.15">
      <c r="B18" s="118"/>
      <c r="C18" s="119"/>
      <c r="D18" s="119"/>
      <c r="E18" s="119"/>
      <c r="F18" s="119"/>
      <c r="G18" s="119"/>
      <c r="H18" s="119"/>
      <c r="I18" s="119"/>
      <c r="J18" s="119"/>
      <c r="K18" s="119"/>
      <c r="L18" s="119"/>
      <c r="M18" s="119"/>
      <c r="N18" s="119"/>
      <c r="O18" s="119"/>
      <c r="P18" s="119"/>
      <c r="Q18" s="119"/>
      <c r="R18" s="119"/>
      <c r="S18" s="119"/>
      <c r="T18" s="119"/>
      <c r="U18" s="120"/>
      <c r="X18" s="59" t="s">
        <v>117</v>
      </c>
    </row>
    <row r="19" spans="1:24" ht="18" customHeight="1" x14ac:dyDescent="0.15">
      <c r="B19" s="118"/>
      <c r="C19" s="119"/>
      <c r="D19" s="119"/>
      <c r="E19" s="119"/>
      <c r="F19" s="119"/>
      <c r="G19" s="119"/>
      <c r="H19" s="119"/>
      <c r="I19" s="119"/>
      <c r="J19" s="119"/>
      <c r="K19" s="119"/>
      <c r="L19" s="119"/>
      <c r="M19" s="119"/>
      <c r="N19" s="119"/>
      <c r="O19" s="119"/>
      <c r="P19" s="119"/>
      <c r="Q19" s="119"/>
      <c r="R19" s="119"/>
      <c r="S19" s="119"/>
      <c r="T19" s="119"/>
      <c r="U19" s="120"/>
    </row>
    <row r="20" spans="1:24" ht="18" customHeight="1" x14ac:dyDescent="0.15">
      <c r="B20" s="121"/>
      <c r="C20" s="122"/>
      <c r="D20" s="122"/>
      <c r="E20" s="122"/>
      <c r="F20" s="122"/>
      <c r="G20" s="122"/>
      <c r="H20" s="122"/>
      <c r="I20" s="122"/>
      <c r="J20" s="122"/>
      <c r="K20" s="122"/>
      <c r="L20" s="122"/>
      <c r="M20" s="122"/>
      <c r="N20" s="122"/>
      <c r="O20" s="122"/>
      <c r="P20" s="122"/>
      <c r="Q20" s="122"/>
      <c r="R20" s="122"/>
      <c r="S20" s="122"/>
      <c r="T20" s="122"/>
      <c r="U20" s="123"/>
    </row>
    <row r="21" spans="1:24" ht="7.5" customHeight="1" x14ac:dyDescent="0.15">
      <c r="B21" s="64"/>
      <c r="C21" s="64"/>
      <c r="D21" s="64"/>
      <c r="E21" s="64"/>
      <c r="F21" s="64"/>
      <c r="G21" s="64"/>
      <c r="H21" s="64"/>
      <c r="I21" s="64"/>
      <c r="J21" s="64"/>
      <c r="K21" s="64"/>
      <c r="L21" s="64"/>
      <c r="M21" s="64"/>
      <c r="N21" s="64"/>
      <c r="O21" s="64"/>
      <c r="P21" s="64"/>
      <c r="Q21" s="64"/>
      <c r="R21" s="64"/>
      <c r="S21" s="64"/>
      <c r="T21" s="64"/>
      <c r="U21" s="64"/>
    </row>
    <row r="22" spans="1:24" ht="20.100000000000001" customHeight="1" x14ac:dyDescent="0.15">
      <c r="B22" s="59" t="s">
        <v>133</v>
      </c>
      <c r="E22" s="67">
        <v>1</v>
      </c>
      <c r="F22" s="59" t="s">
        <v>113</v>
      </c>
      <c r="H22" s="68">
        <v>2</v>
      </c>
      <c r="I22" s="64" t="s">
        <v>114</v>
      </c>
      <c r="J22" s="64"/>
      <c r="K22" s="60"/>
      <c r="M22" s="60" t="s">
        <v>110</v>
      </c>
      <c r="N22" s="143" t="s">
        <v>117</v>
      </c>
      <c r="O22" s="144"/>
      <c r="P22" s="144"/>
      <c r="Q22" s="144"/>
      <c r="R22" s="144"/>
      <c r="S22" s="144"/>
      <c r="T22" s="144"/>
      <c r="U22" s="145"/>
    </row>
    <row r="23" spans="1:24" ht="7.5" customHeight="1" x14ac:dyDescent="0.15">
      <c r="B23" s="64"/>
      <c r="C23" s="64"/>
      <c r="D23" s="64"/>
      <c r="E23" s="64"/>
      <c r="F23" s="64"/>
      <c r="G23" s="64"/>
      <c r="H23" s="64"/>
      <c r="I23" s="64"/>
      <c r="J23" s="64"/>
      <c r="K23" s="64"/>
      <c r="L23" s="64"/>
      <c r="M23" s="64"/>
      <c r="N23" s="64"/>
      <c r="O23" s="64"/>
      <c r="P23" s="64"/>
      <c r="Q23" s="64"/>
      <c r="R23" s="64"/>
      <c r="S23" s="64"/>
      <c r="T23" s="64"/>
      <c r="U23" s="64"/>
    </row>
    <row r="24" spans="1:24" ht="18" customHeight="1" x14ac:dyDescent="0.15">
      <c r="A24" s="104" t="s">
        <v>102</v>
      </c>
      <c r="B24" s="104"/>
      <c r="C24" s="104"/>
      <c r="D24" s="104"/>
      <c r="E24" s="104"/>
      <c r="F24" s="104"/>
      <c r="G24" s="104"/>
      <c r="H24" s="104"/>
      <c r="I24" s="104"/>
      <c r="J24" s="104"/>
      <c r="K24" s="104"/>
      <c r="L24" s="104"/>
      <c r="M24" s="104"/>
      <c r="N24" s="104"/>
      <c r="O24" s="104"/>
      <c r="P24" s="104"/>
      <c r="Q24" s="104"/>
      <c r="R24" s="104"/>
      <c r="S24" s="104"/>
      <c r="T24" s="104"/>
      <c r="U24" s="104"/>
    </row>
    <row r="25" spans="1:24" ht="18" customHeight="1" x14ac:dyDescent="0.15">
      <c r="A25" s="104"/>
      <c r="B25" s="104"/>
      <c r="C25" s="104"/>
      <c r="D25" s="104"/>
      <c r="E25" s="104"/>
      <c r="F25" s="104"/>
      <c r="G25" s="104"/>
      <c r="H25" s="104"/>
      <c r="I25" s="104"/>
      <c r="J25" s="104"/>
      <c r="K25" s="104"/>
      <c r="L25" s="104"/>
      <c r="M25" s="104"/>
      <c r="N25" s="104"/>
      <c r="O25" s="104"/>
      <c r="P25" s="104"/>
      <c r="Q25" s="104"/>
      <c r="R25" s="104"/>
      <c r="S25" s="104"/>
      <c r="T25" s="104"/>
      <c r="U25" s="104"/>
    </row>
    <row r="26" spans="1:24" ht="18" customHeight="1" x14ac:dyDescent="0.15">
      <c r="B26" s="90" t="s">
        <v>52</v>
      </c>
      <c r="C26" s="91"/>
      <c r="D26" s="91"/>
      <c r="E26" s="91"/>
      <c r="F26" s="92"/>
      <c r="G26" s="70" t="s">
        <v>78</v>
      </c>
      <c r="H26" s="71" t="s">
        <v>81</v>
      </c>
      <c r="I26" s="72" t="s">
        <v>55</v>
      </c>
      <c r="J26" s="72" t="s">
        <v>58</v>
      </c>
      <c r="K26" s="90" t="s">
        <v>52</v>
      </c>
      <c r="L26" s="91"/>
      <c r="M26" s="91"/>
      <c r="N26" s="91"/>
      <c r="O26" s="91"/>
      <c r="P26" s="91"/>
      <c r="Q26" s="92"/>
      <c r="R26" s="70" t="s">
        <v>78</v>
      </c>
      <c r="S26" s="71" t="s">
        <v>81</v>
      </c>
      <c r="T26" s="72" t="s">
        <v>55</v>
      </c>
      <c r="U26" s="72" t="s">
        <v>58</v>
      </c>
    </row>
    <row r="27" spans="1:24" ht="18" customHeight="1" x14ac:dyDescent="0.15">
      <c r="B27" s="101" t="s">
        <v>139</v>
      </c>
      <c r="C27" s="102"/>
      <c r="D27" s="102"/>
      <c r="E27" s="102"/>
      <c r="F27" s="103"/>
      <c r="G27" s="73">
        <v>2</v>
      </c>
      <c r="H27" s="73" t="s">
        <v>140</v>
      </c>
      <c r="I27" s="73" t="s">
        <v>140</v>
      </c>
      <c r="J27" s="73" t="s">
        <v>140</v>
      </c>
      <c r="K27" s="101"/>
      <c r="L27" s="102"/>
      <c r="M27" s="102"/>
      <c r="N27" s="102"/>
      <c r="O27" s="102"/>
      <c r="P27" s="102"/>
      <c r="Q27" s="103"/>
      <c r="R27" s="73"/>
      <c r="S27" s="73"/>
      <c r="T27" s="73"/>
      <c r="U27" s="73"/>
    </row>
    <row r="28" spans="1:24" ht="18" customHeight="1" x14ac:dyDescent="0.15">
      <c r="B28" s="93"/>
      <c r="C28" s="94"/>
      <c r="D28" s="94"/>
      <c r="E28" s="94"/>
      <c r="F28" s="95"/>
      <c r="G28" s="74"/>
      <c r="H28" s="74"/>
      <c r="I28" s="74"/>
      <c r="J28" s="74"/>
      <c r="K28" s="93"/>
      <c r="L28" s="94"/>
      <c r="M28" s="94"/>
      <c r="N28" s="94"/>
      <c r="O28" s="94"/>
      <c r="P28" s="94"/>
      <c r="Q28" s="95"/>
      <c r="R28" s="74"/>
      <c r="S28" s="74"/>
      <c r="T28" s="74"/>
      <c r="U28" s="74"/>
    </row>
    <row r="29" spans="1:24" ht="18" customHeight="1" x14ac:dyDescent="0.15">
      <c r="B29" s="93"/>
      <c r="C29" s="94"/>
      <c r="D29" s="94"/>
      <c r="E29" s="94"/>
      <c r="F29" s="95"/>
      <c r="G29" s="74"/>
      <c r="H29" s="74"/>
      <c r="I29" s="74"/>
      <c r="J29" s="74"/>
      <c r="K29" s="93"/>
      <c r="L29" s="94"/>
      <c r="M29" s="94"/>
      <c r="N29" s="94"/>
      <c r="O29" s="94"/>
      <c r="P29" s="94"/>
      <c r="Q29" s="95"/>
      <c r="R29" s="74"/>
      <c r="S29" s="74"/>
      <c r="T29" s="74"/>
      <c r="U29" s="74"/>
    </row>
    <row r="30" spans="1:24" ht="18" customHeight="1" x14ac:dyDescent="0.15">
      <c r="B30" s="93"/>
      <c r="C30" s="94"/>
      <c r="D30" s="94"/>
      <c r="E30" s="94"/>
      <c r="F30" s="95"/>
      <c r="G30" s="74"/>
      <c r="H30" s="74"/>
      <c r="I30" s="74"/>
      <c r="J30" s="74"/>
      <c r="K30" s="93"/>
      <c r="L30" s="94"/>
      <c r="M30" s="94"/>
      <c r="N30" s="94"/>
      <c r="O30" s="94"/>
      <c r="P30" s="94"/>
      <c r="Q30" s="95"/>
      <c r="R30" s="74"/>
      <c r="S30" s="74"/>
      <c r="T30" s="74"/>
      <c r="U30" s="74"/>
    </row>
    <row r="31" spans="1:24" ht="18" customHeight="1" x14ac:dyDescent="0.15">
      <c r="B31" s="93"/>
      <c r="C31" s="94"/>
      <c r="D31" s="94"/>
      <c r="E31" s="94"/>
      <c r="F31" s="95"/>
      <c r="G31" s="74"/>
      <c r="H31" s="74"/>
      <c r="I31" s="74"/>
      <c r="J31" s="74"/>
      <c r="K31" s="93"/>
      <c r="L31" s="94"/>
      <c r="M31" s="94"/>
      <c r="N31" s="94"/>
      <c r="O31" s="94"/>
      <c r="P31" s="94"/>
      <c r="Q31" s="95"/>
      <c r="R31" s="74"/>
      <c r="S31" s="74"/>
      <c r="T31" s="74"/>
      <c r="U31" s="74"/>
    </row>
    <row r="32" spans="1:24" ht="18" customHeight="1" x14ac:dyDescent="0.15">
      <c r="A32" s="64"/>
      <c r="B32" s="93"/>
      <c r="C32" s="94"/>
      <c r="D32" s="94"/>
      <c r="E32" s="94"/>
      <c r="F32" s="95"/>
      <c r="G32" s="74"/>
      <c r="H32" s="74"/>
      <c r="I32" s="74"/>
      <c r="J32" s="74"/>
      <c r="K32" s="93"/>
      <c r="L32" s="94"/>
      <c r="M32" s="94"/>
      <c r="N32" s="94"/>
      <c r="O32" s="94"/>
      <c r="P32" s="94"/>
      <c r="Q32" s="95"/>
      <c r="R32" s="74"/>
      <c r="S32" s="74"/>
      <c r="T32" s="74"/>
      <c r="U32" s="74"/>
    </row>
    <row r="33" spans="1:21" ht="18" customHeight="1" x14ac:dyDescent="0.15">
      <c r="A33" s="64"/>
      <c r="B33" s="96"/>
      <c r="C33" s="97"/>
      <c r="D33" s="97"/>
      <c r="E33" s="97"/>
      <c r="F33" s="98"/>
      <c r="G33" s="75"/>
      <c r="H33" s="75"/>
      <c r="I33" s="76"/>
      <c r="J33" s="76"/>
      <c r="K33" s="96"/>
      <c r="L33" s="97"/>
      <c r="M33" s="97"/>
      <c r="N33" s="97"/>
      <c r="O33" s="97"/>
      <c r="P33" s="97"/>
      <c r="Q33" s="98"/>
      <c r="R33" s="75"/>
      <c r="S33" s="75"/>
      <c r="T33" s="76"/>
      <c r="U33" s="76"/>
    </row>
    <row r="34" spans="1:21" ht="7.5" customHeight="1" x14ac:dyDescent="0.15">
      <c r="A34" s="64"/>
      <c r="B34" s="62"/>
      <c r="C34" s="62"/>
      <c r="D34" s="62"/>
      <c r="E34" s="64"/>
      <c r="F34" s="64"/>
      <c r="G34" s="64"/>
      <c r="H34" s="64"/>
      <c r="I34" s="62"/>
      <c r="J34" s="62"/>
      <c r="K34" s="62"/>
      <c r="L34" s="62"/>
      <c r="M34" s="62"/>
      <c r="N34" s="62"/>
      <c r="O34" s="62"/>
      <c r="P34" s="62"/>
      <c r="Q34" s="62"/>
      <c r="R34" s="62"/>
      <c r="S34" s="62"/>
      <c r="T34" s="62"/>
      <c r="U34" s="64"/>
    </row>
    <row r="35" spans="1:21" ht="18" customHeight="1" x14ac:dyDescent="0.15">
      <c r="A35" s="104" t="s">
        <v>103</v>
      </c>
      <c r="B35" s="104"/>
      <c r="C35" s="104"/>
      <c r="D35" s="104"/>
      <c r="E35" s="104"/>
      <c r="F35" s="104"/>
      <c r="G35" s="104"/>
      <c r="H35" s="104"/>
      <c r="I35" s="104"/>
      <c r="J35" s="104"/>
      <c r="K35" s="104"/>
      <c r="L35" s="104"/>
      <c r="M35" s="104"/>
      <c r="N35" s="104"/>
      <c r="O35" s="104"/>
      <c r="P35" s="104"/>
      <c r="Q35" s="104"/>
      <c r="R35" s="104"/>
      <c r="S35" s="104"/>
      <c r="T35" s="104"/>
      <c r="U35" s="104"/>
    </row>
    <row r="36" spans="1:21" ht="18" customHeight="1" x14ac:dyDescent="0.15">
      <c r="A36" s="104"/>
      <c r="B36" s="104"/>
      <c r="C36" s="104"/>
      <c r="D36" s="104"/>
      <c r="E36" s="104"/>
      <c r="F36" s="104"/>
      <c r="G36" s="104"/>
      <c r="H36" s="104"/>
      <c r="I36" s="104"/>
      <c r="J36" s="104"/>
      <c r="K36" s="104"/>
      <c r="L36" s="104"/>
      <c r="M36" s="104"/>
      <c r="N36" s="104"/>
      <c r="O36" s="104"/>
      <c r="P36" s="104"/>
      <c r="Q36" s="104"/>
      <c r="R36" s="104"/>
      <c r="S36" s="104"/>
      <c r="T36" s="104"/>
      <c r="U36" s="104"/>
    </row>
    <row r="37" spans="1:21" ht="18" customHeight="1" x14ac:dyDescent="0.15">
      <c r="B37" s="90" t="s">
        <v>52</v>
      </c>
      <c r="C37" s="91"/>
      <c r="D37" s="91"/>
      <c r="E37" s="91"/>
      <c r="F37" s="92"/>
      <c r="G37" s="70" t="s">
        <v>78</v>
      </c>
      <c r="H37" s="71" t="s">
        <v>81</v>
      </c>
      <c r="I37" s="72" t="s">
        <v>69</v>
      </c>
      <c r="J37" s="72" t="s">
        <v>70</v>
      </c>
      <c r="K37" s="90" t="s">
        <v>52</v>
      </c>
      <c r="L37" s="91"/>
      <c r="M37" s="91"/>
      <c r="N37" s="91"/>
      <c r="O37" s="91"/>
      <c r="P37" s="91"/>
      <c r="Q37" s="92"/>
      <c r="R37" s="70" t="s">
        <v>78</v>
      </c>
      <c r="S37" s="71" t="s">
        <v>81</v>
      </c>
      <c r="T37" s="72" t="s">
        <v>69</v>
      </c>
      <c r="U37" s="72" t="s">
        <v>70</v>
      </c>
    </row>
    <row r="38" spans="1:21" ht="18" customHeight="1" x14ac:dyDescent="0.15">
      <c r="B38" s="101" t="s">
        <v>139</v>
      </c>
      <c r="C38" s="102"/>
      <c r="D38" s="102"/>
      <c r="E38" s="102"/>
      <c r="F38" s="103"/>
      <c r="G38" s="73">
        <v>2</v>
      </c>
      <c r="H38" s="73" t="s">
        <v>140</v>
      </c>
      <c r="I38" s="73" t="s">
        <v>140</v>
      </c>
      <c r="J38" s="73" t="s">
        <v>140</v>
      </c>
      <c r="K38" s="101"/>
      <c r="L38" s="102"/>
      <c r="M38" s="102"/>
      <c r="N38" s="102"/>
      <c r="O38" s="102"/>
      <c r="P38" s="102"/>
      <c r="Q38" s="103"/>
      <c r="R38" s="73"/>
      <c r="S38" s="73"/>
      <c r="T38" s="73"/>
      <c r="U38" s="73"/>
    </row>
    <row r="39" spans="1:21" ht="18" customHeight="1" x14ac:dyDescent="0.15">
      <c r="B39" s="93"/>
      <c r="C39" s="94"/>
      <c r="D39" s="94"/>
      <c r="E39" s="94"/>
      <c r="F39" s="95"/>
      <c r="G39" s="74"/>
      <c r="H39" s="74"/>
      <c r="I39" s="74"/>
      <c r="J39" s="74"/>
      <c r="K39" s="93"/>
      <c r="L39" s="94"/>
      <c r="M39" s="94"/>
      <c r="N39" s="94"/>
      <c r="O39" s="94"/>
      <c r="P39" s="94"/>
      <c r="Q39" s="95"/>
      <c r="R39" s="74"/>
      <c r="S39" s="74"/>
      <c r="T39" s="74"/>
      <c r="U39" s="74"/>
    </row>
    <row r="40" spans="1:21" ht="18" customHeight="1" x14ac:dyDescent="0.15">
      <c r="B40" s="93"/>
      <c r="C40" s="94"/>
      <c r="D40" s="94"/>
      <c r="E40" s="94"/>
      <c r="F40" s="95"/>
      <c r="G40" s="74"/>
      <c r="H40" s="74"/>
      <c r="I40" s="74"/>
      <c r="J40" s="74"/>
      <c r="K40" s="93"/>
      <c r="L40" s="94"/>
      <c r="M40" s="94"/>
      <c r="N40" s="94"/>
      <c r="O40" s="94"/>
      <c r="P40" s="94"/>
      <c r="Q40" s="95"/>
      <c r="R40" s="74"/>
      <c r="S40" s="74"/>
      <c r="T40" s="74"/>
      <c r="U40" s="74"/>
    </row>
    <row r="41" spans="1:21" ht="18" customHeight="1" x14ac:dyDescent="0.15">
      <c r="B41" s="93"/>
      <c r="C41" s="94"/>
      <c r="D41" s="94"/>
      <c r="E41" s="94"/>
      <c r="F41" s="95"/>
      <c r="G41" s="74"/>
      <c r="H41" s="74"/>
      <c r="I41" s="74"/>
      <c r="J41" s="74"/>
      <c r="K41" s="93"/>
      <c r="L41" s="94"/>
      <c r="M41" s="94"/>
      <c r="N41" s="94"/>
      <c r="O41" s="94"/>
      <c r="P41" s="94"/>
      <c r="Q41" s="95"/>
      <c r="R41" s="74"/>
      <c r="S41" s="74"/>
      <c r="T41" s="74"/>
      <c r="U41" s="74"/>
    </row>
    <row r="42" spans="1:21" ht="18" customHeight="1" x14ac:dyDescent="0.15">
      <c r="B42" s="93"/>
      <c r="C42" s="94"/>
      <c r="D42" s="94"/>
      <c r="E42" s="94"/>
      <c r="F42" s="95"/>
      <c r="G42" s="74"/>
      <c r="H42" s="74"/>
      <c r="I42" s="74"/>
      <c r="J42" s="74"/>
      <c r="K42" s="93"/>
      <c r="L42" s="94"/>
      <c r="M42" s="94"/>
      <c r="N42" s="94"/>
      <c r="O42" s="94"/>
      <c r="P42" s="94"/>
      <c r="Q42" s="95"/>
      <c r="R42" s="74"/>
      <c r="S42" s="74"/>
      <c r="T42" s="74"/>
      <c r="U42" s="74"/>
    </row>
    <row r="43" spans="1:21" ht="18" customHeight="1" x14ac:dyDescent="0.15">
      <c r="B43" s="93"/>
      <c r="C43" s="94"/>
      <c r="D43" s="94"/>
      <c r="E43" s="94"/>
      <c r="F43" s="95"/>
      <c r="G43" s="74"/>
      <c r="H43" s="74"/>
      <c r="I43" s="74"/>
      <c r="J43" s="74"/>
      <c r="K43" s="93"/>
      <c r="L43" s="94"/>
      <c r="M43" s="94"/>
      <c r="N43" s="94"/>
      <c r="O43" s="94"/>
      <c r="P43" s="94"/>
      <c r="Q43" s="95"/>
      <c r="R43" s="74"/>
      <c r="S43" s="74"/>
      <c r="T43" s="74"/>
      <c r="U43" s="74"/>
    </row>
    <row r="44" spans="1:21" ht="18" customHeight="1" x14ac:dyDescent="0.15">
      <c r="B44" s="96"/>
      <c r="C44" s="97"/>
      <c r="D44" s="97"/>
      <c r="E44" s="97"/>
      <c r="F44" s="98"/>
      <c r="G44" s="75"/>
      <c r="H44" s="75"/>
      <c r="I44" s="76"/>
      <c r="J44" s="76"/>
      <c r="K44" s="96"/>
      <c r="L44" s="97"/>
      <c r="M44" s="97"/>
      <c r="N44" s="97"/>
      <c r="O44" s="97"/>
      <c r="P44" s="97"/>
      <c r="Q44" s="98"/>
      <c r="R44" s="75"/>
      <c r="S44" s="75"/>
      <c r="T44" s="76"/>
      <c r="U44" s="76"/>
    </row>
    <row r="45" spans="1:21" ht="7.5" customHeight="1" x14ac:dyDescent="0.15">
      <c r="A45" s="64"/>
      <c r="B45" s="62"/>
      <c r="C45" s="62"/>
      <c r="D45" s="62"/>
      <c r="E45" s="64"/>
      <c r="F45" s="64"/>
      <c r="G45" s="64"/>
      <c r="H45" s="64"/>
      <c r="I45" s="62"/>
      <c r="J45" s="62"/>
      <c r="K45" s="62"/>
      <c r="L45" s="62"/>
      <c r="M45" s="62"/>
      <c r="N45" s="62"/>
      <c r="O45" s="62"/>
      <c r="P45" s="62"/>
      <c r="Q45" s="62"/>
      <c r="R45" s="62"/>
      <c r="S45" s="62"/>
      <c r="T45" s="62"/>
      <c r="U45" s="64"/>
    </row>
    <row r="46" spans="1:21" ht="18" customHeight="1" x14ac:dyDescent="0.15">
      <c r="A46" s="104" t="s">
        <v>104</v>
      </c>
      <c r="B46" s="104"/>
      <c r="C46" s="104"/>
      <c r="D46" s="104"/>
      <c r="E46" s="104"/>
      <c r="F46" s="104"/>
      <c r="G46" s="104"/>
      <c r="H46" s="104"/>
      <c r="I46" s="104"/>
      <c r="J46" s="104"/>
      <c r="K46" s="104"/>
      <c r="L46" s="104"/>
      <c r="M46" s="104"/>
      <c r="N46" s="104"/>
      <c r="O46" s="104"/>
      <c r="P46" s="104"/>
      <c r="Q46" s="104"/>
      <c r="R46" s="104"/>
      <c r="S46" s="104"/>
      <c r="T46" s="104"/>
      <c r="U46" s="104"/>
    </row>
    <row r="47" spans="1:21" ht="18" customHeight="1" x14ac:dyDescent="0.15">
      <c r="A47" s="104"/>
      <c r="B47" s="104"/>
      <c r="C47" s="104"/>
      <c r="D47" s="104"/>
      <c r="E47" s="104"/>
      <c r="F47" s="104"/>
      <c r="G47" s="104"/>
      <c r="H47" s="104"/>
      <c r="I47" s="104"/>
      <c r="J47" s="104"/>
      <c r="K47" s="104"/>
      <c r="L47" s="104"/>
      <c r="M47" s="104"/>
      <c r="N47" s="104"/>
      <c r="O47" s="104"/>
      <c r="P47" s="104"/>
      <c r="Q47" s="104"/>
      <c r="R47" s="104"/>
      <c r="S47" s="104"/>
      <c r="T47" s="104"/>
      <c r="U47" s="104"/>
    </row>
    <row r="48" spans="1:21" ht="18" customHeight="1" x14ac:dyDescent="0.15">
      <c r="B48" s="90" t="s">
        <v>52</v>
      </c>
      <c r="C48" s="91"/>
      <c r="D48" s="91"/>
      <c r="E48" s="91"/>
      <c r="F48" s="92"/>
      <c r="G48" s="70" t="s">
        <v>78</v>
      </c>
      <c r="H48" s="71" t="s">
        <v>81</v>
      </c>
      <c r="I48" s="72" t="s">
        <v>71</v>
      </c>
      <c r="J48" s="72" t="s">
        <v>72</v>
      </c>
      <c r="K48" s="90" t="s">
        <v>52</v>
      </c>
      <c r="L48" s="91"/>
      <c r="M48" s="91"/>
      <c r="N48" s="91"/>
      <c r="O48" s="91"/>
      <c r="P48" s="91"/>
      <c r="Q48" s="92"/>
      <c r="R48" s="70" t="s">
        <v>78</v>
      </c>
      <c r="S48" s="71" t="s">
        <v>81</v>
      </c>
      <c r="T48" s="72" t="s">
        <v>71</v>
      </c>
      <c r="U48" s="72" t="s">
        <v>72</v>
      </c>
    </row>
    <row r="49" spans="1:21" ht="18" customHeight="1" x14ac:dyDescent="0.15">
      <c r="A49" s="64"/>
      <c r="B49" s="101" t="s">
        <v>139</v>
      </c>
      <c r="C49" s="102"/>
      <c r="D49" s="102"/>
      <c r="E49" s="102"/>
      <c r="F49" s="103"/>
      <c r="G49" s="73">
        <v>2</v>
      </c>
      <c r="H49" s="73" t="s">
        <v>140</v>
      </c>
      <c r="I49" s="73" t="s">
        <v>140</v>
      </c>
      <c r="J49" s="73" t="s">
        <v>140</v>
      </c>
      <c r="K49" s="101"/>
      <c r="L49" s="102"/>
      <c r="M49" s="102"/>
      <c r="N49" s="102"/>
      <c r="O49" s="102"/>
      <c r="P49" s="102"/>
      <c r="Q49" s="103"/>
      <c r="R49" s="73"/>
      <c r="S49" s="73"/>
      <c r="T49" s="73"/>
      <c r="U49" s="73"/>
    </row>
    <row r="50" spans="1:21" ht="18" customHeight="1" x14ac:dyDescent="0.15">
      <c r="A50" s="64"/>
      <c r="B50" s="93"/>
      <c r="C50" s="94"/>
      <c r="D50" s="94"/>
      <c r="E50" s="94"/>
      <c r="F50" s="95"/>
      <c r="G50" s="74"/>
      <c r="H50" s="74"/>
      <c r="I50" s="74"/>
      <c r="J50" s="74"/>
      <c r="K50" s="93"/>
      <c r="L50" s="94"/>
      <c r="M50" s="94"/>
      <c r="N50" s="94"/>
      <c r="O50" s="94"/>
      <c r="P50" s="94"/>
      <c r="Q50" s="95"/>
      <c r="R50" s="74"/>
      <c r="S50" s="74"/>
      <c r="T50" s="74"/>
      <c r="U50" s="74"/>
    </row>
    <row r="51" spans="1:21" ht="18" customHeight="1" x14ac:dyDescent="0.15">
      <c r="A51" s="64"/>
      <c r="B51" s="93"/>
      <c r="C51" s="94"/>
      <c r="D51" s="94"/>
      <c r="E51" s="94"/>
      <c r="F51" s="95"/>
      <c r="G51" s="74"/>
      <c r="H51" s="74"/>
      <c r="I51" s="74"/>
      <c r="J51" s="74"/>
      <c r="K51" s="93"/>
      <c r="L51" s="94"/>
      <c r="M51" s="94"/>
      <c r="N51" s="94"/>
      <c r="O51" s="94"/>
      <c r="P51" s="94"/>
      <c r="Q51" s="95"/>
      <c r="R51" s="74"/>
      <c r="S51" s="74"/>
      <c r="T51" s="74"/>
      <c r="U51" s="74"/>
    </row>
    <row r="52" spans="1:21" ht="18" customHeight="1" x14ac:dyDescent="0.15">
      <c r="A52" s="64"/>
      <c r="B52" s="93"/>
      <c r="C52" s="94"/>
      <c r="D52" s="94"/>
      <c r="E52" s="94"/>
      <c r="F52" s="95"/>
      <c r="G52" s="74"/>
      <c r="H52" s="74"/>
      <c r="I52" s="74"/>
      <c r="J52" s="74"/>
      <c r="K52" s="93"/>
      <c r="L52" s="94"/>
      <c r="M52" s="94"/>
      <c r="N52" s="94"/>
      <c r="O52" s="94"/>
      <c r="P52" s="94"/>
      <c r="Q52" s="95"/>
      <c r="R52" s="74"/>
      <c r="S52" s="74"/>
      <c r="T52" s="74"/>
      <c r="U52" s="74"/>
    </row>
    <row r="53" spans="1:21" ht="18" customHeight="1" x14ac:dyDescent="0.15">
      <c r="A53" s="64"/>
      <c r="B53" s="93"/>
      <c r="C53" s="94"/>
      <c r="D53" s="94"/>
      <c r="E53" s="94"/>
      <c r="F53" s="95"/>
      <c r="G53" s="74"/>
      <c r="H53" s="74"/>
      <c r="I53" s="74"/>
      <c r="J53" s="74"/>
      <c r="K53" s="93"/>
      <c r="L53" s="94"/>
      <c r="M53" s="94"/>
      <c r="N53" s="94"/>
      <c r="O53" s="94"/>
      <c r="P53" s="94"/>
      <c r="Q53" s="95"/>
      <c r="R53" s="74"/>
      <c r="S53" s="74"/>
      <c r="T53" s="74"/>
      <c r="U53" s="74"/>
    </row>
    <row r="54" spans="1:21" ht="18" customHeight="1" x14ac:dyDescent="0.15">
      <c r="A54" s="64"/>
      <c r="B54" s="93"/>
      <c r="C54" s="94"/>
      <c r="D54" s="94"/>
      <c r="E54" s="94"/>
      <c r="F54" s="95"/>
      <c r="G54" s="74"/>
      <c r="H54" s="74"/>
      <c r="I54" s="74"/>
      <c r="J54" s="74"/>
      <c r="K54" s="93"/>
      <c r="L54" s="94"/>
      <c r="M54" s="94"/>
      <c r="N54" s="94"/>
      <c r="O54" s="94"/>
      <c r="P54" s="94"/>
      <c r="Q54" s="95"/>
      <c r="R54" s="74"/>
      <c r="S54" s="74"/>
      <c r="T54" s="74"/>
      <c r="U54" s="74"/>
    </row>
    <row r="55" spans="1:21" ht="18" customHeight="1" x14ac:dyDescent="0.15">
      <c r="A55" s="64"/>
      <c r="B55" s="96"/>
      <c r="C55" s="97"/>
      <c r="D55" s="97"/>
      <c r="E55" s="97"/>
      <c r="F55" s="98"/>
      <c r="G55" s="75"/>
      <c r="H55" s="75"/>
      <c r="I55" s="76"/>
      <c r="J55" s="76"/>
      <c r="K55" s="96"/>
      <c r="L55" s="97"/>
      <c r="M55" s="97"/>
      <c r="N55" s="97"/>
      <c r="O55" s="97"/>
      <c r="P55" s="97"/>
      <c r="Q55" s="98"/>
      <c r="R55" s="75"/>
      <c r="S55" s="75"/>
      <c r="T55" s="76"/>
      <c r="U55" s="76"/>
    </row>
    <row r="56" spans="1:21" ht="7.5" customHeight="1" x14ac:dyDescent="0.15">
      <c r="B56" s="77"/>
      <c r="C56" s="77"/>
      <c r="D56" s="77"/>
      <c r="E56" s="77"/>
      <c r="F56" s="77"/>
      <c r="G56" s="77"/>
      <c r="H56" s="77"/>
      <c r="I56" s="77"/>
      <c r="J56" s="77"/>
      <c r="K56" s="77"/>
      <c r="L56" s="77"/>
      <c r="M56" s="77"/>
      <c r="N56" s="77"/>
      <c r="O56" s="77"/>
      <c r="P56" s="77"/>
      <c r="Q56" s="77"/>
      <c r="R56" s="77"/>
      <c r="S56" s="77"/>
      <c r="T56" s="77"/>
    </row>
    <row r="57" spans="1:21" ht="18" customHeight="1" x14ac:dyDescent="0.15">
      <c r="A57" s="104" t="s">
        <v>105</v>
      </c>
      <c r="B57" s="104"/>
      <c r="C57" s="104"/>
      <c r="D57" s="104"/>
      <c r="E57" s="104"/>
      <c r="F57" s="104"/>
      <c r="G57" s="104"/>
      <c r="H57" s="104"/>
      <c r="I57" s="104"/>
      <c r="J57" s="104"/>
      <c r="K57" s="104"/>
      <c r="L57" s="104"/>
      <c r="M57" s="104"/>
      <c r="N57" s="104"/>
      <c r="O57" s="104"/>
      <c r="P57" s="104"/>
      <c r="Q57" s="104"/>
      <c r="R57" s="104"/>
      <c r="S57" s="104"/>
      <c r="T57" s="104"/>
      <c r="U57" s="104"/>
    </row>
    <row r="58" spans="1:21" ht="18" customHeight="1" x14ac:dyDescent="0.15">
      <c r="A58" s="104"/>
      <c r="B58" s="104"/>
      <c r="C58" s="104"/>
      <c r="D58" s="104"/>
      <c r="E58" s="104"/>
      <c r="F58" s="104"/>
      <c r="G58" s="104"/>
      <c r="H58" s="104"/>
      <c r="I58" s="104"/>
      <c r="J58" s="104"/>
      <c r="K58" s="104"/>
      <c r="L58" s="104"/>
      <c r="M58" s="104"/>
      <c r="N58" s="104"/>
      <c r="O58" s="104"/>
      <c r="P58" s="104"/>
      <c r="Q58" s="104"/>
      <c r="R58" s="104"/>
      <c r="S58" s="104"/>
      <c r="T58" s="104"/>
      <c r="U58" s="104"/>
    </row>
    <row r="59" spans="1:21" ht="18" customHeight="1" x14ac:dyDescent="0.15">
      <c r="B59" s="90" t="s">
        <v>52</v>
      </c>
      <c r="C59" s="91"/>
      <c r="D59" s="91"/>
      <c r="E59" s="91"/>
      <c r="F59" s="92"/>
      <c r="G59" s="70" t="s">
        <v>78</v>
      </c>
      <c r="H59" s="71" t="s">
        <v>81</v>
      </c>
      <c r="I59" s="72" t="s">
        <v>57</v>
      </c>
      <c r="J59" s="72" t="s">
        <v>59</v>
      </c>
      <c r="K59" s="90" t="s">
        <v>52</v>
      </c>
      <c r="L59" s="91"/>
      <c r="M59" s="91"/>
      <c r="N59" s="91"/>
      <c r="O59" s="91"/>
      <c r="P59" s="91"/>
      <c r="Q59" s="92"/>
      <c r="R59" s="70" t="s">
        <v>78</v>
      </c>
      <c r="S59" s="71" t="s">
        <v>81</v>
      </c>
      <c r="T59" s="72" t="s">
        <v>57</v>
      </c>
      <c r="U59" s="72" t="s">
        <v>59</v>
      </c>
    </row>
    <row r="60" spans="1:21" ht="18" customHeight="1" x14ac:dyDescent="0.15">
      <c r="A60" s="64"/>
      <c r="B60" s="101" t="s">
        <v>139</v>
      </c>
      <c r="C60" s="102"/>
      <c r="D60" s="102"/>
      <c r="E60" s="102"/>
      <c r="F60" s="103"/>
      <c r="G60" s="73">
        <v>2</v>
      </c>
      <c r="H60" s="73" t="s">
        <v>140</v>
      </c>
      <c r="I60" s="73" t="s">
        <v>140</v>
      </c>
      <c r="J60" s="73" t="s">
        <v>140</v>
      </c>
      <c r="K60" s="101"/>
      <c r="L60" s="102"/>
      <c r="M60" s="102"/>
      <c r="N60" s="102"/>
      <c r="O60" s="102"/>
      <c r="P60" s="102"/>
      <c r="Q60" s="103"/>
      <c r="R60" s="73"/>
      <c r="S60" s="73"/>
      <c r="T60" s="73"/>
      <c r="U60" s="73"/>
    </row>
    <row r="61" spans="1:21" ht="18" customHeight="1" x14ac:dyDescent="0.15">
      <c r="A61" s="64"/>
      <c r="B61" s="93"/>
      <c r="C61" s="94"/>
      <c r="D61" s="94"/>
      <c r="E61" s="94"/>
      <c r="F61" s="95"/>
      <c r="G61" s="74"/>
      <c r="H61" s="74"/>
      <c r="I61" s="74"/>
      <c r="J61" s="74"/>
      <c r="K61" s="93"/>
      <c r="L61" s="94"/>
      <c r="M61" s="94"/>
      <c r="N61" s="94"/>
      <c r="O61" s="94"/>
      <c r="P61" s="94"/>
      <c r="Q61" s="95"/>
      <c r="R61" s="74"/>
      <c r="S61" s="74"/>
      <c r="T61" s="74"/>
      <c r="U61" s="74"/>
    </row>
    <row r="62" spans="1:21" ht="18" customHeight="1" x14ac:dyDescent="0.15">
      <c r="A62" s="64"/>
      <c r="B62" s="93"/>
      <c r="C62" s="94"/>
      <c r="D62" s="94"/>
      <c r="E62" s="94"/>
      <c r="F62" s="95"/>
      <c r="G62" s="74"/>
      <c r="H62" s="74"/>
      <c r="I62" s="74"/>
      <c r="J62" s="74"/>
      <c r="K62" s="93"/>
      <c r="L62" s="94"/>
      <c r="M62" s="94"/>
      <c r="N62" s="94"/>
      <c r="O62" s="94"/>
      <c r="P62" s="94"/>
      <c r="Q62" s="95"/>
      <c r="R62" s="74"/>
      <c r="S62" s="74"/>
      <c r="T62" s="74"/>
      <c r="U62" s="74"/>
    </row>
    <row r="63" spans="1:21" ht="18" customHeight="1" x14ac:dyDescent="0.15">
      <c r="A63" s="64"/>
      <c r="B63" s="93"/>
      <c r="C63" s="94"/>
      <c r="D63" s="94"/>
      <c r="E63" s="94"/>
      <c r="F63" s="95"/>
      <c r="G63" s="74"/>
      <c r="H63" s="74"/>
      <c r="I63" s="74"/>
      <c r="J63" s="74"/>
      <c r="K63" s="93"/>
      <c r="L63" s="94"/>
      <c r="M63" s="94"/>
      <c r="N63" s="94"/>
      <c r="O63" s="94"/>
      <c r="P63" s="94"/>
      <c r="Q63" s="95"/>
      <c r="R63" s="74"/>
      <c r="S63" s="74"/>
      <c r="T63" s="74"/>
      <c r="U63" s="74"/>
    </row>
    <row r="64" spans="1:21" ht="18" customHeight="1" x14ac:dyDescent="0.15">
      <c r="A64" s="64"/>
      <c r="B64" s="93"/>
      <c r="C64" s="94"/>
      <c r="D64" s="94"/>
      <c r="E64" s="94"/>
      <c r="F64" s="95"/>
      <c r="G64" s="74"/>
      <c r="H64" s="74"/>
      <c r="I64" s="74"/>
      <c r="J64" s="74"/>
      <c r="K64" s="93"/>
      <c r="L64" s="94"/>
      <c r="M64" s="94"/>
      <c r="N64" s="94"/>
      <c r="O64" s="94"/>
      <c r="P64" s="94"/>
      <c r="Q64" s="95"/>
      <c r="R64" s="74"/>
      <c r="S64" s="74"/>
      <c r="T64" s="74"/>
      <c r="U64" s="74"/>
    </row>
    <row r="65" spans="1:21" ht="18" customHeight="1" x14ac:dyDescent="0.15">
      <c r="A65" s="64"/>
      <c r="B65" s="93"/>
      <c r="C65" s="94"/>
      <c r="D65" s="94"/>
      <c r="E65" s="94"/>
      <c r="F65" s="95"/>
      <c r="G65" s="74"/>
      <c r="H65" s="74"/>
      <c r="I65" s="74"/>
      <c r="J65" s="74"/>
      <c r="K65" s="93"/>
      <c r="L65" s="94"/>
      <c r="M65" s="94"/>
      <c r="N65" s="94"/>
      <c r="O65" s="94"/>
      <c r="P65" s="94"/>
      <c r="Q65" s="95"/>
      <c r="R65" s="74"/>
      <c r="S65" s="74"/>
      <c r="T65" s="74"/>
      <c r="U65" s="74"/>
    </row>
    <row r="66" spans="1:21" ht="18" customHeight="1" x14ac:dyDescent="0.15">
      <c r="A66" s="64"/>
      <c r="B66" s="96"/>
      <c r="C66" s="97"/>
      <c r="D66" s="97"/>
      <c r="E66" s="97"/>
      <c r="F66" s="98"/>
      <c r="G66" s="75"/>
      <c r="H66" s="75"/>
      <c r="I66" s="76"/>
      <c r="J66" s="76"/>
      <c r="K66" s="96"/>
      <c r="L66" s="97"/>
      <c r="M66" s="97"/>
      <c r="N66" s="97"/>
      <c r="O66" s="97"/>
      <c r="P66" s="97"/>
      <c r="Q66" s="98"/>
      <c r="R66" s="75"/>
      <c r="S66" s="75"/>
      <c r="T66" s="76"/>
      <c r="U66" s="76"/>
    </row>
    <row r="67" spans="1:21" ht="7.5" customHeight="1" x14ac:dyDescent="0.15">
      <c r="B67" s="77"/>
      <c r="C67" s="77"/>
      <c r="D67" s="77"/>
      <c r="E67" s="77"/>
      <c r="F67" s="77"/>
      <c r="G67" s="77"/>
      <c r="H67" s="77"/>
      <c r="I67" s="77"/>
      <c r="J67" s="77"/>
      <c r="K67" s="77"/>
      <c r="L67" s="77"/>
      <c r="M67" s="77"/>
      <c r="N67" s="77"/>
      <c r="O67" s="77"/>
      <c r="P67" s="77"/>
      <c r="Q67" s="77"/>
      <c r="R67" s="77"/>
      <c r="S67" s="77"/>
      <c r="T67" s="77"/>
    </row>
    <row r="68" spans="1:21" ht="18" customHeight="1" x14ac:dyDescent="0.15">
      <c r="A68" s="104" t="s">
        <v>106</v>
      </c>
      <c r="B68" s="104"/>
      <c r="C68" s="104"/>
      <c r="D68" s="104"/>
      <c r="E68" s="104"/>
      <c r="F68" s="104"/>
      <c r="G68" s="104"/>
      <c r="H68" s="104"/>
      <c r="I68" s="104"/>
      <c r="J68" s="104"/>
      <c r="K68" s="104"/>
      <c r="L68" s="104"/>
      <c r="M68" s="104"/>
      <c r="N68" s="104"/>
      <c r="O68" s="104"/>
      <c r="P68" s="104"/>
      <c r="Q68" s="104"/>
      <c r="R68" s="104"/>
      <c r="S68" s="104"/>
      <c r="T68" s="104"/>
      <c r="U68" s="104"/>
    </row>
    <row r="69" spans="1:21" ht="18" customHeight="1" x14ac:dyDescent="0.15">
      <c r="A69" s="104"/>
      <c r="B69" s="104"/>
      <c r="C69" s="104"/>
      <c r="D69" s="104"/>
      <c r="E69" s="104"/>
      <c r="F69" s="104"/>
      <c r="G69" s="104"/>
      <c r="H69" s="104"/>
      <c r="I69" s="104"/>
      <c r="J69" s="104"/>
      <c r="K69" s="104"/>
      <c r="L69" s="104"/>
      <c r="M69" s="104"/>
      <c r="N69" s="104"/>
      <c r="O69" s="104"/>
      <c r="P69" s="104"/>
      <c r="Q69" s="104"/>
      <c r="R69" s="104"/>
      <c r="S69" s="104"/>
      <c r="T69" s="104"/>
      <c r="U69" s="104"/>
    </row>
    <row r="70" spans="1:21" ht="18" customHeight="1" x14ac:dyDescent="0.15">
      <c r="B70" s="90" t="s">
        <v>52</v>
      </c>
      <c r="C70" s="91"/>
      <c r="D70" s="91"/>
      <c r="E70" s="91"/>
      <c r="F70" s="70" t="s">
        <v>78</v>
      </c>
      <c r="G70" s="71" t="s">
        <v>81</v>
      </c>
      <c r="H70" s="72" t="s">
        <v>93</v>
      </c>
      <c r="I70" s="72" t="s">
        <v>73</v>
      </c>
      <c r="J70" s="72" t="s">
        <v>74</v>
      </c>
      <c r="K70" s="90" t="s">
        <v>52</v>
      </c>
      <c r="L70" s="91"/>
      <c r="M70" s="91"/>
      <c r="N70" s="91"/>
      <c r="O70" s="91"/>
      <c r="P70" s="92"/>
      <c r="Q70" s="70" t="s">
        <v>78</v>
      </c>
      <c r="R70" s="71" t="s">
        <v>81</v>
      </c>
      <c r="S70" s="72" t="s">
        <v>93</v>
      </c>
      <c r="T70" s="72" t="s">
        <v>73</v>
      </c>
      <c r="U70" s="72" t="s">
        <v>74</v>
      </c>
    </row>
    <row r="71" spans="1:21" ht="18" customHeight="1" x14ac:dyDescent="0.15">
      <c r="A71" s="64"/>
      <c r="B71" s="101" t="s">
        <v>139</v>
      </c>
      <c r="C71" s="102"/>
      <c r="D71" s="102"/>
      <c r="E71" s="102"/>
      <c r="F71" s="73">
        <v>2</v>
      </c>
      <c r="G71" s="73" t="s">
        <v>140</v>
      </c>
      <c r="H71" s="73" t="s">
        <v>140</v>
      </c>
      <c r="I71" s="73" t="s">
        <v>140</v>
      </c>
      <c r="J71" s="73" t="s">
        <v>140</v>
      </c>
      <c r="K71" s="101"/>
      <c r="L71" s="102"/>
      <c r="M71" s="102"/>
      <c r="N71" s="102"/>
      <c r="O71" s="102"/>
      <c r="P71" s="103"/>
      <c r="Q71" s="73"/>
      <c r="R71" s="73"/>
      <c r="S71" s="73"/>
      <c r="T71" s="73"/>
      <c r="U71" s="73"/>
    </row>
    <row r="72" spans="1:21" ht="18" customHeight="1" x14ac:dyDescent="0.15">
      <c r="A72" s="64"/>
      <c r="B72" s="93"/>
      <c r="C72" s="94"/>
      <c r="D72" s="94"/>
      <c r="E72" s="94"/>
      <c r="F72" s="74"/>
      <c r="G72" s="74"/>
      <c r="H72" s="74"/>
      <c r="I72" s="74"/>
      <c r="J72" s="74"/>
      <c r="K72" s="93"/>
      <c r="L72" s="94"/>
      <c r="M72" s="94"/>
      <c r="N72" s="94"/>
      <c r="O72" s="94"/>
      <c r="P72" s="95"/>
      <c r="Q72" s="74"/>
      <c r="R72" s="74"/>
      <c r="S72" s="74"/>
      <c r="T72" s="74"/>
      <c r="U72" s="74"/>
    </row>
    <row r="73" spans="1:21" ht="18" customHeight="1" x14ac:dyDescent="0.15">
      <c r="A73" s="64"/>
      <c r="B73" s="93"/>
      <c r="C73" s="94"/>
      <c r="D73" s="94"/>
      <c r="E73" s="94"/>
      <c r="F73" s="74"/>
      <c r="G73" s="74"/>
      <c r="H73" s="74"/>
      <c r="I73" s="74"/>
      <c r="J73" s="74"/>
      <c r="K73" s="93"/>
      <c r="L73" s="94"/>
      <c r="M73" s="94"/>
      <c r="N73" s="94"/>
      <c r="O73" s="94"/>
      <c r="P73" s="95"/>
      <c r="Q73" s="74"/>
      <c r="R73" s="74"/>
      <c r="S73" s="74"/>
      <c r="T73" s="74"/>
      <c r="U73" s="74"/>
    </row>
    <row r="74" spans="1:21" ht="18" customHeight="1" x14ac:dyDescent="0.15">
      <c r="A74" s="64"/>
      <c r="B74" s="93"/>
      <c r="C74" s="94"/>
      <c r="D74" s="94"/>
      <c r="E74" s="94"/>
      <c r="F74" s="74"/>
      <c r="G74" s="74"/>
      <c r="H74" s="74"/>
      <c r="I74" s="74"/>
      <c r="J74" s="74"/>
      <c r="K74" s="93"/>
      <c r="L74" s="94"/>
      <c r="M74" s="94"/>
      <c r="N74" s="94"/>
      <c r="O74" s="94"/>
      <c r="P74" s="95"/>
      <c r="Q74" s="74"/>
      <c r="R74" s="74"/>
      <c r="S74" s="74"/>
      <c r="T74" s="74"/>
      <c r="U74" s="74"/>
    </row>
    <row r="75" spans="1:21" ht="18" customHeight="1" x14ac:dyDescent="0.15">
      <c r="A75" s="64"/>
      <c r="B75" s="93"/>
      <c r="C75" s="94"/>
      <c r="D75" s="94"/>
      <c r="E75" s="94"/>
      <c r="F75" s="74"/>
      <c r="G75" s="74"/>
      <c r="H75" s="74"/>
      <c r="I75" s="74"/>
      <c r="J75" s="74"/>
      <c r="K75" s="93"/>
      <c r="L75" s="94"/>
      <c r="M75" s="94"/>
      <c r="N75" s="94"/>
      <c r="O75" s="94"/>
      <c r="P75" s="95"/>
      <c r="Q75" s="74"/>
      <c r="R75" s="74"/>
      <c r="S75" s="74"/>
      <c r="T75" s="74"/>
      <c r="U75" s="74"/>
    </row>
    <row r="76" spans="1:21" ht="18" customHeight="1" x14ac:dyDescent="0.15">
      <c r="A76" s="64"/>
      <c r="B76" s="93"/>
      <c r="C76" s="94"/>
      <c r="D76" s="94"/>
      <c r="E76" s="94"/>
      <c r="F76" s="74"/>
      <c r="G76" s="74"/>
      <c r="H76" s="74"/>
      <c r="I76" s="74"/>
      <c r="J76" s="74"/>
      <c r="K76" s="93"/>
      <c r="L76" s="94"/>
      <c r="M76" s="94"/>
      <c r="N76" s="94"/>
      <c r="O76" s="94"/>
      <c r="P76" s="95"/>
      <c r="Q76" s="74"/>
      <c r="R76" s="74"/>
      <c r="S76" s="74"/>
      <c r="T76" s="74"/>
      <c r="U76" s="74"/>
    </row>
    <row r="77" spans="1:21" ht="18" customHeight="1" x14ac:dyDescent="0.15">
      <c r="A77" s="64"/>
      <c r="B77" s="96"/>
      <c r="C77" s="97"/>
      <c r="D77" s="97"/>
      <c r="E77" s="97"/>
      <c r="F77" s="75"/>
      <c r="G77" s="75"/>
      <c r="H77" s="76"/>
      <c r="I77" s="76"/>
      <c r="J77" s="76"/>
      <c r="K77" s="96"/>
      <c r="L77" s="97"/>
      <c r="M77" s="97"/>
      <c r="N77" s="97"/>
      <c r="O77" s="97"/>
      <c r="P77" s="98"/>
      <c r="Q77" s="75"/>
      <c r="R77" s="75"/>
      <c r="S77" s="76"/>
      <c r="T77" s="76"/>
      <c r="U77" s="76"/>
    </row>
    <row r="78" spans="1:21" ht="7.5" customHeight="1" x14ac:dyDescent="0.15">
      <c r="B78" s="77"/>
      <c r="C78" s="77"/>
      <c r="D78" s="77"/>
      <c r="E78" s="77"/>
      <c r="F78" s="77"/>
      <c r="G78" s="77"/>
      <c r="H78" s="77"/>
      <c r="I78" s="77"/>
      <c r="J78" s="77"/>
      <c r="K78" s="77"/>
      <c r="L78" s="77"/>
      <c r="M78" s="77"/>
      <c r="N78" s="77"/>
      <c r="O78" s="77"/>
      <c r="P78" s="77"/>
      <c r="Q78" s="77"/>
      <c r="R78" s="77"/>
      <c r="S78" s="77"/>
      <c r="T78" s="77"/>
    </row>
    <row r="79" spans="1:21" ht="18" customHeight="1" x14ac:dyDescent="0.15">
      <c r="A79" s="59" t="s">
        <v>107</v>
      </c>
      <c r="I79" s="64"/>
      <c r="J79" s="64"/>
      <c r="K79" s="64"/>
      <c r="L79" s="64"/>
      <c r="M79" s="64"/>
      <c r="N79" s="64"/>
      <c r="O79" s="64"/>
      <c r="P79" s="64"/>
      <c r="Q79" s="64"/>
      <c r="R79" s="64"/>
      <c r="S79" s="64"/>
      <c r="T79" s="64"/>
      <c r="U79" s="64"/>
    </row>
    <row r="80" spans="1:21" ht="18" customHeight="1" x14ac:dyDescent="0.15">
      <c r="B80" s="90" t="s">
        <v>52</v>
      </c>
      <c r="C80" s="91"/>
      <c r="D80" s="91"/>
      <c r="E80" s="91"/>
      <c r="F80" s="92"/>
      <c r="G80" s="90" t="s">
        <v>79</v>
      </c>
      <c r="H80" s="91"/>
      <c r="I80" s="91"/>
      <c r="J80" s="92"/>
      <c r="K80" s="110" t="s">
        <v>52</v>
      </c>
      <c r="L80" s="111"/>
      <c r="M80" s="111"/>
      <c r="N80" s="111"/>
      <c r="O80" s="111"/>
      <c r="P80" s="111"/>
      <c r="Q80" s="112"/>
      <c r="R80" s="90" t="s">
        <v>79</v>
      </c>
      <c r="S80" s="91"/>
      <c r="T80" s="91"/>
      <c r="U80" s="92"/>
    </row>
    <row r="81" spans="1:21" ht="18" customHeight="1" x14ac:dyDescent="0.15">
      <c r="A81" s="64"/>
      <c r="B81" s="101" t="s">
        <v>178</v>
      </c>
      <c r="C81" s="102"/>
      <c r="D81" s="102"/>
      <c r="E81" s="102"/>
      <c r="F81" s="103"/>
      <c r="G81" s="105" t="s">
        <v>176</v>
      </c>
      <c r="H81" s="106"/>
      <c r="I81" s="106"/>
      <c r="J81" s="107"/>
      <c r="K81" s="101"/>
      <c r="L81" s="102"/>
      <c r="M81" s="102"/>
      <c r="N81" s="102"/>
      <c r="O81" s="102"/>
      <c r="P81" s="102"/>
      <c r="Q81" s="103"/>
      <c r="R81" s="105"/>
      <c r="S81" s="106"/>
      <c r="T81" s="106"/>
      <c r="U81" s="107"/>
    </row>
    <row r="82" spans="1:21" ht="18" customHeight="1" x14ac:dyDescent="0.15">
      <c r="A82" s="64"/>
      <c r="B82" s="93" t="s">
        <v>175</v>
      </c>
      <c r="C82" s="94"/>
      <c r="D82" s="94"/>
      <c r="E82" s="94"/>
      <c r="F82" s="95"/>
      <c r="G82" s="87" t="s">
        <v>176</v>
      </c>
      <c r="H82" s="88"/>
      <c r="I82" s="88"/>
      <c r="J82" s="89"/>
      <c r="K82" s="93"/>
      <c r="L82" s="94"/>
      <c r="M82" s="94"/>
      <c r="N82" s="94"/>
      <c r="O82" s="94"/>
      <c r="P82" s="94"/>
      <c r="Q82" s="95"/>
      <c r="R82" s="87"/>
      <c r="S82" s="88"/>
      <c r="T82" s="88"/>
      <c r="U82" s="89"/>
    </row>
    <row r="83" spans="1:21" ht="18" customHeight="1" x14ac:dyDescent="0.15">
      <c r="A83" s="64"/>
      <c r="B83" s="93"/>
      <c r="C83" s="94"/>
      <c r="D83" s="94"/>
      <c r="E83" s="94"/>
      <c r="F83" s="95"/>
      <c r="G83" s="87"/>
      <c r="H83" s="88"/>
      <c r="I83" s="88"/>
      <c r="J83" s="89"/>
      <c r="K83" s="93"/>
      <c r="L83" s="94"/>
      <c r="M83" s="94"/>
      <c r="N83" s="94"/>
      <c r="O83" s="94"/>
      <c r="P83" s="94"/>
      <c r="Q83" s="95"/>
      <c r="R83" s="87"/>
      <c r="S83" s="88"/>
      <c r="T83" s="88"/>
      <c r="U83" s="89"/>
    </row>
    <row r="84" spans="1:21" ht="18" customHeight="1" x14ac:dyDescent="0.15">
      <c r="A84" s="64"/>
      <c r="B84" s="93"/>
      <c r="C84" s="94"/>
      <c r="D84" s="94"/>
      <c r="E84" s="94"/>
      <c r="F84" s="95"/>
      <c r="G84" s="87"/>
      <c r="H84" s="88"/>
      <c r="I84" s="88"/>
      <c r="J84" s="89"/>
      <c r="K84" s="93"/>
      <c r="L84" s="94"/>
      <c r="M84" s="94"/>
      <c r="N84" s="94"/>
      <c r="O84" s="94"/>
      <c r="P84" s="94"/>
      <c r="Q84" s="95"/>
      <c r="R84" s="87"/>
      <c r="S84" s="88"/>
      <c r="T84" s="88"/>
      <c r="U84" s="89"/>
    </row>
    <row r="85" spans="1:21" ht="18" customHeight="1" x14ac:dyDescent="0.15">
      <c r="A85" s="64"/>
      <c r="B85" s="93"/>
      <c r="C85" s="94"/>
      <c r="D85" s="94"/>
      <c r="E85" s="94"/>
      <c r="F85" s="95"/>
      <c r="G85" s="87"/>
      <c r="H85" s="88"/>
      <c r="I85" s="88"/>
      <c r="J85" s="89"/>
      <c r="K85" s="93"/>
      <c r="L85" s="94"/>
      <c r="M85" s="94"/>
      <c r="N85" s="94"/>
      <c r="O85" s="94"/>
      <c r="P85" s="94"/>
      <c r="Q85" s="95"/>
      <c r="R85" s="87"/>
      <c r="S85" s="88"/>
      <c r="T85" s="88"/>
      <c r="U85" s="89"/>
    </row>
    <row r="86" spans="1:21" ht="18" customHeight="1" x14ac:dyDescent="0.15">
      <c r="A86" s="64"/>
      <c r="B86" s="93"/>
      <c r="C86" s="94"/>
      <c r="D86" s="94"/>
      <c r="E86" s="94"/>
      <c r="F86" s="95"/>
      <c r="G86" s="87"/>
      <c r="H86" s="88"/>
      <c r="I86" s="88"/>
      <c r="J86" s="89"/>
      <c r="K86" s="93"/>
      <c r="L86" s="94"/>
      <c r="M86" s="94"/>
      <c r="N86" s="94"/>
      <c r="O86" s="94"/>
      <c r="P86" s="94"/>
      <c r="Q86" s="95"/>
      <c r="R86" s="87"/>
      <c r="S86" s="88"/>
      <c r="T86" s="88"/>
      <c r="U86" s="89"/>
    </row>
    <row r="87" spans="1:21" ht="18" customHeight="1" x14ac:dyDescent="0.15">
      <c r="A87" s="64"/>
      <c r="B87" s="96"/>
      <c r="C87" s="97"/>
      <c r="D87" s="97"/>
      <c r="E87" s="97"/>
      <c r="F87" s="98"/>
      <c r="G87" s="127"/>
      <c r="H87" s="128"/>
      <c r="I87" s="128"/>
      <c r="J87" s="129"/>
      <c r="K87" s="96"/>
      <c r="L87" s="97"/>
      <c r="M87" s="97"/>
      <c r="N87" s="97"/>
      <c r="O87" s="97"/>
      <c r="P87" s="97"/>
      <c r="Q87" s="98"/>
      <c r="R87" s="127"/>
      <c r="S87" s="128"/>
      <c r="T87" s="128"/>
      <c r="U87" s="129"/>
    </row>
    <row r="88" spans="1:21" ht="18" customHeight="1" x14ac:dyDescent="0.15">
      <c r="A88" s="64"/>
      <c r="B88" s="62"/>
      <c r="C88" s="62"/>
      <c r="D88" s="62"/>
      <c r="E88" s="62"/>
      <c r="F88" s="62"/>
      <c r="G88" s="69"/>
      <c r="H88" s="69"/>
      <c r="I88" s="69"/>
      <c r="J88" s="69"/>
      <c r="K88" s="62"/>
      <c r="L88" s="62"/>
      <c r="M88" s="62"/>
      <c r="N88" s="62"/>
      <c r="O88" s="62"/>
      <c r="P88" s="62"/>
      <c r="Q88" s="62"/>
      <c r="R88" s="69"/>
      <c r="S88" s="69"/>
      <c r="T88" s="69"/>
      <c r="U88" s="69"/>
    </row>
    <row r="89" spans="1:21" ht="18.75" customHeight="1" x14ac:dyDescent="0.15">
      <c r="A89" s="59" t="s">
        <v>108</v>
      </c>
    </row>
    <row r="90" spans="1:21" ht="18.75" customHeight="1" x14ac:dyDescent="0.15">
      <c r="B90" s="130" t="s">
        <v>53</v>
      </c>
      <c r="C90" s="131"/>
      <c r="D90" s="90" t="s">
        <v>54</v>
      </c>
      <c r="E90" s="91"/>
      <c r="F90" s="91"/>
      <c r="G90" s="91"/>
      <c r="H90" s="91"/>
      <c r="I90" s="91"/>
      <c r="J90" s="91"/>
      <c r="K90" s="91"/>
      <c r="L90" s="91"/>
      <c r="M90" s="91"/>
      <c r="N90" s="91"/>
      <c r="O90" s="91"/>
      <c r="P90" s="91"/>
      <c r="Q90" s="91"/>
      <c r="R90" s="91"/>
      <c r="S90" s="91"/>
      <c r="T90" s="91"/>
      <c r="U90" s="92"/>
    </row>
    <row r="91" spans="1:21" ht="97.5" customHeight="1" x14ac:dyDescent="0.15">
      <c r="B91" s="108" t="s">
        <v>60</v>
      </c>
      <c r="C91" s="78" t="s">
        <v>55</v>
      </c>
      <c r="D91" s="137" t="s">
        <v>141</v>
      </c>
      <c r="E91" s="138"/>
      <c r="F91" s="138"/>
      <c r="G91" s="138"/>
      <c r="H91" s="138"/>
      <c r="I91" s="138"/>
      <c r="J91" s="138"/>
      <c r="K91" s="138"/>
      <c r="L91" s="138"/>
      <c r="M91" s="138"/>
      <c r="N91" s="138"/>
      <c r="O91" s="138"/>
      <c r="P91" s="138"/>
      <c r="Q91" s="138"/>
      <c r="R91" s="138"/>
      <c r="S91" s="138"/>
      <c r="T91" s="138"/>
      <c r="U91" s="139"/>
    </row>
    <row r="92" spans="1:21" ht="97.5" customHeight="1" x14ac:dyDescent="0.15">
      <c r="B92" s="113"/>
      <c r="C92" s="79" t="s">
        <v>75</v>
      </c>
      <c r="D92" s="134" t="s">
        <v>142</v>
      </c>
      <c r="E92" s="135"/>
      <c r="F92" s="135"/>
      <c r="G92" s="135"/>
      <c r="H92" s="135"/>
      <c r="I92" s="135"/>
      <c r="J92" s="135"/>
      <c r="K92" s="135"/>
      <c r="L92" s="135"/>
      <c r="M92" s="135"/>
      <c r="N92" s="135"/>
      <c r="O92" s="135"/>
      <c r="P92" s="135"/>
      <c r="Q92" s="135"/>
      <c r="R92" s="135"/>
      <c r="S92" s="135"/>
      <c r="T92" s="135"/>
      <c r="U92" s="136"/>
    </row>
    <row r="93" spans="1:21" ht="97.5" customHeight="1" x14ac:dyDescent="0.15">
      <c r="B93" s="108" t="s">
        <v>61</v>
      </c>
      <c r="C93" s="80" t="s">
        <v>69</v>
      </c>
      <c r="D93" s="137" t="s">
        <v>143</v>
      </c>
      <c r="E93" s="138"/>
      <c r="F93" s="138"/>
      <c r="G93" s="138"/>
      <c r="H93" s="138"/>
      <c r="I93" s="138"/>
      <c r="J93" s="138"/>
      <c r="K93" s="138"/>
      <c r="L93" s="138"/>
      <c r="M93" s="138"/>
      <c r="N93" s="138"/>
      <c r="O93" s="138"/>
      <c r="P93" s="138"/>
      <c r="Q93" s="138"/>
      <c r="R93" s="138"/>
      <c r="S93" s="138"/>
      <c r="T93" s="138"/>
      <c r="U93" s="139"/>
    </row>
    <row r="94" spans="1:21" ht="97.5" customHeight="1" x14ac:dyDescent="0.15">
      <c r="B94" s="109"/>
      <c r="C94" s="81" t="s">
        <v>70</v>
      </c>
      <c r="D94" s="134" t="s">
        <v>144</v>
      </c>
      <c r="E94" s="135"/>
      <c r="F94" s="135"/>
      <c r="G94" s="135"/>
      <c r="H94" s="135"/>
      <c r="I94" s="135"/>
      <c r="J94" s="135"/>
      <c r="K94" s="135"/>
      <c r="L94" s="135"/>
      <c r="M94" s="135"/>
      <c r="N94" s="135"/>
      <c r="O94" s="135"/>
      <c r="P94" s="135"/>
      <c r="Q94" s="135"/>
      <c r="R94" s="135"/>
      <c r="S94" s="135"/>
      <c r="T94" s="135"/>
      <c r="U94" s="136"/>
    </row>
    <row r="95" spans="1:21" ht="97.5" customHeight="1" x14ac:dyDescent="0.15">
      <c r="B95" s="108" t="s">
        <v>62</v>
      </c>
      <c r="C95" s="80" t="s">
        <v>71</v>
      </c>
      <c r="D95" s="137" t="s">
        <v>145</v>
      </c>
      <c r="E95" s="138"/>
      <c r="F95" s="138"/>
      <c r="G95" s="138"/>
      <c r="H95" s="138"/>
      <c r="I95" s="138"/>
      <c r="J95" s="138"/>
      <c r="K95" s="138"/>
      <c r="L95" s="138"/>
      <c r="M95" s="138"/>
      <c r="N95" s="138"/>
      <c r="O95" s="138"/>
      <c r="P95" s="138"/>
      <c r="Q95" s="138"/>
      <c r="R95" s="138"/>
      <c r="S95" s="138"/>
      <c r="T95" s="138"/>
      <c r="U95" s="139"/>
    </row>
    <row r="96" spans="1:21" ht="97.5" customHeight="1" x14ac:dyDescent="0.15">
      <c r="B96" s="109"/>
      <c r="C96" s="82" t="s">
        <v>72</v>
      </c>
      <c r="D96" s="134" t="s">
        <v>146</v>
      </c>
      <c r="E96" s="135"/>
      <c r="F96" s="135"/>
      <c r="G96" s="135"/>
      <c r="H96" s="135"/>
      <c r="I96" s="135"/>
      <c r="J96" s="135"/>
      <c r="K96" s="135"/>
      <c r="L96" s="135"/>
      <c r="M96" s="135"/>
      <c r="N96" s="135"/>
      <c r="O96" s="135"/>
      <c r="P96" s="135"/>
      <c r="Q96" s="135"/>
      <c r="R96" s="135"/>
      <c r="S96" s="135"/>
      <c r="T96" s="135"/>
      <c r="U96" s="136"/>
    </row>
    <row r="97" spans="1:33" ht="97.5" customHeight="1" x14ac:dyDescent="0.15">
      <c r="B97" s="108" t="s">
        <v>76</v>
      </c>
      <c r="C97" s="78" t="s">
        <v>57</v>
      </c>
      <c r="D97" s="137" t="s">
        <v>147</v>
      </c>
      <c r="E97" s="138"/>
      <c r="F97" s="138"/>
      <c r="G97" s="138"/>
      <c r="H97" s="138"/>
      <c r="I97" s="138"/>
      <c r="J97" s="138"/>
      <c r="K97" s="138"/>
      <c r="L97" s="138"/>
      <c r="M97" s="138"/>
      <c r="N97" s="138"/>
      <c r="O97" s="138"/>
      <c r="P97" s="138"/>
      <c r="Q97" s="138"/>
      <c r="R97" s="138"/>
      <c r="S97" s="138"/>
      <c r="T97" s="138"/>
      <c r="U97" s="139"/>
    </row>
    <row r="98" spans="1:33" ht="97.5" customHeight="1" x14ac:dyDescent="0.15">
      <c r="B98" s="109"/>
      <c r="C98" s="81" t="s">
        <v>59</v>
      </c>
      <c r="D98" s="134" t="s">
        <v>148</v>
      </c>
      <c r="E98" s="135"/>
      <c r="F98" s="135"/>
      <c r="G98" s="135"/>
      <c r="H98" s="135"/>
      <c r="I98" s="135"/>
      <c r="J98" s="135"/>
      <c r="K98" s="135"/>
      <c r="L98" s="135"/>
      <c r="M98" s="135"/>
      <c r="N98" s="135"/>
      <c r="O98" s="135"/>
      <c r="P98" s="135"/>
      <c r="Q98" s="135"/>
      <c r="R98" s="135"/>
      <c r="S98" s="135"/>
      <c r="T98" s="135"/>
      <c r="U98" s="136"/>
    </row>
    <row r="99" spans="1:33" ht="97.5" customHeight="1" x14ac:dyDescent="0.15">
      <c r="B99" s="108" t="s">
        <v>77</v>
      </c>
      <c r="C99" s="80" t="s">
        <v>56</v>
      </c>
      <c r="D99" s="137" t="s">
        <v>149</v>
      </c>
      <c r="E99" s="138"/>
      <c r="F99" s="138"/>
      <c r="G99" s="138"/>
      <c r="H99" s="138"/>
      <c r="I99" s="138"/>
      <c r="J99" s="138"/>
      <c r="K99" s="138"/>
      <c r="L99" s="138"/>
      <c r="M99" s="138"/>
      <c r="N99" s="138"/>
      <c r="O99" s="138"/>
      <c r="P99" s="138"/>
      <c r="Q99" s="138"/>
      <c r="R99" s="138"/>
      <c r="S99" s="138"/>
      <c r="T99" s="138"/>
      <c r="U99" s="139"/>
    </row>
    <row r="100" spans="1:33" ht="97.5" customHeight="1" x14ac:dyDescent="0.15">
      <c r="B100" s="113"/>
      <c r="C100" s="83" t="s">
        <v>73</v>
      </c>
      <c r="D100" s="140" t="s">
        <v>150</v>
      </c>
      <c r="E100" s="141"/>
      <c r="F100" s="141"/>
      <c r="G100" s="141"/>
      <c r="H100" s="141"/>
      <c r="I100" s="141"/>
      <c r="J100" s="141"/>
      <c r="K100" s="141"/>
      <c r="L100" s="141"/>
      <c r="M100" s="141"/>
      <c r="N100" s="141"/>
      <c r="O100" s="141"/>
      <c r="P100" s="141"/>
      <c r="Q100" s="141"/>
      <c r="R100" s="141"/>
      <c r="S100" s="141"/>
      <c r="T100" s="141"/>
      <c r="U100" s="142"/>
    </row>
    <row r="101" spans="1:33" ht="97.5" customHeight="1" x14ac:dyDescent="0.15">
      <c r="B101" s="109"/>
      <c r="C101" s="82" t="s">
        <v>74</v>
      </c>
      <c r="D101" s="134" t="s">
        <v>151</v>
      </c>
      <c r="E101" s="135"/>
      <c r="F101" s="135"/>
      <c r="G101" s="135"/>
      <c r="H101" s="135"/>
      <c r="I101" s="135"/>
      <c r="J101" s="135"/>
      <c r="K101" s="135"/>
      <c r="L101" s="135"/>
      <c r="M101" s="135"/>
      <c r="N101" s="135"/>
      <c r="O101" s="135"/>
      <c r="P101" s="135"/>
      <c r="Q101" s="135"/>
      <c r="R101" s="135"/>
      <c r="S101" s="135"/>
      <c r="T101" s="135"/>
      <c r="U101" s="136"/>
    </row>
    <row r="102" spans="1:33" ht="6" customHeight="1" x14ac:dyDescent="0.15"/>
    <row r="103" spans="1:33" ht="18.75" customHeight="1" x14ac:dyDescent="0.15">
      <c r="A103" s="59" t="s">
        <v>109</v>
      </c>
    </row>
    <row r="104" spans="1:33" ht="81.75" customHeight="1" x14ac:dyDescent="0.15">
      <c r="B104" s="124" t="s">
        <v>152</v>
      </c>
      <c r="C104" s="125"/>
      <c r="D104" s="125"/>
      <c r="E104" s="125"/>
      <c r="F104" s="125"/>
      <c r="G104" s="125"/>
      <c r="H104" s="125"/>
      <c r="I104" s="125"/>
      <c r="J104" s="125"/>
      <c r="K104" s="125"/>
      <c r="L104" s="125"/>
      <c r="M104" s="125"/>
      <c r="N104" s="125"/>
      <c r="O104" s="125"/>
      <c r="P104" s="125"/>
      <c r="Q104" s="125"/>
      <c r="R104" s="125"/>
      <c r="S104" s="125"/>
      <c r="T104" s="125"/>
      <c r="U104" s="126"/>
    </row>
    <row r="106" spans="1:33" ht="18.75" customHeight="1" x14ac:dyDescent="0.15">
      <c r="A106" s="58" t="s">
        <v>125</v>
      </c>
    </row>
    <row r="107" spans="1:33" ht="18.75" customHeight="1" x14ac:dyDescent="0.15">
      <c r="A107" s="58" t="s">
        <v>127</v>
      </c>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row>
    <row r="108" spans="1:33" ht="18.75" customHeight="1" x14ac:dyDescent="0.15">
      <c r="A108" s="58"/>
      <c r="B108" s="133" t="s">
        <v>130</v>
      </c>
      <c r="C108" s="133"/>
      <c r="D108" s="133"/>
      <c r="E108" s="133"/>
      <c r="F108" s="133"/>
      <c r="G108" s="133"/>
      <c r="H108" s="133"/>
      <c r="I108" s="133"/>
      <c r="J108" s="133"/>
      <c r="K108" s="133"/>
      <c r="L108" s="133"/>
      <c r="M108" s="133"/>
      <c r="N108" s="133"/>
      <c r="O108" s="133"/>
      <c r="P108" s="133"/>
      <c r="Q108" s="133"/>
      <c r="R108" s="133"/>
      <c r="S108" s="133"/>
      <c r="T108" s="133"/>
      <c r="U108" s="133"/>
      <c r="V108" s="84"/>
      <c r="W108" s="84"/>
      <c r="X108" s="84"/>
      <c r="Y108" s="84"/>
      <c r="Z108" s="84"/>
      <c r="AA108" s="84"/>
      <c r="AB108" s="84"/>
      <c r="AC108" s="84"/>
      <c r="AD108" s="84"/>
      <c r="AE108" s="84"/>
      <c r="AF108" s="84"/>
      <c r="AG108" s="84"/>
    </row>
    <row r="109" spans="1:33" ht="37.35" customHeight="1" x14ac:dyDescent="0.15">
      <c r="A109" s="58"/>
      <c r="B109" s="133"/>
      <c r="C109" s="133"/>
      <c r="D109" s="133"/>
      <c r="E109" s="133"/>
      <c r="F109" s="133"/>
      <c r="G109" s="133"/>
      <c r="H109" s="133"/>
      <c r="I109" s="133"/>
      <c r="J109" s="133"/>
      <c r="K109" s="133"/>
      <c r="L109" s="133"/>
      <c r="M109" s="133"/>
      <c r="N109" s="133"/>
      <c r="O109" s="133"/>
      <c r="P109" s="133"/>
      <c r="Q109" s="133"/>
      <c r="R109" s="133"/>
      <c r="S109" s="133"/>
      <c r="T109" s="133"/>
      <c r="U109" s="133"/>
      <c r="V109" s="84"/>
      <c r="W109" s="84"/>
      <c r="X109" s="84"/>
      <c r="Y109" s="84"/>
      <c r="Z109" s="84"/>
      <c r="AA109" s="84"/>
      <c r="AB109" s="84"/>
      <c r="AC109" s="84"/>
      <c r="AD109" s="84"/>
      <c r="AE109" s="84"/>
      <c r="AF109" s="84"/>
      <c r="AG109" s="84"/>
    </row>
    <row r="110" spans="1:33" ht="18.75" customHeight="1" x14ac:dyDescent="0.15">
      <c r="A110" s="58"/>
      <c r="B110" s="86" t="s">
        <v>126</v>
      </c>
      <c r="C110" s="86"/>
      <c r="D110" s="86"/>
      <c r="E110" s="86"/>
      <c r="F110" s="86"/>
      <c r="G110" s="86"/>
      <c r="H110" s="86"/>
      <c r="I110" s="86"/>
      <c r="J110" s="86"/>
      <c r="K110" s="86"/>
      <c r="L110" s="86"/>
      <c r="M110" s="86"/>
      <c r="N110" s="86"/>
      <c r="O110" s="86"/>
      <c r="P110" s="86"/>
      <c r="Q110" s="86"/>
      <c r="R110" s="86"/>
      <c r="S110" s="86"/>
      <c r="T110" s="86"/>
      <c r="U110" s="86"/>
      <c r="V110" s="84"/>
      <c r="W110" s="84"/>
      <c r="X110" s="84"/>
      <c r="Y110" s="84"/>
      <c r="Z110" s="84"/>
      <c r="AA110" s="84"/>
      <c r="AB110" s="84"/>
      <c r="AC110" s="84"/>
      <c r="AD110" s="84"/>
      <c r="AE110" s="84"/>
      <c r="AF110" s="84"/>
      <c r="AG110" s="84"/>
    </row>
    <row r="111" spans="1:33" ht="18.75" customHeight="1" x14ac:dyDescent="0.15">
      <c r="A111" s="58"/>
      <c r="B111" s="99" t="s">
        <v>54</v>
      </c>
      <c r="C111" s="99"/>
      <c r="D111" s="99"/>
      <c r="E111" s="99"/>
      <c r="F111" s="99"/>
      <c r="G111" s="99"/>
      <c r="H111" s="99"/>
      <c r="I111" s="99"/>
      <c r="J111" s="99"/>
      <c r="K111" s="99"/>
      <c r="L111" s="99"/>
      <c r="M111" s="99"/>
      <c r="N111" s="99"/>
      <c r="O111" s="99"/>
      <c r="P111" s="99"/>
      <c r="Q111" s="99"/>
      <c r="R111" s="99"/>
      <c r="S111" s="99"/>
      <c r="T111" s="99"/>
      <c r="U111" s="99"/>
      <c r="V111" s="58"/>
      <c r="W111" s="58"/>
      <c r="X111" s="58"/>
      <c r="Y111" s="58"/>
      <c r="Z111" s="58"/>
      <c r="AA111" s="58"/>
      <c r="AB111" s="58"/>
      <c r="AC111" s="58"/>
      <c r="AD111" s="58"/>
      <c r="AE111" s="58"/>
      <c r="AF111" s="58"/>
      <c r="AG111" s="58"/>
    </row>
    <row r="112" spans="1:33" ht="132" customHeight="1" x14ac:dyDescent="0.15">
      <c r="A112" s="58"/>
      <c r="B112" s="100" t="s">
        <v>177</v>
      </c>
      <c r="C112" s="100"/>
      <c r="D112" s="100"/>
      <c r="E112" s="100"/>
      <c r="F112" s="100"/>
      <c r="G112" s="100"/>
      <c r="H112" s="100"/>
      <c r="I112" s="100"/>
      <c r="J112" s="100"/>
      <c r="K112" s="100"/>
      <c r="L112" s="100"/>
      <c r="M112" s="100"/>
      <c r="N112" s="100"/>
      <c r="O112" s="100"/>
      <c r="P112" s="100"/>
      <c r="Q112" s="100"/>
      <c r="R112" s="100"/>
      <c r="S112" s="100"/>
      <c r="T112" s="100"/>
      <c r="U112" s="100"/>
      <c r="V112" s="85"/>
      <c r="W112" s="85"/>
      <c r="X112" s="85"/>
      <c r="Y112" s="85"/>
      <c r="Z112" s="85"/>
      <c r="AA112" s="85"/>
      <c r="AB112" s="85"/>
      <c r="AC112" s="85"/>
      <c r="AD112" s="85"/>
      <c r="AE112" s="85"/>
      <c r="AF112" s="85"/>
      <c r="AG112" s="85"/>
    </row>
    <row r="114" s="59" customFormat="1"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Y23" sqref="Y23"/>
    </sheetView>
  </sheetViews>
  <sheetFormatPr defaultColWidth="9" defaultRowHeight="18.75" customHeight="1" x14ac:dyDescent="0.15"/>
  <cols>
    <col min="1" max="1" width="2.875" style="1" customWidth="1"/>
    <col min="2" max="2" width="20.875" style="1" customWidth="1"/>
    <col min="3" max="18" width="6.125" style="1" customWidth="1"/>
    <col min="19" max="19" width="6.625" style="1" customWidth="1"/>
    <col min="20" max="16384" width="9" style="1"/>
  </cols>
  <sheetData>
    <row r="1" spans="1:21" ht="18" customHeight="1" x14ac:dyDescent="0.15">
      <c r="A1" s="59"/>
      <c r="B1" s="59"/>
      <c r="C1" s="59"/>
      <c r="D1" s="59"/>
      <c r="E1" s="59"/>
      <c r="F1" s="59"/>
      <c r="G1" s="59"/>
      <c r="H1" s="59"/>
      <c r="I1" s="59"/>
      <c r="J1" s="59"/>
      <c r="K1" s="59"/>
      <c r="L1" s="59"/>
      <c r="M1" s="59"/>
      <c r="N1" s="59"/>
      <c r="O1" s="59"/>
      <c r="P1" s="59"/>
      <c r="Q1" s="59"/>
      <c r="R1" s="59"/>
      <c r="S1" s="59" t="s">
        <v>98</v>
      </c>
    </row>
    <row r="2" spans="1:21" ht="18" customHeight="1" x14ac:dyDescent="0.15">
      <c r="A2" s="59"/>
      <c r="B2" s="59"/>
      <c r="C2" s="59"/>
      <c r="D2" s="59"/>
      <c r="E2" s="59"/>
      <c r="F2" s="59"/>
      <c r="G2" s="59"/>
      <c r="H2" s="59"/>
      <c r="I2" s="59"/>
      <c r="J2" s="59"/>
      <c r="K2" s="59"/>
      <c r="L2" s="59"/>
      <c r="M2" s="59"/>
      <c r="N2" s="59"/>
      <c r="O2" s="59"/>
      <c r="P2" s="59"/>
      <c r="Q2" s="156" t="str">
        <f>'様式１　プログラムを構成する授業科目'!C2</f>
        <v>公立大学法人　長野大学</v>
      </c>
      <c r="R2" s="156"/>
      <c r="S2" s="156"/>
    </row>
    <row r="3" spans="1:21" ht="18" customHeight="1" x14ac:dyDescent="0.15">
      <c r="A3" s="114" t="s">
        <v>47</v>
      </c>
      <c r="B3" s="114"/>
      <c r="C3" s="114"/>
      <c r="D3" s="114"/>
      <c r="E3" s="114"/>
      <c r="F3" s="114"/>
      <c r="G3" s="114"/>
      <c r="H3" s="114"/>
      <c r="I3" s="114"/>
      <c r="J3" s="114"/>
      <c r="K3" s="114"/>
      <c r="L3" s="114"/>
      <c r="M3" s="114"/>
      <c r="N3" s="114"/>
      <c r="O3" s="114"/>
      <c r="P3" s="114"/>
      <c r="Q3" s="114"/>
      <c r="R3" s="114"/>
      <c r="S3" s="114"/>
    </row>
    <row r="4" spans="1:21" ht="7.5" customHeight="1" x14ac:dyDescent="0.15">
      <c r="A4" s="64"/>
      <c r="B4" s="64"/>
      <c r="C4" s="64"/>
      <c r="D4" s="64"/>
      <c r="E4" s="64"/>
      <c r="F4" s="64"/>
      <c r="G4" s="64"/>
      <c r="H4" s="64"/>
      <c r="I4" s="64"/>
      <c r="J4" s="64"/>
      <c r="K4" s="64"/>
      <c r="L4" s="64"/>
      <c r="M4" s="64"/>
      <c r="N4" s="64"/>
      <c r="O4" s="64"/>
      <c r="P4" s="64"/>
      <c r="Q4" s="64"/>
      <c r="R4" s="64"/>
      <c r="S4" s="64"/>
    </row>
    <row r="5" spans="1:21" ht="18" customHeight="1" x14ac:dyDescent="0.15">
      <c r="A5" s="59" t="s">
        <v>80</v>
      </c>
      <c r="B5" s="59"/>
      <c r="C5" s="157" t="s">
        <v>173</v>
      </c>
      <c r="D5" s="158"/>
      <c r="E5" s="64" t="s">
        <v>51</v>
      </c>
      <c r="F5" s="64"/>
      <c r="G5" s="64"/>
      <c r="H5" s="64"/>
      <c r="I5" s="64"/>
      <c r="J5" s="64"/>
      <c r="K5" s="64"/>
      <c r="L5" s="64"/>
      <c r="M5" s="64"/>
      <c r="N5" s="64"/>
      <c r="O5" s="64"/>
      <c r="P5" s="64"/>
      <c r="Q5" s="64"/>
      <c r="R5" s="62"/>
      <c r="S5" s="62"/>
    </row>
    <row r="6" spans="1:21" ht="7.35" customHeight="1" x14ac:dyDescent="0.15">
      <c r="A6" s="59"/>
      <c r="B6" s="59"/>
      <c r="C6" s="69"/>
      <c r="D6" s="69"/>
      <c r="E6" s="64"/>
      <c r="F6" s="64"/>
      <c r="G6" s="64"/>
      <c r="H6" s="64"/>
      <c r="I6" s="64"/>
      <c r="J6" s="64"/>
      <c r="K6" s="64"/>
      <c r="L6" s="64"/>
      <c r="M6" s="64"/>
      <c r="N6" s="64"/>
      <c r="O6" s="64"/>
      <c r="P6" s="64"/>
      <c r="Q6" s="64"/>
      <c r="R6" s="62"/>
      <c r="S6" s="62"/>
    </row>
    <row r="7" spans="1:21" ht="18" customHeight="1" x14ac:dyDescent="0.15">
      <c r="A7" s="59" t="s">
        <v>118</v>
      </c>
      <c r="B7" s="59"/>
      <c r="C7" s="69"/>
      <c r="D7" s="69"/>
      <c r="E7" s="64" t="s">
        <v>119</v>
      </c>
      <c r="F7" s="67">
        <v>658</v>
      </c>
      <c r="G7" s="65" t="s">
        <v>120</v>
      </c>
      <c r="H7" s="64" t="s">
        <v>121</v>
      </c>
      <c r="I7" s="67">
        <v>793</v>
      </c>
      <c r="J7" s="65" t="s">
        <v>120</v>
      </c>
      <c r="K7" s="60" t="s">
        <v>122</v>
      </c>
      <c r="L7" s="64" t="s">
        <v>123</v>
      </c>
      <c r="M7" s="67">
        <f>F7+I7</f>
        <v>1451</v>
      </c>
      <c r="N7" s="64" t="s">
        <v>1</v>
      </c>
      <c r="O7" s="65" t="s">
        <v>124</v>
      </c>
      <c r="P7" s="64"/>
      <c r="Q7" s="64"/>
      <c r="R7" s="62"/>
      <c r="S7" s="62"/>
    </row>
    <row r="8" spans="1:21" ht="6" customHeight="1" x14ac:dyDescent="0.15">
      <c r="A8" s="64"/>
      <c r="B8" s="64"/>
      <c r="C8" s="64"/>
      <c r="D8" s="64"/>
      <c r="E8" s="64"/>
      <c r="F8" s="64"/>
      <c r="G8" s="64"/>
      <c r="H8" s="64"/>
      <c r="I8" s="64"/>
      <c r="J8" s="64"/>
      <c r="K8" s="64"/>
      <c r="L8" s="64"/>
      <c r="M8" s="64"/>
      <c r="N8" s="64"/>
      <c r="O8" s="64"/>
      <c r="P8" s="64"/>
      <c r="Q8" s="64"/>
      <c r="R8" s="64"/>
      <c r="S8" s="64"/>
    </row>
    <row r="9" spans="1:21" ht="18" customHeight="1" x14ac:dyDescent="0.15">
      <c r="A9" s="59" t="s">
        <v>134</v>
      </c>
      <c r="B9" s="64"/>
      <c r="C9" s="64"/>
      <c r="D9" s="64"/>
      <c r="E9" s="64"/>
      <c r="F9" s="64"/>
      <c r="G9" s="64"/>
      <c r="H9" s="64"/>
      <c r="I9" s="64"/>
      <c r="J9" s="64"/>
      <c r="K9" s="64"/>
      <c r="L9" s="64"/>
      <c r="M9" s="64"/>
      <c r="N9" s="64"/>
      <c r="O9" s="64"/>
      <c r="P9" s="64"/>
      <c r="Q9" s="64"/>
      <c r="R9" s="64"/>
      <c r="S9" s="64"/>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9" t="s">
        <v>44</v>
      </c>
      <c r="C11" s="169" t="s">
        <v>83</v>
      </c>
      <c r="D11" s="161" t="s">
        <v>46</v>
      </c>
      <c r="E11" s="163" t="s">
        <v>39</v>
      </c>
      <c r="F11" s="155" t="s">
        <v>112</v>
      </c>
      <c r="G11" s="155"/>
      <c r="H11" s="155" t="s">
        <v>82</v>
      </c>
      <c r="I11" s="155"/>
      <c r="J11" s="155" t="s">
        <v>48</v>
      </c>
      <c r="K11" s="155"/>
      <c r="L11" s="155" t="s">
        <v>49</v>
      </c>
      <c r="M11" s="155"/>
      <c r="N11" s="155" t="s">
        <v>92</v>
      </c>
      <c r="O11" s="155"/>
      <c r="P11" s="155" t="s">
        <v>50</v>
      </c>
      <c r="Q11" s="155"/>
      <c r="R11" s="165" t="s">
        <v>35</v>
      </c>
      <c r="S11" s="167" t="s">
        <v>32</v>
      </c>
      <c r="U11" s="2"/>
    </row>
    <row r="12" spans="1:21" ht="17.100000000000001" customHeight="1" x14ac:dyDescent="0.15">
      <c r="B12" s="160"/>
      <c r="C12" s="170"/>
      <c r="D12" s="162"/>
      <c r="E12" s="164"/>
      <c r="F12" s="50" t="s">
        <v>91</v>
      </c>
      <c r="G12" s="50" t="s">
        <v>29</v>
      </c>
      <c r="H12" s="50" t="s">
        <v>91</v>
      </c>
      <c r="I12" s="50" t="s">
        <v>29</v>
      </c>
      <c r="J12" s="50" t="s">
        <v>91</v>
      </c>
      <c r="K12" s="50" t="s">
        <v>29</v>
      </c>
      <c r="L12" s="50" t="s">
        <v>91</v>
      </c>
      <c r="M12" s="50" t="s">
        <v>29</v>
      </c>
      <c r="N12" s="50" t="s">
        <v>91</v>
      </c>
      <c r="O12" s="50" t="s">
        <v>29</v>
      </c>
      <c r="P12" s="50" t="s">
        <v>91</v>
      </c>
      <c r="Q12" s="51" t="s">
        <v>29</v>
      </c>
      <c r="R12" s="166"/>
      <c r="S12" s="168"/>
      <c r="U12" s="2"/>
    </row>
    <row r="13" spans="1:21" ht="18" customHeight="1" x14ac:dyDescent="0.15">
      <c r="A13" s="6"/>
      <c r="B13" s="52" t="s">
        <v>182</v>
      </c>
      <c r="C13" s="38">
        <v>630</v>
      </c>
      <c r="D13" s="39">
        <v>150</v>
      </c>
      <c r="E13" s="40">
        <v>630</v>
      </c>
      <c r="F13" s="40">
        <v>4</v>
      </c>
      <c r="G13" s="40">
        <v>4</v>
      </c>
      <c r="H13" s="40"/>
      <c r="I13" s="40"/>
      <c r="J13" s="40"/>
      <c r="K13" s="40"/>
      <c r="L13" s="40"/>
      <c r="M13" s="40"/>
      <c r="N13" s="40"/>
      <c r="O13" s="40"/>
      <c r="P13" s="40"/>
      <c r="Q13" s="53"/>
      <c r="R13" s="39">
        <f t="shared" ref="R13:R32" si="0">F13+H13+J13+L13+N13+P13</f>
        <v>4</v>
      </c>
      <c r="S13" s="54">
        <f t="shared" ref="S13:S33" si="1">R13/E13</f>
        <v>6.3492063492063492E-3</v>
      </c>
    </row>
    <row r="14" spans="1:21" ht="18" customHeight="1" x14ac:dyDescent="0.15">
      <c r="A14" s="6"/>
      <c r="B14" s="11" t="s">
        <v>183</v>
      </c>
      <c r="C14" s="41">
        <v>409</v>
      </c>
      <c r="D14" s="42">
        <v>95</v>
      </c>
      <c r="E14" s="43">
        <v>390</v>
      </c>
      <c r="F14" s="44">
        <v>5</v>
      </c>
      <c r="G14" s="44">
        <v>5</v>
      </c>
      <c r="H14" s="44"/>
      <c r="I14" s="44"/>
      <c r="J14" s="44"/>
      <c r="K14" s="44"/>
      <c r="L14" s="44"/>
      <c r="M14" s="44"/>
      <c r="N14" s="44"/>
      <c r="O14" s="44"/>
      <c r="P14" s="44"/>
      <c r="Q14" s="41"/>
      <c r="R14" s="42">
        <f t="shared" si="0"/>
        <v>5</v>
      </c>
      <c r="S14" s="16">
        <f t="shared" si="1"/>
        <v>1.282051282051282E-2</v>
      </c>
    </row>
    <row r="15" spans="1:21" ht="18" customHeight="1" x14ac:dyDescent="0.15">
      <c r="A15" s="6"/>
      <c r="B15" s="11" t="s">
        <v>184</v>
      </c>
      <c r="C15" s="41">
        <v>409</v>
      </c>
      <c r="D15" s="42">
        <v>95</v>
      </c>
      <c r="E15" s="43">
        <v>390</v>
      </c>
      <c r="F15" s="44">
        <v>4</v>
      </c>
      <c r="G15" s="44">
        <v>3</v>
      </c>
      <c r="H15" s="44"/>
      <c r="I15" s="44"/>
      <c r="J15" s="44"/>
      <c r="K15" s="44"/>
      <c r="L15" s="44"/>
      <c r="M15" s="44"/>
      <c r="N15" s="44"/>
      <c r="O15" s="44"/>
      <c r="P15" s="44"/>
      <c r="Q15" s="41"/>
      <c r="R15" s="42">
        <f t="shared" si="0"/>
        <v>4</v>
      </c>
      <c r="S15" s="8">
        <f t="shared" si="1"/>
        <v>1.0256410256410256E-2</v>
      </c>
    </row>
    <row r="16" spans="1:21" ht="18" customHeight="1" x14ac:dyDescent="0.15">
      <c r="A16" s="6"/>
      <c r="B16" s="11"/>
      <c r="C16" s="41"/>
      <c r="D16" s="42"/>
      <c r="E16" s="43"/>
      <c r="F16" s="44"/>
      <c r="G16" s="44"/>
      <c r="H16" s="44"/>
      <c r="I16" s="44"/>
      <c r="J16" s="44"/>
      <c r="K16" s="44"/>
      <c r="L16" s="44"/>
      <c r="M16" s="44"/>
      <c r="N16" s="44"/>
      <c r="O16" s="44"/>
      <c r="P16" s="44"/>
      <c r="Q16" s="41"/>
      <c r="R16" s="42">
        <f t="shared" si="0"/>
        <v>0</v>
      </c>
      <c r="S16" s="8" t="e">
        <f t="shared" si="1"/>
        <v>#DIV/0!</v>
      </c>
    </row>
    <row r="17" spans="1:19" ht="18" customHeight="1" x14ac:dyDescent="0.15">
      <c r="A17" s="6"/>
      <c r="B17" s="11"/>
      <c r="C17" s="41"/>
      <c r="D17" s="42"/>
      <c r="E17" s="43"/>
      <c r="F17" s="44"/>
      <c r="G17" s="44"/>
      <c r="H17" s="44"/>
      <c r="I17" s="44"/>
      <c r="J17" s="44"/>
      <c r="K17" s="44"/>
      <c r="L17" s="44"/>
      <c r="M17" s="44"/>
      <c r="N17" s="44"/>
      <c r="O17" s="44"/>
      <c r="P17" s="44"/>
      <c r="Q17" s="41"/>
      <c r="R17" s="42">
        <f t="shared" si="0"/>
        <v>0</v>
      </c>
      <c r="S17" s="8" t="e">
        <f t="shared" si="1"/>
        <v>#DIV/0!</v>
      </c>
    </row>
    <row r="18" spans="1:19" ht="18" customHeight="1" x14ac:dyDescent="0.15">
      <c r="A18" s="6"/>
      <c r="B18" s="11"/>
      <c r="C18" s="41"/>
      <c r="D18" s="42"/>
      <c r="E18" s="43"/>
      <c r="F18" s="44"/>
      <c r="G18" s="44"/>
      <c r="H18" s="44"/>
      <c r="I18" s="44"/>
      <c r="J18" s="44"/>
      <c r="K18" s="44"/>
      <c r="L18" s="44"/>
      <c r="M18" s="44"/>
      <c r="N18" s="44"/>
      <c r="O18" s="44"/>
      <c r="P18" s="44"/>
      <c r="Q18" s="41"/>
      <c r="R18" s="42">
        <f t="shared" si="0"/>
        <v>0</v>
      </c>
      <c r="S18" s="8" t="e">
        <f t="shared" si="1"/>
        <v>#DIV/0!</v>
      </c>
    </row>
    <row r="19" spans="1:19" ht="18" customHeight="1" x14ac:dyDescent="0.15">
      <c r="A19" s="6"/>
      <c r="B19" s="11"/>
      <c r="C19" s="41"/>
      <c r="D19" s="42"/>
      <c r="E19" s="43"/>
      <c r="F19" s="44"/>
      <c r="G19" s="44"/>
      <c r="H19" s="44"/>
      <c r="I19" s="44"/>
      <c r="J19" s="44"/>
      <c r="K19" s="44"/>
      <c r="L19" s="44"/>
      <c r="M19" s="44"/>
      <c r="N19" s="44"/>
      <c r="O19" s="44"/>
      <c r="P19" s="44"/>
      <c r="Q19" s="41"/>
      <c r="R19" s="42">
        <f t="shared" si="0"/>
        <v>0</v>
      </c>
      <c r="S19" s="8" t="e">
        <f t="shared" si="1"/>
        <v>#DIV/0!</v>
      </c>
    </row>
    <row r="20" spans="1:19" ht="18" customHeight="1" x14ac:dyDescent="0.15">
      <c r="A20" s="6"/>
      <c r="B20" s="11"/>
      <c r="C20" s="41"/>
      <c r="D20" s="42"/>
      <c r="E20" s="43"/>
      <c r="F20" s="44"/>
      <c r="G20" s="44"/>
      <c r="H20" s="44"/>
      <c r="I20" s="44"/>
      <c r="J20" s="44"/>
      <c r="K20" s="44"/>
      <c r="L20" s="44"/>
      <c r="M20" s="44"/>
      <c r="N20" s="44"/>
      <c r="O20" s="44"/>
      <c r="P20" s="44"/>
      <c r="Q20" s="41"/>
      <c r="R20" s="42">
        <f t="shared" si="0"/>
        <v>0</v>
      </c>
      <c r="S20" s="8" t="e">
        <f t="shared" si="1"/>
        <v>#DIV/0!</v>
      </c>
    </row>
    <row r="21" spans="1:19" ht="18" customHeight="1" x14ac:dyDescent="0.15">
      <c r="A21" s="6"/>
      <c r="B21" s="11"/>
      <c r="C21" s="41"/>
      <c r="D21" s="42"/>
      <c r="E21" s="43"/>
      <c r="F21" s="44"/>
      <c r="G21" s="44"/>
      <c r="H21" s="44"/>
      <c r="I21" s="44"/>
      <c r="J21" s="44"/>
      <c r="K21" s="44"/>
      <c r="L21" s="44"/>
      <c r="M21" s="44"/>
      <c r="N21" s="44"/>
      <c r="O21" s="44"/>
      <c r="P21" s="44"/>
      <c r="Q21" s="41"/>
      <c r="R21" s="42">
        <f t="shared" si="0"/>
        <v>0</v>
      </c>
      <c r="S21" s="8" t="e">
        <f t="shared" si="1"/>
        <v>#DIV/0!</v>
      </c>
    </row>
    <row r="22" spans="1:19" ht="18" customHeight="1" x14ac:dyDescent="0.15">
      <c r="A22" s="6"/>
      <c r="B22" s="11"/>
      <c r="C22" s="41"/>
      <c r="D22" s="42"/>
      <c r="E22" s="43"/>
      <c r="F22" s="44"/>
      <c r="G22" s="44"/>
      <c r="H22" s="44"/>
      <c r="I22" s="44"/>
      <c r="J22" s="44"/>
      <c r="K22" s="44"/>
      <c r="L22" s="44"/>
      <c r="M22" s="44"/>
      <c r="N22" s="44"/>
      <c r="O22" s="44"/>
      <c r="P22" s="44"/>
      <c r="Q22" s="41"/>
      <c r="R22" s="42">
        <f t="shared" si="0"/>
        <v>0</v>
      </c>
      <c r="S22" s="8" t="e">
        <f t="shared" si="1"/>
        <v>#DIV/0!</v>
      </c>
    </row>
    <row r="23" spans="1:19" ht="18" customHeight="1" x14ac:dyDescent="0.15">
      <c r="A23" s="6"/>
      <c r="B23" s="11"/>
      <c r="C23" s="41"/>
      <c r="D23" s="42"/>
      <c r="E23" s="43"/>
      <c r="F23" s="44"/>
      <c r="G23" s="44"/>
      <c r="H23" s="44"/>
      <c r="I23" s="44"/>
      <c r="J23" s="44"/>
      <c r="K23" s="44"/>
      <c r="L23" s="44"/>
      <c r="M23" s="44"/>
      <c r="N23" s="44"/>
      <c r="O23" s="44"/>
      <c r="P23" s="44"/>
      <c r="Q23" s="41"/>
      <c r="R23" s="42">
        <f t="shared" si="0"/>
        <v>0</v>
      </c>
      <c r="S23" s="8" t="e">
        <f t="shared" si="1"/>
        <v>#DIV/0!</v>
      </c>
    </row>
    <row r="24" spans="1:19" ht="18" customHeight="1" x14ac:dyDescent="0.15">
      <c r="A24" s="6"/>
      <c r="B24" s="11"/>
      <c r="C24" s="41"/>
      <c r="D24" s="42"/>
      <c r="E24" s="43"/>
      <c r="F24" s="44"/>
      <c r="G24" s="44"/>
      <c r="H24" s="44"/>
      <c r="I24" s="44"/>
      <c r="J24" s="44"/>
      <c r="K24" s="44"/>
      <c r="L24" s="44"/>
      <c r="M24" s="44"/>
      <c r="N24" s="44"/>
      <c r="O24" s="44"/>
      <c r="P24" s="44"/>
      <c r="Q24" s="41"/>
      <c r="R24" s="42">
        <f t="shared" si="0"/>
        <v>0</v>
      </c>
      <c r="S24" s="8" t="e">
        <f t="shared" si="1"/>
        <v>#DIV/0!</v>
      </c>
    </row>
    <row r="25" spans="1:19" ht="18" customHeight="1" x14ac:dyDescent="0.15">
      <c r="A25" s="6"/>
      <c r="B25" s="11"/>
      <c r="C25" s="41"/>
      <c r="D25" s="42"/>
      <c r="E25" s="43"/>
      <c r="F25" s="44"/>
      <c r="G25" s="44"/>
      <c r="H25" s="44"/>
      <c r="I25" s="44"/>
      <c r="J25" s="44"/>
      <c r="K25" s="44"/>
      <c r="L25" s="44"/>
      <c r="M25" s="44"/>
      <c r="N25" s="44"/>
      <c r="O25" s="44"/>
      <c r="P25" s="44"/>
      <c r="Q25" s="41"/>
      <c r="R25" s="42">
        <f t="shared" si="0"/>
        <v>0</v>
      </c>
      <c r="S25" s="8" t="e">
        <f t="shared" si="1"/>
        <v>#DIV/0!</v>
      </c>
    </row>
    <row r="26" spans="1:19" ht="18" customHeight="1" x14ac:dyDescent="0.15">
      <c r="A26" s="6"/>
      <c r="B26" s="11"/>
      <c r="C26" s="41"/>
      <c r="D26" s="42"/>
      <c r="E26" s="43"/>
      <c r="F26" s="44"/>
      <c r="G26" s="44"/>
      <c r="H26" s="44"/>
      <c r="I26" s="44"/>
      <c r="J26" s="44"/>
      <c r="K26" s="44"/>
      <c r="L26" s="44"/>
      <c r="M26" s="44"/>
      <c r="N26" s="44"/>
      <c r="O26" s="44"/>
      <c r="P26" s="44"/>
      <c r="Q26" s="41"/>
      <c r="R26" s="42">
        <f t="shared" si="0"/>
        <v>0</v>
      </c>
      <c r="S26" s="8" t="e">
        <f t="shared" si="1"/>
        <v>#DIV/0!</v>
      </c>
    </row>
    <row r="27" spans="1:19" ht="18" customHeight="1" x14ac:dyDescent="0.15">
      <c r="A27" s="6"/>
      <c r="B27" s="11"/>
      <c r="C27" s="41"/>
      <c r="D27" s="42"/>
      <c r="E27" s="43"/>
      <c r="F27" s="44"/>
      <c r="G27" s="44"/>
      <c r="H27" s="44"/>
      <c r="I27" s="44"/>
      <c r="J27" s="44"/>
      <c r="K27" s="44"/>
      <c r="L27" s="44"/>
      <c r="M27" s="44"/>
      <c r="N27" s="44"/>
      <c r="O27" s="44"/>
      <c r="P27" s="44"/>
      <c r="Q27" s="41"/>
      <c r="R27" s="42">
        <f t="shared" si="0"/>
        <v>0</v>
      </c>
      <c r="S27" s="8" t="e">
        <f t="shared" si="1"/>
        <v>#DIV/0!</v>
      </c>
    </row>
    <row r="28" spans="1:19" ht="18" customHeight="1" x14ac:dyDescent="0.15">
      <c r="A28" s="6"/>
      <c r="B28" s="11"/>
      <c r="C28" s="41"/>
      <c r="D28" s="42"/>
      <c r="E28" s="43"/>
      <c r="F28" s="44"/>
      <c r="G28" s="44"/>
      <c r="H28" s="44"/>
      <c r="I28" s="44"/>
      <c r="J28" s="44"/>
      <c r="K28" s="44"/>
      <c r="L28" s="44"/>
      <c r="M28" s="44"/>
      <c r="N28" s="44"/>
      <c r="O28" s="44"/>
      <c r="P28" s="44"/>
      <c r="Q28" s="41"/>
      <c r="R28" s="42">
        <f t="shared" si="0"/>
        <v>0</v>
      </c>
      <c r="S28" s="8" t="e">
        <f t="shared" si="1"/>
        <v>#DIV/0!</v>
      </c>
    </row>
    <row r="29" spans="1:19" ht="18" customHeight="1" x14ac:dyDescent="0.15">
      <c r="A29" s="6"/>
      <c r="B29" s="11"/>
      <c r="C29" s="41"/>
      <c r="D29" s="42"/>
      <c r="E29" s="43"/>
      <c r="F29" s="44"/>
      <c r="G29" s="44"/>
      <c r="H29" s="44"/>
      <c r="I29" s="44"/>
      <c r="J29" s="44"/>
      <c r="K29" s="44"/>
      <c r="L29" s="44"/>
      <c r="M29" s="44"/>
      <c r="N29" s="44"/>
      <c r="O29" s="44"/>
      <c r="P29" s="44"/>
      <c r="Q29" s="41"/>
      <c r="R29" s="42">
        <f t="shared" si="0"/>
        <v>0</v>
      </c>
      <c r="S29" s="8" t="e">
        <f t="shared" si="1"/>
        <v>#DIV/0!</v>
      </c>
    </row>
    <row r="30" spans="1:19" ht="18" customHeight="1" x14ac:dyDescent="0.15">
      <c r="A30" s="6"/>
      <c r="B30" s="11"/>
      <c r="C30" s="41"/>
      <c r="D30" s="45"/>
      <c r="E30" s="43"/>
      <c r="F30" s="44"/>
      <c r="G30" s="44"/>
      <c r="H30" s="44"/>
      <c r="I30" s="44"/>
      <c r="J30" s="44"/>
      <c r="K30" s="44"/>
      <c r="L30" s="44"/>
      <c r="M30" s="44"/>
      <c r="N30" s="44"/>
      <c r="O30" s="44"/>
      <c r="P30" s="44"/>
      <c r="Q30" s="41"/>
      <c r="R30" s="45">
        <f t="shared" si="0"/>
        <v>0</v>
      </c>
      <c r="S30" s="8" t="e">
        <f t="shared" si="1"/>
        <v>#DIV/0!</v>
      </c>
    </row>
    <row r="31" spans="1:19" ht="18" customHeight="1" x14ac:dyDescent="0.15">
      <c r="A31" s="6"/>
      <c r="B31" s="11"/>
      <c r="C31" s="41"/>
      <c r="D31" s="45"/>
      <c r="E31" s="43"/>
      <c r="F31" s="44"/>
      <c r="G31" s="44"/>
      <c r="H31" s="44"/>
      <c r="I31" s="44"/>
      <c r="J31" s="44"/>
      <c r="K31" s="44"/>
      <c r="L31" s="44"/>
      <c r="M31" s="44"/>
      <c r="N31" s="44"/>
      <c r="O31" s="44"/>
      <c r="P31" s="44"/>
      <c r="Q31" s="41"/>
      <c r="R31" s="45">
        <f t="shared" si="0"/>
        <v>0</v>
      </c>
      <c r="S31" s="8" t="e">
        <f t="shared" si="1"/>
        <v>#DIV/0!</v>
      </c>
    </row>
    <row r="32" spans="1:19" ht="18" customHeight="1" thickBot="1" x14ac:dyDescent="0.2">
      <c r="A32" s="6"/>
      <c r="B32" s="12"/>
      <c r="C32" s="38"/>
      <c r="D32" s="46"/>
      <c r="E32" s="40"/>
      <c r="F32" s="40"/>
      <c r="G32" s="40"/>
      <c r="H32" s="40"/>
      <c r="I32" s="40"/>
      <c r="J32" s="40"/>
      <c r="K32" s="40"/>
      <c r="L32" s="40"/>
      <c r="M32" s="40"/>
      <c r="N32" s="40"/>
      <c r="O32" s="40"/>
      <c r="P32" s="40"/>
      <c r="Q32" s="41"/>
      <c r="R32" s="46">
        <f t="shared" si="0"/>
        <v>0</v>
      </c>
      <c r="S32" s="7" t="e">
        <f t="shared" si="1"/>
        <v>#DIV/0!</v>
      </c>
    </row>
    <row r="33" spans="2:19" ht="18" customHeight="1" thickTop="1" x14ac:dyDescent="0.15">
      <c r="B33" s="13" t="s">
        <v>33</v>
      </c>
      <c r="C33" s="47">
        <f t="shared" ref="C33" si="2">SUM(C13:C32)</f>
        <v>1448</v>
      </c>
      <c r="D33" s="48">
        <f t="shared" ref="D33:R33" si="3">SUM(D13:D32)</f>
        <v>340</v>
      </c>
      <c r="E33" s="49">
        <f t="shared" si="3"/>
        <v>1410</v>
      </c>
      <c r="F33" s="49">
        <f t="shared" si="3"/>
        <v>13</v>
      </c>
      <c r="G33" s="49">
        <f t="shared" ref="G33:H33" si="4">SUM(G13:G32)</f>
        <v>12</v>
      </c>
      <c r="H33" s="49">
        <f t="shared" si="4"/>
        <v>0</v>
      </c>
      <c r="I33" s="49">
        <f t="shared" ref="I33:J33" si="5">SUM(I13:I32)</f>
        <v>0</v>
      </c>
      <c r="J33" s="49">
        <f t="shared" si="5"/>
        <v>0</v>
      </c>
      <c r="K33" s="49">
        <f t="shared" ref="K33:O33" si="6">SUM(K13:K32)</f>
        <v>0</v>
      </c>
      <c r="L33" s="49">
        <f t="shared" si="6"/>
        <v>0</v>
      </c>
      <c r="M33" s="49">
        <f t="shared" si="6"/>
        <v>0</v>
      </c>
      <c r="N33" s="49">
        <f t="shared" si="6"/>
        <v>0</v>
      </c>
      <c r="O33" s="49">
        <f t="shared" si="6"/>
        <v>0</v>
      </c>
      <c r="P33" s="49">
        <f t="shared" ref="P33:Q33" si="7">SUM(P13:P32)</f>
        <v>0</v>
      </c>
      <c r="Q33" s="47">
        <f t="shared" si="7"/>
        <v>0</v>
      </c>
      <c r="R33" s="48">
        <f t="shared" si="3"/>
        <v>13</v>
      </c>
      <c r="S33" s="9">
        <f t="shared" si="1"/>
        <v>9.2198581560283682E-3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Y23" sqref="Y23"/>
    </sheetView>
  </sheetViews>
  <sheetFormatPr defaultColWidth="11.375" defaultRowHeight="18.75" customHeight="1" x14ac:dyDescent="0.15"/>
  <cols>
    <col min="1" max="1" width="2.875" style="20"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63</v>
      </c>
      <c r="I1" s="18" t="s">
        <v>97</v>
      </c>
    </row>
    <row r="2" spans="1:9" ht="18.75" customHeight="1" x14ac:dyDescent="0.15">
      <c r="G2" s="18" t="s">
        <v>99</v>
      </c>
      <c r="H2" s="172" t="str">
        <f>'様式１　プログラムを構成する授業科目'!C2</f>
        <v>公立大学法人　長野大学</v>
      </c>
      <c r="I2" s="173"/>
    </row>
    <row r="3" spans="1:9" ht="18.75" customHeight="1" x14ac:dyDescent="0.15">
      <c r="G3" s="18"/>
      <c r="H3" s="10"/>
      <c r="I3" s="10"/>
    </row>
    <row r="4" spans="1:9" ht="18.600000000000001" customHeight="1" x14ac:dyDescent="0.15">
      <c r="A4" s="174" t="s">
        <v>36</v>
      </c>
      <c r="B4" s="174"/>
      <c r="C4" s="174"/>
      <c r="D4" s="174"/>
      <c r="E4" s="174"/>
      <c r="F4" s="174"/>
      <c r="G4" s="174"/>
      <c r="H4" s="174"/>
      <c r="I4" s="174"/>
    </row>
    <row r="5" spans="1:9" ht="13.35" customHeight="1" x14ac:dyDescent="0.15">
      <c r="B5" s="3"/>
      <c r="C5" s="3"/>
      <c r="D5" s="3"/>
      <c r="E5" s="3"/>
      <c r="F5" s="3"/>
      <c r="G5" s="3"/>
      <c r="H5" s="3"/>
      <c r="I5" s="3"/>
    </row>
    <row r="6" spans="1:9" ht="18" customHeight="1" x14ac:dyDescent="0.15">
      <c r="A6" s="1" t="s">
        <v>0</v>
      </c>
      <c r="B6" s="10" t="s">
        <v>86</v>
      </c>
      <c r="C6" s="194" t="s">
        <v>87</v>
      </c>
      <c r="D6" s="194"/>
      <c r="E6" s="17">
        <v>62</v>
      </c>
      <c r="F6" s="3" t="s">
        <v>1</v>
      </c>
      <c r="G6" s="3" t="s">
        <v>2</v>
      </c>
      <c r="H6" s="17">
        <v>94</v>
      </c>
      <c r="I6" s="10" t="s">
        <v>1</v>
      </c>
    </row>
    <row r="7" spans="1:9" ht="12" customHeight="1" x14ac:dyDescent="0.15">
      <c r="C7" s="2"/>
      <c r="D7" s="2"/>
      <c r="E7" s="2"/>
      <c r="F7" s="2"/>
      <c r="G7" s="2"/>
      <c r="H7" s="2"/>
      <c r="I7" s="21"/>
    </row>
    <row r="8" spans="1:9" ht="18" customHeight="1" x14ac:dyDescent="0.15">
      <c r="A8" s="1" t="s">
        <v>3</v>
      </c>
      <c r="B8" s="10" t="s">
        <v>88</v>
      </c>
      <c r="E8" s="3"/>
      <c r="F8" s="3"/>
      <c r="G8" s="3"/>
      <c r="H8" s="17">
        <v>4</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18" t="s">
        <v>42</v>
      </c>
      <c r="C11" s="189" t="s">
        <v>158</v>
      </c>
      <c r="D11" s="192"/>
      <c r="E11" s="193"/>
      <c r="F11" s="21"/>
      <c r="G11" s="18" t="s">
        <v>10</v>
      </c>
      <c r="H11" s="189" t="s">
        <v>159</v>
      </c>
      <c r="I11" s="193"/>
    </row>
    <row r="12" spans="1:9" ht="10.35" customHeight="1" x14ac:dyDescent="0.15">
      <c r="B12" s="18"/>
      <c r="C12" s="10"/>
      <c r="D12" s="21"/>
      <c r="E12" s="21"/>
      <c r="F12" s="21"/>
      <c r="G12" s="18"/>
      <c r="H12" s="10"/>
      <c r="I12" s="21"/>
    </row>
    <row r="13" spans="1:9" ht="18" customHeight="1" x14ac:dyDescent="0.15">
      <c r="A13" s="1" t="s">
        <v>7</v>
      </c>
      <c r="B13" s="10" t="s">
        <v>84</v>
      </c>
      <c r="C13" s="3"/>
      <c r="D13" s="3"/>
      <c r="E13" s="3"/>
      <c r="F13" s="3"/>
      <c r="G13" s="3"/>
      <c r="H13" s="3"/>
      <c r="I13" s="3"/>
    </row>
    <row r="14" spans="1:9" ht="18" customHeight="1" x14ac:dyDescent="0.15">
      <c r="B14" s="189" t="s">
        <v>154</v>
      </c>
      <c r="C14" s="190"/>
      <c r="D14" s="190"/>
      <c r="E14" s="190"/>
      <c r="F14" s="190"/>
      <c r="G14" s="190"/>
      <c r="H14" s="190"/>
      <c r="I14" s="191"/>
    </row>
    <row r="15" spans="1:9" ht="9" customHeight="1" x14ac:dyDescent="0.15">
      <c r="B15" s="3"/>
      <c r="C15" s="3"/>
      <c r="D15" s="3"/>
      <c r="E15" s="3"/>
      <c r="F15" s="3"/>
      <c r="G15" s="3"/>
      <c r="H15" s="3"/>
      <c r="I15" s="3"/>
    </row>
    <row r="16" spans="1:9" ht="18" customHeight="1" x14ac:dyDescent="0.15">
      <c r="B16" s="18" t="s">
        <v>42</v>
      </c>
      <c r="C16" s="189" t="s">
        <v>156</v>
      </c>
      <c r="D16" s="192"/>
      <c r="E16" s="193"/>
      <c r="F16" s="21"/>
      <c r="G16" s="18" t="s">
        <v>10</v>
      </c>
      <c r="H16" s="189" t="s">
        <v>157</v>
      </c>
      <c r="I16" s="193"/>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175" t="s">
        <v>155</v>
      </c>
      <c r="C19" s="176"/>
      <c r="D19" s="176"/>
      <c r="E19" s="176"/>
      <c r="F19" s="176"/>
      <c r="G19" s="176"/>
      <c r="H19" s="176"/>
      <c r="I19" s="177"/>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78" t="s">
        <v>153</v>
      </c>
      <c r="C22" s="179"/>
      <c r="D22" s="179"/>
      <c r="E22" s="179"/>
      <c r="F22" s="179"/>
      <c r="G22" s="179"/>
      <c r="H22" s="179"/>
      <c r="I22" s="180"/>
    </row>
    <row r="23" spans="1:9" ht="18.75" customHeight="1" x14ac:dyDescent="0.15">
      <c r="A23" s="14"/>
      <c r="B23" s="181"/>
      <c r="C23" s="182"/>
      <c r="D23" s="182"/>
      <c r="E23" s="182"/>
      <c r="F23" s="182"/>
      <c r="G23" s="182"/>
      <c r="H23" s="182"/>
      <c r="I23" s="183"/>
    </row>
    <row r="24" spans="1:9" ht="18.75" customHeight="1" x14ac:dyDescent="0.15">
      <c r="A24" s="14"/>
      <c r="B24" s="181"/>
      <c r="C24" s="182"/>
      <c r="D24" s="182"/>
      <c r="E24" s="182"/>
      <c r="F24" s="182"/>
      <c r="G24" s="182"/>
      <c r="H24" s="182"/>
      <c r="I24" s="183"/>
    </row>
    <row r="25" spans="1:9" ht="18.75" customHeight="1" x14ac:dyDescent="0.15">
      <c r="A25" s="14"/>
      <c r="B25" s="181"/>
      <c r="C25" s="182"/>
      <c r="D25" s="182"/>
      <c r="E25" s="182"/>
      <c r="F25" s="182"/>
      <c r="G25" s="182"/>
      <c r="H25" s="182"/>
      <c r="I25" s="183"/>
    </row>
    <row r="26" spans="1:9" ht="18.75" customHeight="1" x14ac:dyDescent="0.15">
      <c r="A26" s="14"/>
      <c r="B26" s="181"/>
      <c r="C26" s="182"/>
      <c r="D26" s="182"/>
      <c r="E26" s="182"/>
      <c r="F26" s="182"/>
      <c r="G26" s="182"/>
      <c r="H26" s="182"/>
      <c r="I26" s="183"/>
    </row>
    <row r="27" spans="1:9" ht="18.75" customHeight="1" x14ac:dyDescent="0.15">
      <c r="A27" s="14"/>
      <c r="B27" s="181"/>
      <c r="C27" s="182"/>
      <c r="D27" s="182"/>
      <c r="E27" s="182"/>
      <c r="F27" s="182"/>
      <c r="G27" s="182"/>
      <c r="H27" s="182"/>
      <c r="I27" s="183"/>
    </row>
    <row r="28" spans="1:9" ht="18.75" customHeight="1" x14ac:dyDescent="0.15">
      <c r="A28" s="14"/>
      <c r="B28" s="181"/>
      <c r="C28" s="182"/>
      <c r="D28" s="182"/>
      <c r="E28" s="182"/>
      <c r="F28" s="182"/>
      <c r="G28" s="182"/>
      <c r="H28" s="182"/>
      <c r="I28" s="183"/>
    </row>
    <row r="29" spans="1:9" ht="18.75" customHeight="1" x14ac:dyDescent="0.15">
      <c r="A29" s="14"/>
      <c r="B29" s="181"/>
      <c r="C29" s="182"/>
      <c r="D29" s="182"/>
      <c r="E29" s="182"/>
      <c r="F29" s="182"/>
      <c r="G29" s="182"/>
      <c r="H29" s="182"/>
      <c r="I29" s="183"/>
    </row>
    <row r="30" spans="1:9" ht="18.75" customHeight="1" x14ac:dyDescent="0.15">
      <c r="A30" s="14"/>
      <c r="B30" s="184"/>
      <c r="C30" s="185"/>
      <c r="D30" s="185"/>
      <c r="E30" s="185"/>
      <c r="F30" s="185"/>
      <c r="G30" s="185"/>
      <c r="H30" s="185"/>
      <c r="I30" s="183"/>
    </row>
    <row r="31" spans="1:9" ht="18.75" customHeight="1" x14ac:dyDescent="0.15">
      <c r="A31" s="14"/>
      <c r="B31" s="184"/>
      <c r="C31" s="185"/>
      <c r="D31" s="185"/>
      <c r="E31" s="185"/>
      <c r="F31" s="185"/>
      <c r="G31" s="185"/>
      <c r="H31" s="185"/>
      <c r="I31" s="183"/>
    </row>
    <row r="32" spans="1:9" ht="18.75" customHeight="1" x14ac:dyDescent="0.15">
      <c r="A32" s="14"/>
      <c r="B32" s="186"/>
      <c r="C32" s="187"/>
      <c r="D32" s="187"/>
      <c r="E32" s="187"/>
      <c r="F32" s="187"/>
      <c r="G32" s="187"/>
      <c r="H32" s="187"/>
      <c r="I32" s="188"/>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78" t="s">
        <v>174</v>
      </c>
      <c r="C35" s="179"/>
      <c r="D35" s="179"/>
      <c r="E35" s="179"/>
      <c r="F35" s="179"/>
      <c r="G35" s="179"/>
      <c r="H35" s="179"/>
      <c r="I35" s="180"/>
    </row>
    <row r="36" spans="1:9" ht="18.75" customHeight="1" x14ac:dyDescent="0.15">
      <c r="A36" s="14"/>
      <c r="B36" s="184"/>
      <c r="C36" s="185"/>
      <c r="D36" s="185"/>
      <c r="E36" s="185"/>
      <c r="F36" s="185"/>
      <c r="G36" s="185"/>
      <c r="H36" s="185"/>
      <c r="I36" s="183"/>
    </row>
    <row r="37" spans="1:9" ht="18.75" customHeight="1" x14ac:dyDescent="0.15">
      <c r="A37" s="14"/>
      <c r="B37" s="184"/>
      <c r="C37" s="185"/>
      <c r="D37" s="185"/>
      <c r="E37" s="185"/>
      <c r="F37" s="185"/>
      <c r="G37" s="185"/>
      <c r="H37" s="185"/>
      <c r="I37" s="183"/>
    </row>
    <row r="38" spans="1:9" ht="18.75" customHeight="1" x14ac:dyDescent="0.15">
      <c r="A38" s="14"/>
      <c r="B38" s="184"/>
      <c r="C38" s="185"/>
      <c r="D38" s="185"/>
      <c r="E38" s="185"/>
      <c r="F38" s="185"/>
      <c r="G38" s="185"/>
      <c r="H38" s="185"/>
      <c r="I38" s="183"/>
    </row>
    <row r="39" spans="1:9" ht="18.75" customHeight="1" x14ac:dyDescent="0.15">
      <c r="A39" s="14"/>
      <c r="B39" s="184"/>
      <c r="C39" s="185"/>
      <c r="D39" s="185"/>
      <c r="E39" s="185"/>
      <c r="F39" s="185"/>
      <c r="G39" s="185"/>
      <c r="H39" s="185"/>
      <c r="I39" s="183"/>
    </row>
    <row r="40" spans="1:9" ht="18.75" customHeight="1" x14ac:dyDescent="0.15">
      <c r="A40" s="14"/>
      <c r="B40" s="184"/>
      <c r="C40" s="185"/>
      <c r="D40" s="185"/>
      <c r="E40" s="185"/>
      <c r="F40" s="185"/>
      <c r="G40" s="185"/>
      <c r="H40" s="185"/>
      <c r="I40" s="183"/>
    </row>
    <row r="41" spans="1:9" ht="18.75" customHeight="1" x14ac:dyDescent="0.15">
      <c r="A41" s="14"/>
      <c r="B41" s="184"/>
      <c r="C41" s="185"/>
      <c r="D41" s="185"/>
      <c r="E41" s="185"/>
      <c r="F41" s="185"/>
      <c r="G41" s="185"/>
      <c r="H41" s="185"/>
      <c r="I41" s="183"/>
    </row>
    <row r="42" spans="1:9" ht="18.75" customHeight="1" x14ac:dyDescent="0.15">
      <c r="A42" s="14"/>
      <c r="B42" s="184"/>
      <c r="C42" s="185"/>
      <c r="D42" s="185"/>
      <c r="E42" s="185"/>
      <c r="F42" s="185"/>
      <c r="G42" s="185"/>
      <c r="H42" s="185"/>
      <c r="I42" s="183"/>
    </row>
    <row r="43" spans="1:9" ht="18.75" customHeight="1" x14ac:dyDescent="0.15">
      <c r="A43" s="14"/>
      <c r="B43" s="184"/>
      <c r="C43" s="185"/>
      <c r="D43" s="185"/>
      <c r="E43" s="185"/>
      <c r="F43" s="185"/>
      <c r="G43" s="185"/>
      <c r="H43" s="185"/>
      <c r="I43" s="183"/>
    </row>
    <row r="44" spans="1:9" ht="18.75" customHeight="1" x14ac:dyDescent="0.15">
      <c r="A44" s="14"/>
      <c r="B44" s="184"/>
      <c r="C44" s="185"/>
      <c r="D44" s="185"/>
      <c r="E44" s="185"/>
      <c r="F44" s="185"/>
      <c r="G44" s="185"/>
      <c r="H44" s="185"/>
      <c r="I44" s="183"/>
    </row>
    <row r="45" spans="1:9" ht="18.75" customHeight="1" x14ac:dyDescent="0.15">
      <c r="A45" s="14"/>
      <c r="B45" s="184"/>
      <c r="C45" s="185"/>
      <c r="D45" s="185"/>
      <c r="E45" s="185"/>
      <c r="F45" s="185"/>
      <c r="G45" s="185"/>
      <c r="H45" s="185"/>
      <c r="I45" s="183"/>
    </row>
    <row r="46" spans="1:9" ht="18.75" customHeight="1" x14ac:dyDescent="0.15">
      <c r="A46" s="14"/>
      <c r="B46" s="186"/>
      <c r="C46" s="187"/>
      <c r="D46" s="187"/>
      <c r="E46" s="187"/>
      <c r="F46" s="187"/>
      <c r="G46" s="187"/>
      <c r="H46" s="187"/>
      <c r="I46" s="188"/>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22" t="s">
        <v>128</v>
      </c>
      <c r="C49" s="218">
        <f>'様式２ 履修者等数の実績'!S33</f>
        <v>9.2198581560283682E-3</v>
      </c>
      <c r="D49" s="218"/>
      <c r="E49" s="22" t="s">
        <v>64</v>
      </c>
      <c r="F49" s="218">
        <v>0.17</v>
      </c>
      <c r="G49" s="218"/>
      <c r="H49" s="22" t="s">
        <v>65</v>
      </c>
      <c r="I49" s="23">
        <v>0.35</v>
      </c>
      <c r="J49" s="1"/>
      <c r="M49" s="1"/>
      <c r="N49" s="24"/>
    </row>
    <row r="50" spans="1:15" s="3" customFormat="1" ht="18.75" customHeight="1" x14ac:dyDescent="0.15">
      <c r="B50" s="25" t="s">
        <v>85</v>
      </c>
      <c r="C50" s="199">
        <v>0.53</v>
      </c>
      <c r="D50" s="199"/>
      <c r="E50" s="25" t="s">
        <v>129</v>
      </c>
      <c r="F50" s="199">
        <v>0.7</v>
      </c>
      <c r="G50" s="199"/>
      <c r="H50" s="25" t="s">
        <v>66</v>
      </c>
      <c r="I50" s="26">
        <f>'様式２ 履修者等数の実績'!E33</f>
        <v>1410</v>
      </c>
      <c r="J50" s="1"/>
      <c r="M50" s="1"/>
      <c r="N50" s="24"/>
    </row>
    <row r="51" spans="1:15" ht="18.75" customHeight="1" x14ac:dyDescent="0.15">
      <c r="A51" s="1"/>
      <c r="B51" s="196" t="s">
        <v>67</v>
      </c>
      <c r="C51" s="197"/>
      <c r="D51" s="197"/>
      <c r="E51" s="197"/>
      <c r="F51" s="197"/>
      <c r="G51" s="197"/>
      <c r="H51" s="197"/>
      <c r="I51" s="198"/>
      <c r="N51" s="24"/>
      <c r="O51" s="3"/>
    </row>
    <row r="52" spans="1:15" ht="18.75" customHeight="1" x14ac:dyDescent="0.15">
      <c r="A52" s="1"/>
      <c r="B52" s="219" t="s">
        <v>181</v>
      </c>
      <c r="C52" s="220"/>
      <c r="D52" s="220"/>
      <c r="E52" s="220"/>
      <c r="F52" s="220"/>
      <c r="G52" s="220"/>
      <c r="H52" s="220"/>
      <c r="I52" s="221"/>
      <c r="N52" s="24"/>
      <c r="O52" s="3"/>
    </row>
    <row r="53" spans="1:15" ht="18.75" customHeight="1" x14ac:dyDescent="0.15">
      <c r="A53" s="1"/>
      <c r="B53" s="222"/>
      <c r="C53" s="223"/>
      <c r="D53" s="223"/>
      <c r="E53" s="223"/>
      <c r="F53" s="223"/>
      <c r="G53" s="223"/>
      <c r="H53" s="223"/>
      <c r="I53" s="224"/>
      <c r="N53" s="24"/>
      <c r="O53" s="3"/>
    </row>
    <row r="54" spans="1:15" ht="18.75" customHeight="1" x14ac:dyDescent="0.15">
      <c r="A54" s="1"/>
      <c r="B54" s="222"/>
      <c r="C54" s="223"/>
      <c r="D54" s="223"/>
      <c r="E54" s="223"/>
      <c r="F54" s="223"/>
      <c r="G54" s="223"/>
      <c r="H54" s="223"/>
      <c r="I54" s="224"/>
    </row>
    <row r="55" spans="1:15" ht="18.75" customHeight="1" x14ac:dyDescent="0.15">
      <c r="A55" s="1"/>
      <c r="B55" s="222"/>
      <c r="C55" s="223"/>
      <c r="D55" s="223"/>
      <c r="E55" s="223"/>
      <c r="F55" s="223"/>
      <c r="G55" s="223"/>
      <c r="H55" s="223"/>
      <c r="I55" s="224"/>
    </row>
    <row r="56" spans="1:15" ht="18.75" customHeight="1" x14ac:dyDescent="0.15">
      <c r="A56" s="1"/>
      <c r="B56" s="222"/>
      <c r="C56" s="223"/>
      <c r="D56" s="223"/>
      <c r="E56" s="223"/>
      <c r="F56" s="223"/>
      <c r="G56" s="223"/>
      <c r="H56" s="223"/>
      <c r="I56" s="224"/>
    </row>
    <row r="57" spans="1:15" ht="18.75" customHeight="1" x14ac:dyDescent="0.15">
      <c r="A57" s="1"/>
      <c r="B57" s="222"/>
      <c r="C57" s="223"/>
      <c r="D57" s="223"/>
      <c r="E57" s="223"/>
      <c r="F57" s="223"/>
      <c r="G57" s="223"/>
      <c r="H57" s="223"/>
      <c r="I57" s="224"/>
    </row>
    <row r="58" spans="1:15" ht="18.75" customHeight="1" x14ac:dyDescent="0.15">
      <c r="A58" s="1"/>
      <c r="B58" s="222"/>
      <c r="C58" s="223"/>
      <c r="D58" s="223"/>
      <c r="E58" s="223"/>
      <c r="F58" s="223"/>
      <c r="G58" s="223"/>
      <c r="H58" s="223"/>
      <c r="I58" s="224"/>
    </row>
    <row r="59" spans="1:15" ht="18.75" customHeight="1" x14ac:dyDescent="0.15">
      <c r="A59" s="1"/>
      <c r="B59" s="222"/>
      <c r="C59" s="223"/>
      <c r="D59" s="223"/>
      <c r="E59" s="223"/>
      <c r="F59" s="223"/>
      <c r="G59" s="223"/>
      <c r="H59" s="223"/>
      <c r="I59" s="224"/>
    </row>
    <row r="60" spans="1:15" ht="18.75" customHeight="1" x14ac:dyDescent="0.15">
      <c r="A60" s="1"/>
      <c r="B60" s="222"/>
      <c r="C60" s="223"/>
      <c r="D60" s="223"/>
      <c r="E60" s="223"/>
      <c r="F60" s="223"/>
      <c r="G60" s="223"/>
      <c r="H60" s="223"/>
      <c r="I60" s="224"/>
    </row>
    <row r="61" spans="1:15" ht="18.75" customHeight="1" x14ac:dyDescent="0.15">
      <c r="A61" s="1"/>
      <c r="B61" s="222"/>
      <c r="C61" s="223"/>
      <c r="D61" s="223"/>
      <c r="E61" s="223"/>
      <c r="F61" s="223"/>
      <c r="G61" s="223"/>
      <c r="H61" s="223"/>
      <c r="I61" s="224"/>
    </row>
    <row r="62" spans="1:15" ht="18.75" customHeight="1" x14ac:dyDescent="0.15">
      <c r="A62" s="1"/>
      <c r="B62" s="222"/>
      <c r="C62" s="223"/>
      <c r="D62" s="223"/>
      <c r="E62" s="223"/>
      <c r="F62" s="223"/>
      <c r="G62" s="223"/>
      <c r="H62" s="223"/>
      <c r="I62" s="224"/>
    </row>
    <row r="63" spans="1:15" ht="18.75" customHeight="1" x14ac:dyDescent="0.15">
      <c r="A63" s="1"/>
      <c r="B63" s="225"/>
      <c r="C63" s="226"/>
      <c r="D63" s="226"/>
      <c r="E63" s="226"/>
      <c r="F63" s="226"/>
      <c r="G63" s="226"/>
      <c r="H63" s="226"/>
      <c r="I63" s="227"/>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00" t="s">
        <v>179</v>
      </c>
      <c r="C66" s="201"/>
      <c r="D66" s="201"/>
      <c r="E66" s="201"/>
      <c r="F66" s="201"/>
      <c r="G66" s="201"/>
      <c r="H66" s="201"/>
      <c r="I66" s="202"/>
    </row>
    <row r="67" spans="1:9" ht="18.75" customHeight="1" x14ac:dyDescent="0.15">
      <c r="A67" s="4"/>
      <c r="B67" s="203"/>
      <c r="C67" s="204"/>
      <c r="D67" s="204"/>
      <c r="E67" s="204"/>
      <c r="F67" s="204"/>
      <c r="G67" s="204"/>
      <c r="H67" s="204"/>
      <c r="I67" s="205"/>
    </row>
    <row r="68" spans="1:9" ht="18.75" customHeight="1" x14ac:dyDescent="0.15">
      <c r="A68" s="4"/>
      <c r="B68" s="203"/>
      <c r="C68" s="204"/>
      <c r="D68" s="204"/>
      <c r="E68" s="204"/>
      <c r="F68" s="204"/>
      <c r="G68" s="204"/>
      <c r="H68" s="204"/>
      <c r="I68" s="205"/>
    </row>
    <row r="69" spans="1:9" ht="18.75" customHeight="1" x14ac:dyDescent="0.15">
      <c r="A69" s="4"/>
      <c r="B69" s="203"/>
      <c r="C69" s="204"/>
      <c r="D69" s="204"/>
      <c r="E69" s="204"/>
      <c r="F69" s="204"/>
      <c r="G69" s="204"/>
      <c r="H69" s="204"/>
      <c r="I69" s="205"/>
    </row>
    <row r="70" spans="1:9" ht="18.75" customHeight="1" x14ac:dyDescent="0.15">
      <c r="A70" s="4"/>
      <c r="B70" s="203"/>
      <c r="C70" s="204"/>
      <c r="D70" s="204"/>
      <c r="E70" s="204"/>
      <c r="F70" s="204"/>
      <c r="G70" s="204"/>
      <c r="H70" s="204"/>
      <c r="I70" s="205"/>
    </row>
    <row r="71" spans="1:9" ht="18.75" customHeight="1" x14ac:dyDescent="0.15">
      <c r="A71" s="4"/>
      <c r="B71" s="203"/>
      <c r="C71" s="204"/>
      <c r="D71" s="204"/>
      <c r="E71" s="204"/>
      <c r="F71" s="204"/>
      <c r="G71" s="204"/>
      <c r="H71" s="204"/>
      <c r="I71" s="205"/>
    </row>
    <row r="72" spans="1:9" ht="18.75" customHeight="1" x14ac:dyDescent="0.15">
      <c r="A72" s="4"/>
      <c r="B72" s="203"/>
      <c r="C72" s="204"/>
      <c r="D72" s="204"/>
      <c r="E72" s="204"/>
      <c r="F72" s="204"/>
      <c r="G72" s="204"/>
      <c r="H72" s="204"/>
      <c r="I72" s="205"/>
    </row>
    <row r="73" spans="1:9" ht="18.75" customHeight="1" x14ac:dyDescent="0.15">
      <c r="A73" s="4"/>
      <c r="B73" s="203"/>
      <c r="C73" s="204"/>
      <c r="D73" s="204"/>
      <c r="E73" s="204"/>
      <c r="F73" s="204"/>
      <c r="G73" s="204"/>
      <c r="H73" s="204"/>
      <c r="I73" s="205"/>
    </row>
    <row r="74" spans="1:9" ht="18.75" customHeight="1" x14ac:dyDescent="0.15">
      <c r="A74" s="4"/>
      <c r="B74" s="203"/>
      <c r="C74" s="204"/>
      <c r="D74" s="204"/>
      <c r="E74" s="204"/>
      <c r="F74" s="204"/>
      <c r="G74" s="204"/>
      <c r="H74" s="204"/>
      <c r="I74" s="205"/>
    </row>
    <row r="75" spans="1:9" ht="18.75" customHeight="1" x14ac:dyDescent="0.15">
      <c r="A75" s="4"/>
      <c r="B75" s="203"/>
      <c r="C75" s="204"/>
      <c r="D75" s="204"/>
      <c r="E75" s="204"/>
      <c r="F75" s="204"/>
      <c r="G75" s="204"/>
      <c r="H75" s="204"/>
      <c r="I75" s="205"/>
    </row>
    <row r="76" spans="1:9" ht="18.75" customHeight="1" x14ac:dyDescent="0.15">
      <c r="A76" s="4"/>
      <c r="B76" s="203"/>
      <c r="C76" s="204"/>
      <c r="D76" s="204"/>
      <c r="E76" s="204"/>
      <c r="F76" s="204"/>
      <c r="G76" s="204"/>
      <c r="H76" s="204"/>
      <c r="I76" s="205"/>
    </row>
    <row r="77" spans="1:9" ht="18.75" customHeight="1" x14ac:dyDescent="0.15">
      <c r="A77" s="4"/>
      <c r="B77" s="206"/>
      <c r="C77" s="207"/>
      <c r="D77" s="207"/>
      <c r="E77" s="207"/>
      <c r="F77" s="207"/>
      <c r="G77" s="207"/>
      <c r="H77" s="207"/>
      <c r="I77" s="208"/>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09" t="s">
        <v>160</v>
      </c>
      <c r="C80" s="210"/>
      <c r="D80" s="210"/>
      <c r="E80" s="210"/>
      <c r="F80" s="210"/>
      <c r="G80" s="210"/>
      <c r="H80" s="210"/>
      <c r="I80" s="211"/>
    </row>
    <row r="81" spans="1:9" ht="18.75" customHeight="1" x14ac:dyDescent="0.15">
      <c r="A81" s="1"/>
      <c r="B81" s="212"/>
      <c r="C81" s="213"/>
      <c r="D81" s="213"/>
      <c r="E81" s="213"/>
      <c r="F81" s="213"/>
      <c r="G81" s="213"/>
      <c r="H81" s="213"/>
      <c r="I81" s="214"/>
    </row>
    <row r="82" spans="1:9" ht="18.75" customHeight="1" x14ac:dyDescent="0.15">
      <c r="A82" s="1"/>
      <c r="B82" s="212"/>
      <c r="C82" s="213"/>
      <c r="D82" s="213"/>
      <c r="E82" s="213"/>
      <c r="F82" s="213"/>
      <c r="G82" s="213"/>
      <c r="H82" s="213"/>
      <c r="I82" s="214"/>
    </row>
    <row r="83" spans="1:9" ht="18.75" customHeight="1" x14ac:dyDescent="0.15">
      <c r="A83" s="1"/>
      <c r="B83" s="212"/>
      <c r="C83" s="213"/>
      <c r="D83" s="213"/>
      <c r="E83" s="213"/>
      <c r="F83" s="213"/>
      <c r="G83" s="213"/>
      <c r="H83" s="213"/>
      <c r="I83" s="214"/>
    </row>
    <row r="84" spans="1:9" ht="18.75" customHeight="1" x14ac:dyDescent="0.15">
      <c r="A84" s="1"/>
      <c r="B84" s="212"/>
      <c r="C84" s="213"/>
      <c r="D84" s="213"/>
      <c r="E84" s="213"/>
      <c r="F84" s="213"/>
      <c r="G84" s="213"/>
      <c r="H84" s="213"/>
      <c r="I84" s="214"/>
    </row>
    <row r="85" spans="1:9" ht="18.75" customHeight="1" x14ac:dyDescent="0.15">
      <c r="A85" s="1"/>
      <c r="B85" s="212"/>
      <c r="C85" s="213"/>
      <c r="D85" s="213"/>
      <c r="E85" s="213"/>
      <c r="F85" s="213"/>
      <c r="G85" s="213"/>
      <c r="H85" s="213"/>
      <c r="I85" s="214"/>
    </row>
    <row r="86" spans="1:9" ht="18.75" customHeight="1" x14ac:dyDescent="0.15">
      <c r="A86" s="1"/>
      <c r="B86" s="212"/>
      <c r="C86" s="213"/>
      <c r="D86" s="213"/>
      <c r="E86" s="213"/>
      <c r="F86" s="213"/>
      <c r="G86" s="213"/>
      <c r="H86" s="213"/>
      <c r="I86" s="214"/>
    </row>
    <row r="87" spans="1:9" ht="18.75" customHeight="1" x14ac:dyDescent="0.15">
      <c r="A87" s="1"/>
      <c r="B87" s="212"/>
      <c r="C87" s="213"/>
      <c r="D87" s="213"/>
      <c r="E87" s="213"/>
      <c r="F87" s="213"/>
      <c r="G87" s="213"/>
      <c r="H87" s="213"/>
      <c r="I87" s="214"/>
    </row>
    <row r="88" spans="1:9" ht="18.75" customHeight="1" x14ac:dyDescent="0.15">
      <c r="A88" s="1"/>
      <c r="B88" s="212"/>
      <c r="C88" s="213"/>
      <c r="D88" s="213"/>
      <c r="E88" s="213"/>
      <c r="F88" s="213"/>
      <c r="G88" s="213"/>
      <c r="H88" s="213"/>
      <c r="I88" s="214"/>
    </row>
    <row r="89" spans="1:9" ht="18.75" customHeight="1" x14ac:dyDescent="0.15">
      <c r="A89" s="1"/>
      <c r="B89" s="212"/>
      <c r="C89" s="213"/>
      <c r="D89" s="213"/>
      <c r="E89" s="213"/>
      <c r="F89" s="213"/>
      <c r="G89" s="213"/>
      <c r="H89" s="213"/>
      <c r="I89" s="214"/>
    </row>
    <row r="90" spans="1:9" ht="18.75" customHeight="1" x14ac:dyDescent="0.15">
      <c r="A90" s="4"/>
      <c r="B90" s="212"/>
      <c r="C90" s="213"/>
      <c r="D90" s="213"/>
      <c r="E90" s="213"/>
      <c r="F90" s="213"/>
      <c r="G90" s="213"/>
      <c r="H90" s="213"/>
      <c r="I90" s="214"/>
    </row>
    <row r="91" spans="1:9" ht="18.75" customHeight="1" x14ac:dyDescent="0.15">
      <c r="A91" s="4"/>
      <c r="B91" s="215"/>
      <c r="C91" s="216"/>
      <c r="D91" s="216"/>
      <c r="E91" s="216"/>
      <c r="F91" s="216"/>
      <c r="G91" s="216"/>
      <c r="H91" s="216"/>
      <c r="I91" s="217"/>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178" t="s">
        <v>161</v>
      </c>
      <c r="C94" s="179"/>
      <c r="D94" s="179"/>
      <c r="E94" s="179"/>
      <c r="F94" s="179"/>
      <c r="G94" s="179"/>
      <c r="H94" s="179"/>
      <c r="I94" s="180"/>
    </row>
    <row r="95" spans="1:9" ht="18.75" customHeight="1" x14ac:dyDescent="0.15">
      <c r="A95" s="1"/>
      <c r="B95" s="184"/>
      <c r="C95" s="185"/>
      <c r="D95" s="185"/>
      <c r="E95" s="185"/>
      <c r="F95" s="185"/>
      <c r="G95" s="185"/>
      <c r="H95" s="185"/>
      <c r="I95" s="183"/>
    </row>
    <row r="96" spans="1:9" ht="18.75" customHeight="1" x14ac:dyDescent="0.15">
      <c r="A96" s="1"/>
      <c r="B96" s="184"/>
      <c r="C96" s="185"/>
      <c r="D96" s="185"/>
      <c r="E96" s="185"/>
      <c r="F96" s="185"/>
      <c r="G96" s="185"/>
      <c r="H96" s="185"/>
      <c r="I96" s="183"/>
    </row>
    <row r="97" spans="1:9" ht="18.75" customHeight="1" x14ac:dyDescent="0.15">
      <c r="A97" s="1"/>
      <c r="B97" s="184"/>
      <c r="C97" s="185"/>
      <c r="D97" s="185"/>
      <c r="E97" s="185"/>
      <c r="F97" s="185"/>
      <c r="G97" s="185"/>
      <c r="H97" s="185"/>
      <c r="I97" s="183"/>
    </row>
    <row r="98" spans="1:9" ht="18.75" customHeight="1" x14ac:dyDescent="0.15">
      <c r="A98" s="1"/>
      <c r="B98" s="184"/>
      <c r="C98" s="185"/>
      <c r="D98" s="185"/>
      <c r="E98" s="185"/>
      <c r="F98" s="185"/>
      <c r="G98" s="185"/>
      <c r="H98" s="185"/>
      <c r="I98" s="183"/>
    </row>
    <row r="99" spans="1:9" ht="18.75" customHeight="1" x14ac:dyDescent="0.15">
      <c r="A99" s="1"/>
      <c r="B99" s="184"/>
      <c r="C99" s="185"/>
      <c r="D99" s="185"/>
      <c r="E99" s="185"/>
      <c r="F99" s="185"/>
      <c r="G99" s="185"/>
      <c r="H99" s="185"/>
      <c r="I99" s="183"/>
    </row>
    <row r="100" spans="1:9" ht="18.75" customHeight="1" x14ac:dyDescent="0.15">
      <c r="A100" s="1"/>
      <c r="B100" s="184"/>
      <c r="C100" s="185"/>
      <c r="D100" s="185"/>
      <c r="E100" s="185"/>
      <c r="F100" s="185"/>
      <c r="G100" s="185"/>
      <c r="H100" s="185"/>
      <c r="I100" s="183"/>
    </row>
    <row r="101" spans="1:9" ht="18.75" customHeight="1" x14ac:dyDescent="0.15">
      <c r="A101" s="1"/>
      <c r="B101" s="184"/>
      <c r="C101" s="185"/>
      <c r="D101" s="185"/>
      <c r="E101" s="185"/>
      <c r="F101" s="185"/>
      <c r="G101" s="185"/>
      <c r="H101" s="185"/>
      <c r="I101" s="183"/>
    </row>
    <row r="102" spans="1:9" ht="18.75" customHeight="1" x14ac:dyDescent="0.15">
      <c r="A102" s="1"/>
      <c r="B102" s="184"/>
      <c r="C102" s="185"/>
      <c r="D102" s="185"/>
      <c r="E102" s="185"/>
      <c r="F102" s="185"/>
      <c r="G102" s="185"/>
      <c r="H102" s="185"/>
      <c r="I102" s="183"/>
    </row>
    <row r="103" spans="1:9" ht="18.75" customHeight="1" x14ac:dyDescent="0.15">
      <c r="A103" s="1"/>
      <c r="B103" s="184"/>
      <c r="C103" s="185"/>
      <c r="D103" s="185"/>
      <c r="E103" s="185"/>
      <c r="F103" s="185"/>
      <c r="G103" s="185"/>
      <c r="H103" s="185"/>
      <c r="I103" s="183"/>
    </row>
    <row r="104" spans="1:9" ht="18.75" customHeight="1" x14ac:dyDescent="0.15">
      <c r="A104" s="1"/>
      <c r="B104" s="184"/>
      <c r="C104" s="185"/>
      <c r="D104" s="185"/>
      <c r="E104" s="185"/>
      <c r="F104" s="185"/>
      <c r="G104" s="185"/>
      <c r="H104" s="185"/>
      <c r="I104" s="183"/>
    </row>
    <row r="105" spans="1:9" ht="18.75" customHeight="1" x14ac:dyDescent="0.15">
      <c r="A105" s="4"/>
      <c r="B105" s="186"/>
      <c r="C105" s="187"/>
      <c r="D105" s="187"/>
      <c r="E105" s="187"/>
      <c r="F105" s="187"/>
      <c r="G105" s="187"/>
      <c r="H105" s="187"/>
      <c r="I105" s="188"/>
    </row>
    <row r="106" spans="1:9" ht="7.5" customHeight="1" x14ac:dyDescent="0.15">
      <c r="A106" s="4"/>
      <c r="B106" s="4"/>
      <c r="C106" s="4"/>
      <c r="D106" s="4"/>
      <c r="E106" s="4"/>
      <c r="F106" s="4"/>
      <c r="G106" s="4"/>
      <c r="H106" s="4"/>
      <c r="I106" s="4"/>
    </row>
    <row r="107" spans="1:9" ht="18.75" customHeight="1" x14ac:dyDescent="0.15">
      <c r="A107" s="1" t="s">
        <v>30</v>
      </c>
      <c r="B107" s="195" t="s">
        <v>45</v>
      </c>
      <c r="C107" s="195"/>
      <c r="D107" s="195"/>
      <c r="E107" s="195"/>
      <c r="F107" s="195"/>
      <c r="G107" s="195"/>
      <c r="H107" s="195"/>
      <c r="I107" s="195"/>
    </row>
    <row r="108" spans="1:9" ht="18.75" customHeight="1" x14ac:dyDescent="0.15">
      <c r="A108" s="4"/>
      <c r="B108" s="178" t="s">
        <v>162</v>
      </c>
      <c r="C108" s="179"/>
      <c r="D108" s="179"/>
      <c r="E108" s="179"/>
      <c r="F108" s="179"/>
      <c r="G108" s="179"/>
      <c r="H108" s="179"/>
      <c r="I108" s="180"/>
    </row>
    <row r="109" spans="1:9" ht="18.75" customHeight="1" x14ac:dyDescent="0.15">
      <c r="A109" s="4"/>
      <c r="B109" s="184"/>
      <c r="C109" s="185"/>
      <c r="D109" s="185"/>
      <c r="E109" s="185"/>
      <c r="F109" s="185"/>
      <c r="G109" s="185"/>
      <c r="H109" s="185"/>
      <c r="I109" s="183"/>
    </row>
    <row r="110" spans="1:9" ht="18.75" customHeight="1" x14ac:dyDescent="0.15">
      <c r="A110" s="4"/>
      <c r="B110" s="184"/>
      <c r="C110" s="185"/>
      <c r="D110" s="185"/>
      <c r="E110" s="185"/>
      <c r="F110" s="185"/>
      <c r="G110" s="185"/>
      <c r="H110" s="185"/>
      <c r="I110" s="183"/>
    </row>
    <row r="111" spans="1:9" ht="18.75" customHeight="1" x14ac:dyDescent="0.15">
      <c r="A111" s="4"/>
      <c r="B111" s="184"/>
      <c r="C111" s="185"/>
      <c r="D111" s="185"/>
      <c r="E111" s="185"/>
      <c r="F111" s="185"/>
      <c r="G111" s="185"/>
      <c r="H111" s="185"/>
      <c r="I111" s="183"/>
    </row>
    <row r="112" spans="1:9" ht="18.75" customHeight="1" x14ac:dyDescent="0.15">
      <c r="A112" s="4"/>
      <c r="B112" s="184"/>
      <c r="C112" s="185"/>
      <c r="D112" s="185"/>
      <c r="E112" s="185"/>
      <c r="F112" s="185"/>
      <c r="G112" s="185"/>
      <c r="H112" s="185"/>
      <c r="I112" s="183"/>
    </row>
    <row r="113" spans="1:9" ht="18.75" customHeight="1" x14ac:dyDescent="0.15">
      <c r="A113" s="4"/>
      <c r="B113" s="184"/>
      <c r="C113" s="185"/>
      <c r="D113" s="185"/>
      <c r="E113" s="185"/>
      <c r="F113" s="185"/>
      <c r="G113" s="185"/>
      <c r="H113" s="185"/>
      <c r="I113" s="183"/>
    </row>
    <row r="114" spans="1:9" ht="18.75" customHeight="1" x14ac:dyDescent="0.15">
      <c r="A114" s="4"/>
      <c r="B114" s="184"/>
      <c r="C114" s="185"/>
      <c r="D114" s="185"/>
      <c r="E114" s="185"/>
      <c r="F114" s="185"/>
      <c r="G114" s="185"/>
      <c r="H114" s="185"/>
      <c r="I114" s="183"/>
    </row>
    <row r="115" spans="1:9" ht="18.75" customHeight="1" x14ac:dyDescent="0.15">
      <c r="A115" s="4"/>
      <c r="B115" s="184"/>
      <c r="C115" s="185"/>
      <c r="D115" s="185"/>
      <c r="E115" s="185"/>
      <c r="F115" s="185"/>
      <c r="G115" s="185"/>
      <c r="H115" s="185"/>
      <c r="I115" s="183"/>
    </row>
    <row r="116" spans="1:9" ht="18.75" customHeight="1" x14ac:dyDescent="0.15">
      <c r="A116" s="4"/>
      <c r="B116" s="184"/>
      <c r="C116" s="185"/>
      <c r="D116" s="185"/>
      <c r="E116" s="185"/>
      <c r="F116" s="185"/>
      <c r="G116" s="185"/>
      <c r="H116" s="185"/>
      <c r="I116" s="183"/>
    </row>
    <row r="117" spans="1:9" ht="18.75" customHeight="1" x14ac:dyDescent="0.15">
      <c r="A117" s="4"/>
      <c r="B117" s="184"/>
      <c r="C117" s="185"/>
      <c r="D117" s="185"/>
      <c r="E117" s="185"/>
      <c r="F117" s="185"/>
      <c r="G117" s="185"/>
      <c r="H117" s="185"/>
      <c r="I117" s="183"/>
    </row>
    <row r="118" spans="1:9" ht="18.75" customHeight="1" x14ac:dyDescent="0.15">
      <c r="A118" s="4"/>
      <c r="B118" s="184"/>
      <c r="C118" s="185"/>
      <c r="D118" s="185"/>
      <c r="E118" s="185"/>
      <c r="F118" s="185"/>
      <c r="G118" s="185"/>
      <c r="H118" s="185"/>
      <c r="I118" s="183"/>
    </row>
    <row r="119" spans="1:9" ht="18.75" customHeight="1" x14ac:dyDescent="0.15">
      <c r="A119" s="4"/>
      <c r="B119" s="186"/>
      <c r="C119" s="187"/>
      <c r="D119" s="187"/>
      <c r="E119" s="187"/>
      <c r="F119" s="187"/>
      <c r="G119" s="187"/>
      <c r="H119" s="187"/>
      <c r="I119" s="188"/>
    </row>
    <row r="120" spans="1:9" ht="7.5" customHeight="1" x14ac:dyDescent="0.15">
      <c r="A120" s="4"/>
      <c r="B120" s="27"/>
      <c r="C120" s="27"/>
      <c r="D120" s="27"/>
      <c r="E120" s="27"/>
      <c r="F120" s="27"/>
      <c r="G120" s="27"/>
      <c r="H120" s="27"/>
      <c r="I120" s="27"/>
    </row>
    <row r="121" spans="1:9" ht="18.75" customHeight="1" x14ac:dyDescent="0.15">
      <c r="A121" s="55"/>
      <c r="B121" s="171"/>
      <c r="C121" s="171"/>
      <c r="D121" s="171"/>
      <c r="E121" s="171"/>
      <c r="F121" s="171"/>
      <c r="G121" s="171"/>
      <c r="H121" s="171"/>
      <c r="I121" s="171"/>
    </row>
    <row r="122" spans="1:9" ht="18.75" customHeight="1" x14ac:dyDescent="0.15">
      <c r="A122" s="55"/>
      <c r="B122" s="171"/>
      <c r="C122" s="171"/>
      <c r="D122" s="171"/>
      <c r="E122" s="171"/>
      <c r="F122" s="171"/>
      <c r="G122" s="171"/>
      <c r="H122" s="171"/>
      <c r="I122" s="171"/>
    </row>
    <row r="123" spans="1:9" ht="18.75" customHeight="1" x14ac:dyDescent="0.15">
      <c r="A123" s="4"/>
      <c r="B123" s="56"/>
      <c r="C123" s="56"/>
      <c r="D123" s="56"/>
      <c r="E123" s="56"/>
      <c r="F123" s="56"/>
      <c r="G123" s="56"/>
      <c r="H123" s="56"/>
      <c r="I123" s="57"/>
    </row>
    <row r="124" spans="1:9" ht="18.75" customHeight="1" x14ac:dyDescent="0.15">
      <c r="A124" s="4"/>
      <c r="B124" s="57"/>
      <c r="C124" s="57"/>
      <c r="D124" s="57"/>
      <c r="E124" s="57"/>
      <c r="F124" s="57"/>
      <c r="G124" s="57"/>
      <c r="H124" s="57"/>
      <c r="I124" s="57"/>
    </row>
    <row r="125" spans="1:9" ht="18.75" customHeight="1" x14ac:dyDescent="0.15">
      <c r="A125" s="4"/>
      <c r="B125" s="57"/>
      <c r="C125" s="57"/>
      <c r="D125" s="57"/>
      <c r="E125" s="57"/>
      <c r="F125" s="57"/>
      <c r="G125" s="57"/>
      <c r="H125" s="57"/>
      <c r="I125" s="57"/>
    </row>
    <row r="126" spans="1:9" ht="18.75" customHeight="1" x14ac:dyDescent="0.15">
      <c r="A126" s="4"/>
      <c r="B126" s="57"/>
      <c r="C126" s="57"/>
      <c r="D126" s="57"/>
      <c r="E126" s="57"/>
      <c r="F126" s="57"/>
      <c r="G126" s="57"/>
      <c r="H126" s="57"/>
      <c r="I126" s="57"/>
    </row>
    <row r="127" spans="1:9" ht="18.75" customHeight="1" x14ac:dyDescent="0.15">
      <c r="A127" s="4"/>
      <c r="B127" s="57"/>
      <c r="C127" s="57"/>
      <c r="D127" s="57"/>
      <c r="E127" s="57"/>
      <c r="F127" s="57"/>
      <c r="G127" s="57"/>
      <c r="H127" s="57"/>
      <c r="I127" s="57"/>
    </row>
    <row r="128" spans="1:9" ht="18.75" customHeight="1" x14ac:dyDescent="0.15">
      <c r="A128" s="4"/>
      <c r="B128" s="57"/>
      <c r="C128" s="57"/>
      <c r="D128" s="57"/>
      <c r="E128" s="57"/>
      <c r="F128" s="57"/>
      <c r="G128" s="57"/>
      <c r="H128" s="57"/>
      <c r="I128" s="57"/>
    </row>
    <row r="129" spans="1:9" ht="18.75" customHeight="1" x14ac:dyDescent="0.15">
      <c r="A129" s="4"/>
      <c r="B129" s="57"/>
      <c r="C129" s="57"/>
      <c r="D129" s="57"/>
      <c r="E129" s="57"/>
      <c r="F129" s="57"/>
      <c r="G129" s="57"/>
      <c r="H129" s="57"/>
      <c r="I129" s="57"/>
    </row>
    <row r="130" spans="1:9" ht="18.75" customHeight="1" x14ac:dyDescent="0.15">
      <c r="A130" s="4"/>
      <c r="B130" s="57"/>
      <c r="C130" s="57"/>
      <c r="D130" s="57"/>
      <c r="E130" s="57"/>
      <c r="F130" s="57"/>
      <c r="G130" s="57"/>
      <c r="H130" s="57"/>
      <c r="I130" s="57"/>
    </row>
    <row r="131" spans="1:9" ht="18.75" customHeight="1" x14ac:dyDescent="0.15">
      <c r="A131" s="4"/>
      <c r="B131" s="57"/>
      <c r="C131" s="57"/>
      <c r="D131" s="57"/>
      <c r="E131" s="57"/>
      <c r="F131" s="57"/>
      <c r="G131" s="57"/>
      <c r="H131" s="57"/>
      <c r="I131" s="57"/>
    </row>
    <row r="132" spans="1:9" ht="18.75" customHeight="1" x14ac:dyDescent="0.15">
      <c r="A132" s="4"/>
      <c r="B132" s="57"/>
      <c r="C132" s="57"/>
      <c r="D132" s="57"/>
      <c r="E132" s="57"/>
      <c r="F132" s="57"/>
      <c r="G132" s="57"/>
      <c r="H132" s="57"/>
      <c r="I132" s="57"/>
    </row>
    <row r="133" spans="1:9" ht="14.25" x14ac:dyDescent="0.15">
      <c r="A133" s="4"/>
      <c r="B133" s="57"/>
      <c r="C133" s="57"/>
      <c r="D133" s="57"/>
      <c r="E133" s="57"/>
      <c r="F133" s="57"/>
      <c r="G133" s="57"/>
      <c r="H133" s="57"/>
      <c r="I133" s="57"/>
    </row>
    <row r="134" spans="1:9" ht="7.5" customHeight="1" x14ac:dyDescent="0.15">
      <c r="A134" s="4"/>
      <c r="B134" s="57"/>
      <c r="C134" s="57"/>
      <c r="D134" s="57"/>
      <c r="E134" s="57"/>
      <c r="F134" s="57"/>
      <c r="G134" s="57"/>
      <c r="H134" s="57"/>
      <c r="I134" s="57"/>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Y23" sqref="Y23"/>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68</v>
      </c>
      <c r="I1" s="18" t="s">
        <v>96</v>
      </c>
    </row>
    <row r="2" spans="1:9" ht="18.75" customHeight="1" x14ac:dyDescent="0.15">
      <c r="H2" s="18" t="s">
        <v>99</v>
      </c>
      <c r="I2" s="17" t="str">
        <f>'様式１　プログラムを構成する授業科目'!C2</f>
        <v>公立大学法人　長野大学</v>
      </c>
    </row>
    <row r="3" spans="1:9" ht="18.75" customHeight="1" x14ac:dyDescent="0.15">
      <c r="A3" s="174" t="s">
        <v>28</v>
      </c>
      <c r="B3" s="174"/>
      <c r="C3" s="174"/>
      <c r="D3" s="174"/>
      <c r="E3" s="174"/>
      <c r="F3" s="174"/>
      <c r="G3" s="174"/>
      <c r="H3" s="174"/>
      <c r="I3" s="174"/>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189" t="s">
        <v>163</v>
      </c>
      <c r="C6" s="236"/>
      <c r="D6" s="236"/>
      <c r="E6" s="236"/>
      <c r="F6" s="236"/>
      <c r="G6" s="236"/>
      <c r="H6" s="237"/>
      <c r="I6" s="3"/>
    </row>
    <row r="7" spans="1:9" ht="9" customHeight="1" x14ac:dyDescent="0.15">
      <c r="A7" s="5"/>
      <c r="B7" s="10"/>
      <c r="C7" s="10"/>
      <c r="D7" s="10"/>
      <c r="E7" s="10"/>
      <c r="F7" s="10"/>
      <c r="G7" s="10"/>
      <c r="H7" s="10"/>
      <c r="I7" s="3"/>
    </row>
    <row r="8" spans="1:9" ht="18.75" customHeight="1" x14ac:dyDescent="0.15">
      <c r="A8" s="5"/>
      <c r="B8" s="3"/>
      <c r="C8" s="3"/>
      <c r="D8" s="18" t="s">
        <v>42</v>
      </c>
      <c r="E8" s="19" t="s">
        <v>156</v>
      </c>
      <c r="F8" s="3"/>
      <c r="G8" s="18" t="s">
        <v>10</v>
      </c>
      <c r="H8" s="19" t="s">
        <v>157</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72" t="s">
        <v>24</v>
      </c>
      <c r="C11" s="233"/>
      <c r="D11" s="173"/>
      <c r="E11" s="233" t="s">
        <v>26</v>
      </c>
      <c r="F11" s="233"/>
      <c r="G11" s="233"/>
      <c r="H11" s="233"/>
      <c r="I11" s="173"/>
    </row>
    <row r="12" spans="1:9" ht="26.25" customHeight="1" x14ac:dyDescent="0.15">
      <c r="B12" s="28" t="s">
        <v>14</v>
      </c>
      <c r="C12" s="35"/>
      <c r="D12" s="29"/>
      <c r="E12" s="36"/>
      <c r="F12" s="36"/>
      <c r="G12" s="36"/>
      <c r="H12" s="36"/>
      <c r="I12" s="29"/>
    </row>
    <row r="13" spans="1:9" ht="210.75" customHeight="1" x14ac:dyDescent="0.15">
      <c r="B13" s="30"/>
      <c r="C13" s="234" t="s">
        <v>15</v>
      </c>
      <c r="D13" s="235"/>
      <c r="E13" s="230" t="s">
        <v>164</v>
      </c>
      <c r="F13" s="231"/>
      <c r="G13" s="231"/>
      <c r="H13" s="231"/>
      <c r="I13" s="232"/>
    </row>
    <row r="14" spans="1:9" ht="210.75" customHeight="1" x14ac:dyDescent="0.15">
      <c r="B14" s="30"/>
      <c r="C14" s="228" t="s">
        <v>16</v>
      </c>
      <c r="D14" s="229"/>
      <c r="E14" s="230" t="s">
        <v>165</v>
      </c>
      <c r="F14" s="231"/>
      <c r="G14" s="231"/>
      <c r="H14" s="231"/>
      <c r="I14" s="232"/>
    </row>
    <row r="15" spans="1:9" ht="210.75" customHeight="1" x14ac:dyDescent="0.15">
      <c r="B15" s="30"/>
      <c r="C15" s="234" t="s">
        <v>17</v>
      </c>
      <c r="D15" s="235"/>
      <c r="E15" s="230" t="s">
        <v>167</v>
      </c>
      <c r="F15" s="231"/>
      <c r="G15" s="231"/>
      <c r="H15" s="231"/>
      <c r="I15" s="232"/>
    </row>
    <row r="16" spans="1:9" ht="210.75" customHeight="1" x14ac:dyDescent="0.15">
      <c r="B16" s="30"/>
      <c r="C16" s="234" t="s">
        <v>18</v>
      </c>
      <c r="D16" s="235"/>
      <c r="E16" s="230" t="s">
        <v>166</v>
      </c>
      <c r="F16" s="231"/>
      <c r="G16" s="231"/>
      <c r="H16" s="231"/>
      <c r="I16" s="232"/>
    </row>
    <row r="17" spans="2:9" ht="210.75" customHeight="1" x14ac:dyDescent="0.15">
      <c r="B17" s="31"/>
      <c r="C17" s="238" t="s">
        <v>19</v>
      </c>
      <c r="D17" s="239"/>
      <c r="E17" s="240" t="s">
        <v>168</v>
      </c>
      <c r="F17" s="241"/>
      <c r="G17" s="241"/>
      <c r="H17" s="241"/>
      <c r="I17" s="242"/>
    </row>
    <row r="18" spans="2:9" ht="24" customHeight="1" x14ac:dyDescent="0.15">
      <c r="B18" s="28" t="s">
        <v>20</v>
      </c>
      <c r="C18" s="32"/>
      <c r="D18" s="33"/>
      <c r="E18" s="34"/>
      <c r="F18" s="34"/>
      <c r="G18" s="34"/>
      <c r="H18" s="34"/>
      <c r="I18" s="37"/>
    </row>
    <row r="19" spans="2:9" ht="218.25" customHeight="1" x14ac:dyDescent="0.15">
      <c r="B19" s="30"/>
      <c r="C19" s="234" t="s">
        <v>21</v>
      </c>
      <c r="D19" s="235"/>
      <c r="E19" s="231" t="s">
        <v>170</v>
      </c>
      <c r="F19" s="231"/>
      <c r="G19" s="231"/>
      <c r="H19" s="231"/>
      <c r="I19" s="232"/>
    </row>
    <row r="20" spans="2:9" ht="218.25" customHeight="1" x14ac:dyDescent="0.15">
      <c r="B20" s="31"/>
      <c r="C20" s="238" t="s">
        <v>22</v>
      </c>
      <c r="D20" s="239"/>
      <c r="E20" s="241" t="s">
        <v>169</v>
      </c>
      <c r="F20" s="241"/>
      <c r="G20" s="241"/>
      <c r="H20" s="241"/>
      <c r="I20" s="242"/>
    </row>
    <row r="21" spans="2:9" ht="218.25" customHeight="1" x14ac:dyDescent="0.15">
      <c r="B21" s="248" t="s">
        <v>23</v>
      </c>
      <c r="C21" s="249"/>
      <c r="D21" s="250"/>
      <c r="E21" s="251" t="s">
        <v>171</v>
      </c>
      <c r="F21" s="251"/>
      <c r="G21" s="251"/>
      <c r="H21" s="251"/>
      <c r="I21" s="252"/>
    </row>
    <row r="22" spans="2:9" ht="218.25" customHeight="1" x14ac:dyDescent="0.15">
      <c r="B22" s="243" t="s">
        <v>135</v>
      </c>
      <c r="C22" s="244"/>
      <c r="D22" s="245"/>
      <c r="E22" s="246" t="s">
        <v>172</v>
      </c>
      <c r="F22" s="246"/>
      <c r="G22" s="246"/>
      <c r="H22" s="246"/>
      <c r="I22" s="24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akiko-kubota</cp:lastModifiedBy>
  <cp:lastPrinted>2024-06-17T00:07:48Z</cp:lastPrinted>
  <dcterms:created xsi:type="dcterms:W3CDTF">2011-06-14T05:32:50Z</dcterms:created>
  <dcterms:modified xsi:type="dcterms:W3CDTF">2024-06-17T00:08:29Z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