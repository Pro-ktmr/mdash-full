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0"/>
  <workbookPr defaultThemeVersion="124226"/>
  <mc:AlternateContent xmlns:mc="http://schemas.openxmlformats.org/markup-compatibility/2006">
    <mc:Choice Requires="x15">
      <x15ac:absPath xmlns:x15ac="http://schemas.microsoft.com/office/spreadsheetml/2010/11/ac" url="\\yic\kyomu\データサイエンス\申請_リテラシーレベル\R06ed\修正版_再送\"/>
    </mc:Choice>
  </mc:AlternateContent>
  <xr:revisionPtr revIDLastSave="0" documentId="13_ncr:1_{18A16F02-3E82-461D-B246-435324612CF9}" xr6:coauthVersionLast="47" xr6:coauthVersionMax="47" xr10:uidLastSave="{00000000-0000-0000-0000-000000000000}"/>
  <bookViews>
    <workbookView xWindow="3465" yWindow="1680" windowWidth="21600" windowHeight="11385" tabRatio="885" firstSheet="2"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1" i="41" s="1"/>
  <c r="D33" i="40"/>
  <c r="S32" i="40"/>
  <c r="S31" i="40"/>
  <c r="S30" i="40"/>
  <c r="S29" i="40"/>
  <c r="S28" i="40"/>
  <c r="S27" i="40"/>
  <c r="S26" i="40"/>
  <c r="S25" i="40"/>
  <c r="S24" i="40"/>
  <c r="S23" i="40"/>
  <c r="S22" i="40"/>
  <c r="S21" i="40"/>
  <c r="S20" i="40"/>
  <c r="S19" i="40"/>
  <c r="S18" i="40"/>
  <c r="S17" i="40"/>
  <c r="S16" i="40"/>
  <c r="S15" i="40"/>
  <c r="S14" i="40"/>
  <c r="R33" i="40" l="1"/>
  <c r="S33" i="40" s="1"/>
  <c r="C50" i="41" s="1"/>
</calcChain>
</file>

<file path=xl/sharedStrings.xml><?xml version="1.0" encoding="utf-8"?>
<sst xmlns="http://schemas.openxmlformats.org/spreadsheetml/2006/main" count="276" uniqueCount="181">
  <si>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</si>
  <si>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</si>
  <si>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</si>
  <si>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鹿児島純心女子短期大学</t>
    <rPh sb="0" eb="3">
      <t>カゴシマ</t>
    </rPh>
    <rPh sb="3" eb="5">
      <t>ジュンシン</t>
    </rPh>
    <rPh sb="5" eb="7">
      <t>ジョシ</t>
    </rPh>
    <rPh sb="7" eb="9">
      <t>タンキ</t>
    </rPh>
    <rPh sb="9" eb="11">
      <t>ダイガク</t>
    </rPh>
    <phoneticPr fontId="1"/>
  </si>
  <si>
    <t>プログラム名</t>
    <rPh sb="5" eb="6">
      <t>メイ</t>
    </rPh>
    <phoneticPr fontId="1"/>
  </si>
  <si>
    <t>実務人材育成のためのデータサイエンス・AIリテラシー教育プログラム</t>
    <rPh sb="0" eb="4">
      <t>ジツムジンザイ</t>
    </rPh>
    <rPh sb="4" eb="6">
      <t>イクセイ</t>
    </rPh>
    <rPh sb="26" eb="28">
      <t>キョウイク</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</si>
  <si>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</si>
  <si>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</si>
  <si>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</si>
  <si>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</si>
  <si>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</si>
  <si>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全学に開講されている1年前期開講科目「データサイエンスⅠ」(講義2単位)を履修し、単位を修得すること</t>
    <rPh sb="0" eb="2">
      <t>ゼンガク</t>
    </rPh>
    <rPh sb="3" eb="5">
      <t>カイコウ</t>
    </rPh>
    <rPh sb="11" eb="12">
      <t>ネン</t>
    </rPh>
    <rPh sb="12" eb="18">
      <t>ゼンキカイコウカモク</t>
    </rPh>
    <rPh sb="30" eb="32">
      <t>コウギ</t>
    </rPh>
    <rPh sb="31" eb="32">
      <t>カイコウ</t>
    </rPh>
    <rPh sb="33" eb="35">
      <t>タンイ</t>
    </rPh>
    <rPh sb="37" eb="39">
      <t>リシュウ</t>
    </rPh>
    <rPh sb="41" eb="43">
      <t>タンイ</t>
    </rPh>
    <rPh sb="44" eb="46">
      <t>シュウトク</t>
    </rPh>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</si>
  <si>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</si>
  <si>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</si>
  <si>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</si>
  <si>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</si>
  <si>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</si>
  <si>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</si>
  <si>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</si>
  <si>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</si>
  <si>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</si>
  <si>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</si>
  <si>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</si>
  <si>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</si>
  <si>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</si>
  <si>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</si>
  <si>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データサイエンスⅠ</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</si>
  <si>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</si>
  <si>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</si>
  <si>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</si>
  <si>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</si>
  <si>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</si>
  <si>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</si>
  <si>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</si>
  <si>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</si>
  <si>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</si>
  <si>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</si>
  <si>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</si>
  <si>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</si>
  <si>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</si>
  <si>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</si>
  <si>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</si>
  <si>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</si>
  <si>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</si>
  <si>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</si>
  <si>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</si>
  <si>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</si>
  <si>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 xml:space="preserve">・ビッグデータ、IoT、AI、ロボット
・データ量の増加、計算機の処理性能の向上、AIの非連続的進化
・第4次産業革命、Society 5.0、データ駆動型社会
・データを起点としたものの見方、人間の知的活動を起点としたものの見方
「データサイエンスⅠ」（１回目）
</t>
    <phoneticPr fontId="1"/>
  </si>
  <si>
    <t>1-6</t>
    <phoneticPr fontId="1"/>
  </si>
  <si>
    <t xml:space="preserve">・AI等を活用した新しいビジネスモデル(シェアリングエコノミー、商品のレコメンデーションなど)
・AI最新技術の活用例（深層生成モデル、敵対的生成ネットワーク、強化学習、転移学習など）
「データサイエンスⅠ」（６回目）
</t>
    <phoneticPr fontId="1"/>
  </si>
  <si>
    <t>（２）「社会で活用されているデータ」や「データの活用領域」は非常に広範囲であって、日常生活や社会の課題を解決する有用なツールになり得るもの</t>
    <phoneticPr fontId="1"/>
  </si>
  <si>
    <t>・データのオープン化（オープンデータ）
「データサイエンスⅠ」（２回目）</t>
    <rPh sb="34" eb="36">
      <t>カイメ</t>
    </rPh>
    <phoneticPr fontId="1"/>
  </si>
  <si>
    <t xml:space="preserve">・データ・AI活用領域の広がり(生産、消費、文化活動など)
・研究開発、調達、製造、物流、販売、マーケティング、サービスなど
・仮説検証、知識発見、原因究明、計画策定、判断支援、活動代替、新規生成など
「データサイエンスⅠ」（３回目）
</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</si>
  <si>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</si>
  <si>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
・データ可視化：複合グラフ、2軸グラフ、多次元の可視化、関係性の可視化、地図上の可視化、挙動・軌跡の可視化、リアルタイム可視化など
・非構造化データ処理：言語処理、画像/動画処理、音声/音楽処理など
・特化型AIと汎用AI、今のAIで出来ることと出来ないこと、AIとビッグデータ
・認識技術、ルールベース、自動化技術
「データサイエンスⅠ」（４回目）</t>
    <phoneticPr fontId="1"/>
  </si>
  <si>
    <t xml:space="preserve">・データサイエンスのサイクル（課題抽出と定式化、データの取得・管理・加工、探索的データ解析、データ解析と推論、結果の共有・伝達、課題解決に向けた提案）
・流通、製造、金融、サービス、インフラ、公共、ヘルスケア等におけるデータ・AI利活用事例紹介
「データサイエンスⅠ」（５回目）
</t>
    <phoneticPr fontId="1"/>
  </si>
  <si>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</si>
  <si>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・データ・AI活用における負の事例紹介
「データサイエンスⅠ」（1３, １５回目）</t>
    <phoneticPr fontId="1"/>
  </si>
  <si>
    <t>・情報セキュリティ：機密性、完全性、可用性
・匿名加工情報、暗号化、パスワード、悪意ある情報搾取
・情報漏洩等によるセキュリティ事故の事例紹介
「データサイエンスⅠ」（１４, １５回目）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</si>
  <si>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</si>
  <si>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</si>
  <si>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・データの分布(ヒストグラム)と代表値（平均値、中央値、最頻値）
・データのばらつき（分散、標準偏差、偏差値）
・相関と因果（相関係数、擬似相関、交絡）
・母集団と標本抽出（国勢調査、アンケート調査、全数調査、単純無作為抽出、層別抽出、多段抽出）
・クロス集計表、分割表、相関係数行列、散布図行列
「データサイエンスⅠ」（７, ８回目）</t>
    <phoneticPr fontId="1"/>
  </si>
  <si>
    <t>・データ表現（棒グラフ、折線グラフ、散布図、ヒートマップ）
・データの図表表現（チャート化）
・データの比較（条件をそろえた比較、処理の前後での比較、A/Bテスト)
「データサイエンスⅠ」（９, １０回目）</t>
    <phoneticPr fontId="1"/>
  </si>
  <si>
    <t>・データの集計（和、平均）
・データの並び替え、ランキング
・データ解析ツール（スプレッドシート）
・表形式のデータ（csv）
「データサイエンスⅠ」（１１, １２回目）</t>
    <phoneticPr fontId="1"/>
  </si>
  <si>
    <t>⑪ プログラムの学修成果（学生等が身に付けられる能力等）</t>
    <phoneticPr fontId="1"/>
  </si>
  <si>
    <t>1.社会で活用されているデータ及びそれを利活用するための技術の概要を理解している。
2.機械学習を中心としたAI技術を理解し、AIによって何が可能になるか，社会にどう影響するかを説明できる。
3.データ駆動型社会におけるリスクやモラル・倫理を理解し、データ・AIを社会に役立てるための自らの振る舞いについて考察できる。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</si>
  <si>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</si>
  <si>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</si>
  <si>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</si>
  <si>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</si>
  <si>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データサイエンスⅠ」において、生成AIに関連する新聞記事を参照しながら、利用の賛否が分かれている現状において自分達が利用することとした時に、どのようなことに注意しながら進めるべきか考える機会を設けた。</t>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</si>
  <si>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</si>
  <si>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</si>
  <si>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</si>
  <si>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</si>
  <si>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</si>
  <si>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</si>
  <si>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</si>
  <si>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</si>
  <si>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</si>
  <si>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</si>
  <si>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</si>
  <si>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</si>
  <si>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</si>
  <si>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</si>
  <si>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</si>
  <si>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</si>
  <si>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</si>
  <si>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</si>
  <si>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</si>
  <si>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</si>
  <si>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</si>
  <si>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</si>
  <si>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</si>
  <si>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</si>
  <si>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</si>
  <si>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</si>
  <si>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</si>
  <si>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</si>
  <si>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生活学科</t>
    <rPh sb="0" eb="4">
      <t>セイカツガッカ</t>
    </rPh>
    <phoneticPr fontId="1"/>
  </si>
  <si>
    <t>英語科</t>
    <rPh sb="0" eb="3">
      <t>エイゴカ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</si>
  <si>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</si>
  <si>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</si>
  <si>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</si>
  <si>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</si>
  <si>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</si>
  <si>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</si>
  <si>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</si>
  <si>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</si>
  <si>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</si>
  <si>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</si>
  <si>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</si>
  <si>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</si>
  <si>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</si>
  <si>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益満　孝一　</t>
    <rPh sb="0" eb="1">
      <t>エキ</t>
    </rPh>
    <rPh sb="1" eb="2">
      <t>ミツル</t>
    </rPh>
    <rPh sb="3" eb="5">
      <t>コウイチ</t>
    </rPh>
    <phoneticPr fontId="1"/>
  </si>
  <si>
    <t>（役職名）</t>
    <rPh sb="1" eb="4">
      <t>ヤクショクメイ</t>
    </rPh>
    <phoneticPr fontId="1"/>
  </si>
  <si>
    <t>生活学科教授</t>
    <rPh sb="0" eb="4">
      <t>セイカツガッカ</t>
    </rPh>
    <rPh sb="4" eb="6">
      <t>キョウジュ</t>
    </rPh>
    <phoneticPr fontId="1"/>
  </si>
  <si>
    <t>④</t>
    <phoneticPr fontId="1"/>
  </si>
  <si>
    <t>プログラムを改善・進化させるための体制（委員会・組織等）</t>
    <phoneticPr fontId="1"/>
  </si>
  <si>
    <t>鹿児島純心女子短期大学カリキュラム委員会</t>
    <rPh sb="0" eb="3">
      <t>カゴシマ</t>
    </rPh>
    <rPh sb="3" eb="5">
      <t>ジュンシン</t>
    </rPh>
    <rPh sb="5" eb="7">
      <t>ジョシ</t>
    </rPh>
    <rPh sb="7" eb="11">
      <t>タンキダイガク</t>
    </rPh>
    <rPh sb="17" eb="20">
      <t>イインカイ</t>
    </rPh>
    <phoneticPr fontId="1"/>
  </si>
  <si>
    <t>小玉 智治</t>
    <rPh sb="0" eb="2">
      <t>コダマ</t>
    </rPh>
    <rPh sb="3" eb="5">
      <t>トモハル</t>
    </rPh>
    <phoneticPr fontId="1"/>
  </si>
  <si>
    <t>カリキュラム委員長</t>
    <rPh sb="6" eb="9">
      <t>イインチョウ</t>
    </rPh>
    <phoneticPr fontId="1"/>
  </si>
  <si>
    <t>⑤</t>
    <phoneticPr fontId="1"/>
  </si>
  <si>
    <t>プログラムを改善・進化させるための体制を定める規則名称</t>
    <phoneticPr fontId="1"/>
  </si>
  <si>
    <t>鹿児島純心女子短期大学カリキュラム委員会要項</t>
    <rPh sb="0" eb="3">
      <t>カゴシマ</t>
    </rPh>
    <rPh sb="3" eb="5">
      <t>ジュンシン</t>
    </rPh>
    <rPh sb="5" eb="7">
      <t>ジョシ</t>
    </rPh>
    <rPh sb="7" eb="11">
      <t>タンキダイガク</t>
    </rPh>
    <rPh sb="17" eb="20">
      <t>イインカイ</t>
    </rPh>
    <rPh sb="20" eb="22">
      <t>ヨウコウ</t>
    </rPh>
    <phoneticPr fontId="1"/>
  </si>
  <si>
    <t>⑥</t>
    <phoneticPr fontId="1"/>
  </si>
  <si>
    <t>体制の目的</t>
    <rPh sb="0" eb="2">
      <t>タイセイ</t>
    </rPh>
    <rPh sb="3" eb="5">
      <t>モクテキ</t>
    </rPh>
    <phoneticPr fontId="1"/>
  </si>
  <si>
    <t xml:space="preserve">　カリキュラム委員会は、本学の教学マネジメントに関わる重要事項を審議・立案して、本学の教育活動等を適正に実施することを目的としている。
　カリキュラム委員会は、次に掲げる事項を審議・立案することとしている。
(1)  教育課程の編成およびその適切性の検証・評価に関すること
(2)  教育課程の実施およびその適切性の検証・評価に関すること
(3)  授業科目単位の学修成果の測定（単位認定試験・授業アンケート）に関すること
(4)  教育プログラム単位の学修成果の可視化と査定に関すること
(5)  科目の履修および単位の認定に関すること
(6)  授業計画（シラバス）に関すること
(7)  その他、本委員会の目的達成に必要なこと
</t>
    <phoneticPr fontId="1"/>
  </si>
  <si>
    <t>⑦</t>
    <phoneticPr fontId="1"/>
  </si>
  <si>
    <t>具体的な構成員</t>
    <rPh sb="0" eb="3">
      <t>グタイテキ</t>
    </rPh>
    <rPh sb="4" eb="7">
      <t>コウセイイン</t>
    </rPh>
    <phoneticPr fontId="1"/>
  </si>
  <si>
    <t xml:space="preserve">英語科教授　小玉 智治(カリキュラム委員長)
学長、生活学科教授　平山 久美子、副学長　英語科教授　有馬 義秀
学長補佐、生活学科教授　濱崎 千鶴、事務局長　山之口 大
生活学科准教授　池崎 和弘(生活学科生活学専攻主任、キャリア支援委員長)
生活学科教授　森永 初代(生活学科生活学専攻カリキュラム担当)
生活学科准教授　中村 民恵(生活学科生活学専攻カリキュラム担当)
生活学科准教授　上村 尚史(生活学科生活学専攻カリキュラム担当、カリキュラムコーディネーター)
生活学科教授　益満 孝一(生活学科こども学専攻カリキュラム担当)
生活学科准教授　大迫 貴(生活学科こども学専攻カリキュラム担当)
生活学科教授　榊 順子(生活学科食物栄養専攻カリキュラム担当、教職課程委員長)
生活学科准教授　鎌田 典子(生活学科食物栄養専攻カリキュラム担当)
英語科教授　小田 智代(英語科カリキュラム担当)
教務課長　川路 孝昭、教務課主任　谷口 恵里、教務課員　竹宮 真未(カリキュラムコーディネーター)
</t>
    <rPh sb="0" eb="3">
      <t>エイゴカ</t>
    </rPh>
    <rPh sb="3" eb="5">
      <t>キョウジュ</t>
    </rPh>
    <rPh sb="23" eb="25">
      <t>ガクチョウ</t>
    </rPh>
    <rPh sb="26" eb="30">
      <t>セイカツガッカ</t>
    </rPh>
    <rPh sb="30" eb="32">
      <t>キョウジュ</t>
    </rPh>
    <rPh sb="33" eb="35">
      <t>ヒラヤマ</t>
    </rPh>
    <rPh sb="36" eb="39">
      <t>クミコ</t>
    </rPh>
    <rPh sb="40" eb="41">
      <t>フク</t>
    </rPh>
    <rPh sb="41" eb="43">
      <t>ガクチョウ</t>
    </rPh>
    <rPh sb="44" eb="47">
      <t>エイゴカ</t>
    </rPh>
    <rPh sb="47" eb="49">
      <t>キョウジュ</t>
    </rPh>
    <rPh sb="74" eb="78">
      <t>ジムキョクチョウ</t>
    </rPh>
    <rPh sb="85" eb="89">
      <t>セイカツガッカ</t>
    </rPh>
    <rPh sb="89" eb="90">
      <t>ジュン</t>
    </rPh>
    <rPh sb="90" eb="92">
      <t>キョウジュ</t>
    </rPh>
    <rPh sb="154" eb="158">
      <t>セイカツガッカ</t>
    </rPh>
    <rPh sb="158" eb="161">
      <t>ジュンキョウジュ</t>
    </rPh>
    <rPh sb="187" eb="191">
      <t>セイカツガッカ</t>
    </rPh>
    <rPh sb="191" eb="194">
      <t>ジュンキョウジュ</t>
    </rPh>
    <rPh sb="235" eb="239">
      <t>セイカツガッカ</t>
    </rPh>
    <rPh sb="239" eb="241">
      <t>キョウジュ</t>
    </rPh>
    <rPh sb="272" eb="273">
      <t>ジュン</t>
    </rPh>
    <rPh sb="301" eb="305">
      <t>セイカツガッカ</t>
    </rPh>
    <rPh sb="305" eb="307">
      <t>キョウジュ</t>
    </rPh>
    <rPh sb="341" eb="345">
      <t>セイカツガッカ</t>
    </rPh>
    <rPh sb="345" eb="348">
      <t>ジュンキョウジュ</t>
    </rPh>
    <rPh sb="375" eb="378">
      <t>エイゴカ</t>
    </rPh>
    <rPh sb="378" eb="380">
      <t>キョウジュ</t>
    </rPh>
    <rPh sb="405" eb="407">
      <t>カワジ</t>
    </rPh>
    <rPh sb="408" eb="410">
      <t>タカアキ</t>
    </rPh>
    <rPh sb="426" eb="427">
      <t>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</si>
  <si>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</si>
  <si>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</si>
  <si>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</si>
  <si>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</si>
  <si>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</si>
  <si>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</si>
  <si>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</si>
  <si>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</si>
  <si>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</si>
  <si>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履修者数・履修率の向上に向けて、次の3点による点検・評価を実施し改善を図っていく。
①オリエンテーション期間中に実施するカリキュラム委員長による履修指導内容の見直し
②シラバスの第三者チェックの実施
③授業アンケート結果に基づく授業改善
年度単位の計画は次のとおりである。
令和6年度　新入生に対する履修指導の改善・充実
令和7年度　各学科・専攻の専門教育科目との連携によるプログラムの充実
令和8年度　1年次及び2年次への開講
令和9年度　リテラシーレベルプラス認定を目指したシラバス等の改善</t>
    <rPh sb="16" eb="17">
      <t>ツギ</t>
    </rPh>
    <rPh sb="19" eb="20">
      <t>テン</t>
    </rPh>
    <rPh sb="23" eb="25">
      <t>テンケン</t>
    </rPh>
    <rPh sb="26" eb="28">
      <t>ヒョウカ</t>
    </rPh>
    <rPh sb="29" eb="31">
      <t>ジッシ</t>
    </rPh>
    <rPh sb="32" eb="34">
      <t>カイゼン</t>
    </rPh>
    <rPh sb="35" eb="36">
      <t>ハカ</t>
    </rPh>
    <rPh sb="52" eb="55">
      <t>キカンチュウ</t>
    </rPh>
    <rPh sb="56" eb="58">
      <t>ジッシ</t>
    </rPh>
    <rPh sb="66" eb="69">
      <t>イインチョウ</t>
    </rPh>
    <rPh sb="72" eb="76">
      <t>リシュウシドウ</t>
    </rPh>
    <rPh sb="76" eb="78">
      <t>ナイヨウ</t>
    </rPh>
    <rPh sb="79" eb="81">
      <t>ミナオ</t>
    </rPh>
    <rPh sb="89" eb="92">
      <t>ダイサンシャ</t>
    </rPh>
    <rPh sb="97" eb="99">
      <t>ジッシ</t>
    </rPh>
    <rPh sb="101" eb="103">
      <t>ジュギョウ</t>
    </rPh>
    <rPh sb="108" eb="110">
      <t>ケッカ</t>
    </rPh>
    <rPh sb="111" eb="112">
      <t>モト</t>
    </rPh>
    <rPh sb="114" eb="118">
      <t>ジュギョウカイゼン</t>
    </rPh>
    <rPh sb="120" eb="122">
      <t>ネンド</t>
    </rPh>
    <rPh sb="122" eb="124">
      <t>タンイ</t>
    </rPh>
    <rPh sb="125" eb="127">
      <t>ケイカク</t>
    </rPh>
    <rPh sb="128" eb="129">
      <t>ツギ</t>
    </rPh>
    <rPh sb="138" eb="140">
      <t>レイワ</t>
    </rPh>
    <rPh sb="141" eb="143">
      <t>ネンド</t>
    </rPh>
    <rPh sb="144" eb="147">
      <t>シンニュウセイ</t>
    </rPh>
    <rPh sb="148" eb="149">
      <t>タイ</t>
    </rPh>
    <rPh sb="151" eb="155">
      <t>リシュウシドウ</t>
    </rPh>
    <rPh sb="156" eb="158">
      <t>カイゼン</t>
    </rPh>
    <rPh sb="159" eb="161">
      <t>ジュウジツ</t>
    </rPh>
    <rPh sb="162" eb="164">
      <t>レイワ</t>
    </rPh>
    <rPh sb="165" eb="167">
      <t>ネンド</t>
    </rPh>
    <rPh sb="197" eb="199">
      <t>レイワ</t>
    </rPh>
    <rPh sb="200" eb="202">
      <t>ネンド</t>
    </rPh>
    <rPh sb="216" eb="218">
      <t>レイワ</t>
    </rPh>
    <rPh sb="219" eb="221">
      <t>ネンド</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</si>
  <si>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</si>
  <si>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</si>
  <si>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全学科・専攻の学生が履修できるようにするため、全学に開講されている「総合人間科目」に「データサイエンスⅠ」を開設し卒業単位として認められる科目とするほか、情報処理士等の資格取得要件にするなど、履修を促す科目配置とした。引き続き、この体制を維持していく。
</t>
    <rPh sb="101" eb="103">
      <t>カモク</t>
    </rPh>
    <rPh sb="103" eb="105">
      <t>ハイチ</t>
    </rPh>
    <rPh sb="119" eb="121">
      <t>イジ</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</si>
  <si>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</si>
  <si>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</si>
  <si>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1年生は、学科・専攻別の履修説明会前にカリキュラム委員長が全学生を集めて、「データサイエンスⅠ」を含む教養科目の開設目的等を説明する機会を設けている。
</t>
    <rPh sb="1" eb="3">
      <t>ネンセイ</t>
    </rPh>
    <rPh sb="5" eb="7">
      <t>ガッカ</t>
    </rPh>
    <rPh sb="8" eb="10">
      <t>センコウ</t>
    </rPh>
    <rPh sb="10" eb="11">
      <t>ベツ</t>
    </rPh>
    <rPh sb="12" eb="14">
      <t>リシュウ</t>
    </rPh>
    <rPh sb="14" eb="16">
      <t>セツメイ</t>
    </rPh>
    <rPh sb="16" eb="17">
      <t>カイ</t>
    </rPh>
    <rPh sb="17" eb="18">
      <t>マエ</t>
    </rPh>
    <rPh sb="25" eb="28">
      <t>イインチョウ</t>
    </rPh>
    <rPh sb="29" eb="32">
      <t>ゼンガクセイ</t>
    </rPh>
    <rPh sb="33" eb="34">
      <t>アツ</t>
    </rPh>
    <rPh sb="49" eb="50">
      <t>フク</t>
    </rPh>
    <rPh sb="51" eb="55">
      <t>キョウヨウカモク</t>
    </rPh>
    <rPh sb="56" eb="58">
      <t>カイセツ</t>
    </rPh>
    <rPh sb="58" eb="61">
      <t>モクテキトウ</t>
    </rPh>
    <rPh sb="62" eb="64">
      <t>セツメイ</t>
    </rPh>
    <rPh sb="66" eb="68">
      <t>キカイ</t>
    </rPh>
    <rPh sb="69" eb="70">
      <t>モウ</t>
    </rPh>
    <phoneticPr fontId="1"/>
  </si>
  <si>
    <t>⑪</t>
    <phoneticPr fontId="1"/>
  </si>
  <si>
    <t>できる限り多くの学生が履修・修得できるようなサポート体制</t>
    <rPh sb="26" eb="28">
      <t>タイセイ</t>
    </rPh>
    <phoneticPr fontId="1"/>
  </si>
  <si>
    <t>大雨等による公共交通機関が運休した際、ライブ配信するなど支援を行っている。</t>
    <rPh sb="0" eb="2">
      <t>オオアメ</t>
    </rPh>
    <rPh sb="2" eb="3">
      <t>トウ</t>
    </rPh>
    <rPh sb="6" eb="12">
      <t>コウキョウコウツウキカン</t>
    </rPh>
    <rPh sb="13" eb="15">
      <t>ウンキュウ</t>
    </rPh>
    <rPh sb="17" eb="18">
      <t>サイ</t>
    </rPh>
    <rPh sb="22" eb="24">
      <t>ハイシン</t>
    </rPh>
    <rPh sb="28" eb="30">
      <t>シエン</t>
    </rPh>
    <rPh sb="31" eb="32">
      <t>オコナ</t>
    </rPh>
    <phoneticPr fontId="1"/>
  </si>
  <si>
    <t>⑫</t>
    <phoneticPr fontId="1"/>
  </si>
  <si>
    <t>授業時間内外で学習指導、質問を受け付ける具体的な仕組み</t>
    <rPh sb="20" eb="23">
      <t>グタイテキ</t>
    </rPh>
    <phoneticPr fontId="1"/>
  </si>
  <si>
    <t>科目担当者は、オフィスアワーを設けており、対面での質問受付やサポート体制を整えている。
また、Google Formsを活用した質問等の受付を行っている。</t>
    <rPh sb="0" eb="5">
      <t>カモクタントウシャ</t>
    </rPh>
    <rPh sb="15" eb="16">
      <t>モウ</t>
    </rPh>
    <rPh sb="21" eb="23">
      <t>タイメン</t>
    </rPh>
    <rPh sb="25" eb="27">
      <t>シツモン</t>
    </rPh>
    <rPh sb="27" eb="29">
      <t>ウケツケ</t>
    </rPh>
    <rPh sb="34" eb="36">
      <t>タイセイ</t>
    </rPh>
    <rPh sb="37" eb="38">
      <t>トトノ</t>
    </rPh>
    <rPh sb="60" eb="62">
      <t>カツヨウ</t>
    </rPh>
    <rPh sb="64" eb="67">
      <t>シツモントウ</t>
    </rPh>
    <rPh sb="68" eb="70">
      <t>ウケツケ</t>
    </rPh>
    <rPh sb="71" eb="72">
      <t>オコナ</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</si>
  <si>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</si>
  <si>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</si>
  <si>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</si>
  <si>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</si>
  <si>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カリキュラム委員会</t>
    <rPh sb="6" eb="9">
      <t>イインカイ</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</si>
  <si>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</si>
  <si>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</si>
  <si>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</si>
  <si>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</si>
  <si>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</si>
  <si>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「データサイエンスⅠ」(令和5年度前期1年次に開講)　 科目担当者 : 益満、末永
履修者
生活学科生活学専攻　35名、こども学専攻　3名、食物栄養専攻　17名、合計55名
英語科　22名
計77名(全員、単位を修得し、修了要件を満たした)
履修登録率
全1年生における履修者の占める割合　58.３%
</t>
    <rPh sb="20" eb="22">
      <t>ネンジ</t>
    </rPh>
    <rPh sb="43" eb="46">
      <t>リシュウシャ</t>
    </rPh>
    <rPh sb="47" eb="51">
      <t>セイカツガッカ</t>
    </rPh>
    <rPh sb="51" eb="54">
      <t>セイカツガク</t>
    </rPh>
    <rPh sb="54" eb="56">
      <t>センコウ</t>
    </rPh>
    <rPh sb="59" eb="60">
      <t>メイ</t>
    </rPh>
    <rPh sb="64" eb="65">
      <t>ガク</t>
    </rPh>
    <rPh sb="65" eb="67">
      <t>センコウ</t>
    </rPh>
    <rPh sb="71" eb="73">
      <t>ショクモツ</t>
    </rPh>
    <rPh sb="73" eb="77">
      <t>エイヨウセンコウ</t>
    </rPh>
    <rPh sb="82" eb="84">
      <t>ゴウケイ</t>
    </rPh>
    <rPh sb="86" eb="87">
      <t>メイ</t>
    </rPh>
    <rPh sb="88" eb="91">
      <t>エイゴカ</t>
    </rPh>
    <rPh sb="94" eb="95">
      <t>メイ</t>
    </rPh>
    <rPh sb="111" eb="113">
      <t>シュウリョウ</t>
    </rPh>
    <rPh sb="113" eb="115">
      <t>ヨウケン</t>
    </rPh>
    <rPh sb="116" eb="117">
      <t>ミ</t>
    </rPh>
    <rPh sb="123" eb="125">
      <t>リシュウ</t>
    </rPh>
    <rPh sb="125" eb="128">
      <t>トウロクリツ</t>
    </rPh>
    <phoneticPr fontId="1"/>
  </si>
  <si>
    <t>学修成果</t>
    <rPh sb="0" eb="2">
      <t>ガクシュウ</t>
    </rPh>
    <rPh sb="2" eb="4">
      <t>セイカ</t>
    </rPh>
    <phoneticPr fontId="1"/>
  </si>
  <si>
    <t xml:space="preserve">　「データサイエンスⅠ」においては、到達目標(学修成果)として次の3つをシラバスに示している。
　また、学期末の単位認定試験は、この３つ到達目標の到達度を図るものとすることを単位認定規程に定めている。
　単位認定試験の結果、「秀(90～100点)」が10.4%、「優(80～89点)」が42.9%、「良(70～79点)」が36.4%、「可(60～69点)」が10.4%であった。
　このことから、同科目が定めた到達目標に多くの学生が概ね到達しており、一定の学修成果を得たものと判断している。
「データサイエンスⅠ」において設定した到達目標
到達目標①「社会で活用されているデータ及びそれを利活用するための技術の概要を理解している。」
到達目標②「機械学習を中心としたAI技術を理解し、AIによって何が可能になるか、社会にどう影響するかを説明できる。」
到達目標③「データ駆動型社会におけるリスクやモラル・倫理を理解し、データ・AIを社会に役立てるための自らの振る舞いについて考察できる。」
</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</si>
  <si>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</si>
  <si>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　「データサイエンスⅠ」の３つの到達目標について、授業アンケートにより「a.求められるレベルに十分到達した」（以下「a.十分」）、「b.求められるレベルの少し手前まで到達した」（以下「b.概ね」）、「c.あまり到達できなかった」（以下「c.未到達）」)の３段階で履修者自身の到達度(自己評価)を尋ねている。その結果、次のとおりであった。
　到達目標①「社会で活用されているデータ及びそれを利活用するための技術の概要を理解している」（a.十分：33.3%、b.概ね：58.3%、c.未到達：8.3%）。
　到達目標②「機械学習を中心としたAI技術を理解し、AIによって何が可能になるか、社会にどう影響するかを説明できる」（a.十分：40.3%、b.概ね：52.8%、c.未到達：6.9%）。
　到達目標③「データ駆動型社会におけるリスクやモラル・倫理を理解し、データ・AIを社会に役立てるための自らの振る舞いについて考察できる」（a.十分：40.3%、b.概ね：54.2%、c.未到達：5.6%）。
　いずれの到達目標も概ね９割以上の受講生が到達としていると評価しており、授業内容に対する理解度は高いと判断する。
　また、学修態度を尋ねる質問に対しては、「a 全体を通して、意欲的に取り組むことができた」が75%、「b 半分程度の割合で、意欲的に取り組むことができた。」が23.6%、「全然、意欲的に取り組めなかった。」が1.4%であった。学生の多くが意欲的に学んでいたことが伺える。
</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</si>
  <si>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</si>
  <si>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　前期に開講した「データサイエンスⅠ」に引き続き、後期に「データサイエンスⅡ」(演習科目)を開講した。
　全学科・専攻から、44名の学生が履修しており、その内、約6割の学生が「データサイエンスⅠ」の履修者であった。
　このことから、後輩等他の学生への推奨度は高いと推察している。
</t>
    <rPh sb="40" eb="44">
      <t>エンシュウカモク</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</si>
  <si>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</si>
  <si>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　授業アンケートの結果及び科目担当者の自己点検・評価報告に基づき、カリキュラム委員会において点検・評価を行い、新年度以降のカリキュラムに反映させることとしている。
　また、「データサイエンスⅠ」を開講している総合人間科目の年度当初に行われる履修指導時において、科目の概要を説明し履修登録を促すこととしている。
</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</si>
  <si>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</si>
  <si>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</si>
  <si>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令和5年度から開講したため、卒業生は出ていない。</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</si>
  <si>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</si>
  <si>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　教育プログラム内容・手法等への意見聴取は、令和6年度の外部評価委員会で実施予定である。
　なお、「データサイエンスⅠ」及び「データサイエンスⅡ」では、データサイエンスの学びを深めるために、外部講師による講義も導入した。外部講師は、東京の東急株式会社及び本県在住の元九州富士通に勤務していた方を外部講師としてお呼びして授業をお願いするとともに今後の授業に向けた助言をいただいた。
</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</si>
  <si>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</si>
  <si>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　Google Formsによるアンケート調査において、「授業が楽しみだったか」について回答を求めたところ61人が回答した。「5.大変楽しみだった」「4.かなり楽しみだった」「3.ふつう」「2.あまり楽しみでなかった」「1.まったく楽しみでなかった」の５段階では、順に、37人（60.7％）、14人（23.0％）、９人（14.8％）、１人（0.02％）、０人（0.0％）であった。この結果より、約８割以上の受講生が学ぶことの楽しみを感じていたことがわかる。
　また、「授業は充実していたか」について回答を求めたところ61人が回答している。上記の５段階の順に、37人（60.7％）、16人（26.2％）、8人（13.1％）、０人（0.0％）、０人（0.0％）であった。この結果より約９割の受講生がかなり充実した授業と評価している。
　学ことの意義については、全授業回で意識して学生に伝えてきたことであり、そのことは、授業アンケートや単位認定試験の結果が良好であっことから、十分学生に伝わったものと考えている。
</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</si>
  <si>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</si>
  <si>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xml:space="preserve">　講義では、ワードで作成された「配付資料」をプロジェクターに投影し、テキスト部分はAIによる読み上げを行っている。この配付資料は、教科書の内容を短文でまとめたものである。専門用語などが【　　】として空欄で示されており、ここに専門用語などを記述することで文章を完成させるものである。この資料は授業内容を要約したものでもあり、１講義でA３表裏１枚程度の分量として受講生の負担の軽減を図っている。
　また、この配布資料は、Google Classroomにも置き、穴埋めの回答を聞き漏らした学生に配慮するとともに復習の教材としても活用してもらっている。
　このほか、授業中、Google Formsによる質問等を行い、結果をプロジェクターに投影したり、グラフによる視覚的結果を示したほか、自由記述部分は、AIによる読み上げ機能で受講生と共有し、多様な意見があることを学ぶ機会としている。
　このような工夫を実施した結果、前述したとおり、約８割以上の受講生が学ぶことの楽しみを感じていたことがわかる。
　科目担当者に対しては、引き続き、授業改善をお願いしたい。
</t>
    <rPh sb="51" eb="52">
      <t>オコナ</t>
    </rPh>
    <rPh sb="189" eb="190">
      <t>ハカ</t>
    </rPh>
    <rPh sb="448" eb="453">
      <t>カモクタントウシャ</t>
    </rPh>
    <rPh sb="454" eb="455">
      <t>タイ</t>
    </rPh>
    <rPh sb="470" eb="471">
      <t>ネガ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</si>
</sst>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2" fillId="0" borderId="1" xfId="0" applyFont="1" applyFill="1" applyBorder="1" applyAlignment="1">
      <alignment horizontal="center" vertical="center"/>
    </xf>
    <xf numFmtId="0" fontId="2" fillId="0" borderId="0" xfId="0" applyFont="1">
      <alignment vertical="center"/>
    </xf>
    <xf numFmtId="0" fontId="2" fillId="0" borderId="0" xfId="0" applyFont="1" applyFill="1">
      <alignment vertical="center"/>
    </xf>
    <xf numFmtId="49" fontId="3" fillId="0" borderId="39" xfId="0" applyNumberFormat="1" applyFont="1" applyFill="1" applyBorder="1" applyAlignment="1">
      <alignment horizontal="center" vertical="center"/>
    </xf>
    <xf numFmtId="49" fontId="3" fillId="0" borderId="28" xfId="0" applyNumberFormat="1" applyFont="1" applyFill="1" applyBorder="1" applyAlignment="1">
      <alignment horizontal="center" vertical="center"/>
    </xf>
    <xf numFmtId="0" fontId="2" fillId="0" borderId="0" xfId="0" applyFont="1" applyAlignment="1">
      <alignment vertical="center" wrapText="1"/>
    </xf>
    <xf numFmtId="0" fontId="13" fillId="0" borderId="0" xfId="0" applyFont="1" applyAlignment="1">
      <alignment horizontal="right" vertical="center"/>
    </xf>
    <xf numFmtId="0" fontId="13" fillId="0" borderId="1" xfId="0" applyFont="1" applyBorder="1" applyAlignment="1">
      <alignment horizontal="center" vertical="center"/>
    </xf>
    <xf numFmtId="0" fontId="6" fillId="0" borderId="0" xfId="0" applyFont="1" applyAlignment="1">
      <alignment horizontal="center"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12" fillId="0" borderId="0" xfId="0" applyFont="1" applyFill="1" applyAlignment="1">
      <alignment horizontal="left" vertical="center" wrapText="1"/>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Fill="1" applyBorder="1" applyAlignment="1">
      <alignment vertical="center" shrinkToFit="1"/>
    </xf>
    <xf numFmtId="0" fontId="2" fillId="0" borderId="31" xfId="0" applyFont="1" applyFill="1" applyBorder="1" applyAlignment="1">
      <alignment vertical="center" shrinkToFit="1"/>
    </xf>
    <xf numFmtId="0" fontId="2" fillId="0" borderId="30" xfId="0" applyFont="1" applyFill="1" applyBorder="1" applyAlignment="1">
      <alignment vertical="center" shrinkToFit="1"/>
    </xf>
    <xf numFmtId="0" fontId="2" fillId="0" borderId="29" xfId="0" applyFont="1" applyFill="1" applyBorder="1" applyAlignment="1">
      <alignment horizontal="center" vertical="center" shrinkToFit="1"/>
    </xf>
    <xf numFmtId="0" fontId="2" fillId="0" borderId="31" xfId="0" applyFont="1" applyFill="1" applyBorder="1" applyAlignment="1">
      <alignment horizontal="center" vertical="center" shrinkToFit="1"/>
    </xf>
    <xf numFmtId="0" fontId="2" fillId="0" borderId="30" xfId="0" applyFont="1" applyFill="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2" fillId="0" borderId="0" xfId="0" applyFont="1" applyAlignment="1">
      <alignment vertical="center"/>
    </xf>
    <xf numFmtId="0" fontId="2" fillId="0" borderId="16" xfId="0" applyFont="1" applyBorder="1" applyAlignment="1">
      <alignment vertical="center"/>
    </xf>
    <xf numFmtId="0" fontId="5" fillId="0" borderId="17" xfId="0" applyFont="1" applyBorder="1" applyAlignment="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view="pageBreakPreview" zoomScale="166" zoomScaleNormal="100" zoomScaleSheetLayoutView="166" workbookViewId="0">
      <selection activeCell="C3" sqref="C3:J3"/>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0"/>
      <c r="B1" s="70"/>
      <c r="C1" s="70"/>
      <c r="D1" s="70"/>
      <c r="E1" s="70"/>
      <c r="F1" s="70"/>
      <c r="G1" s="70"/>
      <c r="H1" s="70"/>
      <c r="I1" s="70"/>
      <c r="J1" s="70"/>
      <c r="K1" s="70"/>
      <c r="L1" s="70"/>
      <c r="M1" s="70"/>
      <c r="N1" s="70"/>
      <c r="O1" s="70"/>
      <c r="P1" s="70"/>
      <c r="Q1" s="70"/>
      <c r="R1" s="70"/>
      <c r="S1" s="70"/>
      <c r="T1" s="135" t="s">
        <v>0</v>
      </c>
      <c r="U1" s="135"/>
      <c r="V1" s="2" t="s">
        <v>1</v>
      </c>
      <c r="W1" s="91"/>
      <c r="X1" s="91"/>
    </row>
    <row r="2" spans="1:24" ht="18.75" customHeight="1">
      <c r="A2" s="70"/>
      <c r="B2" s="86" t="s">
        <v>2</v>
      </c>
      <c r="C2" s="136" t="s">
        <v>3</v>
      </c>
      <c r="D2" s="137"/>
      <c r="E2" s="137"/>
      <c r="F2" s="137"/>
      <c r="G2" s="137"/>
      <c r="H2" s="137"/>
      <c r="I2" s="137"/>
      <c r="J2" s="138"/>
      <c r="K2" s="85"/>
      <c r="L2" s="71"/>
      <c r="M2" s="71"/>
      <c r="N2" s="71"/>
      <c r="O2" s="71"/>
      <c r="P2" s="71"/>
      <c r="Q2" s="71"/>
      <c r="R2" s="71"/>
      <c r="S2" s="71"/>
      <c r="T2" s="71"/>
      <c r="U2" s="71"/>
      <c r="V2" s="91"/>
      <c r="W2" s="91"/>
      <c r="X2" s="91"/>
    </row>
    <row r="3" spans="1:24" ht="18.75" customHeight="1">
      <c r="A3" s="70"/>
      <c r="B3" s="86" t="s">
        <v>4</v>
      </c>
      <c r="C3" s="136" t="s">
        <v>5</v>
      </c>
      <c r="D3" s="137"/>
      <c r="E3" s="137"/>
      <c r="F3" s="137"/>
      <c r="G3" s="137"/>
      <c r="H3" s="137"/>
      <c r="I3" s="137"/>
      <c r="J3" s="138"/>
      <c r="K3" s="85"/>
      <c r="L3" s="71"/>
      <c r="M3" s="71"/>
      <c r="N3" s="71"/>
      <c r="O3" s="71"/>
      <c r="P3" s="71"/>
      <c r="Q3" s="71"/>
      <c r="R3" s="71"/>
      <c r="S3" s="71"/>
      <c r="T3" s="71"/>
      <c r="U3" s="71"/>
      <c r="V3" s="91"/>
      <c r="W3" s="91"/>
      <c r="X3" s="91"/>
    </row>
    <row r="4" spans="1:24" ht="15" customHeight="1">
      <c r="A4" s="70"/>
      <c r="B4" s="70"/>
      <c r="C4" s="70"/>
      <c r="D4" s="70"/>
      <c r="E4" s="70"/>
      <c r="F4" s="70"/>
      <c r="G4" s="70"/>
      <c r="H4" s="70"/>
      <c r="I4" s="70"/>
      <c r="J4" s="70"/>
      <c r="K4" s="70"/>
      <c r="L4" s="85"/>
      <c r="M4" s="72"/>
      <c r="N4" s="72"/>
      <c r="O4" s="72"/>
      <c r="P4" s="72"/>
      <c r="Q4" s="72"/>
      <c r="R4" s="72"/>
      <c r="S4" s="72"/>
      <c r="T4" s="72"/>
      <c r="U4" s="72"/>
      <c r="V4" s="91"/>
      <c r="W4" s="91"/>
      <c r="X4" s="91"/>
    </row>
    <row r="5" spans="1:24" ht="18" customHeight="1">
      <c r="A5" s="139" t="s">
        <v>6</v>
      </c>
      <c r="B5" s="139"/>
      <c r="C5" s="139"/>
      <c r="D5" s="139"/>
      <c r="E5" s="139"/>
      <c r="F5" s="139"/>
      <c r="G5" s="139"/>
      <c r="H5" s="139"/>
      <c r="I5" s="139"/>
      <c r="J5" s="139"/>
      <c r="K5" s="139"/>
      <c r="L5" s="139"/>
      <c r="M5" s="139"/>
      <c r="N5" s="139"/>
      <c r="O5" s="139"/>
      <c r="P5" s="139"/>
      <c r="Q5" s="139"/>
      <c r="R5" s="139"/>
      <c r="S5" s="139"/>
      <c r="T5" s="139"/>
      <c r="U5" s="139"/>
      <c r="V5" s="91"/>
      <c r="W5" s="91"/>
      <c r="X5" s="91"/>
    </row>
    <row r="6" spans="1:24" ht="15" customHeight="1">
      <c r="A6" s="70"/>
      <c r="B6" s="73"/>
      <c r="C6" s="73"/>
      <c r="D6" s="73"/>
      <c r="E6" s="73"/>
      <c r="F6" s="73"/>
      <c r="G6" s="73"/>
      <c r="H6" s="73"/>
      <c r="I6" s="73"/>
      <c r="J6" s="73"/>
      <c r="K6" s="73"/>
      <c r="L6" s="73"/>
      <c r="M6" s="73"/>
      <c r="N6" s="73"/>
      <c r="O6" s="73"/>
      <c r="P6" s="73"/>
      <c r="Q6" s="73"/>
      <c r="R6" s="73"/>
      <c r="S6" s="73"/>
      <c r="T6" s="73"/>
      <c r="U6" s="73"/>
      <c r="V6" s="91"/>
      <c r="W6" s="91"/>
      <c r="X6" s="91"/>
    </row>
    <row r="7" spans="1:24" ht="15" customHeight="1">
      <c r="A7" s="70" t="s">
        <v>7</v>
      </c>
      <c r="B7" s="73"/>
      <c r="C7" s="73"/>
      <c r="D7" s="73"/>
      <c r="E7" s="73"/>
      <c r="F7" s="74"/>
      <c r="G7" s="74"/>
      <c r="H7" s="74"/>
      <c r="I7" s="74"/>
      <c r="J7" s="74"/>
      <c r="K7" s="74"/>
      <c r="L7" s="110" t="s">
        <v>8</v>
      </c>
      <c r="M7" s="111"/>
      <c r="N7" s="111"/>
      <c r="O7" s="111"/>
      <c r="P7" s="111"/>
      <c r="Q7" s="111"/>
      <c r="R7" s="111"/>
      <c r="S7" s="111"/>
      <c r="T7" s="111"/>
      <c r="U7" s="112"/>
      <c r="V7" s="91"/>
      <c r="W7" s="91"/>
      <c r="X7" s="91"/>
    </row>
    <row r="8" spans="1:24" ht="6" customHeight="1">
      <c r="A8" s="70"/>
      <c r="B8" s="73"/>
      <c r="C8" s="73"/>
      <c r="D8" s="73"/>
      <c r="E8" s="73"/>
      <c r="F8" s="73"/>
      <c r="G8" s="73"/>
      <c r="H8" s="73"/>
      <c r="I8" s="73"/>
      <c r="J8" s="73"/>
      <c r="K8" s="73"/>
      <c r="L8" s="73"/>
      <c r="M8" s="73"/>
      <c r="N8" s="73"/>
      <c r="O8" s="73"/>
      <c r="P8" s="73"/>
      <c r="Q8" s="73"/>
      <c r="R8" s="73"/>
      <c r="S8" s="73"/>
      <c r="T8" s="73"/>
      <c r="U8" s="73"/>
      <c r="V8" s="91"/>
      <c r="W8" s="91"/>
      <c r="X8" s="91"/>
    </row>
    <row r="9" spans="1:24" ht="18" customHeight="1">
      <c r="A9" s="70" t="s">
        <v>9</v>
      </c>
      <c r="B9" s="70"/>
      <c r="C9" s="73"/>
      <c r="D9" s="73"/>
      <c r="E9" s="70"/>
      <c r="F9" s="70"/>
      <c r="G9" s="70"/>
      <c r="H9" s="70"/>
      <c r="I9" s="70"/>
      <c r="J9" s="70"/>
      <c r="K9" s="85"/>
      <c r="L9" s="74"/>
      <c r="M9" s="74"/>
      <c r="N9" s="74"/>
      <c r="O9" s="74"/>
      <c r="P9" s="74"/>
      <c r="Q9" s="74"/>
      <c r="R9" s="74"/>
      <c r="S9" s="74"/>
      <c r="T9" s="74"/>
      <c r="U9" s="74"/>
      <c r="V9" s="91"/>
      <c r="W9" s="91"/>
      <c r="X9" s="91"/>
    </row>
    <row r="10" spans="1:24" ht="6" customHeight="1">
      <c r="A10" s="70"/>
      <c r="B10" s="73"/>
      <c r="C10" s="73"/>
      <c r="D10" s="73"/>
      <c r="E10" s="73"/>
      <c r="F10" s="73"/>
      <c r="G10" s="73"/>
      <c r="H10" s="73"/>
      <c r="I10" s="73"/>
      <c r="J10" s="73"/>
      <c r="K10" s="73"/>
      <c r="L10" s="75"/>
      <c r="M10" s="73"/>
      <c r="N10" s="73"/>
      <c r="O10" s="73"/>
      <c r="P10" s="73"/>
      <c r="Q10" s="73"/>
      <c r="R10" s="73"/>
      <c r="S10" s="73"/>
      <c r="T10" s="73"/>
      <c r="U10" s="73"/>
      <c r="V10" s="91"/>
      <c r="W10" s="91"/>
      <c r="X10" s="91"/>
    </row>
    <row r="11" spans="1:24" ht="18" customHeight="1">
      <c r="A11" s="70"/>
      <c r="B11" s="119"/>
      <c r="C11" s="120"/>
      <c r="D11" s="120"/>
      <c r="E11" s="120"/>
      <c r="F11" s="120"/>
      <c r="G11" s="120"/>
      <c r="H11" s="120"/>
      <c r="I11" s="120"/>
      <c r="J11" s="120"/>
      <c r="K11" s="120"/>
      <c r="L11" s="120"/>
      <c r="M11" s="120"/>
      <c r="N11" s="120"/>
      <c r="O11" s="120"/>
      <c r="P11" s="120"/>
      <c r="Q11" s="120"/>
      <c r="R11" s="120"/>
      <c r="S11" s="120"/>
      <c r="T11" s="120"/>
      <c r="U11" s="121"/>
      <c r="V11" s="91"/>
      <c r="W11" s="91"/>
      <c r="X11" s="91"/>
    </row>
    <row r="12" spans="1:24" ht="18" customHeight="1">
      <c r="A12" s="70"/>
      <c r="B12" s="122"/>
      <c r="C12" s="123"/>
      <c r="D12" s="123"/>
      <c r="E12" s="123"/>
      <c r="F12" s="123"/>
      <c r="G12" s="123"/>
      <c r="H12" s="123"/>
      <c r="I12" s="123"/>
      <c r="J12" s="123"/>
      <c r="K12" s="123"/>
      <c r="L12" s="123"/>
      <c r="M12" s="123"/>
      <c r="N12" s="123"/>
      <c r="O12" s="123"/>
      <c r="P12" s="123"/>
      <c r="Q12" s="123"/>
      <c r="R12" s="123"/>
      <c r="S12" s="123"/>
      <c r="T12" s="123"/>
      <c r="U12" s="124"/>
      <c r="V12" s="91"/>
      <c r="W12" s="91"/>
      <c r="X12" s="91"/>
    </row>
    <row r="13" spans="1:24" ht="6" customHeight="1">
      <c r="A13" s="70"/>
      <c r="B13" s="73"/>
      <c r="C13" s="73"/>
      <c r="D13" s="73"/>
      <c r="E13" s="73"/>
      <c r="F13" s="73"/>
      <c r="G13" s="73"/>
      <c r="H13" s="73"/>
      <c r="I13" s="73"/>
      <c r="J13" s="73"/>
      <c r="K13" s="73"/>
      <c r="L13" s="75"/>
      <c r="M13" s="73"/>
      <c r="N13" s="73"/>
      <c r="O13" s="73"/>
      <c r="P13" s="73"/>
      <c r="Q13" s="73"/>
      <c r="R13" s="73"/>
      <c r="S13" s="73"/>
      <c r="T13" s="73"/>
      <c r="U13" s="73"/>
      <c r="V13" s="91"/>
      <c r="W13" s="91"/>
      <c r="X13" s="91"/>
    </row>
    <row r="14" spans="1:24" ht="18" customHeight="1">
      <c r="A14" s="70" t="s">
        <v>10</v>
      </c>
      <c r="B14" s="73"/>
      <c r="C14" s="73"/>
      <c r="D14" s="73"/>
      <c r="E14" s="85"/>
      <c r="F14" s="85"/>
      <c r="G14" s="85"/>
      <c r="H14" s="85"/>
      <c r="I14" s="85"/>
      <c r="J14" s="85"/>
      <c r="K14" s="85"/>
      <c r="L14" s="76"/>
      <c r="M14" s="76"/>
      <c r="N14" s="76"/>
      <c r="O14" s="76"/>
      <c r="P14" s="76"/>
      <c r="Q14" s="76"/>
      <c r="R14" s="76"/>
      <c r="S14" s="76"/>
      <c r="T14" s="76"/>
      <c r="U14" s="76"/>
      <c r="V14" s="91"/>
      <c r="W14" s="91"/>
      <c r="X14" s="91"/>
    </row>
    <row r="15" spans="1:24" ht="18" customHeight="1">
      <c r="A15" s="70"/>
      <c r="B15" s="140" t="s">
        <v>11</v>
      </c>
      <c r="C15" s="141"/>
      <c r="D15" s="141"/>
      <c r="E15" s="141"/>
      <c r="F15" s="141"/>
      <c r="G15" s="141"/>
      <c r="H15" s="141"/>
      <c r="I15" s="141"/>
      <c r="J15" s="141"/>
      <c r="K15" s="141"/>
      <c r="L15" s="141"/>
      <c r="M15" s="141"/>
      <c r="N15" s="141"/>
      <c r="O15" s="141"/>
      <c r="P15" s="141"/>
      <c r="Q15" s="141"/>
      <c r="R15" s="141"/>
      <c r="S15" s="141"/>
      <c r="T15" s="141"/>
      <c r="U15" s="142"/>
      <c r="V15" s="91"/>
      <c r="W15" s="91"/>
      <c r="X15" s="91" t="s">
        <v>12</v>
      </c>
    </row>
    <row r="16" spans="1:24" ht="18" customHeight="1">
      <c r="A16" s="70"/>
      <c r="B16" s="143"/>
      <c r="C16" s="144"/>
      <c r="D16" s="144"/>
      <c r="E16" s="144"/>
      <c r="F16" s="144"/>
      <c r="G16" s="144"/>
      <c r="H16" s="144"/>
      <c r="I16" s="144"/>
      <c r="J16" s="144"/>
      <c r="K16" s="144"/>
      <c r="L16" s="144"/>
      <c r="M16" s="144"/>
      <c r="N16" s="144"/>
      <c r="O16" s="144"/>
      <c r="P16" s="144"/>
      <c r="Q16" s="144"/>
      <c r="R16" s="144"/>
      <c r="S16" s="144"/>
      <c r="T16" s="144"/>
      <c r="U16" s="145"/>
      <c r="V16" s="91"/>
      <c r="W16" s="91"/>
      <c r="X16" s="91" t="s">
        <v>13</v>
      </c>
    </row>
    <row r="17" spans="1:24" ht="18" customHeight="1">
      <c r="A17" s="70"/>
      <c r="B17" s="143"/>
      <c r="C17" s="144"/>
      <c r="D17" s="144"/>
      <c r="E17" s="144"/>
      <c r="F17" s="144"/>
      <c r="G17" s="144"/>
      <c r="H17" s="144"/>
      <c r="I17" s="144"/>
      <c r="J17" s="144"/>
      <c r="K17" s="144"/>
      <c r="L17" s="144"/>
      <c r="M17" s="144"/>
      <c r="N17" s="144"/>
      <c r="O17" s="144"/>
      <c r="P17" s="144"/>
      <c r="Q17" s="144"/>
      <c r="R17" s="144"/>
      <c r="S17" s="144"/>
      <c r="T17" s="144"/>
      <c r="U17" s="145"/>
      <c r="V17" s="91"/>
      <c r="W17" s="91"/>
      <c r="X17" s="91" t="s">
        <v>14</v>
      </c>
    </row>
    <row r="18" spans="1:24" ht="18" customHeight="1">
      <c r="A18" s="70"/>
      <c r="B18" s="143"/>
      <c r="C18" s="144"/>
      <c r="D18" s="144"/>
      <c r="E18" s="144"/>
      <c r="F18" s="144"/>
      <c r="G18" s="144"/>
      <c r="H18" s="144"/>
      <c r="I18" s="144"/>
      <c r="J18" s="144"/>
      <c r="K18" s="144"/>
      <c r="L18" s="144"/>
      <c r="M18" s="144"/>
      <c r="N18" s="144"/>
      <c r="O18" s="144"/>
      <c r="P18" s="144"/>
      <c r="Q18" s="144"/>
      <c r="R18" s="144"/>
      <c r="S18" s="144"/>
      <c r="T18" s="144"/>
      <c r="U18" s="145"/>
      <c r="V18" s="91"/>
      <c r="W18" s="91"/>
      <c r="X18" s="91" t="s">
        <v>15</v>
      </c>
    </row>
    <row r="19" spans="1:24" ht="18" customHeight="1">
      <c r="A19" s="70"/>
      <c r="B19" s="143"/>
      <c r="C19" s="144"/>
      <c r="D19" s="144"/>
      <c r="E19" s="144"/>
      <c r="F19" s="144"/>
      <c r="G19" s="144"/>
      <c r="H19" s="144"/>
      <c r="I19" s="144"/>
      <c r="J19" s="144"/>
      <c r="K19" s="144"/>
      <c r="L19" s="144"/>
      <c r="M19" s="144"/>
      <c r="N19" s="144"/>
      <c r="O19" s="144"/>
      <c r="P19" s="144"/>
      <c r="Q19" s="144"/>
      <c r="R19" s="144"/>
      <c r="S19" s="144"/>
      <c r="T19" s="144"/>
      <c r="U19" s="145"/>
      <c r="V19" s="91"/>
      <c r="W19" s="91"/>
      <c r="X19" s="91"/>
    </row>
    <row r="20" spans="1:24" ht="18" customHeight="1">
      <c r="A20" s="70"/>
      <c r="B20" s="146"/>
      <c r="C20" s="147"/>
      <c r="D20" s="147"/>
      <c r="E20" s="147"/>
      <c r="F20" s="147"/>
      <c r="G20" s="147"/>
      <c r="H20" s="147"/>
      <c r="I20" s="147"/>
      <c r="J20" s="147"/>
      <c r="K20" s="147"/>
      <c r="L20" s="147"/>
      <c r="M20" s="147"/>
      <c r="N20" s="147"/>
      <c r="O20" s="147"/>
      <c r="P20" s="147"/>
      <c r="Q20" s="147"/>
      <c r="R20" s="147"/>
      <c r="S20" s="147"/>
      <c r="T20" s="147"/>
      <c r="U20" s="148"/>
      <c r="V20" s="91"/>
      <c r="W20" s="91"/>
      <c r="X20" s="91"/>
    </row>
    <row r="21" spans="1:24" ht="7.5" customHeight="1">
      <c r="A21" s="70"/>
      <c r="B21" s="73"/>
      <c r="C21" s="73"/>
      <c r="D21" s="73"/>
      <c r="E21" s="73"/>
      <c r="F21" s="73"/>
      <c r="G21" s="73"/>
      <c r="H21" s="73"/>
      <c r="I21" s="73"/>
      <c r="J21" s="73"/>
      <c r="K21" s="73"/>
      <c r="L21" s="73"/>
      <c r="M21" s="73"/>
      <c r="N21" s="73"/>
      <c r="O21" s="73"/>
      <c r="P21" s="73"/>
      <c r="Q21" s="73"/>
      <c r="R21" s="73"/>
      <c r="S21" s="73"/>
      <c r="T21" s="73"/>
      <c r="U21" s="73"/>
      <c r="V21" s="91"/>
      <c r="W21" s="91"/>
      <c r="X21" s="91"/>
    </row>
    <row r="22" spans="1:24" ht="19.899999999999999" customHeight="1">
      <c r="A22" s="70"/>
      <c r="B22" s="70" t="s">
        <v>16</v>
      </c>
      <c r="C22" s="70"/>
      <c r="D22" s="70"/>
      <c r="E22" s="86">
        <v>1</v>
      </c>
      <c r="F22" s="70" t="s">
        <v>17</v>
      </c>
      <c r="G22" s="70"/>
      <c r="H22" s="86">
        <v>2</v>
      </c>
      <c r="I22" s="73" t="s">
        <v>18</v>
      </c>
      <c r="J22" s="73"/>
      <c r="K22" s="85"/>
      <c r="L22" s="70"/>
      <c r="M22" s="85" t="s">
        <v>19</v>
      </c>
      <c r="N22" s="107" t="s">
        <v>15</v>
      </c>
      <c r="O22" s="108"/>
      <c r="P22" s="108"/>
      <c r="Q22" s="108"/>
      <c r="R22" s="108"/>
      <c r="S22" s="108"/>
      <c r="T22" s="108"/>
      <c r="U22" s="109"/>
      <c r="V22" s="91"/>
      <c r="W22" s="91"/>
      <c r="X22" s="91"/>
    </row>
    <row r="23" spans="1:24" ht="7.5" customHeight="1">
      <c r="A23" s="70"/>
      <c r="B23" s="73"/>
      <c r="C23" s="73"/>
      <c r="D23" s="73"/>
      <c r="E23" s="73"/>
      <c r="F23" s="73"/>
      <c r="G23" s="73"/>
      <c r="H23" s="73"/>
      <c r="I23" s="73"/>
      <c r="J23" s="73"/>
      <c r="K23" s="73"/>
      <c r="L23" s="73"/>
      <c r="M23" s="73"/>
      <c r="N23" s="73"/>
      <c r="O23" s="73"/>
      <c r="P23" s="73"/>
      <c r="Q23" s="73"/>
      <c r="R23" s="73"/>
      <c r="S23" s="73"/>
      <c r="T23" s="73"/>
      <c r="U23" s="73"/>
      <c r="V23" s="91"/>
      <c r="W23" s="91"/>
      <c r="X23" s="91"/>
    </row>
    <row r="24" spans="1:24" ht="18" customHeight="1">
      <c r="A24" s="149" t="s">
        <v>20</v>
      </c>
      <c r="B24" s="149"/>
      <c r="C24" s="149"/>
      <c r="D24" s="149"/>
      <c r="E24" s="149"/>
      <c r="F24" s="149"/>
      <c r="G24" s="149"/>
      <c r="H24" s="149"/>
      <c r="I24" s="149"/>
      <c r="J24" s="149"/>
      <c r="K24" s="149"/>
      <c r="L24" s="149"/>
      <c r="M24" s="149"/>
      <c r="N24" s="149"/>
      <c r="O24" s="149"/>
      <c r="P24" s="149"/>
      <c r="Q24" s="149"/>
      <c r="R24" s="149"/>
      <c r="S24" s="149"/>
      <c r="T24" s="149"/>
      <c r="U24" s="149"/>
      <c r="V24" s="91"/>
      <c r="W24" s="91"/>
      <c r="X24" s="91"/>
    </row>
    <row r="25" spans="1:24" ht="18" customHeight="1">
      <c r="A25" s="149"/>
      <c r="B25" s="149"/>
      <c r="C25" s="149"/>
      <c r="D25" s="149"/>
      <c r="E25" s="149"/>
      <c r="F25" s="149"/>
      <c r="G25" s="149"/>
      <c r="H25" s="149"/>
      <c r="I25" s="149"/>
      <c r="J25" s="149"/>
      <c r="K25" s="149"/>
      <c r="L25" s="149"/>
      <c r="M25" s="149"/>
      <c r="N25" s="149"/>
      <c r="O25" s="149"/>
      <c r="P25" s="149"/>
      <c r="Q25" s="149"/>
      <c r="R25" s="149"/>
      <c r="S25" s="149"/>
      <c r="T25" s="149"/>
      <c r="U25" s="149"/>
      <c r="V25" s="91"/>
      <c r="W25" s="91"/>
      <c r="X25" s="91"/>
    </row>
    <row r="26" spans="1:24" ht="18" customHeight="1">
      <c r="A26" s="91"/>
      <c r="B26" s="113" t="s">
        <v>21</v>
      </c>
      <c r="C26" s="114"/>
      <c r="D26" s="114"/>
      <c r="E26" s="114"/>
      <c r="F26" s="115"/>
      <c r="G26" s="46" t="s">
        <v>22</v>
      </c>
      <c r="H26" s="45" t="s">
        <v>23</v>
      </c>
      <c r="I26" s="14" t="s">
        <v>24</v>
      </c>
      <c r="J26" s="14" t="s">
        <v>25</v>
      </c>
      <c r="K26" s="113" t="s">
        <v>21</v>
      </c>
      <c r="L26" s="114"/>
      <c r="M26" s="114"/>
      <c r="N26" s="114"/>
      <c r="O26" s="114"/>
      <c r="P26" s="114"/>
      <c r="Q26" s="115"/>
      <c r="R26" s="46" t="s">
        <v>22</v>
      </c>
      <c r="S26" s="45" t="s">
        <v>23</v>
      </c>
      <c r="T26" s="14" t="s">
        <v>24</v>
      </c>
      <c r="U26" s="14" t="s">
        <v>25</v>
      </c>
      <c r="V26" s="91"/>
      <c r="W26" s="91"/>
      <c r="X26" s="91"/>
    </row>
    <row r="27" spans="1:24" ht="18" customHeight="1">
      <c r="A27" s="91"/>
      <c r="B27" s="131" t="s">
        <v>26</v>
      </c>
      <c r="C27" s="132"/>
      <c r="D27" s="132"/>
      <c r="E27" s="132"/>
      <c r="F27" s="133"/>
      <c r="G27" s="15">
        <v>2</v>
      </c>
      <c r="H27" s="15" t="s">
        <v>27</v>
      </c>
      <c r="I27" s="15" t="s">
        <v>27</v>
      </c>
      <c r="J27" s="15" t="s">
        <v>27</v>
      </c>
      <c r="K27" s="131"/>
      <c r="L27" s="132"/>
      <c r="M27" s="132"/>
      <c r="N27" s="132"/>
      <c r="O27" s="132"/>
      <c r="P27" s="132"/>
      <c r="Q27" s="133"/>
      <c r="R27" s="15"/>
      <c r="S27" s="15"/>
      <c r="T27" s="15"/>
      <c r="U27" s="15"/>
      <c r="V27" s="91"/>
      <c r="W27" s="91"/>
      <c r="X27" s="91"/>
    </row>
    <row r="28" spans="1:24" ht="18" customHeight="1">
      <c r="A28" s="91"/>
      <c r="B28" s="125"/>
      <c r="C28" s="126"/>
      <c r="D28" s="126"/>
      <c r="E28" s="126"/>
      <c r="F28" s="127"/>
      <c r="G28" s="16"/>
      <c r="H28" s="16"/>
      <c r="I28" s="16"/>
      <c r="J28" s="16"/>
      <c r="K28" s="125"/>
      <c r="L28" s="126"/>
      <c r="M28" s="126"/>
      <c r="N28" s="126"/>
      <c r="O28" s="126"/>
      <c r="P28" s="126"/>
      <c r="Q28" s="127"/>
      <c r="R28" s="16"/>
      <c r="S28" s="16"/>
      <c r="T28" s="16"/>
      <c r="U28" s="16"/>
      <c r="V28" s="91"/>
      <c r="W28" s="91"/>
      <c r="X28" s="91"/>
    </row>
    <row r="29" spans="1:24" ht="18" customHeight="1">
      <c r="A29" s="91"/>
      <c r="B29" s="125"/>
      <c r="C29" s="126"/>
      <c r="D29" s="126"/>
      <c r="E29" s="126"/>
      <c r="F29" s="127"/>
      <c r="G29" s="16"/>
      <c r="H29" s="16"/>
      <c r="I29" s="16"/>
      <c r="J29" s="16"/>
      <c r="K29" s="125"/>
      <c r="L29" s="126"/>
      <c r="M29" s="126"/>
      <c r="N29" s="126"/>
      <c r="O29" s="126"/>
      <c r="P29" s="126"/>
      <c r="Q29" s="127"/>
      <c r="R29" s="16"/>
      <c r="S29" s="16"/>
      <c r="T29" s="16"/>
      <c r="U29" s="16"/>
      <c r="V29" s="91"/>
      <c r="W29" s="91"/>
      <c r="X29" s="91"/>
    </row>
    <row r="30" spans="1:24" ht="18" customHeight="1">
      <c r="A30" s="91"/>
      <c r="B30" s="125"/>
      <c r="C30" s="126"/>
      <c r="D30" s="126"/>
      <c r="E30" s="126"/>
      <c r="F30" s="127"/>
      <c r="G30" s="16"/>
      <c r="H30" s="16"/>
      <c r="I30" s="16"/>
      <c r="J30" s="16"/>
      <c r="K30" s="125"/>
      <c r="L30" s="126"/>
      <c r="M30" s="126"/>
      <c r="N30" s="126"/>
      <c r="O30" s="126"/>
      <c r="P30" s="126"/>
      <c r="Q30" s="127"/>
      <c r="R30" s="16"/>
      <c r="S30" s="16"/>
      <c r="T30" s="16"/>
      <c r="U30" s="16"/>
      <c r="V30" s="91"/>
      <c r="W30" s="91"/>
      <c r="X30" s="91"/>
    </row>
    <row r="31" spans="1:24" ht="18" customHeight="1">
      <c r="A31" s="91"/>
      <c r="B31" s="125"/>
      <c r="C31" s="126"/>
      <c r="D31" s="126"/>
      <c r="E31" s="126"/>
      <c r="F31" s="127"/>
      <c r="G31" s="16"/>
      <c r="H31" s="16"/>
      <c r="I31" s="16"/>
      <c r="J31" s="16"/>
      <c r="K31" s="125"/>
      <c r="L31" s="126"/>
      <c r="M31" s="126"/>
      <c r="N31" s="126"/>
      <c r="O31" s="126"/>
      <c r="P31" s="126"/>
      <c r="Q31" s="127"/>
      <c r="R31" s="16"/>
      <c r="S31" s="16"/>
      <c r="T31" s="16"/>
      <c r="U31" s="16"/>
      <c r="V31" s="91"/>
      <c r="W31" s="91"/>
      <c r="X31" s="91"/>
    </row>
    <row r="32" spans="1:24" ht="18" customHeight="1">
      <c r="A32" s="90"/>
      <c r="B32" s="125"/>
      <c r="C32" s="126"/>
      <c r="D32" s="126"/>
      <c r="E32" s="126"/>
      <c r="F32" s="127"/>
      <c r="G32" s="16"/>
      <c r="H32" s="16"/>
      <c r="I32" s="16"/>
      <c r="J32" s="16"/>
      <c r="K32" s="125"/>
      <c r="L32" s="126"/>
      <c r="M32" s="126"/>
      <c r="N32" s="126"/>
      <c r="O32" s="126"/>
      <c r="P32" s="126"/>
      <c r="Q32" s="127"/>
      <c r="R32" s="16"/>
      <c r="S32" s="16"/>
      <c r="T32" s="16"/>
      <c r="U32" s="16"/>
      <c r="V32" s="91"/>
      <c r="W32" s="91"/>
      <c r="X32" s="91"/>
    </row>
    <row r="33" spans="1:21" ht="18" customHeight="1">
      <c r="A33" s="90"/>
      <c r="B33" s="128"/>
      <c r="C33" s="129"/>
      <c r="D33" s="129"/>
      <c r="E33" s="129"/>
      <c r="F33" s="130"/>
      <c r="G33" s="17"/>
      <c r="H33" s="17"/>
      <c r="I33" s="18"/>
      <c r="J33" s="18"/>
      <c r="K33" s="128"/>
      <c r="L33" s="129"/>
      <c r="M33" s="129"/>
      <c r="N33" s="129"/>
      <c r="O33" s="129"/>
      <c r="P33" s="129"/>
      <c r="Q33" s="130"/>
      <c r="R33" s="17"/>
      <c r="S33" s="17"/>
      <c r="T33" s="18"/>
      <c r="U33" s="18"/>
    </row>
    <row r="34" spans="1:21" ht="7.5" customHeight="1">
      <c r="A34" s="90"/>
      <c r="B34" s="5"/>
      <c r="C34" s="5"/>
      <c r="D34" s="5"/>
      <c r="E34" s="90"/>
      <c r="F34" s="90"/>
      <c r="G34" s="90"/>
      <c r="H34" s="90"/>
      <c r="I34" s="5"/>
      <c r="J34" s="5"/>
      <c r="K34" s="5"/>
      <c r="L34" s="5"/>
      <c r="M34" s="5"/>
      <c r="N34" s="5"/>
      <c r="O34" s="5"/>
      <c r="P34" s="5"/>
      <c r="Q34" s="5"/>
      <c r="R34" s="5"/>
      <c r="S34" s="5"/>
      <c r="T34" s="5"/>
      <c r="U34" s="90"/>
    </row>
    <row r="35" spans="1:21" ht="18" customHeight="1">
      <c r="A35" s="134" t="s">
        <v>28</v>
      </c>
      <c r="B35" s="134"/>
      <c r="C35" s="134"/>
      <c r="D35" s="134"/>
      <c r="E35" s="134"/>
      <c r="F35" s="134"/>
      <c r="G35" s="134"/>
      <c r="H35" s="134"/>
      <c r="I35" s="134"/>
      <c r="J35" s="134"/>
      <c r="K35" s="134"/>
      <c r="L35" s="134"/>
      <c r="M35" s="134"/>
      <c r="N35" s="134"/>
      <c r="O35" s="134"/>
      <c r="P35" s="134"/>
      <c r="Q35" s="134"/>
      <c r="R35" s="134"/>
      <c r="S35" s="134"/>
      <c r="T35" s="134"/>
      <c r="U35" s="134"/>
    </row>
    <row r="36" spans="1:21" ht="18" customHeight="1">
      <c r="A36" s="134"/>
      <c r="B36" s="134"/>
      <c r="C36" s="134"/>
      <c r="D36" s="134"/>
      <c r="E36" s="134"/>
      <c r="F36" s="134"/>
      <c r="G36" s="134"/>
      <c r="H36" s="134"/>
      <c r="I36" s="134"/>
      <c r="J36" s="134"/>
      <c r="K36" s="134"/>
      <c r="L36" s="134"/>
      <c r="M36" s="134"/>
      <c r="N36" s="134"/>
      <c r="O36" s="134"/>
      <c r="P36" s="134"/>
      <c r="Q36" s="134"/>
      <c r="R36" s="134"/>
      <c r="S36" s="134"/>
      <c r="T36" s="134"/>
      <c r="U36" s="134"/>
    </row>
    <row r="37" spans="1:21" ht="18" customHeight="1">
      <c r="A37" s="91"/>
      <c r="B37" s="113" t="s">
        <v>21</v>
      </c>
      <c r="C37" s="114"/>
      <c r="D37" s="114"/>
      <c r="E37" s="114"/>
      <c r="F37" s="115"/>
      <c r="G37" s="46" t="s">
        <v>22</v>
      </c>
      <c r="H37" s="45" t="s">
        <v>23</v>
      </c>
      <c r="I37" s="14" t="s">
        <v>29</v>
      </c>
      <c r="J37" s="14" t="s">
        <v>30</v>
      </c>
      <c r="K37" s="113" t="s">
        <v>21</v>
      </c>
      <c r="L37" s="114"/>
      <c r="M37" s="114"/>
      <c r="N37" s="114"/>
      <c r="O37" s="114"/>
      <c r="P37" s="114"/>
      <c r="Q37" s="115"/>
      <c r="R37" s="46" t="s">
        <v>22</v>
      </c>
      <c r="S37" s="45" t="s">
        <v>23</v>
      </c>
      <c r="T37" s="14" t="s">
        <v>29</v>
      </c>
      <c r="U37" s="14" t="s">
        <v>30</v>
      </c>
    </row>
    <row r="38" spans="1:21" ht="18" customHeight="1">
      <c r="A38" s="91"/>
      <c r="B38" s="131" t="s">
        <v>26</v>
      </c>
      <c r="C38" s="132"/>
      <c r="D38" s="132"/>
      <c r="E38" s="132"/>
      <c r="F38" s="133"/>
      <c r="G38" s="15">
        <v>2</v>
      </c>
      <c r="H38" s="15" t="s">
        <v>27</v>
      </c>
      <c r="I38" s="15" t="s">
        <v>27</v>
      </c>
      <c r="J38" s="15" t="s">
        <v>27</v>
      </c>
      <c r="K38" s="131"/>
      <c r="L38" s="132"/>
      <c r="M38" s="132"/>
      <c r="N38" s="132"/>
      <c r="O38" s="132"/>
      <c r="P38" s="132"/>
      <c r="Q38" s="133"/>
      <c r="R38" s="15"/>
      <c r="S38" s="15"/>
      <c r="T38" s="15"/>
      <c r="U38" s="15"/>
    </row>
    <row r="39" spans="1:21" ht="18" customHeight="1">
      <c r="A39" s="91"/>
      <c r="B39" s="125"/>
      <c r="C39" s="126"/>
      <c r="D39" s="126"/>
      <c r="E39" s="126"/>
      <c r="F39" s="127"/>
      <c r="G39" s="16"/>
      <c r="H39" s="16"/>
      <c r="I39" s="16"/>
      <c r="J39" s="16"/>
      <c r="K39" s="125"/>
      <c r="L39" s="126"/>
      <c r="M39" s="126"/>
      <c r="N39" s="126"/>
      <c r="O39" s="126"/>
      <c r="P39" s="126"/>
      <c r="Q39" s="127"/>
      <c r="R39" s="16"/>
      <c r="S39" s="16"/>
      <c r="T39" s="16"/>
      <c r="U39" s="16"/>
    </row>
    <row r="40" spans="1:21" ht="18" customHeight="1">
      <c r="A40" s="91"/>
      <c r="B40" s="125"/>
      <c r="C40" s="126"/>
      <c r="D40" s="126"/>
      <c r="E40" s="126"/>
      <c r="F40" s="127"/>
      <c r="G40" s="16"/>
      <c r="H40" s="16"/>
      <c r="I40" s="16"/>
      <c r="J40" s="16"/>
      <c r="K40" s="125"/>
      <c r="L40" s="126"/>
      <c r="M40" s="126"/>
      <c r="N40" s="126"/>
      <c r="O40" s="126"/>
      <c r="P40" s="126"/>
      <c r="Q40" s="127"/>
      <c r="R40" s="16"/>
      <c r="S40" s="16"/>
      <c r="T40" s="16"/>
      <c r="U40" s="16"/>
    </row>
    <row r="41" spans="1:21" ht="18" customHeight="1">
      <c r="A41" s="91"/>
      <c r="B41" s="125"/>
      <c r="C41" s="126"/>
      <c r="D41" s="126"/>
      <c r="E41" s="126"/>
      <c r="F41" s="127"/>
      <c r="G41" s="16"/>
      <c r="H41" s="16"/>
      <c r="I41" s="16"/>
      <c r="J41" s="16"/>
      <c r="K41" s="125"/>
      <c r="L41" s="126"/>
      <c r="M41" s="126"/>
      <c r="N41" s="126"/>
      <c r="O41" s="126"/>
      <c r="P41" s="126"/>
      <c r="Q41" s="127"/>
      <c r="R41" s="16"/>
      <c r="S41" s="16"/>
      <c r="T41" s="16"/>
      <c r="U41" s="16"/>
    </row>
    <row r="42" spans="1:21" ht="18" customHeight="1">
      <c r="A42" s="91"/>
      <c r="B42" s="125"/>
      <c r="C42" s="126"/>
      <c r="D42" s="126"/>
      <c r="E42" s="126"/>
      <c r="F42" s="127"/>
      <c r="G42" s="16"/>
      <c r="H42" s="16"/>
      <c r="I42" s="16"/>
      <c r="J42" s="16"/>
      <c r="K42" s="125"/>
      <c r="L42" s="126"/>
      <c r="M42" s="126"/>
      <c r="N42" s="126"/>
      <c r="O42" s="126"/>
      <c r="P42" s="126"/>
      <c r="Q42" s="127"/>
      <c r="R42" s="16"/>
      <c r="S42" s="16"/>
      <c r="T42" s="16"/>
      <c r="U42" s="16"/>
    </row>
    <row r="43" spans="1:21" ht="18" customHeight="1">
      <c r="A43" s="91"/>
      <c r="B43" s="125"/>
      <c r="C43" s="126"/>
      <c r="D43" s="126"/>
      <c r="E43" s="126"/>
      <c r="F43" s="127"/>
      <c r="G43" s="16"/>
      <c r="H43" s="16"/>
      <c r="I43" s="16"/>
      <c r="J43" s="16"/>
      <c r="K43" s="125"/>
      <c r="L43" s="126"/>
      <c r="M43" s="126"/>
      <c r="N43" s="126"/>
      <c r="O43" s="126"/>
      <c r="P43" s="126"/>
      <c r="Q43" s="127"/>
      <c r="R43" s="16"/>
      <c r="S43" s="16"/>
      <c r="T43" s="16"/>
      <c r="U43" s="16"/>
    </row>
    <row r="44" spans="1:21" ht="18" customHeight="1">
      <c r="A44" s="91"/>
      <c r="B44" s="128"/>
      <c r="C44" s="129"/>
      <c r="D44" s="129"/>
      <c r="E44" s="129"/>
      <c r="F44" s="130"/>
      <c r="G44" s="17"/>
      <c r="H44" s="17"/>
      <c r="I44" s="18"/>
      <c r="J44" s="18"/>
      <c r="K44" s="128"/>
      <c r="L44" s="129"/>
      <c r="M44" s="129"/>
      <c r="N44" s="129"/>
      <c r="O44" s="129"/>
      <c r="P44" s="129"/>
      <c r="Q44" s="130"/>
      <c r="R44" s="17"/>
      <c r="S44" s="17"/>
      <c r="T44" s="18"/>
      <c r="U44" s="18"/>
    </row>
    <row r="45" spans="1:21" ht="7.5" customHeight="1">
      <c r="A45" s="90"/>
      <c r="B45" s="5"/>
      <c r="C45" s="5"/>
      <c r="D45" s="5"/>
      <c r="E45" s="90"/>
      <c r="F45" s="90"/>
      <c r="G45" s="90"/>
      <c r="H45" s="90"/>
      <c r="I45" s="5"/>
      <c r="J45" s="5"/>
      <c r="K45" s="5"/>
      <c r="L45" s="5"/>
      <c r="M45" s="5"/>
      <c r="N45" s="5"/>
      <c r="O45" s="5"/>
      <c r="P45" s="5"/>
      <c r="Q45" s="5"/>
      <c r="R45" s="5"/>
      <c r="S45" s="5"/>
      <c r="T45" s="5"/>
      <c r="U45" s="90"/>
    </row>
    <row r="46" spans="1:21" ht="18" customHeight="1">
      <c r="A46" s="134" t="s">
        <v>31</v>
      </c>
      <c r="B46" s="134"/>
      <c r="C46" s="134"/>
      <c r="D46" s="134"/>
      <c r="E46" s="134"/>
      <c r="F46" s="134"/>
      <c r="G46" s="134"/>
      <c r="H46" s="134"/>
      <c r="I46" s="134"/>
      <c r="J46" s="134"/>
      <c r="K46" s="134"/>
      <c r="L46" s="134"/>
      <c r="M46" s="134"/>
      <c r="N46" s="134"/>
      <c r="O46" s="134"/>
      <c r="P46" s="134"/>
      <c r="Q46" s="134"/>
      <c r="R46" s="134"/>
      <c r="S46" s="134"/>
      <c r="T46" s="134"/>
      <c r="U46" s="134"/>
    </row>
    <row r="47" spans="1:21" ht="18" customHeight="1">
      <c r="A47" s="134"/>
      <c r="B47" s="134"/>
      <c r="C47" s="134"/>
      <c r="D47" s="134"/>
      <c r="E47" s="134"/>
      <c r="F47" s="134"/>
      <c r="G47" s="134"/>
      <c r="H47" s="134"/>
      <c r="I47" s="134"/>
      <c r="J47" s="134"/>
      <c r="K47" s="134"/>
      <c r="L47" s="134"/>
      <c r="M47" s="134"/>
      <c r="N47" s="134"/>
      <c r="O47" s="134"/>
      <c r="P47" s="134"/>
      <c r="Q47" s="134"/>
      <c r="R47" s="134"/>
      <c r="S47" s="134"/>
      <c r="T47" s="134"/>
      <c r="U47" s="134"/>
    </row>
    <row r="48" spans="1:21" ht="18" customHeight="1">
      <c r="A48" s="91"/>
      <c r="B48" s="113" t="s">
        <v>21</v>
      </c>
      <c r="C48" s="114"/>
      <c r="D48" s="114"/>
      <c r="E48" s="114"/>
      <c r="F48" s="115"/>
      <c r="G48" s="46" t="s">
        <v>22</v>
      </c>
      <c r="H48" s="45" t="s">
        <v>23</v>
      </c>
      <c r="I48" s="14" t="s">
        <v>32</v>
      </c>
      <c r="J48" s="14" t="s">
        <v>33</v>
      </c>
      <c r="K48" s="113" t="s">
        <v>21</v>
      </c>
      <c r="L48" s="114"/>
      <c r="M48" s="114"/>
      <c r="N48" s="114"/>
      <c r="O48" s="114"/>
      <c r="P48" s="114"/>
      <c r="Q48" s="115"/>
      <c r="R48" s="46" t="s">
        <v>22</v>
      </c>
      <c r="S48" s="45" t="s">
        <v>23</v>
      </c>
      <c r="T48" s="14" t="s">
        <v>32</v>
      </c>
      <c r="U48" s="14" t="s">
        <v>33</v>
      </c>
    </row>
    <row r="49" spans="1:21" ht="18" customHeight="1">
      <c r="A49" s="90"/>
      <c r="B49" s="131" t="s">
        <v>26</v>
      </c>
      <c r="C49" s="132"/>
      <c r="D49" s="132"/>
      <c r="E49" s="132"/>
      <c r="F49" s="133"/>
      <c r="G49" s="15">
        <v>2</v>
      </c>
      <c r="H49" s="15" t="s">
        <v>27</v>
      </c>
      <c r="I49" s="15" t="s">
        <v>27</v>
      </c>
      <c r="J49" s="15" t="s">
        <v>27</v>
      </c>
      <c r="K49" s="131"/>
      <c r="L49" s="132"/>
      <c r="M49" s="132"/>
      <c r="N49" s="132"/>
      <c r="O49" s="132"/>
      <c r="P49" s="132"/>
      <c r="Q49" s="133"/>
      <c r="R49" s="15"/>
      <c r="S49" s="15"/>
      <c r="T49" s="15"/>
      <c r="U49" s="15"/>
    </row>
    <row r="50" spans="1:21" ht="18" customHeight="1">
      <c r="A50" s="90"/>
      <c r="B50" s="125"/>
      <c r="C50" s="126"/>
      <c r="D50" s="126"/>
      <c r="E50" s="126"/>
      <c r="F50" s="127"/>
      <c r="G50" s="16"/>
      <c r="H50" s="16"/>
      <c r="I50" s="16"/>
      <c r="J50" s="16"/>
      <c r="K50" s="125"/>
      <c r="L50" s="126"/>
      <c r="M50" s="126"/>
      <c r="N50" s="126"/>
      <c r="O50" s="126"/>
      <c r="P50" s="126"/>
      <c r="Q50" s="127"/>
      <c r="R50" s="16"/>
      <c r="S50" s="16"/>
      <c r="T50" s="16"/>
      <c r="U50" s="16"/>
    </row>
    <row r="51" spans="1:21" ht="18" customHeight="1">
      <c r="A51" s="90"/>
      <c r="B51" s="125"/>
      <c r="C51" s="126"/>
      <c r="D51" s="126"/>
      <c r="E51" s="126"/>
      <c r="F51" s="127"/>
      <c r="G51" s="16"/>
      <c r="H51" s="16"/>
      <c r="I51" s="16"/>
      <c r="J51" s="16"/>
      <c r="K51" s="125"/>
      <c r="L51" s="126"/>
      <c r="M51" s="126"/>
      <c r="N51" s="126"/>
      <c r="O51" s="126"/>
      <c r="P51" s="126"/>
      <c r="Q51" s="127"/>
      <c r="R51" s="16"/>
      <c r="S51" s="16"/>
      <c r="T51" s="16"/>
      <c r="U51" s="16"/>
    </row>
    <row r="52" spans="1:21" ht="18" customHeight="1">
      <c r="A52" s="90"/>
      <c r="B52" s="125"/>
      <c r="C52" s="126"/>
      <c r="D52" s="126"/>
      <c r="E52" s="126"/>
      <c r="F52" s="127"/>
      <c r="G52" s="16"/>
      <c r="H52" s="16"/>
      <c r="I52" s="16"/>
      <c r="J52" s="16"/>
      <c r="K52" s="125"/>
      <c r="L52" s="126"/>
      <c r="M52" s="126"/>
      <c r="N52" s="126"/>
      <c r="O52" s="126"/>
      <c r="P52" s="126"/>
      <c r="Q52" s="127"/>
      <c r="R52" s="16"/>
      <c r="S52" s="16"/>
      <c r="T52" s="16"/>
      <c r="U52" s="16"/>
    </row>
    <row r="53" spans="1:21" ht="18" customHeight="1">
      <c r="A53" s="90"/>
      <c r="B53" s="125"/>
      <c r="C53" s="126"/>
      <c r="D53" s="126"/>
      <c r="E53" s="126"/>
      <c r="F53" s="127"/>
      <c r="G53" s="16"/>
      <c r="H53" s="16"/>
      <c r="I53" s="16"/>
      <c r="J53" s="16"/>
      <c r="K53" s="125"/>
      <c r="L53" s="126"/>
      <c r="M53" s="126"/>
      <c r="N53" s="126"/>
      <c r="O53" s="126"/>
      <c r="P53" s="126"/>
      <c r="Q53" s="127"/>
      <c r="R53" s="16"/>
      <c r="S53" s="16"/>
      <c r="T53" s="16"/>
      <c r="U53" s="16"/>
    </row>
    <row r="54" spans="1:21" ht="18" customHeight="1">
      <c r="A54" s="90"/>
      <c r="B54" s="125"/>
      <c r="C54" s="126"/>
      <c r="D54" s="126"/>
      <c r="E54" s="126"/>
      <c r="F54" s="127"/>
      <c r="G54" s="16"/>
      <c r="H54" s="16"/>
      <c r="I54" s="16"/>
      <c r="J54" s="16"/>
      <c r="K54" s="125"/>
      <c r="L54" s="126"/>
      <c r="M54" s="126"/>
      <c r="N54" s="126"/>
      <c r="O54" s="126"/>
      <c r="P54" s="126"/>
      <c r="Q54" s="127"/>
      <c r="R54" s="16"/>
      <c r="S54" s="16"/>
      <c r="T54" s="16"/>
      <c r="U54" s="16"/>
    </row>
    <row r="55" spans="1:21" ht="18" customHeight="1">
      <c r="A55" s="90"/>
      <c r="B55" s="128"/>
      <c r="C55" s="129"/>
      <c r="D55" s="129"/>
      <c r="E55" s="129"/>
      <c r="F55" s="130"/>
      <c r="G55" s="17"/>
      <c r="H55" s="17"/>
      <c r="I55" s="18"/>
      <c r="J55" s="18"/>
      <c r="K55" s="128"/>
      <c r="L55" s="129"/>
      <c r="M55" s="129"/>
      <c r="N55" s="129"/>
      <c r="O55" s="129"/>
      <c r="P55" s="129"/>
      <c r="Q55" s="130"/>
      <c r="R55" s="17"/>
      <c r="S55" s="17"/>
      <c r="T55" s="18"/>
      <c r="U55" s="18"/>
    </row>
    <row r="56" spans="1:21" ht="7.5" customHeight="1">
      <c r="A56" s="91"/>
      <c r="B56" s="93"/>
      <c r="C56" s="93"/>
      <c r="D56" s="93"/>
      <c r="E56" s="93"/>
      <c r="F56" s="93"/>
      <c r="G56" s="93"/>
      <c r="H56" s="93"/>
      <c r="I56" s="93"/>
      <c r="J56" s="93"/>
      <c r="K56" s="93"/>
      <c r="L56" s="93"/>
      <c r="M56" s="93"/>
      <c r="N56" s="93"/>
      <c r="O56" s="93"/>
      <c r="P56" s="93"/>
      <c r="Q56" s="93"/>
      <c r="R56" s="93"/>
      <c r="S56" s="93"/>
      <c r="T56" s="93"/>
      <c r="U56" s="91"/>
    </row>
    <row r="57" spans="1:21" ht="18" customHeight="1">
      <c r="A57" s="134" t="s">
        <v>34</v>
      </c>
      <c r="B57" s="134"/>
      <c r="C57" s="134"/>
      <c r="D57" s="134"/>
      <c r="E57" s="134"/>
      <c r="F57" s="134"/>
      <c r="G57" s="134"/>
      <c r="H57" s="134"/>
      <c r="I57" s="134"/>
      <c r="J57" s="134"/>
      <c r="K57" s="134"/>
      <c r="L57" s="134"/>
      <c r="M57" s="134"/>
      <c r="N57" s="134"/>
      <c r="O57" s="134"/>
      <c r="P57" s="134"/>
      <c r="Q57" s="134"/>
      <c r="R57" s="134"/>
      <c r="S57" s="134"/>
      <c r="T57" s="134"/>
      <c r="U57" s="134"/>
    </row>
    <row r="58" spans="1:21" ht="18" customHeight="1">
      <c r="A58" s="134"/>
      <c r="B58" s="134"/>
      <c r="C58" s="134"/>
      <c r="D58" s="134"/>
      <c r="E58" s="134"/>
      <c r="F58" s="134"/>
      <c r="G58" s="134"/>
      <c r="H58" s="134"/>
      <c r="I58" s="134"/>
      <c r="J58" s="134"/>
      <c r="K58" s="134"/>
      <c r="L58" s="134"/>
      <c r="M58" s="134"/>
      <c r="N58" s="134"/>
      <c r="O58" s="134"/>
      <c r="P58" s="134"/>
      <c r="Q58" s="134"/>
      <c r="R58" s="134"/>
      <c r="S58" s="134"/>
      <c r="T58" s="134"/>
      <c r="U58" s="134"/>
    </row>
    <row r="59" spans="1:21" ht="18" customHeight="1">
      <c r="A59" s="91"/>
      <c r="B59" s="113" t="s">
        <v>21</v>
      </c>
      <c r="C59" s="114"/>
      <c r="D59" s="114"/>
      <c r="E59" s="114"/>
      <c r="F59" s="115"/>
      <c r="G59" s="46" t="s">
        <v>22</v>
      </c>
      <c r="H59" s="45" t="s">
        <v>23</v>
      </c>
      <c r="I59" s="14" t="s">
        <v>35</v>
      </c>
      <c r="J59" s="14" t="s">
        <v>36</v>
      </c>
      <c r="K59" s="113" t="s">
        <v>21</v>
      </c>
      <c r="L59" s="114"/>
      <c r="M59" s="114"/>
      <c r="N59" s="114"/>
      <c r="O59" s="114"/>
      <c r="P59" s="114"/>
      <c r="Q59" s="115"/>
      <c r="R59" s="46" t="s">
        <v>22</v>
      </c>
      <c r="S59" s="45" t="s">
        <v>23</v>
      </c>
      <c r="T59" s="14" t="s">
        <v>35</v>
      </c>
      <c r="U59" s="14" t="s">
        <v>36</v>
      </c>
    </row>
    <row r="60" spans="1:21" ht="18" customHeight="1">
      <c r="A60" s="90"/>
      <c r="B60" s="131" t="s">
        <v>26</v>
      </c>
      <c r="C60" s="132"/>
      <c r="D60" s="132"/>
      <c r="E60" s="132"/>
      <c r="F60" s="133"/>
      <c r="G60" s="15">
        <v>2</v>
      </c>
      <c r="H60" s="15" t="s">
        <v>27</v>
      </c>
      <c r="I60" s="15" t="s">
        <v>27</v>
      </c>
      <c r="J60" s="15" t="s">
        <v>27</v>
      </c>
      <c r="K60" s="131"/>
      <c r="L60" s="132"/>
      <c r="M60" s="132"/>
      <c r="N60" s="132"/>
      <c r="O60" s="132"/>
      <c r="P60" s="132"/>
      <c r="Q60" s="133"/>
      <c r="R60" s="15"/>
      <c r="S60" s="15"/>
      <c r="T60" s="15"/>
      <c r="U60" s="15"/>
    </row>
    <row r="61" spans="1:21" ht="18" customHeight="1">
      <c r="A61" s="90"/>
      <c r="B61" s="125"/>
      <c r="C61" s="126"/>
      <c r="D61" s="126"/>
      <c r="E61" s="126"/>
      <c r="F61" s="127"/>
      <c r="G61" s="16"/>
      <c r="H61" s="16"/>
      <c r="I61" s="16"/>
      <c r="J61" s="16"/>
      <c r="K61" s="125"/>
      <c r="L61" s="126"/>
      <c r="M61" s="126"/>
      <c r="N61" s="126"/>
      <c r="O61" s="126"/>
      <c r="P61" s="126"/>
      <c r="Q61" s="127"/>
      <c r="R61" s="16"/>
      <c r="S61" s="16"/>
      <c r="T61" s="16"/>
      <c r="U61" s="16"/>
    </row>
    <row r="62" spans="1:21" ht="18" customHeight="1">
      <c r="A62" s="90"/>
      <c r="B62" s="125"/>
      <c r="C62" s="126"/>
      <c r="D62" s="126"/>
      <c r="E62" s="126"/>
      <c r="F62" s="127"/>
      <c r="G62" s="16"/>
      <c r="H62" s="16"/>
      <c r="I62" s="16"/>
      <c r="J62" s="16"/>
      <c r="K62" s="125"/>
      <c r="L62" s="126"/>
      <c r="M62" s="126"/>
      <c r="N62" s="126"/>
      <c r="O62" s="126"/>
      <c r="P62" s="126"/>
      <c r="Q62" s="127"/>
      <c r="R62" s="16"/>
      <c r="S62" s="16"/>
      <c r="T62" s="16"/>
      <c r="U62" s="16"/>
    </row>
    <row r="63" spans="1:21" ht="18" customHeight="1">
      <c r="A63" s="90"/>
      <c r="B63" s="125"/>
      <c r="C63" s="126"/>
      <c r="D63" s="126"/>
      <c r="E63" s="126"/>
      <c r="F63" s="127"/>
      <c r="G63" s="16"/>
      <c r="H63" s="16"/>
      <c r="I63" s="16"/>
      <c r="J63" s="16"/>
      <c r="K63" s="125"/>
      <c r="L63" s="126"/>
      <c r="M63" s="126"/>
      <c r="N63" s="126"/>
      <c r="O63" s="126"/>
      <c r="P63" s="126"/>
      <c r="Q63" s="127"/>
      <c r="R63" s="16"/>
      <c r="S63" s="16"/>
      <c r="T63" s="16"/>
      <c r="U63" s="16"/>
    </row>
    <row r="64" spans="1:21" ht="18" customHeight="1">
      <c r="A64" s="90"/>
      <c r="B64" s="125"/>
      <c r="C64" s="126"/>
      <c r="D64" s="126"/>
      <c r="E64" s="126"/>
      <c r="F64" s="127"/>
      <c r="G64" s="16"/>
      <c r="H64" s="16"/>
      <c r="I64" s="16"/>
      <c r="J64" s="16"/>
      <c r="K64" s="125"/>
      <c r="L64" s="126"/>
      <c r="M64" s="126"/>
      <c r="N64" s="126"/>
      <c r="O64" s="126"/>
      <c r="P64" s="126"/>
      <c r="Q64" s="127"/>
      <c r="R64" s="16"/>
      <c r="S64" s="16"/>
      <c r="T64" s="16"/>
      <c r="U64" s="16"/>
    </row>
    <row r="65" spans="1:21" ht="18" customHeight="1">
      <c r="A65" s="90"/>
      <c r="B65" s="125"/>
      <c r="C65" s="126"/>
      <c r="D65" s="126"/>
      <c r="E65" s="126"/>
      <c r="F65" s="127"/>
      <c r="G65" s="16"/>
      <c r="H65" s="16"/>
      <c r="I65" s="16"/>
      <c r="J65" s="16"/>
      <c r="K65" s="125"/>
      <c r="L65" s="126"/>
      <c r="M65" s="126"/>
      <c r="N65" s="126"/>
      <c r="O65" s="126"/>
      <c r="P65" s="126"/>
      <c r="Q65" s="127"/>
      <c r="R65" s="16"/>
      <c r="S65" s="16"/>
      <c r="T65" s="16"/>
      <c r="U65" s="16"/>
    </row>
    <row r="66" spans="1:21" ht="18" customHeight="1">
      <c r="A66" s="90"/>
      <c r="B66" s="128"/>
      <c r="C66" s="129"/>
      <c r="D66" s="129"/>
      <c r="E66" s="129"/>
      <c r="F66" s="130"/>
      <c r="G66" s="17"/>
      <c r="H66" s="17"/>
      <c r="I66" s="18"/>
      <c r="J66" s="18"/>
      <c r="K66" s="128"/>
      <c r="L66" s="129"/>
      <c r="M66" s="129"/>
      <c r="N66" s="129"/>
      <c r="O66" s="129"/>
      <c r="P66" s="129"/>
      <c r="Q66" s="130"/>
      <c r="R66" s="17"/>
      <c r="S66" s="17"/>
      <c r="T66" s="18"/>
      <c r="U66" s="18"/>
    </row>
    <row r="67" spans="1:21" ht="7.5" customHeight="1">
      <c r="A67" s="91"/>
      <c r="B67" s="93"/>
      <c r="C67" s="93"/>
      <c r="D67" s="93"/>
      <c r="E67" s="93"/>
      <c r="F67" s="93"/>
      <c r="G67" s="93"/>
      <c r="H67" s="93"/>
      <c r="I67" s="93"/>
      <c r="J67" s="93"/>
      <c r="K67" s="93"/>
      <c r="L67" s="93"/>
      <c r="M67" s="93"/>
      <c r="N67" s="93"/>
      <c r="O67" s="93"/>
      <c r="P67" s="93"/>
      <c r="Q67" s="93"/>
      <c r="R67" s="93"/>
      <c r="S67" s="93"/>
      <c r="T67" s="93"/>
      <c r="U67" s="91"/>
    </row>
    <row r="68" spans="1:21" ht="18" customHeight="1">
      <c r="A68" s="134" t="s">
        <v>37</v>
      </c>
      <c r="B68" s="134"/>
      <c r="C68" s="134"/>
      <c r="D68" s="134"/>
      <c r="E68" s="134"/>
      <c r="F68" s="134"/>
      <c r="G68" s="134"/>
      <c r="H68" s="134"/>
      <c r="I68" s="134"/>
      <c r="J68" s="134"/>
      <c r="K68" s="134"/>
      <c r="L68" s="134"/>
      <c r="M68" s="134"/>
      <c r="N68" s="134"/>
      <c r="O68" s="134"/>
      <c r="P68" s="134"/>
      <c r="Q68" s="134"/>
      <c r="R68" s="134"/>
      <c r="S68" s="134"/>
      <c r="T68" s="134"/>
      <c r="U68" s="134"/>
    </row>
    <row r="69" spans="1:21" ht="18" customHeight="1">
      <c r="A69" s="134"/>
      <c r="B69" s="134"/>
      <c r="C69" s="134"/>
      <c r="D69" s="134"/>
      <c r="E69" s="134"/>
      <c r="F69" s="134"/>
      <c r="G69" s="134"/>
      <c r="H69" s="134"/>
      <c r="I69" s="134"/>
      <c r="J69" s="134"/>
      <c r="K69" s="134"/>
      <c r="L69" s="134"/>
      <c r="M69" s="134"/>
      <c r="N69" s="134"/>
      <c r="O69" s="134"/>
      <c r="P69" s="134"/>
      <c r="Q69" s="134"/>
      <c r="R69" s="134"/>
      <c r="S69" s="134"/>
      <c r="T69" s="134"/>
      <c r="U69" s="134"/>
    </row>
    <row r="70" spans="1:21" ht="18" customHeight="1">
      <c r="A70" s="91"/>
      <c r="B70" s="113" t="s">
        <v>21</v>
      </c>
      <c r="C70" s="114"/>
      <c r="D70" s="114"/>
      <c r="E70" s="114"/>
      <c r="F70" s="46" t="s">
        <v>22</v>
      </c>
      <c r="G70" s="45" t="s">
        <v>23</v>
      </c>
      <c r="H70" s="14" t="s">
        <v>38</v>
      </c>
      <c r="I70" s="14" t="s">
        <v>39</v>
      </c>
      <c r="J70" s="14" t="s">
        <v>40</v>
      </c>
      <c r="K70" s="113" t="s">
        <v>21</v>
      </c>
      <c r="L70" s="114"/>
      <c r="M70" s="114"/>
      <c r="N70" s="114"/>
      <c r="O70" s="114"/>
      <c r="P70" s="115"/>
      <c r="Q70" s="46" t="s">
        <v>22</v>
      </c>
      <c r="R70" s="45" t="s">
        <v>23</v>
      </c>
      <c r="S70" s="14" t="s">
        <v>38</v>
      </c>
      <c r="T70" s="14" t="s">
        <v>39</v>
      </c>
      <c r="U70" s="14" t="s">
        <v>40</v>
      </c>
    </row>
    <row r="71" spans="1:21" ht="18" customHeight="1">
      <c r="A71" s="90"/>
      <c r="B71" s="131" t="s">
        <v>26</v>
      </c>
      <c r="C71" s="132"/>
      <c r="D71" s="132"/>
      <c r="E71" s="132"/>
      <c r="F71" s="15">
        <v>2</v>
      </c>
      <c r="G71" s="15" t="s">
        <v>27</v>
      </c>
      <c r="H71" s="15" t="s">
        <v>27</v>
      </c>
      <c r="I71" s="15" t="s">
        <v>27</v>
      </c>
      <c r="J71" s="15" t="s">
        <v>27</v>
      </c>
      <c r="K71" s="131"/>
      <c r="L71" s="132"/>
      <c r="M71" s="132"/>
      <c r="N71" s="132"/>
      <c r="O71" s="132"/>
      <c r="P71" s="133"/>
      <c r="Q71" s="15"/>
      <c r="R71" s="15"/>
      <c r="S71" s="15"/>
      <c r="T71" s="15"/>
      <c r="U71" s="15"/>
    </row>
    <row r="72" spans="1:21" ht="18" customHeight="1">
      <c r="A72" s="90"/>
      <c r="B72" s="125"/>
      <c r="C72" s="126"/>
      <c r="D72" s="126"/>
      <c r="E72" s="126"/>
      <c r="F72" s="16"/>
      <c r="G72" s="16"/>
      <c r="H72" s="16"/>
      <c r="I72" s="16"/>
      <c r="J72" s="16"/>
      <c r="K72" s="125"/>
      <c r="L72" s="126"/>
      <c r="M72" s="126"/>
      <c r="N72" s="126"/>
      <c r="O72" s="126"/>
      <c r="P72" s="127"/>
      <c r="Q72" s="16"/>
      <c r="R72" s="16"/>
      <c r="S72" s="16"/>
      <c r="T72" s="16"/>
      <c r="U72" s="16"/>
    </row>
    <row r="73" spans="1:21" ht="18" customHeight="1">
      <c r="A73" s="90"/>
      <c r="B73" s="125"/>
      <c r="C73" s="126"/>
      <c r="D73" s="126"/>
      <c r="E73" s="126"/>
      <c r="F73" s="16"/>
      <c r="G73" s="16"/>
      <c r="H73" s="16"/>
      <c r="I73" s="16"/>
      <c r="J73" s="16"/>
      <c r="K73" s="125"/>
      <c r="L73" s="126"/>
      <c r="M73" s="126"/>
      <c r="N73" s="126"/>
      <c r="O73" s="126"/>
      <c r="P73" s="127"/>
      <c r="Q73" s="16"/>
      <c r="R73" s="16"/>
      <c r="S73" s="16"/>
      <c r="T73" s="16"/>
      <c r="U73" s="16"/>
    </row>
    <row r="74" spans="1:21" ht="18" customHeight="1">
      <c r="A74" s="90"/>
      <c r="B74" s="125"/>
      <c r="C74" s="126"/>
      <c r="D74" s="126"/>
      <c r="E74" s="126"/>
      <c r="F74" s="16"/>
      <c r="G74" s="16"/>
      <c r="H74" s="16"/>
      <c r="I74" s="16"/>
      <c r="J74" s="16"/>
      <c r="K74" s="125"/>
      <c r="L74" s="126"/>
      <c r="M74" s="126"/>
      <c r="N74" s="126"/>
      <c r="O74" s="126"/>
      <c r="P74" s="127"/>
      <c r="Q74" s="16"/>
      <c r="R74" s="16"/>
      <c r="S74" s="16"/>
      <c r="T74" s="16"/>
      <c r="U74" s="16"/>
    </row>
    <row r="75" spans="1:21" ht="18" customHeight="1">
      <c r="A75" s="90"/>
      <c r="B75" s="125"/>
      <c r="C75" s="126"/>
      <c r="D75" s="126"/>
      <c r="E75" s="126"/>
      <c r="F75" s="16"/>
      <c r="G75" s="16"/>
      <c r="H75" s="16"/>
      <c r="I75" s="16"/>
      <c r="J75" s="16"/>
      <c r="K75" s="125"/>
      <c r="L75" s="126"/>
      <c r="M75" s="126"/>
      <c r="N75" s="126"/>
      <c r="O75" s="126"/>
      <c r="P75" s="127"/>
      <c r="Q75" s="16"/>
      <c r="R75" s="16"/>
      <c r="S75" s="16"/>
      <c r="T75" s="16"/>
      <c r="U75" s="16"/>
    </row>
    <row r="76" spans="1:21" ht="18" customHeight="1">
      <c r="A76" s="90"/>
      <c r="B76" s="125"/>
      <c r="C76" s="126"/>
      <c r="D76" s="126"/>
      <c r="E76" s="126"/>
      <c r="F76" s="16"/>
      <c r="G76" s="16"/>
      <c r="H76" s="16"/>
      <c r="I76" s="16"/>
      <c r="J76" s="16"/>
      <c r="K76" s="125"/>
      <c r="L76" s="126"/>
      <c r="M76" s="126"/>
      <c r="N76" s="126"/>
      <c r="O76" s="126"/>
      <c r="P76" s="127"/>
      <c r="Q76" s="16"/>
      <c r="R76" s="16"/>
      <c r="S76" s="16"/>
      <c r="T76" s="16"/>
      <c r="U76" s="16"/>
    </row>
    <row r="77" spans="1:21" ht="18" customHeight="1">
      <c r="A77" s="90"/>
      <c r="B77" s="128"/>
      <c r="C77" s="129"/>
      <c r="D77" s="129"/>
      <c r="E77" s="129"/>
      <c r="F77" s="17"/>
      <c r="G77" s="17"/>
      <c r="H77" s="18"/>
      <c r="I77" s="18"/>
      <c r="J77" s="18"/>
      <c r="K77" s="128"/>
      <c r="L77" s="129"/>
      <c r="M77" s="129"/>
      <c r="N77" s="129"/>
      <c r="O77" s="129"/>
      <c r="P77" s="130"/>
      <c r="Q77" s="17"/>
      <c r="R77" s="17"/>
      <c r="S77" s="18"/>
      <c r="T77" s="18"/>
      <c r="U77" s="18"/>
    </row>
    <row r="78" spans="1:21" ht="7.5" customHeight="1">
      <c r="A78" s="91"/>
      <c r="B78" s="93"/>
      <c r="C78" s="93"/>
      <c r="D78" s="93"/>
      <c r="E78" s="93"/>
      <c r="F78" s="93"/>
      <c r="G78" s="93"/>
      <c r="H78" s="93"/>
      <c r="I78" s="93"/>
      <c r="J78" s="93"/>
      <c r="K78" s="93"/>
      <c r="L78" s="93"/>
      <c r="M78" s="93"/>
      <c r="N78" s="93"/>
      <c r="O78" s="93"/>
      <c r="P78" s="93"/>
      <c r="Q78" s="93"/>
      <c r="R78" s="93"/>
      <c r="S78" s="93"/>
      <c r="T78" s="93"/>
      <c r="U78" s="91"/>
    </row>
    <row r="79" spans="1:21" ht="18" customHeight="1">
      <c r="A79" s="81" t="s">
        <v>41</v>
      </c>
      <c r="B79" s="81"/>
      <c r="C79" s="81"/>
      <c r="D79" s="81"/>
      <c r="E79" s="81"/>
      <c r="F79" s="81"/>
      <c r="G79" s="91"/>
      <c r="H79" s="91"/>
      <c r="I79" s="90"/>
      <c r="J79" s="90"/>
      <c r="K79" s="90"/>
      <c r="L79" s="90"/>
      <c r="M79" s="90"/>
      <c r="N79" s="90"/>
      <c r="O79" s="90"/>
      <c r="P79" s="90"/>
      <c r="Q79" s="90"/>
      <c r="R79" s="90"/>
      <c r="S79" s="90"/>
      <c r="T79" s="90"/>
      <c r="U79" s="90"/>
    </row>
    <row r="80" spans="1:21" ht="18" customHeight="1">
      <c r="A80" s="91"/>
      <c r="B80" s="113" t="s">
        <v>21</v>
      </c>
      <c r="C80" s="114"/>
      <c r="D80" s="114"/>
      <c r="E80" s="114"/>
      <c r="F80" s="115"/>
      <c r="G80" s="113" t="s">
        <v>42</v>
      </c>
      <c r="H80" s="114"/>
      <c r="I80" s="114"/>
      <c r="J80" s="115"/>
      <c r="K80" s="164" t="s">
        <v>21</v>
      </c>
      <c r="L80" s="165"/>
      <c r="M80" s="165"/>
      <c r="N80" s="165"/>
      <c r="O80" s="165"/>
      <c r="P80" s="165"/>
      <c r="Q80" s="166"/>
      <c r="R80" s="113" t="s">
        <v>42</v>
      </c>
      <c r="S80" s="114"/>
      <c r="T80" s="114"/>
      <c r="U80" s="115"/>
    </row>
    <row r="81" spans="1:21" ht="18" customHeight="1">
      <c r="A81" s="90"/>
      <c r="B81" s="170"/>
      <c r="C81" s="171"/>
      <c r="D81" s="171"/>
      <c r="E81" s="171"/>
      <c r="F81" s="172"/>
      <c r="G81" s="173"/>
      <c r="H81" s="174"/>
      <c r="I81" s="174"/>
      <c r="J81" s="175"/>
      <c r="K81" s="131"/>
      <c r="L81" s="132"/>
      <c r="M81" s="132"/>
      <c r="N81" s="132"/>
      <c r="O81" s="132"/>
      <c r="P81" s="132"/>
      <c r="Q81" s="133"/>
      <c r="R81" s="167"/>
      <c r="S81" s="168"/>
      <c r="T81" s="168"/>
      <c r="U81" s="169"/>
    </row>
    <row r="82" spans="1:21" ht="18" customHeight="1">
      <c r="A82" s="90"/>
      <c r="B82" s="125"/>
      <c r="C82" s="126"/>
      <c r="D82" s="126"/>
      <c r="E82" s="126"/>
      <c r="F82" s="127"/>
      <c r="G82" s="156"/>
      <c r="H82" s="157"/>
      <c r="I82" s="157"/>
      <c r="J82" s="158"/>
      <c r="K82" s="125"/>
      <c r="L82" s="126"/>
      <c r="M82" s="126"/>
      <c r="N82" s="126"/>
      <c r="O82" s="126"/>
      <c r="P82" s="126"/>
      <c r="Q82" s="127"/>
      <c r="R82" s="156"/>
      <c r="S82" s="157"/>
      <c r="T82" s="157"/>
      <c r="U82" s="158"/>
    </row>
    <row r="83" spans="1:21" ht="18" customHeight="1">
      <c r="A83" s="90"/>
      <c r="B83" s="125"/>
      <c r="C83" s="126"/>
      <c r="D83" s="126"/>
      <c r="E83" s="126"/>
      <c r="F83" s="127"/>
      <c r="G83" s="156"/>
      <c r="H83" s="157"/>
      <c r="I83" s="157"/>
      <c r="J83" s="158"/>
      <c r="K83" s="125"/>
      <c r="L83" s="126"/>
      <c r="M83" s="126"/>
      <c r="N83" s="126"/>
      <c r="O83" s="126"/>
      <c r="P83" s="126"/>
      <c r="Q83" s="127"/>
      <c r="R83" s="156"/>
      <c r="S83" s="157"/>
      <c r="T83" s="157"/>
      <c r="U83" s="158"/>
    </row>
    <row r="84" spans="1:21" ht="18" customHeight="1">
      <c r="A84" s="90"/>
      <c r="B84" s="125"/>
      <c r="C84" s="126"/>
      <c r="D84" s="126"/>
      <c r="E84" s="126"/>
      <c r="F84" s="127"/>
      <c r="G84" s="156"/>
      <c r="H84" s="157"/>
      <c r="I84" s="157"/>
      <c r="J84" s="158"/>
      <c r="K84" s="125"/>
      <c r="L84" s="126"/>
      <c r="M84" s="126"/>
      <c r="N84" s="126"/>
      <c r="O84" s="126"/>
      <c r="P84" s="126"/>
      <c r="Q84" s="127"/>
      <c r="R84" s="156"/>
      <c r="S84" s="157"/>
      <c r="T84" s="157"/>
      <c r="U84" s="158"/>
    </row>
    <row r="85" spans="1:21" ht="18" customHeight="1">
      <c r="A85" s="90"/>
      <c r="B85" s="125"/>
      <c r="C85" s="126"/>
      <c r="D85" s="126"/>
      <c r="E85" s="126"/>
      <c r="F85" s="127"/>
      <c r="G85" s="156"/>
      <c r="H85" s="157"/>
      <c r="I85" s="157"/>
      <c r="J85" s="158"/>
      <c r="K85" s="125"/>
      <c r="L85" s="126"/>
      <c r="M85" s="126"/>
      <c r="N85" s="126"/>
      <c r="O85" s="126"/>
      <c r="P85" s="126"/>
      <c r="Q85" s="127"/>
      <c r="R85" s="156"/>
      <c r="S85" s="157"/>
      <c r="T85" s="157"/>
      <c r="U85" s="158"/>
    </row>
    <row r="86" spans="1:21" ht="18" customHeight="1">
      <c r="A86" s="90"/>
      <c r="B86" s="125"/>
      <c r="C86" s="126"/>
      <c r="D86" s="126"/>
      <c r="E86" s="126"/>
      <c r="F86" s="127"/>
      <c r="G86" s="156"/>
      <c r="H86" s="157"/>
      <c r="I86" s="157"/>
      <c r="J86" s="158"/>
      <c r="K86" s="125"/>
      <c r="L86" s="126"/>
      <c r="M86" s="126"/>
      <c r="N86" s="126"/>
      <c r="O86" s="126"/>
      <c r="P86" s="126"/>
      <c r="Q86" s="127"/>
      <c r="R86" s="156"/>
      <c r="S86" s="157"/>
      <c r="T86" s="157"/>
      <c r="U86" s="158"/>
    </row>
    <row r="87" spans="1:21" ht="18" customHeight="1">
      <c r="A87" s="90"/>
      <c r="B87" s="128"/>
      <c r="C87" s="129"/>
      <c r="D87" s="129"/>
      <c r="E87" s="129"/>
      <c r="F87" s="130"/>
      <c r="G87" s="153"/>
      <c r="H87" s="154"/>
      <c r="I87" s="154"/>
      <c r="J87" s="155"/>
      <c r="K87" s="128"/>
      <c r="L87" s="129"/>
      <c r="M87" s="129"/>
      <c r="N87" s="129"/>
      <c r="O87" s="129"/>
      <c r="P87" s="129"/>
      <c r="Q87" s="130"/>
      <c r="R87" s="153"/>
      <c r="S87" s="154"/>
      <c r="T87" s="154"/>
      <c r="U87" s="155"/>
    </row>
    <row r="88" spans="1:21" ht="18" customHeight="1">
      <c r="A88" s="90"/>
      <c r="B88" s="5"/>
      <c r="C88" s="5"/>
      <c r="D88" s="5"/>
      <c r="E88" s="5"/>
      <c r="F88" s="5"/>
      <c r="G88" s="19"/>
      <c r="H88" s="19"/>
      <c r="I88" s="19"/>
      <c r="J88" s="19"/>
      <c r="K88" s="5"/>
      <c r="L88" s="5"/>
      <c r="M88" s="5"/>
      <c r="N88" s="5"/>
      <c r="O88" s="5"/>
      <c r="P88" s="5"/>
      <c r="Q88" s="5"/>
      <c r="R88" s="19"/>
      <c r="S88" s="19"/>
      <c r="T88" s="19"/>
      <c r="U88" s="19"/>
    </row>
    <row r="89" spans="1:21" ht="18.75" customHeight="1">
      <c r="A89" s="91" t="s">
        <v>43</v>
      </c>
      <c r="B89" s="91"/>
      <c r="C89" s="91"/>
      <c r="D89" s="91"/>
      <c r="E89" s="91"/>
      <c r="F89" s="91"/>
      <c r="G89" s="91"/>
      <c r="H89" s="91"/>
      <c r="I89" s="91"/>
      <c r="J89" s="91"/>
      <c r="K89" s="91"/>
      <c r="L89" s="91"/>
      <c r="M89" s="91"/>
      <c r="N89" s="91"/>
      <c r="O89" s="91"/>
      <c r="P89" s="91"/>
      <c r="Q89" s="91"/>
      <c r="R89" s="91"/>
      <c r="S89" s="91"/>
      <c r="T89" s="91"/>
      <c r="U89" s="91"/>
    </row>
    <row r="90" spans="1:21" ht="18.75" customHeight="1">
      <c r="A90" s="91"/>
      <c r="B90" s="162" t="s">
        <v>44</v>
      </c>
      <c r="C90" s="163"/>
      <c r="D90" s="113" t="s">
        <v>45</v>
      </c>
      <c r="E90" s="114"/>
      <c r="F90" s="114"/>
      <c r="G90" s="114"/>
      <c r="H90" s="114"/>
      <c r="I90" s="114"/>
      <c r="J90" s="114"/>
      <c r="K90" s="114"/>
      <c r="L90" s="114"/>
      <c r="M90" s="114"/>
      <c r="N90" s="114"/>
      <c r="O90" s="114"/>
      <c r="P90" s="114"/>
      <c r="Q90" s="114"/>
      <c r="R90" s="114"/>
      <c r="S90" s="114"/>
      <c r="T90" s="114"/>
      <c r="U90" s="115"/>
    </row>
    <row r="91" spans="1:21" ht="97.5" customHeight="1">
      <c r="A91" s="91"/>
      <c r="B91" s="159" t="s">
        <v>46</v>
      </c>
      <c r="C91" s="20" t="s">
        <v>24</v>
      </c>
      <c r="D91" s="116" t="s">
        <v>47</v>
      </c>
      <c r="E91" s="117"/>
      <c r="F91" s="117"/>
      <c r="G91" s="117"/>
      <c r="H91" s="117"/>
      <c r="I91" s="117"/>
      <c r="J91" s="117"/>
      <c r="K91" s="117"/>
      <c r="L91" s="117"/>
      <c r="M91" s="117"/>
      <c r="N91" s="117"/>
      <c r="O91" s="117"/>
      <c r="P91" s="117"/>
      <c r="Q91" s="117"/>
      <c r="R91" s="117"/>
      <c r="S91" s="117"/>
      <c r="T91" s="117"/>
      <c r="U91" s="118"/>
    </row>
    <row r="92" spans="1:21" ht="97.5" customHeight="1">
      <c r="A92" s="91"/>
      <c r="B92" s="160"/>
      <c r="C92" s="21" t="s">
        <v>48</v>
      </c>
      <c r="D92" s="104" t="s">
        <v>49</v>
      </c>
      <c r="E92" s="105"/>
      <c r="F92" s="105"/>
      <c r="G92" s="105"/>
      <c r="H92" s="105"/>
      <c r="I92" s="105"/>
      <c r="J92" s="105"/>
      <c r="K92" s="105"/>
      <c r="L92" s="105"/>
      <c r="M92" s="105"/>
      <c r="N92" s="105"/>
      <c r="O92" s="105"/>
      <c r="P92" s="105"/>
      <c r="Q92" s="105"/>
      <c r="R92" s="105"/>
      <c r="S92" s="105"/>
      <c r="T92" s="105"/>
      <c r="U92" s="106"/>
    </row>
    <row r="93" spans="1:21" ht="97.5" customHeight="1">
      <c r="A93" s="91"/>
      <c r="B93" s="159" t="s">
        <v>50</v>
      </c>
      <c r="C93" s="22" t="s">
        <v>29</v>
      </c>
      <c r="D93" s="116" t="s">
        <v>51</v>
      </c>
      <c r="E93" s="117"/>
      <c r="F93" s="117"/>
      <c r="G93" s="117"/>
      <c r="H93" s="117"/>
      <c r="I93" s="117"/>
      <c r="J93" s="117"/>
      <c r="K93" s="117"/>
      <c r="L93" s="117"/>
      <c r="M93" s="117"/>
      <c r="N93" s="117"/>
      <c r="O93" s="117"/>
      <c r="P93" s="117"/>
      <c r="Q93" s="117"/>
      <c r="R93" s="117"/>
      <c r="S93" s="117"/>
      <c r="T93" s="117"/>
      <c r="U93" s="118"/>
    </row>
    <row r="94" spans="1:21" ht="97.5" customHeight="1">
      <c r="A94" s="91"/>
      <c r="B94" s="161"/>
      <c r="C94" s="23" t="s">
        <v>30</v>
      </c>
      <c r="D94" s="104" t="s">
        <v>52</v>
      </c>
      <c r="E94" s="105"/>
      <c r="F94" s="105"/>
      <c r="G94" s="105"/>
      <c r="H94" s="105"/>
      <c r="I94" s="105"/>
      <c r="J94" s="105"/>
      <c r="K94" s="105"/>
      <c r="L94" s="105"/>
      <c r="M94" s="105"/>
      <c r="N94" s="105"/>
      <c r="O94" s="105"/>
      <c r="P94" s="105"/>
      <c r="Q94" s="105"/>
      <c r="R94" s="105"/>
      <c r="S94" s="105"/>
      <c r="T94" s="105"/>
      <c r="U94" s="106"/>
    </row>
    <row r="95" spans="1:21" ht="97.5" customHeight="1">
      <c r="A95" s="91"/>
      <c r="B95" s="159" t="s">
        <v>53</v>
      </c>
      <c r="C95" s="22" t="s">
        <v>32</v>
      </c>
      <c r="D95" s="116" t="s">
        <v>54</v>
      </c>
      <c r="E95" s="117"/>
      <c r="F95" s="117"/>
      <c r="G95" s="117"/>
      <c r="H95" s="117"/>
      <c r="I95" s="117"/>
      <c r="J95" s="117"/>
      <c r="K95" s="117"/>
      <c r="L95" s="117"/>
      <c r="M95" s="117"/>
      <c r="N95" s="117"/>
      <c r="O95" s="117"/>
      <c r="P95" s="117"/>
      <c r="Q95" s="117"/>
      <c r="R95" s="117"/>
      <c r="S95" s="117"/>
      <c r="T95" s="117"/>
      <c r="U95" s="118"/>
    </row>
    <row r="96" spans="1:21" ht="97.5" customHeight="1">
      <c r="A96" s="91"/>
      <c r="B96" s="161"/>
      <c r="C96" s="24" t="s">
        <v>33</v>
      </c>
      <c r="D96" s="104" t="s">
        <v>55</v>
      </c>
      <c r="E96" s="105"/>
      <c r="F96" s="105"/>
      <c r="G96" s="105"/>
      <c r="H96" s="105"/>
      <c r="I96" s="105"/>
      <c r="J96" s="105"/>
      <c r="K96" s="105"/>
      <c r="L96" s="105"/>
      <c r="M96" s="105"/>
      <c r="N96" s="105"/>
      <c r="O96" s="105"/>
      <c r="P96" s="105"/>
      <c r="Q96" s="105"/>
      <c r="R96" s="105"/>
      <c r="S96" s="105"/>
      <c r="T96" s="105"/>
      <c r="U96" s="106"/>
    </row>
    <row r="97" spans="1:33" ht="97.5" customHeight="1">
      <c r="A97" s="91"/>
      <c r="B97" s="159" t="s">
        <v>56</v>
      </c>
      <c r="C97" s="20" t="s">
        <v>35</v>
      </c>
      <c r="D97" s="98" t="s">
        <v>57</v>
      </c>
      <c r="E97" s="99"/>
      <c r="F97" s="99"/>
      <c r="G97" s="99"/>
      <c r="H97" s="99"/>
      <c r="I97" s="99"/>
      <c r="J97" s="99"/>
      <c r="K97" s="99"/>
      <c r="L97" s="99"/>
      <c r="M97" s="99"/>
      <c r="N97" s="99"/>
      <c r="O97" s="99"/>
      <c r="P97" s="99"/>
      <c r="Q97" s="99"/>
      <c r="R97" s="99"/>
      <c r="S97" s="99"/>
      <c r="T97" s="99"/>
      <c r="U97" s="100"/>
      <c r="V97" s="91"/>
      <c r="W97" s="91"/>
      <c r="X97" s="91"/>
      <c r="Y97" s="91"/>
      <c r="Z97" s="91"/>
      <c r="AA97" s="91"/>
      <c r="AB97" s="91"/>
      <c r="AC97" s="91"/>
      <c r="AD97" s="91"/>
      <c r="AE97" s="91"/>
      <c r="AF97" s="91"/>
      <c r="AG97" s="91"/>
    </row>
    <row r="98" spans="1:33" ht="97.5" customHeight="1">
      <c r="A98" s="91"/>
      <c r="B98" s="161"/>
      <c r="C98" s="23" t="s">
        <v>36</v>
      </c>
      <c r="D98" s="95" t="s">
        <v>58</v>
      </c>
      <c r="E98" s="96"/>
      <c r="F98" s="96"/>
      <c r="G98" s="96"/>
      <c r="H98" s="96"/>
      <c r="I98" s="96"/>
      <c r="J98" s="96"/>
      <c r="K98" s="96"/>
      <c r="L98" s="96"/>
      <c r="M98" s="96"/>
      <c r="N98" s="96"/>
      <c r="O98" s="96"/>
      <c r="P98" s="96"/>
      <c r="Q98" s="96"/>
      <c r="R98" s="96"/>
      <c r="S98" s="96"/>
      <c r="T98" s="96"/>
      <c r="U98" s="97"/>
      <c r="V98" s="91"/>
      <c r="W98" s="91"/>
      <c r="X98" s="91"/>
      <c r="Y98" s="91"/>
      <c r="Z98" s="91"/>
      <c r="AA98" s="91"/>
      <c r="AB98" s="91"/>
      <c r="AC98" s="91"/>
      <c r="AD98" s="91"/>
      <c r="AE98" s="91"/>
      <c r="AF98" s="91"/>
      <c r="AG98" s="91"/>
    </row>
    <row r="99" spans="1:33" ht="97.5" customHeight="1">
      <c r="A99" s="91"/>
      <c r="B99" s="159" t="s">
        <v>59</v>
      </c>
      <c r="C99" s="82" t="s">
        <v>60</v>
      </c>
      <c r="D99" s="98" t="s">
        <v>61</v>
      </c>
      <c r="E99" s="99"/>
      <c r="F99" s="99"/>
      <c r="G99" s="99"/>
      <c r="H99" s="99"/>
      <c r="I99" s="99"/>
      <c r="J99" s="99"/>
      <c r="K99" s="99"/>
      <c r="L99" s="99"/>
      <c r="M99" s="99"/>
      <c r="N99" s="99"/>
      <c r="O99" s="99"/>
      <c r="P99" s="99"/>
      <c r="Q99" s="99"/>
      <c r="R99" s="99"/>
      <c r="S99" s="99"/>
      <c r="T99" s="99"/>
      <c r="U99" s="100"/>
      <c r="V99" s="91"/>
      <c r="W99" s="91"/>
      <c r="X99" s="91"/>
      <c r="Y99" s="91"/>
      <c r="Z99" s="91"/>
      <c r="AA99" s="91"/>
      <c r="AB99" s="91"/>
      <c r="AC99" s="91"/>
      <c r="AD99" s="91"/>
      <c r="AE99" s="91"/>
      <c r="AF99" s="91"/>
      <c r="AG99" s="91"/>
    </row>
    <row r="100" spans="1:33" ht="97.5" customHeight="1">
      <c r="A100" s="91"/>
      <c r="B100" s="160"/>
      <c r="C100" s="83" t="s">
        <v>39</v>
      </c>
      <c r="D100" s="101" t="s">
        <v>62</v>
      </c>
      <c r="E100" s="102"/>
      <c r="F100" s="102"/>
      <c r="G100" s="102"/>
      <c r="H100" s="102"/>
      <c r="I100" s="102"/>
      <c r="J100" s="102"/>
      <c r="K100" s="102"/>
      <c r="L100" s="102"/>
      <c r="M100" s="102"/>
      <c r="N100" s="102"/>
      <c r="O100" s="102"/>
      <c r="P100" s="102"/>
      <c r="Q100" s="102"/>
      <c r="R100" s="102"/>
      <c r="S100" s="102"/>
      <c r="T100" s="102"/>
      <c r="U100" s="103"/>
      <c r="V100" s="91"/>
      <c r="W100" s="91"/>
      <c r="X100" s="91"/>
      <c r="Y100" s="91"/>
      <c r="Z100" s="91"/>
      <c r="AA100" s="91"/>
      <c r="AB100" s="91"/>
      <c r="AC100" s="91"/>
      <c r="AD100" s="91"/>
      <c r="AE100" s="91"/>
      <c r="AF100" s="91"/>
      <c r="AG100" s="91"/>
    </row>
    <row r="101" spans="1:33" ht="97.5" customHeight="1">
      <c r="A101" s="91"/>
      <c r="B101" s="161"/>
      <c r="C101" s="24" t="s">
        <v>40</v>
      </c>
      <c r="D101" s="104" t="s">
        <v>63</v>
      </c>
      <c r="E101" s="105"/>
      <c r="F101" s="105"/>
      <c r="G101" s="105"/>
      <c r="H101" s="105"/>
      <c r="I101" s="105"/>
      <c r="J101" s="105"/>
      <c r="K101" s="105"/>
      <c r="L101" s="105"/>
      <c r="M101" s="105"/>
      <c r="N101" s="105"/>
      <c r="O101" s="105"/>
      <c r="P101" s="105"/>
      <c r="Q101" s="105"/>
      <c r="R101" s="105"/>
      <c r="S101" s="105"/>
      <c r="T101" s="105"/>
      <c r="U101" s="106"/>
      <c r="V101" s="91"/>
      <c r="W101" s="91"/>
      <c r="X101" s="91"/>
      <c r="Y101" s="91"/>
      <c r="Z101" s="91"/>
      <c r="AA101" s="91"/>
      <c r="AB101" s="91"/>
      <c r="AC101" s="91"/>
      <c r="AD101" s="91"/>
      <c r="AE101" s="91"/>
      <c r="AF101" s="91"/>
      <c r="AG101" s="91"/>
    </row>
    <row r="102" spans="1:33" ht="6"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row>
    <row r="103" spans="1:33" ht="18.75" customHeight="1">
      <c r="A103" s="91" t="s">
        <v>64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row>
    <row r="104" spans="1:33" ht="81.75" customHeight="1">
      <c r="A104" s="91"/>
      <c r="B104" s="150" t="s">
        <v>65</v>
      </c>
      <c r="C104" s="151"/>
      <c r="D104" s="151"/>
      <c r="E104" s="151"/>
      <c r="F104" s="151"/>
      <c r="G104" s="151"/>
      <c r="H104" s="151"/>
      <c r="I104" s="151"/>
      <c r="J104" s="151"/>
      <c r="K104" s="151"/>
      <c r="L104" s="151"/>
      <c r="M104" s="151"/>
      <c r="N104" s="151"/>
      <c r="O104" s="151"/>
      <c r="P104" s="151"/>
      <c r="Q104" s="151"/>
      <c r="R104" s="151"/>
      <c r="S104" s="151"/>
      <c r="T104" s="151"/>
      <c r="U104" s="152"/>
      <c r="V104" s="91"/>
      <c r="W104" s="91"/>
      <c r="X104" s="91"/>
      <c r="Y104" s="91"/>
      <c r="Z104" s="91"/>
      <c r="AA104" s="91"/>
      <c r="AB104" s="91"/>
      <c r="AC104" s="91"/>
      <c r="AD104" s="91"/>
      <c r="AE104" s="91"/>
      <c r="AF104" s="91"/>
      <c r="AG104" s="91"/>
    </row>
    <row r="106" spans="1:33" ht="18.75" customHeight="1">
      <c r="A106" s="68" t="s">
        <v>66</v>
      </c>
      <c r="B106" s="69"/>
      <c r="C106" s="69"/>
      <c r="D106" s="69"/>
      <c r="E106" s="69"/>
      <c r="F106" s="69"/>
      <c r="G106" s="69"/>
      <c r="H106" s="69"/>
      <c r="I106" s="69"/>
      <c r="J106" s="69"/>
      <c r="K106" s="69"/>
      <c r="L106" s="69"/>
      <c r="M106" s="69"/>
      <c r="N106" s="69"/>
      <c r="O106" s="69"/>
      <c r="P106" s="69"/>
      <c r="Q106" s="69"/>
      <c r="R106" s="69"/>
      <c r="S106" s="69"/>
      <c r="T106" s="69"/>
      <c r="U106" s="69"/>
      <c r="V106" s="91"/>
      <c r="W106" s="91"/>
      <c r="X106" s="91"/>
      <c r="Y106" s="91"/>
      <c r="Z106" s="91"/>
      <c r="AA106" s="91"/>
      <c r="AB106" s="91"/>
      <c r="AC106" s="91"/>
      <c r="AD106" s="91"/>
      <c r="AE106" s="91"/>
      <c r="AF106" s="91"/>
      <c r="AG106" s="91"/>
    </row>
    <row r="107" spans="1:33" ht="18.75" customHeight="1">
      <c r="A107" s="68" t="s">
        <v>67</v>
      </c>
      <c r="B107" s="68"/>
      <c r="C107" s="68"/>
      <c r="D107" s="68"/>
      <c r="E107" s="68"/>
      <c r="F107" s="68"/>
      <c r="G107" s="68"/>
      <c r="H107" s="68"/>
      <c r="I107" s="68"/>
      <c r="J107" s="68"/>
      <c r="K107" s="68"/>
      <c r="L107" s="68"/>
      <c r="M107" s="68"/>
      <c r="N107" s="68"/>
      <c r="O107" s="68"/>
      <c r="P107" s="68"/>
      <c r="Q107" s="68"/>
      <c r="R107" s="68"/>
      <c r="S107" s="68"/>
      <c r="T107" s="68"/>
      <c r="U107" s="68"/>
      <c r="V107" s="2"/>
      <c r="W107" s="2"/>
      <c r="X107" s="2"/>
      <c r="Y107" s="2"/>
      <c r="Z107" s="2"/>
      <c r="AA107" s="2"/>
      <c r="AB107" s="2"/>
      <c r="AC107" s="2"/>
      <c r="AD107" s="2"/>
      <c r="AE107" s="2"/>
      <c r="AF107" s="2"/>
      <c r="AG107" s="2"/>
    </row>
    <row r="108" spans="1:33" ht="18.75" customHeight="1">
      <c r="A108" s="68"/>
      <c r="B108" s="94" t="s">
        <v>68</v>
      </c>
      <c r="C108" s="94"/>
      <c r="D108" s="94"/>
      <c r="E108" s="94"/>
      <c r="F108" s="94"/>
      <c r="G108" s="94"/>
      <c r="H108" s="94"/>
      <c r="I108" s="94"/>
      <c r="J108" s="94"/>
      <c r="K108" s="94"/>
      <c r="L108" s="94"/>
      <c r="M108" s="94"/>
      <c r="N108" s="94"/>
      <c r="O108" s="94"/>
      <c r="P108" s="94"/>
      <c r="Q108" s="94"/>
      <c r="R108" s="94"/>
      <c r="S108" s="94"/>
      <c r="T108" s="94"/>
      <c r="U108" s="94"/>
      <c r="V108" s="66"/>
      <c r="W108" s="66"/>
      <c r="X108" s="66"/>
      <c r="Y108" s="66"/>
      <c r="Z108" s="66"/>
      <c r="AA108" s="66"/>
      <c r="AB108" s="66"/>
      <c r="AC108" s="66"/>
      <c r="AD108" s="66"/>
      <c r="AE108" s="66"/>
      <c r="AF108" s="66"/>
      <c r="AG108" s="66"/>
    </row>
    <row r="109" spans="1:33" ht="37.15" customHeight="1">
      <c r="A109" s="68"/>
      <c r="B109" s="94"/>
      <c r="C109" s="94"/>
      <c r="D109" s="94"/>
      <c r="E109" s="94"/>
      <c r="F109" s="94"/>
      <c r="G109" s="94"/>
      <c r="H109" s="94"/>
      <c r="I109" s="94"/>
      <c r="J109" s="94"/>
      <c r="K109" s="94"/>
      <c r="L109" s="94"/>
      <c r="M109" s="94"/>
      <c r="N109" s="94"/>
      <c r="O109" s="94"/>
      <c r="P109" s="94"/>
      <c r="Q109" s="94"/>
      <c r="R109" s="94"/>
      <c r="S109" s="94"/>
      <c r="T109" s="94"/>
      <c r="U109" s="94"/>
      <c r="V109" s="66"/>
      <c r="W109" s="66"/>
      <c r="X109" s="66"/>
      <c r="Y109" s="66"/>
      <c r="Z109" s="66"/>
      <c r="AA109" s="66"/>
      <c r="AB109" s="66"/>
      <c r="AC109" s="66"/>
      <c r="AD109" s="66"/>
      <c r="AE109" s="66"/>
      <c r="AF109" s="66"/>
      <c r="AG109" s="66"/>
    </row>
    <row r="110" spans="1:33" ht="18.75" customHeight="1">
      <c r="A110" s="68"/>
      <c r="B110" s="176" t="s">
        <v>69</v>
      </c>
      <c r="C110" s="176"/>
      <c r="D110" s="176"/>
      <c r="E110" s="176"/>
      <c r="F110" s="176"/>
      <c r="G110" s="176"/>
      <c r="H110" s="176"/>
      <c r="I110" s="176"/>
      <c r="J110" s="176"/>
      <c r="K110" s="176"/>
      <c r="L110" s="176"/>
      <c r="M110" s="176"/>
      <c r="N110" s="176"/>
      <c r="O110" s="176"/>
      <c r="P110" s="176"/>
      <c r="Q110" s="176"/>
      <c r="R110" s="176"/>
      <c r="S110" s="176"/>
      <c r="T110" s="176"/>
      <c r="U110" s="176"/>
      <c r="V110" s="66"/>
      <c r="W110" s="66"/>
      <c r="X110" s="66"/>
      <c r="Y110" s="66"/>
      <c r="Z110" s="66"/>
      <c r="AA110" s="66"/>
      <c r="AB110" s="66"/>
      <c r="AC110" s="66"/>
      <c r="AD110" s="66"/>
      <c r="AE110" s="66"/>
      <c r="AF110" s="66"/>
      <c r="AG110" s="66"/>
    </row>
    <row r="111" spans="1:33" ht="18.75" customHeight="1">
      <c r="A111" s="68"/>
      <c r="B111" s="177" t="s">
        <v>45</v>
      </c>
      <c r="C111" s="177"/>
      <c r="D111" s="177"/>
      <c r="E111" s="177"/>
      <c r="F111" s="177"/>
      <c r="G111" s="177"/>
      <c r="H111" s="177"/>
      <c r="I111" s="177"/>
      <c r="J111" s="177"/>
      <c r="K111" s="177"/>
      <c r="L111" s="177"/>
      <c r="M111" s="177"/>
      <c r="N111" s="177"/>
      <c r="O111" s="177"/>
      <c r="P111" s="177"/>
      <c r="Q111" s="177"/>
      <c r="R111" s="177"/>
      <c r="S111" s="177"/>
      <c r="T111" s="177"/>
      <c r="U111" s="177"/>
      <c r="V111" s="65"/>
      <c r="W111" s="65"/>
      <c r="X111" s="65"/>
      <c r="Y111" s="65"/>
      <c r="Z111" s="65"/>
      <c r="AA111" s="65"/>
      <c r="AB111" s="65"/>
      <c r="AC111" s="65"/>
      <c r="AD111" s="65"/>
      <c r="AE111" s="65"/>
      <c r="AF111" s="65"/>
      <c r="AG111" s="65"/>
    </row>
    <row r="112" spans="1:33" ht="132" customHeight="1">
      <c r="A112" s="68"/>
      <c r="B112" s="178" t="s">
        <v>70</v>
      </c>
      <c r="C112" s="178"/>
      <c r="D112" s="178"/>
      <c r="E112" s="178"/>
      <c r="F112" s="178"/>
      <c r="G112" s="178"/>
      <c r="H112" s="178"/>
      <c r="I112" s="178"/>
      <c r="J112" s="178"/>
      <c r="K112" s="178"/>
      <c r="L112" s="178"/>
      <c r="M112" s="178"/>
      <c r="N112" s="178"/>
      <c r="O112" s="178"/>
      <c r="P112" s="178"/>
      <c r="Q112" s="178"/>
      <c r="R112" s="178"/>
      <c r="S112" s="178"/>
      <c r="T112" s="178"/>
      <c r="U112" s="178"/>
      <c r="V112" s="67"/>
      <c r="W112" s="67"/>
      <c r="X112" s="67"/>
      <c r="Y112" s="67"/>
      <c r="Z112" s="67"/>
      <c r="AA112" s="67"/>
      <c r="AB112" s="67"/>
      <c r="AC112" s="67"/>
      <c r="AD112" s="67"/>
      <c r="AE112" s="67"/>
      <c r="AF112" s="67"/>
      <c r="AG112" s="67"/>
    </row>
    <row r="114" ht="18" customHeight="1"/>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horizontalDpi="4294967293"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election activeCell="O5" sqref="O5"/>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70"/>
      <c r="B1" s="70"/>
      <c r="C1" s="70"/>
      <c r="D1" s="70"/>
      <c r="E1" s="70"/>
      <c r="F1" s="70"/>
      <c r="G1" s="70"/>
      <c r="H1" s="70"/>
      <c r="I1" s="70"/>
      <c r="J1" s="70"/>
      <c r="K1" s="70"/>
      <c r="L1" s="70"/>
      <c r="M1" s="70"/>
      <c r="N1" s="70"/>
      <c r="O1" s="70"/>
      <c r="P1" s="70"/>
      <c r="Q1" s="70"/>
      <c r="R1" s="70"/>
      <c r="S1" s="70" t="s">
        <v>71</v>
      </c>
      <c r="T1" s="91"/>
      <c r="U1" s="91"/>
    </row>
    <row r="2" spans="1:21" ht="18" customHeight="1">
      <c r="A2" s="70"/>
      <c r="B2" s="70"/>
      <c r="C2" s="70"/>
      <c r="D2" s="70"/>
      <c r="E2" s="70"/>
      <c r="F2" s="70"/>
      <c r="G2" s="70"/>
      <c r="H2" s="70"/>
      <c r="I2" s="70"/>
      <c r="J2" s="70"/>
      <c r="K2" s="70"/>
      <c r="L2" s="70"/>
      <c r="M2" s="70"/>
      <c r="N2" s="70"/>
      <c r="O2" s="70"/>
      <c r="P2" s="70"/>
      <c r="Q2" s="180" t="str">
        <f>'様式１　プログラムを構成する授業科目'!C2</f>
        <v>鹿児島純心女子短期大学</v>
      </c>
      <c r="R2" s="180"/>
      <c r="S2" s="180"/>
      <c r="T2" s="91"/>
      <c r="U2" s="91"/>
    </row>
    <row r="3" spans="1:21" ht="18" customHeight="1">
      <c r="A3" s="139" t="s">
        <v>72</v>
      </c>
      <c r="B3" s="139"/>
      <c r="C3" s="139"/>
      <c r="D3" s="139"/>
      <c r="E3" s="139"/>
      <c r="F3" s="139"/>
      <c r="G3" s="139"/>
      <c r="H3" s="139"/>
      <c r="I3" s="139"/>
      <c r="J3" s="139"/>
      <c r="K3" s="139"/>
      <c r="L3" s="139"/>
      <c r="M3" s="139"/>
      <c r="N3" s="139"/>
      <c r="O3" s="139"/>
      <c r="P3" s="139"/>
      <c r="Q3" s="139"/>
      <c r="R3" s="139"/>
      <c r="S3" s="139"/>
      <c r="T3" s="91"/>
      <c r="U3" s="91"/>
    </row>
    <row r="4" spans="1:21" ht="7.5" customHeight="1">
      <c r="A4" s="73"/>
      <c r="B4" s="73"/>
      <c r="C4" s="73"/>
      <c r="D4" s="73"/>
      <c r="E4" s="73"/>
      <c r="F4" s="73"/>
      <c r="G4" s="73"/>
      <c r="H4" s="73"/>
      <c r="I4" s="73"/>
      <c r="J4" s="73"/>
      <c r="K4" s="73"/>
      <c r="L4" s="73"/>
      <c r="M4" s="73"/>
      <c r="N4" s="73"/>
      <c r="O4" s="73"/>
      <c r="P4" s="73"/>
      <c r="Q4" s="73"/>
      <c r="R4" s="73"/>
      <c r="S4" s="73"/>
      <c r="T4" s="91"/>
      <c r="U4" s="91"/>
    </row>
    <row r="5" spans="1:21" ht="18" customHeight="1">
      <c r="A5" s="70" t="s">
        <v>73</v>
      </c>
      <c r="B5" s="70"/>
      <c r="C5" s="181" t="s">
        <v>74</v>
      </c>
      <c r="D5" s="182"/>
      <c r="E5" s="73" t="s">
        <v>75</v>
      </c>
      <c r="F5" s="73"/>
      <c r="G5" s="73"/>
      <c r="H5" s="73"/>
      <c r="I5" s="73"/>
      <c r="J5" s="73"/>
      <c r="K5" s="73"/>
      <c r="L5" s="73"/>
      <c r="M5" s="73"/>
      <c r="N5" s="73"/>
      <c r="O5" s="73"/>
      <c r="P5" s="73"/>
      <c r="Q5" s="73"/>
      <c r="R5" s="71"/>
      <c r="S5" s="71"/>
      <c r="T5" s="91"/>
      <c r="U5" s="91"/>
    </row>
    <row r="6" spans="1:21" ht="7.15" customHeight="1">
      <c r="A6" s="70"/>
      <c r="B6" s="70"/>
      <c r="C6" s="78"/>
      <c r="D6" s="78"/>
      <c r="E6" s="73"/>
      <c r="F6" s="73"/>
      <c r="G6" s="73"/>
      <c r="H6" s="73"/>
      <c r="I6" s="73"/>
      <c r="J6" s="73"/>
      <c r="K6" s="73"/>
      <c r="L6" s="73"/>
      <c r="M6" s="73"/>
      <c r="N6" s="73"/>
      <c r="O6" s="73"/>
      <c r="P6" s="73"/>
      <c r="Q6" s="73"/>
      <c r="R6" s="71"/>
      <c r="S6" s="71"/>
      <c r="T6" s="91"/>
      <c r="U6" s="91"/>
    </row>
    <row r="7" spans="1:21" ht="18" customHeight="1">
      <c r="A7" s="70" t="s">
        <v>76</v>
      </c>
      <c r="B7" s="70"/>
      <c r="C7" s="78"/>
      <c r="D7" s="78"/>
      <c r="E7" s="73" t="s">
        <v>77</v>
      </c>
      <c r="F7" s="77">
        <v>0</v>
      </c>
      <c r="G7" s="75" t="s">
        <v>78</v>
      </c>
      <c r="H7" s="73" t="s">
        <v>79</v>
      </c>
      <c r="I7" s="77">
        <v>305</v>
      </c>
      <c r="J7" s="75" t="s">
        <v>78</v>
      </c>
      <c r="K7" s="85" t="s">
        <v>80</v>
      </c>
      <c r="L7" s="73" t="s">
        <v>81</v>
      </c>
      <c r="M7" s="77">
        <f>F7+I7</f>
        <v>305</v>
      </c>
      <c r="N7" s="73" t="s">
        <v>82</v>
      </c>
      <c r="O7" s="75" t="s">
        <v>83</v>
      </c>
      <c r="P7" s="73"/>
      <c r="Q7" s="73"/>
      <c r="R7" s="71"/>
      <c r="S7" s="71"/>
      <c r="T7" s="91"/>
      <c r="U7" s="91"/>
    </row>
    <row r="8" spans="1:21" ht="6" customHeight="1">
      <c r="A8" s="73"/>
      <c r="B8" s="73"/>
      <c r="C8" s="73"/>
      <c r="D8" s="73"/>
      <c r="E8" s="73"/>
      <c r="F8" s="73"/>
      <c r="G8" s="73"/>
      <c r="H8" s="73"/>
      <c r="I8" s="73"/>
      <c r="J8" s="73"/>
      <c r="K8" s="73"/>
      <c r="L8" s="73"/>
      <c r="M8" s="73"/>
      <c r="N8" s="73"/>
      <c r="O8" s="73"/>
      <c r="P8" s="73"/>
      <c r="Q8" s="73"/>
      <c r="R8" s="73"/>
      <c r="S8" s="73"/>
      <c r="T8" s="91"/>
      <c r="U8" s="91"/>
    </row>
    <row r="9" spans="1:21" ht="18" customHeight="1">
      <c r="A9" s="70" t="s">
        <v>84</v>
      </c>
      <c r="B9" s="73"/>
      <c r="C9" s="73"/>
      <c r="D9" s="73"/>
      <c r="E9" s="73"/>
      <c r="F9" s="73"/>
      <c r="G9" s="73"/>
      <c r="H9" s="73"/>
      <c r="I9" s="73"/>
      <c r="J9" s="73"/>
      <c r="K9" s="73"/>
      <c r="L9" s="73"/>
      <c r="M9" s="73"/>
      <c r="N9" s="73"/>
      <c r="O9" s="73"/>
      <c r="P9" s="73"/>
      <c r="Q9" s="73"/>
      <c r="R9" s="73"/>
      <c r="S9" s="73"/>
      <c r="T9" s="91"/>
      <c r="U9" s="91"/>
    </row>
    <row r="10" spans="1:21" ht="6" customHeight="1">
      <c r="A10" s="91"/>
      <c r="B10" s="90"/>
      <c r="C10" s="90"/>
      <c r="D10" s="90"/>
      <c r="E10" s="90"/>
      <c r="F10" s="90"/>
      <c r="G10" s="90"/>
      <c r="H10" s="90"/>
      <c r="I10" s="90"/>
      <c r="J10" s="90"/>
      <c r="K10" s="90"/>
      <c r="L10" s="90"/>
      <c r="M10" s="90"/>
      <c r="N10" s="90"/>
      <c r="O10" s="90"/>
      <c r="P10" s="90"/>
      <c r="Q10" s="90"/>
      <c r="R10" s="90"/>
      <c r="S10" s="90"/>
      <c r="T10" s="91"/>
      <c r="U10" s="91"/>
    </row>
    <row r="11" spans="1:21" ht="18" customHeight="1">
      <c r="A11" s="91"/>
      <c r="B11" s="183" t="s">
        <v>85</v>
      </c>
      <c r="C11" s="193" t="s">
        <v>86</v>
      </c>
      <c r="D11" s="185" t="s">
        <v>87</v>
      </c>
      <c r="E11" s="187" t="s">
        <v>88</v>
      </c>
      <c r="F11" s="179" t="s">
        <v>89</v>
      </c>
      <c r="G11" s="179"/>
      <c r="H11" s="179" t="s">
        <v>90</v>
      </c>
      <c r="I11" s="179"/>
      <c r="J11" s="179" t="s">
        <v>91</v>
      </c>
      <c r="K11" s="179"/>
      <c r="L11" s="179" t="s">
        <v>92</v>
      </c>
      <c r="M11" s="179"/>
      <c r="N11" s="179" t="s">
        <v>93</v>
      </c>
      <c r="O11" s="179"/>
      <c r="P11" s="179" t="s">
        <v>94</v>
      </c>
      <c r="Q11" s="179"/>
      <c r="R11" s="189" t="s">
        <v>95</v>
      </c>
      <c r="S11" s="191" t="s">
        <v>96</v>
      </c>
      <c r="T11" s="91"/>
      <c r="U11" s="2"/>
    </row>
    <row r="12" spans="1:21" ht="16.899999999999999" customHeight="1">
      <c r="A12" s="91"/>
      <c r="B12" s="184"/>
      <c r="C12" s="194"/>
      <c r="D12" s="186"/>
      <c r="E12" s="188"/>
      <c r="F12" s="59" t="s">
        <v>97</v>
      </c>
      <c r="G12" s="59" t="s">
        <v>98</v>
      </c>
      <c r="H12" s="59" t="s">
        <v>97</v>
      </c>
      <c r="I12" s="59" t="s">
        <v>98</v>
      </c>
      <c r="J12" s="59" t="s">
        <v>97</v>
      </c>
      <c r="K12" s="59" t="s">
        <v>98</v>
      </c>
      <c r="L12" s="59" t="s">
        <v>97</v>
      </c>
      <c r="M12" s="59" t="s">
        <v>98</v>
      </c>
      <c r="N12" s="59" t="s">
        <v>97</v>
      </c>
      <c r="O12" s="59" t="s">
        <v>98</v>
      </c>
      <c r="P12" s="59" t="s">
        <v>97</v>
      </c>
      <c r="Q12" s="60" t="s">
        <v>98</v>
      </c>
      <c r="R12" s="190"/>
      <c r="S12" s="192"/>
      <c r="T12" s="91"/>
      <c r="U12" s="2"/>
    </row>
    <row r="13" spans="1:21" ht="18" customHeight="1">
      <c r="A13" s="5"/>
      <c r="B13" s="61" t="s">
        <v>99</v>
      </c>
      <c r="C13" s="47">
        <v>241</v>
      </c>
      <c r="D13" s="48">
        <v>210</v>
      </c>
      <c r="E13" s="49">
        <v>420</v>
      </c>
      <c r="F13" s="49">
        <v>55</v>
      </c>
      <c r="G13" s="49">
        <v>55</v>
      </c>
      <c r="H13" s="49"/>
      <c r="I13" s="49"/>
      <c r="J13" s="49"/>
      <c r="K13" s="49"/>
      <c r="L13" s="49"/>
      <c r="M13" s="49"/>
      <c r="N13" s="49"/>
      <c r="O13" s="49"/>
      <c r="P13" s="49"/>
      <c r="Q13" s="62"/>
      <c r="R13" s="48">
        <f t="shared" ref="R13:R32" si="0">F13+H13+J13+L13+N13+P13</f>
        <v>55</v>
      </c>
      <c r="S13" s="63">
        <f t="shared" ref="S13:S33" si="1">R13/E13</f>
        <v>0.13095238095238096</v>
      </c>
      <c r="T13" s="91"/>
      <c r="U13" s="91"/>
    </row>
    <row r="14" spans="1:21" ht="18" customHeight="1">
      <c r="A14" s="5"/>
      <c r="B14" s="10" t="s">
        <v>100</v>
      </c>
      <c r="C14" s="50">
        <v>64</v>
      </c>
      <c r="D14" s="51">
        <v>60</v>
      </c>
      <c r="E14" s="52">
        <v>120</v>
      </c>
      <c r="F14" s="53">
        <v>22</v>
      </c>
      <c r="G14" s="53">
        <v>22</v>
      </c>
      <c r="H14" s="53"/>
      <c r="I14" s="53"/>
      <c r="J14" s="53"/>
      <c r="K14" s="53"/>
      <c r="L14" s="53"/>
      <c r="M14" s="53"/>
      <c r="N14" s="53"/>
      <c r="O14" s="53"/>
      <c r="P14" s="53"/>
      <c r="Q14" s="50"/>
      <c r="R14" s="51">
        <f t="shared" si="0"/>
        <v>22</v>
      </c>
      <c r="S14" s="13">
        <f t="shared" si="1"/>
        <v>0.18333333333333332</v>
      </c>
      <c r="T14" s="91"/>
      <c r="U14" s="91"/>
    </row>
    <row r="15" spans="1:21" ht="18" customHeight="1">
      <c r="A15" s="5"/>
      <c r="B15" s="10"/>
      <c r="C15" s="50"/>
      <c r="D15" s="51"/>
      <c r="E15" s="52"/>
      <c r="F15" s="53"/>
      <c r="G15" s="53"/>
      <c r="H15" s="53"/>
      <c r="I15" s="53"/>
      <c r="J15" s="53"/>
      <c r="K15" s="53"/>
      <c r="L15" s="53"/>
      <c r="M15" s="53"/>
      <c r="N15" s="53"/>
      <c r="O15" s="53"/>
      <c r="P15" s="53"/>
      <c r="Q15" s="50"/>
      <c r="R15" s="51">
        <f t="shared" si="0"/>
        <v>0</v>
      </c>
      <c r="S15" s="7" t="e">
        <f t="shared" si="1"/>
        <v>#DIV/0!</v>
      </c>
      <c r="T15" s="91"/>
      <c r="U15" s="91"/>
    </row>
    <row r="16" spans="1:21" ht="18" customHeight="1">
      <c r="A16" s="5"/>
      <c r="B16" s="10"/>
      <c r="C16" s="50"/>
      <c r="D16" s="51"/>
      <c r="E16" s="52"/>
      <c r="F16" s="53"/>
      <c r="G16" s="53"/>
      <c r="H16" s="53"/>
      <c r="I16" s="53"/>
      <c r="J16" s="53"/>
      <c r="K16" s="53"/>
      <c r="L16" s="53"/>
      <c r="M16" s="53"/>
      <c r="N16" s="53"/>
      <c r="O16" s="53"/>
      <c r="P16" s="53"/>
      <c r="Q16" s="50"/>
      <c r="R16" s="51">
        <f t="shared" si="0"/>
        <v>0</v>
      </c>
      <c r="S16" s="7" t="e">
        <f t="shared" si="1"/>
        <v>#DIV/0!</v>
      </c>
      <c r="T16" s="91"/>
      <c r="U16" s="91"/>
    </row>
    <row r="17" spans="1:19" ht="18" customHeight="1">
      <c r="A17" s="5"/>
      <c r="B17" s="10"/>
      <c r="C17" s="50"/>
      <c r="D17" s="51"/>
      <c r="E17" s="52"/>
      <c r="F17" s="53"/>
      <c r="G17" s="53"/>
      <c r="H17" s="53"/>
      <c r="I17" s="53"/>
      <c r="J17" s="53"/>
      <c r="K17" s="53"/>
      <c r="L17" s="53"/>
      <c r="M17" s="53"/>
      <c r="N17" s="53"/>
      <c r="O17" s="53"/>
      <c r="P17" s="53"/>
      <c r="Q17" s="50"/>
      <c r="R17" s="51">
        <f t="shared" si="0"/>
        <v>0</v>
      </c>
      <c r="S17" s="7" t="e">
        <f t="shared" si="1"/>
        <v>#DIV/0!</v>
      </c>
    </row>
    <row r="18" spans="1:19" ht="18" customHeight="1">
      <c r="A18" s="5"/>
      <c r="B18" s="10"/>
      <c r="C18" s="50"/>
      <c r="D18" s="51"/>
      <c r="E18" s="52"/>
      <c r="F18" s="53"/>
      <c r="G18" s="53"/>
      <c r="H18" s="53"/>
      <c r="I18" s="53"/>
      <c r="J18" s="53"/>
      <c r="K18" s="53"/>
      <c r="L18" s="53"/>
      <c r="M18" s="53"/>
      <c r="N18" s="53"/>
      <c r="O18" s="53"/>
      <c r="P18" s="53"/>
      <c r="Q18" s="50"/>
      <c r="R18" s="51">
        <f t="shared" si="0"/>
        <v>0</v>
      </c>
      <c r="S18" s="7" t="e">
        <f t="shared" si="1"/>
        <v>#DIV/0!</v>
      </c>
    </row>
    <row r="19" spans="1:19" ht="18" customHeight="1">
      <c r="A19" s="5"/>
      <c r="B19" s="10"/>
      <c r="C19" s="50"/>
      <c r="D19" s="51"/>
      <c r="E19" s="52"/>
      <c r="F19" s="53"/>
      <c r="G19" s="53"/>
      <c r="H19" s="53"/>
      <c r="I19" s="53"/>
      <c r="J19" s="53"/>
      <c r="K19" s="53"/>
      <c r="L19" s="53"/>
      <c r="M19" s="53"/>
      <c r="N19" s="53"/>
      <c r="O19" s="53"/>
      <c r="P19" s="53"/>
      <c r="Q19" s="50"/>
      <c r="R19" s="51">
        <f t="shared" si="0"/>
        <v>0</v>
      </c>
      <c r="S19" s="7" t="e">
        <f t="shared" si="1"/>
        <v>#DIV/0!</v>
      </c>
    </row>
    <row r="20" spans="1:19" ht="18" customHeight="1">
      <c r="A20" s="5"/>
      <c r="B20" s="10"/>
      <c r="C20" s="50"/>
      <c r="D20" s="51"/>
      <c r="E20" s="52"/>
      <c r="F20" s="53"/>
      <c r="G20" s="53"/>
      <c r="H20" s="53"/>
      <c r="I20" s="53"/>
      <c r="J20" s="53"/>
      <c r="K20" s="53"/>
      <c r="L20" s="53"/>
      <c r="M20" s="53"/>
      <c r="N20" s="53"/>
      <c r="O20" s="53"/>
      <c r="P20" s="53"/>
      <c r="Q20" s="50"/>
      <c r="R20" s="51">
        <f t="shared" si="0"/>
        <v>0</v>
      </c>
      <c r="S20" s="7" t="e">
        <f t="shared" si="1"/>
        <v>#DIV/0!</v>
      </c>
    </row>
    <row r="21" spans="1:19" ht="18" customHeight="1">
      <c r="A21" s="5"/>
      <c r="B21" s="10"/>
      <c r="C21" s="50"/>
      <c r="D21" s="51"/>
      <c r="E21" s="52"/>
      <c r="F21" s="53"/>
      <c r="G21" s="53"/>
      <c r="H21" s="53"/>
      <c r="I21" s="53"/>
      <c r="J21" s="53"/>
      <c r="K21" s="53"/>
      <c r="L21" s="53"/>
      <c r="M21" s="53"/>
      <c r="N21" s="53"/>
      <c r="O21" s="53"/>
      <c r="P21" s="53"/>
      <c r="Q21" s="50"/>
      <c r="R21" s="51">
        <f t="shared" si="0"/>
        <v>0</v>
      </c>
      <c r="S21" s="7" t="e">
        <f t="shared" si="1"/>
        <v>#DIV/0!</v>
      </c>
    </row>
    <row r="22" spans="1:19" ht="18" customHeight="1">
      <c r="A22" s="5"/>
      <c r="B22" s="10"/>
      <c r="C22" s="50"/>
      <c r="D22" s="51"/>
      <c r="E22" s="52"/>
      <c r="F22" s="53"/>
      <c r="G22" s="53"/>
      <c r="H22" s="53"/>
      <c r="I22" s="53"/>
      <c r="J22" s="53"/>
      <c r="K22" s="53"/>
      <c r="L22" s="53"/>
      <c r="M22" s="53"/>
      <c r="N22" s="53"/>
      <c r="O22" s="53"/>
      <c r="P22" s="53"/>
      <c r="Q22" s="50"/>
      <c r="R22" s="51">
        <f t="shared" si="0"/>
        <v>0</v>
      </c>
      <c r="S22" s="7" t="e">
        <f t="shared" si="1"/>
        <v>#DIV/0!</v>
      </c>
    </row>
    <row r="23" spans="1:19" ht="18" customHeight="1">
      <c r="A23" s="5"/>
      <c r="B23" s="10"/>
      <c r="C23" s="50"/>
      <c r="D23" s="51"/>
      <c r="E23" s="52"/>
      <c r="F23" s="53"/>
      <c r="G23" s="53"/>
      <c r="H23" s="53"/>
      <c r="I23" s="53"/>
      <c r="J23" s="53"/>
      <c r="K23" s="53"/>
      <c r="L23" s="53"/>
      <c r="M23" s="53"/>
      <c r="N23" s="53"/>
      <c r="O23" s="53"/>
      <c r="P23" s="53"/>
      <c r="Q23" s="50"/>
      <c r="R23" s="51">
        <f t="shared" si="0"/>
        <v>0</v>
      </c>
      <c r="S23" s="7" t="e">
        <f t="shared" si="1"/>
        <v>#DIV/0!</v>
      </c>
    </row>
    <row r="24" spans="1:19" ht="18" customHeight="1">
      <c r="A24" s="5"/>
      <c r="B24" s="10"/>
      <c r="C24" s="50"/>
      <c r="D24" s="51"/>
      <c r="E24" s="52"/>
      <c r="F24" s="53"/>
      <c r="G24" s="53"/>
      <c r="H24" s="53"/>
      <c r="I24" s="53"/>
      <c r="J24" s="53"/>
      <c r="K24" s="53"/>
      <c r="L24" s="53"/>
      <c r="M24" s="53"/>
      <c r="N24" s="53"/>
      <c r="O24" s="53"/>
      <c r="P24" s="53"/>
      <c r="Q24" s="50"/>
      <c r="R24" s="51">
        <f t="shared" si="0"/>
        <v>0</v>
      </c>
      <c r="S24" s="7" t="e">
        <f t="shared" si="1"/>
        <v>#DIV/0!</v>
      </c>
    </row>
    <row r="25" spans="1:19" ht="18" customHeight="1">
      <c r="A25" s="5"/>
      <c r="B25" s="10"/>
      <c r="C25" s="50"/>
      <c r="D25" s="51"/>
      <c r="E25" s="52"/>
      <c r="F25" s="53"/>
      <c r="G25" s="53"/>
      <c r="H25" s="53"/>
      <c r="I25" s="53"/>
      <c r="J25" s="53"/>
      <c r="K25" s="53"/>
      <c r="L25" s="53"/>
      <c r="M25" s="53"/>
      <c r="N25" s="53"/>
      <c r="O25" s="53"/>
      <c r="P25" s="53"/>
      <c r="Q25" s="50"/>
      <c r="R25" s="51">
        <f t="shared" si="0"/>
        <v>0</v>
      </c>
      <c r="S25" s="7" t="e">
        <f t="shared" si="1"/>
        <v>#DIV/0!</v>
      </c>
    </row>
    <row r="26" spans="1:19" ht="18" customHeight="1">
      <c r="A26" s="5"/>
      <c r="B26" s="10"/>
      <c r="C26" s="50"/>
      <c r="D26" s="51"/>
      <c r="E26" s="52"/>
      <c r="F26" s="53"/>
      <c r="G26" s="53"/>
      <c r="H26" s="53"/>
      <c r="I26" s="53"/>
      <c r="J26" s="53"/>
      <c r="K26" s="53"/>
      <c r="L26" s="53"/>
      <c r="M26" s="53"/>
      <c r="N26" s="53"/>
      <c r="O26" s="53"/>
      <c r="P26" s="53"/>
      <c r="Q26" s="50"/>
      <c r="R26" s="51">
        <f t="shared" si="0"/>
        <v>0</v>
      </c>
      <c r="S26" s="7" t="e">
        <f t="shared" si="1"/>
        <v>#DIV/0!</v>
      </c>
    </row>
    <row r="27" spans="1:19" ht="18" customHeight="1">
      <c r="A27" s="5"/>
      <c r="B27" s="10"/>
      <c r="C27" s="50"/>
      <c r="D27" s="51"/>
      <c r="E27" s="52"/>
      <c r="F27" s="53"/>
      <c r="G27" s="53"/>
      <c r="H27" s="53"/>
      <c r="I27" s="53"/>
      <c r="J27" s="53"/>
      <c r="K27" s="53"/>
      <c r="L27" s="53"/>
      <c r="M27" s="53"/>
      <c r="N27" s="53"/>
      <c r="O27" s="53"/>
      <c r="P27" s="53"/>
      <c r="Q27" s="50"/>
      <c r="R27" s="51">
        <f t="shared" si="0"/>
        <v>0</v>
      </c>
      <c r="S27" s="7" t="e">
        <f t="shared" si="1"/>
        <v>#DIV/0!</v>
      </c>
    </row>
    <row r="28" spans="1:19" ht="18" customHeight="1">
      <c r="A28" s="5"/>
      <c r="B28" s="10"/>
      <c r="C28" s="50"/>
      <c r="D28" s="51"/>
      <c r="E28" s="52"/>
      <c r="F28" s="53"/>
      <c r="G28" s="53"/>
      <c r="H28" s="53"/>
      <c r="I28" s="53"/>
      <c r="J28" s="53"/>
      <c r="K28" s="53"/>
      <c r="L28" s="53"/>
      <c r="M28" s="53"/>
      <c r="N28" s="53"/>
      <c r="O28" s="53"/>
      <c r="P28" s="53"/>
      <c r="Q28" s="50"/>
      <c r="R28" s="51">
        <f t="shared" si="0"/>
        <v>0</v>
      </c>
      <c r="S28" s="7" t="e">
        <f t="shared" si="1"/>
        <v>#DIV/0!</v>
      </c>
    </row>
    <row r="29" spans="1:19" ht="18" customHeight="1">
      <c r="A29" s="5"/>
      <c r="B29" s="10"/>
      <c r="C29" s="50"/>
      <c r="D29" s="51"/>
      <c r="E29" s="52"/>
      <c r="F29" s="53"/>
      <c r="G29" s="53"/>
      <c r="H29" s="53"/>
      <c r="I29" s="53"/>
      <c r="J29" s="53"/>
      <c r="K29" s="53"/>
      <c r="L29" s="53"/>
      <c r="M29" s="53"/>
      <c r="N29" s="53"/>
      <c r="O29" s="53"/>
      <c r="P29" s="53"/>
      <c r="Q29" s="50"/>
      <c r="R29" s="51">
        <f t="shared" si="0"/>
        <v>0</v>
      </c>
      <c r="S29" s="7" t="e">
        <f t="shared" si="1"/>
        <v>#DIV/0!</v>
      </c>
    </row>
    <row r="30" spans="1:19" ht="18" customHeight="1">
      <c r="A30" s="5"/>
      <c r="B30" s="10"/>
      <c r="C30" s="50"/>
      <c r="D30" s="54"/>
      <c r="E30" s="52"/>
      <c r="F30" s="53"/>
      <c r="G30" s="53"/>
      <c r="H30" s="53"/>
      <c r="I30" s="53"/>
      <c r="J30" s="53"/>
      <c r="K30" s="53"/>
      <c r="L30" s="53"/>
      <c r="M30" s="53"/>
      <c r="N30" s="53"/>
      <c r="O30" s="53"/>
      <c r="P30" s="53"/>
      <c r="Q30" s="50"/>
      <c r="R30" s="54">
        <f t="shared" si="0"/>
        <v>0</v>
      </c>
      <c r="S30" s="7" t="e">
        <f t="shared" si="1"/>
        <v>#DIV/0!</v>
      </c>
    </row>
    <row r="31" spans="1:19" ht="18" customHeight="1">
      <c r="A31" s="5"/>
      <c r="B31" s="10"/>
      <c r="C31" s="50"/>
      <c r="D31" s="54"/>
      <c r="E31" s="52"/>
      <c r="F31" s="53"/>
      <c r="G31" s="53"/>
      <c r="H31" s="53"/>
      <c r="I31" s="53"/>
      <c r="J31" s="53"/>
      <c r="K31" s="53"/>
      <c r="L31" s="53"/>
      <c r="M31" s="53"/>
      <c r="N31" s="53"/>
      <c r="O31" s="53"/>
      <c r="P31" s="53"/>
      <c r="Q31" s="50"/>
      <c r="R31" s="54">
        <f t="shared" si="0"/>
        <v>0</v>
      </c>
      <c r="S31" s="7" t="e">
        <f t="shared" si="1"/>
        <v>#DIV/0!</v>
      </c>
    </row>
    <row r="32" spans="1:19" ht="18" customHeight="1" thickBot="1">
      <c r="A32" s="5"/>
      <c r="B32" s="11"/>
      <c r="C32" s="47"/>
      <c r="D32" s="55"/>
      <c r="E32" s="49"/>
      <c r="F32" s="49"/>
      <c r="G32" s="49"/>
      <c r="H32" s="49"/>
      <c r="I32" s="49"/>
      <c r="J32" s="49"/>
      <c r="K32" s="49"/>
      <c r="L32" s="49"/>
      <c r="M32" s="49"/>
      <c r="N32" s="49"/>
      <c r="O32" s="49"/>
      <c r="P32" s="49"/>
      <c r="Q32" s="50"/>
      <c r="R32" s="55">
        <f t="shared" si="0"/>
        <v>0</v>
      </c>
      <c r="S32" s="6" t="e">
        <f t="shared" si="1"/>
        <v>#DIV/0!</v>
      </c>
    </row>
    <row r="33" spans="2:19" ht="18" customHeight="1" thickTop="1">
      <c r="B33" s="12" t="s">
        <v>101</v>
      </c>
      <c r="C33" s="56">
        <f t="shared" ref="C33" si="2">SUM(C13:C32)</f>
        <v>305</v>
      </c>
      <c r="D33" s="57">
        <f t="shared" ref="D33:R33" si="3">SUM(D13:D32)</f>
        <v>270</v>
      </c>
      <c r="E33" s="58">
        <f t="shared" si="3"/>
        <v>540</v>
      </c>
      <c r="F33" s="58">
        <f t="shared" si="3"/>
        <v>77</v>
      </c>
      <c r="G33" s="58">
        <f t="shared" ref="G33:H33" si="4">SUM(G13:G32)</f>
        <v>77</v>
      </c>
      <c r="H33" s="58">
        <f t="shared" si="4"/>
        <v>0</v>
      </c>
      <c r="I33" s="58">
        <f t="shared" ref="I33:J33" si="5">SUM(I13:I32)</f>
        <v>0</v>
      </c>
      <c r="J33" s="58">
        <f t="shared" si="5"/>
        <v>0</v>
      </c>
      <c r="K33" s="58">
        <f t="shared" ref="K33:O33" si="6">SUM(K13:K32)</f>
        <v>0</v>
      </c>
      <c r="L33" s="58">
        <f t="shared" si="6"/>
        <v>0</v>
      </c>
      <c r="M33" s="58">
        <f t="shared" si="6"/>
        <v>0</v>
      </c>
      <c r="N33" s="58">
        <f t="shared" si="6"/>
        <v>0</v>
      </c>
      <c r="O33" s="58">
        <f t="shared" si="6"/>
        <v>0</v>
      </c>
      <c r="P33" s="58">
        <f t="shared" ref="P33:Q33" si="7">SUM(P13:P32)</f>
        <v>0</v>
      </c>
      <c r="Q33" s="56">
        <f t="shared" si="7"/>
        <v>0</v>
      </c>
      <c r="R33" s="57">
        <f t="shared" si="3"/>
        <v>77</v>
      </c>
      <c r="S33" s="8">
        <f t="shared" si="1"/>
        <v>0.1425925925925926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horizontalDpi="4294967293"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5"/>
  <sheetViews>
    <sheetView showZeros="0" tabSelected="1" view="pageBreakPreview" zoomScaleNormal="100" zoomScaleSheetLayoutView="100" workbookViewId="0">
      <selection activeCell="B14" sqref="B14:I14"/>
    </sheetView>
  </sheetViews>
  <sheetFormatPr defaultColWidth="11.375" defaultRowHeight="18.75" customHeight="1"/>
  <cols>
    <col min="1" max="1" width="2.75" style="2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8" t="s">
        <v>102</v>
      </c>
      <c r="B1" s="91"/>
      <c r="C1" s="91"/>
      <c r="D1" s="91"/>
      <c r="E1" s="91"/>
      <c r="F1" s="91"/>
      <c r="G1" s="91"/>
      <c r="H1" s="91"/>
      <c r="I1" s="26" t="s">
        <v>103</v>
      </c>
    </row>
    <row r="2" spans="1:9" ht="18.75" customHeight="1">
      <c r="B2" s="91"/>
      <c r="C2" s="91"/>
      <c r="D2" s="91"/>
      <c r="E2" s="91"/>
      <c r="F2" s="91"/>
      <c r="G2" s="26" t="s">
        <v>2</v>
      </c>
      <c r="H2" s="113" t="str">
        <f>'様式１　プログラムを構成する授業科目'!C2</f>
        <v>鹿児島純心女子短期大学</v>
      </c>
      <c r="I2" s="115"/>
    </row>
    <row r="3" spans="1:9" ht="18.75" customHeight="1">
      <c r="B3" s="91"/>
      <c r="C3" s="91"/>
      <c r="D3" s="91"/>
      <c r="E3" s="91"/>
      <c r="F3" s="91"/>
      <c r="G3" s="26"/>
      <c r="H3" s="9"/>
      <c r="I3" s="9"/>
    </row>
    <row r="4" spans="1:9" ht="18.600000000000001" customHeight="1">
      <c r="A4" s="223" t="s">
        <v>104</v>
      </c>
      <c r="B4" s="223"/>
      <c r="C4" s="223"/>
      <c r="D4" s="223"/>
      <c r="E4" s="223"/>
      <c r="F4" s="223"/>
      <c r="G4" s="223"/>
      <c r="H4" s="223"/>
      <c r="I4" s="223"/>
    </row>
    <row r="5" spans="1:9" ht="13.15" customHeight="1">
      <c r="B5" s="90"/>
      <c r="C5" s="90"/>
      <c r="D5" s="90"/>
      <c r="E5" s="90"/>
      <c r="F5" s="90"/>
      <c r="G5" s="90"/>
      <c r="H5" s="90"/>
      <c r="I5" s="90"/>
    </row>
    <row r="6" spans="1:9" ht="18" customHeight="1">
      <c r="A6" s="91" t="s">
        <v>105</v>
      </c>
      <c r="B6" s="9" t="s">
        <v>106</v>
      </c>
      <c r="C6" s="241" t="s">
        <v>107</v>
      </c>
      <c r="D6" s="241"/>
      <c r="E6" s="25">
        <v>37</v>
      </c>
      <c r="F6" s="90" t="s">
        <v>82</v>
      </c>
      <c r="G6" s="90" t="s">
        <v>108</v>
      </c>
      <c r="H6" s="79">
        <v>38</v>
      </c>
      <c r="I6" s="9" t="s">
        <v>82</v>
      </c>
    </row>
    <row r="7" spans="1:9" ht="12" customHeight="1">
      <c r="B7" s="91"/>
      <c r="C7" s="2"/>
      <c r="D7" s="2"/>
      <c r="E7" s="2"/>
      <c r="F7" s="2"/>
      <c r="G7" s="2"/>
      <c r="H7" s="2"/>
      <c r="I7" s="29"/>
    </row>
    <row r="8" spans="1:9" ht="18" customHeight="1">
      <c r="A8" s="91" t="s">
        <v>109</v>
      </c>
      <c r="B8" s="9" t="s">
        <v>110</v>
      </c>
      <c r="C8" s="91"/>
      <c r="D8" s="91"/>
      <c r="E8" s="90"/>
      <c r="F8" s="90"/>
      <c r="G8" s="90"/>
      <c r="H8" s="25">
        <v>2</v>
      </c>
      <c r="I8" s="9" t="s">
        <v>82</v>
      </c>
    </row>
    <row r="9" spans="1:9" ht="9" customHeight="1">
      <c r="B9" s="90"/>
      <c r="C9" s="90"/>
      <c r="D9" s="90"/>
      <c r="E9" s="90"/>
      <c r="F9" s="90"/>
      <c r="G9" s="90"/>
      <c r="H9" s="90"/>
      <c r="I9" s="90"/>
    </row>
    <row r="10" spans="1:9" ht="18" customHeight="1">
      <c r="A10" s="91" t="s">
        <v>111</v>
      </c>
      <c r="B10" s="9" t="s">
        <v>112</v>
      </c>
      <c r="C10" s="90"/>
      <c r="D10" s="90"/>
      <c r="E10" s="90"/>
      <c r="F10" s="90"/>
      <c r="G10" s="90"/>
      <c r="H10" s="90"/>
      <c r="I10" s="90"/>
    </row>
    <row r="11" spans="1:9" ht="18" customHeight="1">
      <c r="B11" s="26" t="s">
        <v>113</v>
      </c>
      <c r="C11" s="238" t="s">
        <v>114</v>
      </c>
      <c r="D11" s="239"/>
      <c r="E11" s="240"/>
      <c r="F11" s="29"/>
      <c r="G11" s="26" t="s">
        <v>115</v>
      </c>
      <c r="H11" s="238" t="s">
        <v>116</v>
      </c>
      <c r="I11" s="240"/>
    </row>
    <row r="12" spans="1:9" ht="10.15" customHeight="1">
      <c r="B12" s="26"/>
      <c r="C12" s="9"/>
      <c r="D12" s="29"/>
      <c r="E12" s="29"/>
      <c r="F12" s="29"/>
      <c r="G12" s="26"/>
      <c r="H12" s="9"/>
      <c r="I12" s="29"/>
    </row>
    <row r="13" spans="1:9" ht="18" customHeight="1">
      <c r="A13" s="91" t="s">
        <v>117</v>
      </c>
      <c r="B13" s="9" t="s">
        <v>118</v>
      </c>
      <c r="C13" s="90"/>
      <c r="D13" s="90"/>
      <c r="E13" s="90"/>
      <c r="F13" s="90"/>
      <c r="G13" s="90"/>
      <c r="H13" s="90"/>
      <c r="I13" s="90"/>
    </row>
    <row r="14" spans="1:9" ht="18" customHeight="1">
      <c r="B14" s="238" t="s">
        <v>119</v>
      </c>
      <c r="C14" s="267"/>
      <c r="D14" s="267"/>
      <c r="E14" s="267"/>
      <c r="F14" s="267"/>
      <c r="G14" s="267"/>
      <c r="H14" s="267"/>
      <c r="I14" s="268"/>
    </row>
    <row r="15" spans="1:9" ht="9" customHeight="1">
      <c r="B15" s="90"/>
      <c r="C15" s="90"/>
      <c r="D15" s="90"/>
      <c r="E15" s="90"/>
      <c r="F15" s="90"/>
      <c r="G15" s="90"/>
      <c r="H15" s="90"/>
      <c r="I15" s="90"/>
    </row>
    <row r="16" spans="1:9" ht="18" customHeight="1">
      <c r="B16" s="26" t="s">
        <v>113</v>
      </c>
      <c r="C16" s="238" t="s">
        <v>120</v>
      </c>
      <c r="D16" s="239"/>
      <c r="E16" s="240"/>
      <c r="F16" s="29"/>
      <c r="G16" s="26" t="s">
        <v>115</v>
      </c>
      <c r="H16" s="238" t="s">
        <v>121</v>
      </c>
      <c r="I16" s="240"/>
    </row>
    <row r="17" spans="1:9" ht="18" customHeight="1">
      <c r="B17" s="90"/>
      <c r="C17" s="90"/>
      <c r="D17" s="90"/>
      <c r="E17" s="90"/>
      <c r="F17" s="90"/>
      <c r="G17" s="90"/>
      <c r="H17" s="90"/>
      <c r="I17" s="90"/>
    </row>
    <row r="18" spans="1:9" ht="18.75" customHeight="1">
      <c r="A18" s="91" t="s">
        <v>122</v>
      </c>
      <c r="B18" s="91" t="s">
        <v>123</v>
      </c>
      <c r="C18" s="91"/>
      <c r="D18" s="91"/>
      <c r="E18" s="91"/>
      <c r="F18" s="91"/>
      <c r="G18" s="91"/>
      <c r="H18" s="91"/>
      <c r="I18" s="90"/>
    </row>
    <row r="19" spans="1:9" ht="18.75" customHeight="1">
      <c r="A19" s="91"/>
      <c r="B19" s="224" t="s">
        <v>124</v>
      </c>
      <c r="C19" s="225"/>
      <c r="D19" s="225"/>
      <c r="E19" s="225"/>
      <c r="F19" s="225"/>
      <c r="G19" s="225"/>
      <c r="H19" s="225"/>
      <c r="I19" s="226"/>
    </row>
    <row r="20" spans="1:9" ht="7.5" customHeight="1">
      <c r="B20" s="90"/>
      <c r="C20" s="90"/>
      <c r="D20" s="90"/>
      <c r="E20" s="90"/>
      <c r="F20" s="90"/>
      <c r="G20" s="90"/>
      <c r="H20" s="90"/>
      <c r="I20" s="90"/>
    </row>
    <row r="21" spans="1:9" ht="18.75" customHeight="1">
      <c r="A21" s="91" t="s">
        <v>125</v>
      </c>
      <c r="B21" s="91" t="s">
        <v>126</v>
      </c>
      <c r="C21" s="91"/>
      <c r="D21" s="91"/>
      <c r="E21" s="91"/>
      <c r="F21" s="91"/>
      <c r="G21" s="91"/>
      <c r="H21" s="91"/>
      <c r="I21" s="91"/>
    </row>
    <row r="22" spans="1:9" ht="18.75" customHeight="1">
      <c r="A22" s="93"/>
      <c r="B22" s="227" t="s">
        <v>127</v>
      </c>
      <c r="C22" s="228"/>
      <c r="D22" s="228"/>
      <c r="E22" s="228"/>
      <c r="F22" s="228"/>
      <c r="G22" s="228"/>
      <c r="H22" s="228"/>
      <c r="I22" s="229"/>
    </row>
    <row r="23" spans="1:9" ht="18.75" customHeight="1">
      <c r="A23" s="93"/>
      <c r="B23" s="230"/>
      <c r="C23" s="231"/>
      <c r="D23" s="231"/>
      <c r="E23" s="231"/>
      <c r="F23" s="231"/>
      <c r="G23" s="231"/>
      <c r="H23" s="231"/>
      <c r="I23" s="232"/>
    </row>
    <row r="24" spans="1:9" ht="18.75" customHeight="1">
      <c r="A24" s="93"/>
      <c r="B24" s="230"/>
      <c r="C24" s="231"/>
      <c r="D24" s="231"/>
      <c r="E24" s="231"/>
      <c r="F24" s="231"/>
      <c r="G24" s="231"/>
      <c r="H24" s="231"/>
      <c r="I24" s="232"/>
    </row>
    <row r="25" spans="1:9" ht="18.75" customHeight="1">
      <c r="A25" s="93"/>
      <c r="B25" s="230"/>
      <c r="C25" s="231"/>
      <c r="D25" s="231"/>
      <c r="E25" s="231"/>
      <c r="F25" s="231"/>
      <c r="G25" s="231"/>
      <c r="H25" s="231"/>
      <c r="I25" s="232"/>
    </row>
    <row r="26" spans="1:9" ht="18.75" customHeight="1">
      <c r="A26" s="93"/>
      <c r="B26" s="230"/>
      <c r="C26" s="231"/>
      <c r="D26" s="231"/>
      <c r="E26" s="231"/>
      <c r="F26" s="231"/>
      <c r="G26" s="231"/>
      <c r="H26" s="231"/>
      <c r="I26" s="232"/>
    </row>
    <row r="27" spans="1:9" ht="18.75" customHeight="1">
      <c r="A27" s="93"/>
      <c r="B27" s="230"/>
      <c r="C27" s="231"/>
      <c r="D27" s="231"/>
      <c r="E27" s="231"/>
      <c r="F27" s="231"/>
      <c r="G27" s="231"/>
      <c r="H27" s="231"/>
      <c r="I27" s="232"/>
    </row>
    <row r="28" spans="1:9" ht="18.75" customHeight="1">
      <c r="A28" s="93"/>
      <c r="B28" s="230"/>
      <c r="C28" s="231"/>
      <c r="D28" s="231"/>
      <c r="E28" s="231"/>
      <c r="F28" s="231"/>
      <c r="G28" s="231"/>
      <c r="H28" s="231"/>
      <c r="I28" s="232"/>
    </row>
    <row r="29" spans="1:9" ht="18.75" customHeight="1">
      <c r="A29" s="93"/>
      <c r="B29" s="230"/>
      <c r="C29" s="231"/>
      <c r="D29" s="231"/>
      <c r="E29" s="231"/>
      <c r="F29" s="231"/>
      <c r="G29" s="231"/>
      <c r="H29" s="231"/>
      <c r="I29" s="232"/>
    </row>
    <row r="30" spans="1:9" ht="18.75" customHeight="1">
      <c r="A30" s="93"/>
      <c r="B30" s="233"/>
      <c r="C30" s="234"/>
      <c r="D30" s="234"/>
      <c r="E30" s="234"/>
      <c r="F30" s="234"/>
      <c r="G30" s="234"/>
      <c r="H30" s="234"/>
      <c r="I30" s="232"/>
    </row>
    <row r="31" spans="1:9" ht="18.75" customHeight="1">
      <c r="A31" s="93"/>
      <c r="B31" s="233"/>
      <c r="C31" s="234"/>
      <c r="D31" s="234"/>
      <c r="E31" s="234"/>
      <c r="F31" s="234"/>
      <c r="G31" s="234"/>
      <c r="H31" s="234"/>
      <c r="I31" s="232"/>
    </row>
    <row r="32" spans="1:9" ht="18.75" customHeight="1">
      <c r="A32" s="93"/>
      <c r="B32" s="235"/>
      <c r="C32" s="236"/>
      <c r="D32" s="236"/>
      <c r="E32" s="236"/>
      <c r="F32" s="236"/>
      <c r="G32" s="236"/>
      <c r="H32" s="236"/>
      <c r="I32" s="237"/>
    </row>
    <row r="33" spans="1:9" ht="7.5" customHeight="1">
      <c r="A33" s="93"/>
      <c r="B33" s="93"/>
      <c r="C33" s="93"/>
      <c r="D33" s="93"/>
      <c r="E33" s="93"/>
      <c r="F33" s="93"/>
      <c r="G33" s="93"/>
      <c r="H33" s="93"/>
      <c r="I33" s="93"/>
    </row>
    <row r="34" spans="1:9" ht="18.75" customHeight="1">
      <c r="A34" s="84" t="s">
        <v>128</v>
      </c>
      <c r="B34" s="84" t="s">
        <v>129</v>
      </c>
      <c r="C34" s="9"/>
      <c r="D34" s="84"/>
      <c r="E34" s="84"/>
      <c r="F34" s="84"/>
      <c r="G34" s="84"/>
      <c r="H34" s="84"/>
      <c r="I34" s="84"/>
    </row>
    <row r="35" spans="1:9" ht="18.75" customHeight="1">
      <c r="A35" s="93"/>
      <c r="B35" s="227" t="s">
        <v>130</v>
      </c>
      <c r="C35" s="228"/>
      <c r="D35" s="228"/>
      <c r="E35" s="228"/>
      <c r="F35" s="228"/>
      <c r="G35" s="228"/>
      <c r="H35" s="228"/>
      <c r="I35" s="229"/>
    </row>
    <row r="36" spans="1:9" ht="18.75" customHeight="1">
      <c r="A36" s="93"/>
      <c r="B36" s="233"/>
      <c r="C36" s="234"/>
      <c r="D36" s="234"/>
      <c r="E36" s="234"/>
      <c r="F36" s="234"/>
      <c r="G36" s="234"/>
      <c r="H36" s="234"/>
      <c r="I36" s="232"/>
    </row>
    <row r="37" spans="1:9" ht="18.75" customHeight="1">
      <c r="A37" s="93"/>
      <c r="B37" s="233"/>
      <c r="C37" s="234"/>
      <c r="D37" s="234"/>
      <c r="E37" s="234"/>
      <c r="F37" s="234"/>
      <c r="G37" s="234"/>
      <c r="H37" s="234"/>
      <c r="I37" s="232"/>
    </row>
    <row r="38" spans="1:9" ht="18.75" customHeight="1">
      <c r="A38" s="93"/>
      <c r="B38" s="233"/>
      <c r="C38" s="234"/>
      <c r="D38" s="234"/>
      <c r="E38" s="234"/>
      <c r="F38" s="234"/>
      <c r="G38" s="234"/>
      <c r="H38" s="234"/>
      <c r="I38" s="232"/>
    </row>
    <row r="39" spans="1:9" ht="18.75" customHeight="1">
      <c r="A39" s="93"/>
      <c r="B39" s="233"/>
      <c r="C39" s="234"/>
      <c r="D39" s="234"/>
      <c r="E39" s="234"/>
      <c r="F39" s="234"/>
      <c r="G39" s="234"/>
      <c r="H39" s="234"/>
      <c r="I39" s="232"/>
    </row>
    <row r="40" spans="1:9" ht="18.75" customHeight="1">
      <c r="A40" s="93"/>
      <c r="B40" s="233"/>
      <c r="C40" s="234"/>
      <c r="D40" s="234"/>
      <c r="E40" s="234"/>
      <c r="F40" s="234"/>
      <c r="G40" s="234"/>
      <c r="H40" s="234"/>
      <c r="I40" s="232"/>
    </row>
    <row r="41" spans="1:9" ht="18.75" customHeight="1">
      <c r="A41" s="93"/>
      <c r="B41" s="233"/>
      <c r="C41" s="234"/>
      <c r="D41" s="234"/>
      <c r="E41" s="234"/>
      <c r="F41" s="234"/>
      <c r="G41" s="234"/>
      <c r="H41" s="234"/>
      <c r="I41" s="232"/>
    </row>
    <row r="42" spans="1:9" ht="18.75" customHeight="1">
      <c r="A42" s="93"/>
      <c r="B42" s="233"/>
      <c r="C42" s="234"/>
      <c r="D42" s="234"/>
      <c r="E42" s="234"/>
      <c r="F42" s="234"/>
      <c r="G42" s="234"/>
      <c r="H42" s="234"/>
      <c r="I42" s="232"/>
    </row>
    <row r="43" spans="1:9" ht="18.75" customHeight="1">
      <c r="A43" s="93"/>
      <c r="B43" s="233"/>
      <c r="C43" s="234"/>
      <c r="D43" s="234"/>
      <c r="E43" s="234"/>
      <c r="F43" s="234"/>
      <c r="G43" s="234"/>
      <c r="H43" s="234"/>
      <c r="I43" s="232"/>
    </row>
    <row r="44" spans="1:9" ht="18.75" customHeight="1">
      <c r="A44" s="93"/>
      <c r="B44" s="233"/>
      <c r="C44" s="234"/>
      <c r="D44" s="234"/>
      <c r="E44" s="234"/>
      <c r="F44" s="234"/>
      <c r="G44" s="234"/>
      <c r="H44" s="234"/>
      <c r="I44" s="232"/>
    </row>
    <row r="45" spans="1:9" ht="18.75" customHeight="1">
      <c r="A45" s="93"/>
      <c r="B45" s="233"/>
      <c r="C45" s="234"/>
      <c r="D45" s="234"/>
      <c r="E45" s="234"/>
      <c r="F45" s="234"/>
      <c r="G45" s="234"/>
      <c r="H45" s="234"/>
      <c r="I45" s="232"/>
    </row>
    <row r="46" spans="1:9" s="80" customFormat="1" ht="18.75" customHeight="1">
      <c r="A46" s="93"/>
      <c r="B46" s="233"/>
      <c r="C46" s="234"/>
      <c r="D46" s="234"/>
      <c r="E46" s="234"/>
      <c r="F46" s="234"/>
      <c r="G46" s="234"/>
      <c r="H46" s="234"/>
      <c r="I46" s="232"/>
    </row>
    <row r="47" spans="1:9" ht="18.75" customHeight="1">
      <c r="A47" s="93"/>
      <c r="B47" s="235"/>
      <c r="C47" s="236"/>
      <c r="D47" s="236"/>
      <c r="E47" s="236"/>
      <c r="F47" s="236"/>
      <c r="G47" s="236"/>
      <c r="H47" s="236"/>
      <c r="I47" s="237"/>
    </row>
    <row r="48" spans="1:9" ht="7.5" customHeight="1">
      <c r="A48" s="4"/>
      <c r="B48" s="4"/>
      <c r="C48" s="4"/>
      <c r="D48" s="4"/>
      <c r="E48" s="4"/>
      <c r="F48" s="4"/>
      <c r="G48" s="4"/>
      <c r="H48" s="4"/>
      <c r="I48" s="4"/>
    </row>
    <row r="49" spans="1:15" ht="18.75" customHeight="1">
      <c r="A49" s="91" t="s">
        <v>131</v>
      </c>
      <c r="B49" s="91" t="s">
        <v>132</v>
      </c>
      <c r="C49" s="91"/>
      <c r="D49" s="91"/>
      <c r="E49" s="91"/>
      <c r="F49" s="91"/>
      <c r="G49" s="91"/>
      <c r="H49" s="91"/>
      <c r="I49" s="91"/>
      <c r="J49" s="91"/>
      <c r="K49" s="91"/>
      <c r="L49" s="91"/>
      <c r="M49" s="91"/>
      <c r="N49" s="91"/>
      <c r="O49" s="91"/>
    </row>
    <row r="50" spans="1:15" s="3" customFormat="1" ht="18.75" customHeight="1">
      <c r="A50" s="90"/>
      <c r="B50" s="30" t="s">
        <v>133</v>
      </c>
      <c r="C50" s="212">
        <f>'様式２ 履修者等数の実績'!S33</f>
        <v>0.1425925925925926</v>
      </c>
      <c r="D50" s="212"/>
      <c r="E50" s="30" t="s">
        <v>134</v>
      </c>
      <c r="F50" s="212">
        <v>0.2</v>
      </c>
      <c r="G50" s="212"/>
      <c r="H50" s="30" t="s">
        <v>135</v>
      </c>
      <c r="I50" s="92">
        <v>0.3</v>
      </c>
      <c r="J50" s="91"/>
      <c r="K50" s="90"/>
      <c r="L50" s="90"/>
      <c r="M50" s="91"/>
      <c r="N50" s="31"/>
      <c r="O50" s="90"/>
    </row>
    <row r="51" spans="1:15" s="3" customFormat="1" ht="18.75" customHeight="1">
      <c r="A51" s="90"/>
      <c r="B51" s="32" t="s">
        <v>136</v>
      </c>
      <c r="C51" s="195">
        <v>0.4</v>
      </c>
      <c r="D51" s="195"/>
      <c r="E51" s="32" t="s">
        <v>137</v>
      </c>
      <c r="F51" s="195">
        <v>0.5</v>
      </c>
      <c r="G51" s="195"/>
      <c r="H51" s="32" t="s">
        <v>138</v>
      </c>
      <c r="I51" s="33">
        <f>'様式２ 履修者等数の実績'!E33</f>
        <v>540</v>
      </c>
      <c r="J51" s="91"/>
      <c r="K51" s="90"/>
      <c r="L51" s="90"/>
      <c r="M51" s="91"/>
      <c r="N51" s="31"/>
      <c r="O51" s="90"/>
    </row>
    <row r="52" spans="1:15" ht="18.75" customHeight="1">
      <c r="A52" s="91"/>
      <c r="B52" s="242" t="s">
        <v>139</v>
      </c>
      <c r="C52" s="243"/>
      <c r="D52" s="243"/>
      <c r="E52" s="243"/>
      <c r="F52" s="243"/>
      <c r="G52" s="243"/>
      <c r="H52" s="243"/>
      <c r="I52" s="244"/>
      <c r="J52" s="91"/>
      <c r="K52" s="91"/>
      <c r="L52" s="91"/>
      <c r="M52" s="91"/>
      <c r="N52" s="31"/>
      <c r="O52" s="90"/>
    </row>
    <row r="53" spans="1:15" ht="18.75" customHeight="1">
      <c r="A53" s="91"/>
      <c r="B53" s="213" t="s">
        <v>140</v>
      </c>
      <c r="C53" s="214"/>
      <c r="D53" s="214"/>
      <c r="E53" s="214"/>
      <c r="F53" s="214"/>
      <c r="G53" s="214"/>
      <c r="H53" s="214"/>
      <c r="I53" s="215"/>
      <c r="J53" s="91"/>
      <c r="K53" s="91"/>
      <c r="L53" s="91"/>
      <c r="M53" s="91"/>
      <c r="N53" s="31"/>
      <c r="O53" s="90"/>
    </row>
    <row r="54" spans="1:15" ht="18.75" customHeight="1">
      <c r="A54" s="91"/>
      <c r="B54" s="216"/>
      <c r="C54" s="217"/>
      <c r="D54" s="217"/>
      <c r="E54" s="217"/>
      <c r="F54" s="217"/>
      <c r="G54" s="217"/>
      <c r="H54" s="217"/>
      <c r="I54" s="218"/>
      <c r="J54" s="91"/>
      <c r="K54" s="91"/>
      <c r="L54" s="91"/>
      <c r="M54" s="91"/>
      <c r="N54" s="31"/>
      <c r="O54" s="90"/>
    </row>
    <row r="55" spans="1:15" ht="18.75" customHeight="1">
      <c r="A55" s="91"/>
      <c r="B55" s="216"/>
      <c r="C55" s="217"/>
      <c r="D55" s="217"/>
      <c r="E55" s="217"/>
      <c r="F55" s="217"/>
      <c r="G55" s="217"/>
      <c r="H55" s="217"/>
      <c r="I55" s="218"/>
      <c r="J55" s="91"/>
      <c r="K55" s="91"/>
      <c r="L55" s="91"/>
      <c r="M55" s="91"/>
      <c r="N55" s="91"/>
      <c r="O55" s="91"/>
    </row>
    <row r="56" spans="1:15" ht="18.75" customHeight="1">
      <c r="A56" s="91"/>
      <c r="B56" s="216"/>
      <c r="C56" s="217"/>
      <c r="D56" s="217"/>
      <c r="E56" s="217"/>
      <c r="F56" s="217"/>
      <c r="G56" s="217"/>
      <c r="H56" s="217"/>
      <c r="I56" s="218"/>
      <c r="J56" s="91"/>
      <c r="K56" s="91"/>
      <c r="L56" s="91"/>
      <c r="M56" s="91"/>
      <c r="N56" s="91"/>
      <c r="O56" s="91"/>
    </row>
    <row r="57" spans="1:15" ht="18.75" customHeight="1">
      <c r="A57" s="91"/>
      <c r="B57" s="216"/>
      <c r="C57" s="217"/>
      <c r="D57" s="217"/>
      <c r="E57" s="217"/>
      <c r="F57" s="217"/>
      <c r="G57" s="217"/>
      <c r="H57" s="217"/>
      <c r="I57" s="218"/>
      <c r="J57" s="91"/>
      <c r="K57" s="91"/>
      <c r="L57" s="91"/>
      <c r="M57" s="91"/>
      <c r="N57" s="91"/>
      <c r="O57" s="91"/>
    </row>
    <row r="58" spans="1:15" ht="18.75" customHeight="1">
      <c r="A58" s="91"/>
      <c r="B58" s="216"/>
      <c r="C58" s="217"/>
      <c r="D58" s="217"/>
      <c r="E58" s="217"/>
      <c r="F58" s="217"/>
      <c r="G58" s="217"/>
      <c r="H58" s="217"/>
      <c r="I58" s="218"/>
      <c r="J58" s="91"/>
      <c r="K58" s="91"/>
      <c r="L58" s="91"/>
      <c r="M58" s="91"/>
      <c r="N58" s="91"/>
      <c r="O58" s="91"/>
    </row>
    <row r="59" spans="1:15" ht="18.75" customHeight="1">
      <c r="A59" s="91"/>
      <c r="B59" s="216"/>
      <c r="C59" s="217"/>
      <c r="D59" s="217"/>
      <c r="E59" s="217"/>
      <c r="F59" s="217"/>
      <c r="G59" s="217"/>
      <c r="H59" s="217"/>
      <c r="I59" s="218"/>
      <c r="J59" s="91"/>
      <c r="K59" s="91"/>
      <c r="L59" s="91"/>
      <c r="M59" s="91"/>
      <c r="N59" s="91"/>
      <c r="O59" s="91"/>
    </row>
    <row r="60" spans="1:15" ht="18.75" customHeight="1">
      <c r="A60" s="91"/>
      <c r="B60" s="216"/>
      <c r="C60" s="217"/>
      <c r="D60" s="217"/>
      <c r="E60" s="217"/>
      <c r="F60" s="217"/>
      <c r="G60" s="217"/>
      <c r="H60" s="217"/>
      <c r="I60" s="218"/>
      <c r="J60" s="91"/>
      <c r="K60" s="91"/>
      <c r="L60" s="91"/>
      <c r="M60" s="91"/>
      <c r="N60" s="91"/>
      <c r="O60" s="91"/>
    </row>
    <row r="61" spans="1:15" ht="18.75" customHeight="1">
      <c r="A61" s="91"/>
      <c r="B61" s="216"/>
      <c r="C61" s="217"/>
      <c r="D61" s="217"/>
      <c r="E61" s="217"/>
      <c r="F61" s="217"/>
      <c r="G61" s="217"/>
      <c r="H61" s="217"/>
      <c r="I61" s="218"/>
      <c r="J61" s="91"/>
      <c r="K61" s="91"/>
      <c r="L61" s="91"/>
      <c r="M61" s="91"/>
      <c r="N61" s="91"/>
      <c r="O61" s="91"/>
    </row>
    <row r="62" spans="1:15" ht="18.75" customHeight="1">
      <c r="A62" s="91"/>
      <c r="B62" s="216"/>
      <c r="C62" s="217"/>
      <c r="D62" s="217"/>
      <c r="E62" s="217"/>
      <c r="F62" s="217"/>
      <c r="G62" s="217"/>
      <c r="H62" s="217"/>
      <c r="I62" s="218"/>
      <c r="J62" s="91"/>
      <c r="K62" s="91"/>
      <c r="L62" s="91"/>
      <c r="M62" s="91"/>
      <c r="N62" s="91"/>
      <c r="O62" s="91"/>
    </row>
    <row r="63" spans="1:15" ht="18.75" customHeight="1">
      <c r="A63" s="91"/>
      <c r="B63" s="216"/>
      <c r="C63" s="217"/>
      <c r="D63" s="217"/>
      <c r="E63" s="217"/>
      <c r="F63" s="217"/>
      <c r="G63" s="217"/>
      <c r="H63" s="217"/>
      <c r="I63" s="218"/>
      <c r="J63" s="91"/>
      <c r="K63" s="91"/>
      <c r="L63" s="91"/>
      <c r="M63" s="91"/>
      <c r="N63" s="91"/>
      <c r="O63" s="91"/>
    </row>
    <row r="64" spans="1:15" ht="18.75" customHeight="1">
      <c r="A64" s="91"/>
      <c r="B64" s="219"/>
      <c r="C64" s="220"/>
      <c r="D64" s="220"/>
      <c r="E64" s="220"/>
      <c r="F64" s="220"/>
      <c r="G64" s="220"/>
      <c r="H64" s="220"/>
      <c r="I64" s="221"/>
      <c r="J64" s="91"/>
      <c r="K64" s="91"/>
      <c r="L64" s="91"/>
      <c r="M64" s="91"/>
      <c r="N64" s="91"/>
      <c r="O64" s="91"/>
    </row>
    <row r="65" spans="1:9" ht="7.5" customHeight="1">
      <c r="A65" s="93"/>
      <c r="B65" s="93"/>
      <c r="C65" s="93"/>
      <c r="D65" s="93"/>
      <c r="E65" s="93"/>
      <c r="F65" s="93"/>
      <c r="G65" s="93"/>
      <c r="H65" s="93"/>
      <c r="I65" s="93"/>
    </row>
    <row r="66" spans="1:9" ht="18.75" customHeight="1">
      <c r="A66" s="84" t="s">
        <v>141</v>
      </c>
      <c r="B66" s="91" t="s">
        <v>142</v>
      </c>
      <c r="C66" s="91"/>
      <c r="D66" s="91"/>
      <c r="E66" s="91"/>
      <c r="F66" s="91"/>
      <c r="G66" s="91"/>
      <c r="H66" s="91"/>
      <c r="I66" s="84"/>
    </row>
    <row r="67" spans="1:9" ht="18.75" customHeight="1">
      <c r="A67" s="4"/>
      <c r="B67" s="196" t="s">
        <v>143</v>
      </c>
      <c r="C67" s="197"/>
      <c r="D67" s="197"/>
      <c r="E67" s="197"/>
      <c r="F67" s="197"/>
      <c r="G67" s="197"/>
      <c r="H67" s="197"/>
      <c r="I67" s="198"/>
    </row>
    <row r="68" spans="1:9" ht="18.75" customHeight="1">
      <c r="A68" s="4"/>
      <c r="B68" s="199"/>
      <c r="C68" s="200"/>
      <c r="D68" s="200"/>
      <c r="E68" s="200"/>
      <c r="F68" s="200"/>
      <c r="G68" s="200"/>
      <c r="H68" s="200"/>
      <c r="I68" s="201"/>
    </row>
    <row r="69" spans="1:9" ht="18.75" customHeight="1">
      <c r="A69" s="4"/>
      <c r="B69" s="199"/>
      <c r="C69" s="200"/>
      <c r="D69" s="200"/>
      <c r="E69" s="200"/>
      <c r="F69" s="200"/>
      <c r="G69" s="200"/>
      <c r="H69" s="200"/>
      <c r="I69" s="201"/>
    </row>
    <row r="70" spans="1:9" ht="18.75" customHeight="1">
      <c r="A70" s="4"/>
      <c r="B70" s="199"/>
      <c r="C70" s="200"/>
      <c r="D70" s="200"/>
      <c r="E70" s="200"/>
      <c r="F70" s="200"/>
      <c r="G70" s="200"/>
      <c r="H70" s="200"/>
      <c r="I70" s="201"/>
    </row>
    <row r="71" spans="1:9" ht="18.75" customHeight="1">
      <c r="A71" s="4"/>
      <c r="B71" s="199"/>
      <c r="C71" s="200"/>
      <c r="D71" s="200"/>
      <c r="E71" s="200"/>
      <c r="F71" s="200"/>
      <c r="G71" s="200"/>
      <c r="H71" s="200"/>
      <c r="I71" s="201"/>
    </row>
    <row r="72" spans="1:9" ht="18.75" customHeight="1">
      <c r="A72" s="4"/>
      <c r="B72" s="199"/>
      <c r="C72" s="200"/>
      <c r="D72" s="200"/>
      <c r="E72" s="200"/>
      <c r="F72" s="200"/>
      <c r="G72" s="200"/>
      <c r="H72" s="200"/>
      <c r="I72" s="201"/>
    </row>
    <row r="73" spans="1:9" ht="18.75" customHeight="1">
      <c r="A73" s="4"/>
      <c r="B73" s="199"/>
      <c r="C73" s="200"/>
      <c r="D73" s="200"/>
      <c r="E73" s="200"/>
      <c r="F73" s="200"/>
      <c r="G73" s="200"/>
      <c r="H73" s="200"/>
      <c r="I73" s="201"/>
    </row>
    <row r="74" spans="1:9" ht="18.75" customHeight="1">
      <c r="A74" s="4"/>
      <c r="B74" s="199"/>
      <c r="C74" s="200"/>
      <c r="D74" s="200"/>
      <c r="E74" s="200"/>
      <c r="F74" s="200"/>
      <c r="G74" s="200"/>
      <c r="H74" s="200"/>
      <c r="I74" s="201"/>
    </row>
    <row r="75" spans="1:9" ht="18.75" customHeight="1">
      <c r="A75" s="4"/>
      <c r="B75" s="199"/>
      <c r="C75" s="200"/>
      <c r="D75" s="200"/>
      <c r="E75" s="200"/>
      <c r="F75" s="200"/>
      <c r="G75" s="200"/>
      <c r="H75" s="200"/>
      <c r="I75" s="201"/>
    </row>
    <row r="76" spans="1:9" ht="18.75" customHeight="1">
      <c r="A76" s="4"/>
      <c r="B76" s="199"/>
      <c r="C76" s="200"/>
      <c r="D76" s="200"/>
      <c r="E76" s="200"/>
      <c r="F76" s="200"/>
      <c r="G76" s="200"/>
      <c r="H76" s="200"/>
      <c r="I76" s="201"/>
    </row>
    <row r="77" spans="1:9" ht="18.75" customHeight="1">
      <c r="A77" s="4"/>
      <c r="B77" s="199"/>
      <c r="C77" s="200"/>
      <c r="D77" s="200"/>
      <c r="E77" s="200"/>
      <c r="F77" s="200"/>
      <c r="G77" s="200"/>
      <c r="H77" s="200"/>
      <c r="I77" s="201"/>
    </row>
    <row r="78" spans="1:9" ht="18.75" customHeight="1">
      <c r="A78" s="4"/>
      <c r="B78" s="202"/>
      <c r="C78" s="203"/>
      <c r="D78" s="203"/>
      <c r="E78" s="203"/>
      <c r="F78" s="203"/>
      <c r="G78" s="203"/>
      <c r="H78" s="203"/>
      <c r="I78" s="204"/>
    </row>
    <row r="79" spans="1:9" ht="7.5" customHeight="1">
      <c r="A79" s="4"/>
      <c r="B79" s="4"/>
      <c r="C79" s="4"/>
      <c r="D79" s="4"/>
      <c r="E79" s="4"/>
      <c r="F79" s="4"/>
      <c r="G79" s="4"/>
      <c r="H79" s="4"/>
      <c r="I79" s="4"/>
    </row>
    <row r="80" spans="1:9" ht="18.75" customHeight="1">
      <c r="A80" s="91" t="s">
        <v>144</v>
      </c>
      <c r="B80" s="91" t="s">
        <v>145</v>
      </c>
      <c r="C80" s="91"/>
      <c r="D80" s="91"/>
      <c r="E80" s="91"/>
      <c r="F80" s="91"/>
      <c r="G80" s="91"/>
      <c r="H80" s="91"/>
      <c r="I80" s="91"/>
    </row>
    <row r="81" spans="1:9" ht="18.75" customHeight="1">
      <c r="A81" s="91"/>
      <c r="B81" s="196" t="s">
        <v>146</v>
      </c>
      <c r="C81" s="197"/>
      <c r="D81" s="197"/>
      <c r="E81" s="197"/>
      <c r="F81" s="197"/>
      <c r="G81" s="197"/>
      <c r="H81" s="197"/>
      <c r="I81" s="205"/>
    </row>
    <row r="82" spans="1:9" ht="18.75" customHeight="1">
      <c r="A82" s="91"/>
      <c r="B82" s="206"/>
      <c r="C82" s="207"/>
      <c r="D82" s="207"/>
      <c r="E82" s="207"/>
      <c r="F82" s="207"/>
      <c r="G82" s="207"/>
      <c r="H82" s="207"/>
      <c r="I82" s="208"/>
    </row>
    <row r="83" spans="1:9" ht="18.75" customHeight="1">
      <c r="A83" s="91"/>
      <c r="B83" s="206"/>
      <c r="C83" s="207"/>
      <c r="D83" s="207"/>
      <c r="E83" s="207"/>
      <c r="F83" s="207"/>
      <c r="G83" s="207"/>
      <c r="H83" s="207"/>
      <c r="I83" s="208"/>
    </row>
    <row r="84" spans="1:9" ht="18.75" customHeight="1">
      <c r="A84" s="91"/>
      <c r="B84" s="206"/>
      <c r="C84" s="207"/>
      <c r="D84" s="207"/>
      <c r="E84" s="207"/>
      <c r="F84" s="207"/>
      <c r="G84" s="207"/>
      <c r="H84" s="207"/>
      <c r="I84" s="208"/>
    </row>
    <row r="85" spans="1:9" ht="18.75" customHeight="1">
      <c r="A85" s="91"/>
      <c r="B85" s="206"/>
      <c r="C85" s="207"/>
      <c r="D85" s="207"/>
      <c r="E85" s="207"/>
      <c r="F85" s="207"/>
      <c r="G85" s="207"/>
      <c r="H85" s="207"/>
      <c r="I85" s="208"/>
    </row>
    <row r="86" spans="1:9" ht="18.75" customHeight="1">
      <c r="A86" s="91"/>
      <c r="B86" s="206"/>
      <c r="C86" s="207"/>
      <c r="D86" s="207"/>
      <c r="E86" s="207"/>
      <c r="F86" s="207"/>
      <c r="G86" s="207"/>
      <c r="H86" s="207"/>
      <c r="I86" s="208"/>
    </row>
    <row r="87" spans="1:9" ht="18.75" customHeight="1">
      <c r="A87" s="91"/>
      <c r="B87" s="206"/>
      <c r="C87" s="207"/>
      <c r="D87" s="207"/>
      <c r="E87" s="207"/>
      <c r="F87" s="207"/>
      <c r="G87" s="207"/>
      <c r="H87" s="207"/>
      <c r="I87" s="208"/>
    </row>
    <row r="88" spans="1:9" ht="18.75" customHeight="1">
      <c r="A88" s="91"/>
      <c r="B88" s="206"/>
      <c r="C88" s="207"/>
      <c r="D88" s="207"/>
      <c r="E88" s="207"/>
      <c r="F88" s="207"/>
      <c r="G88" s="207"/>
      <c r="H88" s="207"/>
      <c r="I88" s="208"/>
    </row>
    <row r="89" spans="1:9" ht="18.75" customHeight="1">
      <c r="A89" s="91"/>
      <c r="B89" s="206"/>
      <c r="C89" s="207"/>
      <c r="D89" s="207"/>
      <c r="E89" s="207"/>
      <c r="F89" s="207"/>
      <c r="G89" s="207"/>
      <c r="H89" s="207"/>
      <c r="I89" s="208"/>
    </row>
    <row r="90" spans="1:9" ht="18.75" customHeight="1">
      <c r="A90" s="91"/>
      <c r="B90" s="206"/>
      <c r="C90" s="207"/>
      <c r="D90" s="207"/>
      <c r="E90" s="207"/>
      <c r="F90" s="207"/>
      <c r="G90" s="207"/>
      <c r="H90" s="207"/>
      <c r="I90" s="208"/>
    </row>
    <row r="91" spans="1:9" ht="18.75" customHeight="1">
      <c r="A91" s="4"/>
      <c r="B91" s="206"/>
      <c r="C91" s="207"/>
      <c r="D91" s="207"/>
      <c r="E91" s="207"/>
      <c r="F91" s="207"/>
      <c r="G91" s="207"/>
      <c r="H91" s="207"/>
      <c r="I91" s="208"/>
    </row>
    <row r="92" spans="1:9" ht="18.75" customHeight="1">
      <c r="A92" s="4"/>
      <c r="B92" s="209"/>
      <c r="C92" s="210"/>
      <c r="D92" s="210"/>
      <c r="E92" s="210"/>
      <c r="F92" s="210"/>
      <c r="G92" s="210"/>
      <c r="H92" s="210"/>
      <c r="I92" s="211"/>
    </row>
    <row r="93" spans="1:9" ht="7.5" customHeight="1">
      <c r="A93" s="4"/>
      <c r="B93" s="4"/>
      <c r="C93" s="4"/>
      <c r="D93" s="4"/>
      <c r="E93" s="4"/>
      <c r="F93" s="4"/>
      <c r="G93" s="4"/>
      <c r="H93" s="4"/>
      <c r="I93" s="4"/>
    </row>
    <row r="94" spans="1:9" ht="18.75" customHeight="1">
      <c r="A94" s="91" t="s">
        <v>147</v>
      </c>
      <c r="B94" s="91" t="s">
        <v>148</v>
      </c>
      <c r="C94" s="91"/>
      <c r="D94" s="91"/>
      <c r="E94" s="91"/>
      <c r="F94" s="91"/>
      <c r="G94" s="91"/>
      <c r="H94" s="91"/>
      <c r="I94" s="91"/>
    </row>
    <row r="95" spans="1:9" ht="18.75" customHeight="1">
      <c r="A95" s="91"/>
      <c r="B95" s="227" t="s">
        <v>149</v>
      </c>
      <c r="C95" s="228"/>
      <c r="D95" s="228"/>
      <c r="E95" s="228"/>
      <c r="F95" s="228"/>
      <c r="G95" s="228"/>
      <c r="H95" s="228"/>
      <c r="I95" s="229"/>
    </row>
    <row r="96" spans="1:9" ht="18.75" customHeight="1">
      <c r="A96" s="91"/>
      <c r="B96" s="233"/>
      <c r="C96" s="234"/>
      <c r="D96" s="234"/>
      <c r="E96" s="234"/>
      <c r="F96" s="234"/>
      <c r="G96" s="234"/>
      <c r="H96" s="234"/>
      <c r="I96" s="232"/>
    </row>
    <row r="97" spans="1:9" ht="18.75" customHeight="1">
      <c r="A97" s="91"/>
      <c r="B97" s="233"/>
      <c r="C97" s="234"/>
      <c r="D97" s="234"/>
      <c r="E97" s="234"/>
      <c r="F97" s="234"/>
      <c r="G97" s="234"/>
      <c r="H97" s="234"/>
      <c r="I97" s="232"/>
    </row>
    <row r="98" spans="1:9" ht="18.75" customHeight="1">
      <c r="A98" s="91"/>
      <c r="B98" s="233"/>
      <c r="C98" s="234"/>
      <c r="D98" s="234"/>
      <c r="E98" s="234"/>
      <c r="F98" s="234"/>
      <c r="G98" s="234"/>
      <c r="H98" s="234"/>
      <c r="I98" s="232"/>
    </row>
    <row r="99" spans="1:9" ht="18.75" customHeight="1">
      <c r="A99" s="91"/>
      <c r="B99" s="233"/>
      <c r="C99" s="234"/>
      <c r="D99" s="234"/>
      <c r="E99" s="234"/>
      <c r="F99" s="234"/>
      <c r="G99" s="234"/>
      <c r="H99" s="234"/>
      <c r="I99" s="232"/>
    </row>
    <row r="100" spans="1:9" ht="18.75" customHeight="1">
      <c r="A100" s="91"/>
      <c r="B100" s="233"/>
      <c r="C100" s="234"/>
      <c r="D100" s="234"/>
      <c r="E100" s="234"/>
      <c r="F100" s="234"/>
      <c r="G100" s="234"/>
      <c r="H100" s="234"/>
      <c r="I100" s="232"/>
    </row>
    <row r="101" spans="1:9" ht="18.75" customHeight="1">
      <c r="A101" s="91"/>
      <c r="B101" s="233"/>
      <c r="C101" s="234"/>
      <c r="D101" s="234"/>
      <c r="E101" s="234"/>
      <c r="F101" s="234"/>
      <c r="G101" s="234"/>
      <c r="H101" s="234"/>
      <c r="I101" s="232"/>
    </row>
    <row r="102" spans="1:9" ht="18.75" customHeight="1">
      <c r="A102" s="91"/>
      <c r="B102" s="233"/>
      <c r="C102" s="234"/>
      <c r="D102" s="234"/>
      <c r="E102" s="234"/>
      <c r="F102" s="234"/>
      <c r="G102" s="234"/>
      <c r="H102" s="234"/>
      <c r="I102" s="232"/>
    </row>
    <row r="103" spans="1:9" ht="18.75" customHeight="1">
      <c r="A103" s="91"/>
      <c r="B103" s="233"/>
      <c r="C103" s="234"/>
      <c r="D103" s="234"/>
      <c r="E103" s="234"/>
      <c r="F103" s="234"/>
      <c r="G103" s="234"/>
      <c r="H103" s="234"/>
      <c r="I103" s="232"/>
    </row>
    <row r="104" spans="1:9" ht="18.75" customHeight="1">
      <c r="A104" s="91"/>
      <c r="B104" s="233"/>
      <c r="C104" s="234"/>
      <c r="D104" s="234"/>
      <c r="E104" s="234"/>
      <c r="F104" s="234"/>
      <c r="G104" s="234"/>
      <c r="H104" s="234"/>
      <c r="I104" s="232"/>
    </row>
    <row r="105" spans="1:9" ht="18.75" customHeight="1">
      <c r="A105" s="91"/>
      <c r="B105" s="233"/>
      <c r="C105" s="234"/>
      <c r="D105" s="234"/>
      <c r="E105" s="234"/>
      <c r="F105" s="234"/>
      <c r="G105" s="234"/>
      <c r="H105" s="234"/>
      <c r="I105" s="232"/>
    </row>
    <row r="106" spans="1:9" ht="18.75" customHeight="1">
      <c r="A106" s="4"/>
      <c r="B106" s="235"/>
      <c r="C106" s="236"/>
      <c r="D106" s="236"/>
      <c r="E106" s="236"/>
      <c r="F106" s="236"/>
      <c r="G106" s="236"/>
      <c r="H106" s="236"/>
      <c r="I106" s="237"/>
    </row>
    <row r="107" spans="1:9" ht="7.5" customHeight="1">
      <c r="A107" s="4"/>
      <c r="B107" s="4"/>
      <c r="C107" s="4"/>
      <c r="D107" s="4"/>
      <c r="E107" s="4"/>
      <c r="F107" s="4"/>
      <c r="G107" s="4"/>
      <c r="H107" s="4"/>
      <c r="I107" s="4"/>
    </row>
    <row r="108" spans="1:9" ht="18.75" customHeight="1">
      <c r="A108" s="91" t="s">
        <v>150</v>
      </c>
      <c r="B108" s="269" t="s">
        <v>151</v>
      </c>
      <c r="C108" s="269"/>
      <c r="D108" s="269"/>
      <c r="E108" s="269"/>
      <c r="F108" s="269"/>
      <c r="G108" s="269"/>
      <c r="H108" s="269"/>
      <c r="I108" s="269"/>
    </row>
    <row r="109" spans="1:9" ht="18.75" customHeight="1">
      <c r="A109" s="4"/>
      <c r="B109" s="227" t="s">
        <v>152</v>
      </c>
      <c r="C109" s="228"/>
      <c r="D109" s="228"/>
      <c r="E109" s="228"/>
      <c r="F109" s="228"/>
      <c r="G109" s="228"/>
      <c r="H109" s="228"/>
      <c r="I109" s="229"/>
    </row>
    <row r="110" spans="1:9" ht="18.75" customHeight="1">
      <c r="A110" s="4"/>
      <c r="B110" s="233"/>
      <c r="C110" s="234"/>
      <c r="D110" s="234"/>
      <c r="E110" s="234"/>
      <c r="F110" s="234"/>
      <c r="G110" s="234"/>
      <c r="H110" s="234"/>
      <c r="I110" s="232"/>
    </row>
    <row r="111" spans="1:9" ht="18.75" customHeight="1">
      <c r="A111" s="4"/>
      <c r="B111" s="233"/>
      <c r="C111" s="234"/>
      <c r="D111" s="234"/>
      <c r="E111" s="234"/>
      <c r="F111" s="234"/>
      <c r="G111" s="234"/>
      <c r="H111" s="234"/>
      <c r="I111" s="232"/>
    </row>
    <row r="112" spans="1:9" ht="18.75" customHeight="1">
      <c r="A112" s="4"/>
      <c r="B112" s="233"/>
      <c r="C112" s="234"/>
      <c r="D112" s="234"/>
      <c r="E112" s="234"/>
      <c r="F112" s="234"/>
      <c r="G112" s="234"/>
      <c r="H112" s="234"/>
      <c r="I112" s="232"/>
    </row>
    <row r="113" spans="1:9" ht="18.75" customHeight="1">
      <c r="A113" s="4"/>
      <c r="B113" s="233"/>
      <c r="C113" s="234"/>
      <c r="D113" s="234"/>
      <c r="E113" s="234"/>
      <c r="F113" s="234"/>
      <c r="G113" s="234"/>
      <c r="H113" s="234"/>
      <c r="I113" s="232"/>
    </row>
    <row r="114" spans="1:9" ht="18.75" customHeight="1">
      <c r="A114" s="4"/>
      <c r="B114" s="233"/>
      <c r="C114" s="234"/>
      <c r="D114" s="234"/>
      <c r="E114" s="234"/>
      <c r="F114" s="234"/>
      <c r="G114" s="234"/>
      <c r="H114" s="234"/>
      <c r="I114" s="232"/>
    </row>
    <row r="115" spans="1:9" ht="18.75" customHeight="1">
      <c r="A115" s="4"/>
      <c r="B115" s="233"/>
      <c r="C115" s="234"/>
      <c r="D115" s="234"/>
      <c r="E115" s="234"/>
      <c r="F115" s="234"/>
      <c r="G115" s="234"/>
      <c r="H115" s="234"/>
      <c r="I115" s="232"/>
    </row>
    <row r="116" spans="1:9" ht="18.75" customHeight="1">
      <c r="A116" s="4"/>
      <c r="B116" s="233"/>
      <c r="C116" s="234"/>
      <c r="D116" s="234"/>
      <c r="E116" s="234"/>
      <c r="F116" s="234"/>
      <c r="G116" s="234"/>
      <c r="H116" s="234"/>
      <c r="I116" s="232"/>
    </row>
    <row r="117" spans="1:9" ht="18.75" customHeight="1">
      <c r="A117" s="4"/>
      <c r="B117" s="233"/>
      <c r="C117" s="234"/>
      <c r="D117" s="234"/>
      <c r="E117" s="234"/>
      <c r="F117" s="234"/>
      <c r="G117" s="234"/>
      <c r="H117" s="234"/>
      <c r="I117" s="232"/>
    </row>
    <row r="118" spans="1:9" ht="18.75" customHeight="1">
      <c r="A118" s="4"/>
      <c r="B118" s="233"/>
      <c r="C118" s="234"/>
      <c r="D118" s="234"/>
      <c r="E118" s="234"/>
      <c r="F118" s="234"/>
      <c r="G118" s="234"/>
      <c r="H118" s="234"/>
      <c r="I118" s="232"/>
    </row>
    <row r="119" spans="1:9" ht="18.75" customHeight="1">
      <c r="A119" s="4"/>
      <c r="B119" s="233"/>
      <c r="C119" s="234"/>
      <c r="D119" s="234"/>
      <c r="E119" s="234"/>
      <c r="F119" s="234"/>
      <c r="G119" s="234"/>
      <c r="H119" s="234"/>
      <c r="I119" s="232"/>
    </row>
    <row r="120" spans="1:9" ht="18.75" customHeight="1">
      <c r="A120" s="4"/>
      <c r="B120" s="235"/>
      <c r="C120" s="236"/>
      <c r="D120" s="236"/>
      <c r="E120" s="236"/>
      <c r="F120" s="236"/>
      <c r="G120" s="236"/>
      <c r="H120" s="236"/>
      <c r="I120" s="237"/>
    </row>
    <row r="121" spans="1:9" ht="7.5" customHeight="1">
      <c r="A121" s="4"/>
      <c r="B121" s="34"/>
      <c r="C121" s="34"/>
      <c r="D121" s="34"/>
      <c r="E121" s="34"/>
      <c r="F121" s="34"/>
      <c r="G121" s="34"/>
      <c r="H121" s="34"/>
      <c r="I121" s="34"/>
    </row>
    <row r="122" spans="1:9" ht="18.75" customHeight="1">
      <c r="A122" s="64"/>
      <c r="B122" s="222"/>
      <c r="C122" s="222"/>
      <c r="D122" s="222"/>
      <c r="E122" s="222"/>
      <c r="F122" s="222"/>
      <c r="G122" s="222"/>
      <c r="H122" s="222"/>
      <c r="I122" s="222"/>
    </row>
    <row r="123" spans="1:9" ht="18.75" customHeight="1">
      <c r="A123" s="64"/>
      <c r="B123" s="222"/>
      <c r="C123" s="222"/>
      <c r="D123" s="222"/>
      <c r="E123" s="222"/>
      <c r="F123" s="222"/>
      <c r="G123" s="222"/>
      <c r="H123" s="222"/>
      <c r="I123" s="222"/>
    </row>
    <row r="124" spans="1:9" ht="18.75" customHeight="1">
      <c r="A124" s="4"/>
      <c r="B124" s="88"/>
      <c r="C124" s="88"/>
      <c r="D124" s="88"/>
      <c r="E124" s="88"/>
      <c r="F124" s="88"/>
      <c r="G124" s="88"/>
      <c r="H124" s="88"/>
      <c r="I124" s="89"/>
    </row>
    <row r="125" spans="1:9" ht="18.75" customHeight="1">
      <c r="A125" s="4"/>
      <c r="B125" s="89"/>
      <c r="C125" s="89"/>
      <c r="D125" s="89"/>
      <c r="E125" s="89"/>
      <c r="F125" s="89"/>
      <c r="G125" s="89"/>
      <c r="H125" s="89"/>
      <c r="I125" s="89"/>
    </row>
    <row r="126" spans="1:9" ht="18.75" customHeight="1">
      <c r="A126" s="4"/>
      <c r="B126" s="89"/>
      <c r="C126" s="89"/>
      <c r="D126" s="89"/>
      <c r="E126" s="89"/>
      <c r="F126" s="89"/>
      <c r="G126" s="89"/>
      <c r="H126" s="89"/>
      <c r="I126" s="89"/>
    </row>
    <row r="127" spans="1:9" ht="18.75" customHeight="1">
      <c r="A127" s="4"/>
      <c r="B127" s="89"/>
      <c r="C127" s="89"/>
      <c r="D127" s="89"/>
      <c r="E127" s="89"/>
      <c r="F127" s="89"/>
      <c r="G127" s="89"/>
      <c r="H127" s="89"/>
      <c r="I127" s="89"/>
    </row>
    <row r="128" spans="1:9" ht="18.75" customHeight="1">
      <c r="A128" s="4"/>
      <c r="B128" s="89"/>
      <c r="C128" s="89"/>
      <c r="D128" s="89"/>
      <c r="E128" s="89"/>
      <c r="F128" s="89"/>
      <c r="G128" s="89"/>
      <c r="H128" s="89"/>
      <c r="I128" s="89"/>
    </row>
    <row r="129" spans="1:9" ht="18.75" customHeight="1">
      <c r="A129" s="4"/>
      <c r="B129" s="89"/>
      <c r="C129" s="89"/>
      <c r="D129" s="89"/>
      <c r="E129" s="89"/>
      <c r="F129" s="89"/>
      <c r="G129" s="89"/>
      <c r="H129" s="89"/>
      <c r="I129" s="89"/>
    </row>
    <row r="130" spans="1:9" ht="18.75" customHeight="1">
      <c r="A130" s="4"/>
      <c r="B130" s="89"/>
      <c r="C130" s="89"/>
      <c r="D130" s="89"/>
      <c r="E130" s="89"/>
      <c r="F130" s="89"/>
      <c r="G130" s="89"/>
      <c r="H130" s="89"/>
      <c r="I130" s="89"/>
    </row>
    <row r="131" spans="1:9" ht="18.75" customHeight="1">
      <c r="A131" s="4"/>
      <c r="B131" s="89"/>
      <c r="C131" s="89"/>
      <c r="D131" s="89"/>
      <c r="E131" s="89"/>
      <c r="F131" s="89"/>
      <c r="G131" s="89"/>
      <c r="H131" s="89"/>
      <c r="I131" s="89"/>
    </row>
    <row r="132" spans="1:9" ht="18.75" customHeight="1">
      <c r="A132" s="4"/>
      <c r="B132" s="89"/>
      <c r="C132" s="89"/>
      <c r="D132" s="89"/>
      <c r="E132" s="89"/>
      <c r="F132" s="89"/>
      <c r="G132" s="89"/>
      <c r="H132" s="89"/>
      <c r="I132" s="89"/>
    </row>
    <row r="133" spans="1:9" ht="18.75" customHeight="1">
      <c r="A133" s="4"/>
      <c r="B133" s="89"/>
      <c r="C133" s="89"/>
      <c r="D133" s="89"/>
      <c r="E133" s="89"/>
      <c r="F133" s="89"/>
      <c r="G133" s="89"/>
      <c r="H133" s="89"/>
      <c r="I133" s="89"/>
    </row>
    <row r="134" spans="1:9" ht="14.25">
      <c r="A134" s="4"/>
      <c r="B134" s="89"/>
      <c r="C134" s="89"/>
      <c r="D134" s="89"/>
      <c r="E134" s="89"/>
      <c r="F134" s="89"/>
      <c r="G134" s="89"/>
      <c r="H134" s="89"/>
      <c r="I134" s="89"/>
    </row>
    <row r="135" spans="1:9" ht="7.5" customHeight="1">
      <c r="A135" s="4"/>
      <c r="B135" s="89"/>
      <c r="C135" s="89"/>
      <c r="D135" s="89"/>
      <c r="E135" s="89"/>
      <c r="F135" s="89"/>
      <c r="G135" s="89"/>
      <c r="H135" s="89"/>
      <c r="I135" s="89"/>
    </row>
  </sheetData>
  <mergeCells count="23">
    <mergeCell ref="B122:I123"/>
    <mergeCell ref="H2:I2"/>
    <mergeCell ref="A4:I4"/>
    <mergeCell ref="B19:I19"/>
    <mergeCell ref="B22:I32"/>
    <mergeCell ref="B35:I47"/>
    <mergeCell ref="B14:I14"/>
    <mergeCell ref="C16:E16"/>
    <mergeCell ref="H16:I16"/>
    <mergeCell ref="C11:E11"/>
    <mergeCell ref="H11:I11"/>
    <mergeCell ref="C6:D6"/>
    <mergeCell ref="B95:I106"/>
    <mergeCell ref="B108:I108"/>
    <mergeCell ref="B109:I120"/>
    <mergeCell ref="B52:I52"/>
    <mergeCell ref="F51:G51"/>
    <mergeCell ref="B67:I78"/>
    <mergeCell ref="B81:I92"/>
    <mergeCell ref="C50:D50"/>
    <mergeCell ref="C51:D51"/>
    <mergeCell ref="F50:G50"/>
    <mergeCell ref="B53:I64"/>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zoomScale="130" zoomScaleNormal="130" zoomScaleSheetLayoutView="100" workbookViewId="0">
      <selection activeCell="E31" sqref="E31"/>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91" t="s">
        <v>153</v>
      </c>
      <c r="B1" s="91"/>
      <c r="C1" s="91"/>
      <c r="D1" s="91"/>
      <c r="E1" s="91"/>
      <c r="F1" s="91"/>
      <c r="G1" s="91"/>
      <c r="H1" s="91"/>
      <c r="I1" s="26" t="s">
        <v>154</v>
      </c>
    </row>
    <row r="2" spans="1:9" ht="18.75" customHeight="1">
      <c r="A2" s="91"/>
      <c r="B2" s="91"/>
      <c r="C2" s="91"/>
      <c r="D2" s="91"/>
      <c r="E2" s="91"/>
      <c r="F2" s="91"/>
      <c r="G2" s="91"/>
      <c r="H2" s="26" t="s">
        <v>2</v>
      </c>
      <c r="I2" s="25" t="str">
        <f>'様式１　プログラムを構成する授業科目'!C2</f>
        <v>鹿児島純心女子短期大学</v>
      </c>
    </row>
    <row r="3" spans="1:9" ht="18.75" customHeight="1">
      <c r="A3" s="223" t="s">
        <v>155</v>
      </c>
      <c r="B3" s="223"/>
      <c r="C3" s="223"/>
      <c r="D3" s="223"/>
      <c r="E3" s="223"/>
      <c r="F3" s="223"/>
      <c r="G3" s="223"/>
      <c r="H3" s="223"/>
      <c r="I3" s="223"/>
    </row>
    <row r="4" spans="1:9" ht="18.75" customHeight="1">
      <c r="A4" s="87"/>
      <c r="B4" s="87"/>
      <c r="C4" s="87"/>
      <c r="D4" s="87"/>
      <c r="E4" s="87"/>
      <c r="F4" s="87"/>
      <c r="G4" s="87"/>
      <c r="H4" s="87"/>
      <c r="I4" s="87"/>
    </row>
    <row r="5" spans="1:9" ht="18.75" customHeight="1">
      <c r="A5" s="91" t="s">
        <v>105</v>
      </c>
      <c r="B5" s="9" t="s">
        <v>156</v>
      </c>
      <c r="C5" s="87"/>
      <c r="D5" s="87"/>
      <c r="E5" s="87"/>
      <c r="F5" s="87"/>
      <c r="G5" s="87"/>
      <c r="H5" s="87"/>
      <c r="I5" s="87"/>
    </row>
    <row r="6" spans="1:9" ht="26.25" customHeight="1">
      <c r="A6" s="87"/>
      <c r="B6" s="238" t="s">
        <v>157</v>
      </c>
      <c r="C6" s="265"/>
      <c r="D6" s="265"/>
      <c r="E6" s="265"/>
      <c r="F6" s="265"/>
      <c r="G6" s="265"/>
      <c r="H6" s="266"/>
      <c r="I6" s="90"/>
    </row>
    <row r="7" spans="1:9" ht="9" customHeight="1">
      <c r="A7" s="87"/>
      <c r="B7" s="9"/>
      <c r="C7" s="9"/>
      <c r="D7" s="9"/>
      <c r="E7" s="9"/>
      <c r="F7" s="9"/>
      <c r="G7" s="9"/>
      <c r="H7" s="9"/>
      <c r="I7" s="90"/>
    </row>
    <row r="8" spans="1:9" ht="18.75" customHeight="1">
      <c r="A8" s="87"/>
      <c r="B8" s="90"/>
      <c r="C8" s="90"/>
      <c r="D8" s="26" t="s">
        <v>113</v>
      </c>
      <c r="E8" s="27" t="s">
        <v>120</v>
      </c>
      <c r="F8" s="90"/>
      <c r="G8" s="26" t="s">
        <v>115</v>
      </c>
      <c r="H8" s="27" t="s">
        <v>121</v>
      </c>
      <c r="I8" s="90"/>
    </row>
    <row r="9" spans="1:9" ht="7.5" customHeight="1">
      <c r="A9" s="87"/>
      <c r="B9" s="87"/>
      <c r="C9" s="87"/>
      <c r="D9" s="87"/>
      <c r="E9" s="87"/>
      <c r="F9" s="87"/>
      <c r="G9" s="87"/>
      <c r="H9" s="87"/>
      <c r="I9" s="87"/>
    </row>
    <row r="10" spans="1:9" ht="18.75" customHeight="1">
      <c r="A10" s="91" t="s">
        <v>109</v>
      </c>
      <c r="B10" s="91" t="s">
        <v>158</v>
      </c>
      <c r="C10" s="4"/>
      <c r="D10" s="4"/>
      <c r="E10" s="4"/>
      <c r="F10" s="4"/>
      <c r="G10" s="4"/>
      <c r="H10" s="4"/>
      <c r="I10" s="4"/>
    </row>
    <row r="11" spans="1:9" ht="18.75" customHeight="1">
      <c r="A11" s="91"/>
      <c r="B11" s="113" t="s">
        <v>159</v>
      </c>
      <c r="C11" s="114"/>
      <c r="D11" s="115"/>
      <c r="E11" s="114" t="s">
        <v>160</v>
      </c>
      <c r="F11" s="114"/>
      <c r="G11" s="114"/>
      <c r="H11" s="114"/>
      <c r="I11" s="115"/>
    </row>
    <row r="12" spans="1:9" ht="26.25" customHeight="1">
      <c r="A12" s="91"/>
      <c r="B12" s="35" t="s">
        <v>161</v>
      </c>
      <c r="C12" s="42"/>
      <c r="D12" s="36"/>
      <c r="E12" s="43"/>
      <c r="F12" s="43"/>
      <c r="G12" s="43"/>
      <c r="H12" s="43"/>
      <c r="I12" s="36"/>
    </row>
    <row r="13" spans="1:9" ht="210.75" customHeight="1">
      <c r="A13" s="91"/>
      <c r="B13" s="37"/>
      <c r="C13" s="250" t="s">
        <v>162</v>
      </c>
      <c r="D13" s="251"/>
      <c r="E13" s="263" t="s">
        <v>163</v>
      </c>
      <c r="F13" s="252"/>
      <c r="G13" s="252"/>
      <c r="H13" s="252"/>
      <c r="I13" s="253"/>
    </row>
    <row r="14" spans="1:9" ht="210.75" customHeight="1">
      <c r="A14" s="91"/>
      <c r="B14" s="37"/>
      <c r="C14" s="270" t="s">
        <v>164</v>
      </c>
      <c r="D14" s="271"/>
      <c r="E14" s="263" t="s">
        <v>165</v>
      </c>
      <c r="F14" s="252"/>
      <c r="G14" s="252"/>
      <c r="H14" s="252"/>
      <c r="I14" s="253"/>
    </row>
    <row r="15" spans="1:9" ht="210.75" customHeight="1">
      <c r="A15" s="91"/>
      <c r="B15" s="37"/>
      <c r="C15" s="250" t="s">
        <v>166</v>
      </c>
      <c r="D15" s="251"/>
      <c r="E15" s="263" t="s">
        <v>167</v>
      </c>
      <c r="F15" s="252"/>
      <c r="G15" s="252"/>
      <c r="H15" s="252"/>
      <c r="I15" s="253"/>
    </row>
    <row r="16" spans="1:9" ht="210.75" customHeight="1">
      <c r="A16" s="91"/>
      <c r="B16" s="37"/>
      <c r="C16" s="250" t="s">
        <v>168</v>
      </c>
      <c r="D16" s="251"/>
      <c r="E16" s="263" t="s">
        <v>169</v>
      </c>
      <c r="F16" s="252"/>
      <c r="G16" s="252"/>
      <c r="H16" s="252"/>
      <c r="I16" s="253"/>
    </row>
    <row r="17" spans="2:9" ht="210.75" customHeight="1">
      <c r="B17" s="38"/>
      <c r="C17" s="254" t="s">
        <v>170</v>
      </c>
      <c r="D17" s="255"/>
      <c r="E17" s="264" t="s">
        <v>171</v>
      </c>
      <c r="F17" s="256"/>
      <c r="G17" s="256"/>
      <c r="H17" s="256"/>
      <c r="I17" s="257"/>
    </row>
    <row r="18" spans="2:9" ht="24" customHeight="1">
      <c r="B18" s="35" t="s">
        <v>172</v>
      </c>
      <c r="C18" s="39"/>
      <c r="D18" s="40"/>
      <c r="E18" s="41"/>
      <c r="F18" s="41"/>
      <c r="G18" s="41"/>
      <c r="H18" s="41"/>
      <c r="I18" s="44"/>
    </row>
    <row r="19" spans="2:9" ht="218.25" customHeight="1">
      <c r="B19" s="37"/>
      <c r="C19" s="250" t="s">
        <v>173</v>
      </c>
      <c r="D19" s="251"/>
      <c r="E19" s="252" t="s">
        <v>174</v>
      </c>
      <c r="F19" s="252"/>
      <c r="G19" s="252"/>
      <c r="H19" s="252"/>
      <c r="I19" s="253"/>
    </row>
    <row r="20" spans="2:9" ht="218.25" customHeight="1">
      <c r="B20" s="38"/>
      <c r="C20" s="254" t="s">
        <v>175</v>
      </c>
      <c r="D20" s="255"/>
      <c r="E20" s="256" t="s">
        <v>176</v>
      </c>
      <c r="F20" s="256"/>
      <c r="G20" s="256"/>
      <c r="H20" s="256"/>
      <c r="I20" s="257"/>
    </row>
    <row r="21" spans="2:9" ht="218.25" customHeight="1">
      <c r="B21" s="258" t="s">
        <v>177</v>
      </c>
      <c r="C21" s="259"/>
      <c r="D21" s="260"/>
      <c r="E21" s="261" t="s">
        <v>178</v>
      </c>
      <c r="F21" s="261"/>
      <c r="G21" s="261"/>
      <c r="H21" s="261"/>
      <c r="I21" s="262"/>
    </row>
    <row r="22" spans="2:9" ht="218.25" customHeight="1">
      <c r="B22" s="245" t="s">
        <v>179</v>
      </c>
      <c r="C22" s="246"/>
      <c r="D22" s="247"/>
      <c r="E22" s="248" t="s">
        <v>180</v>
      </c>
      <c r="F22" s="248"/>
      <c r="G22" s="248"/>
      <c r="H22" s="248"/>
      <c r="I22" s="24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93"/>
      <c r="C28" s="93"/>
      <c r="D28" s="93"/>
      <c r="E28" s="93"/>
      <c r="F28" s="93"/>
      <c r="G28" s="93"/>
      <c r="H28" s="93"/>
      <c r="I28" s="93"/>
    </row>
    <row r="29" spans="2:9" ht="22.5" customHeight="1">
      <c r="B29" s="93"/>
      <c r="C29" s="93"/>
      <c r="D29" s="93"/>
      <c r="E29" s="93"/>
      <c r="F29" s="93"/>
      <c r="G29" s="93"/>
      <c r="H29" s="93"/>
      <c r="I29" s="93"/>
    </row>
    <row r="30" spans="2:9" ht="22.5" customHeight="1">
      <c r="B30" s="93"/>
      <c r="C30" s="93"/>
      <c r="D30" s="93"/>
      <c r="E30" s="93"/>
      <c r="F30" s="93"/>
      <c r="G30" s="93"/>
      <c r="H30" s="93"/>
      <c r="I30" s="9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horizontalDpi="4294967293"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今川新悟</cp:lastModifiedBy>
  <cp:revision/>
  <dcterms:created xsi:type="dcterms:W3CDTF">2011-06-14T05:32:50Z</dcterms:created>
  <dcterms:modified xsi:type="dcterms:W3CDTF">2024-08-07T07:13:46Z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