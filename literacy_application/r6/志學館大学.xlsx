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1"/>
  <workbookPr defaultThemeVersion="124226"/>
  <mc:AlternateContent xmlns:mc="http://schemas.openxmlformats.org/markup-compatibility/2006">
    <mc:Choice Requires="x15">
      <x15ac:absPath xmlns:x15ac="http://schemas.microsoft.com/office/spreadsheetml/2010/11/ac" url="\\fsv01\大学共有フォルダ\学務課共有フォルダ\学務課共有フォルダ\90_各種委員会\90_8_R6\72：MDASH申請WG\申請書類最終版_再提出\（再）志學館大学\"/>
    </mc:Choice>
  </mc:AlternateContent>
  <xr:revisionPtr revIDLastSave="0" documentId="13_ncr:1_{0CA871A8-8969-4754-8A45-B5E81A13D7EF}" xr6:coauthVersionLast="36" xr6:coauthVersionMax="36" xr10:uidLastSave="{00000000-0000-0000-0000-000000000000}"/>
  <bookViews>
    <workbookView xWindow="0" yWindow="0" windowWidth="12645" windowHeight="10830" tabRatio="885" activeTab="1"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<sst xmlns="http://schemas.openxmlformats.org/spreadsheetml/2006/main" count="322" uniqueCount="197">
  <si>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</si>
  <si>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</si>
  <si>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</si>
  <si>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</si>
  <si>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</si>
  <si>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</si>
  <si>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</si>
  <si>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</si>
  <si>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</si>
  <si>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</si>
  <si>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</si>
  <si>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</si>
  <si>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</si>
  <si>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</si>
  <si>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</si>
  <si>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</si>
  <si>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</si>
  <si>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</si>
  <si>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</si>
  <si>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</si>
  <si>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</si>
  <si>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</si>
  <si>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</si>
  <si>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</si>
  <si>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</si>
  <si>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</si>
  <si>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</si>
  <si>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</si>
  <si>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</si>
  <si>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</si>
  <si>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</si>
  <si>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</si>
  <si>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</si>
  <si>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</si>
  <si>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</si>
  <si>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</si>
  <si>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</si>
  <si>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</si>
  <si>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</si>
  <si>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</si>
  <si>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</si>
  <si>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</si>
  <si>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</si>
  <si>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</si>
  <si>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</si>
  <si>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</si>
  <si>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</si>
  <si>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</si>
  <si>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</si>
  <si>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</si>
  <si>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</si>
  <si>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</si>
  <si>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</si>
  <si>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</si>
  <si>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</si>
  <si>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</si>
  <si>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</si>
  <si>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</si>
  <si>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</si>
  <si>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</si>
  <si>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</si>
  <si>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</si>
  <si>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</si>
  <si>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</si>
  <si>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</si>
  <si>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</si>
  <si>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</si>
  <si>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</si>
  <si>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</si>
  <si>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</si>
  <si>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</si>
  <si>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</si>
  <si>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</si>
  <si>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</si>
  <si>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</si>
  <si>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</si>
  <si>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</si>
  <si>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</si>
  <si>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</si>
  <si>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</si>
  <si>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</si>
  <si>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</si>
  <si>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</si>
  <si>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</si>
  <si>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</si>
  <si>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</si>
  <si>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</si>
  <si>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</si>
  <si>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</si>
  <si>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</si>
  <si>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</si>
  <si>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</si>
  <si>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</si>
  <si>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</si>
  <si>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</si>
  <si>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</si>
  <si>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</si>
  <si>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</si>
  <si>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</si>
  <si>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</si>
  <si>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</si>
  <si>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</si>
  <si>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</si>
  <si>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</si>
  <si>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</si>
  <si>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</si>
  <si>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</si>
  <si>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</si>
  <si>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</si>
  <si>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</si>
  <si>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</si>
  <si>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</si>
  <si>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</si>
  <si>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</si>
  <si>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</si>
  <si>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</si>
  <si>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</si>
  <si>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</si>
  <si>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</si>
  <si>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</si>
  <si>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</si>
  <si>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</si>
  <si>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</si>
  <si>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</si>
  <si>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</si>
  <si>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</si>
  <si>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</si>
  <si>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</si>
  <si>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</si>
  <si>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</si>
  <si>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</si>
  <si>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</si>
  <si>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</si>
  <si>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</si>
  <si>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</si>
  <si>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</si>
  <si>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志學館大学</t>
    <rPh sb="0" eb="5">
      <t xml:space="preserve">シガクカンダイガク </t>
    </rPh>
    <phoneticPr fontId="1"/>
  </si>
  <si>
    <t>学部・学科によって、修了要件は相違しない</t>
  </si>
  <si>
    <t>Society5.0と情報</t>
    <rPh sb="11" eb="13">
      <t xml:space="preserve">ジョウホウ </t>
    </rPh>
    <phoneticPr fontId="1"/>
  </si>
  <si>
    <t>○</t>
  </si>
  <si>
    <t>Society5.0と情報</t>
    <phoneticPr fontId="1"/>
  </si>
  <si>
    <t>情報技術論</t>
    <rPh sb="0" eb="5">
      <t xml:space="preserve">ジョウホウギジュツロン </t>
    </rPh>
    <phoneticPr fontId="1"/>
  </si>
  <si>
    <t>情報技術論</t>
    <rPh sb="0" eb="5">
      <t>ジョウホウｇ</t>
    </rPh>
    <phoneticPr fontId="1"/>
  </si>
  <si>
    <t>情報技術論</t>
    <rPh sb="0" eb="5">
      <t>ジョウホ</t>
    </rPh>
    <phoneticPr fontId="1"/>
  </si>
  <si>
    <t>4‐2アルゴリズム基礎</t>
  </si>
  <si>
    <t>4‐3データ構造とプログラミング基礎</t>
  </si>
  <si>
    <t>本教育プログラムについての授業時間外での学習指導、質問については、現在学内で利用されているLMS（Moodle）上でのディスカッションボード等を利用して、科目担当教員に対して発信できる設備を整えている。あわせて、教員のオフィスアワーを利用して質問指導等を受けることができる。</t>
    <rPh sb="0" eb="3">
      <t xml:space="preserve">ホンキョウイクプログラム </t>
    </rPh>
    <rPh sb="13" eb="18">
      <t xml:space="preserve">ジュギョウジカンガイデノ </t>
    </rPh>
    <rPh sb="20" eb="24">
      <t xml:space="preserve">ガクシュウシドウ </t>
    </rPh>
    <rPh sb="25" eb="27">
      <t xml:space="preserve">シツモンニツイテハ </t>
    </rPh>
    <rPh sb="33" eb="35">
      <t xml:space="preserve">ゲンザイ </t>
    </rPh>
    <rPh sb="35" eb="37">
      <t xml:space="preserve">ガクナイデ </t>
    </rPh>
    <rPh sb="38" eb="40">
      <t xml:space="preserve">リヨウサレテイル </t>
    </rPh>
    <rPh sb="56" eb="57">
      <t xml:space="preserve">ウエ </t>
    </rPh>
    <rPh sb="70" eb="71">
      <t xml:space="preserve">トウ </t>
    </rPh>
    <rPh sb="72" eb="74">
      <t xml:space="preserve">リヨウシテ </t>
    </rPh>
    <rPh sb="77" eb="79">
      <t xml:space="preserve">カモク </t>
    </rPh>
    <rPh sb="79" eb="83">
      <t xml:space="preserve">タントウキョウイン </t>
    </rPh>
    <rPh sb="84" eb="85">
      <t xml:space="preserve">タイシテ </t>
    </rPh>
    <rPh sb="87" eb="89">
      <t xml:space="preserve">ハッシンデキル </t>
    </rPh>
    <rPh sb="92" eb="94">
      <t xml:space="preserve">セツビヲ </t>
    </rPh>
    <rPh sb="95" eb="96">
      <t xml:space="preserve">トトノエテイル </t>
    </rPh>
    <rPh sb="106" eb="108">
      <t xml:space="preserve">キョウインノ </t>
    </rPh>
    <rPh sb="117" eb="119">
      <t xml:space="preserve">リヨウシテ </t>
    </rPh>
    <rPh sb="121" eb="123">
      <t xml:space="preserve">シツモン </t>
    </rPh>
    <rPh sb="123" eb="126">
      <t xml:space="preserve">シドウトウヲ </t>
    </rPh>
    <rPh sb="127" eb="128">
      <t xml:space="preserve">ウケルコトガデキル </t>
    </rPh>
    <phoneticPr fontId="1"/>
  </si>
  <si>
    <t>4‐7データハンドリング</t>
  </si>
  <si>
    <t>学長</t>
    <rPh sb="0" eb="2">
      <t xml:space="preserve">ガクチョウ </t>
    </rPh>
    <phoneticPr fontId="1"/>
  </si>
  <si>
    <t>飯干　紀代子</t>
    <rPh sb="0" eb="2">
      <t xml:space="preserve">イイボシ </t>
    </rPh>
    <rPh sb="3" eb="6">
      <t xml:space="preserve">キヨコ </t>
    </rPh>
    <phoneticPr fontId="1"/>
  </si>
  <si>
    <t>本プログラムは2023年度から開講して本申請時点では修了者が出ていないため、修了者の進路、活躍状況等についての評価を得るまでに至っていない。本学には卒業生対象のディプロマポリシー達成度の調査を実施しており、機会を活用して評価を得ることを予定している。</t>
    <rPh sb="0" eb="1">
      <t xml:space="preserve">ホンプログラム </t>
    </rPh>
    <rPh sb="11" eb="13">
      <t xml:space="preserve">ネンド </t>
    </rPh>
    <rPh sb="15" eb="17">
      <t xml:space="preserve">カイコウシテ </t>
    </rPh>
    <rPh sb="19" eb="22">
      <t xml:space="preserve">ホンシンセイジｍ </t>
    </rPh>
    <rPh sb="22" eb="24">
      <t xml:space="preserve">ジテンデ </t>
    </rPh>
    <rPh sb="26" eb="29">
      <t xml:space="preserve">シュウリョウシャガ </t>
    </rPh>
    <rPh sb="30" eb="31">
      <t xml:space="preserve">デテイタイタメ </t>
    </rPh>
    <rPh sb="38" eb="41">
      <t xml:space="preserve">シュウリョウシャ </t>
    </rPh>
    <rPh sb="42" eb="44">
      <t xml:space="preserve">シンロ </t>
    </rPh>
    <rPh sb="45" eb="49">
      <t xml:space="preserve">カツヤクジョウキョウ </t>
    </rPh>
    <rPh sb="49" eb="50">
      <t xml:space="preserve">トウニ </t>
    </rPh>
    <rPh sb="55" eb="57">
      <t xml:space="preserve">ヒョウカヲ </t>
    </rPh>
    <rPh sb="58" eb="59">
      <t xml:space="preserve">エルマデニ </t>
    </rPh>
    <rPh sb="63" eb="64">
      <t xml:space="preserve">イタッテイナイ </t>
    </rPh>
    <rPh sb="70" eb="72">
      <t xml:space="preserve">ホンガクニハ </t>
    </rPh>
    <rPh sb="74" eb="76">
      <t xml:space="preserve">ソツギョウジ </t>
    </rPh>
    <rPh sb="76" eb="77">
      <t xml:space="preserve">セイニ </t>
    </rPh>
    <rPh sb="77" eb="79">
      <t xml:space="preserve">タイショウノ </t>
    </rPh>
    <rPh sb="89" eb="92">
      <t xml:space="preserve">タッセイド </t>
    </rPh>
    <rPh sb="93" eb="95">
      <t xml:space="preserve">チョウサヲ </t>
    </rPh>
    <rPh sb="96" eb="98">
      <t xml:space="preserve">ジッシシテオリ </t>
    </rPh>
    <rPh sb="103" eb="105">
      <t xml:space="preserve">キカイヲ </t>
    </rPh>
    <rPh sb="106" eb="108">
      <t xml:space="preserve">カツヨウシテ </t>
    </rPh>
    <rPh sb="110" eb="112">
      <t xml:space="preserve">ヒョウカヲ </t>
    </rPh>
    <rPh sb="113" eb="114">
      <t xml:space="preserve">エル </t>
    </rPh>
    <rPh sb="118" eb="120">
      <t xml:space="preserve">ヨテイシテイル </t>
    </rPh>
    <phoneticPr fontId="1"/>
  </si>
  <si>
    <t>まず私たち自身がすでに「データ」を構成する要素として、広く社会やビジネスシーンにおいて扱われていることを初回の授業内容で認識させる。スマートフォンの利用機会が多い日常生活日常生活の活動のほとんどで、支払、ポイント利用、ヘルスケア、GPS情報などが利用者自身のみならずサービス提供者にも利用されていることを改めて認識することにより、私たちの社会活動そのものがデータ活用によって成り立っていることを強調する。あわせてそのようなデータがどのような領域で活用されているか、どのような職種でどのようなデータが重宝されているかを意識することで、将来就くであろう職業におけるデータ利用の可能性を理解する。</t>
    <rPh sb="2" eb="3">
      <t xml:space="preserve">ワタシタチ </t>
    </rPh>
    <rPh sb="5" eb="7">
      <t xml:space="preserve">ジシンガ </t>
    </rPh>
    <rPh sb="17" eb="19">
      <t xml:space="preserve">コウセイスル </t>
    </rPh>
    <rPh sb="21" eb="23">
      <t xml:space="preserve">ヨウソトシテ </t>
    </rPh>
    <rPh sb="27" eb="28">
      <t xml:space="preserve">ヒロク </t>
    </rPh>
    <rPh sb="29" eb="31">
      <t xml:space="preserve">シャカイヤ </t>
    </rPh>
    <rPh sb="43" eb="44">
      <t xml:space="preserve">アツカワレテイル </t>
    </rPh>
    <rPh sb="52" eb="54">
      <t xml:space="preserve">ショカイ </t>
    </rPh>
    <rPh sb="55" eb="57">
      <t xml:space="preserve">ジュギョウカラ </t>
    </rPh>
    <rPh sb="57" eb="59">
      <t xml:space="preserve">ナイヨウ </t>
    </rPh>
    <rPh sb="60" eb="62">
      <t xml:space="preserve">ニンシキ </t>
    </rPh>
    <rPh sb="66" eb="68">
      <t xml:space="preserve">ニチジョウ </t>
    </rPh>
    <rPh sb="68" eb="70">
      <t xml:space="preserve">セイカツニ </t>
    </rPh>
    <rPh sb="71" eb="73">
      <t xml:space="preserve">カツドウノ </t>
    </rPh>
    <rPh sb="87" eb="91">
      <t xml:space="preserve">リヨウキカイガ </t>
    </rPh>
    <rPh sb="92" eb="93">
      <t xml:space="preserve">オオイ </t>
    </rPh>
    <rPh sb="94" eb="98">
      <t xml:space="preserve">ニチジョウセイカツ </t>
    </rPh>
    <rPh sb="99" eb="101">
      <t xml:space="preserve">シハライ </t>
    </rPh>
    <rPh sb="106" eb="108">
      <t xml:space="preserve">リヨウ </t>
    </rPh>
    <rPh sb="118" eb="120">
      <t xml:space="preserve">ジョウホウ </t>
    </rPh>
    <rPh sb="123" eb="126">
      <t xml:space="preserve">リヨウシャ </t>
    </rPh>
    <rPh sb="126" eb="128">
      <t xml:space="preserve">ジシンヤ </t>
    </rPh>
    <rPh sb="137" eb="140">
      <t xml:space="preserve">テイキョウシャ </t>
    </rPh>
    <rPh sb="142" eb="144">
      <t xml:space="preserve">リヨウサレテイル </t>
    </rPh>
    <rPh sb="152" eb="153">
      <t xml:space="preserve">アラタメニ </t>
    </rPh>
    <rPh sb="155" eb="157">
      <t xml:space="preserve">ニンシキスル </t>
    </rPh>
    <rPh sb="165" eb="166">
      <t xml:space="preserve">ワタシタチノ </t>
    </rPh>
    <rPh sb="169" eb="173">
      <t xml:space="preserve">シャカイカツドウ </t>
    </rPh>
    <rPh sb="181" eb="183">
      <t xml:space="preserve">カツヨウ </t>
    </rPh>
    <rPh sb="187" eb="188">
      <t xml:space="preserve">ナリタッテイル </t>
    </rPh>
    <rPh sb="197" eb="199">
      <t xml:space="preserve">キョウチョウスル </t>
    </rPh>
    <rPh sb="220" eb="222">
      <t xml:space="preserve">リョウイキデ </t>
    </rPh>
    <rPh sb="223" eb="225">
      <t xml:space="preserve">カツヨウサレテイルカ </t>
    </rPh>
    <rPh sb="237" eb="239">
      <t xml:space="preserve">ショクシュデ </t>
    </rPh>
    <rPh sb="249" eb="251">
      <t xml:space="preserve">チョウホウサレテイルカ </t>
    </rPh>
    <rPh sb="258" eb="260">
      <t xml:space="preserve">イシキスルコトデ </t>
    </rPh>
    <rPh sb="266" eb="268">
      <t xml:space="preserve">ショウライ </t>
    </rPh>
    <rPh sb="268" eb="269">
      <t xml:space="preserve">ツイタ </t>
    </rPh>
    <rPh sb="274" eb="276">
      <t xml:space="preserve">ショクギョウデノ </t>
    </rPh>
    <rPh sb="286" eb="289">
      <t xml:space="preserve">カノウセイヲ </t>
    </rPh>
    <rPh sb="290" eb="292">
      <t xml:space="preserve">リカイスル </t>
    </rPh>
    <phoneticPr fontId="1"/>
  </si>
  <si>
    <t>授業内で課題を提示して、遂行状況を確認することで授業内容や水準のモニターに活用する。また、全学で実施している毎学期の授業評価アンケート結果を元に、本プログラム科目についての学修の理解度、教育方法、アクティブラーニングへの参加態度などを参考に授業改善を継続的に行っていく。</t>
    <rPh sb="0" eb="3">
      <t xml:space="preserve">ジュギョウナイデ </t>
    </rPh>
    <rPh sb="4" eb="6">
      <t xml:space="preserve">カダイヲ </t>
    </rPh>
    <rPh sb="7" eb="9">
      <t xml:space="preserve">テイジシテ </t>
    </rPh>
    <rPh sb="12" eb="14">
      <t xml:space="preserve">スイコウ </t>
    </rPh>
    <rPh sb="14" eb="16">
      <t xml:space="preserve">ジョウキョウヲ </t>
    </rPh>
    <rPh sb="17" eb="19">
      <t xml:space="preserve">カクニンシテ </t>
    </rPh>
    <rPh sb="24" eb="28">
      <t xml:space="preserve">ジュギョウナイヨウヤ </t>
    </rPh>
    <rPh sb="29" eb="31">
      <t xml:space="preserve">スイジュンノ </t>
    </rPh>
    <rPh sb="37" eb="39">
      <t xml:space="preserve">カツヨウスル </t>
    </rPh>
    <rPh sb="45" eb="47">
      <t xml:space="preserve">ゼンガクデ </t>
    </rPh>
    <rPh sb="48" eb="50">
      <t xml:space="preserve">ジッシシテイル </t>
    </rPh>
    <rPh sb="54" eb="57">
      <t xml:space="preserve">マイガッキ </t>
    </rPh>
    <rPh sb="58" eb="62">
      <t xml:space="preserve">ジュギョウヒョウカ </t>
    </rPh>
    <rPh sb="67" eb="69">
      <t xml:space="preserve">ケッカ </t>
    </rPh>
    <rPh sb="70" eb="71">
      <t xml:space="preserve">モトニ </t>
    </rPh>
    <rPh sb="73" eb="74">
      <t>ホン</t>
    </rPh>
    <rPh sb="79" eb="81">
      <t xml:space="preserve">カモクニツイテモ </t>
    </rPh>
    <rPh sb="86" eb="88">
      <t xml:space="preserve">ガクシュウノ </t>
    </rPh>
    <rPh sb="89" eb="92">
      <t xml:space="preserve">リカイド </t>
    </rPh>
    <rPh sb="93" eb="97">
      <t xml:space="preserve">キョウイクホウホウ </t>
    </rPh>
    <rPh sb="110" eb="112">
      <t xml:space="preserve">サンカ </t>
    </rPh>
    <rPh sb="112" eb="114">
      <t xml:space="preserve">タイド </t>
    </rPh>
    <rPh sb="117" eb="119">
      <t xml:space="preserve">サンコウニ </t>
    </rPh>
    <rPh sb="120" eb="124">
      <t xml:space="preserve">ジュギョウカイゼンヲ </t>
    </rPh>
    <rPh sb="125" eb="128">
      <t xml:space="preserve">ケイゾクテキニ </t>
    </rPh>
    <rPh sb="129" eb="130">
      <t xml:space="preserve">オコナッテイク </t>
    </rPh>
    <phoneticPr fontId="1"/>
  </si>
  <si>
    <t>飯干紀代子</t>
    <rPh sb="0" eb="5">
      <t xml:space="preserve">イイボシキヨコ </t>
    </rPh>
    <phoneticPr fontId="1"/>
  </si>
  <si>
    <t>学生に配布される「学生便覧」に本プログラムを構成する科目一覧を掲載するとともに、本学ホームページ上に「教育プログラム」項目を設けて、他のプログラムとあわせて冊子と同一の内容を掲示している。毎年度初めのオリエンテーション上でも本プログラムの告知を行っている。</t>
    <rPh sb="94" eb="95">
      <t xml:space="preserve">マイ </t>
    </rPh>
    <phoneticPr fontId="1"/>
  </si>
  <si>
    <t>Society5.0基礎プログラム（MDASHリテラシー）</t>
    <rPh sb="10" eb="12">
      <t xml:space="preserve">キソプログラム </t>
    </rPh>
    <phoneticPr fontId="1"/>
  </si>
  <si>
    <t>必修科目は共通教育科目区分に属しており、学部の制約を問わず科目履修が可能である。本プログラム構成科目が属する共通科目区分からは2単位以上の履修を求めていること、令和５年度教育課程より所属学部学科での単位の履修に加え全学開設科目からの一定数の単位の科目履修を定めたことから、本プログラムの履修に際して教育課程上の必要な取組を行った。</t>
    <rPh sb="0" eb="4">
      <t xml:space="preserve">ヒッシュウカモク </t>
    </rPh>
    <rPh sb="5" eb="11">
      <t xml:space="preserve">キョウツウキョウイクカモク </t>
    </rPh>
    <rPh sb="11" eb="13">
      <t xml:space="preserve">クブンニ </t>
    </rPh>
    <rPh sb="14" eb="15">
      <t xml:space="preserve">ゾクシテオリ </t>
    </rPh>
    <rPh sb="20" eb="22">
      <t xml:space="preserve">ガクブ </t>
    </rPh>
    <rPh sb="23" eb="25">
      <t xml:space="preserve">セイヤクヲ </t>
    </rPh>
    <rPh sb="26" eb="27">
      <t xml:space="preserve">トワナイ </t>
    </rPh>
    <rPh sb="29" eb="33">
      <t xml:space="preserve">カモクリシュウガ </t>
    </rPh>
    <rPh sb="40" eb="41">
      <t>ホ</t>
    </rPh>
    <rPh sb="46" eb="50">
      <t xml:space="preserve">コウセイカモクガ </t>
    </rPh>
    <rPh sb="51" eb="52">
      <t xml:space="preserve">ゾクスル </t>
    </rPh>
    <rPh sb="54" eb="60">
      <t xml:space="preserve">キョウツウカモククブンハ </t>
    </rPh>
    <rPh sb="69" eb="71">
      <t xml:space="preserve">リシュウ </t>
    </rPh>
    <rPh sb="72" eb="73">
      <t xml:space="preserve">モトメテイル </t>
    </rPh>
    <rPh sb="80" eb="82">
      <t xml:space="preserve">レイワ </t>
    </rPh>
    <rPh sb="83" eb="85">
      <t xml:space="preserve">ネンド </t>
    </rPh>
    <rPh sb="85" eb="89">
      <t xml:space="preserve">キョウイクカテイヨリ </t>
    </rPh>
    <rPh sb="91" eb="93">
      <t xml:space="preserve">ショゾク </t>
    </rPh>
    <rPh sb="93" eb="95">
      <t xml:space="preserve">ガクブ </t>
    </rPh>
    <rPh sb="95" eb="97">
      <t xml:space="preserve">ガッカデノ </t>
    </rPh>
    <rPh sb="99" eb="101">
      <t xml:space="preserve">タンイノ </t>
    </rPh>
    <rPh sb="102" eb="104">
      <t xml:space="preserve">リシュウニ </t>
    </rPh>
    <rPh sb="105" eb="106">
      <t xml:space="preserve">クワエ </t>
    </rPh>
    <rPh sb="107" eb="109">
      <t xml:space="preserve">ゼンガｋ </t>
    </rPh>
    <rPh sb="109" eb="111">
      <t xml:space="preserve">カイセツ </t>
    </rPh>
    <rPh sb="111" eb="113">
      <t xml:space="preserve">カモク </t>
    </rPh>
    <rPh sb="116" eb="119">
      <t xml:space="preserve">イッテイスウノ </t>
    </rPh>
    <rPh sb="120" eb="122">
      <t xml:space="preserve">タンイノ </t>
    </rPh>
    <rPh sb="123" eb="127">
      <t xml:space="preserve">カモクリシュウヲ </t>
    </rPh>
    <rPh sb="128" eb="129">
      <t xml:space="preserve">サダメタ </t>
    </rPh>
    <rPh sb="136" eb="137">
      <t>ホン</t>
    </rPh>
    <rPh sb="143" eb="145">
      <t xml:space="preserve">リシュウ </t>
    </rPh>
    <rPh sb="146" eb="147">
      <t xml:space="preserve">サイシテ </t>
    </rPh>
    <rPh sb="149" eb="153">
      <t xml:space="preserve">キョウイクカテイ </t>
    </rPh>
    <rPh sb="153" eb="154">
      <t xml:space="preserve">ウエノ </t>
    </rPh>
    <rPh sb="155" eb="157">
      <t xml:space="preserve">ヒツヨウア </t>
    </rPh>
    <rPh sb="158" eb="160">
      <t xml:space="preserve">トリクミハ </t>
    </rPh>
    <rPh sb="161" eb="162">
      <t xml:space="preserve">オコナッタ </t>
    </rPh>
    <phoneticPr fontId="1"/>
  </si>
  <si>
    <t>情報技術演習</t>
    <rPh sb="0" eb="2">
      <t>ジョウホウ</t>
    </rPh>
    <rPh sb="2" eb="4">
      <t>ギジュツ</t>
    </rPh>
    <rPh sb="4" eb="6">
      <t>エンシュウ</t>
    </rPh>
    <phoneticPr fontId="1"/>
  </si>
  <si>
    <t>Society5.0と情報</t>
    <rPh sb="11" eb="13">
      <t>ジョウホウ</t>
    </rPh>
    <phoneticPr fontId="1"/>
  </si>
  <si>
    <t>情報技術演習Ⅱ</t>
    <rPh sb="0" eb="2">
      <t>ジョウホウ</t>
    </rPh>
    <rPh sb="2" eb="4">
      <t>ギジュツ</t>
    </rPh>
    <rPh sb="4" eb="6">
      <t>エンシュウ</t>
    </rPh>
    <phoneticPr fontId="1"/>
  </si>
  <si>
    <t>情報技術論</t>
    <rPh sb="0" eb="2">
      <t>ジョウホウ</t>
    </rPh>
    <rPh sb="2" eb="4">
      <t>ギジュツ</t>
    </rPh>
    <rPh sb="4" eb="5">
      <t>ロン</t>
    </rPh>
    <phoneticPr fontId="1"/>
  </si>
  <si>
    <t>確率と統計の基礎</t>
    <rPh sb="0" eb="2">
      <t>カクリツ</t>
    </rPh>
    <rPh sb="3" eb="5">
      <t>トウケイ</t>
    </rPh>
    <rPh sb="6" eb="8">
      <t>キソ</t>
    </rPh>
    <phoneticPr fontId="1"/>
  </si>
  <si>
    <t>4‐5テキスト解析</t>
  </si>
  <si>
    <t>4-1統計および数理基礎</t>
  </si>
  <si>
    <t>・情報・データに関するリテラシーを理解する。
・第4次産業革命と言われるAI、ビッグデータ、IoT等の先端技術がどのように産業や社会生活に取り入れられているかを理解する。
・データの数理的な扱いを理解する。</t>
    <rPh sb="1" eb="3">
      <t>ジョウホウ</t>
    </rPh>
    <rPh sb="8" eb="9">
      <t>カン</t>
    </rPh>
    <rPh sb="17" eb="19">
      <t>リカイ</t>
    </rPh>
    <rPh sb="24" eb="25">
      <t>ダイ</t>
    </rPh>
    <rPh sb="26" eb="27">
      <t>ジ</t>
    </rPh>
    <rPh sb="27" eb="29">
      <t>サンギョウ</t>
    </rPh>
    <rPh sb="29" eb="31">
      <t>カクメイ</t>
    </rPh>
    <rPh sb="32" eb="33">
      <t>イ</t>
    </rPh>
    <rPh sb="49" eb="50">
      <t>トウ</t>
    </rPh>
    <rPh sb="51" eb="53">
      <t>センタン</t>
    </rPh>
    <rPh sb="53" eb="55">
      <t>ギジュツ</t>
    </rPh>
    <rPh sb="61" eb="63">
      <t>サンギョウ</t>
    </rPh>
    <rPh sb="64" eb="66">
      <t>シャカイ</t>
    </rPh>
    <rPh sb="66" eb="68">
      <t>セイカツ</t>
    </rPh>
    <rPh sb="69" eb="70">
      <t>ト</t>
    </rPh>
    <rPh sb="71" eb="72">
      <t>イ</t>
    </rPh>
    <rPh sb="80" eb="82">
      <t>リカイ</t>
    </rPh>
    <rPh sb="91" eb="94">
      <t>スウリテキ</t>
    </rPh>
    <rPh sb="95" eb="96">
      <t>アツカ</t>
    </rPh>
    <rPh sb="98" eb="100">
      <t>リカイ</t>
    </rPh>
    <phoneticPr fontId="1"/>
  </si>
  <si>
    <t>人間関係学部</t>
    <rPh sb="0" eb="2">
      <t>ニンゲン</t>
    </rPh>
    <rPh sb="2" eb="4">
      <t>カンケイ</t>
    </rPh>
    <rPh sb="4" eb="6">
      <t>ガクブ</t>
    </rPh>
    <phoneticPr fontId="1"/>
  </si>
  <si>
    <t>法学部</t>
    <rPh sb="0" eb="3">
      <t>ホウガクブ</t>
    </rPh>
    <phoneticPr fontId="1"/>
  </si>
  <si>
    <t>共通教育科目の中から、「情報技術演習」（2単位）、「Society5.0と情報」（2単位）、「確率と統計の基礎」（2単位）、「情報技術演習Ⅱ」（2単位）、「情報技術論」（2単位）の5科目10単位を必ず修了すること。</t>
    <rPh sb="6" eb="8">
      <t xml:space="preserve">コウセイ </t>
    </rPh>
    <rPh sb="11" eb="15">
      <t xml:space="preserve">ジョウホウギジュツ </t>
    </rPh>
    <rPh sb="15" eb="17">
      <t xml:space="preserve">エンシュウ </t>
    </rPh>
    <rPh sb="20" eb="22">
      <t xml:space="preserve">タンイ </t>
    </rPh>
    <rPh sb="41" eb="43">
      <t xml:space="preserve">タンイ </t>
    </rPh>
    <rPh sb="45" eb="50">
      <t>ジョウホウ</t>
    </rPh>
    <rPh sb="58" eb="60">
      <t xml:space="preserve">カクリツト </t>
    </rPh>
    <rPh sb="62" eb="64">
      <t xml:space="preserve">トウケイノ </t>
    </rPh>
    <rPh sb="65" eb="67">
      <t xml:space="preserve">キソ </t>
    </rPh>
    <rPh sb="70" eb="72">
      <t xml:space="preserve">タンイ </t>
    </rPh>
    <rPh sb="75" eb="79">
      <t xml:space="preserve">ジョウホウギジュツロン </t>
    </rPh>
    <rPh sb="79" eb="81">
      <t xml:space="preserve">エンシュウ </t>
    </rPh>
    <rPh sb="94" eb="96">
      <t xml:space="preserve">タンイヲ </t>
    </rPh>
    <rPh sb="97" eb="99">
      <t xml:space="preserve">シュウトクノコト </t>
    </rPh>
    <phoneticPr fontId="1"/>
  </si>
  <si>
    <t>近藤、大野、瀬戸、内田</t>
    <rPh sb="0" eb="2">
      <t>コンドウ</t>
    </rPh>
    <rPh sb="3" eb="5">
      <t>オオノ</t>
    </rPh>
    <rPh sb="6" eb="8">
      <t>セト</t>
    </rPh>
    <rPh sb="9" eb="11">
      <t>ウチダ</t>
    </rPh>
    <phoneticPr fontId="1"/>
  </si>
  <si>
    <t>本プログラムは、要件となる単位修得を完了した学生に対して、就職活動等での学修成果の利用を考慮して、プログラム修了証を発行しており、進路に活かせる体制を整えている。プログラム構成科目においてもプログラムの必要性や活用範囲について周知していく。</t>
    <rPh sb="0" eb="1">
      <t xml:space="preserve">ホンプログラムハ </t>
    </rPh>
    <rPh sb="8" eb="15">
      <t xml:space="preserve">ヨウケンタンイヲ </t>
    </rPh>
    <rPh sb="15" eb="17">
      <t xml:space="preserve">シュウトク </t>
    </rPh>
    <rPh sb="18" eb="20">
      <t xml:space="preserve">カンリョウ </t>
    </rPh>
    <rPh sb="22" eb="24">
      <t>ガクセイ</t>
    </rPh>
    <rPh sb="25" eb="26">
      <t>タイ</t>
    </rPh>
    <rPh sb="29" eb="34">
      <t xml:space="preserve">シュウショクカツドウトウデノ </t>
    </rPh>
    <rPh sb="36" eb="40">
      <t xml:space="preserve">ガクシュウセイカノ </t>
    </rPh>
    <rPh sb="41" eb="43">
      <t xml:space="preserve">リヨウヲ </t>
    </rPh>
    <rPh sb="44" eb="46">
      <t xml:space="preserve">コウリョシテ </t>
    </rPh>
    <rPh sb="54" eb="56">
      <t xml:space="preserve">シュウリョウ </t>
    </rPh>
    <rPh sb="56" eb="57">
      <t xml:space="preserve">ショウ </t>
    </rPh>
    <rPh sb="58" eb="60">
      <t xml:space="preserve">ハッコウシテ </t>
    </rPh>
    <rPh sb="65" eb="67">
      <t xml:space="preserve">シンロ </t>
    </rPh>
    <rPh sb="68" eb="69">
      <t xml:space="preserve">イカセル </t>
    </rPh>
    <rPh sb="72" eb="74">
      <t xml:space="preserve">タイセイヲ </t>
    </rPh>
    <rPh sb="75" eb="76">
      <t xml:space="preserve">トトノエテイル </t>
    </rPh>
    <rPh sb="86" eb="88">
      <t xml:space="preserve">コウセイ </t>
    </rPh>
    <rPh sb="88" eb="90">
      <t xml:space="preserve">カモクニオイテモ </t>
    </rPh>
    <rPh sb="101" eb="104">
      <t xml:space="preserve">ヒツヨウセイヤ </t>
    </rPh>
    <rPh sb="105" eb="109">
      <t xml:space="preserve">カツヨウハンイ </t>
    </rPh>
    <rPh sb="113" eb="115">
      <t xml:space="preserve">シュウチシテイク </t>
    </rPh>
    <phoneticPr fontId="1"/>
  </si>
  <si>
    <t>近藤　諭</t>
    <rPh sb="0" eb="2">
      <t>コンドウ</t>
    </rPh>
    <rPh sb="3" eb="4">
      <t>サトル</t>
    </rPh>
    <phoneticPr fontId="1"/>
  </si>
  <si>
    <t>法学部長</t>
    <rPh sb="0" eb="3">
      <t>ホウガクブ</t>
    </rPh>
    <rPh sb="3" eb="4">
      <t>チョウ</t>
    </rPh>
    <phoneticPr fontId="1"/>
  </si>
  <si>
    <t>教育課程編成会議</t>
    <rPh sb="0" eb="2">
      <t>キョウイク</t>
    </rPh>
    <rPh sb="2" eb="4">
      <t>カテイ</t>
    </rPh>
    <rPh sb="4" eb="6">
      <t>ヘンセイ</t>
    </rPh>
    <rPh sb="6" eb="8">
      <t>カイギ</t>
    </rPh>
    <phoneticPr fontId="1"/>
  </si>
  <si>
    <t>点検・評価委員会</t>
    <rPh sb="0" eb="2">
      <t>テンケン</t>
    </rPh>
    <rPh sb="3" eb="5">
      <t>ヒョウカ</t>
    </rPh>
    <rPh sb="5" eb="8">
      <t>イインカイ</t>
    </rPh>
    <phoneticPr fontId="1"/>
  </si>
  <si>
    <t>学長</t>
    <rPh sb="0" eb="2">
      <t>ガクチョウ</t>
    </rPh>
    <phoneticPr fontId="1"/>
  </si>
  <si>
    <t>志學館大学教育課程編成会議規程</t>
    <rPh sb="0" eb="5">
      <t xml:space="preserve">シガクカンダイガク </t>
    </rPh>
    <rPh sb="5" eb="7">
      <t xml:space="preserve">キョウイクカテイヘンセイカイギ </t>
    </rPh>
    <rPh sb="7" eb="9">
      <t xml:space="preserve">カテイ </t>
    </rPh>
    <rPh sb="9" eb="13">
      <t xml:space="preserve">ヘンセイカイギ </t>
    </rPh>
    <rPh sb="13" eb="15">
      <t xml:space="preserve">キテイ </t>
    </rPh>
    <phoneticPr fontId="1"/>
  </si>
  <si>
    <t>教育課程編成会議は、志學館大学の教育課程の体系的かつ組織的な編成を図ることを目的に、教育目的並びに卒業認定・学位授与の方針、教育課程編成・実施の方針及び入学者受入れの方針の見直し、教育課程の見直し、改訂及び編成、その他教育課程の体系的かつ組織的な編成に関し必要な事項を業務所掌とする組織である。全学で開設している教育プログラムの編成についても本組織で審議・検討を行う。</t>
    <rPh sb="0" eb="4">
      <t xml:space="preserve">キョウイクカテイ </t>
    </rPh>
    <rPh sb="4" eb="8">
      <t xml:space="preserve">ヘンセイカイギハ </t>
    </rPh>
    <rPh sb="10" eb="14">
      <t xml:space="preserve">シガクカンダイガク </t>
    </rPh>
    <rPh sb="38" eb="40">
      <t xml:space="preserve">モクテキニ </t>
    </rPh>
    <rPh sb="134" eb="138">
      <t xml:space="preserve">ギョウムショショウ </t>
    </rPh>
    <rPh sb="141" eb="143">
      <t xml:space="preserve">ソシキデアル </t>
    </rPh>
    <rPh sb="147" eb="149">
      <t xml:space="preserve">ゼンガクノ </t>
    </rPh>
    <rPh sb="150" eb="152">
      <t xml:space="preserve">カイセツ </t>
    </rPh>
    <rPh sb="156" eb="158">
      <t>キョウイク</t>
    </rPh>
    <rPh sb="164" eb="166">
      <t xml:space="preserve">ヘンセイ </t>
    </rPh>
    <rPh sb="171" eb="174">
      <t xml:space="preserve">ホンソシキデ </t>
    </rPh>
    <rPh sb="175" eb="177">
      <t xml:space="preserve">シンギ </t>
    </rPh>
    <rPh sb="178" eb="180">
      <t xml:space="preserve">ケントウヲ </t>
    </rPh>
    <rPh sb="181" eb="182">
      <t xml:space="preserve">オコナッタ </t>
    </rPh>
    <phoneticPr fontId="1"/>
  </si>
  <si>
    <t>本学では毎年度に鹿児島市立地の企業団体より各ポリシーや高等教育への要望を聴取しており、様々な意見を教育内容の検討やポリシーの見直しに活用している。本プログラムは開講より日が浅いが、この機会を利用して本プログラムの内容や手法についても意見聴取を行っていく。</t>
    <rPh sb="0" eb="2">
      <t xml:space="preserve">ホンガクノ </t>
    </rPh>
    <rPh sb="4" eb="7">
      <t xml:space="preserve">マイネンド </t>
    </rPh>
    <rPh sb="8" eb="12">
      <t xml:space="preserve">カゴシマシ </t>
    </rPh>
    <rPh sb="12" eb="14">
      <t xml:space="preserve">リッチノ </t>
    </rPh>
    <rPh sb="15" eb="17">
      <t xml:space="preserve">キギョウヨリ </t>
    </rPh>
    <rPh sb="17" eb="19">
      <t xml:space="preserve">ダンタイ </t>
    </rPh>
    <rPh sb="21" eb="22">
      <t xml:space="preserve">カクポリシー </t>
    </rPh>
    <rPh sb="27" eb="29">
      <t xml:space="preserve">コウトウ </t>
    </rPh>
    <rPh sb="29" eb="31">
      <t xml:space="preserve">キョウイク </t>
    </rPh>
    <rPh sb="33" eb="35">
      <t xml:space="preserve">ヨウボウ </t>
    </rPh>
    <rPh sb="36" eb="38">
      <t xml:space="preserve">チョウシュシテイル </t>
    </rPh>
    <rPh sb="43" eb="44">
      <t xml:space="preserve">サマザマナ </t>
    </rPh>
    <rPh sb="46" eb="48">
      <t xml:space="preserve">イケンヲ </t>
    </rPh>
    <rPh sb="49" eb="53">
      <t xml:space="preserve">キョウイクナイヨウノ </t>
    </rPh>
    <rPh sb="54" eb="56">
      <t xml:space="preserve">ケントウ </t>
    </rPh>
    <rPh sb="62" eb="64">
      <t xml:space="preserve">ミナオシニ </t>
    </rPh>
    <rPh sb="66" eb="68">
      <t xml:space="preserve">カツヨウシテイル </t>
    </rPh>
    <rPh sb="73" eb="74">
      <t>ホンプログｒ</t>
    </rPh>
    <rPh sb="80" eb="82">
      <t xml:space="preserve">カイコウ </t>
    </rPh>
    <rPh sb="84" eb="85">
      <t xml:space="preserve">ヒガアサイガ </t>
    </rPh>
    <rPh sb="92" eb="94">
      <t xml:space="preserve">キカイニ </t>
    </rPh>
    <rPh sb="95" eb="97">
      <t xml:space="preserve">リヨウシテ </t>
    </rPh>
    <rPh sb="99" eb="100">
      <t>ホンプロ</t>
    </rPh>
    <rPh sb="106" eb="108">
      <t xml:space="preserve">ナイヨウ </t>
    </rPh>
    <rPh sb="109" eb="111">
      <t xml:space="preserve">シュホウヲ </t>
    </rPh>
    <rPh sb="116" eb="120">
      <t xml:space="preserve">イケンチョウシュヲ </t>
    </rPh>
    <rPh sb="121" eb="122">
      <t xml:space="preserve">オコナッテイク </t>
    </rPh>
    <phoneticPr fontId="1"/>
  </si>
  <si>
    <r>
      <t>　本プログラムの構成科目「情報技術</t>
    </r>
    <r>
      <rPr>
        <sz val="12"/>
        <rFont val="ＭＳ Ｐゴシック"/>
        <family val="3"/>
        <charset val="128"/>
        <scheme val="minor"/>
      </rPr>
      <t>演習</t>
    </r>
    <r>
      <rPr>
        <sz val="12"/>
        <color theme="1"/>
        <rFont val="ＭＳ Ｐゴシック"/>
        <family val="3"/>
        <charset val="128"/>
        <scheme val="minor"/>
      </rPr>
      <t>」については、共通教育基礎科目区分として2021年度まで「インターネット演習」の名称で全学必修科目として開設していたものを、2022年度より本プログラムの開設にあわせて内容をアップデートするとともに共通教育導入科目と区分名称を改めた。今後は、プログラムの他の構成科目の履修者数増に向けて、数理・データサイエンス・AI教育の重要性をアピールするなどの向上策を検討する。</t>
    </r>
    <rPh sb="1" eb="2">
      <t>ホンキョウイク</t>
    </rPh>
    <rPh sb="10" eb="12">
      <t xml:space="preserve">カモク </t>
    </rPh>
    <rPh sb="13" eb="15">
      <t xml:space="preserve">ジョウホウ </t>
    </rPh>
    <rPh sb="28" eb="32">
      <t xml:space="preserve">キョウツウキョウイク </t>
    </rPh>
    <rPh sb="32" eb="41">
      <t xml:space="preserve">キソカモク </t>
    </rPh>
    <rPh sb="55" eb="57">
      <t xml:space="preserve">エンシュウ </t>
    </rPh>
    <rPh sb="59" eb="61">
      <t xml:space="preserve">メイショウデ </t>
    </rPh>
    <rPh sb="62" eb="64">
      <t xml:space="preserve">ゼンガク </t>
    </rPh>
    <rPh sb="64" eb="68">
      <t>ヒッｓｙ</t>
    </rPh>
    <rPh sb="71" eb="73">
      <t xml:space="preserve">カイセツシテ </t>
    </rPh>
    <rPh sb="85" eb="87">
      <t xml:space="preserve">ネンド </t>
    </rPh>
    <rPh sb="89" eb="90">
      <t>ホンプロ</t>
    </rPh>
    <rPh sb="96" eb="98">
      <t xml:space="preserve">カイセツ </t>
    </rPh>
    <rPh sb="103" eb="105">
      <t xml:space="preserve">ナイヨウヲ </t>
    </rPh>
    <rPh sb="118" eb="122">
      <t xml:space="preserve">キョウツウキョウイク </t>
    </rPh>
    <rPh sb="122" eb="124">
      <t xml:space="preserve">ドウニュウ </t>
    </rPh>
    <rPh sb="124" eb="126">
      <t xml:space="preserve">キョウヨウキソカモク </t>
    </rPh>
    <rPh sb="127" eb="131">
      <t xml:space="preserve">クブンメイショウ </t>
    </rPh>
    <rPh sb="132" eb="133">
      <t xml:space="preserve">アラタメタ </t>
    </rPh>
    <rPh sb="139" eb="140">
      <t xml:space="preserve">カエズ </t>
    </rPh>
    <rPh sb="143" eb="145">
      <t xml:space="preserve">ゲンザイニ </t>
    </rPh>
    <rPh sb="146" eb="147">
      <t xml:space="preserve">イタッテイル </t>
    </rPh>
    <rPh sb="152" eb="154">
      <t xml:space="preserve">コンゴハ </t>
    </rPh>
    <rPh sb="171" eb="172">
      <t xml:space="preserve">シャ </t>
    </rPh>
    <rPh sb="172" eb="173">
      <t xml:space="preserve">スウ </t>
    </rPh>
    <rPh sb="173" eb="174">
      <t xml:space="preserve">ゾウ </t>
    </rPh>
    <rPh sb="174" eb="175">
      <t xml:space="preserve">ジュウヨウセイヲ </t>
    </rPh>
    <rPh sb="183" eb="184">
      <t xml:space="preserve">ホンプログラム </t>
    </rPh>
    <rPh sb="190" eb="191">
      <t xml:space="preserve">タノ </t>
    </rPh>
    <rPh sb="192" eb="196">
      <t xml:space="preserve">コウセイカモクヘノ </t>
    </rPh>
    <rPh sb="198" eb="199">
      <t xml:space="preserve">リシュウスイショウ </t>
    </rPh>
    <rPh sb="201" eb="202">
      <t xml:space="preserve">ムケテ コウジョウサクヲ ケントウシテイク </t>
    </rPh>
    <phoneticPr fontId="1"/>
  </si>
  <si>
    <t>　本プログラムの履修状況や単位修得の把握には、学生ポータルとして教学情報を一括参照可能なUniversal Pasportシステムを通じて全学的に把握している。これと連動した教務データベースより、全学学生の本プログラムのみの履修状況の割合や単位修得結果について年度毎に分析して、実態把握をルーティン化していく。本プログラムが令和５年度開設のため、現在卒業必修となっている科目以外の科目についてはセメスター毎に履修状況を確認している途上である。</t>
    <rPh sb="1" eb="2">
      <t xml:space="preserve">ホン </t>
    </rPh>
    <rPh sb="8" eb="10">
      <t xml:space="preserve">リシュウ </t>
    </rPh>
    <rPh sb="10" eb="12">
      <t xml:space="preserve">ジョウキョウ </t>
    </rPh>
    <rPh sb="13" eb="17">
      <t xml:space="preserve">タンイシュウトクノ </t>
    </rPh>
    <rPh sb="18" eb="20">
      <t xml:space="preserve">ハアクニハ </t>
    </rPh>
    <rPh sb="23" eb="25">
      <t xml:space="preserve">ガクセイ </t>
    </rPh>
    <rPh sb="32" eb="34">
      <t xml:space="preserve">キョウガク </t>
    </rPh>
    <rPh sb="34" eb="36">
      <t xml:space="preserve">ジョウホウヲ </t>
    </rPh>
    <rPh sb="37" eb="39">
      <t xml:space="preserve">イッカツ </t>
    </rPh>
    <rPh sb="39" eb="43">
      <t xml:space="preserve">サンショウカノウナ </t>
    </rPh>
    <rPh sb="66" eb="67">
      <t xml:space="preserve">ツウジテ </t>
    </rPh>
    <rPh sb="69" eb="72">
      <t xml:space="preserve">ゼンガクテキニ </t>
    </rPh>
    <rPh sb="73" eb="75">
      <t xml:space="preserve">ハアクカノウデアリ </t>
    </rPh>
    <rPh sb="83" eb="85">
      <t xml:space="preserve">レンドウシタ </t>
    </rPh>
    <rPh sb="87" eb="89">
      <t xml:space="preserve">キョウム </t>
    </rPh>
    <rPh sb="98" eb="101">
      <t xml:space="preserve">ゼンガクガクセイチユウ </t>
    </rPh>
    <rPh sb="101" eb="102">
      <t xml:space="preserve">セイ </t>
    </rPh>
    <rPh sb="103" eb="104">
      <t>ホン</t>
    </rPh>
    <rPh sb="112" eb="116">
      <t xml:space="preserve">リシュウジョウキョウ </t>
    </rPh>
    <rPh sb="117" eb="119">
      <t xml:space="preserve">ワリアイ </t>
    </rPh>
    <rPh sb="120" eb="124">
      <t xml:space="preserve">タンイシュウトク </t>
    </rPh>
    <rPh sb="124" eb="126">
      <t xml:space="preserve">ケッカノ </t>
    </rPh>
    <rPh sb="130" eb="132">
      <t xml:space="preserve">ネンド </t>
    </rPh>
    <rPh sb="132" eb="133">
      <t xml:space="preserve">マイ </t>
    </rPh>
    <rPh sb="134" eb="136">
      <t xml:space="preserve">ブンセキシテ </t>
    </rPh>
    <rPh sb="139" eb="143">
      <t xml:space="preserve">ジッタイハアクニ </t>
    </rPh>
    <rPh sb="149" eb="150">
      <t xml:space="preserve">カ </t>
    </rPh>
    <rPh sb="155" eb="156">
      <t>ホン</t>
    </rPh>
    <rPh sb="162" eb="164">
      <t xml:space="preserve">レイワ </t>
    </rPh>
    <rPh sb="165" eb="166">
      <t xml:space="preserve">ネン </t>
    </rPh>
    <rPh sb="166" eb="167">
      <t xml:space="preserve">ド </t>
    </rPh>
    <rPh sb="167" eb="169">
      <t xml:space="preserve">カイセツ </t>
    </rPh>
    <rPh sb="173" eb="175">
      <t xml:space="preserve">ゲンザイ </t>
    </rPh>
    <rPh sb="175" eb="179">
      <t xml:space="preserve">ソツギョウヒッシュウ </t>
    </rPh>
    <rPh sb="185" eb="187">
      <t xml:space="preserve">カモク </t>
    </rPh>
    <rPh sb="187" eb="189">
      <t xml:space="preserve">イガイ </t>
    </rPh>
    <rPh sb="190" eb="192">
      <t xml:space="preserve">カモクニツイテハ </t>
    </rPh>
    <rPh sb="202" eb="203">
      <t xml:space="preserve">ゴトニ </t>
    </rPh>
    <rPh sb="204" eb="208">
      <t xml:space="preserve">リシュウジョウキョウヲ </t>
    </rPh>
    <rPh sb="209" eb="211">
      <t xml:space="preserve">カクニンシテイル </t>
    </rPh>
    <rPh sb="215" eb="217">
      <t xml:space="preserve">トジョウデアル </t>
    </rPh>
    <phoneticPr fontId="1"/>
  </si>
  <si>
    <t>　本学のアセスメントポリシーに定められた、高い学修成果を得るための取組として、科目レベルの評価手段である授業評価アンケート、大学レベルでの学生生活アンケート（学修行動項目）、卒業時アンケート、卒業生アンケートを活用して、科目レベルでの成果達成状況や大学全体でのディプロマポリシー達成状況を把握することにより、成果の把握を可能としている。</t>
    <rPh sb="15" eb="16">
      <t xml:space="preserve">サダメラレタ </t>
    </rPh>
    <rPh sb="21" eb="22">
      <t xml:space="preserve">タカイ </t>
    </rPh>
    <rPh sb="23" eb="27">
      <t xml:space="preserve">ガクシュウセイカ </t>
    </rPh>
    <rPh sb="28" eb="29">
      <t xml:space="preserve">エルタメノ </t>
    </rPh>
    <rPh sb="33" eb="35">
      <t>トリクミ</t>
    </rPh>
    <rPh sb="39" eb="41">
      <t xml:space="preserve">カモクレベル </t>
    </rPh>
    <rPh sb="45" eb="49">
      <t xml:space="preserve">ヒョウカシュダンデアル </t>
    </rPh>
    <rPh sb="52" eb="56">
      <t>ジュギョウ</t>
    </rPh>
    <rPh sb="62" eb="64">
      <t xml:space="preserve">ダイガクレベル </t>
    </rPh>
    <rPh sb="69" eb="73">
      <t>ガクセイセイ</t>
    </rPh>
    <rPh sb="79" eb="83">
      <t xml:space="preserve">ガクシュウコウドウ </t>
    </rPh>
    <rPh sb="83" eb="85">
      <t xml:space="preserve">コウモク </t>
    </rPh>
    <rPh sb="87" eb="89">
      <t xml:space="preserve">ソツギョウ </t>
    </rPh>
    <rPh sb="89" eb="90">
      <t xml:space="preserve">ジ </t>
    </rPh>
    <rPh sb="96" eb="99">
      <t xml:space="preserve">ソツギョウセイ </t>
    </rPh>
    <rPh sb="105" eb="107">
      <t xml:space="preserve">カツヨウシテ </t>
    </rPh>
    <rPh sb="110" eb="112">
      <t xml:space="preserve">カモクレベルデノ </t>
    </rPh>
    <rPh sb="117" eb="123">
      <t xml:space="preserve">セイカタッセイジョウキョウ </t>
    </rPh>
    <rPh sb="124" eb="128">
      <t xml:space="preserve">ダイガクゼンタイデノ </t>
    </rPh>
    <rPh sb="139" eb="143">
      <t xml:space="preserve">タッセイジョウキョウヲ </t>
    </rPh>
    <rPh sb="144" eb="146">
      <t xml:space="preserve">ハアクスルコトニヨリ </t>
    </rPh>
    <rPh sb="154" eb="156">
      <t xml:space="preserve">セイカノ </t>
    </rPh>
    <rPh sb="157" eb="159">
      <t xml:space="preserve">ハアクヲ </t>
    </rPh>
    <rPh sb="160" eb="162">
      <t xml:space="preserve">カノウトシテイル </t>
    </rPh>
    <phoneticPr fontId="1"/>
  </si>
  <si>
    <t>　全開講科目を対象に実施している「授業評価アンケート」により授業スキル、教育の質保証、学習行動等についての内容が把握され、IR室より科目担当教員に科目別結果をフィードバックしている。授業担当教員は、評価結果を踏まえての次年度の改善案を提出するというプロセスをセメスター毎に遂行することで、IR・FDの仕組を構築している。
　本プログラムの構成科目である情報技術演習の令和５年度の評価結果については、「授業の狙いの適切性（５段階）」でクラス平均4.3、「授業時間外での学習（５段階）」3.4、「受講者自身の取組姿勢（10段階）」7.6であり平均に達しているが、本プログラムのキーワードに沿った回答項目をプログラム内構成科目向けに別途設定して理解度の把握も必要であると考えられる。</t>
    <rPh sb="176" eb="178">
      <t xml:space="preserve">ジョウホウ </t>
    </rPh>
    <rPh sb="178" eb="182">
      <t xml:space="preserve">ギジュツエンシュウ </t>
    </rPh>
    <rPh sb="199" eb="200">
      <t>ヘイキンテキナ</t>
    </rPh>
    <rPh sb="200" eb="202">
      <t xml:space="preserve"> タッシテイル</t>
    </rPh>
    <rPh sb="203" eb="204">
      <t xml:space="preserve">ガ ホンプログラム ソッタ カイトウコウコウセイカモクムケニ ベット セッテイシテ リカイドヲ ハアクモ ヒツヨウデアルト カンガエラレル _x0000_°_x0002__x0006_²_x0004__x0010_Çヘイキンテキナ タッシテイルガ ホンプログラム ソッタ カイトウコウコウセイカモクムケニ ベット セッテイシテ リカイドヲ ハアクモ ヒツヨウデアルト カンガエラレル </t>
    </rPh>
    <phoneticPr fontId="1"/>
  </si>
  <si>
    <t>　全学的に毎学期実施される「授業評価アンケート」での本プログラム構成科目の満足度やコメント内容を踏まえて、授業改善に活用している。令和５年度の質問項目には推奨度についての回答項目を設けていないため、前項でも記載したように、本プログラム構成科目を対象とした固有の授業内の意見聴取フォーマットの検討および実施を検討する。</t>
    <rPh sb="1" eb="4">
      <t xml:space="preserve">マイガッキ </t>
    </rPh>
    <rPh sb="4" eb="7">
      <t xml:space="preserve">ゼンガクテキニ </t>
    </rPh>
    <rPh sb="8" eb="10">
      <t xml:space="preserve">ジッシサレル </t>
    </rPh>
    <rPh sb="14" eb="18">
      <t>ジュギョウヒョウ</t>
    </rPh>
    <rPh sb="26" eb="27">
      <t xml:space="preserve">ホンプログラム </t>
    </rPh>
    <rPh sb="32" eb="36">
      <t xml:space="preserve">コウセイカモクノ </t>
    </rPh>
    <rPh sb="37" eb="40">
      <t xml:space="preserve">マンゾクドヤ </t>
    </rPh>
    <rPh sb="48" eb="49">
      <t xml:space="preserve">フマエテ </t>
    </rPh>
    <rPh sb="53" eb="57">
      <t xml:space="preserve">ジュギョウカイゼンニ </t>
    </rPh>
    <rPh sb="58" eb="60">
      <t xml:space="preserve">カツヨウシテイルガ </t>
    </rPh>
    <rPh sb="65" eb="67">
      <t xml:space="preserve">レイワ </t>
    </rPh>
    <rPh sb="68" eb="70">
      <t xml:space="preserve">サクネンドノ </t>
    </rPh>
    <rPh sb="71" eb="75">
      <t xml:space="preserve">シツモンコウモクデハ </t>
    </rPh>
    <rPh sb="77" eb="79">
      <t xml:space="preserve">スイショウドヲ </t>
    </rPh>
    <rPh sb="79" eb="80">
      <t xml:space="preserve">ド </t>
    </rPh>
    <rPh sb="85" eb="89">
      <t xml:space="preserve">カイトウコウモク </t>
    </rPh>
    <rPh sb="90" eb="91">
      <t xml:space="preserve">モウケテイナイ </t>
    </rPh>
    <rPh sb="99" eb="101">
      <t xml:space="preserve">ゼンコウト </t>
    </rPh>
    <rPh sb="103" eb="105">
      <t xml:space="preserve">キサイシタヨウニ </t>
    </rPh>
    <rPh sb="111" eb="112">
      <t xml:space="preserve">ホン </t>
    </rPh>
    <rPh sb="117" eb="121">
      <t xml:space="preserve">コウセイカモク </t>
    </rPh>
    <rPh sb="122" eb="124">
      <t xml:space="preserve">タイショウトシタ </t>
    </rPh>
    <rPh sb="127" eb="129">
      <t xml:space="preserve">コユウノ </t>
    </rPh>
    <rPh sb="130" eb="133">
      <t xml:space="preserve">ジュギョウナイ </t>
    </rPh>
    <rPh sb="134" eb="138">
      <t xml:space="preserve">イケンチョウシュ </t>
    </rPh>
    <rPh sb="145" eb="147">
      <t xml:space="preserve">ケントウ </t>
    </rPh>
    <rPh sb="150" eb="152">
      <t xml:space="preserve">ジッシヲ </t>
    </rPh>
    <rPh sb="153" eb="155">
      <t xml:space="preserve">ケントウ コウセイカモクナイデノ ドクジノ </t>
    </rPh>
    <phoneticPr fontId="1"/>
  </si>
  <si>
    <t>・ビッグデータ、loT、AI　「Society5.0と情報」（4回目）
・Society5.0 「Society5.0と情報」（4回目）
・複数技術を組み合わせたAIサービス 「Society5.0と情報」（5回目）
・人間の知的活動とAIの関係性 「Society5.0と情報」（6回目）
・データを起点としたものの見方、人間の知的活動を起点としたものの見方 「Society5.0と情報」（7回目）
・AI、ロボット 「情報技術論」（14回目）</t>
    <rPh sb="27" eb="29">
      <t>ジョウホウ</t>
    </rPh>
    <rPh sb="32" eb="33">
      <t>カイ</t>
    </rPh>
    <rPh sb="33" eb="34">
      <t>メ</t>
    </rPh>
    <rPh sb="60" eb="62">
      <t>ジョウホウ</t>
    </rPh>
    <rPh sb="65" eb="66">
      <t>カイ</t>
    </rPh>
    <rPh sb="66" eb="67">
      <t>メ</t>
    </rPh>
    <rPh sb="70" eb="72">
      <t>フクスウ</t>
    </rPh>
    <rPh sb="72" eb="74">
      <t>ギジュツ</t>
    </rPh>
    <rPh sb="75" eb="76">
      <t>ク</t>
    </rPh>
    <rPh sb="77" eb="78">
      <t>ア</t>
    </rPh>
    <rPh sb="100" eb="102">
      <t>ジョウホウ</t>
    </rPh>
    <rPh sb="105" eb="106">
      <t>カイ</t>
    </rPh>
    <rPh sb="106" eb="107">
      <t>メ</t>
    </rPh>
    <rPh sb="110" eb="112">
      <t>ニンゲン</t>
    </rPh>
    <rPh sb="113" eb="115">
      <t>チテキ</t>
    </rPh>
    <rPh sb="115" eb="117">
      <t>カツドウ</t>
    </rPh>
    <rPh sb="121" eb="124">
      <t>カンケイセイ</t>
    </rPh>
    <rPh sb="137" eb="139">
      <t>ジョウホウ</t>
    </rPh>
    <rPh sb="142" eb="143">
      <t>カイ</t>
    </rPh>
    <rPh sb="143" eb="144">
      <t>メ</t>
    </rPh>
    <rPh sb="151" eb="153">
      <t>キテン</t>
    </rPh>
    <rPh sb="159" eb="161">
      <t>ミカタ</t>
    </rPh>
    <rPh sb="162" eb="164">
      <t>ニンゲン</t>
    </rPh>
    <rPh sb="165" eb="167">
      <t>チテキ</t>
    </rPh>
    <rPh sb="167" eb="169">
      <t>カツドウ</t>
    </rPh>
    <rPh sb="170" eb="172">
      <t>キテン</t>
    </rPh>
    <rPh sb="178" eb="180">
      <t>ミカタ</t>
    </rPh>
    <rPh sb="198" eb="199">
      <t>カイ</t>
    </rPh>
    <rPh sb="199" eb="200">
      <t>メ</t>
    </rPh>
    <rPh sb="212" eb="214">
      <t>ジョウホウ</t>
    </rPh>
    <rPh sb="214" eb="216">
      <t>ギジュツ</t>
    </rPh>
    <rPh sb="216" eb="217">
      <t>ロン</t>
    </rPh>
    <rPh sb="221" eb="222">
      <t>カイ</t>
    </rPh>
    <rPh sb="222" eb="223">
      <t>メ</t>
    </rPh>
    <phoneticPr fontId="1"/>
  </si>
  <si>
    <t>・AI等を活用した新しいビジネスモデル（シェアリングエコノミー、商品のレコメンデーションなど） 「Society5.0と情報」（6回目）、「情報技術論」（8回目）
・AI最新技術の活用例（深層生成モデル、敵対的生成ネットワーク、強化学習、転移学習など） 「Society5.0と情報」（7回目）、「情報技術論」（15回目）</t>
    <rPh sb="3" eb="4">
      <t>トウ</t>
    </rPh>
    <rPh sb="5" eb="7">
      <t>カツヨウ</t>
    </rPh>
    <rPh sb="9" eb="10">
      <t>アタラ</t>
    </rPh>
    <rPh sb="32" eb="34">
      <t>ショウヒン</t>
    </rPh>
    <rPh sb="60" eb="62">
      <t>ジョウホウ</t>
    </rPh>
    <rPh sb="65" eb="66">
      <t>カイ</t>
    </rPh>
    <rPh sb="66" eb="67">
      <t>メ</t>
    </rPh>
    <rPh sb="70" eb="72">
      <t>ジョウホウ</t>
    </rPh>
    <rPh sb="72" eb="74">
      <t>ギジュツ</t>
    </rPh>
    <rPh sb="74" eb="75">
      <t>ロン</t>
    </rPh>
    <rPh sb="78" eb="79">
      <t>カイ</t>
    </rPh>
    <rPh sb="79" eb="80">
      <t>メ</t>
    </rPh>
    <rPh sb="85" eb="87">
      <t>サイシン</t>
    </rPh>
    <rPh sb="87" eb="89">
      <t>ギジュツ</t>
    </rPh>
    <rPh sb="90" eb="92">
      <t>カツヨウ</t>
    </rPh>
    <rPh sb="92" eb="93">
      <t>レイ</t>
    </rPh>
    <rPh sb="94" eb="96">
      <t>シンソウ</t>
    </rPh>
    <rPh sb="96" eb="98">
      <t>セイセイ</t>
    </rPh>
    <rPh sb="102" eb="105">
      <t>テキタイテキ</t>
    </rPh>
    <rPh sb="105" eb="107">
      <t>セイセイ</t>
    </rPh>
    <rPh sb="114" eb="116">
      <t>キョウカ</t>
    </rPh>
    <rPh sb="116" eb="118">
      <t>ガクシュウ</t>
    </rPh>
    <rPh sb="119" eb="121">
      <t>テンイ</t>
    </rPh>
    <rPh sb="121" eb="123">
      <t>ガクシュウ</t>
    </rPh>
    <rPh sb="139" eb="141">
      <t>ジョウホウ</t>
    </rPh>
    <rPh sb="144" eb="145">
      <t>カイ</t>
    </rPh>
    <rPh sb="145" eb="146">
      <t>メ</t>
    </rPh>
    <rPh sb="149" eb="151">
      <t>ジョウホウ</t>
    </rPh>
    <rPh sb="151" eb="153">
      <t>ギジュツ</t>
    </rPh>
    <rPh sb="153" eb="154">
      <t>ロン</t>
    </rPh>
    <rPh sb="158" eb="160">
      <t>カイメ</t>
    </rPh>
    <phoneticPr fontId="1"/>
  </si>
  <si>
    <t>・調査データ、人の行動ログデータ、機械の稼働ログデータなど  「Society5.0と情報」（5回目） 、「情報技術論」（10回目）
・1次データ、2次データ、データのメタ化  「Society5.0と情報」（5回目）
・構造化データ、非構造化データ（文章、画像/動画、音声/音楽など）  「Society5.0と情報」（2回目）、「情報技術論」（4回目）
・データのオープン化（オープンデータ）  「Society5.0と情報」（3回目）</t>
    <rPh sb="167" eb="169">
      <t>ジョウホウ</t>
    </rPh>
    <rPh sb="169" eb="171">
      <t>ギジュツ</t>
    </rPh>
    <rPh sb="171" eb="172">
      <t>ロン</t>
    </rPh>
    <rPh sb="175" eb="176">
      <t>カイ</t>
    </rPh>
    <rPh sb="176" eb="177">
      <t>メ</t>
    </rPh>
    <phoneticPr fontId="1"/>
  </si>
  <si>
    <t>・データ・AI活用領域の広がり(生産、消費、文化活動など)  「Society5.0と情報」（5回目）、「情報技術論」（8・11回目）
・研究開発、調達、製造、物流、販売、マーケティング、サービスなど  「Society5.0と情報」（5回目）、「情報技術論」（8・11回目）
・仮説検証、知識発見、原因究明、計画策定、判断支援、活動代替、新規生成など  「Society5.0と情報」（7回目）、「情報技術論」（8・11回目）</t>
    <rPh sb="53" eb="55">
      <t>ジョウホウ</t>
    </rPh>
    <rPh sb="55" eb="57">
      <t>ギジュツ</t>
    </rPh>
    <rPh sb="57" eb="58">
      <t>ロン</t>
    </rPh>
    <rPh sb="64" eb="65">
      <t>カイ</t>
    </rPh>
    <rPh sb="65" eb="66">
      <t>メ</t>
    </rPh>
    <phoneticPr fontId="1"/>
  </si>
  <si>
    <t>・データ解析：予測、グルーピング、パターン発見、最適化、シミュレーション・データ同化など 「情報技術論」（9・10回目）
・データ可視化：複合グラフ、2軸グラフ、多次元の可視化、関係性の可視化、地図上の可視化、挙動・軌跡の可視化、リアルタイム可視化など 「情報技術演習」（11・12回目） 、「情報技術論」（9・10回目）
・非構造化データ処理：言語処理、画像/動画処理、音声/音楽処理など 「Society5.0と情報」（1・2回目）
・特化型AIと汎用AI、今のAIで出来ることと出来ないこと、AIとビッグデータ  「Society5.0と情報」（4回目）</t>
    <phoneticPr fontId="1"/>
  </si>
  <si>
    <t>・データサイエンスのサイクル（課題抽出と定式化、データの取得・管理・加工、探索的データ解析、データ解析と推論、結果の共有・伝達、課題解決に向けた提案） 「情報技術論」（14回目）
・流通、製造、金融、サービス、インフラ、公共、ヘルスケア等におけるデータ・AI利活用事例紹介 「情報技術論」（14回目）</t>
    <phoneticPr fontId="1"/>
  </si>
  <si>
    <t>・ELSI（Ethical, Legal and Social Issues） 「情報技術論」（12・13回目）
・個人情報保護、EU一般データ保護規則(GDPR)、忘れられる権利、オプトアウト  「Society5.0と情報」（6回目）、「情報技術演習Ⅱ」（1回目）、 「情報技術論」（12・13回目）
・データ倫理：データのねつ造、改ざん、盗用、プライバシー保護 「Society5.0と情報」（6回目）、「情報技術演習Ⅱ」（1回目）、 「情報技術論」（12・13回目）
・AI社会原則（公平性、説明責任、透明性、人間中心の判断） 「Society5.0と情報」（7回目）、 「情報技術論」（12・13回目）
・データバイアス、アルゴリズムバイアス 「情報技術論」（12・13回目）
・AIサービスの責任論 「情報技術演習Ⅱ」（1回目）、 「情報技術論」（12・13回目）
・データ・AI活用における負の事例紹介 「情報技術論」（12・13回目）</t>
    <rPh sb="121" eb="123">
      <t>ジョウホウ</t>
    </rPh>
    <rPh sb="123" eb="125">
      <t>ギジュツ</t>
    </rPh>
    <rPh sb="125" eb="127">
      <t>エンシュウ</t>
    </rPh>
    <rPh sb="131" eb="133">
      <t>カイメ</t>
    </rPh>
    <phoneticPr fontId="1"/>
  </si>
  <si>
    <t>・情報セキュリティ：機密性、完全性、可用性 「情報技術演習」（1・15回目）、 「Society5.0と情報」（6回目）、「情報技術演習Ⅱ」（1回目）、「情報技術論」（12・13回目）
・匿名加工情報、暗号化、パスワード、悪意ある情報搾取 「情報技術演習」（4回目）、 「Society5.0と情報」（6回目）、「情報技術演習Ⅱ」（1回目）、「情報技術論」（12・13回目）
・情報漏洩等によるセキュリティ事故の事例紹介 「情報技術演習」（15回目）、 「Society5.0と情報」（6回目）、「情報技術演習Ⅱ」（1回目）、「情報技術論」（12・13回目）</t>
    <phoneticPr fontId="1"/>
  </si>
  <si>
    <t>・データの種類（量的変数、質的変数） 「情報技術演習」（11・12回目）、「確率と統計の基礎」（2回目）、「情報技術演習Ⅱ」（5～8回目）
・データの分布(ヒストグラム)と代表値（平均値、中央値、最頻値） 「情報技術演習」（11・12回目）、「確率と統計の基礎」（3・4回目）、「情報技術演習Ⅱ」（5～8回目）
・代表値の性質の違い（実社会では平均値＝最頻値でないことが多い） 「情報技術演習」（11・12回目）、「確率と統計の基礎」（3・4回目）、「情報技術演習Ⅱ」（5～8回目）
・データのばらつき（分散、標準偏差、偏差値） 「情報技術演習」（11・12回目）、「確率と統計の基礎」（3・4回目）、「情報技術演習Ⅱ」（5～8回目）
・観測データに含まれる誤差の扱い 「確率と統計の基礎」（3・4回目）
・打ち切りや脱落を含むデータ、層別の必要なデータ 「確率と統計の基礎」（3・4回目）
・相関と因果（相関係数、擬似相関、交絡） 「確率と統計の基礎」（5回目）
・母集団と標本抽出（国勢調査、アンケート調査、全数調査、単純無作為抽出、層別抽出、多段抽出） 「確率と統計の基礎」（12回目）
・クロス集計表、分割表、相関係数行列、散布図行列 「情報技術演習」（11・12回目）、「情報技術演習Ⅱ」（5～8回目）
・統計情報の正しい理解（誇張表現に惑わされない） 「情報技術演習」（11・12回目）、 「確率と統計の基礎」（1・2回目）、「情報技術演習Ⅱ」（5～8回目）</t>
    <rPh sb="20" eb="22">
      <t>ジョウホウ</t>
    </rPh>
    <rPh sb="22" eb="24">
      <t>ギジュツ</t>
    </rPh>
    <rPh sb="24" eb="26">
      <t>エンシュウ</t>
    </rPh>
    <rPh sb="33" eb="35">
      <t>カイメ</t>
    </rPh>
    <rPh sb="38" eb="40">
      <t>カクリツ</t>
    </rPh>
    <rPh sb="41" eb="43">
      <t>トウケイ</t>
    </rPh>
    <rPh sb="44" eb="46">
      <t>キソ</t>
    </rPh>
    <rPh sb="49" eb="51">
      <t>カイメ</t>
    </rPh>
    <rPh sb="536" eb="538">
      <t>カイメ</t>
    </rPh>
    <phoneticPr fontId="1"/>
  </si>
  <si>
    <t>・データ表現（棒グラフ、折線グラフ、散布図、ヒートマップ） 「情報技術演習」（11・12回目）、 「確率と統計の基礎」（7～14回目）、「情報技術演習Ⅱ」（5・6回目）
・データの図表表現（チャート化） 「情報技術演習」（11・12回目）、 「確率と統計の基礎」（7～14回目）、「情報技術演習Ⅱ」（5・6回目）
・データの比較（条件をそろえた比較、処理の前後での比較、A/Bテスト) 「確率と統計の基礎」（7～14回目）、「情報技術演習Ⅱ」（5・6回目）
・不適切なグラフ表現（チャートジャンク、不必要な視覚的要素） 「情報技術演習」（11・12回目）、 「確率と統計の基礎」（7～14回目）、「情報技術演習Ⅱ」（7・8回目）
・優れた可視化事例の紹介（可視化することによって新たな気づきがあった事例など） 「情報技術演習」（11・12回目）、 「確率と統計の基礎」（7～14回目）、「情報技術演習Ⅱ」（7・8回目）</t>
    <phoneticPr fontId="1"/>
  </si>
  <si>
    <t>・データの集計（和、平均） 「情報技術演習」（11・12回目）、「情報技術演習Ⅱ」（5～8回目）、 「確率と統計の基礎」（7～14回目）
・データの並び替え、ランキング 「情報技術演習」（11・12回目）、「情報技術演習Ⅱ」（5～8回目）、 「確率と統計の基礎」（7～14回目）
・データ解析ツール（スプレッドシート） 「情報技術演習」（11・12回目）、「情報技術演習Ⅱ」（5～8回目）、 「確率と統計の基礎」（7～14回目）
・表形式のデータ（csv） 「情報技術演習」（11・12回目）、「情報技術演習Ⅱ」（5～8回目）、 「確率と統計の基礎」（7～14回目）</t>
    <phoneticPr fontId="1"/>
  </si>
  <si>
    <t xml:space="preserve">飯干紀代子　学長
入佐信宏　人間関係学部長　教授
近藤　諭   法学部長　教授
志賀玲子　学務担当学長補佐　教授
神薗紀幸　点検評価担当学長補佐　教授
三浦　卓   人間関係学部教務委員長　准教授
井上　隆   法学部教務委員長　教授
與崎泰久　高大接続教育センター長　特任教授
新納雅樹　教職センター長　特任教授
上野浩一　事務局長
浮邉博和　学務課長
</t>
    <rPh sb="0" eb="5">
      <t xml:space="preserve">イイボシキヨコ </t>
    </rPh>
    <rPh sb="6" eb="8">
      <t xml:space="preserve">ガクチョウ </t>
    </rPh>
    <rPh sb="22" eb="24">
      <t xml:space="preserve">キョウジュ </t>
    </rPh>
    <rPh sb="25" eb="27">
      <t xml:space="preserve">コンドウ </t>
    </rPh>
    <rPh sb="28" eb="29">
      <t xml:space="preserve">サトル </t>
    </rPh>
    <rPh sb="32" eb="36">
      <t xml:space="preserve">ホウガクブチョウ </t>
    </rPh>
    <rPh sb="37" eb="39">
      <t xml:space="preserve">キョウジュ </t>
    </rPh>
    <rPh sb="40" eb="44">
      <t xml:space="preserve">シガレイコ </t>
    </rPh>
    <rPh sb="45" eb="49">
      <t xml:space="preserve">ガクチョウホサ </t>
    </rPh>
    <rPh sb="49" eb="51">
      <t xml:space="preserve">ガクムタンｔノウ </t>
    </rPh>
    <rPh sb="51" eb="53">
      <t xml:space="preserve">タントウ </t>
    </rPh>
    <rPh sb="54" eb="56">
      <t xml:space="preserve">キョウジュ </t>
    </rPh>
    <rPh sb="57" eb="59">
      <t xml:space="preserve">カミゾノ </t>
    </rPh>
    <rPh sb="59" eb="61">
      <t xml:space="preserve">ノリユキ </t>
    </rPh>
    <rPh sb="62" eb="66">
      <t xml:space="preserve">ガクチョウホサ </t>
    </rPh>
    <rPh sb="66" eb="72">
      <t xml:space="preserve">テンケンヒョウカタントウ </t>
    </rPh>
    <rPh sb="73" eb="75">
      <t xml:space="preserve">キョウジュ </t>
    </rPh>
    <rPh sb="76" eb="78">
      <t xml:space="preserve">ミウラ </t>
    </rPh>
    <rPh sb="83" eb="89">
      <t>ニンゲンカンケ</t>
    </rPh>
    <rPh sb="89" eb="94">
      <t xml:space="preserve">キョウムイインチョウ </t>
    </rPh>
    <rPh sb="95" eb="98">
      <t xml:space="preserve">ジュンキョウジュ </t>
    </rPh>
    <rPh sb="99" eb="101">
      <t xml:space="preserve">イノウエ </t>
    </rPh>
    <rPh sb="106" eb="113">
      <t>ホウガクブ</t>
    </rPh>
    <rPh sb="113" eb="114">
      <t xml:space="preserve">チョウ </t>
    </rPh>
    <rPh sb="115" eb="117">
      <t xml:space="preserve">キョウジュ </t>
    </rPh>
    <rPh sb="118" eb="120">
      <t xml:space="preserve">ヨザキ </t>
    </rPh>
    <rPh sb="120" eb="122">
      <t xml:space="preserve">ヤスヒサ </t>
    </rPh>
    <rPh sb="123" eb="127">
      <t xml:space="preserve">コウダイセツゾク </t>
    </rPh>
    <rPh sb="127" eb="129">
      <t>キョウイク</t>
    </rPh>
    <rPh sb="135" eb="139">
      <t xml:space="preserve">トクニンキョウジュ </t>
    </rPh>
    <rPh sb="140" eb="142">
      <t xml:space="preserve">ニイロ </t>
    </rPh>
    <rPh sb="142" eb="144">
      <t xml:space="preserve">マサキ </t>
    </rPh>
    <rPh sb="145" eb="147">
      <t xml:space="preserve">キョウショクセンターチョウ </t>
    </rPh>
    <rPh sb="153" eb="157">
      <t>トクニン</t>
    </rPh>
    <rPh sb="158" eb="160">
      <t xml:space="preserve">ウエノ </t>
    </rPh>
    <rPh sb="160" eb="162">
      <t xml:space="preserve">ヒロカズ </t>
    </rPh>
    <rPh sb="163" eb="167">
      <t xml:space="preserve">ジムキョクチョウ </t>
    </rPh>
    <rPh sb="168" eb="170">
      <t xml:space="preserve">ウキベ </t>
    </rPh>
    <rPh sb="170" eb="172">
      <t xml:space="preserve">ヒロカズ </t>
    </rPh>
    <rPh sb="173" eb="177">
      <t xml:space="preserve">ガクムカチョウ </t>
    </rPh>
    <phoneticPr fontId="1"/>
  </si>
  <si>
    <t>本プログラムは、令和５年度より全学学生を対象に「Society5.0基礎プログラム」として開設した。平成11年度より共通教育の情報系科目として必修科目であった「インターネット演習」を本プログラムの開設にあわせて「情報技術演習」へと名称・内容共に社会の要請を取り込む方向で刷新して、履修については変わらず必修とした。また同年度に共通教育科目の「メディアと情報伝達」科目についても、Society5.0を見据えた数理・データサイエンス・AI活用の社会で活躍する人材育成に向けて名称・内容を改め「Society5.0と情報」という科目で開講する事とした。一方では文系大学であるゆえか、統計処理手法を学修する［確率と統計の基礎」の履修者数が伸びず、プログラムの修了に少しのハードルの高さが学生に感じられている現状もあり、今後は履修率の向上を図るためにプログラム内の各授業科目内で履修勧奨を行うとともに、履修に障壁を感じさせない科目内容や構成について検討していく予定である。</t>
    <rPh sb="0" eb="1">
      <t xml:space="preserve">ホンプログラムハ </t>
    </rPh>
    <rPh sb="8" eb="10">
      <t xml:space="preserve">レイワ </t>
    </rPh>
    <rPh sb="11" eb="13">
      <t xml:space="preserve">ネンド </t>
    </rPh>
    <rPh sb="15" eb="17">
      <t xml:space="preserve">ゼンガクヲ </t>
    </rPh>
    <rPh sb="17" eb="19">
      <t xml:space="preserve">ガクセイ </t>
    </rPh>
    <rPh sb="20" eb="22">
      <t xml:space="preserve">タイショウニ </t>
    </rPh>
    <rPh sb="34" eb="36">
      <t>キソプログｒ</t>
    </rPh>
    <rPh sb="45" eb="47">
      <t xml:space="preserve">カイセツ </t>
    </rPh>
    <rPh sb="50" eb="52">
      <t xml:space="preserve">ヘイセイ </t>
    </rPh>
    <rPh sb="54" eb="55">
      <t xml:space="preserve">ネン </t>
    </rPh>
    <rPh sb="55" eb="56">
      <t xml:space="preserve">ド </t>
    </rPh>
    <rPh sb="58" eb="62">
      <t xml:space="preserve">キョウツウキョウイク </t>
    </rPh>
    <rPh sb="63" eb="68">
      <t xml:space="preserve">ジョウホウケイカモクトシテ </t>
    </rPh>
    <rPh sb="71" eb="75">
      <t>ヒッｓｙ</t>
    </rPh>
    <rPh sb="91" eb="92">
      <t>ホン</t>
    </rPh>
    <rPh sb="98" eb="100">
      <t xml:space="preserve">カイセツヲ </t>
    </rPh>
    <rPh sb="106" eb="110">
      <t>ジョウホウ</t>
    </rPh>
    <rPh sb="110" eb="112">
      <t xml:space="preserve">エンシュウ </t>
    </rPh>
    <rPh sb="115" eb="117">
      <t xml:space="preserve">メイショウ </t>
    </rPh>
    <rPh sb="118" eb="121">
      <t xml:space="preserve">ナイヨウトモニ </t>
    </rPh>
    <rPh sb="122" eb="124">
      <t xml:space="preserve">シャカイノヨウセイヲ </t>
    </rPh>
    <rPh sb="128" eb="129">
      <t xml:space="preserve">トリコム </t>
    </rPh>
    <rPh sb="132" eb="134">
      <t xml:space="preserve">ホウコウデ </t>
    </rPh>
    <rPh sb="135" eb="137">
      <t xml:space="preserve">サッシン </t>
    </rPh>
    <rPh sb="140" eb="142">
      <t xml:space="preserve">リシュウニツイテハ </t>
    </rPh>
    <rPh sb="147" eb="148">
      <t xml:space="preserve">カワラズ </t>
    </rPh>
    <rPh sb="151" eb="153">
      <t xml:space="preserve">ヒッシュウ </t>
    </rPh>
    <rPh sb="159" eb="160">
      <t xml:space="preserve">ドウジニ </t>
    </rPh>
    <rPh sb="160" eb="162">
      <t xml:space="preserve">ネンド </t>
    </rPh>
    <rPh sb="163" eb="167">
      <t xml:space="preserve">キョウツウキョウイク </t>
    </rPh>
    <rPh sb="167" eb="169">
      <t xml:space="preserve">カモクノ </t>
    </rPh>
    <rPh sb="176" eb="178">
      <t xml:space="preserve">ジョウホウ </t>
    </rPh>
    <rPh sb="178" eb="180">
      <t xml:space="preserve">デンタツ </t>
    </rPh>
    <rPh sb="181" eb="183">
      <t xml:space="preserve">カモク </t>
    </rPh>
    <rPh sb="200" eb="202">
      <t xml:space="preserve">ミスエタ </t>
    </rPh>
    <rPh sb="204" eb="206">
      <t xml:space="preserve">スウリ </t>
    </rPh>
    <rPh sb="218" eb="220">
      <t xml:space="preserve">カツヨウノ </t>
    </rPh>
    <rPh sb="221" eb="223">
      <t xml:space="preserve">シャカイデ </t>
    </rPh>
    <rPh sb="224" eb="226">
      <t xml:space="preserve">カツヤクスル </t>
    </rPh>
    <rPh sb="228" eb="232">
      <t xml:space="preserve">ジンザイイクセイ </t>
    </rPh>
    <rPh sb="236" eb="238">
      <t xml:space="preserve">メイショウ </t>
    </rPh>
    <rPh sb="239" eb="241">
      <t xml:space="preserve">ナイヨウヲ </t>
    </rPh>
    <rPh sb="242" eb="243">
      <t xml:space="preserve">アラタメテ </t>
    </rPh>
    <rPh sb="262" eb="264">
      <t xml:space="preserve">カモクデ </t>
    </rPh>
    <rPh sb="265" eb="267">
      <t xml:space="preserve">カイコウスル </t>
    </rPh>
    <rPh sb="269" eb="270">
      <t xml:space="preserve">コトトシタ </t>
    </rPh>
    <rPh sb="274" eb="276">
      <t xml:space="preserve">イッポウデ </t>
    </rPh>
    <rPh sb="278" eb="282">
      <t xml:space="preserve">ブンケイダイガク </t>
    </rPh>
    <rPh sb="289" eb="295">
      <t xml:space="preserve">トウケイショリシュホウ </t>
    </rPh>
    <rPh sb="296" eb="298">
      <t xml:space="preserve">ガクシュウ </t>
    </rPh>
    <rPh sb="307" eb="309">
      <t xml:space="preserve">キソ </t>
    </rPh>
    <rPh sb="311" eb="315">
      <t xml:space="preserve">リシュウシャスウ </t>
    </rPh>
    <rPh sb="316" eb="317">
      <t xml:space="preserve">ノビズ </t>
    </rPh>
    <rPh sb="326" eb="328">
      <t xml:space="preserve">シュウリョウ </t>
    </rPh>
    <rPh sb="329" eb="330">
      <t xml:space="preserve">スコシノ </t>
    </rPh>
    <rPh sb="337" eb="338">
      <t xml:space="preserve">タカサ </t>
    </rPh>
    <rPh sb="340" eb="342">
      <t xml:space="preserve">ガクセイニ </t>
    </rPh>
    <rPh sb="343" eb="344">
      <t xml:space="preserve">カンジラレテイル </t>
    </rPh>
    <rPh sb="350" eb="352">
      <t xml:space="preserve">ゲンジョウモアリ </t>
    </rPh>
    <rPh sb="356" eb="358">
      <t xml:space="preserve">コンゴハ </t>
    </rPh>
    <rPh sb="359" eb="361">
      <t xml:space="preserve">リシュウシャ </t>
    </rPh>
    <rPh sb="361" eb="362">
      <t xml:space="preserve">リツ </t>
    </rPh>
    <rPh sb="363" eb="365">
      <t xml:space="preserve">コウジョウヲ </t>
    </rPh>
    <rPh sb="366" eb="367">
      <t xml:space="preserve">ハカルタメニ </t>
    </rPh>
    <rPh sb="378" eb="379">
      <t xml:space="preserve">カク </t>
    </rPh>
    <rPh sb="379" eb="383">
      <t xml:space="preserve">ジュギョウカモク </t>
    </rPh>
    <rPh sb="383" eb="384">
      <t xml:space="preserve">ナイデ </t>
    </rPh>
    <rPh sb="385" eb="389">
      <t xml:space="preserve">リシュウカンショウ </t>
    </rPh>
    <rPh sb="390" eb="391">
      <t xml:space="preserve">オコナウトトモニ </t>
    </rPh>
    <rPh sb="397" eb="399">
      <t xml:space="preserve">リシュウニ </t>
    </rPh>
    <rPh sb="400" eb="402">
      <t xml:space="preserve">ショウヘキヲ </t>
    </rPh>
    <rPh sb="403" eb="404">
      <t xml:space="preserve">カンジサセナイ </t>
    </rPh>
    <rPh sb="409" eb="413">
      <t xml:space="preserve">カモクナイヨウ </t>
    </rPh>
    <rPh sb="414" eb="416">
      <t xml:space="preserve">コウセイ </t>
    </rPh>
    <rPh sb="420" eb="422">
      <t>ケントウ</t>
    </rPh>
    <phoneticPr fontId="1"/>
  </si>
  <si>
    <t>令和5</t>
    <rPh sb="0" eb="2">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</si>
</sst>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2"/>
      <color theme="1"/>
      <name val="ＭＳ Ｐゴシック (本文)"/>
      <family val="3"/>
      <charset val="128"/>
    </font>
    <font>
      <sz val="11"/>
      <color theme="1"/>
      <name val="ＭＳ Ｐゴシック (本文)"/>
      <family val="3"/>
      <charset val="128"/>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9" fontId="2" fillId="0" borderId="14" xfId="0" applyNumberFormat="1" applyFont="1" applyBorder="1" applyAlignment="1">
      <alignment vertical="center" shrinkToFit="1"/>
    </xf>
    <xf numFmtId="0" fontId="17" fillId="0" borderId="1" xfId="0" applyFont="1" applyBorder="1" applyAlignment="1">
      <alignment horizontal="left" vertical="center"/>
    </xf>
    <xf numFmtId="0" fontId="17" fillId="0" borderId="0" xfId="0" applyFont="1" applyAlignment="1">
      <alignment horizontal="center" vertical="center"/>
    </xf>
    <xf numFmtId="0" fontId="17" fillId="0" borderId="0" xfId="0" applyFont="1" applyAlignment="1">
      <alignment horizontal="right" vertical="center"/>
    </xf>
    <xf numFmtId="0" fontId="18" fillId="0" borderId="0" xfId="0" applyFont="1" applyAlignment="1">
      <alignment horizontal="left" vertical="center"/>
    </xf>
    <xf numFmtId="0" fontId="17"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5" fillId="0" borderId="1" xfId="0" applyFont="1" applyBorder="1" applyAlignment="1">
      <alignment horizontal="center" vertical="center" shrinkToFit="1"/>
    </xf>
    <xf numFmtId="0" fontId="15" fillId="0" borderId="4" xfId="0" applyFont="1" applyBorder="1" applyAlignment="1">
      <alignment horizontal="center" vertical="center" shrinkToFit="1"/>
    </xf>
    <xf numFmtId="49" fontId="15" fillId="0" borderId="1" xfId="0" applyNumberFormat="1" applyFont="1" applyBorder="1" applyAlignment="1">
      <alignment horizontal="center" vertical="center"/>
    </xf>
    <xf numFmtId="0" fontId="13" fillId="0" borderId="14" xfId="0" applyFont="1" applyBorder="1" applyAlignment="1">
      <alignment horizontal="center" vertical="center" shrinkToFit="1"/>
    </xf>
    <xf numFmtId="0" fontId="13" fillId="0" borderId="20" xfId="0" applyFont="1" applyBorder="1" applyAlignment="1">
      <alignment horizontal="center" vertical="center" shrinkToFit="1"/>
    </xf>
    <xf numFmtId="0" fontId="13" fillId="0" borderId="13" xfId="0" applyFont="1" applyBorder="1" applyAlignment="1">
      <alignment horizontal="center" vertical="center" shrinkToFit="1"/>
    </xf>
    <xf numFmtId="0" fontId="13" fillId="0" borderId="35" xfId="0" applyFont="1" applyBorder="1" applyAlignment="1">
      <alignment horizontal="center" vertical="center" shrinkToFit="1"/>
    </xf>
    <xf numFmtId="0" fontId="13" fillId="0" borderId="0" xfId="0" applyFont="1" applyAlignment="1">
      <alignment vertical="top" wrapText="1"/>
    </xf>
    <xf numFmtId="49" fontId="15" fillId="0" borderId="43" xfId="0" applyNumberFormat="1" applyFont="1" applyBorder="1" applyAlignment="1">
      <alignment horizontal="center" vertical="center"/>
    </xf>
    <xf numFmtId="49" fontId="15" fillId="0" borderId="44" xfId="0" applyNumberFormat="1" applyFont="1" applyBorder="1" applyAlignment="1">
      <alignment horizontal="center" vertical="center"/>
    </xf>
    <xf numFmtId="49" fontId="15" fillId="0" borderId="39" xfId="0" applyNumberFormat="1" applyFont="1" applyBorder="1" applyAlignment="1">
      <alignment horizontal="center" vertical="center"/>
    </xf>
    <xf numFmtId="49" fontId="15" fillId="0" borderId="26" xfId="0" applyNumberFormat="1" applyFont="1" applyBorder="1" applyAlignment="1">
      <alignment horizontal="center" vertical="center"/>
    </xf>
    <xf numFmtId="49" fontId="15" fillId="0" borderId="42" xfId="0" applyNumberFormat="1" applyFont="1" applyBorder="1" applyAlignment="1">
      <alignment horizontal="center" vertical="center"/>
    </xf>
    <xf numFmtId="49" fontId="15" fillId="0" borderId="28" xfId="0" applyNumberFormat="1" applyFont="1" applyBorder="1" applyAlignment="1">
      <alignment horizontal="center" vertical="center"/>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6" fillId="0" borderId="0" xfId="0" applyFont="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2" fillId="0" borderId="6" xfId="0" applyFont="1" applyBorder="1" applyAlignment="1">
      <alignment horizontal="left" vertical="center" wrapText="1"/>
    </xf>
    <xf numFmtId="0" fontId="13" fillId="0" borderId="18" xfId="0" applyFont="1" applyBorder="1" applyAlignment="1">
      <alignment horizontal="center" vertical="center" shrinkToFit="1"/>
    </xf>
    <xf numFmtId="0" fontId="13" fillId="0" borderId="19" xfId="0" applyFont="1" applyBorder="1" applyAlignment="1">
      <alignment horizontal="center" vertical="center" shrinkToFit="1"/>
    </xf>
    <xf numFmtId="0" fontId="13" fillId="0" borderId="17" xfId="0" applyFont="1" applyBorder="1" applyAlignment="1">
      <alignment horizontal="center" vertical="center"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18" xfId="0" applyFont="1" applyBorder="1" applyAlignment="1">
      <alignment vertical="center" shrinkToFit="1"/>
    </xf>
    <xf numFmtId="0" fontId="13" fillId="0" borderId="19" xfId="0" applyFont="1" applyBorder="1" applyAlignment="1">
      <alignment vertical="center" shrinkToFit="1"/>
    </xf>
    <xf numFmtId="0" fontId="13" fillId="0" borderId="17" xfId="0" applyFont="1" applyBorder="1" applyAlignment="1">
      <alignment vertical="center" shrinkToFit="1"/>
    </xf>
    <xf numFmtId="0" fontId="13" fillId="0" borderId="32" xfId="0" applyFont="1" applyBorder="1" applyAlignment="1">
      <alignment vertical="center" shrinkToFit="1"/>
    </xf>
    <xf numFmtId="0" fontId="13" fillId="0" borderId="33" xfId="0" applyFont="1" applyBorder="1" applyAlignment="1">
      <alignment vertical="center" shrinkToFit="1"/>
    </xf>
    <xf numFmtId="0" fontId="13" fillId="0" borderId="34" xfId="0" applyFont="1" applyBorder="1" applyAlignment="1">
      <alignment vertical="center" shrinkToFi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13" fillId="0" borderId="29" xfId="0" applyFont="1" applyBorder="1" applyAlignment="1">
      <alignment vertical="center" shrinkToFit="1"/>
    </xf>
    <xf numFmtId="0" fontId="13" fillId="0" borderId="31" xfId="0" applyFont="1" applyBorder="1" applyAlignment="1">
      <alignment vertical="center" shrinkToFit="1"/>
    </xf>
    <xf numFmtId="0" fontId="13" fillId="0" borderId="30" xfId="0" applyFont="1" applyBorder="1" applyAlignment="1">
      <alignment vertical="center" shrinkToFit="1"/>
    </xf>
    <xf numFmtId="0" fontId="13" fillId="0" borderId="0" xfId="0" applyFont="1" applyAlignment="1">
      <alignment vertical="center" wrapText="1"/>
    </xf>
    <xf numFmtId="0" fontId="13" fillId="0" borderId="29" xfId="0" applyFont="1" applyBorder="1" applyAlignment="1">
      <alignment horizontal="center" vertical="center" shrinkToFit="1"/>
    </xf>
    <xf numFmtId="0" fontId="13" fillId="0" borderId="31" xfId="0" applyFont="1" applyBorder="1" applyAlignment="1">
      <alignment horizontal="center" vertical="center" shrinkToFit="1"/>
    </xf>
    <xf numFmtId="0" fontId="13" fillId="0" borderId="30" xfId="0" applyFont="1" applyBorder="1" applyAlignment="1">
      <alignment horizontal="center" vertical="center" shrinkToFit="1"/>
    </xf>
    <xf numFmtId="0" fontId="13" fillId="0" borderId="29" xfId="0" applyFont="1" applyBorder="1" applyAlignment="1">
      <alignment horizontal="left" vertical="center" shrinkToFit="1"/>
    </xf>
    <xf numFmtId="0" fontId="13" fillId="0" borderId="31" xfId="0" applyFont="1" applyBorder="1" applyAlignment="1">
      <alignment horizontal="left" vertical="center" shrinkToFit="1"/>
    </xf>
    <xf numFmtId="0" fontId="13" fillId="0" borderId="30" xfId="0" applyFont="1" applyBorder="1" applyAlignment="1">
      <alignment horizontal="left" vertical="center" shrinkToFit="1"/>
    </xf>
    <xf numFmtId="0" fontId="15" fillId="0" borderId="40" xfId="0" applyFont="1" applyBorder="1" applyAlignment="1">
      <alignment vertical="center" wrapText="1"/>
    </xf>
    <xf numFmtId="0" fontId="15" fillId="0" borderId="41" xfId="0" applyFont="1" applyBorder="1" applyAlignment="1">
      <alignment vertical="center" wrapText="1"/>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5" fillId="0" borderId="27" xfId="0" applyFont="1" applyBorder="1" applyAlignment="1">
      <alignment vertical="center" wrapText="1"/>
    </xf>
    <xf numFmtId="0" fontId="13" fillId="0" borderId="18" xfId="0" applyFont="1" applyBorder="1" applyAlignment="1">
      <alignment horizontal="left" vertical="center" shrinkToFit="1"/>
    </xf>
    <xf numFmtId="0" fontId="13" fillId="0" borderId="19" xfId="0" applyFont="1" applyBorder="1" applyAlignment="1">
      <alignment horizontal="left" vertical="center" shrinkToFit="1"/>
    </xf>
    <xf numFmtId="0" fontId="13" fillId="0" borderId="17" xfId="0" applyFont="1" applyBorder="1" applyAlignment="1">
      <alignment horizontal="left" vertical="center" shrinkToFit="1"/>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2" xfId="0" applyFont="1" applyBorder="1" applyAlignment="1">
      <alignment vertical="center" wrapText="1" shrinkToFit="1"/>
    </xf>
    <xf numFmtId="0" fontId="13" fillId="0" borderId="3" xfId="0" applyFont="1" applyBorder="1" applyAlignment="1">
      <alignment vertical="center" wrapText="1" shrinkToFit="1"/>
    </xf>
    <xf numFmtId="0" fontId="13" fillId="0" borderId="4" xfId="0" applyFont="1" applyBorder="1" applyAlignment="1">
      <alignment vertical="center" wrapText="1" shrinkToFit="1"/>
    </xf>
    <xf numFmtId="0" fontId="13" fillId="0" borderId="32" xfId="0" applyFont="1" applyBorder="1" applyAlignment="1">
      <alignment horizontal="center" vertical="center" shrinkToFit="1"/>
    </xf>
    <xf numFmtId="0" fontId="13" fillId="0" borderId="33" xfId="0" applyFont="1" applyBorder="1" applyAlignment="1">
      <alignment horizontal="center" vertical="center" shrinkToFit="1"/>
    </xf>
    <xf numFmtId="0" fontId="13" fillId="0" borderId="34" xfId="0" applyFont="1" applyBorder="1" applyAlignment="1">
      <alignment horizontal="center" vertical="center" shrinkToFit="1"/>
    </xf>
    <xf numFmtId="0" fontId="19" fillId="0" borderId="2" xfId="0" applyFont="1" applyBorder="1" applyAlignment="1">
      <alignment horizontal="center" vertical="center" shrinkToFit="1"/>
    </xf>
    <xf numFmtId="0" fontId="19"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4" xfId="0" applyFont="1" applyFill="1" applyBorder="1" applyAlignment="1">
      <alignment horizontal="center" vertical="center"/>
    </xf>
    <xf numFmtId="0" fontId="12" fillId="0" borderId="0" xfId="0" applyFont="1" applyAlignment="1">
      <alignment horizontal="left" vertical="center" wrapText="1"/>
    </xf>
    <xf numFmtId="49" fontId="15" fillId="0" borderId="32" xfId="0" applyNumberFormat="1" applyFont="1" applyBorder="1" applyAlignment="1">
      <alignment horizontal="left" vertical="center" wrapText="1"/>
    </xf>
    <xf numFmtId="49" fontId="15" fillId="0" borderId="33" xfId="0" applyNumberFormat="1" applyFont="1" applyBorder="1" applyAlignment="1">
      <alignment horizontal="left" vertical="center"/>
    </xf>
    <xf numFmtId="49" fontId="15" fillId="0" borderId="34" xfId="0" applyNumberFormat="1" applyFont="1" applyBorder="1" applyAlignment="1">
      <alignment horizontal="left" vertical="center"/>
    </xf>
    <xf numFmtId="49" fontId="15" fillId="0" borderId="29" xfId="0" applyNumberFormat="1" applyFont="1" applyBorder="1" applyAlignment="1">
      <alignment horizontal="left" vertical="center" wrapText="1"/>
    </xf>
    <xf numFmtId="49" fontId="15" fillId="0" borderId="31" xfId="0" applyNumberFormat="1" applyFont="1" applyBorder="1" applyAlignment="1">
      <alignment horizontal="left" vertical="center"/>
    </xf>
    <xf numFmtId="49" fontId="15" fillId="0" borderId="30" xfId="0" applyNumberFormat="1" applyFont="1" applyBorder="1" applyAlignment="1">
      <alignment horizontal="left" vertical="center"/>
    </xf>
    <xf numFmtId="49" fontId="15" fillId="0" borderId="18" xfId="0" applyNumberFormat="1" applyFont="1" applyBorder="1" applyAlignment="1">
      <alignment horizontal="left" vertical="center" wrapText="1"/>
    </xf>
    <xf numFmtId="49" fontId="15" fillId="0" borderId="19" xfId="0" applyNumberFormat="1" applyFont="1" applyBorder="1" applyAlignment="1">
      <alignment horizontal="left" vertical="center"/>
    </xf>
    <xf numFmtId="49" fontId="15"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10" fillId="0" borderId="0" xfId="0" applyFont="1" applyAlignment="1">
      <alignment horizontal="lef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6" fillId="0" borderId="0" xfId="0" applyFont="1" applyAlignment="1">
      <alignment horizontal="center" vertical="center"/>
    </xf>
    <xf numFmtId="0" fontId="17" fillId="0" borderId="2" xfId="0" applyFont="1" applyBorder="1" applyAlignment="1">
      <alignment vertical="center" shrinkToFit="1"/>
    </xf>
    <xf numFmtId="0" fontId="17" fillId="0" borderId="3" xfId="0" applyFont="1" applyBorder="1" applyAlignment="1">
      <alignment vertical="center" shrinkToFit="1"/>
    </xf>
    <xf numFmtId="0" fontId="17"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7" fillId="0" borderId="2" xfId="0" applyFont="1" applyBorder="1" applyAlignment="1">
      <alignment horizontal="left" vertical="center"/>
    </xf>
    <xf numFmtId="0" fontId="18" fillId="0" borderId="3" xfId="0" applyFont="1" applyBorder="1">
      <alignment vertical="center"/>
    </xf>
    <xf numFmtId="0" fontId="18" fillId="0" borderId="4" xfId="0" applyFont="1" applyBorder="1">
      <alignmen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3" xfId="0" applyFont="1" applyBorder="1" applyAlignment="1">
      <alignment horizontal="center" vertical="center"/>
    </xf>
    <xf numFmtId="0" fontId="2" fillId="0" borderId="16" xfId="0" applyFont="1" applyBorder="1" applyAlignment="1">
      <alignment vertical="center" wrapText="1"/>
    </xf>
    <xf numFmtId="0" fontId="2" fillId="0" borderId="17" xfId="0" applyFont="1" applyBorder="1" applyAlignment="1">
      <alignment vertical="center" wrapText="1"/>
    </xf>
    <xf numFmtId="0" fontId="17" fillId="0" borderId="3" xfId="0" applyFont="1" applyBorder="1" applyAlignment="1">
      <alignment horizontal="left" vertical="center"/>
    </xf>
    <xf numFmtId="0" fontId="17"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zoomScaleNormal="100" zoomScaleSheetLayoutView="100" workbookViewId="0">
      <selection activeCell="J31" sqref="J31"/>
    </sheetView>
  </sheetViews>
  <sheetFormatPr defaultColWidth="9" defaultRowHeight="18.75" customHeight="1"/>
  <cols>
    <col min="1" max="1" width="2.5" style="59" customWidth="1"/>
    <col min="2" max="2" width="16.5" style="59" customWidth="1"/>
    <col min="3" max="21" width="5.625" style="59" customWidth="1"/>
    <col min="22" max="22" width="9" style="1"/>
    <col min="23" max="23" width="3.625" style="1" customWidth="1"/>
    <col min="24" max="24" width="48.625" style="1" hidden="1" customWidth="1"/>
    <col min="25" max="16384" width="9" style="1"/>
  </cols>
  <sheetData>
    <row r="1" spans="1:24" ht="18.600000000000001" customHeight="1">
      <c r="T1" s="160" t="s">
        <v>12</v>
      </c>
      <c r="U1" s="160"/>
      <c r="V1" s="2" t="s">
        <v>100</v>
      </c>
    </row>
    <row r="2" spans="1:24" ht="18.75" customHeight="1">
      <c r="B2" s="76" t="s">
        <v>99</v>
      </c>
      <c r="C2" s="113" t="s">
        <v>136</v>
      </c>
      <c r="D2" s="114"/>
      <c r="E2" s="114"/>
      <c r="F2" s="114"/>
      <c r="G2" s="114"/>
      <c r="H2" s="114"/>
      <c r="I2" s="114"/>
      <c r="J2" s="115"/>
      <c r="K2" s="77"/>
      <c r="L2" s="62"/>
      <c r="M2" s="62"/>
      <c r="N2" s="62"/>
      <c r="O2" s="62"/>
      <c r="P2" s="62"/>
      <c r="Q2" s="62"/>
      <c r="R2" s="62"/>
      <c r="S2" s="62"/>
      <c r="T2" s="62"/>
      <c r="U2" s="62"/>
    </row>
    <row r="3" spans="1:24" ht="18.75" customHeight="1">
      <c r="B3" s="76" t="s">
        <v>94</v>
      </c>
      <c r="C3" s="161" t="s">
        <v>155</v>
      </c>
      <c r="D3" s="162"/>
      <c r="E3" s="162"/>
      <c r="F3" s="162"/>
      <c r="G3" s="162"/>
      <c r="H3" s="162"/>
      <c r="I3" s="162"/>
      <c r="J3" s="163"/>
      <c r="K3" s="77"/>
      <c r="L3" s="62"/>
      <c r="M3" s="62"/>
      <c r="N3" s="62"/>
      <c r="O3" s="62"/>
      <c r="P3" s="62"/>
      <c r="Q3" s="62"/>
      <c r="R3" s="62"/>
      <c r="S3" s="62"/>
      <c r="T3" s="62"/>
      <c r="U3" s="62"/>
    </row>
    <row r="4" spans="1:24" ht="15" customHeight="1">
      <c r="L4" s="77"/>
      <c r="M4" s="63"/>
      <c r="N4" s="63"/>
      <c r="O4" s="63"/>
      <c r="P4" s="63"/>
      <c r="Q4" s="63"/>
      <c r="R4" s="63"/>
      <c r="S4" s="63"/>
      <c r="T4" s="63"/>
      <c r="U4" s="63"/>
    </row>
    <row r="5" spans="1:24" ht="18" customHeight="1">
      <c r="A5" s="94" t="s">
        <v>38</v>
      </c>
      <c r="B5" s="94"/>
      <c r="C5" s="94"/>
      <c r="D5" s="94"/>
      <c r="E5" s="94"/>
      <c r="F5" s="94"/>
      <c r="G5" s="94"/>
      <c r="H5" s="94"/>
      <c r="I5" s="94"/>
      <c r="J5" s="94"/>
      <c r="K5" s="94"/>
      <c r="L5" s="94"/>
      <c r="M5" s="94"/>
      <c r="N5" s="94"/>
      <c r="O5" s="94"/>
      <c r="P5" s="94"/>
      <c r="Q5" s="94"/>
      <c r="R5" s="94"/>
      <c r="S5" s="94"/>
      <c r="T5" s="94"/>
      <c r="U5" s="94"/>
    </row>
    <row r="6" spans="1:24" ht="15" customHeight="1">
      <c r="B6" s="64"/>
      <c r="C6" s="64"/>
      <c r="D6" s="64"/>
      <c r="E6" s="64"/>
      <c r="F6" s="64"/>
      <c r="G6" s="64"/>
      <c r="H6" s="64"/>
      <c r="I6" s="64"/>
      <c r="J6" s="64"/>
      <c r="K6" s="64"/>
      <c r="L6" s="64"/>
      <c r="M6" s="64"/>
      <c r="N6" s="64"/>
      <c r="O6" s="64"/>
      <c r="P6" s="64"/>
      <c r="Q6" s="64"/>
      <c r="R6" s="64"/>
      <c r="S6" s="64"/>
      <c r="T6" s="64"/>
      <c r="U6" s="64"/>
    </row>
    <row r="7" spans="1:24" ht="15" customHeight="1">
      <c r="A7" s="59" t="s">
        <v>131</v>
      </c>
      <c r="B7" s="64"/>
      <c r="C7" s="64"/>
      <c r="D7" s="64"/>
      <c r="E7" s="64"/>
      <c r="F7" s="58"/>
      <c r="G7" s="58"/>
      <c r="H7" s="58"/>
      <c r="I7" s="58"/>
      <c r="J7" s="58"/>
      <c r="K7" s="58"/>
      <c r="L7" s="177" t="s">
        <v>137</v>
      </c>
      <c r="M7" s="178"/>
      <c r="N7" s="178"/>
      <c r="O7" s="178"/>
      <c r="P7" s="178"/>
      <c r="Q7" s="178"/>
      <c r="R7" s="178"/>
      <c r="S7" s="178"/>
      <c r="T7" s="178"/>
      <c r="U7" s="179"/>
    </row>
    <row r="8" spans="1:24" ht="6" customHeight="1">
      <c r="B8" s="64"/>
      <c r="C8" s="64"/>
      <c r="D8" s="64"/>
      <c r="E8" s="64"/>
      <c r="F8" s="64"/>
      <c r="G8" s="64"/>
      <c r="H8" s="64"/>
      <c r="I8" s="64"/>
      <c r="J8" s="64"/>
      <c r="K8" s="64"/>
      <c r="L8" s="64"/>
      <c r="M8" s="64"/>
      <c r="N8" s="64"/>
      <c r="O8" s="64"/>
      <c r="P8" s="64"/>
      <c r="Q8" s="64"/>
      <c r="R8" s="64"/>
      <c r="S8" s="64"/>
      <c r="T8" s="64"/>
      <c r="U8" s="64"/>
    </row>
    <row r="9" spans="1:24" ht="18" customHeight="1">
      <c r="A9" s="59" t="s">
        <v>132</v>
      </c>
      <c r="C9" s="64"/>
      <c r="D9" s="64"/>
      <c r="K9" s="77"/>
      <c r="L9" s="58"/>
      <c r="M9" s="58"/>
      <c r="N9" s="58"/>
      <c r="O9" s="58"/>
      <c r="P9" s="58"/>
      <c r="Q9" s="58"/>
      <c r="R9" s="58"/>
      <c r="S9" s="58"/>
      <c r="T9" s="58"/>
      <c r="U9" s="58"/>
    </row>
    <row r="10" spans="1:24" ht="6" customHeight="1">
      <c r="B10" s="64"/>
      <c r="C10" s="64"/>
      <c r="D10" s="64"/>
      <c r="E10" s="64"/>
      <c r="F10" s="64"/>
      <c r="G10" s="64"/>
      <c r="H10" s="64"/>
      <c r="I10" s="64"/>
      <c r="J10" s="64"/>
      <c r="K10" s="64"/>
      <c r="L10" s="65"/>
      <c r="M10" s="64"/>
      <c r="N10" s="64"/>
      <c r="O10" s="64"/>
      <c r="P10" s="64"/>
      <c r="Q10" s="64"/>
      <c r="R10" s="64"/>
      <c r="S10" s="64"/>
      <c r="T10" s="64"/>
      <c r="U10" s="64"/>
    </row>
    <row r="11" spans="1:24" ht="18" customHeight="1">
      <c r="B11" s="180"/>
      <c r="C11" s="181"/>
      <c r="D11" s="181"/>
      <c r="E11" s="181"/>
      <c r="F11" s="181"/>
      <c r="G11" s="181"/>
      <c r="H11" s="181"/>
      <c r="I11" s="181"/>
      <c r="J11" s="181"/>
      <c r="K11" s="181"/>
      <c r="L11" s="181"/>
      <c r="M11" s="181"/>
      <c r="N11" s="181"/>
      <c r="O11" s="181"/>
      <c r="P11" s="181"/>
      <c r="Q11" s="181"/>
      <c r="R11" s="181"/>
      <c r="S11" s="181"/>
      <c r="T11" s="181"/>
      <c r="U11" s="182"/>
    </row>
    <row r="12" spans="1:24" ht="18" customHeight="1">
      <c r="B12" s="183"/>
      <c r="C12" s="184"/>
      <c r="D12" s="184"/>
      <c r="E12" s="184"/>
      <c r="F12" s="184"/>
      <c r="G12" s="184"/>
      <c r="H12" s="184"/>
      <c r="I12" s="184"/>
      <c r="J12" s="184"/>
      <c r="K12" s="184"/>
      <c r="L12" s="184"/>
      <c r="M12" s="184"/>
      <c r="N12" s="184"/>
      <c r="O12" s="184"/>
      <c r="P12" s="184"/>
      <c r="Q12" s="184"/>
      <c r="R12" s="184"/>
      <c r="S12" s="184"/>
      <c r="T12" s="184"/>
      <c r="U12" s="185"/>
    </row>
    <row r="13" spans="1:24" ht="6" customHeight="1">
      <c r="B13" s="64"/>
      <c r="C13" s="64"/>
      <c r="D13" s="64"/>
      <c r="E13" s="64"/>
      <c r="F13" s="64"/>
      <c r="G13" s="64"/>
      <c r="H13" s="64"/>
      <c r="I13" s="64"/>
      <c r="J13" s="64"/>
      <c r="K13" s="64"/>
      <c r="L13" s="65"/>
      <c r="M13" s="64"/>
      <c r="N13" s="64"/>
      <c r="O13" s="64"/>
      <c r="P13" s="64"/>
      <c r="Q13" s="64"/>
      <c r="R13" s="64"/>
      <c r="S13" s="64"/>
      <c r="T13" s="64"/>
      <c r="U13" s="64"/>
    </row>
    <row r="14" spans="1:24" ht="18" customHeight="1">
      <c r="A14" s="59" t="s">
        <v>101</v>
      </c>
      <c r="B14" s="64"/>
      <c r="C14" s="64"/>
      <c r="D14" s="64"/>
      <c r="E14" s="77"/>
      <c r="F14" s="77"/>
      <c r="G14" s="77"/>
      <c r="H14" s="77"/>
      <c r="I14" s="77"/>
      <c r="J14" s="77"/>
      <c r="K14" s="77"/>
      <c r="L14" s="66"/>
      <c r="M14" s="66"/>
      <c r="N14" s="66"/>
      <c r="O14" s="66"/>
      <c r="P14" s="66"/>
      <c r="Q14" s="66"/>
      <c r="R14" s="66"/>
      <c r="S14" s="66"/>
      <c r="T14" s="66"/>
      <c r="U14" s="66"/>
    </row>
    <row r="15" spans="1:24" ht="18" customHeight="1">
      <c r="B15" s="143" t="s">
        <v>167</v>
      </c>
      <c r="C15" s="144"/>
      <c r="D15" s="144"/>
      <c r="E15" s="144"/>
      <c r="F15" s="144"/>
      <c r="G15" s="144"/>
      <c r="H15" s="144"/>
      <c r="I15" s="144"/>
      <c r="J15" s="144"/>
      <c r="K15" s="144"/>
      <c r="L15" s="144"/>
      <c r="M15" s="144"/>
      <c r="N15" s="144"/>
      <c r="O15" s="144"/>
      <c r="P15" s="144"/>
      <c r="Q15" s="144"/>
      <c r="R15" s="144"/>
      <c r="S15" s="144"/>
      <c r="T15" s="144"/>
      <c r="U15" s="145"/>
      <c r="X15" s="1" t="s">
        <v>95</v>
      </c>
    </row>
    <row r="16" spans="1:24" ht="18" customHeight="1">
      <c r="B16" s="146"/>
      <c r="C16" s="147"/>
      <c r="D16" s="147"/>
      <c r="E16" s="147"/>
      <c r="F16" s="147"/>
      <c r="G16" s="147"/>
      <c r="H16" s="147"/>
      <c r="I16" s="147"/>
      <c r="J16" s="147"/>
      <c r="K16" s="147"/>
      <c r="L16" s="147"/>
      <c r="M16" s="147"/>
      <c r="N16" s="147"/>
      <c r="O16" s="147"/>
      <c r="P16" s="147"/>
      <c r="Q16" s="147"/>
      <c r="R16" s="147"/>
      <c r="S16" s="147"/>
      <c r="T16" s="147"/>
      <c r="U16" s="148"/>
      <c r="X16" s="1" t="s">
        <v>115</v>
      </c>
    </row>
    <row r="17" spans="1:24" ht="18" customHeight="1">
      <c r="B17" s="146"/>
      <c r="C17" s="147"/>
      <c r="D17" s="147"/>
      <c r="E17" s="147"/>
      <c r="F17" s="147"/>
      <c r="G17" s="147"/>
      <c r="H17" s="147"/>
      <c r="I17" s="147"/>
      <c r="J17" s="147"/>
      <c r="K17" s="147"/>
      <c r="L17" s="147"/>
      <c r="M17" s="147"/>
      <c r="N17" s="147"/>
      <c r="O17" s="147"/>
      <c r="P17" s="147"/>
      <c r="Q17" s="147"/>
      <c r="R17" s="147"/>
      <c r="S17" s="147"/>
      <c r="T17" s="147"/>
      <c r="U17" s="148"/>
      <c r="X17" s="1" t="s">
        <v>116</v>
      </c>
    </row>
    <row r="18" spans="1:24" ht="18" customHeight="1">
      <c r="B18" s="146"/>
      <c r="C18" s="147"/>
      <c r="D18" s="147"/>
      <c r="E18" s="147"/>
      <c r="F18" s="147"/>
      <c r="G18" s="147"/>
      <c r="H18" s="147"/>
      <c r="I18" s="147"/>
      <c r="J18" s="147"/>
      <c r="K18" s="147"/>
      <c r="L18" s="147"/>
      <c r="M18" s="147"/>
      <c r="N18" s="147"/>
      <c r="O18" s="147"/>
      <c r="P18" s="147"/>
      <c r="Q18" s="147"/>
      <c r="R18" s="147"/>
      <c r="S18" s="147"/>
      <c r="T18" s="147"/>
      <c r="U18" s="148"/>
      <c r="X18" s="1" t="s">
        <v>117</v>
      </c>
    </row>
    <row r="19" spans="1:24" ht="18" customHeight="1">
      <c r="B19" s="146"/>
      <c r="C19" s="147"/>
      <c r="D19" s="147"/>
      <c r="E19" s="147"/>
      <c r="F19" s="147"/>
      <c r="G19" s="147"/>
      <c r="H19" s="147"/>
      <c r="I19" s="147"/>
      <c r="J19" s="147"/>
      <c r="K19" s="147"/>
      <c r="L19" s="147"/>
      <c r="M19" s="147"/>
      <c r="N19" s="147"/>
      <c r="O19" s="147"/>
      <c r="P19" s="147"/>
      <c r="Q19" s="147"/>
      <c r="R19" s="147"/>
      <c r="S19" s="147"/>
      <c r="T19" s="147"/>
      <c r="U19" s="148"/>
    </row>
    <row r="20" spans="1:24" ht="18" customHeight="1">
      <c r="B20" s="149"/>
      <c r="C20" s="150"/>
      <c r="D20" s="150"/>
      <c r="E20" s="150"/>
      <c r="F20" s="150"/>
      <c r="G20" s="150"/>
      <c r="H20" s="150"/>
      <c r="I20" s="150"/>
      <c r="J20" s="150"/>
      <c r="K20" s="150"/>
      <c r="L20" s="150"/>
      <c r="M20" s="150"/>
      <c r="N20" s="150"/>
      <c r="O20" s="150"/>
      <c r="P20" s="150"/>
      <c r="Q20" s="150"/>
      <c r="R20" s="150"/>
      <c r="S20" s="150"/>
      <c r="T20" s="150"/>
      <c r="U20" s="151"/>
    </row>
    <row r="21" spans="1:24" ht="7.5" customHeight="1">
      <c r="B21" s="64"/>
      <c r="C21" s="64"/>
      <c r="D21" s="64"/>
      <c r="E21" s="64"/>
      <c r="F21" s="64"/>
      <c r="G21" s="64"/>
      <c r="H21" s="64"/>
      <c r="I21" s="64"/>
      <c r="J21" s="64"/>
      <c r="K21" s="64"/>
      <c r="L21" s="64"/>
      <c r="M21" s="64"/>
      <c r="N21" s="64"/>
      <c r="O21" s="64"/>
      <c r="P21" s="64"/>
      <c r="Q21" s="64"/>
      <c r="R21" s="64"/>
      <c r="S21" s="64"/>
      <c r="T21" s="64"/>
      <c r="U21" s="64"/>
    </row>
    <row r="22" spans="1:24" ht="20.100000000000001" customHeight="1">
      <c r="B22" s="59" t="s">
        <v>133</v>
      </c>
      <c r="E22" s="67">
        <v>5</v>
      </c>
      <c r="F22" s="59" t="s">
        <v>113</v>
      </c>
      <c r="H22" s="68">
        <v>10</v>
      </c>
      <c r="I22" s="64" t="s">
        <v>114</v>
      </c>
      <c r="J22" s="64"/>
      <c r="K22" s="77"/>
      <c r="M22" s="77" t="s">
        <v>110</v>
      </c>
      <c r="N22" s="174" t="s">
        <v>117</v>
      </c>
      <c r="O22" s="175"/>
      <c r="P22" s="175"/>
      <c r="Q22" s="175"/>
      <c r="R22" s="175"/>
      <c r="S22" s="175"/>
      <c r="T22" s="175"/>
      <c r="U22" s="176"/>
    </row>
    <row r="23" spans="1:24" ht="7.5" customHeight="1">
      <c r="B23" s="64"/>
      <c r="C23" s="64"/>
      <c r="D23" s="64"/>
      <c r="E23" s="64"/>
      <c r="F23" s="64"/>
      <c r="G23" s="64"/>
      <c r="H23" s="64"/>
      <c r="I23" s="64"/>
      <c r="J23" s="64"/>
      <c r="K23" s="64"/>
      <c r="L23" s="64"/>
      <c r="M23" s="64"/>
      <c r="N23" s="64"/>
      <c r="O23" s="64"/>
      <c r="P23" s="64"/>
      <c r="Q23" s="64"/>
      <c r="R23" s="64"/>
      <c r="S23" s="64"/>
      <c r="T23" s="64"/>
      <c r="U23" s="64"/>
    </row>
    <row r="24" spans="1:24" ht="18" customHeight="1">
      <c r="A24" s="127" t="s">
        <v>102</v>
      </c>
      <c r="B24" s="127"/>
      <c r="C24" s="127"/>
      <c r="D24" s="127"/>
      <c r="E24" s="127"/>
      <c r="F24" s="127"/>
      <c r="G24" s="127"/>
      <c r="H24" s="127"/>
      <c r="I24" s="127"/>
      <c r="J24" s="127"/>
      <c r="K24" s="127"/>
      <c r="L24" s="127"/>
      <c r="M24" s="127"/>
      <c r="N24" s="127"/>
      <c r="O24" s="127"/>
      <c r="P24" s="127"/>
      <c r="Q24" s="127"/>
      <c r="R24" s="127"/>
      <c r="S24" s="127"/>
      <c r="T24" s="127"/>
      <c r="U24" s="127"/>
    </row>
    <row r="25" spans="1:24" ht="18" customHeight="1">
      <c r="A25" s="127"/>
      <c r="B25" s="127"/>
      <c r="C25" s="127"/>
      <c r="D25" s="127"/>
      <c r="E25" s="127"/>
      <c r="F25" s="127"/>
      <c r="G25" s="127"/>
      <c r="H25" s="127"/>
      <c r="I25" s="127"/>
      <c r="J25" s="127"/>
      <c r="K25" s="127"/>
      <c r="L25" s="127"/>
      <c r="M25" s="127"/>
      <c r="N25" s="127"/>
      <c r="O25" s="127"/>
      <c r="P25" s="127"/>
      <c r="Q25" s="127"/>
      <c r="R25" s="127"/>
      <c r="S25" s="127"/>
      <c r="T25" s="127"/>
      <c r="U25" s="127"/>
    </row>
    <row r="26" spans="1:24" ht="18" customHeight="1">
      <c r="B26" s="113" t="s">
        <v>52</v>
      </c>
      <c r="C26" s="114"/>
      <c r="D26" s="114"/>
      <c r="E26" s="114"/>
      <c r="F26" s="115"/>
      <c r="G26" s="78" t="s">
        <v>78</v>
      </c>
      <c r="H26" s="79" t="s">
        <v>81</v>
      </c>
      <c r="I26" s="80" t="s">
        <v>55</v>
      </c>
      <c r="J26" s="80" t="s">
        <v>58</v>
      </c>
      <c r="K26" s="113" t="s">
        <v>52</v>
      </c>
      <c r="L26" s="114"/>
      <c r="M26" s="114"/>
      <c r="N26" s="114"/>
      <c r="O26" s="114"/>
      <c r="P26" s="114"/>
      <c r="Q26" s="115"/>
      <c r="R26" s="78" t="s">
        <v>78</v>
      </c>
      <c r="S26" s="79" t="s">
        <v>81</v>
      </c>
      <c r="T26" s="80" t="s">
        <v>55</v>
      </c>
      <c r="U26" s="80" t="s">
        <v>58</v>
      </c>
    </row>
    <row r="27" spans="1:24" ht="18" customHeight="1">
      <c r="B27" s="124" t="s">
        <v>138</v>
      </c>
      <c r="C27" s="125"/>
      <c r="D27" s="125"/>
      <c r="E27" s="125"/>
      <c r="F27" s="126"/>
      <c r="G27" s="81">
        <v>2</v>
      </c>
      <c r="H27" s="81" t="s">
        <v>139</v>
      </c>
      <c r="I27" s="81" t="s">
        <v>139</v>
      </c>
      <c r="J27" s="81" t="s">
        <v>139</v>
      </c>
      <c r="K27" s="124"/>
      <c r="L27" s="125"/>
      <c r="M27" s="125"/>
      <c r="N27" s="125"/>
      <c r="O27" s="125"/>
      <c r="P27" s="125"/>
      <c r="Q27" s="126"/>
      <c r="R27" s="81"/>
      <c r="S27" s="81"/>
      <c r="T27" s="81"/>
      <c r="U27" s="81"/>
    </row>
    <row r="28" spans="1:24" ht="18" customHeight="1">
      <c r="B28" s="116" t="s">
        <v>143</v>
      </c>
      <c r="C28" s="117"/>
      <c r="D28" s="117"/>
      <c r="E28" s="117"/>
      <c r="F28" s="118"/>
      <c r="G28" s="82">
        <v>2</v>
      </c>
      <c r="H28" s="82" t="s">
        <v>139</v>
      </c>
      <c r="I28" s="82" t="s">
        <v>139</v>
      </c>
      <c r="J28" s="82" t="s">
        <v>139</v>
      </c>
      <c r="K28" s="116"/>
      <c r="L28" s="117"/>
      <c r="M28" s="117"/>
      <c r="N28" s="117"/>
      <c r="O28" s="117"/>
      <c r="P28" s="117"/>
      <c r="Q28" s="118"/>
      <c r="R28" s="82"/>
      <c r="S28" s="82"/>
      <c r="T28" s="82"/>
      <c r="U28" s="82"/>
    </row>
    <row r="29" spans="1:24" ht="18" customHeight="1">
      <c r="B29" s="116"/>
      <c r="C29" s="117"/>
      <c r="D29" s="117"/>
      <c r="E29" s="117"/>
      <c r="F29" s="118"/>
      <c r="G29" s="82"/>
      <c r="H29" s="82"/>
      <c r="I29" s="82"/>
      <c r="J29" s="82"/>
      <c r="K29" s="116"/>
      <c r="L29" s="117"/>
      <c r="M29" s="117"/>
      <c r="N29" s="117"/>
      <c r="O29" s="117"/>
      <c r="P29" s="117"/>
      <c r="Q29" s="118"/>
      <c r="R29" s="82"/>
      <c r="S29" s="82"/>
      <c r="T29" s="82"/>
      <c r="U29" s="82"/>
    </row>
    <row r="30" spans="1:24" ht="18" customHeight="1">
      <c r="B30" s="116"/>
      <c r="C30" s="117"/>
      <c r="D30" s="117"/>
      <c r="E30" s="117"/>
      <c r="F30" s="118"/>
      <c r="G30" s="82"/>
      <c r="H30" s="82"/>
      <c r="I30" s="82"/>
      <c r="J30" s="82"/>
      <c r="K30" s="116"/>
      <c r="L30" s="117"/>
      <c r="M30" s="117"/>
      <c r="N30" s="117"/>
      <c r="O30" s="117"/>
      <c r="P30" s="117"/>
      <c r="Q30" s="118"/>
      <c r="R30" s="82"/>
      <c r="S30" s="82"/>
      <c r="T30" s="82"/>
      <c r="U30" s="82"/>
    </row>
    <row r="31" spans="1:24" ht="18" customHeight="1">
      <c r="B31" s="116"/>
      <c r="C31" s="117"/>
      <c r="D31" s="117"/>
      <c r="E31" s="117"/>
      <c r="F31" s="118"/>
      <c r="G31" s="82"/>
      <c r="H31" s="82"/>
      <c r="I31" s="82"/>
      <c r="J31" s="82"/>
      <c r="K31" s="116"/>
      <c r="L31" s="117"/>
      <c r="M31" s="117"/>
      <c r="N31" s="117"/>
      <c r="O31" s="117"/>
      <c r="P31" s="117"/>
      <c r="Q31" s="118"/>
      <c r="R31" s="82"/>
      <c r="S31" s="82"/>
      <c r="T31" s="82"/>
      <c r="U31" s="82"/>
    </row>
    <row r="32" spans="1:24" ht="18" customHeight="1">
      <c r="A32" s="64"/>
      <c r="B32" s="116"/>
      <c r="C32" s="117"/>
      <c r="D32" s="117"/>
      <c r="E32" s="117"/>
      <c r="F32" s="118"/>
      <c r="G32" s="82"/>
      <c r="H32" s="82"/>
      <c r="I32" s="82"/>
      <c r="J32" s="82"/>
      <c r="K32" s="116"/>
      <c r="L32" s="117"/>
      <c r="M32" s="117"/>
      <c r="N32" s="117"/>
      <c r="O32" s="117"/>
      <c r="P32" s="117"/>
      <c r="Q32" s="118"/>
      <c r="R32" s="82"/>
      <c r="S32" s="82"/>
      <c r="T32" s="82"/>
      <c r="U32" s="82"/>
    </row>
    <row r="33" spans="1:21" ht="18" customHeight="1">
      <c r="A33" s="64"/>
      <c r="B33" s="119"/>
      <c r="C33" s="120"/>
      <c r="D33" s="120"/>
      <c r="E33" s="120"/>
      <c r="F33" s="121"/>
      <c r="G33" s="83"/>
      <c r="H33" s="83"/>
      <c r="I33" s="84"/>
      <c r="J33" s="84"/>
      <c r="K33" s="119"/>
      <c r="L33" s="120"/>
      <c r="M33" s="120"/>
      <c r="N33" s="120"/>
      <c r="O33" s="120"/>
      <c r="P33" s="120"/>
      <c r="Q33" s="121"/>
      <c r="R33" s="83"/>
      <c r="S33" s="83"/>
      <c r="T33" s="84"/>
      <c r="U33" s="84"/>
    </row>
    <row r="34" spans="1:21" ht="7.5" customHeight="1">
      <c r="A34" s="64"/>
      <c r="B34" s="62"/>
      <c r="C34" s="62"/>
      <c r="D34" s="62"/>
      <c r="E34" s="64"/>
      <c r="F34" s="64"/>
      <c r="G34" s="64"/>
      <c r="H34" s="64"/>
      <c r="I34" s="62"/>
      <c r="J34" s="62"/>
      <c r="K34" s="62"/>
      <c r="L34" s="62"/>
      <c r="M34" s="62"/>
      <c r="N34" s="62"/>
      <c r="O34" s="62"/>
      <c r="P34" s="62"/>
      <c r="Q34" s="62"/>
      <c r="R34" s="62"/>
      <c r="S34" s="62"/>
      <c r="T34" s="62"/>
      <c r="U34" s="64"/>
    </row>
    <row r="35" spans="1:21" ht="18" customHeight="1">
      <c r="A35" s="127" t="s">
        <v>103</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c r="B37" s="113" t="s">
        <v>52</v>
      </c>
      <c r="C37" s="114"/>
      <c r="D37" s="114"/>
      <c r="E37" s="114"/>
      <c r="F37" s="115"/>
      <c r="G37" s="78" t="s">
        <v>78</v>
      </c>
      <c r="H37" s="79" t="s">
        <v>81</v>
      </c>
      <c r="I37" s="80" t="s">
        <v>69</v>
      </c>
      <c r="J37" s="80" t="s">
        <v>70</v>
      </c>
      <c r="K37" s="113" t="s">
        <v>52</v>
      </c>
      <c r="L37" s="114"/>
      <c r="M37" s="114"/>
      <c r="N37" s="114"/>
      <c r="O37" s="114"/>
      <c r="P37" s="114"/>
      <c r="Q37" s="115"/>
      <c r="R37" s="78" t="s">
        <v>78</v>
      </c>
      <c r="S37" s="79" t="s">
        <v>81</v>
      </c>
      <c r="T37" s="80" t="s">
        <v>69</v>
      </c>
      <c r="U37" s="80" t="s">
        <v>70</v>
      </c>
    </row>
    <row r="38" spans="1:21" ht="18" customHeight="1">
      <c r="B38" s="124" t="s">
        <v>138</v>
      </c>
      <c r="C38" s="125"/>
      <c r="D38" s="125"/>
      <c r="E38" s="125"/>
      <c r="F38" s="126"/>
      <c r="G38" s="81">
        <v>2</v>
      </c>
      <c r="H38" s="81" t="s">
        <v>139</v>
      </c>
      <c r="I38" s="81" t="s">
        <v>139</v>
      </c>
      <c r="J38" s="81" t="s">
        <v>139</v>
      </c>
      <c r="K38" s="124"/>
      <c r="L38" s="125"/>
      <c r="M38" s="125"/>
      <c r="N38" s="125"/>
      <c r="O38" s="125"/>
      <c r="P38" s="125"/>
      <c r="Q38" s="126"/>
      <c r="R38" s="81"/>
      <c r="S38" s="81"/>
      <c r="T38" s="81"/>
      <c r="U38" s="81"/>
    </row>
    <row r="39" spans="1:21" ht="18" customHeight="1">
      <c r="B39" s="116" t="s">
        <v>142</v>
      </c>
      <c r="C39" s="117"/>
      <c r="D39" s="117"/>
      <c r="E39" s="117"/>
      <c r="F39" s="118"/>
      <c r="G39" s="82">
        <v>2</v>
      </c>
      <c r="H39" s="82" t="s">
        <v>139</v>
      </c>
      <c r="I39" s="82" t="s">
        <v>139</v>
      </c>
      <c r="J39" s="82" t="s">
        <v>139</v>
      </c>
      <c r="K39" s="116"/>
      <c r="L39" s="117"/>
      <c r="M39" s="117"/>
      <c r="N39" s="117"/>
      <c r="O39" s="117"/>
      <c r="P39" s="117"/>
      <c r="Q39" s="118"/>
      <c r="R39" s="82"/>
      <c r="S39" s="82"/>
      <c r="T39" s="82"/>
      <c r="U39" s="82"/>
    </row>
    <row r="40" spans="1:21" ht="18" customHeight="1">
      <c r="B40" s="116"/>
      <c r="C40" s="117"/>
      <c r="D40" s="117"/>
      <c r="E40" s="117"/>
      <c r="F40" s="118"/>
      <c r="G40" s="82"/>
      <c r="H40" s="82"/>
      <c r="I40" s="82"/>
      <c r="J40" s="82"/>
      <c r="K40" s="116"/>
      <c r="L40" s="117"/>
      <c r="M40" s="117"/>
      <c r="N40" s="117"/>
      <c r="O40" s="117"/>
      <c r="P40" s="117"/>
      <c r="Q40" s="118"/>
      <c r="R40" s="82"/>
      <c r="S40" s="82"/>
      <c r="T40" s="82"/>
      <c r="U40" s="82"/>
    </row>
    <row r="41" spans="1:21" ht="18" customHeight="1">
      <c r="B41" s="116"/>
      <c r="C41" s="117"/>
      <c r="D41" s="117"/>
      <c r="E41" s="117"/>
      <c r="F41" s="118"/>
      <c r="G41" s="82"/>
      <c r="H41" s="82"/>
      <c r="I41" s="82"/>
      <c r="J41" s="82"/>
      <c r="K41" s="116"/>
      <c r="L41" s="117"/>
      <c r="M41" s="117"/>
      <c r="N41" s="117"/>
      <c r="O41" s="117"/>
      <c r="P41" s="117"/>
      <c r="Q41" s="118"/>
      <c r="R41" s="82"/>
      <c r="S41" s="82"/>
      <c r="T41" s="82"/>
      <c r="U41" s="82"/>
    </row>
    <row r="42" spans="1:21" ht="18" customHeight="1">
      <c r="B42" s="116"/>
      <c r="C42" s="117"/>
      <c r="D42" s="117"/>
      <c r="E42" s="117"/>
      <c r="F42" s="118"/>
      <c r="G42" s="82"/>
      <c r="H42" s="82"/>
      <c r="I42" s="82"/>
      <c r="J42" s="82"/>
      <c r="K42" s="116"/>
      <c r="L42" s="117"/>
      <c r="M42" s="117"/>
      <c r="N42" s="117"/>
      <c r="O42" s="117"/>
      <c r="P42" s="117"/>
      <c r="Q42" s="118"/>
      <c r="R42" s="82"/>
      <c r="S42" s="82"/>
      <c r="T42" s="82"/>
      <c r="U42" s="82"/>
    </row>
    <row r="43" spans="1:21" ht="18" customHeight="1">
      <c r="B43" s="116"/>
      <c r="C43" s="117"/>
      <c r="D43" s="117"/>
      <c r="E43" s="117"/>
      <c r="F43" s="118"/>
      <c r="G43" s="82"/>
      <c r="H43" s="82"/>
      <c r="I43" s="82"/>
      <c r="J43" s="82"/>
      <c r="K43" s="116"/>
      <c r="L43" s="117"/>
      <c r="M43" s="117"/>
      <c r="N43" s="117"/>
      <c r="O43" s="117"/>
      <c r="P43" s="117"/>
      <c r="Q43" s="118"/>
      <c r="R43" s="82"/>
      <c r="S43" s="82"/>
      <c r="T43" s="82"/>
      <c r="U43" s="82"/>
    </row>
    <row r="44" spans="1:21" ht="18" customHeight="1">
      <c r="B44" s="119"/>
      <c r="C44" s="120"/>
      <c r="D44" s="120"/>
      <c r="E44" s="120"/>
      <c r="F44" s="121"/>
      <c r="G44" s="83"/>
      <c r="H44" s="83"/>
      <c r="I44" s="84"/>
      <c r="J44" s="84"/>
      <c r="K44" s="119"/>
      <c r="L44" s="120"/>
      <c r="M44" s="120"/>
      <c r="N44" s="120"/>
      <c r="O44" s="120"/>
      <c r="P44" s="120"/>
      <c r="Q44" s="121"/>
      <c r="R44" s="83"/>
      <c r="S44" s="83"/>
      <c r="T44" s="84"/>
      <c r="U44" s="84"/>
    </row>
    <row r="45" spans="1:21" ht="7.5" customHeight="1">
      <c r="A45" s="64"/>
      <c r="B45" s="62"/>
      <c r="C45" s="62"/>
      <c r="D45" s="62"/>
      <c r="E45" s="64"/>
      <c r="F45" s="64"/>
      <c r="G45" s="64"/>
      <c r="H45" s="64"/>
      <c r="I45" s="62"/>
      <c r="J45" s="62"/>
      <c r="K45" s="62"/>
      <c r="L45" s="62"/>
      <c r="M45" s="62"/>
      <c r="N45" s="62"/>
      <c r="O45" s="62"/>
      <c r="P45" s="62"/>
      <c r="Q45" s="62"/>
      <c r="R45" s="62"/>
      <c r="S45" s="62"/>
      <c r="T45" s="62"/>
      <c r="U45" s="64"/>
    </row>
    <row r="46" spans="1:21" ht="18" customHeight="1">
      <c r="A46" s="127" t="s">
        <v>104</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c r="B48" s="113" t="s">
        <v>52</v>
      </c>
      <c r="C48" s="114"/>
      <c r="D48" s="114"/>
      <c r="E48" s="114"/>
      <c r="F48" s="115"/>
      <c r="G48" s="78" t="s">
        <v>78</v>
      </c>
      <c r="H48" s="79" t="s">
        <v>81</v>
      </c>
      <c r="I48" s="80" t="s">
        <v>71</v>
      </c>
      <c r="J48" s="80" t="s">
        <v>72</v>
      </c>
      <c r="K48" s="113" t="s">
        <v>52</v>
      </c>
      <c r="L48" s="114"/>
      <c r="M48" s="114"/>
      <c r="N48" s="114"/>
      <c r="O48" s="114"/>
      <c r="P48" s="114"/>
      <c r="Q48" s="115"/>
      <c r="R48" s="78" t="s">
        <v>78</v>
      </c>
      <c r="S48" s="79" t="s">
        <v>81</v>
      </c>
      <c r="T48" s="80" t="s">
        <v>71</v>
      </c>
      <c r="U48" s="80" t="s">
        <v>72</v>
      </c>
    </row>
    <row r="49" spans="1:21" ht="18" customHeight="1">
      <c r="A49" s="64"/>
      <c r="B49" s="131" t="s">
        <v>157</v>
      </c>
      <c r="C49" s="132"/>
      <c r="D49" s="132"/>
      <c r="E49" s="132"/>
      <c r="F49" s="133"/>
      <c r="G49" s="81">
        <v>2</v>
      </c>
      <c r="H49" s="81" t="s">
        <v>139</v>
      </c>
      <c r="I49" s="81" t="s">
        <v>139</v>
      </c>
      <c r="J49" s="81"/>
      <c r="K49" s="124"/>
      <c r="L49" s="125"/>
      <c r="M49" s="125"/>
      <c r="N49" s="125"/>
      <c r="O49" s="125"/>
      <c r="P49" s="125"/>
      <c r="Q49" s="126"/>
      <c r="R49" s="81"/>
      <c r="S49" s="81"/>
      <c r="T49" s="81"/>
      <c r="U49" s="81"/>
    </row>
    <row r="50" spans="1:21" ht="18" customHeight="1">
      <c r="A50" s="64"/>
      <c r="B50" s="124" t="s">
        <v>140</v>
      </c>
      <c r="C50" s="125"/>
      <c r="D50" s="125"/>
      <c r="E50" s="125"/>
      <c r="F50" s="126"/>
      <c r="G50" s="82">
        <v>2</v>
      </c>
      <c r="H50" s="82" t="s">
        <v>139</v>
      </c>
      <c r="I50" s="82" t="s">
        <v>139</v>
      </c>
      <c r="J50" s="82" t="s">
        <v>139</v>
      </c>
      <c r="K50" s="116"/>
      <c r="L50" s="117"/>
      <c r="M50" s="117"/>
      <c r="N50" s="117"/>
      <c r="O50" s="117"/>
      <c r="P50" s="117"/>
      <c r="Q50" s="118"/>
      <c r="R50" s="82"/>
      <c r="S50" s="82"/>
      <c r="T50" s="82"/>
      <c r="U50" s="82"/>
    </row>
    <row r="51" spans="1:21" ht="18" customHeight="1">
      <c r="A51" s="64"/>
      <c r="B51" s="116" t="s">
        <v>141</v>
      </c>
      <c r="C51" s="117"/>
      <c r="D51" s="117"/>
      <c r="E51" s="117"/>
      <c r="F51" s="118"/>
      <c r="G51" s="82">
        <v>2</v>
      </c>
      <c r="H51" s="82" t="s">
        <v>139</v>
      </c>
      <c r="I51" s="82" t="s">
        <v>139</v>
      </c>
      <c r="J51" s="82" t="s">
        <v>139</v>
      </c>
      <c r="K51" s="116"/>
      <c r="L51" s="117"/>
      <c r="M51" s="117"/>
      <c r="N51" s="117"/>
      <c r="O51" s="117"/>
      <c r="P51" s="117"/>
      <c r="Q51" s="118"/>
      <c r="R51" s="82"/>
      <c r="S51" s="82"/>
      <c r="T51" s="82"/>
      <c r="U51" s="82"/>
    </row>
    <row r="52" spans="1:21" ht="18" customHeight="1">
      <c r="A52" s="64"/>
      <c r="B52" s="116"/>
      <c r="C52" s="117"/>
      <c r="D52" s="117"/>
      <c r="E52" s="117"/>
      <c r="F52" s="118"/>
      <c r="G52" s="82"/>
      <c r="H52" s="82"/>
      <c r="I52" s="82"/>
      <c r="J52" s="82"/>
      <c r="K52" s="116"/>
      <c r="L52" s="117"/>
      <c r="M52" s="117"/>
      <c r="N52" s="117"/>
      <c r="O52" s="117"/>
      <c r="P52" s="117"/>
      <c r="Q52" s="118"/>
      <c r="R52" s="82"/>
      <c r="S52" s="82"/>
      <c r="T52" s="82"/>
      <c r="U52" s="82"/>
    </row>
    <row r="53" spans="1:21" ht="18" customHeight="1">
      <c r="A53" s="64"/>
      <c r="B53" s="116"/>
      <c r="C53" s="117"/>
      <c r="D53" s="117"/>
      <c r="E53" s="117"/>
      <c r="F53" s="118"/>
      <c r="G53" s="82"/>
      <c r="H53" s="82"/>
      <c r="I53" s="82"/>
      <c r="J53" s="82"/>
      <c r="K53" s="116"/>
      <c r="L53" s="117"/>
      <c r="M53" s="117"/>
      <c r="N53" s="117"/>
      <c r="O53" s="117"/>
      <c r="P53" s="117"/>
      <c r="Q53" s="118"/>
      <c r="R53" s="82"/>
      <c r="S53" s="82"/>
      <c r="T53" s="82"/>
      <c r="U53" s="82"/>
    </row>
    <row r="54" spans="1:21" ht="18" customHeight="1">
      <c r="A54" s="64"/>
      <c r="B54" s="116"/>
      <c r="C54" s="117"/>
      <c r="D54" s="117"/>
      <c r="E54" s="117"/>
      <c r="F54" s="118"/>
      <c r="G54" s="82"/>
      <c r="H54" s="82"/>
      <c r="I54" s="82"/>
      <c r="J54" s="82"/>
      <c r="K54" s="116"/>
      <c r="L54" s="117"/>
      <c r="M54" s="117"/>
      <c r="N54" s="117"/>
      <c r="O54" s="117"/>
      <c r="P54" s="117"/>
      <c r="Q54" s="118"/>
      <c r="R54" s="82"/>
      <c r="S54" s="82"/>
      <c r="T54" s="82"/>
      <c r="U54" s="82"/>
    </row>
    <row r="55" spans="1:21" ht="18" customHeight="1">
      <c r="A55" s="64"/>
      <c r="B55" s="119"/>
      <c r="C55" s="120"/>
      <c r="D55" s="120"/>
      <c r="E55" s="120"/>
      <c r="F55" s="121"/>
      <c r="G55" s="83"/>
      <c r="H55" s="83"/>
      <c r="I55" s="84"/>
      <c r="J55" s="84"/>
      <c r="K55" s="119"/>
      <c r="L55" s="120"/>
      <c r="M55" s="120"/>
      <c r="N55" s="120"/>
      <c r="O55" s="120"/>
      <c r="P55" s="120"/>
      <c r="Q55" s="121"/>
      <c r="R55" s="83"/>
      <c r="S55" s="83"/>
      <c r="T55" s="84"/>
      <c r="U55" s="84"/>
    </row>
    <row r="56" spans="1:21" ht="7.5" customHeight="1">
      <c r="B56" s="85"/>
      <c r="C56" s="85"/>
      <c r="D56" s="85"/>
      <c r="E56" s="85"/>
      <c r="F56" s="85"/>
      <c r="G56" s="85"/>
      <c r="H56" s="85"/>
      <c r="I56" s="85"/>
      <c r="J56" s="85"/>
      <c r="K56" s="85"/>
      <c r="L56" s="85"/>
      <c r="M56" s="85"/>
      <c r="N56" s="85"/>
      <c r="O56" s="85"/>
      <c r="P56" s="85"/>
      <c r="Q56" s="85"/>
      <c r="R56" s="85"/>
      <c r="S56" s="85"/>
      <c r="T56" s="85"/>
    </row>
    <row r="57" spans="1:21" ht="18" customHeight="1">
      <c r="A57" s="127" t="s">
        <v>105</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c r="B59" s="113" t="s">
        <v>52</v>
      </c>
      <c r="C59" s="114"/>
      <c r="D59" s="114"/>
      <c r="E59" s="114"/>
      <c r="F59" s="115"/>
      <c r="G59" s="78" t="s">
        <v>78</v>
      </c>
      <c r="H59" s="79" t="s">
        <v>81</v>
      </c>
      <c r="I59" s="80" t="s">
        <v>57</v>
      </c>
      <c r="J59" s="80" t="s">
        <v>59</v>
      </c>
      <c r="K59" s="113" t="s">
        <v>52</v>
      </c>
      <c r="L59" s="114"/>
      <c r="M59" s="114"/>
      <c r="N59" s="114"/>
      <c r="O59" s="114"/>
      <c r="P59" s="114"/>
      <c r="Q59" s="115"/>
      <c r="R59" s="78" t="s">
        <v>78</v>
      </c>
      <c r="S59" s="79" t="s">
        <v>81</v>
      </c>
      <c r="T59" s="80" t="s">
        <v>57</v>
      </c>
      <c r="U59" s="80" t="s">
        <v>59</v>
      </c>
    </row>
    <row r="60" spans="1:21" ht="18" customHeight="1">
      <c r="A60" s="64"/>
      <c r="B60" s="124" t="s">
        <v>157</v>
      </c>
      <c r="C60" s="125"/>
      <c r="D60" s="125"/>
      <c r="E60" s="125"/>
      <c r="F60" s="126"/>
      <c r="G60" s="81">
        <v>2</v>
      </c>
      <c r="H60" s="81" t="s">
        <v>139</v>
      </c>
      <c r="I60" s="81"/>
      <c r="J60" s="81" t="s">
        <v>139</v>
      </c>
      <c r="K60" s="124"/>
      <c r="L60" s="125"/>
      <c r="M60" s="125"/>
      <c r="N60" s="125"/>
      <c r="O60" s="125"/>
      <c r="P60" s="125"/>
      <c r="Q60" s="126"/>
      <c r="R60" s="81"/>
      <c r="S60" s="81"/>
      <c r="T60" s="81"/>
      <c r="U60" s="81"/>
    </row>
    <row r="61" spans="1:21" ht="18" customHeight="1">
      <c r="A61" s="64"/>
      <c r="B61" s="116" t="s">
        <v>158</v>
      </c>
      <c r="C61" s="117"/>
      <c r="D61" s="117"/>
      <c r="E61" s="117"/>
      <c r="F61" s="118"/>
      <c r="G61" s="82">
        <v>2</v>
      </c>
      <c r="H61" s="82" t="s">
        <v>139</v>
      </c>
      <c r="I61" s="82" t="s">
        <v>139</v>
      </c>
      <c r="J61" s="82" t="s">
        <v>139</v>
      </c>
      <c r="K61" s="116"/>
      <c r="L61" s="117"/>
      <c r="M61" s="117"/>
      <c r="N61" s="117"/>
      <c r="O61" s="117"/>
      <c r="P61" s="117"/>
      <c r="Q61" s="118"/>
      <c r="R61" s="82"/>
      <c r="S61" s="82"/>
      <c r="T61" s="82"/>
      <c r="U61" s="82"/>
    </row>
    <row r="62" spans="1:21" ht="18" customHeight="1">
      <c r="A62" s="64"/>
      <c r="B62" s="116" t="s">
        <v>159</v>
      </c>
      <c r="C62" s="117"/>
      <c r="D62" s="117"/>
      <c r="E62" s="117"/>
      <c r="F62" s="118"/>
      <c r="G62" s="82">
        <v>2</v>
      </c>
      <c r="H62" s="82" t="s">
        <v>139</v>
      </c>
      <c r="I62" s="82" t="s">
        <v>139</v>
      </c>
      <c r="J62" s="82" t="s">
        <v>139</v>
      </c>
      <c r="K62" s="116"/>
      <c r="L62" s="117"/>
      <c r="M62" s="117"/>
      <c r="N62" s="117"/>
      <c r="O62" s="117"/>
      <c r="P62" s="117"/>
      <c r="Q62" s="118"/>
      <c r="R62" s="82"/>
      <c r="S62" s="82"/>
      <c r="T62" s="82"/>
      <c r="U62" s="82"/>
    </row>
    <row r="63" spans="1:21" ht="18" customHeight="1">
      <c r="A63" s="64"/>
      <c r="B63" s="116" t="s">
        <v>160</v>
      </c>
      <c r="C63" s="117"/>
      <c r="D63" s="117"/>
      <c r="E63" s="117"/>
      <c r="F63" s="118"/>
      <c r="G63" s="82">
        <v>2</v>
      </c>
      <c r="H63" s="82" t="s">
        <v>139</v>
      </c>
      <c r="I63" s="82" t="s">
        <v>139</v>
      </c>
      <c r="J63" s="82" t="s">
        <v>139</v>
      </c>
      <c r="K63" s="116"/>
      <c r="L63" s="117"/>
      <c r="M63" s="117"/>
      <c r="N63" s="117"/>
      <c r="O63" s="117"/>
      <c r="P63" s="117"/>
      <c r="Q63" s="118"/>
      <c r="R63" s="82"/>
      <c r="S63" s="82"/>
      <c r="T63" s="82"/>
      <c r="U63" s="82"/>
    </row>
    <row r="64" spans="1:21" ht="18" customHeight="1">
      <c r="A64" s="64"/>
      <c r="B64" s="116"/>
      <c r="C64" s="117"/>
      <c r="D64" s="117"/>
      <c r="E64" s="117"/>
      <c r="F64" s="118"/>
      <c r="G64" s="82"/>
      <c r="H64" s="82"/>
      <c r="I64" s="82"/>
      <c r="J64" s="82"/>
      <c r="K64" s="116"/>
      <c r="L64" s="117"/>
      <c r="M64" s="117"/>
      <c r="N64" s="117"/>
      <c r="O64" s="117"/>
      <c r="P64" s="117"/>
      <c r="Q64" s="118"/>
      <c r="R64" s="82"/>
      <c r="S64" s="82"/>
      <c r="T64" s="82"/>
      <c r="U64" s="82"/>
    </row>
    <row r="65" spans="1:21" ht="18" customHeight="1">
      <c r="A65" s="64"/>
      <c r="B65" s="116"/>
      <c r="C65" s="117"/>
      <c r="D65" s="117"/>
      <c r="E65" s="117"/>
      <c r="F65" s="118"/>
      <c r="G65" s="82"/>
      <c r="H65" s="82"/>
      <c r="I65" s="82"/>
      <c r="J65" s="82"/>
      <c r="K65" s="116"/>
      <c r="L65" s="117"/>
      <c r="M65" s="117"/>
      <c r="N65" s="117"/>
      <c r="O65" s="117"/>
      <c r="P65" s="117"/>
      <c r="Q65" s="118"/>
      <c r="R65" s="82"/>
      <c r="S65" s="82"/>
      <c r="T65" s="82"/>
      <c r="U65" s="82"/>
    </row>
    <row r="66" spans="1:21" ht="18" customHeight="1">
      <c r="A66" s="64"/>
      <c r="B66" s="119"/>
      <c r="C66" s="120"/>
      <c r="D66" s="120"/>
      <c r="E66" s="120"/>
      <c r="F66" s="121"/>
      <c r="G66" s="83"/>
      <c r="H66" s="83"/>
      <c r="I66" s="84"/>
      <c r="J66" s="84"/>
      <c r="K66" s="119"/>
      <c r="L66" s="120"/>
      <c r="M66" s="120"/>
      <c r="N66" s="120"/>
      <c r="O66" s="120"/>
      <c r="P66" s="120"/>
      <c r="Q66" s="121"/>
      <c r="R66" s="83"/>
      <c r="S66" s="83"/>
      <c r="T66" s="84"/>
      <c r="U66" s="84"/>
    </row>
    <row r="67" spans="1:21" ht="7.5" customHeight="1">
      <c r="B67" s="85"/>
      <c r="C67" s="85"/>
      <c r="D67" s="85"/>
      <c r="E67" s="85"/>
      <c r="F67" s="85"/>
      <c r="G67" s="85"/>
      <c r="H67" s="85"/>
      <c r="I67" s="85"/>
      <c r="J67" s="85"/>
      <c r="K67" s="85"/>
      <c r="L67" s="85"/>
      <c r="M67" s="85"/>
      <c r="N67" s="85"/>
      <c r="O67" s="85"/>
      <c r="P67" s="85"/>
      <c r="Q67" s="85"/>
      <c r="R67" s="85"/>
      <c r="S67" s="85"/>
      <c r="T67" s="85"/>
    </row>
    <row r="68" spans="1:21" ht="18" customHeight="1">
      <c r="A68" s="127" t="s">
        <v>106</v>
      </c>
      <c r="B68" s="127"/>
      <c r="C68" s="127"/>
      <c r="D68" s="127"/>
      <c r="E68" s="127"/>
      <c r="F68" s="127"/>
      <c r="G68" s="127"/>
      <c r="H68" s="127"/>
      <c r="I68" s="127"/>
      <c r="J68" s="127"/>
      <c r="K68" s="127"/>
      <c r="L68" s="127"/>
      <c r="M68" s="127"/>
      <c r="N68" s="127"/>
      <c r="O68" s="127"/>
      <c r="P68" s="127"/>
      <c r="Q68" s="127"/>
      <c r="R68" s="127"/>
      <c r="S68" s="127"/>
      <c r="T68" s="127"/>
      <c r="U68" s="127"/>
    </row>
    <row r="69" spans="1:21" ht="18" customHeight="1">
      <c r="A69" s="127"/>
      <c r="B69" s="127"/>
      <c r="C69" s="127"/>
      <c r="D69" s="127"/>
      <c r="E69" s="127"/>
      <c r="F69" s="127"/>
      <c r="G69" s="127"/>
      <c r="H69" s="127"/>
      <c r="I69" s="127"/>
      <c r="J69" s="127"/>
      <c r="K69" s="127"/>
      <c r="L69" s="127"/>
      <c r="M69" s="127"/>
      <c r="N69" s="127"/>
      <c r="O69" s="127"/>
      <c r="P69" s="127"/>
      <c r="Q69" s="127"/>
      <c r="R69" s="127"/>
      <c r="S69" s="127"/>
      <c r="T69" s="127"/>
      <c r="U69" s="127"/>
    </row>
    <row r="70" spans="1:21" ht="18" customHeight="1">
      <c r="B70" s="113" t="s">
        <v>52</v>
      </c>
      <c r="C70" s="114"/>
      <c r="D70" s="114"/>
      <c r="E70" s="114"/>
      <c r="F70" s="78" t="s">
        <v>78</v>
      </c>
      <c r="G70" s="79" t="s">
        <v>81</v>
      </c>
      <c r="H70" s="80" t="s">
        <v>93</v>
      </c>
      <c r="I70" s="80" t="s">
        <v>73</v>
      </c>
      <c r="J70" s="80" t="s">
        <v>74</v>
      </c>
      <c r="K70" s="113" t="s">
        <v>52</v>
      </c>
      <c r="L70" s="114"/>
      <c r="M70" s="114"/>
      <c r="N70" s="114"/>
      <c r="O70" s="114"/>
      <c r="P70" s="115"/>
      <c r="Q70" s="78" t="s">
        <v>78</v>
      </c>
      <c r="R70" s="79" t="s">
        <v>81</v>
      </c>
      <c r="S70" s="80" t="s">
        <v>93</v>
      </c>
      <c r="T70" s="80" t="s">
        <v>73</v>
      </c>
      <c r="U70" s="80" t="s">
        <v>74</v>
      </c>
    </row>
    <row r="71" spans="1:21" ht="18" customHeight="1">
      <c r="A71" s="64"/>
      <c r="B71" s="124" t="s">
        <v>157</v>
      </c>
      <c r="C71" s="125"/>
      <c r="D71" s="125"/>
      <c r="E71" s="125"/>
      <c r="F71" s="81">
        <v>2</v>
      </c>
      <c r="G71" s="81" t="s">
        <v>139</v>
      </c>
      <c r="H71" s="81" t="s">
        <v>139</v>
      </c>
      <c r="I71" s="81" t="s">
        <v>139</v>
      </c>
      <c r="J71" s="81" t="s">
        <v>139</v>
      </c>
      <c r="K71" s="124"/>
      <c r="L71" s="125"/>
      <c r="M71" s="125"/>
      <c r="N71" s="125"/>
      <c r="O71" s="125"/>
      <c r="P71" s="126"/>
      <c r="Q71" s="81"/>
      <c r="R71" s="81"/>
      <c r="S71" s="81"/>
      <c r="T71" s="81"/>
      <c r="U71" s="81"/>
    </row>
    <row r="72" spans="1:21" ht="18" customHeight="1">
      <c r="A72" s="64"/>
      <c r="B72" s="116" t="s">
        <v>161</v>
      </c>
      <c r="C72" s="117"/>
      <c r="D72" s="117"/>
      <c r="E72" s="117"/>
      <c r="F72" s="82">
        <v>2</v>
      </c>
      <c r="G72" s="82" t="s">
        <v>139</v>
      </c>
      <c r="H72" s="82" t="s">
        <v>139</v>
      </c>
      <c r="I72" s="82" t="s">
        <v>139</v>
      </c>
      <c r="J72" s="82" t="s">
        <v>139</v>
      </c>
      <c r="K72" s="116"/>
      <c r="L72" s="117"/>
      <c r="M72" s="117"/>
      <c r="N72" s="117"/>
      <c r="O72" s="117"/>
      <c r="P72" s="118"/>
      <c r="Q72" s="82"/>
      <c r="R72" s="82"/>
      <c r="S72" s="82"/>
      <c r="T72" s="82"/>
      <c r="U72" s="82"/>
    </row>
    <row r="73" spans="1:21" ht="18" customHeight="1">
      <c r="A73" s="64"/>
      <c r="B73" s="116" t="s">
        <v>159</v>
      </c>
      <c r="C73" s="117"/>
      <c r="D73" s="117"/>
      <c r="E73" s="117"/>
      <c r="F73" s="82">
        <v>2</v>
      </c>
      <c r="G73" s="82" t="s">
        <v>139</v>
      </c>
      <c r="H73" s="82" t="s">
        <v>139</v>
      </c>
      <c r="I73" s="82" t="s">
        <v>139</v>
      </c>
      <c r="J73" s="82" t="s">
        <v>139</v>
      </c>
      <c r="K73" s="116"/>
      <c r="L73" s="117"/>
      <c r="M73" s="117"/>
      <c r="N73" s="117"/>
      <c r="O73" s="117"/>
      <c r="P73" s="118"/>
      <c r="Q73" s="82"/>
      <c r="R73" s="82"/>
      <c r="S73" s="82"/>
      <c r="T73" s="82"/>
      <c r="U73" s="82"/>
    </row>
    <row r="74" spans="1:21" ht="18" customHeight="1">
      <c r="A74" s="64"/>
      <c r="B74" s="116"/>
      <c r="C74" s="117"/>
      <c r="D74" s="117"/>
      <c r="E74" s="117"/>
      <c r="F74" s="82"/>
      <c r="G74" s="82"/>
      <c r="H74" s="82"/>
      <c r="I74" s="82"/>
      <c r="J74" s="82"/>
      <c r="K74" s="116"/>
      <c r="L74" s="117"/>
      <c r="M74" s="117"/>
      <c r="N74" s="117"/>
      <c r="O74" s="117"/>
      <c r="P74" s="118"/>
      <c r="Q74" s="82"/>
      <c r="R74" s="82"/>
      <c r="S74" s="82"/>
      <c r="T74" s="82"/>
      <c r="U74" s="82"/>
    </row>
    <row r="75" spans="1:21" ht="18" customHeight="1">
      <c r="A75" s="64"/>
      <c r="B75" s="116"/>
      <c r="C75" s="117"/>
      <c r="D75" s="117"/>
      <c r="E75" s="117"/>
      <c r="F75" s="82"/>
      <c r="G75" s="82"/>
      <c r="H75" s="82"/>
      <c r="I75" s="82"/>
      <c r="J75" s="82"/>
      <c r="K75" s="116"/>
      <c r="L75" s="117"/>
      <c r="M75" s="117"/>
      <c r="N75" s="117"/>
      <c r="O75" s="117"/>
      <c r="P75" s="118"/>
      <c r="Q75" s="82"/>
      <c r="R75" s="82"/>
      <c r="S75" s="82"/>
      <c r="T75" s="82"/>
      <c r="U75" s="82"/>
    </row>
    <row r="76" spans="1:21" ht="18" customHeight="1">
      <c r="A76" s="64"/>
      <c r="B76" s="116"/>
      <c r="C76" s="117"/>
      <c r="D76" s="117"/>
      <c r="E76" s="117"/>
      <c r="F76" s="82"/>
      <c r="G76" s="82"/>
      <c r="H76" s="82"/>
      <c r="I76" s="82"/>
      <c r="J76" s="82"/>
      <c r="K76" s="116"/>
      <c r="L76" s="117"/>
      <c r="M76" s="117"/>
      <c r="N76" s="117"/>
      <c r="O76" s="117"/>
      <c r="P76" s="118"/>
      <c r="Q76" s="82"/>
      <c r="R76" s="82"/>
      <c r="S76" s="82"/>
      <c r="T76" s="82"/>
      <c r="U76" s="82"/>
    </row>
    <row r="77" spans="1:21" ht="18" customHeight="1">
      <c r="A77" s="64"/>
      <c r="B77" s="119"/>
      <c r="C77" s="120"/>
      <c r="D77" s="120"/>
      <c r="E77" s="120"/>
      <c r="F77" s="83"/>
      <c r="G77" s="83"/>
      <c r="H77" s="84"/>
      <c r="I77" s="84"/>
      <c r="J77" s="84"/>
      <c r="K77" s="119"/>
      <c r="L77" s="120"/>
      <c r="M77" s="120"/>
      <c r="N77" s="120"/>
      <c r="O77" s="120"/>
      <c r="P77" s="121"/>
      <c r="Q77" s="83"/>
      <c r="R77" s="83"/>
      <c r="S77" s="84"/>
      <c r="T77" s="84"/>
      <c r="U77" s="84"/>
    </row>
    <row r="78" spans="1:21" ht="7.5" customHeight="1">
      <c r="B78" s="85"/>
      <c r="C78" s="85"/>
      <c r="D78" s="85"/>
      <c r="E78" s="85"/>
      <c r="F78" s="85"/>
      <c r="G78" s="85"/>
      <c r="H78" s="85"/>
      <c r="I78" s="85"/>
      <c r="J78" s="85"/>
      <c r="K78" s="85"/>
      <c r="L78" s="85"/>
      <c r="M78" s="85"/>
      <c r="N78" s="85"/>
      <c r="O78" s="85"/>
      <c r="P78" s="85"/>
      <c r="Q78" s="85"/>
      <c r="R78" s="85"/>
      <c r="S78" s="85"/>
      <c r="T78" s="85"/>
    </row>
    <row r="79" spans="1:21" ht="18" customHeight="1">
      <c r="A79" s="59" t="s">
        <v>107</v>
      </c>
      <c r="I79" s="64"/>
      <c r="J79" s="64"/>
      <c r="K79" s="64"/>
      <c r="L79" s="64"/>
      <c r="M79" s="64"/>
      <c r="N79" s="64"/>
      <c r="O79" s="64"/>
      <c r="P79" s="64"/>
      <c r="Q79" s="64"/>
      <c r="R79" s="64"/>
      <c r="S79" s="64"/>
      <c r="T79" s="64"/>
      <c r="U79" s="64"/>
    </row>
    <row r="80" spans="1:21" ht="18" customHeight="1">
      <c r="B80" s="113" t="s">
        <v>52</v>
      </c>
      <c r="C80" s="114"/>
      <c r="D80" s="114"/>
      <c r="E80" s="114"/>
      <c r="F80" s="115"/>
      <c r="G80" s="113" t="s">
        <v>79</v>
      </c>
      <c r="H80" s="114"/>
      <c r="I80" s="114"/>
      <c r="J80" s="115"/>
      <c r="K80" s="136" t="s">
        <v>52</v>
      </c>
      <c r="L80" s="137"/>
      <c r="M80" s="137"/>
      <c r="N80" s="137"/>
      <c r="O80" s="137"/>
      <c r="P80" s="137"/>
      <c r="Q80" s="138"/>
      <c r="R80" s="113" t="s">
        <v>79</v>
      </c>
      <c r="S80" s="114"/>
      <c r="T80" s="114"/>
      <c r="U80" s="115"/>
    </row>
    <row r="81" spans="1:21" ht="18" customHeight="1">
      <c r="A81" s="64"/>
      <c r="B81" s="124" t="s">
        <v>157</v>
      </c>
      <c r="C81" s="125"/>
      <c r="D81" s="125"/>
      <c r="E81" s="125"/>
      <c r="F81" s="126"/>
      <c r="G81" s="131" t="s">
        <v>144</v>
      </c>
      <c r="H81" s="132"/>
      <c r="I81" s="132"/>
      <c r="J81" s="133"/>
      <c r="K81" s="124"/>
      <c r="L81" s="125"/>
      <c r="M81" s="125"/>
      <c r="N81" s="125"/>
      <c r="O81" s="125"/>
      <c r="P81" s="125"/>
      <c r="Q81" s="126"/>
      <c r="R81" s="128"/>
      <c r="S81" s="129"/>
      <c r="T81" s="129"/>
      <c r="U81" s="130"/>
    </row>
    <row r="82" spans="1:21" ht="18" customHeight="1">
      <c r="A82" s="64"/>
      <c r="B82" s="116" t="s">
        <v>157</v>
      </c>
      <c r="C82" s="117"/>
      <c r="D82" s="117"/>
      <c r="E82" s="117"/>
      <c r="F82" s="118"/>
      <c r="G82" s="140" t="s">
        <v>162</v>
      </c>
      <c r="H82" s="141"/>
      <c r="I82" s="141"/>
      <c r="J82" s="142"/>
      <c r="K82" s="116"/>
      <c r="L82" s="117"/>
      <c r="M82" s="117"/>
      <c r="N82" s="117"/>
      <c r="O82" s="117"/>
      <c r="P82" s="117"/>
      <c r="Q82" s="118"/>
      <c r="R82" s="110"/>
      <c r="S82" s="111"/>
      <c r="T82" s="111"/>
      <c r="U82" s="112"/>
    </row>
    <row r="83" spans="1:21" ht="18" customHeight="1">
      <c r="A83" s="64"/>
      <c r="B83" s="116" t="s">
        <v>161</v>
      </c>
      <c r="C83" s="117"/>
      <c r="D83" s="117"/>
      <c r="E83" s="117"/>
      <c r="F83" s="118"/>
      <c r="G83" s="140" t="s">
        <v>163</v>
      </c>
      <c r="H83" s="141"/>
      <c r="I83" s="141"/>
      <c r="J83" s="142"/>
      <c r="K83" s="116"/>
      <c r="L83" s="117"/>
      <c r="M83" s="117"/>
      <c r="N83" s="117"/>
      <c r="O83" s="117"/>
      <c r="P83" s="117"/>
      <c r="Q83" s="118"/>
      <c r="R83" s="110"/>
      <c r="S83" s="111"/>
      <c r="T83" s="111"/>
      <c r="U83" s="112"/>
    </row>
    <row r="84" spans="1:21" ht="18" customHeight="1">
      <c r="A84" s="64"/>
      <c r="B84" s="140" t="s">
        <v>159</v>
      </c>
      <c r="C84" s="141"/>
      <c r="D84" s="141"/>
      <c r="E84" s="141"/>
      <c r="F84" s="142"/>
      <c r="G84" s="140" t="s">
        <v>147</v>
      </c>
      <c r="H84" s="141"/>
      <c r="I84" s="141"/>
      <c r="J84" s="142"/>
      <c r="K84" s="116"/>
      <c r="L84" s="117"/>
      <c r="M84" s="117"/>
      <c r="N84" s="117"/>
      <c r="O84" s="117"/>
      <c r="P84" s="117"/>
      <c r="Q84" s="118"/>
      <c r="R84" s="110"/>
      <c r="S84" s="111"/>
      <c r="T84" s="111"/>
      <c r="U84" s="112"/>
    </row>
    <row r="85" spans="1:21" ht="18" customHeight="1">
      <c r="A85" s="64"/>
      <c r="B85" s="116" t="s">
        <v>160</v>
      </c>
      <c r="C85" s="117"/>
      <c r="D85" s="117"/>
      <c r="E85" s="117"/>
      <c r="F85" s="118"/>
      <c r="G85" s="140" t="s">
        <v>145</v>
      </c>
      <c r="H85" s="141"/>
      <c r="I85" s="141"/>
      <c r="J85" s="142"/>
      <c r="K85" s="116"/>
      <c r="L85" s="117"/>
      <c r="M85" s="117"/>
      <c r="N85" s="117"/>
      <c r="O85" s="117"/>
      <c r="P85" s="117"/>
      <c r="Q85" s="118"/>
      <c r="R85" s="110"/>
      <c r="S85" s="111"/>
      <c r="T85" s="111"/>
      <c r="U85" s="112"/>
    </row>
    <row r="86" spans="1:21" ht="18" customHeight="1">
      <c r="A86" s="64"/>
      <c r="B86" s="116"/>
      <c r="C86" s="117"/>
      <c r="D86" s="117"/>
      <c r="E86" s="117"/>
      <c r="F86" s="118"/>
      <c r="G86" s="110"/>
      <c r="H86" s="111"/>
      <c r="I86" s="111"/>
      <c r="J86" s="112"/>
      <c r="K86" s="116"/>
      <c r="L86" s="117"/>
      <c r="M86" s="117"/>
      <c r="N86" s="117"/>
      <c r="O86" s="117"/>
      <c r="P86" s="117"/>
      <c r="Q86" s="118"/>
      <c r="R86" s="110"/>
      <c r="S86" s="111"/>
      <c r="T86" s="111"/>
      <c r="U86" s="112"/>
    </row>
    <row r="87" spans="1:21" ht="18" customHeight="1">
      <c r="A87" s="64"/>
      <c r="B87" s="119"/>
      <c r="C87" s="120"/>
      <c r="D87" s="120"/>
      <c r="E87" s="120"/>
      <c r="F87" s="121"/>
      <c r="G87" s="155"/>
      <c r="H87" s="156"/>
      <c r="I87" s="156"/>
      <c r="J87" s="157"/>
      <c r="K87" s="119"/>
      <c r="L87" s="120"/>
      <c r="M87" s="120"/>
      <c r="N87" s="120"/>
      <c r="O87" s="120"/>
      <c r="P87" s="120"/>
      <c r="Q87" s="121"/>
      <c r="R87" s="155"/>
      <c r="S87" s="156"/>
      <c r="T87" s="156"/>
      <c r="U87" s="157"/>
    </row>
    <row r="88" spans="1:21" ht="18" customHeight="1">
      <c r="A88" s="64"/>
      <c r="B88" s="62"/>
      <c r="C88" s="62"/>
      <c r="D88" s="62"/>
      <c r="E88" s="62"/>
      <c r="F88" s="62"/>
      <c r="G88" s="69"/>
      <c r="H88" s="69"/>
      <c r="I88" s="69"/>
      <c r="J88" s="69"/>
      <c r="K88" s="62"/>
      <c r="L88" s="62"/>
      <c r="M88" s="62"/>
      <c r="N88" s="62"/>
      <c r="O88" s="62"/>
      <c r="P88" s="62"/>
      <c r="Q88" s="62"/>
      <c r="R88" s="69"/>
      <c r="S88" s="69"/>
      <c r="T88" s="69"/>
      <c r="U88" s="69"/>
    </row>
    <row r="89" spans="1:21" ht="18.75" customHeight="1">
      <c r="A89" s="59" t="s">
        <v>108</v>
      </c>
    </row>
    <row r="90" spans="1:21" ht="18.75" customHeight="1">
      <c r="B90" s="158" t="s">
        <v>53</v>
      </c>
      <c r="C90" s="159"/>
      <c r="D90" s="113" t="s">
        <v>54</v>
      </c>
      <c r="E90" s="114"/>
      <c r="F90" s="114"/>
      <c r="G90" s="114"/>
      <c r="H90" s="114"/>
      <c r="I90" s="114"/>
      <c r="J90" s="114"/>
      <c r="K90" s="114"/>
      <c r="L90" s="114"/>
      <c r="M90" s="114"/>
      <c r="N90" s="114"/>
      <c r="O90" s="114"/>
      <c r="P90" s="114"/>
      <c r="Q90" s="114"/>
      <c r="R90" s="114"/>
      <c r="S90" s="114"/>
      <c r="T90" s="114"/>
      <c r="U90" s="115"/>
    </row>
    <row r="91" spans="1:21" ht="97.5" customHeight="1">
      <c r="B91" s="134" t="s">
        <v>60</v>
      </c>
      <c r="C91" s="86" t="s">
        <v>55</v>
      </c>
      <c r="D91" s="168" t="s">
        <v>183</v>
      </c>
      <c r="E91" s="169"/>
      <c r="F91" s="169"/>
      <c r="G91" s="169"/>
      <c r="H91" s="169"/>
      <c r="I91" s="169"/>
      <c r="J91" s="169"/>
      <c r="K91" s="169"/>
      <c r="L91" s="169"/>
      <c r="M91" s="169"/>
      <c r="N91" s="169"/>
      <c r="O91" s="169"/>
      <c r="P91" s="169"/>
      <c r="Q91" s="169"/>
      <c r="R91" s="169"/>
      <c r="S91" s="169"/>
      <c r="T91" s="169"/>
      <c r="U91" s="170"/>
    </row>
    <row r="92" spans="1:21" ht="97.5" customHeight="1">
      <c r="B92" s="139"/>
      <c r="C92" s="87" t="s">
        <v>75</v>
      </c>
      <c r="D92" s="165" t="s">
        <v>184</v>
      </c>
      <c r="E92" s="166"/>
      <c r="F92" s="166"/>
      <c r="G92" s="166"/>
      <c r="H92" s="166"/>
      <c r="I92" s="166"/>
      <c r="J92" s="166"/>
      <c r="K92" s="166"/>
      <c r="L92" s="166"/>
      <c r="M92" s="166"/>
      <c r="N92" s="166"/>
      <c r="O92" s="166"/>
      <c r="P92" s="166"/>
      <c r="Q92" s="166"/>
      <c r="R92" s="166"/>
      <c r="S92" s="166"/>
      <c r="T92" s="166"/>
      <c r="U92" s="167"/>
    </row>
    <row r="93" spans="1:21" ht="97.5" customHeight="1">
      <c r="B93" s="134" t="s">
        <v>61</v>
      </c>
      <c r="C93" s="88" t="s">
        <v>69</v>
      </c>
      <c r="D93" s="168" t="s">
        <v>185</v>
      </c>
      <c r="E93" s="169"/>
      <c r="F93" s="169"/>
      <c r="G93" s="169"/>
      <c r="H93" s="169"/>
      <c r="I93" s="169"/>
      <c r="J93" s="169"/>
      <c r="K93" s="169"/>
      <c r="L93" s="169"/>
      <c r="M93" s="169"/>
      <c r="N93" s="169"/>
      <c r="O93" s="169"/>
      <c r="P93" s="169"/>
      <c r="Q93" s="169"/>
      <c r="R93" s="169"/>
      <c r="S93" s="169"/>
      <c r="T93" s="169"/>
      <c r="U93" s="170"/>
    </row>
    <row r="94" spans="1:21" ht="97.5" customHeight="1">
      <c r="B94" s="135"/>
      <c r="C94" s="89" t="s">
        <v>70</v>
      </c>
      <c r="D94" s="165" t="s">
        <v>186</v>
      </c>
      <c r="E94" s="166"/>
      <c r="F94" s="166"/>
      <c r="G94" s="166"/>
      <c r="H94" s="166"/>
      <c r="I94" s="166"/>
      <c r="J94" s="166"/>
      <c r="K94" s="166"/>
      <c r="L94" s="166"/>
      <c r="M94" s="166"/>
      <c r="N94" s="166"/>
      <c r="O94" s="166"/>
      <c r="P94" s="166"/>
      <c r="Q94" s="166"/>
      <c r="R94" s="166"/>
      <c r="S94" s="166"/>
      <c r="T94" s="166"/>
      <c r="U94" s="167"/>
    </row>
    <row r="95" spans="1:21" ht="97.5" customHeight="1">
      <c r="B95" s="134" t="s">
        <v>62</v>
      </c>
      <c r="C95" s="88" t="s">
        <v>71</v>
      </c>
      <c r="D95" s="168" t="s">
        <v>187</v>
      </c>
      <c r="E95" s="169"/>
      <c r="F95" s="169"/>
      <c r="G95" s="169"/>
      <c r="H95" s="169"/>
      <c r="I95" s="169"/>
      <c r="J95" s="169"/>
      <c r="K95" s="169"/>
      <c r="L95" s="169"/>
      <c r="M95" s="169"/>
      <c r="N95" s="169"/>
      <c r="O95" s="169"/>
      <c r="P95" s="169"/>
      <c r="Q95" s="169"/>
      <c r="R95" s="169"/>
      <c r="S95" s="169"/>
      <c r="T95" s="169"/>
      <c r="U95" s="170"/>
    </row>
    <row r="96" spans="1:21" ht="97.5" customHeight="1">
      <c r="B96" s="135"/>
      <c r="C96" s="90" t="s">
        <v>72</v>
      </c>
      <c r="D96" s="165" t="s">
        <v>188</v>
      </c>
      <c r="E96" s="166"/>
      <c r="F96" s="166"/>
      <c r="G96" s="166"/>
      <c r="H96" s="166"/>
      <c r="I96" s="166"/>
      <c r="J96" s="166"/>
      <c r="K96" s="166"/>
      <c r="L96" s="166"/>
      <c r="M96" s="166"/>
      <c r="N96" s="166"/>
      <c r="O96" s="166"/>
      <c r="P96" s="166"/>
      <c r="Q96" s="166"/>
      <c r="R96" s="166"/>
      <c r="S96" s="166"/>
      <c r="T96" s="166"/>
      <c r="U96" s="167"/>
    </row>
    <row r="97" spans="1:33" ht="110.25" customHeight="1">
      <c r="B97" s="134" t="s">
        <v>76</v>
      </c>
      <c r="C97" s="86" t="s">
        <v>57</v>
      </c>
      <c r="D97" s="168" t="s">
        <v>189</v>
      </c>
      <c r="E97" s="169"/>
      <c r="F97" s="169"/>
      <c r="G97" s="169"/>
      <c r="H97" s="169"/>
      <c r="I97" s="169"/>
      <c r="J97" s="169"/>
      <c r="K97" s="169"/>
      <c r="L97" s="169"/>
      <c r="M97" s="169"/>
      <c r="N97" s="169"/>
      <c r="O97" s="169"/>
      <c r="P97" s="169"/>
      <c r="Q97" s="169"/>
      <c r="R97" s="169"/>
      <c r="S97" s="169"/>
      <c r="T97" s="169"/>
      <c r="U97" s="170"/>
    </row>
    <row r="98" spans="1:33" ht="97.5" customHeight="1">
      <c r="B98" s="135"/>
      <c r="C98" s="89" t="s">
        <v>59</v>
      </c>
      <c r="D98" s="165" t="s">
        <v>190</v>
      </c>
      <c r="E98" s="166"/>
      <c r="F98" s="166"/>
      <c r="G98" s="166"/>
      <c r="H98" s="166"/>
      <c r="I98" s="166"/>
      <c r="J98" s="166"/>
      <c r="K98" s="166"/>
      <c r="L98" s="166"/>
      <c r="M98" s="166"/>
      <c r="N98" s="166"/>
      <c r="O98" s="166"/>
      <c r="P98" s="166"/>
      <c r="Q98" s="166"/>
      <c r="R98" s="166"/>
      <c r="S98" s="166"/>
      <c r="T98" s="166"/>
      <c r="U98" s="167"/>
    </row>
    <row r="99" spans="1:33" ht="166.5" customHeight="1">
      <c r="B99" s="134" t="s">
        <v>77</v>
      </c>
      <c r="C99" s="88" t="s">
        <v>56</v>
      </c>
      <c r="D99" s="168" t="s">
        <v>191</v>
      </c>
      <c r="E99" s="169"/>
      <c r="F99" s="169"/>
      <c r="G99" s="169"/>
      <c r="H99" s="169"/>
      <c r="I99" s="169"/>
      <c r="J99" s="169"/>
      <c r="K99" s="169"/>
      <c r="L99" s="169"/>
      <c r="M99" s="169"/>
      <c r="N99" s="169"/>
      <c r="O99" s="169"/>
      <c r="P99" s="169"/>
      <c r="Q99" s="169"/>
      <c r="R99" s="169"/>
      <c r="S99" s="169"/>
      <c r="T99" s="169"/>
      <c r="U99" s="170"/>
    </row>
    <row r="100" spans="1:33" ht="97.5" customHeight="1">
      <c r="B100" s="139"/>
      <c r="C100" s="91" t="s">
        <v>73</v>
      </c>
      <c r="D100" s="171" t="s">
        <v>192</v>
      </c>
      <c r="E100" s="172"/>
      <c r="F100" s="172"/>
      <c r="G100" s="172"/>
      <c r="H100" s="172"/>
      <c r="I100" s="172"/>
      <c r="J100" s="172"/>
      <c r="K100" s="172"/>
      <c r="L100" s="172"/>
      <c r="M100" s="172"/>
      <c r="N100" s="172"/>
      <c r="O100" s="172"/>
      <c r="P100" s="172"/>
      <c r="Q100" s="172"/>
      <c r="R100" s="172"/>
      <c r="S100" s="172"/>
      <c r="T100" s="172"/>
      <c r="U100" s="173"/>
    </row>
    <row r="101" spans="1:33" ht="97.5" customHeight="1">
      <c r="B101" s="135"/>
      <c r="C101" s="90" t="s">
        <v>74</v>
      </c>
      <c r="D101" s="165" t="s">
        <v>193</v>
      </c>
      <c r="E101" s="166"/>
      <c r="F101" s="166"/>
      <c r="G101" s="166"/>
      <c r="H101" s="166"/>
      <c r="I101" s="166"/>
      <c r="J101" s="166"/>
      <c r="K101" s="166"/>
      <c r="L101" s="166"/>
      <c r="M101" s="166"/>
      <c r="N101" s="166"/>
      <c r="O101" s="166"/>
      <c r="P101" s="166"/>
      <c r="Q101" s="166"/>
      <c r="R101" s="166"/>
      <c r="S101" s="166"/>
      <c r="T101" s="166"/>
      <c r="U101" s="167"/>
    </row>
    <row r="102" spans="1:33" ht="6" customHeight="1"/>
    <row r="103" spans="1:33" ht="18.75" customHeight="1">
      <c r="A103" s="59" t="s">
        <v>109</v>
      </c>
    </row>
    <row r="104" spans="1:33" ht="81.75" customHeight="1">
      <c r="B104" s="152" t="s">
        <v>164</v>
      </c>
      <c r="C104" s="153"/>
      <c r="D104" s="153"/>
      <c r="E104" s="153"/>
      <c r="F104" s="153"/>
      <c r="G104" s="153"/>
      <c r="H104" s="153"/>
      <c r="I104" s="153"/>
      <c r="J104" s="153"/>
      <c r="K104" s="153"/>
      <c r="L104" s="153"/>
      <c r="M104" s="153"/>
      <c r="N104" s="153"/>
      <c r="O104" s="153"/>
      <c r="P104" s="153"/>
      <c r="Q104" s="153"/>
      <c r="R104" s="153"/>
      <c r="S104" s="153"/>
      <c r="T104" s="153"/>
      <c r="U104" s="154"/>
    </row>
    <row r="106" spans="1:33" ht="18.75" customHeight="1">
      <c r="A106" s="58" t="s">
        <v>125</v>
      </c>
    </row>
    <row r="107" spans="1:33" ht="18.75" customHeight="1">
      <c r="A107" s="58" t="s">
        <v>127</v>
      </c>
      <c r="B107" s="58"/>
      <c r="C107" s="58"/>
      <c r="D107" s="58"/>
      <c r="E107" s="58"/>
      <c r="F107" s="58"/>
      <c r="G107" s="58"/>
      <c r="H107" s="58"/>
      <c r="I107" s="58"/>
      <c r="J107" s="58"/>
      <c r="K107" s="58"/>
      <c r="L107" s="58"/>
      <c r="M107" s="58"/>
      <c r="N107" s="58"/>
      <c r="O107" s="58"/>
      <c r="P107" s="58"/>
      <c r="Q107" s="58"/>
      <c r="R107" s="58"/>
      <c r="S107" s="58"/>
      <c r="T107" s="58"/>
      <c r="U107" s="58"/>
      <c r="V107" s="2"/>
      <c r="W107" s="2"/>
      <c r="X107" s="2"/>
      <c r="Y107" s="2"/>
      <c r="Z107" s="2"/>
      <c r="AA107" s="2"/>
      <c r="AB107" s="2"/>
      <c r="AC107" s="2"/>
      <c r="AD107" s="2"/>
      <c r="AE107" s="2"/>
      <c r="AF107" s="2"/>
      <c r="AG107" s="2"/>
    </row>
    <row r="108" spans="1:33" ht="18.75" customHeight="1">
      <c r="A108" s="58"/>
      <c r="B108" s="164" t="s">
        <v>130</v>
      </c>
      <c r="C108" s="164"/>
      <c r="D108" s="164"/>
      <c r="E108" s="164"/>
      <c r="F108" s="164"/>
      <c r="G108" s="164"/>
      <c r="H108" s="164"/>
      <c r="I108" s="164"/>
      <c r="J108" s="164"/>
      <c r="K108" s="164"/>
      <c r="L108" s="164"/>
      <c r="M108" s="164"/>
      <c r="N108" s="164"/>
      <c r="O108" s="164"/>
      <c r="P108" s="164"/>
      <c r="Q108" s="164"/>
      <c r="R108" s="164"/>
      <c r="S108" s="164"/>
      <c r="T108" s="164"/>
      <c r="U108" s="164"/>
      <c r="V108" s="54"/>
      <c r="W108" s="54"/>
      <c r="X108" s="54"/>
      <c r="Y108" s="54"/>
      <c r="Z108" s="54"/>
      <c r="AA108" s="54"/>
      <c r="AB108" s="54"/>
      <c r="AC108" s="54"/>
      <c r="AD108" s="54"/>
      <c r="AE108" s="54"/>
      <c r="AF108" s="54"/>
      <c r="AG108" s="54"/>
    </row>
    <row r="109" spans="1:33" ht="37.35" customHeight="1">
      <c r="A109" s="58"/>
      <c r="B109" s="164"/>
      <c r="C109" s="164"/>
      <c r="D109" s="164"/>
      <c r="E109" s="164"/>
      <c r="F109" s="164"/>
      <c r="G109" s="164"/>
      <c r="H109" s="164"/>
      <c r="I109" s="164"/>
      <c r="J109" s="164"/>
      <c r="K109" s="164"/>
      <c r="L109" s="164"/>
      <c r="M109" s="164"/>
      <c r="N109" s="164"/>
      <c r="O109" s="164"/>
      <c r="P109" s="164"/>
      <c r="Q109" s="164"/>
      <c r="R109" s="164"/>
      <c r="S109" s="164"/>
      <c r="T109" s="164"/>
      <c r="U109" s="164"/>
      <c r="V109" s="54"/>
      <c r="W109" s="54"/>
      <c r="X109" s="54"/>
      <c r="Y109" s="54"/>
      <c r="Z109" s="54"/>
      <c r="AA109" s="54"/>
      <c r="AB109" s="54"/>
      <c r="AC109" s="54"/>
      <c r="AD109" s="54"/>
      <c r="AE109" s="54"/>
      <c r="AF109" s="54"/>
      <c r="AG109" s="54"/>
    </row>
    <row r="110" spans="1:33" ht="18.75" customHeight="1">
      <c r="A110" s="58"/>
      <c r="B110" s="109" t="s">
        <v>126</v>
      </c>
      <c r="C110" s="109"/>
      <c r="D110" s="109"/>
      <c r="E110" s="109"/>
      <c r="F110" s="109"/>
      <c r="G110" s="109"/>
      <c r="H110" s="109"/>
      <c r="I110" s="109"/>
      <c r="J110" s="109"/>
      <c r="K110" s="109"/>
      <c r="L110" s="109"/>
      <c r="M110" s="109"/>
      <c r="N110" s="109"/>
      <c r="O110" s="109"/>
      <c r="P110" s="109"/>
      <c r="Q110" s="109"/>
      <c r="R110" s="109"/>
      <c r="S110" s="109"/>
      <c r="T110" s="109"/>
      <c r="U110" s="109"/>
      <c r="V110" s="54"/>
      <c r="W110" s="54"/>
      <c r="X110" s="54"/>
      <c r="Y110" s="54"/>
      <c r="Z110" s="54"/>
      <c r="AA110" s="54"/>
      <c r="AB110" s="54"/>
      <c r="AC110" s="54"/>
      <c r="AD110" s="54"/>
      <c r="AE110" s="54"/>
      <c r="AF110" s="54"/>
      <c r="AG110" s="54"/>
    </row>
    <row r="111" spans="1:33" ht="18.75" customHeight="1">
      <c r="A111" s="58"/>
      <c r="B111" s="122" t="s">
        <v>54</v>
      </c>
      <c r="C111" s="122"/>
      <c r="D111" s="122"/>
      <c r="E111" s="122"/>
      <c r="F111" s="122"/>
      <c r="G111" s="122"/>
      <c r="H111" s="122"/>
      <c r="I111" s="122"/>
      <c r="J111" s="122"/>
      <c r="K111" s="122"/>
      <c r="L111" s="122"/>
      <c r="M111" s="122"/>
      <c r="N111" s="122"/>
      <c r="O111" s="122"/>
      <c r="P111" s="122"/>
      <c r="Q111" s="122"/>
      <c r="R111" s="122"/>
      <c r="S111" s="122"/>
      <c r="T111" s="122"/>
      <c r="U111" s="122"/>
      <c r="V111" s="53"/>
      <c r="W111" s="53"/>
      <c r="X111" s="53"/>
      <c r="Y111" s="53"/>
      <c r="Z111" s="53"/>
      <c r="AA111" s="53"/>
      <c r="AB111" s="53"/>
      <c r="AC111" s="53"/>
      <c r="AD111" s="53"/>
      <c r="AE111" s="53"/>
      <c r="AF111" s="53"/>
      <c r="AG111" s="53"/>
    </row>
    <row r="112" spans="1:33" ht="132" customHeight="1">
      <c r="A112" s="58"/>
      <c r="B112" s="123"/>
      <c r="C112" s="123"/>
      <c r="D112" s="123"/>
      <c r="E112" s="123"/>
      <c r="F112" s="123"/>
      <c r="G112" s="123"/>
      <c r="H112" s="123"/>
      <c r="I112" s="123"/>
      <c r="J112" s="123"/>
      <c r="K112" s="123"/>
      <c r="L112" s="123"/>
      <c r="M112" s="123"/>
      <c r="N112" s="123"/>
      <c r="O112" s="123"/>
      <c r="P112" s="123"/>
      <c r="Q112" s="123"/>
      <c r="R112" s="123"/>
      <c r="S112" s="123"/>
      <c r="T112" s="123"/>
      <c r="U112" s="123"/>
      <c r="V112" s="55"/>
      <c r="W112" s="55"/>
      <c r="X112" s="55"/>
      <c r="Y112" s="55"/>
      <c r="Z112" s="55"/>
      <c r="AA112" s="55"/>
      <c r="AB112" s="55"/>
      <c r="AC112" s="55"/>
      <c r="AD112" s="55"/>
      <c r="AE112" s="55"/>
      <c r="AF112" s="55"/>
      <c r="AG112" s="55"/>
    </row>
    <row r="114" ht="18" customHeight="1"/>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K38:Q38"/>
    <mergeCell ref="B52:F52"/>
    <mergeCell ref="B53:F53"/>
    <mergeCell ref="B54:F54"/>
    <mergeCell ref="B55:F55"/>
    <mergeCell ref="K42:Q42"/>
    <mergeCell ref="K43:Q43"/>
    <mergeCell ref="K44:Q44"/>
    <mergeCell ref="A46:U47"/>
    <mergeCell ref="K41:Q41"/>
    <mergeCell ref="B48:F48"/>
    <mergeCell ref="B49:F49"/>
    <mergeCell ref="B51:F51"/>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R71:U77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S85:U88 R81:R88 H85:J88 S81:U82 G81:G88 H81:J8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tabSelected="1" view="pageBreakPreview" zoomScaleNormal="100" zoomScaleSheetLayoutView="100" workbookViewId="0">
      <selection activeCell="E5" sqref="E5"/>
    </sheetView>
  </sheetViews>
  <sheetFormatPr defaultColWidth="9" defaultRowHeight="18.75" customHeight="1"/>
  <cols>
    <col min="1" max="1" width="2.875" style="1" customWidth="1"/>
    <col min="2" max="2" width="20.875" style="1" customWidth="1"/>
    <col min="3" max="18" width="6.125" style="1" customWidth="1"/>
    <col min="19" max="19" width="6.625" style="1" customWidth="1"/>
    <col min="20" max="16384" width="9" style="1"/>
  </cols>
  <sheetData>
    <row r="1" spans="1:21" ht="18" customHeight="1">
      <c r="A1" s="59"/>
      <c r="B1" s="59"/>
      <c r="C1" s="59"/>
      <c r="D1" s="59"/>
      <c r="E1" s="59"/>
      <c r="F1" s="59"/>
      <c r="G1" s="59"/>
      <c r="H1" s="59"/>
      <c r="I1" s="59"/>
      <c r="J1" s="59"/>
      <c r="K1" s="59"/>
      <c r="L1" s="59"/>
      <c r="M1" s="59"/>
      <c r="N1" s="59"/>
      <c r="O1" s="59"/>
      <c r="P1" s="59"/>
      <c r="Q1" s="59"/>
      <c r="R1" s="59"/>
      <c r="S1" s="59" t="s">
        <v>98</v>
      </c>
    </row>
    <row r="2" spans="1:21" ht="18" customHeight="1">
      <c r="A2" s="59"/>
      <c r="B2" s="59"/>
      <c r="C2" s="59"/>
      <c r="D2" s="59"/>
      <c r="E2" s="59"/>
      <c r="F2" s="59"/>
      <c r="G2" s="59"/>
      <c r="H2" s="59"/>
      <c r="I2" s="59"/>
      <c r="J2" s="59"/>
      <c r="K2" s="59"/>
      <c r="L2" s="59"/>
      <c r="M2" s="59"/>
      <c r="N2" s="59"/>
      <c r="O2" s="59"/>
      <c r="P2" s="59"/>
      <c r="Q2" s="93" t="str">
        <f>'様式１　プログラムを構成する授業科目'!C2</f>
        <v>志學館大学</v>
      </c>
      <c r="R2" s="93"/>
      <c r="S2" s="93"/>
    </row>
    <row r="3" spans="1:21" ht="18" customHeight="1">
      <c r="A3" s="94" t="s">
        <v>47</v>
      </c>
      <c r="B3" s="94"/>
      <c r="C3" s="94"/>
      <c r="D3" s="94"/>
      <c r="E3" s="94"/>
      <c r="F3" s="94"/>
      <c r="G3" s="94"/>
      <c r="H3" s="94"/>
      <c r="I3" s="94"/>
      <c r="J3" s="94"/>
      <c r="K3" s="94"/>
      <c r="L3" s="94"/>
      <c r="M3" s="94"/>
      <c r="N3" s="94"/>
      <c r="O3" s="94"/>
      <c r="P3" s="94"/>
      <c r="Q3" s="94"/>
      <c r="R3" s="94"/>
      <c r="S3" s="94"/>
    </row>
    <row r="4" spans="1:21" ht="7.5" customHeight="1">
      <c r="A4" s="64"/>
      <c r="B4" s="64"/>
      <c r="C4" s="64"/>
      <c r="D4" s="64"/>
      <c r="E4" s="64"/>
      <c r="F4" s="64"/>
      <c r="G4" s="64"/>
      <c r="H4" s="64"/>
      <c r="I4" s="64"/>
      <c r="J4" s="64"/>
      <c r="K4" s="64"/>
      <c r="L4" s="64"/>
      <c r="M4" s="64"/>
      <c r="N4" s="64"/>
      <c r="O4" s="64"/>
      <c r="P4" s="64"/>
      <c r="Q4" s="64"/>
      <c r="R4" s="64"/>
      <c r="S4" s="64"/>
    </row>
    <row r="5" spans="1:21" ht="18" customHeight="1">
      <c r="A5" s="59" t="s">
        <v>80</v>
      </c>
      <c r="B5" s="59"/>
      <c r="C5" s="95" t="s">
        <v>196</v>
      </c>
      <c r="D5" s="96"/>
      <c r="E5" s="64" t="s">
        <v>51</v>
      </c>
      <c r="F5" s="64"/>
      <c r="G5" s="64"/>
      <c r="H5" s="64"/>
      <c r="I5" s="64"/>
      <c r="J5" s="64"/>
      <c r="K5" s="64"/>
      <c r="L5" s="64"/>
      <c r="M5" s="64"/>
      <c r="N5" s="64"/>
      <c r="O5" s="64"/>
      <c r="P5" s="64"/>
      <c r="Q5" s="64"/>
      <c r="R5" s="62"/>
      <c r="S5" s="62"/>
    </row>
    <row r="6" spans="1:21" ht="7.35" customHeight="1">
      <c r="A6" s="59"/>
      <c r="B6" s="59"/>
      <c r="C6" s="69"/>
      <c r="D6" s="69"/>
      <c r="E6" s="64"/>
      <c r="F6" s="64"/>
      <c r="G6" s="64"/>
      <c r="H6" s="64"/>
      <c r="I6" s="64"/>
      <c r="J6" s="64"/>
      <c r="K6" s="64"/>
      <c r="L6" s="64"/>
      <c r="M6" s="64"/>
      <c r="N6" s="64"/>
      <c r="O6" s="64"/>
      <c r="P6" s="64"/>
      <c r="Q6" s="64"/>
      <c r="R6" s="62"/>
      <c r="S6" s="62"/>
    </row>
    <row r="7" spans="1:21" ht="18" customHeight="1">
      <c r="A7" s="59" t="s">
        <v>118</v>
      </c>
      <c r="B7" s="59"/>
      <c r="C7" s="69"/>
      <c r="D7" s="69"/>
      <c r="E7" s="64" t="s">
        <v>119</v>
      </c>
      <c r="F7" s="67">
        <v>764</v>
      </c>
      <c r="G7" s="65" t="s">
        <v>120</v>
      </c>
      <c r="H7" s="64" t="s">
        <v>121</v>
      </c>
      <c r="I7" s="67">
        <v>671</v>
      </c>
      <c r="J7" s="65" t="s">
        <v>120</v>
      </c>
      <c r="K7" s="60" t="s">
        <v>122</v>
      </c>
      <c r="L7" s="64" t="s">
        <v>123</v>
      </c>
      <c r="M7" s="67">
        <f>F7+I7</f>
        <v>1435</v>
      </c>
      <c r="N7" s="64" t="s">
        <v>1</v>
      </c>
      <c r="O7" s="65" t="s">
        <v>124</v>
      </c>
      <c r="P7" s="64"/>
      <c r="Q7" s="64"/>
      <c r="R7" s="62"/>
      <c r="S7" s="62"/>
    </row>
    <row r="8" spans="1:21" ht="6" customHeight="1">
      <c r="A8" s="64"/>
      <c r="B8" s="64"/>
      <c r="C8" s="64"/>
      <c r="D8" s="64"/>
      <c r="E8" s="64"/>
      <c r="F8" s="64"/>
      <c r="G8" s="64"/>
      <c r="H8" s="64"/>
      <c r="I8" s="64"/>
      <c r="J8" s="64"/>
      <c r="K8" s="64"/>
      <c r="L8" s="64"/>
      <c r="M8" s="64"/>
      <c r="N8" s="64"/>
      <c r="O8" s="64"/>
      <c r="P8" s="64"/>
      <c r="Q8" s="64"/>
      <c r="R8" s="64"/>
      <c r="S8" s="64"/>
    </row>
    <row r="9" spans="1:21" ht="18" customHeight="1">
      <c r="A9" s="59" t="s">
        <v>134</v>
      </c>
      <c r="B9" s="64"/>
      <c r="C9" s="64"/>
      <c r="D9" s="64"/>
      <c r="E9" s="64"/>
      <c r="F9" s="64"/>
      <c r="G9" s="64"/>
      <c r="H9" s="64"/>
      <c r="I9" s="64"/>
      <c r="J9" s="64"/>
      <c r="K9" s="64"/>
      <c r="L9" s="64"/>
      <c r="M9" s="64"/>
      <c r="N9" s="64"/>
      <c r="O9" s="64"/>
      <c r="P9" s="64"/>
      <c r="Q9" s="64"/>
      <c r="R9" s="64"/>
      <c r="S9" s="64"/>
    </row>
    <row r="10" spans="1:21" ht="6" customHeight="1">
      <c r="B10" s="3"/>
      <c r="C10" s="3"/>
      <c r="D10" s="3"/>
      <c r="E10" s="3"/>
      <c r="F10" s="3"/>
      <c r="G10" s="3"/>
      <c r="H10" s="3"/>
      <c r="I10" s="3"/>
      <c r="J10" s="3"/>
      <c r="K10" s="3"/>
      <c r="L10" s="3"/>
      <c r="M10" s="3"/>
      <c r="N10" s="3"/>
      <c r="O10" s="3"/>
      <c r="P10" s="3"/>
      <c r="Q10" s="3"/>
      <c r="R10" s="3"/>
      <c r="S10" s="3"/>
    </row>
    <row r="11" spans="1:21" ht="18" customHeight="1">
      <c r="B11" s="97" t="s">
        <v>44</v>
      </c>
      <c r="C11" s="107" t="s">
        <v>83</v>
      </c>
      <c r="D11" s="99" t="s">
        <v>46</v>
      </c>
      <c r="E11" s="101" t="s">
        <v>39</v>
      </c>
      <c r="F11" s="92" t="s">
        <v>112</v>
      </c>
      <c r="G11" s="92"/>
      <c r="H11" s="92" t="s">
        <v>82</v>
      </c>
      <c r="I11" s="92"/>
      <c r="J11" s="92" t="s">
        <v>48</v>
      </c>
      <c r="K11" s="92"/>
      <c r="L11" s="92" t="s">
        <v>49</v>
      </c>
      <c r="M11" s="92"/>
      <c r="N11" s="92" t="s">
        <v>92</v>
      </c>
      <c r="O11" s="92"/>
      <c r="P11" s="92" t="s">
        <v>50</v>
      </c>
      <c r="Q11" s="92"/>
      <c r="R11" s="103" t="s">
        <v>35</v>
      </c>
      <c r="S11" s="105" t="s">
        <v>32</v>
      </c>
      <c r="U11" s="2"/>
    </row>
    <row r="12" spans="1:21" ht="17.100000000000001" customHeight="1">
      <c r="B12" s="98"/>
      <c r="C12" s="108"/>
      <c r="D12" s="100"/>
      <c r="E12" s="102"/>
      <c r="F12" s="48" t="s">
        <v>91</v>
      </c>
      <c r="G12" s="48" t="s">
        <v>29</v>
      </c>
      <c r="H12" s="48" t="s">
        <v>91</v>
      </c>
      <c r="I12" s="48" t="s">
        <v>29</v>
      </c>
      <c r="J12" s="48" t="s">
        <v>91</v>
      </c>
      <c r="K12" s="48" t="s">
        <v>29</v>
      </c>
      <c r="L12" s="48" t="s">
        <v>91</v>
      </c>
      <c r="M12" s="48" t="s">
        <v>29</v>
      </c>
      <c r="N12" s="48" t="s">
        <v>91</v>
      </c>
      <c r="O12" s="48" t="s">
        <v>29</v>
      </c>
      <c r="P12" s="48" t="s">
        <v>91</v>
      </c>
      <c r="Q12" s="49" t="s">
        <v>29</v>
      </c>
      <c r="R12" s="104"/>
      <c r="S12" s="106"/>
      <c r="U12" s="2"/>
    </row>
    <row r="13" spans="1:21" ht="18" customHeight="1">
      <c r="A13" s="6"/>
      <c r="B13" s="50" t="s">
        <v>165</v>
      </c>
      <c r="C13" s="36">
        <v>843</v>
      </c>
      <c r="D13" s="37">
        <v>200</v>
      </c>
      <c r="E13" s="38">
        <v>810</v>
      </c>
      <c r="F13" s="38">
        <v>184</v>
      </c>
      <c r="G13" s="38">
        <v>0</v>
      </c>
      <c r="H13" s="38"/>
      <c r="I13" s="38"/>
      <c r="J13" s="38"/>
      <c r="K13" s="38"/>
      <c r="L13" s="38"/>
      <c r="M13" s="38"/>
      <c r="N13" s="38"/>
      <c r="O13" s="38"/>
      <c r="P13" s="38"/>
      <c r="Q13" s="51"/>
      <c r="R13" s="37">
        <f t="shared" ref="R13:R32" si="0">F13+H13+J13+L13+N13+P13</f>
        <v>184</v>
      </c>
      <c r="S13" s="70">
        <f t="shared" ref="S13:S33" si="1">R13/E13</f>
        <v>0.2271604938271605</v>
      </c>
    </row>
    <row r="14" spans="1:21" ht="18" customHeight="1">
      <c r="A14" s="6"/>
      <c r="B14" s="11" t="s">
        <v>166</v>
      </c>
      <c r="C14" s="39">
        <v>592</v>
      </c>
      <c r="D14" s="40">
        <v>145</v>
      </c>
      <c r="E14" s="41">
        <v>590</v>
      </c>
      <c r="F14" s="42">
        <v>120</v>
      </c>
      <c r="G14" s="42">
        <v>0</v>
      </c>
      <c r="H14" s="42"/>
      <c r="I14" s="42"/>
      <c r="J14" s="42"/>
      <c r="K14" s="42"/>
      <c r="L14" s="42"/>
      <c r="M14" s="42"/>
      <c r="N14" s="42"/>
      <c r="O14" s="42"/>
      <c r="P14" s="42"/>
      <c r="Q14" s="39"/>
      <c r="R14" s="40">
        <f t="shared" si="0"/>
        <v>120</v>
      </c>
      <c r="S14" s="8">
        <f t="shared" si="1"/>
        <v>0.20338983050847459</v>
      </c>
    </row>
    <row r="15" spans="1:21" ht="18" customHeight="1">
      <c r="A15" s="6"/>
      <c r="B15" s="11"/>
      <c r="C15" s="39"/>
      <c r="D15" s="40"/>
      <c r="E15" s="41"/>
      <c r="F15" s="42"/>
      <c r="G15" s="42"/>
      <c r="H15" s="42"/>
      <c r="I15" s="42"/>
      <c r="J15" s="42"/>
      <c r="K15" s="42"/>
      <c r="L15" s="42"/>
      <c r="M15" s="42"/>
      <c r="N15" s="42"/>
      <c r="O15" s="42"/>
      <c r="P15" s="42"/>
      <c r="Q15" s="39"/>
      <c r="R15" s="40">
        <f t="shared" si="0"/>
        <v>0</v>
      </c>
      <c r="S15" s="8" t="e">
        <f t="shared" si="1"/>
        <v>#DIV/0!</v>
      </c>
    </row>
    <row r="16" spans="1:21" ht="18" customHeight="1">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c r="B33" s="13" t="s">
        <v>33</v>
      </c>
      <c r="C33" s="45">
        <f t="shared" ref="C33" si="2">SUM(C13:C32)</f>
        <v>1435</v>
      </c>
      <c r="D33" s="46">
        <f t="shared" ref="D33:R33" si="3">SUM(D13:D32)</f>
        <v>345</v>
      </c>
      <c r="E33" s="47">
        <f t="shared" si="3"/>
        <v>1400</v>
      </c>
      <c r="F33" s="47">
        <f t="shared" si="3"/>
        <v>304</v>
      </c>
      <c r="G33" s="47">
        <f t="shared" ref="G33:H33" si="4">SUM(G13:G32)</f>
        <v>0</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304</v>
      </c>
      <c r="S33" s="9">
        <f t="shared" si="1"/>
        <v>0.21714285714285714</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H50" sqref="H50"/>
    </sheetView>
  </sheetViews>
  <sheetFormatPr defaultColWidth="11.375" defaultRowHeight="18.75" customHeight="1"/>
  <cols>
    <col min="1" max="1" width="2.875" style="18" customWidth="1"/>
    <col min="2" max="2" width="16.625" style="1" customWidth="1"/>
    <col min="3" max="3" width="8.875" style="1" customWidth="1"/>
    <col min="4" max="4" width="2.125" style="1" customWidth="1"/>
    <col min="5" max="5" width="16.625" style="1" customWidth="1"/>
    <col min="6" max="6" width="4.375" style="1" customWidth="1"/>
    <col min="7" max="7" width="9.5" style="1" customWidth="1"/>
    <col min="8" max="8" width="16.625" style="1" customWidth="1"/>
    <col min="9" max="9" width="12.125" style="1" customWidth="1"/>
    <col min="10" max="16384" width="11.375" style="1"/>
  </cols>
  <sheetData>
    <row r="1" spans="1:10" ht="18.75" customHeight="1">
      <c r="A1" s="18" t="s">
        <v>63</v>
      </c>
      <c r="I1" s="17" t="s">
        <v>97</v>
      </c>
    </row>
    <row r="2" spans="1:10" ht="18.75" customHeight="1">
      <c r="G2" s="17" t="s">
        <v>99</v>
      </c>
      <c r="H2" s="187" t="str">
        <f>'様式１　プログラムを構成する授業科目'!C2</f>
        <v>志學館大学</v>
      </c>
      <c r="I2" s="188"/>
    </row>
    <row r="3" spans="1:10" ht="18.75" customHeight="1">
      <c r="G3" s="17"/>
      <c r="H3" s="10"/>
      <c r="I3" s="10"/>
    </row>
    <row r="4" spans="1:10" ht="18.600000000000001" customHeight="1">
      <c r="A4" s="189" t="s">
        <v>36</v>
      </c>
      <c r="B4" s="189"/>
      <c r="C4" s="189"/>
      <c r="D4" s="189"/>
      <c r="E4" s="189"/>
      <c r="F4" s="189"/>
      <c r="G4" s="189"/>
      <c r="H4" s="189"/>
      <c r="I4" s="189"/>
    </row>
    <row r="5" spans="1:10" ht="13.35" customHeight="1">
      <c r="B5" s="3"/>
      <c r="C5" s="3"/>
      <c r="D5" s="3"/>
      <c r="E5" s="3"/>
      <c r="F5" s="3"/>
      <c r="G5" s="3"/>
      <c r="H5" s="3"/>
      <c r="I5" s="3"/>
    </row>
    <row r="6" spans="1:10" ht="18" customHeight="1">
      <c r="A6" s="1" t="s">
        <v>0</v>
      </c>
      <c r="B6" s="10" t="s">
        <v>86</v>
      </c>
      <c r="C6" s="212" t="s">
        <v>87</v>
      </c>
      <c r="D6" s="212"/>
      <c r="E6" s="61">
        <v>60</v>
      </c>
      <c r="F6" s="3" t="s">
        <v>1</v>
      </c>
      <c r="G6" s="3" t="s">
        <v>2</v>
      </c>
      <c r="H6" s="61">
        <v>82</v>
      </c>
      <c r="I6" s="10" t="s">
        <v>1</v>
      </c>
    </row>
    <row r="7" spans="1:10" ht="12" customHeight="1">
      <c r="C7" s="2"/>
      <c r="D7" s="2"/>
      <c r="E7" s="2"/>
      <c r="F7" s="2"/>
      <c r="G7" s="2"/>
      <c r="H7" s="2"/>
      <c r="I7" s="19"/>
    </row>
    <row r="8" spans="1:10" ht="18" customHeight="1">
      <c r="A8" s="1" t="s">
        <v>3</v>
      </c>
      <c r="B8" s="10" t="s">
        <v>88</v>
      </c>
      <c r="E8" s="3"/>
      <c r="F8" s="3"/>
      <c r="G8" s="3"/>
      <c r="H8" s="61">
        <v>4</v>
      </c>
      <c r="I8" s="10" t="s">
        <v>1</v>
      </c>
      <c r="J8" s="1" t="s">
        <v>168</v>
      </c>
    </row>
    <row r="9" spans="1:10" ht="9" customHeight="1">
      <c r="B9" s="3"/>
      <c r="C9" s="3"/>
      <c r="D9" s="3"/>
      <c r="E9" s="3"/>
      <c r="F9" s="3"/>
      <c r="G9" s="3"/>
      <c r="H9" s="3"/>
      <c r="I9" s="3"/>
    </row>
    <row r="10" spans="1:10" ht="18" customHeight="1">
      <c r="A10" s="1" t="s">
        <v>4</v>
      </c>
      <c r="B10" s="10" t="s">
        <v>89</v>
      </c>
      <c r="C10" s="3"/>
      <c r="D10" s="3"/>
      <c r="E10" s="3"/>
      <c r="F10" s="3"/>
      <c r="G10" s="3"/>
      <c r="H10" s="3"/>
      <c r="I10" s="3"/>
    </row>
    <row r="11" spans="1:10" ht="18" customHeight="1">
      <c r="B11" s="17" t="s">
        <v>42</v>
      </c>
      <c r="C11" s="209" t="s">
        <v>170</v>
      </c>
      <c r="D11" s="210"/>
      <c r="E11" s="211"/>
      <c r="F11" s="19"/>
      <c r="G11" s="17" t="s">
        <v>10</v>
      </c>
      <c r="H11" s="209" t="s">
        <v>171</v>
      </c>
      <c r="I11" s="211"/>
    </row>
    <row r="12" spans="1:10" ht="10.35" customHeight="1">
      <c r="B12" s="17"/>
      <c r="C12" s="10"/>
      <c r="D12" s="19"/>
      <c r="E12" s="19"/>
      <c r="F12" s="19"/>
      <c r="G12" s="17"/>
      <c r="H12" s="10"/>
      <c r="I12" s="19"/>
    </row>
    <row r="13" spans="1:10" ht="18" customHeight="1">
      <c r="A13" s="1" t="s">
        <v>7</v>
      </c>
      <c r="B13" s="10" t="s">
        <v>84</v>
      </c>
      <c r="C13" s="3"/>
      <c r="D13" s="3"/>
      <c r="E13" s="3"/>
      <c r="F13" s="3"/>
      <c r="G13" s="3"/>
      <c r="H13" s="3"/>
      <c r="I13" s="3"/>
    </row>
    <row r="14" spans="1:10" ht="18" customHeight="1">
      <c r="B14" s="204" t="s">
        <v>172</v>
      </c>
      <c r="C14" s="205"/>
      <c r="D14" s="205"/>
      <c r="E14" s="205"/>
      <c r="F14" s="205"/>
      <c r="G14" s="205"/>
      <c r="H14" s="205"/>
      <c r="I14" s="206"/>
    </row>
    <row r="15" spans="1:10" ht="9" customHeight="1">
      <c r="B15" s="72"/>
      <c r="C15" s="72"/>
      <c r="D15" s="72"/>
      <c r="E15" s="72"/>
      <c r="F15" s="72"/>
      <c r="G15" s="72"/>
      <c r="H15" s="72"/>
      <c r="I15" s="72"/>
    </row>
    <row r="16" spans="1:10" ht="18" customHeight="1">
      <c r="B16" s="73" t="s">
        <v>42</v>
      </c>
      <c r="C16" s="204" t="s">
        <v>149</v>
      </c>
      <c r="D16" s="207"/>
      <c r="E16" s="208"/>
      <c r="F16" s="74"/>
      <c r="G16" s="73" t="s">
        <v>10</v>
      </c>
      <c r="H16" s="204" t="s">
        <v>148</v>
      </c>
      <c r="I16" s="208"/>
    </row>
    <row r="17" spans="1:9" ht="18" customHeight="1">
      <c r="B17" s="72"/>
      <c r="C17" s="72"/>
      <c r="D17" s="72"/>
      <c r="E17" s="72"/>
      <c r="F17" s="72"/>
      <c r="G17" s="72"/>
      <c r="H17" s="72"/>
      <c r="I17" s="72"/>
    </row>
    <row r="18" spans="1:9" ht="18.75" customHeight="1">
      <c r="A18" s="1" t="s">
        <v>5</v>
      </c>
      <c r="B18" s="75" t="s">
        <v>41</v>
      </c>
      <c r="C18" s="75"/>
      <c r="D18" s="75"/>
      <c r="E18" s="75"/>
      <c r="F18" s="75"/>
      <c r="G18" s="75"/>
      <c r="H18" s="75"/>
      <c r="I18" s="72"/>
    </row>
    <row r="19" spans="1:9" ht="18.75" customHeight="1">
      <c r="A19" s="1"/>
      <c r="B19" s="190" t="s">
        <v>175</v>
      </c>
      <c r="C19" s="191"/>
      <c r="D19" s="191"/>
      <c r="E19" s="191"/>
      <c r="F19" s="191"/>
      <c r="G19" s="191"/>
      <c r="H19" s="191"/>
      <c r="I19" s="192"/>
    </row>
    <row r="20" spans="1:9" ht="7.5" customHeight="1">
      <c r="B20" s="3"/>
      <c r="C20" s="3"/>
      <c r="D20" s="3"/>
      <c r="E20" s="3"/>
      <c r="F20" s="3"/>
      <c r="G20" s="3"/>
      <c r="H20" s="3"/>
      <c r="I20" s="3"/>
    </row>
    <row r="21" spans="1:9" ht="18.75" customHeight="1">
      <c r="A21" s="1" t="s">
        <v>8</v>
      </c>
      <c r="B21" s="1" t="s">
        <v>25</v>
      </c>
    </row>
    <row r="22" spans="1:9" ht="18.75" customHeight="1">
      <c r="A22" s="14"/>
      <c r="B22" s="193" t="s">
        <v>176</v>
      </c>
      <c r="C22" s="194"/>
      <c r="D22" s="194"/>
      <c r="E22" s="194"/>
      <c r="F22" s="194"/>
      <c r="G22" s="194"/>
      <c r="H22" s="194"/>
      <c r="I22" s="195"/>
    </row>
    <row r="23" spans="1:9" ht="18.75" customHeight="1">
      <c r="A23" s="14"/>
      <c r="B23" s="196"/>
      <c r="C23" s="197"/>
      <c r="D23" s="197"/>
      <c r="E23" s="197"/>
      <c r="F23" s="197"/>
      <c r="G23" s="197"/>
      <c r="H23" s="197"/>
      <c r="I23" s="198"/>
    </row>
    <row r="24" spans="1:9" ht="18.75" customHeight="1">
      <c r="A24" s="14"/>
      <c r="B24" s="196"/>
      <c r="C24" s="197"/>
      <c r="D24" s="197"/>
      <c r="E24" s="197"/>
      <c r="F24" s="197"/>
      <c r="G24" s="197"/>
      <c r="H24" s="197"/>
      <c r="I24" s="198"/>
    </row>
    <row r="25" spans="1:9" ht="18.75" customHeight="1">
      <c r="A25" s="14"/>
      <c r="B25" s="196"/>
      <c r="C25" s="197"/>
      <c r="D25" s="197"/>
      <c r="E25" s="197"/>
      <c r="F25" s="197"/>
      <c r="G25" s="197"/>
      <c r="H25" s="197"/>
      <c r="I25" s="198"/>
    </row>
    <row r="26" spans="1:9" ht="18.75" customHeight="1">
      <c r="A26" s="14"/>
      <c r="B26" s="196"/>
      <c r="C26" s="197"/>
      <c r="D26" s="197"/>
      <c r="E26" s="197"/>
      <c r="F26" s="197"/>
      <c r="G26" s="197"/>
      <c r="H26" s="197"/>
      <c r="I26" s="198"/>
    </row>
    <row r="27" spans="1:9" ht="18.75" customHeight="1">
      <c r="A27" s="14"/>
      <c r="B27" s="196"/>
      <c r="C27" s="197"/>
      <c r="D27" s="197"/>
      <c r="E27" s="197"/>
      <c r="F27" s="197"/>
      <c r="G27" s="197"/>
      <c r="H27" s="197"/>
      <c r="I27" s="198"/>
    </row>
    <row r="28" spans="1:9" ht="18.75" customHeight="1">
      <c r="A28" s="14"/>
      <c r="B28" s="196"/>
      <c r="C28" s="197"/>
      <c r="D28" s="197"/>
      <c r="E28" s="197"/>
      <c r="F28" s="197"/>
      <c r="G28" s="197"/>
      <c r="H28" s="197"/>
      <c r="I28" s="198"/>
    </row>
    <row r="29" spans="1:9" ht="18.75" customHeight="1">
      <c r="A29" s="14"/>
      <c r="B29" s="196"/>
      <c r="C29" s="197"/>
      <c r="D29" s="197"/>
      <c r="E29" s="197"/>
      <c r="F29" s="197"/>
      <c r="G29" s="197"/>
      <c r="H29" s="197"/>
      <c r="I29" s="198"/>
    </row>
    <row r="30" spans="1:9" ht="18.75" customHeight="1">
      <c r="A30" s="14"/>
      <c r="B30" s="199"/>
      <c r="C30" s="200"/>
      <c r="D30" s="200"/>
      <c r="E30" s="200"/>
      <c r="F30" s="200"/>
      <c r="G30" s="200"/>
      <c r="H30" s="200"/>
      <c r="I30" s="198"/>
    </row>
    <row r="31" spans="1:9" ht="18.75" customHeight="1">
      <c r="A31" s="14"/>
      <c r="B31" s="199"/>
      <c r="C31" s="200"/>
      <c r="D31" s="200"/>
      <c r="E31" s="200"/>
      <c r="F31" s="200"/>
      <c r="G31" s="200"/>
      <c r="H31" s="200"/>
      <c r="I31" s="198"/>
    </row>
    <row r="32" spans="1:9" ht="18.75" customHeight="1">
      <c r="A32" s="14"/>
      <c r="B32" s="201"/>
      <c r="C32" s="202"/>
      <c r="D32" s="202"/>
      <c r="E32" s="202"/>
      <c r="F32" s="202"/>
      <c r="G32" s="202"/>
      <c r="H32" s="202"/>
      <c r="I32" s="203"/>
    </row>
    <row r="33" spans="1:9" ht="7.5" customHeight="1">
      <c r="A33" s="14"/>
      <c r="B33" s="14"/>
      <c r="C33" s="14"/>
      <c r="D33" s="14"/>
      <c r="E33" s="14"/>
      <c r="F33" s="14"/>
      <c r="G33" s="14"/>
      <c r="H33" s="14"/>
      <c r="I33" s="14"/>
    </row>
    <row r="34" spans="1:9" ht="18.75" customHeight="1">
      <c r="A34" s="15" t="s">
        <v>6</v>
      </c>
      <c r="B34" s="15" t="s">
        <v>9</v>
      </c>
      <c r="C34" s="10"/>
      <c r="D34" s="15"/>
      <c r="E34" s="15"/>
      <c r="F34" s="15"/>
      <c r="G34" s="15"/>
      <c r="H34" s="15"/>
      <c r="I34" s="15"/>
    </row>
    <row r="35" spans="1:9" ht="18.75" customHeight="1">
      <c r="A35" s="14"/>
      <c r="B35" s="193" t="s">
        <v>194</v>
      </c>
      <c r="C35" s="194"/>
      <c r="D35" s="194"/>
      <c r="E35" s="194"/>
      <c r="F35" s="194"/>
      <c r="G35" s="194"/>
      <c r="H35" s="194"/>
      <c r="I35" s="195"/>
    </row>
    <row r="36" spans="1:9" ht="18.75" customHeight="1">
      <c r="A36" s="14"/>
      <c r="B36" s="199"/>
      <c r="C36" s="200"/>
      <c r="D36" s="200"/>
      <c r="E36" s="200"/>
      <c r="F36" s="200"/>
      <c r="G36" s="200"/>
      <c r="H36" s="200"/>
      <c r="I36" s="198"/>
    </row>
    <row r="37" spans="1:9" ht="18.75" customHeight="1">
      <c r="A37" s="14"/>
      <c r="B37" s="199"/>
      <c r="C37" s="200"/>
      <c r="D37" s="200"/>
      <c r="E37" s="200"/>
      <c r="F37" s="200"/>
      <c r="G37" s="200"/>
      <c r="H37" s="200"/>
      <c r="I37" s="198"/>
    </row>
    <row r="38" spans="1:9" ht="18.75" customHeight="1">
      <c r="A38" s="14"/>
      <c r="B38" s="199"/>
      <c r="C38" s="200"/>
      <c r="D38" s="200"/>
      <c r="E38" s="200"/>
      <c r="F38" s="200"/>
      <c r="G38" s="200"/>
      <c r="H38" s="200"/>
      <c r="I38" s="198"/>
    </row>
    <row r="39" spans="1:9" ht="18.75" customHeight="1">
      <c r="A39" s="14"/>
      <c r="B39" s="199"/>
      <c r="C39" s="200"/>
      <c r="D39" s="200"/>
      <c r="E39" s="200"/>
      <c r="F39" s="200"/>
      <c r="G39" s="200"/>
      <c r="H39" s="200"/>
      <c r="I39" s="198"/>
    </row>
    <row r="40" spans="1:9" ht="18.75" customHeight="1">
      <c r="A40" s="14"/>
      <c r="B40" s="199"/>
      <c r="C40" s="200"/>
      <c r="D40" s="200"/>
      <c r="E40" s="200"/>
      <c r="F40" s="200"/>
      <c r="G40" s="200"/>
      <c r="H40" s="200"/>
      <c r="I40" s="198"/>
    </row>
    <row r="41" spans="1:9" ht="18.75" customHeight="1">
      <c r="A41" s="14"/>
      <c r="B41" s="199"/>
      <c r="C41" s="200"/>
      <c r="D41" s="200"/>
      <c r="E41" s="200"/>
      <c r="F41" s="200"/>
      <c r="G41" s="200"/>
      <c r="H41" s="200"/>
      <c r="I41" s="198"/>
    </row>
    <row r="42" spans="1:9" ht="18.75" customHeight="1">
      <c r="A42" s="14"/>
      <c r="B42" s="199"/>
      <c r="C42" s="200"/>
      <c r="D42" s="200"/>
      <c r="E42" s="200"/>
      <c r="F42" s="200"/>
      <c r="G42" s="200"/>
      <c r="H42" s="200"/>
      <c r="I42" s="198"/>
    </row>
    <row r="43" spans="1:9" ht="18.75" customHeight="1">
      <c r="A43" s="14"/>
      <c r="B43" s="199"/>
      <c r="C43" s="200"/>
      <c r="D43" s="200"/>
      <c r="E43" s="200"/>
      <c r="F43" s="200"/>
      <c r="G43" s="200"/>
      <c r="H43" s="200"/>
      <c r="I43" s="198"/>
    </row>
    <row r="44" spans="1:9" ht="18.75" customHeight="1">
      <c r="A44" s="14"/>
      <c r="B44" s="199"/>
      <c r="C44" s="200"/>
      <c r="D44" s="200"/>
      <c r="E44" s="200"/>
      <c r="F44" s="200"/>
      <c r="G44" s="200"/>
      <c r="H44" s="200"/>
      <c r="I44" s="198"/>
    </row>
    <row r="45" spans="1:9" ht="18.75" customHeight="1">
      <c r="A45" s="14"/>
      <c r="B45" s="199"/>
      <c r="C45" s="200"/>
      <c r="D45" s="200"/>
      <c r="E45" s="200"/>
      <c r="F45" s="200"/>
      <c r="G45" s="200"/>
      <c r="H45" s="200"/>
      <c r="I45" s="198"/>
    </row>
    <row r="46" spans="1:9" ht="18.75" customHeight="1">
      <c r="A46" s="14"/>
      <c r="B46" s="201"/>
      <c r="C46" s="202"/>
      <c r="D46" s="202"/>
      <c r="E46" s="202"/>
      <c r="F46" s="202"/>
      <c r="G46" s="202"/>
      <c r="H46" s="202"/>
      <c r="I46" s="203"/>
    </row>
    <row r="47" spans="1:9" ht="7.5" customHeight="1">
      <c r="A47" s="4"/>
      <c r="B47" s="4"/>
      <c r="C47" s="4"/>
      <c r="D47" s="4"/>
      <c r="E47" s="4"/>
      <c r="F47" s="4"/>
      <c r="G47" s="4"/>
      <c r="H47" s="4"/>
      <c r="I47" s="4"/>
    </row>
    <row r="48" spans="1:9" ht="18.75" customHeight="1">
      <c r="A48" s="1" t="s">
        <v>31</v>
      </c>
      <c r="B48" s="1" t="s">
        <v>111</v>
      </c>
    </row>
    <row r="49" spans="1:15" s="3" customFormat="1" ht="18.75" customHeight="1">
      <c r="B49" s="20" t="s">
        <v>128</v>
      </c>
      <c r="C49" s="234">
        <f>'様式２ 履修者等数の実績'!S33</f>
        <v>0.21714285714285714</v>
      </c>
      <c r="D49" s="234"/>
      <c r="E49" s="20" t="s">
        <v>64</v>
      </c>
      <c r="F49" s="234">
        <v>0.33</v>
      </c>
      <c r="G49" s="234"/>
      <c r="H49" s="20" t="s">
        <v>65</v>
      </c>
      <c r="I49" s="21">
        <v>0.45</v>
      </c>
      <c r="J49" s="1"/>
      <c r="M49" s="1"/>
      <c r="N49" s="22"/>
    </row>
    <row r="50" spans="1:15" s="3" customFormat="1" ht="18.75" customHeight="1">
      <c r="B50" s="23" t="s">
        <v>85</v>
      </c>
      <c r="C50" s="217">
        <v>0.56000000000000005</v>
      </c>
      <c r="D50" s="217"/>
      <c r="E50" s="23" t="s">
        <v>129</v>
      </c>
      <c r="F50" s="217">
        <v>0.65</v>
      </c>
      <c r="G50" s="217"/>
      <c r="H50" s="23" t="s">
        <v>66</v>
      </c>
      <c r="I50" s="24">
        <f>'様式２ 履修者等数の実績'!E33</f>
        <v>1400</v>
      </c>
      <c r="J50" s="1"/>
      <c r="M50" s="1"/>
      <c r="N50" s="22"/>
    </row>
    <row r="51" spans="1:15" ht="18.75" customHeight="1">
      <c r="A51" s="1"/>
      <c r="B51" s="214" t="s">
        <v>67</v>
      </c>
      <c r="C51" s="215"/>
      <c r="D51" s="215"/>
      <c r="E51" s="215"/>
      <c r="F51" s="215"/>
      <c r="G51" s="215"/>
      <c r="H51" s="215"/>
      <c r="I51" s="216"/>
      <c r="N51" s="22"/>
      <c r="O51" s="3"/>
    </row>
    <row r="52" spans="1:15" ht="18.75" customHeight="1">
      <c r="A52" s="1"/>
      <c r="B52" s="235" t="s">
        <v>195</v>
      </c>
      <c r="C52" s="236"/>
      <c r="D52" s="236"/>
      <c r="E52" s="236"/>
      <c r="F52" s="236"/>
      <c r="G52" s="236"/>
      <c r="H52" s="236"/>
      <c r="I52" s="237"/>
      <c r="N52" s="22"/>
      <c r="O52" s="3"/>
    </row>
    <row r="53" spans="1:15" ht="18.75" customHeight="1">
      <c r="A53" s="1"/>
      <c r="B53" s="238"/>
      <c r="C53" s="239"/>
      <c r="D53" s="239"/>
      <c r="E53" s="239"/>
      <c r="F53" s="239"/>
      <c r="G53" s="239"/>
      <c r="H53" s="239"/>
      <c r="I53" s="240"/>
      <c r="N53" s="22"/>
      <c r="O53" s="3"/>
    </row>
    <row r="54" spans="1:15" ht="18.75" customHeight="1">
      <c r="A54" s="1"/>
      <c r="B54" s="238"/>
      <c r="C54" s="239"/>
      <c r="D54" s="239"/>
      <c r="E54" s="239"/>
      <c r="F54" s="239"/>
      <c r="G54" s="239"/>
      <c r="H54" s="239"/>
      <c r="I54" s="240"/>
    </row>
    <row r="55" spans="1:15" ht="18.75" customHeight="1">
      <c r="A55" s="1"/>
      <c r="B55" s="238"/>
      <c r="C55" s="239"/>
      <c r="D55" s="239"/>
      <c r="E55" s="239"/>
      <c r="F55" s="239"/>
      <c r="G55" s="239"/>
      <c r="H55" s="239"/>
      <c r="I55" s="240"/>
    </row>
    <row r="56" spans="1:15" ht="18.75" customHeight="1">
      <c r="A56" s="1"/>
      <c r="B56" s="238"/>
      <c r="C56" s="239"/>
      <c r="D56" s="239"/>
      <c r="E56" s="239"/>
      <c r="F56" s="239"/>
      <c r="G56" s="239"/>
      <c r="H56" s="239"/>
      <c r="I56" s="240"/>
    </row>
    <row r="57" spans="1:15" ht="18.75" customHeight="1">
      <c r="A57" s="1"/>
      <c r="B57" s="238"/>
      <c r="C57" s="239"/>
      <c r="D57" s="239"/>
      <c r="E57" s="239"/>
      <c r="F57" s="239"/>
      <c r="G57" s="239"/>
      <c r="H57" s="239"/>
      <c r="I57" s="240"/>
    </row>
    <row r="58" spans="1:15" ht="18.75" customHeight="1">
      <c r="A58" s="1"/>
      <c r="B58" s="238"/>
      <c r="C58" s="239"/>
      <c r="D58" s="239"/>
      <c r="E58" s="239"/>
      <c r="F58" s="239"/>
      <c r="G58" s="239"/>
      <c r="H58" s="239"/>
      <c r="I58" s="240"/>
    </row>
    <row r="59" spans="1:15" ht="18.75" customHeight="1">
      <c r="A59" s="1"/>
      <c r="B59" s="238"/>
      <c r="C59" s="239"/>
      <c r="D59" s="239"/>
      <c r="E59" s="239"/>
      <c r="F59" s="239"/>
      <c r="G59" s="239"/>
      <c r="H59" s="239"/>
      <c r="I59" s="240"/>
    </row>
    <row r="60" spans="1:15" ht="18.75" customHeight="1">
      <c r="A60" s="1"/>
      <c r="B60" s="238"/>
      <c r="C60" s="239"/>
      <c r="D60" s="239"/>
      <c r="E60" s="239"/>
      <c r="F60" s="239"/>
      <c r="G60" s="239"/>
      <c r="H60" s="239"/>
      <c r="I60" s="240"/>
    </row>
    <row r="61" spans="1:15" ht="18.75" customHeight="1">
      <c r="A61" s="1"/>
      <c r="B61" s="238"/>
      <c r="C61" s="239"/>
      <c r="D61" s="239"/>
      <c r="E61" s="239"/>
      <c r="F61" s="239"/>
      <c r="G61" s="239"/>
      <c r="H61" s="239"/>
      <c r="I61" s="240"/>
    </row>
    <row r="62" spans="1:15" ht="18.75" customHeight="1">
      <c r="A62" s="1"/>
      <c r="B62" s="238"/>
      <c r="C62" s="239"/>
      <c r="D62" s="239"/>
      <c r="E62" s="239"/>
      <c r="F62" s="239"/>
      <c r="G62" s="239"/>
      <c r="H62" s="239"/>
      <c r="I62" s="240"/>
    </row>
    <row r="63" spans="1:15" ht="18.75" customHeight="1">
      <c r="A63" s="1"/>
      <c r="B63" s="241"/>
      <c r="C63" s="242"/>
      <c r="D63" s="242"/>
      <c r="E63" s="242"/>
      <c r="F63" s="242"/>
      <c r="G63" s="242"/>
      <c r="H63" s="242"/>
      <c r="I63" s="243"/>
    </row>
    <row r="64" spans="1:15" ht="7.5" customHeight="1">
      <c r="A64" s="14"/>
      <c r="B64" s="14"/>
      <c r="C64" s="14"/>
      <c r="D64" s="14"/>
      <c r="E64" s="14"/>
      <c r="F64" s="14"/>
      <c r="G64" s="14"/>
      <c r="H64" s="14"/>
      <c r="I64" s="14"/>
    </row>
    <row r="65" spans="1:9" ht="18.75" customHeight="1">
      <c r="A65" s="15" t="s">
        <v>34</v>
      </c>
      <c r="B65" s="1" t="s">
        <v>37</v>
      </c>
      <c r="I65" s="15"/>
    </row>
    <row r="66" spans="1:9" ht="18.75" customHeight="1">
      <c r="A66" s="4"/>
      <c r="B66" s="218" t="s">
        <v>156</v>
      </c>
      <c r="C66" s="219"/>
      <c r="D66" s="219"/>
      <c r="E66" s="219"/>
      <c r="F66" s="219"/>
      <c r="G66" s="219"/>
      <c r="H66" s="219"/>
      <c r="I66" s="220"/>
    </row>
    <row r="67" spans="1:9" ht="18.75" customHeight="1">
      <c r="A67" s="4"/>
      <c r="B67" s="221"/>
      <c r="C67" s="222"/>
      <c r="D67" s="222"/>
      <c r="E67" s="222"/>
      <c r="F67" s="222"/>
      <c r="G67" s="222"/>
      <c r="H67" s="222"/>
      <c r="I67" s="223"/>
    </row>
    <row r="68" spans="1:9" ht="18.75" customHeight="1">
      <c r="A68" s="4"/>
      <c r="B68" s="221"/>
      <c r="C68" s="222"/>
      <c r="D68" s="222"/>
      <c r="E68" s="222"/>
      <c r="F68" s="222"/>
      <c r="G68" s="222"/>
      <c r="H68" s="222"/>
      <c r="I68" s="223"/>
    </row>
    <row r="69" spans="1:9" ht="18.75" customHeight="1">
      <c r="A69" s="4"/>
      <c r="B69" s="221"/>
      <c r="C69" s="222"/>
      <c r="D69" s="222"/>
      <c r="E69" s="222"/>
      <c r="F69" s="222"/>
      <c r="G69" s="222"/>
      <c r="H69" s="222"/>
      <c r="I69" s="223"/>
    </row>
    <row r="70" spans="1:9" ht="18.75" customHeight="1">
      <c r="A70" s="4"/>
      <c r="B70" s="221"/>
      <c r="C70" s="222"/>
      <c r="D70" s="222"/>
      <c r="E70" s="222"/>
      <c r="F70" s="222"/>
      <c r="G70" s="222"/>
      <c r="H70" s="222"/>
      <c r="I70" s="223"/>
    </row>
    <row r="71" spans="1:9" ht="18.75" customHeight="1">
      <c r="A71" s="4"/>
      <c r="B71" s="221"/>
      <c r="C71" s="222"/>
      <c r="D71" s="222"/>
      <c r="E71" s="222"/>
      <c r="F71" s="222"/>
      <c r="G71" s="222"/>
      <c r="H71" s="222"/>
      <c r="I71" s="223"/>
    </row>
    <row r="72" spans="1:9" ht="18.75" customHeight="1">
      <c r="A72" s="4"/>
      <c r="B72" s="221"/>
      <c r="C72" s="222"/>
      <c r="D72" s="222"/>
      <c r="E72" s="222"/>
      <c r="F72" s="222"/>
      <c r="G72" s="222"/>
      <c r="H72" s="222"/>
      <c r="I72" s="223"/>
    </row>
    <row r="73" spans="1:9" ht="18.75" customHeight="1">
      <c r="A73" s="4"/>
      <c r="B73" s="221"/>
      <c r="C73" s="222"/>
      <c r="D73" s="222"/>
      <c r="E73" s="222"/>
      <c r="F73" s="222"/>
      <c r="G73" s="222"/>
      <c r="H73" s="222"/>
      <c r="I73" s="223"/>
    </row>
    <row r="74" spans="1:9" ht="18.75" customHeight="1">
      <c r="A74" s="4"/>
      <c r="B74" s="221"/>
      <c r="C74" s="222"/>
      <c r="D74" s="222"/>
      <c r="E74" s="222"/>
      <c r="F74" s="222"/>
      <c r="G74" s="222"/>
      <c r="H74" s="222"/>
      <c r="I74" s="223"/>
    </row>
    <row r="75" spans="1:9" ht="18.75" customHeight="1">
      <c r="A75" s="4"/>
      <c r="B75" s="221"/>
      <c r="C75" s="222"/>
      <c r="D75" s="222"/>
      <c r="E75" s="222"/>
      <c r="F75" s="222"/>
      <c r="G75" s="222"/>
      <c r="H75" s="222"/>
      <c r="I75" s="223"/>
    </row>
    <row r="76" spans="1:9" ht="18.75" customHeight="1">
      <c r="A76" s="4"/>
      <c r="B76" s="221"/>
      <c r="C76" s="222"/>
      <c r="D76" s="222"/>
      <c r="E76" s="222"/>
      <c r="F76" s="222"/>
      <c r="G76" s="222"/>
      <c r="H76" s="222"/>
      <c r="I76" s="223"/>
    </row>
    <row r="77" spans="1:9" ht="18.75" customHeight="1">
      <c r="A77" s="4"/>
      <c r="B77" s="224"/>
      <c r="C77" s="225"/>
      <c r="D77" s="225"/>
      <c r="E77" s="225"/>
      <c r="F77" s="225"/>
      <c r="G77" s="225"/>
      <c r="H77" s="225"/>
      <c r="I77" s="226"/>
    </row>
    <row r="78" spans="1:9" ht="7.5" customHeight="1">
      <c r="A78" s="4"/>
      <c r="B78" s="4"/>
      <c r="C78" s="4"/>
      <c r="D78" s="4"/>
      <c r="E78" s="4"/>
      <c r="F78" s="4"/>
      <c r="G78" s="4"/>
      <c r="H78" s="4"/>
      <c r="I78" s="4"/>
    </row>
    <row r="79" spans="1:9" ht="18.75" customHeight="1">
      <c r="A79" s="1" t="s">
        <v>11</v>
      </c>
      <c r="B79" s="1" t="s">
        <v>40</v>
      </c>
    </row>
    <row r="80" spans="1:9" ht="18.75" customHeight="1">
      <c r="A80" s="1"/>
      <c r="B80" s="218" t="s">
        <v>154</v>
      </c>
      <c r="C80" s="219"/>
      <c r="D80" s="219"/>
      <c r="E80" s="219"/>
      <c r="F80" s="219"/>
      <c r="G80" s="219"/>
      <c r="H80" s="219"/>
      <c r="I80" s="227"/>
    </row>
    <row r="81" spans="1:9" ht="18.75" customHeight="1">
      <c r="A81" s="1"/>
      <c r="B81" s="228"/>
      <c r="C81" s="229"/>
      <c r="D81" s="229"/>
      <c r="E81" s="229"/>
      <c r="F81" s="229"/>
      <c r="G81" s="229"/>
      <c r="H81" s="229"/>
      <c r="I81" s="230"/>
    </row>
    <row r="82" spans="1:9" ht="18.75" customHeight="1">
      <c r="A82" s="1"/>
      <c r="B82" s="228"/>
      <c r="C82" s="229"/>
      <c r="D82" s="229"/>
      <c r="E82" s="229"/>
      <c r="F82" s="229"/>
      <c r="G82" s="229"/>
      <c r="H82" s="229"/>
      <c r="I82" s="230"/>
    </row>
    <row r="83" spans="1:9" ht="18.75" customHeight="1">
      <c r="A83" s="1"/>
      <c r="B83" s="228"/>
      <c r="C83" s="229"/>
      <c r="D83" s="229"/>
      <c r="E83" s="229"/>
      <c r="F83" s="229"/>
      <c r="G83" s="229"/>
      <c r="H83" s="229"/>
      <c r="I83" s="230"/>
    </row>
    <row r="84" spans="1:9" ht="18.75" customHeight="1">
      <c r="A84" s="1"/>
      <c r="B84" s="228"/>
      <c r="C84" s="229"/>
      <c r="D84" s="229"/>
      <c r="E84" s="229"/>
      <c r="F84" s="229"/>
      <c r="G84" s="229"/>
      <c r="H84" s="229"/>
      <c r="I84" s="230"/>
    </row>
    <row r="85" spans="1:9" ht="18.75" customHeight="1">
      <c r="A85" s="1"/>
      <c r="B85" s="228"/>
      <c r="C85" s="229"/>
      <c r="D85" s="229"/>
      <c r="E85" s="229"/>
      <c r="F85" s="229"/>
      <c r="G85" s="229"/>
      <c r="H85" s="229"/>
      <c r="I85" s="230"/>
    </row>
    <row r="86" spans="1:9" ht="18.75" customHeight="1">
      <c r="A86" s="1"/>
      <c r="B86" s="228"/>
      <c r="C86" s="229"/>
      <c r="D86" s="229"/>
      <c r="E86" s="229"/>
      <c r="F86" s="229"/>
      <c r="G86" s="229"/>
      <c r="H86" s="229"/>
      <c r="I86" s="230"/>
    </row>
    <row r="87" spans="1:9" ht="18.75" customHeight="1">
      <c r="A87" s="1"/>
      <c r="B87" s="228"/>
      <c r="C87" s="229"/>
      <c r="D87" s="229"/>
      <c r="E87" s="229"/>
      <c r="F87" s="229"/>
      <c r="G87" s="229"/>
      <c r="H87" s="229"/>
      <c r="I87" s="230"/>
    </row>
    <row r="88" spans="1:9" ht="18.75" customHeight="1">
      <c r="A88" s="1"/>
      <c r="B88" s="228"/>
      <c r="C88" s="229"/>
      <c r="D88" s="229"/>
      <c r="E88" s="229"/>
      <c r="F88" s="229"/>
      <c r="G88" s="229"/>
      <c r="H88" s="229"/>
      <c r="I88" s="230"/>
    </row>
    <row r="89" spans="1:9" ht="18.75" customHeight="1">
      <c r="A89" s="1"/>
      <c r="B89" s="228"/>
      <c r="C89" s="229"/>
      <c r="D89" s="229"/>
      <c r="E89" s="229"/>
      <c r="F89" s="229"/>
      <c r="G89" s="229"/>
      <c r="H89" s="229"/>
      <c r="I89" s="230"/>
    </row>
    <row r="90" spans="1:9" ht="18.75" customHeight="1">
      <c r="A90" s="4"/>
      <c r="B90" s="228"/>
      <c r="C90" s="229"/>
      <c r="D90" s="229"/>
      <c r="E90" s="229"/>
      <c r="F90" s="229"/>
      <c r="G90" s="229"/>
      <c r="H90" s="229"/>
      <c r="I90" s="230"/>
    </row>
    <row r="91" spans="1:9" ht="18.75" customHeight="1">
      <c r="A91" s="4"/>
      <c r="B91" s="231"/>
      <c r="C91" s="232"/>
      <c r="D91" s="232"/>
      <c r="E91" s="232"/>
      <c r="F91" s="232"/>
      <c r="G91" s="232"/>
      <c r="H91" s="232"/>
      <c r="I91" s="233"/>
    </row>
    <row r="92" spans="1:9" ht="7.5" customHeight="1">
      <c r="A92" s="4"/>
      <c r="B92" s="4"/>
      <c r="C92" s="4"/>
      <c r="D92" s="4"/>
      <c r="E92" s="4"/>
      <c r="F92" s="4"/>
      <c r="G92" s="4"/>
      <c r="H92" s="4"/>
      <c r="I92" s="4"/>
    </row>
    <row r="93" spans="1:9" ht="18.75" customHeight="1">
      <c r="A93" s="1" t="s">
        <v>43</v>
      </c>
      <c r="B93" s="1" t="s">
        <v>13</v>
      </c>
    </row>
    <row r="94" spans="1:9" ht="18.75" customHeight="1">
      <c r="A94" s="1"/>
      <c r="B94" s="193" t="s">
        <v>169</v>
      </c>
      <c r="C94" s="194"/>
      <c r="D94" s="194"/>
      <c r="E94" s="194"/>
      <c r="F94" s="194"/>
      <c r="G94" s="194"/>
      <c r="H94" s="194"/>
      <c r="I94" s="195"/>
    </row>
    <row r="95" spans="1:9" ht="18.75" customHeight="1">
      <c r="A95" s="1"/>
      <c r="B95" s="199"/>
      <c r="C95" s="200"/>
      <c r="D95" s="200"/>
      <c r="E95" s="200"/>
      <c r="F95" s="200"/>
      <c r="G95" s="200"/>
      <c r="H95" s="200"/>
      <c r="I95" s="198"/>
    </row>
    <row r="96" spans="1:9" ht="18.75" customHeight="1">
      <c r="A96" s="1"/>
      <c r="B96" s="199"/>
      <c r="C96" s="200"/>
      <c r="D96" s="200"/>
      <c r="E96" s="200"/>
      <c r="F96" s="200"/>
      <c r="G96" s="200"/>
      <c r="H96" s="200"/>
      <c r="I96" s="198"/>
    </row>
    <row r="97" spans="1:9" ht="18.75" customHeight="1">
      <c r="A97" s="1"/>
      <c r="B97" s="199"/>
      <c r="C97" s="200"/>
      <c r="D97" s="200"/>
      <c r="E97" s="200"/>
      <c r="F97" s="200"/>
      <c r="G97" s="200"/>
      <c r="H97" s="200"/>
      <c r="I97" s="198"/>
    </row>
    <row r="98" spans="1:9" ht="18.75" customHeight="1">
      <c r="A98" s="1"/>
      <c r="B98" s="199"/>
      <c r="C98" s="200"/>
      <c r="D98" s="200"/>
      <c r="E98" s="200"/>
      <c r="F98" s="200"/>
      <c r="G98" s="200"/>
      <c r="H98" s="200"/>
      <c r="I98" s="198"/>
    </row>
    <row r="99" spans="1:9" ht="18.75" customHeight="1">
      <c r="A99" s="1"/>
      <c r="B99" s="199"/>
      <c r="C99" s="200"/>
      <c r="D99" s="200"/>
      <c r="E99" s="200"/>
      <c r="F99" s="200"/>
      <c r="G99" s="200"/>
      <c r="H99" s="200"/>
      <c r="I99" s="198"/>
    </row>
    <row r="100" spans="1:9" ht="18.75" customHeight="1">
      <c r="A100" s="1"/>
      <c r="B100" s="199"/>
      <c r="C100" s="200"/>
      <c r="D100" s="200"/>
      <c r="E100" s="200"/>
      <c r="F100" s="200"/>
      <c r="G100" s="200"/>
      <c r="H100" s="200"/>
      <c r="I100" s="198"/>
    </row>
    <row r="101" spans="1:9" ht="18.75" customHeight="1">
      <c r="A101" s="1"/>
      <c r="B101" s="199"/>
      <c r="C101" s="200"/>
      <c r="D101" s="200"/>
      <c r="E101" s="200"/>
      <c r="F101" s="200"/>
      <c r="G101" s="200"/>
      <c r="H101" s="200"/>
      <c r="I101" s="198"/>
    </row>
    <row r="102" spans="1:9" ht="18.75" customHeight="1">
      <c r="A102" s="1"/>
      <c r="B102" s="199"/>
      <c r="C102" s="200"/>
      <c r="D102" s="200"/>
      <c r="E102" s="200"/>
      <c r="F102" s="200"/>
      <c r="G102" s="200"/>
      <c r="H102" s="200"/>
      <c r="I102" s="198"/>
    </row>
    <row r="103" spans="1:9" ht="18.75" customHeight="1">
      <c r="A103" s="1"/>
      <c r="B103" s="199"/>
      <c r="C103" s="200"/>
      <c r="D103" s="200"/>
      <c r="E103" s="200"/>
      <c r="F103" s="200"/>
      <c r="G103" s="200"/>
      <c r="H103" s="200"/>
      <c r="I103" s="198"/>
    </row>
    <row r="104" spans="1:9" ht="18.75" customHeight="1">
      <c r="A104" s="1"/>
      <c r="B104" s="199"/>
      <c r="C104" s="200"/>
      <c r="D104" s="200"/>
      <c r="E104" s="200"/>
      <c r="F104" s="200"/>
      <c r="G104" s="200"/>
      <c r="H104" s="200"/>
      <c r="I104" s="198"/>
    </row>
    <row r="105" spans="1:9" ht="18.75" customHeight="1">
      <c r="A105" s="4"/>
      <c r="B105" s="201"/>
      <c r="C105" s="202"/>
      <c r="D105" s="202"/>
      <c r="E105" s="202"/>
      <c r="F105" s="202"/>
      <c r="G105" s="202"/>
      <c r="H105" s="202"/>
      <c r="I105" s="203"/>
    </row>
    <row r="106" spans="1:9" ht="7.5" customHeight="1">
      <c r="A106" s="4"/>
      <c r="B106" s="4"/>
      <c r="C106" s="4"/>
      <c r="D106" s="4"/>
      <c r="E106" s="4"/>
      <c r="F106" s="4"/>
      <c r="G106" s="4"/>
      <c r="H106" s="4"/>
      <c r="I106" s="4"/>
    </row>
    <row r="107" spans="1:9" ht="18.75" customHeight="1">
      <c r="A107" s="1" t="s">
        <v>30</v>
      </c>
      <c r="B107" s="213" t="s">
        <v>45</v>
      </c>
      <c r="C107" s="213"/>
      <c r="D107" s="213"/>
      <c r="E107" s="213"/>
      <c r="F107" s="213"/>
      <c r="G107" s="213"/>
      <c r="H107" s="213"/>
      <c r="I107" s="213"/>
    </row>
    <row r="108" spans="1:9" ht="18.75" customHeight="1">
      <c r="A108" s="4"/>
      <c r="B108" s="193" t="s">
        <v>146</v>
      </c>
      <c r="C108" s="194"/>
      <c r="D108" s="194"/>
      <c r="E108" s="194"/>
      <c r="F108" s="194"/>
      <c r="G108" s="194"/>
      <c r="H108" s="194"/>
      <c r="I108" s="195"/>
    </row>
    <row r="109" spans="1:9" ht="18.75" customHeight="1">
      <c r="A109" s="4"/>
      <c r="B109" s="199"/>
      <c r="C109" s="200"/>
      <c r="D109" s="200"/>
      <c r="E109" s="200"/>
      <c r="F109" s="200"/>
      <c r="G109" s="200"/>
      <c r="H109" s="200"/>
      <c r="I109" s="198"/>
    </row>
    <row r="110" spans="1:9" ht="18.75" customHeight="1">
      <c r="A110" s="4"/>
      <c r="B110" s="199"/>
      <c r="C110" s="200"/>
      <c r="D110" s="200"/>
      <c r="E110" s="200"/>
      <c r="F110" s="200"/>
      <c r="G110" s="200"/>
      <c r="H110" s="200"/>
      <c r="I110" s="198"/>
    </row>
    <row r="111" spans="1:9" ht="18.75" customHeight="1">
      <c r="A111" s="4"/>
      <c r="B111" s="199"/>
      <c r="C111" s="200"/>
      <c r="D111" s="200"/>
      <c r="E111" s="200"/>
      <c r="F111" s="200"/>
      <c r="G111" s="200"/>
      <c r="H111" s="200"/>
      <c r="I111" s="198"/>
    </row>
    <row r="112" spans="1:9" ht="18.75" customHeight="1">
      <c r="A112" s="4"/>
      <c r="B112" s="199"/>
      <c r="C112" s="200"/>
      <c r="D112" s="200"/>
      <c r="E112" s="200"/>
      <c r="F112" s="200"/>
      <c r="G112" s="200"/>
      <c r="H112" s="200"/>
      <c r="I112" s="198"/>
    </row>
    <row r="113" spans="1:9" ht="18.75" customHeight="1">
      <c r="A113" s="4"/>
      <c r="B113" s="199"/>
      <c r="C113" s="200"/>
      <c r="D113" s="200"/>
      <c r="E113" s="200"/>
      <c r="F113" s="200"/>
      <c r="G113" s="200"/>
      <c r="H113" s="200"/>
      <c r="I113" s="198"/>
    </row>
    <row r="114" spans="1:9" ht="18.75" customHeight="1">
      <c r="A114" s="4"/>
      <c r="B114" s="199"/>
      <c r="C114" s="200"/>
      <c r="D114" s="200"/>
      <c r="E114" s="200"/>
      <c r="F114" s="200"/>
      <c r="G114" s="200"/>
      <c r="H114" s="200"/>
      <c r="I114" s="198"/>
    </row>
    <row r="115" spans="1:9" ht="18.75" customHeight="1">
      <c r="A115" s="4"/>
      <c r="B115" s="199"/>
      <c r="C115" s="200"/>
      <c r="D115" s="200"/>
      <c r="E115" s="200"/>
      <c r="F115" s="200"/>
      <c r="G115" s="200"/>
      <c r="H115" s="200"/>
      <c r="I115" s="198"/>
    </row>
    <row r="116" spans="1:9" ht="18.75" customHeight="1">
      <c r="A116" s="4"/>
      <c r="B116" s="199"/>
      <c r="C116" s="200"/>
      <c r="D116" s="200"/>
      <c r="E116" s="200"/>
      <c r="F116" s="200"/>
      <c r="G116" s="200"/>
      <c r="H116" s="200"/>
      <c r="I116" s="198"/>
    </row>
    <row r="117" spans="1:9" ht="18.75" customHeight="1">
      <c r="A117" s="4"/>
      <c r="B117" s="199"/>
      <c r="C117" s="200"/>
      <c r="D117" s="200"/>
      <c r="E117" s="200"/>
      <c r="F117" s="200"/>
      <c r="G117" s="200"/>
      <c r="H117" s="200"/>
      <c r="I117" s="198"/>
    </row>
    <row r="118" spans="1:9" ht="18.75" customHeight="1">
      <c r="A118" s="4"/>
      <c r="B118" s="199"/>
      <c r="C118" s="200"/>
      <c r="D118" s="200"/>
      <c r="E118" s="200"/>
      <c r="F118" s="200"/>
      <c r="G118" s="200"/>
      <c r="H118" s="200"/>
      <c r="I118" s="198"/>
    </row>
    <row r="119" spans="1:9" ht="18.75" customHeight="1">
      <c r="A119" s="4"/>
      <c r="B119" s="201"/>
      <c r="C119" s="202"/>
      <c r="D119" s="202"/>
      <c r="E119" s="202"/>
      <c r="F119" s="202"/>
      <c r="G119" s="202"/>
      <c r="H119" s="202"/>
      <c r="I119" s="203"/>
    </row>
    <row r="120" spans="1:9" ht="7.5" customHeight="1">
      <c r="A120" s="4"/>
      <c r="B120" s="25"/>
      <c r="C120" s="25"/>
      <c r="D120" s="25"/>
      <c r="E120" s="25"/>
      <c r="F120" s="25"/>
      <c r="G120" s="25"/>
      <c r="H120" s="25"/>
      <c r="I120" s="25"/>
    </row>
    <row r="121" spans="1:9" ht="18.75" customHeight="1">
      <c r="A121" s="52"/>
      <c r="B121" s="186"/>
      <c r="C121" s="186"/>
      <c r="D121" s="186"/>
      <c r="E121" s="186"/>
      <c r="F121" s="186"/>
      <c r="G121" s="186"/>
      <c r="H121" s="186"/>
      <c r="I121" s="186"/>
    </row>
    <row r="122" spans="1:9" ht="18.75" customHeight="1">
      <c r="A122" s="52"/>
      <c r="B122" s="186"/>
      <c r="C122" s="186"/>
      <c r="D122" s="186"/>
      <c r="E122" s="186"/>
      <c r="F122" s="186"/>
      <c r="G122" s="186"/>
      <c r="H122" s="186"/>
      <c r="I122" s="186"/>
    </row>
    <row r="123" spans="1:9" ht="18.75" customHeight="1">
      <c r="A123" s="4"/>
      <c r="B123" s="56"/>
      <c r="C123" s="56"/>
      <c r="D123" s="56"/>
      <c r="E123" s="56"/>
      <c r="F123" s="56"/>
      <c r="G123" s="56"/>
      <c r="H123" s="56"/>
      <c r="I123" s="57"/>
    </row>
    <row r="124" spans="1:9" ht="18.75" customHeight="1">
      <c r="A124" s="4"/>
      <c r="B124" s="57"/>
      <c r="C124" s="57"/>
      <c r="D124" s="57"/>
      <c r="E124" s="57"/>
      <c r="F124" s="57"/>
      <c r="G124" s="57"/>
      <c r="H124" s="57"/>
      <c r="I124" s="57"/>
    </row>
    <row r="125" spans="1:9" ht="18.75" customHeight="1">
      <c r="A125" s="4"/>
      <c r="B125" s="57"/>
      <c r="C125" s="57"/>
      <c r="D125" s="57"/>
      <c r="E125" s="57"/>
      <c r="F125" s="57"/>
      <c r="G125" s="57"/>
      <c r="H125" s="57"/>
      <c r="I125" s="57"/>
    </row>
    <row r="126" spans="1:9" ht="18.75" customHeight="1">
      <c r="A126" s="4"/>
      <c r="B126" s="57"/>
      <c r="C126" s="57"/>
      <c r="D126" s="57"/>
      <c r="E126" s="57"/>
      <c r="F126" s="57"/>
      <c r="G126" s="57"/>
      <c r="H126" s="57"/>
      <c r="I126" s="57"/>
    </row>
    <row r="127" spans="1:9" ht="18.75" customHeight="1">
      <c r="A127" s="4"/>
      <c r="B127" s="57"/>
      <c r="C127" s="57"/>
      <c r="D127" s="57"/>
      <c r="E127" s="57"/>
      <c r="F127" s="57"/>
      <c r="G127" s="57"/>
      <c r="H127" s="57"/>
      <c r="I127" s="57"/>
    </row>
    <row r="128" spans="1:9" ht="18.75" customHeight="1">
      <c r="A128" s="4"/>
      <c r="B128" s="57"/>
      <c r="C128" s="57"/>
      <c r="D128" s="57"/>
      <c r="E128" s="57"/>
      <c r="F128" s="57"/>
      <c r="G128" s="57"/>
      <c r="H128" s="57"/>
      <c r="I128" s="57"/>
    </row>
    <row r="129" spans="1:9" ht="18.75" customHeight="1">
      <c r="A129" s="4"/>
      <c r="B129" s="57"/>
      <c r="C129" s="57"/>
      <c r="D129" s="57"/>
      <c r="E129" s="57"/>
      <c r="F129" s="57"/>
      <c r="G129" s="57"/>
      <c r="H129" s="57"/>
      <c r="I129" s="57"/>
    </row>
    <row r="130" spans="1:9" ht="18.75" customHeight="1">
      <c r="A130" s="4"/>
      <c r="B130" s="57"/>
      <c r="C130" s="57"/>
      <c r="D130" s="57"/>
      <c r="E130" s="57"/>
      <c r="F130" s="57"/>
      <c r="G130" s="57"/>
      <c r="H130" s="57"/>
      <c r="I130" s="57"/>
    </row>
    <row r="131" spans="1:9" ht="18.75" customHeight="1">
      <c r="A131" s="4"/>
      <c r="B131" s="57"/>
      <c r="C131" s="57"/>
      <c r="D131" s="57"/>
      <c r="E131" s="57"/>
      <c r="F131" s="57"/>
      <c r="G131" s="57"/>
      <c r="H131" s="57"/>
      <c r="I131" s="57"/>
    </row>
    <row r="132" spans="1:9" ht="18.75" customHeight="1">
      <c r="A132" s="4"/>
      <c r="B132" s="57"/>
      <c r="C132" s="57"/>
      <c r="D132" s="57"/>
      <c r="E132" s="57"/>
      <c r="F132" s="57"/>
      <c r="G132" s="57"/>
      <c r="H132" s="57"/>
      <c r="I132" s="57"/>
    </row>
    <row r="133" spans="1:9" ht="14.25">
      <c r="A133" s="4"/>
      <c r="B133" s="57"/>
      <c r="C133" s="57"/>
      <c r="D133" s="57"/>
      <c r="E133" s="57"/>
      <c r="F133" s="57"/>
      <c r="G133" s="57"/>
      <c r="H133" s="57"/>
      <c r="I133" s="57"/>
    </row>
    <row r="134" spans="1:9" ht="7.5" customHeight="1">
      <c r="A134" s="4"/>
      <c r="B134" s="57"/>
      <c r="C134" s="57"/>
      <c r="D134" s="57"/>
      <c r="E134" s="57"/>
      <c r="F134" s="57"/>
      <c r="G134" s="57"/>
      <c r="H134" s="57"/>
      <c r="I134" s="57"/>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Layout" topLeftCell="A13" zoomScale="50" zoomScaleNormal="100" zoomScaleSheetLayoutView="90" zoomScalePageLayoutView="50" workbookViewId="0">
      <selection activeCell="E22" sqref="E22:I22"/>
    </sheetView>
  </sheetViews>
  <sheetFormatPr defaultColWidth="11.375" defaultRowHeight="22.5" customHeight="1"/>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c r="A1" s="1" t="s">
        <v>68</v>
      </c>
      <c r="I1" s="17" t="s">
        <v>96</v>
      </c>
    </row>
    <row r="2" spans="1:9" ht="18.75" customHeight="1">
      <c r="H2" s="17" t="s">
        <v>99</v>
      </c>
      <c r="I2" s="16" t="str">
        <f>'様式１　プログラムを構成する授業科目'!C2</f>
        <v>志學館大学</v>
      </c>
    </row>
    <row r="3" spans="1:9" ht="18.75" customHeight="1">
      <c r="A3" s="189" t="s">
        <v>28</v>
      </c>
      <c r="B3" s="189"/>
      <c r="C3" s="189"/>
      <c r="D3" s="189"/>
      <c r="E3" s="189"/>
      <c r="F3" s="189"/>
      <c r="G3" s="189"/>
      <c r="H3" s="189"/>
      <c r="I3" s="189"/>
    </row>
    <row r="4" spans="1:9" ht="18.75" customHeight="1">
      <c r="A4" s="5"/>
      <c r="B4" s="5"/>
      <c r="C4" s="5"/>
      <c r="D4" s="5"/>
      <c r="E4" s="5"/>
      <c r="F4" s="5"/>
      <c r="G4" s="5"/>
      <c r="H4" s="5"/>
      <c r="I4" s="5"/>
    </row>
    <row r="5" spans="1:9" ht="18.75" customHeight="1">
      <c r="A5" s="1" t="s">
        <v>0</v>
      </c>
      <c r="B5" s="10" t="s">
        <v>90</v>
      </c>
      <c r="C5" s="5"/>
      <c r="D5" s="5"/>
      <c r="E5" s="5"/>
      <c r="F5" s="5"/>
      <c r="G5" s="5"/>
      <c r="H5" s="5"/>
      <c r="I5" s="5"/>
    </row>
    <row r="6" spans="1:9" ht="26.25" customHeight="1">
      <c r="A6" s="5"/>
      <c r="B6" s="204" t="s">
        <v>173</v>
      </c>
      <c r="C6" s="252"/>
      <c r="D6" s="252"/>
      <c r="E6" s="252"/>
      <c r="F6" s="252"/>
      <c r="G6" s="252"/>
      <c r="H6" s="253"/>
      <c r="I6" s="3"/>
    </row>
    <row r="7" spans="1:9" ht="9" customHeight="1">
      <c r="A7" s="5"/>
      <c r="B7" s="10"/>
      <c r="C7" s="10"/>
      <c r="D7" s="10"/>
      <c r="E7" s="10"/>
      <c r="F7" s="10"/>
      <c r="G7" s="10"/>
      <c r="H7" s="10"/>
      <c r="I7" s="3"/>
    </row>
    <row r="8" spans="1:9" ht="18.75" customHeight="1">
      <c r="A8" s="5"/>
      <c r="B8" s="3"/>
      <c r="C8" s="3"/>
      <c r="D8" s="17" t="s">
        <v>42</v>
      </c>
      <c r="E8" s="71" t="s">
        <v>153</v>
      </c>
      <c r="F8" s="72"/>
      <c r="G8" s="73" t="s">
        <v>10</v>
      </c>
      <c r="H8" s="71" t="s">
        <v>174</v>
      </c>
      <c r="I8" s="3"/>
    </row>
    <row r="9" spans="1:9" ht="7.5" customHeight="1">
      <c r="A9" s="5"/>
      <c r="B9" s="5"/>
      <c r="C9" s="5"/>
      <c r="D9" s="5"/>
      <c r="E9" s="5"/>
      <c r="F9" s="5"/>
      <c r="G9" s="5"/>
      <c r="H9" s="5"/>
      <c r="I9" s="5"/>
    </row>
    <row r="10" spans="1:9" ht="18.75" customHeight="1">
      <c r="A10" s="1" t="s">
        <v>3</v>
      </c>
      <c r="B10" s="1" t="s">
        <v>27</v>
      </c>
      <c r="C10" s="4"/>
      <c r="D10" s="4"/>
      <c r="E10" s="4"/>
      <c r="F10" s="4"/>
      <c r="G10" s="4"/>
      <c r="H10" s="4"/>
      <c r="I10" s="4"/>
    </row>
    <row r="11" spans="1:9" ht="18.75" customHeight="1">
      <c r="B11" s="187" t="s">
        <v>24</v>
      </c>
      <c r="C11" s="249"/>
      <c r="D11" s="188"/>
      <c r="E11" s="249" t="s">
        <v>26</v>
      </c>
      <c r="F11" s="249"/>
      <c r="G11" s="249"/>
      <c r="H11" s="249"/>
      <c r="I11" s="188"/>
    </row>
    <row r="12" spans="1:9" ht="26.25" customHeight="1">
      <c r="B12" s="26" t="s">
        <v>14</v>
      </c>
      <c r="C12" s="33"/>
      <c r="D12" s="27"/>
      <c r="E12" s="34"/>
      <c r="F12" s="34"/>
      <c r="G12" s="34"/>
      <c r="H12" s="34"/>
      <c r="I12" s="27"/>
    </row>
    <row r="13" spans="1:9" ht="210.75" customHeight="1">
      <c r="B13" s="28"/>
      <c r="C13" s="250" t="s">
        <v>15</v>
      </c>
      <c r="D13" s="251"/>
      <c r="E13" s="246" t="s">
        <v>179</v>
      </c>
      <c r="F13" s="247"/>
      <c r="G13" s="247"/>
      <c r="H13" s="247"/>
      <c r="I13" s="248"/>
    </row>
    <row r="14" spans="1:9" ht="210.75" customHeight="1">
      <c r="B14" s="28"/>
      <c r="C14" s="244" t="s">
        <v>16</v>
      </c>
      <c r="D14" s="245"/>
      <c r="E14" s="246" t="s">
        <v>180</v>
      </c>
      <c r="F14" s="247"/>
      <c r="G14" s="247"/>
      <c r="H14" s="247"/>
      <c r="I14" s="248"/>
    </row>
    <row r="15" spans="1:9" ht="210.75" customHeight="1">
      <c r="B15" s="28"/>
      <c r="C15" s="250" t="s">
        <v>17</v>
      </c>
      <c r="D15" s="251"/>
      <c r="E15" s="246" t="s">
        <v>181</v>
      </c>
      <c r="F15" s="247"/>
      <c r="G15" s="247"/>
      <c r="H15" s="247"/>
      <c r="I15" s="248"/>
    </row>
    <row r="16" spans="1:9" ht="210.75" customHeight="1">
      <c r="B16" s="28"/>
      <c r="C16" s="250" t="s">
        <v>18</v>
      </c>
      <c r="D16" s="251"/>
      <c r="E16" s="246" t="s">
        <v>182</v>
      </c>
      <c r="F16" s="247"/>
      <c r="G16" s="247"/>
      <c r="H16" s="247"/>
      <c r="I16" s="248"/>
    </row>
    <row r="17" spans="2:9" ht="210.75" customHeight="1">
      <c r="B17" s="29"/>
      <c r="C17" s="254" t="s">
        <v>19</v>
      </c>
      <c r="D17" s="255"/>
      <c r="E17" s="256" t="s">
        <v>178</v>
      </c>
      <c r="F17" s="257"/>
      <c r="G17" s="257"/>
      <c r="H17" s="257"/>
      <c r="I17" s="258"/>
    </row>
    <row r="18" spans="2:9" ht="24" customHeight="1">
      <c r="B18" s="26" t="s">
        <v>20</v>
      </c>
      <c r="C18" s="30"/>
      <c r="D18" s="31"/>
      <c r="E18" s="32"/>
      <c r="F18" s="32"/>
      <c r="G18" s="32"/>
      <c r="H18" s="32"/>
      <c r="I18" s="35"/>
    </row>
    <row r="19" spans="2:9" ht="218.25" customHeight="1">
      <c r="B19" s="28"/>
      <c r="C19" s="250" t="s">
        <v>21</v>
      </c>
      <c r="D19" s="251"/>
      <c r="E19" s="247" t="s">
        <v>150</v>
      </c>
      <c r="F19" s="247"/>
      <c r="G19" s="247"/>
      <c r="H19" s="247"/>
      <c r="I19" s="248"/>
    </row>
    <row r="20" spans="2:9" ht="218.25" customHeight="1">
      <c r="B20" s="29"/>
      <c r="C20" s="254" t="s">
        <v>22</v>
      </c>
      <c r="D20" s="255"/>
      <c r="E20" s="257" t="s">
        <v>177</v>
      </c>
      <c r="F20" s="257"/>
      <c r="G20" s="257"/>
      <c r="H20" s="257"/>
      <c r="I20" s="258"/>
    </row>
    <row r="21" spans="2:9" ht="218.25" customHeight="1">
      <c r="B21" s="264" t="s">
        <v>23</v>
      </c>
      <c r="C21" s="265"/>
      <c r="D21" s="266"/>
      <c r="E21" s="267" t="s">
        <v>151</v>
      </c>
      <c r="F21" s="267"/>
      <c r="G21" s="267"/>
      <c r="H21" s="267"/>
      <c r="I21" s="268"/>
    </row>
    <row r="22" spans="2:9" ht="218.25" customHeight="1">
      <c r="B22" s="259" t="s">
        <v>135</v>
      </c>
      <c r="C22" s="260"/>
      <c r="D22" s="261"/>
      <c r="E22" s="262" t="s">
        <v>152</v>
      </c>
      <c r="F22" s="262"/>
      <c r="G22" s="262"/>
      <c r="H22" s="262"/>
      <c r="I22" s="263"/>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57"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石塚 華代</cp:lastModifiedBy>
  <cp:lastPrinted>2024-05-02T08:18:00Z</cp:lastPrinted>
  <dcterms:created xsi:type="dcterms:W3CDTF">2011-06-14T05:32:50Z</dcterms:created>
  <dcterms:modified xsi:type="dcterms:W3CDTF">2024-06-17T08:00:03Z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