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defaultThemeVersion="124226"/>
  <mc:AlternateContent xmlns:mc="http://schemas.openxmlformats.org/markup-compatibility/2006">
    <mc:Choice Requires="x15">
      <x15ac:absPath xmlns:x15ac="http://schemas.microsoft.com/office/spreadsheetml/2010/11/ac" url="\\10.20.1.61\グループ$\01_学長事務室\01川合・西野共有フォルダ\【数理・データサイエンス・ＡＩ教育プログラム認定制度】R6.4.19申請書類等\"/>
    </mc:Choice>
  </mc:AlternateContent>
  <xr:revisionPtr revIDLastSave="0" documentId="13_ncr:1_{FB7DB9A3-6090-479A-8E3E-9702B0515086}" xr6:coauthVersionLast="36" xr6:coauthVersionMax="47" xr10:uidLastSave="{00000000-0000-0000-0000-000000000000}"/>
  <bookViews>
    <workbookView xWindow="0" yWindow="0" windowWidth="23040" windowHeight="9552"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<sst xmlns="http://schemas.openxmlformats.org/spreadsheetml/2006/main" count="278" uniqueCount="182">
  <si>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</si>
  <si>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</si>
  <si>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</si>
  <si>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</si>
  <si>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</si>
  <si>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</si>
  <si>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</si>
  <si>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</si>
  <si>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</si>
  <si>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</si>
  <si>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</si>
  <si>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</si>
  <si>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</si>
  <si>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</si>
  <si>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</si>
  <si>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</si>
  <si>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</si>
  <si>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</si>
  <si>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</si>
  <si>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</si>
  <si>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</si>
  <si>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</si>
  <si>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</si>
  <si>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</si>
  <si>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</si>
  <si>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</si>
  <si>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</si>
  <si>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</si>
  <si>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</si>
  <si>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</si>
  <si>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</si>
  <si>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</si>
  <si>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</si>
  <si>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</si>
  <si>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</si>
  <si>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</si>
  <si>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</si>
  <si>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</si>
  <si>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</si>
  <si>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</si>
  <si>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</si>
  <si>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</si>
  <si>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</si>
  <si>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</si>
  <si>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</si>
  <si>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</si>
  <si>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</si>
  <si>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</si>
  <si>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</si>
  <si>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</si>
  <si>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</si>
  <si>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</si>
  <si>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</si>
  <si>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</si>
  <si>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</si>
  <si>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</si>
  <si>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</si>
  <si>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</si>
  <si>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</si>
  <si>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</si>
  <si>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</si>
  <si>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</si>
  <si>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</si>
  <si>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</si>
  <si>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</si>
  <si>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</si>
  <si>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</si>
  <si>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</si>
  <si>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</si>
  <si>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</si>
  <si>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</si>
  <si>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</si>
  <si>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</si>
  <si>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</si>
  <si>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</si>
  <si>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</si>
  <si>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</si>
  <si>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</si>
  <si>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</si>
  <si>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</si>
  <si>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</si>
  <si>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</si>
  <si>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</si>
  <si>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</si>
  <si>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</si>
  <si>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</si>
  <si>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</si>
  <si>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</si>
  <si>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</si>
  <si>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</si>
  <si>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</si>
  <si>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</si>
  <si>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</si>
  <si>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</si>
  <si>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</si>
  <si>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</si>
  <si>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</si>
  <si>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</si>
  <si>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</si>
  <si>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</si>
  <si>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</si>
  <si>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</si>
  <si>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</si>
  <si>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</si>
  <si>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</si>
  <si>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</si>
  <si>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</si>
  <si>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</si>
  <si>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</si>
  <si>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</si>
  <si>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</si>
  <si>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</si>
  <si>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</si>
  <si>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</si>
  <si>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</si>
  <si>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</si>
  <si>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</si>
  <si>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</si>
  <si>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</si>
  <si>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</si>
  <si>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</si>
  <si>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</si>
  <si>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</si>
  <si>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</si>
  <si>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</si>
  <si>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</si>
  <si>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</si>
  <si>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</si>
  <si>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</si>
  <si>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</si>
  <si>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</si>
  <si>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</si>
  <si>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</si>
  <si>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</si>
  <si>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</si>
  <si>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</si>
  <si>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静岡産業大学</t>
    <rPh sb="0" eb="6">
      <t>シズオカサンギョウダイガク</t>
    </rPh>
    <phoneticPr fontId="1"/>
  </si>
  <si>
    <t>SSUデータサイエンスプログラム</t>
    <phoneticPr fontId="1"/>
  </si>
  <si>
    <t>学部・学科によって、修了要件は相違しない</t>
  </si>
  <si>
    <t>プログラムを構成する「基礎教育科目（下記２科目）」から４単位、「専門教育科目」（下記１科目）」から２単位、合計６単位を修得すること。
基礎教育科目：「情報処理基礎Ⅰ」（２単位）、「情報処理基礎Ⅱ」（２単位）
専門教育科目：「データマネジメント基礎」（２単位）</t>
    <phoneticPr fontId="1"/>
  </si>
  <si>
    <t>データマネジメント基礎</t>
    <rPh sb="9" eb="11">
      <t>キソ</t>
    </rPh>
    <phoneticPr fontId="1"/>
  </si>
  <si>
    <t>○</t>
  </si>
  <si>
    <t>情報処理基礎Ⅱ</t>
    <rPh sb="0" eb="6">
      <t>ジョウホウショリキソ</t>
    </rPh>
    <phoneticPr fontId="1"/>
  </si>
  <si>
    <t>情報処理基礎Ⅰ</t>
    <rPh sb="0" eb="6">
      <t>ジョウホウショリキソ</t>
    </rPh>
    <phoneticPr fontId="1"/>
  </si>
  <si>
    <t>・ビッグデータ、IoT、AI、ロボット「データマネジメント基礎」（第1回）
・データ量の増加、計算機の処理性能の向上、AIの非連続的進化「データマネジメント基礎」（第1回）
・第4次産業革命、Society 5.0、データ駆動型社会「データマネジメント基礎」（第2回）
・複数技術を組み合わせたAIサービス「データマネジメント基礎」（第2回）
・人間の知的活動とAIの関係性「データマネジメント基礎」（第2回）
・データを起点としたものの見方、人間の知的活動を起点としたものの見方「データマネジメント基礎」（第3回）</t>
    <phoneticPr fontId="1"/>
  </si>
  <si>
    <t>・AI等を活用した新しいビジネスモデル「データマネジメント基礎」（第12回）
・AI最新技術の活用例「データマネジメント基礎」（第3・4回）</t>
    <phoneticPr fontId="1"/>
  </si>
  <si>
    <t>・調査データ、実験データ、人の行動ログデータ、機械の稼働ログデータなど「データマネジメント基礎」（第4回）
・1次データ、2次データ、データのメタ化「データマネジメント基礎」（第4回）
・構造化データ、非構造化データ（文章、画像／動画、音声／音楽など）「データマネジメント基礎」（第2回）
・データ作成（ビッグデータとアノテーション）「データマネジメント基礎」（第3回）
・データのオープン化（オープンデータ）「データマネジメント基礎」（第4回）</t>
    <phoneticPr fontId="1"/>
  </si>
  <si>
    <t>・データ・AI活用領域の広がり（生産、消費、文化活動など）「データマネジメント基礎」（第5回）
・研究開発、調達、製造、物流、販売、マーケティング、サービスなど「データマネジメント基礎」（第6・7・8回）
・仮説検証、知識発見、原因究明、計画策定、判断支援、活動代替、新規生成など「データマネジメント基礎」（第8・9・10回）</t>
    <phoneticPr fontId="1"/>
  </si>
  <si>
    <t>・データ解析：予測、グルーピング、パターン発見、最適化、シミュレーション・データ同化など「データマネジメント基礎」（第13回）
・データ可視化：複合グラフ、2軸グラフ、多次元の可視化、関係性の可視化、地図上の可視化など「データマネジメント基礎」（第14回）
・非構造化データ処理：言語処理、画像／動画処理、音声／音楽処理など「データマネジメント基礎」（第13回）
・特化型AIと汎用AI、今のAIで出来ることと出来ないこと、AIとビッグデータ「データマネジメント基礎」（第4回）
・認識技術、ルールベース、自動化技術「データマネジメント基礎」（第13回）</t>
    <phoneticPr fontId="1"/>
  </si>
  <si>
    <t>・データサイエンスのサイクル（課題抽出と定式化、データの取得・管理・加工、探索的データ解析など）「データマネジメント基礎」（第5・6回）
・流通、製造、金融、サービス、インフラ、公共、ヘルスケア等におけるデータ・AI利活用事例紹介「データマネジメント基礎」（第3・4回）</t>
    <phoneticPr fontId="1"/>
  </si>
  <si>
    <t>・ELSI（Ethical, Legal and Social Issues）「情報処理基礎Ⅰ」（第3回）
・個人情報保護、EU一般データ保護規則（GDPR）、忘れられる権利、オプトアウト「情報処理基礎Ⅰ」（第3回）
・データ倫理：データのねつ造、改ざん、盗用、プライバシー保護「情報処理基礎Ⅰ」（第3回）
・AI社会原則（公平性、説明責任、透明性、人間中心の判断）「情報処理基礎Ⅰ」（第3回）
・データバイアス、アルゴリズムバイアス「情報処理基礎Ⅰ」（第3回）
・AIサービスの責任論「情報処理基礎Ⅰ」（第3回）
・データ・AI活用における負の事例紹介「情報処理基礎Ⅰ」（第3回）</t>
    <phoneticPr fontId="1"/>
  </si>
  <si>
    <t>・情報セキュリティ：機密性、完全性、可用性「情報処理基礎Ⅰ」（第2回）
・匿名加工情報、暗号化、パスワード、悪意ある情報搾取「情報処理基礎Ⅰ」（第2回）
・情報漏洩等によるセキュリティ事故の事例紹介「情報処理基礎Ⅰ」（第2回）</t>
    <phoneticPr fontId="1"/>
  </si>
  <si>
    <t>・データの種類、データの分布と代表値、代表値の性質の違い「データマネジメント基礎」（第7回）
・データのばらつき（分散、標準偏差、偏差値）「データマネジメント基礎」（第7回）
・観測データに含まれる誤差の扱い「データマネジメント基礎」（第8回）
・打ち切りや脱落を含むデータ、層別の必要なデータ「データマネジメント基礎」（第9回）
・相関と因果（相関係数、擬似相関、交絡）「データマネジメント基礎」（第10回）
・母集団と標本抽出（国勢調査、アンケート調査、全数調査、単純無作為抽出、層別抽出、多段抽出）「データマネジメント基礎」（第8回）
・クロス集計表、分割表、相関係数行列、散布図行列、統計情報の正しい理解（誇張表現に惑わされない）「データマネジメント基礎」（第9回）</t>
    <phoneticPr fontId="1"/>
  </si>
  <si>
    <t>・データ表現（棒グラフ、折線グラフ、散布図、ヒートマップ）「データマネジメント基礎」（第10回）
・データの図表表現（チャート化）「データマネジメント基礎」（第7回）
・データの比較（条件をそろえた比較、処理の前後での比較、A／Bテスト）「データマネジメント基礎」（第8回）
・不適切なグラフ表現（チャートジャンク、不必要な視覚的要素）「データマネジメント基礎」（第7回）
・優れた可視化事例の紹介（可視化することによって新たな気づきがあった事例など）「データマネジメント基礎」（第13・14回）</t>
    <phoneticPr fontId="1"/>
  </si>
  <si>
    <t>・データの集計（和、平均）「情報処理基礎Ⅱ」（第3回）
・データの並び替え、ランキング「情報処理基礎Ⅱ」（第6回）
・データ解析ツール（スプレッドシート）「情報処理基礎Ⅱ」（第7回）
・表形式のデータ（csv）「情報処理基礎Ⅱ」（第7回）</t>
    <phoneticPr fontId="1"/>
  </si>
  <si>
    <t>表計算ソフトによるデータの集計など基礎的情報処理能力、並びに個人情報保護などデータを扱う上での留意事項などを身に付ける。そのうえで、社会におけるデータサイエンスの発展とそれが社会に及ぼす効果・影響を理解する。また、平均・分散や推定・検定などデータの統計的な処理方法を修得する。</t>
    <phoneticPr fontId="1"/>
  </si>
  <si>
    <t>経営学部</t>
    <rPh sb="0" eb="4">
      <t>ケイエイガクブ</t>
    </rPh>
    <phoneticPr fontId="1"/>
  </si>
  <si>
    <t>スポーツ科学部</t>
    <rPh sb="4" eb="7">
      <t>カガクブ</t>
    </rPh>
    <phoneticPr fontId="1"/>
  </si>
  <si>
    <t>小泉　祐一郎</t>
    <rPh sb="0" eb="2">
      <t>コイズミ</t>
    </rPh>
    <rPh sb="3" eb="6">
      <t>ユウイチロウ</t>
    </rPh>
    <phoneticPr fontId="1"/>
  </si>
  <si>
    <t>教務部長</t>
    <rPh sb="0" eb="4">
      <t>キョウムブチョウ</t>
    </rPh>
    <phoneticPr fontId="1"/>
  </si>
  <si>
    <t>全学教学委員会</t>
    <rPh sb="0" eb="7">
      <t>ゼンガクキョウガクイインカイ</t>
    </rPh>
    <phoneticPr fontId="1"/>
  </si>
  <si>
    <t>堀川　知廣</t>
    <phoneticPr fontId="1"/>
  </si>
  <si>
    <t>学長</t>
    <rPh sb="0" eb="2">
      <t>ガクチョウ</t>
    </rPh>
    <phoneticPr fontId="1"/>
  </si>
  <si>
    <t>大学の教学マネジメントに関する重要事項を審議することを目的とする。
以下に掲げる事項を所掌する。
（1）大学教育に係る全学的な方針に関すること
（2）各学部の教育課程の編成、運営に係る調整に関すること
（3）FD、SDの企画、立案及び実施に関すること
（4）その他全学の教学に関すること</t>
    <phoneticPr fontId="1"/>
  </si>
  <si>
    <t>本学は、本教育プログラムを2023年度より開設する。主たる対象は2023年度入学生であるが、本学のカリキュラムは2020年度以降、整合的であり、2020～2022年度生も、本教育プログラムを履修できる。数理・データサイエンス・AI分野の体系的知識の必要性は自明である。本学は新入生に加えて、在学生も本教育プログラムを履修可能とし、それにより、履修者数・履修率の早期の向上を見込む。
さらに、本学は、本教育プログラムの改善を通して、履修者数・履修率の向上に取り組む。本学の特徴は、教育面のみならず、高大接続や産学連携に関する研究を通して、その改善に取り組むことである。以下の⑨～⑫は、教育面の取り組みを述べる。一方、永田・岩本・高橋（2023）「産学連携を意識したデータサイエンス教育の実践と実データ活用能力の育成」は、研究面より、高大接続や産学連携を通した本教育プログラム改善の取り組みを示す。本学は、同論文が示す通り、企業側から実データが大学側へ提供され、そのデータの処理・分析を大学側が行い、新たに見出された知見を企業側へフィードバックする仕組みを整備している。</t>
    <phoneticPr fontId="1"/>
  </si>
  <si>
    <t>全学教学委員会は学長、各学部長、（全学）教務部長、（各学部）教務委員長、事務局長他から成る。同委員会が本教育プログラムを所掌し、全学の教育体系に位置付ける。すなわち、本教育プログラムを、学部・キャンパス横断的に統一して開設し、教職協働で運営する。
教務部長がワーキンググループを設置し、それが本教育プログラム内外の整備を担う。ワーキンググループは教務部長、データサイエンス・統計学分野の専任教員、事務局次長、教務課長他から成る。ワーキンググループは本教育プログラムの各授業科目をモデルカリキュラムの各項目と結び付け、本教育プログラムを体系的に構築する。それとともに、本教育プログラムを全学共通の基礎教育科目、各学部の専門教育科目と有機的に連携させる。前者は本教育プログラムに必要な教養の修得を、後者は本教育プログラムの内容を各学部の教育体系、専門教育科目、ゼミナール科目などで活用することを目指す。</t>
    <phoneticPr fontId="1"/>
  </si>
  <si>
    <t>本学は本教育プログラムを、在学生オリエンテーション、新入生オリエンテーションにて周知するとともに、大学webページや学生ポータルを通して学生に告知する。それらを履修登録期間前に行い、できる限り多くの学生が本教育プログラムを履修できるようにする。
周知・告知の内容は、（あ）本教育プログラムの目的・意義、（い）本教育プログラムの構造、（う）本教育プログラムと基礎教育科目・専門教育科目の関連などである。
教務部長は上記（あ）～（う）を経営学部・スポーツ科学部合同教授会にて報告し、それらを学内で情報共有する。本学は、専任教員を各学生にアドバイザーとして割り当てる。専任教員は自らがアドバイザーとして担当する学生に対して、本教育プログラムの内容を説明できるようにするとともに、必要に応じて、自らの担当授業科目にて、本教育プログラムの内容を活用する。それらにより、本教育プログラムの有用性を学生に示す。</t>
    <phoneticPr fontId="1"/>
  </si>
  <si>
    <t>本学のディプロマ・ポリシー（卒業認定・学位授与の方針）は、「知識・理解」「思考・判断・表現」「関心・意欲・態度」「技能」を枠組みとする。本学は、すべての授業科目が上記の各項目への配点をシラバスに示し、ディプロマ・ポリシーと各授業科目を整合的に結び付ける。本教育プログラムを構成する授業科目も上記の制度に基づいており、学生は本教育プログラムを本学のディプロマ・ポリシーのなかに体系的に位置付け、学修を進める。
また、本教育プログラムにおいて、データサイエンスを学ぶ際には、数学などの基礎知識が必要である。本学には、それら基礎知識を十分に修得できていない学生も存在する。本学は全学生を対象に、基礎知識を対象としたドリル形式の自己学習を課し、その成果をテストにより計測する。それらドリル・テストにより、必要な基礎知識を養成し、できる限り多くの学生が本教育プログラムを履修・修得できるように支援する。</t>
    <rPh sb="246" eb="248">
      <t>ヒツヨウ</t>
    </rPh>
    <rPh sb="357" eb="359">
      <t>ヨウセイ</t>
    </rPh>
    <rPh sb="392" eb="394">
      <t>シエン</t>
    </rPh>
    <phoneticPr fontId="1"/>
  </si>
  <si>
    <t>本学は、学生と教員が学習指導、質問・回答などを個別にかつ双方向で行えるように、すべての教員が、（あ）オフィスアワー（学生対応の時間帯）を設けるとともに、（い）校務用のメールアドレスを学生に公開、（う）LMSを整備し、授業時間内外で活用できるようにする。
専任教員が本教育プログラムを構成する授業科目を主に担当する。非常勤講師が一部の授業を担当する場合も、専任教員が同一の授業を担当し、当該の専任教員がその授業科目の教育内容を把握する。本学では、原則として、専任教員が本教育プログラム、及びそれを構成する授業科目の内容を管理する。
本学は、専任教員が上記（あ）～（う）を駆使、学生に対して授業時間内外で学習指導を行い、質問などを受け付ける体制をとる。学生はオフィスアワーに対面で相談すること、メールを通して質問・教員から回答を得ること、LMSを活用し、学習指導を受けることなどができる。</t>
    <phoneticPr fontId="1"/>
  </si>
  <si>
    <t>本学では、教務課が教務システムなどを通して、本教育プログラムの履修者・修了者、本教育プログラムを構成する各授業科目の履修者や単位修得者を把握、全学教学委員会が状況を分析・考察する。以下の結果をふまえ、全学教学委員会及び各学部教授会は2024年度の教育課程を改善し（※後述）、本教育プログラムを教育体系により明確に位置付けることとした。
本教育プログラムの修了者数／履修者数
　「SSUデータサイエンスプログラム」86名／129名
本教育プログラムを構成する各授業科目の単位修得者数／履修者数
　「情報処理基礎Ⅰ」374名／410名
　「情報処理基礎Ⅱ」350名／425名
　「データマネジメント基礎」156名／212名
　※上記の数値は当該授業を履修した学生の数である。本教育プログラムの非履修者を含む。</t>
    <rPh sb="0" eb="2">
      <t>ホンガク</t>
    </rPh>
    <rPh sb="5" eb="8">
      <t>キョウムカ</t>
    </rPh>
    <rPh sb="9" eb="11">
      <t>キョウム</t>
    </rPh>
    <rPh sb="18" eb="19">
      <t>トオ</t>
    </rPh>
    <rPh sb="22" eb="25">
      <t>ホンキョウイク</t>
    </rPh>
    <rPh sb="39" eb="42">
      <t>ホンキョウイク</t>
    </rPh>
    <rPh sb="48" eb="50">
      <t>コウセイ</t>
    </rPh>
    <rPh sb="52" eb="57">
      <t>カクジュギョウカモク</t>
    </rPh>
    <rPh sb="58" eb="61">
      <t>リシュウシャ</t>
    </rPh>
    <rPh sb="62" eb="67">
      <t>タンイシュウトクシャ</t>
    </rPh>
    <rPh sb="68" eb="70">
      <t>ハアク</t>
    </rPh>
    <rPh sb="71" eb="78">
      <t>ゼンガクキョウガクイインカイ</t>
    </rPh>
    <rPh sb="79" eb="81">
      <t>ジョウキョウ</t>
    </rPh>
    <rPh sb="82" eb="84">
      <t>ブンセキ</t>
    </rPh>
    <rPh sb="85" eb="87">
      <t>コウサツ</t>
    </rPh>
    <rPh sb="90" eb="92">
      <t>イカ</t>
    </rPh>
    <rPh sb="93" eb="95">
      <t>ケッカ</t>
    </rPh>
    <rPh sb="100" eb="107">
      <t>ゼンガクキョウガクイインカイ</t>
    </rPh>
    <rPh sb="107" eb="108">
      <t>オヨ</t>
    </rPh>
    <rPh sb="109" eb="112">
      <t>カクガクブ</t>
    </rPh>
    <rPh sb="112" eb="115">
      <t>キョウジュカイ</t>
    </rPh>
    <rPh sb="120" eb="122">
      <t>ネンド</t>
    </rPh>
    <rPh sb="128" eb="130">
      <t>カイゼン</t>
    </rPh>
    <rPh sb="133" eb="135">
      <t>コウジュツ</t>
    </rPh>
    <rPh sb="137" eb="138">
      <t>ホン</t>
    </rPh>
    <rPh sb="138" eb="140">
      <t>キョウイク</t>
    </rPh>
    <rPh sb="146" eb="150">
      <t>キョウイクタイケイ</t>
    </rPh>
    <rPh sb="153" eb="155">
      <t>メイカク</t>
    </rPh>
    <rPh sb="156" eb="159">
      <t>イチヅ</t>
    </rPh>
    <rPh sb="178" eb="181">
      <t>シュウリョウシャ</t>
    </rPh>
    <rPh sb="230" eb="231">
      <t>カク</t>
    </rPh>
    <rPh sb="314" eb="316">
      <t>ジョウキ</t>
    </rPh>
    <rPh sb="317" eb="319">
      <t>スウチ</t>
    </rPh>
    <rPh sb="320" eb="324">
      <t>トウガイジュギョウ</t>
    </rPh>
    <rPh sb="325" eb="327">
      <t>リシュウ</t>
    </rPh>
    <rPh sb="329" eb="331">
      <t>ガクセイ</t>
    </rPh>
    <rPh sb="332" eb="333">
      <t>カズ</t>
    </rPh>
    <rPh sb="337" eb="340">
      <t>ホンキョウイク</t>
    </rPh>
    <rPh sb="346" eb="350">
      <t>ヒリシュウシャ</t>
    </rPh>
    <rPh sb="351" eb="352">
      <t>フク</t>
    </rPh>
    <phoneticPr fontId="1"/>
  </si>
  <si>
    <t>本学では、各授業科目の到達目標（シラバスに記載）及び単位修得状況・成績分布を通して、学生の学修成果を考察できる。全学教学委員会は以下の学修成果を得たと考え、2024年度以降、本教育プログラムの履修者数をより増やす方針とした。
〔SSUデータサイエンスプログラム〕以下の3科目を通して、プログラムが目指す学修成果を得た。
「情報処理基礎Ⅰ・Ⅱ」履修者は表計算ソフトによるデータの集計など基礎的情報処理能力、並びに個人情報保護などデータを扱う上での留意事項を身に付けたと考えられる。
「データマネジメント基礎」履修者は社会におけるデータサイエンスの発展とそれが社会に及ぼす効果・影響を理解し、平均・分散や推定・検定などデータの統計的な処理方法を修得したと考えられる。</t>
    <rPh sb="0" eb="2">
      <t>ホンガク</t>
    </rPh>
    <rPh sb="5" eb="10">
      <t>カクジュギョウカモク</t>
    </rPh>
    <rPh sb="11" eb="15">
      <t>トウタツモクヒョウ</t>
    </rPh>
    <rPh sb="21" eb="23">
      <t>キサイ</t>
    </rPh>
    <rPh sb="24" eb="25">
      <t>オヨ</t>
    </rPh>
    <rPh sb="26" eb="32">
      <t>タンイシュウトクジョウキョウ</t>
    </rPh>
    <rPh sb="33" eb="37">
      <t>セイセキブンプ</t>
    </rPh>
    <rPh sb="38" eb="39">
      <t>トオ</t>
    </rPh>
    <rPh sb="42" eb="44">
      <t>ガクセイ</t>
    </rPh>
    <rPh sb="45" eb="49">
      <t>ガクシュウセイカ</t>
    </rPh>
    <rPh sb="50" eb="52">
      <t>コウサツ</t>
    </rPh>
    <rPh sb="56" eb="63">
      <t>ゼンガクキョウガクイインカイ</t>
    </rPh>
    <rPh sb="64" eb="66">
      <t>イカ</t>
    </rPh>
    <rPh sb="67" eb="71">
      <t>ガクシュウセイカ</t>
    </rPh>
    <rPh sb="72" eb="73">
      <t>エ</t>
    </rPh>
    <rPh sb="75" eb="76">
      <t>カンガ</t>
    </rPh>
    <rPh sb="82" eb="84">
      <t>ネンド</t>
    </rPh>
    <rPh sb="84" eb="86">
      <t>イコウ</t>
    </rPh>
    <rPh sb="87" eb="90">
      <t>ホンキョウイク</t>
    </rPh>
    <rPh sb="96" eb="100">
      <t>リシュウシャスウ</t>
    </rPh>
    <rPh sb="103" eb="104">
      <t>フ</t>
    </rPh>
    <rPh sb="106" eb="108">
      <t>ホウシン</t>
    </rPh>
    <rPh sb="132" eb="134">
      <t>イカ</t>
    </rPh>
    <rPh sb="136" eb="138">
      <t>カモク</t>
    </rPh>
    <rPh sb="139" eb="140">
      <t>トオ</t>
    </rPh>
    <rPh sb="149" eb="151">
      <t>メザ</t>
    </rPh>
    <rPh sb="152" eb="156">
      <t>ガクシュウセイカ</t>
    </rPh>
    <rPh sb="157" eb="158">
      <t>エ</t>
    </rPh>
    <rPh sb="173" eb="176">
      <t>リシュウシャ</t>
    </rPh>
    <rPh sb="231" eb="232">
      <t>ツ</t>
    </rPh>
    <rPh sb="256" eb="259">
      <t>リシュウシャ</t>
    </rPh>
    <rPh sb="293" eb="295">
      <t>リカイ</t>
    </rPh>
    <rPh sb="323" eb="325">
      <t>シュウトク</t>
    </rPh>
    <phoneticPr fontId="1"/>
  </si>
  <si>
    <t>本学は従来より、本教育プログラムの授業科目「情報処理基礎Ⅰ・Ⅱ」を全学共通の必修とし、本教育プログラムの授業科目「データマネジメント基礎」を両学部の学生が履修可能としてきた。本学は2024年度教育課程表より、後者を全学共通の専門教育科目として配置し、そこに本教育プログラムと関連深い「データサイエンス基礎」「データサイエンス基礎実践」「統計学」「統計調査論」を配置する。
さらに本教育プログラムを、大学webページなどを通して、学生に告知する。その際に、本教育プログラムの内部（構造）や外部とのつながり（関連）を分かりやすく図式化する。
これらにより、全学的な履修者数、履修率の向上を見込む。</t>
    <rPh sb="0" eb="2">
      <t>ホンガク</t>
    </rPh>
    <rPh sb="3" eb="5">
      <t>ジュウライ</t>
    </rPh>
    <rPh sb="8" eb="11">
      <t>ホンキョウイク</t>
    </rPh>
    <rPh sb="17" eb="19">
      <t>ジュギョウ</t>
    </rPh>
    <rPh sb="22" eb="28">
      <t>ジョウホウショリキソ</t>
    </rPh>
    <rPh sb="33" eb="37">
      <t>ゼンガクキョウツウ</t>
    </rPh>
    <rPh sb="43" eb="46">
      <t>ホンキョウイク</t>
    </rPh>
    <rPh sb="52" eb="54">
      <t>ジュギョウ</t>
    </rPh>
    <rPh sb="66" eb="68">
      <t>キソ</t>
    </rPh>
    <rPh sb="70" eb="73">
      <t>リョウガクブ</t>
    </rPh>
    <rPh sb="74" eb="76">
      <t>ガクセイ</t>
    </rPh>
    <rPh sb="77" eb="79">
      <t>リシュウ</t>
    </rPh>
    <rPh sb="79" eb="81">
      <t>カノウ</t>
    </rPh>
    <rPh sb="87" eb="89">
      <t>ホンガク</t>
    </rPh>
    <rPh sb="94" eb="96">
      <t>ネンド</t>
    </rPh>
    <rPh sb="96" eb="101">
      <t>キョウイクカテイヒョウ</t>
    </rPh>
    <rPh sb="104" eb="106">
      <t>コウシャ</t>
    </rPh>
    <rPh sb="107" eb="111">
      <t>ゼンガクキョウツウ</t>
    </rPh>
    <rPh sb="112" eb="118">
      <t>センモンキョウイクカモク</t>
    </rPh>
    <rPh sb="121" eb="123">
      <t>ハイチ</t>
    </rPh>
    <rPh sb="128" eb="129">
      <t>ホン</t>
    </rPh>
    <rPh sb="129" eb="131">
      <t>キョウイク</t>
    </rPh>
    <rPh sb="137" eb="140">
      <t>カンレンブカ</t>
    </rPh>
    <rPh sb="150" eb="152">
      <t>キソ</t>
    </rPh>
    <rPh sb="162" eb="166">
      <t>キソジッセン</t>
    </rPh>
    <rPh sb="168" eb="171">
      <t>トウケイガク</t>
    </rPh>
    <rPh sb="173" eb="178">
      <t>トウケイチョウサロン</t>
    </rPh>
    <rPh sb="180" eb="182">
      <t>ハイチ</t>
    </rPh>
    <rPh sb="294" eb="296">
      <t>ミコゼンガクテキリシュウシャスウリシュウリツコウジョウミコ</t>
    </rPh>
    <phoneticPr fontId="1"/>
  </si>
  <si>
    <t>本学は以下の2つの仕組みを整備済みであり、左記に対応することした。
第一に、本学は、各学生のアドバイザーや教務・就職関連の委員会・課が本教育プログラム修了者を的確に把握し、情報を共有する。これにより、各学生の本教育プログラム修了後の学習過程や研究成果、進路、就職後の評価などを追跡可能とする。
第二に、本学は、企業や経済団体・地方公共団体（以下、企業等）に、本教育プログラムや修了者に関する意見照会を行う。本学は、学則及び3ポリシーに基づき、企業等による冠講座を開講する。同講座は本教育プログラムの内容を活用する。本学は企業等との交流の場を設け、そこで本教育プログラムや修了者に関する意見などを調査可能とする。</t>
    <rPh sb="15" eb="16">
      <t>ズ</t>
    </rPh>
    <rPh sb="21" eb="23">
      <t>サキ</t>
    </rPh>
    <rPh sb="24" eb="26">
      <t>タイオウ</t>
    </rPh>
    <rPh sb="43" eb="46">
      <t>カクガクセイ</t>
    </rPh>
    <rPh sb="54" eb="56">
      <t>キョウム</t>
    </rPh>
    <rPh sb="57" eb="61">
      <t>シュウショクカンレン</t>
    </rPh>
    <rPh sb="62" eb="65">
      <t>イインカイ</t>
    </rPh>
    <rPh sb="66" eb="67">
      <t>カ</t>
    </rPh>
    <rPh sb="68" eb="71">
      <t>ホンキョウイク</t>
    </rPh>
    <rPh sb="76" eb="79">
      <t>シュウリョウシャ</t>
    </rPh>
    <rPh sb="80" eb="82">
      <t>テキカク</t>
    </rPh>
    <rPh sb="83" eb="85">
      <t>ハアク</t>
    </rPh>
    <rPh sb="87" eb="89">
      <t>ジョウホウ</t>
    </rPh>
    <rPh sb="90" eb="92">
      <t>キョウユウ</t>
    </rPh>
    <rPh sb="101" eb="104">
      <t>カクガクセイ</t>
    </rPh>
    <rPh sb="130" eb="133">
      <t>シュウショクゴ</t>
    </rPh>
    <rPh sb="153" eb="155">
      <t>ホンガク</t>
    </rPh>
    <rPh sb="181" eb="182">
      <t>ホン</t>
    </rPh>
    <rPh sb="182" eb="184">
      <t>キョウイク</t>
    </rPh>
    <rPh sb="190" eb="193">
      <t>シュウリョウシャ</t>
    </rPh>
    <rPh sb="194" eb="195">
      <t>カン</t>
    </rPh>
    <rPh sb="202" eb="203">
      <t>オコナ</t>
    </rPh>
    <rPh sb="233" eb="235">
      <t>カイコウ</t>
    </rPh>
    <rPh sb="238" eb="241">
      <t>ドウコウザ</t>
    </rPh>
    <rPh sb="267" eb="269">
      <t>コウリュウ</t>
    </rPh>
    <rPh sb="287" eb="290">
      <t>シュウリョウシャ</t>
    </rPh>
    <rPh sb="291" eb="292">
      <t>カン</t>
    </rPh>
    <rPh sb="294" eb="296">
      <t>イケン</t>
    </rPh>
    <rPh sb="299" eb="303">
      <t>チョウサカノウホンガクホンキョウイクシュウリョウシャハアクキョウムキョウインショクインチュウシンガクナイガクシュウカテイソツギョウゴシンロカツヤクツイセキシクモウ</t>
    </rPh>
    <phoneticPr fontId="1"/>
  </si>
  <si>
    <t>本学は、本教育プログラムに教育面、研究面から接近、両面を相互に関連させ、改善を図ることとした。例えば、永田・岩本・高橋（2023）「産学連携を意識したデータサイエンス教育の実践と実データ活用能力の育成」に基づき、以下のように対応する。
同稿は、「高大接続」「産学連携」を重視する。データサイエンス教育について、高校にての意義・内容・限界を整理、大学では自ら課題を発見し、より適した問題解決方法を選択できる能力を身に付けさせることが重要とする。本学は、それに対して、企業側から実データが大学側へ提供され、そのデータの処理・分析を大学側が行い、新たに見出された知見を企業側へフィードバックする仕組みを整備する。</t>
    <rPh sb="0" eb="2">
      <t>ホンガク</t>
    </rPh>
    <rPh sb="4" eb="5">
      <t>ホン</t>
    </rPh>
    <rPh sb="5" eb="7">
      <t>キョウイク</t>
    </rPh>
    <rPh sb="13" eb="16">
      <t>キョウイクメン</t>
    </rPh>
    <rPh sb="17" eb="20">
      <t>ケンキュウメン</t>
    </rPh>
    <rPh sb="22" eb="24">
      <t>セッキン</t>
    </rPh>
    <rPh sb="25" eb="27">
      <t>リョウメン</t>
    </rPh>
    <rPh sb="31" eb="33">
      <t>カンレン</t>
    </rPh>
    <rPh sb="36" eb="38">
      <t>カイゼン</t>
    </rPh>
    <rPh sb="39" eb="40">
      <t>ハカ</t>
    </rPh>
    <rPh sb="47" eb="48">
      <t>タト</t>
    </rPh>
    <rPh sb="102" eb="103">
      <t>モト</t>
    </rPh>
    <rPh sb="106" eb="108">
      <t>イカ</t>
    </rPh>
    <rPh sb="112" eb="114">
      <t>タイオウ</t>
    </rPh>
    <rPh sb="119" eb="121">
      <t>ドウコウ</t>
    </rPh>
    <rPh sb="149" eb="151">
      <t>キョウイク</t>
    </rPh>
    <rPh sb="161" eb="163">
      <t>イギ</t>
    </rPh>
    <rPh sb="164" eb="166">
      <t>ナイヨウ</t>
    </rPh>
    <rPh sb="167" eb="169">
      <t>ゲンカイ</t>
    </rPh>
    <rPh sb="170" eb="172">
      <t>セイリ</t>
    </rPh>
    <rPh sb="208" eb="209">
      <t>ツ</t>
    </rPh>
    <rPh sb="222" eb="224">
      <t>ホンガク</t>
    </rPh>
    <rPh sb="229" eb="230">
      <t>タイ</t>
    </rPh>
    <phoneticPr fontId="1"/>
  </si>
  <si>
    <t>（1）学長　堀川知廣
（2）副学長　田畑和彦
（3）副学長　丹羽由一
（4）経営学部長　佐野典秀
（5）スポーツ科学部長　髙橋和子
（6）教務部長　牧野好洋
（7）経営学部教務委員長　高橋等
（8）スポーツ科学部教務委員長　徐広孝
（9）大学事務局長　澤野岳志
（10）大学事務局長代理　酒井宏高
（11）大学事務局長代理　川合孝弘
（12）大学事務局藤枝キャンパス教務課長　林友紀
（13）大学事務局磐田キャンパス教務課長　中村直美　ほか</t>
    <phoneticPr fontId="1"/>
  </si>
  <si>
    <t>本学では、教務課が実施する「SSUデータサイエンスプログラムに関するアンケート調査」を通して、内容の理解度を考察できる。2023年度は、本教育プログラムを履修した30名より回答を得た。結果は以下の通りであり、教育課程の改善（※後述）により、理解度をより高める方針とした。
　1-1．社会で起きている変化　4.3点　　　　　　　1-2．社会で活用されているデータ　4.3点
　1-3．データ・AIの活用領域　4.3点　　　　　　　 1-4．データ・AI利活用のための技術　4.1点
　1-5．データ・AI利活用の現場　4.1点　　　　　　1-6．データ・AI利活用の最新動向　4.2点
　2-1．データを読む　3.9点　　　　　　　　　　　　　2-2．データを説明する　4.3点
　2-3．データを扱う　4.4点
　3-1．データ・AIを扱う上での留意事項　3.9点　3-2．データを守る上での留意事項　4.2点
　※「理解できた」を5点、「やや理解できた」を4点、「どちらとも言えない」を3点、「あまり理解できなかった」を2点、
　　「理解できなかった」を1点とし、各項目の平均点を算出した。</t>
    <rPh sb="0" eb="2">
      <t>ホンガク</t>
    </rPh>
    <rPh sb="5" eb="8">
      <t>キョウムカ</t>
    </rPh>
    <rPh sb="9" eb="11">
      <t>ジッシ</t>
    </rPh>
    <rPh sb="31" eb="32">
      <t>カン</t>
    </rPh>
    <rPh sb="39" eb="41">
      <t>チョウサ</t>
    </rPh>
    <rPh sb="43" eb="44">
      <t>トオ</t>
    </rPh>
    <rPh sb="47" eb="49">
      <t>ナイヨウ</t>
    </rPh>
    <rPh sb="50" eb="53">
      <t>リカイド</t>
    </rPh>
    <rPh sb="54" eb="56">
      <t>コウサツ</t>
    </rPh>
    <rPh sb="64" eb="66">
      <t>ネンド</t>
    </rPh>
    <rPh sb="68" eb="71">
      <t>ホンキョウイク</t>
    </rPh>
    <rPh sb="77" eb="79">
      <t>リシュウ</t>
    </rPh>
    <rPh sb="83" eb="84">
      <t>メイ</t>
    </rPh>
    <rPh sb="86" eb="88">
      <t>カイトウ</t>
    </rPh>
    <rPh sb="89" eb="90">
      <t>エ</t>
    </rPh>
    <rPh sb="92" eb="94">
      <t>ケッカ</t>
    </rPh>
    <rPh sb="95" eb="97">
      <t>イカ</t>
    </rPh>
    <rPh sb="98" eb="99">
      <t>トオ</t>
    </rPh>
    <rPh sb="104" eb="108">
      <t>キョウイクカテイ</t>
    </rPh>
    <rPh sb="109" eb="111">
      <t>カイゼン</t>
    </rPh>
    <rPh sb="113" eb="115">
      <t>コウジュツ</t>
    </rPh>
    <rPh sb="120" eb="123">
      <t>リカイド</t>
    </rPh>
    <rPh sb="126" eb="127">
      <t>タカ</t>
    </rPh>
    <rPh sb="129" eb="131">
      <t>ホウシン</t>
    </rPh>
    <phoneticPr fontId="1"/>
  </si>
  <si>
    <t>本学は、冠講座を提供する企業等との交流の場を設ける。そこで、本教育プログラムの概要を改めて説明し、アンケート調査を通して意見を尋ねた。企業等の関係者23名より回答を得た。回答を集計、考察した結果を以下に示す。
　◇企業等において、データサイエンスは必須である。本教育プログラムの履修者・修了者をより増やして欲しい。
　◇テクニカルな内容に加えて、データを扱うときの留意事項やデータの読み取りなどにより力点をおいて欲しい。
　◇本教育プログラムの修了者がデータを活用した分析を実践できるよう、他科目でも演習に取り組んで欲しい。
本学は上記の結果を来年度の本教育プログラムの企画・運営に生かすこととした。</t>
    <rPh sb="0" eb="2">
      <t>ホンガク</t>
    </rPh>
    <rPh sb="4" eb="7">
      <t>カンムリコウザ</t>
    </rPh>
    <rPh sb="8" eb="10">
      <t>テイキョウ</t>
    </rPh>
    <rPh sb="12" eb="15">
      <t>キギョウトウ</t>
    </rPh>
    <rPh sb="17" eb="19">
      <t>コウリュウ</t>
    </rPh>
    <rPh sb="20" eb="21">
      <t>バ</t>
    </rPh>
    <rPh sb="22" eb="23">
      <t>モウ</t>
    </rPh>
    <rPh sb="30" eb="33">
      <t>ホンキョウイク</t>
    </rPh>
    <rPh sb="39" eb="41">
      <t>ガイヨウ</t>
    </rPh>
    <rPh sb="42" eb="43">
      <t>アラタ</t>
    </rPh>
    <rPh sb="45" eb="47">
      <t>セツメイ</t>
    </rPh>
    <rPh sb="63" eb="64">
      <t>タズ</t>
    </rPh>
    <rPh sb="67" eb="70">
      <t>キギョウトウ</t>
    </rPh>
    <rPh sb="71" eb="74">
      <t>カンケイシャ</t>
    </rPh>
    <rPh sb="76" eb="77">
      <t>メイ</t>
    </rPh>
    <rPh sb="79" eb="81">
      <t>カイトウ</t>
    </rPh>
    <rPh sb="82" eb="83">
      <t>エ</t>
    </rPh>
    <rPh sb="85" eb="87">
      <t>カイトウ</t>
    </rPh>
    <rPh sb="88" eb="90">
      <t>シュウケイ</t>
    </rPh>
    <rPh sb="91" eb="93">
      <t>コウサツ</t>
    </rPh>
    <rPh sb="95" eb="97">
      <t>ケッカ</t>
    </rPh>
    <rPh sb="98" eb="100">
      <t>イカ</t>
    </rPh>
    <rPh sb="101" eb="102">
      <t>シメ</t>
    </rPh>
    <rPh sb="108" eb="111">
      <t>キギョウトウ</t>
    </rPh>
    <rPh sb="125" eb="127">
      <t>ヒッス</t>
    </rPh>
    <rPh sb="131" eb="132">
      <t>ホン</t>
    </rPh>
    <rPh sb="132" eb="134">
      <t>キョウイク</t>
    </rPh>
    <rPh sb="140" eb="143">
      <t>リシュウシャ</t>
    </rPh>
    <rPh sb="144" eb="147">
      <t>シュウリョウシャ</t>
    </rPh>
    <rPh sb="150" eb="151">
      <t>フ</t>
    </rPh>
    <rPh sb="154" eb="155">
      <t>ホ</t>
    </rPh>
    <rPh sb="167" eb="169">
      <t>ナイヨウ</t>
    </rPh>
    <rPh sb="170" eb="171">
      <t>クワ</t>
    </rPh>
    <rPh sb="178" eb="179">
      <t>アツカ</t>
    </rPh>
    <rPh sb="183" eb="187">
      <t>リュウイジコウ</t>
    </rPh>
    <rPh sb="192" eb="193">
      <t>ヨ</t>
    </rPh>
    <rPh sb="194" eb="195">
      <t>ト</t>
    </rPh>
    <rPh sb="201" eb="203">
      <t>リキテン</t>
    </rPh>
    <rPh sb="207" eb="208">
      <t>ホ</t>
    </rPh>
    <rPh sb="214" eb="217">
      <t>ホンキョウイク</t>
    </rPh>
    <rPh sb="223" eb="226">
      <t>シュウリョウシャ</t>
    </rPh>
    <rPh sb="231" eb="233">
      <t>カツヨウ</t>
    </rPh>
    <rPh sb="235" eb="237">
      <t>ブンセキ</t>
    </rPh>
    <rPh sb="238" eb="240">
      <t>ジッセン</t>
    </rPh>
    <rPh sb="246" eb="249">
      <t>タカモク</t>
    </rPh>
    <rPh sb="251" eb="253">
      <t>エンシュウ</t>
    </rPh>
    <rPh sb="254" eb="255">
      <t>ト</t>
    </rPh>
    <rPh sb="256" eb="257">
      <t>ク</t>
    </rPh>
    <rPh sb="259" eb="260">
      <t>ホ</t>
    </rPh>
    <rPh sb="265" eb="267">
      <t>ホンガク</t>
    </rPh>
    <rPh sb="268" eb="270">
      <t>ジョウキ</t>
    </rPh>
    <rPh sb="271" eb="273">
      <t>ケッカ</t>
    </rPh>
    <rPh sb="274" eb="277">
      <t>ライネンド</t>
    </rPh>
    <rPh sb="278" eb="281">
      <t>ホンキョウイク</t>
    </rPh>
    <rPh sb="287" eb="289">
      <t>キカク</t>
    </rPh>
    <rPh sb="290" eb="292">
      <t>ウンエイ</t>
    </rPh>
    <rPh sb="293" eb="294">
      <t>イ</t>
    </rPh>
    <phoneticPr fontId="1"/>
  </si>
  <si>
    <t>本学では、教務課が実施する「SSUデータサイエンスプログラムに関するアンケート調査」を通して、他の学生への推奨度を考察できる。2023年度は、本教育プログラムを履修した30名より回答を得た。結果は以下の通りであり、教育課程の改善（※後述）により、推奨度をより高める方針とした。
　〔SSUデータサイエンスプログラム〕　4.0点
　「情報処理基礎Ⅰ」　4.5点
　「情報処理基礎Ⅱ」　4.5点
　「データマネジメント基礎」　4.3点
　※「推奨する」を5点、「やや推奨する」を4点、「どちらとも言えない」を3点、「あまり推奨しない」を2点、
　　「推奨しない」を1点として、本教育プログラム及び各授業科目の平均点を算出した。</t>
    <rPh sb="39" eb="41">
      <t>チョウサ</t>
    </rPh>
    <rPh sb="47" eb="48">
      <t>タ</t>
    </rPh>
    <rPh sb="49" eb="51">
      <t>ガクセイ</t>
    </rPh>
    <rPh sb="53" eb="56">
      <t>スイショウド</t>
    </rPh>
    <rPh sb="67" eb="69">
      <t>ネンド</t>
    </rPh>
    <rPh sb="107" eb="111">
      <t>キョウイクカテイ</t>
    </rPh>
    <rPh sb="112" eb="114">
      <t>カイゼン</t>
    </rPh>
    <rPh sb="116" eb="118">
      <t>コウジュツ</t>
    </rPh>
    <rPh sb="123" eb="126">
      <t>スイショウド</t>
    </rPh>
    <rPh sb="129" eb="130">
      <t>タカ</t>
    </rPh>
    <rPh sb="132" eb="134">
      <t>ホウシン</t>
    </rPh>
    <rPh sb="167" eb="173">
      <t>ジョウホウショリキソ</t>
    </rPh>
    <rPh sb="183" eb="189">
      <t>ジョウホウショリキソ</t>
    </rPh>
    <rPh sb="288" eb="291">
      <t>ホンキョウイク</t>
    </rPh>
    <rPh sb="296" eb="297">
      <t>オヨ</t>
    </rPh>
    <phoneticPr fontId="1"/>
  </si>
  <si>
    <t>本学は、本教育プログラムの各授業科目をモデルカリキュラムの各項目と結び付け、それにより、本教育プログラムの内容・水準・体系を保証することとした。それとともに、本教育プログラムを全学の専門基盤教育として位置づけ、各学部の学生が理解できる（初学者も分かる）内容とする。具体的には、以下の2つを採る。
第一に、各分野の事象を事例として適宜、活用する一方、各学部・学科の専門知識を前提とする内容を本教育プログラムでは控える。本教育プログラムとそれらの専門知識を融合した内容を別途、それぞれの専門教育科目で扱う。
第二に、各分野の事象を事例とした演習を適宜、実施する。そこでは、生成AI等の活用技術に加えて、留意点を重視する。</t>
    <rPh sb="0" eb="2">
      <t>ホンガク</t>
    </rPh>
    <rPh sb="13" eb="14">
      <t>カク</t>
    </rPh>
    <rPh sb="14" eb="16">
      <t>ジュギョウ</t>
    </rPh>
    <rPh sb="44" eb="45">
      <t>ホン</t>
    </rPh>
    <rPh sb="45" eb="47">
      <t>キョウイク</t>
    </rPh>
    <rPh sb="53" eb="55">
      <t>ナイヨウ</t>
    </rPh>
    <rPh sb="56" eb="58">
      <t>スイジュン</t>
    </rPh>
    <rPh sb="62" eb="64">
      <t>ホショウ</t>
    </rPh>
    <rPh sb="100" eb="102">
      <t>イチ</t>
    </rPh>
    <rPh sb="105" eb="108">
      <t>カクガクブ</t>
    </rPh>
    <rPh sb="132" eb="135">
      <t>グタイテキ</t>
    </rPh>
    <rPh sb="138" eb="140">
      <t>イカ</t>
    </rPh>
    <rPh sb="144" eb="145">
      <t>ト</t>
    </rPh>
    <rPh sb="149" eb="151">
      <t>ダイイチ</t>
    </rPh>
    <rPh sb="153" eb="156">
      <t>カクブンヤ</t>
    </rPh>
    <rPh sb="160" eb="162">
      <t>ジレイ</t>
    </rPh>
    <rPh sb="175" eb="178">
      <t>カクガクブ</t>
    </rPh>
    <rPh sb="179" eb="181">
      <t>ガッカ</t>
    </rPh>
    <rPh sb="195" eb="198">
      <t>ホンキョウイク</t>
    </rPh>
    <rPh sb="205" eb="206">
      <t>ヒカ</t>
    </rPh>
    <rPh sb="209" eb="212">
      <t>ホンキョウイク</t>
    </rPh>
    <rPh sb="222" eb="226">
      <t>センモンチシキ</t>
    </rPh>
    <rPh sb="227" eb="229">
      <t>ユウゴウ</t>
    </rPh>
    <rPh sb="231" eb="233">
      <t>ナイヨウ</t>
    </rPh>
    <rPh sb="234" eb="236">
      <t>ベット</t>
    </rPh>
    <rPh sb="242" eb="248">
      <t>センモンキョウイクカモク</t>
    </rPh>
    <rPh sb="249" eb="250">
      <t>アツカ</t>
    </rPh>
    <rPh sb="254" eb="256">
      <t>ダイニ</t>
    </rPh>
    <rPh sb="258" eb="261">
      <t>カクブンヤ</t>
    </rPh>
    <rPh sb="262" eb="264">
      <t>ジショウ</t>
    </rPh>
    <rPh sb="265" eb="267">
      <t>ジレイ</t>
    </rPh>
    <rPh sb="270" eb="272">
      <t>エンシュウ</t>
    </rPh>
    <rPh sb="273" eb="275">
      <t>テキギ</t>
    </rPh>
    <rPh sb="276" eb="278">
      <t>ジッシ</t>
    </rPh>
    <rPh sb="286" eb="288">
      <t>セイセイ</t>
    </rPh>
    <rPh sb="290" eb="291">
      <t>トウ</t>
    </rPh>
    <rPh sb="292" eb="296">
      <t>カツヨウギジュツ</t>
    </rPh>
    <rPh sb="297" eb="298">
      <t>クワ</t>
    </rPh>
    <rPh sb="301" eb="304">
      <t>リュウイテン</t>
    </rPh>
    <rPh sb="305" eb="307">
      <t>ジュウシ</t>
    </rPh>
    <phoneticPr fontId="1"/>
  </si>
  <si>
    <t>「データマネジメント基礎」の社会におけるAIなど活用の中で、X（旧Twitter）に掲載された災害の実際の画像、生成AIによるフェイク画像を取り上げ、どちらが真実であるかを履修者に予想させた。また、同一のテーマに関する調査をChat GPTとGoogle検索で行い、結果の違いについて考えさせる演習を行った。これらの取り組みを通して、履修者はAIの特性や活用時の留意点などを学修した。</t>
    <rPh sb="14" eb="16">
      <t>シャカイ</t>
    </rPh>
    <rPh sb="24" eb="26">
      <t>カツヨウ</t>
    </rPh>
    <rPh sb="27" eb="28">
      <t>ナカ</t>
    </rPh>
    <rPh sb="32" eb="33">
      <t>キュウ</t>
    </rPh>
    <rPh sb="50" eb="52">
      <t>ジッサイ</t>
    </rPh>
    <rPh sb="53" eb="55">
      <t>ガゾウ</t>
    </rPh>
    <rPh sb="56" eb="58">
      <t>セイセイ</t>
    </rPh>
    <rPh sb="72" eb="73">
      <t>ア</t>
    </rPh>
    <rPh sb="86" eb="90">
      <t>リシュウ</t>
    </rPh>
    <rPh sb="99" eb="101">
      <t>ドウイツ</t>
    </rPh>
    <rPh sb="106" eb="107">
      <t>カン</t>
    </rPh>
    <rPh sb="109" eb="111">
      <t>チョウサ</t>
    </rPh>
    <rPh sb="130" eb="131">
      <t>オコナ</t>
    </rPh>
    <rPh sb="147" eb="149">
      <t>エンシュウ</t>
    </rPh>
    <rPh sb="150" eb="151">
      <t>オコナ</t>
    </rPh>
    <rPh sb="158" eb="159">
      <t>ト</t>
    </rPh>
    <rPh sb="160" eb="161">
      <t>ク</t>
    </rPh>
    <rPh sb="163" eb="164">
      <t>トオ</t>
    </rPh>
    <rPh sb="167" eb="171">
      <t>リシュウ</t>
    </rPh>
    <rPh sb="174" eb="176">
      <t>トクセイ</t>
    </rPh>
    <rPh sb="177" eb="180">
      <t>カツヨウジ</t>
    </rPh>
    <rPh sb="181" eb="184">
      <t>リュウイテン</t>
    </rPh>
    <rPh sb="187" eb="189">
      <t>ガクシュウ</t>
    </rPh>
    <phoneticPr fontId="1"/>
  </si>
  <si>
    <t>令和５</t>
    <rPh sb="0" eb="2">
      <t>レイワ</t>
    </rPh>
    <phoneticPr fontId="1"/>
  </si>
  <si>
    <t>静岡産業大学全学教学委員会規程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</si>
</sst>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12"/>
      <color rgb="FF0000FF"/>
      <name val="ＭＳ Ｐゴシック"/>
      <family val="3"/>
      <charset val="128"/>
      <scheme val="minor"/>
    </font>
    <font>
      <sz val="11"/>
      <color rgb="FF0000FF"/>
      <name val="ＭＳ Ｐゴシック"/>
      <family val="3"/>
      <charset val="128"/>
      <scheme val="minor"/>
    </font>
    <font>
      <sz val="9"/>
      <color rgb="FF0000FF"/>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0" fontId="16" fillId="0" borderId="1" xfId="0" applyFont="1" applyBorder="1">
      <alignment vertical="center"/>
    </xf>
    <xf numFmtId="0" fontId="16" fillId="0" borderId="1" xfId="0" applyFont="1" applyBorder="1" applyAlignment="1">
      <alignment horizontal="left" vertical="center"/>
    </xf>
    <xf numFmtId="0" fontId="16" fillId="0" borderId="14" xfId="0" applyFont="1" applyBorder="1" applyAlignment="1">
      <alignment horizontal="center" vertical="center" shrinkToFit="1"/>
    </xf>
    <xf numFmtId="0" fontId="16" fillId="0" borderId="15" xfId="0" applyFont="1" applyBorder="1" applyAlignment="1">
      <alignment horizontal="center" vertical="center" shrinkToFit="1"/>
    </xf>
    <xf numFmtId="0" fontId="16" fillId="0" borderId="20" xfId="0" applyFont="1" applyBorder="1" applyAlignment="1">
      <alignment horizontal="center" vertical="center" shrinkToFit="1"/>
    </xf>
    <xf numFmtId="38" fontId="16" fillId="0" borderId="45" xfId="2" applyFont="1" applyBorder="1" applyAlignment="1">
      <alignment vertical="center" shrinkToFit="1"/>
    </xf>
    <xf numFmtId="38" fontId="16" fillId="0" borderId="0" xfId="2" applyFont="1" applyAlignment="1">
      <alignment vertical="center" shrinkToFit="1"/>
    </xf>
    <xf numFmtId="38" fontId="16" fillId="0" borderId="5" xfId="2" applyFont="1" applyBorder="1" applyAlignment="1">
      <alignment vertical="center" shrinkToFit="1"/>
    </xf>
    <xf numFmtId="38" fontId="16" fillId="0" borderId="20" xfId="2" applyFont="1" applyBorder="1" applyAlignment="1">
      <alignment vertical="center" shrinkToFit="1"/>
    </xf>
    <xf numFmtId="38" fontId="16" fillId="0" borderId="19" xfId="2" applyFont="1" applyBorder="1" applyAlignment="1">
      <alignment vertical="center" shrinkToFit="1"/>
    </xf>
    <xf numFmtId="38" fontId="16" fillId="0" borderId="18" xfId="2" applyFont="1" applyBorder="1" applyAlignment="1">
      <alignment vertical="center" shrinkToFit="1"/>
    </xf>
    <xf numFmtId="38" fontId="16" fillId="0" borderId="46" xfId="2" applyFont="1" applyBorder="1" applyAlignment="1">
      <alignment vertical="center" shrinkToFit="1"/>
    </xf>
    <xf numFmtId="0" fontId="16" fillId="0" borderId="1" xfId="0" applyFont="1" applyBorder="1" applyAlignment="1">
      <alignment horizontal="center" vertical="center"/>
    </xf>
    <xf numFmtId="9" fontId="16" fillId="0" borderId="1" xfId="0" applyNumberFormat="1" applyFont="1" applyBorder="1" applyAlignment="1">
      <alignment horizontal="center"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8"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6" fillId="0" borderId="29" xfId="0" applyFont="1" applyBorder="1" applyAlignment="1">
      <alignment vertical="center" shrinkToFit="1"/>
    </xf>
    <xf numFmtId="0" fontId="16" fillId="0" borderId="31" xfId="0" applyFont="1" applyBorder="1" applyAlignment="1">
      <alignment vertical="center" shrinkToFit="1"/>
    </xf>
    <xf numFmtId="0" fontId="16" fillId="0" borderId="18" xfId="0" applyFont="1" applyBorder="1" applyAlignment="1">
      <alignment vertical="center" shrinkToFit="1"/>
    </xf>
    <xf numFmtId="0" fontId="16" fillId="0" borderId="19" xfId="0" applyFont="1" applyBorder="1" applyAlignment="1">
      <alignment vertical="center" shrinkToFit="1"/>
    </xf>
    <xf numFmtId="0" fontId="3" fillId="0" borderId="27" xfId="0" applyFont="1" applyBorder="1" applyAlignment="1">
      <alignment vertical="center" wrapText="1"/>
    </xf>
    <xf numFmtId="0" fontId="15" fillId="0" borderId="0" xfId="0" applyFont="1" applyAlignment="1">
      <alignment horizontal="center" vertical="center"/>
    </xf>
    <xf numFmtId="0" fontId="16" fillId="0" borderId="7" xfId="0" applyFont="1" applyBorder="1" applyAlignment="1">
      <alignment horizontal="left" vertical="top" wrapText="1" shrinkToFit="1"/>
    </xf>
    <xf numFmtId="0" fontId="16" fillId="0" borderId="8" xfId="0" applyFont="1" applyBorder="1" applyAlignment="1">
      <alignment horizontal="left" vertical="top" wrapText="1" shrinkToFit="1"/>
    </xf>
    <xf numFmtId="0" fontId="16" fillId="0" borderId="9" xfId="0" applyFont="1" applyBorder="1" applyAlignment="1">
      <alignment horizontal="left" vertical="top" wrapText="1" shrinkToFit="1"/>
    </xf>
    <xf numFmtId="0" fontId="16" fillId="0" borderId="5" xfId="0" applyFont="1" applyBorder="1" applyAlignment="1">
      <alignment horizontal="left" vertical="top" wrapText="1" shrinkToFit="1"/>
    </xf>
    <xf numFmtId="0" fontId="16" fillId="0" borderId="0" xfId="0" applyFont="1" applyAlignment="1">
      <alignment horizontal="left" vertical="top" wrapText="1" shrinkToFit="1"/>
    </xf>
    <xf numFmtId="0" fontId="16" fillId="0" borderId="10" xfId="0" applyFont="1" applyBorder="1" applyAlignment="1">
      <alignment horizontal="left" vertical="top" wrapText="1" shrinkToFit="1"/>
    </xf>
    <xf numFmtId="0" fontId="16" fillId="0" borderId="11" xfId="0" applyFont="1" applyBorder="1" applyAlignment="1">
      <alignment horizontal="left" vertical="top" wrapText="1" shrinkToFit="1"/>
    </xf>
    <xf numFmtId="0" fontId="16" fillId="0" borderId="6" xfId="0" applyFont="1" applyBorder="1" applyAlignment="1">
      <alignment horizontal="left" vertical="top" wrapText="1" shrinkToFit="1"/>
    </xf>
    <xf numFmtId="0" fontId="16" fillId="0" borderId="12" xfId="0" applyFont="1" applyBorder="1" applyAlignment="1">
      <alignment horizontal="left" vertical="top" wrapText="1" shrinkToFit="1"/>
    </xf>
    <xf numFmtId="0" fontId="13" fillId="0" borderId="0" xfId="0" applyFont="1" applyAlignment="1">
      <alignment vertical="center" wrapText="1"/>
    </xf>
    <xf numFmtId="0" fontId="16" fillId="0" borderId="2" xfId="0" applyFont="1" applyBorder="1" applyAlignment="1">
      <alignment vertical="center" wrapText="1" shrinkToFit="1"/>
    </xf>
    <xf numFmtId="0" fontId="16" fillId="0" borderId="3" xfId="0" applyFont="1" applyBorder="1" applyAlignment="1">
      <alignment vertical="center" wrapText="1" shrinkToFit="1"/>
    </xf>
    <xf numFmtId="0" fontId="16"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6" fillId="0" borderId="30" xfId="0" applyFont="1" applyBorder="1" applyAlignment="1">
      <alignment vertical="center" shrinkToFit="1"/>
    </xf>
    <xf numFmtId="0" fontId="13" fillId="0" borderId="0" xfId="0" applyFont="1" applyAlignment="1">
      <alignment horizontal="right"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2" fillId="0" borderId="0" xfId="0" applyFont="1" applyAlignment="1">
      <alignment horizontal="left" vertical="center" wrapText="1"/>
    </xf>
    <xf numFmtId="49" fontId="18" fillId="0" borderId="32" xfId="0" applyNumberFormat="1" applyFont="1" applyBorder="1" applyAlignment="1">
      <alignment horizontal="left" vertical="center" wrapText="1"/>
    </xf>
    <xf numFmtId="49" fontId="18" fillId="0" borderId="33" xfId="0" applyNumberFormat="1" applyFont="1" applyBorder="1" applyAlignment="1">
      <alignment horizontal="left" vertical="center"/>
    </xf>
    <xf numFmtId="49" fontId="18" fillId="0" borderId="34" xfId="0" applyNumberFormat="1" applyFont="1" applyBorder="1" applyAlignment="1">
      <alignment horizontal="left" vertical="center"/>
    </xf>
    <xf numFmtId="49" fontId="18" fillId="0" borderId="29" xfId="0" applyNumberFormat="1" applyFont="1" applyBorder="1" applyAlignment="1">
      <alignment horizontal="left" vertical="center" wrapText="1"/>
    </xf>
    <xf numFmtId="49" fontId="18" fillId="0" borderId="31" xfId="0" applyNumberFormat="1" applyFont="1" applyBorder="1" applyAlignment="1">
      <alignment horizontal="left" vertical="center"/>
    </xf>
    <xf numFmtId="49" fontId="18" fillId="0" borderId="30" xfId="0" applyNumberFormat="1" applyFont="1" applyBorder="1" applyAlignment="1">
      <alignment horizontal="left" vertical="center"/>
    </xf>
    <xf numFmtId="49" fontId="18" fillId="0" borderId="18" xfId="0" applyNumberFormat="1" applyFont="1" applyBorder="1" applyAlignment="1">
      <alignment horizontal="left" vertical="center" wrapText="1"/>
    </xf>
    <xf numFmtId="49" fontId="18" fillId="0" borderId="19" xfId="0" applyNumberFormat="1" applyFont="1" applyBorder="1" applyAlignment="1">
      <alignment horizontal="left" vertical="center"/>
    </xf>
    <xf numFmtId="49" fontId="18" fillId="0" borderId="17" xfId="0" applyNumberFormat="1" applyFont="1" applyBorder="1" applyAlignment="1">
      <alignment horizontal="left" vertical="center"/>
    </xf>
    <xf numFmtId="0" fontId="17" fillId="0" borderId="2" xfId="0" applyFont="1" applyBorder="1" applyAlignment="1">
      <alignment horizontal="center" vertical="center" shrinkToFit="1"/>
    </xf>
    <xf numFmtId="0" fontId="17" fillId="0" borderId="3" xfId="0" applyFont="1" applyBorder="1" applyAlignment="1">
      <alignment horizontal="center" vertical="center" shrinkToFit="1"/>
    </xf>
    <xf numFmtId="0" fontId="17" fillId="0" borderId="4" xfId="0" applyFont="1" applyBorder="1" applyAlignment="1">
      <alignment horizontal="center" vertical="center" shrinkToFit="1"/>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16" fillId="0" borderId="2" xfId="0" applyFont="1" applyBorder="1" applyAlignment="1">
      <alignment vertical="center" shrinkToFit="1"/>
    </xf>
    <xf numFmtId="0" fontId="16" fillId="0" borderId="3" xfId="0" applyFont="1" applyBorder="1" applyAlignment="1">
      <alignment vertical="center" shrinkToFit="1"/>
    </xf>
    <xf numFmtId="0" fontId="16" fillId="0" borderId="4" xfId="0" applyFont="1" applyBorder="1" applyAlignment="1">
      <alignment vertical="center" shrinkToFit="1"/>
    </xf>
    <xf numFmtId="0" fontId="16" fillId="0" borderId="7" xfId="0" applyFont="1" applyBorder="1" applyAlignment="1">
      <alignment vertical="top" wrapText="1" shrinkToFit="1"/>
    </xf>
    <xf numFmtId="0" fontId="16" fillId="0" borderId="8" xfId="0" applyFont="1" applyBorder="1" applyAlignment="1">
      <alignment vertical="top" wrapText="1" shrinkToFit="1"/>
    </xf>
    <xf numFmtId="0" fontId="16" fillId="0" borderId="9" xfId="0" applyFont="1" applyBorder="1" applyAlignment="1">
      <alignment vertical="top" shrinkToFit="1"/>
    </xf>
    <xf numFmtId="0" fontId="16" fillId="0" borderId="5" xfId="0" applyFont="1" applyBorder="1" applyAlignment="1">
      <alignment vertical="top" wrapText="1" shrinkToFit="1"/>
    </xf>
    <xf numFmtId="0" fontId="16" fillId="0" borderId="0" xfId="0" applyFont="1" applyAlignment="1">
      <alignment vertical="top" wrapText="1" shrinkToFit="1"/>
    </xf>
    <xf numFmtId="0" fontId="16" fillId="0" borderId="10" xfId="0" applyFont="1" applyBorder="1" applyAlignment="1">
      <alignment vertical="top" shrinkToFit="1"/>
    </xf>
    <xf numFmtId="0" fontId="16" fillId="0" borderId="5" xfId="0" applyFont="1" applyBorder="1" applyAlignment="1">
      <alignment vertical="top" shrinkToFit="1"/>
    </xf>
    <xf numFmtId="0" fontId="16" fillId="0" borderId="0" xfId="0" applyFont="1" applyAlignment="1">
      <alignment vertical="top" shrinkToFit="1"/>
    </xf>
    <xf numFmtId="0" fontId="16" fillId="0" borderId="11" xfId="0" applyFont="1" applyBorder="1" applyAlignment="1">
      <alignment vertical="top" shrinkToFit="1"/>
    </xf>
    <xf numFmtId="0" fontId="16" fillId="0" borderId="6" xfId="0" applyFont="1" applyBorder="1" applyAlignment="1">
      <alignment vertical="top" shrinkToFit="1"/>
    </xf>
    <xf numFmtId="0" fontId="16" fillId="0" borderId="12" xfId="0" applyFont="1" applyBorder="1" applyAlignment="1">
      <alignment vertical="top" shrinkToFit="1"/>
    </xf>
    <xf numFmtId="0" fontId="16" fillId="0" borderId="2" xfId="0" applyFont="1" applyBorder="1" applyAlignment="1">
      <alignment horizontal="left" vertical="center"/>
    </xf>
    <xf numFmtId="0" fontId="17" fillId="0" borderId="3" xfId="0" applyFont="1" applyBorder="1">
      <alignment vertical="center"/>
    </xf>
    <xf numFmtId="0" fontId="17" fillId="0" borderId="4" xfId="0" applyFont="1" applyBorder="1">
      <alignment vertical="center"/>
    </xf>
    <xf numFmtId="0" fontId="17" fillId="0" borderId="3" xfId="0" applyFont="1" applyBorder="1" applyAlignment="1">
      <alignment horizontal="left" vertical="center"/>
    </xf>
    <xf numFmtId="0" fontId="17"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16" fillId="0" borderId="1" xfId="0" applyNumberFormat="1" applyFont="1" applyBorder="1" applyAlignment="1">
      <alignment horizontal="center" vertical="center" shrinkToFit="1"/>
    </xf>
    <xf numFmtId="0" fontId="16" fillId="0" borderId="7" xfId="0" applyFont="1" applyBorder="1" applyAlignment="1">
      <alignment vertical="top" wrapText="1"/>
    </xf>
    <xf numFmtId="0" fontId="16" fillId="0" borderId="8" xfId="0" applyFont="1" applyBorder="1" applyAlignment="1">
      <alignment vertical="top" wrapText="1"/>
    </xf>
    <xf numFmtId="0" fontId="16" fillId="0" borderId="9" xfId="0" applyFont="1" applyBorder="1" applyAlignment="1">
      <alignment vertical="top" wrapText="1"/>
    </xf>
    <xf numFmtId="0" fontId="16" fillId="0" borderId="5" xfId="0" applyFont="1" applyBorder="1" applyAlignment="1">
      <alignment vertical="top" wrapText="1"/>
    </xf>
    <xf numFmtId="0" fontId="16" fillId="0" borderId="0" xfId="0" applyFont="1" applyAlignment="1">
      <alignment vertical="top" wrapText="1"/>
    </xf>
    <xf numFmtId="0" fontId="16" fillId="0" borderId="10" xfId="0" applyFont="1" applyBorder="1" applyAlignment="1">
      <alignment vertical="top" wrapText="1"/>
    </xf>
    <xf numFmtId="0" fontId="16" fillId="0" borderId="11" xfId="0" applyFont="1" applyBorder="1" applyAlignment="1">
      <alignment vertical="top" wrapText="1"/>
    </xf>
    <xf numFmtId="0" fontId="16" fillId="0" borderId="6" xfId="0" applyFont="1" applyBorder="1" applyAlignment="1">
      <alignment vertical="top" wrapText="1"/>
    </xf>
    <xf numFmtId="0" fontId="16" fillId="0" borderId="12" xfId="0" applyFont="1" applyBorder="1" applyAlignment="1">
      <alignment vertical="top" wrapText="1"/>
    </xf>
    <xf numFmtId="0" fontId="16" fillId="0" borderId="9" xfId="0" applyFont="1" applyBorder="1" applyAlignment="1">
      <alignment vertical="top"/>
    </xf>
    <xf numFmtId="0" fontId="16" fillId="0" borderId="5" xfId="0" applyFont="1" applyBorder="1" applyAlignment="1">
      <alignment vertical="top"/>
    </xf>
    <xf numFmtId="0" fontId="16" fillId="0" borderId="0" xfId="0" applyFont="1" applyAlignment="1">
      <alignment vertical="top"/>
    </xf>
    <xf numFmtId="0" fontId="16" fillId="0" borderId="10" xfId="0" applyFont="1" applyBorder="1" applyAlignment="1">
      <alignment vertical="top"/>
    </xf>
    <xf numFmtId="0" fontId="16" fillId="0" borderId="11" xfId="0" applyFont="1" applyBorder="1" applyAlignment="1">
      <alignment vertical="top"/>
    </xf>
    <xf numFmtId="0" fontId="16" fillId="0" borderId="6" xfId="0" applyFont="1" applyBorder="1" applyAlignment="1">
      <alignment vertical="top"/>
    </xf>
    <xf numFmtId="0" fontId="16" fillId="0" borderId="12" xfId="0" applyFont="1" applyBorder="1" applyAlignment="1">
      <alignment vertical="top"/>
    </xf>
    <xf numFmtId="9" fontId="16" fillId="0" borderId="1" xfId="0" applyNumberFormat="1" applyFont="1" applyBorder="1" applyAlignment="1">
      <alignment horizontal="center" vertical="center" wrapText="1" shrinkToFit="1"/>
    </xf>
    <xf numFmtId="0" fontId="16" fillId="0" borderId="7" xfId="0" applyFont="1" applyBorder="1" applyAlignment="1">
      <alignment horizontal="left" vertical="top" wrapText="1"/>
    </xf>
    <xf numFmtId="0" fontId="16" fillId="0" borderId="8" xfId="0" applyFont="1" applyBorder="1" applyAlignment="1">
      <alignment horizontal="left" vertical="top" wrapText="1"/>
    </xf>
    <xf numFmtId="0" fontId="16" fillId="0" borderId="9" xfId="0" applyFont="1" applyBorder="1" applyAlignment="1">
      <alignment horizontal="left" vertical="top" wrapText="1"/>
    </xf>
    <xf numFmtId="0" fontId="16" fillId="0" borderId="5" xfId="0" applyFont="1" applyBorder="1" applyAlignment="1">
      <alignment horizontal="left" vertical="top" wrapText="1"/>
    </xf>
    <xf numFmtId="0" fontId="16" fillId="0" borderId="0" xfId="0" applyFont="1" applyAlignment="1">
      <alignment horizontal="left" vertical="top" wrapText="1"/>
    </xf>
    <xf numFmtId="0" fontId="16" fillId="0" borderId="10" xfId="0" applyFont="1" applyBorder="1" applyAlignment="1">
      <alignment horizontal="left" vertical="top" wrapText="1"/>
    </xf>
    <xf numFmtId="0" fontId="16" fillId="0" borderId="11" xfId="0" applyFont="1" applyBorder="1" applyAlignment="1">
      <alignment horizontal="left" vertical="top" wrapText="1"/>
    </xf>
    <xf numFmtId="0" fontId="16" fillId="0" borderId="6" xfId="0" applyFont="1" applyBorder="1" applyAlignment="1">
      <alignment horizontal="left" vertical="top" wrapText="1"/>
    </xf>
    <xf numFmtId="0" fontId="16"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6" fillId="0" borderId="18" xfId="0" applyFont="1" applyBorder="1" applyAlignment="1">
      <alignment vertical="top" wrapText="1" shrinkToFit="1"/>
    </xf>
    <xf numFmtId="0" fontId="16" fillId="0" borderId="19" xfId="0" applyFont="1" applyBorder="1" applyAlignment="1">
      <alignment vertical="top" wrapText="1" shrinkToFit="1"/>
    </xf>
    <xf numFmtId="0" fontId="16"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16" fillId="0" borderId="32" xfId="0" applyFont="1" applyBorder="1" applyAlignment="1">
      <alignment vertical="top" wrapText="1" shrinkToFit="1"/>
    </xf>
    <xf numFmtId="0" fontId="16" fillId="0" borderId="33" xfId="0" applyFont="1" applyBorder="1" applyAlignment="1">
      <alignment vertical="top" wrapText="1" shrinkToFit="1"/>
    </xf>
    <xf numFmtId="0" fontId="16"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16" fillId="0" borderId="6" xfId="0" applyFont="1" applyBorder="1" applyAlignment="1">
      <alignment vertical="top" wrapText="1" shrinkToFit="1"/>
    </xf>
    <xf numFmtId="0" fontId="16"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6" fillId="0" borderId="37" xfId="0" applyFont="1" applyBorder="1" applyAlignment="1">
      <alignment vertical="top" wrapText="1" shrinkToFit="1"/>
    </xf>
    <xf numFmtId="0" fontId="16"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11</xdr:col>
      <xdr:colOff>205740</xdr:colOff>
      <xdr:row>1</xdr:row>
      <xdr:rowOff>0</xdr:rowOff>
    </xdr:from>
    <xdr:to>
      <xdr:col>19</xdr:col>
      <xdr:colOff>382905</xdr:colOff>
      <xdr:row>3</xdr:row>
      <xdr:rowOff>72390</xdr:rowOff>
    </xdr:to>
    <xdr:sp macro="" textlink="">
      <xdr:nvSpPr>
        <xdr:cNvPr id="14" name="吹き出し: 角を丸めた四角形 13">
          <a:extLst>
            <a:ext uri="{FF2B5EF4-FFF2-40B4-BE49-F238E27FC236}">
              <a16:creationId xmlns:a16="http://schemas.microsoft.com/office/drawing/2014/main" id="{772168DE-5FDE-45B9-AA8A-13B7779E5EA9}"/>
            </a:ext>
          </a:extLst>
        </xdr:cNvPr>
        <xdr:cNvSpPr/>
      </xdr:nvSpPr>
      <xdr:spPr>
        <a:xfrm>
          <a:off x="5511165" y="228600"/>
          <a:ext cx="3606165" cy="548640"/>
        </a:xfrm>
        <a:prstGeom prst="wedgeRoundRectCallout">
          <a:avLst>
            <a:gd name="adj1" fmla="val 37594"/>
            <a:gd name="adj2" fmla="val -74951"/>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②を「相違する」とした場合はシートを分け、様式番号を１－１というように枝番号にしてください。</a:t>
          </a:r>
        </a:p>
      </xdr:txBody>
    </xdr:sp>
    <xdr:clientData/>
  </xdr:twoCellAnchor>
  <xdr:twoCellAnchor>
    <xdr:from>
      <xdr:col>9</xdr:col>
      <xdr:colOff>266700</xdr:colOff>
      <xdr:row>8</xdr:row>
      <xdr:rowOff>19050</xdr:rowOff>
    </xdr:from>
    <xdr:to>
      <xdr:col>15</xdr:col>
      <xdr:colOff>91440</xdr:colOff>
      <xdr:row>12</xdr:row>
      <xdr:rowOff>15240</xdr:rowOff>
    </xdr:to>
    <xdr:sp macro="" textlink="">
      <xdr:nvSpPr>
        <xdr:cNvPr id="15" name="吹き出し: 角を丸めた四角形 14">
          <a:extLst>
            <a:ext uri="{FF2B5EF4-FFF2-40B4-BE49-F238E27FC236}">
              <a16:creationId xmlns:a16="http://schemas.microsoft.com/office/drawing/2014/main" id="{31F3FF15-BE10-41E0-B9B5-1F6ED8AFA183}"/>
            </a:ext>
          </a:extLst>
        </xdr:cNvPr>
        <xdr:cNvSpPr/>
      </xdr:nvSpPr>
      <xdr:spPr>
        <a:xfrm>
          <a:off x="4714875" y="1600200"/>
          <a:ext cx="2396490" cy="758190"/>
        </a:xfrm>
        <a:prstGeom prst="wedgeRoundRectCallout">
          <a:avLst>
            <a:gd name="adj1" fmla="val 72551"/>
            <a:gd name="adj2" fmla="val -57930"/>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全学として統一の修了要件でない場合は「相違する」となります。</a:t>
          </a:r>
        </a:p>
      </xdr:txBody>
    </xdr:sp>
    <xdr:clientData/>
  </xdr:twoCellAnchor>
  <xdr:twoCellAnchor>
    <xdr:from>
      <xdr:col>10</xdr:col>
      <xdr:colOff>0</xdr:colOff>
      <xdr:row>28</xdr:row>
      <xdr:rowOff>0</xdr:rowOff>
    </xdr:from>
    <xdr:to>
      <xdr:col>15</xdr:col>
      <xdr:colOff>190500</xdr:colOff>
      <xdr:row>32</xdr:row>
      <xdr:rowOff>190500</xdr:rowOff>
    </xdr:to>
    <xdr:sp macro="" textlink="">
      <xdr:nvSpPr>
        <xdr:cNvPr id="16" name="吹き出し: 角を丸めた四角形 15">
          <a:extLst>
            <a:ext uri="{FF2B5EF4-FFF2-40B4-BE49-F238E27FC236}">
              <a16:creationId xmlns:a16="http://schemas.microsoft.com/office/drawing/2014/main" id="{D3397040-1940-44C8-843B-69CC1FC4525B}"/>
            </a:ext>
          </a:extLst>
        </xdr:cNvPr>
        <xdr:cNvSpPr/>
      </xdr:nvSpPr>
      <xdr:spPr>
        <a:xfrm>
          <a:off x="4876800" y="5600700"/>
          <a:ext cx="2333625" cy="1104900"/>
        </a:xfrm>
        <a:prstGeom prst="wedgeRoundRectCallout">
          <a:avLst>
            <a:gd name="adj1" fmla="val -93344"/>
            <a:gd name="adj2" fmla="val -78195"/>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「必須」の項目は本プログラムを修了するに当たって、必ず履修しなければならないということを指しています。</a:t>
          </a:r>
          <a:endParaRPr kumimoji="1" lang="en-US" altLang="ja-JP" sz="1100">
            <a:solidFill>
              <a:srgbClr val="FF0000"/>
            </a:solidFill>
          </a:endParaRPr>
        </a:p>
      </xdr:txBody>
    </xdr:sp>
    <xdr:clientData/>
  </xdr:twoCellAnchor>
  <xdr:twoCellAnchor>
    <xdr:from>
      <xdr:col>10</xdr:col>
      <xdr:colOff>342900</xdr:colOff>
      <xdr:row>81</xdr:row>
      <xdr:rowOff>66675</xdr:rowOff>
    </xdr:from>
    <xdr:to>
      <xdr:col>15</xdr:col>
      <xdr:colOff>226695</xdr:colOff>
      <xdr:row>84</xdr:row>
      <xdr:rowOff>28575</xdr:rowOff>
    </xdr:to>
    <xdr:sp macro="" textlink="">
      <xdr:nvSpPr>
        <xdr:cNvPr id="17" name="吹き出し: 角を丸めた四角形 16">
          <a:extLst>
            <a:ext uri="{FF2B5EF4-FFF2-40B4-BE49-F238E27FC236}">
              <a16:creationId xmlns:a16="http://schemas.microsoft.com/office/drawing/2014/main" id="{F39AAD2A-2051-48E5-910C-7F789B58355B}"/>
            </a:ext>
          </a:extLst>
        </xdr:cNvPr>
        <xdr:cNvSpPr/>
      </xdr:nvSpPr>
      <xdr:spPr>
        <a:xfrm>
          <a:off x="5219700" y="17116425"/>
          <a:ext cx="2026920" cy="647700"/>
        </a:xfrm>
        <a:prstGeom prst="wedgeRoundRectCallout">
          <a:avLst>
            <a:gd name="adj1" fmla="val -72421"/>
            <a:gd name="adj2" fmla="val -55564"/>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「４．オプション」は該当がない場合記載不要です。</a:t>
          </a:r>
        </a:p>
      </xdr:txBody>
    </xdr:sp>
    <xdr:clientData/>
  </xdr:twoCellAnchor>
  <xdr:twoCellAnchor>
    <xdr:from>
      <xdr:col>12</xdr:col>
      <xdr:colOff>167640</xdr:colOff>
      <xdr:row>90</xdr:row>
      <xdr:rowOff>990599</xdr:rowOff>
    </xdr:from>
    <xdr:to>
      <xdr:col>17</xdr:col>
      <xdr:colOff>304800</xdr:colOff>
      <xdr:row>91</xdr:row>
      <xdr:rowOff>773430</xdr:rowOff>
    </xdr:to>
    <xdr:sp macro="" textlink="">
      <xdr:nvSpPr>
        <xdr:cNvPr id="18" name="吹き出し: 角を丸めた四角形 17">
          <a:extLst>
            <a:ext uri="{FF2B5EF4-FFF2-40B4-BE49-F238E27FC236}">
              <a16:creationId xmlns:a16="http://schemas.microsoft.com/office/drawing/2014/main" id="{DC4A4D92-8A9E-4C20-BAA0-D734685DADCE}"/>
            </a:ext>
          </a:extLst>
        </xdr:cNvPr>
        <xdr:cNvSpPr/>
      </xdr:nvSpPr>
      <xdr:spPr>
        <a:xfrm>
          <a:off x="5901690" y="20116799"/>
          <a:ext cx="2280285" cy="1021081"/>
        </a:xfrm>
        <a:prstGeom prst="wedgeRoundRectCallout">
          <a:avLst>
            <a:gd name="adj1" fmla="val -72421"/>
            <a:gd name="adj2" fmla="val -55564"/>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スキルセットの文言をそのまま使用してください。</a:t>
          </a:r>
          <a:endParaRPr kumimoji="1" lang="en-US" altLang="ja-JP" sz="1100">
            <a:solidFill>
              <a:srgbClr val="FF0000"/>
            </a:solidFill>
          </a:endParaRPr>
        </a:p>
        <a:p>
          <a:pPr algn="l"/>
          <a:r>
            <a:rPr kumimoji="1" lang="ja-JP" altLang="en-US" sz="1100">
              <a:solidFill>
                <a:srgbClr val="FF0000"/>
              </a:solidFill>
            </a:rPr>
            <a:t>スキルセットの全てを網羅する必要はありません。</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247650</xdr:colOff>
      <xdr:row>19</xdr:row>
      <xdr:rowOff>64770</xdr:rowOff>
    </xdr:from>
    <xdr:to>
      <xdr:col>4</xdr:col>
      <xdr:colOff>300990</xdr:colOff>
      <xdr:row>22</xdr:row>
      <xdr:rowOff>160020</xdr:rowOff>
    </xdr:to>
    <xdr:sp macro="" textlink="">
      <xdr:nvSpPr>
        <xdr:cNvPr id="2" name="吹き出し: 角を丸めた四角形 1">
          <a:extLst>
            <a:ext uri="{FF2B5EF4-FFF2-40B4-BE49-F238E27FC236}">
              <a16:creationId xmlns:a16="http://schemas.microsoft.com/office/drawing/2014/main" id="{1D6C2005-07DF-4B6A-AE95-5DBA1172CAD7}"/>
            </a:ext>
          </a:extLst>
        </xdr:cNvPr>
        <xdr:cNvSpPr/>
      </xdr:nvSpPr>
      <xdr:spPr>
        <a:xfrm>
          <a:off x="457200" y="3808095"/>
          <a:ext cx="2567940" cy="781050"/>
        </a:xfrm>
        <a:prstGeom prst="wedgeRoundRectCallout">
          <a:avLst>
            <a:gd name="adj1" fmla="val 62844"/>
            <a:gd name="adj2" fmla="val -142379"/>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履修者数は履修を開始した年度に計上してください。</a:t>
          </a:r>
        </a:p>
      </xdr:txBody>
    </xdr:sp>
    <xdr:clientData/>
  </xdr:twoCellAnchor>
  <xdr:twoCellAnchor>
    <xdr:from>
      <xdr:col>5</xdr:col>
      <xdr:colOff>228600</xdr:colOff>
      <xdr:row>19</xdr:row>
      <xdr:rowOff>15241</xdr:rowOff>
    </xdr:from>
    <xdr:to>
      <xdr:col>12</xdr:col>
      <xdr:colOff>238125</xdr:colOff>
      <xdr:row>23</xdr:row>
      <xdr:rowOff>1</xdr:rowOff>
    </xdr:to>
    <xdr:sp macro="" textlink="">
      <xdr:nvSpPr>
        <xdr:cNvPr id="3" name="吹き出し: 角を丸めた四角形 2">
          <a:extLst>
            <a:ext uri="{FF2B5EF4-FFF2-40B4-BE49-F238E27FC236}">
              <a16:creationId xmlns:a16="http://schemas.microsoft.com/office/drawing/2014/main" id="{6A114094-7155-497D-8AC7-562B9B9C3090}"/>
            </a:ext>
          </a:extLst>
        </xdr:cNvPr>
        <xdr:cNvSpPr/>
      </xdr:nvSpPr>
      <xdr:spPr>
        <a:xfrm>
          <a:off x="3419475" y="3758566"/>
          <a:ext cx="3276600" cy="899160"/>
        </a:xfrm>
        <a:prstGeom prst="wedgeRoundRectCallout">
          <a:avLst>
            <a:gd name="adj1" fmla="val -35839"/>
            <a:gd name="adj2" fmla="val -113752"/>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修了者数は当該年度に修了要件を満たした者を計上してください。</a:t>
          </a:r>
          <a:endParaRPr kumimoji="1" lang="en-US" altLang="ja-JP" sz="1100">
            <a:solidFill>
              <a:srgbClr val="FF0000"/>
            </a:solidFill>
          </a:endParaRPr>
        </a:p>
        <a:p>
          <a:pPr algn="l"/>
          <a:r>
            <a:rPr kumimoji="1" lang="ja-JP" altLang="en-US" sz="1100">
              <a:solidFill>
                <a:srgbClr val="FF0000"/>
              </a:solidFill>
            </a:rPr>
            <a:t>（履修者の内数ではありません）</a:t>
          </a:r>
        </a:p>
      </xdr:txBody>
    </xdr:sp>
    <xdr:clientData/>
  </xdr:twoCellAnchor>
  <xdr:twoCellAnchor>
    <xdr:from>
      <xdr:col>9</xdr:col>
      <xdr:colOff>209550</xdr:colOff>
      <xdr:row>11</xdr:row>
      <xdr:rowOff>0</xdr:rowOff>
    </xdr:from>
    <xdr:to>
      <xdr:col>15</xdr:col>
      <xdr:colOff>342900</xdr:colOff>
      <xdr:row>14</xdr:row>
      <xdr:rowOff>114300</xdr:rowOff>
    </xdr:to>
    <xdr:sp macro="" textlink="">
      <xdr:nvSpPr>
        <xdr:cNvPr id="4" name="吹き出し: 角を丸めた四角形 3">
          <a:extLst>
            <a:ext uri="{FF2B5EF4-FFF2-40B4-BE49-F238E27FC236}">
              <a16:creationId xmlns:a16="http://schemas.microsoft.com/office/drawing/2014/main" id="{BDF08F92-5799-48B0-918A-15492C3B5BBE}"/>
            </a:ext>
          </a:extLst>
        </xdr:cNvPr>
        <xdr:cNvSpPr/>
      </xdr:nvSpPr>
      <xdr:spPr>
        <a:xfrm>
          <a:off x="5267325" y="1933575"/>
          <a:ext cx="2933700" cy="781050"/>
        </a:xfrm>
        <a:prstGeom prst="wedgeRoundRectCallout">
          <a:avLst>
            <a:gd name="adj1" fmla="val -35839"/>
            <a:gd name="adj2" fmla="val -113752"/>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令和５年度学校基本調査において回答した、男女別の在学生数及びその合計を記載してください。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37</xdr:row>
      <xdr:rowOff>38100</xdr:rowOff>
    </xdr:from>
    <xdr:to>
      <xdr:col>7</xdr:col>
      <xdr:colOff>1123950</xdr:colOff>
      <xdr:row>38</xdr:row>
      <xdr:rowOff>123825</xdr:rowOff>
    </xdr:to>
    <xdr:sp macro="" textlink="">
      <xdr:nvSpPr>
        <xdr:cNvPr id="5" name="吹き出し: 角を丸めた四角形 4">
          <a:extLst>
            <a:ext uri="{FF2B5EF4-FFF2-40B4-BE49-F238E27FC236}">
              <a16:creationId xmlns:a16="http://schemas.microsoft.com/office/drawing/2014/main" id="{98882C40-49E0-49D3-BFE4-DD510531EDB9}"/>
            </a:ext>
          </a:extLst>
        </xdr:cNvPr>
        <xdr:cNvSpPr/>
      </xdr:nvSpPr>
      <xdr:spPr>
        <a:xfrm>
          <a:off x="2333625" y="7953375"/>
          <a:ext cx="3400425" cy="323850"/>
        </a:xfrm>
        <a:prstGeom prst="wedgeRoundRectCallout">
          <a:avLst>
            <a:gd name="adj1" fmla="val -47771"/>
            <a:gd name="adj2" fmla="val -157438"/>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申請前年度時点の構成員を記載してください。</a:t>
          </a:r>
        </a:p>
      </xdr:txBody>
    </xdr:sp>
    <xdr:clientData/>
  </xdr:twoCellAnchor>
  <xdr:twoCellAnchor>
    <xdr:from>
      <xdr:col>6</xdr:col>
      <xdr:colOff>331470</xdr:colOff>
      <xdr:row>11</xdr:row>
      <xdr:rowOff>76200</xdr:rowOff>
    </xdr:from>
    <xdr:to>
      <xdr:col>8</xdr:col>
      <xdr:colOff>472440</xdr:colOff>
      <xdr:row>15</xdr:row>
      <xdr:rowOff>11430</xdr:rowOff>
    </xdr:to>
    <xdr:sp macro="" textlink="">
      <xdr:nvSpPr>
        <xdr:cNvPr id="6" name="吹き出し: 角を丸めた四角形 5">
          <a:extLst>
            <a:ext uri="{FF2B5EF4-FFF2-40B4-BE49-F238E27FC236}">
              <a16:creationId xmlns:a16="http://schemas.microsoft.com/office/drawing/2014/main" id="{0B2FC5DD-5852-42B0-AE5F-40EB911121FC}"/>
            </a:ext>
          </a:extLst>
        </xdr:cNvPr>
        <xdr:cNvSpPr/>
      </xdr:nvSpPr>
      <xdr:spPr>
        <a:xfrm>
          <a:off x="4255770" y="2362200"/>
          <a:ext cx="2093595" cy="630555"/>
        </a:xfrm>
        <a:prstGeom prst="wedgeRoundRectCallout">
          <a:avLst>
            <a:gd name="adj1" fmla="val -88139"/>
            <a:gd name="adj2" fmla="val 4652"/>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全学的な組織が兼ねていても問題ありません。</a:t>
          </a:r>
        </a:p>
      </xdr:txBody>
    </xdr:sp>
    <xdr:clientData/>
  </xdr:twoCellAnchor>
  <xdr:twoCellAnchor>
    <xdr:from>
      <xdr:col>3</xdr:col>
      <xdr:colOff>66675</xdr:colOff>
      <xdr:row>56</xdr:row>
      <xdr:rowOff>114300</xdr:rowOff>
    </xdr:from>
    <xdr:to>
      <xdr:col>7</xdr:col>
      <xdr:colOff>876300</xdr:colOff>
      <xdr:row>59</xdr:row>
      <xdr:rowOff>228600</xdr:rowOff>
    </xdr:to>
    <xdr:sp macro="" textlink="">
      <xdr:nvSpPr>
        <xdr:cNvPr id="7" name="吹き出し: 角を丸めた四角形 6">
          <a:extLst>
            <a:ext uri="{FF2B5EF4-FFF2-40B4-BE49-F238E27FC236}">
              <a16:creationId xmlns:a16="http://schemas.microsoft.com/office/drawing/2014/main" id="{6D0C6EAF-F965-417F-97C8-531E85BBB929}"/>
            </a:ext>
          </a:extLst>
        </xdr:cNvPr>
        <xdr:cNvSpPr/>
      </xdr:nvSpPr>
      <xdr:spPr>
        <a:xfrm>
          <a:off x="2219325" y="12411075"/>
          <a:ext cx="3267075" cy="828675"/>
        </a:xfrm>
        <a:prstGeom prst="wedgeRoundRectCallout">
          <a:avLst>
            <a:gd name="adj1" fmla="val -43983"/>
            <a:gd name="adj2" fmla="val -105216"/>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様式１「履修必須の有無」との整合性を意識し、可能な限り具体性や数字的な根拠を含めて記載してください。</a:t>
          </a:r>
          <a:endParaRPr kumimoji="1" lang="en-US" altLang="ja-JP" sz="11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59267</xdr:colOff>
      <xdr:row>4</xdr:row>
      <xdr:rowOff>0</xdr:rowOff>
    </xdr:from>
    <xdr:to>
      <xdr:col>7</xdr:col>
      <xdr:colOff>1530773</xdr:colOff>
      <xdr:row>6</xdr:row>
      <xdr:rowOff>76410</xdr:rowOff>
    </xdr:to>
    <xdr:sp macro="" textlink="">
      <xdr:nvSpPr>
        <xdr:cNvPr id="2" name="吹き出し: 角を丸めた四角形 1">
          <a:extLst>
            <a:ext uri="{FF2B5EF4-FFF2-40B4-BE49-F238E27FC236}">
              <a16:creationId xmlns:a16="http://schemas.microsoft.com/office/drawing/2014/main" id="{E2AEC015-D67B-4304-8487-EF1BA5CC14AC}"/>
            </a:ext>
          </a:extLst>
        </xdr:cNvPr>
        <xdr:cNvSpPr/>
      </xdr:nvSpPr>
      <xdr:spPr>
        <a:xfrm>
          <a:off x="5317067" y="952500"/>
          <a:ext cx="2062056" cy="647910"/>
        </a:xfrm>
        <a:prstGeom prst="wedgeRoundRectCallout">
          <a:avLst>
            <a:gd name="adj1" fmla="val -94402"/>
            <a:gd name="adj2" fmla="val -23617"/>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様式３④の組織と同一であっても問題ありません。</a:t>
          </a:r>
        </a:p>
      </xdr:txBody>
    </xdr:sp>
    <xdr:clientData/>
  </xdr:twoCellAnchor>
  <xdr:twoCellAnchor>
    <xdr:from>
      <xdr:col>4</xdr:col>
      <xdr:colOff>942975</xdr:colOff>
      <xdr:row>21</xdr:row>
      <xdr:rowOff>1535852</xdr:rowOff>
    </xdr:from>
    <xdr:to>
      <xdr:col>7</xdr:col>
      <xdr:colOff>751416</xdr:colOff>
      <xdr:row>21</xdr:row>
      <xdr:rowOff>2626995</xdr:rowOff>
    </xdr:to>
    <xdr:sp macro="" textlink="">
      <xdr:nvSpPr>
        <xdr:cNvPr id="3" name="吹き出し: 角を丸めた四角形 2">
          <a:extLst>
            <a:ext uri="{FF2B5EF4-FFF2-40B4-BE49-F238E27FC236}">
              <a16:creationId xmlns:a16="http://schemas.microsoft.com/office/drawing/2014/main" id="{BBEC80B2-BD4F-4728-B2FB-29AF1586B3AF}"/>
            </a:ext>
          </a:extLst>
        </xdr:cNvPr>
        <xdr:cNvSpPr/>
      </xdr:nvSpPr>
      <xdr:spPr>
        <a:xfrm>
          <a:off x="3267075" y="26319902"/>
          <a:ext cx="3332691" cy="1091143"/>
        </a:xfrm>
        <a:prstGeom prst="wedgeRoundRectCallout">
          <a:avLst>
            <a:gd name="adj1" fmla="val -77375"/>
            <a:gd name="adj2" fmla="val -43846"/>
            <a:gd name="adj3" fmla="val 16667"/>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内容・水準を維持・向上することの一環として、社会動向を踏まえた教育内容・手法の見直しを行っている場合には、その取組や改善するための仕組みについて記載してください。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zoomScaleNormal="100" zoomScaleSheetLayoutView="100" workbookViewId="0"/>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4"/>
      <c r="B1" s="74"/>
      <c r="C1" s="74"/>
      <c r="D1" s="74"/>
      <c r="E1" s="74"/>
      <c r="F1" s="74"/>
      <c r="G1" s="74"/>
      <c r="H1" s="74"/>
      <c r="I1" s="74"/>
      <c r="J1" s="74"/>
      <c r="K1" s="74"/>
      <c r="L1" s="74"/>
      <c r="M1" s="74"/>
      <c r="N1" s="74"/>
      <c r="O1" s="74"/>
      <c r="P1" s="74"/>
      <c r="Q1" s="74"/>
      <c r="R1" s="74"/>
      <c r="S1" s="74"/>
      <c r="T1" s="150" t="s">
        <v>12</v>
      </c>
      <c r="U1" s="150"/>
      <c r="V1" s="2" t="s">
        <v>100</v>
      </c>
    </row>
    <row r="2" spans="1:24" ht="18.75" customHeight="1" x14ac:dyDescent="0.2">
      <c r="A2" s="74"/>
      <c r="B2" s="76" t="s">
        <v>99</v>
      </c>
      <c r="C2" s="151" t="s">
        <v>136</v>
      </c>
      <c r="D2" s="152"/>
      <c r="E2" s="152"/>
      <c r="F2" s="152"/>
      <c r="G2" s="152"/>
      <c r="H2" s="152"/>
      <c r="I2" s="152"/>
      <c r="J2" s="153"/>
      <c r="K2" s="75"/>
      <c r="L2" s="77"/>
      <c r="M2" s="77"/>
      <c r="N2" s="77"/>
      <c r="O2" s="77"/>
      <c r="P2" s="77"/>
      <c r="Q2" s="77"/>
      <c r="R2" s="77"/>
      <c r="S2" s="77"/>
      <c r="T2" s="77"/>
      <c r="U2" s="77"/>
    </row>
    <row r="3" spans="1:24" ht="18.75" customHeight="1" x14ac:dyDescent="0.2">
      <c r="A3" s="74"/>
      <c r="B3" s="76" t="s">
        <v>94</v>
      </c>
      <c r="C3" s="151" t="s">
        <v>137</v>
      </c>
      <c r="D3" s="152"/>
      <c r="E3" s="152"/>
      <c r="F3" s="152"/>
      <c r="G3" s="152"/>
      <c r="H3" s="152"/>
      <c r="I3" s="152"/>
      <c r="J3" s="153"/>
      <c r="K3" s="75"/>
      <c r="L3" s="77"/>
      <c r="M3" s="77"/>
      <c r="N3" s="77"/>
      <c r="O3" s="77"/>
      <c r="P3" s="77"/>
      <c r="Q3" s="77"/>
      <c r="R3" s="77"/>
      <c r="S3" s="77"/>
      <c r="T3" s="77"/>
      <c r="U3" s="77"/>
    </row>
    <row r="4" spans="1:24" ht="15" customHeight="1" x14ac:dyDescent="0.2">
      <c r="A4" s="74"/>
      <c r="B4" s="74"/>
      <c r="C4" s="74"/>
      <c r="D4" s="74"/>
      <c r="E4" s="74"/>
      <c r="F4" s="74"/>
      <c r="G4" s="74"/>
      <c r="H4" s="74"/>
      <c r="I4" s="74"/>
      <c r="J4" s="74"/>
      <c r="K4" s="74"/>
      <c r="L4" s="75"/>
      <c r="M4" s="78"/>
      <c r="N4" s="78"/>
      <c r="O4" s="78"/>
      <c r="P4" s="78"/>
      <c r="Q4" s="78"/>
      <c r="R4" s="78"/>
      <c r="S4" s="78"/>
      <c r="T4" s="78"/>
      <c r="U4" s="78"/>
    </row>
    <row r="5" spans="1:24" ht="18" customHeight="1" x14ac:dyDescent="0.2">
      <c r="A5" s="130" t="s">
        <v>38</v>
      </c>
      <c r="B5" s="130"/>
      <c r="C5" s="130"/>
      <c r="D5" s="130"/>
      <c r="E5" s="130"/>
      <c r="F5" s="130"/>
      <c r="G5" s="130"/>
      <c r="H5" s="130"/>
      <c r="I5" s="130"/>
      <c r="J5" s="130"/>
      <c r="K5" s="130"/>
      <c r="L5" s="130"/>
      <c r="M5" s="130"/>
      <c r="N5" s="130"/>
      <c r="O5" s="130"/>
      <c r="P5" s="130"/>
      <c r="Q5" s="130"/>
      <c r="R5" s="130"/>
      <c r="S5" s="130"/>
      <c r="T5" s="130"/>
      <c r="U5" s="130"/>
    </row>
    <row r="6" spans="1:24" ht="15" customHeight="1" x14ac:dyDescent="0.2">
      <c r="A6" s="74"/>
      <c r="B6" s="79"/>
      <c r="C6" s="79"/>
      <c r="D6" s="79"/>
      <c r="E6" s="79"/>
      <c r="F6" s="79"/>
      <c r="G6" s="79"/>
      <c r="H6" s="79"/>
      <c r="I6" s="79"/>
      <c r="J6" s="79"/>
      <c r="K6" s="79"/>
      <c r="L6" s="79"/>
      <c r="M6" s="79"/>
      <c r="N6" s="79"/>
      <c r="O6" s="79"/>
      <c r="P6" s="79"/>
      <c r="Q6" s="79"/>
      <c r="R6" s="79"/>
      <c r="S6" s="79"/>
      <c r="T6" s="79"/>
      <c r="U6" s="79"/>
    </row>
    <row r="7" spans="1:24" ht="15" customHeight="1" x14ac:dyDescent="0.2">
      <c r="A7" s="74" t="s">
        <v>131</v>
      </c>
      <c r="B7" s="79"/>
      <c r="C7" s="79"/>
      <c r="D7" s="79"/>
      <c r="E7" s="79"/>
      <c r="F7" s="73"/>
      <c r="G7" s="73"/>
      <c r="H7" s="73"/>
      <c r="I7" s="73"/>
      <c r="J7" s="73"/>
      <c r="K7" s="73"/>
      <c r="L7" s="167" t="s">
        <v>138</v>
      </c>
      <c r="M7" s="168"/>
      <c r="N7" s="168"/>
      <c r="O7" s="168"/>
      <c r="P7" s="168"/>
      <c r="Q7" s="168"/>
      <c r="R7" s="168"/>
      <c r="S7" s="168"/>
      <c r="T7" s="168"/>
      <c r="U7" s="169"/>
    </row>
    <row r="8" spans="1:24" ht="6" customHeight="1" x14ac:dyDescent="0.2">
      <c r="A8" s="74"/>
      <c r="B8" s="79"/>
      <c r="C8" s="79"/>
      <c r="D8" s="79"/>
      <c r="E8" s="79"/>
      <c r="F8" s="79"/>
      <c r="G8" s="79"/>
      <c r="H8" s="79"/>
      <c r="I8" s="79"/>
      <c r="J8" s="79"/>
      <c r="K8" s="79"/>
      <c r="L8" s="79"/>
      <c r="M8" s="79"/>
      <c r="N8" s="79"/>
      <c r="O8" s="79"/>
      <c r="P8" s="79"/>
      <c r="Q8" s="79"/>
      <c r="R8" s="79"/>
      <c r="S8" s="79"/>
      <c r="T8" s="79"/>
      <c r="U8" s="79"/>
    </row>
    <row r="9" spans="1:24" ht="18" customHeight="1" x14ac:dyDescent="0.2">
      <c r="A9" s="74" t="s">
        <v>132</v>
      </c>
      <c r="B9" s="74"/>
      <c r="C9" s="79"/>
      <c r="D9" s="79"/>
      <c r="E9" s="74"/>
      <c r="F9" s="74"/>
      <c r="G9" s="74"/>
      <c r="H9" s="74"/>
      <c r="I9" s="74"/>
      <c r="J9" s="74"/>
      <c r="K9" s="75"/>
      <c r="L9" s="73"/>
      <c r="M9" s="73"/>
      <c r="N9" s="73"/>
      <c r="O9" s="73"/>
      <c r="P9" s="73"/>
      <c r="Q9" s="73"/>
      <c r="R9" s="73"/>
      <c r="S9" s="73"/>
      <c r="T9" s="73"/>
      <c r="U9" s="73"/>
    </row>
    <row r="10" spans="1:24" ht="6" customHeight="1" x14ac:dyDescent="0.2">
      <c r="A10" s="74"/>
      <c r="B10" s="79"/>
      <c r="C10" s="79"/>
      <c r="D10" s="79"/>
      <c r="E10" s="79"/>
      <c r="F10" s="79"/>
      <c r="G10" s="79"/>
      <c r="H10" s="79"/>
      <c r="I10" s="79"/>
      <c r="J10" s="79"/>
      <c r="K10" s="79"/>
      <c r="L10" s="80"/>
      <c r="M10" s="79"/>
      <c r="N10" s="79"/>
      <c r="O10" s="79"/>
      <c r="P10" s="79"/>
      <c r="Q10" s="79"/>
      <c r="R10" s="79"/>
      <c r="S10" s="79"/>
      <c r="T10" s="79"/>
      <c r="U10" s="79"/>
    </row>
    <row r="11" spans="1:24" ht="18" customHeight="1" x14ac:dyDescent="0.2">
      <c r="A11" s="74"/>
      <c r="B11" s="170"/>
      <c r="C11" s="171"/>
      <c r="D11" s="171"/>
      <c r="E11" s="171"/>
      <c r="F11" s="171"/>
      <c r="G11" s="171"/>
      <c r="H11" s="171"/>
      <c r="I11" s="171"/>
      <c r="J11" s="171"/>
      <c r="K11" s="171"/>
      <c r="L11" s="171"/>
      <c r="M11" s="171"/>
      <c r="N11" s="171"/>
      <c r="O11" s="171"/>
      <c r="P11" s="171"/>
      <c r="Q11" s="171"/>
      <c r="R11" s="171"/>
      <c r="S11" s="171"/>
      <c r="T11" s="171"/>
      <c r="U11" s="172"/>
    </row>
    <row r="12" spans="1:24" ht="18" customHeight="1" x14ac:dyDescent="0.2">
      <c r="A12" s="74"/>
      <c r="B12" s="173"/>
      <c r="C12" s="174"/>
      <c r="D12" s="174"/>
      <c r="E12" s="174"/>
      <c r="F12" s="174"/>
      <c r="G12" s="174"/>
      <c r="H12" s="174"/>
      <c r="I12" s="174"/>
      <c r="J12" s="174"/>
      <c r="K12" s="174"/>
      <c r="L12" s="174"/>
      <c r="M12" s="174"/>
      <c r="N12" s="174"/>
      <c r="O12" s="174"/>
      <c r="P12" s="174"/>
      <c r="Q12" s="174"/>
      <c r="R12" s="174"/>
      <c r="S12" s="174"/>
      <c r="T12" s="174"/>
      <c r="U12" s="175"/>
    </row>
    <row r="13" spans="1:24" ht="6" customHeight="1" x14ac:dyDescent="0.2">
      <c r="A13" s="74"/>
      <c r="B13" s="79"/>
      <c r="C13" s="79"/>
      <c r="D13" s="79"/>
      <c r="E13" s="79"/>
      <c r="F13" s="79"/>
      <c r="G13" s="79"/>
      <c r="H13" s="79"/>
      <c r="I13" s="79"/>
      <c r="J13" s="79"/>
      <c r="K13" s="79"/>
      <c r="L13" s="80"/>
      <c r="M13" s="79"/>
      <c r="N13" s="79"/>
      <c r="O13" s="79"/>
      <c r="P13" s="79"/>
      <c r="Q13" s="79"/>
      <c r="R13" s="79"/>
      <c r="S13" s="79"/>
      <c r="T13" s="79"/>
      <c r="U13" s="79"/>
    </row>
    <row r="14" spans="1:24" ht="18" customHeight="1" x14ac:dyDescent="0.2">
      <c r="A14" s="74" t="s">
        <v>101</v>
      </c>
      <c r="B14" s="79"/>
      <c r="C14" s="79"/>
      <c r="D14" s="79"/>
      <c r="E14" s="75"/>
      <c r="F14" s="75"/>
      <c r="G14" s="75"/>
      <c r="H14" s="75"/>
      <c r="I14" s="75"/>
      <c r="J14" s="75"/>
      <c r="K14" s="75"/>
      <c r="L14" s="81"/>
      <c r="M14" s="81"/>
      <c r="N14" s="81"/>
      <c r="O14" s="81"/>
      <c r="P14" s="81"/>
      <c r="Q14" s="81"/>
      <c r="R14" s="81"/>
      <c r="S14" s="81"/>
      <c r="T14" s="81"/>
      <c r="U14" s="81"/>
    </row>
    <row r="15" spans="1:24" ht="18" customHeight="1" x14ac:dyDescent="0.2">
      <c r="A15" s="74"/>
      <c r="B15" s="131" t="s">
        <v>139</v>
      </c>
      <c r="C15" s="132"/>
      <c r="D15" s="132"/>
      <c r="E15" s="132"/>
      <c r="F15" s="132"/>
      <c r="G15" s="132"/>
      <c r="H15" s="132"/>
      <c r="I15" s="132"/>
      <c r="J15" s="132"/>
      <c r="K15" s="132"/>
      <c r="L15" s="132"/>
      <c r="M15" s="132"/>
      <c r="N15" s="132"/>
      <c r="O15" s="132"/>
      <c r="P15" s="132"/>
      <c r="Q15" s="132"/>
      <c r="R15" s="132"/>
      <c r="S15" s="132"/>
      <c r="T15" s="132"/>
      <c r="U15" s="133"/>
      <c r="X15" s="1" t="s">
        <v>95</v>
      </c>
    </row>
    <row r="16" spans="1:24" ht="18" customHeight="1" x14ac:dyDescent="0.2">
      <c r="A16" s="74"/>
      <c r="B16" s="134"/>
      <c r="C16" s="135"/>
      <c r="D16" s="135"/>
      <c r="E16" s="135"/>
      <c r="F16" s="135"/>
      <c r="G16" s="135"/>
      <c r="H16" s="135"/>
      <c r="I16" s="135"/>
      <c r="J16" s="135"/>
      <c r="K16" s="135"/>
      <c r="L16" s="135"/>
      <c r="M16" s="135"/>
      <c r="N16" s="135"/>
      <c r="O16" s="135"/>
      <c r="P16" s="135"/>
      <c r="Q16" s="135"/>
      <c r="R16" s="135"/>
      <c r="S16" s="135"/>
      <c r="T16" s="135"/>
      <c r="U16" s="136"/>
      <c r="X16" s="1" t="s">
        <v>115</v>
      </c>
    </row>
    <row r="17" spans="1:24" ht="18" customHeight="1" x14ac:dyDescent="0.2">
      <c r="A17" s="74"/>
      <c r="B17" s="134"/>
      <c r="C17" s="135"/>
      <c r="D17" s="135"/>
      <c r="E17" s="135"/>
      <c r="F17" s="135"/>
      <c r="G17" s="135"/>
      <c r="H17" s="135"/>
      <c r="I17" s="135"/>
      <c r="J17" s="135"/>
      <c r="K17" s="135"/>
      <c r="L17" s="135"/>
      <c r="M17" s="135"/>
      <c r="N17" s="135"/>
      <c r="O17" s="135"/>
      <c r="P17" s="135"/>
      <c r="Q17" s="135"/>
      <c r="R17" s="135"/>
      <c r="S17" s="135"/>
      <c r="T17" s="135"/>
      <c r="U17" s="136"/>
      <c r="X17" s="1" t="s">
        <v>116</v>
      </c>
    </row>
    <row r="18" spans="1:24" ht="18" customHeight="1" x14ac:dyDescent="0.2">
      <c r="A18" s="74"/>
      <c r="B18" s="134"/>
      <c r="C18" s="135"/>
      <c r="D18" s="135"/>
      <c r="E18" s="135"/>
      <c r="F18" s="135"/>
      <c r="G18" s="135"/>
      <c r="H18" s="135"/>
      <c r="I18" s="135"/>
      <c r="J18" s="135"/>
      <c r="K18" s="135"/>
      <c r="L18" s="135"/>
      <c r="M18" s="135"/>
      <c r="N18" s="135"/>
      <c r="O18" s="135"/>
      <c r="P18" s="135"/>
      <c r="Q18" s="135"/>
      <c r="R18" s="135"/>
      <c r="S18" s="135"/>
      <c r="T18" s="135"/>
      <c r="U18" s="136"/>
      <c r="X18" s="1" t="s">
        <v>117</v>
      </c>
    </row>
    <row r="19" spans="1:24" ht="18" customHeight="1" x14ac:dyDescent="0.2">
      <c r="A19" s="74"/>
      <c r="B19" s="134"/>
      <c r="C19" s="135"/>
      <c r="D19" s="135"/>
      <c r="E19" s="135"/>
      <c r="F19" s="135"/>
      <c r="G19" s="135"/>
      <c r="H19" s="135"/>
      <c r="I19" s="135"/>
      <c r="J19" s="135"/>
      <c r="K19" s="135"/>
      <c r="L19" s="135"/>
      <c r="M19" s="135"/>
      <c r="N19" s="135"/>
      <c r="O19" s="135"/>
      <c r="P19" s="135"/>
      <c r="Q19" s="135"/>
      <c r="R19" s="135"/>
      <c r="S19" s="135"/>
      <c r="T19" s="135"/>
      <c r="U19" s="136"/>
    </row>
    <row r="20" spans="1:24" ht="18" customHeight="1" x14ac:dyDescent="0.2">
      <c r="A20" s="74"/>
      <c r="B20" s="137"/>
      <c r="C20" s="138"/>
      <c r="D20" s="138"/>
      <c r="E20" s="138"/>
      <c r="F20" s="138"/>
      <c r="G20" s="138"/>
      <c r="H20" s="138"/>
      <c r="I20" s="138"/>
      <c r="J20" s="138"/>
      <c r="K20" s="138"/>
      <c r="L20" s="138"/>
      <c r="M20" s="138"/>
      <c r="N20" s="138"/>
      <c r="O20" s="138"/>
      <c r="P20" s="138"/>
      <c r="Q20" s="138"/>
      <c r="R20" s="138"/>
      <c r="S20" s="138"/>
      <c r="T20" s="138"/>
      <c r="U20" s="139"/>
    </row>
    <row r="21" spans="1:24" ht="7.5" customHeight="1" x14ac:dyDescent="0.2">
      <c r="A21" s="74"/>
      <c r="B21" s="79"/>
      <c r="C21" s="79"/>
      <c r="D21" s="79"/>
      <c r="E21" s="79"/>
      <c r="F21" s="79"/>
      <c r="G21" s="79"/>
      <c r="H21" s="79"/>
      <c r="I21" s="79"/>
      <c r="J21" s="79"/>
      <c r="K21" s="79"/>
      <c r="L21" s="79"/>
      <c r="M21" s="79"/>
      <c r="N21" s="79"/>
      <c r="O21" s="79"/>
      <c r="P21" s="79"/>
      <c r="Q21" s="79"/>
      <c r="R21" s="79"/>
      <c r="S21" s="79"/>
      <c r="T21" s="79"/>
      <c r="U21" s="79"/>
    </row>
    <row r="22" spans="1:24" ht="19.95" customHeight="1" x14ac:dyDescent="0.2">
      <c r="A22" s="74"/>
      <c r="B22" s="74" t="s">
        <v>133</v>
      </c>
      <c r="C22" s="74"/>
      <c r="D22" s="74"/>
      <c r="E22" s="84">
        <v>3</v>
      </c>
      <c r="F22" s="74" t="s">
        <v>113</v>
      </c>
      <c r="G22" s="74"/>
      <c r="H22" s="85">
        <v>6</v>
      </c>
      <c r="I22" s="79" t="s">
        <v>114</v>
      </c>
      <c r="J22" s="79"/>
      <c r="K22" s="75"/>
      <c r="L22" s="74"/>
      <c r="M22" s="75" t="s">
        <v>110</v>
      </c>
      <c r="N22" s="164" t="s">
        <v>117</v>
      </c>
      <c r="O22" s="165"/>
      <c r="P22" s="165"/>
      <c r="Q22" s="165"/>
      <c r="R22" s="165"/>
      <c r="S22" s="165"/>
      <c r="T22" s="165"/>
      <c r="U22" s="166"/>
    </row>
    <row r="23" spans="1:24" ht="7.5" customHeight="1" x14ac:dyDescent="0.2">
      <c r="A23" s="74"/>
      <c r="B23" s="79"/>
      <c r="C23" s="79"/>
      <c r="D23" s="79"/>
      <c r="E23" s="79"/>
      <c r="F23" s="79"/>
      <c r="G23" s="79"/>
      <c r="H23" s="79"/>
      <c r="I23" s="79"/>
      <c r="J23" s="79"/>
      <c r="K23" s="79"/>
      <c r="L23" s="79"/>
      <c r="M23" s="79"/>
      <c r="N23" s="79"/>
      <c r="O23" s="79"/>
      <c r="P23" s="79"/>
      <c r="Q23" s="79"/>
      <c r="R23" s="79"/>
      <c r="S23" s="79"/>
      <c r="T23" s="79"/>
      <c r="U23" s="79"/>
    </row>
    <row r="24" spans="1:24" ht="18" customHeight="1" x14ac:dyDescent="0.2">
      <c r="A24" s="140" t="s">
        <v>102</v>
      </c>
      <c r="B24" s="140"/>
      <c r="C24" s="140"/>
      <c r="D24" s="140"/>
      <c r="E24" s="140"/>
      <c r="F24" s="140"/>
      <c r="G24" s="140"/>
      <c r="H24" s="140"/>
      <c r="I24" s="140"/>
      <c r="J24" s="140"/>
      <c r="K24" s="140"/>
      <c r="L24" s="140"/>
      <c r="M24" s="140"/>
      <c r="N24" s="140"/>
      <c r="O24" s="140"/>
      <c r="P24" s="140"/>
      <c r="Q24" s="140"/>
      <c r="R24" s="140"/>
      <c r="S24" s="140"/>
      <c r="T24" s="140"/>
      <c r="U24" s="140"/>
    </row>
    <row r="25" spans="1:24" ht="18" customHeight="1" x14ac:dyDescent="0.2">
      <c r="A25" s="140"/>
      <c r="B25" s="140"/>
      <c r="C25" s="140"/>
      <c r="D25" s="140"/>
      <c r="E25" s="140"/>
      <c r="F25" s="140"/>
      <c r="G25" s="140"/>
      <c r="H25" s="140"/>
      <c r="I25" s="140"/>
      <c r="J25" s="140"/>
      <c r="K25" s="140"/>
      <c r="L25" s="140"/>
      <c r="M25" s="140"/>
      <c r="N25" s="140"/>
      <c r="O25" s="140"/>
      <c r="P25" s="140"/>
      <c r="Q25" s="140"/>
      <c r="R25" s="140"/>
      <c r="S25" s="140"/>
      <c r="T25" s="140"/>
      <c r="U25" s="140"/>
    </row>
    <row r="26" spans="1:24" ht="18" customHeight="1" x14ac:dyDescent="0.2">
      <c r="B26" s="102" t="s">
        <v>52</v>
      </c>
      <c r="C26" s="103"/>
      <c r="D26" s="103"/>
      <c r="E26" s="103"/>
      <c r="F26" s="104"/>
      <c r="G26" s="49" t="s">
        <v>78</v>
      </c>
      <c r="H26" s="48" t="s">
        <v>81</v>
      </c>
      <c r="I26" s="17" t="s">
        <v>55</v>
      </c>
      <c r="J26" s="17" t="s">
        <v>58</v>
      </c>
      <c r="K26" s="102" t="s">
        <v>52</v>
      </c>
      <c r="L26" s="103"/>
      <c r="M26" s="103"/>
      <c r="N26" s="103"/>
      <c r="O26" s="103"/>
      <c r="P26" s="103"/>
      <c r="Q26" s="104"/>
      <c r="R26" s="49" t="s">
        <v>78</v>
      </c>
      <c r="S26" s="48" t="s">
        <v>81</v>
      </c>
      <c r="T26" s="17" t="s">
        <v>55</v>
      </c>
      <c r="U26" s="17" t="s">
        <v>58</v>
      </c>
    </row>
    <row r="27" spans="1:24" ht="18" customHeight="1" x14ac:dyDescent="0.2">
      <c r="B27" s="125" t="s">
        <v>140</v>
      </c>
      <c r="C27" s="126"/>
      <c r="D27" s="126"/>
      <c r="E27" s="126"/>
      <c r="F27" s="149"/>
      <c r="G27" s="86">
        <v>2</v>
      </c>
      <c r="H27" s="86" t="s">
        <v>141</v>
      </c>
      <c r="I27" s="86" t="s">
        <v>141</v>
      </c>
      <c r="J27" s="86" t="s">
        <v>141</v>
      </c>
      <c r="K27" s="113"/>
      <c r="L27" s="114"/>
      <c r="M27" s="114"/>
      <c r="N27" s="114"/>
      <c r="O27" s="114"/>
      <c r="P27" s="114"/>
      <c r="Q27" s="115"/>
      <c r="R27" s="18"/>
      <c r="S27" s="18"/>
      <c r="T27" s="18"/>
      <c r="U27" s="18"/>
    </row>
    <row r="28" spans="1:24" ht="18" customHeight="1" x14ac:dyDescent="0.2">
      <c r="B28" s="105"/>
      <c r="C28" s="106"/>
      <c r="D28" s="106"/>
      <c r="E28" s="106"/>
      <c r="F28" s="107"/>
      <c r="G28" s="19"/>
      <c r="H28" s="19"/>
      <c r="I28" s="19"/>
      <c r="J28" s="19"/>
      <c r="K28" s="105"/>
      <c r="L28" s="106"/>
      <c r="M28" s="106"/>
      <c r="N28" s="106"/>
      <c r="O28" s="106"/>
      <c r="P28" s="106"/>
      <c r="Q28" s="107"/>
      <c r="R28" s="19"/>
      <c r="S28" s="19"/>
      <c r="T28" s="19"/>
      <c r="U28" s="19"/>
    </row>
    <row r="29" spans="1:24" ht="18" customHeight="1" x14ac:dyDescent="0.2">
      <c r="B29" s="105"/>
      <c r="C29" s="106"/>
      <c r="D29" s="106"/>
      <c r="E29" s="106"/>
      <c r="F29" s="107"/>
      <c r="G29" s="19"/>
      <c r="H29" s="19"/>
      <c r="I29" s="19"/>
      <c r="J29" s="19"/>
      <c r="K29" s="105"/>
      <c r="L29" s="106"/>
      <c r="M29" s="106"/>
      <c r="N29" s="106"/>
      <c r="O29" s="106"/>
      <c r="P29" s="106"/>
      <c r="Q29" s="107"/>
      <c r="R29" s="19"/>
      <c r="S29" s="19"/>
      <c r="T29" s="19"/>
      <c r="U29" s="19"/>
    </row>
    <row r="30" spans="1:24" ht="18" customHeight="1" x14ac:dyDescent="0.2">
      <c r="B30" s="105"/>
      <c r="C30" s="106"/>
      <c r="D30" s="106"/>
      <c r="E30" s="106"/>
      <c r="F30" s="107"/>
      <c r="G30" s="19"/>
      <c r="H30" s="19"/>
      <c r="I30" s="19"/>
      <c r="J30" s="19"/>
      <c r="K30" s="105"/>
      <c r="L30" s="106"/>
      <c r="M30" s="106"/>
      <c r="N30" s="106"/>
      <c r="O30" s="106"/>
      <c r="P30" s="106"/>
      <c r="Q30" s="107"/>
      <c r="R30" s="19"/>
      <c r="S30" s="19"/>
      <c r="T30" s="19"/>
      <c r="U30" s="19"/>
    </row>
    <row r="31" spans="1:24" ht="18" customHeight="1" x14ac:dyDescent="0.2">
      <c r="B31" s="105"/>
      <c r="C31" s="106"/>
      <c r="D31" s="106"/>
      <c r="E31" s="106"/>
      <c r="F31" s="107"/>
      <c r="G31" s="19"/>
      <c r="H31" s="19"/>
      <c r="I31" s="19"/>
      <c r="J31" s="19"/>
      <c r="K31" s="105"/>
      <c r="L31" s="106"/>
      <c r="M31" s="106"/>
      <c r="N31" s="106"/>
      <c r="O31" s="106"/>
      <c r="P31" s="106"/>
      <c r="Q31" s="107"/>
      <c r="R31" s="19"/>
      <c r="S31" s="19"/>
      <c r="T31" s="19"/>
      <c r="U31" s="19"/>
    </row>
    <row r="32" spans="1:24" ht="18" customHeight="1" x14ac:dyDescent="0.2">
      <c r="A32" s="3"/>
      <c r="B32" s="105"/>
      <c r="C32" s="106"/>
      <c r="D32" s="106"/>
      <c r="E32" s="106"/>
      <c r="F32" s="107"/>
      <c r="G32" s="19"/>
      <c r="H32" s="19"/>
      <c r="I32" s="19"/>
      <c r="J32" s="19"/>
      <c r="K32" s="105"/>
      <c r="L32" s="106"/>
      <c r="M32" s="106"/>
      <c r="N32" s="106"/>
      <c r="O32" s="106"/>
      <c r="P32" s="106"/>
      <c r="Q32" s="107"/>
      <c r="R32" s="19"/>
      <c r="S32" s="19"/>
      <c r="T32" s="19"/>
      <c r="U32" s="19"/>
    </row>
    <row r="33" spans="1:21" ht="18" customHeight="1" x14ac:dyDescent="0.2">
      <c r="A33" s="3"/>
      <c r="B33" s="108"/>
      <c r="C33" s="109"/>
      <c r="D33" s="109"/>
      <c r="E33" s="109"/>
      <c r="F33" s="110"/>
      <c r="G33" s="20"/>
      <c r="H33" s="20"/>
      <c r="I33" s="21"/>
      <c r="J33" s="21"/>
      <c r="K33" s="108"/>
      <c r="L33" s="109"/>
      <c r="M33" s="109"/>
      <c r="N33" s="109"/>
      <c r="O33" s="109"/>
      <c r="P33" s="109"/>
      <c r="Q33" s="110"/>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16" t="s">
        <v>103</v>
      </c>
      <c r="B35" s="116"/>
      <c r="C35" s="116"/>
      <c r="D35" s="116"/>
      <c r="E35" s="116"/>
      <c r="F35" s="116"/>
      <c r="G35" s="116"/>
      <c r="H35" s="116"/>
      <c r="I35" s="116"/>
      <c r="J35" s="116"/>
      <c r="K35" s="116"/>
      <c r="L35" s="116"/>
      <c r="M35" s="116"/>
      <c r="N35" s="116"/>
      <c r="O35" s="116"/>
      <c r="P35" s="116"/>
      <c r="Q35" s="116"/>
      <c r="R35" s="116"/>
      <c r="S35" s="116"/>
      <c r="T35" s="116"/>
      <c r="U35" s="116"/>
    </row>
    <row r="36" spans="1:21" ht="18" customHeight="1" x14ac:dyDescent="0.2">
      <c r="A36" s="116"/>
      <c r="B36" s="116"/>
      <c r="C36" s="116"/>
      <c r="D36" s="116"/>
      <c r="E36" s="116"/>
      <c r="F36" s="116"/>
      <c r="G36" s="116"/>
      <c r="H36" s="116"/>
      <c r="I36" s="116"/>
      <c r="J36" s="116"/>
      <c r="K36" s="116"/>
      <c r="L36" s="116"/>
      <c r="M36" s="116"/>
      <c r="N36" s="116"/>
      <c r="O36" s="116"/>
      <c r="P36" s="116"/>
      <c r="Q36" s="116"/>
      <c r="R36" s="116"/>
      <c r="S36" s="116"/>
      <c r="T36" s="116"/>
      <c r="U36" s="116"/>
    </row>
    <row r="37" spans="1:21" ht="18" customHeight="1" x14ac:dyDescent="0.2">
      <c r="B37" s="102" t="s">
        <v>52</v>
      </c>
      <c r="C37" s="103"/>
      <c r="D37" s="103"/>
      <c r="E37" s="103"/>
      <c r="F37" s="104"/>
      <c r="G37" s="49" t="s">
        <v>78</v>
      </c>
      <c r="H37" s="48" t="s">
        <v>81</v>
      </c>
      <c r="I37" s="17" t="s">
        <v>69</v>
      </c>
      <c r="J37" s="17" t="s">
        <v>70</v>
      </c>
      <c r="K37" s="102" t="s">
        <v>52</v>
      </c>
      <c r="L37" s="103"/>
      <c r="M37" s="103"/>
      <c r="N37" s="103"/>
      <c r="O37" s="103"/>
      <c r="P37" s="103"/>
      <c r="Q37" s="104"/>
      <c r="R37" s="49" t="s">
        <v>78</v>
      </c>
      <c r="S37" s="48" t="s">
        <v>81</v>
      </c>
      <c r="T37" s="17" t="s">
        <v>69</v>
      </c>
      <c r="U37" s="17" t="s">
        <v>70</v>
      </c>
    </row>
    <row r="38" spans="1:21" ht="18" customHeight="1" x14ac:dyDescent="0.2">
      <c r="B38" s="125" t="s">
        <v>140</v>
      </c>
      <c r="C38" s="126"/>
      <c r="D38" s="126"/>
      <c r="E38" s="126"/>
      <c r="F38" s="149"/>
      <c r="G38" s="86">
        <v>2</v>
      </c>
      <c r="H38" s="86" t="s">
        <v>141</v>
      </c>
      <c r="I38" s="86" t="s">
        <v>141</v>
      </c>
      <c r="J38" s="86" t="s">
        <v>141</v>
      </c>
      <c r="K38" s="113"/>
      <c r="L38" s="114"/>
      <c r="M38" s="114"/>
      <c r="N38" s="114"/>
      <c r="O38" s="114"/>
      <c r="P38" s="114"/>
      <c r="Q38" s="115"/>
      <c r="R38" s="18"/>
      <c r="S38" s="18"/>
      <c r="T38" s="18"/>
      <c r="U38" s="18"/>
    </row>
    <row r="39" spans="1:21" ht="18" customHeight="1" x14ac:dyDescent="0.2">
      <c r="B39" s="105"/>
      <c r="C39" s="106"/>
      <c r="D39" s="106"/>
      <c r="E39" s="106"/>
      <c r="F39" s="107"/>
      <c r="G39" s="19"/>
      <c r="H39" s="19"/>
      <c r="I39" s="19"/>
      <c r="J39" s="19"/>
      <c r="K39" s="105"/>
      <c r="L39" s="106"/>
      <c r="M39" s="106"/>
      <c r="N39" s="106"/>
      <c r="O39" s="106"/>
      <c r="P39" s="106"/>
      <c r="Q39" s="107"/>
      <c r="R39" s="19"/>
      <c r="S39" s="19"/>
      <c r="T39" s="19"/>
      <c r="U39" s="19"/>
    </row>
    <row r="40" spans="1:21" ht="18" customHeight="1" x14ac:dyDescent="0.2">
      <c r="B40" s="105"/>
      <c r="C40" s="106"/>
      <c r="D40" s="106"/>
      <c r="E40" s="106"/>
      <c r="F40" s="107"/>
      <c r="G40" s="19"/>
      <c r="H40" s="19"/>
      <c r="I40" s="19"/>
      <c r="J40" s="19"/>
      <c r="K40" s="105"/>
      <c r="L40" s="106"/>
      <c r="M40" s="106"/>
      <c r="N40" s="106"/>
      <c r="O40" s="106"/>
      <c r="P40" s="106"/>
      <c r="Q40" s="107"/>
      <c r="R40" s="19"/>
      <c r="S40" s="19"/>
      <c r="T40" s="19"/>
      <c r="U40" s="19"/>
    </row>
    <row r="41" spans="1:21" ht="18" customHeight="1" x14ac:dyDescent="0.2">
      <c r="B41" s="105"/>
      <c r="C41" s="106"/>
      <c r="D41" s="106"/>
      <c r="E41" s="106"/>
      <c r="F41" s="107"/>
      <c r="G41" s="19"/>
      <c r="H41" s="19"/>
      <c r="I41" s="19"/>
      <c r="J41" s="19"/>
      <c r="K41" s="105"/>
      <c r="L41" s="106"/>
      <c r="M41" s="106"/>
      <c r="N41" s="106"/>
      <c r="O41" s="106"/>
      <c r="P41" s="106"/>
      <c r="Q41" s="107"/>
      <c r="R41" s="19"/>
      <c r="S41" s="19"/>
      <c r="T41" s="19"/>
      <c r="U41" s="19"/>
    </row>
    <row r="42" spans="1:21" ht="18" customHeight="1" x14ac:dyDescent="0.2">
      <c r="B42" s="105"/>
      <c r="C42" s="106"/>
      <c r="D42" s="106"/>
      <c r="E42" s="106"/>
      <c r="F42" s="107"/>
      <c r="G42" s="19"/>
      <c r="H42" s="19"/>
      <c r="I42" s="19"/>
      <c r="J42" s="19"/>
      <c r="K42" s="105"/>
      <c r="L42" s="106"/>
      <c r="M42" s="106"/>
      <c r="N42" s="106"/>
      <c r="O42" s="106"/>
      <c r="P42" s="106"/>
      <c r="Q42" s="107"/>
      <c r="R42" s="19"/>
      <c r="S42" s="19"/>
      <c r="T42" s="19"/>
      <c r="U42" s="19"/>
    </row>
    <row r="43" spans="1:21" ht="18" customHeight="1" x14ac:dyDescent="0.2">
      <c r="B43" s="105"/>
      <c r="C43" s="106"/>
      <c r="D43" s="106"/>
      <c r="E43" s="106"/>
      <c r="F43" s="107"/>
      <c r="G43" s="19"/>
      <c r="H43" s="19"/>
      <c r="I43" s="19"/>
      <c r="J43" s="19"/>
      <c r="K43" s="105"/>
      <c r="L43" s="106"/>
      <c r="M43" s="106"/>
      <c r="N43" s="106"/>
      <c r="O43" s="106"/>
      <c r="P43" s="106"/>
      <c r="Q43" s="107"/>
      <c r="R43" s="19"/>
      <c r="S43" s="19"/>
      <c r="T43" s="19"/>
      <c r="U43" s="19"/>
    </row>
    <row r="44" spans="1:21" ht="18" customHeight="1" x14ac:dyDescent="0.2">
      <c r="B44" s="108"/>
      <c r="C44" s="109"/>
      <c r="D44" s="109"/>
      <c r="E44" s="109"/>
      <c r="F44" s="110"/>
      <c r="G44" s="20"/>
      <c r="H44" s="20"/>
      <c r="I44" s="21"/>
      <c r="J44" s="21"/>
      <c r="K44" s="108"/>
      <c r="L44" s="109"/>
      <c r="M44" s="109"/>
      <c r="N44" s="109"/>
      <c r="O44" s="109"/>
      <c r="P44" s="109"/>
      <c r="Q44" s="110"/>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16" t="s">
        <v>104</v>
      </c>
      <c r="B46" s="116"/>
      <c r="C46" s="116"/>
      <c r="D46" s="116"/>
      <c r="E46" s="116"/>
      <c r="F46" s="116"/>
      <c r="G46" s="116"/>
      <c r="H46" s="116"/>
      <c r="I46" s="116"/>
      <c r="J46" s="116"/>
      <c r="K46" s="116"/>
      <c r="L46" s="116"/>
      <c r="M46" s="116"/>
      <c r="N46" s="116"/>
      <c r="O46" s="116"/>
      <c r="P46" s="116"/>
      <c r="Q46" s="116"/>
      <c r="R46" s="116"/>
      <c r="S46" s="116"/>
      <c r="T46" s="116"/>
      <c r="U46" s="116"/>
    </row>
    <row r="47" spans="1:21" ht="18" customHeight="1" x14ac:dyDescent="0.2">
      <c r="A47" s="116"/>
      <c r="B47" s="116"/>
      <c r="C47" s="116"/>
      <c r="D47" s="116"/>
      <c r="E47" s="116"/>
      <c r="F47" s="116"/>
      <c r="G47" s="116"/>
      <c r="H47" s="116"/>
      <c r="I47" s="116"/>
      <c r="J47" s="116"/>
      <c r="K47" s="116"/>
      <c r="L47" s="116"/>
      <c r="M47" s="116"/>
      <c r="N47" s="116"/>
      <c r="O47" s="116"/>
      <c r="P47" s="116"/>
      <c r="Q47" s="116"/>
      <c r="R47" s="116"/>
      <c r="S47" s="116"/>
      <c r="T47" s="116"/>
      <c r="U47" s="116"/>
    </row>
    <row r="48" spans="1:21" ht="18" customHeight="1" x14ac:dyDescent="0.2">
      <c r="B48" s="102" t="s">
        <v>52</v>
      </c>
      <c r="C48" s="103"/>
      <c r="D48" s="103"/>
      <c r="E48" s="103"/>
      <c r="F48" s="104"/>
      <c r="G48" s="49" t="s">
        <v>78</v>
      </c>
      <c r="H48" s="48" t="s">
        <v>81</v>
      </c>
      <c r="I48" s="17" t="s">
        <v>71</v>
      </c>
      <c r="J48" s="17" t="s">
        <v>72</v>
      </c>
      <c r="K48" s="102" t="s">
        <v>52</v>
      </c>
      <c r="L48" s="103"/>
      <c r="M48" s="103"/>
      <c r="N48" s="103"/>
      <c r="O48" s="103"/>
      <c r="P48" s="103"/>
      <c r="Q48" s="104"/>
      <c r="R48" s="49" t="s">
        <v>78</v>
      </c>
      <c r="S48" s="48" t="s">
        <v>81</v>
      </c>
      <c r="T48" s="17" t="s">
        <v>71</v>
      </c>
      <c r="U48" s="17" t="s">
        <v>72</v>
      </c>
    </row>
    <row r="49" spans="1:21" ht="18" customHeight="1" x14ac:dyDescent="0.2">
      <c r="A49" s="3"/>
      <c r="B49" s="125" t="s">
        <v>140</v>
      </c>
      <c r="C49" s="126"/>
      <c r="D49" s="126"/>
      <c r="E49" s="126"/>
      <c r="F49" s="149"/>
      <c r="G49" s="87">
        <v>2</v>
      </c>
      <c r="H49" s="87" t="s">
        <v>141</v>
      </c>
      <c r="I49" s="87" t="s">
        <v>141</v>
      </c>
      <c r="J49" s="87" t="s">
        <v>141</v>
      </c>
      <c r="K49" s="113"/>
      <c r="L49" s="114"/>
      <c r="M49" s="114"/>
      <c r="N49" s="114"/>
      <c r="O49" s="114"/>
      <c r="P49" s="114"/>
      <c r="Q49" s="115"/>
      <c r="R49" s="18"/>
      <c r="S49" s="18"/>
      <c r="T49" s="18"/>
      <c r="U49" s="18"/>
    </row>
    <row r="50" spans="1:21" ht="18" customHeight="1" x14ac:dyDescent="0.2">
      <c r="A50" s="3"/>
      <c r="B50" s="105"/>
      <c r="C50" s="106"/>
      <c r="D50" s="106"/>
      <c r="E50" s="106"/>
      <c r="F50" s="107"/>
      <c r="G50" s="19"/>
      <c r="H50" s="19"/>
      <c r="I50" s="19"/>
      <c r="J50" s="19"/>
      <c r="K50" s="105"/>
      <c r="L50" s="106"/>
      <c r="M50" s="106"/>
      <c r="N50" s="106"/>
      <c r="O50" s="106"/>
      <c r="P50" s="106"/>
      <c r="Q50" s="107"/>
      <c r="R50" s="19"/>
      <c r="S50" s="19"/>
      <c r="T50" s="19"/>
      <c r="U50" s="19"/>
    </row>
    <row r="51" spans="1:21" ht="18" customHeight="1" x14ac:dyDescent="0.2">
      <c r="A51" s="3"/>
      <c r="B51" s="105"/>
      <c r="C51" s="106"/>
      <c r="D51" s="106"/>
      <c r="E51" s="106"/>
      <c r="F51" s="107"/>
      <c r="G51" s="19"/>
      <c r="H51" s="19"/>
      <c r="I51" s="19"/>
      <c r="J51" s="19"/>
      <c r="K51" s="105"/>
      <c r="L51" s="106"/>
      <c r="M51" s="106"/>
      <c r="N51" s="106"/>
      <c r="O51" s="106"/>
      <c r="P51" s="106"/>
      <c r="Q51" s="107"/>
      <c r="R51" s="19"/>
      <c r="S51" s="19"/>
      <c r="T51" s="19"/>
      <c r="U51" s="19"/>
    </row>
    <row r="52" spans="1:21" ht="18" customHeight="1" x14ac:dyDescent="0.2">
      <c r="A52" s="3"/>
      <c r="B52" s="105"/>
      <c r="C52" s="106"/>
      <c r="D52" s="106"/>
      <c r="E52" s="106"/>
      <c r="F52" s="107"/>
      <c r="G52" s="19"/>
      <c r="H52" s="19"/>
      <c r="I52" s="19"/>
      <c r="J52" s="19"/>
      <c r="K52" s="105"/>
      <c r="L52" s="106"/>
      <c r="M52" s="106"/>
      <c r="N52" s="106"/>
      <c r="O52" s="106"/>
      <c r="P52" s="106"/>
      <c r="Q52" s="107"/>
      <c r="R52" s="19"/>
      <c r="S52" s="19"/>
      <c r="T52" s="19"/>
      <c r="U52" s="19"/>
    </row>
    <row r="53" spans="1:21" ht="18" customHeight="1" x14ac:dyDescent="0.2">
      <c r="A53" s="3"/>
      <c r="B53" s="105"/>
      <c r="C53" s="106"/>
      <c r="D53" s="106"/>
      <c r="E53" s="106"/>
      <c r="F53" s="107"/>
      <c r="G53" s="19"/>
      <c r="H53" s="19"/>
      <c r="I53" s="19"/>
      <c r="J53" s="19"/>
      <c r="K53" s="105"/>
      <c r="L53" s="106"/>
      <c r="M53" s="106"/>
      <c r="N53" s="106"/>
      <c r="O53" s="106"/>
      <c r="P53" s="106"/>
      <c r="Q53" s="107"/>
      <c r="R53" s="19"/>
      <c r="S53" s="19"/>
      <c r="T53" s="19"/>
      <c r="U53" s="19"/>
    </row>
    <row r="54" spans="1:21" ht="18" customHeight="1" x14ac:dyDescent="0.2">
      <c r="A54" s="3"/>
      <c r="B54" s="105"/>
      <c r="C54" s="106"/>
      <c r="D54" s="106"/>
      <c r="E54" s="106"/>
      <c r="F54" s="107"/>
      <c r="G54" s="19"/>
      <c r="H54" s="19"/>
      <c r="I54" s="19"/>
      <c r="J54" s="19"/>
      <c r="K54" s="105"/>
      <c r="L54" s="106"/>
      <c r="M54" s="106"/>
      <c r="N54" s="106"/>
      <c r="O54" s="106"/>
      <c r="P54" s="106"/>
      <c r="Q54" s="107"/>
      <c r="R54" s="19"/>
      <c r="S54" s="19"/>
      <c r="T54" s="19"/>
      <c r="U54" s="19"/>
    </row>
    <row r="55" spans="1:21" ht="18" customHeight="1" x14ac:dyDescent="0.2">
      <c r="A55" s="3"/>
      <c r="B55" s="108"/>
      <c r="C55" s="109"/>
      <c r="D55" s="109"/>
      <c r="E55" s="109"/>
      <c r="F55" s="110"/>
      <c r="G55" s="20"/>
      <c r="H55" s="20"/>
      <c r="I55" s="21"/>
      <c r="J55" s="21"/>
      <c r="K55" s="108"/>
      <c r="L55" s="109"/>
      <c r="M55" s="109"/>
      <c r="N55" s="109"/>
      <c r="O55" s="109"/>
      <c r="P55" s="109"/>
      <c r="Q55" s="110"/>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16" t="s">
        <v>105</v>
      </c>
      <c r="B57" s="116"/>
      <c r="C57" s="116"/>
      <c r="D57" s="116"/>
      <c r="E57" s="116"/>
      <c r="F57" s="116"/>
      <c r="G57" s="116"/>
      <c r="H57" s="116"/>
      <c r="I57" s="116"/>
      <c r="J57" s="116"/>
      <c r="K57" s="116"/>
      <c r="L57" s="116"/>
      <c r="M57" s="116"/>
      <c r="N57" s="116"/>
      <c r="O57" s="116"/>
      <c r="P57" s="116"/>
      <c r="Q57" s="116"/>
      <c r="R57" s="116"/>
      <c r="S57" s="116"/>
      <c r="T57" s="116"/>
      <c r="U57" s="116"/>
    </row>
    <row r="58" spans="1:21" ht="18" customHeight="1" x14ac:dyDescent="0.2">
      <c r="A58" s="116"/>
      <c r="B58" s="116"/>
      <c r="C58" s="116"/>
      <c r="D58" s="116"/>
      <c r="E58" s="116"/>
      <c r="F58" s="116"/>
      <c r="G58" s="116"/>
      <c r="H58" s="116"/>
      <c r="I58" s="116"/>
      <c r="J58" s="116"/>
      <c r="K58" s="116"/>
      <c r="L58" s="116"/>
      <c r="M58" s="116"/>
      <c r="N58" s="116"/>
      <c r="O58" s="116"/>
      <c r="P58" s="116"/>
      <c r="Q58" s="116"/>
      <c r="R58" s="116"/>
      <c r="S58" s="116"/>
      <c r="T58" s="116"/>
      <c r="U58" s="116"/>
    </row>
    <row r="59" spans="1:21" ht="18" customHeight="1" x14ac:dyDescent="0.2">
      <c r="B59" s="102" t="s">
        <v>52</v>
      </c>
      <c r="C59" s="103"/>
      <c r="D59" s="103"/>
      <c r="E59" s="103"/>
      <c r="F59" s="104"/>
      <c r="G59" s="49" t="s">
        <v>78</v>
      </c>
      <c r="H59" s="48" t="s">
        <v>81</v>
      </c>
      <c r="I59" s="17" t="s">
        <v>57</v>
      </c>
      <c r="J59" s="17" t="s">
        <v>59</v>
      </c>
      <c r="K59" s="102" t="s">
        <v>52</v>
      </c>
      <c r="L59" s="103"/>
      <c r="M59" s="103"/>
      <c r="N59" s="103"/>
      <c r="O59" s="103"/>
      <c r="P59" s="103"/>
      <c r="Q59" s="104"/>
      <c r="R59" s="49" t="s">
        <v>78</v>
      </c>
      <c r="S59" s="48" t="s">
        <v>81</v>
      </c>
      <c r="T59" s="17" t="s">
        <v>57</v>
      </c>
      <c r="U59" s="17" t="s">
        <v>59</v>
      </c>
    </row>
    <row r="60" spans="1:21" ht="18" customHeight="1" x14ac:dyDescent="0.2">
      <c r="A60" s="3"/>
      <c r="B60" s="125" t="s">
        <v>143</v>
      </c>
      <c r="C60" s="126"/>
      <c r="D60" s="126"/>
      <c r="E60" s="126"/>
      <c r="F60" s="149"/>
      <c r="G60" s="86">
        <v>2</v>
      </c>
      <c r="H60" s="86" t="s">
        <v>141</v>
      </c>
      <c r="I60" s="86" t="s">
        <v>141</v>
      </c>
      <c r="J60" s="86" t="s">
        <v>141</v>
      </c>
      <c r="K60" s="113"/>
      <c r="L60" s="114"/>
      <c r="M60" s="114"/>
      <c r="N60" s="114"/>
      <c r="O60" s="114"/>
      <c r="P60" s="114"/>
      <c r="Q60" s="115"/>
      <c r="R60" s="18"/>
      <c r="S60" s="18"/>
      <c r="T60" s="18"/>
      <c r="U60" s="18"/>
    </row>
    <row r="61" spans="1:21" ht="18" customHeight="1" x14ac:dyDescent="0.2">
      <c r="A61" s="3"/>
      <c r="B61" s="105"/>
      <c r="C61" s="106"/>
      <c r="D61" s="106"/>
      <c r="E61" s="106"/>
      <c r="F61" s="107"/>
      <c r="G61" s="19"/>
      <c r="H61" s="19"/>
      <c r="I61" s="19"/>
      <c r="J61" s="19"/>
      <c r="K61" s="105"/>
      <c r="L61" s="106"/>
      <c r="M61" s="106"/>
      <c r="N61" s="106"/>
      <c r="O61" s="106"/>
      <c r="P61" s="106"/>
      <c r="Q61" s="107"/>
      <c r="R61" s="19"/>
      <c r="S61" s="19"/>
      <c r="T61" s="19"/>
      <c r="U61" s="19"/>
    </row>
    <row r="62" spans="1:21" ht="18" customHeight="1" x14ac:dyDescent="0.2">
      <c r="A62" s="3"/>
      <c r="B62" s="105"/>
      <c r="C62" s="106"/>
      <c r="D62" s="106"/>
      <c r="E62" s="106"/>
      <c r="F62" s="107"/>
      <c r="G62" s="19"/>
      <c r="H62" s="19"/>
      <c r="I62" s="19"/>
      <c r="J62" s="19"/>
      <c r="K62" s="105"/>
      <c r="L62" s="106"/>
      <c r="M62" s="106"/>
      <c r="N62" s="106"/>
      <c r="O62" s="106"/>
      <c r="P62" s="106"/>
      <c r="Q62" s="107"/>
      <c r="R62" s="19"/>
      <c r="S62" s="19"/>
      <c r="T62" s="19"/>
      <c r="U62" s="19"/>
    </row>
    <row r="63" spans="1:21" ht="18" customHeight="1" x14ac:dyDescent="0.2">
      <c r="A63" s="3"/>
      <c r="B63" s="105"/>
      <c r="C63" s="106"/>
      <c r="D63" s="106"/>
      <c r="E63" s="106"/>
      <c r="F63" s="107"/>
      <c r="G63" s="19"/>
      <c r="H63" s="19"/>
      <c r="I63" s="19"/>
      <c r="J63" s="19"/>
      <c r="K63" s="105"/>
      <c r="L63" s="106"/>
      <c r="M63" s="106"/>
      <c r="N63" s="106"/>
      <c r="O63" s="106"/>
      <c r="P63" s="106"/>
      <c r="Q63" s="107"/>
      <c r="R63" s="19"/>
      <c r="S63" s="19"/>
      <c r="T63" s="19"/>
      <c r="U63" s="19"/>
    </row>
    <row r="64" spans="1:21" ht="18" customHeight="1" x14ac:dyDescent="0.2">
      <c r="A64" s="3"/>
      <c r="B64" s="105"/>
      <c r="C64" s="106"/>
      <c r="D64" s="106"/>
      <c r="E64" s="106"/>
      <c r="F64" s="107"/>
      <c r="G64" s="19"/>
      <c r="H64" s="19"/>
      <c r="I64" s="19"/>
      <c r="J64" s="19"/>
      <c r="K64" s="105"/>
      <c r="L64" s="106"/>
      <c r="M64" s="106"/>
      <c r="N64" s="106"/>
      <c r="O64" s="106"/>
      <c r="P64" s="106"/>
      <c r="Q64" s="107"/>
      <c r="R64" s="19"/>
      <c r="S64" s="19"/>
      <c r="T64" s="19"/>
      <c r="U64" s="19"/>
    </row>
    <row r="65" spans="1:21" ht="18" customHeight="1" x14ac:dyDescent="0.2">
      <c r="A65" s="3"/>
      <c r="B65" s="105"/>
      <c r="C65" s="106"/>
      <c r="D65" s="106"/>
      <c r="E65" s="106"/>
      <c r="F65" s="107"/>
      <c r="G65" s="19"/>
      <c r="H65" s="19"/>
      <c r="I65" s="19"/>
      <c r="J65" s="19"/>
      <c r="K65" s="105"/>
      <c r="L65" s="106"/>
      <c r="M65" s="106"/>
      <c r="N65" s="106"/>
      <c r="O65" s="106"/>
      <c r="P65" s="106"/>
      <c r="Q65" s="107"/>
      <c r="R65" s="19"/>
      <c r="S65" s="19"/>
      <c r="T65" s="19"/>
      <c r="U65" s="19"/>
    </row>
    <row r="66" spans="1:21" ht="18" customHeight="1" x14ac:dyDescent="0.2">
      <c r="A66" s="3"/>
      <c r="B66" s="108"/>
      <c r="C66" s="109"/>
      <c r="D66" s="109"/>
      <c r="E66" s="109"/>
      <c r="F66" s="110"/>
      <c r="G66" s="20"/>
      <c r="H66" s="20"/>
      <c r="I66" s="21"/>
      <c r="J66" s="21"/>
      <c r="K66" s="108"/>
      <c r="L66" s="109"/>
      <c r="M66" s="109"/>
      <c r="N66" s="109"/>
      <c r="O66" s="109"/>
      <c r="P66" s="109"/>
      <c r="Q66" s="110"/>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16" t="s">
        <v>106</v>
      </c>
      <c r="B68" s="116"/>
      <c r="C68" s="116"/>
      <c r="D68" s="116"/>
      <c r="E68" s="116"/>
      <c r="F68" s="116"/>
      <c r="G68" s="116"/>
      <c r="H68" s="116"/>
      <c r="I68" s="116"/>
      <c r="J68" s="116"/>
      <c r="K68" s="116"/>
      <c r="L68" s="116"/>
      <c r="M68" s="116"/>
      <c r="N68" s="116"/>
      <c r="O68" s="116"/>
      <c r="P68" s="116"/>
      <c r="Q68" s="116"/>
      <c r="R68" s="116"/>
      <c r="S68" s="116"/>
      <c r="T68" s="116"/>
      <c r="U68" s="116"/>
    </row>
    <row r="69" spans="1:21" ht="18" customHeight="1" x14ac:dyDescent="0.2">
      <c r="A69" s="116"/>
      <c r="B69" s="116"/>
      <c r="C69" s="116"/>
      <c r="D69" s="116"/>
      <c r="E69" s="116"/>
      <c r="F69" s="116"/>
      <c r="G69" s="116"/>
      <c r="H69" s="116"/>
      <c r="I69" s="116"/>
      <c r="J69" s="116"/>
      <c r="K69" s="116"/>
      <c r="L69" s="116"/>
      <c r="M69" s="116"/>
      <c r="N69" s="116"/>
      <c r="O69" s="116"/>
      <c r="P69" s="116"/>
      <c r="Q69" s="116"/>
      <c r="R69" s="116"/>
      <c r="S69" s="116"/>
      <c r="T69" s="116"/>
      <c r="U69" s="116"/>
    </row>
    <row r="70" spans="1:21" ht="18" customHeight="1" x14ac:dyDescent="0.2">
      <c r="B70" s="102" t="s">
        <v>52</v>
      </c>
      <c r="C70" s="103"/>
      <c r="D70" s="103"/>
      <c r="E70" s="103"/>
      <c r="F70" s="49" t="s">
        <v>78</v>
      </c>
      <c r="G70" s="48" t="s">
        <v>81</v>
      </c>
      <c r="H70" s="17" t="s">
        <v>93</v>
      </c>
      <c r="I70" s="17" t="s">
        <v>73</v>
      </c>
      <c r="J70" s="17" t="s">
        <v>74</v>
      </c>
      <c r="K70" s="102" t="s">
        <v>52</v>
      </c>
      <c r="L70" s="103"/>
      <c r="M70" s="103"/>
      <c r="N70" s="103"/>
      <c r="O70" s="103"/>
      <c r="P70" s="104"/>
      <c r="Q70" s="49" t="s">
        <v>78</v>
      </c>
      <c r="R70" s="48" t="s">
        <v>81</v>
      </c>
      <c r="S70" s="17" t="s">
        <v>93</v>
      </c>
      <c r="T70" s="17" t="s">
        <v>73</v>
      </c>
      <c r="U70" s="17" t="s">
        <v>74</v>
      </c>
    </row>
    <row r="71" spans="1:21" ht="18" customHeight="1" x14ac:dyDescent="0.2">
      <c r="A71" s="3"/>
      <c r="B71" s="125" t="s">
        <v>140</v>
      </c>
      <c r="C71" s="126"/>
      <c r="D71" s="126"/>
      <c r="E71" s="126"/>
      <c r="F71" s="87">
        <v>2</v>
      </c>
      <c r="G71" s="87" t="s">
        <v>141</v>
      </c>
      <c r="H71" s="87" t="s">
        <v>141</v>
      </c>
      <c r="I71" s="87" t="s">
        <v>141</v>
      </c>
      <c r="J71" s="87"/>
      <c r="K71" s="113"/>
      <c r="L71" s="114"/>
      <c r="M71" s="114"/>
      <c r="N71" s="114"/>
      <c r="O71" s="114"/>
      <c r="P71" s="115"/>
      <c r="Q71" s="18"/>
      <c r="R71" s="18"/>
      <c r="S71" s="18"/>
      <c r="T71" s="18"/>
      <c r="U71" s="18"/>
    </row>
    <row r="72" spans="1:21" ht="18" customHeight="1" x14ac:dyDescent="0.2">
      <c r="A72" s="3"/>
      <c r="B72" s="127" t="s">
        <v>142</v>
      </c>
      <c r="C72" s="128"/>
      <c r="D72" s="128"/>
      <c r="E72" s="128"/>
      <c r="F72" s="88">
        <v>2</v>
      </c>
      <c r="G72" s="88" t="s">
        <v>141</v>
      </c>
      <c r="H72" s="88"/>
      <c r="I72" s="88"/>
      <c r="J72" s="88" t="s">
        <v>141</v>
      </c>
      <c r="K72" s="105"/>
      <c r="L72" s="106"/>
      <c r="M72" s="106"/>
      <c r="N72" s="106"/>
      <c r="O72" s="106"/>
      <c r="P72" s="107"/>
      <c r="Q72" s="19"/>
      <c r="R72" s="19"/>
      <c r="S72" s="19"/>
      <c r="T72" s="19"/>
      <c r="U72" s="19"/>
    </row>
    <row r="73" spans="1:21" ht="18" customHeight="1" x14ac:dyDescent="0.2">
      <c r="A73" s="3"/>
      <c r="B73" s="105"/>
      <c r="C73" s="106"/>
      <c r="D73" s="106"/>
      <c r="E73" s="106"/>
      <c r="F73" s="19"/>
      <c r="G73" s="19"/>
      <c r="H73" s="19"/>
      <c r="I73" s="19"/>
      <c r="J73" s="19"/>
      <c r="K73" s="105"/>
      <c r="L73" s="106"/>
      <c r="M73" s="106"/>
      <c r="N73" s="106"/>
      <c r="O73" s="106"/>
      <c r="P73" s="107"/>
      <c r="Q73" s="19"/>
      <c r="R73" s="19"/>
      <c r="S73" s="19"/>
      <c r="T73" s="19"/>
      <c r="U73" s="19"/>
    </row>
    <row r="74" spans="1:21" ht="18" customHeight="1" x14ac:dyDescent="0.2">
      <c r="A74" s="3"/>
      <c r="B74" s="105"/>
      <c r="C74" s="106"/>
      <c r="D74" s="106"/>
      <c r="E74" s="106"/>
      <c r="F74" s="19"/>
      <c r="G74" s="19"/>
      <c r="H74" s="19"/>
      <c r="I74" s="19"/>
      <c r="J74" s="19"/>
      <c r="K74" s="105"/>
      <c r="L74" s="106"/>
      <c r="M74" s="106"/>
      <c r="N74" s="106"/>
      <c r="O74" s="106"/>
      <c r="P74" s="107"/>
      <c r="Q74" s="19"/>
      <c r="R74" s="19"/>
      <c r="S74" s="19"/>
      <c r="T74" s="19"/>
      <c r="U74" s="19"/>
    </row>
    <row r="75" spans="1:21" ht="18" customHeight="1" x14ac:dyDescent="0.2">
      <c r="A75" s="3"/>
      <c r="B75" s="105"/>
      <c r="C75" s="106"/>
      <c r="D75" s="106"/>
      <c r="E75" s="106"/>
      <c r="F75" s="19"/>
      <c r="G75" s="19"/>
      <c r="H75" s="19"/>
      <c r="I75" s="19"/>
      <c r="J75" s="19"/>
      <c r="K75" s="105"/>
      <c r="L75" s="106"/>
      <c r="M75" s="106"/>
      <c r="N75" s="106"/>
      <c r="O75" s="106"/>
      <c r="P75" s="107"/>
      <c r="Q75" s="19"/>
      <c r="R75" s="19"/>
      <c r="S75" s="19"/>
      <c r="T75" s="19"/>
      <c r="U75" s="19"/>
    </row>
    <row r="76" spans="1:21" ht="18" customHeight="1" x14ac:dyDescent="0.2">
      <c r="A76" s="3"/>
      <c r="B76" s="105"/>
      <c r="C76" s="106"/>
      <c r="D76" s="106"/>
      <c r="E76" s="106"/>
      <c r="F76" s="19"/>
      <c r="G76" s="19"/>
      <c r="H76" s="19"/>
      <c r="I76" s="19"/>
      <c r="J76" s="19"/>
      <c r="K76" s="105"/>
      <c r="L76" s="106"/>
      <c r="M76" s="106"/>
      <c r="N76" s="106"/>
      <c r="O76" s="106"/>
      <c r="P76" s="107"/>
      <c r="Q76" s="19"/>
      <c r="R76" s="19"/>
      <c r="S76" s="19"/>
      <c r="T76" s="19"/>
      <c r="U76" s="19"/>
    </row>
    <row r="77" spans="1:21" ht="18" customHeight="1" x14ac:dyDescent="0.2">
      <c r="A77" s="3"/>
      <c r="B77" s="108"/>
      <c r="C77" s="109"/>
      <c r="D77" s="109"/>
      <c r="E77" s="109"/>
      <c r="F77" s="20"/>
      <c r="G77" s="20"/>
      <c r="H77" s="21"/>
      <c r="I77" s="21"/>
      <c r="J77" s="21"/>
      <c r="K77" s="108"/>
      <c r="L77" s="109"/>
      <c r="M77" s="109"/>
      <c r="N77" s="109"/>
      <c r="O77" s="109"/>
      <c r="P77" s="110"/>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102" t="s">
        <v>52</v>
      </c>
      <c r="C80" s="103"/>
      <c r="D80" s="103"/>
      <c r="E80" s="103"/>
      <c r="F80" s="104"/>
      <c r="G80" s="102" t="s">
        <v>79</v>
      </c>
      <c r="H80" s="103"/>
      <c r="I80" s="103"/>
      <c r="J80" s="104"/>
      <c r="K80" s="122" t="s">
        <v>52</v>
      </c>
      <c r="L80" s="123"/>
      <c r="M80" s="123"/>
      <c r="N80" s="123"/>
      <c r="O80" s="123"/>
      <c r="P80" s="123"/>
      <c r="Q80" s="124"/>
      <c r="R80" s="102" t="s">
        <v>79</v>
      </c>
      <c r="S80" s="103"/>
      <c r="T80" s="103"/>
      <c r="U80" s="104"/>
    </row>
    <row r="81" spans="1:21" ht="18" customHeight="1" x14ac:dyDescent="0.2">
      <c r="A81" s="3"/>
      <c r="B81" s="113"/>
      <c r="C81" s="114"/>
      <c r="D81" s="114"/>
      <c r="E81" s="114"/>
      <c r="F81" s="115"/>
      <c r="G81" s="117"/>
      <c r="H81" s="118"/>
      <c r="I81" s="118"/>
      <c r="J81" s="119"/>
      <c r="K81" s="113"/>
      <c r="L81" s="114"/>
      <c r="M81" s="114"/>
      <c r="N81" s="114"/>
      <c r="O81" s="114"/>
      <c r="P81" s="114"/>
      <c r="Q81" s="115"/>
      <c r="R81" s="117"/>
      <c r="S81" s="118"/>
      <c r="T81" s="118"/>
      <c r="U81" s="119"/>
    </row>
    <row r="82" spans="1:21" ht="18" customHeight="1" x14ac:dyDescent="0.2">
      <c r="A82" s="3"/>
      <c r="B82" s="105"/>
      <c r="C82" s="106"/>
      <c r="D82" s="106"/>
      <c r="E82" s="106"/>
      <c r="F82" s="107"/>
      <c r="G82" s="99"/>
      <c r="H82" s="100"/>
      <c r="I82" s="100"/>
      <c r="J82" s="101"/>
      <c r="K82" s="105"/>
      <c r="L82" s="106"/>
      <c r="M82" s="106"/>
      <c r="N82" s="106"/>
      <c r="O82" s="106"/>
      <c r="P82" s="106"/>
      <c r="Q82" s="107"/>
      <c r="R82" s="99"/>
      <c r="S82" s="100"/>
      <c r="T82" s="100"/>
      <c r="U82" s="101"/>
    </row>
    <row r="83" spans="1:21" ht="18" customHeight="1" x14ac:dyDescent="0.2">
      <c r="A83" s="3"/>
      <c r="B83" s="105"/>
      <c r="C83" s="106"/>
      <c r="D83" s="106"/>
      <c r="E83" s="106"/>
      <c r="F83" s="107"/>
      <c r="G83" s="99"/>
      <c r="H83" s="100"/>
      <c r="I83" s="100"/>
      <c r="J83" s="101"/>
      <c r="K83" s="105"/>
      <c r="L83" s="106"/>
      <c r="M83" s="106"/>
      <c r="N83" s="106"/>
      <c r="O83" s="106"/>
      <c r="P83" s="106"/>
      <c r="Q83" s="107"/>
      <c r="R83" s="99"/>
      <c r="S83" s="100"/>
      <c r="T83" s="100"/>
      <c r="U83" s="101"/>
    </row>
    <row r="84" spans="1:21" ht="18" customHeight="1" x14ac:dyDescent="0.2">
      <c r="A84" s="3"/>
      <c r="B84" s="105"/>
      <c r="C84" s="106"/>
      <c r="D84" s="106"/>
      <c r="E84" s="106"/>
      <c r="F84" s="107"/>
      <c r="G84" s="99"/>
      <c r="H84" s="100"/>
      <c r="I84" s="100"/>
      <c r="J84" s="101"/>
      <c r="K84" s="105"/>
      <c r="L84" s="106"/>
      <c r="M84" s="106"/>
      <c r="N84" s="106"/>
      <c r="O84" s="106"/>
      <c r="P84" s="106"/>
      <c r="Q84" s="107"/>
      <c r="R84" s="99"/>
      <c r="S84" s="100"/>
      <c r="T84" s="100"/>
      <c r="U84" s="101"/>
    </row>
    <row r="85" spans="1:21" ht="18" customHeight="1" x14ac:dyDescent="0.2">
      <c r="A85" s="3"/>
      <c r="B85" s="105"/>
      <c r="C85" s="106"/>
      <c r="D85" s="106"/>
      <c r="E85" s="106"/>
      <c r="F85" s="107"/>
      <c r="G85" s="99"/>
      <c r="H85" s="100"/>
      <c r="I85" s="100"/>
      <c r="J85" s="101"/>
      <c r="K85" s="105"/>
      <c r="L85" s="106"/>
      <c r="M85" s="106"/>
      <c r="N85" s="106"/>
      <c r="O85" s="106"/>
      <c r="P85" s="106"/>
      <c r="Q85" s="107"/>
      <c r="R85" s="99"/>
      <c r="S85" s="100"/>
      <c r="T85" s="100"/>
      <c r="U85" s="101"/>
    </row>
    <row r="86" spans="1:21" ht="18" customHeight="1" x14ac:dyDescent="0.2">
      <c r="A86" s="3"/>
      <c r="B86" s="105"/>
      <c r="C86" s="106"/>
      <c r="D86" s="106"/>
      <c r="E86" s="106"/>
      <c r="F86" s="107"/>
      <c r="G86" s="99"/>
      <c r="H86" s="100"/>
      <c r="I86" s="100"/>
      <c r="J86" s="101"/>
      <c r="K86" s="105"/>
      <c r="L86" s="106"/>
      <c r="M86" s="106"/>
      <c r="N86" s="106"/>
      <c r="O86" s="106"/>
      <c r="P86" s="106"/>
      <c r="Q86" s="107"/>
      <c r="R86" s="99"/>
      <c r="S86" s="100"/>
      <c r="T86" s="100"/>
      <c r="U86" s="101"/>
    </row>
    <row r="87" spans="1:21" ht="18" customHeight="1" x14ac:dyDescent="0.2">
      <c r="A87" s="3"/>
      <c r="B87" s="108"/>
      <c r="C87" s="109"/>
      <c r="D87" s="109"/>
      <c r="E87" s="109"/>
      <c r="F87" s="110"/>
      <c r="G87" s="144"/>
      <c r="H87" s="145"/>
      <c r="I87" s="145"/>
      <c r="J87" s="146"/>
      <c r="K87" s="108"/>
      <c r="L87" s="109"/>
      <c r="M87" s="109"/>
      <c r="N87" s="109"/>
      <c r="O87" s="109"/>
      <c r="P87" s="109"/>
      <c r="Q87" s="110"/>
      <c r="R87" s="144"/>
      <c r="S87" s="145"/>
      <c r="T87" s="145"/>
      <c r="U87" s="146"/>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108</v>
      </c>
    </row>
    <row r="90" spans="1:21" ht="18.75" customHeight="1" x14ac:dyDescent="0.2">
      <c r="B90" s="147" t="s">
        <v>53</v>
      </c>
      <c r="C90" s="148"/>
      <c r="D90" s="102" t="s">
        <v>54</v>
      </c>
      <c r="E90" s="103"/>
      <c r="F90" s="103"/>
      <c r="G90" s="103"/>
      <c r="H90" s="103"/>
      <c r="I90" s="103"/>
      <c r="J90" s="103"/>
      <c r="K90" s="103"/>
      <c r="L90" s="103"/>
      <c r="M90" s="103"/>
      <c r="N90" s="103"/>
      <c r="O90" s="103"/>
      <c r="P90" s="103"/>
      <c r="Q90" s="103"/>
      <c r="R90" s="103"/>
      <c r="S90" s="103"/>
      <c r="T90" s="103"/>
      <c r="U90" s="104"/>
    </row>
    <row r="91" spans="1:21" ht="97.5" customHeight="1" x14ac:dyDescent="0.2">
      <c r="B91" s="120" t="s">
        <v>60</v>
      </c>
      <c r="C91" s="23" t="s">
        <v>55</v>
      </c>
      <c r="D91" s="158" t="s">
        <v>144</v>
      </c>
      <c r="E91" s="159"/>
      <c r="F91" s="159"/>
      <c r="G91" s="159"/>
      <c r="H91" s="159"/>
      <c r="I91" s="159"/>
      <c r="J91" s="159"/>
      <c r="K91" s="159"/>
      <c r="L91" s="159"/>
      <c r="M91" s="159"/>
      <c r="N91" s="159"/>
      <c r="O91" s="159"/>
      <c r="P91" s="159"/>
      <c r="Q91" s="159"/>
      <c r="R91" s="159"/>
      <c r="S91" s="159"/>
      <c r="T91" s="159"/>
      <c r="U91" s="160"/>
    </row>
    <row r="92" spans="1:21" ht="97.5" customHeight="1" x14ac:dyDescent="0.2">
      <c r="B92" s="129"/>
      <c r="C92" s="24" t="s">
        <v>75</v>
      </c>
      <c r="D92" s="155" t="s">
        <v>145</v>
      </c>
      <c r="E92" s="156"/>
      <c r="F92" s="156"/>
      <c r="G92" s="156"/>
      <c r="H92" s="156"/>
      <c r="I92" s="156"/>
      <c r="J92" s="156"/>
      <c r="K92" s="156"/>
      <c r="L92" s="156"/>
      <c r="M92" s="156"/>
      <c r="N92" s="156"/>
      <c r="O92" s="156"/>
      <c r="P92" s="156"/>
      <c r="Q92" s="156"/>
      <c r="R92" s="156"/>
      <c r="S92" s="156"/>
      <c r="T92" s="156"/>
      <c r="U92" s="157"/>
    </row>
    <row r="93" spans="1:21" ht="97.5" customHeight="1" x14ac:dyDescent="0.2">
      <c r="B93" s="120" t="s">
        <v>61</v>
      </c>
      <c r="C93" s="25" t="s">
        <v>69</v>
      </c>
      <c r="D93" s="158" t="s">
        <v>146</v>
      </c>
      <c r="E93" s="159"/>
      <c r="F93" s="159"/>
      <c r="G93" s="159"/>
      <c r="H93" s="159"/>
      <c r="I93" s="159"/>
      <c r="J93" s="159"/>
      <c r="K93" s="159"/>
      <c r="L93" s="159"/>
      <c r="M93" s="159"/>
      <c r="N93" s="159"/>
      <c r="O93" s="159"/>
      <c r="P93" s="159"/>
      <c r="Q93" s="159"/>
      <c r="R93" s="159"/>
      <c r="S93" s="159"/>
      <c r="T93" s="159"/>
      <c r="U93" s="160"/>
    </row>
    <row r="94" spans="1:21" ht="97.5" customHeight="1" x14ac:dyDescent="0.2">
      <c r="B94" s="121"/>
      <c r="C94" s="26" t="s">
        <v>70</v>
      </c>
      <c r="D94" s="155" t="s">
        <v>147</v>
      </c>
      <c r="E94" s="156"/>
      <c r="F94" s="156"/>
      <c r="G94" s="156"/>
      <c r="H94" s="156"/>
      <c r="I94" s="156"/>
      <c r="J94" s="156"/>
      <c r="K94" s="156"/>
      <c r="L94" s="156"/>
      <c r="M94" s="156"/>
      <c r="N94" s="156"/>
      <c r="O94" s="156"/>
      <c r="P94" s="156"/>
      <c r="Q94" s="156"/>
      <c r="R94" s="156"/>
      <c r="S94" s="156"/>
      <c r="T94" s="156"/>
      <c r="U94" s="157"/>
    </row>
    <row r="95" spans="1:21" ht="97.5" customHeight="1" x14ac:dyDescent="0.2">
      <c r="B95" s="120" t="s">
        <v>62</v>
      </c>
      <c r="C95" s="25" t="s">
        <v>71</v>
      </c>
      <c r="D95" s="158" t="s">
        <v>148</v>
      </c>
      <c r="E95" s="159"/>
      <c r="F95" s="159"/>
      <c r="G95" s="159"/>
      <c r="H95" s="159"/>
      <c r="I95" s="159"/>
      <c r="J95" s="159"/>
      <c r="K95" s="159"/>
      <c r="L95" s="159"/>
      <c r="M95" s="159"/>
      <c r="N95" s="159"/>
      <c r="O95" s="159"/>
      <c r="P95" s="159"/>
      <c r="Q95" s="159"/>
      <c r="R95" s="159"/>
      <c r="S95" s="159"/>
      <c r="T95" s="159"/>
      <c r="U95" s="160"/>
    </row>
    <row r="96" spans="1:21" ht="97.5" customHeight="1" x14ac:dyDescent="0.2">
      <c r="B96" s="121"/>
      <c r="C96" s="27" t="s">
        <v>72</v>
      </c>
      <c r="D96" s="155" t="s">
        <v>149</v>
      </c>
      <c r="E96" s="156"/>
      <c r="F96" s="156"/>
      <c r="G96" s="156"/>
      <c r="H96" s="156"/>
      <c r="I96" s="156"/>
      <c r="J96" s="156"/>
      <c r="K96" s="156"/>
      <c r="L96" s="156"/>
      <c r="M96" s="156"/>
      <c r="N96" s="156"/>
      <c r="O96" s="156"/>
      <c r="P96" s="156"/>
      <c r="Q96" s="156"/>
      <c r="R96" s="156"/>
      <c r="S96" s="156"/>
      <c r="T96" s="156"/>
      <c r="U96" s="157"/>
    </row>
    <row r="97" spans="1:33" ht="97.5" customHeight="1" x14ac:dyDescent="0.2">
      <c r="B97" s="120" t="s">
        <v>76</v>
      </c>
      <c r="C97" s="23" t="s">
        <v>57</v>
      </c>
      <c r="D97" s="158" t="s">
        <v>150</v>
      </c>
      <c r="E97" s="159"/>
      <c r="F97" s="159"/>
      <c r="G97" s="159"/>
      <c r="H97" s="159"/>
      <c r="I97" s="159"/>
      <c r="J97" s="159"/>
      <c r="K97" s="159"/>
      <c r="L97" s="159"/>
      <c r="M97" s="159"/>
      <c r="N97" s="159"/>
      <c r="O97" s="159"/>
      <c r="P97" s="159"/>
      <c r="Q97" s="159"/>
      <c r="R97" s="159"/>
      <c r="S97" s="159"/>
      <c r="T97" s="159"/>
      <c r="U97" s="160"/>
    </row>
    <row r="98" spans="1:33" ht="97.5" customHeight="1" x14ac:dyDescent="0.2">
      <c r="B98" s="121"/>
      <c r="C98" s="26" t="s">
        <v>59</v>
      </c>
      <c r="D98" s="155" t="s">
        <v>151</v>
      </c>
      <c r="E98" s="156"/>
      <c r="F98" s="156"/>
      <c r="G98" s="156"/>
      <c r="H98" s="156"/>
      <c r="I98" s="156"/>
      <c r="J98" s="156"/>
      <c r="K98" s="156"/>
      <c r="L98" s="156"/>
      <c r="M98" s="156"/>
      <c r="N98" s="156"/>
      <c r="O98" s="156"/>
      <c r="P98" s="156"/>
      <c r="Q98" s="156"/>
      <c r="R98" s="156"/>
      <c r="S98" s="156"/>
      <c r="T98" s="156"/>
      <c r="U98" s="157"/>
    </row>
    <row r="99" spans="1:33" ht="97.5" customHeight="1" x14ac:dyDescent="0.2">
      <c r="B99" s="120" t="s">
        <v>77</v>
      </c>
      <c r="C99" s="25" t="s">
        <v>56</v>
      </c>
      <c r="D99" s="158" t="s">
        <v>152</v>
      </c>
      <c r="E99" s="159"/>
      <c r="F99" s="159"/>
      <c r="G99" s="159"/>
      <c r="H99" s="159"/>
      <c r="I99" s="159"/>
      <c r="J99" s="159"/>
      <c r="K99" s="159"/>
      <c r="L99" s="159"/>
      <c r="M99" s="159"/>
      <c r="N99" s="159"/>
      <c r="O99" s="159"/>
      <c r="P99" s="159"/>
      <c r="Q99" s="159"/>
      <c r="R99" s="159"/>
      <c r="S99" s="159"/>
      <c r="T99" s="159"/>
      <c r="U99" s="160"/>
    </row>
    <row r="100" spans="1:33" ht="97.5" customHeight="1" x14ac:dyDescent="0.2">
      <c r="B100" s="129"/>
      <c r="C100" s="28" t="s">
        <v>73</v>
      </c>
      <c r="D100" s="161" t="s">
        <v>153</v>
      </c>
      <c r="E100" s="162"/>
      <c r="F100" s="162"/>
      <c r="G100" s="162"/>
      <c r="H100" s="162"/>
      <c r="I100" s="162"/>
      <c r="J100" s="162"/>
      <c r="K100" s="162"/>
      <c r="L100" s="162"/>
      <c r="M100" s="162"/>
      <c r="N100" s="162"/>
      <c r="O100" s="162"/>
      <c r="P100" s="162"/>
      <c r="Q100" s="162"/>
      <c r="R100" s="162"/>
      <c r="S100" s="162"/>
      <c r="T100" s="162"/>
      <c r="U100" s="163"/>
    </row>
    <row r="101" spans="1:33" ht="97.5" customHeight="1" x14ac:dyDescent="0.2">
      <c r="B101" s="121"/>
      <c r="C101" s="27" t="s">
        <v>74</v>
      </c>
      <c r="D101" s="155" t="s">
        <v>154</v>
      </c>
      <c r="E101" s="156"/>
      <c r="F101" s="156"/>
      <c r="G101" s="156"/>
      <c r="H101" s="156"/>
      <c r="I101" s="156"/>
      <c r="J101" s="156"/>
      <c r="K101" s="156"/>
      <c r="L101" s="156"/>
      <c r="M101" s="156"/>
      <c r="N101" s="156"/>
      <c r="O101" s="156"/>
      <c r="P101" s="156"/>
      <c r="Q101" s="156"/>
      <c r="R101" s="156"/>
      <c r="S101" s="156"/>
      <c r="T101" s="156"/>
      <c r="U101" s="157"/>
    </row>
    <row r="102" spans="1:33" ht="6" customHeight="1" x14ac:dyDescent="0.2"/>
    <row r="103" spans="1:33" ht="18.75" customHeight="1" x14ac:dyDescent="0.2">
      <c r="A103" s="1" t="s">
        <v>109</v>
      </c>
    </row>
    <row r="104" spans="1:33" ht="81.75" customHeight="1" x14ac:dyDescent="0.2">
      <c r="B104" s="141" t="s">
        <v>155</v>
      </c>
      <c r="C104" s="142"/>
      <c r="D104" s="142"/>
      <c r="E104" s="142"/>
      <c r="F104" s="142"/>
      <c r="G104" s="142"/>
      <c r="H104" s="142"/>
      <c r="I104" s="142"/>
      <c r="J104" s="142"/>
      <c r="K104" s="142"/>
      <c r="L104" s="142"/>
      <c r="M104" s="142"/>
      <c r="N104" s="142"/>
      <c r="O104" s="142"/>
      <c r="P104" s="142"/>
      <c r="Q104" s="142"/>
      <c r="R104" s="142"/>
      <c r="S104" s="142"/>
      <c r="T104" s="142"/>
      <c r="U104" s="143"/>
    </row>
    <row r="106" spans="1:33" ht="18.75" customHeight="1" x14ac:dyDescent="0.2">
      <c r="A106" s="73" t="s">
        <v>125</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2">
      <c r="A107" s="73" t="s">
        <v>127</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2">
      <c r="A108" s="73"/>
      <c r="B108" s="154" t="s">
        <v>130</v>
      </c>
      <c r="C108" s="154"/>
      <c r="D108" s="154"/>
      <c r="E108" s="154"/>
      <c r="F108" s="154"/>
      <c r="G108" s="154"/>
      <c r="H108" s="154"/>
      <c r="I108" s="154"/>
      <c r="J108" s="154"/>
      <c r="K108" s="154"/>
      <c r="L108" s="154"/>
      <c r="M108" s="154"/>
      <c r="N108" s="154"/>
      <c r="O108" s="154"/>
      <c r="P108" s="154"/>
      <c r="Q108" s="154"/>
      <c r="R108" s="154"/>
      <c r="S108" s="154"/>
      <c r="T108" s="154"/>
      <c r="U108" s="154"/>
      <c r="V108" s="69"/>
      <c r="W108" s="69"/>
      <c r="X108" s="69"/>
      <c r="Y108" s="69"/>
      <c r="Z108" s="69"/>
      <c r="AA108" s="69"/>
      <c r="AB108" s="69"/>
      <c r="AC108" s="69"/>
      <c r="AD108" s="69"/>
      <c r="AE108" s="69"/>
      <c r="AF108" s="69"/>
      <c r="AG108" s="69"/>
    </row>
    <row r="109" spans="1:33" ht="37.200000000000003" customHeight="1" x14ac:dyDescent="0.2">
      <c r="A109" s="73"/>
      <c r="B109" s="154"/>
      <c r="C109" s="154"/>
      <c r="D109" s="154"/>
      <c r="E109" s="154"/>
      <c r="F109" s="154"/>
      <c r="G109" s="154"/>
      <c r="H109" s="154"/>
      <c r="I109" s="154"/>
      <c r="J109" s="154"/>
      <c r="K109" s="154"/>
      <c r="L109" s="154"/>
      <c r="M109" s="154"/>
      <c r="N109" s="154"/>
      <c r="O109" s="154"/>
      <c r="P109" s="154"/>
      <c r="Q109" s="154"/>
      <c r="R109" s="154"/>
      <c r="S109" s="154"/>
      <c r="T109" s="154"/>
      <c r="U109" s="154"/>
      <c r="V109" s="69"/>
      <c r="W109" s="69"/>
      <c r="X109" s="69"/>
      <c r="Y109" s="69"/>
      <c r="Z109" s="69"/>
      <c r="AA109" s="69"/>
      <c r="AB109" s="69"/>
      <c r="AC109" s="69"/>
      <c r="AD109" s="69"/>
      <c r="AE109" s="69"/>
      <c r="AF109" s="69"/>
      <c r="AG109" s="69"/>
    </row>
    <row r="110" spans="1:33" ht="18.75" customHeight="1" x14ac:dyDescent="0.2">
      <c r="A110" s="73"/>
      <c r="B110" s="98" t="s">
        <v>126</v>
      </c>
      <c r="C110" s="98"/>
      <c r="D110" s="98"/>
      <c r="E110" s="98"/>
      <c r="F110" s="98"/>
      <c r="G110" s="98"/>
      <c r="H110" s="98"/>
      <c r="I110" s="98"/>
      <c r="J110" s="98"/>
      <c r="K110" s="98"/>
      <c r="L110" s="98"/>
      <c r="M110" s="98"/>
      <c r="N110" s="98"/>
      <c r="O110" s="98"/>
      <c r="P110" s="98"/>
      <c r="Q110" s="98"/>
      <c r="R110" s="98"/>
      <c r="S110" s="98"/>
      <c r="T110" s="98"/>
      <c r="U110" s="98"/>
      <c r="V110" s="69"/>
      <c r="W110" s="69"/>
      <c r="X110" s="69"/>
      <c r="Y110" s="69"/>
      <c r="Z110" s="69"/>
      <c r="AA110" s="69"/>
      <c r="AB110" s="69"/>
      <c r="AC110" s="69"/>
      <c r="AD110" s="69"/>
      <c r="AE110" s="69"/>
      <c r="AF110" s="69"/>
      <c r="AG110" s="69"/>
    </row>
    <row r="111" spans="1:33" ht="18.75" customHeight="1" x14ac:dyDescent="0.2">
      <c r="A111" s="73"/>
      <c r="B111" s="111" t="s">
        <v>54</v>
      </c>
      <c r="C111" s="111"/>
      <c r="D111" s="111"/>
      <c r="E111" s="111"/>
      <c r="F111" s="111"/>
      <c r="G111" s="111"/>
      <c r="H111" s="111"/>
      <c r="I111" s="111"/>
      <c r="J111" s="111"/>
      <c r="K111" s="111"/>
      <c r="L111" s="111"/>
      <c r="M111" s="111"/>
      <c r="N111" s="111"/>
      <c r="O111" s="111"/>
      <c r="P111" s="111"/>
      <c r="Q111" s="111"/>
      <c r="R111" s="111"/>
      <c r="S111" s="111"/>
      <c r="T111" s="111"/>
      <c r="U111" s="111"/>
      <c r="V111" s="68"/>
      <c r="W111" s="68"/>
      <c r="X111" s="68"/>
      <c r="Y111" s="68"/>
      <c r="Z111" s="68"/>
      <c r="AA111" s="68"/>
      <c r="AB111" s="68"/>
      <c r="AC111" s="68"/>
      <c r="AD111" s="68"/>
      <c r="AE111" s="68"/>
      <c r="AF111" s="68"/>
      <c r="AG111" s="68"/>
    </row>
    <row r="112" spans="1:33" ht="132" customHeight="1" x14ac:dyDescent="0.2">
      <c r="A112" s="73"/>
      <c r="B112" s="112" t="s">
        <v>179</v>
      </c>
      <c r="C112" s="112"/>
      <c r="D112" s="112"/>
      <c r="E112" s="112"/>
      <c r="F112" s="112"/>
      <c r="G112" s="112"/>
      <c r="H112" s="112"/>
      <c r="I112" s="112"/>
      <c r="J112" s="112"/>
      <c r="K112" s="112"/>
      <c r="L112" s="112"/>
      <c r="M112" s="112"/>
      <c r="N112" s="112"/>
      <c r="O112" s="112"/>
      <c r="P112" s="112"/>
      <c r="Q112" s="112"/>
      <c r="R112" s="112"/>
      <c r="S112" s="112"/>
      <c r="T112" s="112"/>
      <c r="U112" s="112"/>
      <c r="V112" s="70"/>
      <c r="W112" s="70"/>
      <c r="X112" s="70"/>
      <c r="Y112" s="70"/>
      <c r="Z112" s="70"/>
      <c r="AA112" s="70"/>
      <c r="AB112" s="70"/>
      <c r="AC112" s="70"/>
      <c r="AD112" s="70"/>
      <c r="AE112" s="70"/>
      <c r="AF112" s="70"/>
      <c r="AG112" s="70"/>
    </row>
    <row r="114" ht="18" customHeight="1" x14ac:dyDescent="0.2"/>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tabSelected="1" view="pageBreakPreview" zoomScaleNormal="100" zoomScaleSheetLayoutView="100" workbookViewId="0">
      <selection activeCell="E15" sqref="E15"/>
    </sheetView>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4"/>
      <c r="B1" s="74"/>
      <c r="C1" s="74"/>
      <c r="D1" s="74"/>
      <c r="E1" s="74"/>
      <c r="F1" s="74"/>
      <c r="G1" s="74"/>
      <c r="H1" s="74"/>
      <c r="I1" s="74"/>
      <c r="J1" s="74"/>
      <c r="K1" s="74"/>
      <c r="L1" s="74"/>
      <c r="M1" s="74"/>
      <c r="N1" s="74"/>
      <c r="O1" s="74"/>
      <c r="P1" s="74"/>
      <c r="Q1" s="74"/>
      <c r="R1" s="74"/>
      <c r="S1" s="74" t="s">
        <v>98</v>
      </c>
    </row>
    <row r="2" spans="1:21" ht="18" customHeight="1" x14ac:dyDescent="0.2">
      <c r="A2" s="74"/>
      <c r="B2" s="74"/>
      <c r="C2" s="74"/>
      <c r="D2" s="74"/>
      <c r="E2" s="74"/>
      <c r="F2" s="74"/>
      <c r="G2" s="74"/>
      <c r="H2" s="74"/>
      <c r="I2" s="74"/>
      <c r="J2" s="74"/>
      <c r="K2" s="74"/>
      <c r="L2" s="74"/>
      <c r="M2" s="74"/>
      <c r="N2" s="74"/>
      <c r="O2" s="74"/>
      <c r="P2" s="74"/>
      <c r="Q2" s="177" t="str">
        <f>'様式１　プログラムを構成する授業科目'!C2</f>
        <v>静岡産業大学</v>
      </c>
      <c r="R2" s="177"/>
      <c r="S2" s="177"/>
    </row>
    <row r="3" spans="1:21" ht="18" customHeight="1" x14ac:dyDescent="0.2">
      <c r="A3" s="130" t="s">
        <v>47</v>
      </c>
      <c r="B3" s="130"/>
      <c r="C3" s="130"/>
      <c r="D3" s="130"/>
      <c r="E3" s="130"/>
      <c r="F3" s="130"/>
      <c r="G3" s="130"/>
      <c r="H3" s="130"/>
      <c r="I3" s="130"/>
      <c r="J3" s="130"/>
      <c r="K3" s="130"/>
      <c r="L3" s="130"/>
      <c r="M3" s="130"/>
      <c r="N3" s="130"/>
      <c r="O3" s="130"/>
      <c r="P3" s="130"/>
      <c r="Q3" s="130"/>
      <c r="R3" s="130"/>
      <c r="S3" s="130"/>
    </row>
    <row r="4" spans="1:21" ht="7.5" customHeight="1" x14ac:dyDescent="0.2">
      <c r="A4" s="79"/>
      <c r="B4" s="79"/>
      <c r="C4" s="79"/>
      <c r="D4" s="79"/>
      <c r="E4" s="79"/>
      <c r="F4" s="79"/>
      <c r="G4" s="79"/>
      <c r="H4" s="79"/>
      <c r="I4" s="79"/>
      <c r="J4" s="79"/>
      <c r="K4" s="79"/>
      <c r="L4" s="79"/>
      <c r="M4" s="79"/>
      <c r="N4" s="79"/>
      <c r="O4" s="79"/>
      <c r="P4" s="79"/>
      <c r="Q4" s="79"/>
      <c r="R4" s="79"/>
      <c r="S4" s="79"/>
    </row>
    <row r="5" spans="1:21" ht="18" customHeight="1" x14ac:dyDescent="0.2">
      <c r="A5" s="74" t="s">
        <v>80</v>
      </c>
      <c r="B5" s="74"/>
      <c r="C5" s="178" t="s">
        <v>180</v>
      </c>
      <c r="D5" s="179"/>
      <c r="E5" s="79" t="s">
        <v>51</v>
      </c>
      <c r="F5" s="79"/>
      <c r="G5" s="79"/>
      <c r="H5" s="79"/>
      <c r="I5" s="79"/>
      <c r="J5" s="79"/>
      <c r="K5" s="79"/>
      <c r="L5" s="79"/>
      <c r="M5" s="79"/>
      <c r="N5" s="79"/>
      <c r="O5" s="79"/>
      <c r="P5" s="79"/>
      <c r="Q5" s="79"/>
      <c r="R5" s="77"/>
      <c r="S5" s="77"/>
    </row>
    <row r="6" spans="1:21" ht="7.2" customHeight="1" x14ac:dyDescent="0.2">
      <c r="A6" s="74"/>
      <c r="B6" s="74"/>
      <c r="C6" s="83"/>
      <c r="D6" s="83"/>
      <c r="E6" s="79"/>
      <c r="F6" s="79"/>
      <c r="G6" s="79"/>
      <c r="H6" s="79"/>
      <c r="I6" s="79"/>
      <c r="J6" s="79"/>
      <c r="K6" s="79"/>
      <c r="L6" s="79"/>
      <c r="M6" s="79"/>
      <c r="N6" s="79"/>
      <c r="O6" s="79"/>
      <c r="P6" s="79"/>
      <c r="Q6" s="79"/>
      <c r="R6" s="77"/>
      <c r="S6" s="77"/>
    </row>
    <row r="7" spans="1:21" ht="18" customHeight="1" x14ac:dyDescent="0.2">
      <c r="A7" s="74" t="s">
        <v>118</v>
      </c>
      <c r="B7" s="74"/>
      <c r="C7" s="83"/>
      <c r="D7" s="83"/>
      <c r="E7" s="79" t="s">
        <v>119</v>
      </c>
      <c r="F7" s="84">
        <v>1510</v>
      </c>
      <c r="G7" s="80" t="s">
        <v>120</v>
      </c>
      <c r="H7" s="79" t="s">
        <v>121</v>
      </c>
      <c r="I7" s="84">
        <v>361</v>
      </c>
      <c r="J7" s="80" t="s">
        <v>120</v>
      </c>
      <c r="K7" s="75" t="s">
        <v>122</v>
      </c>
      <c r="L7" s="79" t="s">
        <v>123</v>
      </c>
      <c r="M7" s="82">
        <f>F7+I7</f>
        <v>1871</v>
      </c>
      <c r="N7" s="79" t="s">
        <v>1</v>
      </c>
      <c r="O7" s="80" t="s">
        <v>124</v>
      </c>
      <c r="P7" s="79"/>
      <c r="Q7" s="79"/>
      <c r="R7" s="77"/>
      <c r="S7" s="77"/>
    </row>
    <row r="8" spans="1:21" ht="6" customHeight="1" x14ac:dyDescent="0.2">
      <c r="A8" s="79"/>
      <c r="B8" s="79"/>
      <c r="C8" s="79"/>
      <c r="D8" s="79"/>
      <c r="E8" s="79"/>
      <c r="F8" s="79"/>
      <c r="G8" s="79"/>
      <c r="H8" s="79"/>
      <c r="I8" s="79"/>
      <c r="J8" s="79"/>
      <c r="K8" s="79"/>
      <c r="L8" s="79"/>
      <c r="M8" s="79"/>
      <c r="N8" s="79"/>
      <c r="O8" s="79"/>
      <c r="P8" s="79"/>
      <c r="Q8" s="79"/>
      <c r="R8" s="79"/>
      <c r="S8" s="79"/>
    </row>
    <row r="9" spans="1:21" ht="18" customHeight="1" x14ac:dyDescent="0.2">
      <c r="A9" s="74" t="s">
        <v>134</v>
      </c>
      <c r="B9" s="79"/>
      <c r="C9" s="79"/>
      <c r="D9" s="79"/>
      <c r="E9" s="79"/>
      <c r="F9" s="79"/>
      <c r="G9" s="79"/>
      <c r="H9" s="79"/>
      <c r="I9" s="79"/>
      <c r="J9" s="79"/>
      <c r="K9" s="79"/>
      <c r="L9" s="79"/>
      <c r="M9" s="79"/>
      <c r="N9" s="79"/>
      <c r="O9" s="79"/>
      <c r="P9" s="79"/>
      <c r="Q9" s="79"/>
      <c r="R9" s="79"/>
      <c r="S9" s="79"/>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80" t="s">
        <v>44</v>
      </c>
      <c r="C11" s="190" t="s">
        <v>83</v>
      </c>
      <c r="D11" s="182" t="s">
        <v>46</v>
      </c>
      <c r="E11" s="184" t="s">
        <v>39</v>
      </c>
      <c r="F11" s="176" t="s">
        <v>112</v>
      </c>
      <c r="G11" s="176"/>
      <c r="H11" s="176" t="s">
        <v>82</v>
      </c>
      <c r="I11" s="176"/>
      <c r="J11" s="176" t="s">
        <v>48</v>
      </c>
      <c r="K11" s="176"/>
      <c r="L11" s="176" t="s">
        <v>49</v>
      </c>
      <c r="M11" s="176"/>
      <c r="N11" s="176" t="s">
        <v>92</v>
      </c>
      <c r="O11" s="176"/>
      <c r="P11" s="176" t="s">
        <v>50</v>
      </c>
      <c r="Q11" s="176"/>
      <c r="R11" s="186" t="s">
        <v>35</v>
      </c>
      <c r="S11" s="188" t="s">
        <v>32</v>
      </c>
      <c r="U11" s="2"/>
    </row>
    <row r="12" spans="1:21" ht="16.95" customHeight="1" x14ac:dyDescent="0.2">
      <c r="B12" s="181"/>
      <c r="C12" s="191"/>
      <c r="D12" s="183"/>
      <c r="E12" s="185"/>
      <c r="F12" s="62" t="s">
        <v>91</v>
      </c>
      <c r="G12" s="62" t="s">
        <v>29</v>
      </c>
      <c r="H12" s="62" t="s">
        <v>91</v>
      </c>
      <c r="I12" s="62" t="s">
        <v>29</v>
      </c>
      <c r="J12" s="62" t="s">
        <v>91</v>
      </c>
      <c r="K12" s="62" t="s">
        <v>29</v>
      </c>
      <c r="L12" s="62" t="s">
        <v>91</v>
      </c>
      <c r="M12" s="62" t="s">
        <v>29</v>
      </c>
      <c r="N12" s="62" t="s">
        <v>91</v>
      </c>
      <c r="O12" s="62" t="s">
        <v>29</v>
      </c>
      <c r="P12" s="62" t="s">
        <v>91</v>
      </c>
      <c r="Q12" s="63" t="s">
        <v>29</v>
      </c>
      <c r="R12" s="187"/>
      <c r="S12" s="189"/>
      <c r="U12" s="2"/>
    </row>
    <row r="13" spans="1:21" ht="18" customHeight="1" x14ac:dyDescent="0.2">
      <c r="A13" s="6"/>
      <c r="B13" s="64" t="s">
        <v>156</v>
      </c>
      <c r="C13" s="89">
        <v>1496</v>
      </c>
      <c r="D13" s="90">
        <v>350</v>
      </c>
      <c r="E13" s="91">
        <v>1540</v>
      </c>
      <c r="F13" s="91">
        <v>100</v>
      </c>
      <c r="G13" s="91">
        <v>84</v>
      </c>
      <c r="H13" s="52"/>
      <c r="I13" s="52"/>
      <c r="J13" s="52"/>
      <c r="K13" s="52"/>
      <c r="L13" s="52"/>
      <c r="M13" s="52"/>
      <c r="N13" s="52"/>
      <c r="O13" s="52"/>
      <c r="P13" s="52"/>
      <c r="Q13" s="65"/>
      <c r="R13" s="51">
        <f t="shared" ref="R13:R32" si="0">F13+H13+J13+L13+N13+P13</f>
        <v>100</v>
      </c>
      <c r="S13" s="66">
        <f t="shared" ref="S13:S33" si="1">R13/E13</f>
        <v>6.4935064935064929E-2</v>
      </c>
    </row>
    <row r="14" spans="1:21" ht="18" customHeight="1" x14ac:dyDescent="0.2">
      <c r="A14" s="6"/>
      <c r="B14" s="11" t="s">
        <v>157</v>
      </c>
      <c r="C14" s="92">
        <v>375</v>
      </c>
      <c r="D14" s="93">
        <v>120</v>
      </c>
      <c r="E14" s="94">
        <v>360</v>
      </c>
      <c r="F14" s="95">
        <v>29</v>
      </c>
      <c r="G14" s="95">
        <v>2</v>
      </c>
      <c r="H14" s="56"/>
      <c r="I14" s="56"/>
      <c r="J14" s="56"/>
      <c r="K14" s="56"/>
      <c r="L14" s="56"/>
      <c r="M14" s="56"/>
      <c r="N14" s="56"/>
      <c r="O14" s="56"/>
      <c r="P14" s="56"/>
      <c r="Q14" s="53"/>
      <c r="R14" s="54">
        <f t="shared" si="0"/>
        <v>29</v>
      </c>
      <c r="S14" s="16">
        <f t="shared" si="1"/>
        <v>8.0555555555555561E-2</v>
      </c>
    </row>
    <row r="15" spans="1:21" ht="18" customHeight="1" x14ac:dyDescent="0.2">
      <c r="A15" s="6"/>
      <c r="B15" s="11"/>
      <c r="C15" s="53"/>
      <c r="D15" s="54"/>
      <c r="E15" s="55"/>
      <c r="F15" s="56"/>
      <c r="G15" s="56"/>
      <c r="H15" s="56"/>
      <c r="I15" s="56"/>
      <c r="J15" s="56"/>
      <c r="K15" s="56"/>
      <c r="L15" s="56"/>
      <c r="M15" s="56"/>
      <c r="N15" s="56"/>
      <c r="O15" s="56"/>
      <c r="P15" s="56"/>
      <c r="Q15" s="53"/>
      <c r="R15" s="54">
        <f t="shared" si="0"/>
        <v>0</v>
      </c>
      <c r="S15" s="8" t="e">
        <f t="shared" si="1"/>
        <v>#DIV/0!</v>
      </c>
    </row>
    <row r="16" spans="1:21" ht="18" customHeight="1" x14ac:dyDescent="0.2">
      <c r="A16" s="6"/>
      <c r="B16" s="11"/>
      <c r="C16" s="53"/>
      <c r="D16" s="54"/>
      <c r="E16" s="55"/>
      <c r="F16" s="56"/>
      <c r="G16" s="56"/>
      <c r="H16" s="56"/>
      <c r="I16" s="56"/>
      <c r="J16" s="56"/>
      <c r="K16" s="56"/>
      <c r="L16" s="56"/>
      <c r="M16" s="56"/>
      <c r="N16" s="56"/>
      <c r="O16" s="56"/>
      <c r="P16" s="56"/>
      <c r="Q16" s="53"/>
      <c r="R16" s="54">
        <f t="shared" si="0"/>
        <v>0</v>
      </c>
      <c r="S16" s="8" t="e">
        <f t="shared" si="1"/>
        <v>#DIV/0!</v>
      </c>
    </row>
    <row r="17" spans="1:19" ht="18" customHeight="1" x14ac:dyDescent="0.2">
      <c r="A17" s="6"/>
      <c r="B17" s="11"/>
      <c r="C17" s="53"/>
      <c r="D17" s="54"/>
      <c r="E17" s="55"/>
      <c r="F17" s="56"/>
      <c r="G17" s="56"/>
      <c r="H17" s="56"/>
      <c r="I17" s="56"/>
      <c r="J17" s="56"/>
      <c r="K17" s="56"/>
      <c r="L17" s="56"/>
      <c r="M17" s="56"/>
      <c r="N17" s="56"/>
      <c r="O17" s="56"/>
      <c r="P17" s="56"/>
      <c r="Q17" s="53"/>
      <c r="R17" s="54">
        <f t="shared" si="0"/>
        <v>0</v>
      </c>
      <c r="S17" s="8" t="e">
        <f t="shared" si="1"/>
        <v>#DIV/0!</v>
      </c>
    </row>
    <row r="18" spans="1:19" ht="18" customHeight="1" x14ac:dyDescent="0.2">
      <c r="A18" s="6"/>
      <c r="B18" s="11"/>
      <c r="C18" s="53"/>
      <c r="D18" s="54"/>
      <c r="E18" s="55"/>
      <c r="F18" s="56"/>
      <c r="G18" s="56"/>
      <c r="H18" s="56"/>
      <c r="I18" s="56"/>
      <c r="J18" s="56"/>
      <c r="K18" s="56"/>
      <c r="L18" s="56"/>
      <c r="M18" s="56"/>
      <c r="N18" s="56"/>
      <c r="O18" s="56"/>
      <c r="P18" s="56"/>
      <c r="Q18" s="53"/>
      <c r="R18" s="54">
        <f t="shared" si="0"/>
        <v>0</v>
      </c>
      <c r="S18" s="8" t="e">
        <f t="shared" si="1"/>
        <v>#DIV/0!</v>
      </c>
    </row>
    <row r="19" spans="1:19" ht="18" customHeight="1" x14ac:dyDescent="0.2">
      <c r="A19" s="6"/>
      <c r="B19" s="11"/>
      <c r="C19" s="53"/>
      <c r="D19" s="54"/>
      <c r="E19" s="55"/>
      <c r="F19" s="56"/>
      <c r="G19" s="56"/>
      <c r="H19" s="56"/>
      <c r="I19" s="56"/>
      <c r="J19" s="56"/>
      <c r="K19" s="56"/>
      <c r="L19" s="56"/>
      <c r="M19" s="56"/>
      <c r="N19" s="56"/>
      <c r="O19" s="56"/>
      <c r="P19" s="56"/>
      <c r="Q19" s="53"/>
      <c r="R19" s="54">
        <f t="shared" si="0"/>
        <v>0</v>
      </c>
      <c r="S19" s="8" t="e">
        <f t="shared" si="1"/>
        <v>#DIV/0!</v>
      </c>
    </row>
    <row r="20" spans="1:19" ht="18" customHeight="1" x14ac:dyDescent="0.2">
      <c r="A20" s="6"/>
      <c r="B20" s="11"/>
      <c r="C20" s="53"/>
      <c r="D20" s="54"/>
      <c r="E20" s="55"/>
      <c r="F20" s="56"/>
      <c r="G20" s="56"/>
      <c r="H20" s="56"/>
      <c r="I20" s="56"/>
      <c r="J20" s="56"/>
      <c r="K20" s="56"/>
      <c r="L20" s="56"/>
      <c r="M20" s="56"/>
      <c r="N20" s="56"/>
      <c r="O20" s="56"/>
      <c r="P20" s="56"/>
      <c r="Q20" s="53"/>
      <c r="R20" s="54">
        <f t="shared" si="0"/>
        <v>0</v>
      </c>
      <c r="S20" s="8" t="e">
        <f t="shared" si="1"/>
        <v>#DIV/0!</v>
      </c>
    </row>
    <row r="21" spans="1:19" ht="18" customHeight="1" x14ac:dyDescent="0.2">
      <c r="A21" s="6"/>
      <c r="B21" s="11"/>
      <c r="C21" s="53"/>
      <c r="D21" s="54"/>
      <c r="E21" s="55"/>
      <c r="F21" s="56"/>
      <c r="G21" s="56"/>
      <c r="H21" s="56"/>
      <c r="I21" s="56"/>
      <c r="J21" s="56"/>
      <c r="K21" s="56"/>
      <c r="L21" s="56"/>
      <c r="M21" s="56"/>
      <c r="N21" s="56"/>
      <c r="O21" s="56"/>
      <c r="P21" s="56"/>
      <c r="Q21" s="53"/>
      <c r="R21" s="54">
        <f t="shared" si="0"/>
        <v>0</v>
      </c>
      <c r="S21" s="8" t="e">
        <f t="shared" si="1"/>
        <v>#DIV/0!</v>
      </c>
    </row>
    <row r="22" spans="1:19" ht="18" customHeight="1" x14ac:dyDescent="0.2">
      <c r="A22" s="6"/>
      <c r="B22" s="11"/>
      <c r="C22" s="53"/>
      <c r="D22" s="54"/>
      <c r="E22" s="55"/>
      <c r="F22" s="56"/>
      <c r="G22" s="56"/>
      <c r="H22" s="56"/>
      <c r="I22" s="56"/>
      <c r="J22" s="56"/>
      <c r="K22" s="56"/>
      <c r="L22" s="56"/>
      <c r="M22" s="56"/>
      <c r="N22" s="56"/>
      <c r="O22" s="56"/>
      <c r="P22" s="56"/>
      <c r="Q22" s="53"/>
      <c r="R22" s="54">
        <f t="shared" si="0"/>
        <v>0</v>
      </c>
      <c r="S22" s="8" t="e">
        <f t="shared" si="1"/>
        <v>#DIV/0!</v>
      </c>
    </row>
    <row r="23" spans="1:19" ht="18" customHeight="1" x14ac:dyDescent="0.2">
      <c r="A23" s="6"/>
      <c r="B23" s="11"/>
      <c r="C23" s="53"/>
      <c r="D23" s="54"/>
      <c r="E23" s="55"/>
      <c r="F23" s="56"/>
      <c r="G23" s="56"/>
      <c r="H23" s="56"/>
      <c r="I23" s="56"/>
      <c r="J23" s="56"/>
      <c r="K23" s="56"/>
      <c r="L23" s="56"/>
      <c r="M23" s="56"/>
      <c r="N23" s="56"/>
      <c r="O23" s="56"/>
      <c r="P23" s="56"/>
      <c r="Q23" s="53"/>
      <c r="R23" s="54">
        <f t="shared" si="0"/>
        <v>0</v>
      </c>
      <c r="S23" s="8" t="e">
        <f t="shared" si="1"/>
        <v>#DIV/0!</v>
      </c>
    </row>
    <row r="24" spans="1:19" ht="18" customHeight="1" x14ac:dyDescent="0.2">
      <c r="A24" s="6"/>
      <c r="B24" s="11"/>
      <c r="C24" s="53"/>
      <c r="D24" s="54"/>
      <c r="E24" s="55"/>
      <c r="F24" s="56"/>
      <c r="G24" s="56"/>
      <c r="H24" s="56"/>
      <c r="I24" s="56"/>
      <c r="J24" s="56"/>
      <c r="K24" s="56"/>
      <c r="L24" s="56"/>
      <c r="M24" s="56"/>
      <c r="N24" s="56"/>
      <c r="O24" s="56"/>
      <c r="P24" s="56"/>
      <c r="Q24" s="53"/>
      <c r="R24" s="54">
        <f t="shared" si="0"/>
        <v>0</v>
      </c>
      <c r="S24" s="8" t="e">
        <f t="shared" si="1"/>
        <v>#DIV/0!</v>
      </c>
    </row>
    <row r="25" spans="1:19" ht="18" customHeight="1" x14ac:dyDescent="0.2">
      <c r="A25" s="6"/>
      <c r="B25" s="11"/>
      <c r="C25" s="53"/>
      <c r="D25" s="54"/>
      <c r="E25" s="55"/>
      <c r="F25" s="56"/>
      <c r="G25" s="56"/>
      <c r="H25" s="56"/>
      <c r="I25" s="56"/>
      <c r="J25" s="56"/>
      <c r="K25" s="56"/>
      <c r="L25" s="56"/>
      <c r="M25" s="56"/>
      <c r="N25" s="56"/>
      <c r="O25" s="56"/>
      <c r="P25" s="56"/>
      <c r="Q25" s="53"/>
      <c r="R25" s="54">
        <f t="shared" si="0"/>
        <v>0</v>
      </c>
      <c r="S25" s="8" t="e">
        <f t="shared" si="1"/>
        <v>#DIV/0!</v>
      </c>
    </row>
    <row r="26" spans="1:19" ht="18" customHeight="1" x14ac:dyDescent="0.2">
      <c r="A26" s="6"/>
      <c r="B26" s="11"/>
      <c r="C26" s="53"/>
      <c r="D26" s="54"/>
      <c r="E26" s="55"/>
      <c r="F26" s="56"/>
      <c r="G26" s="56"/>
      <c r="H26" s="56"/>
      <c r="I26" s="56"/>
      <c r="J26" s="56"/>
      <c r="K26" s="56"/>
      <c r="L26" s="56"/>
      <c r="M26" s="56"/>
      <c r="N26" s="56"/>
      <c r="O26" s="56"/>
      <c r="P26" s="56"/>
      <c r="Q26" s="53"/>
      <c r="R26" s="54">
        <f t="shared" si="0"/>
        <v>0</v>
      </c>
      <c r="S26" s="8" t="e">
        <f t="shared" si="1"/>
        <v>#DIV/0!</v>
      </c>
    </row>
    <row r="27" spans="1:19" ht="18" customHeight="1" x14ac:dyDescent="0.2">
      <c r="A27" s="6"/>
      <c r="B27" s="11"/>
      <c r="C27" s="53"/>
      <c r="D27" s="54"/>
      <c r="E27" s="55"/>
      <c r="F27" s="56"/>
      <c r="G27" s="56"/>
      <c r="H27" s="56"/>
      <c r="I27" s="56"/>
      <c r="J27" s="56"/>
      <c r="K27" s="56"/>
      <c r="L27" s="56"/>
      <c r="M27" s="56"/>
      <c r="N27" s="56"/>
      <c r="O27" s="56"/>
      <c r="P27" s="56"/>
      <c r="Q27" s="53"/>
      <c r="R27" s="54">
        <f t="shared" si="0"/>
        <v>0</v>
      </c>
      <c r="S27" s="8" t="e">
        <f t="shared" si="1"/>
        <v>#DIV/0!</v>
      </c>
    </row>
    <row r="28" spans="1:19" ht="18" customHeight="1" x14ac:dyDescent="0.2">
      <c r="A28" s="6"/>
      <c r="B28" s="11"/>
      <c r="C28" s="53"/>
      <c r="D28" s="54"/>
      <c r="E28" s="55"/>
      <c r="F28" s="56"/>
      <c r="G28" s="56"/>
      <c r="H28" s="56"/>
      <c r="I28" s="56"/>
      <c r="J28" s="56"/>
      <c r="K28" s="56"/>
      <c r="L28" s="56"/>
      <c r="M28" s="56"/>
      <c r="N28" s="56"/>
      <c r="O28" s="56"/>
      <c r="P28" s="56"/>
      <c r="Q28" s="53"/>
      <c r="R28" s="54">
        <f t="shared" si="0"/>
        <v>0</v>
      </c>
      <c r="S28" s="8" t="e">
        <f t="shared" si="1"/>
        <v>#DIV/0!</v>
      </c>
    </row>
    <row r="29" spans="1:19" ht="18" customHeight="1" x14ac:dyDescent="0.2">
      <c r="A29" s="6"/>
      <c r="B29" s="11"/>
      <c r="C29" s="53"/>
      <c r="D29" s="54"/>
      <c r="E29" s="55"/>
      <c r="F29" s="56"/>
      <c r="G29" s="56"/>
      <c r="H29" s="56"/>
      <c r="I29" s="56"/>
      <c r="J29" s="56"/>
      <c r="K29" s="56"/>
      <c r="L29" s="56"/>
      <c r="M29" s="56"/>
      <c r="N29" s="56"/>
      <c r="O29" s="56"/>
      <c r="P29" s="56"/>
      <c r="Q29" s="53"/>
      <c r="R29" s="54">
        <f t="shared" si="0"/>
        <v>0</v>
      </c>
      <c r="S29" s="8" t="e">
        <f t="shared" si="1"/>
        <v>#DIV/0!</v>
      </c>
    </row>
    <row r="30" spans="1:19" ht="18" customHeight="1" x14ac:dyDescent="0.2">
      <c r="A30" s="6"/>
      <c r="B30" s="11"/>
      <c r="C30" s="53"/>
      <c r="D30" s="57"/>
      <c r="E30" s="55"/>
      <c r="F30" s="56"/>
      <c r="G30" s="56"/>
      <c r="H30" s="56"/>
      <c r="I30" s="56"/>
      <c r="J30" s="56"/>
      <c r="K30" s="56"/>
      <c r="L30" s="56"/>
      <c r="M30" s="56"/>
      <c r="N30" s="56"/>
      <c r="O30" s="56"/>
      <c r="P30" s="56"/>
      <c r="Q30" s="53"/>
      <c r="R30" s="57">
        <f t="shared" si="0"/>
        <v>0</v>
      </c>
      <c r="S30" s="8" t="e">
        <f t="shared" si="1"/>
        <v>#DIV/0!</v>
      </c>
    </row>
    <row r="31" spans="1:19" ht="18" customHeight="1" x14ac:dyDescent="0.2">
      <c r="A31" s="6"/>
      <c r="B31" s="11"/>
      <c r="C31" s="53"/>
      <c r="D31" s="57"/>
      <c r="E31" s="55"/>
      <c r="F31" s="56"/>
      <c r="G31" s="56"/>
      <c r="H31" s="56"/>
      <c r="I31" s="56"/>
      <c r="J31" s="56"/>
      <c r="K31" s="56"/>
      <c r="L31" s="56"/>
      <c r="M31" s="56"/>
      <c r="N31" s="56"/>
      <c r="O31" s="56"/>
      <c r="P31" s="56"/>
      <c r="Q31" s="53"/>
      <c r="R31" s="57">
        <f t="shared" si="0"/>
        <v>0</v>
      </c>
      <c r="S31" s="8" t="e">
        <f t="shared" si="1"/>
        <v>#DIV/0!</v>
      </c>
    </row>
    <row r="32" spans="1:19" ht="18" customHeight="1" thickBot="1" x14ac:dyDescent="0.25">
      <c r="A32" s="6"/>
      <c r="B32" s="12"/>
      <c r="C32" s="50"/>
      <c r="D32" s="58"/>
      <c r="E32" s="52"/>
      <c r="F32" s="52"/>
      <c r="G32" s="52"/>
      <c r="H32" s="52"/>
      <c r="I32" s="52"/>
      <c r="J32" s="52"/>
      <c r="K32" s="52"/>
      <c r="L32" s="52"/>
      <c r="M32" s="52"/>
      <c r="N32" s="52"/>
      <c r="O32" s="52"/>
      <c r="P32" s="52"/>
      <c r="Q32" s="53"/>
      <c r="R32" s="58">
        <f t="shared" si="0"/>
        <v>0</v>
      </c>
      <c r="S32" s="7" t="e">
        <f t="shared" si="1"/>
        <v>#DIV/0!</v>
      </c>
    </row>
    <row r="33" spans="2:19" ht="18" customHeight="1" thickTop="1" x14ac:dyDescent="0.2">
      <c r="B33" s="13" t="s">
        <v>33</v>
      </c>
      <c r="C33" s="59">
        <f t="shared" ref="C33" si="2">SUM(C13:C32)</f>
        <v>1871</v>
      </c>
      <c r="D33" s="60">
        <f t="shared" ref="D33:R33" si="3">SUM(D13:D32)</f>
        <v>470</v>
      </c>
      <c r="E33" s="61">
        <f t="shared" si="3"/>
        <v>1900</v>
      </c>
      <c r="F33" s="61">
        <f t="shared" si="3"/>
        <v>129</v>
      </c>
      <c r="G33" s="61">
        <f t="shared" ref="G33:H33" si="4">SUM(G13:G32)</f>
        <v>86</v>
      </c>
      <c r="H33" s="61">
        <f t="shared" si="4"/>
        <v>0</v>
      </c>
      <c r="I33" s="61">
        <f t="shared" ref="I33:J33" si="5">SUM(I13:I32)</f>
        <v>0</v>
      </c>
      <c r="J33" s="61">
        <f t="shared" si="5"/>
        <v>0</v>
      </c>
      <c r="K33" s="61">
        <f t="shared" ref="K33:O33" si="6">SUM(K13:K32)</f>
        <v>0</v>
      </c>
      <c r="L33" s="61">
        <f t="shared" si="6"/>
        <v>0</v>
      </c>
      <c r="M33" s="61">
        <f t="shared" si="6"/>
        <v>0</v>
      </c>
      <c r="N33" s="61">
        <f t="shared" si="6"/>
        <v>0</v>
      </c>
      <c r="O33" s="61">
        <f t="shared" si="6"/>
        <v>0</v>
      </c>
      <c r="P33" s="61">
        <f t="shared" ref="P33:Q33" si="7">SUM(P13:P32)</f>
        <v>0</v>
      </c>
      <c r="Q33" s="59">
        <f t="shared" si="7"/>
        <v>0</v>
      </c>
      <c r="R33" s="60">
        <f t="shared" si="3"/>
        <v>129</v>
      </c>
      <c r="S33" s="9">
        <f t="shared" si="1"/>
        <v>6.7894736842105258E-2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7" sqref="B17"/>
    </sheetView>
  </sheetViews>
  <sheetFormatPr defaultColWidth="11.33203125" defaultRowHeight="18.75" customHeight="1" x14ac:dyDescent="0.2"/>
  <cols>
    <col min="1" max="1" width="2.77734375" style="3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1" t="s">
        <v>63</v>
      </c>
      <c r="I1" s="30" t="s">
        <v>97</v>
      </c>
    </row>
    <row r="2" spans="1:9" ht="18.75" customHeight="1" x14ac:dyDescent="0.2">
      <c r="G2" s="30" t="s">
        <v>99</v>
      </c>
      <c r="H2" s="102" t="str">
        <f>'様式１　プログラムを構成する授業科目'!C2</f>
        <v>静岡産業大学</v>
      </c>
      <c r="I2" s="104"/>
    </row>
    <row r="3" spans="1:9" ht="18.75" customHeight="1" x14ac:dyDescent="0.2">
      <c r="G3" s="30"/>
      <c r="H3" s="10"/>
      <c r="I3" s="10"/>
    </row>
    <row r="4" spans="1:9" ht="18.600000000000001" customHeight="1" x14ac:dyDescent="0.2">
      <c r="A4" s="193" t="s">
        <v>36</v>
      </c>
      <c r="B4" s="193"/>
      <c r="C4" s="193"/>
      <c r="D4" s="193"/>
      <c r="E4" s="193"/>
      <c r="F4" s="193"/>
      <c r="G4" s="193"/>
      <c r="H4" s="193"/>
      <c r="I4" s="193"/>
    </row>
    <row r="5" spans="1:9" ht="13.2" customHeight="1" x14ac:dyDescent="0.2">
      <c r="B5" s="3"/>
      <c r="C5" s="3"/>
      <c r="D5" s="3"/>
      <c r="E5" s="3"/>
      <c r="F5" s="3"/>
      <c r="G5" s="3"/>
      <c r="H5" s="3"/>
      <c r="I5" s="3"/>
    </row>
    <row r="6" spans="1:9" ht="18" customHeight="1" x14ac:dyDescent="0.2">
      <c r="A6" s="1" t="s">
        <v>0</v>
      </c>
      <c r="B6" s="10" t="s">
        <v>86</v>
      </c>
      <c r="C6" s="213" t="s">
        <v>87</v>
      </c>
      <c r="D6" s="213"/>
      <c r="E6" s="96">
        <v>58</v>
      </c>
      <c r="F6" s="3" t="s">
        <v>1</v>
      </c>
      <c r="G6" s="3" t="s">
        <v>2</v>
      </c>
      <c r="H6" s="96">
        <v>72</v>
      </c>
      <c r="I6" s="10" t="s">
        <v>1</v>
      </c>
    </row>
    <row r="7" spans="1:9" ht="12" customHeight="1" x14ac:dyDescent="0.2">
      <c r="C7" s="2"/>
      <c r="D7" s="2"/>
      <c r="E7" s="2"/>
      <c r="F7" s="2"/>
      <c r="G7" s="2"/>
      <c r="H7" s="2"/>
      <c r="I7" s="32"/>
    </row>
    <row r="8" spans="1:9" ht="18" customHeight="1" x14ac:dyDescent="0.2">
      <c r="A8" s="1" t="s">
        <v>3</v>
      </c>
      <c r="B8" s="10" t="s">
        <v>88</v>
      </c>
      <c r="E8" s="3"/>
      <c r="F8" s="3"/>
      <c r="G8" s="3"/>
      <c r="H8" s="96">
        <v>11</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30" t="s">
        <v>42</v>
      </c>
      <c r="C11" s="208" t="s">
        <v>158</v>
      </c>
      <c r="D11" s="211"/>
      <c r="E11" s="212"/>
      <c r="F11" s="32"/>
      <c r="G11" s="30" t="s">
        <v>10</v>
      </c>
      <c r="H11" s="208" t="s">
        <v>159</v>
      </c>
      <c r="I11" s="212"/>
    </row>
    <row r="12" spans="1:9" ht="10.199999999999999" customHeight="1" x14ac:dyDescent="0.2">
      <c r="B12" s="30"/>
      <c r="C12" s="10"/>
      <c r="D12" s="32"/>
      <c r="E12" s="32"/>
      <c r="F12" s="32"/>
      <c r="G12" s="30"/>
      <c r="H12" s="10"/>
      <c r="I12" s="32"/>
    </row>
    <row r="13" spans="1:9" ht="18" customHeight="1" x14ac:dyDescent="0.2">
      <c r="A13" s="1" t="s">
        <v>7</v>
      </c>
      <c r="B13" s="10" t="s">
        <v>84</v>
      </c>
      <c r="C13" s="3"/>
      <c r="D13" s="3"/>
      <c r="E13" s="3"/>
      <c r="F13" s="3"/>
      <c r="G13" s="3"/>
      <c r="H13" s="3"/>
      <c r="I13" s="3"/>
    </row>
    <row r="14" spans="1:9" ht="18" customHeight="1" x14ac:dyDescent="0.2">
      <c r="B14" s="208" t="s">
        <v>160</v>
      </c>
      <c r="C14" s="209"/>
      <c r="D14" s="209"/>
      <c r="E14" s="209"/>
      <c r="F14" s="209"/>
      <c r="G14" s="209"/>
      <c r="H14" s="209"/>
      <c r="I14" s="210"/>
    </row>
    <row r="15" spans="1:9" ht="9" customHeight="1" x14ac:dyDescent="0.2">
      <c r="B15" s="3"/>
      <c r="C15" s="3"/>
      <c r="D15" s="3"/>
      <c r="E15" s="3"/>
      <c r="F15" s="3"/>
      <c r="G15" s="3"/>
      <c r="H15" s="3"/>
      <c r="I15" s="3"/>
    </row>
    <row r="16" spans="1:9" ht="18" customHeight="1" x14ac:dyDescent="0.2">
      <c r="B16" s="30" t="s">
        <v>42</v>
      </c>
      <c r="C16" s="208" t="s">
        <v>161</v>
      </c>
      <c r="D16" s="211"/>
      <c r="E16" s="212"/>
      <c r="F16" s="32"/>
      <c r="G16" s="30" t="s">
        <v>10</v>
      </c>
      <c r="H16" s="208" t="s">
        <v>162</v>
      </c>
      <c r="I16" s="212"/>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194" t="s">
        <v>181</v>
      </c>
      <c r="C19" s="195"/>
      <c r="D19" s="195"/>
      <c r="E19" s="195"/>
      <c r="F19" s="195"/>
      <c r="G19" s="195"/>
      <c r="H19" s="195"/>
      <c r="I19" s="196"/>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97" t="s">
        <v>163</v>
      </c>
      <c r="C22" s="198"/>
      <c r="D22" s="198"/>
      <c r="E22" s="198"/>
      <c r="F22" s="198"/>
      <c r="G22" s="198"/>
      <c r="H22" s="198"/>
      <c r="I22" s="199"/>
    </row>
    <row r="23" spans="1:9" ht="18.75" customHeight="1" x14ac:dyDescent="0.2">
      <c r="A23" s="14"/>
      <c r="B23" s="200"/>
      <c r="C23" s="201"/>
      <c r="D23" s="201"/>
      <c r="E23" s="201"/>
      <c r="F23" s="201"/>
      <c r="G23" s="201"/>
      <c r="H23" s="201"/>
      <c r="I23" s="202"/>
    </row>
    <row r="24" spans="1:9" ht="18.75" customHeight="1" x14ac:dyDescent="0.2">
      <c r="A24" s="14"/>
      <c r="B24" s="200"/>
      <c r="C24" s="201"/>
      <c r="D24" s="201"/>
      <c r="E24" s="201"/>
      <c r="F24" s="201"/>
      <c r="G24" s="201"/>
      <c r="H24" s="201"/>
      <c r="I24" s="202"/>
    </row>
    <row r="25" spans="1:9" ht="18.75" customHeight="1" x14ac:dyDescent="0.2">
      <c r="A25" s="14"/>
      <c r="B25" s="200"/>
      <c r="C25" s="201"/>
      <c r="D25" s="201"/>
      <c r="E25" s="201"/>
      <c r="F25" s="201"/>
      <c r="G25" s="201"/>
      <c r="H25" s="201"/>
      <c r="I25" s="202"/>
    </row>
    <row r="26" spans="1:9" ht="18.75" customHeight="1" x14ac:dyDescent="0.2">
      <c r="A26" s="14"/>
      <c r="B26" s="200"/>
      <c r="C26" s="201"/>
      <c r="D26" s="201"/>
      <c r="E26" s="201"/>
      <c r="F26" s="201"/>
      <c r="G26" s="201"/>
      <c r="H26" s="201"/>
      <c r="I26" s="202"/>
    </row>
    <row r="27" spans="1:9" ht="18.75" customHeight="1" x14ac:dyDescent="0.2">
      <c r="A27" s="14"/>
      <c r="B27" s="200"/>
      <c r="C27" s="201"/>
      <c r="D27" s="201"/>
      <c r="E27" s="201"/>
      <c r="F27" s="201"/>
      <c r="G27" s="201"/>
      <c r="H27" s="201"/>
      <c r="I27" s="202"/>
    </row>
    <row r="28" spans="1:9" ht="18.75" customHeight="1" x14ac:dyDescent="0.2">
      <c r="A28" s="14"/>
      <c r="B28" s="200"/>
      <c r="C28" s="201"/>
      <c r="D28" s="201"/>
      <c r="E28" s="201"/>
      <c r="F28" s="201"/>
      <c r="G28" s="201"/>
      <c r="H28" s="201"/>
      <c r="I28" s="202"/>
    </row>
    <row r="29" spans="1:9" ht="18.75" customHeight="1" x14ac:dyDescent="0.2">
      <c r="A29" s="14"/>
      <c r="B29" s="200"/>
      <c r="C29" s="201"/>
      <c r="D29" s="201"/>
      <c r="E29" s="201"/>
      <c r="F29" s="201"/>
      <c r="G29" s="201"/>
      <c r="H29" s="201"/>
      <c r="I29" s="202"/>
    </row>
    <row r="30" spans="1:9" ht="18.75" customHeight="1" x14ac:dyDescent="0.2">
      <c r="A30" s="14"/>
      <c r="B30" s="203"/>
      <c r="C30" s="204"/>
      <c r="D30" s="204"/>
      <c r="E30" s="204"/>
      <c r="F30" s="204"/>
      <c r="G30" s="204"/>
      <c r="H30" s="204"/>
      <c r="I30" s="202"/>
    </row>
    <row r="31" spans="1:9" ht="18.75" customHeight="1" x14ac:dyDescent="0.2">
      <c r="A31" s="14"/>
      <c r="B31" s="203"/>
      <c r="C31" s="204"/>
      <c r="D31" s="204"/>
      <c r="E31" s="204"/>
      <c r="F31" s="204"/>
      <c r="G31" s="204"/>
      <c r="H31" s="204"/>
      <c r="I31" s="202"/>
    </row>
    <row r="32" spans="1:9" ht="18.75" customHeight="1" x14ac:dyDescent="0.2">
      <c r="A32" s="14"/>
      <c r="B32" s="205"/>
      <c r="C32" s="206"/>
      <c r="D32" s="206"/>
      <c r="E32" s="206"/>
      <c r="F32" s="206"/>
      <c r="G32" s="206"/>
      <c r="H32" s="206"/>
      <c r="I32" s="207"/>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97" t="s">
        <v>174</v>
      </c>
      <c r="C35" s="198"/>
      <c r="D35" s="198"/>
      <c r="E35" s="198"/>
      <c r="F35" s="198"/>
      <c r="G35" s="198"/>
      <c r="H35" s="198"/>
      <c r="I35" s="199"/>
    </row>
    <row r="36" spans="1:9" ht="18.75" customHeight="1" x14ac:dyDescent="0.2">
      <c r="A36" s="14"/>
      <c r="B36" s="203"/>
      <c r="C36" s="204"/>
      <c r="D36" s="204"/>
      <c r="E36" s="204"/>
      <c r="F36" s="204"/>
      <c r="G36" s="204"/>
      <c r="H36" s="204"/>
      <c r="I36" s="202"/>
    </row>
    <row r="37" spans="1:9" ht="18.75" customHeight="1" x14ac:dyDescent="0.2">
      <c r="A37" s="14"/>
      <c r="B37" s="203"/>
      <c r="C37" s="204"/>
      <c r="D37" s="204"/>
      <c r="E37" s="204"/>
      <c r="F37" s="204"/>
      <c r="G37" s="204"/>
      <c r="H37" s="204"/>
      <c r="I37" s="202"/>
    </row>
    <row r="38" spans="1:9" ht="18.75" customHeight="1" x14ac:dyDescent="0.2">
      <c r="A38" s="14"/>
      <c r="B38" s="203"/>
      <c r="C38" s="204"/>
      <c r="D38" s="204"/>
      <c r="E38" s="204"/>
      <c r="F38" s="204"/>
      <c r="G38" s="204"/>
      <c r="H38" s="204"/>
      <c r="I38" s="202"/>
    </row>
    <row r="39" spans="1:9" ht="18.75" customHeight="1" x14ac:dyDescent="0.2">
      <c r="A39" s="14"/>
      <c r="B39" s="203"/>
      <c r="C39" s="204"/>
      <c r="D39" s="204"/>
      <c r="E39" s="204"/>
      <c r="F39" s="204"/>
      <c r="G39" s="204"/>
      <c r="H39" s="204"/>
      <c r="I39" s="202"/>
    </row>
    <row r="40" spans="1:9" ht="18.75" customHeight="1" x14ac:dyDescent="0.2">
      <c r="A40" s="14"/>
      <c r="B40" s="203"/>
      <c r="C40" s="204"/>
      <c r="D40" s="204"/>
      <c r="E40" s="204"/>
      <c r="F40" s="204"/>
      <c r="G40" s="204"/>
      <c r="H40" s="204"/>
      <c r="I40" s="202"/>
    </row>
    <row r="41" spans="1:9" ht="18.75" customHeight="1" x14ac:dyDescent="0.2">
      <c r="A41" s="14"/>
      <c r="B41" s="203"/>
      <c r="C41" s="204"/>
      <c r="D41" s="204"/>
      <c r="E41" s="204"/>
      <c r="F41" s="204"/>
      <c r="G41" s="204"/>
      <c r="H41" s="204"/>
      <c r="I41" s="202"/>
    </row>
    <row r="42" spans="1:9" ht="18.75" customHeight="1" x14ac:dyDescent="0.2">
      <c r="A42" s="14"/>
      <c r="B42" s="203"/>
      <c r="C42" s="204"/>
      <c r="D42" s="204"/>
      <c r="E42" s="204"/>
      <c r="F42" s="204"/>
      <c r="G42" s="204"/>
      <c r="H42" s="204"/>
      <c r="I42" s="202"/>
    </row>
    <row r="43" spans="1:9" ht="18.75" customHeight="1" x14ac:dyDescent="0.2">
      <c r="A43" s="14"/>
      <c r="B43" s="203"/>
      <c r="C43" s="204"/>
      <c r="D43" s="204"/>
      <c r="E43" s="204"/>
      <c r="F43" s="204"/>
      <c r="G43" s="204"/>
      <c r="H43" s="204"/>
      <c r="I43" s="202"/>
    </row>
    <row r="44" spans="1:9" ht="18.75" customHeight="1" x14ac:dyDescent="0.2">
      <c r="A44" s="14"/>
      <c r="B44" s="203"/>
      <c r="C44" s="204"/>
      <c r="D44" s="204"/>
      <c r="E44" s="204"/>
      <c r="F44" s="204"/>
      <c r="G44" s="204"/>
      <c r="H44" s="204"/>
      <c r="I44" s="202"/>
    </row>
    <row r="45" spans="1:9" ht="18.75" customHeight="1" x14ac:dyDescent="0.2">
      <c r="A45" s="14"/>
      <c r="B45" s="203"/>
      <c r="C45" s="204"/>
      <c r="D45" s="204"/>
      <c r="E45" s="204"/>
      <c r="F45" s="204"/>
      <c r="G45" s="204"/>
      <c r="H45" s="204"/>
      <c r="I45" s="202"/>
    </row>
    <row r="46" spans="1:9" ht="18.75" customHeight="1" x14ac:dyDescent="0.2">
      <c r="A46" s="14"/>
      <c r="B46" s="205"/>
      <c r="C46" s="206"/>
      <c r="D46" s="206"/>
      <c r="E46" s="206"/>
      <c r="F46" s="206"/>
      <c r="G46" s="206"/>
      <c r="H46" s="206"/>
      <c r="I46" s="207"/>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3" t="s">
        <v>128</v>
      </c>
      <c r="C49" s="235">
        <f>'様式２ 履修者等数の実績'!S33</f>
        <v>6.7894736842105258E-2</v>
      </c>
      <c r="D49" s="235"/>
      <c r="E49" s="33" t="s">
        <v>64</v>
      </c>
      <c r="F49" s="235">
        <v>0.15</v>
      </c>
      <c r="G49" s="235"/>
      <c r="H49" s="33" t="s">
        <v>65</v>
      </c>
      <c r="I49" s="97">
        <v>0.3</v>
      </c>
      <c r="J49" s="1"/>
      <c r="M49" s="1"/>
      <c r="N49" s="34"/>
    </row>
    <row r="50" spans="1:15" s="3" customFormat="1" ht="18.75" customHeight="1" x14ac:dyDescent="0.2">
      <c r="B50" s="35" t="s">
        <v>85</v>
      </c>
      <c r="C50" s="218">
        <v>0.4</v>
      </c>
      <c r="D50" s="218"/>
      <c r="E50" s="35" t="s">
        <v>129</v>
      </c>
      <c r="F50" s="218">
        <v>0.5</v>
      </c>
      <c r="G50" s="218"/>
      <c r="H50" s="35" t="s">
        <v>66</v>
      </c>
      <c r="I50" s="36">
        <f>'様式２ 履修者等数の実績'!E33</f>
        <v>1900</v>
      </c>
      <c r="J50" s="1"/>
      <c r="M50" s="1"/>
      <c r="N50" s="34"/>
    </row>
    <row r="51" spans="1:15" ht="18.75" customHeight="1" x14ac:dyDescent="0.2">
      <c r="A51" s="1"/>
      <c r="B51" s="215" t="s">
        <v>67</v>
      </c>
      <c r="C51" s="216"/>
      <c r="D51" s="216"/>
      <c r="E51" s="216"/>
      <c r="F51" s="216"/>
      <c r="G51" s="216"/>
      <c r="H51" s="216"/>
      <c r="I51" s="217"/>
      <c r="N51" s="34"/>
      <c r="O51" s="3"/>
    </row>
    <row r="52" spans="1:15" ht="18.75" customHeight="1" x14ac:dyDescent="0.2">
      <c r="A52" s="1"/>
      <c r="B52" s="236" t="s">
        <v>164</v>
      </c>
      <c r="C52" s="237"/>
      <c r="D52" s="237"/>
      <c r="E52" s="237"/>
      <c r="F52" s="237"/>
      <c r="G52" s="237"/>
      <c r="H52" s="237"/>
      <c r="I52" s="238"/>
      <c r="N52" s="34"/>
      <c r="O52" s="3"/>
    </row>
    <row r="53" spans="1:15" ht="18.75" customHeight="1" x14ac:dyDescent="0.2">
      <c r="A53" s="1"/>
      <c r="B53" s="239"/>
      <c r="C53" s="240"/>
      <c r="D53" s="240"/>
      <c r="E53" s="240"/>
      <c r="F53" s="240"/>
      <c r="G53" s="240"/>
      <c r="H53" s="240"/>
      <c r="I53" s="241"/>
      <c r="N53" s="34"/>
      <c r="O53" s="3"/>
    </row>
    <row r="54" spans="1:15" ht="18.75" customHeight="1" x14ac:dyDescent="0.2">
      <c r="A54" s="1"/>
      <c r="B54" s="239"/>
      <c r="C54" s="240"/>
      <c r="D54" s="240"/>
      <c r="E54" s="240"/>
      <c r="F54" s="240"/>
      <c r="G54" s="240"/>
      <c r="H54" s="240"/>
      <c r="I54" s="241"/>
    </row>
    <row r="55" spans="1:15" ht="18.75" customHeight="1" x14ac:dyDescent="0.2">
      <c r="A55" s="1"/>
      <c r="B55" s="239"/>
      <c r="C55" s="240"/>
      <c r="D55" s="240"/>
      <c r="E55" s="240"/>
      <c r="F55" s="240"/>
      <c r="G55" s="240"/>
      <c r="H55" s="240"/>
      <c r="I55" s="241"/>
    </row>
    <row r="56" spans="1:15" ht="18.75" customHeight="1" x14ac:dyDescent="0.2">
      <c r="A56" s="1"/>
      <c r="B56" s="239"/>
      <c r="C56" s="240"/>
      <c r="D56" s="240"/>
      <c r="E56" s="240"/>
      <c r="F56" s="240"/>
      <c r="G56" s="240"/>
      <c r="H56" s="240"/>
      <c r="I56" s="241"/>
    </row>
    <row r="57" spans="1:15" ht="18.75" customHeight="1" x14ac:dyDescent="0.2">
      <c r="A57" s="1"/>
      <c r="B57" s="239"/>
      <c r="C57" s="240"/>
      <c r="D57" s="240"/>
      <c r="E57" s="240"/>
      <c r="F57" s="240"/>
      <c r="G57" s="240"/>
      <c r="H57" s="240"/>
      <c r="I57" s="241"/>
    </row>
    <row r="58" spans="1:15" ht="18.75" customHeight="1" x14ac:dyDescent="0.2">
      <c r="A58" s="1"/>
      <c r="B58" s="239"/>
      <c r="C58" s="240"/>
      <c r="D58" s="240"/>
      <c r="E58" s="240"/>
      <c r="F58" s="240"/>
      <c r="G58" s="240"/>
      <c r="H58" s="240"/>
      <c r="I58" s="241"/>
    </row>
    <row r="59" spans="1:15" ht="18.75" customHeight="1" x14ac:dyDescent="0.2">
      <c r="A59" s="1"/>
      <c r="B59" s="239"/>
      <c r="C59" s="240"/>
      <c r="D59" s="240"/>
      <c r="E59" s="240"/>
      <c r="F59" s="240"/>
      <c r="G59" s="240"/>
      <c r="H59" s="240"/>
      <c r="I59" s="241"/>
    </row>
    <row r="60" spans="1:15" ht="18.75" customHeight="1" x14ac:dyDescent="0.2">
      <c r="A60" s="1"/>
      <c r="B60" s="239"/>
      <c r="C60" s="240"/>
      <c r="D60" s="240"/>
      <c r="E60" s="240"/>
      <c r="F60" s="240"/>
      <c r="G60" s="240"/>
      <c r="H60" s="240"/>
      <c r="I60" s="241"/>
    </row>
    <row r="61" spans="1:15" ht="18.75" customHeight="1" x14ac:dyDescent="0.2">
      <c r="A61" s="1"/>
      <c r="B61" s="239"/>
      <c r="C61" s="240"/>
      <c r="D61" s="240"/>
      <c r="E61" s="240"/>
      <c r="F61" s="240"/>
      <c r="G61" s="240"/>
      <c r="H61" s="240"/>
      <c r="I61" s="241"/>
    </row>
    <row r="62" spans="1:15" ht="18.75" customHeight="1" x14ac:dyDescent="0.2">
      <c r="A62" s="1"/>
      <c r="B62" s="239"/>
      <c r="C62" s="240"/>
      <c r="D62" s="240"/>
      <c r="E62" s="240"/>
      <c r="F62" s="240"/>
      <c r="G62" s="240"/>
      <c r="H62" s="240"/>
      <c r="I62" s="241"/>
    </row>
    <row r="63" spans="1:15" ht="18.75" customHeight="1" x14ac:dyDescent="0.2">
      <c r="A63" s="1"/>
      <c r="B63" s="242"/>
      <c r="C63" s="243"/>
      <c r="D63" s="243"/>
      <c r="E63" s="243"/>
      <c r="F63" s="243"/>
      <c r="G63" s="243"/>
      <c r="H63" s="243"/>
      <c r="I63" s="244"/>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19" t="s">
        <v>165</v>
      </c>
      <c r="C66" s="220"/>
      <c r="D66" s="220"/>
      <c r="E66" s="220"/>
      <c r="F66" s="220"/>
      <c r="G66" s="220"/>
      <c r="H66" s="220"/>
      <c r="I66" s="221"/>
    </row>
    <row r="67" spans="1:9" ht="18.75" customHeight="1" x14ac:dyDescent="0.2">
      <c r="A67" s="4"/>
      <c r="B67" s="222"/>
      <c r="C67" s="223"/>
      <c r="D67" s="223"/>
      <c r="E67" s="223"/>
      <c r="F67" s="223"/>
      <c r="G67" s="223"/>
      <c r="H67" s="223"/>
      <c r="I67" s="224"/>
    </row>
    <row r="68" spans="1:9" ht="18.75" customHeight="1" x14ac:dyDescent="0.2">
      <c r="A68" s="4"/>
      <c r="B68" s="222"/>
      <c r="C68" s="223"/>
      <c r="D68" s="223"/>
      <c r="E68" s="223"/>
      <c r="F68" s="223"/>
      <c r="G68" s="223"/>
      <c r="H68" s="223"/>
      <c r="I68" s="224"/>
    </row>
    <row r="69" spans="1:9" ht="18.75" customHeight="1" x14ac:dyDescent="0.2">
      <c r="A69" s="4"/>
      <c r="B69" s="222"/>
      <c r="C69" s="223"/>
      <c r="D69" s="223"/>
      <c r="E69" s="223"/>
      <c r="F69" s="223"/>
      <c r="G69" s="223"/>
      <c r="H69" s="223"/>
      <c r="I69" s="224"/>
    </row>
    <row r="70" spans="1:9" ht="18.75" customHeight="1" x14ac:dyDescent="0.2">
      <c r="A70" s="4"/>
      <c r="B70" s="222"/>
      <c r="C70" s="223"/>
      <c r="D70" s="223"/>
      <c r="E70" s="223"/>
      <c r="F70" s="223"/>
      <c r="G70" s="223"/>
      <c r="H70" s="223"/>
      <c r="I70" s="224"/>
    </row>
    <row r="71" spans="1:9" ht="18.75" customHeight="1" x14ac:dyDescent="0.2">
      <c r="A71" s="4"/>
      <c r="B71" s="222"/>
      <c r="C71" s="223"/>
      <c r="D71" s="223"/>
      <c r="E71" s="223"/>
      <c r="F71" s="223"/>
      <c r="G71" s="223"/>
      <c r="H71" s="223"/>
      <c r="I71" s="224"/>
    </row>
    <row r="72" spans="1:9" ht="18.75" customHeight="1" x14ac:dyDescent="0.2">
      <c r="A72" s="4"/>
      <c r="B72" s="222"/>
      <c r="C72" s="223"/>
      <c r="D72" s="223"/>
      <c r="E72" s="223"/>
      <c r="F72" s="223"/>
      <c r="G72" s="223"/>
      <c r="H72" s="223"/>
      <c r="I72" s="224"/>
    </row>
    <row r="73" spans="1:9" ht="18.75" customHeight="1" x14ac:dyDescent="0.2">
      <c r="A73" s="4"/>
      <c r="B73" s="222"/>
      <c r="C73" s="223"/>
      <c r="D73" s="223"/>
      <c r="E73" s="223"/>
      <c r="F73" s="223"/>
      <c r="G73" s="223"/>
      <c r="H73" s="223"/>
      <c r="I73" s="224"/>
    </row>
    <row r="74" spans="1:9" ht="18.75" customHeight="1" x14ac:dyDescent="0.2">
      <c r="A74" s="4"/>
      <c r="B74" s="222"/>
      <c r="C74" s="223"/>
      <c r="D74" s="223"/>
      <c r="E74" s="223"/>
      <c r="F74" s="223"/>
      <c r="G74" s="223"/>
      <c r="H74" s="223"/>
      <c r="I74" s="224"/>
    </row>
    <row r="75" spans="1:9" ht="18.75" customHeight="1" x14ac:dyDescent="0.2">
      <c r="A75" s="4"/>
      <c r="B75" s="222"/>
      <c r="C75" s="223"/>
      <c r="D75" s="223"/>
      <c r="E75" s="223"/>
      <c r="F75" s="223"/>
      <c r="G75" s="223"/>
      <c r="H75" s="223"/>
      <c r="I75" s="224"/>
    </row>
    <row r="76" spans="1:9" ht="18.75" customHeight="1" x14ac:dyDescent="0.2">
      <c r="A76" s="4"/>
      <c r="B76" s="222"/>
      <c r="C76" s="223"/>
      <c r="D76" s="223"/>
      <c r="E76" s="223"/>
      <c r="F76" s="223"/>
      <c r="G76" s="223"/>
      <c r="H76" s="223"/>
      <c r="I76" s="224"/>
    </row>
    <row r="77" spans="1:9" ht="18.75" customHeight="1" x14ac:dyDescent="0.2">
      <c r="A77" s="4"/>
      <c r="B77" s="225"/>
      <c r="C77" s="226"/>
      <c r="D77" s="226"/>
      <c r="E77" s="226"/>
      <c r="F77" s="226"/>
      <c r="G77" s="226"/>
      <c r="H77" s="226"/>
      <c r="I77" s="227"/>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19" t="s">
        <v>166</v>
      </c>
      <c r="C80" s="220"/>
      <c r="D80" s="220"/>
      <c r="E80" s="220"/>
      <c r="F80" s="220"/>
      <c r="G80" s="220"/>
      <c r="H80" s="220"/>
      <c r="I80" s="228"/>
    </row>
    <row r="81" spans="1:9" ht="18.75" customHeight="1" x14ac:dyDescent="0.2">
      <c r="A81" s="1"/>
      <c r="B81" s="229"/>
      <c r="C81" s="230"/>
      <c r="D81" s="230"/>
      <c r="E81" s="230"/>
      <c r="F81" s="230"/>
      <c r="G81" s="230"/>
      <c r="H81" s="230"/>
      <c r="I81" s="231"/>
    </row>
    <row r="82" spans="1:9" ht="18.75" customHeight="1" x14ac:dyDescent="0.2">
      <c r="A82" s="1"/>
      <c r="B82" s="229"/>
      <c r="C82" s="230"/>
      <c r="D82" s="230"/>
      <c r="E82" s="230"/>
      <c r="F82" s="230"/>
      <c r="G82" s="230"/>
      <c r="H82" s="230"/>
      <c r="I82" s="231"/>
    </row>
    <row r="83" spans="1:9" ht="18.75" customHeight="1" x14ac:dyDescent="0.2">
      <c r="A83" s="1"/>
      <c r="B83" s="229"/>
      <c r="C83" s="230"/>
      <c r="D83" s="230"/>
      <c r="E83" s="230"/>
      <c r="F83" s="230"/>
      <c r="G83" s="230"/>
      <c r="H83" s="230"/>
      <c r="I83" s="231"/>
    </row>
    <row r="84" spans="1:9" ht="18.75" customHeight="1" x14ac:dyDescent="0.2">
      <c r="A84" s="1"/>
      <c r="B84" s="229"/>
      <c r="C84" s="230"/>
      <c r="D84" s="230"/>
      <c r="E84" s="230"/>
      <c r="F84" s="230"/>
      <c r="G84" s="230"/>
      <c r="H84" s="230"/>
      <c r="I84" s="231"/>
    </row>
    <row r="85" spans="1:9" ht="18.75" customHeight="1" x14ac:dyDescent="0.2">
      <c r="A85" s="1"/>
      <c r="B85" s="229"/>
      <c r="C85" s="230"/>
      <c r="D85" s="230"/>
      <c r="E85" s="230"/>
      <c r="F85" s="230"/>
      <c r="G85" s="230"/>
      <c r="H85" s="230"/>
      <c r="I85" s="231"/>
    </row>
    <row r="86" spans="1:9" ht="18.75" customHeight="1" x14ac:dyDescent="0.2">
      <c r="A86" s="1"/>
      <c r="B86" s="229"/>
      <c r="C86" s="230"/>
      <c r="D86" s="230"/>
      <c r="E86" s="230"/>
      <c r="F86" s="230"/>
      <c r="G86" s="230"/>
      <c r="H86" s="230"/>
      <c r="I86" s="231"/>
    </row>
    <row r="87" spans="1:9" ht="18.75" customHeight="1" x14ac:dyDescent="0.2">
      <c r="A87" s="1"/>
      <c r="B87" s="229"/>
      <c r="C87" s="230"/>
      <c r="D87" s="230"/>
      <c r="E87" s="230"/>
      <c r="F87" s="230"/>
      <c r="G87" s="230"/>
      <c r="H87" s="230"/>
      <c r="I87" s="231"/>
    </row>
    <row r="88" spans="1:9" ht="18.75" customHeight="1" x14ac:dyDescent="0.2">
      <c r="A88" s="1"/>
      <c r="B88" s="229"/>
      <c r="C88" s="230"/>
      <c r="D88" s="230"/>
      <c r="E88" s="230"/>
      <c r="F88" s="230"/>
      <c r="G88" s="230"/>
      <c r="H88" s="230"/>
      <c r="I88" s="231"/>
    </row>
    <row r="89" spans="1:9" ht="18.75" customHeight="1" x14ac:dyDescent="0.2">
      <c r="A89" s="1"/>
      <c r="B89" s="229"/>
      <c r="C89" s="230"/>
      <c r="D89" s="230"/>
      <c r="E89" s="230"/>
      <c r="F89" s="230"/>
      <c r="G89" s="230"/>
      <c r="H89" s="230"/>
      <c r="I89" s="231"/>
    </row>
    <row r="90" spans="1:9" ht="18.75" customHeight="1" x14ac:dyDescent="0.2">
      <c r="A90" s="4"/>
      <c r="B90" s="229"/>
      <c r="C90" s="230"/>
      <c r="D90" s="230"/>
      <c r="E90" s="230"/>
      <c r="F90" s="230"/>
      <c r="G90" s="230"/>
      <c r="H90" s="230"/>
      <c r="I90" s="231"/>
    </row>
    <row r="91" spans="1:9" ht="18.75" customHeight="1" x14ac:dyDescent="0.2">
      <c r="A91" s="4"/>
      <c r="B91" s="232"/>
      <c r="C91" s="233"/>
      <c r="D91" s="233"/>
      <c r="E91" s="233"/>
      <c r="F91" s="233"/>
      <c r="G91" s="233"/>
      <c r="H91" s="233"/>
      <c r="I91" s="234"/>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197" t="s">
        <v>167</v>
      </c>
      <c r="C94" s="198"/>
      <c r="D94" s="198"/>
      <c r="E94" s="198"/>
      <c r="F94" s="198"/>
      <c r="G94" s="198"/>
      <c r="H94" s="198"/>
      <c r="I94" s="199"/>
    </row>
    <row r="95" spans="1:9" ht="18.75" customHeight="1" x14ac:dyDescent="0.2">
      <c r="A95" s="1"/>
      <c r="B95" s="203"/>
      <c r="C95" s="204"/>
      <c r="D95" s="204"/>
      <c r="E95" s="204"/>
      <c r="F95" s="204"/>
      <c r="G95" s="204"/>
      <c r="H95" s="204"/>
      <c r="I95" s="202"/>
    </row>
    <row r="96" spans="1:9" ht="18.75" customHeight="1" x14ac:dyDescent="0.2">
      <c r="A96" s="1"/>
      <c r="B96" s="203"/>
      <c r="C96" s="204"/>
      <c r="D96" s="204"/>
      <c r="E96" s="204"/>
      <c r="F96" s="204"/>
      <c r="G96" s="204"/>
      <c r="H96" s="204"/>
      <c r="I96" s="202"/>
    </row>
    <row r="97" spans="1:9" ht="18.75" customHeight="1" x14ac:dyDescent="0.2">
      <c r="A97" s="1"/>
      <c r="B97" s="203"/>
      <c r="C97" s="204"/>
      <c r="D97" s="204"/>
      <c r="E97" s="204"/>
      <c r="F97" s="204"/>
      <c r="G97" s="204"/>
      <c r="H97" s="204"/>
      <c r="I97" s="202"/>
    </row>
    <row r="98" spans="1:9" ht="18.75" customHeight="1" x14ac:dyDescent="0.2">
      <c r="A98" s="1"/>
      <c r="B98" s="203"/>
      <c r="C98" s="204"/>
      <c r="D98" s="204"/>
      <c r="E98" s="204"/>
      <c r="F98" s="204"/>
      <c r="G98" s="204"/>
      <c r="H98" s="204"/>
      <c r="I98" s="202"/>
    </row>
    <row r="99" spans="1:9" ht="18.75" customHeight="1" x14ac:dyDescent="0.2">
      <c r="A99" s="1"/>
      <c r="B99" s="203"/>
      <c r="C99" s="204"/>
      <c r="D99" s="204"/>
      <c r="E99" s="204"/>
      <c r="F99" s="204"/>
      <c r="G99" s="204"/>
      <c r="H99" s="204"/>
      <c r="I99" s="202"/>
    </row>
    <row r="100" spans="1:9" ht="18.75" customHeight="1" x14ac:dyDescent="0.2">
      <c r="A100" s="1"/>
      <c r="B100" s="203"/>
      <c r="C100" s="204"/>
      <c r="D100" s="204"/>
      <c r="E100" s="204"/>
      <c r="F100" s="204"/>
      <c r="G100" s="204"/>
      <c r="H100" s="204"/>
      <c r="I100" s="202"/>
    </row>
    <row r="101" spans="1:9" ht="18.75" customHeight="1" x14ac:dyDescent="0.2">
      <c r="A101" s="1"/>
      <c r="B101" s="203"/>
      <c r="C101" s="204"/>
      <c r="D101" s="204"/>
      <c r="E101" s="204"/>
      <c r="F101" s="204"/>
      <c r="G101" s="204"/>
      <c r="H101" s="204"/>
      <c r="I101" s="202"/>
    </row>
    <row r="102" spans="1:9" ht="18.75" customHeight="1" x14ac:dyDescent="0.2">
      <c r="A102" s="1"/>
      <c r="B102" s="203"/>
      <c r="C102" s="204"/>
      <c r="D102" s="204"/>
      <c r="E102" s="204"/>
      <c r="F102" s="204"/>
      <c r="G102" s="204"/>
      <c r="H102" s="204"/>
      <c r="I102" s="202"/>
    </row>
    <row r="103" spans="1:9" ht="18.75" customHeight="1" x14ac:dyDescent="0.2">
      <c r="A103" s="1"/>
      <c r="B103" s="203"/>
      <c r="C103" s="204"/>
      <c r="D103" s="204"/>
      <c r="E103" s="204"/>
      <c r="F103" s="204"/>
      <c r="G103" s="204"/>
      <c r="H103" s="204"/>
      <c r="I103" s="202"/>
    </row>
    <row r="104" spans="1:9" ht="18.75" customHeight="1" x14ac:dyDescent="0.2">
      <c r="A104" s="1"/>
      <c r="B104" s="203"/>
      <c r="C104" s="204"/>
      <c r="D104" s="204"/>
      <c r="E104" s="204"/>
      <c r="F104" s="204"/>
      <c r="G104" s="204"/>
      <c r="H104" s="204"/>
      <c r="I104" s="202"/>
    </row>
    <row r="105" spans="1:9" ht="18.75" customHeight="1" x14ac:dyDescent="0.2">
      <c r="A105" s="4"/>
      <c r="B105" s="205"/>
      <c r="C105" s="206"/>
      <c r="D105" s="206"/>
      <c r="E105" s="206"/>
      <c r="F105" s="206"/>
      <c r="G105" s="206"/>
      <c r="H105" s="206"/>
      <c r="I105" s="207"/>
    </row>
    <row r="106" spans="1:9" ht="7.5" customHeight="1" x14ac:dyDescent="0.2">
      <c r="A106" s="4"/>
      <c r="B106" s="4"/>
      <c r="C106" s="4"/>
      <c r="D106" s="4"/>
      <c r="E106" s="4"/>
      <c r="F106" s="4"/>
      <c r="G106" s="4"/>
      <c r="H106" s="4"/>
      <c r="I106" s="4"/>
    </row>
    <row r="107" spans="1:9" ht="18.75" customHeight="1" x14ac:dyDescent="0.2">
      <c r="A107" s="1" t="s">
        <v>30</v>
      </c>
      <c r="B107" s="214" t="s">
        <v>45</v>
      </c>
      <c r="C107" s="214"/>
      <c r="D107" s="214"/>
      <c r="E107" s="214"/>
      <c r="F107" s="214"/>
      <c r="G107" s="214"/>
      <c r="H107" s="214"/>
      <c r="I107" s="214"/>
    </row>
    <row r="108" spans="1:9" ht="18.75" customHeight="1" x14ac:dyDescent="0.2">
      <c r="A108" s="4"/>
      <c r="B108" s="197" t="s">
        <v>168</v>
      </c>
      <c r="C108" s="198"/>
      <c r="D108" s="198"/>
      <c r="E108" s="198"/>
      <c r="F108" s="198"/>
      <c r="G108" s="198"/>
      <c r="H108" s="198"/>
      <c r="I108" s="199"/>
    </row>
    <row r="109" spans="1:9" ht="18.75" customHeight="1" x14ac:dyDescent="0.2">
      <c r="A109" s="4"/>
      <c r="B109" s="203"/>
      <c r="C109" s="204"/>
      <c r="D109" s="204"/>
      <c r="E109" s="204"/>
      <c r="F109" s="204"/>
      <c r="G109" s="204"/>
      <c r="H109" s="204"/>
      <c r="I109" s="202"/>
    </row>
    <row r="110" spans="1:9" ht="18.75" customHeight="1" x14ac:dyDescent="0.2">
      <c r="A110" s="4"/>
      <c r="B110" s="203"/>
      <c r="C110" s="204"/>
      <c r="D110" s="204"/>
      <c r="E110" s="204"/>
      <c r="F110" s="204"/>
      <c r="G110" s="204"/>
      <c r="H110" s="204"/>
      <c r="I110" s="202"/>
    </row>
    <row r="111" spans="1:9" ht="18.75" customHeight="1" x14ac:dyDescent="0.2">
      <c r="A111" s="4"/>
      <c r="B111" s="203"/>
      <c r="C111" s="204"/>
      <c r="D111" s="204"/>
      <c r="E111" s="204"/>
      <c r="F111" s="204"/>
      <c r="G111" s="204"/>
      <c r="H111" s="204"/>
      <c r="I111" s="202"/>
    </row>
    <row r="112" spans="1:9" ht="18.75" customHeight="1" x14ac:dyDescent="0.2">
      <c r="A112" s="4"/>
      <c r="B112" s="203"/>
      <c r="C112" s="204"/>
      <c r="D112" s="204"/>
      <c r="E112" s="204"/>
      <c r="F112" s="204"/>
      <c r="G112" s="204"/>
      <c r="H112" s="204"/>
      <c r="I112" s="202"/>
    </row>
    <row r="113" spans="1:9" ht="18.75" customHeight="1" x14ac:dyDescent="0.2">
      <c r="A113" s="4"/>
      <c r="B113" s="203"/>
      <c r="C113" s="204"/>
      <c r="D113" s="204"/>
      <c r="E113" s="204"/>
      <c r="F113" s="204"/>
      <c r="G113" s="204"/>
      <c r="H113" s="204"/>
      <c r="I113" s="202"/>
    </row>
    <row r="114" spans="1:9" ht="18.75" customHeight="1" x14ac:dyDescent="0.2">
      <c r="A114" s="4"/>
      <c r="B114" s="203"/>
      <c r="C114" s="204"/>
      <c r="D114" s="204"/>
      <c r="E114" s="204"/>
      <c r="F114" s="204"/>
      <c r="G114" s="204"/>
      <c r="H114" s="204"/>
      <c r="I114" s="202"/>
    </row>
    <row r="115" spans="1:9" ht="18.75" customHeight="1" x14ac:dyDescent="0.2">
      <c r="A115" s="4"/>
      <c r="B115" s="203"/>
      <c r="C115" s="204"/>
      <c r="D115" s="204"/>
      <c r="E115" s="204"/>
      <c r="F115" s="204"/>
      <c r="G115" s="204"/>
      <c r="H115" s="204"/>
      <c r="I115" s="202"/>
    </row>
    <row r="116" spans="1:9" ht="18.75" customHeight="1" x14ac:dyDescent="0.2">
      <c r="A116" s="4"/>
      <c r="B116" s="203"/>
      <c r="C116" s="204"/>
      <c r="D116" s="204"/>
      <c r="E116" s="204"/>
      <c r="F116" s="204"/>
      <c r="G116" s="204"/>
      <c r="H116" s="204"/>
      <c r="I116" s="202"/>
    </row>
    <row r="117" spans="1:9" ht="18.75" customHeight="1" x14ac:dyDescent="0.2">
      <c r="A117" s="4"/>
      <c r="B117" s="203"/>
      <c r="C117" s="204"/>
      <c r="D117" s="204"/>
      <c r="E117" s="204"/>
      <c r="F117" s="204"/>
      <c r="G117" s="204"/>
      <c r="H117" s="204"/>
      <c r="I117" s="202"/>
    </row>
    <row r="118" spans="1:9" ht="18.75" customHeight="1" x14ac:dyDescent="0.2">
      <c r="A118" s="4"/>
      <c r="B118" s="203"/>
      <c r="C118" s="204"/>
      <c r="D118" s="204"/>
      <c r="E118" s="204"/>
      <c r="F118" s="204"/>
      <c r="G118" s="204"/>
      <c r="H118" s="204"/>
      <c r="I118" s="202"/>
    </row>
    <row r="119" spans="1:9" ht="18.75" customHeight="1" x14ac:dyDescent="0.2">
      <c r="A119" s="4"/>
      <c r="B119" s="205"/>
      <c r="C119" s="206"/>
      <c r="D119" s="206"/>
      <c r="E119" s="206"/>
      <c r="F119" s="206"/>
      <c r="G119" s="206"/>
      <c r="H119" s="206"/>
      <c r="I119" s="207"/>
    </row>
    <row r="120" spans="1:9" ht="7.5" customHeight="1" x14ac:dyDescent="0.2">
      <c r="A120" s="4"/>
      <c r="B120" s="37"/>
      <c r="C120" s="37"/>
      <c r="D120" s="37"/>
      <c r="E120" s="37"/>
      <c r="F120" s="37"/>
      <c r="G120" s="37"/>
      <c r="H120" s="37"/>
      <c r="I120" s="37"/>
    </row>
    <row r="121" spans="1:9" ht="18.75" customHeight="1" x14ac:dyDescent="0.2">
      <c r="A121" s="67"/>
      <c r="B121" s="192"/>
      <c r="C121" s="192"/>
      <c r="D121" s="192"/>
      <c r="E121" s="192"/>
      <c r="F121" s="192"/>
      <c r="G121" s="192"/>
      <c r="H121" s="192"/>
      <c r="I121" s="192"/>
    </row>
    <row r="122" spans="1:9" ht="18.75" customHeight="1" x14ac:dyDescent="0.2">
      <c r="A122" s="67"/>
      <c r="B122" s="192"/>
      <c r="C122" s="192"/>
      <c r="D122" s="192"/>
      <c r="E122" s="192"/>
      <c r="F122" s="192"/>
      <c r="G122" s="192"/>
      <c r="H122" s="192"/>
      <c r="I122" s="192"/>
    </row>
    <row r="123" spans="1:9" ht="18.75" customHeight="1" x14ac:dyDescent="0.2">
      <c r="A123" s="4"/>
      <c r="B123" s="71"/>
      <c r="C123" s="71"/>
      <c r="D123" s="71"/>
      <c r="E123" s="71"/>
      <c r="F123" s="71"/>
      <c r="G123" s="71"/>
      <c r="H123" s="71"/>
      <c r="I123" s="72"/>
    </row>
    <row r="124" spans="1:9" ht="18.75" customHeight="1" x14ac:dyDescent="0.2">
      <c r="A124" s="4"/>
      <c r="B124" s="72"/>
      <c r="C124" s="72"/>
      <c r="D124" s="72"/>
      <c r="E124" s="72"/>
      <c r="F124" s="72"/>
      <c r="G124" s="72"/>
      <c r="H124" s="72"/>
      <c r="I124" s="72"/>
    </row>
    <row r="125" spans="1:9" ht="18.75" customHeight="1" x14ac:dyDescent="0.2">
      <c r="A125" s="4"/>
      <c r="B125" s="72"/>
      <c r="C125" s="72"/>
      <c r="D125" s="72"/>
      <c r="E125" s="72"/>
      <c r="F125" s="72"/>
      <c r="G125" s="72"/>
      <c r="H125" s="72"/>
      <c r="I125" s="72"/>
    </row>
    <row r="126" spans="1:9" ht="18.75" customHeight="1" x14ac:dyDescent="0.2">
      <c r="A126" s="4"/>
      <c r="B126" s="72"/>
      <c r="C126" s="72"/>
      <c r="D126" s="72"/>
      <c r="E126" s="72"/>
      <c r="F126" s="72"/>
      <c r="G126" s="72"/>
      <c r="H126" s="72"/>
      <c r="I126" s="72"/>
    </row>
    <row r="127" spans="1:9" ht="18.75" customHeight="1" x14ac:dyDescent="0.2">
      <c r="A127" s="4"/>
      <c r="B127" s="72"/>
      <c r="C127" s="72"/>
      <c r="D127" s="72"/>
      <c r="E127" s="72"/>
      <c r="F127" s="72"/>
      <c r="G127" s="72"/>
      <c r="H127" s="72"/>
      <c r="I127" s="72"/>
    </row>
    <row r="128" spans="1:9" ht="18.75" customHeight="1" x14ac:dyDescent="0.2">
      <c r="A128" s="4"/>
      <c r="B128" s="72"/>
      <c r="C128" s="72"/>
      <c r="D128" s="72"/>
      <c r="E128" s="72"/>
      <c r="F128" s="72"/>
      <c r="G128" s="72"/>
      <c r="H128" s="72"/>
      <c r="I128" s="72"/>
    </row>
    <row r="129" spans="1:9" ht="18.75" customHeight="1" x14ac:dyDescent="0.2">
      <c r="A129" s="4"/>
      <c r="B129" s="72"/>
      <c r="C129" s="72"/>
      <c r="D129" s="72"/>
      <c r="E129" s="72"/>
      <c r="F129" s="72"/>
      <c r="G129" s="72"/>
      <c r="H129" s="72"/>
      <c r="I129" s="72"/>
    </row>
    <row r="130" spans="1:9" ht="18.75" customHeight="1" x14ac:dyDescent="0.2">
      <c r="A130" s="4"/>
      <c r="B130" s="72"/>
      <c r="C130" s="72"/>
      <c r="D130" s="72"/>
      <c r="E130" s="72"/>
      <c r="F130" s="72"/>
      <c r="G130" s="72"/>
      <c r="H130" s="72"/>
      <c r="I130" s="72"/>
    </row>
    <row r="131" spans="1:9" ht="18.75" customHeight="1" x14ac:dyDescent="0.2">
      <c r="A131" s="4"/>
      <c r="B131" s="72"/>
      <c r="C131" s="72"/>
      <c r="D131" s="72"/>
      <c r="E131" s="72"/>
      <c r="F131" s="72"/>
      <c r="G131" s="72"/>
      <c r="H131" s="72"/>
      <c r="I131" s="72"/>
    </row>
    <row r="132" spans="1:9" ht="18.75" customHeight="1" x14ac:dyDescent="0.2">
      <c r="A132" s="4"/>
      <c r="B132" s="72"/>
      <c r="C132" s="72"/>
      <c r="D132" s="72"/>
      <c r="E132" s="72"/>
      <c r="F132" s="72"/>
      <c r="G132" s="72"/>
      <c r="H132" s="72"/>
      <c r="I132" s="72"/>
    </row>
    <row r="133" spans="1:9" ht="14.4" x14ac:dyDescent="0.2">
      <c r="A133" s="4"/>
      <c r="B133" s="72"/>
      <c r="C133" s="72"/>
      <c r="D133" s="72"/>
      <c r="E133" s="72"/>
      <c r="F133" s="72"/>
      <c r="G133" s="72"/>
      <c r="H133" s="72"/>
      <c r="I133" s="72"/>
    </row>
    <row r="134" spans="1:9" ht="7.5" customHeight="1" x14ac:dyDescent="0.2">
      <c r="A134" s="4"/>
      <c r="B134" s="72"/>
      <c r="C134" s="72"/>
      <c r="D134" s="72"/>
      <c r="E134" s="72"/>
      <c r="F134" s="72"/>
      <c r="G134" s="72"/>
      <c r="H134" s="72"/>
      <c r="I134" s="7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68</v>
      </c>
      <c r="I1" s="30" t="s">
        <v>96</v>
      </c>
    </row>
    <row r="2" spans="1:9" ht="18.75" customHeight="1" x14ac:dyDescent="0.2">
      <c r="H2" s="30" t="s">
        <v>99</v>
      </c>
      <c r="I2" s="29" t="str">
        <f>'様式１　プログラムを構成する授業科目'!C2</f>
        <v>静岡産業大学</v>
      </c>
    </row>
    <row r="3" spans="1:9" ht="18.75" customHeight="1" x14ac:dyDescent="0.2">
      <c r="A3" s="193" t="s">
        <v>28</v>
      </c>
      <c r="B3" s="193"/>
      <c r="C3" s="193"/>
      <c r="D3" s="193"/>
      <c r="E3" s="193"/>
      <c r="F3" s="193"/>
      <c r="G3" s="193"/>
      <c r="H3" s="193"/>
      <c r="I3" s="193"/>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208" t="s">
        <v>160</v>
      </c>
      <c r="C6" s="252"/>
      <c r="D6" s="252"/>
      <c r="E6" s="252"/>
      <c r="F6" s="252"/>
      <c r="G6" s="252"/>
      <c r="H6" s="253"/>
      <c r="I6" s="3"/>
    </row>
    <row r="7" spans="1:9" ht="9" customHeight="1" x14ac:dyDescent="0.2">
      <c r="A7" s="5"/>
      <c r="B7" s="10"/>
      <c r="C7" s="10"/>
      <c r="D7" s="10"/>
      <c r="E7" s="10"/>
      <c r="F7" s="10"/>
      <c r="G7" s="10"/>
      <c r="H7" s="10"/>
      <c r="I7" s="3"/>
    </row>
    <row r="8" spans="1:9" ht="18.75" customHeight="1" x14ac:dyDescent="0.2">
      <c r="A8" s="5"/>
      <c r="B8" s="3"/>
      <c r="C8" s="3"/>
      <c r="D8" s="30" t="s">
        <v>42</v>
      </c>
      <c r="E8" s="85" t="s">
        <v>161</v>
      </c>
      <c r="F8" s="3"/>
      <c r="G8" s="30" t="s">
        <v>10</v>
      </c>
      <c r="H8" s="85" t="s">
        <v>162</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2" t="s">
        <v>24</v>
      </c>
      <c r="C11" s="103"/>
      <c r="D11" s="104"/>
      <c r="E11" s="103" t="s">
        <v>26</v>
      </c>
      <c r="F11" s="103"/>
      <c r="G11" s="103"/>
      <c r="H11" s="103"/>
      <c r="I11" s="104"/>
    </row>
    <row r="12" spans="1:9" ht="26.25" customHeight="1" x14ac:dyDescent="0.2">
      <c r="B12" s="38" t="s">
        <v>14</v>
      </c>
      <c r="C12" s="45"/>
      <c r="D12" s="39"/>
      <c r="E12" s="46"/>
      <c r="F12" s="46"/>
      <c r="G12" s="46"/>
      <c r="H12" s="46"/>
      <c r="I12" s="39"/>
    </row>
    <row r="13" spans="1:9" ht="210.75" customHeight="1" x14ac:dyDescent="0.2">
      <c r="B13" s="40"/>
      <c r="C13" s="250" t="s">
        <v>15</v>
      </c>
      <c r="D13" s="251"/>
      <c r="E13" s="247" t="s">
        <v>169</v>
      </c>
      <c r="F13" s="248"/>
      <c r="G13" s="248"/>
      <c r="H13" s="248"/>
      <c r="I13" s="249"/>
    </row>
    <row r="14" spans="1:9" ht="210.75" customHeight="1" x14ac:dyDescent="0.2">
      <c r="B14" s="40"/>
      <c r="C14" s="245" t="s">
        <v>16</v>
      </c>
      <c r="D14" s="246"/>
      <c r="E14" s="247" t="s">
        <v>170</v>
      </c>
      <c r="F14" s="248"/>
      <c r="G14" s="248"/>
      <c r="H14" s="248"/>
      <c r="I14" s="249"/>
    </row>
    <row r="15" spans="1:9" ht="210.75" customHeight="1" x14ac:dyDescent="0.2">
      <c r="B15" s="40"/>
      <c r="C15" s="250" t="s">
        <v>17</v>
      </c>
      <c r="D15" s="251"/>
      <c r="E15" s="247" t="s">
        <v>175</v>
      </c>
      <c r="F15" s="248"/>
      <c r="G15" s="248"/>
      <c r="H15" s="248"/>
      <c r="I15" s="249"/>
    </row>
    <row r="16" spans="1:9" ht="210.75" customHeight="1" x14ac:dyDescent="0.2">
      <c r="B16" s="40"/>
      <c r="C16" s="250" t="s">
        <v>18</v>
      </c>
      <c r="D16" s="251"/>
      <c r="E16" s="247" t="s">
        <v>177</v>
      </c>
      <c r="F16" s="248"/>
      <c r="G16" s="248"/>
      <c r="H16" s="248"/>
      <c r="I16" s="249"/>
    </row>
    <row r="17" spans="2:9" ht="210.75" customHeight="1" x14ac:dyDescent="0.2">
      <c r="B17" s="41"/>
      <c r="C17" s="254" t="s">
        <v>19</v>
      </c>
      <c r="D17" s="255"/>
      <c r="E17" s="256" t="s">
        <v>171</v>
      </c>
      <c r="F17" s="257"/>
      <c r="G17" s="257"/>
      <c r="H17" s="257"/>
      <c r="I17" s="258"/>
    </row>
    <row r="18" spans="2:9" ht="24" customHeight="1" x14ac:dyDescent="0.2">
      <c r="B18" s="38" t="s">
        <v>20</v>
      </c>
      <c r="C18" s="42"/>
      <c r="D18" s="43"/>
      <c r="E18" s="44"/>
      <c r="F18" s="44"/>
      <c r="G18" s="44"/>
      <c r="H18" s="44"/>
      <c r="I18" s="47"/>
    </row>
    <row r="19" spans="2:9" ht="218.25" customHeight="1" x14ac:dyDescent="0.2">
      <c r="B19" s="40"/>
      <c r="C19" s="250" t="s">
        <v>21</v>
      </c>
      <c r="D19" s="251"/>
      <c r="E19" s="248" t="s">
        <v>172</v>
      </c>
      <c r="F19" s="248"/>
      <c r="G19" s="248"/>
      <c r="H19" s="248"/>
      <c r="I19" s="249"/>
    </row>
    <row r="20" spans="2:9" ht="218.25" customHeight="1" x14ac:dyDescent="0.2">
      <c r="B20" s="41"/>
      <c r="C20" s="254" t="s">
        <v>22</v>
      </c>
      <c r="D20" s="255"/>
      <c r="E20" s="257" t="s">
        <v>176</v>
      </c>
      <c r="F20" s="257"/>
      <c r="G20" s="257"/>
      <c r="H20" s="257"/>
      <c r="I20" s="258"/>
    </row>
    <row r="21" spans="2:9" ht="218.25" customHeight="1" x14ac:dyDescent="0.2">
      <c r="B21" s="264" t="s">
        <v>23</v>
      </c>
      <c r="C21" s="265"/>
      <c r="D21" s="266"/>
      <c r="E21" s="267" t="s">
        <v>173</v>
      </c>
      <c r="F21" s="267"/>
      <c r="G21" s="267"/>
      <c r="H21" s="267"/>
      <c r="I21" s="268"/>
    </row>
    <row r="22" spans="2:9" ht="218.25" customHeight="1" x14ac:dyDescent="0.2">
      <c r="B22" s="259" t="s">
        <v>135</v>
      </c>
      <c r="C22" s="260"/>
      <c r="D22" s="261"/>
      <c r="E22" s="262" t="s">
        <v>178</v>
      </c>
      <c r="F22" s="262"/>
      <c r="G22" s="262"/>
      <c r="H22" s="262"/>
      <c r="I22" s="263"/>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吉添克宏</cp:lastModifiedBy>
  <cp:lastPrinted>2024-02-19T08:20:00Z</cp:lastPrinted>
  <dcterms:created xsi:type="dcterms:W3CDTF">2011-06-14T05:32:50Z</dcterms:created>
  <dcterms:modified xsi:type="dcterms:W3CDTF">2024-05-29T04:43:58Z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