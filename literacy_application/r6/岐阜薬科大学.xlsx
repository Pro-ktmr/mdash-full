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defaultThemeVersion="124226"/>
  <mc:AlternateContent xmlns:mc="http://schemas.openxmlformats.org/markup-compatibility/2006">
    <mc:Choice Requires="x15">
      <x15ac:absPath xmlns:x15ac="http://schemas.microsoft.com/office/spreadsheetml/2010/11/ac" url="C:\大学\学校関連2024\教務委員会\数理データサイエンス\"/>
    </mc:Choice>
  </mc:AlternateContent>
  <xr:revisionPtr revIDLastSave="0" documentId="13_ncr:1_{397AA36C-FED8-49AC-9C30-034F189224E5}" xr6:coauthVersionLast="47" xr6:coauthVersionMax="47" xr10:uidLastSave="{00000000-0000-0000-0000-000000000000}"/>
  <bookViews>
    <workbookView xWindow="29805" yWindow="420" windowWidth="26730" windowHeight="1506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3" i="40" l="1"/>
  <c r="S13" i="40" s="1"/>
  <c r="C33" i="40"/>
  <c r="G33" i="40" l="1"/>
  <c r="F33" i="40" l="1"/>
  <c r="E33" i="40"/>
  <c r="I50" i="41" s="1"/>
  <c r="D33" i="40"/>
  <c r="R33" i="40" l="1"/>
  <c r="S33" i="40" s="1"/>
  <c r="C49" i="41" s="1"/>
</calcChain>
</file>

<file path=xl/sharedStrings.xml><?xml version="1.0" encoding="utf-8"?>
<sst xmlns="http://schemas.openxmlformats.org/spreadsheetml/2006/main" count="289" uniqueCount="182">
  <si>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</si>
  <si>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</si>
  <si>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</si>
  <si>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</si>
  <si>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</si>
  <si>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</si>
  <si>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</si>
  <si>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</si>
  <si>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</si>
  <si>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</si>
  <si>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</si>
  <si>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</si>
  <si>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</si>
  <si>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</si>
  <si>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</si>
  <si>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</si>
  <si>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</si>
  <si>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</si>
  <si>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</si>
  <si>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</si>
  <si>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</si>
  <si>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</si>
  <si>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</si>
  <si>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</si>
  <si>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</si>
  <si>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</si>
  <si>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</si>
  <si>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</si>
  <si>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</si>
  <si>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</si>
  <si>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</si>
  <si>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</si>
  <si>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</si>
  <si>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</si>
  <si>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</si>
  <si>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</si>
  <si>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</si>
  <si>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</si>
  <si>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</si>
  <si>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</si>
  <si>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</si>
  <si>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</si>
  <si>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</si>
  <si>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</si>
  <si>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</si>
  <si>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</si>
  <si>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</si>
  <si>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</si>
  <si>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</si>
  <si>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</si>
  <si>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</si>
  <si>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</si>
  <si>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</si>
  <si>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</si>
  <si>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</si>
  <si>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</si>
  <si>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</si>
  <si>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</si>
  <si>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</si>
  <si>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</si>
  <si>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</si>
  <si>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</si>
  <si>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</si>
  <si>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</si>
  <si>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</si>
  <si>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</si>
  <si>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</si>
  <si>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</si>
  <si>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</si>
  <si>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</si>
  <si>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</si>
  <si>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</si>
  <si>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</si>
  <si>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</si>
  <si>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</si>
  <si>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</si>
  <si>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</si>
  <si>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</si>
  <si>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</si>
  <si>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</si>
  <si>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</si>
  <si>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</si>
  <si>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</si>
  <si>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</si>
  <si>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</si>
  <si>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</si>
  <si>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</si>
  <si>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</si>
  <si>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</si>
  <si>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</si>
  <si>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</si>
  <si>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</si>
  <si>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</si>
  <si>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</si>
  <si>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</si>
  <si>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</si>
  <si>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</si>
  <si>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</si>
  <si>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</si>
  <si>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</si>
  <si>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</si>
  <si>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</si>
  <si>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</si>
  <si>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</si>
  <si>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</si>
  <si>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</si>
  <si>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</si>
  <si>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</si>
  <si>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</si>
  <si>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</si>
  <si>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</si>
  <si>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</si>
  <si>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</si>
  <si>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</si>
  <si>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</si>
  <si>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</si>
  <si>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</si>
  <si>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</si>
  <si>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</si>
  <si>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</si>
  <si>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</si>
  <si>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</si>
  <si>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</si>
  <si>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</si>
  <si>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</si>
  <si>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</si>
  <si>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</si>
  <si>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</si>
  <si>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</si>
  <si>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</si>
  <si>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</si>
  <si>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</si>
  <si>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</si>
  <si>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</si>
  <si>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</si>
  <si>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</si>
  <si>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岐阜薬科大学</t>
    <rPh sb="0" eb="6">
      <t>ギフヤッカダイガク</t>
    </rPh>
    <phoneticPr fontId="1"/>
  </si>
  <si>
    <t>情報処理基礎実習</t>
    <phoneticPr fontId="1"/>
  </si>
  <si>
    <t>○</t>
  </si>
  <si>
    <t>薬学部</t>
    <rPh sb="0" eb="3">
      <t>ヤクガクブ</t>
    </rPh>
    <phoneticPr fontId="1"/>
  </si>
  <si>
    <t>五十里　彰</t>
    <rPh sb="0" eb="3">
      <t>イカリ</t>
    </rPh>
    <rPh sb="4" eb="5">
      <t>アキラ</t>
    </rPh>
    <phoneticPr fontId="1"/>
  </si>
  <si>
    <t>副学長</t>
    <rPh sb="0" eb="3">
      <t>フクガクチョウ</t>
    </rPh>
    <phoneticPr fontId="1"/>
  </si>
  <si>
    <t>教務委員会</t>
    <rPh sb="0" eb="2">
      <t>キョウム</t>
    </rPh>
    <rPh sb="2" eb="5">
      <t>イインカイ</t>
    </rPh>
    <phoneticPr fontId="1"/>
  </si>
  <si>
    <t>教務委員長</t>
    <rPh sb="0" eb="2">
      <t>キョウム</t>
    </rPh>
    <rPh sb="2" eb="5">
      <t>イインチョウ</t>
    </rPh>
    <phoneticPr fontId="1"/>
  </si>
  <si>
    <t>教務委員会
委員長　五十里　彰　教授
副委員長　伊藤　彰近　教授
委員　　井口　和弘　教授
委員　　北市　清幸　教授
委員　　松永　俊之　教授
委員　　田原　耕平　教授
委員　　原　宏和　教授
委員　　中村　信介　准教授
委員　　松家　鮎美　准教授
委員　　宗宮　仁美　講師
委員　　小澤　重貴　教務厚生課長</t>
    <rPh sb="0" eb="2">
      <t>キョウム</t>
    </rPh>
    <rPh sb="2" eb="5">
      <t>イインカイ</t>
    </rPh>
    <rPh sb="6" eb="9">
      <t>イインチョウ</t>
    </rPh>
    <rPh sb="10" eb="13">
      <t>イカリ</t>
    </rPh>
    <rPh sb="14" eb="15">
      <t>アキラ</t>
    </rPh>
    <rPh sb="16" eb="18">
      <t>キョウジュ</t>
    </rPh>
    <rPh sb="19" eb="23">
      <t>フクイインチョウ</t>
    </rPh>
    <rPh sb="24" eb="26">
      <t>イトウ</t>
    </rPh>
    <rPh sb="27" eb="28">
      <t>アキラ</t>
    </rPh>
    <rPh sb="28" eb="29">
      <t>チカ</t>
    </rPh>
    <rPh sb="30" eb="32">
      <t>キョウジュ</t>
    </rPh>
    <rPh sb="33" eb="35">
      <t>イイン</t>
    </rPh>
    <rPh sb="37" eb="39">
      <t>イグチ</t>
    </rPh>
    <rPh sb="43" eb="45">
      <t>キョウジュ</t>
    </rPh>
    <rPh sb="46" eb="48">
      <t>イイン</t>
    </rPh>
    <rPh sb="50" eb="52">
      <t>キタイチ</t>
    </rPh>
    <rPh sb="56" eb="58">
      <t>キョウジュ</t>
    </rPh>
    <rPh sb="59" eb="61">
      <t>イイン</t>
    </rPh>
    <rPh sb="63" eb="65">
      <t>マツナガ</t>
    </rPh>
    <rPh sb="66" eb="68">
      <t>トシユキ</t>
    </rPh>
    <rPh sb="69" eb="71">
      <t>キョウジュ</t>
    </rPh>
    <rPh sb="72" eb="74">
      <t>イイン</t>
    </rPh>
    <rPh sb="76" eb="78">
      <t>タハラ</t>
    </rPh>
    <rPh sb="82" eb="84">
      <t>キョウジュ</t>
    </rPh>
    <rPh sb="85" eb="87">
      <t>イイン</t>
    </rPh>
    <rPh sb="89" eb="90">
      <t>ハラ</t>
    </rPh>
    <rPh sb="91" eb="93">
      <t>ヒロカズ</t>
    </rPh>
    <rPh sb="94" eb="96">
      <t>キョウジュ</t>
    </rPh>
    <rPh sb="101" eb="103">
      <t>ナカムラ</t>
    </rPh>
    <rPh sb="104" eb="106">
      <t>シンスケ</t>
    </rPh>
    <rPh sb="107" eb="110">
      <t>ジュンキョウジュ</t>
    </rPh>
    <rPh sb="115" eb="116">
      <t>マツ</t>
    </rPh>
    <rPh sb="116" eb="117">
      <t>イエ</t>
    </rPh>
    <rPh sb="121" eb="124">
      <t>ジュンキョウジュ</t>
    </rPh>
    <rPh sb="129" eb="131">
      <t>ソウミヤ</t>
    </rPh>
    <rPh sb="135" eb="137">
      <t>コウシ</t>
    </rPh>
    <rPh sb="138" eb="140">
      <t>イイン</t>
    </rPh>
    <rPh sb="142" eb="144">
      <t>オザワ</t>
    </rPh>
    <rPh sb="148" eb="150">
      <t>キョウム</t>
    </rPh>
    <rPh sb="150" eb="152">
      <t>コウセイ</t>
    </rPh>
    <rPh sb="152" eb="154">
      <t>カチョウ</t>
    </rPh>
    <phoneticPr fontId="1"/>
  </si>
  <si>
    <t>本教育プログラムの授業において、履修の中間段階で自由記述アンケート、履修の最終段階でマークシートアンケートを実施し、学生の意見を収集するとともに、授業の改善につなげている。また、授業の担当教員には、随時メール等で質問ができるようになっており、授業時間内外での学習指導体制が構築されている。</t>
    <rPh sb="0" eb="1">
      <t>ホン</t>
    </rPh>
    <rPh sb="1" eb="3">
      <t>キョウイク</t>
    </rPh>
    <rPh sb="9" eb="11">
      <t>ジュギョウ</t>
    </rPh>
    <rPh sb="16" eb="18">
      <t>リシュウ</t>
    </rPh>
    <rPh sb="19" eb="21">
      <t>チュウカン</t>
    </rPh>
    <rPh sb="21" eb="23">
      <t>ダンカイ</t>
    </rPh>
    <rPh sb="24" eb="26">
      <t>ジユウ</t>
    </rPh>
    <rPh sb="26" eb="28">
      <t>キジュツ</t>
    </rPh>
    <rPh sb="34" eb="36">
      <t>リシュウ</t>
    </rPh>
    <rPh sb="37" eb="39">
      <t>サイシュウ</t>
    </rPh>
    <rPh sb="39" eb="41">
      <t>ダンカイ</t>
    </rPh>
    <rPh sb="54" eb="56">
      <t>ジッシ</t>
    </rPh>
    <rPh sb="58" eb="60">
      <t>ガクセイ</t>
    </rPh>
    <rPh sb="61" eb="63">
      <t>イケン</t>
    </rPh>
    <rPh sb="64" eb="66">
      <t>シュウシュウ</t>
    </rPh>
    <rPh sb="73" eb="75">
      <t>ジュギョウ</t>
    </rPh>
    <rPh sb="76" eb="78">
      <t>カイゼン</t>
    </rPh>
    <rPh sb="89" eb="91">
      <t>ジュギョウ</t>
    </rPh>
    <rPh sb="92" eb="94">
      <t>タントウ</t>
    </rPh>
    <rPh sb="94" eb="96">
      <t>キョウイン</t>
    </rPh>
    <rPh sb="99" eb="101">
      <t>ズイジ</t>
    </rPh>
    <rPh sb="104" eb="105">
      <t>トウ</t>
    </rPh>
    <rPh sb="106" eb="108">
      <t>シツモン</t>
    </rPh>
    <rPh sb="121" eb="123">
      <t>ジュギョウ</t>
    </rPh>
    <rPh sb="123" eb="125">
      <t>ジカン</t>
    </rPh>
    <rPh sb="125" eb="127">
      <t>ナイガイ</t>
    </rPh>
    <rPh sb="129" eb="131">
      <t>ガクシュウ</t>
    </rPh>
    <rPh sb="131" eb="133">
      <t>シドウ</t>
    </rPh>
    <rPh sb="133" eb="135">
      <t>タイセイ</t>
    </rPh>
    <rPh sb="136" eb="138">
      <t>コウチク</t>
    </rPh>
    <phoneticPr fontId="1"/>
  </si>
  <si>
    <t>授業で利用する教材をGoogleフォルダに掲載し、すべての履修学生がいつでも講義資料を閲覧できる環境を構築している。</t>
    <rPh sb="0" eb="2">
      <t>ジュギョウ</t>
    </rPh>
    <rPh sb="3" eb="5">
      <t>リヨウ</t>
    </rPh>
    <rPh sb="7" eb="9">
      <t>キョウザイ</t>
    </rPh>
    <rPh sb="21" eb="23">
      <t>ケイサイ</t>
    </rPh>
    <rPh sb="29" eb="31">
      <t>リシュウ</t>
    </rPh>
    <rPh sb="31" eb="33">
      <t>ガクセイ</t>
    </rPh>
    <rPh sb="38" eb="40">
      <t>コウギ</t>
    </rPh>
    <rPh sb="40" eb="42">
      <t>シリョウ</t>
    </rPh>
    <rPh sb="43" eb="45">
      <t>エツラン</t>
    </rPh>
    <rPh sb="48" eb="50">
      <t>カンキョウ</t>
    </rPh>
    <rPh sb="51" eb="53">
      <t>コウチク</t>
    </rPh>
    <phoneticPr fontId="1"/>
  </si>
  <si>
    <t>医薬品情報学</t>
    <phoneticPr fontId="1"/>
  </si>
  <si>
    <t>学部・学科によって、修了要件は相違しない</t>
  </si>
  <si>
    <t>統計学</t>
    <rPh sb="0" eb="2">
      <t>トウケイ</t>
    </rPh>
    <phoneticPr fontId="1"/>
  </si>
  <si>
    <t>日常生活や薬剤師業務において、データ駆動型社会の根底である「データに基づいた判断」を実践するために必要な、基礎的な技能を獲得する。さらに、新たな知見を創出するために必要なデータ解析能力を養成し、EBM（Evidence Based Medicine）の発展に寄与する素地を培う。</t>
    <rPh sb="5" eb="8">
      <t>ヤクザイシ</t>
    </rPh>
    <rPh sb="8" eb="10">
      <t>ギョウム</t>
    </rPh>
    <rPh sb="18" eb="21">
      <t>クドウガタ</t>
    </rPh>
    <rPh sb="21" eb="23">
      <t>シャカイ</t>
    </rPh>
    <rPh sb="24" eb="26">
      <t>コンテイ</t>
    </rPh>
    <rPh sb="34" eb="35">
      <t>モト</t>
    </rPh>
    <rPh sb="38" eb="40">
      <t>ハンダン</t>
    </rPh>
    <rPh sb="42" eb="44">
      <t>ジッセン</t>
    </rPh>
    <rPh sb="49" eb="51">
      <t>ヒツヨウ</t>
    </rPh>
    <rPh sb="53" eb="56">
      <t>キソテキ</t>
    </rPh>
    <rPh sb="57" eb="59">
      <t>ギノウ</t>
    </rPh>
    <rPh sb="60" eb="62">
      <t>カクトク</t>
    </rPh>
    <rPh sb="69" eb="70">
      <t>アラ</t>
    </rPh>
    <rPh sb="72" eb="74">
      <t>チケン</t>
    </rPh>
    <rPh sb="75" eb="77">
      <t>ソウシュツ</t>
    </rPh>
    <rPh sb="82" eb="84">
      <t>ヒツヨウ</t>
    </rPh>
    <rPh sb="88" eb="90">
      <t>カイセキ</t>
    </rPh>
    <rPh sb="90" eb="92">
      <t>ノウリョク</t>
    </rPh>
    <rPh sb="93" eb="95">
      <t>ヨウセイ</t>
    </rPh>
    <rPh sb="126" eb="128">
      <t>ハッテン</t>
    </rPh>
    <rPh sb="129" eb="131">
      <t>キヨ</t>
    </rPh>
    <rPh sb="133" eb="135">
      <t>ソジ</t>
    </rPh>
    <rPh sb="136" eb="137">
      <t>ツチカ</t>
    </rPh>
    <phoneticPr fontId="1"/>
  </si>
  <si>
    <t>自己点検評価委員会</t>
    <rPh sb="0" eb="2">
      <t>ジコ</t>
    </rPh>
    <rPh sb="2" eb="6">
      <t>テンケンヒョウカ</t>
    </rPh>
    <rPh sb="6" eb="9">
      <t>イインカイ</t>
    </rPh>
    <phoneticPr fontId="1"/>
  </si>
  <si>
    <t>原　英彰</t>
    <rPh sb="0" eb="1">
      <t>ハラ</t>
    </rPh>
    <rPh sb="2" eb="4">
      <t>ヒデアキ</t>
    </rPh>
    <phoneticPr fontId="1"/>
  </si>
  <si>
    <t>学長</t>
    <rPh sb="0" eb="2">
      <t>ガクチョウ</t>
    </rPh>
    <phoneticPr fontId="1"/>
  </si>
  <si>
    <t>入学生ガイダンスと学年毎の前期ガイダンスで、学生にプログラムを受講することの意義を周知している。また、授業の開始時に本プログラムの概要を説明し、すべての学生が履修できるようにする。</t>
    <rPh sb="2" eb="3">
      <t>セイ</t>
    </rPh>
    <rPh sb="9" eb="11">
      <t>ガクネン</t>
    </rPh>
    <rPh sb="11" eb="12">
      <t>ゴト</t>
    </rPh>
    <rPh sb="13" eb="15">
      <t>ゼンキ</t>
    </rPh>
    <rPh sb="22" eb="24">
      <t>ガクセイ</t>
    </rPh>
    <rPh sb="31" eb="33">
      <t>ジュコウ</t>
    </rPh>
    <rPh sb="38" eb="40">
      <t>イギ</t>
    </rPh>
    <rPh sb="41" eb="43">
      <t>シュウチ</t>
    </rPh>
    <rPh sb="51" eb="53">
      <t>ジュギョウ</t>
    </rPh>
    <rPh sb="54" eb="57">
      <t>カイシジ</t>
    </rPh>
    <rPh sb="58" eb="59">
      <t>ホン</t>
    </rPh>
    <rPh sb="65" eb="67">
      <t>ガイヨウ</t>
    </rPh>
    <rPh sb="68" eb="70">
      <t>セツメイ</t>
    </rPh>
    <rPh sb="76" eb="78">
      <t>ガクセイ</t>
    </rPh>
    <rPh sb="79" eb="81">
      <t>リシュウ</t>
    </rPh>
    <phoneticPr fontId="1"/>
  </si>
  <si>
    <t>本学は薬学部薬学科のみであり、本プログラムの履修に必要な科目を必修科目として配置することにより、すべての学生が受講できるようになっている。</t>
    <rPh sb="0" eb="2">
      <t>ホンガク</t>
    </rPh>
    <rPh sb="3" eb="6">
      <t>ヤクガクブ</t>
    </rPh>
    <rPh sb="6" eb="9">
      <t>ヤクガッカ</t>
    </rPh>
    <rPh sb="15" eb="16">
      <t>ホン</t>
    </rPh>
    <rPh sb="22" eb="24">
      <t>リシュウ</t>
    </rPh>
    <rPh sb="25" eb="27">
      <t>ヒツヨウ</t>
    </rPh>
    <rPh sb="28" eb="30">
      <t>カモク</t>
    </rPh>
    <rPh sb="31" eb="35">
      <t>ヒッシュウカモク</t>
    </rPh>
    <rPh sb="38" eb="40">
      <t>ハイチ</t>
    </rPh>
    <rPh sb="52" eb="54">
      <t>ガクセイ</t>
    </rPh>
    <rPh sb="55" eb="57">
      <t>ジュコウ</t>
    </rPh>
    <phoneticPr fontId="1"/>
  </si>
  <si>
    <t>本プログラムの履修に必要な科目を必修科目として配置することにより、すべての学生が受講できるようになっている。履修に必要な科目が1、3年次に配置されており、3年次に本プログラムの修了となる。2023年度は休学者や欠席者を除き、対象のすべての学生が本プログラムに必要な授業を履修した。2名の3回生が単位を修得できなかったため（試験を欠席）、145名のうち143名が本プログラムを修了した。履修状況に大きな問題がないため、計画通りに進行していると自己点検評価している。</t>
    <rPh sb="98" eb="100">
      <t>ネンド</t>
    </rPh>
    <rPh sb="101" eb="104">
      <t>キュウガクシャ</t>
    </rPh>
    <rPh sb="105" eb="108">
      <t>ケッセキシャ</t>
    </rPh>
    <rPh sb="109" eb="110">
      <t>ノゾ</t>
    </rPh>
    <rPh sb="112" eb="114">
      <t>タイショウ</t>
    </rPh>
    <rPh sb="208" eb="210">
      <t>ケイカク</t>
    </rPh>
    <rPh sb="210" eb="211">
      <t>ドオ</t>
    </rPh>
    <rPh sb="213" eb="215">
      <t>シンコウ</t>
    </rPh>
    <rPh sb="220" eb="222">
      <t>ジコ</t>
    </rPh>
    <rPh sb="222" eb="224">
      <t>テンケン</t>
    </rPh>
    <rPh sb="224" eb="226">
      <t>ヒョウカ</t>
    </rPh>
    <phoneticPr fontId="1"/>
  </si>
  <si>
    <t>プログラムを構成する情報処理基礎実習（1単位、1年次）、統計学（1.5単位、1年次）、医薬品情報学（1.5単位、3年次）の合計4単位を取得すること。</t>
    <rPh sb="6" eb="8">
      <t>コウセイ</t>
    </rPh>
    <rPh sb="10" eb="12">
      <t>ジョウホウ</t>
    </rPh>
    <rPh sb="12" eb="14">
      <t>ショリ</t>
    </rPh>
    <rPh sb="14" eb="16">
      <t>キソ</t>
    </rPh>
    <rPh sb="16" eb="18">
      <t>ジッシュウ</t>
    </rPh>
    <rPh sb="20" eb="22">
      <t>タンイ</t>
    </rPh>
    <rPh sb="24" eb="26">
      <t>ネンジ</t>
    </rPh>
    <rPh sb="28" eb="31">
      <t>トウケイガク</t>
    </rPh>
    <rPh sb="35" eb="37">
      <t>タンイ</t>
    </rPh>
    <rPh sb="43" eb="49">
      <t>イヤクヒンジョウホウガク</t>
    </rPh>
    <rPh sb="53" eb="55">
      <t>タンイ</t>
    </rPh>
    <rPh sb="61" eb="63">
      <t>ゴウケイ</t>
    </rPh>
    <rPh sb="64" eb="66">
      <t>タンイ</t>
    </rPh>
    <rPh sb="67" eb="69">
      <t>シュトク</t>
    </rPh>
    <phoneticPr fontId="1"/>
  </si>
  <si>
    <t>教務委員会では本プログラムを含め、学科目の種類及び編成に関する事項、授業に関する事項を所掌し、数理・データサイエンス・AI教育の全学的な普及、関連科目の整備を行っている。定期的に委員会を開催し、本プログラムの内容や履修状況を確認するとともに、改善・進化に向けてプログラム担当者と協議する。</t>
    <rPh sb="0" eb="2">
      <t>キョウム</t>
    </rPh>
    <rPh sb="2" eb="5">
      <t>イインカイ</t>
    </rPh>
    <rPh sb="7" eb="8">
      <t>ホン</t>
    </rPh>
    <rPh sb="14" eb="15">
      <t>フク</t>
    </rPh>
    <rPh sb="17" eb="20">
      <t>ガッカモク</t>
    </rPh>
    <rPh sb="21" eb="23">
      <t>シュルイ</t>
    </rPh>
    <rPh sb="23" eb="24">
      <t>オヨ</t>
    </rPh>
    <rPh sb="25" eb="27">
      <t>ヘンセイ</t>
    </rPh>
    <rPh sb="28" eb="29">
      <t>カン</t>
    </rPh>
    <rPh sb="31" eb="33">
      <t>ジコウ</t>
    </rPh>
    <rPh sb="34" eb="36">
      <t>ジュギョウ</t>
    </rPh>
    <rPh sb="37" eb="38">
      <t>カン</t>
    </rPh>
    <rPh sb="40" eb="42">
      <t>ジコウ</t>
    </rPh>
    <rPh sb="85" eb="88">
      <t>テイキテキ</t>
    </rPh>
    <rPh sb="89" eb="92">
      <t>イインカイ</t>
    </rPh>
    <rPh sb="93" eb="95">
      <t>カイサイ</t>
    </rPh>
    <rPh sb="97" eb="98">
      <t>ホン</t>
    </rPh>
    <rPh sb="104" eb="106">
      <t>ナイヨウ</t>
    </rPh>
    <rPh sb="107" eb="109">
      <t>リシュウ</t>
    </rPh>
    <rPh sb="109" eb="111">
      <t>ジョウキョウ</t>
    </rPh>
    <rPh sb="112" eb="114">
      <t>カクニン</t>
    </rPh>
    <rPh sb="121" eb="123">
      <t>カイゼン</t>
    </rPh>
    <rPh sb="124" eb="126">
      <t>シンカ</t>
    </rPh>
    <rPh sb="127" eb="128">
      <t>ム</t>
    </rPh>
    <rPh sb="135" eb="138">
      <t>タントウシャ</t>
    </rPh>
    <rPh sb="139" eb="141">
      <t>キョウギ</t>
    </rPh>
    <phoneticPr fontId="1"/>
  </si>
  <si>
    <t>休学や欠席の学生を除くと、全学生が本プログラムに必要な授業を履修している。履修に必要な科目が1、3年次に配置されているので、3年次に本プログラムの修了となる。ガイダンス等で本プログラムを説明し、学生の理解向上を目指している。令和6年度よりプログラムを構成する必修科目を見直し、学生の意識向上に向けた内容に改善する計画である。</t>
    <rPh sb="0" eb="2">
      <t>キュウガク</t>
    </rPh>
    <rPh sb="3" eb="5">
      <t>ケッセキ</t>
    </rPh>
    <rPh sb="6" eb="8">
      <t>ガクセイ</t>
    </rPh>
    <rPh sb="9" eb="10">
      <t>ノゾ</t>
    </rPh>
    <rPh sb="13" eb="14">
      <t>ゼン</t>
    </rPh>
    <rPh sb="14" eb="16">
      <t>ガクセイ</t>
    </rPh>
    <rPh sb="17" eb="18">
      <t>ホン</t>
    </rPh>
    <rPh sb="24" eb="26">
      <t>ヒツヨウ</t>
    </rPh>
    <rPh sb="27" eb="29">
      <t>ジュギョウ</t>
    </rPh>
    <rPh sb="30" eb="32">
      <t>リシュウ</t>
    </rPh>
    <rPh sb="37" eb="39">
      <t>リシュウ</t>
    </rPh>
    <rPh sb="40" eb="42">
      <t>ヒツヨウ</t>
    </rPh>
    <rPh sb="43" eb="45">
      <t>カモク</t>
    </rPh>
    <rPh sb="49" eb="51">
      <t>ネンジ</t>
    </rPh>
    <rPh sb="52" eb="54">
      <t>ハイチ</t>
    </rPh>
    <rPh sb="63" eb="65">
      <t>ネンジ</t>
    </rPh>
    <rPh sb="66" eb="67">
      <t>ホン</t>
    </rPh>
    <rPh sb="73" eb="75">
      <t>シュウリョウ</t>
    </rPh>
    <rPh sb="84" eb="85">
      <t>ナド</t>
    </rPh>
    <rPh sb="86" eb="87">
      <t>ホン</t>
    </rPh>
    <rPh sb="93" eb="95">
      <t>セツメイ</t>
    </rPh>
    <rPh sb="97" eb="99">
      <t>ガクセイ</t>
    </rPh>
    <rPh sb="100" eb="102">
      <t>リカイ</t>
    </rPh>
    <rPh sb="102" eb="104">
      <t>コウジョウ</t>
    </rPh>
    <rPh sb="105" eb="107">
      <t>メザ</t>
    </rPh>
    <rPh sb="112" eb="114">
      <t>レイワ</t>
    </rPh>
    <rPh sb="115" eb="117">
      <t>ネンド</t>
    </rPh>
    <rPh sb="125" eb="127">
      <t>コウセイ</t>
    </rPh>
    <rPh sb="129" eb="131">
      <t>ヒッシュウ</t>
    </rPh>
    <rPh sb="131" eb="133">
      <t>カモク</t>
    </rPh>
    <rPh sb="134" eb="136">
      <t>ミナオ</t>
    </rPh>
    <rPh sb="138" eb="140">
      <t>ガクセイ</t>
    </rPh>
    <rPh sb="141" eb="143">
      <t>イシキ</t>
    </rPh>
    <rPh sb="143" eb="145">
      <t>コウジョウ</t>
    </rPh>
    <rPh sb="146" eb="147">
      <t>ム</t>
    </rPh>
    <rPh sb="149" eb="151">
      <t>ナイヨウ</t>
    </rPh>
    <rPh sb="152" eb="154">
      <t>カイゼン</t>
    </rPh>
    <rPh sb="156" eb="158">
      <t>ケイカク</t>
    </rPh>
    <phoneticPr fontId="1"/>
  </si>
  <si>
    <t>教務委員会においてプログラムの履修・取得状況を分析し、教学IR推進室において分析データの妥当性を評価する。また、自己点検評価委員会で分析データを再検証し、受講者毎の講義演習進捗状況や課題への回答状況を把握する。2023年度は141名の1回生、145名の3回生が履修対象となっていた。休学や欠席の学生を除くと、対象のすべての学生が本プログラムに必要な授業を履修し、単位を修得したため、問題なく進行していると自己点検評価している。</t>
    <rPh sb="15" eb="17">
      <t>リシュウ</t>
    </rPh>
    <rPh sb="18" eb="20">
      <t>シュトク</t>
    </rPh>
    <rPh sb="20" eb="22">
      <t>ジョウキョウ</t>
    </rPh>
    <rPh sb="23" eb="25">
      <t>ブンセキ</t>
    </rPh>
    <rPh sb="27" eb="29">
      <t>キョウガク</t>
    </rPh>
    <rPh sb="31" eb="34">
      <t>スイシンシツ</t>
    </rPh>
    <rPh sb="38" eb="40">
      <t>ブンセキ</t>
    </rPh>
    <rPh sb="44" eb="47">
      <t>ダトウセイ</t>
    </rPh>
    <rPh sb="48" eb="50">
      <t>ヒョウカ</t>
    </rPh>
    <rPh sb="56" eb="58">
      <t>ジコ</t>
    </rPh>
    <rPh sb="58" eb="62">
      <t>テンケンヒョウカ</t>
    </rPh>
    <rPh sb="62" eb="65">
      <t>イインカイ</t>
    </rPh>
    <rPh sb="66" eb="68">
      <t>ブンセキ</t>
    </rPh>
    <rPh sb="72" eb="75">
      <t>サイケンショウ</t>
    </rPh>
    <rPh sb="154" eb="156">
      <t>タイショウ</t>
    </rPh>
    <rPh sb="181" eb="183">
      <t>タンイ</t>
    </rPh>
    <rPh sb="184" eb="186">
      <t>シュウトク</t>
    </rPh>
    <rPh sb="191" eb="193">
      <t>モンダイ</t>
    </rPh>
    <rPh sb="195" eb="197">
      <t>シンコウ</t>
    </rPh>
    <rPh sb="202" eb="206">
      <t>ジコテンケン</t>
    </rPh>
    <rPh sb="206" eb="208">
      <t>ヒョウカ</t>
    </rPh>
    <phoneticPr fontId="1"/>
  </si>
  <si>
    <t>本学が毎年実施している就職説明会やOB・OG説明会に参加している企業、病院、薬局などに対してアンケートを実施し、教育プログラムの講義内容及び実データを活用した演習等の手法について意見を収集するとともに、教務委員会においてプログラムの改善に活用する予定である。</t>
    <rPh sb="11" eb="13">
      <t>シュウショク</t>
    </rPh>
    <rPh sb="35" eb="37">
      <t>ビョウイン</t>
    </rPh>
    <rPh sb="38" eb="40">
      <t>ヤッキョク</t>
    </rPh>
    <rPh sb="101" eb="103">
      <t>キョウム</t>
    </rPh>
    <rPh sb="103" eb="106">
      <t>イインカイ</t>
    </rPh>
    <rPh sb="123" eb="125">
      <t>ヨテイ</t>
    </rPh>
    <phoneticPr fontId="1"/>
  </si>
  <si>
    <t>本学では教務厚生課の調査により、すべての卒業生の進路先を把握している。また、毎年実施している就職説明会やOB・OG説明会に参加している企業、病院、薬局などに対してアンケートを実施することにより、本教育プログラムを修了した卒業生の活躍状況の把握が可能である。</t>
    <rPh sb="0" eb="2">
      <t>ホンガク</t>
    </rPh>
    <rPh sb="4" eb="6">
      <t>キョウム</t>
    </rPh>
    <rPh sb="6" eb="9">
      <t>コウセイカ</t>
    </rPh>
    <rPh sb="10" eb="12">
      <t>チョウサ</t>
    </rPh>
    <rPh sb="20" eb="23">
      <t>ソツギョウセイ</t>
    </rPh>
    <rPh sb="24" eb="26">
      <t>シンロ</t>
    </rPh>
    <rPh sb="26" eb="27">
      <t>サキ</t>
    </rPh>
    <rPh sb="28" eb="30">
      <t>ハアク</t>
    </rPh>
    <rPh sb="38" eb="40">
      <t>マイトシ</t>
    </rPh>
    <rPh sb="40" eb="42">
      <t>ジッシ</t>
    </rPh>
    <rPh sb="46" eb="48">
      <t>シュウショク</t>
    </rPh>
    <rPh sb="48" eb="51">
      <t>セツメイカイ</t>
    </rPh>
    <rPh sb="57" eb="60">
      <t>セツメイカイ</t>
    </rPh>
    <rPh sb="61" eb="63">
      <t>サンカ</t>
    </rPh>
    <rPh sb="67" eb="69">
      <t>キギョウ</t>
    </rPh>
    <rPh sb="70" eb="72">
      <t>ビョウイン</t>
    </rPh>
    <rPh sb="73" eb="75">
      <t>ヤッキョク</t>
    </rPh>
    <rPh sb="78" eb="79">
      <t>タイ</t>
    </rPh>
    <rPh sb="87" eb="89">
      <t>ジッシ</t>
    </rPh>
    <rPh sb="97" eb="98">
      <t>ホン</t>
    </rPh>
    <rPh sb="98" eb="100">
      <t>キョウイク</t>
    </rPh>
    <rPh sb="106" eb="108">
      <t>シュウリョウ</t>
    </rPh>
    <rPh sb="110" eb="113">
      <t>ソツギョウセイ</t>
    </rPh>
    <rPh sb="114" eb="116">
      <t>カツヤク</t>
    </rPh>
    <rPh sb="116" eb="118">
      <t>ジョウキョウ</t>
    </rPh>
    <rPh sb="119" eb="121">
      <t>ハアク</t>
    </rPh>
    <rPh sb="122" eb="124">
      <t>カノウ</t>
    </rPh>
    <phoneticPr fontId="1"/>
  </si>
  <si>
    <t>薬学教育モデル・コア・カリキュラムおよびリテラシーレベルの導入部分に準じた内容を展開し、時事やトレンドなど社会での実例をもとにAIやIoTがどのように活用をされているかを中心に好奇心を促す講義内容としている。取り上げる実例については、学生アンケート等を活用し、その内容について評価を実施している。</t>
    <rPh sb="0" eb="2">
      <t>ヤクガク</t>
    </rPh>
    <rPh sb="2" eb="4">
      <t>キョウイク</t>
    </rPh>
    <phoneticPr fontId="1"/>
  </si>
  <si>
    <t>グリーンファーマシー教育推進センターにて実施している授業アンケートの回答結果や意見を参考として、受講生の「理解しやすさ」、「講義の改善」の観点から本教育プログラムの授業内容や実施方法を常に調査し、改良を進めている。
具体的には、履修期間の中間段階で実施する自由記述アンケートにおいて授業担当教員が受講生の意見を収集し、履修期間の最終段階で実施するマークシートアンケートにおいて「受講生にとって分かりやすい授業となっているか」、「受講生の意見に合った授業に改良されたか」を調査することとしている。本集計結果を授業担当教員にグリーンファーマシー教育推進センターからフィードバックすることにより授業の質保証と改良につなげている。</t>
    <phoneticPr fontId="1"/>
  </si>
  <si>
    <t>教務委員会において本プログラムを構成する授業科目の履修状況や単位修得状況を把握し、分析している。また、グリーンファーマシー教育推進センターにおいて実施している授業アンケートのうち、「理解しやすさ」、「知識や技能の習得度」の項目を分析することによって、学生の授業内容の理解度を把握することができ、その結果を教学IR推進室や自己点検評価委員会と連携し、本教育プログラムの評価・改善に活用している。
本プログラムの学修内容は3回生後期～6回生後期に開講される特別実習に活用され、薬学研究の適切な実施に繋がっている。本学は3回生後期から医療薬学コースと創薬育薬コースの2コースに分かれ、それぞれの特色ある授業科目を開設している。2024年度以降の入学生は、4回生前期に臨床データ解析演習またはドラッグデザイン演習を履修することになっており、これらの科目を本プログラムに導入することにより、質向上を図る予定である。これにより医薬品開発の場で十分活躍できるコンピテンシーとスキルを有する人材を輩出できる。</t>
    <rPh sb="152" eb="154">
      <t>キョウガク</t>
    </rPh>
    <rPh sb="156" eb="159">
      <t>スイシンシツ</t>
    </rPh>
    <phoneticPr fontId="1"/>
  </si>
  <si>
    <t>GPU数理・データサイエンス・AIリテラシー教育プログラム</t>
    <rPh sb="3" eb="5">
      <t>スウリ</t>
    </rPh>
    <rPh sb="22" eb="24">
      <t>キョウイク</t>
    </rPh>
    <phoneticPr fontId="1"/>
  </si>
  <si>
    <t>グリーンファーマシー教育推進センターの主導の下で本教育プログラム受講者全員に対して授業アンケートを実施するとともに、「理解度」、「知識や技能の習得度」の項目を指標として学生の理解度を集計している。これらの評価・分析結果は教学IR推進室と共有され、自己点検評価委員会において評価・改善提案されている。
2023年度の授業アンケートの結果、「情報処理基礎実習」では60％以上の受講生が「知識や技能が十分に身についた」、「医薬品情報学」と「統計学」では、85％以上の受講生が「理解しやすかった」、「知識や技能が身についた」と回答していた。以上より、本教育プログラムは受講生の技能習得に適した内容であると考えられる。</t>
    <rPh sb="102" eb="104">
      <t>ヒョウカ</t>
    </rPh>
    <rPh sb="105" eb="107">
      <t>ブンセキ</t>
    </rPh>
    <rPh sb="118" eb="120">
      <t>キョウユウ</t>
    </rPh>
    <rPh sb="141" eb="143">
      <t>テイアン</t>
    </rPh>
    <phoneticPr fontId="1"/>
  </si>
  <si>
    <t>グリーンファーマシー教育推進センターにおいて集計された授業アンケート回答結果は、教授会・教授総会において全教員に周知されている。また、教員は授業アンケート回答結果に基づき、学年別ガイダンスやアドバイザー面談等を介して後輩学生や他の学生への本教育プログラムの受講を推奨している。　</t>
    <rPh sb="82" eb="83">
      <t>モト</t>
    </rPh>
    <rPh sb="86" eb="89">
      <t>ガクネンベツ</t>
    </rPh>
    <phoneticPr fontId="1"/>
  </si>
  <si>
    <t>「情報処理基礎実習」では、第2回「インタネットとメールの利用」において、情報セキュリティ（機密性、完全性、可用性）や情報漏えいについて学び、データを守る事の重要性について理解する。
「医薬品情報学」では、第5回「医薬品情報の収集・評価・加工・提供・管理」において、知的所有権と守秘義務について学び、薬剤師として専門的なデータを守る上での留意事項について理解する。</t>
    <rPh sb="1" eb="3">
      <t>ジョウホウ</t>
    </rPh>
    <rPh sb="3" eb="5">
      <t>ショリ</t>
    </rPh>
    <rPh sb="5" eb="7">
      <t>キソ</t>
    </rPh>
    <rPh sb="7" eb="9">
      <t>ジッシュウ</t>
    </rPh>
    <rPh sb="13" eb="14">
      <t>ダイ</t>
    </rPh>
    <rPh sb="15" eb="16">
      <t>カイ</t>
    </rPh>
    <rPh sb="28" eb="30">
      <t>リヨウ</t>
    </rPh>
    <rPh sb="36" eb="38">
      <t>ジョウホウ</t>
    </rPh>
    <rPh sb="58" eb="60">
      <t>ジョウホウ</t>
    </rPh>
    <rPh sb="60" eb="61">
      <t>ロウ</t>
    </rPh>
    <rPh sb="74" eb="75">
      <t>マモ</t>
    </rPh>
    <rPh sb="76" eb="77">
      <t>コト</t>
    </rPh>
    <rPh sb="78" eb="81">
      <t>ジュウヨウセイ</t>
    </rPh>
    <rPh sb="85" eb="87">
      <t>リカイ</t>
    </rPh>
    <rPh sb="102" eb="103">
      <t>ダイ</t>
    </rPh>
    <rPh sb="104" eb="105">
      <t>カイ</t>
    </rPh>
    <rPh sb="106" eb="109">
      <t>イヤクヒン</t>
    </rPh>
    <rPh sb="109" eb="111">
      <t>ジョウホウ</t>
    </rPh>
    <rPh sb="112" eb="114">
      <t>シュウシュウ</t>
    </rPh>
    <rPh sb="115" eb="117">
      <t>ヒョウカ</t>
    </rPh>
    <rPh sb="118" eb="120">
      <t>カコウ</t>
    </rPh>
    <rPh sb="121" eb="123">
      <t>テイキョウ</t>
    </rPh>
    <rPh sb="124" eb="126">
      <t>カンリ</t>
    </rPh>
    <rPh sb="132" eb="134">
      <t>チテキ</t>
    </rPh>
    <rPh sb="134" eb="137">
      <t>ショユウケン</t>
    </rPh>
    <rPh sb="138" eb="142">
      <t>シュヒギム</t>
    </rPh>
    <rPh sb="146" eb="147">
      <t>マナ</t>
    </rPh>
    <rPh sb="149" eb="152">
      <t>ヤクザイシ</t>
    </rPh>
    <rPh sb="155" eb="158">
      <t>センモンテキ</t>
    </rPh>
    <rPh sb="163" eb="164">
      <t>マモ</t>
    </rPh>
    <rPh sb="165" eb="166">
      <t>ウエ</t>
    </rPh>
    <rPh sb="168" eb="172">
      <t>リュウイジコウ</t>
    </rPh>
    <rPh sb="176" eb="178">
      <t>リカイ</t>
    </rPh>
    <phoneticPr fontId="1"/>
  </si>
  <si>
    <t>令和5</t>
    <rPh sb="0" eb="2">
      <t>レイワ</t>
    </rPh>
    <phoneticPr fontId="1"/>
  </si>
  <si>
    <t>岐阜薬科大学教務委員会規程</t>
    <rPh sb="0" eb="6">
      <t>ギフヤッカダイガク</t>
    </rPh>
    <rPh sb="6" eb="8">
      <t>キョウム</t>
    </rPh>
    <rPh sb="8" eb="11">
      <t>イインカイ</t>
    </rPh>
    <rPh sb="11" eb="13">
      <t>キテイ</t>
    </rPh>
    <phoneticPr fontId="1"/>
  </si>
  <si>
    <t>「情報処理基礎実習」では、第2回目「インターネットとメールの利用」において、情報セキュリティとインターネットの利用とマナー（ネットリテラシー）の重要性を学ぶと同時に、情報処理の基礎を学ぶ事が現在の高度情報社会に深く寄与するものであり、社会で起きている変化や学生らを取り巻く環境と密接に結びついている事を理解する。</t>
    <rPh sb="1" eb="3">
      <t>ジョウホウ</t>
    </rPh>
    <rPh sb="3" eb="7">
      <t>ショリキソ</t>
    </rPh>
    <rPh sb="7" eb="9">
      <t>ジッシュウ</t>
    </rPh>
    <rPh sb="13" eb="14">
      <t>ダイ</t>
    </rPh>
    <rPh sb="30" eb="32">
      <t>リヨウ</t>
    </rPh>
    <rPh sb="79" eb="81">
      <t>ドウジ</t>
    </rPh>
    <rPh sb="83" eb="85">
      <t>ジョウホウ</t>
    </rPh>
    <rPh sb="85" eb="87">
      <t>ショリ</t>
    </rPh>
    <rPh sb="88" eb="90">
      <t>キソ</t>
    </rPh>
    <rPh sb="91" eb="92">
      <t>マナ</t>
    </rPh>
    <rPh sb="93" eb="94">
      <t>コト</t>
    </rPh>
    <rPh sb="95" eb="97">
      <t>ゲンザイ</t>
    </rPh>
    <rPh sb="98" eb="100">
      <t>コウド</t>
    </rPh>
    <rPh sb="100" eb="102">
      <t>ジョウホウ</t>
    </rPh>
    <rPh sb="102" eb="104">
      <t>シャカイ</t>
    </rPh>
    <rPh sb="105" eb="106">
      <t>フカ</t>
    </rPh>
    <rPh sb="107" eb="109">
      <t>キヨ</t>
    </rPh>
    <rPh sb="117" eb="119">
      <t>シャカイ</t>
    </rPh>
    <rPh sb="120" eb="121">
      <t>オ</t>
    </rPh>
    <rPh sb="125" eb="127">
      <t>ヘンカ</t>
    </rPh>
    <rPh sb="128" eb="130">
      <t>ガクセイ</t>
    </rPh>
    <rPh sb="132" eb="133">
      <t>ト</t>
    </rPh>
    <rPh sb="134" eb="135">
      <t>マ</t>
    </rPh>
    <rPh sb="136" eb="138">
      <t>カンキョウ</t>
    </rPh>
    <rPh sb="139" eb="141">
      <t>ミッセツ</t>
    </rPh>
    <rPh sb="142" eb="143">
      <t>ムス</t>
    </rPh>
    <rPh sb="149" eb="150">
      <t>コト</t>
    </rPh>
    <rPh sb="151" eb="153">
      <t>リカイ</t>
    </rPh>
    <phoneticPr fontId="1"/>
  </si>
  <si>
    <t xml:space="preserve">
「情報処理基礎実習」では、第8回目「情報処理技術の応用」において、AIや機械学習の概念を学ぶと同時に、薬学分野に限らず様々な分野でビッグデータが利活用されている事を理解し、データ・AI利活用の最新動向について学ぶ。</t>
    <rPh sb="2" eb="4">
      <t>ジョウホウ</t>
    </rPh>
    <rPh sb="4" eb="6">
      <t>ショリ</t>
    </rPh>
    <rPh sb="6" eb="8">
      <t>キソ</t>
    </rPh>
    <rPh sb="8" eb="10">
      <t>ジッシュウ</t>
    </rPh>
    <rPh sb="14" eb="15">
      <t>ダイ</t>
    </rPh>
    <rPh sb="16" eb="18">
      <t>カイメ</t>
    </rPh>
    <rPh sb="19" eb="21">
      <t>ジョウホウ</t>
    </rPh>
    <rPh sb="21" eb="23">
      <t>ショリ</t>
    </rPh>
    <rPh sb="23" eb="25">
      <t>ギジュツ</t>
    </rPh>
    <rPh sb="26" eb="28">
      <t>オウヨウ</t>
    </rPh>
    <rPh sb="37" eb="41">
      <t>キカイガクシュウ</t>
    </rPh>
    <rPh sb="42" eb="44">
      <t>ガイネン</t>
    </rPh>
    <rPh sb="45" eb="46">
      <t>マナ</t>
    </rPh>
    <rPh sb="48" eb="50">
      <t>ドウジ</t>
    </rPh>
    <rPh sb="52" eb="56">
      <t>ヤクガクブンヤ</t>
    </rPh>
    <rPh sb="57" eb="58">
      <t>カギ</t>
    </rPh>
    <rPh sb="60" eb="62">
      <t>サマザマ</t>
    </rPh>
    <rPh sb="63" eb="65">
      <t>ブンヤ</t>
    </rPh>
    <rPh sb="73" eb="74">
      <t>リ</t>
    </rPh>
    <rPh sb="81" eb="82">
      <t>コト</t>
    </rPh>
    <rPh sb="83" eb="85">
      <t>リカイ</t>
    </rPh>
    <rPh sb="93" eb="96">
      <t>リカツヨウ</t>
    </rPh>
    <rPh sb="97" eb="99">
      <t>サイシン</t>
    </rPh>
    <rPh sb="99" eb="101">
      <t>ドウコウ</t>
    </rPh>
    <rPh sb="105" eb="106">
      <t>マナ</t>
    </rPh>
    <phoneticPr fontId="1"/>
  </si>
  <si>
    <t>「情報処理基礎実習」では、第8回「情報処理技術の応用」において、化合物データの取得方法や取り扱い方法について概説し、非常に広範囲にわたってデータが活用されている事を理解し、社会で活用されているデータについて学ぶ。</t>
    <rPh sb="1" eb="3">
      <t>ジョウホウ</t>
    </rPh>
    <rPh sb="3" eb="5">
      <t>ショリ</t>
    </rPh>
    <rPh sb="5" eb="7">
      <t>キソ</t>
    </rPh>
    <rPh sb="7" eb="9">
      <t>ジッシュウ</t>
    </rPh>
    <rPh sb="13" eb="14">
      <t>ダイ</t>
    </rPh>
    <rPh sb="15" eb="16">
      <t>カイ</t>
    </rPh>
    <rPh sb="17" eb="19">
      <t>ジョウホウ</t>
    </rPh>
    <rPh sb="19" eb="21">
      <t>ショリ</t>
    </rPh>
    <rPh sb="21" eb="23">
      <t>ギジュツ</t>
    </rPh>
    <rPh sb="24" eb="26">
      <t>オウヨウ</t>
    </rPh>
    <rPh sb="32" eb="35">
      <t>カゴウブツ</t>
    </rPh>
    <rPh sb="39" eb="41">
      <t>シュトク</t>
    </rPh>
    <rPh sb="41" eb="43">
      <t>ホウホウ</t>
    </rPh>
    <rPh sb="44" eb="45">
      <t>ト</t>
    </rPh>
    <rPh sb="46" eb="47">
      <t>アツカ</t>
    </rPh>
    <rPh sb="48" eb="50">
      <t>ホウホウ</t>
    </rPh>
    <rPh sb="54" eb="56">
      <t>ガイセツ</t>
    </rPh>
    <rPh sb="58" eb="60">
      <t>ヒジョウ</t>
    </rPh>
    <rPh sb="61" eb="64">
      <t>コウハンイ</t>
    </rPh>
    <rPh sb="73" eb="75">
      <t>カツヨウ</t>
    </rPh>
    <rPh sb="80" eb="81">
      <t>コト</t>
    </rPh>
    <rPh sb="82" eb="84">
      <t>リカイ</t>
    </rPh>
    <rPh sb="86" eb="88">
      <t>シャカイ</t>
    </rPh>
    <rPh sb="89" eb="91">
      <t>カツヨウ</t>
    </rPh>
    <rPh sb="103" eb="104">
      <t>マナ</t>
    </rPh>
    <phoneticPr fontId="1"/>
  </si>
  <si>
    <t>「医薬品情報学」では、第5回「医薬品情報源」で医薬品業界におけるデータの種類や利活用の事例をデータ・AIの活用領域として紹介し、データの利活用が日々の薬剤師業務において様々な課題を解決する有用なツールになり得るものであることを学ぶ。</t>
    <rPh sb="1" eb="4">
      <t>イヤクヒン</t>
    </rPh>
    <rPh sb="4" eb="6">
      <t>ジョウホウ</t>
    </rPh>
    <rPh sb="6" eb="7">
      <t>ガク</t>
    </rPh>
    <rPh sb="11" eb="12">
      <t>ダイ</t>
    </rPh>
    <rPh sb="13" eb="14">
      <t>カイ</t>
    </rPh>
    <rPh sb="15" eb="20">
      <t>イヤクヒンジョウホウ</t>
    </rPh>
    <rPh sb="20" eb="21">
      <t>ミナモト</t>
    </rPh>
    <rPh sb="23" eb="26">
      <t>イヤクヒン</t>
    </rPh>
    <rPh sb="26" eb="28">
      <t>ギョウカイ</t>
    </rPh>
    <rPh sb="36" eb="38">
      <t>シュルイ</t>
    </rPh>
    <rPh sb="39" eb="42">
      <t>リカツヨウ</t>
    </rPh>
    <rPh sb="43" eb="45">
      <t>ジレイ</t>
    </rPh>
    <rPh sb="53" eb="55">
      <t>カツヨウ</t>
    </rPh>
    <rPh sb="55" eb="57">
      <t>リョウイキ</t>
    </rPh>
    <rPh sb="60" eb="62">
      <t>ショウカイ</t>
    </rPh>
    <rPh sb="68" eb="71">
      <t>リカツヨウ</t>
    </rPh>
    <rPh sb="72" eb="74">
      <t>ヒビ</t>
    </rPh>
    <rPh sb="75" eb="78">
      <t>ヤクザイシ</t>
    </rPh>
    <rPh sb="78" eb="80">
      <t>ギョウム</t>
    </rPh>
    <rPh sb="84" eb="86">
      <t>サマザマ</t>
    </rPh>
    <rPh sb="87" eb="89">
      <t>カダイ</t>
    </rPh>
    <rPh sb="90" eb="92">
      <t>カイケツ</t>
    </rPh>
    <rPh sb="94" eb="96">
      <t>ユウヨウ</t>
    </rPh>
    <rPh sb="103" eb="104">
      <t>エ</t>
    </rPh>
    <rPh sb="113" eb="114">
      <t>マナ</t>
    </rPh>
    <phoneticPr fontId="1"/>
  </si>
  <si>
    <t>「情報処理基礎実習」では、第10回「発展課題」において、データを収集する技術（ウェブスクレイピング）やデータの定型化（ウェブフォームの活用）、データベース連動処理について学ぶことを通じて、データ・AI利活用のための技術とデータを利活用するための注意点を理解する。</t>
    <rPh sb="1" eb="3">
      <t>ジョウホウ</t>
    </rPh>
    <rPh sb="3" eb="5">
      <t>ショリ</t>
    </rPh>
    <rPh sb="5" eb="7">
      <t>キソ</t>
    </rPh>
    <rPh sb="7" eb="9">
      <t>ジッシュウ</t>
    </rPh>
    <rPh sb="13" eb="14">
      <t>ダイ</t>
    </rPh>
    <rPh sb="16" eb="17">
      <t>カイ</t>
    </rPh>
    <rPh sb="18" eb="20">
      <t>ハッテン</t>
    </rPh>
    <rPh sb="20" eb="22">
      <t>カダイ</t>
    </rPh>
    <rPh sb="32" eb="34">
      <t>シュウシュウ</t>
    </rPh>
    <rPh sb="36" eb="38">
      <t>ギジュツ</t>
    </rPh>
    <rPh sb="55" eb="58">
      <t>テイケイカ</t>
    </rPh>
    <rPh sb="67" eb="69">
      <t>カツヨウ</t>
    </rPh>
    <rPh sb="77" eb="79">
      <t>レンドウ</t>
    </rPh>
    <rPh sb="79" eb="81">
      <t>ショリ</t>
    </rPh>
    <rPh sb="85" eb="86">
      <t>マナ</t>
    </rPh>
    <rPh sb="90" eb="91">
      <t>ツウ</t>
    </rPh>
    <rPh sb="100" eb="103">
      <t>リカツヨウ</t>
    </rPh>
    <rPh sb="107" eb="109">
      <t>ギジュツ</t>
    </rPh>
    <rPh sb="114" eb="117">
      <t>リカツヨウ</t>
    </rPh>
    <rPh sb="122" eb="124">
      <t>チュウイ</t>
    </rPh>
    <rPh sb="124" eb="125">
      <t>テン</t>
    </rPh>
    <rPh sb="126" eb="128">
      <t>リカイ</t>
    </rPh>
    <phoneticPr fontId="1"/>
  </si>
  <si>
    <t>「医薬品情報学」では、第6回「EBM（Evidence Based Medicine）」において、臨床研究データが医療現場において重要な知見として活用されていることについて紹介し、データ・AI利活用の現場について学ぶ。</t>
    <rPh sb="1" eb="4">
      <t>イヤクヒン</t>
    </rPh>
    <rPh sb="4" eb="6">
      <t>ジョウホウ</t>
    </rPh>
    <rPh sb="6" eb="7">
      <t>ガク</t>
    </rPh>
    <rPh sb="11" eb="12">
      <t>ダイ</t>
    </rPh>
    <rPh sb="13" eb="14">
      <t>カイ</t>
    </rPh>
    <rPh sb="49" eb="51">
      <t>リンショウ</t>
    </rPh>
    <rPh sb="51" eb="53">
      <t>ケンキュウ</t>
    </rPh>
    <rPh sb="57" eb="61">
      <t>イリョウゲンバ</t>
    </rPh>
    <rPh sb="65" eb="67">
      <t>ジュウヨウ</t>
    </rPh>
    <rPh sb="68" eb="70">
      <t>チケン</t>
    </rPh>
    <rPh sb="73" eb="75">
      <t>カツヨウ</t>
    </rPh>
    <rPh sb="86" eb="88">
      <t>ショウカイ</t>
    </rPh>
    <rPh sb="96" eb="99">
      <t>リカツヨウ</t>
    </rPh>
    <rPh sb="100" eb="102">
      <t>ゲンバ</t>
    </rPh>
    <rPh sb="106" eb="107">
      <t>マナ</t>
    </rPh>
    <phoneticPr fontId="1"/>
  </si>
  <si>
    <t>「情報処理基礎実習」では、第１回「大学ネットワーク環境の利用」において、現代の学生らを取り巻く高度な情報社会において、個人情報やデータ倫理等、データ・AIを扱う上での留意事項について理解する。
「医薬品情報学」では、第1回「医薬品情報学概論」において、医薬品情報並びに患者情報を取り扱う上で留意すべき基本的事項を概説する。</t>
    <rPh sb="1" eb="3">
      <t>ジョウホウ</t>
    </rPh>
    <rPh sb="3" eb="5">
      <t>ショリ</t>
    </rPh>
    <rPh sb="5" eb="7">
      <t>キソ</t>
    </rPh>
    <rPh sb="7" eb="9">
      <t>ジッシュウ</t>
    </rPh>
    <rPh sb="13" eb="14">
      <t>ダイ</t>
    </rPh>
    <rPh sb="15" eb="16">
      <t>カイ</t>
    </rPh>
    <rPh sb="17" eb="19">
      <t>ダイガク</t>
    </rPh>
    <rPh sb="25" eb="27">
      <t>カンキョウ</t>
    </rPh>
    <rPh sb="28" eb="30">
      <t>リヨウ</t>
    </rPh>
    <rPh sb="36" eb="38">
      <t>ゲンダイ</t>
    </rPh>
    <rPh sb="39" eb="41">
      <t>ガクセイ</t>
    </rPh>
    <rPh sb="43" eb="44">
      <t>ト</t>
    </rPh>
    <rPh sb="45" eb="46">
      <t>マ</t>
    </rPh>
    <rPh sb="47" eb="49">
      <t>コウド</t>
    </rPh>
    <rPh sb="50" eb="52">
      <t>ジョウホウ</t>
    </rPh>
    <rPh sb="52" eb="54">
      <t>シャカイ</t>
    </rPh>
    <rPh sb="59" eb="63">
      <t>コジンジョウホウ</t>
    </rPh>
    <rPh sb="67" eb="69">
      <t>リンリ</t>
    </rPh>
    <rPh sb="69" eb="70">
      <t>トウ</t>
    </rPh>
    <rPh sb="78" eb="79">
      <t>アツカ</t>
    </rPh>
    <rPh sb="80" eb="81">
      <t>ウエ</t>
    </rPh>
    <rPh sb="83" eb="87">
      <t>リュウイジコウ</t>
    </rPh>
    <rPh sb="91" eb="93">
      <t>リカイ</t>
    </rPh>
    <rPh sb="98" eb="101">
      <t>イヤクヒン</t>
    </rPh>
    <rPh sb="101" eb="103">
      <t>ジョウホウ</t>
    </rPh>
    <rPh sb="103" eb="104">
      <t>ガク</t>
    </rPh>
    <rPh sb="108" eb="109">
      <t>ダイ</t>
    </rPh>
    <rPh sb="110" eb="111">
      <t>カイ</t>
    </rPh>
    <rPh sb="112" eb="115">
      <t>イヤクヒン</t>
    </rPh>
    <rPh sb="115" eb="117">
      <t>ジョウホウ</t>
    </rPh>
    <rPh sb="117" eb="118">
      <t>ガク</t>
    </rPh>
    <rPh sb="118" eb="120">
      <t>ガイロン</t>
    </rPh>
    <rPh sb="126" eb="129">
      <t>イヤクヒン</t>
    </rPh>
    <rPh sb="129" eb="131">
      <t>ジョウホウ</t>
    </rPh>
    <rPh sb="131" eb="132">
      <t>ナラ</t>
    </rPh>
    <rPh sb="134" eb="136">
      <t>カンジャ</t>
    </rPh>
    <rPh sb="136" eb="138">
      <t>ジョウホウ</t>
    </rPh>
    <rPh sb="139" eb="140">
      <t>ト</t>
    </rPh>
    <rPh sb="141" eb="142">
      <t>アツカ</t>
    </rPh>
    <rPh sb="143" eb="144">
      <t>ウエ</t>
    </rPh>
    <rPh sb="145" eb="147">
      <t>リュウイ</t>
    </rPh>
    <rPh sb="150" eb="153">
      <t>キホンテキ</t>
    </rPh>
    <rPh sb="153" eb="155">
      <t>ジコウ</t>
    </rPh>
    <rPh sb="156" eb="158">
      <t>ガイセツ</t>
    </rPh>
    <phoneticPr fontId="1"/>
  </si>
  <si>
    <t>「統計学」では、第1回「1変量データの整理」・第2回「2変量データの整理」において、データを読む上で有用なグラフや代表値、相関について学ぶ
「医薬品情報学」では、第7回「生物　統計（１）」において、基本的な統計量について学び、データを読む技能を修得する</t>
    <rPh sb="1" eb="4">
      <t>トウケイガク</t>
    </rPh>
    <rPh sb="8" eb="9">
      <t>ダイ</t>
    </rPh>
    <rPh sb="10" eb="11">
      <t>カイ</t>
    </rPh>
    <rPh sb="13" eb="15">
      <t>ヘンリョウ</t>
    </rPh>
    <rPh sb="19" eb="21">
      <t>セイリ</t>
    </rPh>
    <rPh sb="23" eb="24">
      <t>ダイ</t>
    </rPh>
    <rPh sb="25" eb="26">
      <t>カイ</t>
    </rPh>
    <rPh sb="28" eb="30">
      <t>ヘンリョウ</t>
    </rPh>
    <rPh sb="34" eb="36">
      <t>セイリ</t>
    </rPh>
    <rPh sb="46" eb="47">
      <t>ヨ</t>
    </rPh>
    <rPh sb="48" eb="49">
      <t>ウエ</t>
    </rPh>
    <rPh sb="50" eb="52">
      <t>ユウヨウ</t>
    </rPh>
    <rPh sb="57" eb="60">
      <t>ダイヒョウチ</t>
    </rPh>
    <rPh sb="61" eb="63">
      <t>ソウカン</t>
    </rPh>
    <rPh sb="67" eb="68">
      <t>マナ</t>
    </rPh>
    <rPh sb="71" eb="74">
      <t>イヤクヒン</t>
    </rPh>
    <rPh sb="74" eb="77">
      <t>ジョウホウガク</t>
    </rPh>
    <rPh sb="81" eb="82">
      <t>ダイ</t>
    </rPh>
    <rPh sb="83" eb="84">
      <t>カイ</t>
    </rPh>
    <rPh sb="85" eb="87">
      <t>セイブツ</t>
    </rPh>
    <rPh sb="88" eb="90">
      <t>トウケイ</t>
    </rPh>
    <rPh sb="99" eb="102">
      <t>キホンテキ</t>
    </rPh>
    <rPh sb="103" eb="106">
      <t>トウケイリョウ</t>
    </rPh>
    <rPh sb="110" eb="111">
      <t>マナ</t>
    </rPh>
    <rPh sb="117" eb="118">
      <t>ヨ</t>
    </rPh>
    <rPh sb="119" eb="121">
      <t>ギノウ</t>
    </rPh>
    <rPh sb="122" eb="124">
      <t>シュウトク</t>
    </rPh>
    <phoneticPr fontId="1"/>
  </si>
  <si>
    <t>「統計学」では、第3回「確率分布（１）」・第4回「確率分布（２）」・第5回「確率分布（３）」・第6回「確率分布（４）」において、データを説明する上で有用な、代表的な確率分布について学ぶ。
「医薬品情報学」では、第8回「生物統計（2）」において、代表的な分布（正規分布、ｔ分布、二項分布、ポアソン分布、χ2乗分布、F分布）、二群間の差の検定について学び、データを説明する手法について理解する。</t>
    <rPh sb="1" eb="4">
      <t>トウケイガク</t>
    </rPh>
    <rPh sb="8" eb="9">
      <t>ダイ</t>
    </rPh>
    <rPh sb="10" eb="11">
      <t>カイ</t>
    </rPh>
    <rPh sb="12" eb="14">
      <t>カクリツ</t>
    </rPh>
    <rPh sb="14" eb="16">
      <t>ブンプ</t>
    </rPh>
    <rPh sb="21" eb="22">
      <t>ダイ</t>
    </rPh>
    <rPh sb="23" eb="24">
      <t>カイ</t>
    </rPh>
    <rPh sb="25" eb="27">
      <t>カクリツ</t>
    </rPh>
    <rPh sb="27" eb="29">
      <t>ブンプ</t>
    </rPh>
    <rPh sb="34" eb="35">
      <t>ダイ</t>
    </rPh>
    <rPh sb="36" eb="37">
      <t>カイ</t>
    </rPh>
    <rPh sb="38" eb="40">
      <t>カクリツ</t>
    </rPh>
    <rPh sb="40" eb="42">
      <t>ブンプ</t>
    </rPh>
    <rPh sb="47" eb="48">
      <t>ダイ</t>
    </rPh>
    <rPh sb="49" eb="50">
      <t>カイ</t>
    </rPh>
    <rPh sb="51" eb="53">
      <t>カクリツ</t>
    </rPh>
    <rPh sb="53" eb="55">
      <t>ブンプ</t>
    </rPh>
    <rPh sb="68" eb="70">
      <t>セツメイ</t>
    </rPh>
    <rPh sb="72" eb="73">
      <t>ウエ</t>
    </rPh>
    <rPh sb="74" eb="76">
      <t>ユウヨウ</t>
    </rPh>
    <rPh sb="78" eb="81">
      <t>ダイヒョウテキ</t>
    </rPh>
    <rPh sb="82" eb="84">
      <t>カクリツ</t>
    </rPh>
    <rPh sb="84" eb="86">
      <t>ブンプ</t>
    </rPh>
    <rPh sb="90" eb="91">
      <t>マナ</t>
    </rPh>
    <rPh sb="95" eb="98">
      <t>イヤクヒン</t>
    </rPh>
    <rPh sb="98" eb="100">
      <t>ジョウホウ</t>
    </rPh>
    <rPh sb="100" eb="101">
      <t>ガク</t>
    </rPh>
    <rPh sb="105" eb="106">
      <t>ダイ</t>
    </rPh>
    <rPh sb="107" eb="108">
      <t>カイ</t>
    </rPh>
    <rPh sb="109" eb="111">
      <t>セイブツ</t>
    </rPh>
    <rPh sb="111" eb="113">
      <t>トウケイ</t>
    </rPh>
    <rPh sb="122" eb="125">
      <t>ダイヒョウテキ</t>
    </rPh>
    <rPh sb="126" eb="128">
      <t>ブンプ</t>
    </rPh>
    <rPh sb="152" eb="153">
      <t>ジョウ</t>
    </rPh>
    <rPh sb="173" eb="174">
      <t>マナ</t>
    </rPh>
    <rPh sb="180" eb="182">
      <t>セツメイ</t>
    </rPh>
    <rPh sb="184" eb="186">
      <t>シュホウ</t>
    </rPh>
    <rPh sb="190" eb="192">
      <t>リカイ</t>
    </rPh>
    <phoneticPr fontId="1"/>
  </si>
  <si>
    <t>「情報処理基礎実習」において、第7回「表計算ソフトの操作法」・第9回「ITリテラシーの発展」においてデータを扱うツールの習熟を図る。
「医薬品情報」において、第9回「臨床研究デザインと解析」において、臨床研究（治験を含む）の代表的な手法、観察研究での主な疫学研究デザイン、介入研究の効果指標、有効性・安全性の主なパラメータについて学び、臨床研究によって得られるデータを扱う手法を理解する。</t>
    <rPh sb="1" eb="3">
      <t>ジョウホウ</t>
    </rPh>
    <rPh sb="3" eb="5">
      <t>ショリ</t>
    </rPh>
    <rPh sb="5" eb="7">
      <t>キソ</t>
    </rPh>
    <rPh sb="7" eb="9">
      <t>ジッシュウ</t>
    </rPh>
    <rPh sb="15" eb="16">
      <t>ダイ</t>
    </rPh>
    <rPh sb="17" eb="18">
      <t>カイ</t>
    </rPh>
    <rPh sb="19" eb="20">
      <t>ヒョウ</t>
    </rPh>
    <rPh sb="20" eb="22">
      <t>ケイサン</t>
    </rPh>
    <rPh sb="26" eb="28">
      <t>ソウサ</t>
    </rPh>
    <rPh sb="28" eb="29">
      <t>ホウ</t>
    </rPh>
    <rPh sb="31" eb="32">
      <t>ダイ</t>
    </rPh>
    <rPh sb="33" eb="34">
      <t>カイ</t>
    </rPh>
    <rPh sb="43" eb="45">
      <t>ハッテン</t>
    </rPh>
    <rPh sb="54" eb="55">
      <t>アツカ</t>
    </rPh>
    <rPh sb="60" eb="62">
      <t>シュウジュク</t>
    </rPh>
    <rPh sb="63" eb="64">
      <t>ハカ</t>
    </rPh>
    <rPh sb="68" eb="71">
      <t>イヤクヒン</t>
    </rPh>
    <rPh sb="71" eb="73">
      <t>ジョウホウ</t>
    </rPh>
    <rPh sb="79" eb="80">
      <t>ダイ</t>
    </rPh>
    <rPh sb="81" eb="82">
      <t>カイ</t>
    </rPh>
    <rPh sb="83" eb="85">
      <t>リンショウ</t>
    </rPh>
    <rPh sb="85" eb="87">
      <t>ケンキュウ</t>
    </rPh>
    <rPh sb="92" eb="94">
      <t>カイセキ</t>
    </rPh>
    <rPh sb="165" eb="166">
      <t>マナ</t>
    </rPh>
    <rPh sb="168" eb="170">
      <t>リンショウ</t>
    </rPh>
    <rPh sb="170" eb="172">
      <t>ケンキュウ</t>
    </rPh>
    <rPh sb="176" eb="177">
      <t>エ</t>
    </rPh>
    <rPh sb="184" eb="185">
      <t>アツカ</t>
    </rPh>
    <rPh sb="186" eb="188">
      <t>シュホウ</t>
    </rPh>
    <rPh sb="189" eb="191">
      <t>リカイ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</si>
</sst>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9">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0" xfId="0" applyFont="1" applyFill="1" applyAlignment="1">
      <alignment vertical="top" wrapText="1"/>
    </xf>
    <xf numFmtId="0" fontId="2" fillId="2" borderId="0" xfId="0" applyFont="1" applyFill="1">
      <alignment vertical="center"/>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1" xfId="0" applyFont="1" applyBorder="1" applyAlignment="1">
      <alignment horizontal="center"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2" fillId="0" borderId="48" xfId="0" applyFont="1" applyBorder="1" applyAlignment="1">
      <alignment horizontal="left" vertical="center" shrinkToFit="1"/>
    </xf>
    <xf numFmtId="38" fontId="2" fillId="0" borderId="45" xfId="2" applyFont="1" applyFill="1" applyBorder="1" applyAlignment="1">
      <alignment vertical="center" shrinkToFit="1"/>
    </xf>
    <xf numFmtId="38" fontId="2" fillId="0" borderId="0" xfId="2" applyFont="1" applyFill="1" applyAlignment="1">
      <alignment vertical="center" shrinkToFit="1"/>
    </xf>
    <xf numFmtId="38" fontId="2" fillId="0" borderId="5" xfId="2" applyFont="1" applyFill="1" applyBorder="1" applyAlignment="1">
      <alignment vertical="center" shrinkToFit="1"/>
    </xf>
    <xf numFmtId="0" fontId="3" fillId="0" borderId="37" xfId="0" applyFont="1" applyBorder="1" applyAlignment="1">
      <alignment vertical="top" shrinkToFit="1"/>
    </xf>
    <xf numFmtId="0" fontId="3" fillId="0" borderId="38" xfId="0" applyFont="1" applyBorder="1" applyAlignment="1">
      <alignment vertical="top" shrinkToFit="1"/>
    </xf>
    <xf numFmtId="9" fontId="2" fillId="0" borderId="14" xfId="0" applyNumberFormat="1" applyFont="1" applyBorder="1" applyAlignment="1">
      <alignment vertical="center" shrinkToFit="1"/>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3"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colors>
    <mruColors>
      <color rgb="FF66FF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topLeftCell="A103" zoomScaleNormal="100" zoomScaleSheetLayoutView="100" workbookViewId="0">
      <selection activeCell="D99" sqref="D99:U101"/>
    </sheetView>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2"/>
      <c r="B1" s="72"/>
      <c r="C1" s="72"/>
      <c r="D1" s="72"/>
      <c r="E1" s="72"/>
      <c r="F1" s="72"/>
      <c r="G1" s="72"/>
      <c r="H1" s="72"/>
      <c r="I1" s="72"/>
      <c r="J1" s="72"/>
      <c r="K1" s="72"/>
      <c r="L1" s="72"/>
      <c r="M1" s="72"/>
      <c r="N1" s="72"/>
      <c r="O1" s="72"/>
      <c r="P1" s="72"/>
      <c r="Q1" s="72"/>
      <c r="R1" s="72"/>
      <c r="S1" s="72"/>
      <c r="T1" s="137" t="s">
        <v>12</v>
      </c>
      <c r="U1" s="137"/>
      <c r="V1" s="2" t="s">
        <v>100</v>
      </c>
    </row>
    <row r="2" spans="1:24" ht="18.75" customHeight="1" x14ac:dyDescent="0.15">
      <c r="A2" s="72"/>
      <c r="B2" s="74" t="s">
        <v>99</v>
      </c>
      <c r="C2" s="138" t="s">
        <v>136</v>
      </c>
      <c r="D2" s="139"/>
      <c r="E2" s="139"/>
      <c r="F2" s="139"/>
      <c r="G2" s="139"/>
      <c r="H2" s="139"/>
      <c r="I2" s="139"/>
      <c r="J2" s="140"/>
      <c r="K2" s="73"/>
      <c r="L2" s="75"/>
      <c r="M2" s="75"/>
      <c r="N2" s="75"/>
      <c r="O2" s="75"/>
      <c r="P2" s="75"/>
      <c r="Q2" s="75"/>
      <c r="R2" s="75"/>
      <c r="S2" s="75"/>
      <c r="T2" s="75"/>
      <c r="U2" s="75"/>
    </row>
    <row r="3" spans="1:24" ht="18.75" customHeight="1" x14ac:dyDescent="0.15">
      <c r="A3" s="72"/>
      <c r="B3" s="74" t="s">
        <v>94</v>
      </c>
      <c r="C3" s="141" t="s">
        <v>166</v>
      </c>
      <c r="D3" s="142"/>
      <c r="E3" s="142"/>
      <c r="F3" s="142"/>
      <c r="G3" s="142"/>
      <c r="H3" s="142"/>
      <c r="I3" s="142"/>
      <c r="J3" s="143"/>
      <c r="K3" s="73"/>
      <c r="L3" s="75"/>
      <c r="M3" s="75"/>
      <c r="N3" s="75"/>
      <c r="O3" s="75"/>
      <c r="P3" s="75"/>
      <c r="Q3" s="75"/>
      <c r="R3" s="75"/>
      <c r="S3" s="75"/>
      <c r="T3" s="75"/>
      <c r="U3" s="75"/>
    </row>
    <row r="4" spans="1:24" ht="15" customHeight="1" x14ac:dyDescent="0.15">
      <c r="A4" s="72"/>
      <c r="B4" s="72"/>
      <c r="C4" s="72"/>
      <c r="D4" s="72"/>
      <c r="E4" s="72"/>
      <c r="F4" s="72"/>
      <c r="G4" s="72"/>
      <c r="H4" s="72"/>
      <c r="I4" s="72"/>
      <c r="J4" s="72"/>
      <c r="K4" s="72"/>
      <c r="L4" s="73"/>
      <c r="M4" s="76"/>
      <c r="N4" s="76"/>
      <c r="O4" s="76"/>
      <c r="P4" s="76"/>
      <c r="Q4" s="76"/>
      <c r="R4" s="76"/>
      <c r="S4" s="76"/>
      <c r="T4" s="76"/>
      <c r="U4" s="76"/>
    </row>
    <row r="5" spans="1:24" ht="18" customHeight="1" x14ac:dyDescent="0.15">
      <c r="A5" s="118" t="s">
        <v>38</v>
      </c>
      <c r="B5" s="118"/>
      <c r="C5" s="118"/>
      <c r="D5" s="118"/>
      <c r="E5" s="118"/>
      <c r="F5" s="118"/>
      <c r="G5" s="118"/>
      <c r="H5" s="118"/>
      <c r="I5" s="118"/>
      <c r="J5" s="118"/>
      <c r="K5" s="118"/>
      <c r="L5" s="118"/>
      <c r="M5" s="118"/>
      <c r="N5" s="118"/>
      <c r="O5" s="118"/>
      <c r="P5" s="118"/>
      <c r="Q5" s="118"/>
      <c r="R5" s="118"/>
      <c r="S5" s="118"/>
      <c r="T5" s="118"/>
      <c r="U5" s="118"/>
    </row>
    <row r="6" spans="1:24" ht="15" customHeight="1" x14ac:dyDescent="0.15">
      <c r="A6" s="72"/>
      <c r="B6" s="77"/>
      <c r="C6" s="77"/>
      <c r="D6" s="77"/>
      <c r="E6" s="77"/>
      <c r="F6" s="77"/>
      <c r="G6" s="77"/>
      <c r="H6" s="77"/>
      <c r="I6" s="77"/>
      <c r="J6" s="77"/>
      <c r="K6" s="77"/>
      <c r="L6" s="77"/>
      <c r="M6" s="77"/>
      <c r="N6" s="77"/>
      <c r="O6" s="77"/>
      <c r="P6" s="77"/>
      <c r="Q6" s="77"/>
      <c r="R6" s="77"/>
      <c r="S6" s="77"/>
      <c r="T6" s="77"/>
      <c r="U6" s="77"/>
    </row>
    <row r="7" spans="1:24" ht="15" customHeight="1" x14ac:dyDescent="0.15">
      <c r="A7" s="72" t="s">
        <v>131</v>
      </c>
      <c r="B7" s="77"/>
      <c r="C7" s="77"/>
      <c r="D7" s="77"/>
      <c r="E7" s="77"/>
      <c r="F7" s="71"/>
      <c r="G7" s="71"/>
      <c r="H7" s="71"/>
      <c r="I7" s="71"/>
      <c r="J7" s="71"/>
      <c r="K7" s="71"/>
      <c r="L7" s="141" t="s">
        <v>148</v>
      </c>
      <c r="M7" s="142"/>
      <c r="N7" s="142"/>
      <c r="O7" s="142"/>
      <c r="P7" s="142"/>
      <c r="Q7" s="142"/>
      <c r="R7" s="142"/>
      <c r="S7" s="142"/>
      <c r="T7" s="142"/>
      <c r="U7" s="143"/>
    </row>
    <row r="8" spans="1:24" ht="6" customHeight="1" x14ac:dyDescent="0.15">
      <c r="A8" s="72"/>
      <c r="B8" s="77"/>
      <c r="C8" s="77"/>
      <c r="D8" s="77"/>
      <c r="E8" s="77"/>
      <c r="F8" s="77"/>
      <c r="G8" s="77"/>
      <c r="H8" s="77"/>
      <c r="I8" s="77"/>
      <c r="J8" s="77"/>
      <c r="K8" s="77"/>
      <c r="L8" s="77"/>
      <c r="M8" s="77"/>
      <c r="N8" s="77"/>
      <c r="O8" s="77"/>
      <c r="P8" s="77"/>
      <c r="Q8" s="77"/>
      <c r="R8" s="77"/>
      <c r="S8" s="77"/>
      <c r="T8" s="77"/>
      <c r="U8" s="77"/>
    </row>
    <row r="9" spans="1:24" ht="18" customHeight="1" x14ac:dyDescent="0.15">
      <c r="A9" s="72" t="s">
        <v>132</v>
      </c>
      <c r="B9" s="72"/>
      <c r="C9" s="77"/>
      <c r="D9" s="77"/>
      <c r="E9" s="72"/>
      <c r="F9" s="72"/>
      <c r="G9" s="72"/>
      <c r="H9" s="72"/>
      <c r="I9" s="72"/>
      <c r="J9" s="72"/>
      <c r="K9" s="73"/>
      <c r="L9" s="71"/>
      <c r="M9" s="71"/>
      <c r="N9" s="71"/>
      <c r="O9" s="71"/>
      <c r="P9" s="71"/>
      <c r="Q9" s="71"/>
      <c r="R9" s="71"/>
      <c r="S9" s="71"/>
      <c r="T9" s="71"/>
      <c r="U9" s="71"/>
    </row>
    <row r="10" spans="1:24" ht="6" customHeight="1" x14ac:dyDescent="0.15">
      <c r="A10" s="72"/>
      <c r="B10" s="77"/>
      <c r="C10" s="77"/>
      <c r="D10" s="77"/>
      <c r="E10" s="77"/>
      <c r="F10" s="77"/>
      <c r="G10" s="77"/>
      <c r="H10" s="77"/>
      <c r="I10" s="77"/>
      <c r="J10" s="77"/>
      <c r="K10" s="77"/>
      <c r="L10" s="78"/>
      <c r="M10" s="77"/>
      <c r="N10" s="77"/>
      <c r="O10" s="77"/>
      <c r="P10" s="77"/>
      <c r="Q10" s="77"/>
      <c r="R10" s="77"/>
      <c r="S10" s="77"/>
      <c r="T10" s="77"/>
      <c r="U10" s="77"/>
    </row>
    <row r="11" spans="1:24" ht="18" customHeight="1" x14ac:dyDescent="0.15">
      <c r="A11" s="72"/>
      <c r="B11" s="157"/>
      <c r="C11" s="158"/>
      <c r="D11" s="158"/>
      <c r="E11" s="158"/>
      <c r="F11" s="158"/>
      <c r="G11" s="158"/>
      <c r="H11" s="158"/>
      <c r="I11" s="158"/>
      <c r="J11" s="158"/>
      <c r="K11" s="158"/>
      <c r="L11" s="158"/>
      <c r="M11" s="158"/>
      <c r="N11" s="158"/>
      <c r="O11" s="158"/>
      <c r="P11" s="158"/>
      <c r="Q11" s="158"/>
      <c r="R11" s="158"/>
      <c r="S11" s="158"/>
      <c r="T11" s="158"/>
      <c r="U11" s="159"/>
    </row>
    <row r="12" spans="1:24" ht="18" customHeight="1" x14ac:dyDescent="0.15">
      <c r="A12" s="72"/>
      <c r="B12" s="160"/>
      <c r="C12" s="161"/>
      <c r="D12" s="161"/>
      <c r="E12" s="161"/>
      <c r="F12" s="161"/>
      <c r="G12" s="161"/>
      <c r="H12" s="161"/>
      <c r="I12" s="161"/>
      <c r="J12" s="161"/>
      <c r="K12" s="161"/>
      <c r="L12" s="161"/>
      <c r="M12" s="161"/>
      <c r="N12" s="161"/>
      <c r="O12" s="161"/>
      <c r="P12" s="161"/>
      <c r="Q12" s="161"/>
      <c r="R12" s="161"/>
      <c r="S12" s="161"/>
      <c r="T12" s="161"/>
      <c r="U12" s="162"/>
    </row>
    <row r="13" spans="1:24" ht="6" customHeight="1" x14ac:dyDescent="0.15">
      <c r="A13" s="72"/>
      <c r="B13" s="77"/>
      <c r="C13" s="77"/>
      <c r="D13" s="77"/>
      <c r="E13" s="77"/>
      <c r="F13" s="77"/>
      <c r="G13" s="77"/>
      <c r="H13" s="77"/>
      <c r="I13" s="77"/>
      <c r="J13" s="77"/>
      <c r="K13" s="77"/>
      <c r="L13" s="78"/>
      <c r="M13" s="77"/>
      <c r="N13" s="77"/>
      <c r="O13" s="77"/>
      <c r="P13" s="77"/>
      <c r="Q13" s="77"/>
      <c r="R13" s="77"/>
      <c r="S13" s="77"/>
      <c r="T13" s="77"/>
      <c r="U13" s="77"/>
    </row>
    <row r="14" spans="1:24" ht="18" customHeight="1" x14ac:dyDescent="0.15">
      <c r="A14" s="72" t="s">
        <v>101</v>
      </c>
      <c r="B14" s="77"/>
      <c r="C14" s="77"/>
      <c r="D14" s="77"/>
      <c r="E14" s="73"/>
      <c r="F14" s="73"/>
      <c r="G14" s="73"/>
      <c r="H14" s="73"/>
      <c r="I14" s="73"/>
      <c r="J14" s="73"/>
      <c r="K14" s="73"/>
      <c r="L14" s="79"/>
      <c r="M14" s="79"/>
      <c r="N14" s="79"/>
      <c r="O14" s="79"/>
      <c r="P14" s="79"/>
      <c r="Q14" s="79"/>
      <c r="R14" s="79"/>
      <c r="S14" s="79"/>
      <c r="T14" s="79"/>
      <c r="U14" s="79"/>
    </row>
    <row r="15" spans="1:24" ht="18" customHeight="1" x14ac:dyDescent="0.15">
      <c r="A15" s="72"/>
      <c r="B15" s="119" t="s">
        <v>157</v>
      </c>
      <c r="C15" s="120"/>
      <c r="D15" s="120"/>
      <c r="E15" s="120"/>
      <c r="F15" s="120"/>
      <c r="G15" s="120"/>
      <c r="H15" s="120"/>
      <c r="I15" s="120"/>
      <c r="J15" s="120"/>
      <c r="K15" s="120"/>
      <c r="L15" s="120"/>
      <c r="M15" s="120"/>
      <c r="N15" s="120"/>
      <c r="O15" s="120"/>
      <c r="P15" s="120"/>
      <c r="Q15" s="120"/>
      <c r="R15" s="120"/>
      <c r="S15" s="120"/>
      <c r="T15" s="120"/>
      <c r="U15" s="121"/>
      <c r="X15" s="1" t="s">
        <v>95</v>
      </c>
    </row>
    <row r="16" spans="1:24" ht="18" customHeight="1" x14ac:dyDescent="0.15">
      <c r="A16" s="72"/>
      <c r="B16" s="122"/>
      <c r="C16" s="123"/>
      <c r="D16" s="123"/>
      <c r="E16" s="123"/>
      <c r="F16" s="123"/>
      <c r="G16" s="123"/>
      <c r="H16" s="123"/>
      <c r="I16" s="123"/>
      <c r="J16" s="123"/>
      <c r="K16" s="123"/>
      <c r="L16" s="123"/>
      <c r="M16" s="123"/>
      <c r="N16" s="123"/>
      <c r="O16" s="123"/>
      <c r="P16" s="123"/>
      <c r="Q16" s="123"/>
      <c r="R16" s="123"/>
      <c r="S16" s="123"/>
      <c r="T16" s="123"/>
      <c r="U16" s="124"/>
      <c r="X16" s="1" t="s">
        <v>115</v>
      </c>
    </row>
    <row r="17" spans="1:24" ht="18" customHeight="1" x14ac:dyDescent="0.15">
      <c r="A17" s="72"/>
      <c r="B17" s="122"/>
      <c r="C17" s="123"/>
      <c r="D17" s="123"/>
      <c r="E17" s="123"/>
      <c r="F17" s="123"/>
      <c r="G17" s="123"/>
      <c r="H17" s="123"/>
      <c r="I17" s="123"/>
      <c r="J17" s="123"/>
      <c r="K17" s="123"/>
      <c r="L17" s="123"/>
      <c r="M17" s="123"/>
      <c r="N17" s="123"/>
      <c r="O17" s="123"/>
      <c r="P17" s="123"/>
      <c r="Q17" s="123"/>
      <c r="R17" s="123"/>
      <c r="S17" s="123"/>
      <c r="T17" s="123"/>
      <c r="U17" s="124"/>
      <c r="X17" s="1" t="s">
        <v>116</v>
      </c>
    </row>
    <row r="18" spans="1:24" ht="18" customHeight="1" x14ac:dyDescent="0.15">
      <c r="A18" s="72"/>
      <c r="B18" s="122"/>
      <c r="C18" s="123"/>
      <c r="D18" s="123"/>
      <c r="E18" s="123"/>
      <c r="F18" s="123"/>
      <c r="G18" s="123"/>
      <c r="H18" s="123"/>
      <c r="I18" s="123"/>
      <c r="J18" s="123"/>
      <c r="K18" s="123"/>
      <c r="L18" s="123"/>
      <c r="M18" s="123"/>
      <c r="N18" s="123"/>
      <c r="O18" s="123"/>
      <c r="P18" s="123"/>
      <c r="Q18" s="123"/>
      <c r="R18" s="123"/>
      <c r="S18" s="123"/>
      <c r="T18" s="123"/>
      <c r="U18" s="124"/>
      <c r="X18" s="1" t="s">
        <v>117</v>
      </c>
    </row>
    <row r="19" spans="1:24" ht="18" customHeight="1" x14ac:dyDescent="0.15">
      <c r="A19" s="72"/>
      <c r="B19" s="122"/>
      <c r="C19" s="123"/>
      <c r="D19" s="123"/>
      <c r="E19" s="123"/>
      <c r="F19" s="123"/>
      <c r="G19" s="123"/>
      <c r="H19" s="123"/>
      <c r="I19" s="123"/>
      <c r="J19" s="123"/>
      <c r="K19" s="123"/>
      <c r="L19" s="123"/>
      <c r="M19" s="123"/>
      <c r="N19" s="123"/>
      <c r="O19" s="123"/>
      <c r="P19" s="123"/>
      <c r="Q19" s="123"/>
      <c r="R19" s="123"/>
      <c r="S19" s="123"/>
      <c r="T19" s="123"/>
      <c r="U19" s="124"/>
    </row>
    <row r="20" spans="1:24" ht="18" customHeight="1" x14ac:dyDescent="0.15">
      <c r="A20" s="72"/>
      <c r="B20" s="125"/>
      <c r="C20" s="126"/>
      <c r="D20" s="126"/>
      <c r="E20" s="126"/>
      <c r="F20" s="126"/>
      <c r="G20" s="126"/>
      <c r="H20" s="126"/>
      <c r="I20" s="126"/>
      <c r="J20" s="126"/>
      <c r="K20" s="126"/>
      <c r="L20" s="126"/>
      <c r="M20" s="126"/>
      <c r="N20" s="126"/>
      <c r="O20" s="126"/>
      <c r="P20" s="126"/>
      <c r="Q20" s="126"/>
      <c r="R20" s="126"/>
      <c r="S20" s="126"/>
      <c r="T20" s="126"/>
      <c r="U20" s="127"/>
    </row>
    <row r="21" spans="1:24" ht="7.5" customHeight="1" x14ac:dyDescent="0.15">
      <c r="A21" s="72"/>
      <c r="B21" s="77"/>
      <c r="C21" s="77"/>
      <c r="D21" s="77"/>
      <c r="E21" s="77"/>
      <c r="F21" s="77"/>
      <c r="G21" s="77"/>
      <c r="H21" s="77"/>
      <c r="I21" s="77"/>
      <c r="J21" s="77"/>
      <c r="K21" s="77"/>
      <c r="L21" s="77"/>
      <c r="M21" s="77"/>
      <c r="N21" s="77"/>
      <c r="O21" s="77"/>
      <c r="P21" s="77"/>
      <c r="Q21" s="77"/>
      <c r="R21" s="77"/>
      <c r="S21" s="77"/>
      <c r="T21" s="77"/>
      <c r="U21" s="77"/>
    </row>
    <row r="22" spans="1:24" ht="19.899999999999999" customHeight="1" x14ac:dyDescent="0.15">
      <c r="A22" s="72"/>
      <c r="B22" s="72" t="s">
        <v>133</v>
      </c>
      <c r="C22" s="72"/>
      <c r="D22" s="72"/>
      <c r="E22" s="80">
        <v>3</v>
      </c>
      <c r="F22" s="72" t="s">
        <v>113</v>
      </c>
      <c r="G22" s="72"/>
      <c r="H22" s="81">
        <v>4</v>
      </c>
      <c r="I22" s="77" t="s">
        <v>114</v>
      </c>
      <c r="J22" s="77"/>
      <c r="K22" s="73"/>
      <c r="L22" s="72"/>
      <c r="M22" s="73" t="s">
        <v>110</v>
      </c>
      <c r="N22" s="154" t="s">
        <v>115</v>
      </c>
      <c r="O22" s="155"/>
      <c r="P22" s="155"/>
      <c r="Q22" s="155"/>
      <c r="R22" s="155"/>
      <c r="S22" s="155"/>
      <c r="T22" s="155"/>
      <c r="U22" s="156"/>
    </row>
    <row r="23" spans="1:24" ht="7.5" customHeight="1" x14ac:dyDescent="0.15">
      <c r="A23" s="72"/>
      <c r="B23" s="77"/>
      <c r="C23" s="77"/>
      <c r="D23" s="77"/>
      <c r="E23" s="77"/>
      <c r="F23" s="77"/>
      <c r="G23" s="77"/>
      <c r="H23" s="77"/>
      <c r="I23" s="77"/>
      <c r="J23" s="77"/>
      <c r="K23" s="77"/>
      <c r="L23" s="77"/>
      <c r="M23" s="77"/>
      <c r="N23" s="77"/>
      <c r="O23" s="77"/>
      <c r="P23" s="77"/>
      <c r="Q23" s="77"/>
      <c r="R23" s="77"/>
      <c r="S23" s="77"/>
      <c r="T23" s="77"/>
      <c r="U23" s="77"/>
    </row>
    <row r="24" spans="1:24" ht="18" customHeight="1" x14ac:dyDescent="0.15">
      <c r="A24" s="128" t="s">
        <v>102</v>
      </c>
      <c r="B24" s="128"/>
      <c r="C24" s="128"/>
      <c r="D24" s="128"/>
      <c r="E24" s="128"/>
      <c r="F24" s="128"/>
      <c r="G24" s="128"/>
      <c r="H24" s="128"/>
      <c r="I24" s="128"/>
      <c r="J24" s="128"/>
      <c r="K24" s="128"/>
      <c r="L24" s="128"/>
      <c r="M24" s="128"/>
      <c r="N24" s="128"/>
      <c r="O24" s="128"/>
      <c r="P24" s="128"/>
      <c r="Q24" s="128"/>
      <c r="R24" s="128"/>
      <c r="S24" s="128"/>
      <c r="T24" s="128"/>
      <c r="U24" s="128"/>
    </row>
    <row r="25" spans="1:24" ht="18" customHeight="1" x14ac:dyDescent="0.15">
      <c r="A25" s="128"/>
      <c r="B25" s="128"/>
      <c r="C25" s="128"/>
      <c r="D25" s="128"/>
      <c r="E25" s="128"/>
      <c r="F25" s="128"/>
      <c r="G25" s="128"/>
      <c r="H25" s="128"/>
      <c r="I25" s="128"/>
      <c r="J25" s="128"/>
      <c r="K25" s="128"/>
      <c r="L25" s="128"/>
      <c r="M25" s="128"/>
      <c r="N25" s="128"/>
      <c r="O25" s="128"/>
      <c r="P25" s="128"/>
      <c r="Q25" s="128"/>
      <c r="R25" s="128"/>
      <c r="S25" s="128"/>
      <c r="T25" s="128"/>
      <c r="U25" s="128"/>
    </row>
    <row r="26" spans="1:24" ht="18" customHeight="1" x14ac:dyDescent="0.15">
      <c r="B26" s="94" t="s">
        <v>52</v>
      </c>
      <c r="C26" s="95"/>
      <c r="D26" s="95"/>
      <c r="E26" s="95"/>
      <c r="F26" s="96"/>
      <c r="G26" s="49" t="s">
        <v>78</v>
      </c>
      <c r="H26" s="48" t="s">
        <v>81</v>
      </c>
      <c r="I26" s="17" t="s">
        <v>55</v>
      </c>
      <c r="J26" s="17" t="s">
        <v>58</v>
      </c>
      <c r="K26" s="94" t="s">
        <v>52</v>
      </c>
      <c r="L26" s="95"/>
      <c r="M26" s="95"/>
      <c r="N26" s="95"/>
      <c r="O26" s="95"/>
      <c r="P26" s="95"/>
      <c r="Q26" s="96"/>
      <c r="R26" s="49" t="s">
        <v>78</v>
      </c>
      <c r="S26" s="48" t="s">
        <v>81</v>
      </c>
      <c r="T26" s="17" t="s">
        <v>55</v>
      </c>
      <c r="U26" s="17" t="s">
        <v>58</v>
      </c>
    </row>
    <row r="27" spans="1:24" ht="18" customHeight="1" x14ac:dyDescent="0.15">
      <c r="B27" s="105" t="s">
        <v>137</v>
      </c>
      <c r="C27" s="106"/>
      <c r="D27" s="106"/>
      <c r="E27" s="106"/>
      <c r="F27" s="107"/>
      <c r="G27" s="18">
        <v>1</v>
      </c>
      <c r="H27" s="18" t="s">
        <v>138</v>
      </c>
      <c r="I27" s="18" t="s">
        <v>138</v>
      </c>
      <c r="J27" s="18" t="s">
        <v>138</v>
      </c>
      <c r="K27" s="105"/>
      <c r="L27" s="106"/>
      <c r="M27" s="106"/>
      <c r="N27" s="106"/>
      <c r="O27" s="106"/>
      <c r="P27" s="106"/>
      <c r="Q27" s="107"/>
      <c r="R27" s="18"/>
      <c r="S27" s="18"/>
      <c r="T27" s="18"/>
      <c r="U27" s="18"/>
    </row>
    <row r="28" spans="1:24" ht="18" customHeight="1" x14ac:dyDescent="0.15">
      <c r="B28" s="97"/>
      <c r="C28" s="98"/>
      <c r="D28" s="98"/>
      <c r="E28" s="98"/>
      <c r="F28" s="99"/>
      <c r="G28" s="19"/>
      <c r="H28" s="19"/>
      <c r="I28" s="19"/>
      <c r="J28" s="19"/>
      <c r="K28" s="97"/>
      <c r="L28" s="98"/>
      <c r="M28" s="98"/>
      <c r="N28" s="98"/>
      <c r="O28" s="98"/>
      <c r="P28" s="98"/>
      <c r="Q28" s="99"/>
      <c r="R28" s="19"/>
      <c r="S28" s="19"/>
      <c r="T28" s="19"/>
      <c r="U28" s="19"/>
    </row>
    <row r="29" spans="1:24" ht="18" customHeight="1" x14ac:dyDescent="0.15">
      <c r="B29" s="97"/>
      <c r="C29" s="98"/>
      <c r="D29" s="98"/>
      <c r="E29" s="98"/>
      <c r="F29" s="99"/>
      <c r="G29" s="19"/>
      <c r="H29" s="19"/>
      <c r="I29" s="19"/>
      <c r="J29" s="19"/>
      <c r="K29" s="97"/>
      <c r="L29" s="98"/>
      <c r="M29" s="98"/>
      <c r="N29" s="98"/>
      <c r="O29" s="98"/>
      <c r="P29" s="98"/>
      <c r="Q29" s="99"/>
      <c r="R29" s="19"/>
      <c r="S29" s="19"/>
      <c r="T29" s="19"/>
      <c r="U29" s="19"/>
    </row>
    <row r="30" spans="1:24" ht="18" customHeight="1" x14ac:dyDescent="0.15">
      <c r="B30" s="97"/>
      <c r="C30" s="98"/>
      <c r="D30" s="98"/>
      <c r="E30" s="98"/>
      <c r="F30" s="99"/>
      <c r="G30" s="19"/>
      <c r="H30" s="19"/>
      <c r="I30" s="19"/>
      <c r="J30" s="19"/>
      <c r="K30" s="97"/>
      <c r="L30" s="98"/>
      <c r="M30" s="98"/>
      <c r="N30" s="98"/>
      <c r="O30" s="98"/>
      <c r="P30" s="98"/>
      <c r="Q30" s="99"/>
      <c r="R30" s="19"/>
      <c r="S30" s="19"/>
      <c r="T30" s="19"/>
      <c r="U30" s="19"/>
    </row>
    <row r="31" spans="1:24" ht="18" customHeight="1" x14ac:dyDescent="0.15">
      <c r="B31" s="97"/>
      <c r="C31" s="98"/>
      <c r="D31" s="98"/>
      <c r="E31" s="98"/>
      <c r="F31" s="99"/>
      <c r="G31" s="19"/>
      <c r="H31" s="19"/>
      <c r="I31" s="19"/>
      <c r="J31" s="19"/>
      <c r="K31" s="97"/>
      <c r="L31" s="98"/>
      <c r="M31" s="98"/>
      <c r="N31" s="98"/>
      <c r="O31" s="98"/>
      <c r="P31" s="98"/>
      <c r="Q31" s="99"/>
      <c r="R31" s="19"/>
      <c r="S31" s="19"/>
      <c r="T31" s="19"/>
      <c r="U31" s="19"/>
    </row>
    <row r="32" spans="1:24" ht="18" customHeight="1" x14ac:dyDescent="0.15">
      <c r="A32" s="3"/>
      <c r="B32" s="97"/>
      <c r="C32" s="98"/>
      <c r="D32" s="98"/>
      <c r="E32" s="98"/>
      <c r="F32" s="99"/>
      <c r="G32" s="19"/>
      <c r="H32" s="19"/>
      <c r="I32" s="19"/>
      <c r="J32" s="19"/>
      <c r="K32" s="97"/>
      <c r="L32" s="98"/>
      <c r="M32" s="98"/>
      <c r="N32" s="98"/>
      <c r="O32" s="98"/>
      <c r="P32" s="98"/>
      <c r="Q32" s="99"/>
      <c r="R32" s="19"/>
      <c r="S32" s="19"/>
      <c r="T32" s="19"/>
      <c r="U32" s="19"/>
    </row>
    <row r="33" spans="1:21" ht="18" customHeight="1" x14ac:dyDescent="0.15">
      <c r="A33" s="3"/>
      <c r="B33" s="100"/>
      <c r="C33" s="101"/>
      <c r="D33" s="101"/>
      <c r="E33" s="101"/>
      <c r="F33" s="102"/>
      <c r="G33" s="20"/>
      <c r="H33" s="20"/>
      <c r="I33" s="21"/>
      <c r="J33" s="21"/>
      <c r="K33" s="100"/>
      <c r="L33" s="101"/>
      <c r="M33" s="101"/>
      <c r="N33" s="101"/>
      <c r="O33" s="101"/>
      <c r="P33" s="101"/>
      <c r="Q33" s="102"/>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08" t="s">
        <v>103</v>
      </c>
      <c r="B35" s="108"/>
      <c r="C35" s="108"/>
      <c r="D35" s="108"/>
      <c r="E35" s="108"/>
      <c r="F35" s="108"/>
      <c r="G35" s="108"/>
      <c r="H35" s="108"/>
      <c r="I35" s="108"/>
      <c r="J35" s="108"/>
      <c r="K35" s="108"/>
      <c r="L35" s="108"/>
      <c r="M35" s="108"/>
      <c r="N35" s="108"/>
      <c r="O35" s="108"/>
      <c r="P35" s="108"/>
      <c r="Q35" s="108"/>
      <c r="R35" s="108"/>
      <c r="S35" s="108"/>
      <c r="T35" s="108"/>
      <c r="U35" s="108"/>
    </row>
    <row r="36" spans="1:21" ht="18" customHeight="1" x14ac:dyDescent="0.15">
      <c r="A36" s="108"/>
      <c r="B36" s="108"/>
      <c r="C36" s="108"/>
      <c r="D36" s="108"/>
      <c r="E36" s="108"/>
      <c r="F36" s="108"/>
      <c r="G36" s="108"/>
      <c r="H36" s="108"/>
      <c r="I36" s="108"/>
      <c r="J36" s="108"/>
      <c r="K36" s="108"/>
      <c r="L36" s="108"/>
      <c r="M36" s="108"/>
      <c r="N36" s="108"/>
      <c r="O36" s="108"/>
      <c r="P36" s="108"/>
      <c r="Q36" s="108"/>
      <c r="R36" s="108"/>
      <c r="S36" s="108"/>
      <c r="T36" s="108"/>
      <c r="U36" s="108"/>
    </row>
    <row r="37" spans="1:21" ht="18" customHeight="1" x14ac:dyDescent="0.15">
      <c r="B37" s="94" t="s">
        <v>52</v>
      </c>
      <c r="C37" s="95"/>
      <c r="D37" s="95"/>
      <c r="E37" s="95"/>
      <c r="F37" s="96"/>
      <c r="G37" s="49" t="s">
        <v>78</v>
      </c>
      <c r="H37" s="48" t="s">
        <v>81</v>
      </c>
      <c r="I37" s="17" t="s">
        <v>69</v>
      </c>
      <c r="J37" s="17" t="s">
        <v>70</v>
      </c>
      <c r="K37" s="94" t="s">
        <v>52</v>
      </c>
      <c r="L37" s="95"/>
      <c r="M37" s="95"/>
      <c r="N37" s="95"/>
      <c r="O37" s="95"/>
      <c r="P37" s="95"/>
      <c r="Q37" s="96"/>
      <c r="R37" s="49" t="s">
        <v>78</v>
      </c>
      <c r="S37" s="48" t="s">
        <v>81</v>
      </c>
      <c r="T37" s="17" t="s">
        <v>69</v>
      </c>
      <c r="U37" s="17" t="s">
        <v>70</v>
      </c>
    </row>
    <row r="38" spans="1:21" ht="18" customHeight="1" x14ac:dyDescent="0.15">
      <c r="B38" s="105" t="s">
        <v>137</v>
      </c>
      <c r="C38" s="106"/>
      <c r="D38" s="106"/>
      <c r="E38" s="106"/>
      <c r="F38" s="107"/>
      <c r="G38" s="18">
        <v>1</v>
      </c>
      <c r="H38" s="18" t="s">
        <v>138</v>
      </c>
      <c r="I38" s="18" t="s">
        <v>138</v>
      </c>
      <c r="J38" s="18"/>
      <c r="K38" s="105"/>
      <c r="L38" s="106"/>
      <c r="M38" s="106"/>
      <c r="N38" s="106"/>
      <c r="O38" s="106"/>
      <c r="P38" s="106"/>
      <c r="Q38" s="107"/>
      <c r="R38" s="18"/>
      <c r="S38" s="18"/>
      <c r="T38" s="18"/>
      <c r="U38" s="18"/>
    </row>
    <row r="39" spans="1:21" ht="18" customHeight="1" x14ac:dyDescent="0.15">
      <c r="B39" s="97" t="s">
        <v>147</v>
      </c>
      <c r="C39" s="98"/>
      <c r="D39" s="98"/>
      <c r="E39" s="98"/>
      <c r="F39" s="99"/>
      <c r="G39" s="19">
        <v>1.5</v>
      </c>
      <c r="H39" s="19" t="s">
        <v>138</v>
      </c>
      <c r="I39" s="19"/>
      <c r="J39" s="19" t="s">
        <v>138</v>
      </c>
      <c r="K39" s="97"/>
      <c r="L39" s="98"/>
      <c r="M39" s="98"/>
      <c r="N39" s="98"/>
      <c r="O39" s="98"/>
      <c r="P39" s="98"/>
      <c r="Q39" s="99"/>
      <c r="R39" s="19"/>
      <c r="S39" s="19"/>
      <c r="T39" s="19"/>
      <c r="U39" s="19"/>
    </row>
    <row r="40" spans="1:21" ht="18" customHeight="1" x14ac:dyDescent="0.15">
      <c r="B40" s="97"/>
      <c r="C40" s="98"/>
      <c r="D40" s="98"/>
      <c r="E40" s="98"/>
      <c r="F40" s="99"/>
      <c r="G40" s="19"/>
      <c r="H40" s="19"/>
      <c r="I40" s="19"/>
      <c r="J40" s="19"/>
      <c r="K40" s="97"/>
      <c r="L40" s="98"/>
      <c r="M40" s="98"/>
      <c r="N40" s="98"/>
      <c r="O40" s="98"/>
      <c r="P40" s="98"/>
      <c r="Q40" s="99"/>
      <c r="R40" s="19"/>
      <c r="S40" s="19"/>
      <c r="T40" s="19"/>
      <c r="U40" s="19"/>
    </row>
    <row r="41" spans="1:21" ht="18" customHeight="1" x14ac:dyDescent="0.15">
      <c r="B41" s="97"/>
      <c r="C41" s="98"/>
      <c r="D41" s="98"/>
      <c r="E41" s="98"/>
      <c r="F41" s="99"/>
      <c r="G41" s="19"/>
      <c r="H41" s="19"/>
      <c r="I41" s="19"/>
      <c r="J41" s="19"/>
      <c r="K41" s="97"/>
      <c r="L41" s="98"/>
      <c r="M41" s="98"/>
      <c r="N41" s="98"/>
      <c r="O41" s="98"/>
      <c r="P41" s="98"/>
      <c r="Q41" s="99"/>
      <c r="R41" s="19"/>
      <c r="S41" s="19"/>
      <c r="T41" s="19"/>
      <c r="U41" s="19"/>
    </row>
    <row r="42" spans="1:21" ht="18" customHeight="1" x14ac:dyDescent="0.15">
      <c r="B42" s="97"/>
      <c r="C42" s="98"/>
      <c r="D42" s="98"/>
      <c r="E42" s="98"/>
      <c r="F42" s="99"/>
      <c r="G42" s="19"/>
      <c r="H42" s="19"/>
      <c r="I42" s="19"/>
      <c r="J42" s="19"/>
      <c r="K42" s="97"/>
      <c r="L42" s="98"/>
      <c r="M42" s="98"/>
      <c r="N42" s="98"/>
      <c r="O42" s="98"/>
      <c r="P42" s="98"/>
      <c r="Q42" s="99"/>
      <c r="R42" s="19"/>
      <c r="S42" s="19"/>
      <c r="T42" s="19"/>
      <c r="U42" s="19"/>
    </row>
    <row r="43" spans="1:21" ht="18" customHeight="1" x14ac:dyDescent="0.15">
      <c r="B43" s="97"/>
      <c r="C43" s="98"/>
      <c r="D43" s="98"/>
      <c r="E43" s="98"/>
      <c r="F43" s="99"/>
      <c r="G43" s="19"/>
      <c r="H43" s="19"/>
      <c r="I43" s="19"/>
      <c r="J43" s="19"/>
      <c r="K43" s="97"/>
      <c r="L43" s="98"/>
      <c r="M43" s="98"/>
      <c r="N43" s="98"/>
      <c r="O43" s="98"/>
      <c r="P43" s="98"/>
      <c r="Q43" s="99"/>
      <c r="R43" s="19"/>
      <c r="S43" s="19"/>
      <c r="T43" s="19"/>
      <c r="U43" s="19"/>
    </row>
    <row r="44" spans="1:21" ht="18" customHeight="1" x14ac:dyDescent="0.15">
      <c r="B44" s="100"/>
      <c r="C44" s="101"/>
      <c r="D44" s="101"/>
      <c r="E44" s="101"/>
      <c r="F44" s="102"/>
      <c r="G44" s="20"/>
      <c r="H44" s="20"/>
      <c r="I44" s="21"/>
      <c r="J44" s="21"/>
      <c r="K44" s="100"/>
      <c r="L44" s="101"/>
      <c r="M44" s="101"/>
      <c r="N44" s="101"/>
      <c r="O44" s="101"/>
      <c r="P44" s="101"/>
      <c r="Q44" s="102"/>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08" t="s">
        <v>104</v>
      </c>
      <c r="B46" s="108"/>
      <c r="C46" s="108"/>
      <c r="D46" s="108"/>
      <c r="E46" s="108"/>
      <c r="F46" s="108"/>
      <c r="G46" s="108"/>
      <c r="H46" s="108"/>
      <c r="I46" s="108"/>
      <c r="J46" s="108"/>
      <c r="K46" s="108"/>
      <c r="L46" s="108"/>
      <c r="M46" s="108"/>
      <c r="N46" s="108"/>
      <c r="O46" s="108"/>
      <c r="P46" s="108"/>
      <c r="Q46" s="108"/>
      <c r="R46" s="108"/>
      <c r="S46" s="108"/>
      <c r="T46" s="108"/>
      <c r="U46" s="108"/>
    </row>
    <row r="47" spans="1:21" ht="18" customHeight="1" x14ac:dyDescent="0.15">
      <c r="A47" s="108"/>
      <c r="B47" s="108"/>
      <c r="C47" s="108"/>
      <c r="D47" s="108"/>
      <c r="E47" s="108"/>
      <c r="F47" s="108"/>
      <c r="G47" s="108"/>
      <c r="H47" s="108"/>
      <c r="I47" s="108"/>
      <c r="J47" s="108"/>
      <c r="K47" s="108"/>
      <c r="L47" s="108"/>
      <c r="M47" s="108"/>
      <c r="N47" s="108"/>
      <c r="O47" s="108"/>
      <c r="P47" s="108"/>
      <c r="Q47" s="108"/>
      <c r="R47" s="108"/>
      <c r="S47" s="108"/>
      <c r="T47" s="108"/>
      <c r="U47" s="108"/>
    </row>
    <row r="48" spans="1:21" ht="18" customHeight="1" x14ac:dyDescent="0.15">
      <c r="B48" s="94" t="s">
        <v>52</v>
      </c>
      <c r="C48" s="95"/>
      <c r="D48" s="95"/>
      <c r="E48" s="95"/>
      <c r="F48" s="96"/>
      <c r="G48" s="49" t="s">
        <v>78</v>
      </c>
      <c r="H48" s="48" t="s">
        <v>81</v>
      </c>
      <c r="I48" s="17" t="s">
        <v>71</v>
      </c>
      <c r="J48" s="17" t="s">
        <v>72</v>
      </c>
      <c r="K48" s="94" t="s">
        <v>52</v>
      </c>
      <c r="L48" s="95"/>
      <c r="M48" s="95"/>
      <c r="N48" s="95"/>
      <c r="O48" s="95"/>
      <c r="P48" s="95"/>
      <c r="Q48" s="96"/>
      <c r="R48" s="49" t="s">
        <v>78</v>
      </c>
      <c r="S48" s="48" t="s">
        <v>81</v>
      </c>
      <c r="T48" s="17" t="s">
        <v>71</v>
      </c>
      <c r="U48" s="17" t="s">
        <v>72</v>
      </c>
    </row>
    <row r="49" spans="1:21" ht="18" customHeight="1" x14ac:dyDescent="0.15">
      <c r="A49" s="3"/>
      <c r="B49" s="105" t="s">
        <v>137</v>
      </c>
      <c r="C49" s="106"/>
      <c r="D49" s="106"/>
      <c r="E49" s="106"/>
      <c r="F49" s="107"/>
      <c r="G49" s="18">
        <v>1</v>
      </c>
      <c r="H49" s="18" t="s">
        <v>138</v>
      </c>
      <c r="I49" s="18" t="s">
        <v>138</v>
      </c>
      <c r="J49" s="18"/>
      <c r="K49" s="105"/>
      <c r="L49" s="106"/>
      <c r="M49" s="106"/>
      <c r="N49" s="106"/>
      <c r="O49" s="106"/>
      <c r="P49" s="106"/>
      <c r="Q49" s="107"/>
      <c r="R49" s="18"/>
      <c r="S49" s="18"/>
      <c r="T49" s="18"/>
      <c r="U49" s="18"/>
    </row>
    <row r="50" spans="1:21" ht="18" customHeight="1" x14ac:dyDescent="0.15">
      <c r="A50" s="3"/>
      <c r="B50" s="97" t="s">
        <v>147</v>
      </c>
      <c r="C50" s="98"/>
      <c r="D50" s="98"/>
      <c r="E50" s="98"/>
      <c r="F50" s="99"/>
      <c r="G50" s="19">
        <v>1.5</v>
      </c>
      <c r="H50" s="19" t="s">
        <v>138</v>
      </c>
      <c r="I50" s="19"/>
      <c r="J50" s="19" t="s">
        <v>138</v>
      </c>
      <c r="K50" s="97"/>
      <c r="L50" s="98"/>
      <c r="M50" s="98"/>
      <c r="N50" s="98"/>
      <c r="O50" s="98"/>
      <c r="P50" s="98"/>
      <c r="Q50" s="99"/>
      <c r="R50" s="19"/>
      <c r="S50" s="19"/>
      <c r="T50" s="19"/>
      <c r="U50" s="19"/>
    </row>
    <row r="51" spans="1:21" ht="18" customHeight="1" x14ac:dyDescent="0.15">
      <c r="A51" s="3"/>
      <c r="B51" s="97"/>
      <c r="C51" s="98"/>
      <c r="D51" s="98"/>
      <c r="E51" s="98"/>
      <c r="F51" s="99"/>
      <c r="G51" s="19"/>
      <c r="H51" s="19"/>
      <c r="I51" s="19"/>
      <c r="J51" s="19"/>
      <c r="K51" s="97"/>
      <c r="L51" s="98"/>
      <c r="M51" s="98"/>
      <c r="N51" s="98"/>
      <c r="O51" s="98"/>
      <c r="P51" s="98"/>
      <c r="Q51" s="99"/>
      <c r="R51" s="19"/>
      <c r="S51" s="19"/>
      <c r="T51" s="19"/>
      <c r="U51" s="19"/>
    </row>
    <row r="52" spans="1:21" ht="18" customHeight="1" x14ac:dyDescent="0.15">
      <c r="A52" s="3"/>
      <c r="B52" s="97"/>
      <c r="C52" s="98"/>
      <c r="D52" s="98"/>
      <c r="E52" s="98"/>
      <c r="F52" s="99"/>
      <c r="G52" s="19"/>
      <c r="H52" s="19"/>
      <c r="I52" s="19"/>
      <c r="J52" s="19"/>
      <c r="K52" s="97"/>
      <c r="L52" s="98"/>
      <c r="M52" s="98"/>
      <c r="N52" s="98"/>
      <c r="O52" s="98"/>
      <c r="P52" s="98"/>
      <c r="Q52" s="99"/>
      <c r="R52" s="19"/>
      <c r="S52" s="19"/>
      <c r="T52" s="19"/>
      <c r="U52" s="19"/>
    </row>
    <row r="53" spans="1:21" ht="18" customHeight="1" x14ac:dyDescent="0.15">
      <c r="A53" s="3"/>
      <c r="B53" s="97"/>
      <c r="C53" s="98"/>
      <c r="D53" s="98"/>
      <c r="E53" s="98"/>
      <c r="F53" s="99"/>
      <c r="G53" s="19"/>
      <c r="H53" s="19"/>
      <c r="I53" s="19"/>
      <c r="J53" s="19"/>
      <c r="K53" s="97"/>
      <c r="L53" s="98"/>
      <c r="M53" s="98"/>
      <c r="N53" s="98"/>
      <c r="O53" s="98"/>
      <c r="P53" s="98"/>
      <c r="Q53" s="99"/>
      <c r="R53" s="19"/>
      <c r="S53" s="19"/>
      <c r="T53" s="19"/>
      <c r="U53" s="19"/>
    </row>
    <row r="54" spans="1:21" ht="18" customHeight="1" x14ac:dyDescent="0.15">
      <c r="A54" s="3"/>
      <c r="B54" s="97"/>
      <c r="C54" s="98"/>
      <c r="D54" s="98"/>
      <c r="E54" s="98"/>
      <c r="F54" s="99"/>
      <c r="G54" s="19"/>
      <c r="H54" s="19"/>
      <c r="I54" s="19"/>
      <c r="J54" s="19"/>
      <c r="K54" s="97"/>
      <c r="L54" s="98"/>
      <c r="M54" s="98"/>
      <c r="N54" s="98"/>
      <c r="O54" s="98"/>
      <c r="P54" s="98"/>
      <c r="Q54" s="99"/>
      <c r="R54" s="19"/>
      <c r="S54" s="19"/>
      <c r="T54" s="19"/>
      <c r="U54" s="19"/>
    </row>
    <row r="55" spans="1:21" ht="18" customHeight="1" x14ac:dyDescent="0.15">
      <c r="A55" s="3"/>
      <c r="B55" s="100"/>
      <c r="C55" s="101"/>
      <c r="D55" s="101"/>
      <c r="E55" s="101"/>
      <c r="F55" s="102"/>
      <c r="G55" s="20"/>
      <c r="H55" s="20"/>
      <c r="I55" s="21"/>
      <c r="J55" s="21"/>
      <c r="K55" s="100"/>
      <c r="L55" s="101"/>
      <c r="M55" s="101"/>
      <c r="N55" s="101"/>
      <c r="O55" s="101"/>
      <c r="P55" s="101"/>
      <c r="Q55" s="102"/>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08" t="s">
        <v>105</v>
      </c>
      <c r="B57" s="108"/>
      <c r="C57" s="108"/>
      <c r="D57" s="108"/>
      <c r="E57" s="108"/>
      <c r="F57" s="108"/>
      <c r="G57" s="108"/>
      <c r="H57" s="108"/>
      <c r="I57" s="108"/>
      <c r="J57" s="108"/>
      <c r="K57" s="108"/>
      <c r="L57" s="108"/>
      <c r="M57" s="108"/>
      <c r="N57" s="108"/>
      <c r="O57" s="108"/>
      <c r="P57" s="108"/>
      <c r="Q57" s="108"/>
      <c r="R57" s="108"/>
      <c r="S57" s="108"/>
      <c r="T57" s="108"/>
      <c r="U57" s="108"/>
    </row>
    <row r="58" spans="1:21" ht="18" customHeight="1" x14ac:dyDescent="0.15">
      <c r="A58" s="108"/>
      <c r="B58" s="108"/>
      <c r="C58" s="108"/>
      <c r="D58" s="108"/>
      <c r="E58" s="108"/>
      <c r="F58" s="108"/>
      <c r="G58" s="108"/>
      <c r="H58" s="108"/>
      <c r="I58" s="108"/>
      <c r="J58" s="108"/>
      <c r="K58" s="108"/>
      <c r="L58" s="108"/>
      <c r="M58" s="108"/>
      <c r="N58" s="108"/>
      <c r="O58" s="108"/>
      <c r="P58" s="108"/>
      <c r="Q58" s="108"/>
      <c r="R58" s="108"/>
      <c r="S58" s="108"/>
      <c r="T58" s="108"/>
      <c r="U58" s="108"/>
    </row>
    <row r="59" spans="1:21" ht="18" customHeight="1" x14ac:dyDescent="0.15">
      <c r="B59" s="94" t="s">
        <v>52</v>
      </c>
      <c r="C59" s="95"/>
      <c r="D59" s="95"/>
      <c r="E59" s="95"/>
      <c r="F59" s="96"/>
      <c r="G59" s="49" t="s">
        <v>78</v>
      </c>
      <c r="H59" s="48" t="s">
        <v>81</v>
      </c>
      <c r="I59" s="17" t="s">
        <v>57</v>
      </c>
      <c r="J59" s="17" t="s">
        <v>59</v>
      </c>
      <c r="K59" s="94" t="s">
        <v>52</v>
      </c>
      <c r="L59" s="95"/>
      <c r="M59" s="95"/>
      <c r="N59" s="95"/>
      <c r="O59" s="95"/>
      <c r="P59" s="95"/>
      <c r="Q59" s="96"/>
      <c r="R59" s="49" t="s">
        <v>78</v>
      </c>
      <c r="S59" s="48" t="s">
        <v>81</v>
      </c>
      <c r="T59" s="17" t="s">
        <v>57</v>
      </c>
      <c r="U59" s="17" t="s">
        <v>59</v>
      </c>
    </row>
    <row r="60" spans="1:21" ht="18" customHeight="1" x14ac:dyDescent="0.15">
      <c r="A60" s="3"/>
      <c r="B60" s="105" t="s">
        <v>137</v>
      </c>
      <c r="C60" s="106"/>
      <c r="D60" s="106"/>
      <c r="E60" s="106"/>
      <c r="F60" s="107"/>
      <c r="G60" s="18">
        <v>1</v>
      </c>
      <c r="H60" s="18" t="s">
        <v>138</v>
      </c>
      <c r="I60" s="18" t="s">
        <v>138</v>
      </c>
      <c r="J60" s="18" t="s">
        <v>138</v>
      </c>
      <c r="K60" s="105"/>
      <c r="L60" s="106"/>
      <c r="M60" s="106"/>
      <c r="N60" s="106"/>
      <c r="O60" s="106"/>
      <c r="P60" s="106"/>
      <c r="Q60" s="107"/>
      <c r="R60" s="18"/>
      <c r="S60" s="18"/>
      <c r="T60" s="18"/>
      <c r="U60" s="18"/>
    </row>
    <row r="61" spans="1:21" ht="18" customHeight="1" x14ac:dyDescent="0.15">
      <c r="A61" s="3"/>
      <c r="B61" s="97" t="s">
        <v>147</v>
      </c>
      <c r="C61" s="98"/>
      <c r="D61" s="98"/>
      <c r="E61" s="98"/>
      <c r="F61" s="99"/>
      <c r="G61" s="19">
        <v>1.5</v>
      </c>
      <c r="H61" s="19" t="s">
        <v>138</v>
      </c>
      <c r="I61" s="19" t="s">
        <v>138</v>
      </c>
      <c r="J61" s="19" t="s">
        <v>138</v>
      </c>
      <c r="K61" s="97"/>
      <c r="L61" s="98"/>
      <c r="M61" s="98"/>
      <c r="N61" s="98"/>
      <c r="O61" s="98"/>
      <c r="P61" s="98"/>
      <c r="Q61" s="99"/>
      <c r="R61" s="19"/>
      <c r="S61" s="19"/>
      <c r="T61" s="19"/>
      <c r="U61" s="19"/>
    </row>
    <row r="62" spans="1:21" ht="18" customHeight="1" x14ac:dyDescent="0.15">
      <c r="A62" s="3"/>
      <c r="B62" s="97"/>
      <c r="C62" s="98"/>
      <c r="D62" s="98"/>
      <c r="E62" s="98"/>
      <c r="F62" s="99"/>
      <c r="G62" s="19"/>
      <c r="H62" s="19"/>
      <c r="I62" s="19"/>
      <c r="J62" s="19"/>
      <c r="K62" s="97"/>
      <c r="L62" s="98"/>
      <c r="M62" s="98"/>
      <c r="N62" s="98"/>
      <c r="O62" s="98"/>
      <c r="P62" s="98"/>
      <c r="Q62" s="99"/>
      <c r="R62" s="19"/>
      <c r="S62" s="19"/>
      <c r="T62" s="19"/>
      <c r="U62" s="19"/>
    </row>
    <row r="63" spans="1:21" ht="18" customHeight="1" x14ac:dyDescent="0.15">
      <c r="A63" s="3"/>
      <c r="B63" s="97"/>
      <c r="C63" s="98"/>
      <c r="D63" s="98"/>
      <c r="E63" s="98"/>
      <c r="F63" s="99"/>
      <c r="G63" s="19"/>
      <c r="H63" s="19"/>
      <c r="I63" s="19"/>
      <c r="J63" s="19"/>
      <c r="K63" s="97"/>
      <c r="L63" s="98"/>
      <c r="M63" s="98"/>
      <c r="N63" s="98"/>
      <c r="O63" s="98"/>
      <c r="P63" s="98"/>
      <c r="Q63" s="99"/>
      <c r="R63" s="19"/>
      <c r="S63" s="19"/>
      <c r="T63" s="19"/>
      <c r="U63" s="19"/>
    </row>
    <row r="64" spans="1:21" ht="18" customHeight="1" x14ac:dyDescent="0.15">
      <c r="A64" s="3"/>
      <c r="B64" s="97"/>
      <c r="C64" s="98"/>
      <c r="D64" s="98"/>
      <c r="E64" s="98"/>
      <c r="F64" s="99"/>
      <c r="G64" s="19"/>
      <c r="H64" s="19"/>
      <c r="I64" s="19"/>
      <c r="J64" s="19"/>
      <c r="K64" s="97"/>
      <c r="L64" s="98"/>
      <c r="M64" s="98"/>
      <c r="N64" s="98"/>
      <c r="O64" s="98"/>
      <c r="P64" s="98"/>
      <c r="Q64" s="99"/>
      <c r="R64" s="19"/>
      <c r="S64" s="19"/>
      <c r="T64" s="19"/>
      <c r="U64" s="19"/>
    </row>
    <row r="65" spans="1:21" ht="18" customHeight="1" x14ac:dyDescent="0.15">
      <c r="A65" s="3"/>
      <c r="B65" s="97"/>
      <c r="C65" s="98"/>
      <c r="D65" s="98"/>
      <c r="E65" s="98"/>
      <c r="F65" s="99"/>
      <c r="G65" s="19"/>
      <c r="H65" s="19"/>
      <c r="I65" s="19"/>
      <c r="J65" s="19"/>
      <c r="K65" s="97"/>
      <c r="L65" s="98"/>
      <c r="M65" s="98"/>
      <c r="N65" s="98"/>
      <c r="O65" s="98"/>
      <c r="P65" s="98"/>
      <c r="Q65" s="99"/>
      <c r="R65" s="19"/>
      <c r="S65" s="19"/>
      <c r="T65" s="19"/>
      <c r="U65" s="19"/>
    </row>
    <row r="66" spans="1:21" ht="18" customHeight="1" x14ac:dyDescent="0.15">
      <c r="A66" s="3"/>
      <c r="B66" s="100"/>
      <c r="C66" s="101"/>
      <c r="D66" s="101"/>
      <c r="E66" s="101"/>
      <c r="F66" s="102"/>
      <c r="G66" s="20"/>
      <c r="H66" s="20"/>
      <c r="I66" s="21"/>
      <c r="J66" s="21"/>
      <c r="K66" s="100"/>
      <c r="L66" s="101"/>
      <c r="M66" s="101"/>
      <c r="N66" s="101"/>
      <c r="O66" s="101"/>
      <c r="P66" s="101"/>
      <c r="Q66" s="102"/>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08" t="s">
        <v>106</v>
      </c>
      <c r="B68" s="108"/>
      <c r="C68" s="108"/>
      <c r="D68" s="108"/>
      <c r="E68" s="108"/>
      <c r="F68" s="108"/>
      <c r="G68" s="108"/>
      <c r="H68" s="108"/>
      <c r="I68" s="108"/>
      <c r="J68" s="108"/>
      <c r="K68" s="108"/>
      <c r="L68" s="108"/>
      <c r="M68" s="108"/>
      <c r="N68" s="108"/>
      <c r="O68" s="108"/>
      <c r="P68" s="108"/>
      <c r="Q68" s="108"/>
      <c r="R68" s="108"/>
      <c r="S68" s="108"/>
      <c r="T68" s="108"/>
      <c r="U68" s="108"/>
    </row>
    <row r="69" spans="1:21" ht="18" customHeight="1" x14ac:dyDescent="0.15">
      <c r="A69" s="108"/>
      <c r="B69" s="108"/>
      <c r="C69" s="108"/>
      <c r="D69" s="108"/>
      <c r="E69" s="108"/>
      <c r="F69" s="108"/>
      <c r="G69" s="108"/>
      <c r="H69" s="108"/>
      <c r="I69" s="108"/>
      <c r="J69" s="108"/>
      <c r="K69" s="108"/>
      <c r="L69" s="108"/>
      <c r="M69" s="108"/>
      <c r="N69" s="108"/>
      <c r="O69" s="108"/>
      <c r="P69" s="108"/>
      <c r="Q69" s="108"/>
      <c r="R69" s="108"/>
      <c r="S69" s="108"/>
      <c r="T69" s="108"/>
      <c r="U69" s="108"/>
    </row>
    <row r="70" spans="1:21" ht="18" customHeight="1" x14ac:dyDescent="0.15">
      <c r="B70" s="94" t="s">
        <v>52</v>
      </c>
      <c r="C70" s="95"/>
      <c r="D70" s="95"/>
      <c r="E70" s="95"/>
      <c r="F70" s="49" t="s">
        <v>78</v>
      </c>
      <c r="G70" s="48" t="s">
        <v>81</v>
      </c>
      <c r="H70" s="17" t="s">
        <v>93</v>
      </c>
      <c r="I70" s="17" t="s">
        <v>73</v>
      </c>
      <c r="J70" s="17" t="s">
        <v>74</v>
      </c>
      <c r="K70" s="94" t="s">
        <v>52</v>
      </c>
      <c r="L70" s="95"/>
      <c r="M70" s="95"/>
      <c r="N70" s="95"/>
      <c r="O70" s="95"/>
      <c r="P70" s="96"/>
      <c r="Q70" s="49" t="s">
        <v>78</v>
      </c>
      <c r="R70" s="48" t="s">
        <v>81</v>
      </c>
      <c r="S70" s="17" t="s">
        <v>93</v>
      </c>
      <c r="T70" s="17" t="s">
        <v>73</v>
      </c>
      <c r="U70" s="17" t="s">
        <v>74</v>
      </c>
    </row>
    <row r="71" spans="1:21" ht="18" customHeight="1" x14ac:dyDescent="0.15">
      <c r="A71" s="3"/>
      <c r="B71" s="105" t="s">
        <v>137</v>
      </c>
      <c r="C71" s="106"/>
      <c r="D71" s="106"/>
      <c r="E71" s="106"/>
      <c r="F71" s="18">
        <v>1</v>
      </c>
      <c r="G71" s="18" t="s">
        <v>138</v>
      </c>
      <c r="H71" s="18"/>
      <c r="I71" s="18"/>
      <c r="J71" s="18" t="s">
        <v>138</v>
      </c>
      <c r="K71" s="105"/>
      <c r="L71" s="106"/>
      <c r="M71" s="106"/>
      <c r="N71" s="106"/>
      <c r="O71" s="106"/>
      <c r="P71" s="107"/>
      <c r="Q71" s="18"/>
      <c r="R71" s="18"/>
      <c r="S71" s="18"/>
      <c r="T71" s="18"/>
      <c r="U71" s="18"/>
    </row>
    <row r="72" spans="1:21" ht="18" customHeight="1" x14ac:dyDescent="0.15">
      <c r="A72" s="3"/>
      <c r="B72" s="97" t="s">
        <v>149</v>
      </c>
      <c r="C72" s="98"/>
      <c r="D72" s="98"/>
      <c r="E72" s="99"/>
      <c r="F72" s="19">
        <v>1.5</v>
      </c>
      <c r="G72" s="19" t="s">
        <v>138</v>
      </c>
      <c r="H72" s="19" t="s">
        <v>138</v>
      </c>
      <c r="I72" s="19" t="s">
        <v>138</v>
      </c>
      <c r="J72" s="19"/>
      <c r="K72" s="97"/>
      <c r="L72" s="98"/>
      <c r="M72" s="98"/>
      <c r="N72" s="98"/>
      <c r="O72" s="98"/>
      <c r="P72" s="99"/>
      <c r="Q72" s="19"/>
      <c r="R72" s="19"/>
      <c r="S72" s="19"/>
      <c r="T72" s="19"/>
      <c r="U72" s="19"/>
    </row>
    <row r="73" spans="1:21" ht="18" customHeight="1" x14ac:dyDescent="0.15">
      <c r="A73" s="3"/>
      <c r="B73" s="97" t="s">
        <v>147</v>
      </c>
      <c r="C73" s="98"/>
      <c r="D73" s="98"/>
      <c r="E73" s="99"/>
      <c r="F73" s="19">
        <v>1.5</v>
      </c>
      <c r="G73" s="19" t="s">
        <v>138</v>
      </c>
      <c r="H73" s="19" t="s">
        <v>138</v>
      </c>
      <c r="I73" s="19" t="s">
        <v>138</v>
      </c>
      <c r="J73" s="19" t="s">
        <v>138</v>
      </c>
      <c r="K73" s="97"/>
      <c r="L73" s="98"/>
      <c r="M73" s="98"/>
      <c r="N73" s="98"/>
      <c r="O73" s="98"/>
      <c r="P73" s="99"/>
      <c r="Q73" s="19"/>
      <c r="R73" s="19"/>
      <c r="S73" s="19"/>
      <c r="T73" s="19"/>
      <c r="U73" s="19"/>
    </row>
    <row r="74" spans="1:21" ht="18" customHeight="1" x14ac:dyDescent="0.15">
      <c r="A74" s="3"/>
      <c r="B74" s="97"/>
      <c r="C74" s="98"/>
      <c r="D74" s="98"/>
      <c r="E74" s="98"/>
      <c r="F74" s="19"/>
      <c r="G74" s="19"/>
      <c r="H74" s="19"/>
      <c r="I74" s="19"/>
      <c r="J74" s="19"/>
      <c r="K74" s="97"/>
      <c r="L74" s="98"/>
      <c r="M74" s="98"/>
      <c r="N74" s="98"/>
      <c r="O74" s="98"/>
      <c r="P74" s="99"/>
      <c r="Q74" s="19"/>
      <c r="R74" s="19"/>
      <c r="S74" s="19"/>
      <c r="T74" s="19"/>
      <c r="U74" s="19"/>
    </row>
    <row r="75" spans="1:21" ht="18" customHeight="1" x14ac:dyDescent="0.15">
      <c r="A75" s="3"/>
      <c r="B75" s="97"/>
      <c r="C75" s="98"/>
      <c r="D75" s="98"/>
      <c r="E75" s="98"/>
      <c r="F75" s="19"/>
      <c r="G75" s="19"/>
      <c r="H75" s="19"/>
      <c r="I75" s="19"/>
      <c r="J75" s="19"/>
      <c r="K75" s="97"/>
      <c r="L75" s="98"/>
      <c r="M75" s="98"/>
      <c r="N75" s="98"/>
      <c r="O75" s="98"/>
      <c r="P75" s="99"/>
      <c r="Q75" s="19"/>
      <c r="R75" s="19"/>
      <c r="S75" s="19"/>
      <c r="T75" s="19"/>
      <c r="U75" s="19"/>
    </row>
    <row r="76" spans="1:21" ht="18" customHeight="1" x14ac:dyDescent="0.15">
      <c r="A76" s="3"/>
      <c r="B76" s="97"/>
      <c r="C76" s="98"/>
      <c r="D76" s="98"/>
      <c r="E76" s="98"/>
      <c r="F76" s="19"/>
      <c r="G76" s="19"/>
      <c r="H76" s="19"/>
      <c r="I76" s="19"/>
      <c r="J76" s="19"/>
      <c r="K76" s="97"/>
      <c r="L76" s="98"/>
      <c r="M76" s="98"/>
      <c r="N76" s="98"/>
      <c r="O76" s="98"/>
      <c r="P76" s="99"/>
      <c r="Q76" s="19"/>
      <c r="R76" s="19"/>
      <c r="S76" s="19"/>
      <c r="T76" s="19"/>
      <c r="U76" s="19"/>
    </row>
    <row r="77" spans="1:21" ht="18" customHeight="1" x14ac:dyDescent="0.15">
      <c r="A77" s="3"/>
      <c r="B77" s="100"/>
      <c r="C77" s="101"/>
      <c r="D77" s="101"/>
      <c r="E77" s="101"/>
      <c r="F77" s="20"/>
      <c r="G77" s="20"/>
      <c r="H77" s="21"/>
      <c r="I77" s="21"/>
      <c r="J77" s="21"/>
      <c r="K77" s="100"/>
      <c r="L77" s="101"/>
      <c r="M77" s="101"/>
      <c r="N77" s="101"/>
      <c r="O77" s="101"/>
      <c r="P77" s="102"/>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107</v>
      </c>
      <c r="I79" s="3"/>
      <c r="J79" s="3"/>
      <c r="K79" s="3"/>
      <c r="L79" s="3"/>
      <c r="M79" s="3"/>
      <c r="N79" s="3"/>
      <c r="O79" s="3"/>
      <c r="P79" s="3"/>
      <c r="Q79" s="3"/>
      <c r="R79" s="3"/>
      <c r="S79" s="3"/>
      <c r="T79" s="3"/>
      <c r="U79" s="3"/>
    </row>
    <row r="80" spans="1:21" ht="18" customHeight="1" x14ac:dyDescent="0.15">
      <c r="B80" s="94" t="s">
        <v>52</v>
      </c>
      <c r="C80" s="95"/>
      <c r="D80" s="95"/>
      <c r="E80" s="95"/>
      <c r="F80" s="96"/>
      <c r="G80" s="94" t="s">
        <v>79</v>
      </c>
      <c r="H80" s="95"/>
      <c r="I80" s="95"/>
      <c r="J80" s="96"/>
      <c r="K80" s="114" t="s">
        <v>52</v>
      </c>
      <c r="L80" s="115"/>
      <c r="M80" s="115"/>
      <c r="N80" s="115"/>
      <c r="O80" s="115"/>
      <c r="P80" s="115"/>
      <c r="Q80" s="116"/>
      <c r="R80" s="94" t="s">
        <v>79</v>
      </c>
      <c r="S80" s="95"/>
      <c r="T80" s="95"/>
      <c r="U80" s="96"/>
    </row>
    <row r="81" spans="1:21" ht="18" customHeight="1" x14ac:dyDescent="0.15">
      <c r="A81" s="3"/>
      <c r="B81" s="105"/>
      <c r="C81" s="106"/>
      <c r="D81" s="106"/>
      <c r="E81" s="106"/>
      <c r="F81" s="107"/>
      <c r="G81" s="109"/>
      <c r="H81" s="110"/>
      <c r="I81" s="110"/>
      <c r="J81" s="111"/>
      <c r="K81" s="105"/>
      <c r="L81" s="106"/>
      <c r="M81" s="106"/>
      <c r="N81" s="106"/>
      <c r="O81" s="106"/>
      <c r="P81" s="106"/>
      <c r="Q81" s="107"/>
      <c r="R81" s="109"/>
      <c r="S81" s="110"/>
      <c r="T81" s="110"/>
      <c r="U81" s="111"/>
    </row>
    <row r="82" spans="1:21" ht="18" customHeight="1" x14ac:dyDescent="0.15">
      <c r="A82" s="3"/>
      <c r="B82" s="97"/>
      <c r="C82" s="98"/>
      <c r="D82" s="98"/>
      <c r="E82" s="98"/>
      <c r="F82" s="99"/>
      <c r="G82" s="91"/>
      <c r="H82" s="92"/>
      <c r="I82" s="92"/>
      <c r="J82" s="93"/>
      <c r="K82" s="97"/>
      <c r="L82" s="98"/>
      <c r="M82" s="98"/>
      <c r="N82" s="98"/>
      <c r="O82" s="98"/>
      <c r="P82" s="98"/>
      <c r="Q82" s="99"/>
      <c r="R82" s="91"/>
      <c r="S82" s="92"/>
      <c r="T82" s="92"/>
      <c r="U82" s="93"/>
    </row>
    <row r="83" spans="1:21" ht="18" customHeight="1" x14ac:dyDescent="0.15">
      <c r="A83" s="3"/>
      <c r="B83" s="97"/>
      <c r="C83" s="98"/>
      <c r="D83" s="98"/>
      <c r="E83" s="98"/>
      <c r="F83" s="99"/>
      <c r="G83" s="91"/>
      <c r="H83" s="92"/>
      <c r="I83" s="92"/>
      <c r="J83" s="93"/>
      <c r="K83" s="97"/>
      <c r="L83" s="98"/>
      <c r="M83" s="98"/>
      <c r="N83" s="98"/>
      <c r="O83" s="98"/>
      <c r="P83" s="98"/>
      <c r="Q83" s="99"/>
      <c r="R83" s="91"/>
      <c r="S83" s="92"/>
      <c r="T83" s="92"/>
      <c r="U83" s="93"/>
    </row>
    <row r="84" spans="1:21" ht="18" customHeight="1" x14ac:dyDescent="0.15">
      <c r="A84" s="3"/>
      <c r="B84" s="97"/>
      <c r="C84" s="98"/>
      <c r="D84" s="98"/>
      <c r="E84" s="98"/>
      <c r="F84" s="99"/>
      <c r="G84" s="91"/>
      <c r="H84" s="92"/>
      <c r="I84" s="92"/>
      <c r="J84" s="93"/>
      <c r="K84" s="97"/>
      <c r="L84" s="98"/>
      <c r="M84" s="98"/>
      <c r="N84" s="98"/>
      <c r="O84" s="98"/>
      <c r="P84" s="98"/>
      <c r="Q84" s="99"/>
      <c r="R84" s="91"/>
      <c r="S84" s="92"/>
      <c r="T84" s="92"/>
      <c r="U84" s="93"/>
    </row>
    <row r="85" spans="1:21" ht="18" customHeight="1" x14ac:dyDescent="0.15">
      <c r="A85" s="3"/>
      <c r="B85" s="97"/>
      <c r="C85" s="98"/>
      <c r="D85" s="98"/>
      <c r="E85" s="98"/>
      <c r="F85" s="99"/>
      <c r="G85" s="91"/>
      <c r="H85" s="92"/>
      <c r="I85" s="92"/>
      <c r="J85" s="93"/>
      <c r="K85" s="97"/>
      <c r="L85" s="98"/>
      <c r="M85" s="98"/>
      <c r="N85" s="98"/>
      <c r="O85" s="98"/>
      <c r="P85" s="98"/>
      <c r="Q85" s="99"/>
      <c r="R85" s="91"/>
      <c r="S85" s="92"/>
      <c r="T85" s="92"/>
      <c r="U85" s="93"/>
    </row>
    <row r="86" spans="1:21" ht="18" customHeight="1" x14ac:dyDescent="0.15">
      <c r="A86" s="3"/>
      <c r="B86" s="97"/>
      <c r="C86" s="98"/>
      <c r="D86" s="98"/>
      <c r="E86" s="98"/>
      <c r="F86" s="99"/>
      <c r="G86" s="91"/>
      <c r="H86" s="92"/>
      <c r="I86" s="92"/>
      <c r="J86" s="93"/>
      <c r="K86" s="97"/>
      <c r="L86" s="98"/>
      <c r="M86" s="98"/>
      <c r="N86" s="98"/>
      <c r="O86" s="98"/>
      <c r="P86" s="98"/>
      <c r="Q86" s="99"/>
      <c r="R86" s="91"/>
      <c r="S86" s="92"/>
      <c r="T86" s="92"/>
      <c r="U86" s="93"/>
    </row>
    <row r="87" spans="1:21" ht="18" customHeight="1" x14ac:dyDescent="0.15">
      <c r="A87" s="3"/>
      <c r="B87" s="100"/>
      <c r="C87" s="101"/>
      <c r="D87" s="101"/>
      <c r="E87" s="101"/>
      <c r="F87" s="102"/>
      <c r="G87" s="132"/>
      <c r="H87" s="133"/>
      <c r="I87" s="133"/>
      <c r="J87" s="134"/>
      <c r="K87" s="100"/>
      <c r="L87" s="101"/>
      <c r="M87" s="101"/>
      <c r="N87" s="101"/>
      <c r="O87" s="101"/>
      <c r="P87" s="101"/>
      <c r="Q87" s="102"/>
      <c r="R87" s="132"/>
      <c r="S87" s="133"/>
      <c r="T87" s="133"/>
      <c r="U87" s="134"/>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108</v>
      </c>
    </row>
    <row r="90" spans="1:21" ht="18.75" customHeight="1" x14ac:dyDescent="0.15">
      <c r="B90" s="135" t="s">
        <v>53</v>
      </c>
      <c r="C90" s="136"/>
      <c r="D90" s="94" t="s">
        <v>54</v>
      </c>
      <c r="E90" s="95"/>
      <c r="F90" s="95"/>
      <c r="G90" s="95"/>
      <c r="H90" s="95"/>
      <c r="I90" s="95"/>
      <c r="J90" s="95"/>
      <c r="K90" s="95"/>
      <c r="L90" s="95"/>
      <c r="M90" s="95"/>
      <c r="N90" s="95"/>
      <c r="O90" s="95"/>
      <c r="P90" s="95"/>
      <c r="Q90" s="95"/>
      <c r="R90" s="95"/>
      <c r="S90" s="95"/>
      <c r="T90" s="95"/>
      <c r="U90" s="96"/>
    </row>
    <row r="91" spans="1:21" ht="97.5" customHeight="1" x14ac:dyDescent="0.15">
      <c r="B91" s="112" t="s">
        <v>60</v>
      </c>
      <c r="C91" s="23" t="s">
        <v>55</v>
      </c>
      <c r="D91" s="148" t="s">
        <v>172</v>
      </c>
      <c r="E91" s="149"/>
      <c r="F91" s="149"/>
      <c r="G91" s="149"/>
      <c r="H91" s="149"/>
      <c r="I91" s="149"/>
      <c r="J91" s="149"/>
      <c r="K91" s="149"/>
      <c r="L91" s="149"/>
      <c r="M91" s="149"/>
      <c r="N91" s="149"/>
      <c r="O91" s="149"/>
      <c r="P91" s="149"/>
      <c r="Q91" s="149"/>
      <c r="R91" s="149"/>
      <c r="S91" s="149"/>
      <c r="T91" s="149"/>
      <c r="U91" s="150"/>
    </row>
    <row r="92" spans="1:21" ht="97.5" customHeight="1" x14ac:dyDescent="0.15">
      <c r="B92" s="117"/>
      <c r="C92" s="24" t="s">
        <v>75</v>
      </c>
      <c r="D92" s="145" t="s">
        <v>173</v>
      </c>
      <c r="E92" s="146"/>
      <c r="F92" s="146"/>
      <c r="G92" s="146"/>
      <c r="H92" s="146"/>
      <c r="I92" s="146"/>
      <c r="J92" s="146"/>
      <c r="K92" s="146"/>
      <c r="L92" s="146"/>
      <c r="M92" s="146"/>
      <c r="N92" s="146"/>
      <c r="O92" s="146"/>
      <c r="P92" s="146"/>
      <c r="Q92" s="146"/>
      <c r="R92" s="146"/>
      <c r="S92" s="146"/>
      <c r="T92" s="146"/>
      <c r="U92" s="147"/>
    </row>
    <row r="93" spans="1:21" ht="97.5" customHeight="1" x14ac:dyDescent="0.15">
      <c r="B93" s="112" t="s">
        <v>61</v>
      </c>
      <c r="C93" s="25" t="s">
        <v>69</v>
      </c>
      <c r="D93" s="148" t="s">
        <v>174</v>
      </c>
      <c r="E93" s="149"/>
      <c r="F93" s="149"/>
      <c r="G93" s="149"/>
      <c r="H93" s="149"/>
      <c r="I93" s="149"/>
      <c r="J93" s="149"/>
      <c r="K93" s="149"/>
      <c r="L93" s="149"/>
      <c r="M93" s="149"/>
      <c r="N93" s="149"/>
      <c r="O93" s="149"/>
      <c r="P93" s="149"/>
      <c r="Q93" s="149"/>
      <c r="R93" s="149"/>
      <c r="S93" s="149"/>
      <c r="T93" s="149"/>
      <c r="U93" s="150"/>
    </row>
    <row r="94" spans="1:21" ht="97.5" customHeight="1" x14ac:dyDescent="0.15">
      <c r="B94" s="113"/>
      <c r="C94" s="26" t="s">
        <v>70</v>
      </c>
      <c r="D94" s="145" t="s">
        <v>175</v>
      </c>
      <c r="E94" s="146"/>
      <c r="F94" s="146"/>
      <c r="G94" s="146"/>
      <c r="H94" s="146"/>
      <c r="I94" s="146"/>
      <c r="J94" s="146"/>
      <c r="K94" s="146"/>
      <c r="L94" s="146"/>
      <c r="M94" s="146"/>
      <c r="N94" s="146"/>
      <c r="O94" s="146"/>
      <c r="P94" s="146"/>
      <c r="Q94" s="146"/>
      <c r="R94" s="146"/>
      <c r="S94" s="146"/>
      <c r="T94" s="146"/>
      <c r="U94" s="147"/>
    </row>
    <row r="95" spans="1:21" ht="97.5" customHeight="1" x14ac:dyDescent="0.15">
      <c r="B95" s="112" t="s">
        <v>62</v>
      </c>
      <c r="C95" s="25" t="s">
        <v>71</v>
      </c>
      <c r="D95" s="148" t="s">
        <v>176</v>
      </c>
      <c r="E95" s="149"/>
      <c r="F95" s="149"/>
      <c r="G95" s="149"/>
      <c r="H95" s="149"/>
      <c r="I95" s="149"/>
      <c r="J95" s="149"/>
      <c r="K95" s="149"/>
      <c r="L95" s="149"/>
      <c r="M95" s="149"/>
      <c r="N95" s="149"/>
      <c r="O95" s="149"/>
      <c r="P95" s="149"/>
      <c r="Q95" s="149"/>
      <c r="R95" s="149"/>
      <c r="S95" s="149"/>
      <c r="T95" s="149"/>
      <c r="U95" s="150"/>
    </row>
    <row r="96" spans="1:21" ht="97.5" customHeight="1" x14ac:dyDescent="0.15">
      <c r="B96" s="113"/>
      <c r="C96" s="27" t="s">
        <v>72</v>
      </c>
      <c r="D96" s="145" t="s">
        <v>177</v>
      </c>
      <c r="E96" s="146"/>
      <c r="F96" s="146"/>
      <c r="G96" s="146"/>
      <c r="H96" s="146"/>
      <c r="I96" s="146"/>
      <c r="J96" s="146"/>
      <c r="K96" s="146"/>
      <c r="L96" s="146"/>
      <c r="M96" s="146"/>
      <c r="N96" s="146"/>
      <c r="O96" s="146"/>
      <c r="P96" s="146"/>
      <c r="Q96" s="146"/>
      <c r="R96" s="146"/>
      <c r="S96" s="146"/>
      <c r="T96" s="146"/>
      <c r="U96" s="147"/>
    </row>
    <row r="97" spans="1:33" ht="97.5" customHeight="1" x14ac:dyDescent="0.15">
      <c r="B97" s="112" t="s">
        <v>76</v>
      </c>
      <c r="C97" s="23" t="s">
        <v>57</v>
      </c>
      <c r="D97" s="148" t="s">
        <v>178</v>
      </c>
      <c r="E97" s="149"/>
      <c r="F97" s="149"/>
      <c r="G97" s="149"/>
      <c r="H97" s="149"/>
      <c r="I97" s="149"/>
      <c r="J97" s="149"/>
      <c r="K97" s="149"/>
      <c r="L97" s="149"/>
      <c r="M97" s="149"/>
      <c r="N97" s="149"/>
      <c r="O97" s="149"/>
      <c r="P97" s="149"/>
      <c r="Q97" s="149"/>
      <c r="R97" s="149"/>
      <c r="S97" s="149"/>
      <c r="T97" s="149"/>
      <c r="U97" s="150"/>
    </row>
    <row r="98" spans="1:33" ht="97.5" customHeight="1" x14ac:dyDescent="0.15">
      <c r="B98" s="113"/>
      <c r="C98" s="26" t="s">
        <v>59</v>
      </c>
      <c r="D98" s="145" t="s">
        <v>169</v>
      </c>
      <c r="E98" s="146"/>
      <c r="F98" s="146"/>
      <c r="G98" s="146"/>
      <c r="H98" s="146"/>
      <c r="I98" s="146"/>
      <c r="J98" s="146"/>
      <c r="K98" s="146"/>
      <c r="L98" s="146"/>
      <c r="M98" s="146"/>
      <c r="N98" s="146"/>
      <c r="O98" s="146"/>
      <c r="P98" s="146"/>
      <c r="Q98" s="146"/>
      <c r="R98" s="146"/>
      <c r="S98" s="146"/>
      <c r="T98" s="146"/>
      <c r="U98" s="147"/>
    </row>
    <row r="99" spans="1:33" ht="97.5" customHeight="1" x14ac:dyDescent="0.15">
      <c r="B99" s="112" t="s">
        <v>77</v>
      </c>
      <c r="C99" s="25" t="s">
        <v>56</v>
      </c>
      <c r="D99" s="148" t="s">
        <v>179</v>
      </c>
      <c r="E99" s="149"/>
      <c r="F99" s="149"/>
      <c r="G99" s="149"/>
      <c r="H99" s="149"/>
      <c r="I99" s="149"/>
      <c r="J99" s="149"/>
      <c r="K99" s="149"/>
      <c r="L99" s="149"/>
      <c r="M99" s="149"/>
      <c r="N99" s="149"/>
      <c r="O99" s="149"/>
      <c r="P99" s="149"/>
      <c r="Q99" s="149"/>
      <c r="R99" s="149"/>
      <c r="S99" s="149"/>
      <c r="T99" s="149"/>
      <c r="U99" s="150"/>
    </row>
    <row r="100" spans="1:33" ht="97.5" customHeight="1" x14ac:dyDescent="0.15">
      <c r="B100" s="117"/>
      <c r="C100" s="28" t="s">
        <v>73</v>
      </c>
      <c r="D100" s="151" t="s">
        <v>180</v>
      </c>
      <c r="E100" s="152"/>
      <c r="F100" s="152"/>
      <c r="G100" s="152"/>
      <c r="H100" s="152"/>
      <c r="I100" s="152"/>
      <c r="J100" s="152"/>
      <c r="K100" s="152"/>
      <c r="L100" s="152"/>
      <c r="M100" s="152"/>
      <c r="N100" s="152"/>
      <c r="O100" s="152"/>
      <c r="P100" s="152"/>
      <c r="Q100" s="152"/>
      <c r="R100" s="152"/>
      <c r="S100" s="152"/>
      <c r="T100" s="152"/>
      <c r="U100" s="153"/>
    </row>
    <row r="101" spans="1:33" ht="97.5" customHeight="1" x14ac:dyDescent="0.15">
      <c r="B101" s="113"/>
      <c r="C101" s="27" t="s">
        <v>74</v>
      </c>
      <c r="D101" s="145" t="s">
        <v>181</v>
      </c>
      <c r="E101" s="146"/>
      <c r="F101" s="146"/>
      <c r="G101" s="146"/>
      <c r="H101" s="146"/>
      <c r="I101" s="146"/>
      <c r="J101" s="146"/>
      <c r="K101" s="146"/>
      <c r="L101" s="146"/>
      <c r="M101" s="146"/>
      <c r="N101" s="146"/>
      <c r="O101" s="146"/>
      <c r="P101" s="146"/>
      <c r="Q101" s="146"/>
      <c r="R101" s="146"/>
      <c r="S101" s="146"/>
      <c r="T101" s="146"/>
      <c r="U101" s="147"/>
    </row>
    <row r="102" spans="1:33" ht="6" customHeight="1" x14ac:dyDescent="0.15"/>
    <row r="103" spans="1:33" ht="18.75" customHeight="1" x14ac:dyDescent="0.15">
      <c r="A103" s="1" t="s">
        <v>109</v>
      </c>
    </row>
    <row r="104" spans="1:33" ht="81.75" customHeight="1" x14ac:dyDescent="0.15">
      <c r="B104" s="129" t="s">
        <v>150</v>
      </c>
      <c r="C104" s="130"/>
      <c r="D104" s="130"/>
      <c r="E104" s="130"/>
      <c r="F104" s="130"/>
      <c r="G104" s="130"/>
      <c r="H104" s="130"/>
      <c r="I104" s="130"/>
      <c r="J104" s="130"/>
      <c r="K104" s="130"/>
      <c r="L104" s="130"/>
      <c r="M104" s="130"/>
      <c r="N104" s="130"/>
      <c r="O104" s="130"/>
      <c r="P104" s="130"/>
      <c r="Q104" s="130"/>
      <c r="R104" s="130"/>
      <c r="S104" s="130"/>
      <c r="T104" s="130"/>
      <c r="U104" s="131"/>
    </row>
    <row r="106" spans="1:33" ht="18.75" customHeight="1" x14ac:dyDescent="0.15">
      <c r="A106" s="71" t="s">
        <v>125</v>
      </c>
      <c r="B106" s="72"/>
      <c r="C106" s="72"/>
      <c r="D106" s="72"/>
      <c r="E106" s="72"/>
      <c r="F106" s="72"/>
      <c r="G106" s="72"/>
      <c r="H106" s="72"/>
      <c r="I106" s="72"/>
      <c r="J106" s="72"/>
      <c r="K106" s="72"/>
      <c r="L106" s="72"/>
      <c r="M106" s="72"/>
      <c r="N106" s="72"/>
      <c r="O106" s="72"/>
      <c r="P106" s="72"/>
      <c r="Q106" s="72"/>
      <c r="R106" s="72"/>
      <c r="S106" s="72"/>
      <c r="T106" s="72"/>
      <c r="U106" s="72"/>
    </row>
    <row r="107" spans="1:33" ht="18.75" customHeight="1" x14ac:dyDescent="0.15">
      <c r="A107" s="71" t="s">
        <v>127</v>
      </c>
      <c r="B107" s="71"/>
      <c r="C107" s="71"/>
      <c r="D107" s="71"/>
      <c r="E107" s="71"/>
      <c r="F107" s="71"/>
      <c r="G107" s="71"/>
      <c r="H107" s="71"/>
      <c r="I107" s="71"/>
      <c r="J107" s="71"/>
      <c r="K107" s="71"/>
      <c r="L107" s="71"/>
      <c r="M107" s="71"/>
      <c r="N107" s="71"/>
      <c r="O107" s="71"/>
      <c r="P107" s="71"/>
      <c r="Q107" s="71"/>
      <c r="R107" s="71"/>
      <c r="S107" s="71"/>
      <c r="T107" s="71"/>
      <c r="U107" s="71"/>
      <c r="V107" s="2"/>
      <c r="W107" s="2"/>
      <c r="X107" s="2"/>
      <c r="Y107" s="2"/>
      <c r="Z107" s="2"/>
      <c r="AA107" s="2"/>
      <c r="AB107" s="2"/>
      <c r="AC107" s="2"/>
      <c r="AD107" s="2"/>
      <c r="AE107" s="2"/>
      <c r="AF107" s="2"/>
      <c r="AG107" s="2"/>
    </row>
    <row r="108" spans="1:33" ht="18.75" customHeight="1" x14ac:dyDescent="0.15">
      <c r="A108" s="71"/>
      <c r="B108" s="144" t="s">
        <v>130</v>
      </c>
      <c r="C108" s="144"/>
      <c r="D108" s="144"/>
      <c r="E108" s="144"/>
      <c r="F108" s="144"/>
      <c r="G108" s="144"/>
      <c r="H108" s="144"/>
      <c r="I108" s="144"/>
      <c r="J108" s="144"/>
      <c r="K108" s="144"/>
      <c r="L108" s="144"/>
      <c r="M108" s="144"/>
      <c r="N108" s="144"/>
      <c r="O108" s="144"/>
      <c r="P108" s="144"/>
      <c r="Q108" s="144"/>
      <c r="R108" s="144"/>
      <c r="S108" s="144"/>
      <c r="T108" s="144"/>
      <c r="U108" s="144"/>
      <c r="V108" s="67"/>
      <c r="W108" s="67"/>
      <c r="X108" s="67"/>
      <c r="Y108" s="67"/>
      <c r="Z108" s="67"/>
      <c r="AA108" s="67"/>
      <c r="AB108" s="67"/>
      <c r="AC108" s="67"/>
      <c r="AD108" s="67"/>
      <c r="AE108" s="67"/>
      <c r="AF108" s="67"/>
      <c r="AG108" s="67"/>
    </row>
    <row r="109" spans="1:33" ht="37.15" customHeight="1" x14ac:dyDescent="0.15">
      <c r="A109" s="71"/>
      <c r="B109" s="144"/>
      <c r="C109" s="144"/>
      <c r="D109" s="144"/>
      <c r="E109" s="144"/>
      <c r="F109" s="144"/>
      <c r="G109" s="144"/>
      <c r="H109" s="144"/>
      <c r="I109" s="144"/>
      <c r="J109" s="144"/>
      <c r="K109" s="144"/>
      <c r="L109" s="144"/>
      <c r="M109" s="144"/>
      <c r="N109" s="144"/>
      <c r="O109" s="144"/>
      <c r="P109" s="144"/>
      <c r="Q109" s="144"/>
      <c r="R109" s="144"/>
      <c r="S109" s="144"/>
      <c r="T109" s="144"/>
      <c r="U109" s="144"/>
      <c r="V109" s="67"/>
      <c r="W109" s="67"/>
      <c r="X109" s="67"/>
      <c r="Y109" s="67"/>
      <c r="Z109" s="67"/>
      <c r="AA109" s="67"/>
      <c r="AB109" s="67"/>
      <c r="AC109" s="67"/>
      <c r="AD109" s="67"/>
      <c r="AE109" s="67"/>
      <c r="AF109" s="67"/>
      <c r="AG109" s="67"/>
    </row>
    <row r="110" spans="1:33" ht="18.75" customHeight="1" x14ac:dyDescent="0.15">
      <c r="A110" s="71"/>
      <c r="B110" s="90" t="s">
        <v>126</v>
      </c>
      <c r="C110" s="90"/>
      <c r="D110" s="90"/>
      <c r="E110" s="90"/>
      <c r="F110" s="90"/>
      <c r="G110" s="90"/>
      <c r="H110" s="90"/>
      <c r="I110" s="90"/>
      <c r="J110" s="90"/>
      <c r="K110" s="90"/>
      <c r="L110" s="90"/>
      <c r="M110" s="90"/>
      <c r="N110" s="90"/>
      <c r="O110" s="90"/>
      <c r="P110" s="90"/>
      <c r="Q110" s="90"/>
      <c r="R110" s="90"/>
      <c r="S110" s="90"/>
      <c r="T110" s="90"/>
      <c r="U110" s="90"/>
      <c r="V110" s="67"/>
      <c r="W110" s="67"/>
      <c r="X110" s="67"/>
      <c r="Y110" s="67"/>
      <c r="Z110" s="67"/>
      <c r="AA110" s="67"/>
      <c r="AB110" s="67"/>
      <c r="AC110" s="67"/>
      <c r="AD110" s="67"/>
      <c r="AE110" s="67"/>
      <c r="AF110" s="67"/>
      <c r="AG110" s="67"/>
    </row>
    <row r="111" spans="1:33" ht="18.75" customHeight="1" x14ac:dyDescent="0.15">
      <c r="A111" s="71"/>
      <c r="B111" s="103" t="s">
        <v>54</v>
      </c>
      <c r="C111" s="103"/>
      <c r="D111" s="103"/>
      <c r="E111" s="103"/>
      <c r="F111" s="103"/>
      <c r="G111" s="103"/>
      <c r="H111" s="103"/>
      <c r="I111" s="103"/>
      <c r="J111" s="103"/>
      <c r="K111" s="103"/>
      <c r="L111" s="103"/>
      <c r="M111" s="103"/>
      <c r="N111" s="103"/>
      <c r="O111" s="103"/>
      <c r="P111" s="103"/>
      <c r="Q111" s="103"/>
      <c r="R111" s="103"/>
      <c r="S111" s="103"/>
      <c r="T111" s="103"/>
      <c r="U111" s="103"/>
      <c r="V111" s="66"/>
      <c r="W111" s="66"/>
      <c r="X111" s="66"/>
      <c r="Y111" s="66"/>
      <c r="Z111" s="66"/>
      <c r="AA111" s="66"/>
      <c r="AB111" s="66"/>
      <c r="AC111" s="66"/>
      <c r="AD111" s="66"/>
      <c r="AE111" s="66"/>
      <c r="AF111" s="66"/>
      <c r="AG111" s="66"/>
    </row>
    <row r="112" spans="1:33" ht="132" customHeight="1" x14ac:dyDescent="0.15">
      <c r="A112" s="71"/>
      <c r="B112" s="104"/>
      <c r="C112" s="104"/>
      <c r="D112" s="104"/>
      <c r="E112" s="104"/>
      <c r="F112" s="104"/>
      <c r="G112" s="104"/>
      <c r="H112" s="104"/>
      <c r="I112" s="104"/>
      <c r="J112" s="104"/>
      <c r="K112" s="104"/>
      <c r="L112" s="104"/>
      <c r="M112" s="104"/>
      <c r="N112" s="104"/>
      <c r="O112" s="104"/>
      <c r="P112" s="104"/>
      <c r="Q112" s="104"/>
      <c r="R112" s="104"/>
      <c r="S112" s="104"/>
      <c r="T112" s="104"/>
      <c r="U112" s="104"/>
      <c r="V112" s="68"/>
      <c r="W112" s="68"/>
      <c r="X112" s="68"/>
      <c r="Y112" s="68"/>
      <c r="Z112" s="68"/>
      <c r="AA112" s="68"/>
      <c r="AB112" s="68"/>
      <c r="AC112" s="68"/>
      <c r="AD112" s="68"/>
      <c r="AE112" s="68"/>
      <c r="AF112" s="68"/>
      <c r="AG112" s="68"/>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R71:U77 S38:U44 H38:J44 S49:U55 H49:J55 S60:U66 G71:J77 H60:J66"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1:G88 R81:R88 H81:J82 H85:J88 S85:U88 S81:U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C6" sqref="C6"/>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2"/>
      <c r="B1" s="72"/>
      <c r="C1" s="72"/>
      <c r="D1" s="72"/>
      <c r="E1" s="72"/>
      <c r="F1" s="72"/>
      <c r="G1" s="72"/>
      <c r="H1" s="72"/>
      <c r="I1" s="72"/>
      <c r="J1" s="72"/>
      <c r="K1" s="72"/>
      <c r="L1" s="72"/>
      <c r="M1" s="72"/>
      <c r="N1" s="72"/>
      <c r="O1" s="72"/>
      <c r="P1" s="72"/>
      <c r="Q1" s="72"/>
      <c r="R1" s="72"/>
      <c r="S1" s="72" t="s">
        <v>98</v>
      </c>
    </row>
    <row r="2" spans="1:21" ht="18" customHeight="1" x14ac:dyDescent="0.15">
      <c r="A2" s="72"/>
      <c r="B2" s="72"/>
      <c r="C2" s="72"/>
      <c r="D2" s="72"/>
      <c r="E2" s="72"/>
      <c r="F2" s="72"/>
      <c r="G2" s="72"/>
      <c r="H2" s="72"/>
      <c r="I2" s="72"/>
      <c r="J2" s="72"/>
      <c r="K2" s="72"/>
      <c r="L2" s="72"/>
      <c r="M2" s="72"/>
      <c r="N2" s="72"/>
      <c r="O2" s="72"/>
      <c r="P2" s="72"/>
      <c r="Q2" s="164" t="str">
        <f>'様式１　プログラムを構成する授業科目'!C2</f>
        <v>岐阜薬科大学</v>
      </c>
      <c r="R2" s="164"/>
      <c r="S2" s="164"/>
    </row>
    <row r="3" spans="1:21" ht="18" customHeight="1" x14ac:dyDescent="0.15">
      <c r="A3" s="118" t="s">
        <v>47</v>
      </c>
      <c r="B3" s="118"/>
      <c r="C3" s="118"/>
      <c r="D3" s="118"/>
      <c r="E3" s="118"/>
      <c r="F3" s="118"/>
      <c r="G3" s="118"/>
      <c r="H3" s="118"/>
      <c r="I3" s="118"/>
      <c r="J3" s="118"/>
      <c r="K3" s="118"/>
      <c r="L3" s="118"/>
      <c r="M3" s="118"/>
      <c r="N3" s="118"/>
      <c r="O3" s="118"/>
      <c r="P3" s="118"/>
      <c r="Q3" s="118"/>
      <c r="R3" s="118"/>
      <c r="S3" s="118"/>
    </row>
    <row r="4" spans="1:21" ht="7.5" customHeight="1" x14ac:dyDescent="0.15">
      <c r="A4" s="77"/>
      <c r="B4" s="77"/>
      <c r="C4" s="77"/>
      <c r="D4" s="77"/>
      <c r="E4" s="77"/>
      <c r="F4" s="77"/>
      <c r="G4" s="77"/>
      <c r="H4" s="77"/>
      <c r="I4" s="77"/>
      <c r="J4" s="77"/>
      <c r="K4" s="77"/>
      <c r="L4" s="77"/>
      <c r="M4" s="77"/>
      <c r="N4" s="77"/>
      <c r="O4" s="77"/>
      <c r="P4" s="77"/>
      <c r="Q4" s="77"/>
      <c r="R4" s="77"/>
      <c r="S4" s="77"/>
    </row>
    <row r="5" spans="1:21" ht="18" customHeight="1" x14ac:dyDescent="0.15">
      <c r="A5" s="72" t="s">
        <v>80</v>
      </c>
      <c r="B5" s="72"/>
      <c r="C5" s="165" t="s">
        <v>170</v>
      </c>
      <c r="D5" s="166"/>
      <c r="E5" s="77" t="s">
        <v>51</v>
      </c>
      <c r="F5" s="77"/>
      <c r="G5" s="77"/>
      <c r="H5" s="77"/>
      <c r="I5" s="77"/>
      <c r="J5" s="77"/>
      <c r="K5" s="77"/>
      <c r="L5" s="77"/>
      <c r="M5" s="77"/>
      <c r="N5" s="77"/>
      <c r="O5" s="77"/>
      <c r="P5" s="77"/>
      <c r="Q5" s="77"/>
      <c r="R5" s="75"/>
      <c r="S5" s="75"/>
    </row>
    <row r="6" spans="1:21" ht="7.15" customHeight="1" x14ac:dyDescent="0.15">
      <c r="A6" s="72"/>
      <c r="B6" s="72"/>
      <c r="C6" s="82"/>
      <c r="D6" s="82"/>
      <c r="E6" s="77"/>
      <c r="F6" s="77"/>
      <c r="G6" s="77"/>
      <c r="H6" s="77"/>
      <c r="I6" s="77"/>
      <c r="J6" s="77"/>
      <c r="K6" s="77"/>
      <c r="L6" s="77"/>
      <c r="M6" s="77"/>
      <c r="N6" s="77"/>
      <c r="O6" s="77"/>
      <c r="P6" s="77"/>
      <c r="Q6" s="77"/>
      <c r="R6" s="75"/>
      <c r="S6" s="75"/>
    </row>
    <row r="7" spans="1:21" ht="18" customHeight="1" x14ac:dyDescent="0.15">
      <c r="A7" s="72" t="s">
        <v>118</v>
      </c>
      <c r="B7" s="72"/>
      <c r="C7" s="82"/>
      <c r="D7" s="82"/>
      <c r="E7" s="77" t="s">
        <v>119</v>
      </c>
      <c r="F7" s="80">
        <v>331</v>
      </c>
      <c r="G7" s="78" t="s">
        <v>120</v>
      </c>
      <c r="H7" s="77" t="s">
        <v>121</v>
      </c>
      <c r="I7" s="80">
        <v>428</v>
      </c>
      <c r="J7" s="78" t="s">
        <v>120</v>
      </c>
      <c r="K7" s="73" t="s">
        <v>122</v>
      </c>
      <c r="L7" s="77" t="s">
        <v>123</v>
      </c>
      <c r="M7" s="80">
        <f>F7+I7</f>
        <v>759</v>
      </c>
      <c r="N7" s="77" t="s">
        <v>1</v>
      </c>
      <c r="O7" s="78" t="s">
        <v>124</v>
      </c>
      <c r="P7" s="77"/>
      <c r="Q7" s="77"/>
      <c r="R7" s="75"/>
      <c r="S7" s="75"/>
    </row>
    <row r="8" spans="1:21" ht="6" customHeight="1" x14ac:dyDescent="0.15">
      <c r="A8" s="77"/>
      <c r="B8" s="77"/>
      <c r="C8" s="77"/>
      <c r="D8" s="77"/>
      <c r="E8" s="77"/>
      <c r="F8" s="77"/>
      <c r="G8" s="77"/>
      <c r="H8" s="77"/>
      <c r="I8" s="77"/>
      <c r="J8" s="77"/>
      <c r="K8" s="77"/>
      <c r="L8" s="77"/>
      <c r="M8" s="77"/>
      <c r="N8" s="77"/>
      <c r="O8" s="77"/>
      <c r="P8" s="77"/>
      <c r="Q8" s="77"/>
      <c r="R8" s="77"/>
      <c r="S8" s="77"/>
    </row>
    <row r="9" spans="1:21" ht="18" customHeight="1" x14ac:dyDescent="0.15">
      <c r="A9" s="72" t="s">
        <v>134</v>
      </c>
      <c r="B9" s="77"/>
      <c r="C9" s="77"/>
      <c r="D9" s="77"/>
      <c r="E9" s="77"/>
      <c r="F9" s="77"/>
      <c r="G9" s="77"/>
      <c r="H9" s="77"/>
      <c r="I9" s="77"/>
      <c r="J9" s="77"/>
      <c r="K9" s="77"/>
      <c r="L9" s="77"/>
      <c r="M9" s="77"/>
      <c r="N9" s="77"/>
      <c r="O9" s="77"/>
      <c r="P9" s="77"/>
      <c r="Q9" s="77"/>
      <c r="R9" s="77"/>
      <c r="S9" s="77"/>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7" t="s">
        <v>44</v>
      </c>
      <c r="C11" s="177" t="s">
        <v>83</v>
      </c>
      <c r="D11" s="169" t="s">
        <v>46</v>
      </c>
      <c r="E11" s="171" t="s">
        <v>39</v>
      </c>
      <c r="F11" s="163" t="s">
        <v>112</v>
      </c>
      <c r="G11" s="163"/>
      <c r="H11" s="163" t="s">
        <v>82</v>
      </c>
      <c r="I11" s="163"/>
      <c r="J11" s="163" t="s">
        <v>48</v>
      </c>
      <c r="K11" s="163"/>
      <c r="L11" s="163" t="s">
        <v>49</v>
      </c>
      <c r="M11" s="163"/>
      <c r="N11" s="163" t="s">
        <v>92</v>
      </c>
      <c r="O11" s="163"/>
      <c r="P11" s="163" t="s">
        <v>50</v>
      </c>
      <c r="Q11" s="163"/>
      <c r="R11" s="173" t="s">
        <v>35</v>
      </c>
      <c r="S11" s="175" t="s">
        <v>32</v>
      </c>
      <c r="U11" s="2"/>
    </row>
    <row r="12" spans="1:21" ht="16.899999999999999" customHeight="1" x14ac:dyDescent="0.15">
      <c r="B12" s="168"/>
      <c r="C12" s="178"/>
      <c r="D12" s="170"/>
      <c r="E12" s="172"/>
      <c r="F12" s="62" t="s">
        <v>91</v>
      </c>
      <c r="G12" s="62" t="s">
        <v>29</v>
      </c>
      <c r="H12" s="62" t="s">
        <v>91</v>
      </c>
      <c r="I12" s="62" t="s">
        <v>29</v>
      </c>
      <c r="J12" s="62" t="s">
        <v>91</v>
      </c>
      <c r="K12" s="62" t="s">
        <v>29</v>
      </c>
      <c r="L12" s="62" t="s">
        <v>91</v>
      </c>
      <c r="M12" s="62" t="s">
        <v>29</v>
      </c>
      <c r="N12" s="62" t="s">
        <v>91</v>
      </c>
      <c r="O12" s="62" t="s">
        <v>29</v>
      </c>
      <c r="P12" s="62" t="s">
        <v>91</v>
      </c>
      <c r="Q12" s="63" t="s">
        <v>29</v>
      </c>
      <c r="R12" s="174"/>
      <c r="S12" s="176"/>
      <c r="U12" s="2"/>
    </row>
    <row r="13" spans="1:21" ht="18" customHeight="1" x14ac:dyDescent="0.15">
      <c r="A13" s="6"/>
      <c r="B13" s="83" t="s">
        <v>139</v>
      </c>
      <c r="C13" s="84">
        <v>759</v>
      </c>
      <c r="D13" s="85">
        <v>120</v>
      </c>
      <c r="E13" s="86">
        <v>720</v>
      </c>
      <c r="F13" s="86">
        <v>141</v>
      </c>
      <c r="G13" s="86">
        <v>143</v>
      </c>
      <c r="H13" s="86"/>
      <c r="I13" s="52"/>
      <c r="J13" s="52"/>
      <c r="K13" s="52"/>
      <c r="L13" s="52"/>
      <c r="M13" s="52"/>
      <c r="N13" s="52"/>
      <c r="O13" s="52"/>
      <c r="P13" s="52"/>
      <c r="Q13" s="64"/>
      <c r="R13" s="51">
        <f t="shared" ref="R13" si="0">F13+H13+J13+L13+N13+P13</f>
        <v>141</v>
      </c>
      <c r="S13" s="89">
        <f t="shared" ref="S13:S33" si="1">R13/E13</f>
        <v>0.19583333333333333</v>
      </c>
    </row>
    <row r="14" spans="1:21" ht="18" customHeight="1" x14ac:dyDescent="0.15">
      <c r="A14" s="6"/>
      <c r="B14" s="11"/>
      <c r="C14" s="53"/>
      <c r="D14" s="54"/>
      <c r="E14" s="55"/>
      <c r="F14" s="56"/>
      <c r="G14" s="56"/>
      <c r="H14" s="56"/>
      <c r="I14" s="56"/>
      <c r="J14" s="56"/>
      <c r="K14" s="56"/>
      <c r="L14" s="56"/>
      <c r="M14" s="56"/>
      <c r="N14" s="56"/>
      <c r="O14" s="56"/>
      <c r="P14" s="56"/>
      <c r="Q14" s="53"/>
      <c r="R14" s="54"/>
      <c r="S14" s="16"/>
    </row>
    <row r="15" spans="1:21" ht="18" customHeight="1" x14ac:dyDescent="0.15">
      <c r="A15" s="6"/>
      <c r="B15" s="11"/>
      <c r="C15" s="53"/>
      <c r="D15" s="54"/>
      <c r="E15" s="55"/>
      <c r="F15" s="56"/>
      <c r="G15" s="56"/>
      <c r="H15" s="56"/>
      <c r="I15" s="56"/>
      <c r="J15" s="56"/>
      <c r="K15" s="56"/>
      <c r="L15" s="56"/>
      <c r="M15" s="56"/>
      <c r="N15" s="56"/>
      <c r="O15" s="56"/>
      <c r="P15" s="56"/>
      <c r="Q15" s="53"/>
      <c r="R15" s="54"/>
      <c r="S15" s="8"/>
    </row>
    <row r="16" spans="1:21" ht="18" customHeight="1" x14ac:dyDescent="0.15">
      <c r="A16" s="6"/>
      <c r="B16" s="11"/>
      <c r="C16" s="53"/>
      <c r="D16" s="54"/>
      <c r="E16" s="55"/>
      <c r="F16" s="56"/>
      <c r="G16" s="56"/>
      <c r="H16" s="56"/>
      <c r="I16" s="56"/>
      <c r="J16" s="56"/>
      <c r="K16" s="56"/>
      <c r="L16" s="56"/>
      <c r="M16" s="56"/>
      <c r="N16" s="56"/>
      <c r="O16" s="56"/>
      <c r="P16" s="56"/>
      <c r="Q16" s="53"/>
      <c r="R16" s="54"/>
      <c r="S16" s="8"/>
    </row>
    <row r="17" spans="1:19" ht="18" customHeight="1" x14ac:dyDescent="0.15">
      <c r="A17" s="6"/>
      <c r="B17" s="11"/>
      <c r="C17" s="53"/>
      <c r="D17" s="54"/>
      <c r="E17" s="55"/>
      <c r="F17" s="56"/>
      <c r="G17" s="56"/>
      <c r="H17" s="56"/>
      <c r="I17" s="56"/>
      <c r="J17" s="56"/>
      <c r="K17" s="56"/>
      <c r="L17" s="56"/>
      <c r="M17" s="56"/>
      <c r="N17" s="56"/>
      <c r="O17" s="56"/>
      <c r="P17" s="56"/>
      <c r="Q17" s="53"/>
      <c r="R17" s="54"/>
      <c r="S17" s="8"/>
    </row>
    <row r="18" spans="1:19" ht="18" customHeight="1" x14ac:dyDescent="0.15">
      <c r="A18" s="6"/>
      <c r="B18" s="11"/>
      <c r="C18" s="53"/>
      <c r="D18" s="54"/>
      <c r="E18" s="55"/>
      <c r="F18" s="56"/>
      <c r="G18" s="56"/>
      <c r="H18" s="56"/>
      <c r="I18" s="56"/>
      <c r="J18" s="56"/>
      <c r="K18" s="56"/>
      <c r="L18" s="56"/>
      <c r="M18" s="56"/>
      <c r="N18" s="56"/>
      <c r="O18" s="56"/>
      <c r="P18" s="56"/>
      <c r="Q18" s="53"/>
      <c r="R18" s="54"/>
      <c r="S18" s="8"/>
    </row>
    <row r="19" spans="1:19" ht="18" customHeight="1" x14ac:dyDescent="0.15">
      <c r="A19" s="6"/>
      <c r="B19" s="11"/>
      <c r="C19" s="53"/>
      <c r="D19" s="54"/>
      <c r="E19" s="55"/>
      <c r="F19" s="56"/>
      <c r="G19" s="56"/>
      <c r="H19" s="56"/>
      <c r="I19" s="56"/>
      <c r="J19" s="56"/>
      <c r="K19" s="56"/>
      <c r="L19" s="56"/>
      <c r="M19" s="56"/>
      <c r="N19" s="56"/>
      <c r="O19" s="56"/>
      <c r="P19" s="56"/>
      <c r="Q19" s="53"/>
      <c r="R19" s="54"/>
      <c r="S19" s="8"/>
    </row>
    <row r="20" spans="1:19" ht="18" customHeight="1" x14ac:dyDescent="0.15">
      <c r="A20" s="6"/>
      <c r="B20" s="11"/>
      <c r="C20" s="53"/>
      <c r="D20" s="54"/>
      <c r="E20" s="55"/>
      <c r="F20" s="56"/>
      <c r="G20" s="56"/>
      <c r="H20" s="56"/>
      <c r="I20" s="56"/>
      <c r="J20" s="56"/>
      <c r="K20" s="56"/>
      <c r="L20" s="56"/>
      <c r="M20" s="56"/>
      <c r="N20" s="56"/>
      <c r="O20" s="56"/>
      <c r="P20" s="56"/>
      <c r="Q20" s="53"/>
      <c r="R20" s="54"/>
      <c r="S20" s="8"/>
    </row>
    <row r="21" spans="1:19" ht="18" customHeight="1" x14ac:dyDescent="0.15">
      <c r="A21" s="6"/>
      <c r="B21" s="11"/>
      <c r="C21" s="53"/>
      <c r="D21" s="54"/>
      <c r="E21" s="55"/>
      <c r="F21" s="56"/>
      <c r="G21" s="56"/>
      <c r="H21" s="56"/>
      <c r="I21" s="56"/>
      <c r="J21" s="56"/>
      <c r="K21" s="56"/>
      <c r="L21" s="56"/>
      <c r="M21" s="56"/>
      <c r="N21" s="56"/>
      <c r="O21" s="56"/>
      <c r="P21" s="56"/>
      <c r="Q21" s="53"/>
      <c r="R21" s="54"/>
      <c r="S21" s="8"/>
    </row>
    <row r="22" spans="1:19" ht="18" customHeight="1" x14ac:dyDescent="0.15">
      <c r="A22" s="6"/>
      <c r="B22" s="11"/>
      <c r="C22" s="53"/>
      <c r="D22" s="54"/>
      <c r="E22" s="55"/>
      <c r="F22" s="56"/>
      <c r="G22" s="56"/>
      <c r="H22" s="56"/>
      <c r="I22" s="56"/>
      <c r="J22" s="56"/>
      <c r="K22" s="56"/>
      <c r="L22" s="56"/>
      <c r="M22" s="56"/>
      <c r="N22" s="56"/>
      <c r="O22" s="56"/>
      <c r="P22" s="56"/>
      <c r="Q22" s="53"/>
      <c r="R22" s="54"/>
      <c r="S22" s="8"/>
    </row>
    <row r="23" spans="1:19" ht="18" customHeight="1" x14ac:dyDescent="0.15">
      <c r="A23" s="6"/>
      <c r="B23" s="11"/>
      <c r="C23" s="53"/>
      <c r="D23" s="54"/>
      <c r="E23" s="55"/>
      <c r="F23" s="56"/>
      <c r="G23" s="56"/>
      <c r="H23" s="56"/>
      <c r="I23" s="56"/>
      <c r="J23" s="56"/>
      <c r="K23" s="56"/>
      <c r="L23" s="56"/>
      <c r="M23" s="56"/>
      <c r="N23" s="56"/>
      <c r="O23" s="56"/>
      <c r="P23" s="56"/>
      <c r="Q23" s="53"/>
      <c r="R23" s="54"/>
      <c r="S23" s="8"/>
    </row>
    <row r="24" spans="1:19" ht="18" customHeight="1" x14ac:dyDescent="0.15">
      <c r="A24" s="6"/>
      <c r="B24" s="11"/>
      <c r="C24" s="53"/>
      <c r="D24" s="54"/>
      <c r="E24" s="55"/>
      <c r="F24" s="56"/>
      <c r="G24" s="56"/>
      <c r="H24" s="56"/>
      <c r="I24" s="56"/>
      <c r="J24" s="56"/>
      <c r="K24" s="56"/>
      <c r="L24" s="56"/>
      <c r="M24" s="56"/>
      <c r="N24" s="56"/>
      <c r="O24" s="56"/>
      <c r="P24" s="56"/>
      <c r="Q24" s="53"/>
      <c r="R24" s="54"/>
      <c r="S24" s="8"/>
    </row>
    <row r="25" spans="1:19" ht="18" customHeight="1" x14ac:dyDescent="0.15">
      <c r="A25" s="6"/>
      <c r="B25" s="11"/>
      <c r="C25" s="53"/>
      <c r="D25" s="54"/>
      <c r="E25" s="55"/>
      <c r="F25" s="56"/>
      <c r="G25" s="56"/>
      <c r="H25" s="56"/>
      <c r="I25" s="56"/>
      <c r="J25" s="56"/>
      <c r="K25" s="56"/>
      <c r="L25" s="56"/>
      <c r="M25" s="56"/>
      <c r="N25" s="56"/>
      <c r="O25" s="56"/>
      <c r="P25" s="56"/>
      <c r="Q25" s="53"/>
      <c r="R25" s="54"/>
      <c r="S25" s="8"/>
    </row>
    <row r="26" spans="1:19" ht="18" customHeight="1" x14ac:dyDescent="0.15">
      <c r="A26" s="6"/>
      <c r="B26" s="11"/>
      <c r="C26" s="53"/>
      <c r="D26" s="54"/>
      <c r="E26" s="55"/>
      <c r="F26" s="56"/>
      <c r="G26" s="56"/>
      <c r="H26" s="56"/>
      <c r="I26" s="56"/>
      <c r="J26" s="56"/>
      <c r="K26" s="56"/>
      <c r="L26" s="56"/>
      <c r="M26" s="56"/>
      <c r="N26" s="56"/>
      <c r="O26" s="56"/>
      <c r="P26" s="56"/>
      <c r="Q26" s="53"/>
      <c r="R26" s="54"/>
      <c r="S26" s="8"/>
    </row>
    <row r="27" spans="1:19" ht="18" customHeight="1" x14ac:dyDescent="0.15">
      <c r="A27" s="6"/>
      <c r="B27" s="11"/>
      <c r="C27" s="53"/>
      <c r="D27" s="54"/>
      <c r="E27" s="55"/>
      <c r="F27" s="56"/>
      <c r="G27" s="56"/>
      <c r="H27" s="56"/>
      <c r="I27" s="56"/>
      <c r="J27" s="56"/>
      <c r="K27" s="56"/>
      <c r="L27" s="56"/>
      <c r="M27" s="56"/>
      <c r="N27" s="56"/>
      <c r="O27" s="56"/>
      <c r="P27" s="56"/>
      <c r="Q27" s="53"/>
      <c r="R27" s="54"/>
      <c r="S27" s="8"/>
    </row>
    <row r="28" spans="1:19" ht="18" customHeight="1" x14ac:dyDescent="0.15">
      <c r="A28" s="6"/>
      <c r="B28" s="11"/>
      <c r="C28" s="53"/>
      <c r="D28" s="54"/>
      <c r="E28" s="55"/>
      <c r="F28" s="56"/>
      <c r="G28" s="56"/>
      <c r="H28" s="56"/>
      <c r="I28" s="56"/>
      <c r="J28" s="56"/>
      <c r="K28" s="56"/>
      <c r="L28" s="56"/>
      <c r="M28" s="56"/>
      <c r="N28" s="56"/>
      <c r="O28" s="56"/>
      <c r="P28" s="56"/>
      <c r="Q28" s="53"/>
      <c r="R28" s="54"/>
      <c r="S28" s="8"/>
    </row>
    <row r="29" spans="1:19" ht="18" customHeight="1" x14ac:dyDescent="0.15">
      <c r="A29" s="6"/>
      <c r="B29" s="11"/>
      <c r="C29" s="53"/>
      <c r="D29" s="54"/>
      <c r="E29" s="55"/>
      <c r="F29" s="56"/>
      <c r="G29" s="56"/>
      <c r="H29" s="56"/>
      <c r="I29" s="56"/>
      <c r="J29" s="56"/>
      <c r="K29" s="56"/>
      <c r="L29" s="56"/>
      <c r="M29" s="56"/>
      <c r="N29" s="56"/>
      <c r="O29" s="56"/>
      <c r="P29" s="56"/>
      <c r="Q29" s="53"/>
      <c r="R29" s="54"/>
      <c r="S29" s="8"/>
    </row>
    <row r="30" spans="1:19" ht="18" customHeight="1" x14ac:dyDescent="0.15">
      <c r="A30" s="6"/>
      <c r="B30" s="11"/>
      <c r="C30" s="53"/>
      <c r="D30" s="57"/>
      <c r="E30" s="55"/>
      <c r="F30" s="56"/>
      <c r="G30" s="56"/>
      <c r="H30" s="56"/>
      <c r="I30" s="56"/>
      <c r="J30" s="56"/>
      <c r="K30" s="56"/>
      <c r="L30" s="56"/>
      <c r="M30" s="56"/>
      <c r="N30" s="56"/>
      <c r="O30" s="56"/>
      <c r="P30" s="56"/>
      <c r="Q30" s="53"/>
      <c r="R30" s="57"/>
      <c r="S30" s="8"/>
    </row>
    <row r="31" spans="1:19" ht="18" customHeight="1" x14ac:dyDescent="0.15">
      <c r="A31" s="6"/>
      <c r="B31" s="11"/>
      <c r="C31" s="53"/>
      <c r="D31" s="57"/>
      <c r="E31" s="55"/>
      <c r="F31" s="56"/>
      <c r="G31" s="56"/>
      <c r="H31" s="56"/>
      <c r="I31" s="56"/>
      <c r="J31" s="56"/>
      <c r="K31" s="56"/>
      <c r="L31" s="56"/>
      <c r="M31" s="56"/>
      <c r="N31" s="56"/>
      <c r="O31" s="56"/>
      <c r="P31" s="56"/>
      <c r="Q31" s="53"/>
      <c r="R31" s="57"/>
      <c r="S31" s="8"/>
    </row>
    <row r="32" spans="1:19" ht="18" customHeight="1" thickBot="1" x14ac:dyDescent="0.2">
      <c r="A32" s="6"/>
      <c r="B32" s="12"/>
      <c r="C32" s="50"/>
      <c r="D32" s="58"/>
      <c r="E32" s="52"/>
      <c r="F32" s="52"/>
      <c r="G32" s="52"/>
      <c r="H32" s="52"/>
      <c r="I32" s="52"/>
      <c r="J32" s="52"/>
      <c r="K32" s="52"/>
      <c r="L32" s="52"/>
      <c r="M32" s="52"/>
      <c r="N32" s="52"/>
      <c r="O32" s="52"/>
      <c r="P32" s="52"/>
      <c r="Q32" s="53"/>
      <c r="R32" s="58"/>
      <c r="S32" s="7"/>
    </row>
    <row r="33" spans="2:19" ht="18" customHeight="1" thickTop="1" x14ac:dyDescent="0.15">
      <c r="B33" s="13" t="s">
        <v>33</v>
      </c>
      <c r="C33" s="59">
        <f t="shared" ref="C33" si="2">SUM(C13:C32)</f>
        <v>759</v>
      </c>
      <c r="D33" s="60">
        <f t="shared" ref="D33:R33" si="3">SUM(D13:D32)</f>
        <v>120</v>
      </c>
      <c r="E33" s="61">
        <f t="shared" si="3"/>
        <v>720</v>
      </c>
      <c r="F33" s="61">
        <f t="shared" si="3"/>
        <v>141</v>
      </c>
      <c r="G33" s="61">
        <f t="shared" ref="G33:H33" si="4">SUM(G13:G32)</f>
        <v>143</v>
      </c>
      <c r="H33" s="61">
        <f t="shared" si="4"/>
        <v>0</v>
      </c>
      <c r="I33" s="61">
        <f t="shared" ref="I33:J33" si="5">SUM(I13:I32)</f>
        <v>0</v>
      </c>
      <c r="J33" s="61">
        <f t="shared" si="5"/>
        <v>0</v>
      </c>
      <c r="K33" s="61">
        <f t="shared" ref="K33:O33" si="6">SUM(K13:K32)</f>
        <v>0</v>
      </c>
      <c r="L33" s="61">
        <f t="shared" si="6"/>
        <v>0</v>
      </c>
      <c r="M33" s="61">
        <f t="shared" si="6"/>
        <v>0</v>
      </c>
      <c r="N33" s="61">
        <f t="shared" si="6"/>
        <v>0</v>
      </c>
      <c r="O33" s="61">
        <f t="shared" si="6"/>
        <v>0</v>
      </c>
      <c r="P33" s="61">
        <f t="shared" ref="P33:Q33" si="7">SUM(P13:P32)</f>
        <v>0</v>
      </c>
      <c r="Q33" s="59">
        <f t="shared" si="7"/>
        <v>0</v>
      </c>
      <c r="R33" s="59">
        <f t="shared" si="3"/>
        <v>141</v>
      </c>
      <c r="S33" s="9">
        <f t="shared" si="1"/>
        <v>0.19583333333333333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20" sqref="B20"/>
    </sheetView>
  </sheetViews>
  <sheetFormatPr defaultColWidth="11.375" defaultRowHeight="18.75" customHeight="1" x14ac:dyDescent="0.15"/>
  <cols>
    <col min="1" max="1" width="2.75" style="32"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2" t="s">
        <v>63</v>
      </c>
      <c r="I1" s="30" t="s">
        <v>97</v>
      </c>
    </row>
    <row r="2" spans="1:9" ht="18.75" customHeight="1" x14ac:dyDescent="0.15">
      <c r="G2" s="30" t="s">
        <v>99</v>
      </c>
      <c r="H2" s="94" t="str">
        <f>'様式１　プログラムを構成する授業科目'!C2</f>
        <v>岐阜薬科大学</v>
      </c>
      <c r="I2" s="96"/>
    </row>
    <row r="3" spans="1:9" ht="18.75" customHeight="1" x14ac:dyDescent="0.15">
      <c r="G3" s="30"/>
      <c r="H3" s="10"/>
      <c r="I3" s="10"/>
    </row>
    <row r="4" spans="1:9" ht="18.600000000000001" customHeight="1" x14ac:dyDescent="0.15">
      <c r="A4" s="180" t="s">
        <v>36</v>
      </c>
      <c r="B4" s="180"/>
      <c r="C4" s="180"/>
      <c r="D4" s="180"/>
      <c r="E4" s="180"/>
      <c r="F4" s="180"/>
      <c r="G4" s="180"/>
      <c r="H4" s="180"/>
      <c r="I4" s="180"/>
    </row>
    <row r="5" spans="1:9" ht="13.15" customHeight="1" x14ac:dyDescent="0.15">
      <c r="B5" s="3"/>
      <c r="C5" s="3"/>
      <c r="D5" s="3"/>
      <c r="E5" s="3"/>
      <c r="F5" s="3"/>
      <c r="G5" s="3"/>
      <c r="H5" s="3"/>
      <c r="I5" s="3"/>
    </row>
    <row r="6" spans="1:9" ht="18" customHeight="1" x14ac:dyDescent="0.15">
      <c r="A6" s="1" t="s">
        <v>0</v>
      </c>
      <c r="B6" s="10" t="s">
        <v>86</v>
      </c>
      <c r="C6" s="200" t="s">
        <v>87</v>
      </c>
      <c r="D6" s="200"/>
      <c r="E6" s="29">
        <v>71</v>
      </c>
      <c r="F6" s="3" t="s">
        <v>1</v>
      </c>
      <c r="G6" s="3" t="s">
        <v>2</v>
      </c>
      <c r="H6" s="29">
        <v>44</v>
      </c>
      <c r="I6" s="10" t="s">
        <v>1</v>
      </c>
    </row>
    <row r="7" spans="1:9" ht="12" customHeight="1" x14ac:dyDescent="0.15">
      <c r="C7" s="2"/>
      <c r="D7" s="2"/>
      <c r="E7" s="2"/>
      <c r="F7" s="2"/>
      <c r="G7" s="2"/>
      <c r="H7" s="2"/>
      <c r="I7" s="33"/>
    </row>
    <row r="8" spans="1:9" ht="18" customHeight="1" x14ac:dyDescent="0.15">
      <c r="A8" s="1" t="s">
        <v>3</v>
      </c>
      <c r="B8" s="10" t="s">
        <v>88</v>
      </c>
      <c r="E8" s="3"/>
      <c r="F8" s="3"/>
      <c r="G8" s="3"/>
      <c r="H8" s="29">
        <v>5</v>
      </c>
      <c r="I8" s="10" t="s">
        <v>1</v>
      </c>
    </row>
    <row r="9" spans="1:9" ht="9" customHeight="1" x14ac:dyDescent="0.15">
      <c r="B9" s="3"/>
      <c r="C9" s="3"/>
      <c r="D9" s="3"/>
      <c r="E9" s="3"/>
      <c r="F9" s="3"/>
      <c r="G9" s="3"/>
      <c r="H9" s="3"/>
      <c r="I9" s="3"/>
    </row>
    <row r="10" spans="1:9" ht="18" customHeight="1" x14ac:dyDescent="0.15">
      <c r="A10" s="1" t="s">
        <v>4</v>
      </c>
      <c r="B10" s="10" t="s">
        <v>89</v>
      </c>
      <c r="C10" s="3"/>
      <c r="D10" s="3"/>
      <c r="E10" s="3"/>
      <c r="F10" s="3"/>
      <c r="G10" s="3"/>
      <c r="H10" s="3"/>
      <c r="I10" s="3"/>
    </row>
    <row r="11" spans="1:9" ht="18" customHeight="1" x14ac:dyDescent="0.15">
      <c r="B11" s="30" t="s">
        <v>42</v>
      </c>
      <c r="C11" s="195" t="s">
        <v>140</v>
      </c>
      <c r="D11" s="198"/>
      <c r="E11" s="199"/>
      <c r="F11" s="33"/>
      <c r="G11" s="30" t="s">
        <v>10</v>
      </c>
      <c r="H11" s="195" t="s">
        <v>141</v>
      </c>
      <c r="I11" s="199"/>
    </row>
    <row r="12" spans="1:9" ht="10.15" customHeight="1" x14ac:dyDescent="0.15">
      <c r="B12" s="30"/>
      <c r="C12" s="10"/>
      <c r="D12" s="33"/>
      <c r="E12" s="33"/>
      <c r="F12" s="33"/>
      <c r="G12" s="30"/>
      <c r="H12" s="10"/>
      <c r="I12" s="33"/>
    </row>
    <row r="13" spans="1:9" ht="18" customHeight="1" x14ac:dyDescent="0.15">
      <c r="A13" s="1" t="s">
        <v>7</v>
      </c>
      <c r="B13" s="10" t="s">
        <v>84</v>
      </c>
      <c r="C13" s="3"/>
      <c r="D13" s="3"/>
      <c r="E13" s="3"/>
      <c r="F13" s="3"/>
      <c r="G13" s="3"/>
      <c r="H13" s="3"/>
      <c r="I13" s="3"/>
    </row>
    <row r="14" spans="1:9" ht="18" customHeight="1" x14ac:dyDescent="0.15">
      <c r="B14" s="195" t="s">
        <v>142</v>
      </c>
      <c r="C14" s="196"/>
      <c r="D14" s="196"/>
      <c r="E14" s="196"/>
      <c r="F14" s="196"/>
      <c r="G14" s="196"/>
      <c r="H14" s="196"/>
      <c r="I14" s="197"/>
    </row>
    <row r="15" spans="1:9" ht="9" customHeight="1" x14ac:dyDescent="0.15">
      <c r="B15" s="3"/>
      <c r="C15" s="3"/>
      <c r="D15" s="3"/>
      <c r="E15" s="3"/>
      <c r="F15" s="3"/>
      <c r="G15" s="3"/>
      <c r="H15" s="3"/>
      <c r="I15" s="3"/>
    </row>
    <row r="16" spans="1:9" ht="18" customHeight="1" x14ac:dyDescent="0.15">
      <c r="B16" s="30" t="s">
        <v>42</v>
      </c>
      <c r="C16" s="195" t="s">
        <v>140</v>
      </c>
      <c r="D16" s="198"/>
      <c r="E16" s="199"/>
      <c r="F16" s="33"/>
      <c r="G16" s="30" t="s">
        <v>10</v>
      </c>
      <c r="H16" s="195" t="s">
        <v>143</v>
      </c>
      <c r="I16" s="199"/>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181" t="s">
        <v>171</v>
      </c>
      <c r="C19" s="182"/>
      <c r="D19" s="182"/>
      <c r="E19" s="182"/>
      <c r="F19" s="182"/>
      <c r="G19" s="182"/>
      <c r="H19" s="182"/>
      <c r="I19" s="183"/>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84" t="s">
        <v>158</v>
      </c>
      <c r="C22" s="185"/>
      <c r="D22" s="185"/>
      <c r="E22" s="185"/>
      <c r="F22" s="185"/>
      <c r="G22" s="185"/>
      <c r="H22" s="185"/>
      <c r="I22" s="186"/>
    </row>
    <row r="23" spans="1:9" ht="18.75" customHeight="1" x14ac:dyDescent="0.15">
      <c r="A23" s="14"/>
      <c r="B23" s="187"/>
      <c r="C23" s="188"/>
      <c r="D23" s="188"/>
      <c r="E23" s="188"/>
      <c r="F23" s="188"/>
      <c r="G23" s="188"/>
      <c r="H23" s="188"/>
      <c r="I23" s="189"/>
    </row>
    <row r="24" spans="1:9" ht="18.75" customHeight="1" x14ac:dyDescent="0.15">
      <c r="A24" s="14"/>
      <c r="B24" s="187"/>
      <c r="C24" s="188"/>
      <c r="D24" s="188"/>
      <c r="E24" s="188"/>
      <c r="F24" s="188"/>
      <c r="G24" s="188"/>
      <c r="H24" s="188"/>
      <c r="I24" s="189"/>
    </row>
    <row r="25" spans="1:9" ht="18.75" customHeight="1" x14ac:dyDescent="0.15">
      <c r="A25" s="14"/>
      <c r="B25" s="187"/>
      <c r="C25" s="188"/>
      <c r="D25" s="188"/>
      <c r="E25" s="188"/>
      <c r="F25" s="188"/>
      <c r="G25" s="188"/>
      <c r="H25" s="188"/>
      <c r="I25" s="189"/>
    </row>
    <row r="26" spans="1:9" ht="18.75" customHeight="1" x14ac:dyDescent="0.15">
      <c r="A26" s="14"/>
      <c r="B26" s="187"/>
      <c r="C26" s="188"/>
      <c r="D26" s="188"/>
      <c r="E26" s="188"/>
      <c r="F26" s="188"/>
      <c r="G26" s="188"/>
      <c r="H26" s="188"/>
      <c r="I26" s="189"/>
    </row>
    <row r="27" spans="1:9" ht="18.75" customHeight="1" x14ac:dyDescent="0.15">
      <c r="A27" s="14"/>
      <c r="B27" s="187"/>
      <c r="C27" s="188"/>
      <c r="D27" s="188"/>
      <c r="E27" s="188"/>
      <c r="F27" s="188"/>
      <c r="G27" s="188"/>
      <c r="H27" s="188"/>
      <c r="I27" s="189"/>
    </row>
    <row r="28" spans="1:9" ht="18.75" customHeight="1" x14ac:dyDescent="0.15">
      <c r="A28" s="14"/>
      <c r="B28" s="187"/>
      <c r="C28" s="188"/>
      <c r="D28" s="188"/>
      <c r="E28" s="188"/>
      <c r="F28" s="188"/>
      <c r="G28" s="188"/>
      <c r="H28" s="188"/>
      <c r="I28" s="189"/>
    </row>
    <row r="29" spans="1:9" ht="18.75" customHeight="1" x14ac:dyDescent="0.15">
      <c r="A29" s="14"/>
      <c r="B29" s="187"/>
      <c r="C29" s="188"/>
      <c r="D29" s="188"/>
      <c r="E29" s="188"/>
      <c r="F29" s="188"/>
      <c r="G29" s="188"/>
      <c r="H29" s="188"/>
      <c r="I29" s="189"/>
    </row>
    <row r="30" spans="1:9" ht="18.75" customHeight="1" x14ac:dyDescent="0.15">
      <c r="A30" s="14"/>
      <c r="B30" s="190"/>
      <c r="C30" s="191"/>
      <c r="D30" s="191"/>
      <c r="E30" s="191"/>
      <c r="F30" s="191"/>
      <c r="G30" s="191"/>
      <c r="H30" s="191"/>
      <c r="I30" s="189"/>
    </row>
    <row r="31" spans="1:9" ht="18.75" customHeight="1" x14ac:dyDescent="0.15">
      <c r="A31" s="14"/>
      <c r="B31" s="190"/>
      <c r="C31" s="191"/>
      <c r="D31" s="191"/>
      <c r="E31" s="191"/>
      <c r="F31" s="191"/>
      <c r="G31" s="191"/>
      <c r="H31" s="191"/>
      <c r="I31" s="189"/>
    </row>
    <row r="32" spans="1:9" ht="18.75" customHeight="1" x14ac:dyDescent="0.15">
      <c r="A32" s="14"/>
      <c r="B32" s="192"/>
      <c r="C32" s="193"/>
      <c r="D32" s="193"/>
      <c r="E32" s="193"/>
      <c r="F32" s="193"/>
      <c r="G32" s="193"/>
      <c r="H32" s="193"/>
      <c r="I32" s="194"/>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84" t="s">
        <v>144</v>
      </c>
      <c r="C35" s="185"/>
      <c r="D35" s="185"/>
      <c r="E35" s="185"/>
      <c r="F35" s="185"/>
      <c r="G35" s="185"/>
      <c r="H35" s="185"/>
      <c r="I35" s="186"/>
    </row>
    <row r="36" spans="1:9" ht="18.75" customHeight="1" x14ac:dyDescent="0.15">
      <c r="A36" s="14"/>
      <c r="B36" s="190"/>
      <c r="C36" s="191"/>
      <c r="D36" s="191"/>
      <c r="E36" s="191"/>
      <c r="F36" s="191"/>
      <c r="G36" s="191"/>
      <c r="H36" s="191"/>
      <c r="I36" s="189"/>
    </row>
    <row r="37" spans="1:9" ht="18.75" customHeight="1" x14ac:dyDescent="0.15">
      <c r="A37" s="14"/>
      <c r="B37" s="190"/>
      <c r="C37" s="191"/>
      <c r="D37" s="191"/>
      <c r="E37" s="191"/>
      <c r="F37" s="191"/>
      <c r="G37" s="191"/>
      <c r="H37" s="191"/>
      <c r="I37" s="189"/>
    </row>
    <row r="38" spans="1:9" ht="18.75" customHeight="1" x14ac:dyDescent="0.15">
      <c r="A38" s="14"/>
      <c r="B38" s="190"/>
      <c r="C38" s="191"/>
      <c r="D38" s="191"/>
      <c r="E38" s="191"/>
      <c r="F38" s="191"/>
      <c r="G38" s="191"/>
      <c r="H38" s="191"/>
      <c r="I38" s="189"/>
    </row>
    <row r="39" spans="1:9" ht="18.75" customHeight="1" x14ac:dyDescent="0.15">
      <c r="A39" s="14"/>
      <c r="B39" s="190"/>
      <c r="C39" s="191"/>
      <c r="D39" s="191"/>
      <c r="E39" s="191"/>
      <c r="F39" s="191"/>
      <c r="G39" s="191"/>
      <c r="H39" s="191"/>
      <c r="I39" s="189"/>
    </row>
    <row r="40" spans="1:9" ht="18.75" customHeight="1" x14ac:dyDescent="0.15">
      <c r="A40" s="14"/>
      <c r="B40" s="190"/>
      <c r="C40" s="191"/>
      <c r="D40" s="191"/>
      <c r="E40" s="191"/>
      <c r="F40" s="191"/>
      <c r="G40" s="191"/>
      <c r="H40" s="191"/>
      <c r="I40" s="189"/>
    </row>
    <row r="41" spans="1:9" ht="18.75" customHeight="1" x14ac:dyDescent="0.15">
      <c r="A41" s="14"/>
      <c r="B41" s="190"/>
      <c r="C41" s="191"/>
      <c r="D41" s="191"/>
      <c r="E41" s="191"/>
      <c r="F41" s="191"/>
      <c r="G41" s="191"/>
      <c r="H41" s="191"/>
      <c r="I41" s="189"/>
    </row>
    <row r="42" spans="1:9" ht="18.75" customHeight="1" x14ac:dyDescent="0.15">
      <c r="A42" s="14"/>
      <c r="B42" s="190"/>
      <c r="C42" s="191"/>
      <c r="D42" s="191"/>
      <c r="E42" s="191"/>
      <c r="F42" s="191"/>
      <c r="G42" s="191"/>
      <c r="H42" s="191"/>
      <c r="I42" s="189"/>
    </row>
    <row r="43" spans="1:9" ht="18.75" customHeight="1" x14ac:dyDescent="0.15">
      <c r="A43" s="14"/>
      <c r="B43" s="190"/>
      <c r="C43" s="191"/>
      <c r="D43" s="191"/>
      <c r="E43" s="191"/>
      <c r="F43" s="191"/>
      <c r="G43" s="191"/>
      <c r="H43" s="191"/>
      <c r="I43" s="189"/>
    </row>
    <row r="44" spans="1:9" ht="18.75" customHeight="1" x14ac:dyDescent="0.15">
      <c r="A44" s="14"/>
      <c r="B44" s="190"/>
      <c r="C44" s="191"/>
      <c r="D44" s="191"/>
      <c r="E44" s="191"/>
      <c r="F44" s="191"/>
      <c r="G44" s="191"/>
      <c r="H44" s="191"/>
      <c r="I44" s="189"/>
    </row>
    <row r="45" spans="1:9" ht="18.75" customHeight="1" x14ac:dyDescent="0.15">
      <c r="A45" s="14"/>
      <c r="B45" s="190"/>
      <c r="C45" s="191"/>
      <c r="D45" s="191"/>
      <c r="E45" s="191"/>
      <c r="F45" s="191"/>
      <c r="G45" s="191"/>
      <c r="H45" s="191"/>
      <c r="I45" s="189"/>
    </row>
    <row r="46" spans="1:9" ht="18.75" customHeight="1" x14ac:dyDescent="0.15">
      <c r="A46" s="14"/>
      <c r="B46" s="192"/>
      <c r="C46" s="193"/>
      <c r="D46" s="193"/>
      <c r="E46" s="193"/>
      <c r="F46" s="193"/>
      <c r="G46" s="193"/>
      <c r="H46" s="193"/>
      <c r="I46" s="194"/>
    </row>
    <row r="47" spans="1:9" ht="7.5" customHeight="1" x14ac:dyDescent="0.15">
      <c r="A47" s="4"/>
      <c r="B47" s="4"/>
      <c r="C47" s="4"/>
      <c r="D47" s="4"/>
      <c r="E47" s="4"/>
      <c r="F47" s="4"/>
      <c r="G47" s="4"/>
      <c r="H47" s="4"/>
      <c r="I47" s="4"/>
    </row>
    <row r="48" spans="1:9" ht="18.75" customHeight="1" x14ac:dyDescent="0.15">
      <c r="A48" s="1" t="s">
        <v>31</v>
      </c>
      <c r="B48" s="1" t="s">
        <v>111</v>
      </c>
    </row>
    <row r="49" spans="1:15" s="3" customFormat="1" ht="18.75" customHeight="1" x14ac:dyDescent="0.15">
      <c r="B49" s="34" t="s">
        <v>128</v>
      </c>
      <c r="C49" s="215">
        <f>'様式２ 履修者等数の実績'!S33</f>
        <v>0.19583333333333333</v>
      </c>
      <c r="D49" s="215"/>
      <c r="E49" s="34" t="s">
        <v>64</v>
      </c>
      <c r="F49" s="215">
        <v>0.4</v>
      </c>
      <c r="G49" s="215"/>
      <c r="H49" s="34" t="s">
        <v>65</v>
      </c>
      <c r="I49" s="35">
        <v>0.6</v>
      </c>
      <c r="J49" s="1"/>
      <c r="M49" s="1"/>
      <c r="N49" s="36"/>
    </row>
    <row r="50" spans="1:15" s="3" customFormat="1" ht="18.75" customHeight="1" x14ac:dyDescent="0.15">
      <c r="B50" s="37" t="s">
        <v>85</v>
      </c>
      <c r="C50" s="205">
        <v>0.8</v>
      </c>
      <c r="D50" s="205"/>
      <c r="E50" s="37" t="s">
        <v>129</v>
      </c>
      <c r="F50" s="205">
        <v>1</v>
      </c>
      <c r="G50" s="205"/>
      <c r="H50" s="37" t="s">
        <v>66</v>
      </c>
      <c r="I50" s="38">
        <f>'様式２ 履修者等数の実績'!E33</f>
        <v>720</v>
      </c>
      <c r="J50" s="1"/>
      <c r="M50" s="1"/>
      <c r="N50" s="36"/>
    </row>
    <row r="51" spans="1:15" ht="18.75" customHeight="1" x14ac:dyDescent="0.15">
      <c r="A51" s="1"/>
      <c r="B51" s="202" t="s">
        <v>67</v>
      </c>
      <c r="C51" s="203"/>
      <c r="D51" s="203"/>
      <c r="E51" s="203"/>
      <c r="F51" s="203"/>
      <c r="G51" s="203"/>
      <c r="H51" s="203"/>
      <c r="I51" s="204"/>
      <c r="N51" s="36"/>
      <c r="O51" s="3"/>
    </row>
    <row r="52" spans="1:15" ht="18.75" customHeight="1" x14ac:dyDescent="0.15">
      <c r="A52" s="1"/>
      <c r="B52" s="216" t="s">
        <v>159</v>
      </c>
      <c r="C52" s="217"/>
      <c r="D52" s="217"/>
      <c r="E52" s="217"/>
      <c r="F52" s="217"/>
      <c r="G52" s="217"/>
      <c r="H52" s="217"/>
      <c r="I52" s="218"/>
      <c r="N52" s="36"/>
      <c r="O52" s="3"/>
    </row>
    <row r="53" spans="1:15" ht="18.75" customHeight="1" x14ac:dyDescent="0.15">
      <c r="A53" s="1"/>
      <c r="B53" s="219"/>
      <c r="C53" s="220"/>
      <c r="D53" s="220"/>
      <c r="E53" s="220"/>
      <c r="F53" s="220"/>
      <c r="G53" s="220"/>
      <c r="H53" s="220"/>
      <c r="I53" s="221"/>
      <c r="N53" s="36"/>
      <c r="O53" s="3"/>
    </row>
    <row r="54" spans="1:15" ht="18.75" customHeight="1" x14ac:dyDescent="0.15">
      <c r="A54" s="1"/>
      <c r="B54" s="219"/>
      <c r="C54" s="220"/>
      <c r="D54" s="220"/>
      <c r="E54" s="220"/>
      <c r="F54" s="220"/>
      <c r="G54" s="220"/>
      <c r="H54" s="220"/>
      <c r="I54" s="221"/>
    </row>
    <row r="55" spans="1:15" ht="18.75" customHeight="1" x14ac:dyDescent="0.15">
      <c r="A55" s="1"/>
      <c r="B55" s="219"/>
      <c r="C55" s="220"/>
      <c r="D55" s="220"/>
      <c r="E55" s="220"/>
      <c r="F55" s="220"/>
      <c r="G55" s="220"/>
      <c r="H55" s="220"/>
      <c r="I55" s="221"/>
    </row>
    <row r="56" spans="1:15" ht="18.75" customHeight="1" x14ac:dyDescent="0.15">
      <c r="A56" s="1"/>
      <c r="B56" s="219"/>
      <c r="C56" s="220"/>
      <c r="D56" s="220"/>
      <c r="E56" s="220"/>
      <c r="F56" s="220"/>
      <c r="G56" s="220"/>
      <c r="H56" s="220"/>
      <c r="I56" s="221"/>
    </row>
    <row r="57" spans="1:15" ht="18.75" customHeight="1" x14ac:dyDescent="0.15">
      <c r="A57" s="1"/>
      <c r="B57" s="219"/>
      <c r="C57" s="220"/>
      <c r="D57" s="220"/>
      <c r="E57" s="220"/>
      <c r="F57" s="220"/>
      <c r="G57" s="220"/>
      <c r="H57" s="220"/>
      <c r="I57" s="221"/>
    </row>
    <row r="58" spans="1:15" ht="18.75" customHeight="1" x14ac:dyDescent="0.15">
      <c r="A58" s="1"/>
      <c r="B58" s="219"/>
      <c r="C58" s="220"/>
      <c r="D58" s="220"/>
      <c r="E58" s="220"/>
      <c r="F58" s="220"/>
      <c r="G58" s="220"/>
      <c r="H58" s="220"/>
      <c r="I58" s="221"/>
    </row>
    <row r="59" spans="1:15" ht="18.75" customHeight="1" x14ac:dyDescent="0.15">
      <c r="A59" s="1"/>
      <c r="B59" s="219"/>
      <c r="C59" s="220"/>
      <c r="D59" s="220"/>
      <c r="E59" s="220"/>
      <c r="F59" s="220"/>
      <c r="G59" s="220"/>
      <c r="H59" s="220"/>
      <c r="I59" s="221"/>
    </row>
    <row r="60" spans="1:15" ht="18.75" customHeight="1" x14ac:dyDescent="0.15">
      <c r="A60" s="1"/>
      <c r="B60" s="219"/>
      <c r="C60" s="220"/>
      <c r="D60" s="220"/>
      <c r="E60" s="220"/>
      <c r="F60" s="220"/>
      <c r="G60" s="220"/>
      <c r="H60" s="220"/>
      <c r="I60" s="221"/>
    </row>
    <row r="61" spans="1:15" ht="18.75" customHeight="1" x14ac:dyDescent="0.15">
      <c r="A61" s="1"/>
      <c r="B61" s="219"/>
      <c r="C61" s="220"/>
      <c r="D61" s="220"/>
      <c r="E61" s="220"/>
      <c r="F61" s="220"/>
      <c r="G61" s="220"/>
      <c r="H61" s="220"/>
      <c r="I61" s="221"/>
    </row>
    <row r="62" spans="1:15" ht="18.75" customHeight="1" x14ac:dyDescent="0.15">
      <c r="A62" s="1"/>
      <c r="B62" s="219"/>
      <c r="C62" s="220"/>
      <c r="D62" s="220"/>
      <c r="E62" s="220"/>
      <c r="F62" s="220"/>
      <c r="G62" s="220"/>
      <c r="H62" s="220"/>
      <c r="I62" s="221"/>
    </row>
    <row r="63" spans="1:15" ht="18.75" customHeight="1" x14ac:dyDescent="0.15">
      <c r="A63" s="1"/>
      <c r="B63" s="222"/>
      <c r="C63" s="223"/>
      <c r="D63" s="223"/>
      <c r="E63" s="223"/>
      <c r="F63" s="223"/>
      <c r="G63" s="223"/>
      <c r="H63" s="223"/>
      <c r="I63" s="224"/>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206" t="s">
        <v>155</v>
      </c>
      <c r="C66" s="207"/>
      <c r="D66" s="207"/>
      <c r="E66" s="207"/>
      <c r="F66" s="207"/>
      <c r="G66" s="207"/>
      <c r="H66" s="207"/>
      <c r="I66" s="208"/>
    </row>
    <row r="67" spans="1:9" ht="18.75" customHeight="1" x14ac:dyDescent="0.15">
      <c r="A67" s="4"/>
      <c r="B67" s="209"/>
      <c r="C67" s="210"/>
      <c r="D67" s="210"/>
      <c r="E67" s="210"/>
      <c r="F67" s="210"/>
      <c r="G67" s="210"/>
      <c r="H67" s="210"/>
      <c r="I67" s="211"/>
    </row>
    <row r="68" spans="1:9" ht="18.75" customHeight="1" x14ac:dyDescent="0.15">
      <c r="A68" s="4"/>
      <c r="B68" s="209"/>
      <c r="C68" s="210"/>
      <c r="D68" s="210"/>
      <c r="E68" s="210"/>
      <c r="F68" s="210"/>
      <c r="G68" s="210"/>
      <c r="H68" s="210"/>
      <c r="I68" s="211"/>
    </row>
    <row r="69" spans="1:9" ht="18.75" customHeight="1" x14ac:dyDescent="0.15">
      <c r="A69" s="4"/>
      <c r="B69" s="209"/>
      <c r="C69" s="210"/>
      <c r="D69" s="210"/>
      <c r="E69" s="210"/>
      <c r="F69" s="210"/>
      <c r="G69" s="210"/>
      <c r="H69" s="210"/>
      <c r="I69" s="211"/>
    </row>
    <row r="70" spans="1:9" ht="18.75" customHeight="1" x14ac:dyDescent="0.15">
      <c r="A70" s="4"/>
      <c r="B70" s="209"/>
      <c r="C70" s="210"/>
      <c r="D70" s="210"/>
      <c r="E70" s="210"/>
      <c r="F70" s="210"/>
      <c r="G70" s="210"/>
      <c r="H70" s="210"/>
      <c r="I70" s="211"/>
    </row>
    <row r="71" spans="1:9" ht="18.75" customHeight="1" x14ac:dyDescent="0.15">
      <c r="A71" s="4"/>
      <c r="B71" s="209"/>
      <c r="C71" s="210"/>
      <c r="D71" s="210"/>
      <c r="E71" s="210"/>
      <c r="F71" s="210"/>
      <c r="G71" s="210"/>
      <c r="H71" s="210"/>
      <c r="I71" s="211"/>
    </row>
    <row r="72" spans="1:9" ht="18.75" customHeight="1" x14ac:dyDescent="0.15">
      <c r="A72" s="4"/>
      <c r="B72" s="209"/>
      <c r="C72" s="210"/>
      <c r="D72" s="210"/>
      <c r="E72" s="210"/>
      <c r="F72" s="210"/>
      <c r="G72" s="210"/>
      <c r="H72" s="210"/>
      <c r="I72" s="211"/>
    </row>
    <row r="73" spans="1:9" ht="18.75" customHeight="1" x14ac:dyDescent="0.15">
      <c r="A73" s="4"/>
      <c r="B73" s="209"/>
      <c r="C73" s="210"/>
      <c r="D73" s="210"/>
      <c r="E73" s="210"/>
      <c r="F73" s="210"/>
      <c r="G73" s="210"/>
      <c r="H73" s="210"/>
      <c r="I73" s="211"/>
    </row>
    <row r="74" spans="1:9" ht="18.75" customHeight="1" x14ac:dyDescent="0.15">
      <c r="A74" s="4"/>
      <c r="B74" s="209"/>
      <c r="C74" s="210"/>
      <c r="D74" s="210"/>
      <c r="E74" s="210"/>
      <c r="F74" s="210"/>
      <c r="G74" s="210"/>
      <c r="H74" s="210"/>
      <c r="I74" s="211"/>
    </row>
    <row r="75" spans="1:9" ht="18.75" customHeight="1" x14ac:dyDescent="0.15">
      <c r="A75" s="4"/>
      <c r="B75" s="209"/>
      <c r="C75" s="210"/>
      <c r="D75" s="210"/>
      <c r="E75" s="210"/>
      <c r="F75" s="210"/>
      <c r="G75" s="210"/>
      <c r="H75" s="210"/>
      <c r="I75" s="211"/>
    </row>
    <row r="76" spans="1:9" ht="18.75" customHeight="1" x14ac:dyDescent="0.15">
      <c r="A76" s="4"/>
      <c r="B76" s="209"/>
      <c r="C76" s="210"/>
      <c r="D76" s="210"/>
      <c r="E76" s="210"/>
      <c r="F76" s="210"/>
      <c r="G76" s="210"/>
      <c r="H76" s="210"/>
      <c r="I76" s="211"/>
    </row>
    <row r="77" spans="1:9" ht="18.75" customHeight="1" x14ac:dyDescent="0.15">
      <c r="A77" s="4"/>
      <c r="B77" s="212"/>
      <c r="C77" s="213"/>
      <c r="D77" s="213"/>
      <c r="E77" s="213"/>
      <c r="F77" s="213"/>
      <c r="G77" s="213"/>
      <c r="H77" s="213"/>
      <c r="I77" s="214"/>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184" t="s">
        <v>154</v>
      </c>
      <c r="C80" s="185"/>
      <c r="D80" s="185"/>
      <c r="E80" s="185"/>
      <c r="F80" s="185"/>
      <c r="G80" s="185"/>
      <c r="H80" s="185"/>
      <c r="I80" s="186"/>
    </row>
    <row r="81" spans="1:9" ht="18.75" customHeight="1" x14ac:dyDescent="0.15">
      <c r="A81" s="1"/>
      <c r="B81" s="190"/>
      <c r="C81" s="191"/>
      <c r="D81" s="191"/>
      <c r="E81" s="191"/>
      <c r="F81" s="191"/>
      <c r="G81" s="191"/>
      <c r="H81" s="191"/>
      <c r="I81" s="189"/>
    </row>
    <row r="82" spans="1:9" ht="18.75" customHeight="1" x14ac:dyDescent="0.15">
      <c r="A82" s="1"/>
      <c r="B82" s="190"/>
      <c r="C82" s="191"/>
      <c r="D82" s="191"/>
      <c r="E82" s="191"/>
      <c r="F82" s="191"/>
      <c r="G82" s="191"/>
      <c r="H82" s="191"/>
      <c r="I82" s="189"/>
    </row>
    <row r="83" spans="1:9" ht="18.75" customHeight="1" x14ac:dyDescent="0.15">
      <c r="A83" s="1"/>
      <c r="B83" s="190"/>
      <c r="C83" s="191"/>
      <c r="D83" s="191"/>
      <c r="E83" s="191"/>
      <c r="F83" s="191"/>
      <c r="G83" s="191"/>
      <c r="H83" s="191"/>
      <c r="I83" s="189"/>
    </row>
    <row r="84" spans="1:9" ht="18.75" customHeight="1" x14ac:dyDescent="0.15">
      <c r="A84" s="1"/>
      <c r="B84" s="190"/>
      <c r="C84" s="191"/>
      <c r="D84" s="191"/>
      <c r="E84" s="191"/>
      <c r="F84" s="191"/>
      <c r="G84" s="191"/>
      <c r="H84" s="191"/>
      <c r="I84" s="189"/>
    </row>
    <row r="85" spans="1:9" ht="18.75" customHeight="1" x14ac:dyDescent="0.15">
      <c r="A85" s="1"/>
      <c r="B85" s="190"/>
      <c r="C85" s="191"/>
      <c r="D85" s="191"/>
      <c r="E85" s="191"/>
      <c r="F85" s="191"/>
      <c r="G85" s="191"/>
      <c r="H85" s="191"/>
      <c r="I85" s="189"/>
    </row>
    <row r="86" spans="1:9" ht="18.75" customHeight="1" x14ac:dyDescent="0.15">
      <c r="A86" s="1"/>
      <c r="B86" s="190"/>
      <c r="C86" s="191"/>
      <c r="D86" s="191"/>
      <c r="E86" s="191"/>
      <c r="F86" s="191"/>
      <c r="G86" s="191"/>
      <c r="H86" s="191"/>
      <c r="I86" s="189"/>
    </row>
    <row r="87" spans="1:9" ht="18.75" customHeight="1" x14ac:dyDescent="0.15">
      <c r="A87" s="1"/>
      <c r="B87" s="190"/>
      <c r="C87" s="191"/>
      <c r="D87" s="191"/>
      <c r="E87" s="191"/>
      <c r="F87" s="191"/>
      <c r="G87" s="191"/>
      <c r="H87" s="191"/>
      <c r="I87" s="189"/>
    </row>
    <row r="88" spans="1:9" ht="18.75" customHeight="1" x14ac:dyDescent="0.15">
      <c r="A88" s="1"/>
      <c r="B88" s="190"/>
      <c r="C88" s="191"/>
      <c r="D88" s="191"/>
      <c r="E88" s="191"/>
      <c r="F88" s="191"/>
      <c r="G88" s="191"/>
      <c r="H88" s="191"/>
      <c r="I88" s="189"/>
    </row>
    <row r="89" spans="1:9" ht="18.75" customHeight="1" x14ac:dyDescent="0.15">
      <c r="A89" s="1"/>
      <c r="B89" s="190"/>
      <c r="C89" s="191"/>
      <c r="D89" s="191"/>
      <c r="E89" s="191"/>
      <c r="F89" s="191"/>
      <c r="G89" s="191"/>
      <c r="H89" s="191"/>
      <c r="I89" s="189"/>
    </row>
    <row r="90" spans="1:9" ht="18.75" customHeight="1" x14ac:dyDescent="0.15">
      <c r="A90" s="4"/>
      <c r="B90" s="190"/>
      <c r="C90" s="191"/>
      <c r="D90" s="191"/>
      <c r="E90" s="191"/>
      <c r="F90" s="191"/>
      <c r="G90" s="191"/>
      <c r="H90" s="191"/>
      <c r="I90" s="189"/>
    </row>
    <row r="91" spans="1:9" ht="18.75" customHeight="1" x14ac:dyDescent="0.15">
      <c r="A91" s="4"/>
      <c r="B91" s="192"/>
      <c r="C91" s="193"/>
      <c r="D91" s="193"/>
      <c r="E91" s="193"/>
      <c r="F91" s="193"/>
      <c r="G91" s="193"/>
      <c r="H91" s="193"/>
      <c r="I91" s="194"/>
    </row>
    <row r="92" spans="1:9" ht="7.5" customHeight="1" x14ac:dyDescent="0.15">
      <c r="A92" s="4"/>
      <c r="B92" s="4"/>
      <c r="C92" s="4"/>
      <c r="D92" s="4"/>
      <c r="E92" s="4"/>
      <c r="F92" s="4"/>
      <c r="G92" s="4"/>
      <c r="H92" s="4"/>
      <c r="I92" s="4"/>
    </row>
    <row r="93" spans="1:9" ht="18.75" customHeight="1" x14ac:dyDescent="0.15">
      <c r="A93" s="1" t="s">
        <v>43</v>
      </c>
      <c r="B93" s="1" t="s">
        <v>13</v>
      </c>
    </row>
    <row r="94" spans="1:9" ht="18.75" customHeight="1" x14ac:dyDescent="0.15">
      <c r="A94" s="1"/>
      <c r="B94" s="184" t="s">
        <v>146</v>
      </c>
      <c r="C94" s="185"/>
      <c r="D94" s="185"/>
      <c r="E94" s="185"/>
      <c r="F94" s="185"/>
      <c r="G94" s="185"/>
      <c r="H94" s="185"/>
      <c r="I94" s="186"/>
    </row>
    <row r="95" spans="1:9" ht="18.75" customHeight="1" x14ac:dyDescent="0.15">
      <c r="A95" s="1"/>
      <c r="B95" s="190"/>
      <c r="C95" s="191"/>
      <c r="D95" s="191"/>
      <c r="E95" s="191"/>
      <c r="F95" s="191"/>
      <c r="G95" s="191"/>
      <c r="H95" s="191"/>
      <c r="I95" s="189"/>
    </row>
    <row r="96" spans="1:9" ht="18.75" customHeight="1" x14ac:dyDescent="0.15">
      <c r="A96" s="1"/>
      <c r="B96" s="190"/>
      <c r="C96" s="191"/>
      <c r="D96" s="191"/>
      <c r="E96" s="191"/>
      <c r="F96" s="191"/>
      <c r="G96" s="191"/>
      <c r="H96" s="191"/>
      <c r="I96" s="189"/>
    </row>
    <row r="97" spans="1:9" ht="18.75" customHeight="1" x14ac:dyDescent="0.15">
      <c r="A97" s="1"/>
      <c r="B97" s="190"/>
      <c r="C97" s="191"/>
      <c r="D97" s="191"/>
      <c r="E97" s="191"/>
      <c r="F97" s="191"/>
      <c r="G97" s="191"/>
      <c r="H97" s="191"/>
      <c r="I97" s="189"/>
    </row>
    <row r="98" spans="1:9" ht="18.75" customHeight="1" x14ac:dyDescent="0.15">
      <c r="A98" s="1"/>
      <c r="B98" s="190"/>
      <c r="C98" s="191"/>
      <c r="D98" s="191"/>
      <c r="E98" s="191"/>
      <c r="F98" s="191"/>
      <c r="G98" s="191"/>
      <c r="H98" s="191"/>
      <c r="I98" s="189"/>
    </row>
    <row r="99" spans="1:9" ht="18.75" customHeight="1" x14ac:dyDescent="0.15">
      <c r="A99" s="1"/>
      <c r="B99" s="190"/>
      <c r="C99" s="191"/>
      <c r="D99" s="191"/>
      <c r="E99" s="191"/>
      <c r="F99" s="191"/>
      <c r="G99" s="191"/>
      <c r="H99" s="191"/>
      <c r="I99" s="189"/>
    </row>
    <row r="100" spans="1:9" ht="18.75" customHeight="1" x14ac:dyDescent="0.15">
      <c r="A100" s="1"/>
      <c r="B100" s="190"/>
      <c r="C100" s="191"/>
      <c r="D100" s="191"/>
      <c r="E100" s="191"/>
      <c r="F100" s="191"/>
      <c r="G100" s="191"/>
      <c r="H100" s="191"/>
      <c r="I100" s="189"/>
    </row>
    <row r="101" spans="1:9" ht="18.75" customHeight="1" x14ac:dyDescent="0.15">
      <c r="A101" s="1"/>
      <c r="B101" s="190"/>
      <c r="C101" s="191"/>
      <c r="D101" s="191"/>
      <c r="E101" s="191"/>
      <c r="F101" s="191"/>
      <c r="G101" s="191"/>
      <c r="H101" s="191"/>
      <c r="I101" s="189"/>
    </row>
    <row r="102" spans="1:9" ht="18.75" customHeight="1" x14ac:dyDescent="0.15">
      <c r="A102" s="1"/>
      <c r="B102" s="190"/>
      <c r="C102" s="191"/>
      <c r="D102" s="191"/>
      <c r="E102" s="191"/>
      <c r="F102" s="191"/>
      <c r="G102" s="191"/>
      <c r="H102" s="191"/>
      <c r="I102" s="189"/>
    </row>
    <row r="103" spans="1:9" ht="18.75" customHeight="1" x14ac:dyDescent="0.15">
      <c r="A103" s="1"/>
      <c r="B103" s="190"/>
      <c r="C103" s="191"/>
      <c r="D103" s="191"/>
      <c r="E103" s="191"/>
      <c r="F103" s="191"/>
      <c r="G103" s="191"/>
      <c r="H103" s="191"/>
      <c r="I103" s="189"/>
    </row>
    <row r="104" spans="1:9" ht="18.75" customHeight="1" x14ac:dyDescent="0.15">
      <c r="A104" s="1"/>
      <c r="B104" s="190"/>
      <c r="C104" s="191"/>
      <c r="D104" s="191"/>
      <c r="E104" s="191"/>
      <c r="F104" s="191"/>
      <c r="G104" s="191"/>
      <c r="H104" s="191"/>
      <c r="I104" s="189"/>
    </row>
    <row r="105" spans="1:9" ht="18.75" customHeight="1" x14ac:dyDescent="0.15">
      <c r="A105" s="4"/>
      <c r="B105" s="192"/>
      <c r="C105" s="193"/>
      <c r="D105" s="193"/>
      <c r="E105" s="193"/>
      <c r="F105" s="193"/>
      <c r="G105" s="193"/>
      <c r="H105" s="193"/>
      <c r="I105" s="194"/>
    </row>
    <row r="106" spans="1:9" ht="7.5" customHeight="1" x14ac:dyDescent="0.15">
      <c r="A106" s="4"/>
      <c r="B106" s="4"/>
      <c r="C106" s="4"/>
      <c r="D106" s="4"/>
      <c r="E106" s="4"/>
      <c r="F106" s="4"/>
      <c r="G106" s="4"/>
      <c r="H106" s="4"/>
      <c r="I106" s="4"/>
    </row>
    <row r="107" spans="1:9" ht="18.75" customHeight="1" x14ac:dyDescent="0.15">
      <c r="A107" s="1" t="s">
        <v>30</v>
      </c>
      <c r="B107" s="201" t="s">
        <v>45</v>
      </c>
      <c r="C107" s="201"/>
      <c r="D107" s="201"/>
      <c r="E107" s="201"/>
      <c r="F107" s="201"/>
      <c r="G107" s="201"/>
      <c r="H107" s="201"/>
      <c r="I107" s="201"/>
    </row>
    <row r="108" spans="1:9" ht="18.75" customHeight="1" x14ac:dyDescent="0.15">
      <c r="A108" s="4"/>
      <c r="B108" s="184" t="s">
        <v>145</v>
      </c>
      <c r="C108" s="185"/>
      <c r="D108" s="185"/>
      <c r="E108" s="185"/>
      <c r="F108" s="185"/>
      <c r="G108" s="185"/>
      <c r="H108" s="185"/>
      <c r="I108" s="186"/>
    </row>
    <row r="109" spans="1:9" ht="18.75" customHeight="1" x14ac:dyDescent="0.15">
      <c r="A109" s="4"/>
      <c r="B109" s="190"/>
      <c r="C109" s="191"/>
      <c r="D109" s="191"/>
      <c r="E109" s="191"/>
      <c r="F109" s="191"/>
      <c r="G109" s="191"/>
      <c r="H109" s="191"/>
      <c r="I109" s="189"/>
    </row>
    <row r="110" spans="1:9" ht="18.75" customHeight="1" x14ac:dyDescent="0.15">
      <c r="A110" s="4"/>
      <c r="B110" s="190"/>
      <c r="C110" s="191"/>
      <c r="D110" s="191"/>
      <c r="E110" s="191"/>
      <c r="F110" s="191"/>
      <c r="G110" s="191"/>
      <c r="H110" s="191"/>
      <c r="I110" s="189"/>
    </row>
    <row r="111" spans="1:9" ht="18.75" customHeight="1" x14ac:dyDescent="0.15">
      <c r="A111" s="4"/>
      <c r="B111" s="190"/>
      <c r="C111" s="191"/>
      <c r="D111" s="191"/>
      <c r="E111" s="191"/>
      <c r="F111" s="191"/>
      <c r="G111" s="191"/>
      <c r="H111" s="191"/>
      <c r="I111" s="189"/>
    </row>
    <row r="112" spans="1:9" ht="18.75" customHeight="1" x14ac:dyDescent="0.15">
      <c r="A112" s="4"/>
      <c r="B112" s="190"/>
      <c r="C112" s="191"/>
      <c r="D112" s="191"/>
      <c r="E112" s="191"/>
      <c r="F112" s="191"/>
      <c r="G112" s="191"/>
      <c r="H112" s="191"/>
      <c r="I112" s="189"/>
    </row>
    <row r="113" spans="1:9" ht="18.75" customHeight="1" x14ac:dyDescent="0.15">
      <c r="A113" s="4"/>
      <c r="B113" s="190"/>
      <c r="C113" s="191"/>
      <c r="D113" s="191"/>
      <c r="E113" s="191"/>
      <c r="F113" s="191"/>
      <c r="G113" s="191"/>
      <c r="H113" s="191"/>
      <c r="I113" s="189"/>
    </row>
    <row r="114" spans="1:9" ht="18.75" customHeight="1" x14ac:dyDescent="0.15">
      <c r="A114" s="4"/>
      <c r="B114" s="190"/>
      <c r="C114" s="191"/>
      <c r="D114" s="191"/>
      <c r="E114" s="191"/>
      <c r="F114" s="191"/>
      <c r="G114" s="191"/>
      <c r="H114" s="191"/>
      <c r="I114" s="189"/>
    </row>
    <row r="115" spans="1:9" ht="18.75" customHeight="1" x14ac:dyDescent="0.15">
      <c r="A115" s="4"/>
      <c r="B115" s="190"/>
      <c r="C115" s="191"/>
      <c r="D115" s="191"/>
      <c r="E115" s="191"/>
      <c r="F115" s="191"/>
      <c r="G115" s="191"/>
      <c r="H115" s="191"/>
      <c r="I115" s="189"/>
    </row>
    <row r="116" spans="1:9" ht="18.75" customHeight="1" x14ac:dyDescent="0.15">
      <c r="A116" s="4"/>
      <c r="B116" s="190"/>
      <c r="C116" s="191"/>
      <c r="D116" s="191"/>
      <c r="E116" s="191"/>
      <c r="F116" s="191"/>
      <c r="G116" s="191"/>
      <c r="H116" s="191"/>
      <c r="I116" s="189"/>
    </row>
    <row r="117" spans="1:9" ht="18.75" customHeight="1" x14ac:dyDescent="0.15">
      <c r="A117" s="4"/>
      <c r="B117" s="190"/>
      <c r="C117" s="191"/>
      <c r="D117" s="191"/>
      <c r="E117" s="191"/>
      <c r="F117" s="191"/>
      <c r="G117" s="191"/>
      <c r="H117" s="191"/>
      <c r="I117" s="189"/>
    </row>
    <row r="118" spans="1:9" ht="18.75" customHeight="1" x14ac:dyDescent="0.15">
      <c r="A118" s="4"/>
      <c r="B118" s="190"/>
      <c r="C118" s="191"/>
      <c r="D118" s="191"/>
      <c r="E118" s="191"/>
      <c r="F118" s="191"/>
      <c r="G118" s="191"/>
      <c r="H118" s="191"/>
      <c r="I118" s="189"/>
    </row>
    <row r="119" spans="1:9" ht="18.75" customHeight="1" x14ac:dyDescent="0.15">
      <c r="A119" s="4"/>
      <c r="B119" s="192"/>
      <c r="C119" s="193"/>
      <c r="D119" s="193"/>
      <c r="E119" s="193"/>
      <c r="F119" s="193"/>
      <c r="G119" s="193"/>
      <c r="H119" s="193"/>
      <c r="I119" s="194"/>
    </row>
    <row r="120" spans="1:9" ht="7.5" customHeight="1" x14ac:dyDescent="0.15">
      <c r="A120" s="4"/>
      <c r="B120" s="39"/>
      <c r="C120" s="39"/>
      <c r="D120" s="39"/>
      <c r="E120" s="39"/>
      <c r="F120" s="39"/>
      <c r="G120" s="39"/>
      <c r="H120" s="39"/>
      <c r="I120" s="39"/>
    </row>
    <row r="121" spans="1:9" ht="18.75" customHeight="1" x14ac:dyDescent="0.15">
      <c r="A121" s="65"/>
      <c r="B121" s="179"/>
      <c r="C121" s="179"/>
      <c r="D121" s="179"/>
      <c r="E121" s="179"/>
      <c r="F121" s="179"/>
      <c r="G121" s="179"/>
      <c r="H121" s="179"/>
      <c r="I121" s="179"/>
    </row>
    <row r="122" spans="1:9" ht="18.75" customHeight="1" x14ac:dyDescent="0.15">
      <c r="A122" s="65"/>
      <c r="B122" s="179"/>
      <c r="C122" s="179"/>
      <c r="D122" s="179"/>
      <c r="E122" s="179"/>
      <c r="F122" s="179"/>
      <c r="G122" s="179"/>
      <c r="H122" s="179"/>
      <c r="I122" s="179"/>
    </row>
    <row r="123" spans="1:9" ht="18.75" customHeight="1" x14ac:dyDescent="0.15">
      <c r="A123" s="4"/>
      <c r="B123" s="69"/>
      <c r="C123" s="69"/>
      <c r="D123" s="69"/>
      <c r="E123" s="69"/>
      <c r="F123" s="69"/>
      <c r="G123" s="69"/>
      <c r="H123" s="69"/>
      <c r="I123" s="70"/>
    </row>
    <row r="124" spans="1:9" ht="18.75" customHeight="1" x14ac:dyDescent="0.15">
      <c r="A124" s="4"/>
      <c r="B124" s="70"/>
      <c r="C124" s="70"/>
      <c r="D124" s="70"/>
      <c r="E124" s="70"/>
      <c r="F124" s="70"/>
      <c r="G124" s="70"/>
      <c r="H124" s="70"/>
      <c r="I124" s="70"/>
    </row>
    <row r="125" spans="1:9" ht="18.75" customHeight="1" x14ac:dyDescent="0.15">
      <c r="A125" s="4"/>
      <c r="B125" s="70"/>
      <c r="C125" s="70"/>
      <c r="D125" s="70"/>
      <c r="E125" s="70"/>
      <c r="F125" s="70"/>
      <c r="G125" s="70"/>
      <c r="H125" s="70"/>
      <c r="I125" s="70"/>
    </row>
    <row r="126" spans="1:9" ht="18.75" customHeight="1" x14ac:dyDescent="0.15">
      <c r="A126" s="4"/>
      <c r="B126" s="70"/>
      <c r="C126" s="70"/>
      <c r="D126" s="70"/>
      <c r="E126" s="70"/>
      <c r="F126" s="70"/>
      <c r="G126" s="70"/>
      <c r="H126" s="70"/>
      <c r="I126" s="70"/>
    </row>
    <row r="127" spans="1:9" ht="18.75" customHeight="1" x14ac:dyDescent="0.15">
      <c r="A127" s="4"/>
      <c r="B127" s="70"/>
      <c r="C127" s="70"/>
      <c r="D127" s="70"/>
      <c r="E127" s="70"/>
      <c r="F127" s="70"/>
      <c r="G127" s="70"/>
      <c r="H127" s="70"/>
      <c r="I127" s="70"/>
    </row>
    <row r="128" spans="1:9" ht="18.75" customHeight="1" x14ac:dyDescent="0.15">
      <c r="A128" s="4"/>
      <c r="B128" s="70"/>
      <c r="C128" s="70"/>
      <c r="D128" s="70"/>
      <c r="E128" s="70"/>
      <c r="F128" s="70"/>
      <c r="G128" s="70"/>
      <c r="H128" s="70"/>
      <c r="I128" s="70"/>
    </row>
    <row r="129" spans="1:9" ht="18.75" customHeight="1" x14ac:dyDescent="0.15">
      <c r="A129" s="4"/>
      <c r="B129" s="70"/>
      <c r="C129" s="70"/>
      <c r="D129" s="70"/>
      <c r="E129" s="70"/>
      <c r="F129" s="70"/>
      <c r="G129" s="70"/>
      <c r="H129" s="70"/>
      <c r="I129" s="70"/>
    </row>
    <row r="130" spans="1:9" ht="18.75" customHeight="1" x14ac:dyDescent="0.15">
      <c r="A130" s="4"/>
      <c r="B130" s="70"/>
      <c r="C130" s="70"/>
      <c r="D130" s="70"/>
      <c r="E130" s="70"/>
      <c r="F130" s="70"/>
      <c r="G130" s="70"/>
      <c r="H130" s="70"/>
      <c r="I130" s="70"/>
    </row>
    <row r="131" spans="1:9" ht="18.75" customHeight="1" x14ac:dyDescent="0.15">
      <c r="A131" s="4"/>
      <c r="B131" s="70"/>
      <c r="C131" s="70"/>
      <c r="D131" s="70"/>
      <c r="E131" s="70"/>
      <c r="F131" s="70"/>
      <c r="G131" s="70"/>
      <c r="H131" s="70"/>
      <c r="I131" s="70"/>
    </row>
    <row r="132" spans="1:9" ht="18.75" customHeight="1" x14ac:dyDescent="0.15">
      <c r="A132" s="4"/>
      <c r="B132" s="70"/>
      <c r="C132" s="70"/>
      <c r="D132" s="70"/>
      <c r="E132" s="70"/>
      <c r="F132" s="70"/>
      <c r="G132" s="70"/>
      <c r="H132" s="70"/>
      <c r="I132" s="70"/>
    </row>
    <row r="133" spans="1:9" ht="14.25" x14ac:dyDescent="0.15">
      <c r="A133" s="4"/>
      <c r="B133" s="70"/>
      <c r="C133" s="70"/>
      <c r="D133" s="70"/>
      <c r="E133" s="70"/>
      <c r="F133" s="70"/>
      <c r="G133" s="70"/>
      <c r="H133" s="70"/>
      <c r="I133" s="70"/>
    </row>
    <row r="134" spans="1:9" ht="7.5" customHeight="1" x14ac:dyDescent="0.15">
      <c r="A134" s="4"/>
      <c r="B134" s="70"/>
      <c r="C134" s="70"/>
      <c r="D134" s="70"/>
      <c r="E134" s="70"/>
      <c r="F134" s="70"/>
      <c r="G134" s="70"/>
      <c r="H134" s="70"/>
      <c r="I134" s="70"/>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8" zoomScale="90" zoomScaleNormal="100" zoomScaleSheetLayoutView="90" workbookViewId="0">
      <selection activeCell="O20" sqref="O20"/>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68</v>
      </c>
      <c r="I1" s="30" t="s">
        <v>96</v>
      </c>
    </row>
    <row r="2" spans="1:9" ht="18.75" customHeight="1" x14ac:dyDescent="0.15">
      <c r="H2" s="30" t="s">
        <v>99</v>
      </c>
      <c r="I2" s="29" t="str">
        <f>'様式１　プログラムを構成する授業科目'!C2</f>
        <v>岐阜薬科大学</v>
      </c>
    </row>
    <row r="3" spans="1:9" ht="18.75" customHeight="1" x14ac:dyDescent="0.15">
      <c r="A3" s="180" t="s">
        <v>28</v>
      </c>
      <c r="B3" s="180"/>
      <c r="C3" s="180"/>
      <c r="D3" s="180"/>
      <c r="E3" s="180"/>
      <c r="F3" s="180"/>
      <c r="G3" s="180"/>
      <c r="H3" s="180"/>
      <c r="I3" s="180"/>
    </row>
    <row r="4" spans="1:9" ht="18.75" customHeight="1" x14ac:dyDescent="0.15">
      <c r="A4" s="5"/>
      <c r="B4" s="5"/>
      <c r="C4" s="5"/>
      <c r="D4" s="5"/>
      <c r="E4" s="5"/>
      <c r="F4" s="5"/>
      <c r="G4" s="5"/>
      <c r="H4" s="5"/>
      <c r="I4" s="5"/>
    </row>
    <row r="5" spans="1:9" ht="18.75" customHeight="1" x14ac:dyDescent="0.15">
      <c r="A5" s="1" t="s">
        <v>0</v>
      </c>
      <c r="B5" s="10" t="s">
        <v>90</v>
      </c>
      <c r="C5" s="5"/>
      <c r="D5" s="5"/>
      <c r="E5" s="5"/>
      <c r="F5" s="5"/>
      <c r="G5" s="5"/>
      <c r="H5" s="5"/>
      <c r="I5" s="5"/>
    </row>
    <row r="6" spans="1:9" ht="26.25" customHeight="1" x14ac:dyDescent="0.15">
      <c r="A6" s="5"/>
      <c r="B6" s="195" t="s">
        <v>151</v>
      </c>
      <c r="C6" s="232"/>
      <c r="D6" s="232"/>
      <c r="E6" s="232"/>
      <c r="F6" s="232"/>
      <c r="G6" s="232"/>
      <c r="H6" s="233"/>
      <c r="I6" s="3"/>
    </row>
    <row r="7" spans="1:9" ht="9" customHeight="1" x14ac:dyDescent="0.15">
      <c r="A7" s="5"/>
      <c r="B7" s="10"/>
      <c r="C7" s="10"/>
      <c r="D7" s="10"/>
      <c r="E7" s="10"/>
      <c r="F7" s="10"/>
      <c r="G7" s="10"/>
      <c r="H7" s="10"/>
      <c r="I7" s="3"/>
    </row>
    <row r="8" spans="1:9" ht="18.75" customHeight="1" x14ac:dyDescent="0.15">
      <c r="A8" s="5"/>
      <c r="B8" s="3"/>
      <c r="C8" s="3"/>
      <c r="D8" s="30" t="s">
        <v>42</v>
      </c>
      <c r="E8" s="31" t="s">
        <v>152</v>
      </c>
      <c r="F8" s="3"/>
      <c r="G8" s="30" t="s">
        <v>10</v>
      </c>
      <c r="H8" s="31" t="s">
        <v>153</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4" t="s">
        <v>24</v>
      </c>
      <c r="C11" s="95"/>
      <c r="D11" s="96"/>
      <c r="E11" s="95" t="s">
        <v>26</v>
      </c>
      <c r="F11" s="95"/>
      <c r="G11" s="95"/>
      <c r="H11" s="95"/>
      <c r="I11" s="96"/>
    </row>
    <row r="12" spans="1:9" ht="26.25" customHeight="1" x14ac:dyDescent="0.15">
      <c r="B12" s="40" t="s">
        <v>14</v>
      </c>
      <c r="C12" s="46"/>
      <c r="D12" s="41"/>
      <c r="E12" s="47"/>
      <c r="F12" s="47"/>
      <c r="G12" s="47"/>
      <c r="H12" s="47"/>
      <c r="I12" s="41"/>
    </row>
    <row r="13" spans="1:9" ht="210.75" customHeight="1" x14ac:dyDescent="0.15">
      <c r="B13" s="42"/>
      <c r="C13" s="230" t="s">
        <v>15</v>
      </c>
      <c r="D13" s="231"/>
      <c r="E13" s="227" t="s">
        <v>160</v>
      </c>
      <c r="F13" s="228"/>
      <c r="G13" s="228"/>
      <c r="H13" s="228"/>
      <c r="I13" s="229"/>
    </row>
    <row r="14" spans="1:9" ht="210.75" customHeight="1" x14ac:dyDescent="0.15">
      <c r="B14" s="42"/>
      <c r="C14" s="225" t="s">
        <v>16</v>
      </c>
      <c r="D14" s="226"/>
      <c r="E14" s="227" t="s">
        <v>165</v>
      </c>
      <c r="F14" s="228"/>
      <c r="G14" s="228"/>
      <c r="H14" s="228"/>
      <c r="I14" s="229"/>
    </row>
    <row r="15" spans="1:9" ht="210.75" customHeight="1" x14ac:dyDescent="0.15">
      <c r="B15" s="42"/>
      <c r="C15" s="230" t="s">
        <v>17</v>
      </c>
      <c r="D15" s="231"/>
      <c r="E15" s="227" t="s">
        <v>167</v>
      </c>
      <c r="F15" s="228"/>
      <c r="G15" s="228"/>
      <c r="H15" s="228"/>
      <c r="I15" s="229"/>
    </row>
    <row r="16" spans="1:9" ht="210.75" customHeight="1" x14ac:dyDescent="0.15">
      <c r="B16" s="42"/>
      <c r="C16" s="230" t="s">
        <v>18</v>
      </c>
      <c r="D16" s="231"/>
      <c r="E16" s="227" t="s">
        <v>168</v>
      </c>
      <c r="F16" s="228"/>
      <c r="G16" s="228"/>
      <c r="H16" s="228"/>
      <c r="I16" s="229"/>
    </row>
    <row r="17" spans="2:9" ht="210.75" customHeight="1" x14ac:dyDescent="0.15">
      <c r="B17" s="43"/>
      <c r="C17" s="234" t="s">
        <v>19</v>
      </c>
      <c r="D17" s="235"/>
      <c r="E17" s="236" t="s">
        <v>156</v>
      </c>
      <c r="F17" s="237"/>
      <c r="G17" s="237"/>
      <c r="H17" s="237"/>
      <c r="I17" s="238"/>
    </row>
    <row r="18" spans="2:9" ht="24" customHeight="1" x14ac:dyDescent="0.15">
      <c r="B18" s="40" t="s">
        <v>20</v>
      </c>
      <c r="C18" s="44"/>
      <c r="D18" s="45"/>
      <c r="E18" s="87"/>
      <c r="F18" s="87"/>
      <c r="G18" s="87"/>
      <c r="H18" s="87"/>
      <c r="I18" s="88"/>
    </row>
    <row r="19" spans="2:9" ht="218.25" customHeight="1" x14ac:dyDescent="0.15">
      <c r="B19" s="42"/>
      <c r="C19" s="230" t="s">
        <v>21</v>
      </c>
      <c r="D19" s="231"/>
      <c r="E19" s="228" t="s">
        <v>162</v>
      </c>
      <c r="F19" s="228"/>
      <c r="G19" s="228"/>
      <c r="H19" s="228"/>
      <c r="I19" s="229"/>
    </row>
    <row r="20" spans="2:9" ht="218.25" customHeight="1" x14ac:dyDescent="0.15">
      <c r="B20" s="43"/>
      <c r="C20" s="234" t="s">
        <v>22</v>
      </c>
      <c r="D20" s="235"/>
      <c r="E20" s="237" t="s">
        <v>161</v>
      </c>
      <c r="F20" s="237"/>
      <c r="G20" s="237"/>
      <c r="H20" s="237"/>
      <c r="I20" s="238"/>
    </row>
    <row r="21" spans="2:9" ht="218.25" customHeight="1" x14ac:dyDescent="0.15">
      <c r="B21" s="244" t="s">
        <v>23</v>
      </c>
      <c r="C21" s="245"/>
      <c r="D21" s="246"/>
      <c r="E21" s="247" t="s">
        <v>163</v>
      </c>
      <c r="F21" s="247"/>
      <c r="G21" s="247"/>
      <c r="H21" s="247"/>
      <c r="I21" s="248"/>
    </row>
    <row r="22" spans="2:9" ht="218.25" customHeight="1" x14ac:dyDescent="0.15">
      <c r="B22" s="239" t="s">
        <v>135</v>
      </c>
      <c r="C22" s="240"/>
      <c r="D22" s="241"/>
      <c r="E22" s="242" t="s">
        <v>164</v>
      </c>
      <c r="F22" s="242"/>
      <c r="G22" s="242"/>
      <c r="H22" s="242"/>
      <c r="I22" s="243"/>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彰 五十里</cp:lastModifiedBy>
  <cp:lastPrinted>2024-06-11T03:23:07Z</cp:lastPrinted>
  <dcterms:created xsi:type="dcterms:W3CDTF">2011-06-14T05:32:50Z</dcterms:created>
  <dcterms:modified xsi:type="dcterms:W3CDTF">2024-06-11T08:37:13Z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