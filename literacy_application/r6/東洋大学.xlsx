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2"/>
  <workbookPr codeName="ThisWorkbook" defaultThemeVersion="124226"/>
  <mc:AlternateContent xmlns:mc="http://schemas.openxmlformats.org/markup-compatibility/2006">
    <mc:Choice Requires="x15">
      <x15ac:absPath xmlns:x15ac="http://schemas.microsoft.com/office/spreadsheetml/2010/11/ac" url="\\sharedoc\教務部\教務部長\997_その他\011_数理データサイエンスAI教育プログラム認定制度\2024年度\91_文科省申請\01_申請ファイル一式（アップロード）\東洋大学\01 東洋大学_リテラシー\"/>
    </mc:Choice>
  </mc:AlternateContent>
  <xr:revisionPtr revIDLastSave="0" documentId="13_ncr:1_{8C540079-806C-4D89-A77B-E1FB23C6D832}" xr6:coauthVersionLast="36" xr6:coauthVersionMax="36" xr10:uidLastSave="{00000000-0000-0000-0000-000000000000}"/>
  <bookViews>
    <workbookView xWindow="0" yWindow="0" windowWidth="23040" windowHeight="8964" tabRatio="885" xr2:uid="{00000000-000D-0000-FFFF-FFFF00000000}"/>
  </bookViews>
  <sheets>
    <sheet name="様式１-１　プログラムを構成する授業科目（その他学部）" sheetId="39" r:id="rId1"/>
    <sheet name="様式１-2　プログラムを構成する授業科目（グローバル・イノベ）" sheetId="43" r:id="rId2"/>
    <sheet name="様式１-3　プログラムを構成する授業科目（総合情報学部）" sheetId="45" r:id="rId3"/>
    <sheet name="様式１-4　プログラムを構成する授業科目（情報連携学部）" sheetId="46"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'様式１-１　プログラムを構成する授業科目（その他学部）'!$X$16:$X$18</definedName>
    <definedName name="_xlnm._FilterDatabase" localSheetId="1" hidden="1">'様式１-2　プログラムを構成する授業科目（グローバル・イノベ）'!$X$16:$X$18</definedName>
    <definedName name="_xlnm._FilterDatabase" localSheetId="2" hidden="1">'様式１-3　プログラムを構成する授業科目（総合情報学部）'!$X$16:$X$18</definedName>
    <definedName name="_xlnm._FilterDatabase" localSheetId="3" hidden="1">'様式１-4　プログラムを構成する授業科目（情報連携学部）'!$X$16:$X$18</definedName>
    <definedName name="_xlnm._FilterDatabase" localSheetId="4" hidden="1">'様式２ 履修者等数の実績'!#REF!</definedName>
    <definedName name="_xlnm.Print_Area" localSheetId="0">'様式１-１　プログラムを構成する授業科目（その他学部）'!$A$1:$U$112</definedName>
    <definedName name="_xlnm.Print_Area" localSheetId="1">'様式１-2　プログラムを構成する授業科目（グローバル・イノベ）'!$A$1:$U$112</definedName>
    <definedName name="_xlnm.Print_Area" localSheetId="2">'様式１-3　プログラムを構成する授業科目（総合情報学部）'!$A$1:$U$112</definedName>
    <definedName name="_xlnm.Print_Area" localSheetId="3">'様式１-4　プログラムを構成する授業科目（情報連携学部）'!$A$1:$U$112</definedName>
    <definedName name="_xlnm.Print_Area" localSheetId="4">'様式２ 履修者等数の実績'!$A$1:$S$33</definedName>
    <definedName name="_xlnm.Print_Area" localSheetId="5">'様式３ 教育の質・履修者数を向上させるための体制・計画'!$A$1:$I$119</definedName>
    <definedName name="_xlnm.Print_Area" localSheetId="6">'様式４　自己点検・評価'!$A$1:$I$22</definedName>
    <definedName name="_xlnm.Print_Titles" localSheetId="6">'様式４　自己点検・評価'!$11:$11</definedName>
  </definedNames>
  <calcPr calcId="191029"/>
</workbook>
</file>

<file path=xl/calcChain.xml><?xml version="1.0" encoding="utf-8"?>
<calcChain xmlns="http://schemas.openxmlformats.org/spreadsheetml/2006/main">
  <c r="K50" i="41" l="1"/>
  <c r="K52" i="41"/>
  <c r="I50" i="41"/>
  <c r="C33" i="40" l="1"/>
  <c r="M7" i="40" l="1"/>
  <c r="H2" i="41" l="1"/>
  <c r="Q2" i="40"/>
  <c r="K108" i="41" l="1"/>
  <c r="K94" i="41"/>
  <c r="K80" i="41"/>
  <c r="K66" i="41"/>
  <c r="K22" i="42"/>
  <c r="K21" i="42"/>
  <c r="K20" i="42"/>
  <c r="K19" i="42"/>
  <c r="K17" i="42"/>
  <c r="K16" i="42"/>
  <c r="K15" i="42"/>
  <c r="K14" i="42"/>
  <c r="K13" i="42"/>
  <c r="S13" i="40" l="1"/>
  <c r="I2" i="42" l="1"/>
  <c r="I33" i="40" l="1"/>
  <c r="M33" i="40"/>
  <c r="P33" i="40"/>
  <c r="Q33" i="40"/>
  <c r="O33" i="40"/>
  <c r="N33" i="40"/>
  <c r="L33" i="40"/>
  <c r="J33" i="40"/>
  <c r="K33" i="40"/>
  <c r="H33" i="40"/>
  <c r="R14" i="40" l="1"/>
  <c r="S14" i="40" s="1"/>
  <c r="R15" i="40"/>
  <c r="R16" i="40"/>
  <c r="R17" i="40"/>
  <c r="R18" i="40"/>
  <c r="R19" i="40"/>
  <c r="R20" i="40"/>
  <c r="R21" i="40"/>
  <c r="R22" i="40"/>
  <c r="R23" i="40"/>
  <c r="R24" i="40"/>
  <c r="S24" i="40" s="1"/>
  <c r="R25" i="40"/>
  <c r="R26" i="40"/>
  <c r="R27" i="40"/>
  <c r="R28" i="40"/>
  <c r="S28" i="40" s="1"/>
  <c r="R13" i="40"/>
  <c r="G33" i="40" l="1"/>
  <c r="F33" i="40" l="1"/>
  <c r="E33" i="40"/>
  <c r="D33" i="40"/>
  <c r="S26" i="40"/>
  <c r="S25" i="40"/>
  <c r="S23" i="40"/>
  <c r="S22" i="40"/>
  <c r="S21" i="40"/>
  <c r="S20" i="40"/>
  <c r="S19" i="40"/>
  <c r="S18" i="40"/>
  <c r="S17" i="40"/>
  <c r="S16" i="40"/>
  <c r="S15" i="40"/>
  <c r="R33" i="40" l="1"/>
  <c r="S33" i="40" s="1"/>
  <c r="C49" i="41" s="1"/>
</calcChain>
</file>

<file path=xl/sharedStrings.xml><?xml version="1.0" encoding="utf-8"?>
<sst xmlns="http://schemas.openxmlformats.org/spreadsheetml/2006/main" count="829" uniqueCount="268">
  <si>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</si>
  <si>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</si>
  <si>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</si>
  <si>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</si>
  <si>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</si>
  <si>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</si>
  <si>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</si>
  <si>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</si>
  <si>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</si>
  <si>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</si>
  <si>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</si>
  <si>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</si>
  <si>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</si>
  <si>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</si>
  <si>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</si>
  <si>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</si>
  <si>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</si>
  <si>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</si>
  <si>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</si>
  <si>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</si>
  <si>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</si>
  <si>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</si>
  <si>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</si>
  <si>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</si>
  <si>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</si>
  <si>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</si>
  <si>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</si>
  <si>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</si>
  <si>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</si>
  <si>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</si>
  <si>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</si>
  <si>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</si>
  <si>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</si>
  <si>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</si>
  <si>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</si>
  <si>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</si>
  <si>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</si>
  <si>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</si>
  <si>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</si>
  <si>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</si>
  <si>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</si>
  <si>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</si>
  <si>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</si>
  <si>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</si>
  <si>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</si>
  <si>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</si>
  <si>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</si>
  <si>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</si>
  <si>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</si>
  <si>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</si>
  <si>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</si>
  <si>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</si>
  <si>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</si>
  <si>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</si>
  <si>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</si>
  <si>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</si>
  <si>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</si>
  <si>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</si>
  <si>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</si>
  <si>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</si>
  <si>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</si>
  <si>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</si>
  <si>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</si>
  <si>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</si>
  <si>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</si>
  <si>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</si>
  <si>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</si>
  <si>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</si>
  <si>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</si>
  <si>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</si>
  <si>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</si>
  <si>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</si>
  <si>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</si>
  <si>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</si>
  <si>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</si>
  <si>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</si>
  <si>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</si>
  <si>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</si>
  <si>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</si>
  <si>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</si>
  <si>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</si>
  <si>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</si>
  <si>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</si>
  <si>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</si>
  <si>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</si>
  <si>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</si>
  <si>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</si>
  <si>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</si>
  <si>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</si>
  <si>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</si>
  <si>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</si>
  <si>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</si>
  <si>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</si>
  <si>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</si>
  <si>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</si>
  <si>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</si>
  <si>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</si>
  <si>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</si>
  <si>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</si>
  <si>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</si>
  <si>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</si>
  <si>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</si>
  <si>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</si>
  <si>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</si>
  <si>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</si>
  <si>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</si>
  <si>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</si>
  <si>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</si>
  <si>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</si>
  <si>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</si>
  <si>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</si>
  <si>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</si>
  <si>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</si>
  <si>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</si>
  <si>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</si>
  <si>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</si>
  <si>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</si>
  <si>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</si>
  <si>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</si>
  <si>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</si>
  <si>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</si>
  <si>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</si>
  <si>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</si>
  <si>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</si>
  <si>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</si>
  <si>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</si>
  <si>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</si>
  <si>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</si>
  <si>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</si>
  <si>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</si>
  <si>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</si>
  <si>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</si>
  <si>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</si>
  <si>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</si>
  <si>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</si>
  <si>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東洋大学</t>
    <phoneticPr fontId="1"/>
  </si>
  <si>
    <t>東洋大学　数理・データサイエンス・AI教育プログラム</t>
    <phoneticPr fontId="1"/>
  </si>
  <si>
    <t>様式１-１</t>
    <rPh sb="0" eb="2">
      <t>ヨウシキ</t>
    </rPh>
    <phoneticPr fontId="1"/>
  </si>
  <si>
    <t>プログラムを構成する科目である「全学総合D」（2単位）および「全学総合E」（2単位）の2科目4単位を修得する。</t>
    <phoneticPr fontId="1"/>
  </si>
  <si>
    <t>○</t>
  </si>
  <si>
    <t>全学総合D</t>
    <phoneticPr fontId="1"/>
  </si>
  <si>
    <t>全学総合E</t>
    <phoneticPr fontId="1"/>
  </si>
  <si>
    <t>4‐8データ活用実践（教師あり学習）</t>
  </si>
  <si>
    <t>4‐6画像解析</t>
  </si>
  <si>
    <t>様式１-2</t>
    <rPh sb="0" eb="2">
      <t>ヨウシキ</t>
    </rPh>
    <phoneticPr fontId="1"/>
  </si>
  <si>
    <t>国際学部グローバル・イノベーション学科</t>
    <phoneticPr fontId="1"/>
  </si>
  <si>
    <t>プログラムを構成する科目である「Science, Technology and Society」（2単位）および「Statistics」（2単位）の2科目4単位を修得する。</t>
    <phoneticPr fontId="1"/>
  </si>
  <si>
    <t>Science, Technology and Society</t>
    <phoneticPr fontId="1"/>
  </si>
  <si>
    <t>Statistics</t>
    <phoneticPr fontId="1"/>
  </si>
  <si>
    <t>総合情報学部</t>
    <phoneticPr fontId="1"/>
  </si>
  <si>
    <t>プログラムを構成する科目である「データサイエンス概論」（2単位）および「AI基礎」（2単位）の2科目4単位を修得する。</t>
    <phoneticPr fontId="1"/>
  </si>
  <si>
    <t>データサイエンス概論</t>
    <phoneticPr fontId="1"/>
  </si>
  <si>
    <t>AI基礎</t>
    <phoneticPr fontId="1"/>
  </si>
  <si>
    <t>様式１-4</t>
    <rPh sb="0" eb="2">
      <t>ヨウシキ</t>
    </rPh>
    <phoneticPr fontId="1"/>
  </si>
  <si>
    <t>情報連携学部</t>
    <phoneticPr fontId="1"/>
  </si>
  <si>
    <t>情報連携学概論Ⅰ</t>
    <phoneticPr fontId="1"/>
  </si>
  <si>
    <t>情報連携基礎実習Ⅰ</t>
    <phoneticPr fontId="1"/>
  </si>
  <si>
    <t>情報連携学概論Ⅱ</t>
    <phoneticPr fontId="1"/>
  </si>
  <si>
    <t>情報連携基礎実習Ⅱ</t>
    <phoneticPr fontId="1"/>
  </si>
  <si>
    <t>コンピュータ・サイエンス基礎演習Ⅲ</t>
    <phoneticPr fontId="1"/>
  </si>
  <si>
    <t>情報連携学概論Ⅱ</t>
    <phoneticPr fontId="1"/>
  </si>
  <si>
    <t>コンピュータ・サイエンス概論Ⅲ</t>
    <phoneticPr fontId="1"/>
  </si>
  <si>
    <t>東洋大学　数理・データサイエンス・AI教育プログラム</t>
    <phoneticPr fontId="1"/>
  </si>
  <si>
    <t>東海林　克彦</t>
    <phoneticPr fontId="1"/>
  </si>
  <si>
    <t>副学長</t>
    <phoneticPr fontId="1"/>
  </si>
  <si>
    <t>東海林 克彦</t>
    <phoneticPr fontId="1"/>
  </si>
  <si>
    <t>副学長</t>
    <phoneticPr fontId="1"/>
  </si>
  <si>
    <t>全学カリキュラム委員会</t>
    <phoneticPr fontId="1"/>
  </si>
  <si>
    <t>東洋大学全学カリキュラム委員会規程</t>
    <phoneticPr fontId="1"/>
  </si>
  <si>
    <t>東洋大学における特色ある全学的教育の展開と一層の発展を図るとともに、全学に係るカリキュラムの企画及び調整並びに複数学部のカリキュラムに係る事項の調整を行うことを目的として、東洋大学全学カリキュラム委員会が設置されている。</t>
    <phoneticPr fontId="1"/>
  </si>
  <si>
    <t>文学部</t>
    <rPh sb="0" eb="3">
      <t>ブンガクブ</t>
    </rPh>
    <phoneticPr fontId="1"/>
  </si>
  <si>
    <t>経済学部</t>
    <rPh sb="0" eb="2">
      <t>ケイザイ</t>
    </rPh>
    <rPh sb="2" eb="4">
      <t>ガクブ</t>
    </rPh>
    <phoneticPr fontId="1"/>
  </si>
  <si>
    <t>経営学部</t>
    <rPh sb="0" eb="2">
      <t>ケイエイ</t>
    </rPh>
    <rPh sb="2" eb="4">
      <t>ガクブ</t>
    </rPh>
    <phoneticPr fontId="1"/>
  </si>
  <si>
    <t>法学部</t>
    <rPh sb="0" eb="3">
      <t>ホウガクブ</t>
    </rPh>
    <phoneticPr fontId="1"/>
  </si>
  <si>
    <t>社会学部</t>
    <rPh sb="0" eb="2">
      <t>シャカイ</t>
    </rPh>
    <rPh sb="2" eb="4">
      <t>ガクブ</t>
    </rPh>
    <phoneticPr fontId="1"/>
  </si>
  <si>
    <t>理工学部</t>
    <rPh sb="0" eb="2">
      <t>リコウ</t>
    </rPh>
    <rPh sb="2" eb="4">
      <t>ガクブ</t>
    </rPh>
    <phoneticPr fontId="1"/>
  </si>
  <si>
    <t>国際学部</t>
    <rPh sb="0" eb="2">
      <t>コクサイ</t>
    </rPh>
    <rPh sb="2" eb="4">
      <t>ガクブ</t>
    </rPh>
    <phoneticPr fontId="1"/>
  </si>
  <si>
    <t>国際観光学部</t>
    <rPh sb="0" eb="2">
      <t>コクサイ</t>
    </rPh>
    <rPh sb="2" eb="4">
      <t>カンコウ</t>
    </rPh>
    <rPh sb="4" eb="6">
      <t>ガクブ</t>
    </rPh>
    <phoneticPr fontId="1"/>
  </si>
  <si>
    <t>生命科学部</t>
    <rPh sb="0" eb="2">
      <t>セイメイ</t>
    </rPh>
    <rPh sb="2" eb="4">
      <t>カガク</t>
    </rPh>
    <rPh sb="4" eb="5">
      <t>ブ</t>
    </rPh>
    <phoneticPr fontId="1"/>
  </si>
  <si>
    <t>総合情報学部</t>
    <rPh sb="0" eb="2">
      <t>ソウゴウ</t>
    </rPh>
    <rPh sb="2" eb="4">
      <t>ジョウホウ</t>
    </rPh>
    <rPh sb="4" eb="6">
      <t>ガクブ</t>
    </rPh>
    <phoneticPr fontId="1"/>
  </si>
  <si>
    <t>食環境科学部</t>
    <rPh sb="0" eb="1">
      <t>ショク</t>
    </rPh>
    <rPh sb="1" eb="3">
      <t>カンキョウ</t>
    </rPh>
    <rPh sb="3" eb="5">
      <t>カガク</t>
    </rPh>
    <rPh sb="5" eb="6">
      <t>ブ</t>
    </rPh>
    <phoneticPr fontId="1"/>
  </si>
  <si>
    <t>情報連携学部</t>
    <rPh sb="0" eb="2">
      <t>ジョウホウ</t>
    </rPh>
    <rPh sb="2" eb="4">
      <t>レンケイ</t>
    </rPh>
    <rPh sb="4" eb="6">
      <t>ガクブ</t>
    </rPh>
    <phoneticPr fontId="1"/>
  </si>
  <si>
    <t>福祉社会デザイン学部</t>
    <rPh sb="0" eb="2">
      <t>フクシ</t>
    </rPh>
    <rPh sb="2" eb="4">
      <t>シャカイ</t>
    </rPh>
    <rPh sb="8" eb="10">
      <t>ガクブ</t>
    </rPh>
    <phoneticPr fontId="1"/>
  </si>
  <si>
    <t>健康スポーツ科学部</t>
    <rPh sb="0" eb="2">
      <t>ケンコウ</t>
    </rPh>
    <rPh sb="6" eb="8">
      <t>カガク</t>
    </rPh>
    <rPh sb="8" eb="9">
      <t>ブ</t>
    </rPh>
    <phoneticPr fontId="1"/>
  </si>
  <si>
    <t>様式１-3</t>
    <rPh sb="0" eb="2">
      <t>ヨウシキ</t>
    </rPh>
    <phoneticPr fontId="1"/>
  </si>
  <si>
    <t>「総合情報学部」、「情報連携学部」は学問分野の専門性からそれぞれ専門科目を教育プログラムの科目に位置付けており、「国際学部グローバル・イノベーション学科」は英語トラック科目の開講により英語科目をプログラム対象科目としている。「それ以外の学部」については共通の科目をプログラム対象科目に位置付けており、学部学科の縛りなく履修できるようになっている。履修者数についても基本的には定員の上限なく履修希望学生が受講できるような仕組みとなっており、各学部・学科のカリキュラムに即した受講体制を整えている。「それ以外の学部」については受講者が複数キャンパスにまたがることを考慮して、同時双方向型授業を取り入れており、履修しやすい体制としている。</t>
    <rPh sb="159" eb="161">
      <t>リシュウ</t>
    </rPh>
    <rPh sb="182" eb="185">
      <t>キホンテキ</t>
    </rPh>
    <rPh sb="187" eb="189">
      <t>テイイン</t>
    </rPh>
    <rPh sb="190" eb="192">
      <t>ジョウゲン</t>
    </rPh>
    <rPh sb="194" eb="196">
      <t>リシュウ</t>
    </rPh>
    <rPh sb="196" eb="198">
      <t>キボウ</t>
    </rPh>
    <rPh sb="198" eb="200">
      <t>ガクセイ</t>
    </rPh>
    <rPh sb="239" eb="241">
      <t>ジュコウ</t>
    </rPh>
    <rPh sb="241" eb="243">
      <t>タイセイ</t>
    </rPh>
    <rPh sb="244" eb="245">
      <t>トトノ</t>
    </rPh>
    <rPh sb="290" eb="291">
      <t>ガタ</t>
    </rPh>
    <phoneticPr fontId="1"/>
  </si>
  <si>
    <t>専任教職員に対しては学内の教職員ポータルサイトにおいて情報共有を行い、非常勤講師には授業支援システム等を通じて全員に周知を行っている。授業時間割の編成においても、開講学期・開講曜時限・配当学年に留意して組み立てることで学生が不利益を被ることがないように留意している。また、授業内容の理解度を確認するための小テスト、考える力を養うための双方向型のディスカッションやグループ学習、プレゼンテーションを授業に盛り込むことで、単位修得に繋がるようケアをしている。</t>
    <rPh sb="50" eb="51">
      <t>ナド</t>
    </rPh>
    <rPh sb="67" eb="69">
      <t>ジュギョウ</t>
    </rPh>
    <phoneticPr fontId="1"/>
  </si>
  <si>
    <t>学生はオフィスアワーを確認した上で学習指導を受けることができる。また、シラバス・教員プロフィールにおいて教員は連絡先を公開しており、学生からの質問をメール等で受け付けることができる体制を組んでいる。また、授業支援システムにおいて授業ごとに質問を受け付ける設定ができるようになっており、授業時間内外で双方向の質疑応答が可能となっている。</t>
    <rPh sb="77" eb="78">
      <t>ナド</t>
    </rPh>
    <phoneticPr fontId="1"/>
  </si>
  <si>
    <t>外部評価者2名にプログラムの内容・手法、実施結果、実施体制を評価いただき、全体を通して概ね肯定的な意見をいただいた。内容・手法については網羅的かつ実践的な内容であり、次世代の社会と産業界のニーズに合わせた柔軟で適応性の高い教育を行っているとの評価をいただいた。その一方で改善点やより発展させるための方策についても助言があったため、これらについて全学カリキュラム委員会へ報告しプログラムの検証を行うとともに、授業担当教員へもフィードバックし授業内容の見直しの参考とした。</t>
    <rPh sb="4" eb="5">
      <t>シャ</t>
    </rPh>
    <rPh sb="6" eb="7">
      <t>メイ</t>
    </rPh>
    <rPh sb="14" eb="16">
      <t>ナイヨウ</t>
    </rPh>
    <rPh sb="17" eb="19">
      <t>シュホウ</t>
    </rPh>
    <rPh sb="20" eb="22">
      <t>ジッシ</t>
    </rPh>
    <rPh sb="22" eb="24">
      <t>ケッカ</t>
    </rPh>
    <rPh sb="25" eb="27">
      <t>ジッシ</t>
    </rPh>
    <rPh sb="27" eb="29">
      <t>タイセイ</t>
    </rPh>
    <rPh sb="30" eb="32">
      <t>ヒョウカ</t>
    </rPh>
    <rPh sb="37" eb="39">
      <t>ゼンタイ</t>
    </rPh>
    <rPh sb="40" eb="41">
      <t>トオ</t>
    </rPh>
    <rPh sb="43" eb="44">
      <t>オオム</t>
    </rPh>
    <rPh sb="45" eb="48">
      <t>コウテイテキ</t>
    </rPh>
    <rPh sb="49" eb="51">
      <t>イケン</t>
    </rPh>
    <rPh sb="58" eb="60">
      <t>ナイヨウ</t>
    </rPh>
    <rPh sb="61" eb="63">
      <t>シュホウ</t>
    </rPh>
    <rPh sb="83" eb="86">
      <t>ジセダイ</t>
    </rPh>
    <rPh sb="87" eb="89">
      <t>シャカイ</t>
    </rPh>
    <rPh sb="90" eb="93">
      <t>サンギョウカイ</t>
    </rPh>
    <rPh sb="98" eb="99">
      <t>ア</t>
    </rPh>
    <rPh sb="102" eb="104">
      <t>ジュウナン</t>
    </rPh>
    <rPh sb="105" eb="108">
      <t>テキオウセイ</t>
    </rPh>
    <rPh sb="109" eb="110">
      <t>タカ</t>
    </rPh>
    <rPh sb="111" eb="113">
      <t>キョウイク</t>
    </rPh>
    <rPh sb="114" eb="115">
      <t>オコナ</t>
    </rPh>
    <rPh sb="132" eb="134">
      <t>イッポウ</t>
    </rPh>
    <rPh sb="135" eb="138">
      <t>カイゼンテン</t>
    </rPh>
    <rPh sb="141" eb="143">
      <t>ハッテン</t>
    </rPh>
    <rPh sb="149" eb="151">
      <t>ホウサク</t>
    </rPh>
    <rPh sb="156" eb="158">
      <t>ジョゲン</t>
    </rPh>
    <phoneticPr fontId="1"/>
  </si>
  <si>
    <t>学部独自の専門教育を展開している「総合情報学部」や「情報連携学部」は、プログラムの範囲に留まらず、学生が更に高度な知識や技術を習得することを目指し授業を展開し、「その他の学部」においてはボトムアップを図り、モデルカリキュラムや最新の話題を踏まえた授業を展開し、学生のレベルや希望に応じた段階的・体系的な授業を行う。当該分野を専門とする教員のノウハウを最大限に活用し、本学の特徴を捉えた内容や手法を精査することで、更なる向上を図りたい。併せて学生の学習環境や体制の促進、授業アンケート結果を踏まえた改善を行い、より分かりやすい授業を目指していく。</t>
    <rPh sb="119" eb="120">
      <t>フ</t>
    </rPh>
    <rPh sb="126" eb="128">
      <t>テンカイ</t>
    </rPh>
    <rPh sb="151" eb="153">
      <t>ジュギョウ</t>
    </rPh>
    <rPh sb="154" eb="155">
      <t>オコナ</t>
    </rPh>
    <rPh sb="157" eb="159">
      <t>トウガイ</t>
    </rPh>
    <rPh sb="159" eb="161">
      <t>ブンヤ</t>
    </rPh>
    <rPh sb="179" eb="181">
      <t>カツヨウ</t>
    </rPh>
    <rPh sb="198" eb="200">
      <t>セイサ</t>
    </rPh>
    <rPh sb="206" eb="207">
      <t>サラ</t>
    </rPh>
    <rPh sb="209" eb="211">
      <t>コウジョウ</t>
    </rPh>
    <rPh sb="217" eb="218">
      <t>アワ</t>
    </rPh>
    <rPh sb="220" eb="222">
      <t>ガクセイ</t>
    </rPh>
    <rPh sb="223" eb="225">
      <t>ガクシュウ</t>
    </rPh>
    <rPh sb="248" eb="250">
      <t>カイゼン</t>
    </rPh>
    <rPh sb="251" eb="252">
      <t>オコナ</t>
    </rPh>
    <rPh sb="265" eb="267">
      <t>メザ</t>
    </rPh>
    <phoneticPr fontId="1"/>
  </si>
  <si>
    <t>データを実際に活用することが楽しさを実感することと捉え、どのようなシーン、手法でデータが活用されているか事例を盛り込みながら説明しており、理解を深めながら身近なものとして捉えてもらう工夫をしている。専門性も志向も様々な学生がいる中で満遍なく教育を行うには、当該分野と親和性が低い学部の学生へ丁寧に働きかけることが特に重要と考えていることから、多様な専門領域を擁する本学ならではの方法を検討し、学生によりマッチした内容を展開できればと考えている。本プログラムを契機として、今後も全学カリキュラム委員会や外部評価者のアイディアを確認する等して、開けたかたちで可能性を模索していきたい。</t>
    <rPh sb="37" eb="39">
      <t>シュホウ</t>
    </rPh>
    <rPh sb="108" eb="109">
      <t>ナカ</t>
    </rPh>
    <rPh sb="114" eb="116">
      <t>キョウイク</t>
    </rPh>
    <rPh sb="150" eb="151">
      <t>トク</t>
    </rPh>
    <rPh sb="173" eb="174">
      <t>ヨウ</t>
    </rPh>
    <rPh sb="183" eb="185">
      <t>キョウイク</t>
    </rPh>
    <rPh sb="187" eb="188">
      <t>ナド</t>
    </rPh>
    <rPh sb="193" eb="194">
      <t>カンガ</t>
    </rPh>
    <rPh sb="196" eb="198">
      <t>ガクセイ</t>
    </rPh>
    <rPh sb="206" eb="208">
      <t>ナイヨウ</t>
    </rPh>
    <rPh sb="209" eb="211">
      <t>テンカイ</t>
    </rPh>
    <rPh sb="229" eb="231">
      <t>コンゴ</t>
    </rPh>
    <rPh sb="266" eb="267">
      <t>ナド</t>
    </rPh>
    <rPh sb="284" eb="285">
      <t>カンガ</t>
    </rPh>
    <phoneticPr fontId="1"/>
  </si>
  <si>
    <t>全学総合E</t>
    <phoneticPr fontId="1"/>
  </si>
  <si>
    <t>全学総合D</t>
    <phoneticPr fontId="1"/>
  </si>
  <si>
    <t>4-1統計および数理基礎</t>
  </si>
  <si>
    <t>4‐4時系列データ解析</t>
  </si>
  <si>
    <t>4‐3データ構造とプログラミング基礎</t>
  </si>
  <si>
    <t>4‐5テキスト解析</t>
  </si>
  <si>
    <t>4‐7データハンドリング</t>
  </si>
  <si>
    <t>「全学総合D」において、生成AIの簡単な原理説明を行い、学生として生成AIを学業に活用する上での留意点（学修効果を高めるための活用方法）を解説している。</t>
    <phoneticPr fontId="1"/>
  </si>
  <si>
    <t>4‐9データ活用実践（教師なし学習）</t>
  </si>
  <si>
    <t>・調査データ、実験データ　「全学総合Ｄ」（第５回）
・人の行動ログデータ、機械の稼働ログデータ　「全学総合Ｅ」（第３回）
・1次データ、2次データ　「全学総合Ｄ」（第９回）
・構造化データ、非構造化データ　「全学総合Ｅ」（第３回）
・データ作成　「全学総合Ｄ」（第１０回）
・データのオープン化　「全学総合Ｄ」（第９回）、「全学総合Ｅ」（第３回）</t>
    <phoneticPr fontId="1"/>
  </si>
  <si>
    <t>・データサイエンスのサイクル　「全学総合Ｄ」（第２回）
・サービス業におけるデータ・AI利活用事例紹介　「全学総合Ｄ」（第１３回）</t>
    <phoneticPr fontId="1"/>
  </si>
  <si>
    <t>・データ解析　「全学総合Ｄ」（第１１回）
・データ可視化　「全学総合Ｄ」（第４回）
・非構造化データ処理　「全学総合Ｄ」（第１１回）
・特化型AIと汎用AI、今のAIで出来ることと出来ないこと、AIとビッグデータ　「全学総合Ｄ」（第１０回）</t>
    <phoneticPr fontId="1"/>
  </si>
  <si>
    <t>・データの集計　「全学総合Ｄ」（第４回）
・データの並び替え、ランキング　「全学総合Ｄ」（第９回）
・データ解析ツール　「全学総合Ｄ」（第４回、第９回）
・表形式のデータ　「全学総合Ｄ」（第４回、第９回）</t>
    <phoneticPr fontId="1"/>
  </si>
  <si>
    <t>データサイエンス・AIの基本的な用語や仕組みを理解し、自分自身で情報収集ができるようになる。データを活用する姿勢・態度を持ち、ビジネスにおいて必要な手法を選択できるようになる。実装方法そのものを理解し、データサイエンスを使い社会やビジネスにおける問題解決方法を示すことができるようになる。自分自身で調査した内容に基づき他者に分かりやすく説明ができ問題解決の方法を示せるようになる。</t>
    <rPh sb="162" eb="163">
      <t>ワ</t>
    </rPh>
    <phoneticPr fontId="1"/>
  </si>
  <si>
    <t>・データ表現　「全学総合Ｄ」（第４回）
・データの図表表現　「全学総合Ｄ」（第４回）
・不適切なグラフ表現　「全学総合Ｄ」（第４回）
・優れた可視化事例の紹介　「全学総合Ｄ」（第４回）</t>
    <phoneticPr fontId="1"/>
  </si>
  <si>
    <t>・データ・AI活用領域の広がり　「全学総合Ｄ」（第１２回）、「全学総合Ｅ」（第１２回）
・研究開発、調達、製造、物流、販売、マーケティング、サービス　「全学総合Ｄ」（第１２回）
・仮説検証、知識発見、原因究明、判断支援　「全学総合Ｄ」（第８回）</t>
    <phoneticPr fontId="1"/>
  </si>
  <si>
    <t>・情報セキュリティ　「全学総合Ｅ」（第１３回）
・悪意ある情報搾取　「全学総合Ｅ」（第１３回）</t>
    <phoneticPr fontId="1"/>
  </si>
  <si>
    <t>・データ表現　「データサイエンス概論」（第４回）
・データの図表表現　「データサイエンス概論」（第４回）
・不適切なグラフ表現　「データサイエンス概論」（第４回）
・優れた可視化事例の紹介　「データサイエンス概論」（第４回）</t>
  </si>
  <si>
    <t>・データの集計　「データサイエンス概論」（第４回）
・データの並び替え、ランキング　「データサイエンス概論」（第９回）
・データ解析ツール　「データサイエンス概論」（第４回、第９回）
・表形式のデータ　「データサイエンス概論」（第４回、第９回）</t>
  </si>
  <si>
    <t>・ビッグデータ　「情報連携学概論Ⅱ」（第９回）
・IoT　「情報連携学概論Ⅰ」（第８回）
・AI　「情報連携学概論Ⅱ」（第１回、第２回）
・Society5.0、データ駆動型社会　「情報連携学概論Ⅰ」（第１２回）</t>
    <rPh sb="19" eb="20">
      <t>ダイ</t>
    </rPh>
    <rPh sb="40" eb="41">
      <t>ダイ</t>
    </rPh>
    <rPh sb="60" eb="61">
      <t>ダイ</t>
    </rPh>
    <rPh sb="62" eb="63">
      <t>カイ</t>
    </rPh>
    <rPh sb="64" eb="65">
      <t>ダイ</t>
    </rPh>
    <rPh sb="101" eb="102">
      <t>ダイ</t>
    </rPh>
    <phoneticPr fontId="1"/>
  </si>
  <si>
    <t>・AI等を活用した新しいビジネスモデル　「情報連携学概論Ⅱ」（第１１回）
・AI最新技術の活用例　「情報連携学概論Ⅰ」（第５回）、「情報連携学概論Ⅱ」（第９回）</t>
    <rPh sb="31" eb="32">
      <t>ダイ</t>
    </rPh>
    <rPh sb="60" eb="61">
      <t>ダイ</t>
    </rPh>
    <rPh sb="76" eb="77">
      <t>ダイ</t>
    </rPh>
    <phoneticPr fontId="1"/>
  </si>
  <si>
    <t>・調査データ、実験データ、人の行動ログデータ　「情報連携学概論Ⅰ」（第１３回）
・データのオープン化（オープンデータ）　「情報連携学概論Ⅰ」（第６回、第７回）、「情報連携基礎実習Ⅰ」（第5回、第６回、第７回、第８回）、「情報連携基礎実習Ⅱ」（第８回、第９回、第１０回、第１１回、第１２回、第１３回、第１４回）</t>
    <rPh sb="34" eb="35">
      <t>ダイ</t>
    </rPh>
    <rPh sb="71" eb="72">
      <t>ダイ</t>
    </rPh>
    <rPh sb="73" eb="74">
      <t>カイ</t>
    </rPh>
    <rPh sb="75" eb="76">
      <t>ダイ</t>
    </rPh>
    <rPh sb="92" eb="93">
      <t>ダイ</t>
    </rPh>
    <rPh sb="94" eb="95">
      <t>カイ</t>
    </rPh>
    <rPh sb="96" eb="97">
      <t>ダイ</t>
    </rPh>
    <rPh sb="98" eb="99">
      <t>カイ</t>
    </rPh>
    <rPh sb="100" eb="101">
      <t>ダイ</t>
    </rPh>
    <rPh sb="102" eb="103">
      <t>カイ</t>
    </rPh>
    <rPh sb="104" eb="105">
      <t>ダイ</t>
    </rPh>
    <rPh sb="121" eb="122">
      <t>ダイ</t>
    </rPh>
    <rPh sb="123" eb="124">
      <t>カイ</t>
    </rPh>
    <rPh sb="125" eb="126">
      <t>ダイ</t>
    </rPh>
    <rPh sb="127" eb="128">
      <t>カイ</t>
    </rPh>
    <rPh sb="129" eb="130">
      <t>ダイ</t>
    </rPh>
    <rPh sb="132" eb="133">
      <t>カイ</t>
    </rPh>
    <rPh sb="134" eb="135">
      <t>ダイ</t>
    </rPh>
    <rPh sb="137" eb="138">
      <t>カイ</t>
    </rPh>
    <rPh sb="139" eb="140">
      <t>ダイ</t>
    </rPh>
    <rPh sb="142" eb="143">
      <t>カイ</t>
    </rPh>
    <rPh sb="144" eb="145">
      <t>ダイ</t>
    </rPh>
    <rPh sb="147" eb="148">
      <t>カイ</t>
    </rPh>
    <rPh sb="149" eb="150">
      <t>ダイ</t>
    </rPh>
    <phoneticPr fontId="1"/>
  </si>
  <si>
    <t>・データ・AI活動領域の広がり　「情報連携学概論Ⅰ」（第４回）
・マーケティング、サービス　「情報連携学概論Ⅰ」（第１４回）</t>
    <rPh sb="21" eb="22">
      <t>ガク</t>
    </rPh>
    <rPh sb="27" eb="28">
      <t>ダイ</t>
    </rPh>
    <rPh sb="57" eb="58">
      <t>ダイ</t>
    </rPh>
    <phoneticPr fontId="1"/>
  </si>
  <si>
    <t>・データ解析　「情報連携学概論Ⅰ」（第１２回）
・データの可視化　「情報連携学概論Ⅰ」（第１２回）
・特化型AIと汎用AI　「情報連携学概論Ⅰ」（第１２回）</t>
    <rPh sb="73" eb="74">
      <t>ダイ</t>
    </rPh>
    <phoneticPr fontId="1"/>
  </si>
  <si>
    <t>・流通、インフラ、公共におけるデータ・AI利活用事例紹介　「情報連携学概論Ⅰ」（第１３回）
・サービスにおけるデータ・AI利活用事例紹介　「情報連携学概論Ⅰ」（第１４回）</t>
    <rPh sb="40" eb="41">
      <t>ダイ</t>
    </rPh>
    <rPh sb="80" eb="81">
      <t>ダイ</t>
    </rPh>
    <phoneticPr fontId="1"/>
  </si>
  <si>
    <t>・個人情報保護　「情報連携学概論Ⅱ」（第５回）</t>
    <rPh sb="19" eb="20">
      <t>ダイ</t>
    </rPh>
    <phoneticPr fontId="1"/>
  </si>
  <si>
    <t>・情報セキュリティ　「情報連携学概論Ⅱ」（第３回）
・情報漏洩等によるセキュリティ事故の事例紹介　「情報連携学概論Ⅱ」（第３回）</t>
    <rPh sb="60" eb="61">
      <t>ダイ</t>
    </rPh>
    <phoneticPr fontId="1"/>
  </si>
  <si>
    <t>・データの分布と代表値　「コンピュータ・サイエンス概論Ⅲ」（第３回）、「コンピュータ・サイエンス基礎演習Ⅲ」（第３回）
・代表値の性質の違い　「コンピュータ・サイエンス概論Ⅲ」（第３回）、「コンピュータ・サイエンス基礎演習Ⅲ」（第３回）
・データのばらつき　「コンピュータ・サイエンス概論Ⅲ」（第３回）、「コンピュータ・サイエンス基礎演習Ⅲ」（第３回）
・相関と因果　「コンピュータ・サイエンス概論Ⅲ」（第７回）、「コンピュータ・サイエンス基礎演習Ⅲ」（第７回）</t>
    <rPh sb="89" eb="90">
      <t>ダイ</t>
    </rPh>
    <rPh sb="202" eb="203">
      <t>ダイ</t>
    </rPh>
    <rPh sb="227" eb="228">
      <t>ダイ</t>
    </rPh>
    <phoneticPr fontId="1"/>
  </si>
  <si>
    <t>・データの集計　「コンピュータ・サイエンス概論Ⅲ」（第４回）、「コンピュータ・サイエンス基礎演習Ⅲ」（第４回）
・表形式のデータ　「コンピュータ・サイエンス概論Ⅲ」（第２回）、「コンピュータ・サイエンス基礎演習Ⅲ」（第２回）</t>
    <rPh sb="26" eb="27">
      <t>ダイ</t>
    </rPh>
    <rPh sb="51" eb="52">
      <t>ダイ</t>
    </rPh>
    <rPh sb="83" eb="84">
      <t>ダイ</t>
    </rPh>
    <rPh sb="108" eb="109">
      <t>ダイ</t>
    </rPh>
    <phoneticPr fontId="1"/>
  </si>
  <si>
    <t>・第4次産業革命、Society 5.0、データ駆動型社会　「Science, Technology and Society」（第８回）</t>
    <rPh sb="1" eb="2">
      <t>ダイ</t>
    </rPh>
    <rPh sb="3" eb="4">
      <t>ジ</t>
    </rPh>
    <rPh sb="4" eb="6">
      <t>サンギョウ</t>
    </rPh>
    <rPh sb="6" eb="8">
      <t>カクメイ</t>
    </rPh>
    <rPh sb="64" eb="65">
      <t>ダイ</t>
    </rPh>
    <rPh sb="66" eb="67">
      <t>カイ</t>
    </rPh>
    <phoneticPr fontId="1"/>
  </si>
  <si>
    <t>・情報セキュリティ　「Science, Technology and Society」（第１４回）
・悪意ある情報搾取　「Science, Technology and Society」（第１４回）</t>
    <phoneticPr fontId="1"/>
  </si>
  <si>
    <t>・データの種類　「Statistics」（第３回）
・データの分布と代表値　「Statistics」（第９回）
・代表値の性質の違い　「Statistics」（第９回）
・データのばらつき　「Statistics」（第９回）
・打ち切りや脱落を含むデータ、層別の必要なデータ　「Statistics」（第９回）
・相関と因果　「Statistics」（第３回）
・母集団と標本抽出　「Statistics」（第１０回）
・統計情報の正しい理解　「Statistics」（第９回）</t>
    <rPh sb="51" eb="52">
      <t>ダイ</t>
    </rPh>
    <rPh sb="53" eb="54">
      <t>カイ</t>
    </rPh>
    <rPh sb="173" eb="174">
      <t>ダイ</t>
    </rPh>
    <rPh sb="175" eb="176">
      <t>カイ</t>
    </rPh>
    <rPh sb="201" eb="202">
      <t>ダイ</t>
    </rPh>
    <rPh sb="204" eb="205">
      <t>カイ</t>
    </rPh>
    <phoneticPr fontId="1"/>
  </si>
  <si>
    <t>・データ表現　「Statistics」（第４回）
・データの図表表現　「Statistics」（第４回）
・不適切なグラフ表現　「Statistics」（第４回）</t>
    <rPh sb="77" eb="78">
      <t>ダイ</t>
    </rPh>
    <rPh sb="79" eb="80">
      <t>カイ</t>
    </rPh>
    <phoneticPr fontId="1"/>
  </si>
  <si>
    <t>・データ解析ツール　「Statistics」（第２回）</t>
    <rPh sb="23" eb="24">
      <t>ダイ</t>
    </rPh>
    <rPh sb="25" eb="26">
      <t>カイ</t>
    </rPh>
    <phoneticPr fontId="1"/>
  </si>
  <si>
    <t>科学技術社会の背景にある理論原理の基礎を理解し、互いに影響し合う方法、技術革新と社会への影響について考え、科学技術政策課題の異なるモデルを分析し、その利点と限界を比較する中で、データサイエンス・AIの知識を習得する。管理者が一般的に使用する統計手法の知識や傾向等を理解し、統計を提示するスキル、データを視覚的に提示するスキル、統計結果を解釈するスキルを習得する。</t>
    <rPh sb="0" eb="2">
      <t>カガク</t>
    </rPh>
    <rPh sb="2" eb="4">
      <t>ギジュツ</t>
    </rPh>
    <rPh sb="4" eb="6">
      <t>シャカイ</t>
    </rPh>
    <rPh sb="7" eb="9">
      <t>ハイケイ</t>
    </rPh>
    <rPh sb="12" eb="14">
      <t>リロン</t>
    </rPh>
    <rPh sb="14" eb="16">
      <t>ゲンリ</t>
    </rPh>
    <rPh sb="17" eb="19">
      <t>キソ</t>
    </rPh>
    <rPh sb="20" eb="22">
      <t>リカイ</t>
    </rPh>
    <rPh sb="24" eb="25">
      <t>タガ</t>
    </rPh>
    <rPh sb="27" eb="29">
      <t>エイキョウ</t>
    </rPh>
    <rPh sb="30" eb="31">
      <t>ア</t>
    </rPh>
    <rPh sb="32" eb="34">
      <t>ホウホウ</t>
    </rPh>
    <rPh sb="35" eb="37">
      <t>ギジュツ</t>
    </rPh>
    <rPh sb="37" eb="39">
      <t>カクシン</t>
    </rPh>
    <rPh sb="40" eb="42">
      <t>シャカイ</t>
    </rPh>
    <rPh sb="44" eb="46">
      <t>エイキョウ</t>
    </rPh>
    <rPh sb="50" eb="51">
      <t>カンガ</t>
    </rPh>
    <rPh sb="85" eb="86">
      <t>ナカ</t>
    </rPh>
    <rPh sb="100" eb="102">
      <t>チシキ</t>
    </rPh>
    <rPh sb="103" eb="105">
      <t>シュウトク</t>
    </rPh>
    <rPh sb="130" eb="131">
      <t>ナド</t>
    </rPh>
    <rPh sb="176" eb="178">
      <t>シュウトク</t>
    </rPh>
    <phoneticPr fontId="1"/>
  </si>
  <si>
    <t>Statistics</t>
    <phoneticPr fontId="1"/>
  </si>
  <si>
    <t>・AI等を活用した新しいビジネスモデル　「全学総合Ｄ」（第１２回、第１３回）、「全学総合Ｅ」（第３回）
・AI最新技術の活用例　「全学総合Ｄ」（第１２回）</t>
    <rPh sb="33" eb="34">
      <t>ダイ</t>
    </rPh>
    <rPh sb="36" eb="37">
      <t>カイ</t>
    </rPh>
    <phoneticPr fontId="1"/>
  </si>
  <si>
    <t>・データの種類　「全学総合Ｄ」（第４回）
・データの分布と代表値　「全学総合Ｄ」（第５回）
・代表値の性質の違い　「全学総合Ｄ」（第５回）
・データのばらつき　「全学総合Ｄ」（第５回）
・観測データに含まれる誤差の扱い　「全学総合Ｄ」（第５回）
・相関と因果　「全学総合Ｄ」（第６回、第７回、第８回）
・相関係数行列　「全学総合Ｄ」（第６回）
・母集団と標本抽出　「全学総合Ｄ」（第５回）
・クロス集計表、分割表　「全学総合Ｄ」（第４回）
・統計情報の正しい理解　「全学総合Ｄ」（第４回、第７回）</t>
    <rPh sb="214" eb="215">
      <t>ダイ</t>
    </rPh>
    <rPh sb="216" eb="217">
      <t>カイ</t>
    </rPh>
    <phoneticPr fontId="1"/>
  </si>
  <si>
    <t>・データ・AI活用領域の広がり　「Science, Technology and Society」（第１２回）
・知識発見、判断支援　「Science, Technology and Society」（第１２回）</t>
    <rPh sb="50" eb="51">
      <t>ダイ</t>
    </rPh>
    <rPh sb="53" eb="54">
      <t>カイ</t>
    </rPh>
    <phoneticPr fontId="1"/>
  </si>
  <si>
    <t>・AI等を活用した新しいビジネスモデル　「データサイエンス概論」（第１２回、第１３回）、「AI基礎」（第３回）
・AI最新技術の活用例　「データサイエンス概論」（第１２回）</t>
    <rPh sb="38" eb="39">
      <t>ダイ</t>
    </rPh>
    <rPh sb="41" eb="42">
      <t>カイ</t>
    </rPh>
    <phoneticPr fontId="1"/>
  </si>
  <si>
    <t>・データの種類　「データサイエンス概論」（第４回）
・データの分布と代表値　「データサイエンス概論」（第５回）
・代表値の性質の違い　「データサイエンス概論」（第５回）
・データのばらつき　「データサイエンス概論」（第５回）
・観測データに含まれる誤差の扱い　「データサイエンス概論」（第５回）
・相関と因果　「データサイエンス概論」（第６回、第７回、第８回）
・相関係数行列　「データサイエンス概論」（第６回）
・母集団と標本抽出　「データサイエンス概論」（第５回）
・クロス集計表、分割表　「データサイエンス概論」（第４回）
・統計情報の正しい理解　「データサイエンス概論」（第４回、第７回）</t>
    <rPh sb="259" eb="260">
      <t>ダイ</t>
    </rPh>
    <rPh sb="261" eb="262">
      <t>カイ</t>
    </rPh>
    <phoneticPr fontId="1"/>
  </si>
  <si>
    <t>「データサイエンス概論」において、生成AIの簡単な原理説明を行い、学生として生成AIを学業に活用する上での留意点（学修効果を高めるための活用方法）を解説している。</t>
    <rPh sb="9" eb="11">
      <t>ガイロン</t>
    </rPh>
    <phoneticPr fontId="1"/>
  </si>
  <si>
    <t>・EU一般データ保護規則（GDPR）　「全学総合Ｅ」（第１３回）
・データ倫理：データのねつ造、改ざん、盗用、プライバシー保護　「全学総合Ｅ」（第１３回）
・データバイアス　「全学総合Ｅ」（第１３回）
・AIサービスの責任論　「全学総合Ｅ」（第１３回）
・データ・AI活用における負の事例紹介　「全学総合Ｅ」（第１３回）</t>
    <phoneticPr fontId="1"/>
  </si>
  <si>
    <t>コンピュータ・サイエンス概論Ⅲ</t>
    <rPh sb="12" eb="14">
      <t>ガイロン</t>
    </rPh>
    <phoneticPr fontId="1"/>
  </si>
  <si>
    <t>コンピュータ・サイエンス基礎演習Ⅲ</t>
    <rPh sb="12" eb="14">
      <t>キソ</t>
    </rPh>
    <rPh sb="14" eb="16">
      <t>エンシュウ</t>
    </rPh>
    <phoneticPr fontId="1"/>
  </si>
  <si>
    <t>コンピュータ・サイエンス基礎演習Ⅲ</t>
    <phoneticPr fontId="1"/>
  </si>
  <si>
    <t>国際地域学部（募集停止）</t>
    <rPh sb="0" eb="2">
      <t>コクサイ</t>
    </rPh>
    <rPh sb="2" eb="4">
      <t>チイキ</t>
    </rPh>
    <rPh sb="4" eb="5">
      <t>ガク</t>
    </rPh>
    <rPh sb="5" eb="6">
      <t>ブ</t>
    </rPh>
    <rPh sb="7" eb="9">
      <t>ボシュウ</t>
    </rPh>
    <rPh sb="9" eb="11">
      <t>テイシ</t>
    </rPh>
    <phoneticPr fontId="1"/>
  </si>
  <si>
    <t>ライフデザイン学部（募集停止）</t>
    <rPh sb="7" eb="8">
      <t>ガク</t>
    </rPh>
    <rPh sb="8" eb="9">
      <t>ブ</t>
    </rPh>
    <rPh sb="10" eb="12">
      <t>ボシュウ</t>
    </rPh>
    <rPh sb="12" eb="14">
      <t>テイシ</t>
    </rPh>
    <phoneticPr fontId="1"/>
  </si>
  <si>
    <t>「Science, Technology and Society」において、AIが知識の生成に与える影響やChatGPTについて取り上げている。事例紹介や討論の時間を積極的に設けている。</t>
    <rPh sb="41" eb="43">
      <t>チシキ</t>
    </rPh>
    <rPh sb="44" eb="46">
      <t>セイセイ</t>
    </rPh>
    <rPh sb="47" eb="48">
      <t>アタ</t>
    </rPh>
    <rPh sb="50" eb="52">
      <t>エイキョウ</t>
    </rPh>
    <rPh sb="64" eb="65">
      <t>ト</t>
    </rPh>
    <rPh sb="66" eb="67">
      <t>ア</t>
    </rPh>
    <rPh sb="72" eb="74">
      <t>ジレイ</t>
    </rPh>
    <rPh sb="74" eb="76">
      <t>ショウカイ</t>
    </rPh>
    <rPh sb="77" eb="79">
      <t>トウロン</t>
    </rPh>
    <rPh sb="80" eb="82">
      <t>ジカン</t>
    </rPh>
    <rPh sb="83" eb="86">
      <t>セッキョクテキ</t>
    </rPh>
    <rPh sb="87" eb="88">
      <t>モウ</t>
    </rPh>
    <phoneticPr fontId="1"/>
  </si>
  <si>
    <t>令和5</t>
    <rPh sb="0" eb="2">
      <t>レイワ</t>
    </rPh>
    <phoneticPr fontId="1"/>
  </si>
  <si>
    <t>４つのプログラムについて受講対象に合わせて講義の目的・内容、学習到達目標を設定しており、授業や指導の方法についても学習効果を高めるため工夫を凝らしている。理解度を確認するための小テスト、考える力を養うための双方向型のディスカッションやグループ学習、プレゼンテーションを盛り込み、理解の定着を図っている。
プログラムあるいは科目単位の授業アンケートやプログラム全体の外部評価を実施し、それらを含む実施結果を全学カリキュラム委員会で確認し、学部長会議へも報告している。</t>
    <rPh sb="187" eb="189">
      <t>ジッシ</t>
    </rPh>
    <phoneticPr fontId="1"/>
  </si>
  <si>
    <t>「情報連携学概論Ⅰ」において、講義で扱う「教養としてのコンピュータサイエンス」の主要なトピックとして、「AIから生成AIへ」と題し、近年の生成AIの進展の技術的な背景と、そのインパクトを解説している。また情報連携学部の学生全員に対して、チャットツールであるSlack上で、GPT3.5およびGPT4と対話できる環境を提供し、講義での不明点の解消や課題に取り組む際の利用を推奨している。その際に、例えば「ChatGPTと対話した過程の提出を求める」「ChatGPTがハルシネーションを起こす質問を考える」といった課題を組み込み、生成AIを有効な活用方法を習得するための工夫を行っている。</t>
    <rPh sb="286" eb="287">
      <t>オコナ</t>
    </rPh>
    <phoneticPr fontId="1"/>
  </si>
  <si>
    <t>文学部（第1部、第2部）、経済学部（第1部、第2部）、経営学部（第1部、第2部）、法学部（第1部、第2部）、社会学部（第1部、第2部）、理工学部、国際学部国際地域学科、国際観光学部、生命科学部、食環境科学部、福祉社会デザイン学部、健康スポーツ科学部、ライフデザイン学部</t>
    <rPh sb="4" eb="5">
      <t>ダイ</t>
    </rPh>
    <rPh sb="6" eb="7">
      <t>ブ</t>
    </rPh>
    <rPh sb="8" eb="9">
      <t>ダイ</t>
    </rPh>
    <rPh sb="10" eb="11">
      <t>ブ</t>
    </rPh>
    <rPh sb="122" eb="123">
      <t>ガク</t>
    </rPh>
    <rPh sb="123" eb="124">
      <t>ブ</t>
    </rPh>
    <phoneticPr fontId="1"/>
  </si>
  <si>
    <t>・ビッグデータ、AI　「全学総合Ｄ」（第２回）、「全学総合Ｅ」（第２回）
・ロボット　「全学総合Ｅ」（第２回）
・IoT　「全学総合Ｄ」（第２回）、「全学総合Ｅ」（第３回）
・データ量の増加、計算機の処理性能の向上　「全学総合Ｄ」（第３回）
・第4次産業革命、Society 5.0　「全学総合Ｄ」（第２回）、「全学総合Ｅ」（第１２回）
・データ駆動型社会　「全学総合Ｄ」（第２回）
・人間の知的活動とAIの関係性　「全学総合Ｄ」（第１５回）、「全学総合Ｅ」（第２回）
・データを起点としたものの見方　「全学総合Ｄ」（第１５回）</t>
    <phoneticPr fontId="1"/>
  </si>
  <si>
    <t>・AI等を活用した新しいビジネスモデル　「Statistics」（第１４回）
・AI最新技術の活用例　「Science, Technology and Society」（第１４回）、「Statistics」（第１４回）</t>
    <rPh sb="85" eb="86">
      <t>ダイ</t>
    </rPh>
    <rPh sb="88" eb="89">
      <t>カイ</t>
    </rPh>
    <phoneticPr fontId="1"/>
  </si>
  <si>
    <t>・1次データ、2次データ、データのメタ化　「Statistics」（第５回）
・構造化データ、非構造化データ　「Statistics」（第５回）
・データのオープン化　「Science, Technology and Society」（第１２回）、「Statistics」（第５回）</t>
    <rPh sb="34" eb="35">
      <t>ダイ</t>
    </rPh>
    <rPh sb="36" eb="37">
      <t>カイ</t>
    </rPh>
    <phoneticPr fontId="1"/>
  </si>
  <si>
    <t>・ELSI　「Statistics」（第５回）
・個人情報保護　「Statistics」（第５回）
・データ倫理　「Science, Technology and Society」（第１３回）
・AI社会原則　「Statistics」（第５回）
・AIサービスの責任論　「Science, Technology and Society」（第１３回）
・データ・AI活用における負の事例紹介　「Science, Technology and Society」（第１３回）、「Statistics」（第５回）</t>
    <phoneticPr fontId="1"/>
  </si>
  <si>
    <t>・データサイエンスのサイクル　「Statistics」（第３回）
・データ・AI利活用事例紹介　「Science, Technology and Society」（第１３回）、「Statistics」（第３回）</t>
    <rPh sb="82" eb="83">
      <t>ダイ</t>
    </rPh>
    <rPh sb="85" eb="86">
      <t>カイ</t>
    </rPh>
    <phoneticPr fontId="1"/>
  </si>
  <si>
    <t>・データ可視化　「Statistics」（第６回）
・今のAIで出来ることと出来ないこと、AIとビッグデータ　「Science, Technology and Society」（第１５回）</t>
    <rPh sb="89" eb="90">
      <t>ダイ</t>
    </rPh>
    <rPh sb="92" eb="93">
      <t>カイ</t>
    </rPh>
    <phoneticPr fontId="1"/>
  </si>
  <si>
    <t>・データ解析　「データサイエンス概論」（第１１回）
・データ可視化　「データサイエンス概論」（第４回）
・非構造化データ処理　「データサイエンス概論」（第１１回）
・特化型AIと汎用AI、今のAIで出来ることと出来ないこと、AIとビッグデータ　「データサイエンス概論」（第１０回）</t>
  </si>
  <si>
    <t>・データサイエンスのサイクル　「データサイエンス概論」（第２回）
・サービス業におけるデータ・AI利活用事例紹介　「データサイエンス概論」（第１３回）</t>
  </si>
  <si>
    <t>・ビッグデータ、AI　「データサイエンス概論」（第２回）、「AI基礎」（第２回）
・ロボット　「AI基礎」（第２回）
・IoT　「データサイエンス概論」（第２回）、「AI基礎」（第３回）
・データ量の増加、計算機の処理性能の向上　「データサイエンス概論」（第３回）
・第4次産業革命、Society 5.0　「データサイエンス概論」（第２回）、「AI基礎」（第１２回）
・データ駆動型社会　「データサイエンス概論」（第２回）
・人間の知的活動とAIの関係性　「データサイエンス概論」（第１５回）、「AI基礎」（第２回）
・データを起点としたものの見方　「データサイエンス概論」（第１５回）</t>
  </si>
  <si>
    <t>・調査データ、実験データ　「データサイエンス概論」（第５回）
・人の行動ログデータ、機械の稼働ログデータ　「AI基礎」（第３回）
・1次データ、2次データ　「データサイエンス概論」（第９回）
・構造化データ、非構造化データ　「AI基礎」（第３回）
・データ作成　「データサイエンス概論」（第１０回）
・データのオープン化　「データサイエンス概論」（第９回）、「AI基礎」（第３回）</t>
  </si>
  <si>
    <t>・データ・AI活用領域の広がり　「データサイエンス概論」（第１２回）、「AI基礎」（第１２回）
・研究開発、調達、製造、物流、販売、マーケティング、サービス　「データサイエンス概論」（第１２回）
・仮説検証、知識発見、原因究明、判断支援　「データサイエンス概論」（第８回）</t>
  </si>
  <si>
    <t>・EU一般データ保護規則（GDPR）　「AI基礎」（第１３回）
・データ倫理：データのねつ造、改ざん、盗用、プライバシー保護　「AI基礎」（第１３回）
・データバイアス　「AI基礎」（第１３回）
・AIサービスの責任論　「AI基礎」（第１３回）
・データ・AI活用における負の事例紹介　「AI基礎」（第１３回）</t>
  </si>
  <si>
    <t>・情報セキュリティ　「AI基礎」（第１３回）
・悪意ある情報搾取　「AI基礎」（第１３回）</t>
  </si>
  <si>
    <t>・データ表現　「コンピュータ・サイエンス概論Ⅲ」（第３回、第６回）、「コンピュータ・サイエンス基礎演習Ⅲ」（第３回、第６回）</t>
    <rPh sb="25" eb="26">
      <t>ダイ</t>
    </rPh>
    <rPh sb="54" eb="55">
      <t>ダイ</t>
    </rPh>
    <rPh sb="58" eb="59">
      <t>ダイ</t>
    </rPh>
    <phoneticPr fontId="1"/>
  </si>
  <si>
    <t>1年次の「情報連携学概論Ⅰ、Ⅱ」、「情報連携基礎実習Ⅰ、Ⅱ」で数理・データサイエンス・AI分野と社会との関わりを、データサイエンス分野の技術動向、生成AI出現のインパクト、オープンデータ等の行政施策の動向、具体的な応用分野など、技術面にとどまらず多面的に理解し、データ利活用については、データ作成やオープンデータ活用などのPBL型のグループワークを取り入れ、実践的な理解する。「情報連携学概論Ⅱ」の講義内で情報セキュリティを専門とする専任教員および個人情報保護を専門とする専任教員の講義を配置し、データサイエンスやAIにおける留意事項を、セキュリティ・知的財産権・プライバシーの3点から理解する。2年次の「コンピュータ・サイエンス概論Ⅲ」、「コンピュータ・サイエンス基礎演習Ⅲ」でPythonを用いて実際にデータ分析を行う基礎を身に付け、データサイエンス分野で広く使われるJupyter環境上でデータを読み込み、加工し、基本的な可視化や分析を行うスキルを習得する。</t>
    <rPh sb="366" eb="367">
      <t>ツ</t>
    </rPh>
    <phoneticPr fontId="1"/>
  </si>
  <si>
    <t>令和5年度入学生は、「情報連携学部（1年次配当4科目）」で305名中301名（98.7%）が履修し269名～299名（89.4%～99.3%）が単位を修得、「総合情報学部（2科目）」で271名中68名・99名（25.1%・36.5%）が履修し65名・88名（95.6%・88.9%）が単位を修得、「その他学部（2科目）※2年次配当の国際学部グローバル・イノベーション学科を除く」で6951名中94名・215名（1.4%・3.1%）が履修し80名・168名（85.1%・78.1%）が単位を修得した。これらを教務部全学学務推進課が教務システムで確認し、全学カリキュラム委員会で点検・評価を行っている。</t>
    <rPh sb="0" eb="2">
      <t>レイワ</t>
    </rPh>
    <rPh sb="5" eb="8">
      <t>ニュウガクセイ</t>
    </rPh>
    <rPh sb="19" eb="20">
      <t>ネン</t>
    </rPh>
    <rPh sb="20" eb="21">
      <t>ツギ</t>
    </rPh>
    <rPh sb="21" eb="23">
      <t>ハイトウ</t>
    </rPh>
    <rPh sb="24" eb="26">
      <t>カモク</t>
    </rPh>
    <rPh sb="87" eb="89">
      <t>カモク</t>
    </rPh>
    <rPh sb="156" eb="158">
      <t>カモク</t>
    </rPh>
    <rPh sb="161" eb="162">
      <t>ネン</t>
    </rPh>
    <rPh sb="162" eb="163">
      <t>ツギ</t>
    </rPh>
    <rPh sb="163" eb="165">
      <t>ハイトウ</t>
    </rPh>
    <rPh sb="166" eb="168">
      <t>コクサイ</t>
    </rPh>
    <rPh sb="168" eb="169">
      <t>ガク</t>
    </rPh>
    <rPh sb="169" eb="170">
      <t>ブ</t>
    </rPh>
    <rPh sb="183" eb="185">
      <t>ガッカ</t>
    </rPh>
    <rPh sb="186" eb="187">
      <t>ノゾ</t>
    </rPh>
    <phoneticPr fontId="1"/>
  </si>
  <si>
    <t>プログラムあるいは科目に適した方法で授業アンケートを実施し、学修内容の理解度を確認するとともに分析に役立てている（令和5年度入学生に限定せず受講者全体へ実施）。
理解度に関するアンケート結果は、プログラム、科目、学部（キャンパス）によって異なる傾向であったが、これはプログラムや科目によって授業の内容や方法、位置づけや難易度が異なることが影響していると考えられる。授業アンケートの結果を授業担当教員へフィードバックし授業改善に活用するとともに、全学カリキュラム委員会で確認しプログラムや科目の在り方について客観的に点検・評価することで、更なる向上に役立てる。</t>
    <rPh sb="139" eb="141">
      <t>カモク</t>
    </rPh>
    <phoneticPr fontId="1"/>
  </si>
  <si>
    <t>プログラムあるいは科目に適した方法で授業アンケートを実施し、推薦度を確認するとともに分析に役立てている（令和5年度入学生に限定せず受講者全体へ実施）。
推薦度に関するアンケート結果は、理解度に関するアンケート結果と同じ傾向であった。低めの傾向が出ていた学部（キャンパス）については理解度を向上させることによって推薦度が高まるよう改善していき、この取り組みの結果を活かした広報も積極的に展開していく。</t>
    <rPh sb="30" eb="32">
      <t>スイセン</t>
    </rPh>
    <rPh sb="32" eb="33">
      <t>ド</t>
    </rPh>
    <rPh sb="76" eb="78">
      <t>スイセン</t>
    </rPh>
    <rPh sb="78" eb="79">
      <t>ド</t>
    </rPh>
    <rPh sb="80" eb="81">
      <t>カン</t>
    </rPh>
    <rPh sb="88" eb="90">
      <t>ケッカ</t>
    </rPh>
    <rPh sb="173" eb="174">
      <t>ト</t>
    </rPh>
    <rPh sb="175" eb="176">
      <t>ク</t>
    </rPh>
    <phoneticPr fontId="1"/>
  </si>
  <si>
    <t>令和5年度入学生全員に対して、年度初めに本学公式アプリで本プログラムの周知を行った。また学内教職員に対しては、全学カリキュラム委員会を通じてプログラム醸成の協力を仰ぎ、各学部における推奨で履修者数の向上を目指してきた。まだ十分にプログラムが浸透していないため、今後はその他の媒体や方法を活用した働きかけも行っていく。また、真の意味で学びが活きるよう学習成果を実感できる仕組みやプログラム修得における就職活動等への利用を検討していきたい。また、将来的には全学部・学科で必修とすることで全体の底上げを図り、数理・データサイエンス・AI教育を強化していきたい。</t>
  </si>
  <si>
    <t>令和5年度からプログラムを開始しており、プログラムを修得した卒業生がいないため、プログラム修了者の進路、活躍状況、企業等の評価を得るところまでは至っていないが、今後は学長室や就職・キャリア支援部と連携し、卒業生を対象に実施している卒業生アンケートや就職・進路状況調査を活用した分析を行いたいと考えている。その際は数理・データサイエンス・AI分野に直結する企業のみならず、当該分野の知識を活かし多種多様な進路で活躍する人材を含めて広く分析し、その結果を活用して在校生の学びを後押ししていきたい。</t>
    <rPh sb="83" eb="85">
      <t>ガクチョウ</t>
    </rPh>
    <rPh sb="85" eb="86">
      <t>シツ</t>
    </rPh>
    <rPh sb="115" eb="118">
      <t>ソツギョウセイ</t>
    </rPh>
    <rPh sb="211" eb="212">
      <t>フク</t>
    </rPh>
    <phoneticPr fontId="1"/>
  </si>
  <si>
    <t>各学部・学科のカリキュラムに即したかたちで４つのプログラムを編成している。「情報連携学部」は必修科目のため卒業時点で全ての学生が本プログラムの修了者となる。「総合情報学部」は選択科目で配当学年を特定しているが、上位学年でも履修が可能でありこれまでも履修実績があることから次年度以降の履修者が見込まれる。「国際学部グローバル・イノベーション学科」、「その他の学部」は選択科目となるが、配当学年が2年次以降あるいは複数年次にまたがっているため次年度以降の履修者が見込まれる。
以前より開講されている科目であるためにプログラムとして実施することの意識改革（認知度向上）を行うことが課題となっていたが、大学ホームページによるプログラムの周知や本学公式アプリでのお知らせ配信等で学生へ直接働きかけを行うとともに、各プログラムや対象に適したアプローチを行い、より多くの学生の興味・関心を促していくことで、令和5年度実績から履修者数・履修率が年々増加するよう目指していく。将来的には全学部・学科において必修にすることで全体の底上げを図り、数理・データサイエンス・AI教育を強化していくことを検討している。</t>
    <rPh sb="38" eb="40">
      <t>ジョウホウ</t>
    </rPh>
    <rPh sb="40" eb="42">
      <t>レンケイ</t>
    </rPh>
    <rPh sb="42" eb="43">
      <t>ガク</t>
    </rPh>
    <rPh sb="43" eb="44">
      <t>ブ</t>
    </rPh>
    <rPh sb="143" eb="144">
      <t>シャ</t>
    </rPh>
    <rPh sb="197" eb="198">
      <t>ネン</t>
    </rPh>
    <rPh sb="198" eb="199">
      <t>ツギ</t>
    </rPh>
    <rPh sb="199" eb="201">
      <t>イコウ</t>
    </rPh>
    <rPh sb="219" eb="222">
      <t>ケイゾクテキ</t>
    </rPh>
    <rPh sb="227" eb="228">
      <t>シャ</t>
    </rPh>
    <rPh sb="314" eb="316">
      <t>シュウチ</t>
    </rPh>
    <rPh sb="351" eb="352">
      <t>カク</t>
    </rPh>
    <phoneticPr fontId="1"/>
  </si>
  <si>
    <t>令和5年度に開設した教育プログラムの周知や履修希望学生に対する情報提供を強化するために、プログラム対象者全員に対して年度初めに本学公式アプリ（スマートフォンアプリの他、PC・スマートフォン内のwebブラウザから利用可能）で情報を配信している。公式アプリでの発信のほか、入学後のガイダンスでの周知、SNSを活用した情報提供、プログラム専用の特設サイトでの数理・データサイエンス・AI教育に関する情報発信を行い、学生の認知度や興味・関心を高めていく。</t>
  </si>
  <si>
    <t>全学カリキュラム委員会は、東洋大学全学カリキュラム委員会規程第2条により、次の委員をもって構成しており、令和5年度は52名の委員で委員会を開催した。
1. 学長が指名する副学長1名、教務部長（1名）：東海林克彦（教育担当副学長・教務部長）
2. 学部長（14名）：山口しのぶ（文学部教授）、郝仁平（経済学部教授）、長島広太（経営学部教授）、多田英明（法学部教授）、桐生正幸（社会学部教授）、松元明弘（理工学部教授）、荒巻俊也（国際学部教授）、中挾知延子（国際観光学部教授）、鳴海一成（生命科学部教授）、加藤千恵子（総合情報学部教授）、福森文康（食環境科学部教授）、坂村健（情報連携学部教授）、水村容子（福祉社会デザイン学部教授）、齊藤恭平（健康スポーツ科学部教授）
3. 各学部から選出された専任教員各１名（14名）：鈴木道也（文学部教授）、加賀見一彰（経済学部教授）、今泉淳（経営学部教授）、上田知亮（法学部准教授）、村上一基（社会学部准教授）、村野昭人（理工学部教授）、岡村敏之（国際学部教授）、古屋秀樹（国際観光学部教授）、道久則之（生命科学部教授）、藤本貴之（総合情報学部教授）、後藤顕一（食環境科学部教授）、別所正博（情報連携学部教授）、嶺也守寛（福祉社会デザイン学部教授）、内山有子（健康スポーツ科学部教授）
4. 高等教育推進支援室長（1名）：井上敏生
5. 教務担当課長（18名）：鎌田陽二（教職支援課）、今井学（全学学務推進課）、矢口信行・愛甲泰之（文学部教務課）、植木さえ子（経済学部教務課）、市橋篤（経営学部教務課）、田中明紀（法学部教務課）、吉田邦子（社会学部教務課）、鈴木裕一（川越事務部教学課（理工学部））、和久津健司（国際学部教務課）、長沼洋一（国際観光学部教務課）、及川知子（板倉事務部板倉事務課（生命科学部））、粕谷俊介（川越事務部教学課（総合情報学部））、田中秀樹（板倉事務部板倉事務課（食環境科学部））、安田祥子・渥美元康（赤羽台事務部赤羽台事務課（情報連携学部））、若林大輔（赤羽台事務部赤羽台事務課（福祉社会デザイン学部））、佐藤真樹（赤羽台事務部赤羽台事務課（健康スポーツ科学部））
6. 学長が指名する者　若干名（4名）：高橋一男（国際教育センター ）、牛窪隆太（国際教育センター ）、根岸哲也（国際部長）、玉田誠（国際課長）</t>
    <rPh sb="52" eb="54">
      <t>レイワ</t>
    </rPh>
    <rPh sb="98" eb="99">
      <t>メイ</t>
    </rPh>
    <rPh sb="107" eb="109">
      <t>キョウイク</t>
    </rPh>
    <rPh sb="109" eb="111">
      <t>タントウ</t>
    </rPh>
    <rPh sb="111" eb="114">
      <t>フクガクチョウ</t>
    </rPh>
    <rPh sb="115" eb="117">
      <t>キョウム</t>
    </rPh>
    <rPh sb="117" eb="119">
      <t>ブチョウ</t>
    </rPh>
    <rPh sb="130" eb="131">
      <t>メイ</t>
    </rPh>
    <rPh sb="357" eb="358">
      <t>メイ</t>
    </rPh>
    <rPh sb="406" eb="407">
      <t>ジュン</t>
    </rPh>
    <rPh sb="577" eb="578">
      <t>メイ</t>
    </rPh>
    <rPh sb="597" eb="598">
      <t>メイ</t>
    </rPh>
    <rPh sb="932" eb="933">
      <t>メイ</t>
    </rPh>
    <rPh sb="978" eb="979">
      <t>タマ</t>
    </rPh>
    <phoneticPr fontId="1"/>
  </si>
  <si>
    <t>プログラムを構成する科目である「情報連携学概論Ⅰ」（2単位）、「情報連携基礎実習Ⅰ」（1単位）、「情報連携学概論Ⅱ」（2単位）、「情報連携基礎実習Ⅱ」（1単位）、「コンピュータ・サイエンス概論Ⅲ」（2単位）、「コンピュータ・サイエンス基礎演習Ⅲ」（2単位）の6科目10単位を修得するこ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</si>
</sst>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quot;名&quot;"/>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8.5"/>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3" fillId="0" borderId="0" xfId="0" applyFont="1" applyAlignment="1">
      <alignment horizontal="right" vertical="center"/>
    </xf>
    <xf numFmtId="0" fontId="13"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13" fillId="0" borderId="1" xfId="0" applyFont="1" applyBorder="1" applyAlignment="1">
      <alignment horizontal="right" vertical="center"/>
    </xf>
    <xf numFmtId="0" fontId="2" fillId="0" borderId="0" xfId="0" applyFont="1">
      <alignment vertical="center"/>
    </xf>
    <xf numFmtId="0" fontId="2" fillId="0" borderId="14" xfId="0" applyFont="1" applyBorder="1" applyAlignment="1">
      <alignment horizontal="left" vertical="center" shrinkToFit="1"/>
    </xf>
    <xf numFmtId="38" fontId="2" fillId="0" borderId="45" xfId="2" applyFont="1" applyFill="1" applyBorder="1" applyAlignment="1">
      <alignment vertical="center" shrinkToFit="1"/>
    </xf>
    <xf numFmtId="9" fontId="2" fillId="0" borderId="14" xfId="0" applyNumberFormat="1" applyFont="1" applyBorder="1" applyAlignment="1">
      <alignment vertical="center" shrinkToFit="1"/>
    </xf>
    <xf numFmtId="0" fontId="13" fillId="0" borderId="1" xfId="0" applyFont="1" applyBorder="1" applyAlignment="1">
      <alignment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177" fontId="2" fillId="0" borderId="0" xfId="0" applyNumberFormat="1" applyFont="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3" fillId="0" borderId="1" xfId="0" applyFont="1" applyFill="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49" fontId="3" fillId="0" borderId="32" xfId="0" applyNumberFormat="1" applyFont="1" applyBorder="1" applyAlignment="1">
      <alignment horizontal="left" vertical="center"/>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49" fontId="3" fillId="0" borderId="29"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6" fillId="0" borderId="7" xfId="0" applyFont="1" applyBorder="1" applyAlignment="1">
      <alignment vertical="top" wrapText="1" shrinkToFit="1"/>
    </xf>
    <xf numFmtId="0" fontId="16" fillId="0" borderId="8" xfId="0" applyFont="1" applyBorder="1" applyAlignment="1">
      <alignment vertical="top" wrapText="1" shrinkToFit="1"/>
    </xf>
    <xf numFmtId="0" fontId="16" fillId="0" borderId="9" xfId="0" applyFont="1" applyBorder="1" applyAlignment="1">
      <alignment vertical="top" shrinkToFit="1"/>
    </xf>
    <xf numFmtId="0" fontId="16" fillId="0" borderId="5" xfId="0" applyFont="1" applyBorder="1" applyAlignment="1">
      <alignment vertical="top" shrinkToFit="1"/>
    </xf>
    <xf numFmtId="0" fontId="16" fillId="0" borderId="0" xfId="0" applyFont="1" applyAlignment="1">
      <alignment vertical="top" shrinkToFit="1"/>
    </xf>
    <xf numFmtId="0" fontId="16" fillId="0" borderId="10" xfId="0" applyFont="1" applyBorder="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8">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G114"/>
  <sheetViews>
    <sheetView showZeros="0" tabSelected="1" view="pageBreakPreview" zoomScaleNormal="100" zoomScaleSheetLayoutView="100" workbookViewId="0">
      <selection activeCell="AA9" sqref="AA9"/>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35" t="s">
        <v>137</v>
      </c>
      <c r="U1" s="135"/>
      <c r="V1" s="2" t="s">
        <v>98</v>
      </c>
    </row>
    <row r="2" spans="1:24" ht="18.75" customHeight="1" x14ac:dyDescent="0.2">
      <c r="A2" s="75"/>
      <c r="B2" s="76" t="s">
        <v>97</v>
      </c>
      <c r="C2" s="136" t="s">
        <v>135</v>
      </c>
      <c r="D2" s="137"/>
      <c r="E2" s="137"/>
      <c r="F2" s="137"/>
      <c r="G2" s="137"/>
      <c r="H2" s="137"/>
      <c r="I2" s="137"/>
      <c r="J2" s="138"/>
      <c r="K2" s="77"/>
      <c r="L2" s="78"/>
      <c r="M2" s="78"/>
      <c r="N2" s="78"/>
      <c r="O2" s="78"/>
      <c r="P2" s="78"/>
      <c r="Q2" s="78"/>
      <c r="R2" s="78"/>
      <c r="S2" s="78"/>
      <c r="T2" s="78"/>
      <c r="U2" s="78"/>
    </row>
    <row r="3" spans="1:24" ht="18.75" customHeight="1" x14ac:dyDescent="0.2">
      <c r="A3" s="75"/>
      <c r="B3" s="76" t="s">
        <v>92</v>
      </c>
      <c r="C3" s="139" t="s">
        <v>136</v>
      </c>
      <c r="D3" s="140"/>
      <c r="E3" s="140"/>
      <c r="F3" s="140"/>
      <c r="G3" s="140"/>
      <c r="H3" s="140"/>
      <c r="I3" s="140"/>
      <c r="J3" s="141"/>
      <c r="K3" s="77"/>
      <c r="L3" s="78"/>
      <c r="M3" s="78"/>
      <c r="N3" s="78"/>
      <c r="O3" s="78"/>
      <c r="P3" s="78"/>
      <c r="Q3" s="78"/>
      <c r="R3" s="78"/>
      <c r="S3" s="78"/>
      <c r="T3" s="78"/>
      <c r="U3" s="78"/>
    </row>
    <row r="4" spans="1:24" ht="15" customHeight="1" x14ac:dyDescent="0.2">
      <c r="A4" s="75"/>
      <c r="B4" s="75"/>
      <c r="C4" s="75"/>
      <c r="D4" s="75"/>
      <c r="E4" s="75"/>
      <c r="F4" s="75"/>
      <c r="G4" s="75"/>
      <c r="H4" s="75"/>
      <c r="I4" s="75"/>
      <c r="J4" s="75"/>
      <c r="K4" s="75"/>
      <c r="L4" s="77"/>
      <c r="M4" s="79"/>
      <c r="N4" s="79"/>
      <c r="O4" s="79"/>
      <c r="P4" s="79"/>
      <c r="Q4" s="79"/>
      <c r="R4" s="79"/>
      <c r="S4" s="79"/>
      <c r="T4" s="79"/>
      <c r="U4" s="79"/>
    </row>
    <row r="5" spans="1:24" ht="18" customHeight="1" x14ac:dyDescent="0.2">
      <c r="A5" s="142" t="s">
        <v>37</v>
      </c>
      <c r="B5" s="142"/>
      <c r="C5" s="142"/>
      <c r="D5" s="142"/>
      <c r="E5" s="142"/>
      <c r="F5" s="142"/>
      <c r="G5" s="142"/>
      <c r="H5" s="142"/>
      <c r="I5" s="142"/>
      <c r="J5" s="142"/>
      <c r="K5" s="142"/>
      <c r="L5" s="142"/>
      <c r="M5" s="142"/>
      <c r="N5" s="142"/>
      <c r="O5" s="142"/>
      <c r="P5" s="142"/>
      <c r="Q5" s="142"/>
      <c r="R5" s="142"/>
      <c r="S5" s="142"/>
      <c r="T5" s="142"/>
      <c r="U5" s="142"/>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130</v>
      </c>
      <c r="B7" s="80"/>
      <c r="C7" s="80"/>
      <c r="D7" s="80"/>
      <c r="E7" s="80"/>
      <c r="F7" s="81"/>
      <c r="G7" s="81"/>
      <c r="H7" s="81"/>
      <c r="I7" s="81"/>
      <c r="J7" s="81"/>
      <c r="K7" s="81"/>
      <c r="L7" s="113" t="s">
        <v>128</v>
      </c>
      <c r="M7" s="114"/>
      <c r="N7" s="114"/>
      <c r="O7" s="114"/>
      <c r="P7" s="114"/>
      <c r="Q7" s="114"/>
      <c r="R7" s="114"/>
      <c r="S7" s="114"/>
      <c r="T7" s="114"/>
      <c r="U7" s="115"/>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131</v>
      </c>
      <c r="B9" s="75"/>
      <c r="C9" s="80"/>
      <c r="D9" s="80"/>
      <c r="E9" s="75"/>
      <c r="F9" s="75"/>
      <c r="G9" s="75"/>
      <c r="H9" s="75"/>
      <c r="I9" s="75"/>
      <c r="J9" s="75"/>
      <c r="K9" s="77"/>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19" t="s">
        <v>243</v>
      </c>
      <c r="C11" s="120"/>
      <c r="D11" s="120"/>
      <c r="E11" s="120"/>
      <c r="F11" s="120"/>
      <c r="G11" s="120"/>
      <c r="H11" s="120"/>
      <c r="I11" s="120"/>
      <c r="J11" s="120"/>
      <c r="K11" s="120"/>
      <c r="L11" s="120"/>
      <c r="M11" s="120"/>
      <c r="N11" s="120"/>
      <c r="O11" s="120"/>
      <c r="P11" s="120"/>
      <c r="Q11" s="120"/>
      <c r="R11" s="120"/>
      <c r="S11" s="120"/>
      <c r="T11" s="120"/>
      <c r="U11" s="121"/>
    </row>
    <row r="12" spans="1:24" ht="18" customHeight="1" x14ac:dyDescent="0.2">
      <c r="A12" s="75"/>
      <c r="B12" s="122"/>
      <c r="C12" s="123"/>
      <c r="D12" s="123"/>
      <c r="E12" s="123"/>
      <c r="F12" s="123"/>
      <c r="G12" s="123"/>
      <c r="H12" s="123"/>
      <c r="I12" s="123"/>
      <c r="J12" s="123"/>
      <c r="K12" s="123"/>
      <c r="L12" s="123"/>
      <c r="M12" s="123"/>
      <c r="N12" s="123"/>
      <c r="O12" s="123"/>
      <c r="P12" s="123"/>
      <c r="Q12" s="123"/>
      <c r="R12" s="123"/>
      <c r="S12" s="123"/>
      <c r="T12" s="123"/>
      <c r="U12" s="124"/>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99</v>
      </c>
      <c r="B14" s="80"/>
      <c r="C14" s="80"/>
      <c r="D14" s="80"/>
      <c r="E14" s="77"/>
      <c r="F14" s="77"/>
      <c r="G14" s="77"/>
      <c r="H14" s="77"/>
      <c r="I14" s="77"/>
      <c r="J14" s="77"/>
      <c r="K14" s="77"/>
      <c r="L14" s="83"/>
      <c r="M14" s="83"/>
      <c r="N14" s="83"/>
      <c r="O14" s="83"/>
      <c r="P14" s="83"/>
      <c r="Q14" s="83"/>
      <c r="R14" s="83"/>
      <c r="S14" s="83"/>
      <c r="T14" s="83"/>
      <c r="U14" s="83"/>
    </row>
    <row r="15" spans="1:24" ht="18" customHeight="1" x14ac:dyDescent="0.2">
      <c r="A15" s="75"/>
      <c r="B15" s="143" t="s">
        <v>138</v>
      </c>
      <c r="C15" s="144"/>
      <c r="D15" s="144"/>
      <c r="E15" s="144"/>
      <c r="F15" s="144"/>
      <c r="G15" s="144"/>
      <c r="H15" s="144"/>
      <c r="I15" s="144"/>
      <c r="J15" s="144"/>
      <c r="K15" s="144"/>
      <c r="L15" s="144"/>
      <c r="M15" s="144"/>
      <c r="N15" s="144"/>
      <c r="O15" s="144"/>
      <c r="P15" s="144"/>
      <c r="Q15" s="144"/>
      <c r="R15" s="144"/>
      <c r="S15" s="144"/>
      <c r="T15" s="144"/>
      <c r="U15" s="145"/>
      <c r="X15" s="1" t="s">
        <v>93</v>
      </c>
    </row>
    <row r="16" spans="1:24" ht="18" customHeight="1" x14ac:dyDescent="0.2">
      <c r="A16" s="75"/>
      <c r="B16" s="146"/>
      <c r="C16" s="147"/>
      <c r="D16" s="147"/>
      <c r="E16" s="147"/>
      <c r="F16" s="147"/>
      <c r="G16" s="147"/>
      <c r="H16" s="147"/>
      <c r="I16" s="147"/>
      <c r="J16" s="147"/>
      <c r="K16" s="147"/>
      <c r="L16" s="147"/>
      <c r="M16" s="147"/>
      <c r="N16" s="147"/>
      <c r="O16" s="147"/>
      <c r="P16" s="147"/>
      <c r="Q16" s="147"/>
      <c r="R16" s="147"/>
      <c r="S16" s="147"/>
      <c r="T16" s="147"/>
      <c r="U16" s="148"/>
      <c r="X16" s="1" t="s">
        <v>113</v>
      </c>
    </row>
    <row r="17" spans="1:24" ht="18" customHeight="1" x14ac:dyDescent="0.2">
      <c r="A17" s="75"/>
      <c r="B17" s="146"/>
      <c r="C17" s="147"/>
      <c r="D17" s="147"/>
      <c r="E17" s="147"/>
      <c r="F17" s="147"/>
      <c r="G17" s="147"/>
      <c r="H17" s="147"/>
      <c r="I17" s="147"/>
      <c r="J17" s="147"/>
      <c r="K17" s="147"/>
      <c r="L17" s="147"/>
      <c r="M17" s="147"/>
      <c r="N17" s="147"/>
      <c r="O17" s="147"/>
      <c r="P17" s="147"/>
      <c r="Q17" s="147"/>
      <c r="R17" s="147"/>
      <c r="S17" s="147"/>
      <c r="T17" s="147"/>
      <c r="U17" s="148"/>
      <c r="X17" s="1" t="s">
        <v>114</v>
      </c>
    </row>
    <row r="18" spans="1:24" ht="18" customHeight="1" x14ac:dyDescent="0.2">
      <c r="A18" s="75"/>
      <c r="B18" s="146"/>
      <c r="C18" s="147"/>
      <c r="D18" s="147"/>
      <c r="E18" s="147"/>
      <c r="F18" s="147"/>
      <c r="G18" s="147"/>
      <c r="H18" s="147"/>
      <c r="I18" s="147"/>
      <c r="J18" s="147"/>
      <c r="K18" s="147"/>
      <c r="L18" s="147"/>
      <c r="M18" s="147"/>
      <c r="N18" s="147"/>
      <c r="O18" s="147"/>
      <c r="P18" s="147"/>
      <c r="Q18" s="147"/>
      <c r="R18" s="147"/>
      <c r="S18" s="147"/>
      <c r="T18" s="147"/>
      <c r="U18" s="148"/>
      <c r="X18" s="1" t="s">
        <v>115</v>
      </c>
    </row>
    <row r="19" spans="1:24" ht="18" customHeight="1" x14ac:dyDescent="0.2">
      <c r="A19" s="75"/>
      <c r="B19" s="146"/>
      <c r="C19" s="147"/>
      <c r="D19" s="147"/>
      <c r="E19" s="147"/>
      <c r="F19" s="147"/>
      <c r="G19" s="147"/>
      <c r="H19" s="147"/>
      <c r="I19" s="147"/>
      <c r="J19" s="147"/>
      <c r="K19" s="147"/>
      <c r="L19" s="147"/>
      <c r="M19" s="147"/>
      <c r="N19" s="147"/>
      <c r="O19" s="147"/>
      <c r="P19" s="147"/>
      <c r="Q19" s="147"/>
      <c r="R19" s="147"/>
      <c r="S19" s="147"/>
      <c r="T19" s="147"/>
      <c r="U19" s="148"/>
    </row>
    <row r="20" spans="1:24" ht="18" customHeight="1" x14ac:dyDescent="0.2">
      <c r="A20" s="75"/>
      <c r="B20" s="149"/>
      <c r="C20" s="150"/>
      <c r="D20" s="150"/>
      <c r="E20" s="150"/>
      <c r="F20" s="150"/>
      <c r="G20" s="150"/>
      <c r="H20" s="150"/>
      <c r="I20" s="150"/>
      <c r="J20" s="150"/>
      <c r="K20" s="150"/>
      <c r="L20" s="150"/>
      <c r="M20" s="150"/>
      <c r="N20" s="150"/>
      <c r="O20" s="150"/>
      <c r="P20" s="150"/>
      <c r="Q20" s="150"/>
      <c r="R20" s="150"/>
      <c r="S20" s="150"/>
      <c r="T20" s="150"/>
      <c r="U20" s="151"/>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132</v>
      </c>
      <c r="C22" s="75"/>
      <c r="D22" s="75"/>
      <c r="E22" s="84">
        <v>2</v>
      </c>
      <c r="F22" s="75" t="s">
        <v>111</v>
      </c>
      <c r="G22" s="75"/>
      <c r="H22" s="91">
        <v>4</v>
      </c>
      <c r="I22" s="80" t="s">
        <v>112</v>
      </c>
      <c r="J22" s="80"/>
      <c r="K22" s="77"/>
      <c r="L22" s="75"/>
      <c r="M22" s="77" t="s">
        <v>108</v>
      </c>
      <c r="N22" s="110" t="s">
        <v>115</v>
      </c>
      <c r="O22" s="111"/>
      <c r="P22" s="111"/>
      <c r="Q22" s="111"/>
      <c r="R22" s="111"/>
      <c r="S22" s="111"/>
      <c r="T22" s="111"/>
      <c r="U22" s="112"/>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52" t="s">
        <v>100</v>
      </c>
      <c r="B24" s="152"/>
      <c r="C24" s="152"/>
      <c r="D24" s="152"/>
      <c r="E24" s="152"/>
      <c r="F24" s="152"/>
      <c r="G24" s="152"/>
      <c r="H24" s="152"/>
      <c r="I24" s="152"/>
      <c r="J24" s="152"/>
      <c r="K24" s="152"/>
      <c r="L24" s="152"/>
      <c r="M24" s="152"/>
      <c r="N24" s="152"/>
      <c r="O24" s="152"/>
      <c r="P24" s="152"/>
      <c r="Q24" s="152"/>
      <c r="R24" s="152"/>
      <c r="S24" s="152"/>
      <c r="T24" s="152"/>
      <c r="U24" s="152"/>
    </row>
    <row r="25" spans="1:24" ht="18" customHeight="1" x14ac:dyDescent="0.2">
      <c r="A25" s="152"/>
      <c r="B25" s="152"/>
      <c r="C25" s="152"/>
      <c r="D25" s="152"/>
      <c r="E25" s="152"/>
      <c r="F25" s="152"/>
      <c r="G25" s="152"/>
      <c r="H25" s="152"/>
      <c r="I25" s="152"/>
      <c r="J25" s="152"/>
      <c r="K25" s="152"/>
      <c r="L25" s="152"/>
      <c r="M25" s="152"/>
      <c r="N25" s="152"/>
      <c r="O25" s="152"/>
      <c r="P25" s="152"/>
      <c r="Q25" s="152"/>
      <c r="R25" s="152"/>
      <c r="S25" s="152"/>
      <c r="T25" s="152"/>
      <c r="U25" s="152"/>
    </row>
    <row r="26" spans="1:24" ht="18" customHeight="1" x14ac:dyDescent="0.2">
      <c r="B26" s="116" t="s">
        <v>51</v>
      </c>
      <c r="C26" s="117"/>
      <c r="D26" s="117"/>
      <c r="E26" s="117"/>
      <c r="F26" s="118"/>
      <c r="G26" s="51" t="s">
        <v>76</v>
      </c>
      <c r="H26" s="50" t="s">
        <v>79</v>
      </c>
      <c r="I26" s="17" t="s">
        <v>54</v>
      </c>
      <c r="J26" s="17" t="s">
        <v>57</v>
      </c>
      <c r="K26" s="116" t="s">
        <v>51</v>
      </c>
      <c r="L26" s="117"/>
      <c r="M26" s="117"/>
      <c r="N26" s="117"/>
      <c r="O26" s="117"/>
      <c r="P26" s="117"/>
      <c r="Q26" s="118"/>
      <c r="R26" s="51" t="s">
        <v>76</v>
      </c>
      <c r="S26" s="50" t="s">
        <v>79</v>
      </c>
      <c r="T26" s="17" t="s">
        <v>54</v>
      </c>
      <c r="U26" s="17" t="s">
        <v>57</v>
      </c>
    </row>
    <row r="27" spans="1:24" ht="18" customHeight="1" x14ac:dyDescent="0.2">
      <c r="B27" s="131" t="s">
        <v>140</v>
      </c>
      <c r="C27" s="132"/>
      <c r="D27" s="132"/>
      <c r="E27" s="132"/>
      <c r="F27" s="133"/>
      <c r="G27" s="18">
        <v>2</v>
      </c>
      <c r="H27" s="18" t="s">
        <v>139</v>
      </c>
      <c r="I27" s="18" t="s">
        <v>139</v>
      </c>
      <c r="J27" s="18" t="s">
        <v>139</v>
      </c>
      <c r="K27" s="131"/>
      <c r="L27" s="132"/>
      <c r="M27" s="132"/>
      <c r="N27" s="132"/>
      <c r="O27" s="132"/>
      <c r="P27" s="132"/>
      <c r="Q27" s="133"/>
      <c r="R27" s="18"/>
      <c r="S27" s="18"/>
      <c r="T27" s="18"/>
      <c r="U27" s="18"/>
    </row>
    <row r="28" spans="1:24" ht="18" customHeight="1" x14ac:dyDescent="0.2">
      <c r="B28" s="125" t="s">
        <v>141</v>
      </c>
      <c r="C28" s="126"/>
      <c r="D28" s="126"/>
      <c r="E28" s="126"/>
      <c r="F28" s="127"/>
      <c r="G28" s="19">
        <v>2</v>
      </c>
      <c r="H28" s="19" t="s">
        <v>139</v>
      </c>
      <c r="I28" s="19" t="s">
        <v>139</v>
      </c>
      <c r="J28" s="19" t="s">
        <v>139</v>
      </c>
      <c r="K28" s="125"/>
      <c r="L28" s="126"/>
      <c r="M28" s="126"/>
      <c r="N28" s="126"/>
      <c r="O28" s="126"/>
      <c r="P28" s="126"/>
      <c r="Q28" s="127"/>
      <c r="R28" s="19"/>
      <c r="S28" s="19"/>
      <c r="T28" s="19"/>
      <c r="U28" s="19"/>
    </row>
    <row r="29" spans="1:24" ht="18" customHeight="1" x14ac:dyDescent="0.2">
      <c r="B29" s="125"/>
      <c r="C29" s="126"/>
      <c r="D29" s="126"/>
      <c r="E29" s="126"/>
      <c r="F29" s="127"/>
      <c r="G29" s="19"/>
      <c r="H29" s="19"/>
      <c r="I29" s="19"/>
      <c r="J29" s="19"/>
      <c r="K29" s="125"/>
      <c r="L29" s="126"/>
      <c r="M29" s="126"/>
      <c r="N29" s="126"/>
      <c r="O29" s="126"/>
      <c r="P29" s="126"/>
      <c r="Q29" s="127"/>
      <c r="R29" s="19"/>
      <c r="S29" s="19"/>
      <c r="T29" s="19"/>
      <c r="U29" s="19"/>
    </row>
    <row r="30" spans="1:24" ht="18" customHeight="1" x14ac:dyDescent="0.2">
      <c r="B30" s="125"/>
      <c r="C30" s="126"/>
      <c r="D30" s="126"/>
      <c r="E30" s="126"/>
      <c r="F30" s="127"/>
      <c r="G30" s="19"/>
      <c r="H30" s="19"/>
      <c r="I30" s="19"/>
      <c r="J30" s="19"/>
      <c r="K30" s="125"/>
      <c r="L30" s="126"/>
      <c r="M30" s="126"/>
      <c r="N30" s="126"/>
      <c r="O30" s="126"/>
      <c r="P30" s="126"/>
      <c r="Q30" s="127"/>
      <c r="R30" s="19"/>
      <c r="S30" s="19"/>
      <c r="T30" s="19"/>
      <c r="U30" s="19"/>
    </row>
    <row r="31" spans="1:24" ht="18" customHeight="1" x14ac:dyDescent="0.2">
      <c r="B31" s="125"/>
      <c r="C31" s="126"/>
      <c r="D31" s="126"/>
      <c r="E31" s="126"/>
      <c r="F31" s="127"/>
      <c r="G31" s="19"/>
      <c r="H31" s="19"/>
      <c r="I31" s="19"/>
      <c r="J31" s="19"/>
      <c r="K31" s="125"/>
      <c r="L31" s="126"/>
      <c r="M31" s="126"/>
      <c r="N31" s="126"/>
      <c r="O31" s="126"/>
      <c r="P31" s="126"/>
      <c r="Q31" s="127"/>
      <c r="R31" s="19"/>
      <c r="S31" s="19"/>
      <c r="T31" s="19"/>
      <c r="U31" s="19"/>
    </row>
    <row r="32" spans="1:24" ht="18" customHeight="1" x14ac:dyDescent="0.2">
      <c r="A32" s="3"/>
      <c r="B32" s="125"/>
      <c r="C32" s="126"/>
      <c r="D32" s="126"/>
      <c r="E32" s="126"/>
      <c r="F32" s="127"/>
      <c r="G32" s="19"/>
      <c r="H32" s="19"/>
      <c r="I32" s="19"/>
      <c r="J32" s="19"/>
      <c r="K32" s="125"/>
      <c r="L32" s="126"/>
      <c r="M32" s="126"/>
      <c r="N32" s="126"/>
      <c r="O32" s="126"/>
      <c r="P32" s="126"/>
      <c r="Q32" s="127"/>
      <c r="R32" s="19"/>
      <c r="S32" s="19"/>
      <c r="T32" s="19"/>
      <c r="U32" s="19"/>
    </row>
    <row r="33" spans="1:21" ht="18" customHeight="1" x14ac:dyDescent="0.2">
      <c r="A33" s="3"/>
      <c r="B33" s="128"/>
      <c r="C33" s="129"/>
      <c r="D33" s="129"/>
      <c r="E33" s="129"/>
      <c r="F33" s="130"/>
      <c r="G33" s="20"/>
      <c r="H33" s="20"/>
      <c r="I33" s="21"/>
      <c r="J33" s="21"/>
      <c r="K33" s="128"/>
      <c r="L33" s="129"/>
      <c r="M33" s="129"/>
      <c r="N33" s="129"/>
      <c r="O33" s="129"/>
      <c r="P33" s="129"/>
      <c r="Q33" s="130"/>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34" t="s">
        <v>101</v>
      </c>
      <c r="B35" s="134"/>
      <c r="C35" s="134"/>
      <c r="D35" s="134"/>
      <c r="E35" s="134"/>
      <c r="F35" s="134"/>
      <c r="G35" s="134"/>
      <c r="H35" s="134"/>
      <c r="I35" s="134"/>
      <c r="J35" s="134"/>
      <c r="K35" s="134"/>
      <c r="L35" s="134"/>
      <c r="M35" s="134"/>
      <c r="N35" s="134"/>
      <c r="O35" s="134"/>
      <c r="P35" s="134"/>
      <c r="Q35" s="134"/>
      <c r="R35" s="134"/>
      <c r="S35" s="134"/>
      <c r="T35" s="134"/>
      <c r="U35" s="134"/>
    </row>
    <row r="36" spans="1:21" ht="18"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row>
    <row r="37" spans="1:21" ht="18" customHeight="1" x14ac:dyDescent="0.2">
      <c r="B37" s="116" t="s">
        <v>51</v>
      </c>
      <c r="C37" s="117"/>
      <c r="D37" s="117"/>
      <c r="E37" s="117"/>
      <c r="F37" s="118"/>
      <c r="G37" s="51" t="s">
        <v>76</v>
      </c>
      <c r="H37" s="50" t="s">
        <v>79</v>
      </c>
      <c r="I37" s="17" t="s">
        <v>67</v>
      </c>
      <c r="J37" s="17" t="s">
        <v>68</v>
      </c>
      <c r="K37" s="116" t="s">
        <v>51</v>
      </c>
      <c r="L37" s="117"/>
      <c r="M37" s="117"/>
      <c r="N37" s="117"/>
      <c r="O37" s="117"/>
      <c r="P37" s="117"/>
      <c r="Q37" s="118"/>
      <c r="R37" s="51" t="s">
        <v>76</v>
      </c>
      <c r="S37" s="50" t="s">
        <v>79</v>
      </c>
      <c r="T37" s="17" t="s">
        <v>67</v>
      </c>
      <c r="U37" s="17" t="s">
        <v>68</v>
      </c>
    </row>
    <row r="38" spans="1:21" ht="18" customHeight="1" x14ac:dyDescent="0.2">
      <c r="B38" s="131" t="s">
        <v>140</v>
      </c>
      <c r="C38" s="132"/>
      <c r="D38" s="132"/>
      <c r="E38" s="132"/>
      <c r="F38" s="133"/>
      <c r="G38" s="18">
        <v>2</v>
      </c>
      <c r="H38" s="18" t="s">
        <v>139</v>
      </c>
      <c r="I38" s="18" t="s">
        <v>139</v>
      </c>
      <c r="J38" s="18" t="s">
        <v>139</v>
      </c>
      <c r="K38" s="131"/>
      <c r="L38" s="132"/>
      <c r="M38" s="132"/>
      <c r="N38" s="132"/>
      <c r="O38" s="132"/>
      <c r="P38" s="132"/>
      <c r="Q38" s="133"/>
      <c r="R38" s="18"/>
      <c r="S38" s="18"/>
      <c r="T38" s="18"/>
      <c r="U38" s="18"/>
    </row>
    <row r="39" spans="1:21" ht="18" customHeight="1" x14ac:dyDescent="0.2">
      <c r="B39" s="125" t="s">
        <v>141</v>
      </c>
      <c r="C39" s="126"/>
      <c r="D39" s="126"/>
      <c r="E39" s="126"/>
      <c r="F39" s="127"/>
      <c r="G39" s="19">
        <v>2</v>
      </c>
      <c r="H39" s="19" t="s">
        <v>139</v>
      </c>
      <c r="I39" s="19" t="s">
        <v>139</v>
      </c>
      <c r="J39" s="19" t="s">
        <v>139</v>
      </c>
      <c r="K39" s="125"/>
      <c r="L39" s="126"/>
      <c r="M39" s="126"/>
      <c r="N39" s="126"/>
      <c r="O39" s="126"/>
      <c r="P39" s="126"/>
      <c r="Q39" s="127"/>
      <c r="R39" s="19"/>
      <c r="S39" s="19"/>
      <c r="T39" s="19"/>
      <c r="U39" s="19"/>
    </row>
    <row r="40" spans="1:21" ht="18" customHeight="1" x14ac:dyDescent="0.2">
      <c r="B40" s="125"/>
      <c r="C40" s="126"/>
      <c r="D40" s="126"/>
      <c r="E40" s="126"/>
      <c r="F40" s="127"/>
      <c r="G40" s="19"/>
      <c r="H40" s="19"/>
      <c r="I40" s="19"/>
      <c r="J40" s="19"/>
      <c r="K40" s="125"/>
      <c r="L40" s="126"/>
      <c r="M40" s="126"/>
      <c r="N40" s="126"/>
      <c r="O40" s="126"/>
      <c r="P40" s="126"/>
      <c r="Q40" s="127"/>
      <c r="R40" s="19"/>
      <c r="S40" s="19"/>
      <c r="T40" s="19"/>
      <c r="U40" s="19"/>
    </row>
    <row r="41" spans="1:21" ht="18" customHeight="1" x14ac:dyDescent="0.2">
      <c r="B41" s="125"/>
      <c r="C41" s="126"/>
      <c r="D41" s="126"/>
      <c r="E41" s="126"/>
      <c r="F41" s="127"/>
      <c r="G41" s="19"/>
      <c r="H41" s="19"/>
      <c r="I41" s="19"/>
      <c r="J41" s="19"/>
      <c r="K41" s="125"/>
      <c r="L41" s="126"/>
      <c r="M41" s="126"/>
      <c r="N41" s="126"/>
      <c r="O41" s="126"/>
      <c r="P41" s="126"/>
      <c r="Q41" s="127"/>
      <c r="R41" s="19"/>
      <c r="S41" s="19"/>
      <c r="T41" s="19"/>
      <c r="U41" s="19"/>
    </row>
    <row r="42" spans="1:21" ht="18" customHeight="1" x14ac:dyDescent="0.2">
      <c r="B42" s="125"/>
      <c r="C42" s="126"/>
      <c r="D42" s="126"/>
      <c r="E42" s="126"/>
      <c r="F42" s="127"/>
      <c r="G42" s="19"/>
      <c r="H42" s="19"/>
      <c r="I42" s="19"/>
      <c r="J42" s="19"/>
      <c r="K42" s="125"/>
      <c r="L42" s="126"/>
      <c r="M42" s="126"/>
      <c r="N42" s="126"/>
      <c r="O42" s="126"/>
      <c r="P42" s="126"/>
      <c r="Q42" s="127"/>
      <c r="R42" s="19"/>
      <c r="S42" s="19"/>
      <c r="T42" s="19"/>
      <c r="U42" s="19"/>
    </row>
    <row r="43" spans="1:21" ht="18" customHeight="1" x14ac:dyDescent="0.2">
      <c r="B43" s="125"/>
      <c r="C43" s="126"/>
      <c r="D43" s="126"/>
      <c r="E43" s="126"/>
      <c r="F43" s="127"/>
      <c r="G43" s="19"/>
      <c r="H43" s="19"/>
      <c r="I43" s="19"/>
      <c r="J43" s="19"/>
      <c r="K43" s="125"/>
      <c r="L43" s="126"/>
      <c r="M43" s="126"/>
      <c r="N43" s="126"/>
      <c r="O43" s="126"/>
      <c r="P43" s="126"/>
      <c r="Q43" s="127"/>
      <c r="R43" s="19"/>
      <c r="S43" s="19"/>
      <c r="T43" s="19"/>
      <c r="U43" s="19"/>
    </row>
    <row r="44" spans="1:21" ht="18" customHeight="1" x14ac:dyDescent="0.2">
      <c r="B44" s="128"/>
      <c r="C44" s="129"/>
      <c r="D44" s="129"/>
      <c r="E44" s="129"/>
      <c r="F44" s="130"/>
      <c r="G44" s="20"/>
      <c r="H44" s="20"/>
      <c r="I44" s="21"/>
      <c r="J44" s="21"/>
      <c r="K44" s="128"/>
      <c r="L44" s="129"/>
      <c r="M44" s="129"/>
      <c r="N44" s="129"/>
      <c r="O44" s="129"/>
      <c r="P44" s="129"/>
      <c r="Q44" s="130"/>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34" t="s">
        <v>102</v>
      </c>
      <c r="B46" s="134"/>
      <c r="C46" s="134"/>
      <c r="D46" s="134"/>
      <c r="E46" s="134"/>
      <c r="F46" s="134"/>
      <c r="G46" s="134"/>
      <c r="H46" s="134"/>
      <c r="I46" s="134"/>
      <c r="J46" s="134"/>
      <c r="K46" s="134"/>
      <c r="L46" s="134"/>
      <c r="M46" s="134"/>
      <c r="N46" s="134"/>
      <c r="O46" s="134"/>
      <c r="P46" s="134"/>
      <c r="Q46" s="134"/>
      <c r="R46" s="134"/>
      <c r="S46" s="134"/>
      <c r="T46" s="134"/>
      <c r="U46" s="134"/>
    </row>
    <row r="47" spans="1:21" ht="18"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row>
    <row r="48" spans="1:21" ht="18" customHeight="1" x14ac:dyDescent="0.2">
      <c r="B48" s="116" t="s">
        <v>51</v>
      </c>
      <c r="C48" s="117"/>
      <c r="D48" s="117"/>
      <c r="E48" s="117"/>
      <c r="F48" s="118"/>
      <c r="G48" s="51" t="s">
        <v>76</v>
      </c>
      <c r="H48" s="50" t="s">
        <v>79</v>
      </c>
      <c r="I48" s="17" t="s">
        <v>69</v>
      </c>
      <c r="J48" s="17" t="s">
        <v>70</v>
      </c>
      <c r="K48" s="116" t="s">
        <v>51</v>
      </c>
      <c r="L48" s="117"/>
      <c r="M48" s="117"/>
      <c r="N48" s="117"/>
      <c r="O48" s="117"/>
      <c r="P48" s="117"/>
      <c r="Q48" s="118"/>
      <c r="R48" s="51" t="s">
        <v>76</v>
      </c>
      <c r="S48" s="50" t="s">
        <v>79</v>
      </c>
      <c r="T48" s="17" t="s">
        <v>69</v>
      </c>
      <c r="U48" s="17" t="s">
        <v>70</v>
      </c>
    </row>
    <row r="49" spans="1:21" ht="18" customHeight="1" x14ac:dyDescent="0.2">
      <c r="A49" s="3"/>
      <c r="B49" s="131" t="s">
        <v>140</v>
      </c>
      <c r="C49" s="132"/>
      <c r="D49" s="132"/>
      <c r="E49" s="132"/>
      <c r="F49" s="133"/>
      <c r="G49" s="18">
        <v>2</v>
      </c>
      <c r="H49" s="18" t="s">
        <v>139</v>
      </c>
      <c r="I49" s="18" t="s">
        <v>139</v>
      </c>
      <c r="J49" s="18" t="s">
        <v>139</v>
      </c>
      <c r="K49" s="131"/>
      <c r="L49" s="132"/>
      <c r="M49" s="132"/>
      <c r="N49" s="132"/>
      <c r="O49" s="132"/>
      <c r="P49" s="132"/>
      <c r="Q49" s="133"/>
      <c r="R49" s="18"/>
      <c r="S49" s="18"/>
      <c r="T49" s="18"/>
      <c r="U49" s="18"/>
    </row>
    <row r="50" spans="1:21" ht="18" customHeight="1" x14ac:dyDescent="0.2">
      <c r="A50" s="3"/>
      <c r="B50" s="125"/>
      <c r="C50" s="126"/>
      <c r="D50" s="126"/>
      <c r="E50" s="126"/>
      <c r="F50" s="127"/>
      <c r="G50" s="19"/>
      <c r="H50" s="19"/>
      <c r="I50" s="19"/>
      <c r="J50" s="19"/>
      <c r="K50" s="125"/>
      <c r="L50" s="126"/>
      <c r="M50" s="126"/>
      <c r="N50" s="126"/>
      <c r="O50" s="126"/>
      <c r="P50" s="126"/>
      <c r="Q50" s="127"/>
      <c r="R50" s="19"/>
      <c r="S50" s="19"/>
      <c r="T50" s="19"/>
      <c r="U50" s="19"/>
    </row>
    <row r="51" spans="1:21" ht="18" customHeight="1" x14ac:dyDescent="0.2">
      <c r="A51" s="3"/>
      <c r="B51" s="125"/>
      <c r="C51" s="126"/>
      <c r="D51" s="126"/>
      <c r="E51" s="126"/>
      <c r="F51" s="127"/>
      <c r="G51" s="19"/>
      <c r="H51" s="19"/>
      <c r="I51" s="19"/>
      <c r="J51" s="19"/>
      <c r="K51" s="125"/>
      <c r="L51" s="126"/>
      <c r="M51" s="126"/>
      <c r="N51" s="126"/>
      <c r="O51" s="126"/>
      <c r="P51" s="126"/>
      <c r="Q51" s="127"/>
      <c r="R51" s="19"/>
      <c r="S51" s="19"/>
      <c r="T51" s="19"/>
      <c r="U51" s="19"/>
    </row>
    <row r="52" spans="1:21" ht="18" customHeight="1" x14ac:dyDescent="0.2">
      <c r="A52" s="3"/>
      <c r="B52" s="125"/>
      <c r="C52" s="126"/>
      <c r="D52" s="126"/>
      <c r="E52" s="126"/>
      <c r="F52" s="127"/>
      <c r="G52" s="19"/>
      <c r="H52" s="19"/>
      <c r="I52" s="19"/>
      <c r="J52" s="19"/>
      <c r="K52" s="125"/>
      <c r="L52" s="126"/>
      <c r="M52" s="126"/>
      <c r="N52" s="126"/>
      <c r="O52" s="126"/>
      <c r="P52" s="126"/>
      <c r="Q52" s="127"/>
      <c r="R52" s="19"/>
      <c r="S52" s="19"/>
      <c r="T52" s="19"/>
      <c r="U52" s="19"/>
    </row>
    <row r="53" spans="1:21" ht="18" customHeight="1" x14ac:dyDescent="0.2">
      <c r="A53" s="3"/>
      <c r="B53" s="125"/>
      <c r="C53" s="126"/>
      <c r="D53" s="126"/>
      <c r="E53" s="126"/>
      <c r="F53" s="127"/>
      <c r="G53" s="19"/>
      <c r="H53" s="19"/>
      <c r="I53" s="19"/>
      <c r="J53" s="19"/>
      <c r="K53" s="125"/>
      <c r="L53" s="126"/>
      <c r="M53" s="126"/>
      <c r="N53" s="126"/>
      <c r="O53" s="126"/>
      <c r="P53" s="126"/>
      <c r="Q53" s="127"/>
      <c r="R53" s="19"/>
      <c r="S53" s="19"/>
      <c r="T53" s="19"/>
      <c r="U53" s="19"/>
    </row>
    <row r="54" spans="1:21" ht="18" customHeight="1" x14ac:dyDescent="0.2">
      <c r="A54" s="3"/>
      <c r="B54" s="125"/>
      <c r="C54" s="126"/>
      <c r="D54" s="126"/>
      <c r="E54" s="126"/>
      <c r="F54" s="127"/>
      <c r="G54" s="19"/>
      <c r="H54" s="19"/>
      <c r="I54" s="19"/>
      <c r="J54" s="19"/>
      <c r="K54" s="125"/>
      <c r="L54" s="126"/>
      <c r="M54" s="126"/>
      <c r="N54" s="126"/>
      <c r="O54" s="126"/>
      <c r="P54" s="126"/>
      <c r="Q54" s="127"/>
      <c r="R54" s="19"/>
      <c r="S54" s="19"/>
      <c r="T54" s="19"/>
      <c r="U54" s="19"/>
    </row>
    <row r="55" spans="1:21" ht="18" customHeight="1" x14ac:dyDescent="0.2">
      <c r="A55" s="3"/>
      <c r="B55" s="128"/>
      <c r="C55" s="129"/>
      <c r="D55" s="129"/>
      <c r="E55" s="129"/>
      <c r="F55" s="130"/>
      <c r="G55" s="20"/>
      <c r="H55" s="20"/>
      <c r="I55" s="21"/>
      <c r="J55" s="21"/>
      <c r="K55" s="128"/>
      <c r="L55" s="129"/>
      <c r="M55" s="129"/>
      <c r="N55" s="129"/>
      <c r="O55" s="129"/>
      <c r="P55" s="129"/>
      <c r="Q55" s="130"/>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34" t="s">
        <v>103</v>
      </c>
      <c r="B57" s="134"/>
      <c r="C57" s="134"/>
      <c r="D57" s="134"/>
      <c r="E57" s="134"/>
      <c r="F57" s="134"/>
      <c r="G57" s="134"/>
      <c r="H57" s="134"/>
      <c r="I57" s="134"/>
      <c r="J57" s="134"/>
      <c r="K57" s="134"/>
      <c r="L57" s="134"/>
      <c r="M57" s="134"/>
      <c r="N57" s="134"/>
      <c r="O57" s="134"/>
      <c r="P57" s="134"/>
      <c r="Q57" s="134"/>
      <c r="R57" s="134"/>
      <c r="S57" s="134"/>
      <c r="T57" s="134"/>
      <c r="U57" s="134"/>
    </row>
    <row r="58" spans="1:21" ht="18"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row>
    <row r="59" spans="1:21" ht="18" customHeight="1" x14ac:dyDescent="0.2">
      <c r="B59" s="116" t="s">
        <v>51</v>
      </c>
      <c r="C59" s="117"/>
      <c r="D59" s="117"/>
      <c r="E59" s="117"/>
      <c r="F59" s="118"/>
      <c r="G59" s="51" t="s">
        <v>76</v>
      </c>
      <c r="H59" s="50" t="s">
        <v>79</v>
      </c>
      <c r="I59" s="17" t="s">
        <v>56</v>
      </c>
      <c r="J59" s="17" t="s">
        <v>58</v>
      </c>
      <c r="K59" s="116" t="s">
        <v>51</v>
      </c>
      <c r="L59" s="117"/>
      <c r="M59" s="117"/>
      <c r="N59" s="117"/>
      <c r="O59" s="117"/>
      <c r="P59" s="117"/>
      <c r="Q59" s="118"/>
      <c r="R59" s="51" t="s">
        <v>76</v>
      </c>
      <c r="S59" s="50" t="s">
        <v>79</v>
      </c>
      <c r="T59" s="17" t="s">
        <v>56</v>
      </c>
      <c r="U59" s="17" t="s">
        <v>58</v>
      </c>
    </row>
    <row r="60" spans="1:21" ht="18" customHeight="1" x14ac:dyDescent="0.2">
      <c r="A60" s="3"/>
      <c r="B60" s="125" t="s">
        <v>141</v>
      </c>
      <c r="C60" s="126"/>
      <c r="D60" s="126"/>
      <c r="E60" s="126"/>
      <c r="F60" s="127"/>
      <c r="G60" s="19">
        <v>2</v>
      </c>
      <c r="H60" s="19" t="s">
        <v>139</v>
      </c>
      <c r="I60" s="19" t="s">
        <v>139</v>
      </c>
      <c r="J60" s="19" t="s">
        <v>139</v>
      </c>
      <c r="K60" s="131"/>
      <c r="L60" s="132"/>
      <c r="M60" s="132"/>
      <c r="N60" s="132"/>
      <c r="O60" s="132"/>
      <c r="P60" s="132"/>
      <c r="Q60" s="133"/>
      <c r="R60" s="18"/>
      <c r="S60" s="18"/>
      <c r="T60" s="18"/>
      <c r="U60" s="18"/>
    </row>
    <row r="61" spans="1:21" ht="18" customHeight="1" x14ac:dyDescent="0.2">
      <c r="A61" s="3"/>
      <c r="B61" s="125"/>
      <c r="C61" s="126"/>
      <c r="D61" s="126"/>
      <c r="E61" s="126"/>
      <c r="F61" s="127"/>
      <c r="G61" s="19"/>
      <c r="H61" s="19"/>
      <c r="I61" s="19"/>
      <c r="J61" s="19"/>
      <c r="K61" s="125"/>
      <c r="L61" s="126"/>
      <c r="M61" s="126"/>
      <c r="N61" s="126"/>
      <c r="O61" s="126"/>
      <c r="P61" s="126"/>
      <c r="Q61" s="127"/>
      <c r="R61" s="19"/>
      <c r="S61" s="19"/>
      <c r="T61" s="19"/>
      <c r="U61" s="19"/>
    </row>
    <row r="62" spans="1:21" ht="18" customHeight="1" x14ac:dyDescent="0.2">
      <c r="A62" s="3"/>
      <c r="B62" s="125"/>
      <c r="C62" s="126"/>
      <c r="D62" s="126"/>
      <c r="E62" s="126"/>
      <c r="F62" s="127"/>
      <c r="G62" s="19"/>
      <c r="H62" s="19"/>
      <c r="I62" s="19"/>
      <c r="J62" s="19"/>
      <c r="K62" s="125"/>
      <c r="L62" s="126"/>
      <c r="M62" s="126"/>
      <c r="N62" s="126"/>
      <c r="O62" s="126"/>
      <c r="P62" s="126"/>
      <c r="Q62" s="127"/>
      <c r="R62" s="19"/>
      <c r="S62" s="19"/>
      <c r="T62" s="19"/>
      <c r="U62" s="19"/>
    </row>
    <row r="63" spans="1:21" ht="18" customHeight="1" x14ac:dyDescent="0.2">
      <c r="A63" s="3"/>
      <c r="B63" s="125"/>
      <c r="C63" s="126"/>
      <c r="D63" s="126"/>
      <c r="E63" s="126"/>
      <c r="F63" s="127"/>
      <c r="G63" s="19"/>
      <c r="H63" s="19"/>
      <c r="I63" s="19"/>
      <c r="J63" s="19"/>
      <c r="K63" s="125"/>
      <c r="L63" s="126"/>
      <c r="M63" s="126"/>
      <c r="N63" s="126"/>
      <c r="O63" s="126"/>
      <c r="P63" s="126"/>
      <c r="Q63" s="127"/>
      <c r="R63" s="19"/>
      <c r="S63" s="19"/>
      <c r="T63" s="19"/>
      <c r="U63" s="19"/>
    </row>
    <row r="64" spans="1:21" ht="18" customHeight="1" x14ac:dyDescent="0.2">
      <c r="A64" s="3"/>
      <c r="B64" s="125"/>
      <c r="C64" s="126"/>
      <c r="D64" s="126"/>
      <c r="E64" s="126"/>
      <c r="F64" s="127"/>
      <c r="G64" s="19"/>
      <c r="H64" s="19"/>
      <c r="I64" s="19"/>
      <c r="J64" s="19"/>
      <c r="K64" s="125"/>
      <c r="L64" s="126"/>
      <c r="M64" s="126"/>
      <c r="N64" s="126"/>
      <c r="O64" s="126"/>
      <c r="P64" s="126"/>
      <c r="Q64" s="127"/>
      <c r="R64" s="19"/>
      <c r="S64" s="19"/>
      <c r="T64" s="19"/>
      <c r="U64" s="19"/>
    </row>
    <row r="65" spans="1:21" ht="18" customHeight="1" x14ac:dyDescent="0.2">
      <c r="A65" s="3"/>
      <c r="B65" s="125"/>
      <c r="C65" s="126"/>
      <c r="D65" s="126"/>
      <c r="E65" s="126"/>
      <c r="F65" s="127"/>
      <c r="G65" s="19"/>
      <c r="H65" s="19"/>
      <c r="I65" s="19"/>
      <c r="J65" s="19"/>
      <c r="K65" s="125"/>
      <c r="L65" s="126"/>
      <c r="M65" s="126"/>
      <c r="N65" s="126"/>
      <c r="O65" s="126"/>
      <c r="P65" s="126"/>
      <c r="Q65" s="127"/>
      <c r="R65" s="19"/>
      <c r="S65" s="19"/>
      <c r="T65" s="19"/>
      <c r="U65" s="19"/>
    </row>
    <row r="66" spans="1:21" ht="18" customHeight="1" x14ac:dyDescent="0.2">
      <c r="A66" s="3"/>
      <c r="B66" s="128"/>
      <c r="C66" s="129"/>
      <c r="D66" s="129"/>
      <c r="E66" s="129"/>
      <c r="F66" s="130"/>
      <c r="G66" s="20"/>
      <c r="H66" s="20"/>
      <c r="I66" s="21"/>
      <c r="J66" s="21"/>
      <c r="K66" s="128"/>
      <c r="L66" s="129"/>
      <c r="M66" s="129"/>
      <c r="N66" s="129"/>
      <c r="O66" s="129"/>
      <c r="P66" s="129"/>
      <c r="Q66" s="130"/>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34" t="s">
        <v>104</v>
      </c>
      <c r="B68" s="134"/>
      <c r="C68" s="134"/>
      <c r="D68" s="134"/>
      <c r="E68" s="134"/>
      <c r="F68" s="134"/>
      <c r="G68" s="134"/>
      <c r="H68" s="134"/>
      <c r="I68" s="134"/>
      <c r="J68" s="134"/>
      <c r="K68" s="134"/>
      <c r="L68" s="134"/>
      <c r="M68" s="134"/>
      <c r="N68" s="134"/>
      <c r="O68" s="134"/>
      <c r="P68" s="134"/>
      <c r="Q68" s="134"/>
      <c r="R68" s="134"/>
      <c r="S68" s="134"/>
      <c r="T68" s="134"/>
      <c r="U68" s="134"/>
    </row>
    <row r="69" spans="1:21" ht="18"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row>
    <row r="70" spans="1:21" ht="18" customHeight="1" x14ac:dyDescent="0.2">
      <c r="B70" s="116" t="s">
        <v>51</v>
      </c>
      <c r="C70" s="117"/>
      <c r="D70" s="117"/>
      <c r="E70" s="117"/>
      <c r="F70" s="51" t="s">
        <v>76</v>
      </c>
      <c r="G70" s="50" t="s">
        <v>79</v>
      </c>
      <c r="H70" s="17" t="s">
        <v>91</v>
      </c>
      <c r="I70" s="17" t="s">
        <v>71</v>
      </c>
      <c r="J70" s="17" t="s">
        <v>72</v>
      </c>
      <c r="K70" s="116" t="s">
        <v>51</v>
      </c>
      <c r="L70" s="117"/>
      <c r="M70" s="117"/>
      <c r="N70" s="117"/>
      <c r="O70" s="117"/>
      <c r="P70" s="118"/>
      <c r="Q70" s="51" t="s">
        <v>76</v>
      </c>
      <c r="R70" s="50" t="s">
        <v>79</v>
      </c>
      <c r="S70" s="17" t="s">
        <v>91</v>
      </c>
      <c r="T70" s="17" t="s">
        <v>71</v>
      </c>
      <c r="U70" s="17" t="s">
        <v>72</v>
      </c>
    </row>
    <row r="71" spans="1:21" ht="18" customHeight="1" x14ac:dyDescent="0.2">
      <c r="A71" s="3"/>
      <c r="B71" s="131" t="s">
        <v>140</v>
      </c>
      <c r="C71" s="132"/>
      <c r="D71" s="132"/>
      <c r="E71" s="133"/>
      <c r="F71" s="18">
        <v>2</v>
      </c>
      <c r="G71" s="18" t="s">
        <v>139</v>
      </c>
      <c r="H71" s="18" t="s">
        <v>139</v>
      </c>
      <c r="I71" s="18" t="s">
        <v>139</v>
      </c>
      <c r="J71" s="18" t="s">
        <v>139</v>
      </c>
      <c r="K71" s="131"/>
      <c r="L71" s="132"/>
      <c r="M71" s="132"/>
      <c r="N71" s="132"/>
      <c r="O71" s="132"/>
      <c r="P71" s="133"/>
      <c r="Q71" s="18"/>
      <c r="R71" s="18"/>
      <c r="S71" s="18"/>
      <c r="T71" s="18"/>
      <c r="U71" s="18"/>
    </row>
    <row r="72" spans="1:21" ht="18" customHeight="1" x14ac:dyDescent="0.2">
      <c r="A72" s="3"/>
      <c r="B72" s="125"/>
      <c r="C72" s="126"/>
      <c r="D72" s="126"/>
      <c r="E72" s="126"/>
      <c r="F72" s="19"/>
      <c r="G72" s="19"/>
      <c r="H72" s="19"/>
      <c r="I72" s="19"/>
      <c r="J72" s="19"/>
      <c r="K72" s="125"/>
      <c r="L72" s="126"/>
      <c r="M72" s="126"/>
      <c r="N72" s="126"/>
      <c r="O72" s="126"/>
      <c r="P72" s="127"/>
      <c r="Q72" s="19"/>
      <c r="R72" s="19"/>
      <c r="S72" s="19"/>
      <c r="T72" s="19"/>
      <c r="U72" s="19"/>
    </row>
    <row r="73" spans="1:21" ht="18" customHeight="1" x14ac:dyDescent="0.2">
      <c r="A73" s="3"/>
      <c r="B73" s="125"/>
      <c r="C73" s="126"/>
      <c r="D73" s="126"/>
      <c r="E73" s="126"/>
      <c r="F73" s="19"/>
      <c r="G73" s="19"/>
      <c r="H73" s="19"/>
      <c r="I73" s="19"/>
      <c r="J73" s="19"/>
      <c r="K73" s="125"/>
      <c r="L73" s="126"/>
      <c r="M73" s="126"/>
      <c r="N73" s="126"/>
      <c r="O73" s="126"/>
      <c r="P73" s="127"/>
      <c r="Q73" s="19"/>
      <c r="R73" s="19"/>
      <c r="S73" s="19"/>
      <c r="T73" s="19"/>
      <c r="U73" s="19"/>
    </row>
    <row r="74" spans="1:21" ht="18" customHeight="1" x14ac:dyDescent="0.2">
      <c r="A74" s="3"/>
      <c r="B74" s="125"/>
      <c r="C74" s="126"/>
      <c r="D74" s="126"/>
      <c r="E74" s="126"/>
      <c r="F74" s="19"/>
      <c r="G74" s="19"/>
      <c r="H74" s="19"/>
      <c r="I74" s="19"/>
      <c r="J74" s="19"/>
      <c r="K74" s="125"/>
      <c r="L74" s="126"/>
      <c r="M74" s="126"/>
      <c r="N74" s="126"/>
      <c r="O74" s="126"/>
      <c r="P74" s="127"/>
      <c r="Q74" s="19"/>
      <c r="R74" s="19"/>
      <c r="S74" s="19"/>
      <c r="T74" s="19"/>
      <c r="U74" s="19"/>
    </row>
    <row r="75" spans="1:21" ht="18" customHeight="1" x14ac:dyDescent="0.2">
      <c r="A75" s="3"/>
      <c r="B75" s="125"/>
      <c r="C75" s="126"/>
      <c r="D75" s="126"/>
      <c r="E75" s="126"/>
      <c r="F75" s="19"/>
      <c r="G75" s="19"/>
      <c r="H75" s="19"/>
      <c r="I75" s="19"/>
      <c r="J75" s="19"/>
      <c r="K75" s="125"/>
      <c r="L75" s="126"/>
      <c r="M75" s="126"/>
      <c r="N75" s="126"/>
      <c r="O75" s="126"/>
      <c r="P75" s="127"/>
      <c r="Q75" s="19"/>
      <c r="R75" s="19"/>
      <c r="S75" s="19"/>
      <c r="T75" s="19"/>
      <c r="U75" s="19"/>
    </row>
    <row r="76" spans="1:21" ht="18" customHeight="1" x14ac:dyDescent="0.2">
      <c r="A76" s="3"/>
      <c r="B76" s="125"/>
      <c r="C76" s="126"/>
      <c r="D76" s="126"/>
      <c r="E76" s="126"/>
      <c r="F76" s="19"/>
      <c r="G76" s="19"/>
      <c r="H76" s="19"/>
      <c r="I76" s="19"/>
      <c r="J76" s="19"/>
      <c r="K76" s="125"/>
      <c r="L76" s="126"/>
      <c r="M76" s="126"/>
      <c r="N76" s="126"/>
      <c r="O76" s="126"/>
      <c r="P76" s="127"/>
      <c r="Q76" s="19"/>
      <c r="R76" s="19"/>
      <c r="S76" s="19"/>
      <c r="T76" s="19"/>
      <c r="U76" s="19"/>
    </row>
    <row r="77" spans="1:21" ht="18" customHeight="1" x14ac:dyDescent="0.2">
      <c r="A77" s="3"/>
      <c r="B77" s="128"/>
      <c r="C77" s="129"/>
      <c r="D77" s="129"/>
      <c r="E77" s="129"/>
      <c r="F77" s="20"/>
      <c r="G77" s="20"/>
      <c r="H77" s="21"/>
      <c r="I77" s="21"/>
      <c r="J77" s="21"/>
      <c r="K77" s="128"/>
      <c r="L77" s="129"/>
      <c r="M77" s="129"/>
      <c r="N77" s="129"/>
      <c r="O77" s="129"/>
      <c r="P77" s="130"/>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105</v>
      </c>
      <c r="I79" s="3"/>
      <c r="J79" s="3"/>
      <c r="K79" s="3"/>
      <c r="L79" s="3"/>
      <c r="M79" s="3"/>
      <c r="N79" s="3"/>
      <c r="O79" s="3"/>
      <c r="P79" s="3"/>
      <c r="Q79" s="3"/>
      <c r="R79" s="3"/>
      <c r="S79" s="3"/>
      <c r="T79" s="3"/>
      <c r="U79" s="3"/>
    </row>
    <row r="80" spans="1:21" ht="18" customHeight="1" x14ac:dyDescent="0.2">
      <c r="B80" s="116" t="s">
        <v>51</v>
      </c>
      <c r="C80" s="117"/>
      <c r="D80" s="117"/>
      <c r="E80" s="117"/>
      <c r="F80" s="118"/>
      <c r="G80" s="116" t="s">
        <v>77</v>
      </c>
      <c r="H80" s="117"/>
      <c r="I80" s="117"/>
      <c r="J80" s="118"/>
      <c r="K80" s="167" t="s">
        <v>51</v>
      </c>
      <c r="L80" s="168"/>
      <c r="M80" s="168"/>
      <c r="N80" s="168"/>
      <c r="O80" s="168"/>
      <c r="P80" s="168"/>
      <c r="Q80" s="169"/>
      <c r="R80" s="116" t="s">
        <v>77</v>
      </c>
      <c r="S80" s="117"/>
      <c r="T80" s="117"/>
      <c r="U80" s="118"/>
    </row>
    <row r="81" spans="1:21" ht="18" customHeight="1" x14ac:dyDescent="0.2">
      <c r="A81" s="3"/>
      <c r="B81" s="131" t="s">
        <v>140</v>
      </c>
      <c r="C81" s="132"/>
      <c r="D81" s="132"/>
      <c r="E81" s="132"/>
      <c r="F81" s="133"/>
      <c r="G81" s="170" t="s">
        <v>193</v>
      </c>
      <c r="H81" s="171"/>
      <c r="I81" s="171"/>
      <c r="J81" s="172"/>
      <c r="K81" s="131" t="s">
        <v>192</v>
      </c>
      <c r="L81" s="132"/>
      <c r="M81" s="132"/>
      <c r="N81" s="132"/>
      <c r="O81" s="132"/>
      <c r="P81" s="132"/>
      <c r="Q81" s="133"/>
      <c r="R81" s="170" t="s">
        <v>199</v>
      </c>
      <c r="S81" s="171"/>
      <c r="T81" s="171"/>
      <c r="U81" s="172"/>
    </row>
    <row r="82" spans="1:21" ht="18" customHeight="1" x14ac:dyDescent="0.2">
      <c r="A82" s="3"/>
      <c r="B82" s="125" t="s">
        <v>140</v>
      </c>
      <c r="C82" s="126"/>
      <c r="D82" s="126"/>
      <c r="E82" s="126"/>
      <c r="F82" s="127"/>
      <c r="G82" s="159" t="s">
        <v>195</v>
      </c>
      <c r="H82" s="160"/>
      <c r="I82" s="160"/>
      <c r="J82" s="161"/>
      <c r="K82" s="125" t="s">
        <v>191</v>
      </c>
      <c r="L82" s="126"/>
      <c r="M82" s="126"/>
      <c r="N82" s="126"/>
      <c r="O82" s="126"/>
      <c r="P82" s="126"/>
      <c r="Q82" s="127"/>
      <c r="R82" s="159" t="s">
        <v>195</v>
      </c>
      <c r="S82" s="160"/>
      <c r="T82" s="160"/>
      <c r="U82" s="161"/>
    </row>
    <row r="83" spans="1:21" ht="18" customHeight="1" x14ac:dyDescent="0.2">
      <c r="A83" s="3"/>
      <c r="B83" s="125" t="s">
        <v>192</v>
      </c>
      <c r="C83" s="126"/>
      <c r="D83" s="126"/>
      <c r="E83" s="126"/>
      <c r="F83" s="127"/>
      <c r="G83" s="159" t="s">
        <v>194</v>
      </c>
      <c r="H83" s="160"/>
      <c r="I83" s="160"/>
      <c r="J83" s="161"/>
      <c r="K83" s="125" t="s">
        <v>191</v>
      </c>
      <c r="L83" s="126"/>
      <c r="M83" s="126"/>
      <c r="N83" s="126"/>
      <c r="O83" s="126"/>
      <c r="P83" s="126"/>
      <c r="Q83" s="127"/>
      <c r="R83" s="159" t="s">
        <v>196</v>
      </c>
      <c r="S83" s="160"/>
      <c r="T83" s="160"/>
      <c r="U83" s="161"/>
    </row>
    <row r="84" spans="1:21" ht="18" customHeight="1" x14ac:dyDescent="0.2">
      <c r="A84" s="3"/>
      <c r="B84" s="125" t="s">
        <v>192</v>
      </c>
      <c r="C84" s="126"/>
      <c r="D84" s="126"/>
      <c r="E84" s="126"/>
      <c r="F84" s="127"/>
      <c r="G84" s="159" t="s">
        <v>196</v>
      </c>
      <c r="H84" s="160"/>
      <c r="I84" s="160"/>
      <c r="J84" s="161"/>
      <c r="K84" s="125" t="s">
        <v>191</v>
      </c>
      <c r="L84" s="126"/>
      <c r="M84" s="126"/>
      <c r="N84" s="126"/>
      <c r="O84" s="126"/>
      <c r="P84" s="126"/>
      <c r="Q84" s="127"/>
      <c r="R84" s="159" t="s">
        <v>143</v>
      </c>
      <c r="S84" s="160"/>
      <c r="T84" s="160"/>
      <c r="U84" s="161"/>
    </row>
    <row r="85" spans="1:21" ht="18" customHeight="1" x14ac:dyDescent="0.2">
      <c r="A85" s="3"/>
      <c r="B85" s="125" t="s">
        <v>192</v>
      </c>
      <c r="C85" s="126"/>
      <c r="D85" s="126"/>
      <c r="E85" s="126"/>
      <c r="F85" s="127"/>
      <c r="G85" s="159" t="s">
        <v>143</v>
      </c>
      <c r="H85" s="160"/>
      <c r="I85" s="160"/>
      <c r="J85" s="161"/>
      <c r="K85" s="125"/>
      <c r="L85" s="126"/>
      <c r="M85" s="126"/>
      <c r="N85" s="126"/>
      <c r="O85" s="126"/>
      <c r="P85" s="126"/>
      <c r="Q85" s="127"/>
      <c r="R85" s="159"/>
      <c r="S85" s="160"/>
      <c r="T85" s="160"/>
      <c r="U85" s="161"/>
    </row>
    <row r="86" spans="1:21" ht="18" customHeight="1" x14ac:dyDescent="0.2">
      <c r="A86" s="3"/>
      <c r="B86" s="125" t="s">
        <v>192</v>
      </c>
      <c r="C86" s="126"/>
      <c r="D86" s="126"/>
      <c r="E86" s="126"/>
      <c r="F86" s="127"/>
      <c r="G86" s="159" t="s">
        <v>197</v>
      </c>
      <c r="H86" s="160"/>
      <c r="I86" s="160"/>
      <c r="J86" s="161"/>
      <c r="K86" s="125"/>
      <c r="L86" s="126"/>
      <c r="M86" s="126"/>
      <c r="N86" s="126"/>
      <c r="O86" s="126"/>
      <c r="P86" s="126"/>
      <c r="Q86" s="127"/>
      <c r="R86" s="159"/>
      <c r="S86" s="160"/>
      <c r="T86" s="160"/>
      <c r="U86" s="161"/>
    </row>
    <row r="87" spans="1:21" ht="18" customHeight="1" x14ac:dyDescent="0.2">
      <c r="A87" s="3"/>
      <c r="B87" s="128" t="s">
        <v>192</v>
      </c>
      <c r="C87" s="129"/>
      <c r="D87" s="129"/>
      <c r="E87" s="129"/>
      <c r="F87" s="130"/>
      <c r="G87" s="156" t="s">
        <v>142</v>
      </c>
      <c r="H87" s="157"/>
      <c r="I87" s="157"/>
      <c r="J87" s="158"/>
      <c r="K87" s="128"/>
      <c r="L87" s="129"/>
      <c r="M87" s="129"/>
      <c r="N87" s="129"/>
      <c r="O87" s="129"/>
      <c r="P87" s="129"/>
      <c r="Q87" s="130"/>
      <c r="R87" s="156"/>
      <c r="S87" s="157"/>
      <c r="T87" s="157"/>
      <c r="U87" s="15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106</v>
      </c>
    </row>
    <row r="90" spans="1:21" ht="18.75" customHeight="1" x14ac:dyDescent="0.2">
      <c r="B90" s="165" t="s">
        <v>52</v>
      </c>
      <c r="C90" s="166"/>
      <c r="D90" s="116" t="s">
        <v>53</v>
      </c>
      <c r="E90" s="117"/>
      <c r="F90" s="117"/>
      <c r="G90" s="117"/>
      <c r="H90" s="117"/>
      <c r="I90" s="117"/>
      <c r="J90" s="117"/>
      <c r="K90" s="117"/>
      <c r="L90" s="117"/>
      <c r="M90" s="117"/>
      <c r="N90" s="117"/>
      <c r="O90" s="117"/>
      <c r="P90" s="117"/>
      <c r="Q90" s="117"/>
      <c r="R90" s="117"/>
      <c r="S90" s="117"/>
      <c r="T90" s="117"/>
      <c r="U90" s="118"/>
    </row>
    <row r="91" spans="1:21" ht="97.5" customHeight="1" x14ac:dyDescent="0.2">
      <c r="B91" s="162" t="s">
        <v>59</v>
      </c>
      <c r="C91" s="23" t="s">
        <v>54</v>
      </c>
      <c r="D91" s="104" t="s">
        <v>244</v>
      </c>
      <c r="E91" s="105"/>
      <c r="F91" s="105"/>
      <c r="G91" s="105"/>
      <c r="H91" s="105"/>
      <c r="I91" s="105"/>
      <c r="J91" s="105"/>
      <c r="K91" s="105"/>
      <c r="L91" s="105"/>
      <c r="M91" s="105"/>
      <c r="N91" s="105"/>
      <c r="O91" s="105"/>
      <c r="P91" s="105"/>
      <c r="Q91" s="105"/>
      <c r="R91" s="105"/>
      <c r="S91" s="105"/>
      <c r="T91" s="105"/>
      <c r="U91" s="106"/>
    </row>
    <row r="92" spans="1:21" ht="97.5" customHeight="1" x14ac:dyDescent="0.2">
      <c r="B92" s="163"/>
      <c r="C92" s="24" t="s">
        <v>73</v>
      </c>
      <c r="D92" s="101" t="s">
        <v>227</v>
      </c>
      <c r="E92" s="102"/>
      <c r="F92" s="102"/>
      <c r="G92" s="102"/>
      <c r="H92" s="102"/>
      <c r="I92" s="102"/>
      <c r="J92" s="102"/>
      <c r="K92" s="102"/>
      <c r="L92" s="102"/>
      <c r="M92" s="102"/>
      <c r="N92" s="102"/>
      <c r="O92" s="102"/>
      <c r="P92" s="102"/>
      <c r="Q92" s="102"/>
      <c r="R92" s="102"/>
      <c r="S92" s="102"/>
      <c r="T92" s="102"/>
      <c r="U92" s="103"/>
    </row>
    <row r="93" spans="1:21" ht="97.5" customHeight="1" x14ac:dyDescent="0.2">
      <c r="B93" s="162" t="s">
        <v>60</v>
      </c>
      <c r="C93" s="25" t="s">
        <v>67</v>
      </c>
      <c r="D93" s="104" t="s">
        <v>200</v>
      </c>
      <c r="E93" s="105"/>
      <c r="F93" s="105"/>
      <c r="G93" s="105"/>
      <c r="H93" s="105"/>
      <c r="I93" s="105"/>
      <c r="J93" s="105"/>
      <c r="K93" s="105"/>
      <c r="L93" s="105"/>
      <c r="M93" s="105"/>
      <c r="N93" s="105"/>
      <c r="O93" s="105"/>
      <c r="P93" s="105"/>
      <c r="Q93" s="105"/>
      <c r="R93" s="105"/>
      <c r="S93" s="105"/>
      <c r="T93" s="105"/>
      <c r="U93" s="106"/>
    </row>
    <row r="94" spans="1:21" ht="97.5" customHeight="1" x14ac:dyDescent="0.2">
      <c r="B94" s="164"/>
      <c r="C94" s="26" t="s">
        <v>68</v>
      </c>
      <c r="D94" s="101" t="s">
        <v>206</v>
      </c>
      <c r="E94" s="102"/>
      <c r="F94" s="102"/>
      <c r="G94" s="102"/>
      <c r="H94" s="102"/>
      <c r="I94" s="102"/>
      <c r="J94" s="102"/>
      <c r="K94" s="102"/>
      <c r="L94" s="102"/>
      <c r="M94" s="102"/>
      <c r="N94" s="102"/>
      <c r="O94" s="102"/>
      <c r="P94" s="102"/>
      <c r="Q94" s="102"/>
      <c r="R94" s="102"/>
      <c r="S94" s="102"/>
      <c r="T94" s="102"/>
      <c r="U94" s="103"/>
    </row>
    <row r="95" spans="1:21" ht="97.5" customHeight="1" x14ac:dyDescent="0.2">
      <c r="B95" s="162" t="s">
        <v>61</v>
      </c>
      <c r="C95" s="25" t="s">
        <v>69</v>
      </c>
      <c r="D95" s="104" t="s">
        <v>202</v>
      </c>
      <c r="E95" s="105"/>
      <c r="F95" s="105"/>
      <c r="G95" s="105"/>
      <c r="H95" s="105"/>
      <c r="I95" s="105"/>
      <c r="J95" s="105"/>
      <c r="K95" s="105"/>
      <c r="L95" s="105"/>
      <c r="M95" s="105"/>
      <c r="N95" s="105"/>
      <c r="O95" s="105"/>
      <c r="P95" s="105"/>
      <c r="Q95" s="105"/>
      <c r="R95" s="105"/>
      <c r="S95" s="105"/>
      <c r="T95" s="105"/>
      <c r="U95" s="106"/>
    </row>
    <row r="96" spans="1:21" ht="97.5" customHeight="1" x14ac:dyDescent="0.2">
      <c r="B96" s="164"/>
      <c r="C96" s="27" t="s">
        <v>70</v>
      </c>
      <c r="D96" s="101" t="s">
        <v>201</v>
      </c>
      <c r="E96" s="102"/>
      <c r="F96" s="102"/>
      <c r="G96" s="102"/>
      <c r="H96" s="102"/>
      <c r="I96" s="102"/>
      <c r="J96" s="102"/>
      <c r="K96" s="102"/>
      <c r="L96" s="102"/>
      <c r="M96" s="102"/>
      <c r="N96" s="102"/>
      <c r="O96" s="102"/>
      <c r="P96" s="102"/>
      <c r="Q96" s="102"/>
      <c r="R96" s="102"/>
      <c r="S96" s="102"/>
      <c r="T96" s="102"/>
      <c r="U96" s="103"/>
    </row>
    <row r="97" spans="1:33" ht="97.5" customHeight="1" x14ac:dyDescent="0.2">
      <c r="B97" s="162" t="s">
        <v>74</v>
      </c>
      <c r="C97" s="23" t="s">
        <v>56</v>
      </c>
      <c r="D97" s="104" t="s">
        <v>233</v>
      </c>
      <c r="E97" s="105"/>
      <c r="F97" s="105"/>
      <c r="G97" s="105"/>
      <c r="H97" s="105"/>
      <c r="I97" s="105"/>
      <c r="J97" s="105"/>
      <c r="K97" s="105"/>
      <c r="L97" s="105"/>
      <c r="M97" s="105"/>
      <c r="N97" s="105"/>
      <c r="O97" s="105"/>
      <c r="P97" s="105"/>
      <c r="Q97" s="105"/>
      <c r="R97" s="105"/>
      <c r="S97" s="105"/>
      <c r="T97" s="105"/>
      <c r="U97" s="106"/>
    </row>
    <row r="98" spans="1:33" ht="97.5" customHeight="1" x14ac:dyDescent="0.2">
      <c r="B98" s="164"/>
      <c r="C98" s="26" t="s">
        <v>58</v>
      </c>
      <c r="D98" s="101" t="s">
        <v>207</v>
      </c>
      <c r="E98" s="102"/>
      <c r="F98" s="102"/>
      <c r="G98" s="102"/>
      <c r="H98" s="102"/>
      <c r="I98" s="102"/>
      <c r="J98" s="102"/>
      <c r="K98" s="102"/>
      <c r="L98" s="102"/>
      <c r="M98" s="102"/>
      <c r="N98" s="102"/>
      <c r="O98" s="102"/>
      <c r="P98" s="102"/>
      <c r="Q98" s="102"/>
      <c r="R98" s="102"/>
      <c r="S98" s="102"/>
      <c r="T98" s="102"/>
      <c r="U98" s="103"/>
    </row>
    <row r="99" spans="1:33" ht="118.2" customHeight="1" x14ac:dyDescent="0.2">
      <c r="B99" s="162" t="s">
        <v>75</v>
      </c>
      <c r="C99" s="25" t="s">
        <v>55</v>
      </c>
      <c r="D99" s="104" t="s">
        <v>228</v>
      </c>
      <c r="E99" s="105"/>
      <c r="F99" s="105"/>
      <c r="G99" s="105"/>
      <c r="H99" s="105"/>
      <c r="I99" s="105"/>
      <c r="J99" s="105"/>
      <c r="K99" s="105"/>
      <c r="L99" s="105"/>
      <c r="M99" s="105"/>
      <c r="N99" s="105"/>
      <c r="O99" s="105"/>
      <c r="P99" s="105"/>
      <c r="Q99" s="105"/>
      <c r="R99" s="105"/>
      <c r="S99" s="105"/>
      <c r="T99" s="105"/>
      <c r="U99" s="106"/>
    </row>
    <row r="100" spans="1:33" ht="97.5" customHeight="1" x14ac:dyDescent="0.2">
      <c r="B100" s="163"/>
      <c r="C100" s="28" t="s">
        <v>71</v>
      </c>
      <c r="D100" s="107" t="s">
        <v>205</v>
      </c>
      <c r="E100" s="108"/>
      <c r="F100" s="108"/>
      <c r="G100" s="108"/>
      <c r="H100" s="108"/>
      <c r="I100" s="108"/>
      <c r="J100" s="108"/>
      <c r="K100" s="108"/>
      <c r="L100" s="108"/>
      <c r="M100" s="108"/>
      <c r="N100" s="108"/>
      <c r="O100" s="108"/>
      <c r="P100" s="108"/>
      <c r="Q100" s="108"/>
      <c r="R100" s="108"/>
      <c r="S100" s="108"/>
      <c r="T100" s="108"/>
      <c r="U100" s="109"/>
    </row>
    <row r="101" spans="1:33" ht="97.5" customHeight="1" x14ac:dyDescent="0.2">
      <c r="B101" s="164"/>
      <c r="C101" s="27" t="s">
        <v>72</v>
      </c>
      <c r="D101" s="101" t="s">
        <v>203</v>
      </c>
      <c r="E101" s="102"/>
      <c r="F101" s="102"/>
      <c r="G101" s="102"/>
      <c r="H101" s="102"/>
      <c r="I101" s="102"/>
      <c r="J101" s="102"/>
      <c r="K101" s="102"/>
      <c r="L101" s="102"/>
      <c r="M101" s="102"/>
      <c r="N101" s="102"/>
      <c r="O101" s="102"/>
      <c r="P101" s="102"/>
      <c r="Q101" s="102"/>
      <c r="R101" s="102"/>
      <c r="S101" s="102"/>
      <c r="T101" s="102"/>
      <c r="U101" s="103"/>
    </row>
    <row r="102" spans="1:33" ht="6" customHeight="1" x14ac:dyDescent="0.2"/>
    <row r="103" spans="1:33" ht="18.75" customHeight="1" x14ac:dyDescent="0.2">
      <c r="A103" s="1" t="s">
        <v>107</v>
      </c>
    </row>
    <row r="104" spans="1:33" ht="81.75" customHeight="1" x14ac:dyDescent="0.2">
      <c r="B104" s="153" t="s">
        <v>204</v>
      </c>
      <c r="C104" s="154"/>
      <c r="D104" s="154"/>
      <c r="E104" s="154"/>
      <c r="F104" s="154"/>
      <c r="G104" s="154"/>
      <c r="H104" s="154"/>
      <c r="I104" s="154"/>
      <c r="J104" s="154"/>
      <c r="K104" s="154"/>
      <c r="L104" s="154"/>
      <c r="M104" s="154"/>
      <c r="N104" s="154"/>
      <c r="O104" s="154"/>
      <c r="P104" s="154"/>
      <c r="Q104" s="154"/>
      <c r="R104" s="154"/>
      <c r="S104" s="154"/>
      <c r="T104" s="154"/>
      <c r="U104" s="155"/>
    </row>
    <row r="106" spans="1:33" ht="18.75" customHeight="1" x14ac:dyDescent="0.2">
      <c r="A106" s="73" t="s">
        <v>123</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125</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00" t="s">
        <v>129</v>
      </c>
      <c r="C108" s="100"/>
      <c r="D108" s="100"/>
      <c r="E108" s="100"/>
      <c r="F108" s="100"/>
      <c r="G108" s="100"/>
      <c r="H108" s="100"/>
      <c r="I108" s="100"/>
      <c r="J108" s="100"/>
      <c r="K108" s="100"/>
      <c r="L108" s="100"/>
      <c r="M108" s="100"/>
      <c r="N108" s="100"/>
      <c r="O108" s="100"/>
      <c r="P108" s="100"/>
      <c r="Q108" s="100"/>
      <c r="R108" s="100"/>
      <c r="S108" s="100"/>
      <c r="T108" s="100"/>
      <c r="U108" s="100"/>
      <c r="V108" s="69"/>
      <c r="W108" s="69"/>
      <c r="X108" s="69"/>
      <c r="Y108" s="69"/>
      <c r="Z108" s="69"/>
      <c r="AA108" s="69"/>
      <c r="AB108" s="69"/>
      <c r="AC108" s="69"/>
      <c r="AD108" s="69"/>
      <c r="AE108" s="69"/>
      <c r="AF108" s="69"/>
      <c r="AG108" s="69"/>
    </row>
    <row r="109" spans="1:33" ht="37.200000000000003" customHeight="1" x14ac:dyDescent="0.2">
      <c r="A109" s="73"/>
      <c r="B109" s="100"/>
      <c r="C109" s="100"/>
      <c r="D109" s="100"/>
      <c r="E109" s="100"/>
      <c r="F109" s="100"/>
      <c r="G109" s="100"/>
      <c r="H109" s="100"/>
      <c r="I109" s="100"/>
      <c r="J109" s="100"/>
      <c r="K109" s="100"/>
      <c r="L109" s="100"/>
      <c r="M109" s="100"/>
      <c r="N109" s="100"/>
      <c r="O109" s="100"/>
      <c r="P109" s="100"/>
      <c r="Q109" s="100"/>
      <c r="R109" s="100"/>
      <c r="S109" s="100"/>
      <c r="T109" s="100"/>
      <c r="U109" s="100"/>
      <c r="V109" s="69"/>
      <c r="W109" s="69"/>
      <c r="X109" s="69"/>
      <c r="Y109" s="69"/>
      <c r="Z109" s="69"/>
      <c r="AA109" s="69"/>
      <c r="AB109" s="69"/>
      <c r="AC109" s="69"/>
      <c r="AD109" s="69"/>
      <c r="AE109" s="69"/>
      <c r="AF109" s="69"/>
      <c r="AG109" s="69"/>
    </row>
    <row r="110" spans="1:33" ht="18.75" customHeight="1" x14ac:dyDescent="0.2">
      <c r="A110" s="73"/>
      <c r="B110" s="173" t="s">
        <v>124</v>
      </c>
      <c r="C110" s="173"/>
      <c r="D110" s="173"/>
      <c r="E110" s="173"/>
      <c r="F110" s="173"/>
      <c r="G110" s="173"/>
      <c r="H110" s="173"/>
      <c r="I110" s="173"/>
      <c r="J110" s="173"/>
      <c r="K110" s="173"/>
      <c r="L110" s="173"/>
      <c r="M110" s="173"/>
      <c r="N110" s="173"/>
      <c r="O110" s="173"/>
      <c r="P110" s="173"/>
      <c r="Q110" s="173"/>
      <c r="R110" s="173"/>
      <c r="S110" s="173"/>
      <c r="T110" s="173"/>
      <c r="U110" s="173"/>
      <c r="V110" s="69"/>
      <c r="W110" s="69"/>
      <c r="X110" s="69"/>
      <c r="Y110" s="69"/>
      <c r="Z110" s="69"/>
      <c r="AA110" s="69"/>
      <c r="AB110" s="69"/>
      <c r="AC110" s="69"/>
      <c r="AD110" s="69"/>
      <c r="AE110" s="69"/>
      <c r="AF110" s="69"/>
      <c r="AG110" s="69"/>
    </row>
    <row r="111" spans="1:33" ht="18.75" customHeight="1" x14ac:dyDescent="0.2">
      <c r="A111" s="73"/>
      <c r="B111" s="174" t="s">
        <v>53</v>
      </c>
      <c r="C111" s="174"/>
      <c r="D111" s="174"/>
      <c r="E111" s="174"/>
      <c r="F111" s="174"/>
      <c r="G111" s="174"/>
      <c r="H111" s="174"/>
      <c r="I111" s="174"/>
      <c r="J111" s="174"/>
      <c r="K111" s="174"/>
      <c r="L111" s="174"/>
      <c r="M111" s="174"/>
      <c r="N111" s="174"/>
      <c r="O111" s="174"/>
      <c r="P111" s="174"/>
      <c r="Q111" s="174"/>
      <c r="R111" s="174"/>
      <c r="S111" s="174"/>
      <c r="T111" s="174"/>
      <c r="U111" s="174"/>
      <c r="V111" s="68"/>
      <c r="W111" s="68"/>
      <c r="X111" s="68"/>
      <c r="Y111" s="68"/>
      <c r="Z111" s="68"/>
      <c r="AA111" s="68"/>
      <c r="AB111" s="68"/>
      <c r="AC111" s="68"/>
      <c r="AD111" s="68"/>
      <c r="AE111" s="68"/>
      <c r="AF111" s="68"/>
      <c r="AG111" s="68"/>
    </row>
    <row r="112" spans="1:33" ht="132" customHeight="1" x14ac:dyDescent="0.2">
      <c r="A112" s="73"/>
      <c r="B112" s="175" t="s">
        <v>198</v>
      </c>
      <c r="C112" s="175"/>
      <c r="D112" s="175"/>
      <c r="E112" s="175"/>
      <c r="F112" s="175"/>
      <c r="G112" s="175"/>
      <c r="H112" s="175"/>
      <c r="I112" s="175"/>
      <c r="J112" s="175"/>
      <c r="K112" s="175"/>
      <c r="L112" s="175"/>
      <c r="M112" s="175"/>
      <c r="N112" s="175"/>
      <c r="O112" s="175"/>
      <c r="P112" s="175"/>
      <c r="Q112" s="175"/>
      <c r="R112" s="175"/>
      <c r="S112" s="175"/>
      <c r="T112" s="175"/>
      <c r="U112" s="175"/>
      <c r="V112" s="70"/>
      <c r="W112" s="70"/>
      <c r="X112" s="70"/>
      <c r="Y112" s="70"/>
      <c r="Z112" s="70"/>
      <c r="AA112" s="70"/>
      <c r="AB112" s="70"/>
      <c r="AC112" s="70"/>
      <c r="AD112" s="70"/>
      <c r="AE112" s="70"/>
      <c r="AF112" s="70"/>
      <c r="AG112" s="70"/>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6EFFE-2CAA-4CB7-AA76-F7C3DBDF0229}">
  <sheetPr codeName="Sheet2">
    <pageSetUpPr fitToPage="1"/>
  </sheetPr>
  <dimension ref="A1:AG114"/>
  <sheetViews>
    <sheetView showZeros="0" view="pageBreakPreview" zoomScaleNormal="100" zoomScaleSheetLayoutView="100" workbookViewId="0">
      <selection activeCell="T1" sqref="T1:U1"/>
    </sheetView>
  </sheetViews>
  <sheetFormatPr defaultColWidth="9" defaultRowHeight="18.75" customHeight="1" x14ac:dyDescent="0.2"/>
  <cols>
    <col min="1" max="1" width="2.44140625" style="89" customWidth="1"/>
    <col min="2" max="2" width="16.44140625" style="89" customWidth="1"/>
    <col min="3" max="21" width="5.6640625" style="89" customWidth="1"/>
    <col min="22" max="22" width="9" style="89"/>
    <col min="23" max="23" width="3.6640625" style="89" customWidth="1"/>
    <col min="24" max="24" width="48.6640625" style="89" hidden="1" customWidth="1"/>
    <col min="25" max="16384" width="9" style="89"/>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35" t="s">
        <v>144</v>
      </c>
      <c r="U1" s="135"/>
      <c r="V1" s="2" t="s">
        <v>98</v>
      </c>
    </row>
    <row r="2" spans="1:24" ht="18.75" customHeight="1" x14ac:dyDescent="0.2">
      <c r="A2" s="75"/>
      <c r="B2" s="87" t="s">
        <v>97</v>
      </c>
      <c r="C2" s="136" t="s">
        <v>135</v>
      </c>
      <c r="D2" s="137"/>
      <c r="E2" s="137"/>
      <c r="F2" s="137"/>
      <c r="G2" s="137"/>
      <c r="H2" s="137"/>
      <c r="I2" s="137"/>
      <c r="J2" s="138"/>
      <c r="K2" s="86"/>
      <c r="L2" s="78"/>
      <c r="M2" s="78"/>
      <c r="N2" s="78"/>
      <c r="O2" s="78"/>
      <c r="P2" s="78"/>
      <c r="Q2" s="78"/>
      <c r="R2" s="78"/>
      <c r="S2" s="78"/>
      <c r="T2" s="78"/>
      <c r="U2" s="78"/>
    </row>
    <row r="3" spans="1:24" ht="18.75" customHeight="1" x14ac:dyDescent="0.2">
      <c r="A3" s="75"/>
      <c r="B3" s="87" t="s">
        <v>92</v>
      </c>
      <c r="C3" s="139" t="s">
        <v>136</v>
      </c>
      <c r="D3" s="140"/>
      <c r="E3" s="140"/>
      <c r="F3" s="140"/>
      <c r="G3" s="140"/>
      <c r="H3" s="140"/>
      <c r="I3" s="140"/>
      <c r="J3" s="141"/>
      <c r="K3" s="86"/>
      <c r="L3" s="78"/>
      <c r="M3" s="78"/>
      <c r="N3" s="78"/>
      <c r="O3" s="78"/>
      <c r="P3" s="78"/>
      <c r="Q3" s="78"/>
      <c r="R3" s="78"/>
      <c r="S3" s="78"/>
      <c r="T3" s="78"/>
      <c r="U3" s="78"/>
    </row>
    <row r="4" spans="1:24" ht="15" customHeight="1" x14ac:dyDescent="0.2">
      <c r="A4" s="75"/>
      <c r="B4" s="75"/>
      <c r="C4" s="75"/>
      <c r="D4" s="75"/>
      <c r="E4" s="75"/>
      <c r="F4" s="75"/>
      <c r="G4" s="75"/>
      <c r="H4" s="75"/>
      <c r="I4" s="75"/>
      <c r="J4" s="75"/>
      <c r="K4" s="75"/>
      <c r="L4" s="86"/>
      <c r="M4" s="79"/>
      <c r="N4" s="79"/>
      <c r="O4" s="79"/>
      <c r="P4" s="79"/>
      <c r="Q4" s="79"/>
      <c r="R4" s="79"/>
      <c r="S4" s="79"/>
      <c r="T4" s="79"/>
      <c r="U4" s="79"/>
    </row>
    <row r="5" spans="1:24" ht="18" customHeight="1" x14ac:dyDescent="0.2">
      <c r="A5" s="142" t="s">
        <v>37</v>
      </c>
      <c r="B5" s="142"/>
      <c r="C5" s="142"/>
      <c r="D5" s="142"/>
      <c r="E5" s="142"/>
      <c r="F5" s="142"/>
      <c r="G5" s="142"/>
      <c r="H5" s="142"/>
      <c r="I5" s="142"/>
      <c r="J5" s="142"/>
      <c r="K5" s="142"/>
      <c r="L5" s="142"/>
      <c r="M5" s="142"/>
      <c r="N5" s="142"/>
      <c r="O5" s="142"/>
      <c r="P5" s="142"/>
      <c r="Q5" s="142"/>
      <c r="R5" s="142"/>
      <c r="S5" s="142"/>
      <c r="T5" s="142"/>
      <c r="U5" s="142"/>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130</v>
      </c>
      <c r="B7" s="80"/>
      <c r="C7" s="80"/>
      <c r="D7" s="80"/>
      <c r="E7" s="80"/>
      <c r="F7" s="81"/>
      <c r="G7" s="81"/>
      <c r="H7" s="81"/>
      <c r="I7" s="81"/>
      <c r="J7" s="81"/>
      <c r="K7" s="81"/>
      <c r="L7" s="113" t="s">
        <v>128</v>
      </c>
      <c r="M7" s="114"/>
      <c r="N7" s="114"/>
      <c r="O7" s="114"/>
      <c r="P7" s="114"/>
      <c r="Q7" s="114"/>
      <c r="R7" s="114"/>
      <c r="S7" s="114"/>
      <c r="T7" s="114"/>
      <c r="U7" s="115"/>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131</v>
      </c>
      <c r="B9" s="75"/>
      <c r="C9" s="80"/>
      <c r="D9" s="80"/>
      <c r="E9" s="75"/>
      <c r="F9" s="75"/>
      <c r="G9" s="75"/>
      <c r="H9" s="75"/>
      <c r="I9" s="75"/>
      <c r="J9" s="75"/>
      <c r="K9" s="86"/>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76" t="s">
        <v>145</v>
      </c>
      <c r="C11" s="177"/>
      <c r="D11" s="177"/>
      <c r="E11" s="177"/>
      <c r="F11" s="177"/>
      <c r="G11" s="177"/>
      <c r="H11" s="177"/>
      <c r="I11" s="177"/>
      <c r="J11" s="177"/>
      <c r="K11" s="177"/>
      <c r="L11" s="177"/>
      <c r="M11" s="177"/>
      <c r="N11" s="177"/>
      <c r="O11" s="177"/>
      <c r="P11" s="177"/>
      <c r="Q11" s="177"/>
      <c r="R11" s="177"/>
      <c r="S11" s="177"/>
      <c r="T11" s="177"/>
      <c r="U11" s="178"/>
    </row>
    <row r="12" spans="1:24" ht="18" customHeight="1" x14ac:dyDescent="0.2">
      <c r="A12" s="75"/>
      <c r="B12" s="179"/>
      <c r="C12" s="180"/>
      <c r="D12" s="180"/>
      <c r="E12" s="180"/>
      <c r="F12" s="180"/>
      <c r="G12" s="180"/>
      <c r="H12" s="180"/>
      <c r="I12" s="180"/>
      <c r="J12" s="180"/>
      <c r="K12" s="180"/>
      <c r="L12" s="180"/>
      <c r="M12" s="180"/>
      <c r="N12" s="180"/>
      <c r="O12" s="180"/>
      <c r="P12" s="180"/>
      <c r="Q12" s="180"/>
      <c r="R12" s="180"/>
      <c r="S12" s="180"/>
      <c r="T12" s="180"/>
      <c r="U12" s="181"/>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99</v>
      </c>
      <c r="B14" s="80"/>
      <c r="C14" s="80"/>
      <c r="D14" s="80"/>
      <c r="E14" s="86"/>
      <c r="F14" s="86"/>
      <c r="G14" s="86"/>
      <c r="H14" s="86"/>
      <c r="I14" s="86"/>
      <c r="J14" s="86"/>
      <c r="K14" s="86"/>
      <c r="L14" s="83"/>
      <c r="M14" s="83"/>
      <c r="N14" s="83"/>
      <c r="O14" s="83"/>
      <c r="P14" s="83"/>
      <c r="Q14" s="83"/>
      <c r="R14" s="83"/>
      <c r="S14" s="83"/>
      <c r="T14" s="83"/>
      <c r="U14" s="83"/>
    </row>
    <row r="15" spans="1:24" ht="18" customHeight="1" x14ac:dyDescent="0.2">
      <c r="A15" s="75"/>
      <c r="B15" s="143" t="s">
        <v>146</v>
      </c>
      <c r="C15" s="144"/>
      <c r="D15" s="144"/>
      <c r="E15" s="144"/>
      <c r="F15" s="144"/>
      <c r="G15" s="144"/>
      <c r="H15" s="144"/>
      <c r="I15" s="144"/>
      <c r="J15" s="144"/>
      <c r="K15" s="144"/>
      <c r="L15" s="144"/>
      <c r="M15" s="144"/>
      <c r="N15" s="144"/>
      <c r="O15" s="144"/>
      <c r="P15" s="144"/>
      <c r="Q15" s="144"/>
      <c r="R15" s="144"/>
      <c r="S15" s="144"/>
      <c r="T15" s="144"/>
      <c r="U15" s="145"/>
      <c r="X15" s="89" t="s">
        <v>93</v>
      </c>
    </row>
    <row r="16" spans="1:24" ht="18" customHeight="1" x14ac:dyDescent="0.2">
      <c r="A16" s="75"/>
      <c r="B16" s="146"/>
      <c r="C16" s="147"/>
      <c r="D16" s="147"/>
      <c r="E16" s="147"/>
      <c r="F16" s="147"/>
      <c r="G16" s="147"/>
      <c r="H16" s="147"/>
      <c r="I16" s="147"/>
      <c r="J16" s="147"/>
      <c r="K16" s="147"/>
      <c r="L16" s="147"/>
      <c r="M16" s="147"/>
      <c r="N16" s="147"/>
      <c r="O16" s="147"/>
      <c r="P16" s="147"/>
      <c r="Q16" s="147"/>
      <c r="R16" s="147"/>
      <c r="S16" s="147"/>
      <c r="T16" s="147"/>
      <c r="U16" s="148"/>
      <c r="X16" s="89" t="s">
        <v>113</v>
      </c>
    </row>
    <row r="17" spans="1:24" ht="18" customHeight="1" x14ac:dyDescent="0.2">
      <c r="A17" s="75"/>
      <c r="B17" s="146"/>
      <c r="C17" s="147"/>
      <c r="D17" s="147"/>
      <c r="E17" s="147"/>
      <c r="F17" s="147"/>
      <c r="G17" s="147"/>
      <c r="H17" s="147"/>
      <c r="I17" s="147"/>
      <c r="J17" s="147"/>
      <c r="K17" s="147"/>
      <c r="L17" s="147"/>
      <c r="M17" s="147"/>
      <c r="N17" s="147"/>
      <c r="O17" s="147"/>
      <c r="P17" s="147"/>
      <c r="Q17" s="147"/>
      <c r="R17" s="147"/>
      <c r="S17" s="147"/>
      <c r="T17" s="147"/>
      <c r="U17" s="148"/>
      <c r="X17" s="89" t="s">
        <v>114</v>
      </c>
    </row>
    <row r="18" spans="1:24" ht="18" customHeight="1" x14ac:dyDescent="0.2">
      <c r="A18" s="75"/>
      <c r="B18" s="146"/>
      <c r="C18" s="147"/>
      <c r="D18" s="147"/>
      <c r="E18" s="147"/>
      <c r="F18" s="147"/>
      <c r="G18" s="147"/>
      <c r="H18" s="147"/>
      <c r="I18" s="147"/>
      <c r="J18" s="147"/>
      <c r="K18" s="147"/>
      <c r="L18" s="147"/>
      <c r="M18" s="147"/>
      <c r="N18" s="147"/>
      <c r="O18" s="147"/>
      <c r="P18" s="147"/>
      <c r="Q18" s="147"/>
      <c r="R18" s="147"/>
      <c r="S18" s="147"/>
      <c r="T18" s="147"/>
      <c r="U18" s="148"/>
      <c r="X18" s="89" t="s">
        <v>115</v>
      </c>
    </row>
    <row r="19" spans="1:24" ht="18" customHeight="1" x14ac:dyDescent="0.2">
      <c r="A19" s="75"/>
      <c r="B19" s="146"/>
      <c r="C19" s="147"/>
      <c r="D19" s="147"/>
      <c r="E19" s="147"/>
      <c r="F19" s="147"/>
      <c r="G19" s="147"/>
      <c r="H19" s="147"/>
      <c r="I19" s="147"/>
      <c r="J19" s="147"/>
      <c r="K19" s="147"/>
      <c r="L19" s="147"/>
      <c r="M19" s="147"/>
      <c r="N19" s="147"/>
      <c r="O19" s="147"/>
      <c r="P19" s="147"/>
      <c r="Q19" s="147"/>
      <c r="R19" s="147"/>
      <c r="S19" s="147"/>
      <c r="T19" s="147"/>
      <c r="U19" s="148"/>
    </row>
    <row r="20" spans="1:24" ht="18" customHeight="1" x14ac:dyDescent="0.2">
      <c r="A20" s="75"/>
      <c r="B20" s="149"/>
      <c r="C20" s="150"/>
      <c r="D20" s="150"/>
      <c r="E20" s="150"/>
      <c r="F20" s="150"/>
      <c r="G20" s="150"/>
      <c r="H20" s="150"/>
      <c r="I20" s="150"/>
      <c r="J20" s="150"/>
      <c r="K20" s="150"/>
      <c r="L20" s="150"/>
      <c r="M20" s="150"/>
      <c r="N20" s="150"/>
      <c r="O20" s="150"/>
      <c r="P20" s="150"/>
      <c r="Q20" s="150"/>
      <c r="R20" s="150"/>
      <c r="S20" s="150"/>
      <c r="T20" s="150"/>
      <c r="U20" s="151"/>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132</v>
      </c>
      <c r="C22" s="75"/>
      <c r="D22" s="75"/>
      <c r="E22" s="84">
        <v>2</v>
      </c>
      <c r="F22" s="75" t="s">
        <v>111</v>
      </c>
      <c r="G22" s="75"/>
      <c r="H22" s="91">
        <v>4</v>
      </c>
      <c r="I22" s="80" t="s">
        <v>112</v>
      </c>
      <c r="J22" s="80"/>
      <c r="K22" s="86"/>
      <c r="L22" s="75"/>
      <c r="M22" s="86" t="s">
        <v>108</v>
      </c>
      <c r="N22" s="110" t="s">
        <v>115</v>
      </c>
      <c r="O22" s="111"/>
      <c r="P22" s="111"/>
      <c r="Q22" s="111"/>
      <c r="R22" s="111"/>
      <c r="S22" s="111"/>
      <c r="T22" s="111"/>
      <c r="U22" s="112"/>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52" t="s">
        <v>100</v>
      </c>
      <c r="B24" s="152"/>
      <c r="C24" s="152"/>
      <c r="D24" s="152"/>
      <c r="E24" s="152"/>
      <c r="F24" s="152"/>
      <c r="G24" s="152"/>
      <c r="H24" s="152"/>
      <c r="I24" s="152"/>
      <c r="J24" s="152"/>
      <c r="K24" s="152"/>
      <c r="L24" s="152"/>
      <c r="M24" s="152"/>
      <c r="N24" s="152"/>
      <c r="O24" s="152"/>
      <c r="P24" s="152"/>
      <c r="Q24" s="152"/>
      <c r="R24" s="152"/>
      <c r="S24" s="152"/>
      <c r="T24" s="152"/>
      <c r="U24" s="152"/>
    </row>
    <row r="25" spans="1:24" ht="18" customHeight="1" x14ac:dyDescent="0.2">
      <c r="A25" s="152"/>
      <c r="B25" s="152"/>
      <c r="C25" s="152"/>
      <c r="D25" s="152"/>
      <c r="E25" s="152"/>
      <c r="F25" s="152"/>
      <c r="G25" s="152"/>
      <c r="H25" s="152"/>
      <c r="I25" s="152"/>
      <c r="J25" s="152"/>
      <c r="K25" s="152"/>
      <c r="L25" s="152"/>
      <c r="M25" s="152"/>
      <c r="N25" s="152"/>
      <c r="O25" s="152"/>
      <c r="P25" s="152"/>
      <c r="Q25" s="152"/>
      <c r="R25" s="152"/>
      <c r="S25" s="152"/>
      <c r="T25" s="152"/>
      <c r="U25" s="152"/>
    </row>
    <row r="26" spans="1:24" ht="18" customHeight="1" x14ac:dyDescent="0.2">
      <c r="B26" s="116" t="s">
        <v>51</v>
      </c>
      <c r="C26" s="117"/>
      <c r="D26" s="117"/>
      <c r="E26" s="117"/>
      <c r="F26" s="118"/>
      <c r="G26" s="51" t="s">
        <v>76</v>
      </c>
      <c r="H26" s="50" t="s">
        <v>79</v>
      </c>
      <c r="I26" s="17" t="s">
        <v>54</v>
      </c>
      <c r="J26" s="17" t="s">
        <v>57</v>
      </c>
      <c r="K26" s="116" t="s">
        <v>51</v>
      </c>
      <c r="L26" s="117"/>
      <c r="M26" s="117"/>
      <c r="N26" s="117"/>
      <c r="O26" s="117"/>
      <c r="P26" s="117"/>
      <c r="Q26" s="118"/>
      <c r="R26" s="51" t="s">
        <v>76</v>
      </c>
      <c r="S26" s="50" t="s">
        <v>79</v>
      </c>
      <c r="T26" s="17" t="s">
        <v>54</v>
      </c>
      <c r="U26" s="17" t="s">
        <v>57</v>
      </c>
    </row>
    <row r="27" spans="1:24" ht="18" customHeight="1" x14ac:dyDescent="0.2">
      <c r="B27" s="131" t="s">
        <v>147</v>
      </c>
      <c r="C27" s="132"/>
      <c r="D27" s="132"/>
      <c r="E27" s="132"/>
      <c r="F27" s="133"/>
      <c r="G27" s="18">
        <v>2</v>
      </c>
      <c r="H27" s="18" t="s">
        <v>139</v>
      </c>
      <c r="I27" s="18" t="s">
        <v>139</v>
      </c>
      <c r="J27" s="18" t="s">
        <v>139</v>
      </c>
      <c r="K27" s="131"/>
      <c r="L27" s="132"/>
      <c r="M27" s="132"/>
      <c r="N27" s="132"/>
      <c r="O27" s="132"/>
      <c r="P27" s="132"/>
      <c r="Q27" s="133"/>
      <c r="R27" s="18"/>
      <c r="S27" s="18"/>
      <c r="T27" s="18"/>
      <c r="U27" s="18"/>
    </row>
    <row r="28" spans="1:24" ht="18" customHeight="1" x14ac:dyDescent="0.2">
      <c r="B28" s="125" t="s">
        <v>148</v>
      </c>
      <c r="C28" s="126"/>
      <c r="D28" s="126"/>
      <c r="E28" s="126"/>
      <c r="F28" s="127"/>
      <c r="G28" s="19">
        <v>2</v>
      </c>
      <c r="H28" s="19" t="s">
        <v>139</v>
      </c>
      <c r="I28" s="19"/>
      <c r="J28" s="19" t="s">
        <v>139</v>
      </c>
      <c r="K28" s="125"/>
      <c r="L28" s="126"/>
      <c r="M28" s="126"/>
      <c r="N28" s="126"/>
      <c r="O28" s="126"/>
      <c r="P28" s="126"/>
      <c r="Q28" s="127"/>
      <c r="R28" s="19"/>
      <c r="S28" s="19"/>
      <c r="T28" s="19"/>
      <c r="U28" s="19"/>
    </row>
    <row r="29" spans="1:24" ht="18" customHeight="1" x14ac:dyDescent="0.2">
      <c r="B29" s="125"/>
      <c r="C29" s="126"/>
      <c r="D29" s="126"/>
      <c r="E29" s="126"/>
      <c r="F29" s="127"/>
      <c r="G29" s="19"/>
      <c r="H29" s="19"/>
      <c r="I29" s="19"/>
      <c r="J29" s="19"/>
      <c r="K29" s="125"/>
      <c r="L29" s="126"/>
      <c r="M29" s="126"/>
      <c r="N29" s="126"/>
      <c r="O29" s="126"/>
      <c r="P29" s="126"/>
      <c r="Q29" s="127"/>
      <c r="R29" s="19"/>
      <c r="S29" s="19"/>
      <c r="T29" s="19"/>
      <c r="U29" s="19"/>
    </row>
    <row r="30" spans="1:24" ht="18" customHeight="1" x14ac:dyDescent="0.2">
      <c r="B30" s="125"/>
      <c r="C30" s="126"/>
      <c r="D30" s="126"/>
      <c r="E30" s="126"/>
      <c r="F30" s="127"/>
      <c r="G30" s="19"/>
      <c r="H30" s="19"/>
      <c r="I30" s="19"/>
      <c r="J30" s="19"/>
      <c r="K30" s="125"/>
      <c r="L30" s="126"/>
      <c r="M30" s="126"/>
      <c r="N30" s="126"/>
      <c r="O30" s="126"/>
      <c r="P30" s="126"/>
      <c r="Q30" s="127"/>
      <c r="R30" s="19"/>
      <c r="S30" s="19"/>
      <c r="T30" s="19"/>
      <c r="U30" s="19"/>
    </row>
    <row r="31" spans="1:24" ht="18" customHeight="1" x14ac:dyDescent="0.2">
      <c r="B31" s="125"/>
      <c r="C31" s="126"/>
      <c r="D31" s="126"/>
      <c r="E31" s="126"/>
      <c r="F31" s="127"/>
      <c r="G31" s="19"/>
      <c r="H31" s="19"/>
      <c r="I31" s="19"/>
      <c r="J31" s="19"/>
      <c r="K31" s="125"/>
      <c r="L31" s="126"/>
      <c r="M31" s="126"/>
      <c r="N31" s="126"/>
      <c r="O31" s="126"/>
      <c r="P31" s="126"/>
      <c r="Q31" s="127"/>
      <c r="R31" s="19"/>
      <c r="S31" s="19"/>
      <c r="T31" s="19"/>
      <c r="U31" s="19"/>
    </row>
    <row r="32" spans="1:24" ht="18" customHeight="1" x14ac:dyDescent="0.2">
      <c r="A32" s="88"/>
      <c r="B32" s="125"/>
      <c r="C32" s="126"/>
      <c r="D32" s="126"/>
      <c r="E32" s="126"/>
      <c r="F32" s="127"/>
      <c r="G32" s="19"/>
      <c r="H32" s="19"/>
      <c r="I32" s="19"/>
      <c r="J32" s="19"/>
      <c r="K32" s="125"/>
      <c r="L32" s="126"/>
      <c r="M32" s="126"/>
      <c r="N32" s="126"/>
      <c r="O32" s="126"/>
      <c r="P32" s="126"/>
      <c r="Q32" s="127"/>
      <c r="R32" s="19"/>
      <c r="S32" s="19"/>
      <c r="T32" s="19"/>
      <c r="U32" s="19"/>
    </row>
    <row r="33" spans="1:21" ht="18" customHeight="1" x14ac:dyDescent="0.2">
      <c r="A33" s="88"/>
      <c r="B33" s="128"/>
      <c r="C33" s="129"/>
      <c r="D33" s="129"/>
      <c r="E33" s="129"/>
      <c r="F33" s="130"/>
      <c r="G33" s="20"/>
      <c r="H33" s="20"/>
      <c r="I33" s="21"/>
      <c r="J33" s="21"/>
      <c r="K33" s="128"/>
      <c r="L33" s="129"/>
      <c r="M33" s="129"/>
      <c r="N33" s="129"/>
      <c r="O33" s="129"/>
      <c r="P33" s="129"/>
      <c r="Q33" s="130"/>
      <c r="R33" s="20"/>
      <c r="S33" s="20"/>
      <c r="T33" s="21"/>
      <c r="U33" s="21"/>
    </row>
    <row r="34" spans="1:21" ht="7.5" customHeight="1" x14ac:dyDescent="0.2">
      <c r="A34" s="88"/>
      <c r="B34" s="6"/>
      <c r="C34" s="6"/>
      <c r="D34" s="6"/>
      <c r="E34" s="88"/>
      <c r="F34" s="88"/>
      <c r="G34" s="88"/>
      <c r="H34" s="88"/>
      <c r="I34" s="6"/>
      <c r="J34" s="6"/>
      <c r="K34" s="6"/>
      <c r="L34" s="6"/>
      <c r="M34" s="6"/>
      <c r="N34" s="6"/>
      <c r="O34" s="6"/>
      <c r="P34" s="6"/>
      <c r="Q34" s="6"/>
      <c r="R34" s="6"/>
      <c r="S34" s="6"/>
      <c r="T34" s="6"/>
      <c r="U34" s="88"/>
    </row>
    <row r="35" spans="1:21" ht="18" customHeight="1" x14ac:dyDescent="0.2">
      <c r="A35" s="134" t="s">
        <v>101</v>
      </c>
      <c r="B35" s="134"/>
      <c r="C35" s="134"/>
      <c r="D35" s="134"/>
      <c r="E35" s="134"/>
      <c r="F35" s="134"/>
      <c r="G35" s="134"/>
      <c r="H35" s="134"/>
      <c r="I35" s="134"/>
      <c r="J35" s="134"/>
      <c r="K35" s="134"/>
      <c r="L35" s="134"/>
      <c r="M35" s="134"/>
      <c r="N35" s="134"/>
      <c r="O35" s="134"/>
      <c r="P35" s="134"/>
      <c r="Q35" s="134"/>
      <c r="R35" s="134"/>
      <c r="S35" s="134"/>
      <c r="T35" s="134"/>
      <c r="U35" s="134"/>
    </row>
    <row r="36" spans="1:21" ht="18"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row>
    <row r="37" spans="1:21" ht="18" customHeight="1" x14ac:dyDescent="0.2">
      <c r="B37" s="116" t="s">
        <v>51</v>
      </c>
      <c r="C37" s="117"/>
      <c r="D37" s="117"/>
      <c r="E37" s="117"/>
      <c r="F37" s="118"/>
      <c r="G37" s="51" t="s">
        <v>76</v>
      </c>
      <c r="H37" s="50" t="s">
        <v>79</v>
      </c>
      <c r="I37" s="17" t="s">
        <v>67</v>
      </c>
      <c r="J37" s="17" t="s">
        <v>68</v>
      </c>
      <c r="K37" s="116" t="s">
        <v>51</v>
      </c>
      <c r="L37" s="117"/>
      <c r="M37" s="117"/>
      <c r="N37" s="117"/>
      <c r="O37" s="117"/>
      <c r="P37" s="117"/>
      <c r="Q37" s="118"/>
      <c r="R37" s="51" t="s">
        <v>76</v>
      </c>
      <c r="S37" s="50" t="s">
        <v>79</v>
      </c>
      <c r="T37" s="17" t="s">
        <v>67</v>
      </c>
      <c r="U37" s="17" t="s">
        <v>68</v>
      </c>
    </row>
    <row r="38" spans="1:21" ht="18" customHeight="1" x14ac:dyDescent="0.2">
      <c r="B38" s="131" t="s">
        <v>147</v>
      </c>
      <c r="C38" s="132"/>
      <c r="D38" s="132"/>
      <c r="E38" s="132"/>
      <c r="F38" s="133"/>
      <c r="G38" s="18">
        <v>2</v>
      </c>
      <c r="H38" s="18" t="s">
        <v>139</v>
      </c>
      <c r="I38" s="18" t="s">
        <v>139</v>
      </c>
      <c r="J38" s="18" t="s">
        <v>139</v>
      </c>
      <c r="K38" s="131"/>
      <c r="L38" s="132"/>
      <c r="M38" s="132"/>
      <c r="N38" s="132"/>
      <c r="O38" s="132"/>
      <c r="P38" s="132"/>
      <c r="Q38" s="133"/>
      <c r="R38" s="18"/>
      <c r="S38" s="18"/>
      <c r="T38" s="18"/>
      <c r="U38" s="18"/>
    </row>
    <row r="39" spans="1:21" ht="18" customHeight="1" x14ac:dyDescent="0.2">
      <c r="B39" s="125" t="s">
        <v>148</v>
      </c>
      <c r="C39" s="126"/>
      <c r="D39" s="126"/>
      <c r="E39" s="126"/>
      <c r="F39" s="127"/>
      <c r="G39" s="19">
        <v>2</v>
      </c>
      <c r="H39" s="19" t="s">
        <v>139</v>
      </c>
      <c r="I39" s="19" t="s">
        <v>139</v>
      </c>
      <c r="J39" s="19"/>
      <c r="K39" s="125"/>
      <c r="L39" s="126"/>
      <c r="M39" s="126"/>
      <c r="N39" s="126"/>
      <c r="O39" s="126"/>
      <c r="P39" s="126"/>
      <c r="Q39" s="127"/>
      <c r="R39" s="19"/>
      <c r="S39" s="19"/>
      <c r="T39" s="19"/>
      <c r="U39" s="19"/>
    </row>
    <row r="40" spans="1:21" ht="18" customHeight="1" x14ac:dyDescent="0.2">
      <c r="B40" s="125"/>
      <c r="C40" s="126"/>
      <c r="D40" s="126"/>
      <c r="E40" s="126"/>
      <c r="F40" s="127"/>
      <c r="G40" s="19"/>
      <c r="H40" s="19"/>
      <c r="I40" s="19"/>
      <c r="J40" s="19"/>
      <c r="K40" s="125"/>
      <c r="L40" s="126"/>
      <c r="M40" s="126"/>
      <c r="N40" s="126"/>
      <c r="O40" s="126"/>
      <c r="P40" s="126"/>
      <c r="Q40" s="127"/>
      <c r="R40" s="19"/>
      <c r="S40" s="19"/>
      <c r="T40" s="19"/>
      <c r="U40" s="19"/>
    </row>
    <row r="41" spans="1:21" ht="18" customHeight="1" x14ac:dyDescent="0.2">
      <c r="B41" s="125"/>
      <c r="C41" s="126"/>
      <c r="D41" s="126"/>
      <c r="E41" s="126"/>
      <c r="F41" s="127"/>
      <c r="G41" s="19"/>
      <c r="H41" s="19"/>
      <c r="I41" s="19"/>
      <c r="J41" s="19"/>
      <c r="K41" s="125"/>
      <c r="L41" s="126"/>
      <c r="M41" s="126"/>
      <c r="N41" s="126"/>
      <c r="O41" s="126"/>
      <c r="P41" s="126"/>
      <c r="Q41" s="127"/>
      <c r="R41" s="19"/>
      <c r="S41" s="19"/>
      <c r="T41" s="19"/>
      <c r="U41" s="19"/>
    </row>
    <row r="42" spans="1:21" ht="18" customHeight="1" x14ac:dyDescent="0.2">
      <c r="B42" s="125"/>
      <c r="C42" s="126"/>
      <c r="D42" s="126"/>
      <c r="E42" s="126"/>
      <c r="F42" s="127"/>
      <c r="G42" s="19"/>
      <c r="H42" s="19"/>
      <c r="I42" s="19"/>
      <c r="J42" s="19"/>
      <c r="K42" s="125"/>
      <c r="L42" s="126"/>
      <c r="M42" s="126"/>
      <c r="N42" s="126"/>
      <c r="O42" s="126"/>
      <c r="P42" s="126"/>
      <c r="Q42" s="127"/>
      <c r="R42" s="19"/>
      <c r="S42" s="19"/>
      <c r="T42" s="19"/>
      <c r="U42" s="19"/>
    </row>
    <row r="43" spans="1:21" ht="18" customHeight="1" x14ac:dyDescent="0.2">
      <c r="B43" s="125"/>
      <c r="C43" s="126"/>
      <c r="D43" s="126"/>
      <c r="E43" s="126"/>
      <c r="F43" s="127"/>
      <c r="G43" s="19"/>
      <c r="H43" s="19"/>
      <c r="I43" s="19"/>
      <c r="J43" s="19"/>
      <c r="K43" s="125"/>
      <c r="L43" s="126"/>
      <c r="M43" s="126"/>
      <c r="N43" s="126"/>
      <c r="O43" s="126"/>
      <c r="P43" s="126"/>
      <c r="Q43" s="127"/>
      <c r="R43" s="19"/>
      <c r="S43" s="19"/>
      <c r="T43" s="19"/>
      <c r="U43" s="19"/>
    </row>
    <row r="44" spans="1:21" ht="18" customHeight="1" x14ac:dyDescent="0.2">
      <c r="B44" s="128"/>
      <c r="C44" s="129"/>
      <c r="D44" s="129"/>
      <c r="E44" s="129"/>
      <c r="F44" s="130"/>
      <c r="G44" s="20"/>
      <c r="H44" s="20"/>
      <c r="I44" s="21"/>
      <c r="J44" s="21"/>
      <c r="K44" s="128"/>
      <c r="L44" s="129"/>
      <c r="M44" s="129"/>
      <c r="N44" s="129"/>
      <c r="O44" s="129"/>
      <c r="P44" s="129"/>
      <c r="Q44" s="130"/>
      <c r="R44" s="20"/>
      <c r="S44" s="20"/>
      <c r="T44" s="21"/>
      <c r="U44" s="21"/>
    </row>
    <row r="45" spans="1:21" ht="7.5" customHeight="1" x14ac:dyDescent="0.2">
      <c r="A45" s="88"/>
      <c r="B45" s="6"/>
      <c r="C45" s="6"/>
      <c r="D45" s="6"/>
      <c r="E45" s="88"/>
      <c r="F45" s="88"/>
      <c r="G45" s="88"/>
      <c r="H45" s="88"/>
      <c r="I45" s="6"/>
      <c r="J45" s="6"/>
      <c r="K45" s="6"/>
      <c r="L45" s="6"/>
      <c r="M45" s="6"/>
      <c r="N45" s="6"/>
      <c r="O45" s="6"/>
      <c r="P45" s="6"/>
      <c r="Q45" s="6"/>
      <c r="R45" s="6"/>
      <c r="S45" s="6"/>
      <c r="T45" s="6"/>
      <c r="U45" s="88"/>
    </row>
    <row r="46" spans="1:21" ht="18" customHeight="1" x14ac:dyDescent="0.2">
      <c r="A46" s="134" t="s">
        <v>102</v>
      </c>
      <c r="B46" s="134"/>
      <c r="C46" s="134"/>
      <c r="D46" s="134"/>
      <c r="E46" s="134"/>
      <c r="F46" s="134"/>
      <c r="G46" s="134"/>
      <c r="H46" s="134"/>
      <c r="I46" s="134"/>
      <c r="J46" s="134"/>
      <c r="K46" s="134"/>
      <c r="L46" s="134"/>
      <c r="M46" s="134"/>
      <c r="N46" s="134"/>
      <c r="O46" s="134"/>
      <c r="P46" s="134"/>
      <c r="Q46" s="134"/>
      <c r="R46" s="134"/>
      <c r="S46" s="134"/>
      <c r="T46" s="134"/>
      <c r="U46" s="134"/>
    </row>
    <row r="47" spans="1:21" ht="18"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row>
    <row r="48" spans="1:21" ht="18" customHeight="1" x14ac:dyDescent="0.2">
      <c r="B48" s="116" t="s">
        <v>51</v>
      </c>
      <c r="C48" s="117"/>
      <c r="D48" s="117"/>
      <c r="E48" s="117"/>
      <c r="F48" s="118"/>
      <c r="G48" s="51" t="s">
        <v>76</v>
      </c>
      <c r="H48" s="50" t="s">
        <v>79</v>
      </c>
      <c r="I48" s="17" t="s">
        <v>69</v>
      </c>
      <c r="J48" s="17" t="s">
        <v>70</v>
      </c>
      <c r="K48" s="116" t="s">
        <v>51</v>
      </c>
      <c r="L48" s="117"/>
      <c r="M48" s="117"/>
      <c r="N48" s="117"/>
      <c r="O48" s="117"/>
      <c r="P48" s="117"/>
      <c r="Q48" s="118"/>
      <c r="R48" s="51" t="s">
        <v>76</v>
      </c>
      <c r="S48" s="50" t="s">
        <v>79</v>
      </c>
      <c r="T48" s="17" t="s">
        <v>69</v>
      </c>
      <c r="U48" s="17" t="s">
        <v>70</v>
      </c>
    </row>
    <row r="49" spans="1:21" ht="18" customHeight="1" x14ac:dyDescent="0.2">
      <c r="A49" s="88"/>
      <c r="B49" s="131" t="s">
        <v>147</v>
      </c>
      <c r="C49" s="132"/>
      <c r="D49" s="132"/>
      <c r="E49" s="132"/>
      <c r="F49" s="133"/>
      <c r="G49" s="18">
        <v>2</v>
      </c>
      <c r="H49" s="18" t="s">
        <v>139</v>
      </c>
      <c r="I49" s="18" t="s">
        <v>139</v>
      </c>
      <c r="J49" s="18" t="s">
        <v>139</v>
      </c>
      <c r="K49" s="131"/>
      <c r="L49" s="132"/>
      <c r="M49" s="132"/>
      <c r="N49" s="132"/>
      <c r="O49" s="132"/>
      <c r="P49" s="132"/>
      <c r="Q49" s="133"/>
      <c r="R49" s="18"/>
      <c r="S49" s="18"/>
      <c r="T49" s="18"/>
      <c r="U49" s="18"/>
    </row>
    <row r="50" spans="1:21" ht="18" customHeight="1" x14ac:dyDescent="0.2">
      <c r="A50" s="88"/>
      <c r="B50" s="125" t="s">
        <v>148</v>
      </c>
      <c r="C50" s="126"/>
      <c r="D50" s="126"/>
      <c r="E50" s="126"/>
      <c r="F50" s="127"/>
      <c r="G50" s="19">
        <v>2</v>
      </c>
      <c r="H50" s="19" t="s">
        <v>139</v>
      </c>
      <c r="I50" s="19" t="s">
        <v>139</v>
      </c>
      <c r="J50" s="19" t="s">
        <v>139</v>
      </c>
      <c r="K50" s="125"/>
      <c r="L50" s="126"/>
      <c r="M50" s="126"/>
      <c r="N50" s="126"/>
      <c r="O50" s="126"/>
      <c r="P50" s="126"/>
      <c r="Q50" s="127"/>
      <c r="R50" s="19"/>
      <c r="S50" s="19"/>
      <c r="T50" s="19"/>
      <c r="U50" s="19"/>
    </row>
    <row r="51" spans="1:21" ht="18" customHeight="1" x14ac:dyDescent="0.2">
      <c r="A51" s="88"/>
      <c r="B51" s="125"/>
      <c r="C51" s="126"/>
      <c r="D51" s="126"/>
      <c r="E51" s="126"/>
      <c r="F51" s="127"/>
      <c r="G51" s="19"/>
      <c r="H51" s="19"/>
      <c r="I51" s="19"/>
      <c r="J51" s="19"/>
      <c r="K51" s="125"/>
      <c r="L51" s="126"/>
      <c r="M51" s="126"/>
      <c r="N51" s="126"/>
      <c r="O51" s="126"/>
      <c r="P51" s="126"/>
      <c r="Q51" s="127"/>
      <c r="R51" s="19"/>
      <c r="S51" s="19"/>
      <c r="T51" s="19"/>
      <c r="U51" s="19"/>
    </row>
    <row r="52" spans="1:21" ht="18" customHeight="1" x14ac:dyDescent="0.2">
      <c r="A52" s="88"/>
      <c r="B52" s="125"/>
      <c r="C52" s="126"/>
      <c r="D52" s="126"/>
      <c r="E52" s="126"/>
      <c r="F52" s="127"/>
      <c r="G52" s="19"/>
      <c r="H52" s="19"/>
      <c r="I52" s="19"/>
      <c r="J52" s="19"/>
      <c r="K52" s="125"/>
      <c r="L52" s="126"/>
      <c r="M52" s="126"/>
      <c r="N52" s="126"/>
      <c r="O52" s="126"/>
      <c r="P52" s="126"/>
      <c r="Q52" s="127"/>
      <c r="R52" s="19"/>
      <c r="S52" s="19"/>
      <c r="T52" s="19"/>
      <c r="U52" s="19"/>
    </row>
    <row r="53" spans="1:21" ht="18" customHeight="1" x14ac:dyDescent="0.2">
      <c r="A53" s="88"/>
      <c r="B53" s="125"/>
      <c r="C53" s="126"/>
      <c r="D53" s="126"/>
      <c r="E53" s="126"/>
      <c r="F53" s="127"/>
      <c r="G53" s="19"/>
      <c r="H53" s="19"/>
      <c r="I53" s="19"/>
      <c r="J53" s="19"/>
      <c r="K53" s="125"/>
      <c r="L53" s="126"/>
      <c r="M53" s="126"/>
      <c r="N53" s="126"/>
      <c r="O53" s="126"/>
      <c r="P53" s="126"/>
      <c r="Q53" s="127"/>
      <c r="R53" s="19"/>
      <c r="S53" s="19"/>
      <c r="T53" s="19"/>
      <c r="U53" s="19"/>
    </row>
    <row r="54" spans="1:21" ht="18" customHeight="1" x14ac:dyDescent="0.2">
      <c r="A54" s="88"/>
      <c r="B54" s="125"/>
      <c r="C54" s="126"/>
      <c r="D54" s="126"/>
      <c r="E54" s="126"/>
      <c r="F54" s="127"/>
      <c r="G54" s="19"/>
      <c r="H54" s="19"/>
      <c r="I54" s="19"/>
      <c r="J54" s="19"/>
      <c r="K54" s="125"/>
      <c r="L54" s="126"/>
      <c r="M54" s="126"/>
      <c r="N54" s="126"/>
      <c r="O54" s="126"/>
      <c r="P54" s="126"/>
      <c r="Q54" s="127"/>
      <c r="R54" s="19"/>
      <c r="S54" s="19"/>
      <c r="T54" s="19"/>
      <c r="U54" s="19"/>
    </row>
    <row r="55" spans="1:21" ht="18" customHeight="1" x14ac:dyDescent="0.2">
      <c r="A55" s="88"/>
      <c r="B55" s="128"/>
      <c r="C55" s="129"/>
      <c r="D55" s="129"/>
      <c r="E55" s="129"/>
      <c r="F55" s="130"/>
      <c r="G55" s="20"/>
      <c r="H55" s="20"/>
      <c r="I55" s="21"/>
      <c r="J55" s="21"/>
      <c r="K55" s="128"/>
      <c r="L55" s="129"/>
      <c r="M55" s="129"/>
      <c r="N55" s="129"/>
      <c r="O55" s="129"/>
      <c r="P55" s="129"/>
      <c r="Q55" s="130"/>
      <c r="R55" s="20"/>
      <c r="S55" s="20"/>
      <c r="T55" s="21"/>
      <c r="U55" s="21"/>
    </row>
    <row r="56" spans="1:21" ht="7.5" customHeight="1" x14ac:dyDescent="0.2">
      <c r="B56" s="90"/>
      <c r="C56" s="90"/>
      <c r="D56" s="90"/>
      <c r="E56" s="90"/>
      <c r="F56" s="90"/>
      <c r="G56" s="90"/>
      <c r="H56" s="90"/>
      <c r="I56" s="90"/>
      <c r="J56" s="90"/>
      <c r="K56" s="90"/>
      <c r="L56" s="90"/>
      <c r="M56" s="90"/>
      <c r="N56" s="90"/>
      <c r="O56" s="90"/>
      <c r="P56" s="90"/>
      <c r="Q56" s="90"/>
      <c r="R56" s="90"/>
      <c r="S56" s="90"/>
      <c r="T56" s="90"/>
    </row>
    <row r="57" spans="1:21" ht="18" customHeight="1" x14ac:dyDescent="0.2">
      <c r="A57" s="134" t="s">
        <v>103</v>
      </c>
      <c r="B57" s="134"/>
      <c r="C57" s="134"/>
      <c r="D57" s="134"/>
      <c r="E57" s="134"/>
      <c r="F57" s="134"/>
      <c r="G57" s="134"/>
      <c r="H57" s="134"/>
      <c r="I57" s="134"/>
      <c r="J57" s="134"/>
      <c r="K57" s="134"/>
      <c r="L57" s="134"/>
      <c r="M57" s="134"/>
      <c r="N57" s="134"/>
      <c r="O57" s="134"/>
      <c r="P57" s="134"/>
      <c r="Q57" s="134"/>
      <c r="R57" s="134"/>
      <c r="S57" s="134"/>
      <c r="T57" s="134"/>
      <c r="U57" s="134"/>
    </row>
    <row r="58" spans="1:21" ht="18"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row>
    <row r="59" spans="1:21" ht="18" customHeight="1" x14ac:dyDescent="0.2">
      <c r="B59" s="116" t="s">
        <v>51</v>
      </c>
      <c r="C59" s="117"/>
      <c r="D59" s="117"/>
      <c r="E59" s="117"/>
      <c r="F59" s="118"/>
      <c r="G59" s="51" t="s">
        <v>76</v>
      </c>
      <c r="H59" s="50" t="s">
        <v>79</v>
      </c>
      <c r="I59" s="17" t="s">
        <v>56</v>
      </c>
      <c r="J59" s="17" t="s">
        <v>58</v>
      </c>
      <c r="K59" s="116" t="s">
        <v>51</v>
      </c>
      <c r="L59" s="117"/>
      <c r="M59" s="117"/>
      <c r="N59" s="117"/>
      <c r="O59" s="117"/>
      <c r="P59" s="117"/>
      <c r="Q59" s="118"/>
      <c r="R59" s="51" t="s">
        <v>76</v>
      </c>
      <c r="S59" s="50" t="s">
        <v>79</v>
      </c>
      <c r="T59" s="17" t="s">
        <v>56</v>
      </c>
      <c r="U59" s="17" t="s">
        <v>58</v>
      </c>
    </row>
    <row r="60" spans="1:21" ht="18" customHeight="1" x14ac:dyDescent="0.2">
      <c r="A60" s="88"/>
      <c r="B60" s="131" t="s">
        <v>147</v>
      </c>
      <c r="C60" s="132"/>
      <c r="D60" s="132"/>
      <c r="E60" s="132"/>
      <c r="F60" s="133"/>
      <c r="G60" s="18">
        <v>2</v>
      </c>
      <c r="H60" s="18" t="s">
        <v>139</v>
      </c>
      <c r="I60" s="18" t="s">
        <v>139</v>
      </c>
      <c r="J60" s="18" t="s">
        <v>139</v>
      </c>
      <c r="K60" s="131"/>
      <c r="L60" s="132"/>
      <c r="M60" s="132"/>
      <c r="N60" s="132"/>
      <c r="O60" s="132"/>
      <c r="P60" s="132"/>
      <c r="Q60" s="133"/>
      <c r="R60" s="18"/>
      <c r="S60" s="18"/>
      <c r="T60" s="18"/>
      <c r="U60" s="18"/>
    </row>
    <row r="61" spans="1:21" ht="18" customHeight="1" x14ac:dyDescent="0.2">
      <c r="A61" s="88"/>
      <c r="B61" s="125" t="s">
        <v>148</v>
      </c>
      <c r="C61" s="126"/>
      <c r="D61" s="126"/>
      <c r="E61" s="126"/>
      <c r="F61" s="127"/>
      <c r="G61" s="19">
        <v>2</v>
      </c>
      <c r="H61" s="19" t="s">
        <v>139</v>
      </c>
      <c r="I61" s="19" t="s">
        <v>139</v>
      </c>
      <c r="J61" s="19"/>
      <c r="K61" s="125"/>
      <c r="L61" s="126"/>
      <c r="M61" s="126"/>
      <c r="N61" s="126"/>
      <c r="O61" s="126"/>
      <c r="P61" s="126"/>
      <c r="Q61" s="127"/>
      <c r="R61" s="19"/>
      <c r="S61" s="19"/>
      <c r="T61" s="19"/>
      <c r="U61" s="19"/>
    </row>
    <row r="62" spans="1:21" ht="18" customHeight="1" x14ac:dyDescent="0.2">
      <c r="A62" s="88"/>
      <c r="B62" s="125"/>
      <c r="C62" s="126"/>
      <c r="D62" s="126"/>
      <c r="E62" s="126"/>
      <c r="F62" s="127"/>
      <c r="G62" s="19"/>
      <c r="H62" s="19"/>
      <c r="I62" s="19"/>
      <c r="J62" s="19"/>
      <c r="K62" s="125"/>
      <c r="L62" s="126"/>
      <c r="M62" s="126"/>
      <c r="N62" s="126"/>
      <c r="O62" s="126"/>
      <c r="P62" s="126"/>
      <c r="Q62" s="127"/>
      <c r="R62" s="19"/>
      <c r="S62" s="19"/>
      <c r="T62" s="19"/>
      <c r="U62" s="19"/>
    </row>
    <row r="63" spans="1:21" ht="18" customHeight="1" x14ac:dyDescent="0.2">
      <c r="A63" s="88"/>
      <c r="B63" s="125"/>
      <c r="C63" s="126"/>
      <c r="D63" s="126"/>
      <c r="E63" s="126"/>
      <c r="F63" s="127"/>
      <c r="G63" s="19"/>
      <c r="H63" s="19"/>
      <c r="I63" s="19"/>
      <c r="J63" s="19"/>
      <c r="K63" s="125"/>
      <c r="L63" s="126"/>
      <c r="M63" s="126"/>
      <c r="N63" s="126"/>
      <c r="O63" s="126"/>
      <c r="P63" s="126"/>
      <c r="Q63" s="127"/>
      <c r="R63" s="19"/>
      <c r="S63" s="19"/>
      <c r="T63" s="19"/>
      <c r="U63" s="19"/>
    </row>
    <row r="64" spans="1:21" ht="18" customHeight="1" x14ac:dyDescent="0.2">
      <c r="A64" s="88"/>
      <c r="B64" s="125"/>
      <c r="C64" s="126"/>
      <c r="D64" s="126"/>
      <c r="E64" s="126"/>
      <c r="F64" s="127"/>
      <c r="G64" s="19"/>
      <c r="H64" s="19"/>
      <c r="I64" s="19"/>
      <c r="J64" s="19"/>
      <c r="K64" s="125"/>
      <c r="L64" s="126"/>
      <c r="M64" s="126"/>
      <c r="N64" s="126"/>
      <c r="O64" s="126"/>
      <c r="P64" s="126"/>
      <c r="Q64" s="127"/>
      <c r="R64" s="19"/>
      <c r="S64" s="19"/>
      <c r="T64" s="19"/>
      <c r="U64" s="19"/>
    </row>
    <row r="65" spans="1:21" ht="18" customHeight="1" x14ac:dyDescent="0.2">
      <c r="A65" s="88"/>
      <c r="B65" s="125"/>
      <c r="C65" s="126"/>
      <c r="D65" s="126"/>
      <c r="E65" s="126"/>
      <c r="F65" s="127"/>
      <c r="G65" s="19"/>
      <c r="H65" s="19"/>
      <c r="I65" s="19"/>
      <c r="J65" s="19"/>
      <c r="K65" s="125"/>
      <c r="L65" s="126"/>
      <c r="M65" s="126"/>
      <c r="N65" s="126"/>
      <c r="O65" s="126"/>
      <c r="P65" s="126"/>
      <c r="Q65" s="127"/>
      <c r="R65" s="19"/>
      <c r="S65" s="19"/>
      <c r="T65" s="19"/>
      <c r="U65" s="19"/>
    </row>
    <row r="66" spans="1:21" ht="18" customHeight="1" x14ac:dyDescent="0.2">
      <c r="A66" s="88"/>
      <c r="B66" s="128"/>
      <c r="C66" s="129"/>
      <c r="D66" s="129"/>
      <c r="E66" s="129"/>
      <c r="F66" s="130"/>
      <c r="G66" s="20"/>
      <c r="H66" s="20"/>
      <c r="I66" s="21"/>
      <c r="J66" s="21"/>
      <c r="K66" s="128"/>
      <c r="L66" s="129"/>
      <c r="M66" s="129"/>
      <c r="N66" s="129"/>
      <c r="O66" s="129"/>
      <c r="P66" s="129"/>
      <c r="Q66" s="130"/>
      <c r="R66" s="20"/>
      <c r="S66" s="20"/>
      <c r="T66" s="21"/>
      <c r="U66" s="21"/>
    </row>
    <row r="67" spans="1:21" ht="7.5" customHeight="1" x14ac:dyDescent="0.2">
      <c r="B67" s="90"/>
      <c r="C67" s="90"/>
      <c r="D67" s="90"/>
      <c r="E67" s="90"/>
      <c r="F67" s="90"/>
      <c r="G67" s="90"/>
      <c r="H67" s="90"/>
      <c r="I67" s="90"/>
      <c r="J67" s="90"/>
      <c r="K67" s="90"/>
      <c r="L67" s="90"/>
      <c r="M67" s="90"/>
      <c r="N67" s="90"/>
      <c r="O67" s="90"/>
      <c r="P67" s="90"/>
      <c r="Q67" s="90"/>
      <c r="R67" s="90"/>
      <c r="S67" s="90"/>
      <c r="T67" s="90"/>
    </row>
    <row r="68" spans="1:21" ht="18" customHeight="1" x14ac:dyDescent="0.2">
      <c r="A68" s="134" t="s">
        <v>104</v>
      </c>
      <c r="B68" s="134"/>
      <c r="C68" s="134"/>
      <c r="D68" s="134"/>
      <c r="E68" s="134"/>
      <c r="F68" s="134"/>
      <c r="G68" s="134"/>
      <c r="H68" s="134"/>
      <c r="I68" s="134"/>
      <c r="J68" s="134"/>
      <c r="K68" s="134"/>
      <c r="L68" s="134"/>
      <c r="M68" s="134"/>
      <c r="N68" s="134"/>
      <c r="O68" s="134"/>
      <c r="P68" s="134"/>
      <c r="Q68" s="134"/>
      <c r="R68" s="134"/>
      <c r="S68" s="134"/>
      <c r="T68" s="134"/>
      <c r="U68" s="134"/>
    </row>
    <row r="69" spans="1:21" ht="18"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row>
    <row r="70" spans="1:21" ht="18" customHeight="1" x14ac:dyDescent="0.2">
      <c r="B70" s="116" t="s">
        <v>51</v>
      </c>
      <c r="C70" s="117"/>
      <c r="D70" s="117"/>
      <c r="E70" s="117"/>
      <c r="F70" s="51" t="s">
        <v>76</v>
      </c>
      <c r="G70" s="50" t="s">
        <v>79</v>
      </c>
      <c r="H70" s="17" t="s">
        <v>91</v>
      </c>
      <c r="I70" s="17" t="s">
        <v>71</v>
      </c>
      <c r="J70" s="17" t="s">
        <v>72</v>
      </c>
      <c r="K70" s="116" t="s">
        <v>51</v>
      </c>
      <c r="L70" s="117"/>
      <c r="M70" s="117"/>
      <c r="N70" s="117"/>
      <c r="O70" s="117"/>
      <c r="P70" s="118"/>
      <c r="Q70" s="51" t="s">
        <v>76</v>
      </c>
      <c r="R70" s="50" t="s">
        <v>79</v>
      </c>
      <c r="S70" s="17" t="s">
        <v>91</v>
      </c>
      <c r="T70" s="17" t="s">
        <v>71</v>
      </c>
      <c r="U70" s="17" t="s">
        <v>72</v>
      </c>
    </row>
    <row r="71" spans="1:21" ht="18" customHeight="1" x14ac:dyDescent="0.2">
      <c r="A71" s="88"/>
      <c r="B71" s="131" t="s">
        <v>148</v>
      </c>
      <c r="C71" s="132"/>
      <c r="D71" s="132"/>
      <c r="E71" s="133"/>
      <c r="F71" s="18">
        <v>2</v>
      </c>
      <c r="G71" s="18" t="s">
        <v>139</v>
      </c>
      <c r="H71" s="18" t="s">
        <v>139</v>
      </c>
      <c r="I71" s="18" t="s">
        <v>139</v>
      </c>
      <c r="J71" s="18" t="s">
        <v>139</v>
      </c>
      <c r="K71" s="131"/>
      <c r="L71" s="132"/>
      <c r="M71" s="132"/>
      <c r="N71" s="132"/>
      <c r="O71" s="132"/>
      <c r="P71" s="133"/>
      <c r="Q71" s="18"/>
      <c r="R71" s="18"/>
      <c r="S71" s="18"/>
      <c r="T71" s="18"/>
      <c r="U71" s="18"/>
    </row>
    <row r="72" spans="1:21" ht="18" customHeight="1" x14ac:dyDescent="0.2">
      <c r="A72" s="88"/>
      <c r="B72" s="125"/>
      <c r="C72" s="126"/>
      <c r="D72" s="126"/>
      <c r="E72" s="126"/>
      <c r="F72" s="19"/>
      <c r="G72" s="19"/>
      <c r="H72" s="19"/>
      <c r="I72" s="19"/>
      <c r="J72" s="19"/>
      <c r="K72" s="125"/>
      <c r="L72" s="126"/>
      <c r="M72" s="126"/>
      <c r="N72" s="126"/>
      <c r="O72" s="126"/>
      <c r="P72" s="127"/>
      <c r="Q72" s="19"/>
      <c r="R72" s="19"/>
      <c r="S72" s="19"/>
      <c r="T72" s="19"/>
      <c r="U72" s="19"/>
    </row>
    <row r="73" spans="1:21" ht="18" customHeight="1" x14ac:dyDescent="0.2">
      <c r="A73" s="88"/>
      <c r="B73" s="125"/>
      <c r="C73" s="126"/>
      <c r="D73" s="126"/>
      <c r="E73" s="126"/>
      <c r="F73" s="19"/>
      <c r="G73" s="19"/>
      <c r="H73" s="19"/>
      <c r="I73" s="19"/>
      <c r="J73" s="19"/>
      <c r="K73" s="125"/>
      <c r="L73" s="126"/>
      <c r="M73" s="126"/>
      <c r="N73" s="126"/>
      <c r="O73" s="126"/>
      <c r="P73" s="127"/>
      <c r="Q73" s="19"/>
      <c r="R73" s="19"/>
      <c r="S73" s="19"/>
      <c r="T73" s="19"/>
      <c r="U73" s="19"/>
    </row>
    <row r="74" spans="1:21" ht="18" customHeight="1" x14ac:dyDescent="0.2">
      <c r="A74" s="88"/>
      <c r="B74" s="125"/>
      <c r="C74" s="126"/>
      <c r="D74" s="126"/>
      <c r="E74" s="126"/>
      <c r="F74" s="19"/>
      <c r="G74" s="19"/>
      <c r="H74" s="19"/>
      <c r="I74" s="19"/>
      <c r="J74" s="19"/>
      <c r="K74" s="125"/>
      <c r="L74" s="126"/>
      <c r="M74" s="126"/>
      <c r="N74" s="126"/>
      <c r="O74" s="126"/>
      <c r="P74" s="127"/>
      <c r="Q74" s="19"/>
      <c r="R74" s="19"/>
      <c r="S74" s="19"/>
      <c r="T74" s="19"/>
      <c r="U74" s="19"/>
    </row>
    <row r="75" spans="1:21" ht="18" customHeight="1" x14ac:dyDescent="0.2">
      <c r="A75" s="88"/>
      <c r="B75" s="125"/>
      <c r="C75" s="126"/>
      <c r="D75" s="126"/>
      <c r="E75" s="126"/>
      <c r="F75" s="19"/>
      <c r="G75" s="19"/>
      <c r="H75" s="19"/>
      <c r="I75" s="19"/>
      <c r="J75" s="19"/>
      <c r="K75" s="125"/>
      <c r="L75" s="126"/>
      <c r="M75" s="126"/>
      <c r="N75" s="126"/>
      <c r="O75" s="126"/>
      <c r="P75" s="127"/>
      <c r="Q75" s="19"/>
      <c r="R75" s="19"/>
      <c r="S75" s="19"/>
      <c r="T75" s="19"/>
      <c r="U75" s="19"/>
    </row>
    <row r="76" spans="1:21" ht="18" customHeight="1" x14ac:dyDescent="0.2">
      <c r="A76" s="88"/>
      <c r="B76" s="125"/>
      <c r="C76" s="126"/>
      <c r="D76" s="126"/>
      <c r="E76" s="126"/>
      <c r="F76" s="19"/>
      <c r="G76" s="19"/>
      <c r="H76" s="19"/>
      <c r="I76" s="19"/>
      <c r="J76" s="19"/>
      <c r="K76" s="125"/>
      <c r="L76" s="126"/>
      <c r="M76" s="126"/>
      <c r="N76" s="126"/>
      <c r="O76" s="126"/>
      <c r="P76" s="127"/>
      <c r="Q76" s="19"/>
      <c r="R76" s="19"/>
      <c r="S76" s="19"/>
      <c r="T76" s="19"/>
      <c r="U76" s="19"/>
    </row>
    <row r="77" spans="1:21" ht="18" customHeight="1" x14ac:dyDescent="0.2">
      <c r="A77" s="88"/>
      <c r="B77" s="128"/>
      <c r="C77" s="129"/>
      <c r="D77" s="129"/>
      <c r="E77" s="129"/>
      <c r="F77" s="20"/>
      <c r="G77" s="20"/>
      <c r="H77" s="21"/>
      <c r="I77" s="21"/>
      <c r="J77" s="21"/>
      <c r="K77" s="128"/>
      <c r="L77" s="129"/>
      <c r="M77" s="129"/>
      <c r="N77" s="129"/>
      <c r="O77" s="129"/>
      <c r="P77" s="130"/>
      <c r="Q77" s="20"/>
      <c r="R77" s="20"/>
      <c r="S77" s="21"/>
      <c r="T77" s="21"/>
      <c r="U77" s="21"/>
    </row>
    <row r="78" spans="1:21" ht="7.5" customHeight="1" x14ac:dyDescent="0.2">
      <c r="B78" s="90"/>
      <c r="C78" s="90"/>
      <c r="D78" s="90"/>
      <c r="E78" s="90"/>
      <c r="F78" s="90"/>
      <c r="G78" s="90"/>
      <c r="H78" s="90"/>
      <c r="I78" s="90"/>
      <c r="J78" s="90"/>
      <c r="K78" s="90"/>
      <c r="L78" s="90"/>
      <c r="M78" s="90"/>
      <c r="N78" s="90"/>
      <c r="O78" s="90"/>
      <c r="P78" s="90"/>
      <c r="Q78" s="90"/>
      <c r="R78" s="90"/>
      <c r="S78" s="90"/>
      <c r="T78" s="90"/>
    </row>
    <row r="79" spans="1:21" ht="18" customHeight="1" x14ac:dyDescent="0.2">
      <c r="A79" s="89" t="s">
        <v>105</v>
      </c>
      <c r="I79" s="88"/>
      <c r="J79" s="88"/>
      <c r="K79" s="88"/>
      <c r="L79" s="88"/>
      <c r="M79" s="88"/>
      <c r="N79" s="88"/>
      <c r="O79" s="88"/>
      <c r="P79" s="88"/>
      <c r="Q79" s="88"/>
      <c r="R79" s="88"/>
      <c r="S79" s="88"/>
      <c r="T79" s="88"/>
      <c r="U79" s="88"/>
    </row>
    <row r="80" spans="1:21" ht="18" customHeight="1" x14ac:dyDescent="0.2">
      <c r="B80" s="116" t="s">
        <v>51</v>
      </c>
      <c r="C80" s="117"/>
      <c r="D80" s="117"/>
      <c r="E80" s="117"/>
      <c r="F80" s="118"/>
      <c r="G80" s="116" t="s">
        <v>77</v>
      </c>
      <c r="H80" s="117"/>
      <c r="I80" s="117"/>
      <c r="J80" s="118"/>
      <c r="K80" s="167" t="s">
        <v>51</v>
      </c>
      <c r="L80" s="168"/>
      <c r="M80" s="168"/>
      <c r="N80" s="168"/>
      <c r="O80" s="168"/>
      <c r="P80" s="168"/>
      <c r="Q80" s="169"/>
      <c r="R80" s="116" t="s">
        <v>77</v>
      </c>
      <c r="S80" s="117"/>
      <c r="T80" s="117"/>
      <c r="U80" s="118"/>
    </row>
    <row r="81" spans="1:21" ht="18" customHeight="1" x14ac:dyDescent="0.2">
      <c r="A81" s="88"/>
      <c r="B81" s="131" t="s">
        <v>226</v>
      </c>
      <c r="C81" s="132"/>
      <c r="D81" s="132"/>
      <c r="E81" s="132"/>
      <c r="F81" s="133"/>
      <c r="G81" s="170" t="s">
        <v>193</v>
      </c>
      <c r="H81" s="171"/>
      <c r="I81" s="171"/>
      <c r="J81" s="172"/>
      <c r="K81" s="131"/>
      <c r="L81" s="132"/>
      <c r="M81" s="132"/>
      <c r="N81" s="132"/>
      <c r="O81" s="132"/>
      <c r="P81" s="132"/>
      <c r="Q81" s="133"/>
      <c r="R81" s="170"/>
      <c r="S81" s="171"/>
      <c r="T81" s="171"/>
      <c r="U81" s="172"/>
    </row>
    <row r="82" spans="1:21" ht="18" customHeight="1" x14ac:dyDescent="0.2">
      <c r="A82" s="88"/>
      <c r="B82" s="125"/>
      <c r="C82" s="126"/>
      <c r="D82" s="126"/>
      <c r="E82" s="126"/>
      <c r="F82" s="127"/>
      <c r="G82" s="159"/>
      <c r="H82" s="160"/>
      <c r="I82" s="160"/>
      <c r="J82" s="161"/>
      <c r="K82" s="125"/>
      <c r="L82" s="126"/>
      <c r="M82" s="126"/>
      <c r="N82" s="126"/>
      <c r="O82" s="126"/>
      <c r="P82" s="126"/>
      <c r="Q82" s="127"/>
      <c r="R82" s="159"/>
      <c r="S82" s="160"/>
      <c r="T82" s="160"/>
      <c r="U82" s="161"/>
    </row>
    <row r="83" spans="1:21" ht="18" customHeight="1" x14ac:dyDescent="0.2">
      <c r="A83" s="88"/>
      <c r="B83" s="125"/>
      <c r="C83" s="126"/>
      <c r="D83" s="126"/>
      <c r="E83" s="126"/>
      <c r="F83" s="127"/>
      <c r="G83" s="159"/>
      <c r="H83" s="160"/>
      <c r="I83" s="160"/>
      <c r="J83" s="161"/>
      <c r="K83" s="125"/>
      <c r="L83" s="126"/>
      <c r="M83" s="126"/>
      <c r="N83" s="126"/>
      <c r="O83" s="126"/>
      <c r="P83" s="126"/>
      <c r="Q83" s="127"/>
      <c r="R83" s="159"/>
      <c r="S83" s="160"/>
      <c r="T83" s="160"/>
      <c r="U83" s="161"/>
    </row>
    <row r="84" spans="1:21" ht="18" customHeight="1" x14ac:dyDescent="0.2">
      <c r="A84" s="88"/>
      <c r="B84" s="125"/>
      <c r="C84" s="126"/>
      <c r="D84" s="126"/>
      <c r="E84" s="126"/>
      <c r="F84" s="127"/>
      <c r="G84" s="159"/>
      <c r="H84" s="160"/>
      <c r="I84" s="160"/>
      <c r="J84" s="161"/>
      <c r="K84" s="125"/>
      <c r="L84" s="126"/>
      <c r="M84" s="126"/>
      <c r="N84" s="126"/>
      <c r="O84" s="126"/>
      <c r="P84" s="126"/>
      <c r="Q84" s="127"/>
      <c r="R84" s="159"/>
      <c r="S84" s="160"/>
      <c r="T84" s="160"/>
      <c r="U84" s="161"/>
    </row>
    <row r="85" spans="1:21" ht="18" customHeight="1" x14ac:dyDescent="0.2">
      <c r="A85" s="88"/>
      <c r="B85" s="125"/>
      <c r="C85" s="126"/>
      <c r="D85" s="126"/>
      <c r="E85" s="126"/>
      <c r="F85" s="127"/>
      <c r="G85" s="159"/>
      <c r="H85" s="160"/>
      <c r="I85" s="160"/>
      <c r="J85" s="161"/>
      <c r="K85" s="125"/>
      <c r="L85" s="126"/>
      <c r="M85" s="126"/>
      <c r="N85" s="126"/>
      <c r="O85" s="126"/>
      <c r="P85" s="126"/>
      <c r="Q85" s="127"/>
      <c r="R85" s="159"/>
      <c r="S85" s="160"/>
      <c r="T85" s="160"/>
      <c r="U85" s="161"/>
    </row>
    <row r="86" spans="1:21" ht="18" customHeight="1" x14ac:dyDescent="0.2">
      <c r="A86" s="88"/>
      <c r="B86" s="125"/>
      <c r="C86" s="126"/>
      <c r="D86" s="126"/>
      <c r="E86" s="126"/>
      <c r="F86" s="127"/>
      <c r="G86" s="159"/>
      <c r="H86" s="160"/>
      <c r="I86" s="160"/>
      <c r="J86" s="161"/>
      <c r="K86" s="125"/>
      <c r="L86" s="126"/>
      <c r="M86" s="126"/>
      <c r="N86" s="126"/>
      <c r="O86" s="126"/>
      <c r="P86" s="126"/>
      <c r="Q86" s="127"/>
      <c r="R86" s="159"/>
      <c r="S86" s="160"/>
      <c r="T86" s="160"/>
      <c r="U86" s="161"/>
    </row>
    <row r="87" spans="1:21" ht="18" customHeight="1" x14ac:dyDescent="0.2">
      <c r="A87" s="88"/>
      <c r="B87" s="128"/>
      <c r="C87" s="129"/>
      <c r="D87" s="129"/>
      <c r="E87" s="129"/>
      <c r="F87" s="130"/>
      <c r="G87" s="156"/>
      <c r="H87" s="157"/>
      <c r="I87" s="157"/>
      <c r="J87" s="158"/>
      <c r="K87" s="128"/>
      <c r="L87" s="129"/>
      <c r="M87" s="129"/>
      <c r="N87" s="129"/>
      <c r="O87" s="129"/>
      <c r="P87" s="129"/>
      <c r="Q87" s="130"/>
      <c r="R87" s="156"/>
      <c r="S87" s="157"/>
      <c r="T87" s="157"/>
      <c r="U87" s="158"/>
    </row>
    <row r="88" spans="1:21" ht="18" customHeight="1" x14ac:dyDescent="0.2">
      <c r="A88" s="88"/>
      <c r="B88" s="6"/>
      <c r="C88" s="6"/>
      <c r="D88" s="6"/>
      <c r="E88" s="6"/>
      <c r="F88" s="6"/>
      <c r="G88" s="22"/>
      <c r="H88" s="22"/>
      <c r="I88" s="22"/>
      <c r="J88" s="22"/>
      <c r="K88" s="6"/>
      <c r="L88" s="6"/>
      <c r="M88" s="6"/>
      <c r="N88" s="6"/>
      <c r="O88" s="6"/>
      <c r="P88" s="6"/>
      <c r="Q88" s="6"/>
      <c r="R88" s="22"/>
      <c r="S88" s="22"/>
      <c r="T88" s="22"/>
      <c r="U88" s="22"/>
    </row>
    <row r="89" spans="1:21" ht="18.75" customHeight="1" x14ac:dyDescent="0.2">
      <c r="A89" s="89" t="s">
        <v>106</v>
      </c>
    </row>
    <row r="90" spans="1:21" ht="18.75" customHeight="1" x14ac:dyDescent="0.2">
      <c r="B90" s="165" t="s">
        <v>52</v>
      </c>
      <c r="C90" s="166"/>
      <c r="D90" s="116" t="s">
        <v>53</v>
      </c>
      <c r="E90" s="117"/>
      <c r="F90" s="117"/>
      <c r="G90" s="117"/>
      <c r="H90" s="117"/>
      <c r="I90" s="117"/>
      <c r="J90" s="117"/>
      <c r="K90" s="117"/>
      <c r="L90" s="117"/>
      <c r="M90" s="117"/>
      <c r="N90" s="117"/>
      <c r="O90" s="117"/>
      <c r="P90" s="117"/>
      <c r="Q90" s="117"/>
      <c r="R90" s="117"/>
      <c r="S90" s="117"/>
      <c r="T90" s="117"/>
      <c r="U90" s="118"/>
    </row>
    <row r="91" spans="1:21" ht="97.5" customHeight="1" x14ac:dyDescent="0.2">
      <c r="B91" s="162" t="s">
        <v>59</v>
      </c>
      <c r="C91" s="23" t="s">
        <v>54</v>
      </c>
      <c r="D91" s="104" t="s">
        <v>220</v>
      </c>
      <c r="E91" s="105"/>
      <c r="F91" s="105"/>
      <c r="G91" s="105"/>
      <c r="H91" s="105"/>
      <c r="I91" s="105"/>
      <c r="J91" s="105"/>
      <c r="K91" s="105"/>
      <c r="L91" s="105"/>
      <c r="M91" s="105"/>
      <c r="N91" s="105"/>
      <c r="O91" s="105"/>
      <c r="P91" s="105"/>
      <c r="Q91" s="105"/>
      <c r="R91" s="105"/>
      <c r="S91" s="105"/>
      <c r="T91" s="105"/>
      <c r="U91" s="106"/>
    </row>
    <row r="92" spans="1:21" ht="97.5" customHeight="1" x14ac:dyDescent="0.2">
      <c r="B92" s="163"/>
      <c r="C92" s="24" t="s">
        <v>73</v>
      </c>
      <c r="D92" s="101" t="s">
        <v>245</v>
      </c>
      <c r="E92" s="102"/>
      <c r="F92" s="102"/>
      <c r="G92" s="102"/>
      <c r="H92" s="102"/>
      <c r="I92" s="102"/>
      <c r="J92" s="102"/>
      <c r="K92" s="102"/>
      <c r="L92" s="102"/>
      <c r="M92" s="102"/>
      <c r="N92" s="102"/>
      <c r="O92" s="102"/>
      <c r="P92" s="102"/>
      <c r="Q92" s="102"/>
      <c r="R92" s="102"/>
      <c r="S92" s="102"/>
      <c r="T92" s="102"/>
      <c r="U92" s="103"/>
    </row>
    <row r="93" spans="1:21" ht="97.5" customHeight="1" x14ac:dyDescent="0.2">
      <c r="B93" s="162" t="s">
        <v>60</v>
      </c>
      <c r="C93" s="25" t="s">
        <v>67</v>
      </c>
      <c r="D93" s="104" t="s">
        <v>246</v>
      </c>
      <c r="E93" s="105"/>
      <c r="F93" s="105"/>
      <c r="G93" s="105"/>
      <c r="H93" s="105"/>
      <c r="I93" s="105"/>
      <c r="J93" s="105"/>
      <c r="K93" s="105"/>
      <c r="L93" s="105"/>
      <c r="M93" s="105"/>
      <c r="N93" s="105"/>
      <c r="O93" s="105"/>
      <c r="P93" s="105"/>
      <c r="Q93" s="105"/>
      <c r="R93" s="105"/>
      <c r="S93" s="105"/>
      <c r="T93" s="105"/>
      <c r="U93" s="106"/>
    </row>
    <row r="94" spans="1:21" ht="97.5" customHeight="1" x14ac:dyDescent="0.2">
      <c r="B94" s="164"/>
      <c r="C94" s="26" t="s">
        <v>68</v>
      </c>
      <c r="D94" s="101" t="s">
        <v>229</v>
      </c>
      <c r="E94" s="102"/>
      <c r="F94" s="102"/>
      <c r="G94" s="102"/>
      <c r="H94" s="102"/>
      <c r="I94" s="102"/>
      <c r="J94" s="102"/>
      <c r="K94" s="102"/>
      <c r="L94" s="102"/>
      <c r="M94" s="102"/>
      <c r="N94" s="102"/>
      <c r="O94" s="102"/>
      <c r="P94" s="102"/>
      <c r="Q94" s="102"/>
      <c r="R94" s="102"/>
      <c r="S94" s="102"/>
      <c r="T94" s="102"/>
      <c r="U94" s="103"/>
    </row>
    <row r="95" spans="1:21" ht="97.5" customHeight="1" x14ac:dyDescent="0.2">
      <c r="B95" s="162" t="s">
        <v>61</v>
      </c>
      <c r="C95" s="25" t="s">
        <v>69</v>
      </c>
      <c r="D95" s="104" t="s">
        <v>249</v>
      </c>
      <c r="E95" s="105"/>
      <c r="F95" s="105"/>
      <c r="G95" s="105"/>
      <c r="H95" s="105"/>
      <c r="I95" s="105"/>
      <c r="J95" s="105"/>
      <c r="K95" s="105"/>
      <c r="L95" s="105"/>
      <c r="M95" s="105"/>
      <c r="N95" s="105"/>
      <c r="O95" s="105"/>
      <c r="P95" s="105"/>
      <c r="Q95" s="105"/>
      <c r="R95" s="105"/>
      <c r="S95" s="105"/>
      <c r="T95" s="105"/>
      <c r="U95" s="106"/>
    </row>
    <row r="96" spans="1:21" ht="97.5" customHeight="1" x14ac:dyDescent="0.2">
      <c r="B96" s="164"/>
      <c r="C96" s="27" t="s">
        <v>70</v>
      </c>
      <c r="D96" s="101" t="s">
        <v>248</v>
      </c>
      <c r="E96" s="102"/>
      <c r="F96" s="102"/>
      <c r="G96" s="102"/>
      <c r="H96" s="102"/>
      <c r="I96" s="102"/>
      <c r="J96" s="102"/>
      <c r="K96" s="102"/>
      <c r="L96" s="102"/>
      <c r="M96" s="102"/>
      <c r="N96" s="102"/>
      <c r="O96" s="102"/>
      <c r="P96" s="102"/>
      <c r="Q96" s="102"/>
      <c r="R96" s="102"/>
      <c r="S96" s="102"/>
      <c r="T96" s="102"/>
      <c r="U96" s="103"/>
    </row>
    <row r="97" spans="1:33" ht="97.5" customHeight="1" x14ac:dyDescent="0.2">
      <c r="B97" s="162" t="s">
        <v>74</v>
      </c>
      <c r="C97" s="23" t="s">
        <v>56</v>
      </c>
      <c r="D97" s="104" t="s">
        <v>247</v>
      </c>
      <c r="E97" s="105"/>
      <c r="F97" s="105"/>
      <c r="G97" s="105"/>
      <c r="H97" s="105"/>
      <c r="I97" s="105"/>
      <c r="J97" s="105"/>
      <c r="K97" s="105"/>
      <c r="L97" s="105"/>
      <c r="M97" s="105"/>
      <c r="N97" s="105"/>
      <c r="O97" s="105"/>
      <c r="P97" s="105"/>
      <c r="Q97" s="105"/>
      <c r="R97" s="105"/>
      <c r="S97" s="105"/>
      <c r="T97" s="105"/>
      <c r="U97" s="106"/>
    </row>
    <row r="98" spans="1:33" ht="97.5" customHeight="1" x14ac:dyDescent="0.2">
      <c r="B98" s="164"/>
      <c r="C98" s="26" t="s">
        <v>58</v>
      </c>
      <c r="D98" s="101" t="s">
        <v>221</v>
      </c>
      <c r="E98" s="102"/>
      <c r="F98" s="102"/>
      <c r="G98" s="102"/>
      <c r="H98" s="102"/>
      <c r="I98" s="102"/>
      <c r="J98" s="102"/>
      <c r="K98" s="102"/>
      <c r="L98" s="102"/>
      <c r="M98" s="102"/>
      <c r="N98" s="102"/>
      <c r="O98" s="102"/>
      <c r="P98" s="102"/>
      <c r="Q98" s="102"/>
      <c r="R98" s="102"/>
      <c r="S98" s="102"/>
      <c r="T98" s="102"/>
      <c r="U98" s="103"/>
    </row>
    <row r="99" spans="1:33" ht="97.5" customHeight="1" x14ac:dyDescent="0.2">
      <c r="B99" s="162" t="s">
        <v>75</v>
      </c>
      <c r="C99" s="25" t="s">
        <v>55</v>
      </c>
      <c r="D99" s="104" t="s">
        <v>222</v>
      </c>
      <c r="E99" s="105"/>
      <c r="F99" s="105"/>
      <c r="G99" s="105"/>
      <c r="H99" s="105"/>
      <c r="I99" s="105"/>
      <c r="J99" s="105"/>
      <c r="K99" s="105"/>
      <c r="L99" s="105"/>
      <c r="M99" s="105"/>
      <c r="N99" s="105"/>
      <c r="O99" s="105"/>
      <c r="P99" s="105"/>
      <c r="Q99" s="105"/>
      <c r="R99" s="105"/>
      <c r="S99" s="105"/>
      <c r="T99" s="105"/>
      <c r="U99" s="106"/>
    </row>
    <row r="100" spans="1:33" ht="97.5" customHeight="1" x14ac:dyDescent="0.2">
      <c r="B100" s="163"/>
      <c r="C100" s="28" t="s">
        <v>71</v>
      </c>
      <c r="D100" s="107" t="s">
        <v>223</v>
      </c>
      <c r="E100" s="108"/>
      <c r="F100" s="108"/>
      <c r="G100" s="108"/>
      <c r="H100" s="108"/>
      <c r="I100" s="108"/>
      <c r="J100" s="108"/>
      <c r="K100" s="108"/>
      <c r="L100" s="108"/>
      <c r="M100" s="108"/>
      <c r="N100" s="108"/>
      <c r="O100" s="108"/>
      <c r="P100" s="108"/>
      <c r="Q100" s="108"/>
      <c r="R100" s="108"/>
      <c r="S100" s="108"/>
      <c r="T100" s="108"/>
      <c r="U100" s="109"/>
    </row>
    <row r="101" spans="1:33" ht="97.5" customHeight="1" x14ac:dyDescent="0.2">
      <c r="B101" s="164"/>
      <c r="C101" s="27" t="s">
        <v>72</v>
      </c>
      <c r="D101" s="182" t="s">
        <v>224</v>
      </c>
      <c r="E101" s="102"/>
      <c r="F101" s="102"/>
      <c r="G101" s="102"/>
      <c r="H101" s="102"/>
      <c r="I101" s="102"/>
      <c r="J101" s="102"/>
      <c r="K101" s="102"/>
      <c r="L101" s="102"/>
      <c r="M101" s="102"/>
      <c r="N101" s="102"/>
      <c r="O101" s="102"/>
      <c r="P101" s="102"/>
      <c r="Q101" s="102"/>
      <c r="R101" s="102"/>
      <c r="S101" s="102"/>
      <c r="T101" s="102"/>
      <c r="U101" s="103"/>
    </row>
    <row r="102" spans="1:33" ht="6" customHeight="1" x14ac:dyDescent="0.2"/>
    <row r="103" spans="1:33" ht="18.75" customHeight="1" x14ac:dyDescent="0.2">
      <c r="A103" s="89" t="s">
        <v>107</v>
      </c>
    </row>
    <row r="104" spans="1:33" ht="81.75" customHeight="1" x14ac:dyDescent="0.2">
      <c r="B104" s="183" t="s">
        <v>225</v>
      </c>
      <c r="C104" s="184"/>
      <c r="D104" s="184"/>
      <c r="E104" s="184"/>
      <c r="F104" s="184"/>
      <c r="G104" s="184"/>
      <c r="H104" s="184"/>
      <c r="I104" s="184"/>
      <c r="J104" s="184"/>
      <c r="K104" s="184"/>
      <c r="L104" s="184"/>
      <c r="M104" s="184"/>
      <c r="N104" s="184"/>
      <c r="O104" s="184"/>
      <c r="P104" s="184"/>
      <c r="Q104" s="184"/>
      <c r="R104" s="184"/>
      <c r="S104" s="184"/>
      <c r="T104" s="184"/>
      <c r="U104" s="185"/>
    </row>
    <row r="106" spans="1:33" ht="18.75" customHeight="1" x14ac:dyDescent="0.2">
      <c r="A106" s="73" t="s">
        <v>123</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125</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00" t="s">
        <v>129</v>
      </c>
      <c r="C108" s="100"/>
      <c r="D108" s="100"/>
      <c r="E108" s="100"/>
      <c r="F108" s="100"/>
      <c r="G108" s="100"/>
      <c r="H108" s="100"/>
      <c r="I108" s="100"/>
      <c r="J108" s="100"/>
      <c r="K108" s="100"/>
      <c r="L108" s="100"/>
      <c r="M108" s="100"/>
      <c r="N108" s="100"/>
      <c r="O108" s="100"/>
      <c r="P108" s="100"/>
      <c r="Q108" s="100"/>
      <c r="R108" s="100"/>
      <c r="S108" s="100"/>
      <c r="T108" s="100"/>
      <c r="U108" s="100"/>
      <c r="V108" s="69"/>
      <c r="W108" s="69"/>
      <c r="X108" s="69"/>
      <c r="Y108" s="69"/>
      <c r="Z108" s="69"/>
      <c r="AA108" s="69"/>
      <c r="AB108" s="69"/>
      <c r="AC108" s="69"/>
      <c r="AD108" s="69"/>
      <c r="AE108" s="69"/>
      <c r="AF108" s="69"/>
      <c r="AG108" s="69"/>
    </row>
    <row r="109" spans="1:33" ht="37.200000000000003" customHeight="1" x14ac:dyDescent="0.2">
      <c r="A109" s="73"/>
      <c r="B109" s="100"/>
      <c r="C109" s="100"/>
      <c r="D109" s="100"/>
      <c r="E109" s="100"/>
      <c r="F109" s="100"/>
      <c r="G109" s="100"/>
      <c r="H109" s="100"/>
      <c r="I109" s="100"/>
      <c r="J109" s="100"/>
      <c r="K109" s="100"/>
      <c r="L109" s="100"/>
      <c r="M109" s="100"/>
      <c r="N109" s="100"/>
      <c r="O109" s="100"/>
      <c r="P109" s="100"/>
      <c r="Q109" s="100"/>
      <c r="R109" s="100"/>
      <c r="S109" s="100"/>
      <c r="T109" s="100"/>
      <c r="U109" s="100"/>
      <c r="V109" s="69"/>
      <c r="W109" s="69"/>
      <c r="X109" s="69"/>
      <c r="Y109" s="69"/>
      <c r="Z109" s="69"/>
      <c r="AA109" s="69"/>
      <c r="AB109" s="69"/>
      <c r="AC109" s="69"/>
      <c r="AD109" s="69"/>
      <c r="AE109" s="69"/>
      <c r="AF109" s="69"/>
      <c r="AG109" s="69"/>
    </row>
    <row r="110" spans="1:33" ht="18.75" customHeight="1" x14ac:dyDescent="0.2">
      <c r="A110" s="73"/>
      <c r="B110" s="173" t="s">
        <v>124</v>
      </c>
      <c r="C110" s="173"/>
      <c r="D110" s="173"/>
      <c r="E110" s="173"/>
      <c r="F110" s="173"/>
      <c r="G110" s="173"/>
      <c r="H110" s="173"/>
      <c r="I110" s="173"/>
      <c r="J110" s="173"/>
      <c r="K110" s="173"/>
      <c r="L110" s="173"/>
      <c r="M110" s="173"/>
      <c r="N110" s="173"/>
      <c r="O110" s="173"/>
      <c r="P110" s="173"/>
      <c r="Q110" s="173"/>
      <c r="R110" s="173"/>
      <c r="S110" s="173"/>
      <c r="T110" s="173"/>
      <c r="U110" s="173"/>
      <c r="V110" s="69"/>
      <c r="W110" s="69"/>
      <c r="X110" s="69"/>
      <c r="Y110" s="69"/>
      <c r="Z110" s="69"/>
      <c r="AA110" s="69"/>
      <c r="AB110" s="69"/>
      <c r="AC110" s="69"/>
      <c r="AD110" s="69"/>
      <c r="AE110" s="69"/>
      <c r="AF110" s="69"/>
      <c r="AG110" s="69"/>
    </row>
    <row r="111" spans="1:33" ht="18.75" customHeight="1" x14ac:dyDescent="0.2">
      <c r="A111" s="73"/>
      <c r="B111" s="174" t="s">
        <v>53</v>
      </c>
      <c r="C111" s="174"/>
      <c r="D111" s="174"/>
      <c r="E111" s="174"/>
      <c r="F111" s="174"/>
      <c r="G111" s="174"/>
      <c r="H111" s="174"/>
      <c r="I111" s="174"/>
      <c r="J111" s="174"/>
      <c r="K111" s="174"/>
      <c r="L111" s="174"/>
      <c r="M111" s="174"/>
      <c r="N111" s="174"/>
      <c r="O111" s="174"/>
      <c r="P111" s="174"/>
      <c r="Q111" s="174"/>
      <c r="R111" s="174"/>
      <c r="S111" s="174"/>
      <c r="T111" s="174"/>
      <c r="U111" s="174"/>
      <c r="V111" s="68"/>
      <c r="W111" s="68"/>
      <c r="X111" s="68"/>
      <c r="Y111" s="68"/>
      <c r="Z111" s="68"/>
      <c r="AA111" s="68"/>
      <c r="AB111" s="68"/>
      <c r="AC111" s="68"/>
      <c r="AD111" s="68"/>
      <c r="AE111" s="68"/>
      <c r="AF111" s="68"/>
      <c r="AG111" s="68"/>
    </row>
    <row r="112" spans="1:33" ht="132" customHeight="1" x14ac:dyDescent="0.2">
      <c r="A112" s="73"/>
      <c r="B112" s="175" t="s">
        <v>239</v>
      </c>
      <c r="C112" s="175"/>
      <c r="D112" s="175"/>
      <c r="E112" s="175"/>
      <c r="F112" s="175"/>
      <c r="G112" s="175"/>
      <c r="H112" s="175"/>
      <c r="I112" s="175"/>
      <c r="J112" s="175"/>
      <c r="K112" s="175"/>
      <c r="L112" s="175"/>
      <c r="M112" s="175"/>
      <c r="N112" s="175"/>
      <c r="O112" s="175"/>
      <c r="P112" s="175"/>
      <c r="Q112" s="175"/>
      <c r="R112" s="175"/>
      <c r="S112" s="175"/>
      <c r="T112" s="175"/>
      <c r="U112" s="175"/>
      <c r="V112" s="70"/>
      <c r="W112" s="70"/>
      <c r="X112" s="70"/>
      <c r="Y112" s="70"/>
      <c r="Z112" s="70"/>
      <c r="AA112" s="70"/>
      <c r="AB112" s="70"/>
      <c r="AC112" s="70"/>
      <c r="AD112" s="70"/>
      <c r="AE112" s="70"/>
      <c r="AF112" s="70"/>
      <c r="AG112" s="70"/>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FC445657-17AE-4AA9-906E-BD6FFB1323FA}">
      <formula1>$X$16:$X$18</formula1>
    </dataValidation>
    <dataValidation type="list" allowBlank="1" showInputMessage="1" showErrorMessage="1" sqref="G81:G88 R81:R88 H81:J82 H85:J88 S85:U88 S81:U82" xr:uid="{F6F9DF09-F5DF-4F40-BDDC-01751A44E66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2197D3AC-C73B-4559-9743-472A141E8C5B}">
      <formula1>"学部・学科によって、修了要件は相違する,学部・学科によって、修了要件は相違しない"</formula1>
    </dataValidation>
    <dataValidation type="list" allowBlank="1" showInputMessage="1" showErrorMessage="1" sqref="U34 U45 E34:H34 E45:H45" xr:uid="{1BA25069-178F-4DFF-AF61-E6C455578700}">
      <formula1>"全学開講,一部開講"</formula1>
    </dataValidation>
    <dataValidation type="list" allowBlank="1" showInputMessage="1" showErrorMessage="1" sqref="H27:J33 S27:U33 R71:U77 S38:U44 H38:J44 S49:U55 H49:J55 S60:U66 G71:J77 H60:J66" xr:uid="{3502B751-5734-4972-B903-A0F0C6438365}">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1597-27C1-44EA-B7AF-E03FD4483FAD}">
  <sheetPr codeName="Sheet6">
    <pageSetUpPr fitToPage="1"/>
  </sheetPr>
  <dimension ref="A1:AG114"/>
  <sheetViews>
    <sheetView showZeros="0" view="pageBreakPreview" zoomScaleNormal="100" zoomScaleSheetLayoutView="100" workbookViewId="0">
      <selection activeCell="W22" sqref="W22"/>
    </sheetView>
  </sheetViews>
  <sheetFormatPr defaultColWidth="9" defaultRowHeight="18.75" customHeight="1" x14ac:dyDescent="0.2"/>
  <cols>
    <col min="1" max="1" width="2.44140625" style="89" customWidth="1"/>
    <col min="2" max="2" width="16.44140625" style="89" customWidth="1"/>
    <col min="3" max="21" width="5.6640625" style="89" customWidth="1"/>
    <col min="22" max="22" width="9" style="89"/>
    <col min="23" max="23" width="3.6640625" style="89" customWidth="1"/>
    <col min="24" max="24" width="48.6640625" style="89" hidden="1" customWidth="1"/>
    <col min="25" max="16384" width="9" style="89"/>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35" t="s">
        <v>184</v>
      </c>
      <c r="U1" s="135"/>
      <c r="V1" s="2" t="s">
        <v>98</v>
      </c>
    </row>
    <row r="2" spans="1:24" ht="18.75" customHeight="1" x14ac:dyDescent="0.2">
      <c r="A2" s="75"/>
      <c r="B2" s="87" t="s">
        <v>97</v>
      </c>
      <c r="C2" s="136" t="s">
        <v>135</v>
      </c>
      <c r="D2" s="137"/>
      <c r="E2" s="137"/>
      <c r="F2" s="137"/>
      <c r="G2" s="137"/>
      <c r="H2" s="137"/>
      <c r="I2" s="137"/>
      <c r="J2" s="138"/>
      <c r="K2" s="86"/>
      <c r="L2" s="78"/>
      <c r="M2" s="78"/>
      <c r="N2" s="78"/>
      <c r="O2" s="78"/>
      <c r="P2" s="78"/>
      <c r="Q2" s="78"/>
      <c r="R2" s="78"/>
      <c r="S2" s="78"/>
      <c r="T2" s="78"/>
      <c r="U2" s="78"/>
    </row>
    <row r="3" spans="1:24" ht="18.75" customHeight="1" x14ac:dyDescent="0.2">
      <c r="A3" s="75"/>
      <c r="B3" s="87" t="s">
        <v>92</v>
      </c>
      <c r="C3" s="139" t="s">
        <v>136</v>
      </c>
      <c r="D3" s="140"/>
      <c r="E3" s="140"/>
      <c r="F3" s="140"/>
      <c r="G3" s="140"/>
      <c r="H3" s="140"/>
      <c r="I3" s="140"/>
      <c r="J3" s="141"/>
      <c r="K3" s="86"/>
      <c r="L3" s="78"/>
      <c r="M3" s="78"/>
      <c r="N3" s="78"/>
      <c r="O3" s="78"/>
      <c r="P3" s="78"/>
      <c r="Q3" s="78"/>
      <c r="R3" s="78"/>
      <c r="S3" s="78"/>
      <c r="T3" s="78"/>
      <c r="U3" s="78"/>
    </row>
    <row r="4" spans="1:24" ht="15" customHeight="1" x14ac:dyDescent="0.2">
      <c r="A4" s="75"/>
      <c r="B4" s="75"/>
      <c r="C4" s="75"/>
      <c r="D4" s="75"/>
      <c r="E4" s="75"/>
      <c r="F4" s="75"/>
      <c r="G4" s="75"/>
      <c r="H4" s="75"/>
      <c r="I4" s="75"/>
      <c r="J4" s="75"/>
      <c r="K4" s="75"/>
      <c r="L4" s="86"/>
      <c r="M4" s="79"/>
      <c r="N4" s="79"/>
      <c r="O4" s="79"/>
      <c r="P4" s="79"/>
      <c r="Q4" s="79"/>
      <c r="R4" s="79"/>
      <c r="S4" s="79"/>
      <c r="T4" s="79"/>
      <c r="U4" s="79"/>
    </row>
    <row r="5" spans="1:24" ht="18" customHeight="1" x14ac:dyDescent="0.2">
      <c r="A5" s="142" t="s">
        <v>37</v>
      </c>
      <c r="B5" s="142"/>
      <c r="C5" s="142"/>
      <c r="D5" s="142"/>
      <c r="E5" s="142"/>
      <c r="F5" s="142"/>
      <c r="G5" s="142"/>
      <c r="H5" s="142"/>
      <c r="I5" s="142"/>
      <c r="J5" s="142"/>
      <c r="K5" s="142"/>
      <c r="L5" s="142"/>
      <c r="M5" s="142"/>
      <c r="N5" s="142"/>
      <c r="O5" s="142"/>
      <c r="P5" s="142"/>
      <c r="Q5" s="142"/>
      <c r="R5" s="142"/>
      <c r="S5" s="142"/>
      <c r="T5" s="142"/>
      <c r="U5" s="142"/>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130</v>
      </c>
      <c r="B7" s="80"/>
      <c r="C7" s="80"/>
      <c r="D7" s="80"/>
      <c r="E7" s="80"/>
      <c r="F7" s="81"/>
      <c r="G7" s="81"/>
      <c r="H7" s="81"/>
      <c r="I7" s="81"/>
      <c r="J7" s="81"/>
      <c r="K7" s="81"/>
      <c r="L7" s="113" t="s">
        <v>128</v>
      </c>
      <c r="M7" s="114"/>
      <c r="N7" s="114"/>
      <c r="O7" s="114"/>
      <c r="P7" s="114"/>
      <c r="Q7" s="114"/>
      <c r="R7" s="114"/>
      <c r="S7" s="114"/>
      <c r="T7" s="114"/>
      <c r="U7" s="115"/>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131</v>
      </c>
      <c r="B9" s="75"/>
      <c r="C9" s="80"/>
      <c r="D9" s="80"/>
      <c r="E9" s="75"/>
      <c r="F9" s="75"/>
      <c r="G9" s="75"/>
      <c r="H9" s="75"/>
      <c r="I9" s="75"/>
      <c r="J9" s="75"/>
      <c r="K9" s="86"/>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76" t="s">
        <v>149</v>
      </c>
      <c r="C11" s="177"/>
      <c r="D11" s="177"/>
      <c r="E11" s="177"/>
      <c r="F11" s="177"/>
      <c r="G11" s="177"/>
      <c r="H11" s="177"/>
      <c r="I11" s="177"/>
      <c r="J11" s="177"/>
      <c r="K11" s="177"/>
      <c r="L11" s="177"/>
      <c r="M11" s="177"/>
      <c r="N11" s="177"/>
      <c r="O11" s="177"/>
      <c r="P11" s="177"/>
      <c r="Q11" s="177"/>
      <c r="R11" s="177"/>
      <c r="S11" s="177"/>
      <c r="T11" s="177"/>
      <c r="U11" s="178"/>
    </row>
    <row r="12" spans="1:24" ht="18" customHeight="1" x14ac:dyDescent="0.2">
      <c r="A12" s="75"/>
      <c r="B12" s="179"/>
      <c r="C12" s="180"/>
      <c r="D12" s="180"/>
      <c r="E12" s="180"/>
      <c r="F12" s="180"/>
      <c r="G12" s="180"/>
      <c r="H12" s="180"/>
      <c r="I12" s="180"/>
      <c r="J12" s="180"/>
      <c r="K12" s="180"/>
      <c r="L12" s="180"/>
      <c r="M12" s="180"/>
      <c r="N12" s="180"/>
      <c r="O12" s="180"/>
      <c r="P12" s="180"/>
      <c r="Q12" s="180"/>
      <c r="R12" s="180"/>
      <c r="S12" s="180"/>
      <c r="T12" s="180"/>
      <c r="U12" s="181"/>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99</v>
      </c>
      <c r="B14" s="80"/>
      <c r="C14" s="80"/>
      <c r="D14" s="80"/>
      <c r="E14" s="86"/>
      <c r="F14" s="86"/>
      <c r="G14" s="86"/>
      <c r="H14" s="86"/>
      <c r="I14" s="86"/>
      <c r="J14" s="86"/>
      <c r="K14" s="86"/>
      <c r="L14" s="83"/>
      <c r="M14" s="83"/>
      <c r="N14" s="83"/>
      <c r="O14" s="83"/>
      <c r="P14" s="83"/>
      <c r="Q14" s="83"/>
      <c r="R14" s="83"/>
      <c r="S14" s="83"/>
      <c r="T14" s="83"/>
      <c r="U14" s="83"/>
    </row>
    <row r="15" spans="1:24" ht="18" customHeight="1" x14ac:dyDescent="0.2">
      <c r="A15" s="75"/>
      <c r="B15" s="143" t="s">
        <v>150</v>
      </c>
      <c r="C15" s="144"/>
      <c r="D15" s="144"/>
      <c r="E15" s="144"/>
      <c r="F15" s="144"/>
      <c r="G15" s="144"/>
      <c r="H15" s="144"/>
      <c r="I15" s="144"/>
      <c r="J15" s="144"/>
      <c r="K15" s="144"/>
      <c r="L15" s="144"/>
      <c r="M15" s="144"/>
      <c r="N15" s="144"/>
      <c r="O15" s="144"/>
      <c r="P15" s="144"/>
      <c r="Q15" s="144"/>
      <c r="R15" s="144"/>
      <c r="S15" s="144"/>
      <c r="T15" s="144"/>
      <c r="U15" s="145"/>
      <c r="X15" s="89" t="s">
        <v>93</v>
      </c>
    </row>
    <row r="16" spans="1:24" ht="18" customHeight="1" x14ac:dyDescent="0.2">
      <c r="A16" s="75"/>
      <c r="B16" s="146"/>
      <c r="C16" s="147"/>
      <c r="D16" s="147"/>
      <c r="E16" s="147"/>
      <c r="F16" s="147"/>
      <c r="G16" s="147"/>
      <c r="H16" s="147"/>
      <c r="I16" s="147"/>
      <c r="J16" s="147"/>
      <c r="K16" s="147"/>
      <c r="L16" s="147"/>
      <c r="M16" s="147"/>
      <c r="N16" s="147"/>
      <c r="O16" s="147"/>
      <c r="P16" s="147"/>
      <c r="Q16" s="147"/>
      <c r="R16" s="147"/>
      <c r="S16" s="147"/>
      <c r="T16" s="147"/>
      <c r="U16" s="148"/>
      <c r="X16" s="89" t="s">
        <v>113</v>
      </c>
    </row>
    <row r="17" spans="1:24" ht="18" customHeight="1" x14ac:dyDescent="0.2">
      <c r="A17" s="75"/>
      <c r="B17" s="146"/>
      <c r="C17" s="147"/>
      <c r="D17" s="147"/>
      <c r="E17" s="147"/>
      <c r="F17" s="147"/>
      <c r="G17" s="147"/>
      <c r="H17" s="147"/>
      <c r="I17" s="147"/>
      <c r="J17" s="147"/>
      <c r="K17" s="147"/>
      <c r="L17" s="147"/>
      <c r="M17" s="147"/>
      <c r="N17" s="147"/>
      <c r="O17" s="147"/>
      <c r="P17" s="147"/>
      <c r="Q17" s="147"/>
      <c r="R17" s="147"/>
      <c r="S17" s="147"/>
      <c r="T17" s="147"/>
      <c r="U17" s="148"/>
      <c r="X17" s="89" t="s">
        <v>114</v>
      </c>
    </row>
    <row r="18" spans="1:24" ht="18" customHeight="1" x14ac:dyDescent="0.2">
      <c r="A18" s="75"/>
      <c r="B18" s="146"/>
      <c r="C18" s="147"/>
      <c r="D18" s="147"/>
      <c r="E18" s="147"/>
      <c r="F18" s="147"/>
      <c r="G18" s="147"/>
      <c r="H18" s="147"/>
      <c r="I18" s="147"/>
      <c r="J18" s="147"/>
      <c r="K18" s="147"/>
      <c r="L18" s="147"/>
      <c r="M18" s="147"/>
      <c r="N18" s="147"/>
      <c r="O18" s="147"/>
      <c r="P18" s="147"/>
      <c r="Q18" s="147"/>
      <c r="R18" s="147"/>
      <c r="S18" s="147"/>
      <c r="T18" s="147"/>
      <c r="U18" s="148"/>
      <c r="X18" s="89" t="s">
        <v>115</v>
      </c>
    </row>
    <row r="19" spans="1:24" ht="18" customHeight="1" x14ac:dyDescent="0.2">
      <c r="A19" s="75"/>
      <c r="B19" s="146"/>
      <c r="C19" s="147"/>
      <c r="D19" s="147"/>
      <c r="E19" s="147"/>
      <c r="F19" s="147"/>
      <c r="G19" s="147"/>
      <c r="H19" s="147"/>
      <c r="I19" s="147"/>
      <c r="J19" s="147"/>
      <c r="K19" s="147"/>
      <c r="L19" s="147"/>
      <c r="M19" s="147"/>
      <c r="N19" s="147"/>
      <c r="O19" s="147"/>
      <c r="P19" s="147"/>
      <c r="Q19" s="147"/>
      <c r="R19" s="147"/>
      <c r="S19" s="147"/>
      <c r="T19" s="147"/>
      <c r="U19" s="148"/>
    </row>
    <row r="20" spans="1:24" ht="18" customHeight="1" x14ac:dyDescent="0.2">
      <c r="A20" s="75"/>
      <c r="B20" s="149"/>
      <c r="C20" s="150"/>
      <c r="D20" s="150"/>
      <c r="E20" s="150"/>
      <c r="F20" s="150"/>
      <c r="G20" s="150"/>
      <c r="H20" s="150"/>
      <c r="I20" s="150"/>
      <c r="J20" s="150"/>
      <c r="K20" s="150"/>
      <c r="L20" s="150"/>
      <c r="M20" s="150"/>
      <c r="N20" s="150"/>
      <c r="O20" s="150"/>
      <c r="P20" s="150"/>
      <c r="Q20" s="150"/>
      <c r="R20" s="150"/>
      <c r="S20" s="150"/>
      <c r="T20" s="150"/>
      <c r="U20" s="151"/>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132</v>
      </c>
      <c r="C22" s="75"/>
      <c r="D22" s="75"/>
      <c r="E22" s="84">
        <v>2</v>
      </c>
      <c r="F22" s="75" t="s">
        <v>111</v>
      </c>
      <c r="G22" s="75"/>
      <c r="H22" s="91">
        <v>4</v>
      </c>
      <c r="I22" s="80" t="s">
        <v>112</v>
      </c>
      <c r="J22" s="80"/>
      <c r="K22" s="86"/>
      <c r="L22" s="75"/>
      <c r="M22" s="86" t="s">
        <v>108</v>
      </c>
      <c r="N22" s="110" t="s">
        <v>115</v>
      </c>
      <c r="O22" s="111"/>
      <c r="P22" s="111"/>
      <c r="Q22" s="111"/>
      <c r="R22" s="111"/>
      <c r="S22" s="111"/>
      <c r="T22" s="111"/>
      <c r="U22" s="112"/>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52" t="s">
        <v>100</v>
      </c>
      <c r="B24" s="152"/>
      <c r="C24" s="152"/>
      <c r="D24" s="152"/>
      <c r="E24" s="152"/>
      <c r="F24" s="152"/>
      <c r="G24" s="152"/>
      <c r="H24" s="152"/>
      <c r="I24" s="152"/>
      <c r="J24" s="152"/>
      <c r="K24" s="152"/>
      <c r="L24" s="152"/>
      <c r="M24" s="152"/>
      <c r="N24" s="152"/>
      <c r="O24" s="152"/>
      <c r="P24" s="152"/>
      <c r="Q24" s="152"/>
      <c r="R24" s="152"/>
      <c r="S24" s="152"/>
      <c r="T24" s="152"/>
      <c r="U24" s="152"/>
    </row>
    <row r="25" spans="1:24" ht="18" customHeight="1" x14ac:dyDescent="0.2">
      <c r="A25" s="152"/>
      <c r="B25" s="152"/>
      <c r="C25" s="152"/>
      <c r="D25" s="152"/>
      <c r="E25" s="152"/>
      <c r="F25" s="152"/>
      <c r="G25" s="152"/>
      <c r="H25" s="152"/>
      <c r="I25" s="152"/>
      <c r="J25" s="152"/>
      <c r="K25" s="152"/>
      <c r="L25" s="152"/>
      <c r="M25" s="152"/>
      <c r="N25" s="152"/>
      <c r="O25" s="152"/>
      <c r="P25" s="152"/>
      <c r="Q25" s="152"/>
      <c r="R25" s="152"/>
      <c r="S25" s="152"/>
      <c r="T25" s="152"/>
      <c r="U25" s="152"/>
    </row>
    <row r="26" spans="1:24" ht="18" customHeight="1" x14ac:dyDescent="0.2">
      <c r="B26" s="116" t="s">
        <v>51</v>
      </c>
      <c r="C26" s="117"/>
      <c r="D26" s="117"/>
      <c r="E26" s="117"/>
      <c r="F26" s="118"/>
      <c r="G26" s="51" t="s">
        <v>76</v>
      </c>
      <c r="H26" s="50" t="s">
        <v>79</v>
      </c>
      <c r="I26" s="17" t="s">
        <v>54</v>
      </c>
      <c r="J26" s="17" t="s">
        <v>57</v>
      </c>
      <c r="K26" s="116" t="s">
        <v>51</v>
      </c>
      <c r="L26" s="117"/>
      <c r="M26" s="117"/>
      <c r="N26" s="117"/>
      <c r="O26" s="117"/>
      <c r="P26" s="117"/>
      <c r="Q26" s="118"/>
      <c r="R26" s="51" t="s">
        <v>76</v>
      </c>
      <c r="S26" s="50" t="s">
        <v>79</v>
      </c>
      <c r="T26" s="17" t="s">
        <v>54</v>
      </c>
      <c r="U26" s="17" t="s">
        <v>57</v>
      </c>
    </row>
    <row r="27" spans="1:24" ht="18" customHeight="1" x14ac:dyDescent="0.2">
      <c r="B27" s="131" t="s">
        <v>151</v>
      </c>
      <c r="C27" s="132"/>
      <c r="D27" s="132"/>
      <c r="E27" s="132"/>
      <c r="F27" s="133"/>
      <c r="G27" s="18">
        <v>2</v>
      </c>
      <c r="H27" s="18" t="s">
        <v>139</v>
      </c>
      <c r="I27" s="18" t="s">
        <v>139</v>
      </c>
      <c r="J27" s="18" t="s">
        <v>139</v>
      </c>
      <c r="K27" s="131"/>
      <c r="L27" s="132"/>
      <c r="M27" s="132"/>
      <c r="N27" s="132"/>
      <c r="O27" s="132"/>
      <c r="P27" s="132"/>
      <c r="Q27" s="133"/>
      <c r="R27" s="18"/>
      <c r="S27" s="18"/>
      <c r="T27" s="18"/>
      <c r="U27" s="18"/>
    </row>
    <row r="28" spans="1:24" ht="18" customHeight="1" x14ac:dyDescent="0.2">
      <c r="B28" s="125" t="s">
        <v>152</v>
      </c>
      <c r="C28" s="126"/>
      <c r="D28" s="126"/>
      <c r="E28" s="126"/>
      <c r="F28" s="127"/>
      <c r="G28" s="19">
        <v>2</v>
      </c>
      <c r="H28" s="19" t="s">
        <v>139</v>
      </c>
      <c r="I28" s="19" t="s">
        <v>139</v>
      </c>
      <c r="J28" s="19" t="s">
        <v>139</v>
      </c>
      <c r="K28" s="125"/>
      <c r="L28" s="126"/>
      <c r="M28" s="126"/>
      <c r="N28" s="126"/>
      <c r="O28" s="126"/>
      <c r="P28" s="126"/>
      <c r="Q28" s="127"/>
      <c r="R28" s="19"/>
      <c r="S28" s="19"/>
      <c r="T28" s="19"/>
      <c r="U28" s="19"/>
    </row>
    <row r="29" spans="1:24" ht="18" customHeight="1" x14ac:dyDescent="0.2">
      <c r="B29" s="125"/>
      <c r="C29" s="126"/>
      <c r="D29" s="126"/>
      <c r="E29" s="126"/>
      <c r="F29" s="127"/>
      <c r="G29" s="19"/>
      <c r="H29" s="19"/>
      <c r="I29" s="19"/>
      <c r="J29" s="19"/>
      <c r="K29" s="125"/>
      <c r="L29" s="126"/>
      <c r="M29" s="126"/>
      <c r="N29" s="126"/>
      <c r="O29" s="126"/>
      <c r="P29" s="126"/>
      <c r="Q29" s="127"/>
      <c r="R29" s="19"/>
      <c r="S29" s="19"/>
      <c r="T29" s="19"/>
      <c r="U29" s="19"/>
    </row>
    <row r="30" spans="1:24" ht="18" customHeight="1" x14ac:dyDescent="0.2">
      <c r="B30" s="125"/>
      <c r="C30" s="126"/>
      <c r="D30" s="126"/>
      <c r="E30" s="126"/>
      <c r="F30" s="127"/>
      <c r="G30" s="19"/>
      <c r="H30" s="19"/>
      <c r="I30" s="19"/>
      <c r="J30" s="19"/>
      <c r="K30" s="125"/>
      <c r="L30" s="126"/>
      <c r="M30" s="126"/>
      <c r="N30" s="126"/>
      <c r="O30" s="126"/>
      <c r="P30" s="126"/>
      <c r="Q30" s="127"/>
      <c r="R30" s="19"/>
      <c r="S30" s="19"/>
      <c r="T30" s="19"/>
      <c r="U30" s="19"/>
    </row>
    <row r="31" spans="1:24" ht="18" customHeight="1" x14ac:dyDescent="0.2">
      <c r="B31" s="125"/>
      <c r="C31" s="126"/>
      <c r="D31" s="126"/>
      <c r="E31" s="126"/>
      <c r="F31" s="127"/>
      <c r="G31" s="19"/>
      <c r="H31" s="19"/>
      <c r="I31" s="19"/>
      <c r="J31" s="19"/>
      <c r="K31" s="125"/>
      <c r="L31" s="126"/>
      <c r="M31" s="126"/>
      <c r="N31" s="126"/>
      <c r="O31" s="126"/>
      <c r="P31" s="126"/>
      <c r="Q31" s="127"/>
      <c r="R31" s="19"/>
      <c r="S31" s="19"/>
      <c r="T31" s="19"/>
      <c r="U31" s="19"/>
    </row>
    <row r="32" spans="1:24" ht="18" customHeight="1" x14ac:dyDescent="0.2">
      <c r="A32" s="88"/>
      <c r="B32" s="125"/>
      <c r="C32" s="126"/>
      <c r="D32" s="126"/>
      <c r="E32" s="126"/>
      <c r="F32" s="127"/>
      <c r="G32" s="19"/>
      <c r="H32" s="19"/>
      <c r="I32" s="19"/>
      <c r="J32" s="19"/>
      <c r="K32" s="125"/>
      <c r="L32" s="126"/>
      <c r="M32" s="126"/>
      <c r="N32" s="126"/>
      <c r="O32" s="126"/>
      <c r="P32" s="126"/>
      <c r="Q32" s="127"/>
      <c r="R32" s="19"/>
      <c r="S32" s="19"/>
      <c r="T32" s="19"/>
      <c r="U32" s="19"/>
    </row>
    <row r="33" spans="1:21" ht="18" customHeight="1" x14ac:dyDescent="0.2">
      <c r="A33" s="88"/>
      <c r="B33" s="128"/>
      <c r="C33" s="129"/>
      <c r="D33" s="129"/>
      <c r="E33" s="129"/>
      <c r="F33" s="130"/>
      <c r="G33" s="20"/>
      <c r="H33" s="20"/>
      <c r="I33" s="21"/>
      <c r="J33" s="21"/>
      <c r="K33" s="128"/>
      <c r="L33" s="129"/>
      <c r="M33" s="129"/>
      <c r="N33" s="129"/>
      <c r="O33" s="129"/>
      <c r="P33" s="129"/>
      <c r="Q33" s="130"/>
      <c r="R33" s="20"/>
      <c r="S33" s="20"/>
      <c r="T33" s="21"/>
      <c r="U33" s="21"/>
    </row>
    <row r="34" spans="1:21" ht="7.5" customHeight="1" x14ac:dyDescent="0.2">
      <c r="A34" s="88"/>
      <c r="B34" s="6"/>
      <c r="C34" s="6"/>
      <c r="D34" s="6"/>
      <c r="E34" s="88"/>
      <c r="F34" s="88"/>
      <c r="G34" s="88"/>
      <c r="H34" s="88"/>
      <c r="I34" s="6"/>
      <c r="J34" s="6"/>
      <c r="K34" s="6"/>
      <c r="L34" s="6"/>
      <c r="M34" s="6"/>
      <c r="N34" s="6"/>
      <c r="O34" s="6"/>
      <c r="P34" s="6"/>
      <c r="Q34" s="6"/>
      <c r="R34" s="6"/>
      <c r="S34" s="6"/>
      <c r="T34" s="6"/>
      <c r="U34" s="88"/>
    </row>
    <row r="35" spans="1:21" ht="18" customHeight="1" x14ac:dyDescent="0.2">
      <c r="A35" s="134" t="s">
        <v>101</v>
      </c>
      <c r="B35" s="134"/>
      <c r="C35" s="134"/>
      <c r="D35" s="134"/>
      <c r="E35" s="134"/>
      <c r="F35" s="134"/>
      <c r="G35" s="134"/>
      <c r="H35" s="134"/>
      <c r="I35" s="134"/>
      <c r="J35" s="134"/>
      <c r="K35" s="134"/>
      <c r="L35" s="134"/>
      <c r="M35" s="134"/>
      <c r="N35" s="134"/>
      <c r="O35" s="134"/>
      <c r="P35" s="134"/>
      <c r="Q35" s="134"/>
      <c r="R35" s="134"/>
      <c r="S35" s="134"/>
      <c r="T35" s="134"/>
      <c r="U35" s="134"/>
    </row>
    <row r="36" spans="1:21" ht="18"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row>
    <row r="37" spans="1:21" ht="18" customHeight="1" x14ac:dyDescent="0.2">
      <c r="B37" s="116" t="s">
        <v>51</v>
      </c>
      <c r="C37" s="117"/>
      <c r="D37" s="117"/>
      <c r="E37" s="117"/>
      <c r="F37" s="118"/>
      <c r="G37" s="51" t="s">
        <v>76</v>
      </c>
      <c r="H37" s="50" t="s">
        <v>79</v>
      </c>
      <c r="I37" s="17" t="s">
        <v>67</v>
      </c>
      <c r="J37" s="17" t="s">
        <v>68</v>
      </c>
      <c r="K37" s="116" t="s">
        <v>51</v>
      </c>
      <c r="L37" s="117"/>
      <c r="M37" s="117"/>
      <c r="N37" s="117"/>
      <c r="O37" s="117"/>
      <c r="P37" s="117"/>
      <c r="Q37" s="118"/>
      <c r="R37" s="51" t="s">
        <v>76</v>
      </c>
      <c r="S37" s="50" t="s">
        <v>79</v>
      </c>
      <c r="T37" s="17" t="s">
        <v>67</v>
      </c>
      <c r="U37" s="17" t="s">
        <v>68</v>
      </c>
    </row>
    <row r="38" spans="1:21" ht="18" customHeight="1" x14ac:dyDescent="0.2">
      <c r="B38" s="131" t="s">
        <v>151</v>
      </c>
      <c r="C38" s="132"/>
      <c r="D38" s="132"/>
      <c r="E38" s="132"/>
      <c r="F38" s="133"/>
      <c r="G38" s="18">
        <v>2</v>
      </c>
      <c r="H38" s="18" t="s">
        <v>139</v>
      </c>
      <c r="I38" s="18" t="s">
        <v>139</v>
      </c>
      <c r="J38" s="18" t="s">
        <v>139</v>
      </c>
      <c r="K38" s="131"/>
      <c r="L38" s="132"/>
      <c r="M38" s="132"/>
      <c r="N38" s="132"/>
      <c r="O38" s="132"/>
      <c r="P38" s="132"/>
      <c r="Q38" s="133"/>
      <c r="R38" s="18"/>
      <c r="S38" s="18"/>
      <c r="T38" s="18"/>
      <c r="U38" s="18"/>
    </row>
    <row r="39" spans="1:21" ht="18" customHeight="1" x14ac:dyDescent="0.2">
      <c r="B39" s="125" t="s">
        <v>152</v>
      </c>
      <c r="C39" s="126"/>
      <c r="D39" s="126"/>
      <c r="E39" s="126"/>
      <c r="F39" s="127"/>
      <c r="G39" s="19">
        <v>2</v>
      </c>
      <c r="H39" s="19" t="s">
        <v>139</v>
      </c>
      <c r="I39" s="19" t="s">
        <v>139</v>
      </c>
      <c r="J39" s="19" t="s">
        <v>139</v>
      </c>
      <c r="K39" s="125"/>
      <c r="L39" s="126"/>
      <c r="M39" s="126"/>
      <c r="N39" s="126"/>
      <c r="O39" s="126"/>
      <c r="P39" s="126"/>
      <c r="Q39" s="127"/>
      <c r="R39" s="19"/>
      <c r="S39" s="19"/>
      <c r="T39" s="19"/>
      <c r="U39" s="19"/>
    </row>
    <row r="40" spans="1:21" ht="18" customHeight="1" x14ac:dyDescent="0.2">
      <c r="B40" s="125"/>
      <c r="C40" s="126"/>
      <c r="D40" s="126"/>
      <c r="E40" s="126"/>
      <c r="F40" s="127"/>
      <c r="G40" s="19"/>
      <c r="H40" s="19"/>
      <c r="I40" s="19"/>
      <c r="J40" s="19"/>
      <c r="K40" s="125"/>
      <c r="L40" s="126"/>
      <c r="M40" s="126"/>
      <c r="N40" s="126"/>
      <c r="O40" s="126"/>
      <c r="P40" s="126"/>
      <c r="Q40" s="127"/>
      <c r="R40" s="19"/>
      <c r="S40" s="19"/>
      <c r="T40" s="19"/>
      <c r="U40" s="19"/>
    </row>
    <row r="41" spans="1:21" ht="18" customHeight="1" x14ac:dyDescent="0.2">
      <c r="B41" s="125"/>
      <c r="C41" s="126"/>
      <c r="D41" s="126"/>
      <c r="E41" s="126"/>
      <c r="F41" s="127"/>
      <c r="G41" s="19"/>
      <c r="H41" s="19"/>
      <c r="I41" s="19"/>
      <c r="J41" s="19"/>
      <c r="K41" s="125"/>
      <c r="L41" s="126"/>
      <c r="M41" s="126"/>
      <c r="N41" s="126"/>
      <c r="O41" s="126"/>
      <c r="P41" s="126"/>
      <c r="Q41" s="127"/>
      <c r="R41" s="19"/>
      <c r="S41" s="19"/>
      <c r="T41" s="19"/>
      <c r="U41" s="19"/>
    </row>
    <row r="42" spans="1:21" ht="18" customHeight="1" x14ac:dyDescent="0.2">
      <c r="B42" s="125"/>
      <c r="C42" s="126"/>
      <c r="D42" s="126"/>
      <c r="E42" s="126"/>
      <c r="F42" s="127"/>
      <c r="G42" s="19"/>
      <c r="H42" s="19"/>
      <c r="I42" s="19"/>
      <c r="J42" s="19"/>
      <c r="K42" s="125"/>
      <c r="L42" s="126"/>
      <c r="M42" s="126"/>
      <c r="N42" s="126"/>
      <c r="O42" s="126"/>
      <c r="P42" s="126"/>
      <c r="Q42" s="127"/>
      <c r="R42" s="19"/>
      <c r="S42" s="19"/>
      <c r="T42" s="19"/>
      <c r="U42" s="19"/>
    </row>
    <row r="43" spans="1:21" ht="18" customHeight="1" x14ac:dyDescent="0.2">
      <c r="B43" s="125"/>
      <c r="C43" s="126"/>
      <c r="D43" s="126"/>
      <c r="E43" s="126"/>
      <c r="F43" s="127"/>
      <c r="G43" s="19"/>
      <c r="H43" s="19"/>
      <c r="I43" s="19"/>
      <c r="J43" s="19"/>
      <c r="K43" s="125"/>
      <c r="L43" s="126"/>
      <c r="M43" s="126"/>
      <c r="N43" s="126"/>
      <c r="O43" s="126"/>
      <c r="P43" s="126"/>
      <c r="Q43" s="127"/>
      <c r="R43" s="19"/>
      <c r="S43" s="19"/>
      <c r="T43" s="19"/>
      <c r="U43" s="19"/>
    </row>
    <row r="44" spans="1:21" ht="18" customHeight="1" x14ac:dyDescent="0.2">
      <c r="B44" s="128"/>
      <c r="C44" s="129"/>
      <c r="D44" s="129"/>
      <c r="E44" s="129"/>
      <c r="F44" s="130"/>
      <c r="G44" s="20"/>
      <c r="H44" s="20"/>
      <c r="I44" s="21"/>
      <c r="J44" s="21"/>
      <c r="K44" s="128"/>
      <c r="L44" s="129"/>
      <c r="M44" s="129"/>
      <c r="N44" s="129"/>
      <c r="O44" s="129"/>
      <c r="P44" s="129"/>
      <c r="Q44" s="130"/>
      <c r="R44" s="20"/>
      <c r="S44" s="20"/>
      <c r="T44" s="21"/>
      <c r="U44" s="21"/>
    </row>
    <row r="45" spans="1:21" ht="7.5" customHeight="1" x14ac:dyDescent="0.2">
      <c r="A45" s="88"/>
      <c r="B45" s="6"/>
      <c r="C45" s="6"/>
      <c r="D45" s="6"/>
      <c r="E45" s="88"/>
      <c r="F45" s="88"/>
      <c r="G45" s="88"/>
      <c r="H45" s="88"/>
      <c r="I45" s="6"/>
      <c r="J45" s="6"/>
      <c r="K45" s="6"/>
      <c r="L45" s="6"/>
      <c r="M45" s="6"/>
      <c r="N45" s="6"/>
      <c r="O45" s="6"/>
      <c r="P45" s="6"/>
      <c r="Q45" s="6"/>
      <c r="R45" s="6"/>
      <c r="S45" s="6"/>
      <c r="T45" s="6"/>
      <c r="U45" s="88"/>
    </row>
    <row r="46" spans="1:21" ht="18" customHeight="1" x14ac:dyDescent="0.2">
      <c r="A46" s="134" t="s">
        <v>102</v>
      </c>
      <c r="B46" s="134"/>
      <c r="C46" s="134"/>
      <c r="D46" s="134"/>
      <c r="E46" s="134"/>
      <c r="F46" s="134"/>
      <c r="G46" s="134"/>
      <c r="H46" s="134"/>
      <c r="I46" s="134"/>
      <c r="J46" s="134"/>
      <c r="K46" s="134"/>
      <c r="L46" s="134"/>
      <c r="M46" s="134"/>
      <c r="N46" s="134"/>
      <c r="O46" s="134"/>
      <c r="P46" s="134"/>
      <c r="Q46" s="134"/>
      <c r="R46" s="134"/>
      <c r="S46" s="134"/>
      <c r="T46" s="134"/>
      <c r="U46" s="134"/>
    </row>
    <row r="47" spans="1:21" ht="18"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row>
    <row r="48" spans="1:21" ht="18" customHeight="1" x14ac:dyDescent="0.2">
      <c r="B48" s="116" t="s">
        <v>51</v>
      </c>
      <c r="C48" s="117"/>
      <c r="D48" s="117"/>
      <c r="E48" s="117"/>
      <c r="F48" s="118"/>
      <c r="G48" s="51" t="s">
        <v>76</v>
      </c>
      <c r="H48" s="50" t="s">
        <v>79</v>
      </c>
      <c r="I48" s="17" t="s">
        <v>69</v>
      </c>
      <c r="J48" s="17" t="s">
        <v>70</v>
      </c>
      <c r="K48" s="116" t="s">
        <v>51</v>
      </c>
      <c r="L48" s="117"/>
      <c r="M48" s="117"/>
      <c r="N48" s="117"/>
      <c r="O48" s="117"/>
      <c r="P48" s="117"/>
      <c r="Q48" s="118"/>
      <c r="R48" s="51" t="s">
        <v>76</v>
      </c>
      <c r="S48" s="50" t="s">
        <v>79</v>
      </c>
      <c r="T48" s="17" t="s">
        <v>69</v>
      </c>
      <c r="U48" s="17" t="s">
        <v>70</v>
      </c>
    </row>
    <row r="49" spans="1:21" ht="18" customHeight="1" x14ac:dyDescent="0.2">
      <c r="A49" s="88"/>
      <c r="B49" s="131" t="s">
        <v>151</v>
      </c>
      <c r="C49" s="132"/>
      <c r="D49" s="132"/>
      <c r="E49" s="132"/>
      <c r="F49" s="133"/>
      <c r="G49" s="18">
        <v>2</v>
      </c>
      <c r="H49" s="18" t="s">
        <v>139</v>
      </c>
      <c r="I49" s="18" t="s">
        <v>139</v>
      </c>
      <c r="J49" s="18" t="s">
        <v>139</v>
      </c>
      <c r="K49" s="131"/>
      <c r="L49" s="132"/>
      <c r="M49" s="132"/>
      <c r="N49" s="132"/>
      <c r="O49" s="132"/>
      <c r="P49" s="132"/>
      <c r="Q49" s="133"/>
      <c r="R49" s="18"/>
      <c r="S49" s="18"/>
      <c r="T49" s="18"/>
      <c r="U49" s="18"/>
    </row>
    <row r="50" spans="1:21" ht="18" customHeight="1" x14ac:dyDescent="0.2">
      <c r="A50" s="88"/>
      <c r="B50" s="125"/>
      <c r="C50" s="126"/>
      <c r="D50" s="126"/>
      <c r="E50" s="126"/>
      <c r="F50" s="127"/>
      <c r="G50" s="19"/>
      <c r="H50" s="19"/>
      <c r="I50" s="19"/>
      <c r="J50" s="19"/>
      <c r="K50" s="125"/>
      <c r="L50" s="126"/>
      <c r="M50" s="126"/>
      <c r="N50" s="126"/>
      <c r="O50" s="126"/>
      <c r="P50" s="126"/>
      <c r="Q50" s="127"/>
      <c r="R50" s="19"/>
      <c r="S50" s="19"/>
      <c r="T50" s="19"/>
      <c r="U50" s="19"/>
    </row>
    <row r="51" spans="1:21" ht="18" customHeight="1" x14ac:dyDescent="0.2">
      <c r="A51" s="88"/>
      <c r="B51" s="125"/>
      <c r="C51" s="126"/>
      <c r="D51" s="126"/>
      <c r="E51" s="126"/>
      <c r="F51" s="127"/>
      <c r="G51" s="19"/>
      <c r="H51" s="19"/>
      <c r="I51" s="19"/>
      <c r="J51" s="19"/>
      <c r="K51" s="125"/>
      <c r="L51" s="126"/>
      <c r="M51" s="126"/>
      <c r="N51" s="126"/>
      <c r="O51" s="126"/>
      <c r="P51" s="126"/>
      <c r="Q51" s="127"/>
      <c r="R51" s="19"/>
      <c r="S51" s="19"/>
      <c r="T51" s="19"/>
      <c r="U51" s="19"/>
    </row>
    <row r="52" spans="1:21" ht="18" customHeight="1" x14ac:dyDescent="0.2">
      <c r="A52" s="88"/>
      <c r="B52" s="125"/>
      <c r="C52" s="126"/>
      <c r="D52" s="126"/>
      <c r="E52" s="126"/>
      <c r="F52" s="127"/>
      <c r="G52" s="19"/>
      <c r="H52" s="19"/>
      <c r="I52" s="19"/>
      <c r="J52" s="19"/>
      <c r="K52" s="125"/>
      <c r="L52" s="126"/>
      <c r="M52" s="126"/>
      <c r="N52" s="126"/>
      <c r="O52" s="126"/>
      <c r="P52" s="126"/>
      <c r="Q52" s="127"/>
      <c r="R52" s="19"/>
      <c r="S52" s="19"/>
      <c r="T52" s="19"/>
      <c r="U52" s="19"/>
    </row>
    <row r="53" spans="1:21" ht="18" customHeight="1" x14ac:dyDescent="0.2">
      <c r="A53" s="88"/>
      <c r="B53" s="125"/>
      <c r="C53" s="126"/>
      <c r="D53" s="126"/>
      <c r="E53" s="126"/>
      <c r="F53" s="127"/>
      <c r="G53" s="19"/>
      <c r="H53" s="19"/>
      <c r="I53" s="19"/>
      <c r="J53" s="19"/>
      <c r="K53" s="125"/>
      <c r="L53" s="126"/>
      <c r="M53" s="126"/>
      <c r="N53" s="126"/>
      <c r="O53" s="126"/>
      <c r="P53" s="126"/>
      <c r="Q53" s="127"/>
      <c r="R53" s="19"/>
      <c r="S53" s="19"/>
      <c r="T53" s="19"/>
      <c r="U53" s="19"/>
    </row>
    <row r="54" spans="1:21" ht="18" customHeight="1" x14ac:dyDescent="0.2">
      <c r="A54" s="88"/>
      <c r="B54" s="125"/>
      <c r="C54" s="126"/>
      <c r="D54" s="126"/>
      <c r="E54" s="126"/>
      <c r="F54" s="127"/>
      <c r="G54" s="19"/>
      <c r="H54" s="19"/>
      <c r="I54" s="19"/>
      <c r="J54" s="19"/>
      <c r="K54" s="125"/>
      <c r="L54" s="126"/>
      <c r="M54" s="126"/>
      <c r="N54" s="126"/>
      <c r="O54" s="126"/>
      <c r="P54" s="126"/>
      <c r="Q54" s="127"/>
      <c r="R54" s="19"/>
      <c r="S54" s="19"/>
      <c r="T54" s="19"/>
      <c r="U54" s="19"/>
    </row>
    <row r="55" spans="1:21" ht="18" customHeight="1" x14ac:dyDescent="0.2">
      <c r="A55" s="88"/>
      <c r="B55" s="128"/>
      <c r="C55" s="129"/>
      <c r="D55" s="129"/>
      <c r="E55" s="129"/>
      <c r="F55" s="130"/>
      <c r="G55" s="20"/>
      <c r="H55" s="20"/>
      <c r="I55" s="21"/>
      <c r="J55" s="21"/>
      <c r="K55" s="128"/>
      <c r="L55" s="129"/>
      <c r="M55" s="129"/>
      <c r="N55" s="129"/>
      <c r="O55" s="129"/>
      <c r="P55" s="129"/>
      <c r="Q55" s="130"/>
      <c r="R55" s="20"/>
      <c r="S55" s="20"/>
      <c r="T55" s="21"/>
      <c r="U55" s="21"/>
    </row>
    <row r="56" spans="1:21" ht="7.5" customHeight="1" x14ac:dyDescent="0.2">
      <c r="B56" s="90"/>
      <c r="C56" s="90"/>
      <c r="D56" s="90"/>
      <c r="E56" s="90"/>
      <c r="F56" s="90"/>
      <c r="G56" s="90"/>
      <c r="H56" s="90"/>
      <c r="I56" s="90"/>
      <c r="J56" s="90"/>
      <c r="K56" s="90"/>
      <c r="L56" s="90"/>
      <c r="M56" s="90"/>
      <c r="N56" s="90"/>
      <c r="O56" s="90"/>
      <c r="P56" s="90"/>
      <c r="Q56" s="90"/>
      <c r="R56" s="90"/>
      <c r="S56" s="90"/>
      <c r="T56" s="90"/>
    </row>
    <row r="57" spans="1:21" ht="18" customHeight="1" x14ac:dyDescent="0.2">
      <c r="A57" s="134" t="s">
        <v>103</v>
      </c>
      <c r="B57" s="134"/>
      <c r="C57" s="134"/>
      <c r="D57" s="134"/>
      <c r="E57" s="134"/>
      <c r="F57" s="134"/>
      <c r="G57" s="134"/>
      <c r="H57" s="134"/>
      <c r="I57" s="134"/>
      <c r="J57" s="134"/>
      <c r="K57" s="134"/>
      <c r="L57" s="134"/>
      <c r="M57" s="134"/>
      <c r="N57" s="134"/>
      <c r="O57" s="134"/>
      <c r="P57" s="134"/>
      <c r="Q57" s="134"/>
      <c r="R57" s="134"/>
      <c r="S57" s="134"/>
      <c r="T57" s="134"/>
      <c r="U57" s="134"/>
    </row>
    <row r="58" spans="1:21" ht="18"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row>
    <row r="59" spans="1:21" ht="18" customHeight="1" x14ac:dyDescent="0.2">
      <c r="B59" s="116" t="s">
        <v>51</v>
      </c>
      <c r="C59" s="117"/>
      <c r="D59" s="117"/>
      <c r="E59" s="117"/>
      <c r="F59" s="118"/>
      <c r="G59" s="51" t="s">
        <v>76</v>
      </c>
      <c r="H59" s="50" t="s">
        <v>79</v>
      </c>
      <c r="I59" s="17" t="s">
        <v>56</v>
      </c>
      <c r="J59" s="17" t="s">
        <v>58</v>
      </c>
      <c r="K59" s="116" t="s">
        <v>51</v>
      </c>
      <c r="L59" s="117"/>
      <c r="M59" s="117"/>
      <c r="N59" s="117"/>
      <c r="O59" s="117"/>
      <c r="P59" s="117"/>
      <c r="Q59" s="118"/>
      <c r="R59" s="51" t="s">
        <v>76</v>
      </c>
      <c r="S59" s="50" t="s">
        <v>79</v>
      </c>
      <c r="T59" s="17" t="s">
        <v>56</v>
      </c>
      <c r="U59" s="17" t="s">
        <v>58</v>
      </c>
    </row>
    <row r="60" spans="1:21" ht="18" customHeight="1" x14ac:dyDescent="0.2">
      <c r="A60" s="88"/>
      <c r="B60" s="125" t="s">
        <v>152</v>
      </c>
      <c r="C60" s="126"/>
      <c r="D60" s="126"/>
      <c r="E60" s="126"/>
      <c r="F60" s="127"/>
      <c r="G60" s="19">
        <v>2</v>
      </c>
      <c r="H60" s="19" t="s">
        <v>139</v>
      </c>
      <c r="I60" s="19" t="s">
        <v>139</v>
      </c>
      <c r="J60" s="19" t="s">
        <v>139</v>
      </c>
      <c r="K60" s="131"/>
      <c r="L60" s="132"/>
      <c r="M60" s="132"/>
      <c r="N60" s="132"/>
      <c r="O60" s="132"/>
      <c r="P60" s="132"/>
      <c r="Q60" s="133"/>
      <c r="R60" s="18"/>
      <c r="S60" s="18"/>
      <c r="T60" s="18"/>
      <c r="U60" s="18"/>
    </row>
    <row r="61" spans="1:21" ht="18" customHeight="1" x14ac:dyDescent="0.2">
      <c r="A61" s="88"/>
      <c r="B61" s="125"/>
      <c r="C61" s="126"/>
      <c r="D61" s="126"/>
      <c r="E61" s="126"/>
      <c r="F61" s="127"/>
      <c r="G61" s="19"/>
      <c r="H61" s="19"/>
      <c r="I61" s="19"/>
      <c r="J61" s="19"/>
      <c r="K61" s="125"/>
      <c r="L61" s="126"/>
      <c r="M61" s="126"/>
      <c r="N61" s="126"/>
      <c r="O61" s="126"/>
      <c r="P61" s="126"/>
      <c r="Q61" s="127"/>
      <c r="R61" s="19"/>
      <c r="S61" s="19"/>
      <c r="T61" s="19"/>
      <c r="U61" s="19"/>
    </row>
    <row r="62" spans="1:21" ht="18" customHeight="1" x14ac:dyDescent="0.2">
      <c r="A62" s="88"/>
      <c r="B62" s="125"/>
      <c r="C62" s="126"/>
      <c r="D62" s="126"/>
      <c r="E62" s="126"/>
      <c r="F62" s="127"/>
      <c r="G62" s="19"/>
      <c r="H62" s="19"/>
      <c r="I62" s="19"/>
      <c r="J62" s="19"/>
      <c r="K62" s="125"/>
      <c r="L62" s="126"/>
      <c r="M62" s="126"/>
      <c r="N62" s="126"/>
      <c r="O62" s="126"/>
      <c r="P62" s="126"/>
      <c r="Q62" s="127"/>
      <c r="R62" s="19"/>
      <c r="S62" s="19"/>
      <c r="T62" s="19"/>
      <c r="U62" s="19"/>
    </row>
    <row r="63" spans="1:21" ht="18" customHeight="1" x14ac:dyDescent="0.2">
      <c r="A63" s="88"/>
      <c r="B63" s="125"/>
      <c r="C63" s="126"/>
      <c r="D63" s="126"/>
      <c r="E63" s="126"/>
      <c r="F63" s="127"/>
      <c r="G63" s="19"/>
      <c r="H63" s="19"/>
      <c r="I63" s="19"/>
      <c r="J63" s="19"/>
      <c r="K63" s="125"/>
      <c r="L63" s="126"/>
      <c r="M63" s="126"/>
      <c r="N63" s="126"/>
      <c r="O63" s="126"/>
      <c r="P63" s="126"/>
      <c r="Q63" s="127"/>
      <c r="R63" s="19"/>
      <c r="S63" s="19"/>
      <c r="T63" s="19"/>
      <c r="U63" s="19"/>
    </row>
    <row r="64" spans="1:21" ht="18" customHeight="1" x14ac:dyDescent="0.2">
      <c r="A64" s="88"/>
      <c r="B64" s="125"/>
      <c r="C64" s="126"/>
      <c r="D64" s="126"/>
      <c r="E64" s="126"/>
      <c r="F64" s="127"/>
      <c r="G64" s="19"/>
      <c r="H64" s="19"/>
      <c r="I64" s="19"/>
      <c r="J64" s="19"/>
      <c r="K64" s="125"/>
      <c r="L64" s="126"/>
      <c r="M64" s="126"/>
      <c r="N64" s="126"/>
      <c r="O64" s="126"/>
      <c r="P64" s="126"/>
      <c r="Q64" s="127"/>
      <c r="R64" s="19"/>
      <c r="S64" s="19"/>
      <c r="T64" s="19"/>
      <c r="U64" s="19"/>
    </row>
    <row r="65" spans="1:21" ht="18" customHeight="1" x14ac:dyDescent="0.2">
      <c r="A65" s="88"/>
      <c r="B65" s="125"/>
      <c r="C65" s="126"/>
      <c r="D65" s="126"/>
      <c r="E65" s="126"/>
      <c r="F65" s="127"/>
      <c r="G65" s="19"/>
      <c r="H65" s="19"/>
      <c r="I65" s="19"/>
      <c r="J65" s="19"/>
      <c r="K65" s="125"/>
      <c r="L65" s="126"/>
      <c r="M65" s="126"/>
      <c r="N65" s="126"/>
      <c r="O65" s="126"/>
      <c r="P65" s="126"/>
      <c r="Q65" s="127"/>
      <c r="R65" s="19"/>
      <c r="S65" s="19"/>
      <c r="T65" s="19"/>
      <c r="U65" s="19"/>
    </row>
    <row r="66" spans="1:21" ht="18" customHeight="1" x14ac:dyDescent="0.2">
      <c r="A66" s="88"/>
      <c r="B66" s="128"/>
      <c r="C66" s="129"/>
      <c r="D66" s="129"/>
      <c r="E66" s="129"/>
      <c r="F66" s="130"/>
      <c r="G66" s="20"/>
      <c r="H66" s="20"/>
      <c r="I66" s="21"/>
      <c r="J66" s="21"/>
      <c r="K66" s="128"/>
      <c r="L66" s="129"/>
      <c r="M66" s="129"/>
      <c r="N66" s="129"/>
      <c r="O66" s="129"/>
      <c r="P66" s="129"/>
      <c r="Q66" s="130"/>
      <c r="R66" s="20"/>
      <c r="S66" s="20"/>
      <c r="T66" s="21"/>
      <c r="U66" s="21"/>
    </row>
    <row r="67" spans="1:21" ht="7.5" customHeight="1" x14ac:dyDescent="0.2">
      <c r="B67" s="90"/>
      <c r="C67" s="90"/>
      <c r="D67" s="90"/>
      <c r="E67" s="90"/>
      <c r="F67" s="90"/>
      <c r="G67" s="90"/>
      <c r="H67" s="90"/>
      <c r="I67" s="90"/>
      <c r="J67" s="90"/>
      <c r="K67" s="90"/>
      <c r="L67" s="90"/>
      <c r="M67" s="90"/>
      <c r="N67" s="90"/>
      <c r="O67" s="90"/>
      <c r="P67" s="90"/>
      <c r="Q67" s="90"/>
      <c r="R67" s="90"/>
      <c r="S67" s="90"/>
      <c r="T67" s="90"/>
    </row>
    <row r="68" spans="1:21" ht="18" customHeight="1" x14ac:dyDescent="0.2">
      <c r="A68" s="134" t="s">
        <v>104</v>
      </c>
      <c r="B68" s="134"/>
      <c r="C68" s="134"/>
      <c r="D68" s="134"/>
      <c r="E68" s="134"/>
      <c r="F68" s="134"/>
      <c r="G68" s="134"/>
      <c r="H68" s="134"/>
      <c r="I68" s="134"/>
      <c r="J68" s="134"/>
      <c r="K68" s="134"/>
      <c r="L68" s="134"/>
      <c r="M68" s="134"/>
      <c r="N68" s="134"/>
      <c r="O68" s="134"/>
      <c r="P68" s="134"/>
      <c r="Q68" s="134"/>
      <c r="R68" s="134"/>
      <c r="S68" s="134"/>
      <c r="T68" s="134"/>
      <c r="U68" s="134"/>
    </row>
    <row r="69" spans="1:21" ht="18"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row>
    <row r="70" spans="1:21" ht="18" customHeight="1" x14ac:dyDescent="0.2">
      <c r="B70" s="116" t="s">
        <v>51</v>
      </c>
      <c r="C70" s="117"/>
      <c r="D70" s="117"/>
      <c r="E70" s="117"/>
      <c r="F70" s="51" t="s">
        <v>76</v>
      </c>
      <c r="G70" s="50" t="s">
        <v>79</v>
      </c>
      <c r="H70" s="17" t="s">
        <v>91</v>
      </c>
      <c r="I70" s="17" t="s">
        <v>71</v>
      </c>
      <c r="J70" s="17" t="s">
        <v>72</v>
      </c>
      <c r="K70" s="116" t="s">
        <v>51</v>
      </c>
      <c r="L70" s="117"/>
      <c r="M70" s="117"/>
      <c r="N70" s="117"/>
      <c r="O70" s="117"/>
      <c r="P70" s="118"/>
      <c r="Q70" s="51" t="s">
        <v>76</v>
      </c>
      <c r="R70" s="50" t="s">
        <v>79</v>
      </c>
      <c r="S70" s="17" t="s">
        <v>91</v>
      </c>
      <c r="T70" s="17" t="s">
        <v>71</v>
      </c>
      <c r="U70" s="17" t="s">
        <v>72</v>
      </c>
    </row>
    <row r="71" spans="1:21" ht="18" customHeight="1" x14ac:dyDescent="0.2">
      <c r="A71" s="88"/>
      <c r="B71" s="131" t="s">
        <v>151</v>
      </c>
      <c r="C71" s="132"/>
      <c r="D71" s="132"/>
      <c r="E71" s="133"/>
      <c r="F71" s="18">
        <v>2</v>
      </c>
      <c r="G71" s="18" t="s">
        <v>139</v>
      </c>
      <c r="H71" s="18" t="s">
        <v>139</v>
      </c>
      <c r="I71" s="18" t="s">
        <v>139</v>
      </c>
      <c r="J71" s="18" t="s">
        <v>139</v>
      </c>
      <c r="K71" s="131"/>
      <c r="L71" s="132"/>
      <c r="M71" s="132"/>
      <c r="N71" s="132"/>
      <c r="O71" s="132"/>
      <c r="P71" s="133"/>
      <c r="Q71" s="18"/>
      <c r="R71" s="18"/>
      <c r="S71" s="18"/>
      <c r="T71" s="18"/>
      <c r="U71" s="18"/>
    </row>
    <row r="72" spans="1:21" ht="18" customHeight="1" x14ac:dyDescent="0.2">
      <c r="A72" s="88"/>
      <c r="B72" s="125"/>
      <c r="C72" s="126"/>
      <c r="D72" s="126"/>
      <c r="E72" s="126"/>
      <c r="F72" s="19"/>
      <c r="G72" s="19"/>
      <c r="H72" s="19"/>
      <c r="I72" s="19"/>
      <c r="J72" s="19"/>
      <c r="K72" s="125"/>
      <c r="L72" s="126"/>
      <c r="M72" s="126"/>
      <c r="N72" s="126"/>
      <c r="O72" s="126"/>
      <c r="P72" s="127"/>
      <c r="Q72" s="19"/>
      <c r="R72" s="19"/>
      <c r="S72" s="19"/>
      <c r="T72" s="19"/>
      <c r="U72" s="19"/>
    </row>
    <row r="73" spans="1:21" ht="18" customHeight="1" x14ac:dyDescent="0.2">
      <c r="A73" s="88"/>
      <c r="B73" s="125"/>
      <c r="C73" s="126"/>
      <c r="D73" s="126"/>
      <c r="E73" s="126"/>
      <c r="F73" s="19"/>
      <c r="G73" s="19"/>
      <c r="H73" s="19"/>
      <c r="I73" s="19"/>
      <c r="J73" s="19"/>
      <c r="K73" s="125"/>
      <c r="L73" s="126"/>
      <c r="M73" s="126"/>
      <c r="N73" s="126"/>
      <c r="O73" s="126"/>
      <c r="P73" s="127"/>
      <c r="Q73" s="19"/>
      <c r="R73" s="19"/>
      <c r="S73" s="19"/>
      <c r="T73" s="19"/>
      <c r="U73" s="19"/>
    </row>
    <row r="74" spans="1:21" ht="18" customHeight="1" x14ac:dyDescent="0.2">
      <c r="A74" s="88"/>
      <c r="B74" s="125"/>
      <c r="C74" s="126"/>
      <c r="D74" s="126"/>
      <c r="E74" s="126"/>
      <c r="F74" s="19"/>
      <c r="G74" s="19"/>
      <c r="H74" s="19"/>
      <c r="I74" s="19"/>
      <c r="J74" s="19"/>
      <c r="K74" s="125"/>
      <c r="L74" s="126"/>
      <c r="M74" s="126"/>
      <c r="N74" s="126"/>
      <c r="O74" s="126"/>
      <c r="P74" s="127"/>
      <c r="Q74" s="19"/>
      <c r="R74" s="19"/>
      <c r="S74" s="19"/>
      <c r="T74" s="19"/>
      <c r="U74" s="19"/>
    </row>
    <row r="75" spans="1:21" ht="18" customHeight="1" x14ac:dyDescent="0.2">
      <c r="A75" s="88"/>
      <c r="B75" s="125"/>
      <c r="C75" s="126"/>
      <c r="D75" s="126"/>
      <c r="E75" s="126"/>
      <c r="F75" s="19"/>
      <c r="G75" s="19"/>
      <c r="H75" s="19"/>
      <c r="I75" s="19"/>
      <c r="J75" s="19"/>
      <c r="K75" s="125"/>
      <c r="L75" s="126"/>
      <c r="M75" s="126"/>
      <c r="N75" s="126"/>
      <c r="O75" s="126"/>
      <c r="P75" s="127"/>
      <c r="Q75" s="19"/>
      <c r="R75" s="19"/>
      <c r="S75" s="19"/>
      <c r="T75" s="19"/>
      <c r="U75" s="19"/>
    </row>
    <row r="76" spans="1:21" ht="18" customHeight="1" x14ac:dyDescent="0.2">
      <c r="A76" s="88"/>
      <c r="B76" s="125"/>
      <c r="C76" s="126"/>
      <c r="D76" s="126"/>
      <c r="E76" s="126"/>
      <c r="F76" s="19"/>
      <c r="G76" s="19"/>
      <c r="H76" s="19"/>
      <c r="I76" s="19"/>
      <c r="J76" s="19"/>
      <c r="K76" s="125"/>
      <c r="L76" s="126"/>
      <c r="M76" s="126"/>
      <c r="N76" s="126"/>
      <c r="O76" s="126"/>
      <c r="P76" s="127"/>
      <c r="Q76" s="19"/>
      <c r="R76" s="19"/>
      <c r="S76" s="19"/>
      <c r="T76" s="19"/>
      <c r="U76" s="19"/>
    </row>
    <row r="77" spans="1:21" ht="18" customHeight="1" x14ac:dyDescent="0.2">
      <c r="A77" s="88"/>
      <c r="B77" s="128"/>
      <c r="C77" s="129"/>
      <c r="D77" s="129"/>
      <c r="E77" s="129"/>
      <c r="F77" s="20"/>
      <c r="G77" s="20"/>
      <c r="H77" s="21"/>
      <c r="I77" s="21"/>
      <c r="J77" s="21"/>
      <c r="K77" s="128"/>
      <c r="L77" s="129"/>
      <c r="M77" s="129"/>
      <c r="N77" s="129"/>
      <c r="O77" s="129"/>
      <c r="P77" s="130"/>
      <c r="Q77" s="20"/>
      <c r="R77" s="20"/>
      <c r="S77" s="21"/>
      <c r="T77" s="21"/>
      <c r="U77" s="21"/>
    </row>
    <row r="78" spans="1:21" ht="7.5" customHeight="1" x14ac:dyDescent="0.2">
      <c r="B78" s="90"/>
      <c r="C78" s="90"/>
      <c r="D78" s="90"/>
      <c r="E78" s="90"/>
      <c r="F78" s="90"/>
      <c r="G78" s="90"/>
      <c r="H78" s="90"/>
      <c r="I78" s="90"/>
      <c r="J78" s="90"/>
      <c r="K78" s="90"/>
      <c r="L78" s="90"/>
      <c r="M78" s="90"/>
      <c r="N78" s="90"/>
      <c r="O78" s="90"/>
      <c r="P78" s="90"/>
      <c r="Q78" s="90"/>
      <c r="R78" s="90"/>
      <c r="S78" s="90"/>
      <c r="T78" s="90"/>
    </row>
    <row r="79" spans="1:21" ht="18" customHeight="1" x14ac:dyDescent="0.2">
      <c r="A79" s="89" t="s">
        <v>105</v>
      </c>
      <c r="I79" s="88"/>
      <c r="J79" s="88"/>
      <c r="K79" s="88"/>
      <c r="L79" s="88"/>
      <c r="M79" s="88"/>
      <c r="N79" s="88"/>
      <c r="O79" s="88"/>
      <c r="P79" s="88"/>
      <c r="Q79" s="88"/>
      <c r="R79" s="88"/>
      <c r="S79" s="88"/>
      <c r="T79" s="88"/>
      <c r="U79" s="88"/>
    </row>
    <row r="80" spans="1:21" ht="18" customHeight="1" x14ac:dyDescent="0.2">
      <c r="B80" s="116" t="s">
        <v>51</v>
      </c>
      <c r="C80" s="117"/>
      <c r="D80" s="117"/>
      <c r="E80" s="117"/>
      <c r="F80" s="118"/>
      <c r="G80" s="116" t="s">
        <v>77</v>
      </c>
      <c r="H80" s="117"/>
      <c r="I80" s="117"/>
      <c r="J80" s="118"/>
      <c r="K80" s="167" t="s">
        <v>51</v>
      </c>
      <c r="L80" s="168"/>
      <c r="M80" s="168"/>
      <c r="N80" s="168"/>
      <c r="O80" s="168"/>
      <c r="P80" s="168"/>
      <c r="Q80" s="169"/>
      <c r="R80" s="116" t="s">
        <v>77</v>
      </c>
      <c r="S80" s="117"/>
      <c r="T80" s="117"/>
      <c r="U80" s="118"/>
    </row>
    <row r="81" spans="1:21" ht="18" customHeight="1" x14ac:dyDescent="0.2">
      <c r="A81" s="88"/>
      <c r="B81" s="131" t="s">
        <v>151</v>
      </c>
      <c r="C81" s="132"/>
      <c r="D81" s="132"/>
      <c r="E81" s="132"/>
      <c r="F81" s="133"/>
      <c r="G81" s="170" t="s">
        <v>193</v>
      </c>
      <c r="H81" s="171"/>
      <c r="I81" s="171"/>
      <c r="J81" s="172"/>
      <c r="K81" s="131" t="s">
        <v>151</v>
      </c>
      <c r="L81" s="132"/>
      <c r="M81" s="132"/>
      <c r="N81" s="132"/>
      <c r="O81" s="132"/>
      <c r="P81" s="132"/>
      <c r="Q81" s="133"/>
      <c r="R81" s="170" t="s">
        <v>199</v>
      </c>
      <c r="S81" s="171"/>
      <c r="T81" s="171"/>
      <c r="U81" s="172"/>
    </row>
    <row r="82" spans="1:21" ht="18" customHeight="1" x14ac:dyDescent="0.2">
      <c r="A82" s="88"/>
      <c r="B82" s="125" t="s">
        <v>151</v>
      </c>
      <c r="C82" s="126"/>
      <c r="D82" s="126"/>
      <c r="E82" s="126"/>
      <c r="F82" s="127"/>
      <c r="G82" s="159" t="s">
        <v>195</v>
      </c>
      <c r="H82" s="160"/>
      <c r="I82" s="160"/>
      <c r="J82" s="161"/>
      <c r="K82" s="125" t="s">
        <v>152</v>
      </c>
      <c r="L82" s="126"/>
      <c r="M82" s="126"/>
      <c r="N82" s="126"/>
      <c r="O82" s="126"/>
      <c r="P82" s="126"/>
      <c r="Q82" s="127"/>
      <c r="R82" s="159" t="s">
        <v>195</v>
      </c>
      <c r="S82" s="160"/>
      <c r="T82" s="160"/>
      <c r="U82" s="161"/>
    </row>
    <row r="83" spans="1:21" ht="18" customHeight="1" x14ac:dyDescent="0.2">
      <c r="A83" s="88"/>
      <c r="B83" s="125" t="s">
        <v>151</v>
      </c>
      <c r="C83" s="126"/>
      <c r="D83" s="126"/>
      <c r="E83" s="126"/>
      <c r="F83" s="127"/>
      <c r="G83" s="159" t="s">
        <v>194</v>
      </c>
      <c r="H83" s="160"/>
      <c r="I83" s="160"/>
      <c r="J83" s="161"/>
      <c r="K83" s="125" t="s">
        <v>152</v>
      </c>
      <c r="L83" s="126"/>
      <c r="M83" s="126"/>
      <c r="N83" s="126"/>
      <c r="O83" s="126"/>
      <c r="P83" s="126"/>
      <c r="Q83" s="127"/>
      <c r="R83" s="159" t="s">
        <v>196</v>
      </c>
      <c r="S83" s="160"/>
      <c r="T83" s="160"/>
      <c r="U83" s="161"/>
    </row>
    <row r="84" spans="1:21" ht="18" customHeight="1" x14ac:dyDescent="0.2">
      <c r="A84" s="88"/>
      <c r="B84" s="125" t="s">
        <v>151</v>
      </c>
      <c r="C84" s="126"/>
      <c r="D84" s="126"/>
      <c r="E84" s="126"/>
      <c r="F84" s="127"/>
      <c r="G84" s="159" t="s">
        <v>196</v>
      </c>
      <c r="H84" s="160"/>
      <c r="I84" s="160"/>
      <c r="J84" s="161"/>
      <c r="K84" s="125" t="s">
        <v>152</v>
      </c>
      <c r="L84" s="126"/>
      <c r="M84" s="126"/>
      <c r="N84" s="126"/>
      <c r="O84" s="126"/>
      <c r="P84" s="126"/>
      <c r="Q84" s="127"/>
      <c r="R84" s="159" t="s">
        <v>143</v>
      </c>
      <c r="S84" s="160"/>
      <c r="T84" s="160"/>
      <c r="U84" s="161"/>
    </row>
    <row r="85" spans="1:21" ht="18" customHeight="1" x14ac:dyDescent="0.2">
      <c r="A85" s="88"/>
      <c r="B85" s="125" t="s">
        <v>151</v>
      </c>
      <c r="C85" s="126"/>
      <c r="D85" s="126"/>
      <c r="E85" s="126"/>
      <c r="F85" s="127"/>
      <c r="G85" s="159" t="s">
        <v>143</v>
      </c>
      <c r="H85" s="160"/>
      <c r="I85" s="160"/>
      <c r="J85" s="161"/>
      <c r="K85" s="125"/>
      <c r="L85" s="126"/>
      <c r="M85" s="126"/>
      <c r="N85" s="126"/>
      <c r="O85" s="126"/>
      <c r="P85" s="126"/>
      <c r="Q85" s="127"/>
      <c r="R85" s="159"/>
      <c r="S85" s="160"/>
      <c r="T85" s="160"/>
      <c r="U85" s="161"/>
    </row>
    <row r="86" spans="1:21" ht="18" customHeight="1" x14ac:dyDescent="0.2">
      <c r="A86" s="88"/>
      <c r="B86" s="125" t="s">
        <v>151</v>
      </c>
      <c r="C86" s="126"/>
      <c r="D86" s="126"/>
      <c r="E86" s="126"/>
      <c r="F86" s="127"/>
      <c r="G86" s="159" t="s">
        <v>197</v>
      </c>
      <c r="H86" s="160"/>
      <c r="I86" s="160"/>
      <c r="J86" s="161"/>
      <c r="K86" s="125"/>
      <c r="L86" s="126"/>
      <c r="M86" s="126"/>
      <c r="N86" s="126"/>
      <c r="O86" s="126"/>
      <c r="P86" s="126"/>
      <c r="Q86" s="127"/>
      <c r="R86" s="159"/>
      <c r="S86" s="160"/>
      <c r="T86" s="160"/>
      <c r="U86" s="161"/>
    </row>
    <row r="87" spans="1:21" ht="18" customHeight="1" x14ac:dyDescent="0.2">
      <c r="A87" s="88"/>
      <c r="B87" s="128" t="s">
        <v>151</v>
      </c>
      <c r="C87" s="129"/>
      <c r="D87" s="129"/>
      <c r="E87" s="129"/>
      <c r="F87" s="130"/>
      <c r="G87" s="156" t="s">
        <v>142</v>
      </c>
      <c r="H87" s="157"/>
      <c r="I87" s="157"/>
      <c r="J87" s="158"/>
      <c r="K87" s="128"/>
      <c r="L87" s="129"/>
      <c r="M87" s="129"/>
      <c r="N87" s="129"/>
      <c r="O87" s="129"/>
      <c r="P87" s="129"/>
      <c r="Q87" s="130"/>
      <c r="R87" s="156"/>
      <c r="S87" s="157"/>
      <c r="T87" s="157"/>
      <c r="U87" s="158"/>
    </row>
    <row r="88" spans="1:21" ht="18" customHeight="1" x14ac:dyDescent="0.2">
      <c r="A88" s="88"/>
      <c r="B88" s="6"/>
      <c r="C88" s="6"/>
      <c r="D88" s="6"/>
      <c r="E88" s="6"/>
      <c r="F88" s="6"/>
      <c r="G88" s="22"/>
      <c r="H88" s="22"/>
      <c r="I88" s="22"/>
      <c r="J88" s="22"/>
      <c r="K88" s="6"/>
      <c r="L88" s="6"/>
      <c r="M88" s="6"/>
      <c r="N88" s="6"/>
      <c r="O88" s="6"/>
      <c r="P88" s="6"/>
      <c r="Q88" s="6"/>
      <c r="R88" s="22"/>
      <c r="S88" s="22"/>
      <c r="T88" s="22"/>
      <c r="U88" s="22"/>
    </row>
    <row r="89" spans="1:21" ht="18.75" customHeight="1" x14ac:dyDescent="0.2">
      <c r="A89" s="89" t="s">
        <v>106</v>
      </c>
    </row>
    <row r="90" spans="1:21" ht="18.75" customHeight="1" x14ac:dyDescent="0.2">
      <c r="B90" s="165" t="s">
        <v>52</v>
      </c>
      <c r="C90" s="166"/>
      <c r="D90" s="116" t="s">
        <v>53</v>
      </c>
      <c r="E90" s="117"/>
      <c r="F90" s="117"/>
      <c r="G90" s="117"/>
      <c r="H90" s="117"/>
      <c r="I90" s="117"/>
      <c r="J90" s="117"/>
      <c r="K90" s="117"/>
      <c r="L90" s="117"/>
      <c r="M90" s="117"/>
      <c r="N90" s="117"/>
      <c r="O90" s="117"/>
      <c r="P90" s="117"/>
      <c r="Q90" s="117"/>
      <c r="R90" s="117"/>
      <c r="S90" s="117"/>
      <c r="T90" s="117"/>
      <c r="U90" s="118"/>
    </row>
    <row r="91" spans="1:21" ht="97.5" customHeight="1" x14ac:dyDescent="0.2">
      <c r="B91" s="162" t="s">
        <v>59</v>
      </c>
      <c r="C91" s="23" t="s">
        <v>54</v>
      </c>
      <c r="D91" s="104" t="s">
        <v>252</v>
      </c>
      <c r="E91" s="105"/>
      <c r="F91" s="105"/>
      <c r="G91" s="105"/>
      <c r="H91" s="105"/>
      <c r="I91" s="105"/>
      <c r="J91" s="105"/>
      <c r="K91" s="105"/>
      <c r="L91" s="105"/>
      <c r="M91" s="105"/>
      <c r="N91" s="105"/>
      <c r="O91" s="105"/>
      <c r="P91" s="105"/>
      <c r="Q91" s="105"/>
      <c r="R91" s="105"/>
      <c r="S91" s="105"/>
      <c r="T91" s="105"/>
      <c r="U91" s="106"/>
    </row>
    <row r="92" spans="1:21" ht="97.5" customHeight="1" x14ac:dyDescent="0.2">
      <c r="B92" s="163"/>
      <c r="C92" s="24" t="s">
        <v>73</v>
      </c>
      <c r="D92" s="101" t="s">
        <v>230</v>
      </c>
      <c r="E92" s="102"/>
      <c r="F92" s="102"/>
      <c r="G92" s="102"/>
      <c r="H92" s="102"/>
      <c r="I92" s="102"/>
      <c r="J92" s="102"/>
      <c r="K92" s="102"/>
      <c r="L92" s="102"/>
      <c r="M92" s="102"/>
      <c r="N92" s="102"/>
      <c r="O92" s="102"/>
      <c r="P92" s="102"/>
      <c r="Q92" s="102"/>
      <c r="R92" s="102"/>
      <c r="S92" s="102"/>
      <c r="T92" s="102"/>
      <c r="U92" s="103"/>
    </row>
    <row r="93" spans="1:21" ht="97.5" customHeight="1" x14ac:dyDescent="0.2">
      <c r="B93" s="162" t="s">
        <v>60</v>
      </c>
      <c r="C93" s="25" t="s">
        <v>67</v>
      </c>
      <c r="D93" s="104" t="s">
        <v>253</v>
      </c>
      <c r="E93" s="105"/>
      <c r="F93" s="105"/>
      <c r="G93" s="105"/>
      <c r="H93" s="105"/>
      <c r="I93" s="105"/>
      <c r="J93" s="105"/>
      <c r="K93" s="105"/>
      <c r="L93" s="105"/>
      <c r="M93" s="105"/>
      <c r="N93" s="105"/>
      <c r="O93" s="105"/>
      <c r="P93" s="105"/>
      <c r="Q93" s="105"/>
      <c r="R93" s="105"/>
      <c r="S93" s="105"/>
      <c r="T93" s="105"/>
      <c r="U93" s="106"/>
    </row>
    <row r="94" spans="1:21" ht="97.5" customHeight="1" x14ac:dyDescent="0.2">
      <c r="B94" s="164"/>
      <c r="C94" s="26" t="s">
        <v>68</v>
      </c>
      <c r="D94" s="101" t="s">
        <v>254</v>
      </c>
      <c r="E94" s="102"/>
      <c r="F94" s="102"/>
      <c r="G94" s="102"/>
      <c r="H94" s="102"/>
      <c r="I94" s="102"/>
      <c r="J94" s="102"/>
      <c r="K94" s="102"/>
      <c r="L94" s="102"/>
      <c r="M94" s="102"/>
      <c r="N94" s="102"/>
      <c r="O94" s="102"/>
      <c r="P94" s="102"/>
      <c r="Q94" s="102"/>
      <c r="R94" s="102"/>
      <c r="S94" s="102"/>
      <c r="T94" s="102"/>
      <c r="U94" s="103"/>
    </row>
    <row r="95" spans="1:21" ht="97.5" customHeight="1" x14ac:dyDescent="0.2">
      <c r="B95" s="162" t="s">
        <v>61</v>
      </c>
      <c r="C95" s="25" t="s">
        <v>69</v>
      </c>
      <c r="D95" s="104" t="s">
        <v>250</v>
      </c>
      <c r="E95" s="105"/>
      <c r="F95" s="105"/>
      <c r="G95" s="105"/>
      <c r="H95" s="105"/>
      <c r="I95" s="105"/>
      <c r="J95" s="105"/>
      <c r="K95" s="105"/>
      <c r="L95" s="105"/>
      <c r="M95" s="105"/>
      <c r="N95" s="105"/>
      <c r="O95" s="105"/>
      <c r="P95" s="105"/>
      <c r="Q95" s="105"/>
      <c r="R95" s="105"/>
      <c r="S95" s="105"/>
      <c r="T95" s="105"/>
      <c r="U95" s="106"/>
    </row>
    <row r="96" spans="1:21" ht="97.5" customHeight="1" x14ac:dyDescent="0.2">
      <c r="B96" s="164"/>
      <c r="C96" s="27" t="s">
        <v>70</v>
      </c>
      <c r="D96" s="101" t="s">
        <v>251</v>
      </c>
      <c r="E96" s="102"/>
      <c r="F96" s="102"/>
      <c r="G96" s="102"/>
      <c r="H96" s="102"/>
      <c r="I96" s="102"/>
      <c r="J96" s="102"/>
      <c r="K96" s="102"/>
      <c r="L96" s="102"/>
      <c r="M96" s="102"/>
      <c r="N96" s="102"/>
      <c r="O96" s="102"/>
      <c r="P96" s="102"/>
      <c r="Q96" s="102"/>
      <c r="R96" s="102"/>
      <c r="S96" s="102"/>
      <c r="T96" s="102"/>
      <c r="U96" s="103"/>
    </row>
    <row r="97" spans="1:33" ht="97.5" customHeight="1" x14ac:dyDescent="0.2">
      <c r="B97" s="162" t="s">
        <v>74</v>
      </c>
      <c r="C97" s="23" t="s">
        <v>56</v>
      </c>
      <c r="D97" s="104" t="s">
        <v>255</v>
      </c>
      <c r="E97" s="105"/>
      <c r="F97" s="105"/>
      <c r="G97" s="105"/>
      <c r="H97" s="105"/>
      <c r="I97" s="105"/>
      <c r="J97" s="105"/>
      <c r="K97" s="105"/>
      <c r="L97" s="105"/>
      <c r="M97" s="105"/>
      <c r="N97" s="105"/>
      <c r="O97" s="105"/>
      <c r="P97" s="105"/>
      <c r="Q97" s="105"/>
      <c r="R97" s="105"/>
      <c r="S97" s="105"/>
      <c r="T97" s="105"/>
      <c r="U97" s="106"/>
    </row>
    <row r="98" spans="1:33" ht="97.5" customHeight="1" x14ac:dyDescent="0.2">
      <c r="B98" s="164"/>
      <c r="C98" s="26" t="s">
        <v>58</v>
      </c>
      <c r="D98" s="101" t="s">
        <v>256</v>
      </c>
      <c r="E98" s="102"/>
      <c r="F98" s="102"/>
      <c r="G98" s="102"/>
      <c r="H98" s="102"/>
      <c r="I98" s="102"/>
      <c r="J98" s="102"/>
      <c r="K98" s="102"/>
      <c r="L98" s="102"/>
      <c r="M98" s="102"/>
      <c r="N98" s="102"/>
      <c r="O98" s="102"/>
      <c r="P98" s="102"/>
      <c r="Q98" s="102"/>
      <c r="R98" s="102"/>
      <c r="S98" s="102"/>
      <c r="T98" s="102"/>
      <c r="U98" s="103"/>
    </row>
    <row r="99" spans="1:33" ht="118.2" customHeight="1" x14ac:dyDescent="0.2">
      <c r="B99" s="162" t="s">
        <v>75</v>
      </c>
      <c r="C99" s="25" t="s">
        <v>55</v>
      </c>
      <c r="D99" s="104" t="s">
        <v>231</v>
      </c>
      <c r="E99" s="105"/>
      <c r="F99" s="105"/>
      <c r="G99" s="105"/>
      <c r="H99" s="105"/>
      <c r="I99" s="105"/>
      <c r="J99" s="105"/>
      <c r="K99" s="105"/>
      <c r="L99" s="105"/>
      <c r="M99" s="105"/>
      <c r="N99" s="105"/>
      <c r="O99" s="105"/>
      <c r="P99" s="105"/>
      <c r="Q99" s="105"/>
      <c r="R99" s="105"/>
      <c r="S99" s="105"/>
      <c r="T99" s="105"/>
      <c r="U99" s="106"/>
    </row>
    <row r="100" spans="1:33" ht="97.5" customHeight="1" x14ac:dyDescent="0.2">
      <c r="B100" s="163"/>
      <c r="C100" s="28" t="s">
        <v>71</v>
      </c>
      <c r="D100" s="107" t="s">
        <v>208</v>
      </c>
      <c r="E100" s="108"/>
      <c r="F100" s="108"/>
      <c r="G100" s="108"/>
      <c r="H100" s="108"/>
      <c r="I100" s="108"/>
      <c r="J100" s="108"/>
      <c r="K100" s="108"/>
      <c r="L100" s="108"/>
      <c r="M100" s="108"/>
      <c r="N100" s="108"/>
      <c r="O100" s="108"/>
      <c r="P100" s="108"/>
      <c r="Q100" s="108"/>
      <c r="R100" s="108"/>
      <c r="S100" s="108"/>
      <c r="T100" s="108"/>
      <c r="U100" s="109"/>
    </row>
    <row r="101" spans="1:33" ht="97.5" customHeight="1" x14ac:dyDescent="0.2">
      <c r="B101" s="164"/>
      <c r="C101" s="27" t="s">
        <v>72</v>
      </c>
      <c r="D101" s="101" t="s">
        <v>209</v>
      </c>
      <c r="E101" s="102"/>
      <c r="F101" s="102"/>
      <c r="G101" s="102"/>
      <c r="H101" s="102"/>
      <c r="I101" s="102"/>
      <c r="J101" s="102"/>
      <c r="K101" s="102"/>
      <c r="L101" s="102"/>
      <c r="M101" s="102"/>
      <c r="N101" s="102"/>
      <c r="O101" s="102"/>
      <c r="P101" s="102"/>
      <c r="Q101" s="102"/>
      <c r="R101" s="102"/>
      <c r="S101" s="102"/>
      <c r="T101" s="102"/>
      <c r="U101" s="103"/>
    </row>
    <row r="102" spans="1:33" ht="6" customHeight="1" x14ac:dyDescent="0.2"/>
    <row r="103" spans="1:33" ht="18.75" customHeight="1" x14ac:dyDescent="0.2">
      <c r="A103" s="89" t="s">
        <v>107</v>
      </c>
    </row>
    <row r="104" spans="1:33" ht="81.75" customHeight="1" x14ac:dyDescent="0.2">
      <c r="B104" s="153" t="s">
        <v>204</v>
      </c>
      <c r="C104" s="154"/>
      <c r="D104" s="154"/>
      <c r="E104" s="154"/>
      <c r="F104" s="154"/>
      <c r="G104" s="154"/>
      <c r="H104" s="154"/>
      <c r="I104" s="154"/>
      <c r="J104" s="154"/>
      <c r="K104" s="154"/>
      <c r="L104" s="154"/>
      <c r="M104" s="154"/>
      <c r="N104" s="154"/>
      <c r="O104" s="154"/>
      <c r="P104" s="154"/>
      <c r="Q104" s="154"/>
      <c r="R104" s="154"/>
      <c r="S104" s="154"/>
      <c r="T104" s="154"/>
      <c r="U104" s="155"/>
    </row>
    <row r="106" spans="1:33" ht="18.75" customHeight="1" x14ac:dyDescent="0.2">
      <c r="A106" s="73" t="s">
        <v>123</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125</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00" t="s">
        <v>129</v>
      </c>
      <c r="C108" s="100"/>
      <c r="D108" s="100"/>
      <c r="E108" s="100"/>
      <c r="F108" s="100"/>
      <c r="G108" s="100"/>
      <c r="H108" s="100"/>
      <c r="I108" s="100"/>
      <c r="J108" s="100"/>
      <c r="K108" s="100"/>
      <c r="L108" s="100"/>
      <c r="M108" s="100"/>
      <c r="N108" s="100"/>
      <c r="O108" s="100"/>
      <c r="P108" s="100"/>
      <c r="Q108" s="100"/>
      <c r="R108" s="100"/>
      <c r="S108" s="100"/>
      <c r="T108" s="100"/>
      <c r="U108" s="100"/>
      <c r="V108" s="69"/>
      <c r="W108" s="69"/>
      <c r="X108" s="69"/>
      <c r="Y108" s="69"/>
      <c r="Z108" s="69"/>
      <c r="AA108" s="69"/>
      <c r="AB108" s="69"/>
      <c r="AC108" s="69"/>
      <c r="AD108" s="69"/>
      <c r="AE108" s="69"/>
      <c r="AF108" s="69"/>
      <c r="AG108" s="69"/>
    </row>
    <row r="109" spans="1:33" ht="37.200000000000003" customHeight="1" x14ac:dyDescent="0.2">
      <c r="A109" s="73"/>
      <c r="B109" s="100"/>
      <c r="C109" s="100"/>
      <c r="D109" s="100"/>
      <c r="E109" s="100"/>
      <c r="F109" s="100"/>
      <c r="G109" s="100"/>
      <c r="H109" s="100"/>
      <c r="I109" s="100"/>
      <c r="J109" s="100"/>
      <c r="K109" s="100"/>
      <c r="L109" s="100"/>
      <c r="M109" s="100"/>
      <c r="N109" s="100"/>
      <c r="O109" s="100"/>
      <c r="P109" s="100"/>
      <c r="Q109" s="100"/>
      <c r="R109" s="100"/>
      <c r="S109" s="100"/>
      <c r="T109" s="100"/>
      <c r="U109" s="100"/>
      <c r="V109" s="69"/>
      <c r="W109" s="69"/>
      <c r="X109" s="69"/>
      <c r="Y109" s="69"/>
      <c r="Z109" s="69"/>
      <c r="AA109" s="69"/>
      <c r="AB109" s="69"/>
      <c r="AC109" s="69"/>
      <c r="AD109" s="69"/>
      <c r="AE109" s="69"/>
      <c r="AF109" s="69"/>
      <c r="AG109" s="69"/>
    </row>
    <row r="110" spans="1:33" ht="18.75" customHeight="1" x14ac:dyDescent="0.2">
      <c r="A110" s="73"/>
      <c r="B110" s="173" t="s">
        <v>124</v>
      </c>
      <c r="C110" s="173"/>
      <c r="D110" s="173"/>
      <c r="E110" s="173"/>
      <c r="F110" s="173"/>
      <c r="G110" s="173"/>
      <c r="H110" s="173"/>
      <c r="I110" s="173"/>
      <c r="J110" s="173"/>
      <c r="K110" s="173"/>
      <c r="L110" s="173"/>
      <c r="M110" s="173"/>
      <c r="N110" s="173"/>
      <c r="O110" s="173"/>
      <c r="P110" s="173"/>
      <c r="Q110" s="173"/>
      <c r="R110" s="173"/>
      <c r="S110" s="173"/>
      <c r="T110" s="173"/>
      <c r="U110" s="173"/>
      <c r="V110" s="69"/>
      <c r="W110" s="69"/>
      <c r="X110" s="69"/>
      <c r="Y110" s="69"/>
      <c r="Z110" s="69"/>
      <c r="AA110" s="69"/>
      <c r="AB110" s="69"/>
      <c r="AC110" s="69"/>
      <c r="AD110" s="69"/>
      <c r="AE110" s="69"/>
      <c r="AF110" s="69"/>
      <c r="AG110" s="69"/>
    </row>
    <row r="111" spans="1:33" ht="18.75" customHeight="1" x14ac:dyDescent="0.2">
      <c r="A111" s="73"/>
      <c r="B111" s="174" t="s">
        <v>53</v>
      </c>
      <c r="C111" s="174"/>
      <c r="D111" s="174"/>
      <c r="E111" s="174"/>
      <c r="F111" s="174"/>
      <c r="G111" s="174"/>
      <c r="H111" s="174"/>
      <c r="I111" s="174"/>
      <c r="J111" s="174"/>
      <c r="K111" s="174"/>
      <c r="L111" s="174"/>
      <c r="M111" s="174"/>
      <c r="N111" s="174"/>
      <c r="O111" s="174"/>
      <c r="P111" s="174"/>
      <c r="Q111" s="174"/>
      <c r="R111" s="174"/>
      <c r="S111" s="174"/>
      <c r="T111" s="174"/>
      <c r="U111" s="174"/>
      <c r="V111" s="68"/>
      <c r="W111" s="68"/>
      <c r="X111" s="68"/>
      <c r="Y111" s="68"/>
      <c r="Z111" s="68"/>
      <c r="AA111" s="68"/>
      <c r="AB111" s="68"/>
      <c r="AC111" s="68"/>
      <c r="AD111" s="68"/>
      <c r="AE111" s="68"/>
      <c r="AF111" s="68"/>
      <c r="AG111" s="68"/>
    </row>
    <row r="112" spans="1:33" ht="132" customHeight="1" x14ac:dyDescent="0.2">
      <c r="A112" s="73"/>
      <c r="B112" s="175" t="s">
        <v>232</v>
      </c>
      <c r="C112" s="175"/>
      <c r="D112" s="175"/>
      <c r="E112" s="175"/>
      <c r="F112" s="175"/>
      <c r="G112" s="175"/>
      <c r="H112" s="175"/>
      <c r="I112" s="175"/>
      <c r="J112" s="175"/>
      <c r="K112" s="175"/>
      <c r="L112" s="175"/>
      <c r="M112" s="175"/>
      <c r="N112" s="175"/>
      <c r="O112" s="175"/>
      <c r="P112" s="175"/>
      <c r="Q112" s="175"/>
      <c r="R112" s="175"/>
      <c r="S112" s="175"/>
      <c r="T112" s="175"/>
      <c r="U112" s="175"/>
      <c r="V112" s="70"/>
      <c r="W112" s="70"/>
      <c r="X112" s="70"/>
      <c r="Y112" s="70"/>
      <c r="Z112" s="70"/>
      <c r="AA112" s="70"/>
      <c r="AB112" s="70"/>
      <c r="AC112" s="70"/>
      <c r="AD112" s="70"/>
      <c r="AE112" s="70"/>
      <c r="AF112" s="70"/>
      <c r="AG112" s="70"/>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4481A68F-7890-4232-90B1-AA840939713B}">
      <formula1>$X$16:$X$18</formula1>
    </dataValidation>
    <dataValidation type="list" allowBlank="1" showInputMessage="1" showErrorMessage="1" sqref="R81:R88 S85:U88 H85:J88 G81:G88 H81:J82 S81:U82" xr:uid="{8895DB73-6CD3-44C9-A5A1-5ED866FDEBB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DEE462C-975F-44C5-85EC-DC9CA2EAD910}">
      <formula1>"学部・学科によって、修了要件は相違する,学部・学科によって、修了要件は相違しない"</formula1>
    </dataValidation>
    <dataValidation type="list" allowBlank="1" showInputMessage="1" showErrorMessage="1" sqref="U34 U45 E34:H34 E45:H45" xr:uid="{81F73E77-172C-47DE-A0A1-D33291907B80}">
      <formula1>"全学開講,一部開講"</formula1>
    </dataValidation>
    <dataValidation type="list" allowBlank="1" showInputMessage="1" showErrorMessage="1" sqref="H27:J33 S27:U33 R71:U77 S38:U44 H38:J44 S49:U55 H49:J55 S60:U66 G71:J77 H60:J66" xr:uid="{216E6D76-743A-4DB5-B78E-A412F294B4D4}">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D458-6520-4779-B206-B9B040A9783A}">
  <sheetPr codeName="Sheet7">
    <pageSetUpPr fitToPage="1"/>
  </sheetPr>
  <dimension ref="A1:AG114"/>
  <sheetViews>
    <sheetView showZeros="0" view="pageBreakPreview" zoomScaleNormal="100" zoomScaleSheetLayoutView="100" workbookViewId="0">
      <selection activeCell="Y17" sqref="Y17"/>
    </sheetView>
  </sheetViews>
  <sheetFormatPr defaultColWidth="9" defaultRowHeight="18.75" customHeight="1" x14ac:dyDescent="0.2"/>
  <cols>
    <col min="1" max="1" width="2.44140625" style="89" customWidth="1"/>
    <col min="2" max="2" width="16.44140625" style="89" customWidth="1"/>
    <col min="3" max="21" width="5.6640625" style="89" customWidth="1"/>
    <col min="22" max="22" width="9" style="89"/>
    <col min="23" max="23" width="3.6640625" style="89" customWidth="1"/>
    <col min="24" max="24" width="48.6640625" style="89" hidden="1" customWidth="1"/>
    <col min="25" max="16384" width="9" style="89"/>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35" t="s">
        <v>153</v>
      </c>
      <c r="U1" s="135"/>
      <c r="V1" s="2" t="s">
        <v>98</v>
      </c>
    </row>
    <row r="2" spans="1:24" ht="18.75" customHeight="1" x14ac:dyDescent="0.2">
      <c r="A2" s="75"/>
      <c r="B2" s="87" t="s">
        <v>97</v>
      </c>
      <c r="C2" s="136" t="s">
        <v>135</v>
      </c>
      <c r="D2" s="137"/>
      <c r="E2" s="137"/>
      <c r="F2" s="137"/>
      <c r="G2" s="137"/>
      <c r="H2" s="137"/>
      <c r="I2" s="137"/>
      <c r="J2" s="138"/>
      <c r="K2" s="86"/>
      <c r="L2" s="78"/>
      <c r="M2" s="78"/>
      <c r="N2" s="78"/>
      <c r="O2" s="78"/>
      <c r="P2" s="78"/>
      <c r="Q2" s="78"/>
      <c r="R2" s="78"/>
      <c r="S2" s="78"/>
      <c r="T2" s="78"/>
      <c r="U2" s="78"/>
    </row>
    <row r="3" spans="1:24" ht="18.75" customHeight="1" x14ac:dyDescent="0.2">
      <c r="A3" s="75"/>
      <c r="B3" s="87" t="s">
        <v>92</v>
      </c>
      <c r="C3" s="139" t="s">
        <v>136</v>
      </c>
      <c r="D3" s="140"/>
      <c r="E3" s="140"/>
      <c r="F3" s="140"/>
      <c r="G3" s="140"/>
      <c r="H3" s="140"/>
      <c r="I3" s="140"/>
      <c r="J3" s="141"/>
      <c r="K3" s="86"/>
      <c r="L3" s="78"/>
      <c r="M3" s="78"/>
      <c r="N3" s="78"/>
      <c r="O3" s="78"/>
      <c r="P3" s="78"/>
      <c r="Q3" s="78"/>
      <c r="R3" s="78"/>
      <c r="S3" s="78"/>
      <c r="T3" s="78"/>
      <c r="U3" s="78"/>
    </row>
    <row r="4" spans="1:24" ht="15" customHeight="1" x14ac:dyDescent="0.2">
      <c r="A4" s="75"/>
      <c r="B4" s="75"/>
      <c r="C4" s="75"/>
      <c r="D4" s="75"/>
      <c r="E4" s="75"/>
      <c r="F4" s="75"/>
      <c r="G4" s="75"/>
      <c r="H4" s="75"/>
      <c r="I4" s="75"/>
      <c r="J4" s="75"/>
      <c r="K4" s="75"/>
      <c r="L4" s="86"/>
      <c r="M4" s="79"/>
      <c r="N4" s="79"/>
      <c r="O4" s="79"/>
      <c r="P4" s="79"/>
      <c r="Q4" s="79"/>
      <c r="R4" s="79"/>
      <c r="S4" s="79"/>
      <c r="T4" s="79"/>
      <c r="U4" s="79"/>
    </row>
    <row r="5" spans="1:24" ht="18" customHeight="1" x14ac:dyDescent="0.2">
      <c r="A5" s="142" t="s">
        <v>37</v>
      </c>
      <c r="B5" s="142"/>
      <c r="C5" s="142"/>
      <c r="D5" s="142"/>
      <c r="E5" s="142"/>
      <c r="F5" s="142"/>
      <c r="G5" s="142"/>
      <c r="H5" s="142"/>
      <c r="I5" s="142"/>
      <c r="J5" s="142"/>
      <c r="K5" s="142"/>
      <c r="L5" s="142"/>
      <c r="M5" s="142"/>
      <c r="N5" s="142"/>
      <c r="O5" s="142"/>
      <c r="P5" s="142"/>
      <c r="Q5" s="142"/>
      <c r="R5" s="142"/>
      <c r="S5" s="142"/>
      <c r="T5" s="142"/>
      <c r="U5" s="142"/>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130</v>
      </c>
      <c r="B7" s="80"/>
      <c r="C7" s="80"/>
      <c r="D7" s="80"/>
      <c r="E7" s="80"/>
      <c r="F7" s="81"/>
      <c r="G7" s="81"/>
      <c r="H7" s="81"/>
      <c r="I7" s="81"/>
      <c r="J7" s="81"/>
      <c r="K7" s="81"/>
      <c r="L7" s="113" t="s">
        <v>128</v>
      </c>
      <c r="M7" s="114"/>
      <c r="N7" s="114"/>
      <c r="O7" s="114"/>
      <c r="P7" s="114"/>
      <c r="Q7" s="114"/>
      <c r="R7" s="114"/>
      <c r="S7" s="114"/>
      <c r="T7" s="114"/>
      <c r="U7" s="115"/>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131</v>
      </c>
      <c r="B9" s="75"/>
      <c r="C9" s="80"/>
      <c r="D9" s="80"/>
      <c r="E9" s="75"/>
      <c r="F9" s="75"/>
      <c r="G9" s="75"/>
      <c r="H9" s="75"/>
      <c r="I9" s="75"/>
      <c r="J9" s="75"/>
      <c r="K9" s="86"/>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76" t="s">
        <v>154</v>
      </c>
      <c r="C11" s="177"/>
      <c r="D11" s="177"/>
      <c r="E11" s="177"/>
      <c r="F11" s="177"/>
      <c r="G11" s="177"/>
      <c r="H11" s="177"/>
      <c r="I11" s="177"/>
      <c r="J11" s="177"/>
      <c r="K11" s="177"/>
      <c r="L11" s="177"/>
      <c r="M11" s="177"/>
      <c r="N11" s="177"/>
      <c r="O11" s="177"/>
      <c r="P11" s="177"/>
      <c r="Q11" s="177"/>
      <c r="R11" s="177"/>
      <c r="S11" s="177"/>
      <c r="T11" s="177"/>
      <c r="U11" s="178"/>
    </row>
    <row r="12" spans="1:24" ht="18" customHeight="1" x14ac:dyDescent="0.2">
      <c r="A12" s="75"/>
      <c r="B12" s="179"/>
      <c r="C12" s="180"/>
      <c r="D12" s="180"/>
      <c r="E12" s="180"/>
      <c r="F12" s="180"/>
      <c r="G12" s="180"/>
      <c r="H12" s="180"/>
      <c r="I12" s="180"/>
      <c r="J12" s="180"/>
      <c r="K12" s="180"/>
      <c r="L12" s="180"/>
      <c r="M12" s="180"/>
      <c r="N12" s="180"/>
      <c r="O12" s="180"/>
      <c r="P12" s="180"/>
      <c r="Q12" s="180"/>
      <c r="R12" s="180"/>
      <c r="S12" s="180"/>
      <c r="T12" s="180"/>
      <c r="U12" s="181"/>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99</v>
      </c>
      <c r="B14" s="80"/>
      <c r="C14" s="80"/>
      <c r="D14" s="80"/>
      <c r="E14" s="86"/>
      <c r="F14" s="86"/>
      <c r="G14" s="86"/>
      <c r="H14" s="86"/>
      <c r="I14" s="86"/>
      <c r="J14" s="86"/>
      <c r="K14" s="86"/>
      <c r="L14" s="83"/>
      <c r="M14" s="83"/>
      <c r="N14" s="83"/>
      <c r="O14" s="83"/>
      <c r="P14" s="83"/>
      <c r="Q14" s="83"/>
      <c r="R14" s="83"/>
      <c r="S14" s="83"/>
      <c r="T14" s="83"/>
      <c r="U14" s="83"/>
    </row>
    <row r="15" spans="1:24" ht="18" customHeight="1" x14ac:dyDescent="0.2">
      <c r="A15" s="75"/>
      <c r="B15" s="143" t="s">
        <v>267</v>
      </c>
      <c r="C15" s="144"/>
      <c r="D15" s="144"/>
      <c r="E15" s="144"/>
      <c r="F15" s="144"/>
      <c r="G15" s="144"/>
      <c r="H15" s="144"/>
      <c r="I15" s="144"/>
      <c r="J15" s="144"/>
      <c r="K15" s="144"/>
      <c r="L15" s="144"/>
      <c r="M15" s="144"/>
      <c r="N15" s="144"/>
      <c r="O15" s="144"/>
      <c r="P15" s="144"/>
      <c r="Q15" s="144"/>
      <c r="R15" s="144"/>
      <c r="S15" s="144"/>
      <c r="T15" s="144"/>
      <c r="U15" s="145"/>
      <c r="X15" s="89" t="s">
        <v>93</v>
      </c>
    </row>
    <row r="16" spans="1:24" ht="18" customHeight="1" x14ac:dyDescent="0.2">
      <c r="A16" s="75"/>
      <c r="B16" s="146"/>
      <c r="C16" s="147"/>
      <c r="D16" s="147"/>
      <c r="E16" s="147"/>
      <c r="F16" s="147"/>
      <c r="G16" s="147"/>
      <c r="H16" s="147"/>
      <c r="I16" s="147"/>
      <c r="J16" s="147"/>
      <c r="K16" s="147"/>
      <c r="L16" s="147"/>
      <c r="M16" s="147"/>
      <c r="N16" s="147"/>
      <c r="O16" s="147"/>
      <c r="P16" s="147"/>
      <c r="Q16" s="147"/>
      <c r="R16" s="147"/>
      <c r="S16" s="147"/>
      <c r="T16" s="147"/>
      <c r="U16" s="148"/>
      <c r="X16" s="89" t="s">
        <v>113</v>
      </c>
    </row>
    <row r="17" spans="1:24" ht="18" customHeight="1" x14ac:dyDescent="0.2">
      <c r="A17" s="75"/>
      <c r="B17" s="146"/>
      <c r="C17" s="147"/>
      <c r="D17" s="147"/>
      <c r="E17" s="147"/>
      <c r="F17" s="147"/>
      <c r="G17" s="147"/>
      <c r="H17" s="147"/>
      <c r="I17" s="147"/>
      <c r="J17" s="147"/>
      <c r="K17" s="147"/>
      <c r="L17" s="147"/>
      <c r="M17" s="147"/>
      <c r="N17" s="147"/>
      <c r="O17" s="147"/>
      <c r="P17" s="147"/>
      <c r="Q17" s="147"/>
      <c r="R17" s="147"/>
      <c r="S17" s="147"/>
      <c r="T17" s="147"/>
      <c r="U17" s="148"/>
      <c r="X17" s="89" t="s">
        <v>114</v>
      </c>
    </row>
    <row r="18" spans="1:24" ht="18" customHeight="1" x14ac:dyDescent="0.2">
      <c r="A18" s="75"/>
      <c r="B18" s="146"/>
      <c r="C18" s="147"/>
      <c r="D18" s="147"/>
      <c r="E18" s="147"/>
      <c r="F18" s="147"/>
      <c r="G18" s="147"/>
      <c r="H18" s="147"/>
      <c r="I18" s="147"/>
      <c r="J18" s="147"/>
      <c r="K18" s="147"/>
      <c r="L18" s="147"/>
      <c r="M18" s="147"/>
      <c r="N18" s="147"/>
      <c r="O18" s="147"/>
      <c r="P18" s="147"/>
      <c r="Q18" s="147"/>
      <c r="R18" s="147"/>
      <c r="S18" s="147"/>
      <c r="T18" s="147"/>
      <c r="U18" s="148"/>
      <c r="X18" s="89" t="s">
        <v>115</v>
      </c>
    </row>
    <row r="19" spans="1:24" ht="18" customHeight="1" x14ac:dyDescent="0.2">
      <c r="A19" s="75"/>
      <c r="B19" s="146"/>
      <c r="C19" s="147"/>
      <c r="D19" s="147"/>
      <c r="E19" s="147"/>
      <c r="F19" s="147"/>
      <c r="G19" s="147"/>
      <c r="H19" s="147"/>
      <c r="I19" s="147"/>
      <c r="J19" s="147"/>
      <c r="K19" s="147"/>
      <c r="L19" s="147"/>
      <c r="M19" s="147"/>
      <c r="N19" s="147"/>
      <c r="O19" s="147"/>
      <c r="P19" s="147"/>
      <c r="Q19" s="147"/>
      <c r="R19" s="147"/>
      <c r="S19" s="147"/>
      <c r="T19" s="147"/>
      <c r="U19" s="148"/>
    </row>
    <row r="20" spans="1:24" ht="18" customHeight="1" x14ac:dyDescent="0.2">
      <c r="A20" s="75"/>
      <c r="B20" s="149"/>
      <c r="C20" s="150"/>
      <c r="D20" s="150"/>
      <c r="E20" s="150"/>
      <c r="F20" s="150"/>
      <c r="G20" s="150"/>
      <c r="H20" s="150"/>
      <c r="I20" s="150"/>
      <c r="J20" s="150"/>
      <c r="K20" s="150"/>
      <c r="L20" s="150"/>
      <c r="M20" s="150"/>
      <c r="N20" s="150"/>
      <c r="O20" s="150"/>
      <c r="P20" s="150"/>
      <c r="Q20" s="150"/>
      <c r="R20" s="150"/>
      <c r="S20" s="150"/>
      <c r="T20" s="150"/>
      <c r="U20" s="151"/>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132</v>
      </c>
      <c r="C22" s="75"/>
      <c r="D22" s="75"/>
      <c r="E22" s="84">
        <v>6</v>
      </c>
      <c r="F22" s="75" t="s">
        <v>111</v>
      </c>
      <c r="G22" s="75"/>
      <c r="H22" s="91">
        <v>10</v>
      </c>
      <c r="I22" s="80" t="s">
        <v>112</v>
      </c>
      <c r="J22" s="80"/>
      <c r="K22" s="86"/>
      <c r="L22" s="75"/>
      <c r="M22" s="86" t="s">
        <v>108</v>
      </c>
      <c r="N22" s="110" t="s">
        <v>115</v>
      </c>
      <c r="O22" s="111"/>
      <c r="P22" s="111"/>
      <c r="Q22" s="111"/>
      <c r="R22" s="111"/>
      <c r="S22" s="111"/>
      <c r="T22" s="111"/>
      <c r="U22" s="112"/>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52" t="s">
        <v>100</v>
      </c>
      <c r="B24" s="152"/>
      <c r="C24" s="152"/>
      <c r="D24" s="152"/>
      <c r="E24" s="152"/>
      <c r="F24" s="152"/>
      <c r="G24" s="152"/>
      <c r="H24" s="152"/>
      <c r="I24" s="152"/>
      <c r="J24" s="152"/>
      <c r="K24" s="152"/>
      <c r="L24" s="152"/>
      <c r="M24" s="152"/>
      <c r="N24" s="152"/>
      <c r="O24" s="152"/>
      <c r="P24" s="152"/>
      <c r="Q24" s="152"/>
      <c r="R24" s="152"/>
      <c r="S24" s="152"/>
      <c r="T24" s="152"/>
      <c r="U24" s="152"/>
    </row>
    <row r="25" spans="1:24" ht="18" customHeight="1" x14ac:dyDescent="0.2">
      <c r="A25" s="152"/>
      <c r="B25" s="152"/>
      <c r="C25" s="152"/>
      <c r="D25" s="152"/>
      <c r="E25" s="152"/>
      <c r="F25" s="152"/>
      <c r="G25" s="152"/>
      <c r="H25" s="152"/>
      <c r="I25" s="152"/>
      <c r="J25" s="152"/>
      <c r="K25" s="152"/>
      <c r="L25" s="152"/>
      <c r="M25" s="152"/>
      <c r="N25" s="152"/>
      <c r="O25" s="152"/>
      <c r="P25" s="152"/>
      <c r="Q25" s="152"/>
      <c r="R25" s="152"/>
      <c r="S25" s="152"/>
      <c r="T25" s="152"/>
      <c r="U25" s="152"/>
    </row>
    <row r="26" spans="1:24" ht="18" customHeight="1" x14ac:dyDescent="0.2">
      <c r="B26" s="116" t="s">
        <v>51</v>
      </c>
      <c r="C26" s="117"/>
      <c r="D26" s="117"/>
      <c r="E26" s="117"/>
      <c r="F26" s="118"/>
      <c r="G26" s="51" t="s">
        <v>76</v>
      </c>
      <c r="H26" s="50" t="s">
        <v>79</v>
      </c>
      <c r="I26" s="17" t="s">
        <v>54</v>
      </c>
      <c r="J26" s="17" t="s">
        <v>57</v>
      </c>
      <c r="K26" s="116" t="s">
        <v>51</v>
      </c>
      <c r="L26" s="117"/>
      <c r="M26" s="117"/>
      <c r="N26" s="117"/>
      <c r="O26" s="117"/>
      <c r="P26" s="117"/>
      <c r="Q26" s="118"/>
      <c r="R26" s="51" t="s">
        <v>76</v>
      </c>
      <c r="S26" s="50" t="s">
        <v>79</v>
      </c>
      <c r="T26" s="17" t="s">
        <v>54</v>
      </c>
      <c r="U26" s="17" t="s">
        <v>57</v>
      </c>
    </row>
    <row r="27" spans="1:24" ht="18" customHeight="1" x14ac:dyDescent="0.2">
      <c r="B27" s="131" t="s">
        <v>155</v>
      </c>
      <c r="C27" s="132"/>
      <c r="D27" s="132"/>
      <c r="E27" s="132"/>
      <c r="F27" s="133"/>
      <c r="G27" s="18">
        <v>2</v>
      </c>
      <c r="H27" s="18" t="s">
        <v>139</v>
      </c>
      <c r="I27" s="18" t="s">
        <v>139</v>
      </c>
      <c r="J27" s="18" t="s">
        <v>139</v>
      </c>
      <c r="K27" s="131"/>
      <c r="L27" s="132"/>
      <c r="M27" s="132"/>
      <c r="N27" s="132"/>
      <c r="O27" s="132"/>
      <c r="P27" s="132"/>
      <c r="Q27" s="133"/>
      <c r="R27" s="18"/>
      <c r="S27" s="18"/>
      <c r="T27" s="18"/>
      <c r="U27" s="18"/>
    </row>
    <row r="28" spans="1:24" ht="18" customHeight="1" x14ac:dyDescent="0.2">
      <c r="B28" s="125" t="s">
        <v>157</v>
      </c>
      <c r="C28" s="126"/>
      <c r="D28" s="126"/>
      <c r="E28" s="126"/>
      <c r="F28" s="127"/>
      <c r="G28" s="19">
        <v>2</v>
      </c>
      <c r="H28" s="19" t="s">
        <v>139</v>
      </c>
      <c r="I28" s="19" t="s">
        <v>139</v>
      </c>
      <c r="J28" s="19" t="s">
        <v>139</v>
      </c>
      <c r="K28" s="125"/>
      <c r="L28" s="126"/>
      <c r="M28" s="126"/>
      <c r="N28" s="126"/>
      <c r="O28" s="126"/>
      <c r="P28" s="126"/>
      <c r="Q28" s="127"/>
      <c r="R28" s="19"/>
      <c r="S28" s="19"/>
      <c r="T28" s="19"/>
      <c r="U28" s="19"/>
    </row>
    <row r="29" spans="1:24" ht="18" customHeight="1" x14ac:dyDescent="0.2">
      <c r="B29" s="125"/>
      <c r="C29" s="126"/>
      <c r="D29" s="126"/>
      <c r="E29" s="126"/>
      <c r="F29" s="127"/>
      <c r="G29" s="19"/>
      <c r="H29" s="19"/>
      <c r="I29" s="19"/>
      <c r="J29" s="19"/>
      <c r="K29" s="125"/>
      <c r="L29" s="126"/>
      <c r="M29" s="126"/>
      <c r="N29" s="126"/>
      <c r="O29" s="126"/>
      <c r="P29" s="126"/>
      <c r="Q29" s="127"/>
      <c r="R29" s="19"/>
      <c r="S29" s="19"/>
      <c r="T29" s="19"/>
      <c r="U29" s="19"/>
    </row>
    <row r="30" spans="1:24" ht="18" customHeight="1" x14ac:dyDescent="0.2">
      <c r="B30" s="125"/>
      <c r="C30" s="126"/>
      <c r="D30" s="126"/>
      <c r="E30" s="126"/>
      <c r="F30" s="127"/>
      <c r="G30" s="19"/>
      <c r="H30" s="19"/>
      <c r="I30" s="19"/>
      <c r="J30" s="19"/>
      <c r="K30" s="125"/>
      <c r="L30" s="126"/>
      <c r="M30" s="126"/>
      <c r="N30" s="126"/>
      <c r="O30" s="126"/>
      <c r="P30" s="126"/>
      <c r="Q30" s="127"/>
      <c r="R30" s="19"/>
      <c r="S30" s="19"/>
      <c r="T30" s="19"/>
      <c r="U30" s="19"/>
    </row>
    <row r="31" spans="1:24" ht="18" customHeight="1" x14ac:dyDescent="0.2">
      <c r="B31" s="125"/>
      <c r="C31" s="126"/>
      <c r="D31" s="126"/>
      <c r="E31" s="126"/>
      <c r="F31" s="127"/>
      <c r="G31" s="19"/>
      <c r="H31" s="19"/>
      <c r="I31" s="19"/>
      <c r="J31" s="19"/>
      <c r="K31" s="125"/>
      <c r="L31" s="126"/>
      <c r="M31" s="126"/>
      <c r="N31" s="126"/>
      <c r="O31" s="126"/>
      <c r="P31" s="126"/>
      <c r="Q31" s="127"/>
      <c r="R31" s="19"/>
      <c r="S31" s="19"/>
      <c r="T31" s="19"/>
      <c r="U31" s="19"/>
    </row>
    <row r="32" spans="1:24" ht="18" customHeight="1" x14ac:dyDescent="0.2">
      <c r="A32" s="88"/>
      <c r="B32" s="125"/>
      <c r="C32" s="126"/>
      <c r="D32" s="126"/>
      <c r="E32" s="126"/>
      <c r="F32" s="127"/>
      <c r="G32" s="19"/>
      <c r="H32" s="19"/>
      <c r="I32" s="19"/>
      <c r="J32" s="19"/>
      <c r="K32" s="125"/>
      <c r="L32" s="126"/>
      <c r="M32" s="126"/>
      <c r="N32" s="126"/>
      <c r="O32" s="126"/>
      <c r="P32" s="126"/>
      <c r="Q32" s="127"/>
      <c r="R32" s="19"/>
      <c r="S32" s="19"/>
      <c r="T32" s="19"/>
      <c r="U32" s="19"/>
    </row>
    <row r="33" spans="1:21" ht="18" customHeight="1" x14ac:dyDescent="0.2">
      <c r="A33" s="88"/>
      <c r="B33" s="128"/>
      <c r="C33" s="129"/>
      <c r="D33" s="129"/>
      <c r="E33" s="129"/>
      <c r="F33" s="130"/>
      <c r="G33" s="20"/>
      <c r="H33" s="20"/>
      <c r="I33" s="21"/>
      <c r="J33" s="21"/>
      <c r="K33" s="128"/>
      <c r="L33" s="129"/>
      <c r="M33" s="129"/>
      <c r="N33" s="129"/>
      <c r="O33" s="129"/>
      <c r="P33" s="129"/>
      <c r="Q33" s="130"/>
      <c r="R33" s="20"/>
      <c r="S33" s="20"/>
      <c r="T33" s="21"/>
      <c r="U33" s="21"/>
    </row>
    <row r="34" spans="1:21" ht="7.5" customHeight="1" x14ac:dyDescent="0.2">
      <c r="A34" s="88"/>
      <c r="B34" s="6"/>
      <c r="C34" s="6"/>
      <c r="D34" s="6"/>
      <c r="E34" s="88"/>
      <c r="F34" s="88"/>
      <c r="G34" s="88"/>
      <c r="H34" s="88"/>
      <c r="I34" s="6"/>
      <c r="J34" s="6"/>
      <c r="K34" s="6"/>
      <c r="L34" s="6"/>
      <c r="M34" s="6"/>
      <c r="N34" s="6"/>
      <c r="O34" s="6"/>
      <c r="P34" s="6"/>
      <c r="Q34" s="6"/>
      <c r="R34" s="6"/>
      <c r="S34" s="6"/>
      <c r="T34" s="6"/>
      <c r="U34" s="88"/>
    </row>
    <row r="35" spans="1:21" ht="18" customHeight="1" x14ac:dyDescent="0.2">
      <c r="A35" s="134" t="s">
        <v>101</v>
      </c>
      <c r="B35" s="134"/>
      <c r="C35" s="134"/>
      <c r="D35" s="134"/>
      <c r="E35" s="134"/>
      <c r="F35" s="134"/>
      <c r="G35" s="134"/>
      <c r="H35" s="134"/>
      <c r="I35" s="134"/>
      <c r="J35" s="134"/>
      <c r="K35" s="134"/>
      <c r="L35" s="134"/>
      <c r="M35" s="134"/>
      <c r="N35" s="134"/>
      <c r="O35" s="134"/>
      <c r="P35" s="134"/>
      <c r="Q35" s="134"/>
      <c r="R35" s="134"/>
      <c r="S35" s="134"/>
      <c r="T35" s="134"/>
      <c r="U35" s="134"/>
    </row>
    <row r="36" spans="1:21" ht="18"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row>
    <row r="37" spans="1:21" ht="18" customHeight="1" x14ac:dyDescent="0.2">
      <c r="B37" s="116" t="s">
        <v>51</v>
      </c>
      <c r="C37" s="117"/>
      <c r="D37" s="117"/>
      <c r="E37" s="117"/>
      <c r="F37" s="118"/>
      <c r="G37" s="51" t="s">
        <v>76</v>
      </c>
      <c r="H37" s="50" t="s">
        <v>79</v>
      </c>
      <c r="I37" s="17" t="s">
        <v>67</v>
      </c>
      <c r="J37" s="17" t="s">
        <v>68</v>
      </c>
      <c r="K37" s="116" t="s">
        <v>51</v>
      </c>
      <c r="L37" s="117"/>
      <c r="M37" s="117"/>
      <c r="N37" s="117"/>
      <c r="O37" s="117"/>
      <c r="P37" s="117"/>
      <c r="Q37" s="118"/>
      <c r="R37" s="51" t="s">
        <v>76</v>
      </c>
      <c r="S37" s="50" t="s">
        <v>79</v>
      </c>
      <c r="T37" s="17" t="s">
        <v>67</v>
      </c>
      <c r="U37" s="17" t="s">
        <v>68</v>
      </c>
    </row>
    <row r="38" spans="1:21" ht="18" customHeight="1" x14ac:dyDescent="0.2">
      <c r="B38" s="131" t="s">
        <v>155</v>
      </c>
      <c r="C38" s="132"/>
      <c r="D38" s="132"/>
      <c r="E38" s="132"/>
      <c r="F38" s="133"/>
      <c r="G38" s="18">
        <v>2</v>
      </c>
      <c r="H38" s="18" t="s">
        <v>139</v>
      </c>
      <c r="I38" s="18" t="s">
        <v>139</v>
      </c>
      <c r="J38" s="18" t="s">
        <v>139</v>
      </c>
      <c r="K38" s="131"/>
      <c r="L38" s="132"/>
      <c r="M38" s="132"/>
      <c r="N38" s="132"/>
      <c r="O38" s="132"/>
      <c r="P38" s="132"/>
      <c r="Q38" s="133"/>
      <c r="R38" s="18"/>
      <c r="S38" s="18"/>
      <c r="T38" s="18"/>
      <c r="U38" s="18"/>
    </row>
    <row r="39" spans="1:21" ht="18" customHeight="1" x14ac:dyDescent="0.2">
      <c r="B39" s="125" t="s">
        <v>156</v>
      </c>
      <c r="C39" s="126"/>
      <c r="D39" s="126"/>
      <c r="E39" s="126"/>
      <c r="F39" s="127"/>
      <c r="G39" s="19">
        <v>1</v>
      </c>
      <c r="H39" s="19" t="s">
        <v>139</v>
      </c>
      <c r="I39" s="19" t="s">
        <v>139</v>
      </c>
      <c r="J39" s="19"/>
      <c r="K39" s="125"/>
      <c r="L39" s="126"/>
      <c r="M39" s="126"/>
      <c r="N39" s="126"/>
      <c r="O39" s="126"/>
      <c r="P39" s="126"/>
      <c r="Q39" s="127"/>
      <c r="R39" s="19"/>
      <c r="S39" s="19"/>
      <c r="T39" s="19"/>
      <c r="U39" s="19"/>
    </row>
    <row r="40" spans="1:21" ht="18" customHeight="1" x14ac:dyDescent="0.2">
      <c r="B40" s="125" t="s">
        <v>158</v>
      </c>
      <c r="C40" s="126"/>
      <c r="D40" s="126"/>
      <c r="E40" s="126"/>
      <c r="F40" s="127"/>
      <c r="G40" s="19">
        <v>1</v>
      </c>
      <c r="H40" s="19" t="s">
        <v>139</v>
      </c>
      <c r="I40" s="19" t="s">
        <v>139</v>
      </c>
      <c r="J40" s="19"/>
      <c r="K40" s="125"/>
      <c r="L40" s="126"/>
      <c r="M40" s="126"/>
      <c r="N40" s="126"/>
      <c r="O40" s="126"/>
      <c r="P40" s="126"/>
      <c r="Q40" s="127"/>
      <c r="R40" s="19"/>
      <c r="S40" s="19"/>
      <c r="T40" s="19"/>
      <c r="U40" s="19"/>
    </row>
    <row r="41" spans="1:21" ht="18" customHeight="1" x14ac:dyDescent="0.2">
      <c r="B41" s="125"/>
      <c r="C41" s="126"/>
      <c r="D41" s="126"/>
      <c r="E41" s="126"/>
      <c r="F41" s="127"/>
      <c r="G41" s="19"/>
      <c r="H41" s="19"/>
      <c r="I41" s="19"/>
      <c r="J41" s="19"/>
      <c r="K41" s="125"/>
      <c r="L41" s="126"/>
      <c r="M41" s="126"/>
      <c r="N41" s="126"/>
      <c r="O41" s="126"/>
      <c r="P41" s="126"/>
      <c r="Q41" s="127"/>
      <c r="R41" s="19"/>
      <c r="S41" s="19"/>
      <c r="T41" s="19"/>
      <c r="U41" s="19"/>
    </row>
    <row r="42" spans="1:21" ht="18" customHeight="1" x14ac:dyDescent="0.2">
      <c r="B42" s="125"/>
      <c r="C42" s="126"/>
      <c r="D42" s="126"/>
      <c r="E42" s="126"/>
      <c r="F42" s="127"/>
      <c r="G42" s="19"/>
      <c r="H42" s="19"/>
      <c r="I42" s="19"/>
      <c r="J42" s="19"/>
      <c r="K42" s="125"/>
      <c r="L42" s="126"/>
      <c r="M42" s="126"/>
      <c r="N42" s="126"/>
      <c r="O42" s="126"/>
      <c r="P42" s="126"/>
      <c r="Q42" s="127"/>
      <c r="R42" s="19"/>
      <c r="S42" s="19"/>
      <c r="T42" s="19"/>
      <c r="U42" s="19"/>
    </row>
    <row r="43" spans="1:21" ht="18" customHeight="1" x14ac:dyDescent="0.2">
      <c r="B43" s="125"/>
      <c r="C43" s="126"/>
      <c r="D43" s="126"/>
      <c r="E43" s="126"/>
      <c r="F43" s="127"/>
      <c r="G43" s="19"/>
      <c r="H43" s="19"/>
      <c r="I43" s="19"/>
      <c r="J43" s="19"/>
      <c r="K43" s="125"/>
      <c r="L43" s="126"/>
      <c r="M43" s="126"/>
      <c r="N43" s="126"/>
      <c r="O43" s="126"/>
      <c r="P43" s="126"/>
      <c r="Q43" s="127"/>
      <c r="R43" s="19"/>
      <c r="S43" s="19"/>
      <c r="T43" s="19"/>
      <c r="U43" s="19"/>
    </row>
    <row r="44" spans="1:21" ht="18" customHeight="1" x14ac:dyDescent="0.2">
      <c r="B44" s="128"/>
      <c r="C44" s="129"/>
      <c r="D44" s="129"/>
      <c r="E44" s="129"/>
      <c r="F44" s="130"/>
      <c r="G44" s="20"/>
      <c r="H44" s="20"/>
      <c r="I44" s="21"/>
      <c r="J44" s="21"/>
      <c r="K44" s="128"/>
      <c r="L44" s="129"/>
      <c r="M44" s="129"/>
      <c r="N44" s="129"/>
      <c r="O44" s="129"/>
      <c r="P44" s="129"/>
      <c r="Q44" s="130"/>
      <c r="R44" s="20"/>
      <c r="S44" s="20"/>
      <c r="T44" s="21"/>
      <c r="U44" s="21"/>
    </row>
    <row r="45" spans="1:21" ht="7.5" customHeight="1" x14ac:dyDescent="0.2">
      <c r="A45" s="88"/>
      <c r="B45" s="6"/>
      <c r="C45" s="6"/>
      <c r="D45" s="6"/>
      <c r="E45" s="88"/>
      <c r="F45" s="88"/>
      <c r="G45" s="88"/>
      <c r="H45" s="88"/>
      <c r="I45" s="6"/>
      <c r="J45" s="6"/>
      <c r="K45" s="6"/>
      <c r="L45" s="6"/>
      <c r="M45" s="6"/>
      <c r="N45" s="6"/>
      <c r="O45" s="6"/>
      <c r="P45" s="6"/>
      <c r="Q45" s="6"/>
      <c r="R45" s="6"/>
      <c r="S45" s="6"/>
      <c r="T45" s="6"/>
      <c r="U45" s="88"/>
    </row>
    <row r="46" spans="1:21" ht="18" customHeight="1" x14ac:dyDescent="0.2">
      <c r="A46" s="134" t="s">
        <v>102</v>
      </c>
      <c r="B46" s="134"/>
      <c r="C46" s="134"/>
      <c r="D46" s="134"/>
      <c r="E46" s="134"/>
      <c r="F46" s="134"/>
      <c r="G46" s="134"/>
      <c r="H46" s="134"/>
      <c r="I46" s="134"/>
      <c r="J46" s="134"/>
      <c r="K46" s="134"/>
      <c r="L46" s="134"/>
      <c r="M46" s="134"/>
      <c r="N46" s="134"/>
      <c r="O46" s="134"/>
      <c r="P46" s="134"/>
      <c r="Q46" s="134"/>
      <c r="R46" s="134"/>
      <c r="S46" s="134"/>
      <c r="T46" s="134"/>
      <c r="U46" s="134"/>
    </row>
    <row r="47" spans="1:21" ht="18"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row>
    <row r="48" spans="1:21" ht="18" customHeight="1" x14ac:dyDescent="0.2">
      <c r="B48" s="116" t="s">
        <v>51</v>
      </c>
      <c r="C48" s="117"/>
      <c r="D48" s="117"/>
      <c r="E48" s="117"/>
      <c r="F48" s="118"/>
      <c r="G48" s="51" t="s">
        <v>76</v>
      </c>
      <c r="H48" s="50" t="s">
        <v>79</v>
      </c>
      <c r="I48" s="17" t="s">
        <v>69</v>
      </c>
      <c r="J48" s="17" t="s">
        <v>70</v>
      </c>
      <c r="K48" s="116" t="s">
        <v>51</v>
      </c>
      <c r="L48" s="117"/>
      <c r="M48" s="117"/>
      <c r="N48" s="117"/>
      <c r="O48" s="117"/>
      <c r="P48" s="117"/>
      <c r="Q48" s="118"/>
      <c r="R48" s="51" t="s">
        <v>76</v>
      </c>
      <c r="S48" s="50" t="s">
        <v>79</v>
      </c>
      <c r="T48" s="17" t="s">
        <v>69</v>
      </c>
      <c r="U48" s="17" t="s">
        <v>70</v>
      </c>
    </row>
    <row r="49" spans="1:21" ht="18" customHeight="1" x14ac:dyDescent="0.2">
      <c r="A49" s="88"/>
      <c r="B49" s="131" t="s">
        <v>155</v>
      </c>
      <c r="C49" s="132"/>
      <c r="D49" s="132"/>
      <c r="E49" s="132"/>
      <c r="F49" s="133"/>
      <c r="G49" s="19">
        <v>2</v>
      </c>
      <c r="H49" s="18" t="s">
        <v>139</v>
      </c>
      <c r="I49" s="18" t="s">
        <v>139</v>
      </c>
      <c r="J49" s="18" t="s">
        <v>139</v>
      </c>
      <c r="K49" s="131"/>
      <c r="L49" s="132"/>
      <c r="M49" s="132"/>
      <c r="N49" s="132"/>
      <c r="O49" s="132"/>
      <c r="P49" s="132"/>
      <c r="Q49" s="133"/>
      <c r="R49" s="18"/>
      <c r="S49" s="18"/>
      <c r="T49" s="18"/>
      <c r="U49" s="18"/>
    </row>
    <row r="50" spans="1:21" ht="18" customHeight="1" x14ac:dyDescent="0.2">
      <c r="A50" s="88"/>
      <c r="B50" s="125"/>
      <c r="C50" s="126"/>
      <c r="D50" s="126"/>
      <c r="E50" s="126"/>
      <c r="F50" s="127"/>
      <c r="G50" s="19"/>
      <c r="H50" s="19"/>
      <c r="I50" s="19"/>
      <c r="J50" s="19"/>
      <c r="K50" s="125"/>
      <c r="L50" s="126"/>
      <c r="M50" s="126"/>
      <c r="N50" s="126"/>
      <c r="O50" s="126"/>
      <c r="P50" s="126"/>
      <c r="Q50" s="127"/>
      <c r="R50" s="19"/>
      <c r="S50" s="19"/>
      <c r="T50" s="19"/>
      <c r="U50" s="19"/>
    </row>
    <row r="51" spans="1:21" ht="18" customHeight="1" x14ac:dyDescent="0.2">
      <c r="A51" s="88"/>
      <c r="B51" s="125"/>
      <c r="C51" s="126"/>
      <c r="D51" s="126"/>
      <c r="E51" s="126"/>
      <c r="F51" s="127"/>
      <c r="G51" s="19"/>
      <c r="H51" s="19"/>
      <c r="I51" s="19"/>
      <c r="J51" s="19"/>
      <c r="K51" s="125"/>
      <c r="L51" s="126"/>
      <c r="M51" s="126"/>
      <c r="N51" s="126"/>
      <c r="O51" s="126"/>
      <c r="P51" s="126"/>
      <c r="Q51" s="127"/>
      <c r="R51" s="19"/>
      <c r="S51" s="19"/>
      <c r="T51" s="19"/>
      <c r="U51" s="19"/>
    </row>
    <row r="52" spans="1:21" ht="18" customHeight="1" x14ac:dyDescent="0.2">
      <c r="A52" s="88"/>
      <c r="B52" s="125"/>
      <c r="C52" s="126"/>
      <c r="D52" s="126"/>
      <c r="E52" s="126"/>
      <c r="F52" s="127"/>
      <c r="G52" s="19"/>
      <c r="H52" s="19"/>
      <c r="I52" s="19"/>
      <c r="J52" s="19"/>
      <c r="K52" s="125"/>
      <c r="L52" s="126"/>
      <c r="M52" s="126"/>
      <c r="N52" s="126"/>
      <c r="O52" s="126"/>
      <c r="P52" s="126"/>
      <c r="Q52" s="127"/>
      <c r="R52" s="19"/>
      <c r="S52" s="19"/>
      <c r="T52" s="19"/>
      <c r="U52" s="19"/>
    </row>
    <row r="53" spans="1:21" ht="18" customHeight="1" x14ac:dyDescent="0.2">
      <c r="A53" s="88"/>
      <c r="B53" s="125"/>
      <c r="C53" s="126"/>
      <c r="D53" s="126"/>
      <c r="E53" s="126"/>
      <c r="F53" s="127"/>
      <c r="G53" s="19"/>
      <c r="H53" s="19"/>
      <c r="I53" s="19"/>
      <c r="J53" s="19"/>
      <c r="K53" s="125"/>
      <c r="L53" s="126"/>
      <c r="M53" s="126"/>
      <c r="N53" s="126"/>
      <c r="O53" s="126"/>
      <c r="P53" s="126"/>
      <c r="Q53" s="127"/>
      <c r="R53" s="19"/>
      <c r="S53" s="19"/>
      <c r="T53" s="19"/>
      <c r="U53" s="19"/>
    </row>
    <row r="54" spans="1:21" ht="18" customHeight="1" x14ac:dyDescent="0.2">
      <c r="A54" s="88"/>
      <c r="B54" s="125"/>
      <c r="C54" s="126"/>
      <c r="D54" s="126"/>
      <c r="E54" s="126"/>
      <c r="F54" s="127"/>
      <c r="G54" s="19"/>
      <c r="H54" s="19"/>
      <c r="I54" s="19"/>
      <c r="J54" s="19"/>
      <c r="K54" s="125"/>
      <c r="L54" s="126"/>
      <c r="M54" s="126"/>
      <c r="N54" s="126"/>
      <c r="O54" s="126"/>
      <c r="P54" s="126"/>
      <c r="Q54" s="127"/>
      <c r="R54" s="19"/>
      <c r="S54" s="19"/>
      <c r="T54" s="19"/>
      <c r="U54" s="19"/>
    </row>
    <row r="55" spans="1:21" ht="18" customHeight="1" x14ac:dyDescent="0.2">
      <c r="A55" s="88"/>
      <c r="B55" s="128"/>
      <c r="C55" s="129"/>
      <c r="D55" s="129"/>
      <c r="E55" s="129"/>
      <c r="F55" s="130"/>
      <c r="G55" s="20"/>
      <c r="H55" s="20"/>
      <c r="I55" s="21"/>
      <c r="J55" s="21"/>
      <c r="K55" s="128"/>
      <c r="L55" s="129"/>
      <c r="M55" s="129"/>
      <c r="N55" s="129"/>
      <c r="O55" s="129"/>
      <c r="P55" s="129"/>
      <c r="Q55" s="130"/>
      <c r="R55" s="20"/>
      <c r="S55" s="20"/>
      <c r="T55" s="21"/>
      <c r="U55" s="21"/>
    </row>
    <row r="56" spans="1:21" ht="7.5" customHeight="1" x14ac:dyDescent="0.2">
      <c r="B56" s="90"/>
      <c r="C56" s="90"/>
      <c r="D56" s="90"/>
      <c r="E56" s="90"/>
      <c r="F56" s="90"/>
      <c r="G56" s="90"/>
      <c r="H56" s="90"/>
      <c r="I56" s="90"/>
      <c r="J56" s="90"/>
      <c r="K56" s="90"/>
      <c r="L56" s="90"/>
      <c r="M56" s="90"/>
      <c r="N56" s="90"/>
      <c r="O56" s="90"/>
      <c r="P56" s="90"/>
      <c r="Q56" s="90"/>
      <c r="R56" s="90"/>
      <c r="S56" s="90"/>
      <c r="T56" s="90"/>
    </row>
    <row r="57" spans="1:21" ht="18" customHeight="1" x14ac:dyDescent="0.2">
      <c r="A57" s="134" t="s">
        <v>103</v>
      </c>
      <c r="B57" s="134"/>
      <c r="C57" s="134"/>
      <c r="D57" s="134"/>
      <c r="E57" s="134"/>
      <c r="F57" s="134"/>
      <c r="G57" s="134"/>
      <c r="H57" s="134"/>
      <c r="I57" s="134"/>
      <c r="J57" s="134"/>
      <c r="K57" s="134"/>
      <c r="L57" s="134"/>
      <c r="M57" s="134"/>
      <c r="N57" s="134"/>
      <c r="O57" s="134"/>
      <c r="P57" s="134"/>
      <c r="Q57" s="134"/>
      <c r="R57" s="134"/>
      <c r="S57" s="134"/>
      <c r="T57" s="134"/>
      <c r="U57" s="134"/>
    </row>
    <row r="58" spans="1:21" ht="18"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row>
    <row r="59" spans="1:21" ht="18" customHeight="1" x14ac:dyDescent="0.2">
      <c r="B59" s="116" t="s">
        <v>51</v>
      </c>
      <c r="C59" s="117"/>
      <c r="D59" s="117"/>
      <c r="E59" s="117"/>
      <c r="F59" s="118"/>
      <c r="G59" s="51" t="s">
        <v>76</v>
      </c>
      <c r="H59" s="50" t="s">
        <v>79</v>
      </c>
      <c r="I59" s="17" t="s">
        <v>56</v>
      </c>
      <c r="J59" s="17" t="s">
        <v>58</v>
      </c>
      <c r="K59" s="116" t="s">
        <v>51</v>
      </c>
      <c r="L59" s="117"/>
      <c r="M59" s="117"/>
      <c r="N59" s="117"/>
      <c r="O59" s="117"/>
      <c r="P59" s="117"/>
      <c r="Q59" s="118"/>
      <c r="R59" s="51" t="s">
        <v>76</v>
      </c>
      <c r="S59" s="50" t="s">
        <v>79</v>
      </c>
      <c r="T59" s="17" t="s">
        <v>56</v>
      </c>
      <c r="U59" s="17" t="s">
        <v>58</v>
      </c>
    </row>
    <row r="60" spans="1:21" ht="18" customHeight="1" x14ac:dyDescent="0.2">
      <c r="A60" s="88"/>
      <c r="B60" s="125" t="s">
        <v>160</v>
      </c>
      <c r="C60" s="126"/>
      <c r="D60" s="126"/>
      <c r="E60" s="126"/>
      <c r="F60" s="127"/>
      <c r="G60" s="19">
        <v>2</v>
      </c>
      <c r="H60" s="18" t="s">
        <v>139</v>
      </c>
      <c r="I60" s="18" t="s">
        <v>139</v>
      </c>
      <c r="J60" s="18" t="s">
        <v>139</v>
      </c>
      <c r="K60" s="131"/>
      <c r="L60" s="132"/>
      <c r="M60" s="132"/>
      <c r="N60" s="132"/>
      <c r="O60" s="132"/>
      <c r="P60" s="132"/>
      <c r="Q60" s="133"/>
      <c r="R60" s="18"/>
      <c r="S60" s="18"/>
      <c r="T60" s="18"/>
      <c r="U60" s="18"/>
    </row>
    <row r="61" spans="1:21" ht="18" customHeight="1" x14ac:dyDescent="0.2">
      <c r="A61" s="88"/>
      <c r="B61" s="125"/>
      <c r="C61" s="126"/>
      <c r="D61" s="126"/>
      <c r="E61" s="126"/>
      <c r="F61" s="127"/>
      <c r="G61" s="19"/>
      <c r="H61" s="19"/>
      <c r="I61" s="19"/>
      <c r="J61" s="19"/>
      <c r="K61" s="125"/>
      <c r="L61" s="126"/>
      <c r="M61" s="126"/>
      <c r="N61" s="126"/>
      <c r="O61" s="126"/>
      <c r="P61" s="126"/>
      <c r="Q61" s="127"/>
      <c r="R61" s="19"/>
      <c r="S61" s="19"/>
      <c r="T61" s="19"/>
      <c r="U61" s="19"/>
    </row>
    <row r="62" spans="1:21" ht="18" customHeight="1" x14ac:dyDescent="0.2">
      <c r="A62" s="88"/>
      <c r="B62" s="125"/>
      <c r="C62" s="126"/>
      <c r="D62" s="126"/>
      <c r="E62" s="126"/>
      <c r="F62" s="127"/>
      <c r="G62" s="19"/>
      <c r="H62" s="19"/>
      <c r="I62" s="19"/>
      <c r="J62" s="19"/>
      <c r="K62" s="125"/>
      <c r="L62" s="126"/>
      <c r="M62" s="126"/>
      <c r="N62" s="126"/>
      <c r="O62" s="126"/>
      <c r="P62" s="126"/>
      <c r="Q62" s="127"/>
      <c r="R62" s="19"/>
      <c r="S62" s="19"/>
      <c r="T62" s="19"/>
      <c r="U62" s="19"/>
    </row>
    <row r="63" spans="1:21" ht="18" customHeight="1" x14ac:dyDescent="0.2">
      <c r="A63" s="88"/>
      <c r="B63" s="125"/>
      <c r="C63" s="126"/>
      <c r="D63" s="126"/>
      <c r="E63" s="126"/>
      <c r="F63" s="127"/>
      <c r="G63" s="19"/>
      <c r="H63" s="19"/>
      <c r="I63" s="19"/>
      <c r="J63" s="19"/>
      <c r="K63" s="125"/>
      <c r="L63" s="126"/>
      <c r="M63" s="126"/>
      <c r="N63" s="126"/>
      <c r="O63" s="126"/>
      <c r="P63" s="126"/>
      <c r="Q63" s="127"/>
      <c r="R63" s="19"/>
      <c r="S63" s="19"/>
      <c r="T63" s="19"/>
      <c r="U63" s="19"/>
    </row>
    <row r="64" spans="1:21" ht="18" customHeight="1" x14ac:dyDescent="0.2">
      <c r="A64" s="88"/>
      <c r="B64" s="125"/>
      <c r="C64" s="126"/>
      <c r="D64" s="126"/>
      <c r="E64" s="126"/>
      <c r="F64" s="127"/>
      <c r="G64" s="19"/>
      <c r="H64" s="19"/>
      <c r="I64" s="19"/>
      <c r="J64" s="19"/>
      <c r="K64" s="125"/>
      <c r="L64" s="126"/>
      <c r="M64" s="126"/>
      <c r="N64" s="126"/>
      <c r="O64" s="126"/>
      <c r="P64" s="126"/>
      <c r="Q64" s="127"/>
      <c r="R64" s="19"/>
      <c r="S64" s="19"/>
      <c r="T64" s="19"/>
      <c r="U64" s="19"/>
    </row>
    <row r="65" spans="1:21" ht="18" customHeight="1" x14ac:dyDescent="0.2">
      <c r="A65" s="88"/>
      <c r="B65" s="125"/>
      <c r="C65" s="126"/>
      <c r="D65" s="126"/>
      <c r="E65" s="126"/>
      <c r="F65" s="127"/>
      <c r="G65" s="19"/>
      <c r="H65" s="19"/>
      <c r="I65" s="19"/>
      <c r="J65" s="19"/>
      <c r="K65" s="125"/>
      <c r="L65" s="126"/>
      <c r="M65" s="126"/>
      <c r="N65" s="126"/>
      <c r="O65" s="126"/>
      <c r="P65" s="126"/>
      <c r="Q65" s="127"/>
      <c r="R65" s="19"/>
      <c r="S65" s="19"/>
      <c r="T65" s="19"/>
      <c r="U65" s="19"/>
    </row>
    <row r="66" spans="1:21" ht="18" customHeight="1" x14ac:dyDescent="0.2">
      <c r="A66" s="88"/>
      <c r="B66" s="128"/>
      <c r="C66" s="129"/>
      <c r="D66" s="129"/>
      <c r="E66" s="129"/>
      <c r="F66" s="130"/>
      <c r="G66" s="20"/>
      <c r="H66" s="20"/>
      <c r="I66" s="21"/>
      <c r="J66" s="21"/>
      <c r="K66" s="128"/>
      <c r="L66" s="129"/>
      <c r="M66" s="129"/>
      <c r="N66" s="129"/>
      <c r="O66" s="129"/>
      <c r="P66" s="129"/>
      <c r="Q66" s="130"/>
      <c r="R66" s="20"/>
      <c r="S66" s="20"/>
      <c r="T66" s="21"/>
      <c r="U66" s="21"/>
    </row>
    <row r="67" spans="1:21" ht="7.5" customHeight="1" x14ac:dyDescent="0.2">
      <c r="B67" s="90"/>
      <c r="C67" s="90"/>
      <c r="D67" s="90"/>
      <c r="E67" s="90"/>
      <c r="F67" s="90"/>
      <c r="G67" s="90"/>
      <c r="H67" s="90"/>
      <c r="I67" s="90"/>
      <c r="J67" s="90"/>
      <c r="K67" s="90"/>
      <c r="L67" s="90"/>
      <c r="M67" s="90"/>
      <c r="N67" s="90"/>
      <c r="O67" s="90"/>
      <c r="P67" s="90"/>
      <c r="Q67" s="90"/>
      <c r="R67" s="90"/>
      <c r="S67" s="90"/>
      <c r="T67" s="90"/>
    </row>
    <row r="68" spans="1:21" ht="18" customHeight="1" x14ac:dyDescent="0.2">
      <c r="A68" s="134" t="s">
        <v>104</v>
      </c>
      <c r="B68" s="134"/>
      <c r="C68" s="134"/>
      <c r="D68" s="134"/>
      <c r="E68" s="134"/>
      <c r="F68" s="134"/>
      <c r="G68" s="134"/>
      <c r="H68" s="134"/>
      <c r="I68" s="134"/>
      <c r="J68" s="134"/>
      <c r="K68" s="134"/>
      <c r="L68" s="134"/>
      <c r="M68" s="134"/>
      <c r="N68" s="134"/>
      <c r="O68" s="134"/>
      <c r="P68" s="134"/>
      <c r="Q68" s="134"/>
      <c r="R68" s="134"/>
      <c r="S68" s="134"/>
      <c r="T68" s="134"/>
      <c r="U68" s="134"/>
    </row>
    <row r="69" spans="1:21" ht="18"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row>
    <row r="70" spans="1:21" ht="18" customHeight="1" x14ac:dyDescent="0.2">
      <c r="B70" s="116" t="s">
        <v>51</v>
      </c>
      <c r="C70" s="117"/>
      <c r="D70" s="117"/>
      <c r="E70" s="117"/>
      <c r="F70" s="51" t="s">
        <v>76</v>
      </c>
      <c r="G70" s="50" t="s">
        <v>79</v>
      </c>
      <c r="H70" s="17" t="s">
        <v>91</v>
      </c>
      <c r="I70" s="17" t="s">
        <v>71</v>
      </c>
      <c r="J70" s="17" t="s">
        <v>72</v>
      </c>
      <c r="K70" s="116" t="s">
        <v>51</v>
      </c>
      <c r="L70" s="117"/>
      <c r="M70" s="117"/>
      <c r="N70" s="117"/>
      <c r="O70" s="117"/>
      <c r="P70" s="118"/>
      <c r="Q70" s="51" t="s">
        <v>76</v>
      </c>
      <c r="R70" s="50" t="s">
        <v>79</v>
      </c>
      <c r="S70" s="17" t="s">
        <v>91</v>
      </c>
      <c r="T70" s="17" t="s">
        <v>71</v>
      </c>
      <c r="U70" s="17" t="s">
        <v>72</v>
      </c>
    </row>
    <row r="71" spans="1:21" ht="18" customHeight="1" x14ac:dyDescent="0.2">
      <c r="A71" s="88"/>
      <c r="B71" s="131" t="s">
        <v>161</v>
      </c>
      <c r="C71" s="132"/>
      <c r="D71" s="132"/>
      <c r="E71" s="133"/>
      <c r="F71" s="19">
        <v>2</v>
      </c>
      <c r="G71" s="18" t="s">
        <v>139</v>
      </c>
      <c r="H71" s="18" t="s">
        <v>139</v>
      </c>
      <c r="I71" s="18" t="s">
        <v>139</v>
      </c>
      <c r="J71" s="18" t="s">
        <v>139</v>
      </c>
      <c r="K71" s="131"/>
      <c r="L71" s="132"/>
      <c r="M71" s="132"/>
      <c r="N71" s="132"/>
      <c r="O71" s="132"/>
      <c r="P71" s="133"/>
      <c r="Q71" s="18"/>
      <c r="R71" s="18"/>
      <c r="S71" s="18"/>
      <c r="T71" s="18"/>
      <c r="U71" s="18"/>
    </row>
    <row r="72" spans="1:21" ht="18" customHeight="1" x14ac:dyDescent="0.2">
      <c r="A72" s="88"/>
      <c r="B72" s="125" t="s">
        <v>159</v>
      </c>
      <c r="C72" s="126"/>
      <c r="D72" s="126"/>
      <c r="E72" s="126"/>
      <c r="F72" s="19">
        <v>2</v>
      </c>
      <c r="G72" s="19" t="s">
        <v>139</v>
      </c>
      <c r="H72" s="19" t="s">
        <v>139</v>
      </c>
      <c r="I72" s="19" t="s">
        <v>139</v>
      </c>
      <c r="J72" s="19" t="s">
        <v>139</v>
      </c>
      <c r="K72" s="125"/>
      <c r="L72" s="126"/>
      <c r="M72" s="126"/>
      <c r="N72" s="126"/>
      <c r="O72" s="126"/>
      <c r="P72" s="127"/>
      <c r="Q72" s="19"/>
      <c r="R72" s="19"/>
      <c r="S72" s="19"/>
      <c r="T72" s="19"/>
      <c r="U72" s="19"/>
    </row>
    <row r="73" spans="1:21" ht="18" customHeight="1" x14ac:dyDescent="0.2">
      <c r="A73" s="88"/>
      <c r="B73" s="125"/>
      <c r="C73" s="126"/>
      <c r="D73" s="126"/>
      <c r="E73" s="126"/>
      <c r="F73" s="19"/>
      <c r="G73" s="19"/>
      <c r="H73" s="19"/>
      <c r="I73" s="19"/>
      <c r="J73" s="19"/>
      <c r="K73" s="125"/>
      <c r="L73" s="126"/>
      <c r="M73" s="126"/>
      <c r="N73" s="126"/>
      <c r="O73" s="126"/>
      <c r="P73" s="127"/>
      <c r="Q73" s="19"/>
      <c r="R73" s="19"/>
      <c r="S73" s="19"/>
      <c r="T73" s="19"/>
      <c r="U73" s="19"/>
    </row>
    <row r="74" spans="1:21" ht="18" customHeight="1" x14ac:dyDescent="0.2">
      <c r="A74" s="88"/>
      <c r="B74" s="125"/>
      <c r="C74" s="126"/>
      <c r="D74" s="126"/>
      <c r="E74" s="126"/>
      <c r="F74" s="19"/>
      <c r="G74" s="19"/>
      <c r="H74" s="19"/>
      <c r="I74" s="19"/>
      <c r="J74" s="19"/>
      <c r="K74" s="125"/>
      <c r="L74" s="126"/>
      <c r="M74" s="126"/>
      <c r="N74" s="126"/>
      <c r="O74" s="126"/>
      <c r="P74" s="127"/>
      <c r="Q74" s="19"/>
      <c r="R74" s="19"/>
      <c r="S74" s="19"/>
      <c r="T74" s="19"/>
      <c r="U74" s="19"/>
    </row>
    <row r="75" spans="1:21" ht="18" customHeight="1" x14ac:dyDescent="0.2">
      <c r="A75" s="88"/>
      <c r="B75" s="125"/>
      <c r="C75" s="126"/>
      <c r="D75" s="126"/>
      <c r="E75" s="126"/>
      <c r="F75" s="19"/>
      <c r="G75" s="19"/>
      <c r="H75" s="19"/>
      <c r="I75" s="19"/>
      <c r="J75" s="19"/>
      <c r="K75" s="125"/>
      <c r="L75" s="126"/>
      <c r="M75" s="126"/>
      <c r="N75" s="126"/>
      <c r="O75" s="126"/>
      <c r="P75" s="127"/>
      <c r="Q75" s="19"/>
      <c r="R75" s="19"/>
      <c r="S75" s="19"/>
      <c r="T75" s="19"/>
      <c r="U75" s="19"/>
    </row>
    <row r="76" spans="1:21" ht="18" customHeight="1" x14ac:dyDescent="0.2">
      <c r="A76" s="88"/>
      <c r="B76" s="125"/>
      <c r="C76" s="126"/>
      <c r="D76" s="126"/>
      <c r="E76" s="126"/>
      <c r="F76" s="19"/>
      <c r="G76" s="19"/>
      <c r="H76" s="19"/>
      <c r="I76" s="19"/>
      <c r="J76" s="19"/>
      <c r="K76" s="125"/>
      <c r="L76" s="126"/>
      <c r="M76" s="126"/>
      <c r="N76" s="126"/>
      <c r="O76" s="126"/>
      <c r="P76" s="127"/>
      <c r="Q76" s="19"/>
      <c r="R76" s="19"/>
      <c r="S76" s="19"/>
      <c r="T76" s="19"/>
      <c r="U76" s="19"/>
    </row>
    <row r="77" spans="1:21" ht="18" customHeight="1" x14ac:dyDescent="0.2">
      <c r="A77" s="88"/>
      <c r="B77" s="128"/>
      <c r="C77" s="129"/>
      <c r="D77" s="129"/>
      <c r="E77" s="129"/>
      <c r="F77" s="20"/>
      <c r="G77" s="20"/>
      <c r="H77" s="21"/>
      <c r="I77" s="21"/>
      <c r="J77" s="21"/>
      <c r="K77" s="128"/>
      <c r="L77" s="129"/>
      <c r="M77" s="129"/>
      <c r="N77" s="129"/>
      <c r="O77" s="129"/>
      <c r="P77" s="130"/>
      <c r="Q77" s="20"/>
      <c r="R77" s="20"/>
      <c r="S77" s="21"/>
      <c r="T77" s="21"/>
      <c r="U77" s="21"/>
    </row>
    <row r="78" spans="1:21" ht="7.5" customHeight="1" x14ac:dyDescent="0.2">
      <c r="B78" s="90"/>
      <c r="C78" s="90"/>
      <c r="D78" s="90"/>
      <c r="E78" s="90"/>
      <c r="F78" s="90"/>
      <c r="G78" s="90"/>
      <c r="H78" s="90"/>
      <c r="I78" s="90"/>
      <c r="J78" s="90"/>
      <c r="K78" s="90"/>
      <c r="L78" s="90"/>
      <c r="M78" s="90"/>
      <c r="N78" s="90"/>
      <c r="O78" s="90"/>
      <c r="P78" s="90"/>
      <c r="Q78" s="90"/>
      <c r="R78" s="90"/>
      <c r="S78" s="90"/>
      <c r="T78" s="90"/>
    </row>
    <row r="79" spans="1:21" ht="18" customHeight="1" x14ac:dyDescent="0.2">
      <c r="A79" s="89" t="s">
        <v>105</v>
      </c>
      <c r="I79" s="88"/>
      <c r="J79" s="88"/>
      <c r="K79" s="88"/>
      <c r="L79" s="88"/>
      <c r="M79" s="88"/>
      <c r="N79" s="88"/>
      <c r="O79" s="88"/>
      <c r="P79" s="88"/>
      <c r="Q79" s="88"/>
      <c r="R79" s="88"/>
      <c r="S79" s="88"/>
      <c r="T79" s="88"/>
      <c r="U79" s="88"/>
    </row>
    <row r="80" spans="1:21" ht="18" customHeight="1" x14ac:dyDescent="0.2">
      <c r="B80" s="116" t="s">
        <v>51</v>
      </c>
      <c r="C80" s="117"/>
      <c r="D80" s="117"/>
      <c r="E80" s="117"/>
      <c r="F80" s="118"/>
      <c r="G80" s="116" t="s">
        <v>77</v>
      </c>
      <c r="H80" s="117"/>
      <c r="I80" s="117"/>
      <c r="J80" s="118"/>
      <c r="K80" s="167" t="s">
        <v>51</v>
      </c>
      <c r="L80" s="168"/>
      <c r="M80" s="168"/>
      <c r="N80" s="168"/>
      <c r="O80" s="168"/>
      <c r="P80" s="168"/>
      <c r="Q80" s="169"/>
      <c r="R80" s="116" t="s">
        <v>77</v>
      </c>
      <c r="S80" s="117"/>
      <c r="T80" s="117"/>
      <c r="U80" s="118"/>
    </row>
    <row r="81" spans="1:21" ht="18" customHeight="1" x14ac:dyDescent="0.2">
      <c r="A81" s="88"/>
      <c r="B81" s="131" t="s">
        <v>234</v>
      </c>
      <c r="C81" s="132"/>
      <c r="D81" s="132"/>
      <c r="E81" s="132"/>
      <c r="F81" s="133"/>
      <c r="G81" s="170" t="s">
        <v>194</v>
      </c>
      <c r="H81" s="171"/>
      <c r="I81" s="171"/>
      <c r="J81" s="172"/>
      <c r="K81" s="131" t="s">
        <v>236</v>
      </c>
      <c r="L81" s="132"/>
      <c r="M81" s="132"/>
      <c r="N81" s="132"/>
      <c r="O81" s="132"/>
      <c r="P81" s="132"/>
      <c r="Q81" s="133"/>
      <c r="R81" s="170" t="s">
        <v>197</v>
      </c>
      <c r="S81" s="171"/>
      <c r="T81" s="171"/>
      <c r="U81" s="172"/>
    </row>
    <row r="82" spans="1:21" ht="18" customHeight="1" x14ac:dyDescent="0.2">
      <c r="A82" s="88"/>
      <c r="B82" s="125" t="s">
        <v>234</v>
      </c>
      <c r="C82" s="126"/>
      <c r="D82" s="126"/>
      <c r="E82" s="126"/>
      <c r="F82" s="127"/>
      <c r="G82" s="159" t="s">
        <v>143</v>
      </c>
      <c r="H82" s="160"/>
      <c r="I82" s="160"/>
      <c r="J82" s="161"/>
      <c r="K82" s="125" t="s">
        <v>236</v>
      </c>
      <c r="L82" s="126"/>
      <c r="M82" s="126"/>
      <c r="N82" s="126"/>
      <c r="O82" s="126"/>
      <c r="P82" s="126"/>
      <c r="Q82" s="127"/>
      <c r="R82" s="159" t="s">
        <v>142</v>
      </c>
      <c r="S82" s="160"/>
      <c r="T82" s="160"/>
      <c r="U82" s="161"/>
    </row>
    <row r="83" spans="1:21" ht="18" customHeight="1" x14ac:dyDescent="0.2">
      <c r="A83" s="88"/>
      <c r="B83" s="125" t="s">
        <v>234</v>
      </c>
      <c r="C83" s="126"/>
      <c r="D83" s="126"/>
      <c r="E83" s="126"/>
      <c r="F83" s="127"/>
      <c r="G83" s="159" t="s">
        <v>197</v>
      </c>
      <c r="H83" s="160"/>
      <c r="I83" s="160"/>
      <c r="J83" s="161"/>
      <c r="K83" s="125" t="s">
        <v>236</v>
      </c>
      <c r="L83" s="126"/>
      <c r="M83" s="126"/>
      <c r="N83" s="126"/>
      <c r="O83" s="126"/>
      <c r="P83" s="126"/>
      <c r="Q83" s="127"/>
      <c r="R83" s="159" t="s">
        <v>199</v>
      </c>
      <c r="S83" s="160"/>
      <c r="T83" s="160"/>
      <c r="U83" s="161"/>
    </row>
    <row r="84" spans="1:21" ht="18" customHeight="1" x14ac:dyDescent="0.2">
      <c r="A84" s="88"/>
      <c r="B84" s="125" t="s">
        <v>234</v>
      </c>
      <c r="C84" s="126"/>
      <c r="D84" s="126"/>
      <c r="E84" s="126"/>
      <c r="F84" s="127"/>
      <c r="G84" s="159" t="s">
        <v>142</v>
      </c>
      <c r="H84" s="160"/>
      <c r="I84" s="160"/>
      <c r="J84" s="161"/>
      <c r="K84" s="125"/>
      <c r="L84" s="126"/>
      <c r="M84" s="126"/>
      <c r="N84" s="126"/>
      <c r="O84" s="126"/>
      <c r="P84" s="126"/>
      <c r="Q84" s="127"/>
      <c r="R84" s="159"/>
      <c r="S84" s="160"/>
      <c r="T84" s="160"/>
      <c r="U84" s="161"/>
    </row>
    <row r="85" spans="1:21" ht="18" customHeight="1" x14ac:dyDescent="0.2">
      <c r="A85" s="88"/>
      <c r="B85" s="125" t="s">
        <v>234</v>
      </c>
      <c r="C85" s="126"/>
      <c r="D85" s="126"/>
      <c r="E85" s="126"/>
      <c r="F85" s="127"/>
      <c r="G85" s="159" t="s">
        <v>199</v>
      </c>
      <c r="H85" s="160"/>
      <c r="I85" s="160"/>
      <c r="J85" s="161"/>
      <c r="K85" s="125"/>
      <c r="L85" s="126"/>
      <c r="M85" s="126"/>
      <c r="N85" s="126"/>
      <c r="O85" s="126"/>
      <c r="P85" s="126"/>
      <c r="Q85" s="127"/>
      <c r="R85" s="159"/>
      <c r="S85" s="160"/>
      <c r="T85" s="160"/>
      <c r="U85" s="161"/>
    </row>
    <row r="86" spans="1:21" ht="18" customHeight="1" x14ac:dyDescent="0.2">
      <c r="A86" s="88"/>
      <c r="B86" s="125" t="s">
        <v>235</v>
      </c>
      <c r="C86" s="126"/>
      <c r="D86" s="126"/>
      <c r="E86" s="126"/>
      <c r="F86" s="127"/>
      <c r="G86" s="159" t="s">
        <v>194</v>
      </c>
      <c r="H86" s="160"/>
      <c r="I86" s="160"/>
      <c r="J86" s="161"/>
      <c r="K86" s="125"/>
      <c r="L86" s="126"/>
      <c r="M86" s="126"/>
      <c r="N86" s="126"/>
      <c r="O86" s="126"/>
      <c r="P86" s="126"/>
      <c r="Q86" s="127"/>
      <c r="R86" s="159"/>
      <c r="S86" s="160"/>
      <c r="T86" s="160"/>
      <c r="U86" s="161"/>
    </row>
    <row r="87" spans="1:21" ht="18" customHeight="1" x14ac:dyDescent="0.2">
      <c r="A87" s="88"/>
      <c r="B87" s="128" t="s">
        <v>235</v>
      </c>
      <c r="C87" s="129"/>
      <c r="D87" s="129"/>
      <c r="E87" s="129"/>
      <c r="F87" s="130"/>
      <c r="G87" s="156" t="s">
        <v>143</v>
      </c>
      <c r="H87" s="157"/>
      <c r="I87" s="157"/>
      <c r="J87" s="158"/>
      <c r="K87" s="128"/>
      <c r="L87" s="129"/>
      <c r="M87" s="129"/>
      <c r="N87" s="129"/>
      <c r="O87" s="129"/>
      <c r="P87" s="129"/>
      <c r="Q87" s="130"/>
      <c r="R87" s="156"/>
      <c r="S87" s="157"/>
      <c r="T87" s="157"/>
      <c r="U87" s="158"/>
    </row>
    <row r="88" spans="1:21" ht="18" customHeight="1" x14ac:dyDescent="0.2">
      <c r="A88" s="88"/>
      <c r="B88" s="6"/>
      <c r="C88" s="6"/>
      <c r="D88" s="6"/>
      <c r="E88" s="6"/>
      <c r="F88" s="6"/>
      <c r="G88" s="22"/>
      <c r="H88" s="22"/>
      <c r="I88" s="22"/>
      <c r="J88" s="22"/>
      <c r="K88" s="6"/>
      <c r="L88" s="6"/>
      <c r="M88" s="6"/>
      <c r="N88" s="6"/>
      <c r="O88" s="6"/>
      <c r="P88" s="6"/>
      <c r="Q88" s="6"/>
      <c r="R88" s="22"/>
      <c r="S88" s="22"/>
      <c r="T88" s="22"/>
      <c r="U88" s="22"/>
    </row>
    <row r="89" spans="1:21" ht="18.75" customHeight="1" x14ac:dyDescent="0.2">
      <c r="A89" s="89" t="s">
        <v>106</v>
      </c>
    </row>
    <row r="90" spans="1:21" ht="18.75" customHeight="1" x14ac:dyDescent="0.2">
      <c r="B90" s="165" t="s">
        <v>52</v>
      </c>
      <c r="C90" s="166"/>
      <c r="D90" s="116" t="s">
        <v>53</v>
      </c>
      <c r="E90" s="117"/>
      <c r="F90" s="117"/>
      <c r="G90" s="117"/>
      <c r="H90" s="117"/>
      <c r="I90" s="117"/>
      <c r="J90" s="117"/>
      <c r="K90" s="117"/>
      <c r="L90" s="117"/>
      <c r="M90" s="117"/>
      <c r="N90" s="117"/>
      <c r="O90" s="117"/>
      <c r="P90" s="117"/>
      <c r="Q90" s="117"/>
      <c r="R90" s="117"/>
      <c r="S90" s="117"/>
      <c r="T90" s="117"/>
      <c r="U90" s="118"/>
    </row>
    <row r="91" spans="1:21" ht="97.5" customHeight="1" x14ac:dyDescent="0.2">
      <c r="B91" s="162" t="s">
        <v>59</v>
      </c>
      <c r="C91" s="23" t="s">
        <v>54</v>
      </c>
      <c r="D91" s="104" t="s">
        <v>210</v>
      </c>
      <c r="E91" s="105"/>
      <c r="F91" s="105"/>
      <c r="G91" s="105"/>
      <c r="H91" s="105"/>
      <c r="I91" s="105"/>
      <c r="J91" s="105"/>
      <c r="K91" s="105"/>
      <c r="L91" s="105"/>
      <c r="M91" s="105"/>
      <c r="N91" s="105"/>
      <c r="O91" s="105"/>
      <c r="P91" s="105"/>
      <c r="Q91" s="105"/>
      <c r="R91" s="105"/>
      <c r="S91" s="105"/>
      <c r="T91" s="105"/>
      <c r="U91" s="106"/>
    </row>
    <row r="92" spans="1:21" ht="97.5" customHeight="1" x14ac:dyDescent="0.2">
      <c r="B92" s="163"/>
      <c r="C92" s="24" t="s">
        <v>73</v>
      </c>
      <c r="D92" s="101" t="s">
        <v>211</v>
      </c>
      <c r="E92" s="102"/>
      <c r="F92" s="102"/>
      <c r="G92" s="102"/>
      <c r="H92" s="102"/>
      <c r="I92" s="102"/>
      <c r="J92" s="102"/>
      <c r="K92" s="102"/>
      <c r="L92" s="102"/>
      <c r="M92" s="102"/>
      <c r="N92" s="102"/>
      <c r="O92" s="102"/>
      <c r="P92" s="102"/>
      <c r="Q92" s="102"/>
      <c r="R92" s="102"/>
      <c r="S92" s="102"/>
      <c r="T92" s="102"/>
      <c r="U92" s="103"/>
    </row>
    <row r="93" spans="1:21" ht="97.5" customHeight="1" x14ac:dyDescent="0.2">
      <c r="B93" s="162" t="s">
        <v>60</v>
      </c>
      <c r="C93" s="25" t="s">
        <v>67</v>
      </c>
      <c r="D93" s="104" t="s">
        <v>212</v>
      </c>
      <c r="E93" s="105"/>
      <c r="F93" s="105"/>
      <c r="G93" s="105"/>
      <c r="H93" s="105"/>
      <c r="I93" s="105"/>
      <c r="J93" s="105"/>
      <c r="K93" s="105"/>
      <c r="L93" s="105"/>
      <c r="M93" s="105"/>
      <c r="N93" s="105"/>
      <c r="O93" s="105"/>
      <c r="P93" s="105"/>
      <c r="Q93" s="105"/>
      <c r="R93" s="105"/>
      <c r="S93" s="105"/>
      <c r="T93" s="105"/>
      <c r="U93" s="106"/>
    </row>
    <row r="94" spans="1:21" ht="97.5" customHeight="1" x14ac:dyDescent="0.2">
      <c r="B94" s="164"/>
      <c r="C94" s="26" t="s">
        <v>68</v>
      </c>
      <c r="D94" s="101" t="s">
        <v>213</v>
      </c>
      <c r="E94" s="102"/>
      <c r="F94" s="102"/>
      <c r="G94" s="102"/>
      <c r="H94" s="102"/>
      <c r="I94" s="102"/>
      <c r="J94" s="102"/>
      <c r="K94" s="102"/>
      <c r="L94" s="102"/>
      <c r="M94" s="102"/>
      <c r="N94" s="102"/>
      <c r="O94" s="102"/>
      <c r="P94" s="102"/>
      <c r="Q94" s="102"/>
      <c r="R94" s="102"/>
      <c r="S94" s="102"/>
      <c r="T94" s="102"/>
      <c r="U94" s="103"/>
    </row>
    <row r="95" spans="1:21" ht="97.5" customHeight="1" x14ac:dyDescent="0.2">
      <c r="B95" s="162" t="s">
        <v>61</v>
      </c>
      <c r="C95" s="25" t="s">
        <v>69</v>
      </c>
      <c r="D95" s="104" t="s">
        <v>214</v>
      </c>
      <c r="E95" s="105"/>
      <c r="F95" s="105"/>
      <c r="G95" s="105"/>
      <c r="H95" s="105"/>
      <c r="I95" s="105"/>
      <c r="J95" s="105"/>
      <c r="K95" s="105"/>
      <c r="L95" s="105"/>
      <c r="M95" s="105"/>
      <c r="N95" s="105"/>
      <c r="O95" s="105"/>
      <c r="P95" s="105"/>
      <c r="Q95" s="105"/>
      <c r="R95" s="105"/>
      <c r="S95" s="105"/>
      <c r="T95" s="105"/>
      <c r="U95" s="106"/>
    </row>
    <row r="96" spans="1:21" ht="97.5" customHeight="1" x14ac:dyDescent="0.2">
      <c r="B96" s="164"/>
      <c r="C96" s="27" t="s">
        <v>70</v>
      </c>
      <c r="D96" s="101" t="s">
        <v>215</v>
      </c>
      <c r="E96" s="102"/>
      <c r="F96" s="102"/>
      <c r="G96" s="102"/>
      <c r="H96" s="102"/>
      <c r="I96" s="102"/>
      <c r="J96" s="102"/>
      <c r="K96" s="102"/>
      <c r="L96" s="102"/>
      <c r="M96" s="102"/>
      <c r="N96" s="102"/>
      <c r="O96" s="102"/>
      <c r="P96" s="102"/>
      <c r="Q96" s="102"/>
      <c r="R96" s="102"/>
      <c r="S96" s="102"/>
      <c r="T96" s="102"/>
      <c r="U96" s="103"/>
    </row>
    <row r="97" spans="1:33" ht="97.5" customHeight="1" x14ac:dyDescent="0.2">
      <c r="B97" s="162" t="s">
        <v>74</v>
      </c>
      <c r="C97" s="23" t="s">
        <v>56</v>
      </c>
      <c r="D97" s="186" t="s">
        <v>216</v>
      </c>
      <c r="E97" s="105"/>
      <c r="F97" s="105"/>
      <c r="G97" s="105"/>
      <c r="H97" s="105"/>
      <c r="I97" s="105"/>
      <c r="J97" s="105"/>
      <c r="K97" s="105"/>
      <c r="L97" s="105"/>
      <c r="M97" s="105"/>
      <c r="N97" s="105"/>
      <c r="O97" s="105"/>
      <c r="P97" s="105"/>
      <c r="Q97" s="105"/>
      <c r="R97" s="105"/>
      <c r="S97" s="105"/>
      <c r="T97" s="105"/>
      <c r="U97" s="106"/>
    </row>
    <row r="98" spans="1:33" ht="97.5" customHeight="1" x14ac:dyDescent="0.2">
      <c r="B98" s="164"/>
      <c r="C98" s="26" t="s">
        <v>58</v>
      </c>
      <c r="D98" s="101" t="s">
        <v>217</v>
      </c>
      <c r="E98" s="102"/>
      <c r="F98" s="102"/>
      <c r="G98" s="102"/>
      <c r="H98" s="102"/>
      <c r="I98" s="102"/>
      <c r="J98" s="102"/>
      <c r="K98" s="102"/>
      <c r="L98" s="102"/>
      <c r="M98" s="102"/>
      <c r="N98" s="102"/>
      <c r="O98" s="102"/>
      <c r="P98" s="102"/>
      <c r="Q98" s="102"/>
      <c r="R98" s="102"/>
      <c r="S98" s="102"/>
      <c r="T98" s="102"/>
      <c r="U98" s="103"/>
    </row>
    <row r="99" spans="1:33" ht="97.5" customHeight="1" x14ac:dyDescent="0.2">
      <c r="B99" s="162" t="s">
        <v>75</v>
      </c>
      <c r="C99" s="25" t="s">
        <v>55</v>
      </c>
      <c r="D99" s="104" t="s">
        <v>218</v>
      </c>
      <c r="E99" s="105"/>
      <c r="F99" s="105"/>
      <c r="G99" s="105"/>
      <c r="H99" s="105"/>
      <c r="I99" s="105"/>
      <c r="J99" s="105"/>
      <c r="K99" s="105"/>
      <c r="L99" s="105"/>
      <c r="M99" s="105"/>
      <c r="N99" s="105"/>
      <c r="O99" s="105"/>
      <c r="P99" s="105"/>
      <c r="Q99" s="105"/>
      <c r="R99" s="105"/>
      <c r="S99" s="105"/>
      <c r="T99" s="105"/>
      <c r="U99" s="106"/>
    </row>
    <row r="100" spans="1:33" ht="97.5" customHeight="1" x14ac:dyDescent="0.2">
      <c r="B100" s="163"/>
      <c r="C100" s="28" t="s">
        <v>71</v>
      </c>
      <c r="D100" s="107" t="s">
        <v>257</v>
      </c>
      <c r="E100" s="108"/>
      <c r="F100" s="108"/>
      <c r="G100" s="108"/>
      <c r="H100" s="108"/>
      <c r="I100" s="108"/>
      <c r="J100" s="108"/>
      <c r="K100" s="108"/>
      <c r="L100" s="108"/>
      <c r="M100" s="108"/>
      <c r="N100" s="108"/>
      <c r="O100" s="108"/>
      <c r="P100" s="108"/>
      <c r="Q100" s="108"/>
      <c r="R100" s="108"/>
      <c r="S100" s="108"/>
      <c r="T100" s="108"/>
      <c r="U100" s="109"/>
    </row>
    <row r="101" spans="1:33" ht="97.5" customHeight="1" x14ac:dyDescent="0.2">
      <c r="B101" s="164"/>
      <c r="C101" s="27" t="s">
        <v>72</v>
      </c>
      <c r="D101" s="101" t="s">
        <v>219</v>
      </c>
      <c r="E101" s="102"/>
      <c r="F101" s="102"/>
      <c r="G101" s="102"/>
      <c r="H101" s="102"/>
      <c r="I101" s="102"/>
      <c r="J101" s="102"/>
      <c r="K101" s="102"/>
      <c r="L101" s="102"/>
      <c r="M101" s="102"/>
      <c r="N101" s="102"/>
      <c r="O101" s="102"/>
      <c r="P101" s="102"/>
      <c r="Q101" s="102"/>
      <c r="R101" s="102"/>
      <c r="S101" s="102"/>
      <c r="T101" s="102"/>
      <c r="U101" s="103"/>
    </row>
    <row r="102" spans="1:33" ht="6" customHeight="1" x14ac:dyDescent="0.2"/>
    <row r="103" spans="1:33" ht="18.75" customHeight="1" x14ac:dyDescent="0.2">
      <c r="A103" s="89" t="s">
        <v>107</v>
      </c>
    </row>
    <row r="104" spans="1:33" ht="115.8" customHeight="1" x14ac:dyDescent="0.2">
      <c r="B104" s="187" t="s">
        <v>258</v>
      </c>
      <c r="C104" s="188"/>
      <c r="D104" s="188"/>
      <c r="E104" s="188"/>
      <c r="F104" s="188"/>
      <c r="G104" s="188"/>
      <c r="H104" s="188"/>
      <c r="I104" s="188"/>
      <c r="J104" s="188"/>
      <c r="K104" s="188"/>
      <c r="L104" s="188"/>
      <c r="M104" s="188"/>
      <c r="N104" s="188"/>
      <c r="O104" s="188"/>
      <c r="P104" s="188"/>
      <c r="Q104" s="188"/>
      <c r="R104" s="188"/>
      <c r="S104" s="188"/>
      <c r="T104" s="188"/>
      <c r="U104" s="189"/>
    </row>
    <row r="106" spans="1:33" ht="18.75" customHeight="1" x14ac:dyDescent="0.2">
      <c r="A106" s="73" t="s">
        <v>123</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125</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00" t="s">
        <v>129</v>
      </c>
      <c r="C108" s="100"/>
      <c r="D108" s="100"/>
      <c r="E108" s="100"/>
      <c r="F108" s="100"/>
      <c r="G108" s="100"/>
      <c r="H108" s="100"/>
      <c r="I108" s="100"/>
      <c r="J108" s="100"/>
      <c r="K108" s="100"/>
      <c r="L108" s="100"/>
      <c r="M108" s="100"/>
      <c r="N108" s="100"/>
      <c r="O108" s="100"/>
      <c r="P108" s="100"/>
      <c r="Q108" s="100"/>
      <c r="R108" s="100"/>
      <c r="S108" s="100"/>
      <c r="T108" s="100"/>
      <c r="U108" s="100"/>
      <c r="V108" s="69"/>
      <c r="W108" s="69"/>
      <c r="X108" s="69"/>
      <c r="Y108" s="69"/>
      <c r="Z108" s="69"/>
      <c r="AA108" s="69"/>
      <c r="AB108" s="69"/>
      <c r="AC108" s="69"/>
      <c r="AD108" s="69"/>
      <c r="AE108" s="69"/>
      <c r="AF108" s="69"/>
      <c r="AG108" s="69"/>
    </row>
    <row r="109" spans="1:33" ht="37.200000000000003" customHeight="1" x14ac:dyDescent="0.2">
      <c r="A109" s="73"/>
      <c r="B109" s="100"/>
      <c r="C109" s="100"/>
      <c r="D109" s="100"/>
      <c r="E109" s="100"/>
      <c r="F109" s="100"/>
      <c r="G109" s="100"/>
      <c r="H109" s="100"/>
      <c r="I109" s="100"/>
      <c r="J109" s="100"/>
      <c r="K109" s="100"/>
      <c r="L109" s="100"/>
      <c r="M109" s="100"/>
      <c r="N109" s="100"/>
      <c r="O109" s="100"/>
      <c r="P109" s="100"/>
      <c r="Q109" s="100"/>
      <c r="R109" s="100"/>
      <c r="S109" s="100"/>
      <c r="T109" s="100"/>
      <c r="U109" s="100"/>
      <c r="V109" s="69"/>
      <c r="W109" s="69"/>
      <c r="X109" s="69"/>
      <c r="Y109" s="69"/>
      <c r="Z109" s="69"/>
      <c r="AA109" s="69"/>
      <c r="AB109" s="69"/>
      <c r="AC109" s="69"/>
      <c r="AD109" s="69"/>
      <c r="AE109" s="69"/>
      <c r="AF109" s="69"/>
      <c r="AG109" s="69"/>
    </row>
    <row r="110" spans="1:33" ht="18.75" customHeight="1" x14ac:dyDescent="0.2">
      <c r="A110" s="73"/>
      <c r="B110" s="173" t="s">
        <v>124</v>
      </c>
      <c r="C110" s="173"/>
      <c r="D110" s="173"/>
      <c r="E110" s="173"/>
      <c r="F110" s="173"/>
      <c r="G110" s="173"/>
      <c r="H110" s="173"/>
      <c r="I110" s="173"/>
      <c r="J110" s="173"/>
      <c r="K110" s="173"/>
      <c r="L110" s="173"/>
      <c r="M110" s="173"/>
      <c r="N110" s="173"/>
      <c r="O110" s="173"/>
      <c r="P110" s="173"/>
      <c r="Q110" s="173"/>
      <c r="R110" s="173"/>
      <c r="S110" s="173"/>
      <c r="T110" s="173"/>
      <c r="U110" s="173"/>
      <c r="V110" s="69"/>
      <c r="W110" s="69"/>
      <c r="X110" s="69"/>
      <c r="Y110" s="69"/>
      <c r="Z110" s="69"/>
      <c r="AA110" s="69"/>
      <c r="AB110" s="69"/>
      <c r="AC110" s="69"/>
      <c r="AD110" s="69"/>
      <c r="AE110" s="69"/>
      <c r="AF110" s="69"/>
      <c r="AG110" s="69"/>
    </row>
    <row r="111" spans="1:33" ht="18.75" customHeight="1" x14ac:dyDescent="0.2">
      <c r="A111" s="73"/>
      <c r="B111" s="174" t="s">
        <v>53</v>
      </c>
      <c r="C111" s="174"/>
      <c r="D111" s="174"/>
      <c r="E111" s="174"/>
      <c r="F111" s="174"/>
      <c r="G111" s="174"/>
      <c r="H111" s="174"/>
      <c r="I111" s="174"/>
      <c r="J111" s="174"/>
      <c r="K111" s="174"/>
      <c r="L111" s="174"/>
      <c r="M111" s="174"/>
      <c r="N111" s="174"/>
      <c r="O111" s="174"/>
      <c r="P111" s="174"/>
      <c r="Q111" s="174"/>
      <c r="R111" s="174"/>
      <c r="S111" s="174"/>
      <c r="T111" s="174"/>
      <c r="U111" s="174"/>
      <c r="V111" s="68"/>
      <c r="W111" s="68"/>
      <c r="X111" s="68"/>
      <c r="Y111" s="68"/>
      <c r="Z111" s="68"/>
      <c r="AA111" s="68"/>
      <c r="AB111" s="68"/>
      <c r="AC111" s="68"/>
      <c r="AD111" s="68"/>
      <c r="AE111" s="68"/>
      <c r="AF111" s="68"/>
      <c r="AG111" s="68"/>
    </row>
    <row r="112" spans="1:33" ht="132" customHeight="1" x14ac:dyDescent="0.2">
      <c r="A112" s="73"/>
      <c r="B112" s="175" t="s">
        <v>242</v>
      </c>
      <c r="C112" s="175"/>
      <c r="D112" s="175"/>
      <c r="E112" s="175"/>
      <c r="F112" s="175"/>
      <c r="G112" s="175"/>
      <c r="H112" s="175"/>
      <c r="I112" s="175"/>
      <c r="J112" s="175"/>
      <c r="K112" s="175"/>
      <c r="L112" s="175"/>
      <c r="M112" s="175"/>
      <c r="N112" s="175"/>
      <c r="O112" s="175"/>
      <c r="P112" s="175"/>
      <c r="Q112" s="175"/>
      <c r="R112" s="175"/>
      <c r="S112" s="175"/>
      <c r="T112" s="175"/>
      <c r="U112" s="175"/>
      <c r="V112" s="70"/>
      <c r="W112" s="70"/>
      <c r="X112" s="70"/>
      <c r="Y112" s="70"/>
      <c r="Z112" s="70"/>
      <c r="AA112" s="70"/>
      <c r="AB112" s="70"/>
      <c r="AC112" s="70"/>
      <c r="AD112" s="70"/>
      <c r="AE112" s="70"/>
      <c r="AF112" s="70"/>
      <c r="AG112" s="70"/>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49:J55 S27:U33 R71:U77 S38:U44 G71:J77 S49:U55 H27:J33 S60:U66 H60:J66 H38:J44" xr:uid="{5AD0966D-CA7A-4C0F-AA92-21928A71B70D}">
      <formula1>"○"</formula1>
    </dataValidation>
    <dataValidation type="list" allowBlank="1" showInputMessage="1" showErrorMessage="1" sqref="U34 U45 E34:H34 E45:H45" xr:uid="{5603A014-57EC-49F9-845E-76EAAD6BAD2C}">
      <formula1>"全学開講,一部開講"</formula1>
    </dataValidation>
    <dataValidation type="list" allowBlank="1" showInputMessage="1" showErrorMessage="1" sqref="L14 L7:U7" xr:uid="{6F232510-9AF3-44FC-8BAC-FEBEF02BA6AD}">
      <formula1>"学部・学科によって、修了要件は相違する,学部・学科によって、修了要件は相違しない"</formula1>
    </dataValidation>
    <dataValidation type="list" allowBlank="1" showInputMessage="1" showErrorMessage="1" sqref="G81:G88 R81:R88 H81:J82 H85:J88 S85:U88 S81:U82" xr:uid="{5F375F53-B9EC-4C84-AA6A-C585F9F7B80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C7F3534C-2D11-4A43-8F2A-65A0B62E5EE8}">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3">
    <pageSetUpPr fitToPage="1"/>
  </sheetPr>
  <dimension ref="A1:U33"/>
  <sheetViews>
    <sheetView view="pageBreakPreview" topLeftCell="A14" zoomScaleNormal="100" zoomScaleSheetLayoutView="100" workbookViewId="0">
      <selection activeCell="G29" sqref="G29"/>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5"/>
      <c r="B1" s="75"/>
      <c r="C1" s="75"/>
      <c r="D1" s="75"/>
      <c r="E1" s="75"/>
      <c r="F1" s="75"/>
      <c r="G1" s="75"/>
      <c r="H1" s="75"/>
      <c r="I1" s="75"/>
      <c r="J1" s="75"/>
      <c r="K1" s="75"/>
      <c r="L1" s="75"/>
      <c r="M1" s="75"/>
      <c r="N1" s="75"/>
      <c r="O1" s="75"/>
      <c r="P1" s="75"/>
      <c r="Q1" s="75"/>
      <c r="R1" s="75"/>
      <c r="S1" s="75" t="s">
        <v>96</v>
      </c>
    </row>
    <row r="2" spans="1:21" ht="18" customHeight="1" x14ac:dyDescent="0.2">
      <c r="A2" s="75"/>
      <c r="B2" s="75"/>
      <c r="C2" s="75"/>
      <c r="D2" s="75"/>
      <c r="E2" s="75"/>
      <c r="F2" s="75"/>
      <c r="G2" s="75"/>
      <c r="H2" s="75"/>
      <c r="I2" s="75"/>
      <c r="J2" s="75"/>
      <c r="K2" s="75"/>
      <c r="L2" s="75"/>
      <c r="M2" s="75"/>
      <c r="N2" s="75"/>
      <c r="O2" s="75"/>
      <c r="P2" s="75"/>
      <c r="Q2" s="191" t="str">
        <f>'様式１-１　プログラムを構成する授業科目（その他学部）'!C2</f>
        <v>東洋大学</v>
      </c>
      <c r="R2" s="191"/>
      <c r="S2" s="191"/>
    </row>
    <row r="3" spans="1:21" ht="18" customHeight="1" x14ac:dyDescent="0.2">
      <c r="A3" s="142" t="s">
        <v>46</v>
      </c>
      <c r="B3" s="142"/>
      <c r="C3" s="142"/>
      <c r="D3" s="142"/>
      <c r="E3" s="142"/>
      <c r="F3" s="142"/>
      <c r="G3" s="142"/>
      <c r="H3" s="142"/>
      <c r="I3" s="142"/>
      <c r="J3" s="142"/>
      <c r="K3" s="142"/>
      <c r="L3" s="142"/>
      <c r="M3" s="142"/>
      <c r="N3" s="142"/>
      <c r="O3" s="142"/>
      <c r="P3" s="142"/>
      <c r="Q3" s="142"/>
      <c r="R3" s="142"/>
      <c r="S3" s="142"/>
    </row>
    <row r="4" spans="1:21" ht="7.5" customHeight="1" x14ac:dyDescent="0.2">
      <c r="A4" s="80"/>
      <c r="B4" s="80"/>
      <c r="C4" s="80"/>
      <c r="D4" s="80"/>
      <c r="E4" s="80"/>
      <c r="F4" s="80"/>
      <c r="G4" s="80"/>
      <c r="H4" s="80"/>
      <c r="I4" s="80"/>
      <c r="J4" s="80"/>
      <c r="K4" s="80"/>
      <c r="L4" s="80"/>
      <c r="M4" s="80"/>
      <c r="N4" s="80"/>
      <c r="O4" s="80"/>
      <c r="P4" s="80"/>
      <c r="Q4" s="80"/>
      <c r="R4" s="80"/>
      <c r="S4" s="80"/>
    </row>
    <row r="5" spans="1:21" ht="18" customHeight="1" x14ac:dyDescent="0.2">
      <c r="A5" s="75" t="s">
        <v>78</v>
      </c>
      <c r="B5" s="75"/>
      <c r="C5" s="139" t="s">
        <v>240</v>
      </c>
      <c r="D5" s="141"/>
      <c r="E5" s="80" t="s">
        <v>50</v>
      </c>
      <c r="F5" s="80"/>
      <c r="G5" s="80"/>
      <c r="H5" s="80"/>
      <c r="I5" s="80"/>
      <c r="J5" s="80"/>
      <c r="K5" s="80"/>
      <c r="L5" s="80"/>
      <c r="M5" s="80"/>
      <c r="N5" s="80"/>
      <c r="O5" s="80"/>
      <c r="P5" s="80"/>
      <c r="Q5" s="80"/>
      <c r="R5" s="78"/>
      <c r="S5" s="78"/>
    </row>
    <row r="6" spans="1:21" ht="7.2" customHeight="1" x14ac:dyDescent="0.2">
      <c r="A6" s="75"/>
      <c r="B6" s="75"/>
      <c r="C6" s="85"/>
      <c r="D6" s="85"/>
      <c r="E6" s="80"/>
      <c r="F6" s="80"/>
      <c r="G6" s="80"/>
      <c r="H6" s="80"/>
      <c r="I6" s="80"/>
      <c r="J6" s="80"/>
      <c r="K6" s="80"/>
      <c r="L6" s="80"/>
      <c r="M6" s="80"/>
      <c r="N6" s="80"/>
      <c r="O6" s="80"/>
      <c r="P6" s="80"/>
      <c r="Q6" s="80"/>
      <c r="R6" s="78"/>
      <c r="S6" s="78"/>
    </row>
    <row r="7" spans="1:21" ht="18" customHeight="1" x14ac:dyDescent="0.2">
      <c r="A7" s="75" t="s">
        <v>116</v>
      </c>
      <c r="B7" s="75"/>
      <c r="C7" s="85"/>
      <c r="D7" s="85"/>
      <c r="E7" s="80" t="s">
        <v>117</v>
      </c>
      <c r="F7" s="96">
        <v>17507</v>
      </c>
      <c r="G7" s="82" t="s">
        <v>118</v>
      </c>
      <c r="H7" s="80" t="s">
        <v>119</v>
      </c>
      <c r="I7" s="96">
        <v>12451</v>
      </c>
      <c r="J7" s="82" t="s">
        <v>118</v>
      </c>
      <c r="K7" s="77" t="s">
        <v>120</v>
      </c>
      <c r="L7" s="80" t="s">
        <v>121</v>
      </c>
      <c r="M7" s="96">
        <f>F7+I7</f>
        <v>29958</v>
      </c>
      <c r="N7" s="80" t="s">
        <v>1</v>
      </c>
      <c r="O7" s="82" t="s">
        <v>122</v>
      </c>
      <c r="P7" s="80"/>
      <c r="Q7" s="80"/>
      <c r="R7" s="78"/>
      <c r="S7" s="78"/>
    </row>
    <row r="8" spans="1:21" ht="6" customHeight="1" x14ac:dyDescent="0.2">
      <c r="A8" s="80"/>
      <c r="B8" s="80"/>
      <c r="C8" s="80"/>
      <c r="D8" s="80"/>
      <c r="E8" s="80"/>
      <c r="F8" s="80"/>
      <c r="G8" s="80"/>
      <c r="H8" s="80"/>
      <c r="I8" s="80"/>
      <c r="J8" s="80"/>
      <c r="K8" s="80"/>
      <c r="L8" s="80"/>
      <c r="M8" s="80"/>
      <c r="N8" s="80"/>
      <c r="O8" s="80"/>
      <c r="P8" s="80"/>
      <c r="Q8" s="80"/>
      <c r="R8" s="80"/>
      <c r="S8" s="80"/>
    </row>
    <row r="9" spans="1:21" ht="18" customHeight="1" x14ac:dyDescent="0.2">
      <c r="A9" s="75" t="s">
        <v>133</v>
      </c>
      <c r="B9" s="80"/>
      <c r="C9" s="80"/>
      <c r="D9" s="80"/>
      <c r="E9" s="80"/>
      <c r="F9" s="80"/>
      <c r="G9" s="80"/>
      <c r="H9" s="80"/>
      <c r="I9" s="80"/>
      <c r="J9" s="80"/>
      <c r="K9" s="80"/>
      <c r="L9" s="80"/>
      <c r="M9" s="80"/>
      <c r="N9" s="80"/>
      <c r="O9" s="80"/>
      <c r="P9" s="80"/>
      <c r="Q9" s="80"/>
      <c r="R9" s="80"/>
      <c r="S9" s="80"/>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92" t="s">
        <v>43</v>
      </c>
      <c r="C11" s="202" t="s">
        <v>81</v>
      </c>
      <c r="D11" s="194" t="s">
        <v>45</v>
      </c>
      <c r="E11" s="196" t="s">
        <v>38</v>
      </c>
      <c r="F11" s="190" t="s">
        <v>110</v>
      </c>
      <c r="G11" s="190"/>
      <c r="H11" s="190" t="s">
        <v>80</v>
      </c>
      <c r="I11" s="190"/>
      <c r="J11" s="190" t="s">
        <v>47</v>
      </c>
      <c r="K11" s="190"/>
      <c r="L11" s="190" t="s">
        <v>48</v>
      </c>
      <c r="M11" s="190"/>
      <c r="N11" s="190" t="s">
        <v>90</v>
      </c>
      <c r="O11" s="190"/>
      <c r="P11" s="190" t="s">
        <v>49</v>
      </c>
      <c r="Q11" s="190"/>
      <c r="R11" s="198" t="s">
        <v>34</v>
      </c>
      <c r="S11" s="200" t="s">
        <v>31</v>
      </c>
      <c r="U11" s="2"/>
    </row>
    <row r="12" spans="1:21" ht="16.95" customHeight="1" x14ac:dyDescent="0.2">
      <c r="B12" s="193"/>
      <c r="C12" s="203"/>
      <c r="D12" s="195"/>
      <c r="E12" s="197"/>
      <c r="F12" s="64" t="s">
        <v>89</v>
      </c>
      <c r="G12" s="64" t="s">
        <v>28</v>
      </c>
      <c r="H12" s="64" t="s">
        <v>89</v>
      </c>
      <c r="I12" s="64" t="s">
        <v>28</v>
      </c>
      <c r="J12" s="64" t="s">
        <v>89</v>
      </c>
      <c r="K12" s="64" t="s">
        <v>28</v>
      </c>
      <c r="L12" s="64" t="s">
        <v>89</v>
      </c>
      <c r="M12" s="64" t="s">
        <v>28</v>
      </c>
      <c r="N12" s="64" t="s">
        <v>89</v>
      </c>
      <c r="O12" s="64" t="s">
        <v>28</v>
      </c>
      <c r="P12" s="64" t="s">
        <v>89</v>
      </c>
      <c r="Q12" s="65" t="s">
        <v>28</v>
      </c>
      <c r="R12" s="199"/>
      <c r="S12" s="201"/>
      <c r="U12" s="2"/>
    </row>
    <row r="13" spans="1:21" ht="18" customHeight="1" x14ac:dyDescent="0.2">
      <c r="A13" s="6"/>
      <c r="B13" s="93" t="s">
        <v>170</v>
      </c>
      <c r="C13" s="94">
        <v>4014</v>
      </c>
      <c r="D13" s="53">
        <v>969</v>
      </c>
      <c r="E13" s="54">
        <v>3876</v>
      </c>
      <c r="F13" s="97">
        <v>10</v>
      </c>
      <c r="G13" s="97">
        <v>0</v>
      </c>
      <c r="H13" s="54"/>
      <c r="I13" s="54"/>
      <c r="J13" s="54"/>
      <c r="K13" s="54"/>
      <c r="L13" s="54"/>
      <c r="M13" s="54"/>
      <c r="N13" s="54"/>
      <c r="O13" s="54"/>
      <c r="P13" s="54"/>
      <c r="Q13" s="66"/>
      <c r="R13" s="53">
        <f t="shared" ref="R13:R28" si="0">F13+H13+J13+L13+N13+P13</f>
        <v>10</v>
      </c>
      <c r="S13" s="95">
        <f t="shared" ref="S13:S33" si="1">R13/E13</f>
        <v>2.5799793601651187E-3</v>
      </c>
    </row>
    <row r="14" spans="1:21" ht="18" customHeight="1" x14ac:dyDescent="0.2">
      <c r="A14" s="6"/>
      <c r="B14" s="11" t="s">
        <v>171</v>
      </c>
      <c r="C14" s="55">
        <v>3214</v>
      </c>
      <c r="D14" s="56">
        <v>766</v>
      </c>
      <c r="E14" s="57">
        <v>3064</v>
      </c>
      <c r="F14" s="98">
        <v>102</v>
      </c>
      <c r="G14" s="98">
        <v>16</v>
      </c>
      <c r="H14" s="58"/>
      <c r="I14" s="58"/>
      <c r="J14" s="58"/>
      <c r="K14" s="58"/>
      <c r="L14" s="58"/>
      <c r="M14" s="58"/>
      <c r="N14" s="58"/>
      <c r="O14" s="58"/>
      <c r="P14" s="58"/>
      <c r="Q14" s="55"/>
      <c r="R14" s="56">
        <f t="shared" si="0"/>
        <v>102</v>
      </c>
      <c r="S14" s="16">
        <f t="shared" si="1"/>
        <v>3.3289817232375979E-2</v>
      </c>
    </row>
    <row r="15" spans="1:21" ht="18" customHeight="1" x14ac:dyDescent="0.2">
      <c r="A15" s="6"/>
      <c r="B15" s="11" t="s">
        <v>172</v>
      </c>
      <c r="C15" s="55">
        <v>3306</v>
      </c>
      <c r="D15" s="56">
        <v>792</v>
      </c>
      <c r="E15" s="57">
        <v>3168</v>
      </c>
      <c r="F15" s="98">
        <v>71</v>
      </c>
      <c r="G15" s="98">
        <v>6</v>
      </c>
      <c r="H15" s="58"/>
      <c r="I15" s="58"/>
      <c r="J15" s="58"/>
      <c r="K15" s="58"/>
      <c r="L15" s="58"/>
      <c r="M15" s="58"/>
      <c r="N15" s="58"/>
      <c r="O15" s="58"/>
      <c r="P15" s="58"/>
      <c r="Q15" s="55"/>
      <c r="R15" s="56">
        <f t="shared" si="0"/>
        <v>71</v>
      </c>
      <c r="S15" s="8">
        <f t="shared" si="1"/>
        <v>2.241161616161616E-2</v>
      </c>
    </row>
    <row r="16" spans="1:21" ht="18" customHeight="1" x14ac:dyDescent="0.2">
      <c r="A16" s="6"/>
      <c r="B16" s="11" t="s">
        <v>173</v>
      </c>
      <c r="C16" s="55">
        <v>2587</v>
      </c>
      <c r="D16" s="56">
        <v>620</v>
      </c>
      <c r="E16" s="57">
        <v>2480</v>
      </c>
      <c r="F16" s="98">
        <v>77</v>
      </c>
      <c r="G16" s="98">
        <v>12</v>
      </c>
      <c r="H16" s="58"/>
      <c r="I16" s="58"/>
      <c r="J16" s="58"/>
      <c r="K16" s="58"/>
      <c r="L16" s="58"/>
      <c r="M16" s="58"/>
      <c r="N16" s="58"/>
      <c r="O16" s="58"/>
      <c r="P16" s="58"/>
      <c r="Q16" s="55"/>
      <c r="R16" s="56">
        <f t="shared" si="0"/>
        <v>77</v>
      </c>
      <c r="S16" s="8">
        <f t="shared" si="1"/>
        <v>3.1048387096774193E-2</v>
      </c>
    </row>
    <row r="17" spans="1:19" ht="18" customHeight="1" x14ac:dyDescent="0.2">
      <c r="A17" s="6"/>
      <c r="B17" s="11" t="s">
        <v>174</v>
      </c>
      <c r="C17" s="55">
        <v>3540</v>
      </c>
      <c r="D17" s="56">
        <v>730</v>
      </c>
      <c r="E17" s="57">
        <v>3420</v>
      </c>
      <c r="F17" s="98">
        <v>81</v>
      </c>
      <c r="G17" s="98">
        <v>5</v>
      </c>
      <c r="H17" s="58"/>
      <c r="I17" s="58"/>
      <c r="J17" s="58"/>
      <c r="K17" s="58"/>
      <c r="L17" s="58"/>
      <c r="M17" s="58"/>
      <c r="N17" s="58"/>
      <c r="O17" s="58"/>
      <c r="P17" s="58"/>
      <c r="Q17" s="55"/>
      <c r="R17" s="56">
        <f t="shared" si="0"/>
        <v>81</v>
      </c>
      <c r="S17" s="8">
        <f t="shared" si="1"/>
        <v>2.368421052631579E-2</v>
      </c>
    </row>
    <row r="18" spans="1:19" ht="18" customHeight="1" x14ac:dyDescent="0.2">
      <c r="A18" s="6"/>
      <c r="B18" s="11" t="s">
        <v>175</v>
      </c>
      <c r="C18" s="55">
        <v>3380</v>
      </c>
      <c r="D18" s="56">
        <v>811</v>
      </c>
      <c r="E18" s="57">
        <v>3244</v>
      </c>
      <c r="F18" s="98">
        <v>71</v>
      </c>
      <c r="G18" s="98">
        <v>3</v>
      </c>
      <c r="H18" s="58"/>
      <c r="I18" s="58"/>
      <c r="J18" s="58"/>
      <c r="K18" s="58"/>
      <c r="L18" s="58"/>
      <c r="M18" s="58"/>
      <c r="N18" s="58"/>
      <c r="O18" s="58"/>
      <c r="P18" s="58"/>
      <c r="Q18" s="55"/>
      <c r="R18" s="56">
        <f t="shared" si="0"/>
        <v>71</v>
      </c>
      <c r="S18" s="8">
        <f t="shared" si="1"/>
        <v>2.1886559802712702E-2</v>
      </c>
    </row>
    <row r="19" spans="1:19" ht="18" customHeight="1" x14ac:dyDescent="0.2">
      <c r="A19" s="6"/>
      <c r="B19" s="11" t="s">
        <v>176</v>
      </c>
      <c r="C19" s="55">
        <v>1662</v>
      </c>
      <c r="D19" s="56">
        <v>390</v>
      </c>
      <c r="E19" s="57">
        <v>1560</v>
      </c>
      <c r="F19" s="98">
        <v>128</v>
      </c>
      <c r="G19" s="98">
        <v>7</v>
      </c>
      <c r="H19" s="58"/>
      <c r="I19" s="58"/>
      <c r="J19" s="58"/>
      <c r="K19" s="58"/>
      <c r="L19" s="58"/>
      <c r="M19" s="58"/>
      <c r="N19" s="58"/>
      <c r="O19" s="58"/>
      <c r="P19" s="58"/>
      <c r="Q19" s="55"/>
      <c r="R19" s="56">
        <f t="shared" si="0"/>
        <v>128</v>
      </c>
      <c r="S19" s="8">
        <f t="shared" si="1"/>
        <v>8.2051282051282051E-2</v>
      </c>
    </row>
    <row r="20" spans="1:19" ht="18" customHeight="1" x14ac:dyDescent="0.2">
      <c r="A20" s="6"/>
      <c r="B20" s="11" t="s">
        <v>177</v>
      </c>
      <c r="C20" s="55">
        <v>1502</v>
      </c>
      <c r="D20" s="56">
        <v>366</v>
      </c>
      <c r="E20" s="57">
        <v>1464</v>
      </c>
      <c r="F20" s="98">
        <v>8</v>
      </c>
      <c r="G20" s="98">
        <v>0</v>
      </c>
      <c r="H20" s="58"/>
      <c r="I20" s="58"/>
      <c r="J20" s="58"/>
      <c r="K20" s="58"/>
      <c r="L20" s="58"/>
      <c r="M20" s="58"/>
      <c r="N20" s="58"/>
      <c r="O20" s="58"/>
      <c r="P20" s="58"/>
      <c r="Q20" s="55"/>
      <c r="R20" s="56">
        <f t="shared" si="0"/>
        <v>8</v>
      </c>
      <c r="S20" s="8">
        <f t="shared" si="1"/>
        <v>5.4644808743169399E-3</v>
      </c>
    </row>
    <row r="21" spans="1:19" ht="18" customHeight="1" x14ac:dyDescent="0.2">
      <c r="A21" s="6"/>
      <c r="B21" s="11" t="s">
        <v>178</v>
      </c>
      <c r="C21" s="55">
        <v>909</v>
      </c>
      <c r="D21" s="56">
        <v>226</v>
      </c>
      <c r="E21" s="57">
        <v>904</v>
      </c>
      <c r="F21" s="98">
        <v>41</v>
      </c>
      <c r="G21" s="98">
        <v>2</v>
      </c>
      <c r="H21" s="58"/>
      <c r="I21" s="58"/>
      <c r="J21" s="58"/>
      <c r="K21" s="58"/>
      <c r="L21" s="58"/>
      <c r="M21" s="58"/>
      <c r="N21" s="58"/>
      <c r="O21" s="58"/>
      <c r="P21" s="58"/>
      <c r="Q21" s="55"/>
      <c r="R21" s="56">
        <f t="shared" si="0"/>
        <v>41</v>
      </c>
      <c r="S21" s="8">
        <f t="shared" si="1"/>
        <v>4.5353982300884957E-2</v>
      </c>
    </row>
    <row r="22" spans="1:19" ht="18" customHeight="1" x14ac:dyDescent="0.2">
      <c r="A22" s="6"/>
      <c r="B22" s="11" t="s">
        <v>179</v>
      </c>
      <c r="C22" s="55">
        <v>1068</v>
      </c>
      <c r="D22" s="56">
        <v>260</v>
      </c>
      <c r="E22" s="57">
        <v>1040</v>
      </c>
      <c r="F22" s="98">
        <v>171</v>
      </c>
      <c r="G22" s="98">
        <v>33</v>
      </c>
      <c r="H22" s="58"/>
      <c r="I22" s="58"/>
      <c r="J22" s="58"/>
      <c r="K22" s="58"/>
      <c r="L22" s="58"/>
      <c r="M22" s="58"/>
      <c r="N22" s="58"/>
      <c r="O22" s="58"/>
      <c r="P22" s="58"/>
      <c r="Q22" s="55"/>
      <c r="R22" s="56">
        <f t="shared" si="0"/>
        <v>171</v>
      </c>
      <c r="S22" s="8">
        <f t="shared" si="1"/>
        <v>0.16442307692307692</v>
      </c>
    </row>
    <row r="23" spans="1:19" ht="18" customHeight="1" x14ac:dyDescent="0.2">
      <c r="A23" s="6"/>
      <c r="B23" s="11" t="s">
        <v>180</v>
      </c>
      <c r="C23" s="55">
        <v>829</v>
      </c>
      <c r="D23" s="56">
        <v>170</v>
      </c>
      <c r="E23" s="57">
        <v>830</v>
      </c>
      <c r="F23" s="98">
        <v>30</v>
      </c>
      <c r="G23" s="98">
        <v>2</v>
      </c>
      <c r="H23" s="58"/>
      <c r="I23" s="58"/>
      <c r="J23" s="58"/>
      <c r="K23" s="58"/>
      <c r="L23" s="58"/>
      <c r="M23" s="58"/>
      <c r="N23" s="58"/>
      <c r="O23" s="58"/>
      <c r="P23" s="58"/>
      <c r="Q23" s="55"/>
      <c r="R23" s="56">
        <f t="shared" si="0"/>
        <v>30</v>
      </c>
      <c r="S23" s="8">
        <f t="shared" si="1"/>
        <v>3.614457831325301E-2</v>
      </c>
    </row>
    <row r="24" spans="1:19" ht="18" customHeight="1" x14ac:dyDescent="0.2">
      <c r="A24" s="6"/>
      <c r="B24" s="11" t="s">
        <v>181</v>
      </c>
      <c r="C24" s="55">
        <v>1449</v>
      </c>
      <c r="D24" s="56">
        <v>300</v>
      </c>
      <c r="E24" s="57">
        <v>1400</v>
      </c>
      <c r="F24" s="98">
        <v>689</v>
      </c>
      <c r="G24" s="98">
        <v>0</v>
      </c>
      <c r="H24" s="58"/>
      <c r="I24" s="58"/>
      <c r="J24" s="58"/>
      <c r="K24" s="58"/>
      <c r="L24" s="58"/>
      <c r="M24" s="58"/>
      <c r="N24" s="58"/>
      <c r="O24" s="58"/>
      <c r="P24" s="58"/>
      <c r="Q24" s="55"/>
      <c r="R24" s="56">
        <f t="shared" si="0"/>
        <v>689</v>
      </c>
      <c r="S24" s="8">
        <f>R24/E24</f>
        <v>0.49214285714285716</v>
      </c>
    </row>
    <row r="25" spans="1:19" ht="18" customHeight="1" x14ac:dyDescent="0.2">
      <c r="A25" s="6"/>
      <c r="B25" s="11" t="s">
        <v>182</v>
      </c>
      <c r="C25" s="55">
        <v>490</v>
      </c>
      <c r="D25" s="56">
        <v>476</v>
      </c>
      <c r="E25" s="57">
        <v>476</v>
      </c>
      <c r="F25" s="98">
        <v>4</v>
      </c>
      <c r="G25" s="98">
        <v>0</v>
      </c>
      <c r="H25" s="58"/>
      <c r="I25" s="58"/>
      <c r="J25" s="58"/>
      <c r="K25" s="58"/>
      <c r="L25" s="58"/>
      <c r="M25" s="58"/>
      <c r="N25" s="58"/>
      <c r="O25" s="58"/>
      <c r="P25" s="58"/>
      <c r="Q25" s="55"/>
      <c r="R25" s="56">
        <f t="shared" si="0"/>
        <v>4</v>
      </c>
      <c r="S25" s="8">
        <f t="shared" si="1"/>
        <v>8.4033613445378148E-3</v>
      </c>
    </row>
    <row r="26" spans="1:19" ht="18" customHeight="1" x14ac:dyDescent="0.2">
      <c r="A26" s="6"/>
      <c r="B26" s="11" t="s">
        <v>183</v>
      </c>
      <c r="C26" s="55">
        <v>339</v>
      </c>
      <c r="D26" s="56">
        <v>330</v>
      </c>
      <c r="E26" s="57">
        <v>330</v>
      </c>
      <c r="F26" s="98">
        <v>6</v>
      </c>
      <c r="G26" s="98">
        <v>0</v>
      </c>
      <c r="H26" s="58"/>
      <c r="I26" s="58"/>
      <c r="J26" s="58"/>
      <c r="K26" s="58"/>
      <c r="L26" s="58"/>
      <c r="M26" s="58"/>
      <c r="N26" s="58"/>
      <c r="O26" s="58"/>
      <c r="P26" s="58"/>
      <c r="Q26" s="55"/>
      <c r="R26" s="56">
        <f t="shared" si="0"/>
        <v>6</v>
      </c>
      <c r="S26" s="8">
        <f t="shared" si="1"/>
        <v>1.8181818181818181E-2</v>
      </c>
    </row>
    <row r="27" spans="1:19" ht="18" customHeight="1" x14ac:dyDescent="0.2">
      <c r="A27" s="6"/>
      <c r="B27" s="11" t="s">
        <v>237</v>
      </c>
      <c r="C27" s="55">
        <v>2</v>
      </c>
      <c r="D27" s="56">
        <v>0</v>
      </c>
      <c r="E27" s="57">
        <v>0</v>
      </c>
      <c r="F27" s="58">
        <v>0</v>
      </c>
      <c r="G27" s="58">
        <v>0</v>
      </c>
      <c r="H27" s="58"/>
      <c r="I27" s="58"/>
      <c r="J27" s="58"/>
      <c r="K27" s="58"/>
      <c r="L27" s="58"/>
      <c r="M27" s="58"/>
      <c r="N27" s="58"/>
      <c r="O27" s="58"/>
      <c r="P27" s="58"/>
      <c r="Q27" s="55"/>
      <c r="R27" s="56">
        <f t="shared" si="0"/>
        <v>0</v>
      </c>
      <c r="S27" s="8">
        <v>0</v>
      </c>
    </row>
    <row r="28" spans="1:19" ht="18" customHeight="1" x14ac:dyDescent="0.2">
      <c r="A28" s="6"/>
      <c r="B28" s="11" t="s">
        <v>238</v>
      </c>
      <c r="C28" s="55">
        <v>1667</v>
      </c>
      <c r="D28" s="56">
        <v>0</v>
      </c>
      <c r="E28" s="57">
        <v>1668</v>
      </c>
      <c r="F28" s="58">
        <v>71</v>
      </c>
      <c r="G28" s="58">
        <v>1</v>
      </c>
      <c r="H28" s="58"/>
      <c r="I28" s="58"/>
      <c r="J28" s="58"/>
      <c r="K28" s="58"/>
      <c r="L28" s="58"/>
      <c r="M28" s="58"/>
      <c r="N28" s="58"/>
      <c r="O28" s="58"/>
      <c r="P28" s="58"/>
      <c r="Q28" s="55"/>
      <c r="R28" s="56">
        <f t="shared" si="0"/>
        <v>71</v>
      </c>
      <c r="S28" s="8">
        <f t="shared" si="1"/>
        <v>4.2565947242206234E-2</v>
      </c>
    </row>
    <row r="29" spans="1:19" ht="18" customHeight="1" x14ac:dyDescent="0.2">
      <c r="A29" s="6"/>
      <c r="B29" s="11"/>
      <c r="C29" s="55"/>
      <c r="D29" s="56"/>
      <c r="E29" s="57"/>
      <c r="F29" s="58"/>
      <c r="G29" s="58"/>
      <c r="H29" s="58"/>
      <c r="I29" s="58"/>
      <c r="J29" s="58"/>
      <c r="K29" s="58"/>
      <c r="L29" s="58"/>
      <c r="M29" s="58"/>
      <c r="N29" s="58"/>
      <c r="O29" s="58"/>
      <c r="P29" s="58"/>
      <c r="Q29" s="55"/>
      <c r="R29" s="56"/>
      <c r="S29" s="8"/>
    </row>
    <row r="30" spans="1:19" ht="18" customHeight="1" x14ac:dyDescent="0.2">
      <c r="A30" s="6"/>
      <c r="B30" s="11"/>
      <c r="C30" s="55"/>
      <c r="D30" s="59"/>
      <c r="E30" s="57"/>
      <c r="F30" s="58"/>
      <c r="G30" s="58"/>
      <c r="H30" s="58"/>
      <c r="I30" s="58"/>
      <c r="J30" s="58"/>
      <c r="K30" s="58"/>
      <c r="L30" s="58"/>
      <c r="M30" s="58"/>
      <c r="N30" s="58"/>
      <c r="O30" s="58"/>
      <c r="P30" s="58"/>
      <c r="Q30" s="55"/>
      <c r="R30" s="59"/>
      <c r="S30" s="8"/>
    </row>
    <row r="31" spans="1:19" ht="18" customHeight="1" x14ac:dyDescent="0.2">
      <c r="A31" s="6"/>
      <c r="B31" s="11"/>
      <c r="C31" s="55"/>
      <c r="D31" s="59"/>
      <c r="E31" s="57"/>
      <c r="F31" s="58"/>
      <c r="G31" s="58"/>
      <c r="H31" s="58"/>
      <c r="I31" s="58"/>
      <c r="J31" s="58"/>
      <c r="K31" s="58"/>
      <c r="L31" s="58"/>
      <c r="M31" s="58"/>
      <c r="N31" s="58"/>
      <c r="O31" s="58"/>
      <c r="P31" s="58"/>
      <c r="Q31" s="55"/>
      <c r="R31" s="59"/>
      <c r="S31" s="8"/>
    </row>
    <row r="32" spans="1:19" ht="18" customHeight="1" thickBot="1" x14ac:dyDescent="0.25">
      <c r="A32" s="6"/>
      <c r="B32" s="12"/>
      <c r="C32" s="52"/>
      <c r="D32" s="60"/>
      <c r="E32" s="54"/>
      <c r="F32" s="54"/>
      <c r="G32" s="54"/>
      <c r="H32" s="54"/>
      <c r="I32" s="54"/>
      <c r="J32" s="54"/>
      <c r="K32" s="54"/>
      <c r="L32" s="54"/>
      <c r="M32" s="54"/>
      <c r="N32" s="54"/>
      <c r="O32" s="54"/>
      <c r="P32" s="54"/>
      <c r="Q32" s="55"/>
      <c r="R32" s="60"/>
      <c r="S32" s="7"/>
    </row>
    <row r="33" spans="2:19" ht="18" customHeight="1" thickTop="1" x14ac:dyDescent="0.2">
      <c r="B33" s="13" t="s">
        <v>32</v>
      </c>
      <c r="C33" s="61">
        <f>SUM(C13:C32)</f>
        <v>29958</v>
      </c>
      <c r="D33" s="62">
        <f t="shared" ref="D33:R33" si="2">SUM(D13:D32)</f>
        <v>7206</v>
      </c>
      <c r="E33" s="63">
        <f t="shared" si="2"/>
        <v>28924</v>
      </c>
      <c r="F33" s="63">
        <f t="shared" si="2"/>
        <v>1560</v>
      </c>
      <c r="G33" s="63">
        <f t="shared" ref="G33:H33" si="3">SUM(G13:G32)</f>
        <v>87</v>
      </c>
      <c r="H33" s="63">
        <f t="shared" si="3"/>
        <v>0</v>
      </c>
      <c r="I33" s="63">
        <f t="shared" ref="I33:J33" si="4">SUM(I13:I32)</f>
        <v>0</v>
      </c>
      <c r="J33" s="63">
        <f t="shared" si="4"/>
        <v>0</v>
      </c>
      <c r="K33" s="63">
        <f t="shared" ref="K33:O33" si="5">SUM(K13:K32)</f>
        <v>0</v>
      </c>
      <c r="L33" s="63">
        <f t="shared" si="5"/>
        <v>0</v>
      </c>
      <c r="M33" s="63">
        <f t="shared" si="5"/>
        <v>0</v>
      </c>
      <c r="N33" s="63">
        <f t="shared" si="5"/>
        <v>0</v>
      </c>
      <c r="O33" s="63">
        <f t="shared" si="5"/>
        <v>0</v>
      </c>
      <c r="P33" s="63">
        <f t="shared" ref="P33:Q33" si="6">SUM(P13:P32)</f>
        <v>0</v>
      </c>
      <c r="Q33" s="61">
        <f t="shared" si="6"/>
        <v>0</v>
      </c>
      <c r="R33" s="61">
        <f t="shared" si="2"/>
        <v>1560</v>
      </c>
      <c r="S33" s="9">
        <f t="shared" si="1"/>
        <v>5.3934448900567006E-2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4">
    <pageSetUpPr fitToPage="1"/>
  </sheetPr>
  <dimension ref="A1:O134"/>
  <sheetViews>
    <sheetView showZeros="0" view="pageBreakPreview" zoomScaleNormal="100" zoomScaleSheetLayoutView="100" workbookViewId="0">
      <selection activeCell="H17" sqref="H17"/>
    </sheetView>
  </sheetViews>
  <sheetFormatPr defaultColWidth="11.33203125" defaultRowHeight="18.75" customHeight="1" x14ac:dyDescent="0.2"/>
  <cols>
    <col min="1" max="1" width="2.77734375" style="32"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I1" s="30" t="s">
        <v>95</v>
      </c>
    </row>
    <row r="2" spans="1:9" ht="18.75" customHeight="1" x14ac:dyDescent="0.2">
      <c r="G2" s="30" t="s">
        <v>97</v>
      </c>
      <c r="H2" s="116" t="str">
        <f>'様式１-１　プログラムを構成する授業科目（その他学部）'!C2</f>
        <v>東洋大学</v>
      </c>
      <c r="I2" s="118"/>
    </row>
    <row r="3" spans="1:9" ht="18.75" customHeight="1" x14ac:dyDescent="0.2">
      <c r="G3" s="30"/>
      <c r="H3" s="10"/>
      <c r="I3" s="10"/>
    </row>
    <row r="4" spans="1:9" ht="18.600000000000001" customHeight="1" x14ac:dyDescent="0.2">
      <c r="A4" s="232" t="s">
        <v>35</v>
      </c>
      <c r="B4" s="232"/>
      <c r="C4" s="232"/>
      <c r="D4" s="232"/>
      <c r="E4" s="232"/>
      <c r="F4" s="232"/>
      <c r="G4" s="232"/>
      <c r="H4" s="232"/>
      <c r="I4" s="232"/>
    </row>
    <row r="5" spans="1:9" ht="13.2" customHeight="1" x14ac:dyDescent="0.2">
      <c r="B5" s="3"/>
      <c r="C5" s="3"/>
      <c r="D5" s="3"/>
      <c r="E5" s="3"/>
      <c r="F5" s="3"/>
      <c r="G5" s="3"/>
      <c r="H5" s="3"/>
      <c r="I5" s="3"/>
    </row>
    <row r="6" spans="1:9" ht="18" customHeight="1" x14ac:dyDescent="0.2">
      <c r="A6" s="1" t="s">
        <v>0</v>
      </c>
      <c r="B6" s="10" t="s">
        <v>84</v>
      </c>
      <c r="C6" s="261" t="s">
        <v>85</v>
      </c>
      <c r="D6" s="261"/>
      <c r="E6" s="29">
        <v>786</v>
      </c>
      <c r="F6" s="3" t="s">
        <v>1</v>
      </c>
      <c r="G6" s="3" t="s">
        <v>2</v>
      </c>
      <c r="H6" s="29">
        <v>1410</v>
      </c>
      <c r="I6" s="10" t="s">
        <v>1</v>
      </c>
    </row>
    <row r="7" spans="1:9" ht="12" customHeight="1" x14ac:dyDescent="0.2">
      <c r="C7" s="2"/>
      <c r="D7" s="2"/>
      <c r="E7" s="2"/>
      <c r="F7" s="2"/>
      <c r="G7" s="2"/>
      <c r="H7" s="2"/>
      <c r="I7" s="33"/>
    </row>
    <row r="8" spans="1:9" ht="18" customHeight="1" x14ac:dyDescent="0.2">
      <c r="A8" s="1" t="s">
        <v>3</v>
      </c>
      <c r="B8" s="10" t="s">
        <v>86</v>
      </c>
      <c r="E8" s="3"/>
      <c r="F8" s="3"/>
      <c r="G8" s="3"/>
      <c r="H8" s="29">
        <v>25</v>
      </c>
      <c r="I8" s="10" t="s">
        <v>1</v>
      </c>
    </row>
    <row r="9" spans="1:9" ht="9" customHeight="1" x14ac:dyDescent="0.2">
      <c r="B9" s="3"/>
      <c r="C9" s="3"/>
      <c r="D9" s="3"/>
      <c r="E9" s="3"/>
      <c r="F9" s="3"/>
      <c r="G9" s="3"/>
      <c r="H9" s="3"/>
      <c r="I9" s="3"/>
    </row>
    <row r="10" spans="1:9" ht="18" customHeight="1" x14ac:dyDescent="0.2">
      <c r="A10" s="1" t="s">
        <v>4</v>
      </c>
      <c r="B10" s="10" t="s">
        <v>87</v>
      </c>
      <c r="C10" s="3"/>
      <c r="D10" s="3"/>
      <c r="E10" s="3"/>
      <c r="F10" s="3"/>
      <c r="G10" s="3"/>
      <c r="H10" s="3"/>
      <c r="I10" s="3"/>
    </row>
    <row r="11" spans="1:9" ht="18" customHeight="1" x14ac:dyDescent="0.2">
      <c r="B11" s="30" t="s">
        <v>41</v>
      </c>
      <c r="C11" s="256" t="s">
        <v>165</v>
      </c>
      <c r="D11" s="259"/>
      <c r="E11" s="260"/>
      <c r="F11" s="33"/>
      <c r="G11" s="30" t="s">
        <v>10</v>
      </c>
      <c r="H11" s="256" t="s">
        <v>166</v>
      </c>
      <c r="I11" s="260"/>
    </row>
    <row r="12" spans="1:9" ht="10.199999999999999" customHeight="1" x14ac:dyDescent="0.2">
      <c r="B12" s="30"/>
      <c r="C12" s="10"/>
      <c r="D12" s="33"/>
      <c r="E12" s="33"/>
      <c r="F12" s="33"/>
      <c r="G12" s="30"/>
      <c r="H12" s="10"/>
      <c r="I12" s="33"/>
    </row>
    <row r="13" spans="1:9" ht="18" customHeight="1" x14ac:dyDescent="0.2">
      <c r="A13" s="1" t="s">
        <v>7</v>
      </c>
      <c r="B13" s="10" t="s">
        <v>82</v>
      </c>
      <c r="C13" s="3"/>
      <c r="D13" s="3"/>
      <c r="E13" s="3"/>
      <c r="F13" s="3"/>
      <c r="G13" s="3"/>
      <c r="H13" s="3"/>
      <c r="I13" s="3"/>
    </row>
    <row r="14" spans="1:9" ht="18" customHeight="1" x14ac:dyDescent="0.2">
      <c r="B14" s="256" t="s">
        <v>167</v>
      </c>
      <c r="C14" s="257"/>
      <c r="D14" s="257"/>
      <c r="E14" s="257"/>
      <c r="F14" s="257"/>
      <c r="G14" s="257"/>
      <c r="H14" s="257"/>
      <c r="I14" s="258"/>
    </row>
    <row r="15" spans="1:9" ht="9" customHeight="1" x14ac:dyDescent="0.2">
      <c r="B15" s="3"/>
      <c r="C15" s="3"/>
      <c r="D15" s="3"/>
      <c r="E15" s="3"/>
      <c r="F15" s="3"/>
      <c r="G15" s="3"/>
      <c r="H15" s="3"/>
      <c r="I15" s="3"/>
    </row>
    <row r="16" spans="1:9" ht="18" customHeight="1" x14ac:dyDescent="0.2">
      <c r="B16" s="30" t="s">
        <v>41</v>
      </c>
      <c r="C16" s="256" t="s">
        <v>165</v>
      </c>
      <c r="D16" s="259"/>
      <c r="E16" s="260"/>
      <c r="F16" s="33"/>
      <c r="G16" s="30" t="s">
        <v>10</v>
      </c>
      <c r="H16" s="256" t="s">
        <v>164</v>
      </c>
      <c r="I16" s="260"/>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233" t="s">
        <v>168</v>
      </c>
      <c r="C19" s="234"/>
      <c r="D19" s="234"/>
      <c r="E19" s="234"/>
      <c r="F19" s="234"/>
      <c r="G19" s="234"/>
      <c r="H19" s="234"/>
      <c r="I19" s="235"/>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236" t="s">
        <v>169</v>
      </c>
      <c r="C22" s="237"/>
      <c r="D22" s="237"/>
      <c r="E22" s="237"/>
      <c r="F22" s="237"/>
      <c r="G22" s="237"/>
      <c r="H22" s="237"/>
      <c r="I22" s="238"/>
    </row>
    <row r="23" spans="1:9" ht="18.75" customHeight="1" x14ac:dyDescent="0.2">
      <c r="A23" s="14"/>
      <c r="B23" s="239"/>
      <c r="C23" s="240"/>
      <c r="D23" s="240"/>
      <c r="E23" s="240"/>
      <c r="F23" s="240"/>
      <c r="G23" s="240"/>
      <c r="H23" s="240"/>
      <c r="I23" s="241"/>
    </row>
    <row r="24" spans="1:9" ht="18.75" customHeight="1" x14ac:dyDescent="0.2">
      <c r="A24" s="14"/>
      <c r="B24" s="239"/>
      <c r="C24" s="240"/>
      <c r="D24" s="240"/>
      <c r="E24" s="240"/>
      <c r="F24" s="240"/>
      <c r="G24" s="240"/>
      <c r="H24" s="240"/>
      <c r="I24" s="241"/>
    </row>
    <row r="25" spans="1:9" ht="18.75" customHeight="1" x14ac:dyDescent="0.2">
      <c r="A25" s="14"/>
      <c r="B25" s="239"/>
      <c r="C25" s="240"/>
      <c r="D25" s="240"/>
      <c r="E25" s="240"/>
      <c r="F25" s="240"/>
      <c r="G25" s="240"/>
      <c r="H25" s="240"/>
      <c r="I25" s="241"/>
    </row>
    <row r="26" spans="1:9" ht="18.75" customHeight="1" x14ac:dyDescent="0.2">
      <c r="A26" s="14"/>
      <c r="B26" s="239"/>
      <c r="C26" s="240"/>
      <c r="D26" s="240"/>
      <c r="E26" s="240"/>
      <c r="F26" s="240"/>
      <c r="G26" s="240"/>
      <c r="H26" s="240"/>
      <c r="I26" s="241"/>
    </row>
    <row r="27" spans="1:9" ht="18.75" customHeight="1" x14ac:dyDescent="0.2">
      <c r="A27" s="14"/>
      <c r="B27" s="239"/>
      <c r="C27" s="240"/>
      <c r="D27" s="240"/>
      <c r="E27" s="240"/>
      <c r="F27" s="240"/>
      <c r="G27" s="240"/>
      <c r="H27" s="240"/>
      <c r="I27" s="241"/>
    </row>
    <row r="28" spans="1:9" ht="18.75" customHeight="1" x14ac:dyDescent="0.2">
      <c r="A28" s="14"/>
      <c r="B28" s="239"/>
      <c r="C28" s="240"/>
      <c r="D28" s="240"/>
      <c r="E28" s="240"/>
      <c r="F28" s="240"/>
      <c r="G28" s="240"/>
      <c r="H28" s="240"/>
      <c r="I28" s="241"/>
    </row>
    <row r="29" spans="1:9" ht="18.75" customHeight="1" x14ac:dyDescent="0.2">
      <c r="A29" s="14"/>
      <c r="B29" s="239"/>
      <c r="C29" s="240"/>
      <c r="D29" s="240"/>
      <c r="E29" s="240"/>
      <c r="F29" s="240"/>
      <c r="G29" s="240"/>
      <c r="H29" s="240"/>
      <c r="I29" s="241"/>
    </row>
    <row r="30" spans="1:9" ht="18.75" customHeight="1" x14ac:dyDescent="0.2">
      <c r="A30" s="14"/>
      <c r="B30" s="242"/>
      <c r="C30" s="243"/>
      <c r="D30" s="243"/>
      <c r="E30" s="243"/>
      <c r="F30" s="243"/>
      <c r="G30" s="243"/>
      <c r="H30" s="243"/>
      <c r="I30" s="241"/>
    </row>
    <row r="31" spans="1:9" ht="18.75" customHeight="1" x14ac:dyDescent="0.2">
      <c r="A31" s="14"/>
      <c r="B31" s="242"/>
      <c r="C31" s="243"/>
      <c r="D31" s="243"/>
      <c r="E31" s="243"/>
      <c r="F31" s="243"/>
      <c r="G31" s="243"/>
      <c r="H31" s="243"/>
      <c r="I31" s="241"/>
    </row>
    <row r="32" spans="1:9" ht="18.75" customHeight="1" x14ac:dyDescent="0.2">
      <c r="A32" s="14"/>
      <c r="B32" s="244"/>
      <c r="C32" s="245"/>
      <c r="D32" s="245"/>
      <c r="E32" s="245"/>
      <c r="F32" s="245"/>
      <c r="G32" s="245"/>
      <c r="H32" s="245"/>
      <c r="I32" s="246"/>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47" t="s">
        <v>266</v>
      </c>
      <c r="C35" s="248"/>
      <c r="D35" s="248"/>
      <c r="E35" s="248"/>
      <c r="F35" s="248"/>
      <c r="G35" s="248"/>
      <c r="H35" s="248"/>
      <c r="I35" s="249"/>
    </row>
    <row r="36" spans="1:9" ht="18.75" customHeight="1" x14ac:dyDescent="0.2">
      <c r="A36" s="14"/>
      <c r="B36" s="250"/>
      <c r="C36" s="251"/>
      <c r="D36" s="251"/>
      <c r="E36" s="251"/>
      <c r="F36" s="251"/>
      <c r="G36" s="251"/>
      <c r="H36" s="251"/>
      <c r="I36" s="252"/>
    </row>
    <row r="37" spans="1:9" ht="18.75" customHeight="1" x14ac:dyDescent="0.2">
      <c r="A37" s="14"/>
      <c r="B37" s="250"/>
      <c r="C37" s="251"/>
      <c r="D37" s="251"/>
      <c r="E37" s="251"/>
      <c r="F37" s="251"/>
      <c r="G37" s="251"/>
      <c r="H37" s="251"/>
      <c r="I37" s="252"/>
    </row>
    <row r="38" spans="1:9" ht="18.75" customHeight="1" x14ac:dyDescent="0.2">
      <c r="A38" s="14"/>
      <c r="B38" s="250"/>
      <c r="C38" s="251"/>
      <c r="D38" s="251"/>
      <c r="E38" s="251"/>
      <c r="F38" s="251"/>
      <c r="G38" s="251"/>
      <c r="H38" s="251"/>
      <c r="I38" s="252"/>
    </row>
    <row r="39" spans="1:9" ht="18.75" customHeight="1" x14ac:dyDescent="0.2">
      <c r="A39" s="14"/>
      <c r="B39" s="250"/>
      <c r="C39" s="251"/>
      <c r="D39" s="251"/>
      <c r="E39" s="251"/>
      <c r="F39" s="251"/>
      <c r="G39" s="251"/>
      <c r="H39" s="251"/>
      <c r="I39" s="252"/>
    </row>
    <row r="40" spans="1:9" ht="18.75" customHeight="1" x14ac:dyDescent="0.2">
      <c r="A40" s="14"/>
      <c r="B40" s="250"/>
      <c r="C40" s="251"/>
      <c r="D40" s="251"/>
      <c r="E40" s="251"/>
      <c r="F40" s="251"/>
      <c r="G40" s="251"/>
      <c r="H40" s="251"/>
      <c r="I40" s="252"/>
    </row>
    <row r="41" spans="1:9" ht="18.75" customHeight="1" x14ac:dyDescent="0.2">
      <c r="A41" s="14"/>
      <c r="B41" s="250"/>
      <c r="C41" s="251"/>
      <c r="D41" s="251"/>
      <c r="E41" s="251"/>
      <c r="F41" s="251"/>
      <c r="G41" s="251"/>
      <c r="H41" s="251"/>
      <c r="I41" s="252"/>
    </row>
    <row r="42" spans="1:9" ht="18.75" customHeight="1" x14ac:dyDescent="0.2">
      <c r="A42" s="14"/>
      <c r="B42" s="250"/>
      <c r="C42" s="251"/>
      <c r="D42" s="251"/>
      <c r="E42" s="251"/>
      <c r="F42" s="251"/>
      <c r="G42" s="251"/>
      <c r="H42" s="251"/>
      <c r="I42" s="252"/>
    </row>
    <row r="43" spans="1:9" ht="18.75" customHeight="1" x14ac:dyDescent="0.2">
      <c r="A43" s="14"/>
      <c r="B43" s="250"/>
      <c r="C43" s="251"/>
      <c r="D43" s="251"/>
      <c r="E43" s="251"/>
      <c r="F43" s="251"/>
      <c r="G43" s="251"/>
      <c r="H43" s="251"/>
      <c r="I43" s="252"/>
    </row>
    <row r="44" spans="1:9" ht="18.75" customHeight="1" x14ac:dyDescent="0.2">
      <c r="A44" s="14"/>
      <c r="B44" s="250"/>
      <c r="C44" s="251"/>
      <c r="D44" s="251"/>
      <c r="E44" s="251"/>
      <c r="F44" s="251"/>
      <c r="G44" s="251"/>
      <c r="H44" s="251"/>
      <c r="I44" s="252"/>
    </row>
    <row r="45" spans="1:9" ht="18.75" customHeight="1" x14ac:dyDescent="0.2">
      <c r="A45" s="14"/>
      <c r="B45" s="250"/>
      <c r="C45" s="251"/>
      <c r="D45" s="251"/>
      <c r="E45" s="251"/>
      <c r="F45" s="251"/>
      <c r="G45" s="251"/>
      <c r="H45" s="251"/>
      <c r="I45" s="252"/>
    </row>
    <row r="46" spans="1:9" ht="18.75" customHeight="1" x14ac:dyDescent="0.2">
      <c r="A46" s="14"/>
      <c r="B46" s="253"/>
      <c r="C46" s="254"/>
      <c r="D46" s="254"/>
      <c r="E46" s="254"/>
      <c r="F46" s="254"/>
      <c r="G46" s="254"/>
      <c r="H46" s="254"/>
      <c r="I46" s="255"/>
    </row>
    <row r="47" spans="1:9" ht="7.5" customHeight="1" x14ac:dyDescent="0.2">
      <c r="A47" s="4"/>
      <c r="B47" s="4"/>
      <c r="C47" s="4"/>
      <c r="D47" s="4"/>
      <c r="E47" s="4"/>
      <c r="F47" s="4"/>
      <c r="G47" s="4"/>
      <c r="H47" s="4"/>
      <c r="I47" s="4"/>
    </row>
    <row r="48" spans="1:9" ht="18.75" customHeight="1" x14ac:dyDescent="0.2">
      <c r="A48" s="1" t="s">
        <v>30</v>
      </c>
      <c r="B48" s="1" t="s">
        <v>109</v>
      </c>
    </row>
    <row r="49" spans="1:15" s="3" customFormat="1" ht="18.75" customHeight="1" x14ac:dyDescent="0.2">
      <c r="B49" s="34" t="s">
        <v>126</v>
      </c>
      <c r="C49" s="221">
        <f>'様式２ 履修者等数の実績'!S33</f>
        <v>5.3934448900567006E-2</v>
      </c>
      <c r="D49" s="221"/>
      <c r="E49" s="34" t="s">
        <v>62</v>
      </c>
      <c r="F49" s="221">
        <v>7.0000000000000007E-2</v>
      </c>
      <c r="G49" s="221"/>
      <c r="H49" s="34" t="s">
        <v>63</v>
      </c>
      <c r="I49" s="35">
        <v>0.09</v>
      </c>
      <c r="J49" s="1"/>
      <c r="M49" s="1"/>
      <c r="N49" s="36"/>
    </row>
    <row r="50" spans="1:15" s="3" customFormat="1" ht="18.75" customHeight="1" x14ac:dyDescent="0.2">
      <c r="B50" s="37" t="s">
        <v>83</v>
      </c>
      <c r="C50" s="204">
        <v>0.12</v>
      </c>
      <c r="D50" s="204"/>
      <c r="E50" s="37" t="s">
        <v>127</v>
      </c>
      <c r="F50" s="204">
        <v>0.15</v>
      </c>
      <c r="G50" s="204"/>
      <c r="H50" s="37" t="s">
        <v>64</v>
      </c>
      <c r="I50" s="38">
        <f>'様式２ 履修者等数の実績'!E33</f>
        <v>28924</v>
      </c>
      <c r="J50" s="1"/>
      <c r="K50" s="99">
        <f>I50*0.15</f>
        <v>4338.5999999999995</v>
      </c>
      <c r="M50" s="1"/>
      <c r="N50" s="36"/>
    </row>
    <row r="51" spans="1:15" ht="18.75" customHeight="1" x14ac:dyDescent="0.2">
      <c r="A51" s="1"/>
      <c r="B51" s="263" t="s">
        <v>65</v>
      </c>
      <c r="C51" s="264"/>
      <c r="D51" s="264"/>
      <c r="E51" s="264"/>
      <c r="F51" s="264"/>
      <c r="G51" s="264"/>
      <c r="H51" s="264"/>
      <c r="I51" s="265"/>
      <c r="N51" s="36"/>
      <c r="O51" s="3"/>
    </row>
    <row r="52" spans="1:15" ht="18.75" customHeight="1" x14ac:dyDescent="0.2">
      <c r="A52" s="1"/>
      <c r="B52" s="222" t="s">
        <v>264</v>
      </c>
      <c r="C52" s="223"/>
      <c r="D52" s="223"/>
      <c r="E52" s="223"/>
      <c r="F52" s="223"/>
      <c r="G52" s="223"/>
      <c r="H52" s="223"/>
      <c r="I52" s="224"/>
      <c r="K52" s="1">
        <f>LEN(B52)</f>
        <v>495</v>
      </c>
      <c r="N52" s="36"/>
      <c r="O52" s="3"/>
    </row>
    <row r="53" spans="1:15" ht="18.75" customHeight="1" x14ac:dyDescent="0.2">
      <c r="A53" s="1"/>
      <c r="B53" s="225"/>
      <c r="C53" s="226"/>
      <c r="D53" s="226"/>
      <c r="E53" s="226"/>
      <c r="F53" s="226"/>
      <c r="G53" s="226"/>
      <c r="H53" s="226"/>
      <c r="I53" s="227"/>
      <c r="N53" s="36"/>
      <c r="O53" s="3"/>
    </row>
    <row r="54" spans="1:15" ht="18.75" customHeight="1" x14ac:dyDescent="0.2">
      <c r="A54" s="1"/>
      <c r="B54" s="225"/>
      <c r="C54" s="226"/>
      <c r="D54" s="226"/>
      <c r="E54" s="226"/>
      <c r="F54" s="226"/>
      <c r="G54" s="226"/>
      <c r="H54" s="226"/>
      <c r="I54" s="227"/>
    </row>
    <row r="55" spans="1:15" ht="18.75" customHeight="1" x14ac:dyDescent="0.2">
      <c r="A55" s="1"/>
      <c r="B55" s="225"/>
      <c r="C55" s="226"/>
      <c r="D55" s="226"/>
      <c r="E55" s="226"/>
      <c r="F55" s="226"/>
      <c r="G55" s="226"/>
      <c r="H55" s="226"/>
      <c r="I55" s="227"/>
    </row>
    <row r="56" spans="1:15" ht="18.75" customHeight="1" x14ac:dyDescent="0.2">
      <c r="A56" s="1"/>
      <c r="B56" s="225"/>
      <c r="C56" s="226"/>
      <c r="D56" s="226"/>
      <c r="E56" s="226"/>
      <c r="F56" s="226"/>
      <c r="G56" s="226"/>
      <c r="H56" s="226"/>
      <c r="I56" s="227"/>
    </row>
    <row r="57" spans="1:15" ht="18.75" customHeight="1" x14ac:dyDescent="0.2">
      <c r="A57" s="1"/>
      <c r="B57" s="225"/>
      <c r="C57" s="226"/>
      <c r="D57" s="226"/>
      <c r="E57" s="226"/>
      <c r="F57" s="226"/>
      <c r="G57" s="226"/>
      <c r="H57" s="226"/>
      <c r="I57" s="227"/>
    </row>
    <row r="58" spans="1:15" ht="18.75" customHeight="1" x14ac:dyDescent="0.2">
      <c r="A58" s="1"/>
      <c r="B58" s="225"/>
      <c r="C58" s="226"/>
      <c r="D58" s="226"/>
      <c r="E58" s="226"/>
      <c r="F58" s="226"/>
      <c r="G58" s="226"/>
      <c r="H58" s="226"/>
      <c r="I58" s="227"/>
    </row>
    <row r="59" spans="1:15" ht="18.75" customHeight="1" x14ac:dyDescent="0.2">
      <c r="A59" s="1"/>
      <c r="B59" s="225"/>
      <c r="C59" s="226"/>
      <c r="D59" s="226"/>
      <c r="E59" s="226"/>
      <c r="F59" s="226"/>
      <c r="G59" s="226"/>
      <c r="H59" s="226"/>
      <c r="I59" s="227"/>
    </row>
    <row r="60" spans="1:15" ht="18.75" customHeight="1" x14ac:dyDescent="0.2">
      <c r="A60" s="1"/>
      <c r="B60" s="225"/>
      <c r="C60" s="226"/>
      <c r="D60" s="226"/>
      <c r="E60" s="226"/>
      <c r="F60" s="226"/>
      <c r="G60" s="226"/>
      <c r="H60" s="226"/>
      <c r="I60" s="227"/>
    </row>
    <row r="61" spans="1:15" ht="18.75" customHeight="1" x14ac:dyDescent="0.2">
      <c r="A61" s="1"/>
      <c r="B61" s="225"/>
      <c r="C61" s="226"/>
      <c r="D61" s="226"/>
      <c r="E61" s="226"/>
      <c r="F61" s="226"/>
      <c r="G61" s="226"/>
      <c r="H61" s="226"/>
      <c r="I61" s="227"/>
    </row>
    <row r="62" spans="1:15" ht="18.75" customHeight="1" x14ac:dyDescent="0.2">
      <c r="A62" s="1"/>
      <c r="B62" s="225"/>
      <c r="C62" s="226"/>
      <c r="D62" s="226"/>
      <c r="E62" s="226"/>
      <c r="F62" s="226"/>
      <c r="G62" s="226"/>
      <c r="H62" s="226"/>
      <c r="I62" s="227"/>
    </row>
    <row r="63" spans="1:15" ht="18.75" customHeight="1" x14ac:dyDescent="0.2">
      <c r="A63" s="1"/>
      <c r="B63" s="228"/>
      <c r="C63" s="229"/>
      <c r="D63" s="229"/>
      <c r="E63" s="229"/>
      <c r="F63" s="229"/>
      <c r="G63" s="229"/>
      <c r="H63" s="229"/>
      <c r="I63" s="230"/>
    </row>
    <row r="64" spans="1:15" ht="7.5" customHeight="1" x14ac:dyDescent="0.2">
      <c r="A64" s="14"/>
      <c r="B64" s="14"/>
      <c r="C64" s="14"/>
      <c r="D64" s="14"/>
      <c r="E64" s="14"/>
      <c r="F64" s="14"/>
      <c r="G64" s="14"/>
      <c r="H64" s="14"/>
      <c r="I64" s="14"/>
    </row>
    <row r="65" spans="1:11" ht="18.75" customHeight="1" x14ac:dyDescent="0.2">
      <c r="A65" s="15" t="s">
        <v>33</v>
      </c>
      <c r="B65" s="1" t="s">
        <v>36</v>
      </c>
      <c r="I65" s="15"/>
    </row>
    <row r="66" spans="1:11" ht="18.75" customHeight="1" x14ac:dyDescent="0.2">
      <c r="A66" s="4"/>
      <c r="B66" s="205" t="s">
        <v>185</v>
      </c>
      <c r="C66" s="206"/>
      <c r="D66" s="206"/>
      <c r="E66" s="206"/>
      <c r="F66" s="206"/>
      <c r="G66" s="206"/>
      <c r="H66" s="206"/>
      <c r="I66" s="207"/>
      <c r="K66" s="92">
        <f>LEN(B66)</f>
        <v>316</v>
      </c>
    </row>
    <row r="67" spans="1:11" ht="18.75" customHeight="1" x14ac:dyDescent="0.2">
      <c r="A67" s="4"/>
      <c r="B67" s="208"/>
      <c r="C67" s="209"/>
      <c r="D67" s="209"/>
      <c r="E67" s="209"/>
      <c r="F67" s="209"/>
      <c r="G67" s="209"/>
      <c r="H67" s="209"/>
      <c r="I67" s="210"/>
    </row>
    <row r="68" spans="1:11" ht="18.75" customHeight="1" x14ac:dyDescent="0.2">
      <c r="A68" s="4"/>
      <c r="B68" s="208"/>
      <c r="C68" s="209"/>
      <c r="D68" s="209"/>
      <c r="E68" s="209"/>
      <c r="F68" s="209"/>
      <c r="G68" s="209"/>
      <c r="H68" s="209"/>
      <c r="I68" s="210"/>
    </row>
    <row r="69" spans="1:11" ht="18.75" customHeight="1" x14ac:dyDescent="0.2">
      <c r="A69" s="4"/>
      <c r="B69" s="208"/>
      <c r="C69" s="209"/>
      <c r="D69" s="209"/>
      <c r="E69" s="209"/>
      <c r="F69" s="209"/>
      <c r="G69" s="209"/>
      <c r="H69" s="209"/>
      <c r="I69" s="210"/>
    </row>
    <row r="70" spans="1:11" ht="18.75" customHeight="1" x14ac:dyDescent="0.2">
      <c r="A70" s="4"/>
      <c r="B70" s="208"/>
      <c r="C70" s="209"/>
      <c r="D70" s="209"/>
      <c r="E70" s="209"/>
      <c r="F70" s="209"/>
      <c r="G70" s="209"/>
      <c r="H70" s="209"/>
      <c r="I70" s="210"/>
    </row>
    <row r="71" spans="1:11" ht="18.75" customHeight="1" x14ac:dyDescent="0.2">
      <c r="A71" s="4"/>
      <c r="B71" s="208"/>
      <c r="C71" s="209"/>
      <c r="D71" s="209"/>
      <c r="E71" s="209"/>
      <c r="F71" s="209"/>
      <c r="G71" s="209"/>
      <c r="H71" s="209"/>
      <c r="I71" s="210"/>
    </row>
    <row r="72" spans="1:11" ht="18.75" customHeight="1" x14ac:dyDescent="0.2">
      <c r="A72" s="4"/>
      <c r="B72" s="208"/>
      <c r="C72" s="209"/>
      <c r="D72" s="209"/>
      <c r="E72" s="209"/>
      <c r="F72" s="209"/>
      <c r="G72" s="209"/>
      <c r="H72" s="209"/>
      <c r="I72" s="210"/>
    </row>
    <row r="73" spans="1:11" ht="18.75" customHeight="1" x14ac:dyDescent="0.2">
      <c r="A73" s="4"/>
      <c r="B73" s="208"/>
      <c r="C73" s="209"/>
      <c r="D73" s="209"/>
      <c r="E73" s="209"/>
      <c r="F73" s="209"/>
      <c r="G73" s="209"/>
      <c r="H73" s="209"/>
      <c r="I73" s="210"/>
    </row>
    <row r="74" spans="1:11" ht="18.75" customHeight="1" x14ac:dyDescent="0.2">
      <c r="A74" s="4"/>
      <c r="B74" s="208"/>
      <c r="C74" s="209"/>
      <c r="D74" s="209"/>
      <c r="E74" s="209"/>
      <c r="F74" s="209"/>
      <c r="G74" s="209"/>
      <c r="H74" s="209"/>
      <c r="I74" s="210"/>
    </row>
    <row r="75" spans="1:11" ht="18.75" customHeight="1" x14ac:dyDescent="0.2">
      <c r="A75" s="4"/>
      <c r="B75" s="208"/>
      <c r="C75" s="209"/>
      <c r="D75" s="209"/>
      <c r="E75" s="209"/>
      <c r="F75" s="209"/>
      <c r="G75" s="209"/>
      <c r="H75" s="209"/>
      <c r="I75" s="210"/>
    </row>
    <row r="76" spans="1:11" ht="18.75" customHeight="1" x14ac:dyDescent="0.2">
      <c r="A76" s="4"/>
      <c r="B76" s="208"/>
      <c r="C76" s="209"/>
      <c r="D76" s="209"/>
      <c r="E76" s="209"/>
      <c r="F76" s="209"/>
      <c r="G76" s="209"/>
      <c r="H76" s="209"/>
      <c r="I76" s="210"/>
    </row>
    <row r="77" spans="1:11" ht="18.75" customHeight="1" x14ac:dyDescent="0.2">
      <c r="A77" s="4"/>
      <c r="B77" s="211"/>
      <c r="C77" s="212"/>
      <c r="D77" s="212"/>
      <c r="E77" s="212"/>
      <c r="F77" s="212"/>
      <c r="G77" s="212"/>
      <c r="H77" s="212"/>
      <c r="I77" s="213"/>
    </row>
    <row r="78" spans="1:11" ht="7.5" customHeight="1" x14ac:dyDescent="0.2">
      <c r="A78" s="4"/>
      <c r="B78" s="4"/>
      <c r="C78" s="4"/>
      <c r="D78" s="4"/>
      <c r="E78" s="4"/>
      <c r="F78" s="4"/>
      <c r="G78" s="4"/>
      <c r="H78" s="4"/>
      <c r="I78" s="4"/>
    </row>
    <row r="79" spans="1:11" ht="18.75" customHeight="1" x14ac:dyDescent="0.2">
      <c r="A79" s="1" t="s">
        <v>11</v>
      </c>
      <c r="B79" s="1" t="s">
        <v>39</v>
      </c>
    </row>
    <row r="80" spans="1:11" ht="18.75" customHeight="1" x14ac:dyDescent="0.2">
      <c r="A80" s="1"/>
      <c r="B80" s="205" t="s">
        <v>265</v>
      </c>
      <c r="C80" s="206"/>
      <c r="D80" s="206"/>
      <c r="E80" s="206"/>
      <c r="F80" s="206"/>
      <c r="G80" s="206"/>
      <c r="H80" s="206"/>
      <c r="I80" s="214"/>
      <c r="K80" s="92">
        <f>LEN(B80)</f>
        <v>223</v>
      </c>
    </row>
    <row r="81" spans="1:11" ht="18.75" customHeight="1" x14ac:dyDescent="0.2">
      <c r="A81" s="1"/>
      <c r="B81" s="215"/>
      <c r="C81" s="216"/>
      <c r="D81" s="216"/>
      <c r="E81" s="216"/>
      <c r="F81" s="216"/>
      <c r="G81" s="216"/>
      <c r="H81" s="216"/>
      <c r="I81" s="217"/>
    </row>
    <row r="82" spans="1:11" ht="18.75" customHeight="1" x14ac:dyDescent="0.2">
      <c r="A82" s="1"/>
      <c r="B82" s="215"/>
      <c r="C82" s="216"/>
      <c r="D82" s="216"/>
      <c r="E82" s="216"/>
      <c r="F82" s="216"/>
      <c r="G82" s="216"/>
      <c r="H82" s="216"/>
      <c r="I82" s="217"/>
    </row>
    <row r="83" spans="1:11" ht="18.75" customHeight="1" x14ac:dyDescent="0.2">
      <c r="A83" s="1"/>
      <c r="B83" s="215"/>
      <c r="C83" s="216"/>
      <c r="D83" s="216"/>
      <c r="E83" s="216"/>
      <c r="F83" s="216"/>
      <c r="G83" s="216"/>
      <c r="H83" s="216"/>
      <c r="I83" s="217"/>
    </row>
    <row r="84" spans="1:11" ht="18.75" customHeight="1" x14ac:dyDescent="0.2">
      <c r="A84" s="1"/>
      <c r="B84" s="215"/>
      <c r="C84" s="216"/>
      <c r="D84" s="216"/>
      <c r="E84" s="216"/>
      <c r="F84" s="216"/>
      <c r="G84" s="216"/>
      <c r="H84" s="216"/>
      <c r="I84" s="217"/>
    </row>
    <row r="85" spans="1:11" ht="18.75" customHeight="1" x14ac:dyDescent="0.2">
      <c r="A85" s="1"/>
      <c r="B85" s="215"/>
      <c r="C85" s="216"/>
      <c r="D85" s="216"/>
      <c r="E85" s="216"/>
      <c r="F85" s="216"/>
      <c r="G85" s="216"/>
      <c r="H85" s="216"/>
      <c r="I85" s="217"/>
    </row>
    <row r="86" spans="1:11" ht="18.75" customHeight="1" x14ac:dyDescent="0.2">
      <c r="A86" s="1"/>
      <c r="B86" s="215"/>
      <c r="C86" s="216"/>
      <c r="D86" s="216"/>
      <c r="E86" s="216"/>
      <c r="F86" s="216"/>
      <c r="G86" s="216"/>
      <c r="H86" s="216"/>
      <c r="I86" s="217"/>
    </row>
    <row r="87" spans="1:11" ht="18.75" customHeight="1" x14ac:dyDescent="0.2">
      <c r="A87" s="1"/>
      <c r="B87" s="215"/>
      <c r="C87" s="216"/>
      <c r="D87" s="216"/>
      <c r="E87" s="216"/>
      <c r="F87" s="216"/>
      <c r="G87" s="216"/>
      <c r="H87" s="216"/>
      <c r="I87" s="217"/>
    </row>
    <row r="88" spans="1:11" ht="18.75" customHeight="1" x14ac:dyDescent="0.2">
      <c r="A88" s="1"/>
      <c r="B88" s="215"/>
      <c r="C88" s="216"/>
      <c r="D88" s="216"/>
      <c r="E88" s="216"/>
      <c r="F88" s="216"/>
      <c r="G88" s="216"/>
      <c r="H88" s="216"/>
      <c r="I88" s="217"/>
    </row>
    <row r="89" spans="1:11" ht="18.75" customHeight="1" x14ac:dyDescent="0.2">
      <c r="A89" s="1"/>
      <c r="B89" s="215"/>
      <c r="C89" s="216"/>
      <c r="D89" s="216"/>
      <c r="E89" s="216"/>
      <c r="F89" s="216"/>
      <c r="G89" s="216"/>
      <c r="H89" s="216"/>
      <c r="I89" s="217"/>
    </row>
    <row r="90" spans="1:11" ht="18.75" customHeight="1" x14ac:dyDescent="0.2">
      <c r="A90" s="4"/>
      <c r="B90" s="215"/>
      <c r="C90" s="216"/>
      <c r="D90" s="216"/>
      <c r="E90" s="216"/>
      <c r="F90" s="216"/>
      <c r="G90" s="216"/>
      <c r="H90" s="216"/>
      <c r="I90" s="217"/>
    </row>
    <row r="91" spans="1:11" ht="18.75" customHeight="1" x14ac:dyDescent="0.2">
      <c r="A91" s="4"/>
      <c r="B91" s="218"/>
      <c r="C91" s="219"/>
      <c r="D91" s="219"/>
      <c r="E91" s="219"/>
      <c r="F91" s="219"/>
      <c r="G91" s="219"/>
      <c r="H91" s="219"/>
      <c r="I91" s="220"/>
    </row>
    <row r="92" spans="1:11" ht="7.5" customHeight="1" x14ac:dyDescent="0.2">
      <c r="A92" s="4"/>
      <c r="B92" s="4"/>
      <c r="C92" s="4"/>
      <c r="D92" s="4"/>
      <c r="E92" s="4"/>
      <c r="F92" s="4"/>
      <c r="G92" s="4"/>
      <c r="H92" s="4"/>
      <c r="I92" s="4"/>
    </row>
    <row r="93" spans="1:11" ht="18.75" customHeight="1" x14ac:dyDescent="0.2">
      <c r="A93" s="1" t="s">
        <v>42</v>
      </c>
      <c r="B93" s="1" t="s">
        <v>12</v>
      </c>
    </row>
    <row r="94" spans="1:11" ht="18.75" customHeight="1" x14ac:dyDescent="0.2">
      <c r="A94" s="1"/>
      <c r="B94" s="236" t="s">
        <v>186</v>
      </c>
      <c r="C94" s="237"/>
      <c r="D94" s="237"/>
      <c r="E94" s="237"/>
      <c r="F94" s="237"/>
      <c r="G94" s="237"/>
      <c r="H94" s="237"/>
      <c r="I94" s="238"/>
      <c r="K94" s="92">
        <f>LEN(B94)</f>
        <v>227</v>
      </c>
    </row>
    <row r="95" spans="1:11" ht="18.75" customHeight="1" x14ac:dyDescent="0.2">
      <c r="A95" s="1"/>
      <c r="B95" s="242"/>
      <c r="C95" s="243"/>
      <c r="D95" s="243"/>
      <c r="E95" s="243"/>
      <c r="F95" s="243"/>
      <c r="G95" s="243"/>
      <c r="H95" s="243"/>
      <c r="I95" s="241"/>
    </row>
    <row r="96" spans="1:11" ht="18.75" customHeight="1" x14ac:dyDescent="0.2">
      <c r="A96" s="1"/>
      <c r="B96" s="242"/>
      <c r="C96" s="243"/>
      <c r="D96" s="243"/>
      <c r="E96" s="243"/>
      <c r="F96" s="243"/>
      <c r="G96" s="243"/>
      <c r="H96" s="243"/>
      <c r="I96" s="241"/>
    </row>
    <row r="97" spans="1:11" ht="18.75" customHeight="1" x14ac:dyDescent="0.2">
      <c r="A97" s="1"/>
      <c r="B97" s="242"/>
      <c r="C97" s="243"/>
      <c r="D97" s="243"/>
      <c r="E97" s="243"/>
      <c r="F97" s="243"/>
      <c r="G97" s="243"/>
      <c r="H97" s="243"/>
      <c r="I97" s="241"/>
    </row>
    <row r="98" spans="1:11" ht="18.75" customHeight="1" x14ac:dyDescent="0.2">
      <c r="A98" s="1"/>
      <c r="B98" s="242"/>
      <c r="C98" s="243"/>
      <c r="D98" s="243"/>
      <c r="E98" s="243"/>
      <c r="F98" s="243"/>
      <c r="G98" s="243"/>
      <c r="H98" s="243"/>
      <c r="I98" s="241"/>
    </row>
    <row r="99" spans="1:11" ht="18.75" customHeight="1" x14ac:dyDescent="0.2">
      <c r="A99" s="1"/>
      <c r="B99" s="242"/>
      <c r="C99" s="243"/>
      <c r="D99" s="243"/>
      <c r="E99" s="243"/>
      <c r="F99" s="243"/>
      <c r="G99" s="243"/>
      <c r="H99" s="243"/>
      <c r="I99" s="241"/>
    </row>
    <row r="100" spans="1:11" ht="18.75" customHeight="1" x14ac:dyDescent="0.2">
      <c r="A100" s="1"/>
      <c r="B100" s="242"/>
      <c r="C100" s="243"/>
      <c r="D100" s="243"/>
      <c r="E100" s="243"/>
      <c r="F100" s="243"/>
      <c r="G100" s="243"/>
      <c r="H100" s="243"/>
      <c r="I100" s="241"/>
    </row>
    <row r="101" spans="1:11" ht="18.75" customHeight="1" x14ac:dyDescent="0.2">
      <c r="A101" s="1"/>
      <c r="B101" s="242"/>
      <c r="C101" s="243"/>
      <c r="D101" s="243"/>
      <c r="E101" s="243"/>
      <c r="F101" s="243"/>
      <c r="G101" s="243"/>
      <c r="H101" s="243"/>
      <c r="I101" s="241"/>
    </row>
    <row r="102" spans="1:11" ht="18.75" customHeight="1" x14ac:dyDescent="0.2">
      <c r="A102" s="1"/>
      <c r="B102" s="242"/>
      <c r="C102" s="243"/>
      <c r="D102" s="243"/>
      <c r="E102" s="243"/>
      <c r="F102" s="243"/>
      <c r="G102" s="243"/>
      <c r="H102" s="243"/>
      <c r="I102" s="241"/>
    </row>
    <row r="103" spans="1:11" ht="18.75" customHeight="1" x14ac:dyDescent="0.2">
      <c r="A103" s="1"/>
      <c r="B103" s="242"/>
      <c r="C103" s="243"/>
      <c r="D103" s="243"/>
      <c r="E103" s="243"/>
      <c r="F103" s="243"/>
      <c r="G103" s="243"/>
      <c r="H103" s="243"/>
      <c r="I103" s="241"/>
    </row>
    <row r="104" spans="1:11" ht="18.75" customHeight="1" x14ac:dyDescent="0.2">
      <c r="A104" s="1"/>
      <c r="B104" s="242"/>
      <c r="C104" s="243"/>
      <c r="D104" s="243"/>
      <c r="E104" s="243"/>
      <c r="F104" s="243"/>
      <c r="G104" s="243"/>
      <c r="H104" s="243"/>
      <c r="I104" s="241"/>
    </row>
    <row r="105" spans="1:11" ht="18.75" customHeight="1" x14ac:dyDescent="0.2">
      <c r="A105" s="4"/>
      <c r="B105" s="244"/>
      <c r="C105" s="245"/>
      <c r="D105" s="245"/>
      <c r="E105" s="245"/>
      <c r="F105" s="245"/>
      <c r="G105" s="245"/>
      <c r="H105" s="245"/>
      <c r="I105" s="246"/>
    </row>
    <row r="106" spans="1:11" ht="7.5" customHeight="1" x14ac:dyDescent="0.2">
      <c r="A106" s="4"/>
      <c r="B106" s="4"/>
      <c r="C106" s="4"/>
      <c r="D106" s="4"/>
      <c r="E106" s="4"/>
      <c r="F106" s="4"/>
      <c r="G106" s="4"/>
      <c r="H106" s="4"/>
      <c r="I106" s="4"/>
    </row>
    <row r="107" spans="1:11" ht="18.75" customHeight="1" x14ac:dyDescent="0.2">
      <c r="A107" s="1" t="s">
        <v>29</v>
      </c>
      <c r="B107" s="262" t="s">
        <v>44</v>
      </c>
      <c r="C107" s="262"/>
      <c r="D107" s="262"/>
      <c r="E107" s="262"/>
      <c r="F107" s="262"/>
      <c r="G107" s="262"/>
      <c r="H107" s="262"/>
      <c r="I107" s="262"/>
    </row>
    <row r="108" spans="1:11" ht="18.75" customHeight="1" x14ac:dyDescent="0.2">
      <c r="A108" s="4"/>
      <c r="B108" s="236" t="s">
        <v>187</v>
      </c>
      <c r="C108" s="237"/>
      <c r="D108" s="237"/>
      <c r="E108" s="237"/>
      <c r="F108" s="237"/>
      <c r="G108" s="237"/>
      <c r="H108" s="237"/>
      <c r="I108" s="238"/>
      <c r="K108" s="92">
        <f>LEN(B108)</f>
        <v>167</v>
      </c>
    </row>
    <row r="109" spans="1:11" ht="18.75" customHeight="1" x14ac:dyDescent="0.2">
      <c r="A109" s="4"/>
      <c r="B109" s="242"/>
      <c r="C109" s="243"/>
      <c r="D109" s="243"/>
      <c r="E109" s="243"/>
      <c r="F109" s="243"/>
      <c r="G109" s="243"/>
      <c r="H109" s="243"/>
      <c r="I109" s="241"/>
    </row>
    <row r="110" spans="1:11" ht="18.75" customHeight="1" x14ac:dyDescent="0.2">
      <c r="A110" s="4"/>
      <c r="B110" s="242"/>
      <c r="C110" s="243"/>
      <c r="D110" s="243"/>
      <c r="E110" s="243"/>
      <c r="F110" s="243"/>
      <c r="G110" s="243"/>
      <c r="H110" s="243"/>
      <c r="I110" s="241"/>
    </row>
    <row r="111" spans="1:11" ht="18.75" customHeight="1" x14ac:dyDescent="0.2">
      <c r="A111" s="4"/>
      <c r="B111" s="242"/>
      <c r="C111" s="243"/>
      <c r="D111" s="243"/>
      <c r="E111" s="243"/>
      <c r="F111" s="243"/>
      <c r="G111" s="243"/>
      <c r="H111" s="243"/>
      <c r="I111" s="241"/>
    </row>
    <row r="112" spans="1:11" ht="18.75" customHeight="1" x14ac:dyDescent="0.2">
      <c r="A112" s="4"/>
      <c r="B112" s="242"/>
      <c r="C112" s="243"/>
      <c r="D112" s="243"/>
      <c r="E112" s="243"/>
      <c r="F112" s="243"/>
      <c r="G112" s="243"/>
      <c r="H112" s="243"/>
      <c r="I112" s="241"/>
    </row>
    <row r="113" spans="1:9" ht="18.75" customHeight="1" x14ac:dyDescent="0.2">
      <c r="A113" s="4"/>
      <c r="B113" s="242"/>
      <c r="C113" s="243"/>
      <c r="D113" s="243"/>
      <c r="E113" s="243"/>
      <c r="F113" s="243"/>
      <c r="G113" s="243"/>
      <c r="H113" s="243"/>
      <c r="I113" s="241"/>
    </row>
    <row r="114" spans="1:9" ht="18.75" customHeight="1" x14ac:dyDescent="0.2">
      <c r="A114" s="4"/>
      <c r="B114" s="242"/>
      <c r="C114" s="243"/>
      <c r="D114" s="243"/>
      <c r="E114" s="243"/>
      <c r="F114" s="243"/>
      <c r="G114" s="243"/>
      <c r="H114" s="243"/>
      <c r="I114" s="241"/>
    </row>
    <row r="115" spans="1:9" ht="18.75" customHeight="1" x14ac:dyDescent="0.2">
      <c r="A115" s="4"/>
      <c r="B115" s="242"/>
      <c r="C115" s="243"/>
      <c r="D115" s="243"/>
      <c r="E115" s="243"/>
      <c r="F115" s="243"/>
      <c r="G115" s="243"/>
      <c r="H115" s="243"/>
      <c r="I115" s="241"/>
    </row>
    <row r="116" spans="1:9" ht="18.75" customHeight="1" x14ac:dyDescent="0.2">
      <c r="A116" s="4"/>
      <c r="B116" s="242"/>
      <c r="C116" s="243"/>
      <c r="D116" s="243"/>
      <c r="E116" s="243"/>
      <c r="F116" s="243"/>
      <c r="G116" s="243"/>
      <c r="H116" s="243"/>
      <c r="I116" s="241"/>
    </row>
    <row r="117" spans="1:9" ht="18.75" customHeight="1" x14ac:dyDescent="0.2">
      <c r="A117" s="4"/>
      <c r="B117" s="242"/>
      <c r="C117" s="243"/>
      <c r="D117" s="243"/>
      <c r="E117" s="243"/>
      <c r="F117" s="243"/>
      <c r="G117" s="243"/>
      <c r="H117" s="243"/>
      <c r="I117" s="241"/>
    </row>
    <row r="118" spans="1:9" ht="18.75" customHeight="1" x14ac:dyDescent="0.2">
      <c r="A118" s="4"/>
      <c r="B118" s="242"/>
      <c r="C118" s="243"/>
      <c r="D118" s="243"/>
      <c r="E118" s="243"/>
      <c r="F118" s="243"/>
      <c r="G118" s="243"/>
      <c r="H118" s="243"/>
      <c r="I118" s="241"/>
    </row>
    <row r="119" spans="1:9" ht="18.75" customHeight="1" x14ac:dyDescent="0.2">
      <c r="A119" s="4"/>
      <c r="B119" s="244"/>
      <c r="C119" s="245"/>
      <c r="D119" s="245"/>
      <c r="E119" s="245"/>
      <c r="F119" s="245"/>
      <c r="G119" s="245"/>
      <c r="H119" s="245"/>
      <c r="I119" s="246"/>
    </row>
    <row r="120" spans="1:9" ht="7.5" customHeight="1" x14ac:dyDescent="0.2">
      <c r="A120" s="4"/>
      <c r="B120" s="39"/>
      <c r="C120" s="39"/>
      <c r="D120" s="39"/>
      <c r="E120" s="39"/>
      <c r="F120" s="39"/>
      <c r="G120" s="39"/>
      <c r="H120" s="39"/>
      <c r="I120" s="39"/>
    </row>
    <row r="121" spans="1:9" ht="18.75" customHeight="1" x14ac:dyDescent="0.2">
      <c r="A121" s="67"/>
      <c r="B121" s="231"/>
      <c r="C121" s="231"/>
      <c r="D121" s="231"/>
      <c r="E121" s="231"/>
      <c r="F121" s="231"/>
      <c r="G121" s="231"/>
      <c r="H121" s="231"/>
      <c r="I121" s="231"/>
    </row>
    <row r="122" spans="1:9" ht="18.75" customHeight="1" x14ac:dyDescent="0.2">
      <c r="A122" s="67"/>
      <c r="B122" s="231"/>
      <c r="C122" s="231"/>
      <c r="D122" s="231"/>
      <c r="E122" s="231"/>
      <c r="F122" s="231"/>
      <c r="G122" s="231"/>
      <c r="H122" s="231"/>
      <c r="I122" s="231"/>
    </row>
    <row r="123" spans="1:9" ht="18.75" customHeight="1" x14ac:dyDescent="0.2">
      <c r="A123" s="4"/>
      <c r="B123" s="71"/>
      <c r="C123" s="71"/>
      <c r="D123" s="71"/>
      <c r="E123" s="71"/>
      <c r="F123" s="71"/>
      <c r="G123" s="71"/>
      <c r="H123" s="71"/>
      <c r="I123" s="72"/>
    </row>
    <row r="124" spans="1:9" ht="18.75" customHeight="1" x14ac:dyDescent="0.2">
      <c r="A124" s="4"/>
      <c r="B124" s="72"/>
      <c r="C124" s="72"/>
      <c r="D124" s="72"/>
      <c r="E124" s="72"/>
      <c r="F124" s="72"/>
      <c r="G124" s="72"/>
      <c r="H124" s="72"/>
      <c r="I124" s="72"/>
    </row>
    <row r="125" spans="1:9" ht="18.75" customHeight="1" x14ac:dyDescent="0.2">
      <c r="A125" s="4"/>
      <c r="B125" s="72"/>
      <c r="C125" s="72"/>
      <c r="D125" s="72"/>
      <c r="E125" s="72"/>
      <c r="F125" s="72"/>
      <c r="G125" s="72"/>
      <c r="H125" s="72"/>
      <c r="I125" s="72"/>
    </row>
    <row r="126" spans="1:9" ht="18.75" customHeight="1" x14ac:dyDescent="0.2">
      <c r="A126" s="4"/>
      <c r="B126" s="72"/>
      <c r="C126" s="72"/>
      <c r="D126" s="72"/>
      <c r="E126" s="72"/>
      <c r="F126" s="72"/>
      <c r="G126" s="72"/>
      <c r="H126" s="72"/>
      <c r="I126" s="72"/>
    </row>
    <row r="127" spans="1:9" ht="18.75" customHeight="1" x14ac:dyDescent="0.2">
      <c r="A127" s="4"/>
      <c r="B127" s="72"/>
      <c r="C127" s="72"/>
      <c r="D127" s="72"/>
      <c r="E127" s="72"/>
      <c r="F127" s="72"/>
      <c r="G127" s="72"/>
      <c r="H127" s="72"/>
      <c r="I127" s="72"/>
    </row>
    <row r="128" spans="1:9" ht="18.75" customHeight="1" x14ac:dyDescent="0.2">
      <c r="A128" s="4"/>
      <c r="B128" s="72"/>
      <c r="C128" s="72"/>
      <c r="D128" s="72"/>
      <c r="E128" s="72"/>
      <c r="F128" s="72"/>
      <c r="G128" s="72"/>
      <c r="H128" s="72"/>
      <c r="I128" s="72"/>
    </row>
    <row r="129" spans="1:9" ht="18.75" customHeight="1" x14ac:dyDescent="0.2">
      <c r="A129" s="4"/>
      <c r="B129" s="72"/>
      <c r="C129" s="72"/>
      <c r="D129" s="72"/>
      <c r="E129" s="72"/>
      <c r="F129" s="72"/>
      <c r="G129" s="72"/>
      <c r="H129" s="72"/>
      <c r="I129" s="72"/>
    </row>
    <row r="130" spans="1:9" ht="18.75" customHeight="1" x14ac:dyDescent="0.2">
      <c r="A130" s="4"/>
      <c r="B130" s="72"/>
      <c r="C130" s="72"/>
      <c r="D130" s="72"/>
      <c r="E130" s="72"/>
      <c r="F130" s="72"/>
      <c r="G130" s="72"/>
      <c r="H130" s="72"/>
      <c r="I130" s="72"/>
    </row>
    <row r="131" spans="1:9" ht="18.75" customHeight="1" x14ac:dyDescent="0.2">
      <c r="A131" s="4"/>
      <c r="B131" s="72"/>
      <c r="C131" s="72"/>
      <c r="D131" s="72"/>
      <c r="E131" s="72"/>
      <c r="F131" s="72"/>
      <c r="G131" s="72"/>
      <c r="H131" s="72"/>
      <c r="I131" s="72"/>
    </row>
    <row r="132" spans="1:9" ht="18.75" customHeight="1" x14ac:dyDescent="0.2">
      <c r="A132" s="4"/>
      <c r="B132" s="72"/>
      <c r="C132" s="72"/>
      <c r="D132" s="72"/>
      <c r="E132" s="72"/>
      <c r="F132" s="72"/>
      <c r="G132" s="72"/>
      <c r="H132" s="72"/>
      <c r="I132" s="72"/>
    </row>
    <row r="133" spans="1:9" ht="14.4" x14ac:dyDescent="0.2">
      <c r="A133" s="4"/>
      <c r="B133" s="72"/>
      <c r="C133" s="72"/>
      <c r="D133" s="72"/>
      <c r="E133" s="72"/>
      <c r="F133" s="72"/>
      <c r="G133" s="72"/>
      <c r="H133" s="72"/>
      <c r="I133" s="72"/>
    </row>
    <row r="134" spans="1:9" ht="7.5" customHeight="1" x14ac:dyDescent="0.2">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5">
    <pageSetUpPr fitToPage="1"/>
  </sheetPr>
  <dimension ref="A1:K30"/>
  <sheetViews>
    <sheetView showZeros="0" view="pageBreakPreview" topLeftCell="A7" zoomScaleNormal="100" zoomScaleSheetLayoutView="100" workbookViewId="0">
      <selection activeCell="M15" sqref="M15"/>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11" ht="18.75" customHeight="1" x14ac:dyDescent="0.2">
      <c r="A1" s="1" t="s">
        <v>66</v>
      </c>
      <c r="I1" s="30" t="s">
        <v>94</v>
      </c>
    </row>
    <row r="2" spans="1:11" ht="18.75" customHeight="1" x14ac:dyDescent="0.2">
      <c r="H2" s="30" t="s">
        <v>97</v>
      </c>
      <c r="I2" s="29" t="str">
        <f>'様式１-１　プログラムを構成する授業科目（その他学部）'!C2</f>
        <v>東洋大学</v>
      </c>
    </row>
    <row r="3" spans="1:11" ht="18.75" customHeight="1" x14ac:dyDescent="0.2">
      <c r="A3" s="232" t="s">
        <v>27</v>
      </c>
      <c r="B3" s="232"/>
      <c r="C3" s="232"/>
      <c r="D3" s="232"/>
      <c r="E3" s="232"/>
      <c r="F3" s="232"/>
      <c r="G3" s="232"/>
      <c r="H3" s="232"/>
      <c r="I3" s="232"/>
    </row>
    <row r="4" spans="1:11" ht="18.75" customHeight="1" x14ac:dyDescent="0.2">
      <c r="A4" s="5"/>
      <c r="B4" s="5"/>
      <c r="C4" s="5"/>
      <c r="D4" s="5"/>
      <c r="E4" s="5"/>
      <c r="F4" s="5"/>
      <c r="G4" s="5"/>
      <c r="H4" s="5"/>
      <c r="I4" s="5"/>
    </row>
    <row r="5" spans="1:11" ht="18.75" customHeight="1" x14ac:dyDescent="0.2">
      <c r="A5" s="1" t="s">
        <v>0</v>
      </c>
      <c r="B5" s="10" t="s">
        <v>88</v>
      </c>
      <c r="C5" s="5"/>
      <c r="D5" s="5"/>
      <c r="E5" s="5"/>
      <c r="F5" s="5"/>
      <c r="G5" s="5"/>
      <c r="H5" s="5"/>
      <c r="I5" s="5"/>
    </row>
    <row r="6" spans="1:11" ht="26.25" customHeight="1" x14ac:dyDescent="0.2">
      <c r="A6" s="5"/>
      <c r="B6" s="256" t="s">
        <v>162</v>
      </c>
      <c r="C6" s="288"/>
      <c r="D6" s="288"/>
      <c r="E6" s="288"/>
      <c r="F6" s="288"/>
      <c r="G6" s="288"/>
      <c r="H6" s="289"/>
      <c r="I6" s="3"/>
    </row>
    <row r="7" spans="1:11" ht="9" customHeight="1" x14ac:dyDescent="0.2">
      <c r="A7" s="5"/>
      <c r="B7" s="10"/>
      <c r="C7" s="10"/>
      <c r="D7" s="10"/>
      <c r="E7" s="10"/>
      <c r="F7" s="10"/>
      <c r="G7" s="10"/>
      <c r="H7" s="10"/>
      <c r="I7" s="3"/>
    </row>
    <row r="8" spans="1:11" ht="18.75" customHeight="1" x14ac:dyDescent="0.2">
      <c r="A8" s="5"/>
      <c r="B8" s="3"/>
      <c r="C8" s="3"/>
      <c r="D8" s="30" t="s">
        <v>41</v>
      </c>
      <c r="E8" s="31" t="s">
        <v>163</v>
      </c>
      <c r="F8" s="3"/>
      <c r="G8" s="30" t="s">
        <v>10</v>
      </c>
      <c r="H8" s="31" t="s">
        <v>164</v>
      </c>
      <c r="I8" s="3"/>
    </row>
    <row r="9" spans="1:11" ht="7.5" customHeight="1" x14ac:dyDescent="0.2">
      <c r="A9" s="5"/>
      <c r="B9" s="5"/>
      <c r="C9" s="5"/>
      <c r="D9" s="5"/>
      <c r="E9" s="5"/>
      <c r="F9" s="5"/>
      <c r="G9" s="5"/>
      <c r="H9" s="5"/>
      <c r="I9" s="5"/>
    </row>
    <row r="10" spans="1:11" ht="18.75" customHeight="1" x14ac:dyDescent="0.2">
      <c r="A10" s="1" t="s">
        <v>3</v>
      </c>
      <c r="B10" s="1" t="s">
        <v>26</v>
      </c>
      <c r="C10" s="4"/>
      <c r="D10" s="4"/>
      <c r="E10" s="4"/>
      <c r="F10" s="4"/>
      <c r="G10" s="4"/>
      <c r="H10" s="4"/>
      <c r="I10" s="4"/>
    </row>
    <row r="11" spans="1:11" ht="18.75" customHeight="1" x14ac:dyDescent="0.2">
      <c r="B11" s="116" t="s">
        <v>23</v>
      </c>
      <c r="C11" s="117"/>
      <c r="D11" s="118"/>
      <c r="E11" s="117" t="s">
        <v>25</v>
      </c>
      <c r="F11" s="117"/>
      <c r="G11" s="117"/>
      <c r="H11" s="117"/>
      <c r="I11" s="118"/>
    </row>
    <row r="12" spans="1:11" ht="26.25" customHeight="1" x14ac:dyDescent="0.2">
      <c r="B12" s="40" t="s">
        <v>13</v>
      </c>
      <c r="C12" s="47"/>
      <c r="D12" s="41"/>
      <c r="E12" s="48"/>
      <c r="F12" s="48"/>
      <c r="G12" s="48"/>
      <c r="H12" s="48"/>
      <c r="I12" s="41"/>
    </row>
    <row r="13" spans="1:11" ht="210.75" customHeight="1" x14ac:dyDescent="0.2">
      <c r="B13" s="42"/>
      <c r="C13" s="271" t="s">
        <v>14</v>
      </c>
      <c r="D13" s="272"/>
      <c r="E13" s="284" t="s">
        <v>259</v>
      </c>
      <c r="F13" s="273"/>
      <c r="G13" s="273"/>
      <c r="H13" s="273"/>
      <c r="I13" s="274"/>
      <c r="K13" s="1">
        <f>LEN(E13)</f>
        <v>299</v>
      </c>
    </row>
    <row r="14" spans="1:11" ht="210.75" customHeight="1" x14ac:dyDescent="0.2">
      <c r="B14" s="42"/>
      <c r="C14" s="286" t="s">
        <v>15</v>
      </c>
      <c r="D14" s="287"/>
      <c r="E14" s="284" t="s">
        <v>241</v>
      </c>
      <c r="F14" s="273"/>
      <c r="G14" s="273"/>
      <c r="H14" s="273"/>
      <c r="I14" s="274"/>
      <c r="K14" s="92">
        <f>LEN(E14)</f>
        <v>232</v>
      </c>
    </row>
    <row r="15" spans="1:11" ht="210.75" customHeight="1" x14ac:dyDescent="0.2">
      <c r="B15" s="42"/>
      <c r="C15" s="271" t="s">
        <v>16</v>
      </c>
      <c r="D15" s="272"/>
      <c r="E15" s="284" t="s">
        <v>260</v>
      </c>
      <c r="F15" s="273"/>
      <c r="G15" s="273"/>
      <c r="H15" s="273"/>
      <c r="I15" s="274"/>
      <c r="K15" s="92">
        <f>LEN(E15)</f>
        <v>279</v>
      </c>
    </row>
    <row r="16" spans="1:11" ht="210.75" customHeight="1" x14ac:dyDescent="0.2">
      <c r="B16" s="42"/>
      <c r="C16" s="271" t="s">
        <v>17</v>
      </c>
      <c r="D16" s="272"/>
      <c r="E16" s="284" t="s">
        <v>261</v>
      </c>
      <c r="F16" s="273"/>
      <c r="G16" s="273"/>
      <c r="H16" s="273"/>
      <c r="I16" s="274"/>
      <c r="K16" s="92">
        <f>LEN(E16)</f>
        <v>199</v>
      </c>
    </row>
    <row r="17" spans="2:11" ht="210.75" customHeight="1" x14ac:dyDescent="0.2">
      <c r="B17" s="43"/>
      <c r="C17" s="275" t="s">
        <v>18</v>
      </c>
      <c r="D17" s="276"/>
      <c r="E17" s="285" t="s">
        <v>262</v>
      </c>
      <c r="F17" s="277"/>
      <c r="G17" s="277"/>
      <c r="H17" s="277"/>
      <c r="I17" s="278"/>
      <c r="K17" s="92">
        <f>LEN(E17)</f>
        <v>277</v>
      </c>
    </row>
    <row r="18" spans="2:11" ht="24" customHeight="1" x14ac:dyDescent="0.2">
      <c r="B18" s="40" t="s">
        <v>19</v>
      </c>
      <c r="C18" s="44"/>
      <c r="D18" s="45"/>
      <c r="E18" s="46"/>
      <c r="F18" s="46"/>
      <c r="G18" s="46"/>
      <c r="H18" s="46"/>
      <c r="I18" s="49"/>
    </row>
    <row r="19" spans="2:11" ht="218.25" customHeight="1" x14ac:dyDescent="0.2">
      <c r="B19" s="42"/>
      <c r="C19" s="271" t="s">
        <v>20</v>
      </c>
      <c r="D19" s="272"/>
      <c r="E19" s="273" t="s">
        <v>263</v>
      </c>
      <c r="F19" s="273"/>
      <c r="G19" s="273"/>
      <c r="H19" s="273"/>
      <c r="I19" s="274"/>
      <c r="K19" s="92">
        <f>LEN(E19)</f>
        <v>246</v>
      </c>
    </row>
    <row r="20" spans="2:11" ht="218.25" customHeight="1" x14ac:dyDescent="0.2">
      <c r="B20" s="43"/>
      <c r="C20" s="275" t="s">
        <v>21</v>
      </c>
      <c r="D20" s="276"/>
      <c r="E20" s="277" t="s">
        <v>188</v>
      </c>
      <c r="F20" s="277"/>
      <c r="G20" s="277"/>
      <c r="H20" s="277"/>
      <c r="I20" s="278"/>
      <c r="K20" s="92">
        <f>LEN(E20)</f>
        <v>234</v>
      </c>
    </row>
    <row r="21" spans="2:11" ht="218.25" customHeight="1" x14ac:dyDescent="0.2">
      <c r="B21" s="279" t="s">
        <v>22</v>
      </c>
      <c r="C21" s="280"/>
      <c r="D21" s="281"/>
      <c r="E21" s="282" t="s">
        <v>190</v>
      </c>
      <c r="F21" s="282"/>
      <c r="G21" s="282"/>
      <c r="H21" s="282"/>
      <c r="I21" s="283"/>
      <c r="K21" s="92">
        <f>LEN(E21)</f>
        <v>290</v>
      </c>
    </row>
    <row r="22" spans="2:11" ht="218.25" customHeight="1" x14ac:dyDescent="0.2">
      <c r="B22" s="266" t="s">
        <v>134</v>
      </c>
      <c r="C22" s="267"/>
      <c r="D22" s="268"/>
      <c r="E22" s="269" t="s">
        <v>189</v>
      </c>
      <c r="F22" s="269"/>
      <c r="G22" s="269"/>
      <c r="H22" s="269"/>
      <c r="I22" s="270"/>
      <c r="K22" s="92">
        <f>LEN(E22)</f>
        <v>272</v>
      </c>
    </row>
    <row r="23" spans="2:11" ht="22.5" customHeight="1" x14ac:dyDescent="0.2">
      <c r="B23" s="4"/>
      <c r="C23" s="4"/>
      <c r="D23" s="4"/>
      <c r="E23" s="4"/>
      <c r="F23" s="4"/>
      <c r="G23" s="4"/>
      <c r="H23" s="4"/>
      <c r="I23" s="4"/>
    </row>
    <row r="24" spans="2:11" ht="22.5" customHeight="1" x14ac:dyDescent="0.2">
      <c r="B24" s="4"/>
      <c r="C24" s="4"/>
      <c r="D24" s="4"/>
      <c r="E24" s="4"/>
      <c r="F24" s="4"/>
      <c r="G24" s="4"/>
      <c r="H24" s="4"/>
      <c r="I24" s="4"/>
    </row>
    <row r="25" spans="2:11" ht="22.5" customHeight="1" x14ac:dyDescent="0.2">
      <c r="B25" s="4"/>
      <c r="C25" s="4"/>
      <c r="D25" s="4"/>
      <c r="E25" s="4"/>
      <c r="F25" s="4"/>
      <c r="G25" s="4"/>
      <c r="H25" s="4"/>
      <c r="I25" s="4"/>
    </row>
    <row r="26" spans="2:11" ht="22.5" customHeight="1" x14ac:dyDescent="0.2">
      <c r="B26" s="4"/>
      <c r="C26" s="4"/>
      <c r="D26" s="4"/>
      <c r="E26" s="4"/>
      <c r="F26" s="4"/>
      <c r="G26" s="4"/>
      <c r="H26" s="4"/>
      <c r="I26" s="4"/>
    </row>
    <row r="27" spans="2:11" ht="22.5" customHeight="1" x14ac:dyDescent="0.2">
      <c r="B27" s="4"/>
      <c r="C27" s="4"/>
      <c r="D27" s="4"/>
      <c r="E27" s="4"/>
      <c r="F27" s="4"/>
      <c r="G27" s="4"/>
      <c r="H27" s="4"/>
      <c r="I27" s="4"/>
    </row>
    <row r="28" spans="2:11" ht="22.5" customHeight="1" x14ac:dyDescent="0.2">
      <c r="B28" s="14"/>
      <c r="C28" s="14"/>
      <c r="D28" s="14"/>
      <c r="E28" s="14"/>
      <c r="F28" s="14"/>
      <c r="G28" s="14"/>
      <c r="H28" s="14"/>
      <c r="I28" s="14"/>
    </row>
    <row r="29" spans="2:11" ht="22.5" customHeight="1" x14ac:dyDescent="0.2">
      <c r="B29" s="14"/>
      <c r="C29" s="14"/>
      <c r="D29" s="14"/>
      <c r="E29" s="14"/>
      <c r="F29" s="14"/>
      <c r="G29" s="14"/>
      <c r="H29" s="14"/>
      <c r="I29" s="14"/>
    </row>
    <row r="30" spans="2:11"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様式１-１　プログラムを構成する授業科目（その他学部）</vt:lpstr>
      <vt:lpstr>様式１-2　プログラムを構成する授業科目（グローバル・イノベ）</vt:lpstr>
      <vt:lpstr>様式１-3　プログラムを構成する授業科目（総合情報学部）</vt:lpstr>
      <vt:lpstr>様式１-4　プログラムを構成する授業科目（情報連携学部）</vt:lpstr>
      <vt:lpstr>様式２ 履修者等数の実績</vt:lpstr>
      <vt:lpstr>様式３ 教育の質・履修者数を向上させるための体制・計画</vt:lpstr>
      <vt:lpstr>様式４　自己点検・評価</vt:lpstr>
      <vt:lpstr>'様式１-１　プログラムを構成する授業科目（その他学部）'!Print_Area</vt:lpstr>
      <vt:lpstr>'様式１-2　プログラムを構成する授業科目（グローバル・イノベ）'!Print_Area</vt:lpstr>
      <vt:lpstr>'様式１-3　プログラムを構成する授業科目（総合情報学部）'!Print_Area</vt:lpstr>
      <vt:lpstr>'様式１-4　プログラムを構成する授業科目（情報連携学部）'!Print_Area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東洋大学</cp:lastModifiedBy>
  <cp:lastPrinted>2024-04-14T03:00:16Z</cp:lastPrinted>
  <dcterms:created xsi:type="dcterms:W3CDTF">2011-06-14T05:32:50Z</dcterms:created>
  <dcterms:modified xsi:type="dcterms:W3CDTF">2024-04-26T05:10:33Z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