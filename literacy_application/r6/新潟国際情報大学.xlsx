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F:\chika\working\NUIS校務\MDASH\申請\（再）新潟国際情報大学\01_新潟国際情報大学_リテラシー\"/>
    </mc:Choice>
  </mc:AlternateContent>
  <xr:revisionPtr revIDLastSave="0" documentId="13_ncr:1_{7496EA99-0C74-46D9-B2D9-6CFD56365AF0}" xr6:coauthVersionLast="47" xr6:coauthVersionMax="47" xr10:uidLastSave="{00000000-0000-0000-0000-000000000000}"/>
  <bookViews>
    <workbookView xWindow="32745" yWindow="4965" windowWidth="22215" windowHeight="2601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40" l="1"/>
  <c r="C14" i="40"/>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<sst xmlns="http://schemas.openxmlformats.org/spreadsheetml/2006/main" count="294" uniqueCount="180">
  <si>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</si>
  <si>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</si>
  <si>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</si>
  <si>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</si>
  <si>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</si>
  <si>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</si>
  <si>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</si>
  <si>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</si>
  <si>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</si>
  <si>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</si>
  <si>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</si>
  <si>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</si>
  <si>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</si>
  <si>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</si>
  <si>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</si>
  <si>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</si>
  <si>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</si>
  <si>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</si>
  <si>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</si>
  <si>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</si>
  <si>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</si>
  <si>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</si>
  <si>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</si>
  <si>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</si>
  <si>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</si>
  <si>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</si>
  <si>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</si>
  <si>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</si>
  <si>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</si>
  <si>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</si>
  <si>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</si>
  <si>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</si>
  <si>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</si>
  <si>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</si>
  <si>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</si>
  <si>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</si>
  <si>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</si>
  <si>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</si>
  <si>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</si>
  <si>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</si>
  <si>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</si>
  <si>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</si>
  <si>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</si>
  <si>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</si>
  <si>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</si>
  <si>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</si>
  <si>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</si>
  <si>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</si>
  <si>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</si>
  <si>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</si>
  <si>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</si>
  <si>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</si>
  <si>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</si>
  <si>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</si>
  <si>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</si>
  <si>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</si>
  <si>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</si>
  <si>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</si>
  <si>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</si>
  <si>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</si>
  <si>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</si>
  <si>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</si>
  <si>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</si>
  <si>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</si>
  <si>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</si>
  <si>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</si>
  <si>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</si>
  <si>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</si>
  <si>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</si>
  <si>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</si>
  <si>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</si>
  <si>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</si>
  <si>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</si>
  <si>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</si>
  <si>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</si>
  <si>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</si>
  <si>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</si>
  <si>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</si>
  <si>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</si>
  <si>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</si>
  <si>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</si>
  <si>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</si>
  <si>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</si>
  <si>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</si>
  <si>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</si>
  <si>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</si>
  <si>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</si>
  <si>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</si>
  <si>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</si>
  <si>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</si>
  <si>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</si>
  <si>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</si>
  <si>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</si>
  <si>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</si>
  <si>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</si>
  <si>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</si>
  <si>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</si>
  <si>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</si>
  <si>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</si>
  <si>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</si>
  <si>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</si>
  <si>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</si>
  <si>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</si>
  <si>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</si>
  <si>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</si>
  <si>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</si>
  <si>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</si>
  <si>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</si>
  <si>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</si>
  <si>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</si>
  <si>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</si>
  <si>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</si>
  <si>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</si>
  <si>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</si>
  <si>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</si>
  <si>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</si>
  <si>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</si>
  <si>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</si>
  <si>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</si>
  <si>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</si>
  <si>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</si>
  <si>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</si>
  <si>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</si>
  <si>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</si>
  <si>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</si>
  <si>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</si>
  <si>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</si>
  <si>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</si>
  <si>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</si>
  <si>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</si>
  <si>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</si>
  <si>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</si>
  <si>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</si>
  <si>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</si>
  <si>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</si>
  <si>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</si>
  <si>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新潟国際情報大学</t>
    <phoneticPr fontId="1"/>
  </si>
  <si>
    <t>学部・学科によって、修了要件は相違しない</t>
  </si>
  <si>
    <t>○</t>
  </si>
  <si>
    <t>AI・データサイエンス入門</t>
    <phoneticPr fontId="1"/>
  </si>
  <si>
    <t>統計学</t>
    <rPh sb="0" eb="3">
      <t>トウケイガク</t>
    </rPh>
    <phoneticPr fontId="1"/>
  </si>
  <si>
    <t>4-1統計および数理基礎</t>
  </si>
  <si>
    <t>申　銀珠</t>
    <phoneticPr fontId="1"/>
  </si>
  <si>
    <t>教授（教務委員長）</t>
    <phoneticPr fontId="1"/>
  </si>
  <si>
    <t>新潟国際情報大学教務委員会</t>
    <phoneticPr fontId="1"/>
  </si>
  <si>
    <t>新潟国際情報大学教務委員会規程</t>
    <phoneticPr fontId="1"/>
  </si>
  <si>
    <t>本プログラム対象2科目の授業評価アンケートの定型項目尺度割合は以下の通りであった。
「AI・データサイエンス入門 」アンケート結果は、「とてもよく理解できた」38%、「よく理解できた」49%、「どちらともいえない」11%で、残り2%が「理解できなかった」であった。
「統計学」アンケート結果は、「とてもよく理解できた」26%、「よく理解できた」40%、「どちらともいえない」24%で、残り10%が「理解できなかった」であった。「統計学」では授業後半の推測統計（推定、検定）になると理解度が低下する傾向がある。教科書の例題ではなく、学生の馴染みや関心のある例題を提示する必要がある。</t>
    <rPh sb="272" eb="274">
      <t>カンシン</t>
    </rPh>
    <rPh sb="277" eb="279">
      <t>レイダイ</t>
    </rPh>
    <phoneticPr fontId="1"/>
  </si>
  <si>
    <t>全学授業科目を対象とした授業評価アンケートには後輩等他の学生への推奨を問う質問がなく、推薦度等は不明である。全学授業科目を対象とした授業評価アンケートには後輩等他の学生への推奨を問う質問がなく、推薦度等は不明である。今後、国際学部履修生授業アンケート質問項目にこの内容を組み入れることを検討する。経営情報学部は必修科目なので、他の学生への推薦度を問う質問は該当しないと考えられる。国際学部履修生に調査する仕組みを検討する。</t>
    <phoneticPr fontId="1"/>
  </si>
  <si>
    <t>本プログラムの施行は初年度であり、経営情報学部では対象2科目は必修科目であるので、履修者数、履修率向上に向けた計画は策定していない。しかしながら、国際学部の履修率を向上する必要があり、履修ガイダンス等を通じて説明を強化する必要がある。</t>
    <rPh sb="17" eb="23">
      <t>ケイエイジョウホウガクブ</t>
    </rPh>
    <rPh sb="25" eb="27">
      <t>タイショウ</t>
    </rPh>
    <rPh sb="28" eb="30">
      <t>カモク</t>
    </rPh>
    <rPh sb="31" eb="33">
      <t>ヒッシュウ</t>
    </rPh>
    <rPh sb="33" eb="35">
      <t>カモク</t>
    </rPh>
    <phoneticPr fontId="1"/>
  </si>
  <si>
    <t>本プログラムを修了して卒業した学生はまだいない。東京にてIT企業を対象としたセミナーに発表者として本授業を紹介し、本プログラムを修了した学生を雇用したい希望が寄せられている。3年後に教育プログラム修了者の進路、企業の評価を収集する。</t>
    <phoneticPr fontId="1"/>
  </si>
  <si>
    <t>対象科目「AI・データサイエンス入門 」では2回の授業でIT企業から講師を招き、学生にAI等開発現場での講義を実施し、本プログラムを向上させる内容として「ChatGPT等生成AIとどうつきあうか」というテーマを選定してもらい、学生と質疑応答する機会を設けた。今後ともIT企業からのプログラムへのインプットを意見収集・講義にて計画している。</t>
    <phoneticPr fontId="1"/>
  </si>
  <si>
    <t>対象科目「AI・データサイエンス入門 」では本学に設置しているAI計算機NVIDIA DGX A-100（GPUサーバ）を使用した大規模言語モデルのファインチューニングを学生が大学祭「キャッチコピー作成指示文」「キャッチコピー」のペアをひとりあたり10組作成して実際にヒトが作成したようなキャッチコピーが作成できる経験をした。</t>
    <phoneticPr fontId="1"/>
  </si>
  <si>
    <t>対象科目「AI・データサイエンス入門 」では、AI・データサイエンス導入教育向けのテキストとして評価の高い「教養としてのデータサイエンス」を採用している。しかしながら、生成AIに対応する記述がなく、その内容を授業でわかりやすく解説して学生の理解度を深めることは喫緊の課題である。出版社の編集者も検討中であった。IT企業から講師を招聘して「ChatGPT等生成AIとどうつきあうか」の授業は今後とも継続する予定である。</t>
    <phoneticPr fontId="1"/>
  </si>
  <si>
    <t>国際学部</t>
    <rPh sb="0" eb="2">
      <t>コクサイ</t>
    </rPh>
    <rPh sb="2" eb="4">
      <t>ガクブ</t>
    </rPh>
    <phoneticPr fontId="1"/>
  </si>
  <si>
    <t>経営情報学部</t>
    <rPh sb="0" eb="2">
      <t>ケイエイ</t>
    </rPh>
    <rPh sb="2" eb="4">
      <t>ジョウホウ</t>
    </rPh>
    <rPh sb="4" eb="6">
      <t>ガクブ</t>
    </rPh>
    <phoneticPr fontId="1"/>
  </si>
  <si>
    <t>AI利活用のための教育プログラム「リテラシーレベル」</t>
    <phoneticPr fontId="1"/>
  </si>
  <si>
    <t>プログラムを構成する科目「AI・データサイエンス入門」（2単位）と科目「統計学」（2単位）の合計4単位を取得すること。</t>
    <rPh sb="6" eb="8">
      <t>コウセイ</t>
    </rPh>
    <rPh sb="10" eb="12">
      <t>カモク</t>
    </rPh>
    <rPh sb="29" eb="31">
      <t>タンイ</t>
    </rPh>
    <rPh sb="33" eb="35">
      <t>カモク</t>
    </rPh>
    <rPh sb="42" eb="44">
      <t>タンイ</t>
    </rPh>
    <rPh sb="46" eb="48">
      <t>ゴウケイ</t>
    </rPh>
    <rPh sb="49" eb="51">
      <t>タンイ</t>
    </rPh>
    <rPh sb="52" eb="54">
      <t>シュトク</t>
    </rPh>
    <phoneticPr fontId="1"/>
  </si>
  <si>
    <t>本学ではR４年度に導入したNVIDIA DGX Station A-100にて大規模言語モデルのファインチューニングを学生が自ら行う実習を「AI・データサイエンス入門」にて実施している。具体的には言語作成の指示文およびその正解のペアを決められたテーマに沿って学生が10組ずつ提出し、それらを精査・編集した上で大規模言語モデルをファインチューニングし、訓練前のモデル、および訓練後のモデルによる出力の違いを実証する内容である。</t>
    <phoneticPr fontId="1"/>
  </si>
  <si>
    <t>本プログラム対象2科目の授業評価アンケートの定型項目尺度割合および自由記述欄の内容を分析することによって、授業内容の学生の理解度を把握することができ、その結果を学務課および教務委員会が連携し、本プログラムの評価・改善に活用している。初年次生における経営情報学部の履修率は98%を達成したが、国際学部の履修率は3%未満であり、本プログラムが十分に周知されていない可能性がある。</t>
    <phoneticPr fontId="1"/>
  </si>
  <si>
    <t>数理・データサイエンス・AIの基礎、数理・データサイエンス・AIの社会への影響と利活用、数理・データサイエンス・AIに関わる倫理的問題の理解、統計および数理の基礎を身に付けることができる。</t>
    <rPh sb="82" eb="83">
      <t>ミ</t>
    </rPh>
    <rPh sb="84" eb="85">
      <t>ツ</t>
    </rPh>
    <phoneticPr fontId="1"/>
  </si>
  <si>
    <t>数理・データサイエンス・AI教育の推進と改善により、教養知識と専門知識を備えた人材を育て、数理・データサイエンス・AIを効果的に活用し、社会的・倫理的な観点から問題を解決できるようにする教育を展開する。</t>
    <rPh sb="0" eb="2">
      <t>スウリ</t>
    </rPh>
    <rPh sb="20" eb="22">
      <t>カイゼン</t>
    </rPh>
    <rPh sb="26" eb="28">
      <t>キョウヨウ</t>
    </rPh>
    <rPh sb="28" eb="30">
      <t>チシキ</t>
    </rPh>
    <phoneticPr fontId="1"/>
  </si>
  <si>
    <t>国際学部国際文化学科教授：　申銀珠（教務委員長）
経営情報学部情報システム学科教授：　近山英輔（MDASH委員長）
経営情報学部情報システム学科教授：　安藤篤也
経営情報学部情報システム学科教授；　石井忠夫
経営情報学部経営学科教授：　木村誠
経営情報学部経営学科教授：　佐々木宏之
国際学部国際文化学科准教授：　佐藤泰子
国際学部国際文化学科教授：　澤口晋一
経営情報学部経営学科教授：　謝凱雯
経営情報学部経営学科教授：　藤田晴啓
学務課課長補佐：　小川修司</t>
    <phoneticPr fontId="1"/>
  </si>
  <si>
    <t>本学のAI利活用のための教育プログラム「リテラシーレベル」では全学基礎科目として「AI・データサイエンス入門」、「統計学」を開講している。入学時に教務委員会が実施する新入生ガイダンスの中ですべての新入生に対して、当該教育プログラムの必要性と有益性を詳細に説明し、積極的な履修と修得を奨励する。令和５年度では1年生のみが対象であったため20%に留まった。経営情報学部ではそれらの2科目は必修科目となっているため、令和８年度の結果では約75%になる予定であり、残りは選択科目となっている国際学部の履修生に依るところになるが、ガイダンスの充実や周知により履修率の増加を図る。また国際学部でのそれら2科目必修化も検討して履修率100%以上を目指す。</t>
    <rPh sb="0" eb="2">
      <t>ホンガク</t>
    </rPh>
    <rPh sb="5" eb="8">
      <t>リカツヨウ</t>
    </rPh>
    <rPh sb="12" eb="14">
      <t>キョウイク</t>
    </rPh>
    <rPh sb="31" eb="33">
      <t>ゼンガク</t>
    </rPh>
    <rPh sb="33" eb="35">
      <t>キソ</t>
    </rPh>
    <rPh sb="35" eb="37">
      <t>カモク</t>
    </rPh>
    <rPh sb="52" eb="54">
      <t>ニュウモン</t>
    </rPh>
    <rPh sb="57" eb="60">
      <t>トウケイガク</t>
    </rPh>
    <rPh sb="62" eb="64">
      <t>カイコウ</t>
    </rPh>
    <rPh sb="71" eb="72">
      <t>ジ</t>
    </rPh>
    <rPh sb="73" eb="75">
      <t>キョウム</t>
    </rPh>
    <rPh sb="75" eb="78">
      <t>イインカイ</t>
    </rPh>
    <rPh sb="79" eb="81">
      <t>ジッシ</t>
    </rPh>
    <rPh sb="83" eb="86">
      <t>シンニュウセイ</t>
    </rPh>
    <rPh sb="92" eb="93">
      <t>ナカ</t>
    </rPh>
    <rPh sb="106" eb="108">
      <t>トウガイ</t>
    </rPh>
    <rPh sb="108" eb="110">
      <t>キョウイク</t>
    </rPh>
    <rPh sb="138" eb="140">
      <t>シュウトク</t>
    </rPh>
    <rPh sb="146" eb="148">
      <t>レイワ</t>
    </rPh>
    <rPh sb="149" eb="151">
      <t>ネンド</t>
    </rPh>
    <rPh sb="154" eb="155">
      <t>ネン</t>
    </rPh>
    <rPh sb="155" eb="156">
      <t>セイ</t>
    </rPh>
    <rPh sb="159" eb="161">
      <t>タイショウ</t>
    </rPh>
    <rPh sb="171" eb="172">
      <t>トド</t>
    </rPh>
    <rPh sb="176" eb="178">
      <t>ケイエイ</t>
    </rPh>
    <rPh sb="178" eb="180">
      <t>ジョウホウ</t>
    </rPh>
    <rPh sb="180" eb="182">
      <t>ガクブ</t>
    </rPh>
    <rPh sb="189" eb="191">
      <t>カモク</t>
    </rPh>
    <rPh sb="192" eb="194">
      <t>ヒッシュウ</t>
    </rPh>
    <rPh sb="194" eb="196">
      <t>カモク</t>
    </rPh>
    <rPh sb="205" eb="207">
      <t>レイワ</t>
    </rPh>
    <rPh sb="208" eb="210">
      <t>ネンド</t>
    </rPh>
    <rPh sb="211" eb="213">
      <t>ケッカ</t>
    </rPh>
    <rPh sb="215" eb="216">
      <t>ヤク</t>
    </rPh>
    <rPh sb="222" eb="224">
      <t>ヨテイ</t>
    </rPh>
    <rPh sb="228" eb="229">
      <t>ノコ</t>
    </rPh>
    <rPh sb="231" eb="233">
      <t>センタク</t>
    </rPh>
    <rPh sb="233" eb="235">
      <t>カモク</t>
    </rPh>
    <rPh sb="241" eb="243">
      <t>コクサイ</t>
    </rPh>
    <rPh sb="243" eb="245">
      <t>ガクブ</t>
    </rPh>
    <rPh sb="269" eb="271">
      <t>シュウチ</t>
    </rPh>
    <rPh sb="274" eb="276">
      <t>リシュウ</t>
    </rPh>
    <rPh sb="276" eb="277">
      <t>リツ</t>
    </rPh>
    <rPh sb="278" eb="280">
      <t>ゾウカ</t>
    </rPh>
    <rPh sb="281" eb="282">
      <t>ハカ</t>
    </rPh>
    <rPh sb="286" eb="288">
      <t>コクサイ</t>
    </rPh>
    <rPh sb="288" eb="290">
      <t>ガクブ</t>
    </rPh>
    <rPh sb="296" eb="298">
      <t>カモク</t>
    </rPh>
    <rPh sb="298" eb="301">
      <t>ヒッシュウカ</t>
    </rPh>
    <rPh sb="302" eb="304">
      <t>ケントウ</t>
    </rPh>
    <rPh sb="306" eb="308">
      <t>リシュウ</t>
    </rPh>
    <rPh sb="308" eb="309">
      <t>リツ</t>
    </rPh>
    <rPh sb="313" eb="315">
      <t>イジョウ</t>
    </rPh>
    <rPh sb="316" eb="318">
      <t>メザ</t>
    </rPh>
    <phoneticPr fontId="1"/>
  </si>
  <si>
    <t>本学のAI利活用のための教育プログラム「リテラシーレベル」の対象科目である「AI・データサイエンス入門」と「統計学」は全学基礎科目として開講しているため、学部・学科に関係なく希望する学生全員が受講可能である。1年次から4年次まで学年に依らずに履修でき、「統計学」が前期開講、「AI・データサイエンス入門」が後期開講であるため時間割において時期をずらす工夫も行っている。さらに本学ではWebexによる授業システムにより複数教室を結合した授業が可能であり、履修者数の増大により教室の座席が不足して希望する学生が履修できなくなる事態になることがない体制を構築・運用している。</t>
    <rPh sb="30" eb="32">
      <t>タイショウ</t>
    </rPh>
    <rPh sb="32" eb="34">
      <t>カモク</t>
    </rPh>
    <rPh sb="77" eb="79">
      <t>ガクブ</t>
    </rPh>
    <rPh sb="80" eb="82">
      <t>ガッカ</t>
    </rPh>
    <rPh sb="83" eb="85">
      <t>カンケイ</t>
    </rPh>
    <rPh sb="87" eb="89">
      <t>キボウ</t>
    </rPh>
    <rPh sb="91" eb="93">
      <t>ガクセイ</t>
    </rPh>
    <rPh sb="93" eb="95">
      <t>ゼンイン</t>
    </rPh>
    <rPh sb="96" eb="98">
      <t>ジュコウ</t>
    </rPh>
    <rPh sb="98" eb="100">
      <t>カノウ</t>
    </rPh>
    <rPh sb="105" eb="106">
      <t>ネン</t>
    </rPh>
    <rPh sb="106" eb="107">
      <t>ジ</t>
    </rPh>
    <rPh sb="110" eb="111">
      <t>ネン</t>
    </rPh>
    <rPh sb="111" eb="112">
      <t>ジ</t>
    </rPh>
    <rPh sb="114" eb="116">
      <t>ガクネン</t>
    </rPh>
    <rPh sb="117" eb="118">
      <t>ヨ</t>
    </rPh>
    <rPh sb="121" eb="123">
      <t>リシュウ</t>
    </rPh>
    <rPh sb="127" eb="130">
      <t>トウケイガク</t>
    </rPh>
    <rPh sb="132" eb="134">
      <t>ゼンキ</t>
    </rPh>
    <rPh sb="134" eb="136">
      <t>カイコウ</t>
    </rPh>
    <rPh sb="149" eb="151">
      <t>ニュウモン</t>
    </rPh>
    <rPh sb="153" eb="155">
      <t>コウキ</t>
    </rPh>
    <rPh sb="155" eb="157">
      <t>カイコウ</t>
    </rPh>
    <rPh sb="162" eb="165">
      <t>ジカンワリ</t>
    </rPh>
    <rPh sb="169" eb="171">
      <t>ジキ</t>
    </rPh>
    <rPh sb="175" eb="177">
      <t>クフウ</t>
    </rPh>
    <rPh sb="178" eb="179">
      <t>オコナ</t>
    </rPh>
    <rPh sb="187" eb="189">
      <t>ホンガク</t>
    </rPh>
    <rPh sb="208" eb="210">
      <t>フクスウ</t>
    </rPh>
    <rPh sb="217" eb="219">
      <t>ジュギョウ</t>
    </rPh>
    <rPh sb="220" eb="222">
      <t>カノウ</t>
    </rPh>
    <rPh sb="226" eb="228">
      <t>リシュウ</t>
    </rPh>
    <rPh sb="228" eb="229">
      <t>シャ</t>
    </rPh>
    <rPh sb="229" eb="230">
      <t>スウ</t>
    </rPh>
    <rPh sb="231" eb="233">
      <t>ゾウダイ</t>
    </rPh>
    <rPh sb="236" eb="238">
      <t>キョウシツ</t>
    </rPh>
    <rPh sb="239" eb="241">
      <t>ザセキ</t>
    </rPh>
    <rPh sb="242" eb="244">
      <t>フソク</t>
    </rPh>
    <rPh sb="246" eb="248">
      <t>キボウ</t>
    </rPh>
    <rPh sb="250" eb="252">
      <t>ガクセイ</t>
    </rPh>
    <rPh sb="253" eb="255">
      <t>リシュウ</t>
    </rPh>
    <rPh sb="261" eb="263">
      <t>ジタイ</t>
    </rPh>
    <rPh sb="271" eb="273">
      <t>タイセイ</t>
    </rPh>
    <rPh sb="274" eb="276">
      <t>コウチク</t>
    </rPh>
    <rPh sb="277" eb="279">
      <t>ウンヨウ</t>
    </rPh>
    <phoneticPr fontId="1"/>
  </si>
  <si>
    <t>本学のAI利活用のための教育プログラム「リテラシーレベル」の対象科目である「AI・データサイエンス入門」と「統計学」は本学の専任教員が担当しているため、授業時間以外に週に1コマ専任教員毎に定められているオフィスアワーに学生が対面で質疑応答に訪ねることができる。またUNIVERSAL PASSPORT（UNIPA）システムを利用して課題などに対する学生からのコメントを受け付けることができる。</t>
    <rPh sb="59" eb="61">
      <t>ホンガク</t>
    </rPh>
    <rPh sb="62" eb="64">
      <t>センニン</t>
    </rPh>
    <rPh sb="64" eb="66">
      <t>キョウイン</t>
    </rPh>
    <rPh sb="67" eb="69">
      <t>タントウ</t>
    </rPh>
    <rPh sb="83" eb="84">
      <t>シュウ</t>
    </rPh>
    <rPh sb="88" eb="90">
      <t>センニン</t>
    </rPh>
    <rPh sb="90" eb="92">
      <t>キョウイン</t>
    </rPh>
    <rPh sb="92" eb="93">
      <t>ゴト</t>
    </rPh>
    <rPh sb="94" eb="95">
      <t>サダ</t>
    </rPh>
    <rPh sb="162" eb="164">
      <t>リヨウ</t>
    </rPh>
    <rPh sb="166" eb="168">
      <t>カダイ</t>
    </rPh>
    <rPh sb="171" eb="172">
      <t>タイ</t>
    </rPh>
    <rPh sb="174" eb="176">
      <t>ガクセイ</t>
    </rPh>
    <rPh sb="184" eb="185">
      <t>ウ</t>
    </rPh>
    <rPh sb="186" eb="187">
      <t>ツ</t>
    </rPh>
    <phoneticPr fontId="1"/>
  </si>
  <si>
    <t>全学生が参照する学生便覧に本学のAI利活用のための教育プログラム「リテラシーレベル」についての説明を記載している。教務委員会が実施する新入生ガイダンスや在学生ガイダンスの中ですべての対象学生に対して、当該教育プログラムの必要性と有益性を詳細に説明し、積極的な履修と修得を奨励する。また本学のホームページのAI利活用のための教育プログラムのページを周知して履修を促す。</t>
    <rPh sb="0" eb="1">
      <t>ゼン</t>
    </rPh>
    <rPh sb="1" eb="3">
      <t>ガクセイ</t>
    </rPh>
    <rPh sb="4" eb="6">
      <t>サンショウ</t>
    </rPh>
    <rPh sb="8" eb="10">
      <t>ガクセイ</t>
    </rPh>
    <rPh sb="10" eb="12">
      <t>ビンラン</t>
    </rPh>
    <rPh sb="13" eb="15">
      <t>ホンガク</t>
    </rPh>
    <rPh sb="18" eb="21">
      <t>リカツヨウ</t>
    </rPh>
    <rPh sb="25" eb="27">
      <t>キョウイク</t>
    </rPh>
    <rPh sb="47" eb="49">
      <t>セツメイ</t>
    </rPh>
    <rPh sb="50" eb="52">
      <t>キサイ</t>
    </rPh>
    <rPh sb="76" eb="79">
      <t>ザイガクセイ</t>
    </rPh>
    <rPh sb="91" eb="93">
      <t>タイショウ</t>
    </rPh>
    <rPh sb="93" eb="95">
      <t>ガクセイ</t>
    </rPh>
    <rPh sb="142" eb="144">
      <t>ホンガク</t>
    </rPh>
    <rPh sb="154" eb="157">
      <t>リカツヨウ</t>
    </rPh>
    <rPh sb="161" eb="163">
      <t>キョウイク</t>
    </rPh>
    <rPh sb="173" eb="175">
      <t>シュウチ</t>
    </rPh>
    <rPh sb="177" eb="179">
      <t>リシュウ</t>
    </rPh>
    <rPh sb="180" eb="181">
      <t>ウナガ</t>
    </rPh>
    <phoneticPr fontId="1"/>
  </si>
  <si>
    <t>本学ではPC必携化制度を実施しており、すべての入学生にノートPCを配布している。学内無線LAN環境を整備しているためインターネットによる調査、演習等を行える環境を提供し、修得に向けたサポート体制を整えている。本学には資格取得奨学金制度があり、その制度に一般社団法人データサイエンティスト協会のデータサイエンティスト検定「リテラシーレベル」を追加しているなど、学生の履修・修得を促す取組や体制構築を行っている。</t>
    <rPh sb="0" eb="2">
      <t>ホンガク</t>
    </rPh>
    <rPh sb="6" eb="8">
      <t>ヒッケイ</t>
    </rPh>
    <rPh sb="8" eb="9">
      <t>カ</t>
    </rPh>
    <rPh sb="9" eb="11">
      <t>セイド</t>
    </rPh>
    <rPh sb="12" eb="14">
      <t>ジッシ</t>
    </rPh>
    <rPh sb="23" eb="25">
      <t>ニュウガク</t>
    </rPh>
    <rPh sb="25" eb="26">
      <t>セイ</t>
    </rPh>
    <rPh sb="33" eb="35">
      <t>ハイフ</t>
    </rPh>
    <rPh sb="95" eb="97">
      <t>タイセイ</t>
    </rPh>
    <rPh sb="98" eb="99">
      <t>トトノ</t>
    </rPh>
    <rPh sb="109" eb="111">
      <t>シュトク</t>
    </rPh>
    <rPh sb="111" eb="114">
      <t>ショウガクキン</t>
    </rPh>
    <rPh sb="114" eb="116">
      <t>セイド</t>
    </rPh>
    <rPh sb="123" eb="125">
      <t>セイド</t>
    </rPh>
    <rPh sb="125" eb="127">
      <t>イッパン</t>
    </rPh>
    <rPh sb="127" eb="129">
      <t>シャダン</t>
    </rPh>
    <rPh sb="129" eb="131">
      <t>ホウジン</t>
    </rPh>
    <rPh sb="142" eb="144">
      <t>キョウカイ</t>
    </rPh>
    <rPh sb="156" eb="158">
      <t>ケンテイ</t>
    </rPh>
    <rPh sb="169" eb="171">
      <t>ツイカ</t>
    </rPh>
    <rPh sb="181" eb="183">
      <t>リシュウ</t>
    </rPh>
    <rPh sb="184" eb="186">
      <t>シュウトク</t>
    </rPh>
    <rPh sb="187" eb="188">
      <t>ウナガ</t>
    </rPh>
    <rPh sb="190" eb="192">
      <t>トリクミ</t>
    </rPh>
    <rPh sb="193" eb="195">
      <t>タイセイ</t>
    </rPh>
    <rPh sb="195" eb="197">
      <t>コウチク</t>
    </rPh>
    <rPh sb="198" eb="199">
      <t>オコナ</t>
    </rPh>
    <phoneticPr fontId="1"/>
  </si>
  <si>
    <t>・データ量の増加、計算機の処理性能の向上、AIの非連続的進化「AI・データサイエンス入門」（１回目）</t>
    <phoneticPr fontId="1"/>
  </si>
  <si>
    <t>・AI等を活用した新しいビジネスモデル(シェアリングエコノミー、商品のレコメンデーションなど「AI・データサイエンス入門」（７回目）</t>
    <phoneticPr fontId="1"/>
  </si>
  <si>
    <t>・調査データ、実験データ、人の行動ログデータ、機械の稼働ログデータなど「AI・データサイエンス入門」（２回目）
・調査データ、実験データ、人の行動ログデータ、機械の稼働ログデータなど「統計学」（１回目）</t>
    <phoneticPr fontId="1"/>
  </si>
  <si>
    <t>・研究開発、調達、製造、物流、販売、マーケティング、サービスなど「AI・データサイエンス入門」（３回目）
・データ・AI活用領域の広がり(生産、消費、文化活動など)「統計学」（１回目）
・仮説検証、知識発見、原因究明、計画策定、判断支援、活動代替、新規生成など「統計学」（11回目、12回目、13回目、14回目）</t>
    <phoneticPr fontId="1"/>
  </si>
  <si>
    <t>・データ解析：予測、グルーピング、パターン発見、最適化、シミュレーション・データ同化など「AI・データサイエンス入門」（４回目）
・特化型AIと汎用AI、今のAIで出来ることと出来ないこと、AIとビッグデータ「AI・データサイエンス入門」（５回目）
・データ可視化：複合グラフ、2軸グラフ、多次元の可視化、関係性の可視化、地図上の可視化、挙動・軌跡の可視化、リアルタイム可視化など「統計学」（５回目）</t>
    <phoneticPr fontId="1"/>
  </si>
  <si>
    <t>・流通、製造、金融、サービス、インフラ、公共、ヘルスケア等におけるデータ・AI利活用事例紹介「AI・データサイエンス入門」（６回目）
・流通、製造、金融、サービス、インフラ、公共、ヘルスケア等におけるデータ・AI利活用事例紹介「統計学」（１回目）</t>
    <phoneticPr fontId="1"/>
  </si>
  <si>
    <t>・データ倫理：データのねつ造、改ざん、盗用、プライバシー保護・AI社会原則（公平性、説明責任、透明性、人間中心の判断）「AI・データサイエンス入門」（13回目）
・データ倫理：データのねつ造、改ざん、盗用、プライバシー保護「統計学」（１回目）</t>
    <phoneticPr fontId="1"/>
  </si>
  <si>
    <t>・情報セキュリティ：機密性、完全性、可用性・匿名加工情報、暗号化、パスワード、悪意ある情報搾取　情報漏洩等によるセキュリティ事故の事例紹介「AI・データサイエンス入門」（14回目）</t>
    <phoneticPr fontId="1"/>
  </si>
  <si>
    <t>・データ表現（棒グラフ、折線グラフ、散布図、ヒートマップ）、データの図表表現（チャート化）「AI・データサイエンス入門」（10回目）
・データの比較（条件をそろえた比較、処理の前後での比較、A/Bテスト)、優れた可視化事例の紹介（可視化することによって新たな気づきがあった事例など）「AI・データサイエンス入門」（11回目）
・データ表現（棒グラフ、折線グラフ、散布図、ヒートマップ）「統計学」（２回目、５回目）
・データの図表表現（チャート化）「統計学」（２回目）
・データの比較（条件をそろえた比較、処理の前後での比較、A/Bテスト)「統計学」（13回目）</t>
    <phoneticPr fontId="1"/>
  </si>
  <si>
    <t>・データの種類（量的変数、質的変数）／データの分布(ヒストグラム)と代表値（平均値、中央値、最頻値）「AI・データサイエンス入門」（８回目）
・相関と因果（相関係数、擬似相関、交絡）／母集団と標本抽出（国勢調査、アンケート調査、全数調査、単純無作為抽出、層別抽出、多段抽出）／クロス集計表／分割表、相関係数行列、散布図行列・統計情報の正しい理解（誇張表現に惑わされない）「AI・データサイエンス入門」（９回目）
・データの分布(ヒストグラム)と代表値（平均値、中央値、最頻値）／代表値の性質の違い（実社会では平均値＝最頻値でないことが多い）「統計学」（３回目）
・データのばらつき（分散、標準偏差、偏差値）「統計学」（４回目、８回目）
・観測データに含まれる誤差の扱い／打ち切りや脱落を含むデータ、層別の必要なデータ／相関と因果（相関係数、擬似相関、交絡）「統計学」（６回目）
・母集団と標本抽出（国勢調査、アンケート調査、全数調査、単純無作為抽出、層別抽出、多段抽出）「統計学」（９回目）
・クロス集計表、分割表、相関係数行列、散布図行列「統計学」（５回目、６回目、７回目）</t>
    <phoneticPr fontId="1"/>
  </si>
  <si>
    <t>・データの集計（和、平均）、データの並び替え、ランキング、データ解析ツール（スプレッドシート）「AI・データサイエンス入門」（12回目）
・データの集計（和、平均）「統計学」（３回目）
・データ解析ツール（スプレッドシート）「統計学」（２回目、12回目、13回目）</t>
    <phoneticPr fontId="1"/>
  </si>
  <si>
    <t>本プログラムの対象科目は「統計学 」「AI・データサイエンス入門 」の2科目である。本学が導入するポータルサイト（UNIVERSAL PASSPORT）活用により、学務課と教務委員会において両科目の履修・単位修得状況分析を実施し、受講者毎の出席および課題回答状況を把握することができる。
両科目は全学共通基礎科目に位置付けられ、国際学部は選択科目、経営情報学部は必修科目である。本プログラムの履修者数は国際学部3名、経営情報学部193名であり、修了者数は国際学部3名、経営情報学部178名であった。各学部の収容定員数における本プログラム履修率は、国際学部1％、経営情報学部32％である。</t>
    <rPh sb="262" eb="263">
      <t>ホン</t>
    </rPh>
    <phoneticPr fontId="1"/>
  </si>
  <si>
    <t>令和5</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</si>
</sst>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9" xfId="0" applyNumberFormat="1" applyFont="1" applyBorder="1" applyAlignment="1">
      <alignment horizontal="left" vertical="center"/>
    </xf>
    <xf numFmtId="49" fontId="3" fillId="0" borderId="32"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1" sqref="B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34" t="s">
        <v>12</v>
      </c>
      <c r="U1" s="134"/>
      <c r="V1" s="2" t="s">
        <v>100</v>
      </c>
    </row>
    <row r="2" spans="1:24" ht="18.75" customHeight="1" x14ac:dyDescent="0.15">
      <c r="A2" s="76"/>
      <c r="B2" s="78" t="s">
        <v>99</v>
      </c>
      <c r="C2" s="135" t="s">
        <v>136</v>
      </c>
      <c r="D2" s="136"/>
      <c r="E2" s="136"/>
      <c r="F2" s="136"/>
      <c r="G2" s="136"/>
      <c r="H2" s="136"/>
      <c r="I2" s="136"/>
      <c r="J2" s="137"/>
      <c r="K2" s="77"/>
      <c r="L2" s="79"/>
      <c r="M2" s="79"/>
      <c r="N2" s="79"/>
      <c r="O2" s="79"/>
      <c r="P2" s="79"/>
      <c r="Q2" s="79"/>
      <c r="R2" s="79"/>
      <c r="S2" s="79"/>
      <c r="T2" s="79"/>
      <c r="U2" s="79"/>
    </row>
    <row r="3" spans="1:24" ht="18.75" customHeight="1" x14ac:dyDescent="0.15">
      <c r="A3" s="76"/>
      <c r="B3" s="78" t="s">
        <v>94</v>
      </c>
      <c r="C3" s="135" t="s">
        <v>155</v>
      </c>
      <c r="D3" s="136"/>
      <c r="E3" s="136"/>
      <c r="F3" s="136"/>
      <c r="G3" s="136"/>
      <c r="H3" s="136"/>
      <c r="I3" s="136"/>
      <c r="J3" s="137"/>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15" t="s">
        <v>38</v>
      </c>
      <c r="B5" s="115"/>
      <c r="C5" s="115"/>
      <c r="D5" s="115"/>
      <c r="E5" s="115"/>
      <c r="F5" s="115"/>
      <c r="G5" s="115"/>
      <c r="H5" s="115"/>
      <c r="I5" s="115"/>
      <c r="J5" s="115"/>
      <c r="K5" s="115"/>
      <c r="L5" s="115"/>
      <c r="M5" s="115"/>
      <c r="N5" s="115"/>
      <c r="O5" s="115"/>
      <c r="P5" s="115"/>
      <c r="Q5" s="115"/>
      <c r="R5" s="115"/>
      <c r="S5" s="115"/>
      <c r="T5" s="115"/>
      <c r="U5" s="115"/>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75"/>
      <c r="G7" s="75"/>
      <c r="H7" s="75"/>
      <c r="I7" s="75"/>
      <c r="J7" s="75"/>
      <c r="K7" s="75"/>
      <c r="L7" s="153" t="s">
        <v>137</v>
      </c>
      <c r="M7" s="154"/>
      <c r="N7" s="154"/>
      <c r="O7" s="154"/>
      <c r="P7" s="154"/>
      <c r="Q7" s="154"/>
      <c r="R7" s="154"/>
      <c r="S7" s="154"/>
      <c r="T7" s="154"/>
      <c r="U7" s="155"/>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58"/>
      <c r="C11" s="159"/>
      <c r="D11" s="159"/>
      <c r="E11" s="159"/>
      <c r="F11" s="159"/>
      <c r="G11" s="159"/>
      <c r="H11" s="159"/>
      <c r="I11" s="159"/>
      <c r="J11" s="159"/>
      <c r="K11" s="159"/>
      <c r="L11" s="159"/>
      <c r="M11" s="159"/>
      <c r="N11" s="159"/>
      <c r="O11" s="159"/>
      <c r="P11" s="159"/>
      <c r="Q11" s="159"/>
      <c r="R11" s="159"/>
      <c r="S11" s="159"/>
      <c r="T11" s="159"/>
      <c r="U11" s="160"/>
    </row>
    <row r="12" spans="1:24" ht="18" customHeight="1" x14ac:dyDescent="0.15">
      <c r="A12" s="76"/>
      <c r="B12" s="161"/>
      <c r="C12" s="162"/>
      <c r="D12" s="162"/>
      <c r="E12" s="162"/>
      <c r="F12" s="162"/>
      <c r="G12" s="162"/>
      <c r="H12" s="162"/>
      <c r="I12" s="162"/>
      <c r="J12" s="162"/>
      <c r="K12" s="162"/>
      <c r="L12" s="162"/>
      <c r="M12" s="162"/>
      <c r="N12" s="162"/>
      <c r="O12" s="162"/>
      <c r="P12" s="162"/>
      <c r="Q12" s="162"/>
      <c r="R12" s="162"/>
      <c r="S12" s="162"/>
      <c r="T12" s="162"/>
      <c r="U12" s="163"/>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16" t="s">
        <v>156</v>
      </c>
      <c r="C15" s="117"/>
      <c r="D15" s="117"/>
      <c r="E15" s="117"/>
      <c r="F15" s="117"/>
      <c r="G15" s="117"/>
      <c r="H15" s="117"/>
      <c r="I15" s="117"/>
      <c r="J15" s="117"/>
      <c r="K15" s="117"/>
      <c r="L15" s="117"/>
      <c r="M15" s="117"/>
      <c r="N15" s="117"/>
      <c r="O15" s="117"/>
      <c r="P15" s="117"/>
      <c r="Q15" s="117"/>
      <c r="R15" s="117"/>
      <c r="S15" s="117"/>
      <c r="T15" s="117"/>
      <c r="U15" s="118"/>
      <c r="X15" s="1" t="s">
        <v>95</v>
      </c>
    </row>
    <row r="16" spans="1:24" ht="18" customHeight="1" x14ac:dyDescent="0.15">
      <c r="A16" s="76"/>
      <c r="B16" s="119"/>
      <c r="C16" s="120"/>
      <c r="D16" s="120"/>
      <c r="E16" s="120"/>
      <c r="F16" s="120"/>
      <c r="G16" s="120"/>
      <c r="H16" s="120"/>
      <c r="I16" s="120"/>
      <c r="J16" s="120"/>
      <c r="K16" s="120"/>
      <c r="L16" s="120"/>
      <c r="M16" s="120"/>
      <c r="N16" s="120"/>
      <c r="O16" s="120"/>
      <c r="P16" s="120"/>
      <c r="Q16" s="120"/>
      <c r="R16" s="120"/>
      <c r="S16" s="120"/>
      <c r="T16" s="120"/>
      <c r="U16" s="121"/>
      <c r="X16" s="1" t="s">
        <v>115</v>
      </c>
    </row>
    <row r="17" spans="1:24" ht="18" customHeight="1" x14ac:dyDescent="0.15">
      <c r="A17" s="76"/>
      <c r="B17" s="119"/>
      <c r="C17" s="120"/>
      <c r="D17" s="120"/>
      <c r="E17" s="120"/>
      <c r="F17" s="120"/>
      <c r="G17" s="120"/>
      <c r="H17" s="120"/>
      <c r="I17" s="120"/>
      <c r="J17" s="120"/>
      <c r="K17" s="120"/>
      <c r="L17" s="120"/>
      <c r="M17" s="120"/>
      <c r="N17" s="120"/>
      <c r="O17" s="120"/>
      <c r="P17" s="120"/>
      <c r="Q17" s="120"/>
      <c r="R17" s="120"/>
      <c r="S17" s="120"/>
      <c r="T17" s="120"/>
      <c r="U17" s="121"/>
      <c r="X17" s="1" t="s">
        <v>116</v>
      </c>
    </row>
    <row r="18" spans="1:24" ht="18" customHeight="1" x14ac:dyDescent="0.15">
      <c r="A18" s="76"/>
      <c r="B18" s="119"/>
      <c r="C18" s="120"/>
      <c r="D18" s="120"/>
      <c r="E18" s="120"/>
      <c r="F18" s="120"/>
      <c r="G18" s="120"/>
      <c r="H18" s="120"/>
      <c r="I18" s="120"/>
      <c r="J18" s="120"/>
      <c r="K18" s="120"/>
      <c r="L18" s="120"/>
      <c r="M18" s="120"/>
      <c r="N18" s="120"/>
      <c r="O18" s="120"/>
      <c r="P18" s="120"/>
      <c r="Q18" s="120"/>
      <c r="R18" s="120"/>
      <c r="S18" s="120"/>
      <c r="T18" s="120"/>
      <c r="U18" s="121"/>
      <c r="X18" s="1" t="s">
        <v>117</v>
      </c>
    </row>
    <row r="19" spans="1:24" ht="18" customHeight="1" x14ac:dyDescent="0.15">
      <c r="A19" s="76"/>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15">
      <c r="A20" s="76"/>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15">
      <c r="A22" s="76"/>
      <c r="B22" s="76" t="s">
        <v>133</v>
      </c>
      <c r="C22" s="76"/>
      <c r="D22" s="76"/>
      <c r="E22" s="84">
        <v>2</v>
      </c>
      <c r="F22" s="76" t="s">
        <v>113</v>
      </c>
      <c r="G22" s="76"/>
      <c r="H22" s="85">
        <v>4</v>
      </c>
      <c r="I22" s="81" t="s">
        <v>114</v>
      </c>
      <c r="J22" s="81"/>
      <c r="K22" s="77"/>
      <c r="L22" s="76"/>
      <c r="M22" s="77" t="s">
        <v>110</v>
      </c>
      <c r="N22" s="150" t="s">
        <v>117</v>
      </c>
      <c r="O22" s="151"/>
      <c r="P22" s="151"/>
      <c r="Q22" s="151"/>
      <c r="R22" s="151"/>
      <c r="S22" s="151"/>
      <c r="T22" s="151"/>
      <c r="U22" s="152"/>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25" t="s">
        <v>102</v>
      </c>
      <c r="B24" s="125"/>
      <c r="C24" s="125"/>
      <c r="D24" s="125"/>
      <c r="E24" s="125"/>
      <c r="F24" s="125"/>
      <c r="G24" s="125"/>
      <c r="H24" s="125"/>
      <c r="I24" s="125"/>
      <c r="J24" s="125"/>
      <c r="K24" s="125"/>
      <c r="L24" s="125"/>
      <c r="M24" s="125"/>
      <c r="N24" s="125"/>
      <c r="O24" s="125"/>
      <c r="P24" s="125"/>
      <c r="Q24" s="125"/>
      <c r="R24" s="125"/>
      <c r="S24" s="125"/>
      <c r="T24" s="125"/>
      <c r="U24" s="125"/>
    </row>
    <row r="25" spans="1:24" ht="18" customHeight="1" x14ac:dyDescent="0.15">
      <c r="A25" s="125"/>
      <c r="B25" s="125"/>
      <c r="C25" s="125"/>
      <c r="D25" s="125"/>
      <c r="E25" s="125"/>
      <c r="F25" s="125"/>
      <c r="G25" s="125"/>
      <c r="H25" s="125"/>
      <c r="I25" s="125"/>
      <c r="J25" s="125"/>
      <c r="K25" s="125"/>
      <c r="L25" s="125"/>
      <c r="M25" s="125"/>
      <c r="N25" s="125"/>
      <c r="O25" s="125"/>
      <c r="P25" s="125"/>
      <c r="Q25" s="125"/>
      <c r="R25" s="125"/>
      <c r="S25" s="125"/>
      <c r="T25" s="125"/>
      <c r="U25" s="125"/>
    </row>
    <row r="26" spans="1:24" ht="18" customHeight="1" x14ac:dyDescent="0.15">
      <c r="B26" s="91" t="s">
        <v>52</v>
      </c>
      <c r="C26" s="92"/>
      <c r="D26" s="92"/>
      <c r="E26" s="92"/>
      <c r="F26" s="93"/>
      <c r="G26" s="51" t="s">
        <v>78</v>
      </c>
      <c r="H26" s="50" t="s">
        <v>81</v>
      </c>
      <c r="I26" s="17" t="s">
        <v>55</v>
      </c>
      <c r="J26" s="17" t="s">
        <v>58</v>
      </c>
      <c r="K26" s="91" t="s">
        <v>52</v>
      </c>
      <c r="L26" s="92"/>
      <c r="M26" s="92"/>
      <c r="N26" s="92"/>
      <c r="O26" s="92"/>
      <c r="P26" s="92"/>
      <c r="Q26" s="93"/>
      <c r="R26" s="51" t="s">
        <v>78</v>
      </c>
      <c r="S26" s="50" t="s">
        <v>81</v>
      </c>
      <c r="T26" s="17" t="s">
        <v>55</v>
      </c>
      <c r="U26" s="17" t="s">
        <v>58</v>
      </c>
    </row>
    <row r="27" spans="1:24" ht="18" customHeight="1" x14ac:dyDescent="0.15">
      <c r="B27" s="102" t="s">
        <v>139</v>
      </c>
      <c r="C27" s="103"/>
      <c r="D27" s="103"/>
      <c r="E27" s="103"/>
      <c r="F27" s="104"/>
      <c r="G27" s="18">
        <v>2</v>
      </c>
      <c r="H27" s="18" t="s">
        <v>138</v>
      </c>
      <c r="I27" s="18" t="s">
        <v>138</v>
      </c>
      <c r="J27" s="18" t="s">
        <v>138</v>
      </c>
      <c r="K27" s="102"/>
      <c r="L27" s="103"/>
      <c r="M27" s="103"/>
      <c r="N27" s="103"/>
      <c r="O27" s="103"/>
      <c r="P27" s="103"/>
      <c r="Q27" s="104"/>
      <c r="R27" s="18"/>
      <c r="S27" s="18"/>
      <c r="T27" s="18"/>
      <c r="U27" s="18"/>
    </row>
    <row r="28" spans="1:24" ht="18" customHeight="1" x14ac:dyDescent="0.15">
      <c r="B28" s="94"/>
      <c r="C28" s="95"/>
      <c r="D28" s="95"/>
      <c r="E28" s="95"/>
      <c r="F28" s="96"/>
      <c r="G28" s="19"/>
      <c r="H28" s="19"/>
      <c r="I28" s="19"/>
      <c r="J28" s="19"/>
      <c r="K28" s="94"/>
      <c r="L28" s="95"/>
      <c r="M28" s="95"/>
      <c r="N28" s="95"/>
      <c r="O28" s="95"/>
      <c r="P28" s="95"/>
      <c r="Q28" s="96"/>
      <c r="R28" s="19"/>
      <c r="S28" s="19"/>
      <c r="T28" s="19"/>
      <c r="U28" s="19"/>
    </row>
    <row r="29" spans="1:24" ht="18" customHeight="1" x14ac:dyDescent="0.15">
      <c r="B29" s="94"/>
      <c r="C29" s="95"/>
      <c r="D29" s="95"/>
      <c r="E29" s="95"/>
      <c r="F29" s="96"/>
      <c r="G29" s="19"/>
      <c r="H29" s="19"/>
      <c r="I29" s="19"/>
      <c r="J29" s="19"/>
      <c r="K29" s="94"/>
      <c r="L29" s="95"/>
      <c r="M29" s="95"/>
      <c r="N29" s="95"/>
      <c r="O29" s="95"/>
      <c r="P29" s="95"/>
      <c r="Q29" s="96"/>
      <c r="R29" s="19"/>
      <c r="S29" s="19"/>
      <c r="T29" s="19"/>
      <c r="U29" s="19"/>
    </row>
    <row r="30" spans="1:24" ht="18" customHeight="1" x14ac:dyDescent="0.15">
      <c r="B30" s="94"/>
      <c r="C30" s="95"/>
      <c r="D30" s="95"/>
      <c r="E30" s="95"/>
      <c r="F30" s="96"/>
      <c r="G30" s="19"/>
      <c r="H30" s="19"/>
      <c r="I30" s="19"/>
      <c r="J30" s="19"/>
      <c r="K30" s="94"/>
      <c r="L30" s="95"/>
      <c r="M30" s="95"/>
      <c r="N30" s="95"/>
      <c r="O30" s="95"/>
      <c r="P30" s="95"/>
      <c r="Q30" s="96"/>
      <c r="R30" s="19"/>
      <c r="S30" s="19"/>
      <c r="T30" s="19"/>
      <c r="U30" s="19"/>
    </row>
    <row r="31" spans="1:24" ht="18" customHeight="1" x14ac:dyDescent="0.15">
      <c r="B31" s="94"/>
      <c r="C31" s="95"/>
      <c r="D31" s="95"/>
      <c r="E31" s="95"/>
      <c r="F31" s="96"/>
      <c r="G31" s="19"/>
      <c r="H31" s="19"/>
      <c r="I31" s="19"/>
      <c r="J31" s="19"/>
      <c r="K31" s="94"/>
      <c r="L31" s="95"/>
      <c r="M31" s="95"/>
      <c r="N31" s="95"/>
      <c r="O31" s="95"/>
      <c r="P31" s="95"/>
      <c r="Q31" s="96"/>
      <c r="R31" s="19"/>
      <c r="S31" s="19"/>
      <c r="T31" s="19"/>
      <c r="U31" s="19"/>
    </row>
    <row r="32" spans="1:24" ht="18" customHeight="1" x14ac:dyDescent="0.15">
      <c r="A32" s="3"/>
      <c r="B32" s="94"/>
      <c r="C32" s="95"/>
      <c r="D32" s="95"/>
      <c r="E32" s="95"/>
      <c r="F32" s="96"/>
      <c r="G32" s="19"/>
      <c r="H32" s="19"/>
      <c r="I32" s="19"/>
      <c r="J32" s="19"/>
      <c r="K32" s="94"/>
      <c r="L32" s="95"/>
      <c r="M32" s="95"/>
      <c r="N32" s="95"/>
      <c r="O32" s="95"/>
      <c r="P32" s="95"/>
      <c r="Q32" s="96"/>
      <c r="R32" s="19"/>
      <c r="S32" s="19"/>
      <c r="T32" s="19"/>
      <c r="U32" s="19"/>
    </row>
    <row r="33" spans="1:21" ht="18" customHeight="1" x14ac:dyDescent="0.15">
      <c r="A33" s="3"/>
      <c r="B33" s="97"/>
      <c r="C33" s="98"/>
      <c r="D33" s="98"/>
      <c r="E33" s="98"/>
      <c r="F33" s="99"/>
      <c r="G33" s="20"/>
      <c r="H33" s="20"/>
      <c r="I33" s="21"/>
      <c r="J33" s="21"/>
      <c r="K33" s="97"/>
      <c r="L33" s="98"/>
      <c r="M33" s="98"/>
      <c r="N33" s="98"/>
      <c r="O33" s="98"/>
      <c r="P33" s="98"/>
      <c r="Q33" s="99"/>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5" t="s">
        <v>103</v>
      </c>
      <c r="B35" s="105"/>
      <c r="C35" s="105"/>
      <c r="D35" s="105"/>
      <c r="E35" s="105"/>
      <c r="F35" s="105"/>
      <c r="G35" s="105"/>
      <c r="H35" s="105"/>
      <c r="I35" s="105"/>
      <c r="J35" s="105"/>
      <c r="K35" s="105"/>
      <c r="L35" s="105"/>
      <c r="M35" s="105"/>
      <c r="N35" s="105"/>
      <c r="O35" s="105"/>
      <c r="P35" s="105"/>
      <c r="Q35" s="105"/>
      <c r="R35" s="105"/>
      <c r="S35" s="105"/>
      <c r="T35" s="105"/>
      <c r="U35" s="105"/>
    </row>
    <row r="36" spans="1:21" ht="18" customHeight="1" x14ac:dyDescent="0.15">
      <c r="A36" s="105"/>
      <c r="B36" s="105"/>
      <c r="C36" s="105"/>
      <c r="D36" s="105"/>
      <c r="E36" s="105"/>
      <c r="F36" s="105"/>
      <c r="G36" s="105"/>
      <c r="H36" s="105"/>
      <c r="I36" s="105"/>
      <c r="J36" s="105"/>
      <c r="K36" s="105"/>
      <c r="L36" s="105"/>
      <c r="M36" s="105"/>
      <c r="N36" s="105"/>
      <c r="O36" s="105"/>
      <c r="P36" s="105"/>
      <c r="Q36" s="105"/>
      <c r="R36" s="105"/>
      <c r="S36" s="105"/>
      <c r="T36" s="105"/>
      <c r="U36" s="105"/>
    </row>
    <row r="37" spans="1:21" ht="18" customHeight="1" x14ac:dyDescent="0.15">
      <c r="B37" s="91" t="s">
        <v>52</v>
      </c>
      <c r="C37" s="92"/>
      <c r="D37" s="92"/>
      <c r="E37" s="92"/>
      <c r="F37" s="93"/>
      <c r="G37" s="51" t="s">
        <v>78</v>
      </c>
      <c r="H37" s="50" t="s">
        <v>81</v>
      </c>
      <c r="I37" s="17" t="s">
        <v>69</v>
      </c>
      <c r="J37" s="17" t="s">
        <v>70</v>
      </c>
      <c r="K37" s="91" t="s">
        <v>52</v>
      </c>
      <c r="L37" s="92"/>
      <c r="M37" s="92"/>
      <c r="N37" s="92"/>
      <c r="O37" s="92"/>
      <c r="P37" s="92"/>
      <c r="Q37" s="93"/>
      <c r="R37" s="51" t="s">
        <v>78</v>
      </c>
      <c r="S37" s="50" t="s">
        <v>81</v>
      </c>
      <c r="T37" s="17" t="s">
        <v>69</v>
      </c>
      <c r="U37" s="17" t="s">
        <v>70</v>
      </c>
    </row>
    <row r="38" spans="1:21" ht="18" customHeight="1" x14ac:dyDescent="0.15">
      <c r="B38" s="102" t="s">
        <v>139</v>
      </c>
      <c r="C38" s="103"/>
      <c r="D38" s="103"/>
      <c r="E38" s="103"/>
      <c r="F38" s="104"/>
      <c r="G38" s="18">
        <v>2</v>
      </c>
      <c r="H38" s="18" t="s">
        <v>138</v>
      </c>
      <c r="I38" s="18" t="s">
        <v>138</v>
      </c>
      <c r="J38" s="18" t="s">
        <v>138</v>
      </c>
      <c r="K38" s="102"/>
      <c r="L38" s="103"/>
      <c r="M38" s="103"/>
      <c r="N38" s="103"/>
      <c r="O38" s="103"/>
      <c r="P38" s="103"/>
      <c r="Q38" s="104"/>
      <c r="R38" s="18"/>
      <c r="S38" s="18"/>
      <c r="T38" s="18"/>
      <c r="U38" s="18"/>
    </row>
    <row r="39" spans="1:21" ht="18" customHeight="1" x14ac:dyDescent="0.15">
      <c r="B39" s="94" t="s">
        <v>140</v>
      </c>
      <c r="C39" s="95"/>
      <c r="D39" s="95"/>
      <c r="E39" s="95"/>
      <c r="F39" s="96"/>
      <c r="G39" s="19">
        <v>2</v>
      </c>
      <c r="H39" s="19" t="s">
        <v>138</v>
      </c>
      <c r="I39" s="19" t="s">
        <v>138</v>
      </c>
      <c r="J39" s="19" t="s">
        <v>138</v>
      </c>
      <c r="K39" s="94"/>
      <c r="L39" s="95"/>
      <c r="M39" s="95"/>
      <c r="N39" s="95"/>
      <c r="O39" s="95"/>
      <c r="P39" s="95"/>
      <c r="Q39" s="96"/>
      <c r="R39" s="19"/>
      <c r="S39" s="19"/>
      <c r="T39" s="19"/>
      <c r="U39" s="19"/>
    </row>
    <row r="40" spans="1:21" ht="18" customHeight="1" x14ac:dyDescent="0.15">
      <c r="B40" s="94"/>
      <c r="C40" s="95"/>
      <c r="D40" s="95"/>
      <c r="E40" s="95"/>
      <c r="F40" s="96"/>
      <c r="G40" s="19"/>
      <c r="H40" s="19"/>
      <c r="I40" s="19"/>
      <c r="J40" s="19"/>
      <c r="K40" s="94"/>
      <c r="L40" s="95"/>
      <c r="M40" s="95"/>
      <c r="N40" s="95"/>
      <c r="O40" s="95"/>
      <c r="P40" s="95"/>
      <c r="Q40" s="96"/>
      <c r="R40" s="19"/>
      <c r="S40" s="19"/>
      <c r="T40" s="19"/>
      <c r="U40" s="19"/>
    </row>
    <row r="41" spans="1:21" ht="18" customHeight="1" x14ac:dyDescent="0.15">
      <c r="B41" s="94"/>
      <c r="C41" s="95"/>
      <c r="D41" s="95"/>
      <c r="E41" s="95"/>
      <c r="F41" s="96"/>
      <c r="G41" s="19"/>
      <c r="H41" s="19"/>
      <c r="I41" s="19"/>
      <c r="J41" s="19"/>
      <c r="K41" s="94"/>
      <c r="L41" s="95"/>
      <c r="M41" s="95"/>
      <c r="N41" s="95"/>
      <c r="O41" s="95"/>
      <c r="P41" s="95"/>
      <c r="Q41" s="96"/>
      <c r="R41" s="19"/>
      <c r="S41" s="19"/>
      <c r="T41" s="19"/>
      <c r="U41" s="19"/>
    </row>
    <row r="42" spans="1:21" ht="18" customHeight="1" x14ac:dyDescent="0.15">
      <c r="B42" s="94"/>
      <c r="C42" s="95"/>
      <c r="D42" s="95"/>
      <c r="E42" s="95"/>
      <c r="F42" s="96"/>
      <c r="G42" s="19"/>
      <c r="H42" s="19"/>
      <c r="I42" s="19"/>
      <c r="J42" s="19"/>
      <c r="K42" s="94"/>
      <c r="L42" s="95"/>
      <c r="M42" s="95"/>
      <c r="N42" s="95"/>
      <c r="O42" s="95"/>
      <c r="P42" s="95"/>
      <c r="Q42" s="96"/>
      <c r="R42" s="19"/>
      <c r="S42" s="19"/>
      <c r="T42" s="19"/>
      <c r="U42" s="19"/>
    </row>
    <row r="43" spans="1:21" ht="18" customHeight="1" x14ac:dyDescent="0.15">
      <c r="B43" s="94"/>
      <c r="C43" s="95"/>
      <c r="D43" s="95"/>
      <c r="E43" s="95"/>
      <c r="F43" s="96"/>
      <c r="G43" s="19"/>
      <c r="H43" s="19"/>
      <c r="I43" s="19"/>
      <c r="J43" s="19"/>
      <c r="K43" s="94"/>
      <c r="L43" s="95"/>
      <c r="M43" s="95"/>
      <c r="N43" s="95"/>
      <c r="O43" s="95"/>
      <c r="P43" s="95"/>
      <c r="Q43" s="96"/>
      <c r="R43" s="19"/>
      <c r="S43" s="19"/>
      <c r="T43" s="19"/>
      <c r="U43" s="19"/>
    </row>
    <row r="44" spans="1:21" ht="18" customHeight="1" x14ac:dyDescent="0.15">
      <c r="B44" s="97"/>
      <c r="C44" s="98"/>
      <c r="D44" s="98"/>
      <c r="E44" s="98"/>
      <c r="F44" s="99"/>
      <c r="G44" s="20"/>
      <c r="H44" s="20"/>
      <c r="I44" s="21"/>
      <c r="J44" s="21"/>
      <c r="K44" s="97"/>
      <c r="L44" s="98"/>
      <c r="M44" s="98"/>
      <c r="N44" s="98"/>
      <c r="O44" s="98"/>
      <c r="P44" s="98"/>
      <c r="Q44" s="99"/>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5" t="s">
        <v>104</v>
      </c>
      <c r="B46" s="105"/>
      <c r="C46" s="105"/>
      <c r="D46" s="105"/>
      <c r="E46" s="105"/>
      <c r="F46" s="105"/>
      <c r="G46" s="105"/>
      <c r="H46" s="105"/>
      <c r="I46" s="105"/>
      <c r="J46" s="105"/>
      <c r="K46" s="105"/>
      <c r="L46" s="105"/>
      <c r="M46" s="105"/>
      <c r="N46" s="105"/>
      <c r="O46" s="105"/>
      <c r="P46" s="105"/>
      <c r="Q46" s="105"/>
      <c r="R46" s="105"/>
      <c r="S46" s="105"/>
      <c r="T46" s="105"/>
      <c r="U46" s="105"/>
    </row>
    <row r="47" spans="1:21" ht="18" customHeight="1" x14ac:dyDescent="0.15">
      <c r="A47" s="105"/>
      <c r="B47" s="105"/>
      <c r="C47" s="105"/>
      <c r="D47" s="105"/>
      <c r="E47" s="105"/>
      <c r="F47" s="105"/>
      <c r="G47" s="105"/>
      <c r="H47" s="105"/>
      <c r="I47" s="105"/>
      <c r="J47" s="105"/>
      <c r="K47" s="105"/>
      <c r="L47" s="105"/>
      <c r="M47" s="105"/>
      <c r="N47" s="105"/>
      <c r="O47" s="105"/>
      <c r="P47" s="105"/>
      <c r="Q47" s="105"/>
      <c r="R47" s="105"/>
      <c r="S47" s="105"/>
      <c r="T47" s="105"/>
      <c r="U47" s="105"/>
    </row>
    <row r="48" spans="1:21" ht="18" customHeight="1" x14ac:dyDescent="0.15">
      <c r="B48" s="91" t="s">
        <v>52</v>
      </c>
      <c r="C48" s="92"/>
      <c r="D48" s="92"/>
      <c r="E48" s="92"/>
      <c r="F48" s="93"/>
      <c r="G48" s="51" t="s">
        <v>78</v>
      </c>
      <c r="H48" s="50" t="s">
        <v>81</v>
      </c>
      <c r="I48" s="17" t="s">
        <v>71</v>
      </c>
      <c r="J48" s="17" t="s">
        <v>72</v>
      </c>
      <c r="K48" s="91" t="s">
        <v>52</v>
      </c>
      <c r="L48" s="92"/>
      <c r="M48" s="92"/>
      <c r="N48" s="92"/>
      <c r="O48" s="92"/>
      <c r="P48" s="92"/>
      <c r="Q48" s="93"/>
      <c r="R48" s="51" t="s">
        <v>78</v>
      </c>
      <c r="S48" s="50" t="s">
        <v>81</v>
      </c>
      <c r="T48" s="17" t="s">
        <v>71</v>
      </c>
      <c r="U48" s="17" t="s">
        <v>72</v>
      </c>
    </row>
    <row r="49" spans="1:21" ht="18" customHeight="1" x14ac:dyDescent="0.15">
      <c r="A49" s="3"/>
      <c r="B49" s="102" t="s">
        <v>139</v>
      </c>
      <c r="C49" s="103"/>
      <c r="D49" s="103"/>
      <c r="E49" s="103"/>
      <c r="F49" s="104"/>
      <c r="G49" s="18">
        <v>2</v>
      </c>
      <c r="H49" s="18" t="s">
        <v>138</v>
      </c>
      <c r="I49" s="18" t="s">
        <v>138</v>
      </c>
      <c r="J49" s="18" t="s">
        <v>138</v>
      </c>
      <c r="K49" s="102"/>
      <c r="L49" s="103"/>
      <c r="M49" s="103"/>
      <c r="N49" s="103"/>
      <c r="O49" s="103"/>
      <c r="P49" s="103"/>
      <c r="Q49" s="104"/>
      <c r="R49" s="18"/>
      <c r="S49" s="18"/>
      <c r="T49" s="18"/>
      <c r="U49" s="18"/>
    </row>
    <row r="50" spans="1:21" ht="18" customHeight="1" x14ac:dyDescent="0.15">
      <c r="A50" s="3"/>
      <c r="B50" s="94" t="s">
        <v>140</v>
      </c>
      <c r="C50" s="95"/>
      <c r="D50" s="95"/>
      <c r="E50" s="95"/>
      <c r="F50" s="96"/>
      <c r="G50" s="19">
        <v>2</v>
      </c>
      <c r="H50" s="19" t="s">
        <v>138</v>
      </c>
      <c r="I50" s="19" t="s">
        <v>138</v>
      </c>
      <c r="J50" s="19" t="s">
        <v>138</v>
      </c>
      <c r="K50" s="94"/>
      <c r="L50" s="95"/>
      <c r="M50" s="95"/>
      <c r="N50" s="95"/>
      <c r="O50" s="95"/>
      <c r="P50" s="95"/>
      <c r="Q50" s="96"/>
      <c r="R50" s="19"/>
      <c r="S50" s="19"/>
      <c r="T50" s="19"/>
      <c r="U50" s="19"/>
    </row>
    <row r="51" spans="1:21" ht="18" customHeight="1" x14ac:dyDescent="0.15">
      <c r="A51" s="3"/>
      <c r="B51" s="94"/>
      <c r="C51" s="95"/>
      <c r="D51" s="95"/>
      <c r="E51" s="95"/>
      <c r="F51" s="96"/>
      <c r="G51" s="19"/>
      <c r="H51" s="19"/>
      <c r="I51" s="19"/>
      <c r="J51" s="19"/>
      <c r="K51" s="94"/>
      <c r="L51" s="95"/>
      <c r="M51" s="95"/>
      <c r="N51" s="95"/>
      <c r="O51" s="95"/>
      <c r="P51" s="95"/>
      <c r="Q51" s="96"/>
      <c r="R51" s="19"/>
      <c r="S51" s="19"/>
      <c r="T51" s="19"/>
      <c r="U51" s="19"/>
    </row>
    <row r="52" spans="1:21" ht="18" customHeight="1" x14ac:dyDescent="0.15">
      <c r="A52" s="3"/>
      <c r="B52" s="94"/>
      <c r="C52" s="95"/>
      <c r="D52" s="95"/>
      <c r="E52" s="95"/>
      <c r="F52" s="96"/>
      <c r="G52" s="19"/>
      <c r="H52" s="19"/>
      <c r="I52" s="19"/>
      <c r="J52" s="19"/>
      <c r="K52" s="94"/>
      <c r="L52" s="95"/>
      <c r="M52" s="95"/>
      <c r="N52" s="95"/>
      <c r="O52" s="95"/>
      <c r="P52" s="95"/>
      <c r="Q52" s="96"/>
      <c r="R52" s="19"/>
      <c r="S52" s="19"/>
      <c r="T52" s="19"/>
      <c r="U52" s="19"/>
    </row>
    <row r="53" spans="1:21" ht="18" customHeight="1" x14ac:dyDescent="0.15">
      <c r="A53" s="3"/>
      <c r="B53" s="94"/>
      <c r="C53" s="95"/>
      <c r="D53" s="95"/>
      <c r="E53" s="95"/>
      <c r="F53" s="96"/>
      <c r="G53" s="19"/>
      <c r="H53" s="19"/>
      <c r="I53" s="19"/>
      <c r="J53" s="19"/>
      <c r="K53" s="94"/>
      <c r="L53" s="95"/>
      <c r="M53" s="95"/>
      <c r="N53" s="95"/>
      <c r="O53" s="95"/>
      <c r="P53" s="95"/>
      <c r="Q53" s="96"/>
      <c r="R53" s="19"/>
      <c r="S53" s="19"/>
      <c r="T53" s="19"/>
      <c r="U53" s="19"/>
    </row>
    <row r="54" spans="1:21" ht="18" customHeight="1" x14ac:dyDescent="0.15">
      <c r="A54" s="3"/>
      <c r="B54" s="94"/>
      <c r="C54" s="95"/>
      <c r="D54" s="95"/>
      <c r="E54" s="95"/>
      <c r="F54" s="96"/>
      <c r="G54" s="19"/>
      <c r="H54" s="19"/>
      <c r="I54" s="19"/>
      <c r="J54" s="19"/>
      <c r="K54" s="94"/>
      <c r="L54" s="95"/>
      <c r="M54" s="95"/>
      <c r="N54" s="95"/>
      <c r="O54" s="95"/>
      <c r="P54" s="95"/>
      <c r="Q54" s="96"/>
      <c r="R54" s="19"/>
      <c r="S54" s="19"/>
      <c r="T54" s="19"/>
      <c r="U54" s="19"/>
    </row>
    <row r="55" spans="1:21" ht="18" customHeight="1" x14ac:dyDescent="0.15">
      <c r="A55" s="3"/>
      <c r="B55" s="97"/>
      <c r="C55" s="98"/>
      <c r="D55" s="98"/>
      <c r="E55" s="98"/>
      <c r="F55" s="99"/>
      <c r="G55" s="20"/>
      <c r="H55" s="20"/>
      <c r="I55" s="21"/>
      <c r="J55" s="21"/>
      <c r="K55" s="97"/>
      <c r="L55" s="98"/>
      <c r="M55" s="98"/>
      <c r="N55" s="98"/>
      <c r="O55" s="98"/>
      <c r="P55" s="98"/>
      <c r="Q55" s="99"/>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5" t="s">
        <v>105</v>
      </c>
      <c r="B57" s="105"/>
      <c r="C57" s="105"/>
      <c r="D57" s="105"/>
      <c r="E57" s="105"/>
      <c r="F57" s="105"/>
      <c r="G57" s="105"/>
      <c r="H57" s="105"/>
      <c r="I57" s="105"/>
      <c r="J57" s="105"/>
      <c r="K57" s="105"/>
      <c r="L57" s="105"/>
      <c r="M57" s="105"/>
      <c r="N57" s="105"/>
      <c r="O57" s="105"/>
      <c r="P57" s="105"/>
      <c r="Q57" s="105"/>
      <c r="R57" s="105"/>
      <c r="S57" s="105"/>
      <c r="T57" s="105"/>
      <c r="U57" s="105"/>
    </row>
    <row r="58" spans="1:21" ht="18" customHeight="1" x14ac:dyDescent="0.15">
      <c r="A58" s="105"/>
      <c r="B58" s="105"/>
      <c r="C58" s="105"/>
      <c r="D58" s="105"/>
      <c r="E58" s="105"/>
      <c r="F58" s="105"/>
      <c r="G58" s="105"/>
      <c r="H58" s="105"/>
      <c r="I58" s="105"/>
      <c r="J58" s="105"/>
      <c r="K58" s="105"/>
      <c r="L58" s="105"/>
      <c r="M58" s="105"/>
      <c r="N58" s="105"/>
      <c r="O58" s="105"/>
      <c r="P58" s="105"/>
      <c r="Q58" s="105"/>
      <c r="R58" s="105"/>
      <c r="S58" s="105"/>
      <c r="T58" s="105"/>
      <c r="U58" s="105"/>
    </row>
    <row r="59" spans="1:21" ht="18" customHeight="1" x14ac:dyDescent="0.15">
      <c r="B59" s="91" t="s">
        <v>52</v>
      </c>
      <c r="C59" s="92"/>
      <c r="D59" s="92"/>
      <c r="E59" s="92"/>
      <c r="F59" s="93"/>
      <c r="G59" s="51" t="s">
        <v>78</v>
      </c>
      <c r="H59" s="50" t="s">
        <v>81</v>
      </c>
      <c r="I59" s="17" t="s">
        <v>57</v>
      </c>
      <c r="J59" s="17" t="s">
        <v>59</v>
      </c>
      <c r="K59" s="91" t="s">
        <v>52</v>
      </c>
      <c r="L59" s="92"/>
      <c r="M59" s="92"/>
      <c r="N59" s="92"/>
      <c r="O59" s="92"/>
      <c r="P59" s="92"/>
      <c r="Q59" s="93"/>
      <c r="R59" s="51" t="s">
        <v>78</v>
      </c>
      <c r="S59" s="50" t="s">
        <v>81</v>
      </c>
      <c r="T59" s="17" t="s">
        <v>57</v>
      </c>
      <c r="U59" s="17" t="s">
        <v>59</v>
      </c>
    </row>
    <row r="60" spans="1:21" ht="18" customHeight="1" x14ac:dyDescent="0.15">
      <c r="A60" s="3"/>
      <c r="B60" s="102" t="s">
        <v>139</v>
      </c>
      <c r="C60" s="103"/>
      <c r="D60" s="103"/>
      <c r="E60" s="103"/>
      <c r="F60" s="104"/>
      <c r="G60" s="18">
        <v>2</v>
      </c>
      <c r="H60" s="18" t="s">
        <v>138</v>
      </c>
      <c r="I60" s="18" t="s">
        <v>138</v>
      </c>
      <c r="J60" s="18" t="s">
        <v>138</v>
      </c>
      <c r="K60" s="102"/>
      <c r="L60" s="103"/>
      <c r="M60" s="103"/>
      <c r="N60" s="103"/>
      <c r="O60" s="103"/>
      <c r="P60" s="103"/>
      <c r="Q60" s="104"/>
      <c r="R60" s="18"/>
      <c r="S60" s="18"/>
      <c r="T60" s="18"/>
      <c r="U60" s="18"/>
    </row>
    <row r="61" spans="1:21" ht="18" customHeight="1" x14ac:dyDescent="0.15">
      <c r="A61" s="3"/>
      <c r="B61" s="94" t="s">
        <v>140</v>
      </c>
      <c r="C61" s="95"/>
      <c r="D61" s="95"/>
      <c r="E61" s="95"/>
      <c r="F61" s="96"/>
      <c r="G61" s="19">
        <v>2</v>
      </c>
      <c r="H61" s="19" t="s">
        <v>138</v>
      </c>
      <c r="I61" s="19" t="s">
        <v>138</v>
      </c>
      <c r="J61" s="19"/>
      <c r="K61" s="94"/>
      <c r="L61" s="95"/>
      <c r="M61" s="95"/>
      <c r="N61" s="95"/>
      <c r="O61" s="95"/>
      <c r="P61" s="95"/>
      <c r="Q61" s="96"/>
      <c r="R61" s="19"/>
      <c r="S61" s="19"/>
      <c r="T61" s="19"/>
      <c r="U61" s="19"/>
    </row>
    <row r="62" spans="1:21" ht="18" customHeight="1" x14ac:dyDescent="0.15">
      <c r="A62" s="3"/>
      <c r="B62" s="94"/>
      <c r="C62" s="95"/>
      <c r="D62" s="95"/>
      <c r="E62" s="95"/>
      <c r="F62" s="96"/>
      <c r="G62" s="19"/>
      <c r="H62" s="19"/>
      <c r="I62" s="19"/>
      <c r="J62" s="19"/>
      <c r="K62" s="94"/>
      <c r="L62" s="95"/>
      <c r="M62" s="95"/>
      <c r="N62" s="95"/>
      <c r="O62" s="95"/>
      <c r="P62" s="95"/>
      <c r="Q62" s="96"/>
      <c r="R62" s="19"/>
      <c r="S62" s="19"/>
      <c r="T62" s="19"/>
      <c r="U62" s="19"/>
    </row>
    <row r="63" spans="1:21" ht="18" customHeight="1" x14ac:dyDescent="0.15">
      <c r="A63" s="3"/>
      <c r="B63" s="94"/>
      <c r="C63" s="95"/>
      <c r="D63" s="95"/>
      <c r="E63" s="95"/>
      <c r="F63" s="96"/>
      <c r="G63" s="19"/>
      <c r="H63" s="19"/>
      <c r="I63" s="19"/>
      <c r="J63" s="19"/>
      <c r="K63" s="94"/>
      <c r="L63" s="95"/>
      <c r="M63" s="95"/>
      <c r="N63" s="95"/>
      <c r="O63" s="95"/>
      <c r="P63" s="95"/>
      <c r="Q63" s="96"/>
      <c r="R63" s="19"/>
      <c r="S63" s="19"/>
      <c r="T63" s="19"/>
      <c r="U63" s="19"/>
    </row>
    <row r="64" spans="1:21" ht="18" customHeight="1" x14ac:dyDescent="0.15">
      <c r="A64" s="3"/>
      <c r="B64" s="94"/>
      <c r="C64" s="95"/>
      <c r="D64" s="95"/>
      <c r="E64" s="95"/>
      <c r="F64" s="96"/>
      <c r="G64" s="19"/>
      <c r="H64" s="19"/>
      <c r="I64" s="19"/>
      <c r="J64" s="19"/>
      <c r="K64" s="94"/>
      <c r="L64" s="95"/>
      <c r="M64" s="95"/>
      <c r="N64" s="95"/>
      <c r="O64" s="95"/>
      <c r="P64" s="95"/>
      <c r="Q64" s="96"/>
      <c r="R64" s="19"/>
      <c r="S64" s="19"/>
      <c r="T64" s="19"/>
      <c r="U64" s="19"/>
    </row>
    <row r="65" spans="1:21" ht="18" customHeight="1" x14ac:dyDescent="0.15">
      <c r="A65" s="3"/>
      <c r="B65" s="94"/>
      <c r="C65" s="95"/>
      <c r="D65" s="95"/>
      <c r="E65" s="95"/>
      <c r="F65" s="96"/>
      <c r="G65" s="19"/>
      <c r="H65" s="19"/>
      <c r="I65" s="19"/>
      <c r="J65" s="19"/>
      <c r="K65" s="94"/>
      <c r="L65" s="95"/>
      <c r="M65" s="95"/>
      <c r="N65" s="95"/>
      <c r="O65" s="95"/>
      <c r="P65" s="95"/>
      <c r="Q65" s="96"/>
      <c r="R65" s="19"/>
      <c r="S65" s="19"/>
      <c r="T65" s="19"/>
      <c r="U65" s="19"/>
    </row>
    <row r="66" spans="1:21" ht="18" customHeight="1" x14ac:dyDescent="0.15">
      <c r="A66" s="3"/>
      <c r="B66" s="97"/>
      <c r="C66" s="98"/>
      <c r="D66" s="98"/>
      <c r="E66" s="98"/>
      <c r="F66" s="99"/>
      <c r="G66" s="20"/>
      <c r="H66" s="20"/>
      <c r="I66" s="21"/>
      <c r="J66" s="21"/>
      <c r="K66" s="97"/>
      <c r="L66" s="98"/>
      <c r="M66" s="98"/>
      <c r="N66" s="98"/>
      <c r="O66" s="98"/>
      <c r="P66" s="98"/>
      <c r="Q66" s="99"/>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5" t="s">
        <v>106</v>
      </c>
      <c r="B68" s="105"/>
      <c r="C68" s="105"/>
      <c r="D68" s="105"/>
      <c r="E68" s="105"/>
      <c r="F68" s="105"/>
      <c r="G68" s="105"/>
      <c r="H68" s="105"/>
      <c r="I68" s="105"/>
      <c r="J68" s="105"/>
      <c r="K68" s="105"/>
      <c r="L68" s="105"/>
      <c r="M68" s="105"/>
      <c r="N68" s="105"/>
      <c r="O68" s="105"/>
      <c r="P68" s="105"/>
      <c r="Q68" s="105"/>
      <c r="R68" s="105"/>
      <c r="S68" s="105"/>
      <c r="T68" s="105"/>
      <c r="U68" s="105"/>
    </row>
    <row r="69" spans="1:21" ht="18" customHeight="1" x14ac:dyDescent="0.15">
      <c r="A69" s="105"/>
      <c r="B69" s="105"/>
      <c r="C69" s="105"/>
      <c r="D69" s="105"/>
      <c r="E69" s="105"/>
      <c r="F69" s="105"/>
      <c r="G69" s="105"/>
      <c r="H69" s="105"/>
      <c r="I69" s="105"/>
      <c r="J69" s="105"/>
      <c r="K69" s="105"/>
      <c r="L69" s="105"/>
      <c r="M69" s="105"/>
      <c r="N69" s="105"/>
      <c r="O69" s="105"/>
      <c r="P69" s="105"/>
      <c r="Q69" s="105"/>
      <c r="R69" s="105"/>
      <c r="S69" s="105"/>
      <c r="T69" s="105"/>
      <c r="U69" s="105"/>
    </row>
    <row r="70" spans="1:21" ht="18" customHeight="1" x14ac:dyDescent="0.15">
      <c r="B70" s="91" t="s">
        <v>52</v>
      </c>
      <c r="C70" s="92"/>
      <c r="D70" s="92"/>
      <c r="E70" s="92"/>
      <c r="F70" s="51" t="s">
        <v>78</v>
      </c>
      <c r="G70" s="50" t="s">
        <v>81</v>
      </c>
      <c r="H70" s="17" t="s">
        <v>93</v>
      </c>
      <c r="I70" s="17" t="s">
        <v>73</v>
      </c>
      <c r="J70" s="17" t="s">
        <v>74</v>
      </c>
      <c r="K70" s="91" t="s">
        <v>52</v>
      </c>
      <c r="L70" s="92"/>
      <c r="M70" s="92"/>
      <c r="N70" s="92"/>
      <c r="O70" s="92"/>
      <c r="P70" s="93"/>
      <c r="Q70" s="51" t="s">
        <v>78</v>
      </c>
      <c r="R70" s="50" t="s">
        <v>81</v>
      </c>
      <c r="S70" s="17" t="s">
        <v>93</v>
      </c>
      <c r="T70" s="17" t="s">
        <v>73</v>
      </c>
      <c r="U70" s="17" t="s">
        <v>74</v>
      </c>
    </row>
    <row r="71" spans="1:21" ht="18" customHeight="1" x14ac:dyDescent="0.15">
      <c r="A71" s="3"/>
      <c r="B71" s="102" t="s">
        <v>139</v>
      </c>
      <c r="C71" s="103"/>
      <c r="D71" s="103"/>
      <c r="E71" s="103"/>
      <c r="F71" s="18">
        <v>2</v>
      </c>
      <c r="G71" s="18" t="s">
        <v>138</v>
      </c>
      <c r="H71" s="18" t="s">
        <v>138</v>
      </c>
      <c r="I71" s="18" t="s">
        <v>138</v>
      </c>
      <c r="J71" s="18" t="s">
        <v>138</v>
      </c>
      <c r="K71" s="102"/>
      <c r="L71" s="103"/>
      <c r="M71" s="103"/>
      <c r="N71" s="103"/>
      <c r="O71" s="103"/>
      <c r="P71" s="104"/>
      <c r="Q71" s="18"/>
      <c r="R71" s="18"/>
      <c r="S71" s="18"/>
      <c r="T71" s="18"/>
      <c r="U71" s="18"/>
    </row>
    <row r="72" spans="1:21" ht="18" customHeight="1" x14ac:dyDescent="0.15">
      <c r="A72" s="3"/>
      <c r="B72" s="94" t="s">
        <v>140</v>
      </c>
      <c r="C72" s="95"/>
      <c r="D72" s="95"/>
      <c r="E72" s="95"/>
      <c r="F72" s="19">
        <v>2</v>
      </c>
      <c r="G72" s="19" t="s">
        <v>138</v>
      </c>
      <c r="H72" s="19" t="s">
        <v>138</v>
      </c>
      <c r="I72" s="19" t="s">
        <v>138</v>
      </c>
      <c r="J72" s="19" t="s">
        <v>138</v>
      </c>
      <c r="K72" s="94"/>
      <c r="L72" s="95"/>
      <c r="M72" s="95"/>
      <c r="N72" s="95"/>
      <c r="O72" s="95"/>
      <c r="P72" s="96"/>
      <c r="Q72" s="19"/>
      <c r="R72" s="19"/>
      <c r="S72" s="19"/>
      <c r="T72" s="19"/>
      <c r="U72" s="19"/>
    </row>
    <row r="73" spans="1:21" ht="18" customHeight="1" x14ac:dyDescent="0.15">
      <c r="A73" s="3"/>
      <c r="B73" s="94"/>
      <c r="C73" s="95"/>
      <c r="D73" s="95"/>
      <c r="E73" s="95"/>
      <c r="F73" s="19"/>
      <c r="G73" s="19"/>
      <c r="H73" s="19"/>
      <c r="I73" s="19"/>
      <c r="J73" s="19"/>
      <c r="K73" s="94"/>
      <c r="L73" s="95"/>
      <c r="M73" s="95"/>
      <c r="N73" s="95"/>
      <c r="O73" s="95"/>
      <c r="P73" s="96"/>
      <c r="Q73" s="19"/>
      <c r="R73" s="19"/>
      <c r="S73" s="19"/>
      <c r="T73" s="19"/>
      <c r="U73" s="19"/>
    </row>
    <row r="74" spans="1:21" ht="18" customHeight="1" x14ac:dyDescent="0.15">
      <c r="A74" s="3"/>
      <c r="B74" s="94"/>
      <c r="C74" s="95"/>
      <c r="D74" s="95"/>
      <c r="E74" s="95"/>
      <c r="F74" s="19"/>
      <c r="G74" s="19"/>
      <c r="H74" s="19"/>
      <c r="I74" s="19"/>
      <c r="J74" s="19"/>
      <c r="K74" s="94"/>
      <c r="L74" s="95"/>
      <c r="M74" s="95"/>
      <c r="N74" s="95"/>
      <c r="O74" s="95"/>
      <c r="P74" s="96"/>
      <c r="Q74" s="19"/>
      <c r="R74" s="19"/>
      <c r="S74" s="19"/>
      <c r="T74" s="19"/>
      <c r="U74" s="19"/>
    </row>
    <row r="75" spans="1:21" ht="18" customHeight="1" x14ac:dyDescent="0.15">
      <c r="A75" s="3"/>
      <c r="B75" s="94"/>
      <c r="C75" s="95"/>
      <c r="D75" s="95"/>
      <c r="E75" s="95"/>
      <c r="F75" s="19"/>
      <c r="G75" s="19"/>
      <c r="H75" s="19"/>
      <c r="I75" s="19"/>
      <c r="J75" s="19"/>
      <c r="K75" s="94"/>
      <c r="L75" s="95"/>
      <c r="M75" s="95"/>
      <c r="N75" s="95"/>
      <c r="O75" s="95"/>
      <c r="P75" s="96"/>
      <c r="Q75" s="19"/>
      <c r="R75" s="19"/>
      <c r="S75" s="19"/>
      <c r="T75" s="19"/>
      <c r="U75" s="19"/>
    </row>
    <row r="76" spans="1:21" ht="18" customHeight="1" x14ac:dyDescent="0.15">
      <c r="A76" s="3"/>
      <c r="B76" s="94"/>
      <c r="C76" s="95"/>
      <c r="D76" s="95"/>
      <c r="E76" s="95"/>
      <c r="F76" s="19"/>
      <c r="G76" s="19"/>
      <c r="H76" s="19"/>
      <c r="I76" s="19"/>
      <c r="J76" s="19"/>
      <c r="K76" s="94"/>
      <c r="L76" s="95"/>
      <c r="M76" s="95"/>
      <c r="N76" s="95"/>
      <c r="O76" s="95"/>
      <c r="P76" s="96"/>
      <c r="Q76" s="19"/>
      <c r="R76" s="19"/>
      <c r="S76" s="19"/>
      <c r="T76" s="19"/>
      <c r="U76" s="19"/>
    </row>
    <row r="77" spans="1:21" ht="18" customHeight="1" x14ac:dyDescent="0.15">
      <c r="A77" s="3"/>
      <c r="B77" s="97"/>
      <c r="C77" s="98"/>
      <c r="D77" s="98"/>
      <c r="E77" s="98"/>
      <c r="F77" s="20"/>
      <c r="G77" s="20"/>
      <c r="H77" s="21"/>
      <c r="I77" s="21"/>
      <c r="J77" s="21"/>
      <c r="K77" s="97"/>
      <c r="L77" s="98"/>
      <c r="M77" s="98"/>
      <c r="N77" s="98"/>
      <c r="O77" s="98"/>
      <c r="P77" s="99"/>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91" t="s">
        <v>52</v>
      </c>
      <c r="C80" s="92"/>
      <c r="D80" s="92"/>
      <c r="E80" s="92"/>
      <c r="F80" s="93"/>
      <c r="G80" s="91" t="s">
        <v>79</v>
      </c>
      <c r="H80" s="92"/>
      <c r="I80" s="92"/>
      <c r="J80" s="93"/>
      <c r="K80" s="111" t="s">
        <v>52</v>
      </c>
      <c r="L80" s="112"/>
      <c r="M80" s="112"/>
      <c r="N80" s="112"/>
      <c r="O80" s="112"/>
      <c r="P80" s="112"/>
      <c r="Q80" s="113"/>
      <c r="R80" s="91" t="s">
        <v>79</v>
      </c>
      <c r="S80" s="92"/>
      <c r="T80" s="92"/>
      <c r="U80" s="93"/>
    </row>
    <row r="81" spans="1:21" ht="18" customHeight="1" x14ac:dyDescent="0.15">
      <c r="A81" s="3"/>
      <c r="B81" s="94" t="s">
        <v>140</v>
      </c>
      <c r="C81" s="95"/>
      <c r="D81" s="95"/>
      <c r="E81" s="95"/>
      <c r="F81" s="96"/>
      <c r="G81" s="106" t="s">
        <v>141</v>
      </c>
      <c r="H81" s="107"/>
      <c r="I81" s="107"/>
      <c r="J81" s="108"/>
      <c r="K81" s="102"/>
      <c r="L81" s="103"/>
      <c r="M81" s="103"/>
      <c r="N81" s="103"/>
      <c r="O81" s="103"/>
      <c r="P81" s="103"/>
      <c r="Q81" s="104"/>
      <c r="R81" s="106"/>
      <c r="S81" s="107"/>
      <c r="T81" s="107"/>
      <c r="U81" s="108"/>
    </row>
    <row r="82" spans="1:21" ht="18" customHeight="1" x14ac:dyDescent="0.15">
      <c r="A82" s="3"/>
      <c r="B82" s="94"/>
      <c r="C82" s="95"/>
      <c r="D82" s="95"/>
      <c r="E82" s="95"/>
      <c r="F82" s="96"/>
      <c r="G82" s="88"/>
      <c r="H82" s="89"/>
      <c r="I82" s="89"/>
      <c r="J82" s="90"/>
      <c r="K82" s="94"/>
      <c r="L82" s="95"/>
      <c r="M82" s="95"/>
      <c r="N82" s="95"/>
      <c r="O82" s="95"/>
      <c r="P82" s="95"/>
      <c r="Q82" s="96"/>
      <c r="R82" s="88"/>
      <c r="S82" s="89"/>
      <c r="T82" s="89"/>
      <c r="U82" s="90"/>
    </row>
    <row r="83" spans="1:21" ht="18" customHeight="1" x14ac:dyDescent="0.15">
      <c r="A83" s="3"/>
      <c r="B83" s="94"/>
      <c r="C83" s="95"/>
      <c r="D83" s="95"/>
      <c r="E83" s="95"/>
      <c r="F83" s="96"/>
      <c r="G83" s="88"/>
      <c r="H83" s="89"/>
      <c r="I83" s="89"/>
      <c r="J83" s="90"/>
      <c r="K83" s="94"/>
      <c r="L83" s="95"/>
      <c r="M83" s="95"/>
      <c r="N83" s="95"/>
      <c r="O83" s="95"/>
      <c r="P83" s="95"/>
      <c r="Q83" s="96"/>
      <c r="R83" s="88"/>
      <c r="S83" s="89"/>
      <c r="T83" s="89"/>
      <c r="U83" s="90"/>
    </row>
    <row r="84" spans="1:21" ht="18" customHeight="1" x14ac:dyDescent="0.15">
      <c r="A84" s="3"/>
      <c r="B84" s="94"/>
      <c r="C84" s="95"/>
      <c r="D84" s="95"/>
      <c r="E84" s="95"/>
      <c r="F84" s="96"/>
      <c r="G84" s="88"/>
      <c r="H84" s="89"/>
      <c r="I84" s="89"/>
      <c r="J84" s="90"/>
      <c r="K84" s="94"/>
      <c r="L84" s="95"/>
      <c r="M84" s="95"/>
      <c r="N84" s="95"/>
      <c r="O84" s="95"/>
      <c r="P84" s="95"/>
      <c r="Q84" s="96"/>
      <c r="R84" s="88"/>
      <c r="S84" s="89"/>
      <c r="T84" s="89"/>
      <c r="U84" s="90"/>
    </row>
    <row r="85" spans="1:21" ht="18" customHeight="1" x14ac:dyDescent="0.15">
      <c r="A85" s="3"/>
      <c r="B85" s="94"/>
      <c r="C85" s="95"/>
      <c r="D85" s="95"/>
      <c r="E85" s="95"/>
      <c r="F85" s="96"/>
      <c r="G85" s="88"/>
      <c r="H85" s="89"/>
      <c r="I85" s="89"/>
      <c r="J85" s="90"/>
      <c r="K85" s="94"/>
      <c r="L85" s="95"/>
      <c r="M85" s="95"/>
      <c r="N85" s="95"/>
      <c r="O85" s="95"/>
      <c r="P85" s="95"/>
      <c r="Q85" s="96"/>
      <c r="R85" s="88"/>
      <c r="S85" s="89"/>
      <c r="T85" s="89"/>
      <c r="U85" s="90"/>
    </row>
    <row r="86" spans="1:21" ht="18" customHeight="1" x14ac:dyDescent="0.15">
      <c r="A86" s="3"/>
      <c r="B86" s="94"/>
      <c r="C86" s="95"/>
      <c r="D86" s="95"/>
      <c r="E86" s="95"/>
      <c r="F86" s="96"/>
      <c r="G86" s="88"/>
      <c r="H86" s="89"/>
      <c r="I86" s="89"/>
      <c r="J86" s="90"/>
      <c r="K86" s="94"/>
      <c r="L86" s="95"/>
      <c r="M86" s="95"/>
      <c r="N86" s="95"/>
      <c r="O86" s="95"/>
      <c r="P86" s="95"/>
      <c r="Q86" s="96"/>
      <c r="R86" s="88"/>
      <c r="S86" s="89"/>
      <c r="T86" s="89"/>
      <c r="U86" s="90"/>
    </row>
    <row r="87" spans="1:21" ht="18" customHeight="1" x14ac:dyDescent="0.15">
      <c r="A87" s="3"/>
      <c r="B87" s="97"/>
      <c r="C87" s="98"/>
      <c r="D87" s="98"/>
      <c r="E87" s="98"/>
      <c r="F87" s="99"/>
      <c r="G87" s="129"/>
      <c r="H87" s="130"/>
      <c r="I87" s="130"/>
      <c r="J87" s="131"/>
      <c r="K87" s="97"/>
      <c r="L87" s="98"/>
      <c r="M87" s="98"/>
      <c r="N87" s="98"/>
      <c r="O87" s="98"/>
      <c r="P87" s="98"/>
      <c r="Q87" s="99"/>
      <c r="R87" s="129"/>
      <c r="S87" s="130"/>
      <c r="T87" s="130"/>
      <c r="U87" s="131"/>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32" t="s">
        <v>53</v>
      </c>
      <c r="C90" s="133"/>
      <c r="D90" s="91" t="s">
        <v>54</v>
      </c>
      <c r="E90" s="92"/>
      <c r="F90" s="92"/>
      <c r="G90" s="92"/>
      <c r="H90" s="92"/>
      <c r="I90" s="92"/>
      <c r="J90" s="92"/>
      <c r="K90" s="92"/>
      <c r="L90" s="92"/>
      <c r="M90" s="92"/>
      <c r="N90" s="92"/>
      <c r="O90" s="92"/>
      <c r="P90" s="92"/>
      <c r="Q90" s="92"/>
      <c r="R90" s="92"/>
      <c r="S90" s="92"/>
      <c r="T90" s="92"/>
      <c r="U90" s="93"/>
    </row>
    <row r="91" spans="1:21" ht="97.5" customHeight="1" x14ac:dyDescent="0.15">
      <c r="B91" s="109" t="s">
        <v>60</v>
      </c>
      <c r="C91" s="23" t="s">
        <v>55</v>
      </c>
      <c r="D91" s="156" t="s">
        <v>167</v>
      </c>
      <c r="E91" s="143"/>
      <c r="F91" s="143"/>
      <c r="G91" s="143"/>
      <c r="H91" s="143"/>
      <c r="I91" s="143"/>
      <c r="J91" s="143"/>
      <c r="K91" s="143"/>
      <c r="L91" s="143"/>
      <c r="M91" s="143"/>
      <c r="N91" s="143"/>
      <c r="O91" s="143"/>
      <c r="P91" s="143"/>
      <c r="Q91" s="143"/>
      <c r="R91" s="143"/>
      <c r="S91" s="143"/>
      <c r="T91" s="143"/>
      <c r="U91" s="144"/>
    </row>
    <row r="92" spans="1:21" ht="97.5" customHeight="1" x14ac:dyDescent="0.15">
      <c r="B92" s="114"/>
      <c r="C92" s="24" t="s">
        <v>75</v>
      </c>
      <c r="D92" s="157" t="s">
        <v>168</v>
      </c>
      <c r="E92" s="148"/>
      <c r="F92" s="148"/>
      <c r="G92" s="148"/>
      <c r="H92" s="148"/>
      <c r="I92" s="148"/>
      <c r="J92" s="148"/>
      <c r="K92" s="148"/>
      <c r="L92" s="148"/>
      <c r="M92" s="148"/>
      <c r="N92" s="148"/>
      <c r="O92" s="148"/>
      <c r="P92" s="148"/>
      <c r="Q92" s="148"/>
      <c r="R92" s="148"/>
      <c r="S92" s="148"/>
      <c r="T92" s="148"/>
      <c r="U92" s="149"/>
    </row>
    <row r="93" spans="1:21" ht="97.5" customHeight="1" x14ac:dyDescent="0.15">
      <c r="B93" s="109" t="s">
        <v>61</v>
      </c>
      <c r="C93" s="25" t="s">
        <v>69</v>
      </c>
      <c r="D93" s="142" t="s">
        <v>169</v>
      </c>
      <c r="E93" s="143"/>
      <c r="F93" s="143"/>
      <c r="G93" s="143"/>
      <c r="H93" s="143"/>
      <c r="I93" s="143"/>
      <c r="J93" s="143"/>
      <c r="K93" s="143"/>
      <c r="L93" s="143"/>
      <c r="M93" s="143"/>
      <c r="N93" s="143"/>
      <c r="O93" s="143"/>
      <c r="P93" s="143"/>
      <c r="Q93" s="143"/>
      <c r="R93" s="143"/>
      <c r="S93" s="143"/>
      <c r="T93" s="143"/>
      <c r="U93" s="144"/>
    </row>
    <row r="94" spans="1:21" ht="97.5" customHeight="1" x14ac:dyDescent="0.15">
      <c r="B94" s="110"/>
      <c r="C94" s="26" t="s">
        <v>70</v>
      </c>
      <c r="D94" s="139" t="s">
        <v>170</v>
      </c>
      <c r="E94" s="148"/>
      <c r="F94" s="148"/>
      <c r="G94" s="148"/>
      <c r="H94" s="148"/>
      <c r="I94" s="148"/>
      <c r="J94" s="148"/>
      <c r="K94" s="148"/>
      <c r="L94" s="148"/>
      <c r="M94" s="148"/>
      <c r="N94" s="148"/>
      <c r="O94" s="148"/>
      <c r="P94" s="148"/>
      <c r="Q94" s="148"/>
      <c r="R94" s="148"/>
      <c r="S94" s="148"/>
      <c r="T94" s="148"/>
      <c r="U94" s="149"/>
    </row>
    <row r="95" spans="1:21" ht="97.5" customHeight="1" x14ac:dyDescent="0.15">
      <c r="B95" s="109" t="s">
        <v>62</v>
      </c>
      <c r="C95" s="25" t="s">
        <v>71</v>
      </c>
      <c r="D95" s="142" t="s">
        <v>171</v>
      </c>
      <c r="E95" s="143"/>
      <c r="F95" s="143"/>
      <c r="G95" s="143"/>
      <c r="H95" s="143"/>
      <c r="I95" s="143"/>
      <c r="J95" s="143"/>
      <c r="K95" s="143"/>
      <c r="L95" s="143"/>
      <c r="M95" s="143"/>
      <c r="N95" s="143"/>
      <c r="O95" s="143"/>
      <c r="P95" s="143"/>
      <c r="Q95" s="143"/>
      <c r="R95" s="143"/>
      <c r="S95" s="143"/>
      <c r="T95" s="143"/>
      <c r="U95" s="144"/>
    </row>
    <row r="96" spans="1:21" ht="97.5" customHeight="1" x14ac:dyDescent="0.15">
      <c r="B96" s="110"/>
      <c r="C96" s="27" t="s">
        <v>72</v>
      </c>
      <c r="D96" s="139" t="s">
        <v>172</v>
      </c>
      <c r="E96" s="148"/>
      <c r="F96" s="148"/>
      <c r="G96" s="148"/>
      <c r="H96" s="148"/>
      <c r="I96" s="148"/>
      <c r="J96" s="148"/>
      <c r="K96" s="148"/>
      <c r="L96" s="148"/>
      <c r="M96" s="148"/>
      <c r="N96" s="148"/>
      <c r="O96" s="148"/>
      <c r="P96" s="148"/>
      <c r="Q96" s="148"/>
      <c r="R96" s="148"/>
      <c r="S96" s="148"/>
      <c r="T96" s="148"/>
      <c r="U96" s="149"/>
    </row>
    <row r="97" spans="1:33" ht="97.5" customHeight="1" x14ac:dyDescent="0.15">
      <c r="B97" s="109" t="s">
        <v>76</v>
      </c>
      <c r="C97" s="23" t="s">
        <v>57</v>
      </c>
      <c r="D97" s="142" t="s">
        <v>173</v>
      </c>
      <c r="E97" s="143"/>
      <c r="F97" s="143"/>
      <c r="G97" s="143"/>
      <c r="H97" s="143"/>
      <c r="I97" s="143"/>
      <c r="J97" s="143"/>
      <c r="K97" s="143"/>
      <c r="L97" s="143"/>
      <c r="M97" s="143"/>
      <c r="N97" s="143"/>
      <c r="O97" s="143"/>
      <c r="P97" s="143"/>
      <c r="Q97" s="143"/>
      <c r="R97" s="143"/>
      <c r="S97" s="143"/>
      <c r="T97" s="143"/>
      <c r="U97" s="144"/>
    </row>
    <row r="98" spans="1:33" ht="97.5" customHeight="1" x14ac:dyDescent="0.15">
      <c r="B98" s="110"/>
      <c r="C98" s="26" t="s">
        <v>59</v>
      </c>
      <c r="D98" s="139" t="s">
        <v>174</v>
      </c>
      <c r="E98" s="140"/>
      <c r="F98" s="140"/>
      <c r="G98" s="140"/>
      <c r="H98" s="140"/>
      <c r="I98" s="140"/>
      <c r="J98" s="140"/>
      <c r="K98" s="140"/>
      <c r="L98" s="140"/>
      <c r="M98" s="140"/>
      <c r="N98" s="140"/>
      <c r="O98" s="140"/>
      <c r="P98" s="140"/>
      <c r="Q98" s="140"/>
      <c r="R98" s="140"/>
      <c r="S98" s="140"/>
      <c r="T98" s="140"/>
      <c r="U98" s="141"/>
    </row>
    <row r="99" spans="1:33" ht="97.5" customHeight="1" x14ac:dyDescent="0.15">
      <c r="B99" s="109" t="s">
        <v>77</v>
      </c>
      <c r="C99" s="25" t="s">
        <v>56</v>
      </c>
      <c r="D99" s="142" t="s">
        <v>176</v>
      </c>
      <c r="E99" s="143"/>
      <c r="F99" s="143"/>
      <c r="G99" s="143"/>
      <c r="H99" s="143"/>
      <c r="I99" s="143"/>
      <c r="J99" s="143"/>
      <c r="K99" s="143"/>
      <c r="L99" s="143"/>
      <c r="M99" s="143"/>
      <c r="N99" s="143"/>
      <c r="O99" s="143"/>
      <c r="P99" s="143"/>
      <c r="Q99" s="143"/>
      <c r="R99" s="143"/>
      <c r="S99" s="143"/>
      <c r="T99" s="143"/>
      <c r="U99" s="144"/>
    </row>
    <row r="100" spans="1:33" ht="97.5" customHeight="1" x14ac:dyDescent="0.15">
      <c r="B100" s="114"/>
      <c r="C100" s="28" t="s">
        <v>73</v>
      </c>
      <c r="D100" s="145" t="s">
        <v>175</v>
      </c>
      <c r="E100" s="146"/>
      <c r="F100" s="146"/>
      <c r="G100" s="146"/>
      <c r="H100" s="146"/>
      <c r="I100" s="146"/>
      <c r="J100" s="146"/>
      <c r="K100" s="146"/>
      <c r="L100" s="146"/>
      <c r="M100" s="146"/>
      <c r="N100" s="146"/>
      <c r="O100" s="146"/>
      <c r="P100" s="146"/>
      <c r="Q100" s="146"/>
      <c r="R100" s="146"/>
      <c r="S100" s="146"/>
      <c r="T100" s="146"/>
      <c r="U100" s="147"/>
    </row>
    <row r="101" spans="1:33" ht="97.5" customHeight="1" x14ac:dyDescent="0.15">
      <c r="B101" s="110"/>
      <c r="C101" s="27" t="s">
        <v>74</v>
      </c>
      <c r="D101" s="139" t="s">
        <v>177</v>
      </c>
      <c r="E101" s="148"/>
      <c r="F101" s="148"/>
      <c r="G101" s="148"/>
      <c r="H101" s="148"/>
      <c r="I101" s="148"/>
      <c r="J101" s="148"/>
      <c r="K101" s="148"/>
      <c r="L101" s="148"/>
      <c r="M101" s="148"/>
      <c r="N101" s="148"/>
      <c r="O101" s="148"/>
      <c r="P101" s="148"/>
      <c r="Q101" s="148"/>
      <c r="R101" s="148"/>
      <c r="S101" s="148"/>
      <c r="T101" s="148"/>
      <c r="U101" s="149"/>
    </row>
    <row r="102" spans="1:33" ht="6" customHeight="1" x14ac:dyDescent="0.15"/>
    <row r="103" spans="1:33" ht="18.75" customHeight="1" x14ac:dyDescent="0.15">
      <c r="A103" s="1" t="s">
        <v>109</v>
      </c>
    </row>
    <row r="104" spans="1:33" ht="81.75" customHeight="1" x14ac:dyDescent="0.15">
      <c r="B104" s="126" t="s">
        <v>159</v>
      </c>
      <c r="C104" s="127"/>
      <c r="D104" s="127"/>
      <c r="E104" s="127"/>
      <c r="F104" s="127"/>
      <c r="G104" s="127"/>
      <c r="H104" s="127"/>
      <c r="I104" s="127"/>
      <c r="J104" s="127"/>
      <c r="K104" s="127"/>
      <c r="L104" s="127"/>
      <c r="M104" s="127"/>
      <c r="N104" s="127"/>
      <c r="O104" s="127"/>
      <c r="P104" s="127"/>
      <c r="Q104" s="127"/>
      <c r="R104" s="127"/>
      <c r="S104" s="127"/>
      <c r="T104" s="127"/>
      <c r="U104" s="128"/>
    </row>
    <row r="106" spans="1:33" ht="18.75" customHeight="1" x14ac:dyDescent="0.15">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138" t="s">
        <v>130</v>
      </c>
      <c r="C108" s="138"/>
      <c r="D108" s="138"/>
      <c r="E108" s="138"/>
      <c r="F108" s="138"/>
      <c r="G108" s="138"/>
      <c r="H108" s="138"/>
      <c r="I108" s="138"/>
      <c r="J108" s="138"/>
      <c r="K108" s="138"/>
      <c r="L108" s="138"/>
      <c r="M108" s="138"/>
      <c r="N108" s="138"/>
      <c r="O108" s="138"/>
      <c r="P108" s="138"/>
      <c r="Q108" s="138"/>
      <c r="R108" s="138"/>
      <c r="S108" s="138"/>
      <c r="T108" s="138"/>
      <c r="U108" s="138"/>
      <c r="V108" s="71"/>
      <c r="W108" s="71"/>
      <c r="X108" s="71"/>
      <c r="Y108" s="71"/>
      <c r="Z108" s="71"/>
      <c r="AA108" s="71"/>
      <c r="AB108" s="71"/>
      <c r="AC108" s="71"/>
      <c r="AD108" s="71"/>
      <c r="AE108" s="71"/>
      <c r="AF108" s="71"/>
      <c r="AG108" s="71"/>
    </row>
    <row r="109" spans="1:33" ht="37.15" customHeight="1" x14ac:dyDescent="0.15">
      <c r="A109" s="75"/>
      <c r="B109" s="138"/>
      <c r="C109" s="138"/>
      <c r="D109" s="138"/>
      <c r="E109" s="138"/>
      <c r="F109" s="138"/>
      <c r="G109" s="138"/>
      <c r="H109" s="138"/>
      <c r="I109" s="138"/>
      <c r="J109" s="138"/>
      <c r="K109" s="138"/>
      <c r="L109" s="138"/>
      <c r="M109" s="138"/>
      <c r="N109" s="138"/>
      <c r="O109" s="138"/>
      <c r="P109" s="138"/>
      <c r="Q109" s="138"/>
      <c r="R109" s="138"/>
      <c r="S109" s="138"/>
      <c r="T109" s="138"/>
      <c r="U109" s="138"/>
      <c r="V109" s="71"/>
      <c r="W109" s="71"/>
      <c r="X109" s="71"/>
      <c r="Y109" s="71"/>
      <c r="Z109" s="71"/>
      <c r="AA109" s="71"/>
      <c r="AB109" s="71"/>
      <c r="AC109" s="71"/>
      <c r="AD109" s="71"/>
      <c r="AE109" s="71"/>
      <c r="AF109" s="71"/>
      <c r="AG109" s="71"/>
    </row>
    <row r="110" spans="1:33" ht="18.75" customHeight="1" x14ac:dyDescent="0.15">
      <c r="A110" s="75"/>
      <c r="B110" s="87" t="s">
        <v>126</v>
      </c>
      <c r="C110" s="87"/>
      <c r="D110" s="87"/>
      <c r="E110" s="87"/>
      <c r="F110" s="87"/>
      <c r="G110" s="87"/>
      <c r="H110" s="87"/>
      <c r="I110" s="87"/>
      <c r="J110" s="87"/>
      <c r="K110" s="87"/>
      <c r="L110" s="87"/>
      <c r="M110" s="87"/>
      <c r="N110" s="87"/>
      <c r="O110" s="87"/>
      <c r="P110" s="87"/>
      <c r="Q110" s="87"/>
      <c r="R110" s="87"/>
      <c r="S110" s="87"/>
      <c r="T110" s="87"/>
      <c r="U110" s="87"/>
      <c r="V110" s="71"/>
      <c r="W110" s="71"/>
      <c r="X110" s="71"/>
      <c r="Y110" s="71"/>
      <c r="Z110" s="71"/>
      <c r="AA110" s="71"/>
      <c r="AB110" s="71"/>
      <c r="AC110" s="71"/>
      <c r="AD110" s="71"/>
      <c r="AE110" s="71"/>
      <c r="AF110" s="71"/>
      <c r="AG110" s="71"/>
    </row>
    <row r="111" spans="1:33" ht="18.75" customHeight="1" x14ac:dyDescent="0.15">
      <c r="A111" s="75"/>
      <c r="B111" s="100" t="s">
        <v>54</v>
      </c>
      <c r="C111" s="100"/>
      <c r="D111" s="100"/>
      <c r="E111" s="100"/>
      <c r="F111" s="100"/>
      <c r="G111" s="100"/>
      <c r="H111" s="100"/>
      <c r="I111" s="100"/>
      <c r="J111" s="100"/>
      <c r="K111" s="100"/>
      <c r="L111" s="100"/>
      <c r="M111" s="100"/>
      <c r="N111" s="100"/>
      <c r="O111" s="100"/>
      <c r="P111" s="100"/>
      <c r="Q111" s="100"/>
      <c r="R111" s="100"/>
      <c r="S111" s="100"/>
      <c r="T111" s="100"/>
      <c r="U111" s="100"/>
      <c r="V111" s="70"/>
      <c r="W111" s="70"/>
      <c r="X111" s="70"/>
      <c r="Y111" s="70"/>
      <c r="Z111" s="70"/>
      <c r="AA111" s="70"/>
      <c r="AB111" s="70"/>
      <c r="AC111" s="70"/>
      <c r="AD111" s="70"/>
      <c r="AE111" s="70"/>
      <c r="AF111" s="70"/>
      <c r="AG111" s="70"/>
    </row>
    <row r="112" spans="1:33" ht="132" customHeight="1" x14ac:dyDescent="0.15">
      <c r="A112" s="75"/>
      <c r="B112" s="101" t="s">
        <v>157</v>
      </c>
      <c r="C112" s="101"/>
      <c r="D112" s="101"/>
      <c r="E112" s="101"/>
      <c r="F112" s="101"/>
      <c r="G112" s="101"/>
      <c r="H112" s="101"/>
      <c r="I112" s="101"/>
      <c r="J112" s="101"/>
      <c r="K112" s="101"/>
      <c r="L112" s="101"/>
      <c r="M112" s="101"/>
      <c r="N112" s="101"/>
      <c r="O112" s="101"/>
      <c r="P112" s="101"/>
      <c r="Q112" s="101"/>
      <c r="R112" s="101"/>
      <c r="S112" s="101"/>
      <c r="T112" s="101"/>
      <c r="U112" s="101"/>
      <c r="V112" s="72"/>
      <c r="W112" s="72"/>
      <c r="X112" s="72"/>
      <c r="Y112" s="72"/>
      <c r="Z112" s="72"/>
      <c r="AA112" s="72"/>
      <c r="AB112" s="72"/>
      <c r="AC112" s="72"/>
      <c r="AD112" s="72"/>
      <c r="AE112" s="72"/>
      <c r="AF112" s="72"/>
      <c r="AG112" s="72"/>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 sqref="B1"/>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98</v>
      </c>
    </row>
    <row r="2" spans="1:21" ht="18" customHeight="1" x14ac:dyDescent="0.15">
      <c r="A2" s="76"/>
      <c r="B2" s="76"/>
      <c r="C2" s="76"/>
      <c r="D2" s="76"/>
      <c r="E2" s="76"/>
      <c r="F2" s="76"/>
      <c r="G2" s="76"/>
      <c r="H2" s="76"/>
      <c r="I2" s="76"/>
      <c r="J2" s="76"/>
      <c r="K2" s="76"/>
      <c r="L2" s="76"/>
      <c r="M2" s="76"/>
      <c r="N2" s="76"/>
      <c r="O2" s="76"/>
      <c r="P2" s="76"/>
      <c r="Q2" s="165" t="str">
        <f>'様式１　プログラムを構成する授業科目'!C2</f>
        <v>新潟国際情報大学</v>
      </c>
      <c r="R2" s="165"/>
      <c r="S2" s="165"/>
    </row>
    <row r="3" spans="1:21" ht="18" customHeight="1" x14ac:dyDescent="0.15">
      <c r="A3" s="115" t="s">
        <v>47</v>
      </c>
      <c r="B3" s="115"/>
      <c r="C3" s="115"/>
      <c r="D3" s="115"/>
      <c r="E3" s="115"/>
      <c r="F3" s="115"/>
      <c r="G3" s="115"/>
      <c r="H3" s="115"/>
      <c r="I3" s="115"/>
      <c r="J3" s="115"/>
      <c r="K3" s="115"/>
      <c r="L3" s="115"/>
      <c r="M3" s="115"/>
      <c r="N3" s="115"/>
      <c r="O3" s="115"/>
      <c r="P3" s="115"/>
      <c r="Q3" s="115"/>
      <c r="R3" s="115"/>
      <c r="S3" s="115"/>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80</v>
      </c>
      <c r="B5" s="76"/>
      <c r="C5" s="166" t="s">
        <v>179</v>
      </c>
      <c r="D5" s="167"/>
      <c r="E5" s="81" t="s">
        <v>51</v>
      </c>
      <c r="F5" s="81"/>
      <c r="G5" s="81"/>
      <c r="H5" s="81"/>
      <c r="I5" s="81"/>
      <c r="J5" s="81"/>
      <c r="K5" s="81"/>
      <c r="L5" s="81"/>
      <c r="M5" s="81"/>
      <c r="N5" s="81"/>
      <c r="O5" s="81"/>
      <c r="P5" s="81"/>
      <c r="Q5" s="81"/>
      <c r="R5" s="79"/>
      <c r="S5" s="79"/>
    </row>
    <row r="6" spans="1:21" ht="7.15" customHeight="1" x14ac:dyDescent="0.15">
      <c r="A6" s="76"/>
      <c r="B6" s="76"/>
      <c r="C6" s="86"/>
      <c r="D6" s="86"/>
      <c r="E6" s="81"/>
      <c r="F6" s="81"/>
      <c r="G6" s="81"/>
      <c r="H6" s="81"/>
      <c r="I6" s="81"/>
      <c r="J6" s="81"/>
      <c r="K6" s="81"/>
      <c r="L6" s="81"/>
      <c r="M6" s="81"/>
      <c r="N6" s="81"/>
      <c r="O6" s="81"/>
      <c r="P6" s="81"/>
      <c r="Q6" s="81"/>
      <c r="R6" s="79"/>
      <c r="S6" s="79"/>
    </row>
    <row r="7" spans="1:21" ht="18" customHeight="1" x14ac:dyDescent="0.15">
      <c r="A7" s="76" t="s">
        <v>118</v>
      </c>
      <c r="B7" s="76"/>
      <c r="C7" s="86"/>
      <c r="D7" s="86"/>
      <c r="E7" s="81" t="s">
        <v>119</v>
      </c>
      <c r="F7" s="84">
        <f>1286-431</f>
        <v>855</v>
      </c>
      <c r="G7" s="82" t="s">
        <v>120</v>
      </c>
      <c r="H7" s="81" t="s">
        <v>121</v>
      </c>
      <c r="I7" s="84">
        <v>431</v>
      </c>
      <c r="J7" s="82" t="s">
        <v>120</v>
      </c>
      <c r="K7" s="77" t="s">
        <v>122</v>
      </c>
      <c r="L7" s="81" t="s">
        <v>123</v>
      </c>
      <c r="M7" s="84">
        <f>F7+I7</f>
        <v>1286</v>
      </c>
      <c r="N7" s="81" t="s">
        <v>1</v>
      </c>
      <c r="O7" s="82" t="s">
        <v>124</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134</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8" t="s">
        <v>44</v>
      </c>
      <c r="C11" s="178" t="s">
        <v>83</v>
      </c>
      <c r="D11" s="170" t="s">
        <v>46</v>
      </c>
      <c r="E11" s="172" t="s">
        <v>39</v>
      </c>
      <c r="F11" s="164" t="s">
        <v>112</v>
      </c>
      <c r="G11" s="164"/>
      <c r="H11" s="164" t="s">
        <v>82</v>
      </c>
      <c r="I11" s="164"/>
      <c r="J11" s="164" t="s">
        <v>48</v>
      </c>
      <c r="K11" s="164"/>
      <c r="L11" s="164" t="s">
        <v>49</v>
      </c>
      <c r="M11" s="164"/>
      <c r="N11" s="164" t="s">
        <v>92</v>
      </c>
      <c r="O11" s="164"/>
      <c r="P11" s="164" t="s">
        <v>50</v>
      </c>
      <c r="Q11" s="164"/>
      <c r="R11" s="174" t="s">
        <v>35</v>
      </c>
      <c r="S11" s="176" t="s">
        <v>32</v>
      </c>
      <c r="U11" s="2"/>
    </row>
    <row r="12" spans="1:21" ht="16.899999999999999" customHeight="1" x14ac:dyDescent="0.15">
      <c r="B12" s="169"/>
      <c r="C12" s="179"/>
      <c r="D12" s="171"/>
      <c r="E12" s="173"/>
      <c r="F12" s="64" t="s">
        <v>91</v>
      </c>
      <c r="G12" s="64" t="s">
        <v>29</v>
      </c>
      <c r="H12" s="64" t="s">
        <v>91</v>
      </c>
      <c r="I12" s="64" t="s">
        <v>29</v>
      </c>
      <c r="J12" s="64" t="s">
        <v>91</v>
      </c>
      <c r="K12" s="64" t="s">
        <v>29</v>
      </c>
      <c r="L12" s="64" t="s">
        <v>91</v>
      </c>
      <c r="M12" s="64" t="s">
        <v>29</v>
      </c>
      <c r="N12" s="64" t="s">
        <v>91</v>
      </c>
      <c r="O12" s="64" t="s">
        <v>29</v>
      </c>
      <c r="P12" s="64" t="s">
        <v>91</v>
      </c>
      <c r="Q12" s="65" t="s">
        <v>29</v>
      </c>
      <c r="R12" s="175"/>
      <c r="S12" s="177"/>
      <c r="U12" s="2"/>
    </row>
    <row r="13" spans="1:21" ht="18" customHeight="1" x14ac:dyDescent="0.15">
      <c r="A13" s="6"/>
      <c r="B13" s="66" t="s">
        <v>153</v>
      </c>
      <c r="C13" s="52">
        <v>505</v>
      </c>
      <c r="D13" s="53">
        <v>100</v>
      </c>
      <c r="E13" s="54">
        <v>400</v>
      </c>
      <c r="F13" s="54">
        <v>3</v>
      </c>
      <c r="G13" s="54">
        <v>3</v>
      </c>
      <c r="H13" s="54"/>
      <c r="I13" s="54"/>
      <c r="J13" s="54"/>
      <c r="K13" s="54"/>
      <c r="L13" s="54"/>
      <c r="M13" s="54"/>
      <c r="N13" s="54"/>
      <c r="O13" s="54"/>
      <c r="P13" s="54"/>
      <c r="Q13" s="67"/>
      <c r="R13" s="53">
        <f t="shared" ref="R13:R32" si="0">F13+H13+J13+L13+N13+P13</f>
        <v>3</v>
      </c>
      <c r="S13" s="68">
        <f t="shared" ref="S13:S33" si="1">R13/E13</f>
        <v>7.4999999999999997E-3</v>
      </c>
    </row>
    <row r="14" spans="1:21" ht="18" customHeight="1" x14ac:dyDescent="0.15">
      <c r="A14" s="6"/>
      <c r="B14" s="11" t="s">
        <v>154</v>
      </c>
      <c r="C14" s="55">
        <f>441+340</f>
        <v>781</v>
      </c>
      <c r="D14" s="56">
        <v>150</v>
      </c>
      <c r="E14" s="57">
        <v>600</v>
      </c>
      <c r="F14" s="58">
        <v>193</v>
      </c>
      <c r="G14" s="58">
        <v>178</v>
      </c>
      <c r="H14" s="58"/>
      <c r="I14" s="58"/>
      <c r="J14" s="58"/>
      <c r="K14" s="58"/>
      <c r="L14" s="58"/>
      <c r="M14" s="58"/>
      <c r="N14" s="58"/>
      <c r="O14" s="58"/>
      <c r="P14" s="58"/>
      <c r="Q14" s="55"/>
      <c r="R14" s="56">
        <f t="shared" si="0"/>
        <v>193</v>
      </c>
      <c r="S14" s="16">
        <f t="shared" si="1"/>
        <v>0.32166666666666666</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33</v>
      </c>
      <c r="C33" s="61">
        <f t="shared" ref="C33" si="2">SUM(C13:C32)</f>
        <v>1286</v>
      </c>
      <c r="D33" s="62">
        <f t="shared" ref="D33:R33" si="3">SUM(D13:D32)</f>
        <v>250</v>
      </c>
      <c r="E33" s="63">
        <f t="shared" si="3"/>
        <v>1000</v>
      </c>
      <c r="F33" s="63">
        <f t="shared" si="3"/>
        <v>196</v>
      </c>
      <c r="G33" s="63">
        <f t="shared" ref="G33:H33" si="4">SUM(G13:G32)</f>
        <v>181</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196</v>
      </c>
      <c r="S33" s="9">
        <f t="shared" si="1"/>
        <v>0.19600000000000001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J1" sqref="J1"/>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91" t="str">
        <f>'様式１　プログラムを構成する授業科目'!C2</f>
        <v>新潟国際情報大学</v>
      </c>
      <c r="I2" s="93"/>
    </row>
    <row r="3" spans="1:9" ht="18.75" customHeight="1" x14ac:dyDescent="0.15">
      <c r="G3" s="30"/>
      <c r="H3" s="10"/>
      <c r="I3" s="10"/>
    </row>
    <row r="4" spans="1:9" ht="18.600000000000001" customHeight="1" x14ac:dyDescent="0.15">
      <c r="A4" s="181" t="s">
        <v>36</v>
      </c>
      <c r="B4" s="181"/>
      <c r="C4" s="181"/>
      <c r="D4" s="181"/>
      <c r="E4" s="181"/>
      <c r="F4" s="181"/>
      <c r="G4" s="181"/>
      <c r="H4" s="181"/>
      <c r="I4" s="181"/>
    </row>
    <row r="5" spans="1:9" ht="13.15" customHeight="1" x14ac:dyDescent="0.15">
      <c r="B5" s="3"/>
      <c r="C5" s="3"/>
      <c r="D5" s="3"/>
      <c r="E5" s="3"/>
      <c r="F5" s="3"/>
      <c r="G5" s="3"/>
      <c r="H5" s="3"/>
      <c r="I5" s="3"/>
    </row>
    <row r="6" spans="1:9" ht="18" customHeight="1" x14ac:dyDescent="0.15">
      <c r="A6" s="1" t="s">
        <v>0</v>
      </c>
      <c r="B6" s="10" t="s">
        <v>86</v>
      </c>
      <c r="C6" s="201" t="s">
        <v>87</v>
      </c>
      <c r="D6" s="201"/>
      <c r="E6" s="29">
        <v>43</v>
      </c>
      <c r="F6" s="3" t="s">
        <v>1</v>
      </c>
      <c r="G6" s="3" t="s">
        <v>2</v>
      </c>
      <c r="H6" s="29">
        <v>71</v>
      </c>
      <c r="I6" s="10" t="s">
        <v>1</v>
      </c>
    </row>
    <row r="7" spans="1:9" ht="12" customHeight="1" x14ac:dyDescent="0.15">
      <c r="C7" s="2"/>
      <c r="D7" s="2"/>
      <c r="E7" s="2"/>
      <c r="F7" s="2"/>
      <c r="G7" s="2"/>
      <c r="H7" s="2"/>
      <c r="I7" s="33"/>
    </row>
    <row r="8" spans="1:9" ht="18" customHeight="1" x14ac:dyDescent="0.15">
      <c r="A8" s="1" t="s">
        <v>3</v>
      </c>
      <c r="B8" s="10" t="s">
        <v>88</v>
      </c>
      <c r="E8" s="3"/>
      <c r="F8" s="3"/>
      <c r="G8" s="3"/>
      <c r="H8" s="29">
        <v>2</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196" t="s">
        <v>142</v>
      </c>
      <c r="D11" s="199"/>
      <c r="E11" s="200"/>
      <c r="F11" s="33"/>
      <c r="G11" s="30" t="s">
        <v>10</v>
      </c>
      <c r="H11" s="196" t="s">
        <v>143</v>
      </c>
      <c r="I11" s="200"/>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196" t="s">
        <v>144</v>
      </c>
      <c r="C14" s="197"/>
      <c r="D14" s="197"/>
      <c r="E14" s="197"/>
      <c r="F14" s="197"/>
      <c r="G14" s="197"/>
      <c r="H14" s="197"/>
      <c r="I14" s="198"/>
    </row>
    <row r="15" spans="1:9" ht="9" customHeight="1" x14ac:dyDescent="0.15">
      <c r="B15" s="3"/>
      <c r="C15" s="3"/>
      <c r="D15" s="3"/>
      <c r="E15" s="3"/>
      <c r="F15" s="3"/>
      <c r="G15" s="3"/>
      <c r="H15" s="3"/>
      <c r="I15" s="3"/>
    </row>
    <row r="16" spans="1:9" ht="18" customHeight="1" x14ac:dyDescent="0.15">
      <c r="B16" s="30" t="s">
        <v>42</v>
      </c>
      <c r="C16" s="196" t="s">
        <v>142</v>
      </c>
      <c r="D16" s="199"/>
      <c r="E16" s="200"/>
      <c r="F16" s="33"/>
      <c r="G16" s="30" t="s">
        <v>10</v>
      </c>
      <c r="H16" s="196" t="s">
        <v>143</v>
      </c>
      <c r="I16" s="20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82" t="s">
        <v>145</v>
      </c>
      <c r="C19" s="183"/>
      <c r="D19" s="183"/>
      <c r="E19" s="183"/>
      <c r="F19" s="183"/>
      <c r="G19" s="183"/>
      <c r="H19" s="183"/>
      <c r="I19" s="18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85" t="s">
        <v>160</v>
      </c>
      <c r="C22" s="186"/>
      <c r="D22" s="186"/>
      <c r="E22" s="186"/>
      <c r="F22" s="186"/>
      <c r="G22" s="186"/>
      <c r="H22" s="186"/>
      <c r="I22" s="187"/>
    </row>
    <row r="23" spans="1:9" ht="18.75" customHeight="1" x14ac:dyDescent="0.15">
      <c r="A23" s="14"/>
      <c r="B23" s="188"/>
      <c r="C23" s="189"/>
      <c r="D23" s="189"/>
      <c r="E23" s="189"/>
      <c r="F23" s="189"/>
      <c r="G23" s="189"/>
      <c r="H23" s="189"/>
      <c r="I23" s="190"/>
    </row>
    <row r="24" spans="1:9" ht="18.75" customHeight="1" x14ac:dyDescent="0.15">
      <c r="A24" s="14"/>
      <c r="B24" s="188"/>
      <c r="C24" s="189"/>
      <c r="D24" s="189"/>
      <c r="E24" s="189"/>
      <c r="F24" s="189"/>
      <c r="G24" s="189"/>
      <c r="H24" s="189"/>
      <c r="I24" s="190"/>
    </row>
    <row r="25" spans="1:9" ht="18.75" customHeight="1" x14ac:dyDescent="0.15">
      <c r="A25" s="14"/>
      <c r="B25" s="188"/>
      <c r="C25" s="189"/>
      <c r="D25" s="189"/>
      <c r="E25" s="189"/>
      <c r="F25" s="189"/>
      <c r="G25" s="189"/>
      <c r="H25" s="189"/>
      <c r="I25" s="190"/>
    </row>
    <row r="26" spans="1:9" ht="18.75" customHeight="1" x14ac:dyDescent="0.15">
      <c r="A26" s="14"/>
      <c r="B26" s="188"/>
      <c r="C26" s="189"/>
      <c r="D26" s="189"/>
      <c r="E26" s="189"/>
      <c r="F26" s="189"/>
      <c r="G26" s="189"/>
      <c r="H26" s="189"/>
      <c r="I26" s="190"/>
    </row>
    <row r="27" spans="1:9" ht="18.75" customHeight="1" x14ac:dyDescent="0.15">
      <c r="A27" s="14"/>
      <c r="B27" s="188"/>
      <c r="C27" s="189"/>
      <c r="D27" s="189"/>
      <c r="E27" s="189"/>
      <c r="F27" s="189"/>
      <c r="G27" s="189"/>
      <c r="H27" s="189"/>
      <c r="I27" s="190"/>
    </row>
    <row r="28" spans="1:9" ht="18.75" customHeight="1" x14ac:dyDescent="0.15">
      <c r="A28" s="14"/>
      <c r="B28" s="188"/>
      <c r="C28" s="189"/>
      <c r="D28" s="189"/>
      <c r="E28" s="189"/>
      <c r="F28" s="189"/>
      <c r="G28" s="189"/>
      <c r="H28" s="189"/>
      <c r="I28" s="190"/>
    </row>
    <row r="29" spans="1:9" ht="18.75" customHeight="1" x14ac:dyDescent="0.15">
      <c r="A29" s="14"/>
      <c r="B29" s="188"/>
      <c r="C29" s="189"/>
      <c r="D29" s="189"/>
      <c r="E29" s="189"/>
      <c r="F29" s="189"/>
      <c r="G29" s="189"/>
      <c r="H29" s="189"/>
      <c r="I29" s="190"/>
    </row>
    <row r="30" spans="1:9" ht="18.75" customHeight="1" x14ac:dyDescent="0.15">
      <c r="A30" s="14"/>
      <c r="B30" s="191"/>
      <c r="C30" s="192"/>
      <c r="D30" s="192"/>
      <c r="E30" s="192"/>
      <c r="F30" s="192"/>
      <c r="G30" s="192"/>
      <c r="H30" s="192"/>
      <c r="I30" s="190"/>
    </row>
    <row r="31" spans="1:9" ht="18.75" customHeight="1" x14ac:dyDescent="0.15">
      <c r="A31" s="14"/>
      <c r="B31" s="191"/>
      <c r="C31" s="192"/>
      <c r="D31" s="192"/>
      <c r="E31" s="192"/>
      <c r="F31" s="192"/>
      <c r="G31" s="192"/>
      <c r="H31" s="192"/>
      <c r="I31" s="190"/>
    </row>
    <row r="32" spans="1:9" ht="18.75" customHeight="1" x14ac:dyDescent="0.15">
      <c r="A32" s="14"/>
      <c r="B32" s="193"/>
      <c r="C32" s="194"/>
      <c r="D32" s="194"/>
      <c r="E32" s="194"/>
      <c r="F32" s="194"/>
      <c r="G32" s="194"/>
      <c r="H32" s="194"/>
      <c r="I32" s="19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5" t="s">
        <v>161</v>
      </c>
      <c r="C35" s="186"/>
      <c r="D35" s="186"/>
      <c r="E35" s="186"/>
      <c r="F35" s="186"/>
      <c r="G35" s="186"/>
      <c r="H35" s="186"/>
      <c r="I35" s="187"/>
    </row>
    <row r="36" spans="1:9" ht="18.75" customHeight="1" x14ac:dyDescent="0.15">
      <c r="A36" s="14"/>
      <c r="B36" s="191"/>
      <c r="C36" s="192"/>
      <c r="D36" s="192"/>
      <c r="E36" s="192"/>
      <c r="F36" s="192"/>
      <c r="G36" s="192"/>
      <c r="H36" s="192"/>
      <c r="I36" s="190"/>
    </row>
    <row r="37" spans="1:9" ht="18.75" customHeight="1" x14ac:dyDescent="0.15">
      <c r="A37" s="14"/>
      <c r="B37" s="191"/>
      <c r="C37" s="192"/>
      <c r="D37" s="192"/>
      <c r="E37" s="192"/>
      <c r="F37" s="192"/>
      <c r="G37" s="192"/>
      <c r="H37" s="192"/>
      <c r="I37" s="190"/>
    </row>
    <row r="38" spans="1:9" ht="18.75" customHeight="1" x14ac:dyDescent="0.15">
      <c r="A38" s="14"/>
      <c r="B38" s="191"/>
      <c r="C38" s="192"/>
      <c r="D38" s="192"/>
      <c r="E38" s="192"/>
      <c r="F38" s="192"/>
      <c r="G38" s="192"/>
      <c r="H38" s="192"/>
      <c r="I38" s="190"/>
    </row>
    <row r="39" spans="1:9" ht="18.75" customHeight="1" x14ac:dyDescent="0.15">
      <c r="A39" s="14"/>
      <c r="B39" s="191"/>
      <c r="C39" s="192"/>
      <c r="D39" s="192"/>
      <c r="E39" s="192"/>
      <c r="F39" s="192"/>
      <c r="G39" s="192"/>
      <c r="H39" s="192"/>
      <c r="I39" s="190"/>
    </row>
    <row r="40" spans="1:9" ht="18.75" customHeight="1" x14ac:dyDescent="0.15">
      <c r="A40" s="14"/>
      <c r="B40" s="191"/>
      <c r="C40" s="192"/>
      <c r="D40" s="192"/>
      <c r="E40" s="192"/>
      <c r="F40" s="192"/>
      <c r="G40" s="192"/>
      <c r="H40" s="192"/>
      <c r="I40" s="190"/>
    </row>
    <row r="41" spans="1:9" ht="18.75" customHeight="1" x14ac:dyDescent="0.15">
      <c r="A41" s="14"/>
      <c r="B41" s="191"/>
      <c r="C41" s="192"/>
      <c r="D41" s="192"/>
      <c r="E41" s="192"/>
      <c r="F41" s="192"/>
      <c r="G41" s="192"/>
      <c r="H41" s="192"/>
      <c r="I41" s="190"/>
    </row>
    <row r="42" spans="1:9" ht="18.75" customHeight="1" x14ac:dyDescent="0.15">
      <c r="A42" s="14"/>
      <c r="B42" s="191"/>
      <c r="C42" s="192"/>
      <c r="D42" s="192"/>
      <c r="E42" s="192"/>
      <c r="F42" s="192"/>
      <c r="G42" s="192"/>
      <c r="H42" s="192"/>
      <c r="I42" s="190"/>
    </row>
    <row r="43" spans="1:9" ht="18.75" customHeight="1" x14ac:dyDescent="0.15">
      <c r="A43" s="14"/>
      <c r="B43" s="191"/>
      <c r="C43" s="192"/>
      <c r="D43" s="192"/>
      <c r="E43" s="192"/>
      <c r="F43" s="192"/>
      <c r="G43" s="192"/>
      <c r="H43" s="192"/>
      <c r="I43" s="190"/>
    </row>
    <row r="44" spans="1:9" ht="18.75" customHeight="1" x14ac:dyDescent="0.15">
      <c r="A44" s="14"/>
      <c r="B44" s="191"/>
      <c r="C44" s="192"/>
      <c r="D44" s="192"/>
      <c r="E44" s="192"/>
      <c r="F44" s="192"/>
      <c r="G44" s="192"/>
      <c r="H44" s="192"/>
      <c r="I44" s="190"/>
    </row>
    <row r="45" spans="1:9" ht="18.75" customHeight="1" x14ac:dyDescent="0.15">
      <c r="A45" s="14"/>
      <c r="B45" s="191"/>
      <c r="C45" s="192"/>
      <c r="D45" s="192"/>
      <c r="E45" s="192"/>
      <c r="F45" s="192"/>
      <c r="G45" s="192"/>
      <c r="H45" s="192"/>
      <c r="I45" s="190"/>
    </row>
    <row r="46" spans="1:9" ht="18.75" customHeight="1" x14ac:dyDescent="0.15">
      <c r="A46" s="14"/>
      <c r="B46" s="193"/>
      <c r="C46" s="194"/>
      <c r="D46" s="194"/>
      <c r="E46" s="194"/>
      <c r="F46" s="194"/>
      <c r="G46" s="194"/>
      <c r="H46" s="194"/>
      <c r="I46" s="195"/>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23">
        <f>'様式２ 履修者等数の実績'!S33</f>
        <v>0.19600000000000001</v>
      </c>
      <c r="D49" s="223"/>
      <c r="E49" s="34" t="s">
        <v>64</v>
      </c>
      <c r="F49" s="223">
        <v>0.4</v>
      </c>
      <c r="G49" s="223"/>
      <c r="H49" s="34" t="s">
        <v>65</v>
      </c>
      <c r="I49" s="35">
        <v>0.6</v>
      </c>
      <c r="J49" s="1"/>
      <c r="M49" s="1"/>
      <c r="N49" s="36"/>
    </row>
    <row r="50" spans="1:15" s="3" customFormat="1" ht="18.75" customHeight="1" x14ac:dyDescent="0.15">
      <c r="B50" s="37" t="s">
        <v>85</v>
      </c>
      <c r="C50" s="206">
        <v>0.75</v>
      </c>
      <c r="D50" s="206"/>
      <c r="E50" s="37" t="s">
        <v>129</v>
      </c>
      <c r="F50" s="206">
        <v>0.85</v>
      </c>
      <c r="G50" s="206"/>
      <c r="H50" s="37" t="s">
        <v>66</v>
      </c>
      <c r="I50" s="38">
        <f>'様式２ 履修者等数の実績'!E33</f>
        <v>1000</v>
      </c>
      <c r="J50" s="1"/>
      <c r="M50" s="1"/>
      <c r="N50" s="36"/>
    </row>
    <row r="51" spans="1:15" ht="18.75" customHeight="1" x14ac:dyDescent="0.15">
      <c r="A51" s="1"/>
      <c r="B51" s="203" t="s">
        <v>67</v>
      </c>
      <c r="C51" s="204"/>
      <c r="D51" s="204"/>
      <c r="E51" s="204"/>
      <c r="F51" s="204"/>
      <c r="G51" s="204"/>
      <c r="H51" s="204"/>
      <c r="I51" s="205"/>
      <c r="N51" s="36"/>
      <c r="O51" s="3"/>
    </row>
    <row r="52" spans="1:15" ht="18.75" customHeight="1" x14ac:dyDescent="0.15">
      <c r="A52" s="1"/>
      <c r="B52" s="224" t="s">
        <v>162</v>
      </c>
      <c r="C52" s="225"/>
      <c r="D52" s="225"/>
      <c r="E52" s="225"/>
      <c r="F52" s="225"/>
      <c r="G52" s="225"/>
      <c r="H52" s="225"/>
      <c r="I52" s="226"/>
      <c r="N52" s="36"/>
      <c r="O52" s="3"/>
    </row>
    <row r="53" spans="1:15" ht="18.75" customHeight="1" x14ac:dyDescent="0.15">
      <c r="A53" s="1"/>
      <c r="B53" s="227"/>
      <c r="C53" s="228"/>
      <c r="D53" s="228"/>
      <c r="E53" s="228"/>
      <c r="F53" s="228"/>
      <c r="G53" s="228"/>
      <c r="H53" s="228"/>
      <c r="I53" s="229"/>
      <c r="N53" s="36"/>
      <c r="O53" s="3"/>
    </row>
    <row r="54" spans="1:15" ht="18.75" customHeight="1" x14ac:dyDescent="0.15">
      <c r="A54" s="1"/>
      <c r="B54" s="227"/>
      <c r="C54" s="228"/>
      <c r="D54" s="228"/>
      <c r="E54" s="228"/>
      <c r="F54" s="228"/>
      <c r="G54" s="228"/>
      <c r="H54" s="228"/>
      <c r="I54" s="229"/>
    </row>
    <row r="55" spans="1:15" ht="18.75" customHeight="1" x14ac:dyDescent="0.15">
      <c r="A55" s="1"/>
      <c r="B55" s="227"/>
      <c r="C55" s="228"/>
      <c r="D55" s="228"/>
      <c r="E55" s="228"/>
      <c r="F55" s="228"/>
      <c r="G55" s="228"/>
      <c r="H55" s="228"/>
      <c r="I55" s="229"/>
    </row>
    <row r="56" spans="1:15" ht="18.75" customHeight="1" x14ac:dyDescent="0.15">
      <c r="A56" s="1"/>
      <c r="B56" s="227"/>
      <c r="C56" s="228"/>
      <c r="D56" s="228"/>
      <c r="E56" s="228"/>
      <c r="F56" s="228"/>
      <c r="G56" s="228"/>
      <c r="H56" s="228"/>
      <c r="I56" s="229"/>
    </row>
    <row r="57" spans="1:15" ht="18.75" customHeight="1" x14ac:dyDescent="0.15">
      <c r="A57" s="1"/>
      <c r="B57" s="227"/>
      <c r="C57" s="228"/>
      <c r="D57" s="228"/>
      <c r="E57" s="228"/>
      <c r="F57" s="228"/>
      <c r="G57" s="228"/>
      <c r="H57" s="228"/>
      <c r="I57" s="229"/>
    </row>
    <row r="58" spans="1:15" ht="18.75" customHeight="1" x14ac:dyDescent="0.15">
      <c r="A58" s="1"/>
      <c r="B58" s="227"/>
      <c r="C58" s="228"/>
      <c r="D58" s="228"/>
      <c r="E58" s="228"/>
      <c r="F58" s="228"/>
      <c r="G58" s="228"/>
      <c r="H58" s="228"/>
      <c r="I58" s="229"/>
    </row>
    <row r="59" spans="1:15" ht="18.75" customHeight="1" x14ac:dyDescent="0.15">
      <c r="A59" s="1"/>
      <c r="B59" s="227"/>
      <c r="C59" s="228"/>
      <c r="D59" s="228"/>
      <c r="E59" s="228"/>
      <c r="F59" s="228"/>
      <c r="G59" s="228"/>
      <c r="H59" s="228"/>
      <c r="I59" s="229"/>
    </row>
    <row r="60" spans="1:15" ht="18.75" customHeight="1" x14ac:dyDescent="0.15">
      <c r="A60" s="1"/>
      <c r="B60" s="227"/>
      <c r="C60" s="228"/>
      <c r="D60" s="228"/>
      <c r="E60" s="228"/>
      <c r="F60" s="228"/>
      <c r="G60" s="228"/>
      <c r="H60" s="228"/>
      <c r="I60" s="229"/>
    </row>
    <row r="61" spans="1:15" ht="18.75" customHeight="1" x14ac:dyDescent="0.15">
      <c r="A61" s="1"/>
      <c r="B61" s="227"/>
      <c r="C61" s="228"/>
      <c r="D61" s="228"/>
      <c r="E61" s="228"/>
      <c r="F61" s="228"/>
      <c r="G61" s="228"/>
      <c r="H61" s="228"/>
      <c r="I61" s="229"/>
    </row>
    <row r="62" spans="1:15" ht="18.75" customHeight="1" x14ac:dyDescent="0.15">
      <c r="A62" s="1"/>
      <c r="B62" s="227"/>
      <c r="C62" s="228"/>
      <c r="D62" s="228"/>
      <c r="E62" s="228"/>
      <c r="F62" s="228"/>
      <c r="G62" s="228"/>
      <c r="H62" s="228"/>
      <c r="I62" s="229"/>
    </row>
    <row r="63" spans="1:15" ht="18.75" customHeight="1" x14ac:dyDescent="0.15">
      <c r="A63" s="1"/>
      <c r="B63" s="230"/>
      <c r="C63" s="231"/>
      <c r="D63" s="231"/>
      <c r="E63" s="231"/>
      <c r="F63" s="231"/>
      <c r="G63" s="231"/>
      <c r="H63" s="231"/>
      <c r="I63" s="23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7" t="s">
        <v>163</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07" t="s">
        <v>165</v>
      </c>
      <c r="C80" s="208"/>
      <c r="D80" s="208"/>
      <c r="E80" s="208"/>
      <c r="F80" s="208"/>
      <c r="G80" s="208"/>
      <c r="H80" s="208"/>
      <c r="I80" s="216"/>
    </row>
    <row r="81" spans="1:9" ht="18.75" customHeight="1" x14ac:dyDescent="0.15">
      <c r="A81" s="1"/>
      <c r="B81" s="217"/>
      <c r="C81" s="218"/>
      <c r="D81" s="218"/>
      <c r="E81" s="218"/>
      <c r="F81" s="218"/>
      <c r="G81" s="218"/>
      <c r="H81" s="218"/>
      <c r="I81" s="219"/>
    </row>
    <row r="82" spans="1:9" ht="18.75" customHeight="1" x14ac:dyDescent="0.15">
      <c r="A82" s="1"/>
      <c r="B82" s="217"/>
      <c r="C82" s="218"/>
      <c r="D82" s="218"/>
      <c r="E82" s="218"/>
      <c r="F82" s="218"/>
      <c r="G82" s="218"/>
      <c r="H82" s="218"/>
      <c r="I82" s="219"/>
    </row>
    <row r="83" spans="1:9" ht="18.75" customHeight="1" x14ac:dyDescent="0.15">
      <c r="A83" s="1"/>
      <c r="B83" s="217"/>
      <c r="C83" s="218"/>
      <c r="D83" s="218"/>
      <c r="E83" s="218"/>
      <c r="F83" s="218"/>
      <c r="G83" s="218"/>
      <c r="H83" s="218"/>
      <c r="I83" s="219"/>
    </row>
    <row r="84" spans="1:9" ht="18.75" customHeight="1" x14ac:dyDescent="0.15">
      <c r="A84" s="1"/>
      <c r="B84" s="217"/>
      <c r="C84" s="218"/>
      <c r="D84" s="218"/>
      <c r="E84" s="218"/>
      <c r="F84" s="218"/>
      <c r="G84" s="218"/>
      <c r="H84" s="218"/>
      <c r="I84" s="219"/>
    </row>
    <row r="85" spans="1:9" ht="18.75" customHeight="1" x14ac:dyDescent="0.15">
      <c r="A85" s="1"/>
      <c r="B85" s="217"/>
      <c r="C85" s="218"/>
      <c r="D85" s="218"/>
      <c r="E85" s="218"/>
      <c r="F85" s="218"/>
      <c r="G85" s="218"/>
      <c r="H85" s="218"/>
      <c r="I85" s="219"/>
    </row>
    <row r="86" spans="1:9" ht="18.75" customHeight="1" x14ac:dyDescent="0.15">
      <c r="A86" s="1"/>
      <c r="B86" s="217"/>
      <c r="C86" s="218"/>
      <c r="D86" s="218"/>
      <c r="E86" s="218"/>
      <c r="F86" s="218"/>
      <c r="G86" s="218"/>
      <c r="H86" s="218"/>
      <c r="I86" s="219"/>
    </row>
    <row r="87" spans="1:9" ht="18.75" customHeight="1" x14ac:dyDescent="0.15">
      <c r="A87" s="1"/>
      <c r="B87" s="217"/>
      <c r="C87" s="218"/>
      <c r="D87" s="218"/>
      <c r="E87" s="218"/>
      <c r="F87" s="218"/>
      <c r="G87" s="218"/>
      <c r="H87" s="218"/>
      <c r="I87" s="219"/>
    </row>
    <row r="88" spans="1:9" ht="18.75" customHeight="1" x14ac:dyDescent="0.15">
      <c r="A88" s="1"/>
      <c r="B88" s="217"/>
      <c r="C88" s="218"/>
      <c r="D88" s="218"/>
      <c r="E88" s="218"/>
      <c r="F88" s="218"/>
      <c r="G88" s="218"/>
      <c r="H88" s="218"/>
      <c r="I88" s="219"/>
    </row>
    <row r="89" spans="1:9" ht="18.75" customHeight="1" x14ac:dyDescent="0.15">
      <c r="A89" s="1"/>
      <c r="B89" s="217"/>
      <c r="C89" s="218"/>
      <c r="D89" s="218"/>
      <c r="E89" s="218"/>
      <c r="F89" s="218"/>
      <c r="G89" s="218"/>
      <c r="H89" s="218"/>
      <c r="I89" s="219"/>
    </row>
    <row r="90" spans="1:9" ht="18.75" customHeight="1" x14ac:dyDescent="0.15">
      <c r="A90" s="4"/>
      <c r="B90" s="217"/>
      <c r="C90" s="218"/>
      <c r="D90" s="218"/>
      <c r="E90" s="218"/>
      <c r="F90" s="218"/>
      <c r="G90" s="218"/>
      <c r="H90" s="218"/>
      <c r="I90" s="219"/>
    </row>
    <row r="91" spans="1:9" ht="18.75" customHeight="1" x14ac:dyDescent="0.15">
      <c r="A91" s="4"/>
      <c r="B91" s="220"/>
      <c r="C91" s="221"/>
      <c r="D91" s="221"/>
      <c r="E91" s="221"/>
      <c r="F91" s="221"/>
      <c r="G91" s="221"/>
      <c r="H91" s="221"/>
      <c r="I91" s="222"/>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85" t="s">
        <v>166</v>
      </c>
      <c r="C94" s="186"/>
      <c r="D94" s="186"/>
      <c r="E94" s="186"/>
      <c r="F94" s="186"/>
      <c r="G94" s="186"/>
      <c r="H94" s="186"/>
      <c r="I94" s="187"/>
    </row>
    <row r="95" spans="1:9" ht="18.75" customHeight="1" x14ac:dyDescent="0.15">
      <c r="A95" s="1"/>
      <c r="B95" s="191"/>
      <c r="C95" s="192"/>
      <c r="D95" s="192"/>
      <c r="E95" s="192"/>
      <c r="F95" s="192"/>
      <c r="G95" s="192"/>
      <c r="H95" s="192"/>
      <c r="I95" s="190"/>
    </row>
    <row r="96" spans="1:9" ht="18.75" customHeight="1" x14ac:dyDescent="0.15">
      <c r="A96" s="1"/>
      <c r="B96" s="191"/>
      <c r="C96" s="192"/>
      <c r="D96" s="192"/>
      <c r="E96" s="192"/>
      <c r="F96" s="192"/>
      <c r="G96" s="192"/>
      <c r="H96" s="192"/>
      <c r="I96" s="190"/>
    </row>
    <row r="97" spans="1:9" ht="18.75" customHeight="1" x14ac:dyDescent="0.15">
      <c r="A97" s="1"/>
      <c r="B97" s="191"/>
      <c r="C97" s="192"/>
      <c r="D97" s="192"/>
      <c r="E97" s="192"/>
      <c r="F97" s="192"/>
      <c r="G97" s="192"/>
      <c r="H97" s="192"/>
      <c r="I97" s="190"/>
    </row>
    <row r="98" spans="1:9" ht="18.75" customHeight="1" x14ac:dyDescent="0.15">
      <c r="A98" s="1"/>
      <c r="B98" s="191"/>
      <c r="C98" s="192"/>
      <c r="D98" s="192"/>
      <c r="E98" s="192"/>
      <c r="F98" s="192"/>
      <c r="G98" s="192"/>
      <c r="H98" s="192"/>
      <c r="I98" s="190"/>
    </row>
    <row r="99" spans="1:9" ht="18.75" customHeight="1" x14ac:dyDescent="0.15">
      <c r="A99" s="1"/>
      <c r="B99" s="191"/>
      <c r="C99" s="192"/>
      <c r="D99" s="192"/>
      <c r="E99" s="192"/>
      <c r="F99" s="192"/>
      <c r="G99" s="192"/>
      <c r="H99" s="192"/>
      <c r="I99" s="190"/>
    </row>
    <row r="100" spans="1:9" ht="18.75" customHeight="1" x14ac:dyDescent="0.15">
      <c r="A100" s="1"/>
      <c r="B100" s="191"/>
      <c r="C100" s="192"/>
      <c r="D100" s="192"/>
      <c r="E100" s="192"/>
      <c r="F100" s="192"/>
      <c r="G100" s="192"/>
      <c r="H100" s="192"/>
      <c r="I100" s="190"/>
    </row>
    <row r="101" spans="1:9" ht="18.75" customHeight="1" x14ac:dyDescent="0.15">
      <c r="A101" s="1"/>
      <c r="B101" s="191"/>
      <c r="C101" s="192"/>
      <c r="D101" s="192"/>
      <c r="E101" s="192"/>
      <c r="F101" s="192"/>
      <c r="G101" s="192"/>
      <c r="H101" s="192"/>
      <c r="I101" s="190"/>
    </row>
    <row r="102" spans="1:9" ht="18.75" customHeight="1" x14ac:dyDescent="0.15">
      <c r="A102" s="1"/>
      <c r="B102" s="191"/>
      <c r="C102" s="192"/>
      <c r="D102" s="192"/>
      <c r="E102" s="192"/>
      <c r="F102" s="192"/>
      <c r="G102" s="192"/>
      <c r="H102" s="192"/>
      <c r="I102" s="190"/>
    </row>
    <row r="103" spans="1:9" ht="18.75" customHeight="1" x14ac:dyDescent="0.15">
      <c r="A103" s="1"/>
      <c r="B103" s="191"/>
      <c r="C103" s="192"/>
      <c r="D103" s="192"/>
      <c r="E103" s="192"/>
      <c r="F103" s="192"/>
      <c r="G103" s="192"/>
      <c r="H103" s="192"/>
      <c r="I103" s="190"/>
    </row>
    <row r="104" spans="1:9" ht="18.75" customHeight="1" x14ac:dyDescent="0.15">
      <c r="A104" s="1"/>
      <c r="B104" s="191"/>
      <c r="C104" s="192"/>
      <c r="D104" s="192"/>
      <c r="E104" s="192"/>
      <c r="F104" s="192"/>
      <c r="G104" s="192"/>
      <c r="H104" s="192"/>
      <c r="I104" s="190"/>
    </row>
    <row r="105" spans="1:9" ht="18.75" customHeight="1" x14ac:dyDescent="0.15">
      <c r="A105" s="4"/>
      <c r="B105" s="193"/>
      <c r="C105" s="194"/>
      <c r="D105" s="194"/>
      <c r="E105" s="194"/>
      <c r="F105" s="194"/>
      <c r="G105" s="194"/>
      <c r="H105" s="194"/>
      <c r="I105" s="195"/>
    </row>
    <row r="106" spans="1:9" ht="7.5" customHeight="1" x14ac:dyDescent="0.15">
      <c r="A106" s="4"/>
      <c r="B106" s="4"/>
      <c r="C106" s="4"/>
      <c r="D106" s="4"/>
      <c r="E106" s="4"/>
      <c r="F106" s="4"/>
      <c r="G106" s="4"/>
      <c r="H106" s="4"/>
      <c r="I106" s="4"/>
    </row>
    <row r="107" spans="1:9" ht="18.75" customHeight="1" x14ac:dyDescent="0.15">
      <c r="A107" s="1" t="s">
        <v>30</v>
      </c>
      <c r="B107" s="202" t="s">
        <v>45</v>
      </c>
      <c r="C107" s="202"/>
      <c r="D107" s="202"/>
      <c r="E107" s="202"/>
      <c r="F107" s="202"/>
      <c r="G107" s="202"/>
      <c r="H107" s="202"/>
      <c r="I107" s="202"/>
    </row>
    <row r="108" spans="1:9" ht="18.75" customHeight="1" x14ac:dyDescent="0.15">
      <c r="A108" s="4"/>
      <c r="B108" s="185" t="s">
        <v>164</v>
      </c>
      <c r="C108" s="186"/>
      <c r="D108" s="186"/>
      <c r="E108" s="186"/>
      <c r="F108" s="186"/>
      <c r="G108" s="186"/>
      <c r="H108" s="186"/>
      <c r="I108" s="187"/>
    </row>
    <row r="109" spans="1:9" ht="18.75" customHeight="1" x14ac:dyDescent="0.15">
      <c r="A109" s="4"/>
      <c r="B109" s="191"/>
      <c r="C109" s="192"/>
      <c r="D109" s="192"/>
      <c r="E109" s="192"/>
      <c r="F109" s="192"/>
      <c r="G109" s="192"/>
      <c r="H109" s="192"/>
      <c r="I109" s="190"/>
    </row>
    <row r="110" spans="1:9" ht="18.75" customHeight="1" x14ac:dyDescent="0.15">
      <c r="A110" s="4"/>
      <c r="B110" s="191"/>
      <c r="C110" s="192"/>
      <c r="D110" s="192"/>
      <c r="E110" s="192"/>
      <c r="F110" s="192"/>
      <c r="G110" s="192"/>
      <c r="H110" s="192"/>
      <c r="I110" s="190"/>
    </row>
    <row r="111" spans="1:9" ht="18.75" customHeight="1" x14ac:dyDescent="0.15">
      <c r="A111" s="4"/>
      <c r="B111" s="191"/>
      <c r="C111" s="192"/>
      <c r="D111" s="192"/>
      <c r="E111" s="192"/>
      <c r="F111" s="192"/>
      <c r="G111" s="192"/>
      <c r="H111" s="192"/>
      <c r="I111" s="190"/>
    </row>
    <row r="112" spans="1:9" ht="18.75" customHeight="1" x14ac:dyDescent="0.15">
      <c r="A112" s="4"/>
      <c r="B112" s="191"/>
      <c r="C112" s="192"/>
      <c r="D112" s="192"/>
      <c r="E112" s="192"/>
      <c r="F112" s="192"/>
      <c r="G112" s="192"/>
      <c r="H112" s="192"/>
      <c r="I112" s="190"/>
    </row>
    <row r="113" spans="1:9" ht="18.75" customHeight="1" x14ac:dyDescent="0.15">
      <c r="A113" s="4"/>
      <c r="B113" s="191"/>
      <c r="C113" s="192"/>
      <c r="D113" s="192"/>
      <c r="E113" s="192"/>
      <c r="F113" s="192"/>
      <c r="G113" s="192"/>
      <c r="H113" s="192"/>
      <c r="I113" s="190"/>
    </row>
    <row r="114" spans="1:9" ht="18.75" customHeight="1" x14ac:dyDescent="0.15">
      <c r="A114" s="4"/>
      <c r="B114" s="191"/>
      <c r="C114" s="192"/>
      <c r="D114" s="192"/>
      <c r="E114" s="192"/>
      <c r="F114" s="192"/>
      <c r="G114" s="192"/>
      <c r="H114" s="192"/>
      <c r="I114" s="190"/>
    </row>
    <row r="115" spans="1:9" ht="18.75" customHeight="1" x14ac:dyDescent="0.15">
      <c r="A115" s="4"/>
      <c r="B115" s="191"/>
      <c r="C115" s="192"/>
      <c r="D115" s="192"/>
      <c r="E115" s="192"/>
      <c r="F115" s="192"/>
      <c r="G115" s="192"/>
      <c r="H115" s="192"/>
      <c r="I115" s="190"/>
    </row>
    <row r="116" spans="1:9" ht="18.75" customHeight="1" x14ac:dyDescent="0.15">
      <c r="A116" s="4"/>
      <c r="B116" s="191"/>
      <c r="C116" s="192"/>
      <c r="D116" s="192"/>
      <c r="E116" s="192"/>
      <c r="F116" s="192"/>
      <c r="G116" s="192"/>
      <c r="H116" s="192"/>
      <c r="I116" s="190"/>
    </row>
    <row r="117" spans="1:9" ht="18.75" customHeight="1" x14ac:dyDescent="0.15">
      <c r="A117" s="4"/>
      <c r="B117" s="191"/>
      <c r="C117" s="192"/>
      <c r="D117" s="192"/>
      <c r="E117" s="192"/>
      <c r="F117" s="192"/>
      <c r="G117" s="192"/>
      <c r="H117" s="192"/>
      <c r="I117" s="190"/>
    </row>
    <row r="118" spans="1:9" ht="18.75" customHeight="1" x14ac:dyDescent="0.15">
      <c r="A118" s="4"/>
      <c r="B118" s="191"/>
      <c r="C118" s="192"/>
      <c r="D118" s="192"/>
      <c r="E118" s="192"/>
      <c r="F118" s="192"/>
      <c r="G118" s="192"/>
      <c r="H118" s="192"/>
      <c r="I118" s="190"/>
    </row>
    <row r="119" spans="1:9" ht="18.75" customHeight="1" x14ac:dyDescent="0.15">
      <c r="A119" s="4"/>
      <c r="B119" s="193"/>
      <c r="C119" s="194"/>
      <c r="D119" s="194"/>
      <c r="E119" s="194"/>
      <c r="F119" s="194"/>
      <c r="G119" s="194"/>
      <c r="H119" s="194"/>
      <c r="I119" s="195"/>
    </row>
    <row r="120" spans="1:9" ht="7.5" customHeight="1" x14ac:dyDescent="0.15">
      <c r="A120" s="4"/>
      <c r="B120" s="39"/>
      <c r="C120" s="39"/>
      <c r="D120" s="39"/>
      <c r="E120" s="39"/>
      <c r="F120" s="39"/>
      <c r="G120" s="39"/>
      <c r="H120" s="39"/>
      <c r="I120" s="39"/>
    </row>
    <row r="121" spans="1:9" ht="18.75" customHeight="1" x14ac:dyDescent="0.15">
      <c r="A121" s="69"/>
      <c r="B121" s="180"/>
      <c r="C121" s="180"/>
      <c r="D121" s="180"/>
      <c r="E121" s="180"/>
      <c r="F121" s="180"/>
      <c r="G121" s="180"/>
      <c r="H121" s="180"/>
      <c r="I121" s="180"/>
    </row>
    <row r="122" spans="1:9" ht="18.75" customHeight="1" x14ac:dyDescent="0.15">
      <c r="A122" s="69"/>
      <c r="B122" s="180"/>
      <c r="C122" s="180"/>
      <c r="D122" s="180"/>
      <c r="E122" s="180"/>
      <c r="F122" s="180"/>
      <c r="G122" s="180"/>
      <c r="H122" s="180"/>
      <c r="I122" s="180"/>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J3" sqref="J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新潟国際情報大学</v>
      </c>
    </row>
    <row r="3" spans="1:9" ht="18.75" customHeight="1" x14ac:dyDescent="0.15">
      <c r="A3" s="181" t="s">
        <v>28</v>
      </c>
      <c r="B3" s="181"/>
      <c r="C3" s="181"/>
      <c r="D3" s="181"/>
      <c r="E3" s="181"/>
      <c r="F3" s="181"/>
      <c r="G3" s="181"/>
      <c r="H3" s="181"/>
      <c r="I3" s="181"/>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196" t="s">
        <v>144</v>
      </c>
      <c r="C6" s="240"/>
      <c r="D6" s="240"/>
      <c r="E6" s="240"/>
      <c r="F6" s="240"/>
      <c r="G6" s="240"/>
      <c r="H6" s="241"/>
      <c r="I6" s="3"/>
    </row>
    <row r="7" spans="1:9" ht="9" customHeight="1" x14ac:dyDescent="0.15">
      <c r="A7" s="5"/>
      <c r="B7" s="10"/>
      <c r="C7" s="10"/>
      <c r="D7" s="10"/>
      <c r="E7" s="10"/>
      <c r="F7" s="10"/>
      <c r="G7" s="10"/>
      <c r="H7" s="10"/>
      <c r="I7" s="3"/>
    </row>
    <row r="8" spans="1:9" ht="18.75" customHeight="1" x14ac:dyDescent="0.15">
      <c r="A8" s="5"/>
      <c r="B8" s="3"/>
      <c r="C8" s="3"/>
      <c r="D8" s="30" t="s">
        <v>42</v>
      </c>
      <c r="E8" s="31" t="s">
        <v>142</v>
      </c>
      <c r="F8" s="3"/>
      <c r="G8" s="30" t="s">
        <v>10</v>
      </c>
      <c r="H8" s="31" t="s">
        <v>143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1" t="s">
        <v>24</v>
      </c>
      <c r="C11" s="92"/>
      <c r="D11" s="93"/>
      <c r="E11" s="92" t="s">
        <v>26</v>
      </c>
      <c r="F11" s="92"/>
      <c r="G11" s="92"/>
      <c r="H11" s="92"/>
      <c r="I11" s="93"/>
    </row>
    <row r="12" spans="1:9" ht="26.25" customHeight="1" x14ac:dyDescent="0.15">
      <c r="B12" s="40" t="s">
        <v>14</v>
      </c>
      <c r="C12" s="47"/>
      <c r="D12" s="41"/>
      <c r="E12" s="48"/>
      <c r="F12" s="48"/>
      <c r="G12" s="48"/>
      <c r="H12" s="48"/>
      <c r="I12" s="41"/>
    </row>
    <row r="13" spans="1:9" ht="210.75" customHeight="1" x14ac:dyDescent="0.15">
      <c r="B13" s="42"/>
      <c r="C13" s="238" t="s">
        <v>15</v>
      </c>
      <c r="D13" s="239"/>
      <c r="E13" s="235" t="s">
        <v>178</v>
      </c>
      <c r="F13" s="236"/>
      <c r="G13" s="236"/>
      <c r="H13" s="236"/>
      <c r="I13" s="237"/>
    </row>
    <row r="14" spans="1:9" ht="210.75" customHeight="1" x14ac:dyDescent="0.15">
      <c r="B14" s="42"/>
      <c r="C14" s="233" t="s">
        <v>16</v>
      </c>
      <c r="D14" s="234"/>
      <c r="E14" s="235" t="s">
        <v>158</v>
      </c>
      <c r="F14" s="236"/>
      <c r="G14" s="236"/>
      <c r="H14" s="236"/>
      <c r="I14" s="237"/>
    </row>
    <row r="15" spans="1:9" ht="210.75" customHeight="1" x14ac:dyDescent="0.15">
      <c r="B15" s="42"/>
      <c r="C15" s="238" t="s">
        <v>17</v>
      </c>
      <c r="D15" s="239"/>
      <c r="E15" s="235" t="s">
        <v>146</v>
      </c>
      <c r="F15" s="236"/>
      <c r="G15" s="236"/>
      <c r="H15" s="236"/>
      <c r="I15" s="237"/>
    </row>
    <row r="16" spans="1:9" ht="210.75" customHeight="1" x14ac:dyDescent="0.15">
      <c r="B16" s="42"/>
      <c r="C16" s="238" t="s">
        <v>18</v>
      </c>
      <c r="D16" s="239"/>
      <c r="E16" s="235" t="s">
        <v>147</v>
      </c>
      <c r="F16" s="236"/>
      <c r="G16" s="236"/>
      <c r="H16" s="236"/>
      <c r="I16" s="237"/>
    </row>
    <row r="17" spans="2:9" ht="210.75" customHeight="1" x14ac:dyDescent="0.15">
      <c r="B17" s="43"/>
      <c r="C17" s="242" t="s">
        <v>19</v>
      </c>
      <c r="D17" s="243"/>
      <c r="E17" s="244" t="s">
        <v>148</v>
      </c>
      <c r="F17" s="245"/>
      <c r="G17" s="245"/>
      <c r="H17" s="245"/>
      <c r="I17" s="246"/>
    </row>
    <row r="18" spans="2:9" ht="24" customHeight="1" x14ac:dyDescent="0.15">
      <c r="B18" s="40" t="s">
        <v>20</v>
      </c>
      <c r="C18" s="44"/>
      <c r="D18" s="45"/>
      <c r="E18" s="46"/>
      <c r="F18" s="46"/>
      <c r="G18" s="46"/>
      <c r="H18" s="46"/>
      <c r="I18" s="49"/>
    </row>
    <row r="19" spans="2:9" ht="218.25" customHeight="1" x14ac:dyDescent="0.15">
      <c r="B19" s="42"/>
      <c r="C19" s="238" t="s">
        <v>21</v>
      </c>
      <c r="D19" s="239"/>
      <c r="E19" s="236" t="s">
        <v>149</v>
      </c>
      <c r="F19" s="236"/>
      <c r="G19" s="236"/>
      <c r="H19" s="236"/>
      <c r="I19" s="237"/>
    </row>
    <row r="20" spans="2:9" ht="218.25" customHeight="1" x14ac:dyDescent="0.15">
      <c r="B20" s="43"/>
      <c r="C20" s="242" t="s">
        <v>22</v>
      </c>
      <c r="D20" s="243"/>
      <c r="E20" s="245" t="s">
        <v>150</v>
      </c>
      <c r="F20" s="245"/>
      <c r="G20" s="245"/>
      <c r="H20" s="245"/>
      <c r="I20" s="246"/>
    </row>
    <row r="21" spans="2:9" ht="218.25" customHeight="1" x14ac:dyDescent="0.15">
      <c r="B21" s="252" t="s">
        <v>23</v>
      </c>
      <c r="C21" s="253"/>
      <c r="D21" s="254"/>
      <c r="E21" s="255" t="s">
        <v>151</v>
      </c>
      <c r="F21" s="255"/>
      <c r="G21" s="255"/>
      <c r="H21" s="255"/>
      <c r="I21" s="256"/>
    </row>
    <row r="22" spans="2:9" ht="218.25" customHeight="1" x14ac:dyDescent="0.15">
      <c r="B22" s="247" t="s">
        <v>135</v>
      </c>
      <c r="C22" s="248"/>
      <c r="D22" s="249"/>
      <c r="E22" s="250" t="s">
        <v>152</v>
      </c>
      <c r="F22" s="250"/>
      <c r="G22" s="250"/>
      <c r="H22" s="250"/>
      <c r="I22" s="25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Chikayama Eisuke</cp:lastModifiedBy>
  <cp:lastPrinted>2024-06-04T08:11:00Z</cp:lastPrinted>
  <dcterms:created xsi:type="dcterms:W3CDTF">2011-06-14T05:32:50Z</dcterms:created>
  <dcterms:modified xsi:type="dcterms:W3CDTF">2024-06-04T08:11:32Z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