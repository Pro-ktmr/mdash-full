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192.168.10.248\（九保）ssc教務課\データサイエンス関係\★認定申請2024\申請書類〆5月13日\01_九州医療科学大学_リテラシー\"/>
    </mc:Choice>
  </mc:AlternateContent>
  <xr:revisionPtr revIDLastSave="0" documentId="13_ncr:1_{46AE8030-11CE-4C54-87A1-D31D70340611}" xr6:coauthVersionLast="47" xr6:coauthVersionMax="47" xr10:uidLastSave="{00000000-0000-0000-0000-000000000000}"/>
  <bookViews>
    <workbookView xWindow="20370" yWindow="-120" windowWidth="19440" windowHeight="15000" tabRatio="885"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6"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履修者等数の実績'!$A$1:$S$34</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 name="Z_D8DF89CB_0082_BD4B_ADB1_249544AA75FA_.wvu.Cols" localSheetId="0" hidden="1">'様式１　プログラムを構成する授業科目'!$X:$X</definedName>
    <definedName name="Z_D8DF89CB_0082_BD4B_ADB1_249544AA75FA_.wvu.FilterData" localSheetId="0" hidden="1">'様式１　プログラムを構成する授業科目'!$X$16:$X$18</definedName>
    <definedName name="Z_D8DF89CB_0082_BD4B_ADB1_249544AA75FA_.wvu.PrintArea" localSheetId="0" hidden="1">'様式１　プログラムを構成する授業科目'!$A$1:$U$112</definedName>
    <definedName name="Z_D8DF89CB_0082_BD4B_ADB1_249544AA75FA_.wvu.PrintArea" localSheetId="1" hidden="1">'様式２ 履修者等数の実績'!$A$1:$S$34</definedName>
    <definedName name="Z_D8DF89CB_0082_BD4B_ADB1_249544AA75FA_.wvu.PrintArea" localSheetId="2" hidden="1">'様式３ 教育の質・履修者数を向上させるための体制・計画'!$A$1:$I$119</definedName>
  </definedNames>
  <calcPr calcId="191029"/>
  <customWorkbookViews>
    <customWorkbookView name="Taro Uchida - 個人用ビュー" guid="{D8DF89CB-0082-BD4B-ADB1-249544AA75FA}" mergeInterval="0" personalView="1" xWindow="2182" yWindow="51" windowWidth="2232" windowHeight="1010" tabRatio="885" activeSheetId="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4" i="2" l="1"/>
  <c r="G34" i="2"/>
  <c r="F34" i="2"/>
  <c r="E34" i="2"/>
  <c r="D34" i="2"/>
  <c r="C34" i="2"/>
  <c r="G16" i="2"/>
  <c r="F16" i="2"/>
  <c r="E16" i="2"/>
  <c r="D16" i="2"/>
  <c r="C16" i="2"/>
  <c r="M7" i="2"/>
  <c r="I34" i="2" l="1"/>
  <c r="M34" i="2"/>
  <c r="P34" i="2"/>
  <c r="Q34" i="2"/>
  <c r="O34" i="2"/>
  <c r="N34" i="2"/>
  <c r="L34" i="2"/>
  <c r="J34" i="2"/>
  <c r="K34" i="2"/>
  <c r="H34" i="2"/>
  <c r="R14" i="2" l="1"/>
  <c r="R15" i="2"/>
  <c r="R17" i="2"/>
  <c r="R18" i="2"/>
  <c r="R19" i="2"/>
  <c r="R20" i="2"/>
  <c r="R21" i="2"/>
  <c r="R22" i="2"/>
  <c r="R23" i="2"/>
  <c r="R24" i="2"/>
  <c r="R25" i="2"/>
  <c r="R26" i="2"/>
  <c r="R27" i="2"/>
  <c r="R28" i="2"/>
  <c r="R29" i="2"/>
  <c r="R30" i="2"/>
  <c r="R31" i="2"/>
  <c r="R32" i="2"/>
  <c r="R33" i="2"/>
  <c r="R13" i="2"/>
  <c r="S13" i="2" s="1"/>
  <c r="R16" i="2" l="1"/>
  <c r="S16" i="2" s="1"/>
  <c r="I50" i="3" l="1"/>
  <c r="S33" i="2"/>
  <c r="S32" i="2"/>
  <c r="S31" i="2"/>
  <c r="S30" i="2"/>
  <c r="S29" i="2"/>
  <c r="S28" i="2"/>
  <c r="S27" i="2"/>
  <c r="S26" i="2"/>
  <c r="S25" i="2"/>
  <c r="S24" i="2"/>
  <c r="S23" i="2"/>
  <c r="S22" i="2"/>
  <c r="S21" i="2"/>
  <c r="S20" i="2"/>
  <c r="S19" i="2"/>
  <c r="S18" i="2"/>
  <c r="S17" i="2"/>
  <c r="S15" i="2"/>
  <c r="S14" i="2"/>
  <c r="S34" i="2" l="1"/>
  <c r="C49" i="3" s="1"/>
</calcChain>
</file>

<file path=xl/sharedStrings.xml><?xml version="1.0" encoding="utf-8"?>
<sst xmlns="http://schemas.openxmlformats.org/spreadsheetml/2006/main" count="285" uniqueCount="188">
  <si>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</si>
  <si>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</si>
  <si>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</si>
  <si>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</si>
  <si>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</si>
  <si>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</si>
  <si>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</si>
  <si>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</si>
  <si>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</si>
  <si>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</si>
  <si>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</si>
  <si>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</si>
  <si>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</si>
  <si>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</si>
  <si>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</si>
  <si>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</si>
  <si>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</si>
  <si>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</si>
  <si>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</si>
  <si>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</si>
  <si>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</si>
  <si>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</si>
  <si>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</si>
  <si>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</si>
  <si>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</si>
  <si>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</si>
  <si>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</si>
  <si>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</si>
  <si>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</si>
  <si>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</si>
  <si>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</si>
  <si>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</si>
  <si>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</si>
  <si>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</si>
  <si>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</si>
  <si>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</si>
  <si>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</si>
  <si>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</si>
  <si>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</si>
  <si>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</si>
  <si>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</si>
  <si>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</si>
  <si>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</si>
  <si>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</si>
  <si>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</si>
  <si>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</si>
  <si>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</si>
  <si>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</si>
  <si>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</si>
  <si>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</si>
  <si>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</si>
  <si>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</si>
  <si>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</si>
  <si>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</si>
  <si>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</si>
  <si>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</si>
  <si>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</si>
  <si>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</si>
  <si>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</si>
  <si>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</si>
  <si>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</si>
  <si>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</si>
  <si>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</si>
  <si>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</si>
  <si>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</si>
  <si>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</si>
  <si>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</si>
  <si>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</si>
  <si>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</si>
  <si>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</si>
  <si>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</si>
  <si>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</si>
  <si>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</si>
  <si>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</si>
  <si>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</si>
  <si>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</si>
  <si>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</si>
  <si>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</si>
  <si>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</si>
  <si>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</si>
  <si>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</si>
  <si>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</si>
  <si>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</si>
  <si>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</si>
  <si>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</si>
  <si>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</si>
  <si>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</si>
  <si>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</si>
  <si>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</si>
  <si>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</si>
  <si>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</si>
  <si>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</si>
  <si>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</si>
  <si>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</si>
  <si>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</si>
  <si>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</si>
  <si>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</si>
  <si>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</si>
  <si>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</si>
  <si>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</si>
  <si>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</si>
  <si>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</si>
  <si>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</si>
  <si>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</si>
  <si>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</si>
  <si>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</si>
  <si>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</si>
  <si>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</si>
  <si>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</si>
  <si>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</si>
  <si>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</si>
  <si>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</si>
  <si>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</si>
  <si>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</si>
  <si>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</si>
  <si>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</si>
  <si>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</si>
  <si>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</si>
  <si>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</si>
  <si>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</si>
  <si>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</si>
  <si>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</si>
  <si>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</si>
  <si>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</si>
  <si>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</si>
  <si>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</si>
  <si>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</si>
  <si>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</si>
  <si>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</si>
  <si>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学部・学科によって、修了要件は相違しない</t>
  </si>
  <si>
    <t>○</t>
  </si>
  <si>
    <t>池脇信直</t>
    <rPh sb="0" eb="2">
      <t>イケワキ</t>
    </rPh>
    <rPh sb="2" eb="3">
      <t>シン</t>
    </rPh>
    <rPh sb="3" eb="4">
      <t>チョク</t>
    </rPh>
    <phoneticPr fontId="1"/>
  </si>
  <si>
    <t>教育改革部会</t>
    <rPh sb="0" eb="2">
      <t>キョウイク</t>
    </rPh>
    <rPh sb="2" eb="4">
      <t>カイカク</t>
    </rPh>
    <rPh sb="4" eb="6">
      <t>ブカイ</t>
    </rPh>
    <phoneticPr fontId="1"/>
  </si>
  <si>
    <t>4‐7データハンドリング</t>
  </si>
  <si>
    <t>4‐5テキスト解析</t>
  </si>
  <si>
    <t>副学長・情報教育センター分室長</t>
    <rPh sb="0" eb="2">
      <t>ジョウホウ</t>
    </rPh>
    <rPh sb="2" eb="4">
      <t>キョウイク</t>
    </rPh>
    <rPh sb="8" eb="11">
      <t>ブンシツチョウ</t>
    </rPh>
    <rPh sb="12" eb="15">
      <t>フクガクチョウ</t>
    </rPh>
    <phoneticPr fontId="1"/>
  </si>
  <si>
    <t>九州医療科学大学</t>
    <rPh sb="0" eb="2">
      <t>キュウシュウ</t>
    </rPh>
    <rPh sb="2" eb="4">
      <t>イリョウ</t>
    </rPh>
    <rPh sb="4" eb="6">
      <t>カガク</t>
    </rPh>
    <rPh sb="6" eb="8">
      <t>ダイガク</t>
    </rPh>
    <phoneticPr fontId="1"/>
  </si>
  <si>
    <t>社会福祉学部</t>
    <rPh sb="0" eb="2">
      <t>シャカイ</t>
    </rPh>
    <rPh sb="2" eb="4">
      <t>フクシ</t>
    </rPh>
    <rPh sb="4" eb="6">
      <t>ガクブ</t>
    </rPh>
    <phoneticPr fontId="1"/>
  </si>
  <si>
    <t>生命医科学部</t>
    <rPh sb="0" eb="2">
      <t>セイメイ</t>
    </rPh>
    <rPh sb="2" eb="6">
      <t>イカガクブ</t>
    </rPh>
    <phoneticPr fontId="1"/>
  </si>
  <si>
    <t>全学部の新入生に対し、新入生オリエンテーションおよび学科別ガイダンスにおいて、データサイエンスの重要性を説いた上で受講の説明を行なっている。さらに、本プログラム専用のホームページを作成し、学生がプログラムの具体的な情報を容易に取得できる様に掲載し、できる限り多くの学生が目的意識を持って履修できるよう取り組んでいる。</t>
    <rPh sb="4" eb="7">
      <t>シンニュウセイ</t>
    </rPh>
    <rPh sb="26" eb="28">
      <t>ガッカ</t>
    </rPh>
    <rPh sb="28" eb="29">
      <t>ベツ</t>
    </rPh>
    <rPh sb="48" eb="51">
      <t xml:space="preserve">ジュウヨウセイ </t>
    </rPh>
    <rPh sb="52" eb="53">
      <t xml:space="preserve">トキ </t>
    </rPh>
    <rPh sb="57" eb="59">
      <t xml:space="preserve">ジュコウ </t>
    </rPh>
    <rPh sb="60" eb="62">
      <t xml:space="preserve">セツメイ </t>
    </rPh>
    <rPh sb="74" eb="75">
      <t xml:space="preserve">ホンプログラム </t>
    </rPh>
    <rPh sb="103" eb="106">
      <t xml:space="preserve">グタイテキナ </t>
    </rPh>
    <rPh sb="107" eb="109">
      <t xml:space="preserve">ジョウホウヲ </t>
    </rPh>
    <rPh sb="110" eb="112">
      <t xml:space="preserve">ヨウイニ </t>
    </rPh>
    <rPh sb="113" eb="115">
      <t xml:space="preserve">シュトクデキルヨウ </t>
    </rPh>
    <rPh sb="120" eb="122">
      <t xml:space="preserve">ケイサイシ </t>
    </rPh>
    <rPh sb="135" eb="139">
      <t xml:space="preserve">モクテキイシキ </t>
    </rPh>
    <phoneticPr fontId="1"/>
  </si>
  <si>
    <t xml:space="preserve">オンライン学習管理システムであるGoogle Classroomに各授業科目のクラスを作り、いつでも教員に質問ができる環境を構築している。これにより、学生は授業時間外でも指導を受けたり、授業中に理解ができなかった点を質問できる体制をとっている。
また、対面での質問を希望する学生には、授業前後の休み時間のみならず、授業担当教員のオフィスアワーを設定し、指導ならびに質問への対応をおこなっている。
</t>
    <rPh sb="20" eb="22">
      <t>ジュギョウ</t>
    </rPh>
    <rPh sb="33" eb="35">
      <t xml:space="preserve">ジュギョウ </t>
    </rPh>
    <rPh sb="89" eb="91">
      <t>コウリョ</t>
    </rPh>
    <rPh sb="108" eb="110">
      <t xml:space="preserve">シツモン </t>
    </rPh>
    <rPh sb="121" eb="123">
      <t xml:space="preserve">タイメンデ </t>
    </rPh>
    <rPh sb="125" eb="127">
      <t xml:space="preserve">シツモンヲ </t>
    </rPh>
    <rPh sb="128" eb="130">
      <t xml:space="preserve">キボウスル </t>
    </rPh>
    <rPh sb="142" eb="146">
      <t xml:space="preserve">ジュギョウゼンゴ </t>
    </rPh>
    <rPh sb="147" eb="148">
      <t xml:space="preserve">ヤスミジカン </t>
    </rPh>
    <rPh sb="171" eb="173">
      <t xml:space="preserve">シツモンヘノ </t>
    </rPh>
    <rPh sb="175" eb="183">
      <t xml:space="preserve">タイオウヲ ガクセイニハ </t>
    </rPh>
    <phoneticPr fontId="1"/>
  </si>
  <si>
    <t>薬学部薬学科</t>
    <rPh sb="0" eb="3">
      <t>ヤクガクブ</t>
    </rPh>
    <rPh sb="3" eb="6">
      <t>ヤクガッカ</t>
    </rPh>
    <phoneticPr fontId="1"/>
  </si>
  <si>
    <t>薬学部動物生命薬科学科</t>
    <rPh sb="0" eb="3">
      <t>ヤクガクブ</t>
    </rPh>
    <rPh sb="3" eb="5">
      <t>ドウブツ</t>
    </rPh>
    <rPh sb="5" eb="7">
      <t>セイメイ</t>
    </rPh>
    <rPh sb="7" eb="9">
      <t>ヤッカ</t>
    </rPh>
    <rPh sb="9" eb="11">
      <t>ガッカ</t>
    </rPh>
    <phoneticPr fontId="1"/>
  </si>
  <si>
    <t>臨床心理学部</t>
    <rPh sb="0" eb="2">
      <t>リンショウ</t>
    </rPh>
    <rPh sb="2" eb="6">
      <t>シンリガクブ</t>
    </rPh>
    <phoneticPr fontId="1"/>
  </si>
  <si>
    <t>大倉正道</t>
    <rPh sb="0" eb="2">
      <t>オオクラ</t>
    </rPh>
    <rPh sb="2" eb="4">
      <t>マサミチ</t>
    </rPh>
    <phoneticPr fontId="1"/>
  </si>
  <si>
    <t>教務部長</t>
    <rPh sb="0" eb="4">
      <t>キョウムブチョウ</t>
    </rPh>
    <phoneticPr fontId="1"/>
  </si>
  <si>
    <t>大倉正道</t>
    <rPh sb="0" eb="4">
      <t>オオクラマサミチ</t>
    </rPh>
    <phoneticPr fontId="1"/>
  </si>
  <si>
    <r>
      <t xml:space="preserve">九州医療科学大学
</t>
    </r>
    <r>
      <rPr>
        <sz val="9"/>
        <rFont val="ＭＳ Ｐゴシック"/>
        <family val="3"/>
        <charset val="128"/>
        <scheme val="minor"/>
      </rPr>
      <t>（令和6年度より九州保健福祉大学から大学名称を変更）</t>
    </r>
    <rPh sb="10" eb="12">
      <t>レイワ</t>
    </rPh>
    <rPh sb="13" eb="15">
      <t>ネンド</t>
    </rPh>
    <rPh sb="17" eb="25">
      <t>キュウシュウホケンフクシダイガク</t>
    </rPh>
    <rPh sb="27" eb="31">
      <t>ダイガクメイショウ</t>
    </rPh>
    <rPh sb="32" eb="34">
      <t>ヘンコウ</t>
    </rPh>
    <phoneticPr fontId="1"/>
  </si>
  <si>
    <t>九州医療科学大学</t>
    <rPh sb="0" eb="8">
      <t>キュウシュウイリョウカガクダイガク</t>
    </rPh>
    <phoneticPr fontId="1"/>
  </si>
  <si>
    <t>数理・データサイエンス・AI教育プログラム</t>
  </si>
  <si>
    <t xml:space="preserve">「データサイエンスI」(1単位)を履修し、単位取得すること。
</t>
  </si>
  <si>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</si>
  <si>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データサイエンスI</t>
  </si>
  <si>
    <t>⑦ 「活用に当たっての様々な留意事項（ELSI、個人情報、データ倫理、ＡI社会原則等）を考慮し、情報セキュリティや情報漏洩等、データを守る上での留意事項への理解をする」の内容を含む授業科目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</si>
  <si>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Iの基本的な活用法に関するもの」の内容を含む授業科目</t>
  </si>
  <si>
    <t>（１）現在進行中の社会変化（第４次産業革命、SocIety 5.0、データ駆動型社会等）に深く寄与しているものであり、それが自らの生活と密接に結びついている</t>
  </si>
  <si>
    <t>・ビッグデータ、IoT、AI、生成AI、ロボット「データサイエンスI」(1、3回目)
・データ量の増加、計算機の処理性能の向上「データサイエンスI」（3回目）
・第4次産業革命、SocIety 5.0、データ駆動型社会「データサイエンスI」(3回目)
・複数技術を組み合わせたAIサービスデータサイエンスI」(5、8回目)
・人間の知的活動とAIの関係性「データサイエンスI」(5、6回目)
・データを起点としたものの見方、人間の知的活動を起点としたものの見方「データサイエンスI」(1、2回目)</t>
  </si>
  <si>
    <t>・AI等を活用した新しいビジネスモデル「データサイエンスI」(5、8回目)
・AI最新技術の活用例「データサイエンスI」(1、5、8回目)</t>
  </si>
  <si>
    <t>・データ・AI活用領域の広がり(生産、消費、文化活動など)「データサイエンスI」(3、8回目)
・研究開発、調達、製造、物流、販売、マーケティング、サービスなど「データサイエンスI」(8回目)
・仮説検証、知識発見、原因究明、計画策定、判断支援、活動代替、新規生成など「データサイエンスI」(7回目)</t>
  </si>
  <si>
    <t>・データ可視化：複合グラフ、2軸グラフ、多次元の可視化、関係性の可視化、地図上の可視化、挙動・軌跡の可視化、リアルタイム可視化「データサイエンスI」(1回目)
・非構造化データ処理：言語処理、画像/動画処理、音声/音楽処理など「データサイエンスI」(5、6回目)
・特化型AIと汎用AI、今のAIで出来ることと出来ないこと、AIとビッグデータ「データサイエンスI」(5回目)
・認識技術、ルールベース、自動化技術「データサイエンスI」(1回目)</t>
  </si>
  <si>
    <t>・データサイエンスのサイクル（課題抽出と定式化、データの取得・管理・加工、探索的データ解析、データ解析と推論、結果の共有・伝達、課題解決に向けた提案）「データサイエンスI」(7回目)
・流通、製造、金融、サービス、インフラ、公共、ヘルスケア等におけるデータ・AI利活用事例紹介「データサイエンスI」(3回目)</t>
  </si>
  <si>
    <t>（４）活用に当たっての様々な留意事項（ELSI、個人情報、データ倫理、ＡI社会原則等）を考慮し、情報セキュリティや情報漏洩等、データを守る上での留意事項への理解をする</t>
  </si>
  <si>
    <t>・情報セキュリティ：機密性、完全性、可用性「データサイエンスI」(13、15回目)
・匿名加工情報、暗号化、パスワード、悪意ある情報搾取「データサイエンスI」(13、15回目)
・情報漏洩等によるセキュリティ事故の事例紹介「データサイエンスI」(15回目)</t>
  </si>
  <si>
    <t>（５）実データ・実課題（学術データ等を含む）を用いた演習など、社会での実例を題材として、「データを読む、説明する、扱う」といった数理・データサイエンス・ＡIの基本的な活用法に関するもの</t>
  </si>
  <si>
    <t>・データ表現（棒グラフ、折線グラフ、散布図）「データサイエンスI」(9、10、11、12回目)
・データの比較（条件をそろえた比較、処理の前後での比較、A/Bテスト)「データサイエンスI」(9、10、11、12回目)
・不適切なグラフ表現（チャートジャンク、不必要な視覚的要素）「データサイエンスI」(9、10、11、12回目)</t>
  </si>
  <si>
    <t>教育プログラムを構成する科目に、「数理・データサイエンス・ＡI（リテラシーレベル）モデルカリキュラム改訂版」（2024年2月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</si>
  <si>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・データサイエンスが何かを理解し、説明できる
・データサイエンス・AIを活用する事の意義を理解する
・客観的なデータの重要性と基本的な役割を理解し、さらに適切なデータ分析・解釈ができる
・現代社会の様々な分野におけるデータ分析を基とした実践的活動について理解できる
・医療福祉分野におけるデータサイエンスについて理解し、説明できる</t>
    <phoneticPr fontId="1"/>
  </si>
  <si>
    <t>・調査データ、実験データ、人の行動ログデータ、機械の稼働ログデータ「データサイエンスI」（4回目）
・1次データ、2次データ「データサイエンスI」（4回目）
・構造化データ、非構造化データ「データサイエンスI」（4回目）
・データ作成（ビッグデータとアノテーション）、「データサイエンスI」(4回目)
・データのオープン化「データサイエンスI」（4回目）</t>
    <phoneticPr fontId="1"/>
  </si>
  <si>
    <t>・データの集計（和、平均）「データサイエンスI」(9、10、11、12回目)
・データの並び替え、ランキング「データサイエンスI」(9、10、11、12回目)
・表形式のデータ（csv）「データサイエンスI」(9、10、11、12回目)</t>
    <phoneticPr fontId="1"/>
  </si>
  <si>
    <r>
      <t>本プログラムの修了に必要な科目「データサイエンスI」は、大学共通科目として、</t>
    </r>
    <r>
      <rPr>
        <sz val="12"/>
        <rFont val="ＭＳ Ｐゴシック"/>
        <family val="2"/>
        <charset val="128"/>
      </rPr>
      <t>全学部1年生</t>
    </r>
    <r>
      <rPr>
        <sz val="12"/>
        <rFont val="ＭＳ Ｐゴシック"/>
        <family val="3"/>
        <charset val="128"/>
      </rPr>
      <t>を対象とした選択科目として開講している。さらに、各学部学科の専門科目の開講時間と本科目の開講時間が重複し、履修を希望する学生に受講時間で支障が生じない様、</t>
    </r>
    <r>
      <rPr>
        <sz val="12"/>
        <rFont val="ＭＳ Ｐゴシック"/>
        <family val="2"/>
        <charset val="128"/>
      </rPr>
      <t>同じ内容を扱う、生命医科学部および薬学部薬学科の学生を対象とした講義ならびに、薬学部動物生命薬科学科、社会福祉学部、臨床心理学部の学生を対象とした講義を開講し、</t>
    </r>
    <r>
      <rPr>
        <sz val="12"/>
        <rFont val="ＭＳ Ｐゴシック"/>
        <family val="3"/>
        <charset val="128"/>
      </rPr>
      <t>学部・学科等に関係なく希望する学生全員が受講可能となっている。</t>
    </r>
    <rPh sb="28" eb="30">
      <t>ダイガク</t>
    </rPh>
    <rPh sb="30" eb="32">
      <t>キョウツウ</t>
    </rPh>
    <rPh sb="38" eb="41">
      <t xml:space="preserve">ゼンガクブ </t>
    </rPh>
    <rPh sb="42" eb="43">
      <t xml:space="preserve">ネン </t>
    </rPh>
    <rPh sb="43" eb="44">
      <t xml:space="preserve">セイ </t>
    </rPh>
    <rPh sb="45" eb="47">
      <t xml:space="preserve">タイショウトシタ </t>
    </rPh>
    <rPh sb="68" eb="73">
      <t xml:space="preserve">カクガクブガッカ </t>
    </rPh>
    <rPh sb="74" eb="76">
      <t xml:space="preserve">センモン </t>
    </rPh>
    <rPh sb="76" eb="78">
      <t xml:space="preserve">カモク </t>
    </rPh>
    <rPh sb="79" eb="81">
      <t xml:space="preserve">カイコウ </t>
    </rPh>
    <rPh sb="81" eb="83">
      <t xml:space="preserve">ジカン </t>
    </rPh>
    <rPh sb="84" eb="87">
      <t xml:space="preserve">ホンカモク </t>
    </rPh>
    <rPh sb="88" eb="92">
      <t xml:space="preserve">カイコウジカン </t>
    </rPh>
    <rPh sb="93" eb="95">
      <t xml:space="preserve">チョウフクシ </t>
    </rPh>
    <rPh sb="97" eb="99">
      <t xml:space="preserve">リシュウニ </t>
    </rPh>
    <rPh sb="100" eb="102">
      <t xml:space="preserve">キボウスル </t>
    </rPh>
    <rPh sb="104" eb="106">
      <t xml:space="preserve">ガクセイ </t>
    </rPh>
    <rPh sb="107" eb="111">
      <t xml:space="preserve">ジュコウジカン </t>
    </rPh>
    <rPh sb="112" eb="114">
      <t xml:space="preserve">シショウ </t>
    </rPh>
    <rPh sb="115" eb="116">
      <t xml:space="preserve">ショウジナイヨウニ </t>
    </rPh>
    <rPh sb="121" eb="122">
      <t xml:space="preserve">オナジナイヨウヲ </t>
    </rPh>
    <rPh sb="126" eb="127">
      <t xml:space="preserve">アツカウ </t>
    </rPh>
    <rPh sb="129" eb="135">
      <t xml:space="preserve">セイメイイカガクブ </t>
    </rPh>
    <rPh sb="138" eb="141">
      <t xml:space="preserve">ヤクガクブ </t>
    </rPh>
    <rPh sb="141" eb="144">
      <t xml:space="preserve">ヤクガクカ </t>
    </rPh>
    <rPh sb="145" eb="147">
      <t xml:space="preserve">ガクセイヲタイショウトシタ </t>
    </rPh>
    <rPh sb="153" eb="155">
      <t xml:space="preserve">コウギ </t>
    </rPh>
    <rPh sb="160" eb="163">
      <t xml:space="preserve">ヤクガクブ </t>
    </rPh>
    <rPh sb="163" eb="171">
      <t xml:space="preserve">ドウブツセイメイヤッカガッカ </t>
    </rPh>
    <rPh sb="172" eb="178">
      <t xml:space="preserve">シャカイフクシガクブ </t>
    </rPh>
    <rPh sb="179" eb="185">
      <t xml:space="preserve">リンショウシンリガクブ </t>
    </rPh>
    <rPh sb="186" eb="188">
      <t xml:space="preserve">ガクセイヲ </t>
    </rPh>
    <rPh sb="189" eb="191">
      <t xml:space="preserve">タイショウトシタ </t>
    </rPh>
    <rPh sb="194" eb="196">
      <t xml:space="preserve">コウギ </t>
    </rPh>
    <rPh sb="197" eb="199">
      <t xml:space="preserve">カイコウシ </t>
    </rPh>
    <rPh sb="212" eb="215">
      <t xml:space="preserve">カクカモクノリシュウ </t>
    </rPh>
    <phoneticPr fontId="1"/>
  </si>
  <si>
    <t>本プログラム科目「データサイエンスI」は1年生を対象とした学部共通選択科目として開講しており、本プログラム初年度である令和5年度では、1年生184名中51名が履修（履修率 27.7%）をした。本科目では、オンライン学習管理システムGoogle Classroomを用いて、受講学生の出欠、課題の提出の有無、授業後の確認テストの得点の全てを管理し、講義担当者である「情報教育センター分室員」がその情報を共有し、学生の理解が十分でないと考えられる場合には、すぐにフィードバックできる体制を構築した。その結果、47名が単位を取得できた（単位取得率92.2%）。</t>
    <rPh sb="0" eb="1">
      <t xml:space="preserve">ホンンプログラム </t>
    </rPh>
    <rPh sb="6" eb="8">
      <t xml:space="preserve">カモク </t>
    </rPh>
    <rPh sb="32" eb="34">
      <t xml:space="preserve">カノウナ </t>
    </rPh>
    <rPh sb="35" eb="37">
      <t xml:space="preserve">ガクセイ </t>
    </rPh>
    <rPh sb="40" eb="41">
      <t xml:space="preserve">メイ </t>
    </rPh>
    <rPh sb="41" eb="42">
      <t xml:space="preserve">チュウ </t>
    </rPh>
    <rPh sb="47" eb="48">
      <t xml:space="preserve">ホンプログラム </t>
    </rPh>
    <rPh sb="53" eb="55">
      <t xml:space="preserve">リシュウヲシ </t>
    </rPh>
    <rPh sb="56" eb="60">
      <t xml:space="preserve">トウガイガクセイ </t>
    </rPh>
    <rPh sb="64" eb="67">
      <t xml:space="preserve">リシュウリツ </t>
    </rPh>
    <rPh sb="68" eb="70">
      <t xml:space="preserve">ネンセイ </t>
    </rPh>
    <rPh sb="74" eb="75">
      <t xml:space="preserve">メイガ </t>
    </rPh>
    <rPh sb="76" eb="78">
      <t xml:space="preserve">ゴウカクヲシタ </t>
    </rPh>
    <rPh sb="96" eb="98">
      <t xml:space="preserve">レイワ </t>
    </rPh>
    <rPh sb="99" eb="101">
      <t xml:space="preserve">ネンド </t>
    </rPh>
    <rPh sb="102" eb="105">
      <t xml:space="preserve">ヒッシュウカ </t>
    </rPh>
    <rPh sb="106" eb="108">
      <t xml:space="preserve">ヨテイシテイルガ </t>
    </rPh>
    <rPh sb="109" eb="111">
      <t xml:space="preserve">カンリ </t>
    </rPh>
    <rPh sb="126" eb="130">
      <t xml:space="preserve">タンイシュトク </t>
    </rPh>
    <rPh sb="134" eb="136">
      <t>ダイガク</t>
    </rPh>
    <rPh sb="164" eb="168">
      <t xml:space="preserve">リシュウシャスウノ </t>
    </rPh>
    <rPh sb="169" eb="171">
      <t xml:space="preserve">コウジョウ </t>
    </rPh>
    <rPh sb="192" eb="194">
      <t xml:space="preserve">ジュコウ </t>
    </rPh>
    <rPh sb="194" eb="196">
      <t xml:space="preserve">ジュコウガクセイノ </t>
    </rPh>
    <rPh sb="197" eb="199">
      <t xml:space="preserve">シュッケツ </t>
    </rPh>
    <rPh sb="200" eb="202">
      <t xml:space="preserve">カダイノ </t>
    </rPh>
    <rPh sb="203" eb="205">
      <t xml:space="preserve">テイシュツノウム </t>
    </rPh>
    <rPh sb="209" eb="212">
      <t xml:space="preserve">ジュギョウゴノカクニンテスト </t>
    </rPh>
    <rPh sb="219" eb="221">
      <t xml:space="preserve">トクテン </t>
    </rPh>
    <rPh sb="222" eb="223">
      <t xml:space="preserve">スベテ </t>
    </rPh>
    <rPh sb="238" eb="240">
      <t xml:space="preserve">カンリサセ </t>
    </rPh>
    <rPh sb="244" eb="249">
      <t xml:space="preserve">コウギタントウシャ </t>
    </rPh>
    <rPh sb="253" eb="257">
      <t xml:space="preserve">ジョウホウキョウイクセンター ブンシツ イン ガクセイガ タイセイ コウチクシタ リシュウシャ ニンチュウ </t>
    </rPh>
    <phoneticPr fontId="1"/>
  </si>
  <si>
    <t>オンライン学習管理システムを用い、毎講義後の確認テスト、アンケートの結果、課題の結果、受講学生の質問内容およびそれに対する回答が受講学生、担当教員ともにすぐに確認できるシステムを構築した。講義で映像資料として用いるオンライン教材はいつでも何度でも視聴可能であり、さらに、確認テストは問題がランダムに出題され、何度でも受験することが可能な仕様となっている。各講義回の内容を完全に理解できるまで繰り返しして学習してもらうことにより、学修成果の定着を図っている。</t>
    <rPh sb="0" eb="4">
      <t xml:space="preserve">カクコウギカイ </t>
    </rPh>
    <rPh sb="5" eb="8">
      <t xml:space="preserve">シュウリョウジニ </t>
    </rPh>
    <rPh sb="17" eb="21">
      <t xml:space="preserve">ジュコウガクセイハ </t>
    </rPh>
    <rPh sb="22" eb="24">
      <t xml:space="preserve">ジシン </t>
    </rPh>
    <rPh sb="25" eb="29">
      <t xml:space="preserve">ガクシュウセイカヲ </t>
    </rPh>
    <rPh sb="30" eb="32">
      <t xml:space="preserve">ソクジ </t>
    </rPh>
    <rPh sb="33" eb="35">
      <t xml:space="preserve">カクニンスルコトガデキル </t>
    </rPh>
    <rPh sb="47" eb="49">
      <t xml:space="preserve">コウギデモチイル </t>
    </rPh>
    <rPh sb="65" eb="67">
      <t xml:space="preserve">ナンドデモ </t>
    </rPh>
    <rPh sb="69" eb="73">
      <t xml:space="preserve">シチョウカノウデアリ </t>
    </rPh>
    <rPh sb="81" eb="83">
      <t xml:space="preserve">カクニンテストハ </t>
    </rPh>
    <rPh sb="87" eb="89">
      <t xml:space="preserve">モンダイガ </t>
    </rPh>
    <rPh sb="97" eb="101">
      <t xml:space="preserve">エイゾウシリョウ </t>
    </rPh>
    <rPh sb="201" eb="203">
      <t>ガクシュウ</t>
    </rPh>
    <phoneticPr fontId="1"/>
  </si>
  <si>
    <t>本プログラムは令和5年に開設し、履修者は1年生であるため、修了者の進路、活動状況、企業等の評価を得るまでに至っていない。履修者が卒業する令和8年度以降分析ができるよう、本学就職キャリアサポートセンターと連携して準備を進めている。</t>
    <rPh sb="16" eb="19">
      <t xml:space="preserve">リシュウシャ </t>
    </rPh>
    <rPh sb="21" eb="23">
      <t xml:space="preserve">ネンセイ </t>
    </rPh>
    <rPh sb="29" eb="32">
      <t xml:space="preserve">シュウリョウシャ </t>
    </rPh>
    <rPh sb="33" eb="35">
      <t xml:space="preserve">シンロ </t>
    </rPh>
    <rPh sb="36" eb="40">
      <t xml:space="preserve">カツドウジョウキョウ </t>
    </rPh>
    <rPh sb="41" eb="44">
      <t xml:space="preserve">キギョウトウノ </t>
    </rPh>
    <rPh sb="45" eb="47">
      <t xml:space="preserve">ヒョウカヲ </t>
    </rPh>
    <rPh sb="48" eb="49">
      <t xml:space="preserve">エルマデニイタッテイナ </t>
    </rPh>
    <rPh sb="60" eb="62">
      <t xml:space="preserve">リシュウ </t>
    </rPh>
    <rPh sb="93" eb="95">
      <t xml:space="preserve">レンケイシテ </t>
    </rPh>
    <rPh sb="97" eb="99">
      <t xml:space="preserve">ブンセキガデキルヨウ </t>
    </rPh>
    <phoneticPr fontId="1"/>
  </si>
  <si>
    <r>
      <t>「データサイエンスI」で映像資料として用いているオンデマンド教材は、産業界からの視点が含まれた、株式会社ベネッセコーポレーションが提供するものである。「情報教育センター分室」においてこの教材の使用方法等を常に検討しながら講義に用いている。さらに、本学で毎年度実施される学外者の客観的な視点を取り入れた自己点検・自己評価や、卒業生の進路先企業等へのアンケートの回答を通し、産業界からの意見を積極的に聴取し、本プログラムの運用・改善に積極的に反映することのできる仕組みを構築していることから、プログラムには産業界からの視点が十分に含まれていると考えられ</t>
    </r>
    <r>
      <rPr>
        <sz val="12"/>
        <rFont val="ＭＳ Ｐゴシック"/>
        <family val="2"/>
        <charset val="128"/>
        <scheme val="minor"/>
      </rPr>
      <t>た。</t>
    </r>
    <rPh sb="24" eb="25">
      <t xml:space="preserve">モチイテイル </t>
    </rPh>
    <rPh sb="35" eb="37">
      <t xml:space="preserve">キョウザイ </t>
    </rPh>
    <rPh sb="39" eb="41">
      <t xml:space="preserve">ヘンジャ </t>
    </rPh>
    <rPh sb="42" eb="46">
      <t xml:space="preserve">ミンカンシュッシン </t>
    </rPh>
    <rPh sb="83" eb="84">
      <t xml:space="preserve">シャガ </t>
    </rPh>
    <rPh sb="85" eb="89">
      <t xml:space="preserve">タシュタヨウナ </t>
    </rPh>
    <rPh sb="90" eb="92">
      <t xml:space="preserve">ギョウシュヘノ </t>
    </rPh>
    <rPh sb="94" eb="96">
      <t xml:space="preserve">キョウザイヲ </t>
    </rPh>
    <rPh sb="97" eb="99">
      <t xml:space="preserve">カイハツシテイルコトカラ </t>
    </rPh>
    <rPh sb="113" eb="115">
      <t>シュダン</t>
    </rPh>
    <rPh sb="120" eb="121">
      <t xml:space="preserve">フクマレタ </t>
    </rPh>
    <rPh sb="124" eb="126">
      <t xml:space="preserve">キョウザイ </t>
    </rPh>
    <rPh sb="142" eb="144">
      <t>カイゼン</t>
    </rPh>
    <rPh sb="145" eb="147">
      <t>カイカク</t>
    </rPh>
    <rPh sb="150" eb="154">
      <t xml:space="preserve">ジョウホウキョウイクセンター </t>
    </rPh>
    <rPh sb="158" eb="160">
      <t xml:space="preserve">ブンシツ </t>
    </rPh>
    <rPh sb="167" eb="168">
      <t xml:space="preserve">ナド </t>
    </rPh>
    <rPh sb="196" eb="197">
      <t>ロン</t>
    </rPh>
    <rPh sb="197" eb="199">
      <t xml:space="preserve">ジッシサレル </t>
    </rPh>
    <rPh sb="259" eb="262">
      <t xml:space="preserve">セッキョクテキニ シクミヲ コウチクシテイル </t>
    </rPh>
    <phoneticPr fontId="1"/>
  </si>
  <si>
    <r>
      <t>履修後のアンケートで、「データサイエンスについて興味が得られたか」、「データサイエンスを</t>
    </r>
    <r>
      <rPr>
        <sz val="12"/>
        <rFont val="ＭＳ Ｐゴシック"/>
        <family val="2"/>
        <charset val="128"/>
        <scheme val="minor"/>
      </rPr>
      <t>自ら進んでより深く学びたいか」、「さらに発展的な科目が開講されたら受講したいか」、「受講後の満足度」の各項目について、肯定的な回答はそれぞれ、100%、97.8%、95.6%、91.1％と高い結果が得られたことから、後輩等他の学生への推奨度は高いと考えられた。</t>
    </r>
    <rPh sb="46" eb="47">
      <t>スス</t>
    </rPh>
    <rPh sb="65" eb="67">
      <t xml:space="preserve">キョウミガエラレタ </t>
    </rPh>
    <rPh sb="73" eb="74">
      <t>トモ</t>
    </rPh>
    <rPh sb="85" eb="86">
      <t xml:space="preserve">ミズカラ </t>
    </rPh>
    <rPh sb="86" eb="89">
      <t xml:space="preserve">ジュコウゴノマンゾクド </t>
    </rPh>
    <rPh sb="110" eb="113">
      <t xml:space="preserve">ハッテンテキナカモク </t>
    </rPh>
    <rPh sb="117" eb="119">
      <t xml:space="preserve">カイコウサレタラ </t>
    </rPh>
    <rPh sb="123" eb="125">
      <t xml:space="preserve">ジュコウシタイカ </t>
    </rPh>
    <rPh sb="135" eb="137">
      <t xml:space="preserve">マンゾクシタカ </t>
    </rPh>
    <rPh sb="145" eb="148">
      <t xml:space="preserve">コウテイテキナ </t>
    </rPh>
    <rPh sb="149" eb="151">
      <t xml:space="preserve">カイトウハ </t>
    </rPh>
    <rPh sb="155" eb="156">
      <t xml:space="preserve">ホカノガクセイ </t>
    </rPh>
    <phoneticPr fontId="1"/>
  </si>
  <si>
    <t>・データの種類（量的変数、質的変数）「データサイエンスI」(9、10、11、12回目)
・データの分布(ヒストグラム)と代表値（平均値、中央値、最頻値）「データサイエンスI」(9、10、11、12回目)
・代表値の性質の違い（実社会では平均値＝最頻値でないことが多い）「データサイエンスI」(9、10、11、12回目)
・データのばらつき（分散、標準偏差、偏差値）「データサイエンスI」(9、10、11、12回目)
・相関と因果（相関係数、擬似相関）「データサイエンスI」(9、10、11、12回目)
・母集団と標本抽出（国勢調査、アンケート調査、全数調査、単純無作為抽出、層別抽出、多段抽出）「データサイエンスI」(9、10、11、12回目)
・クロス集計表、分割表「データサイエンスI」(9、10、11、12回目)
・統計情報の正しい理解（誇張表現に惑わされない）「データサイエンスI」(9、10、11、12回目)</t>
    <phoneticPr fontId="1"/>
  </si>
  <si>
    <t>講義の際、学生の理解に応じて講義を行うことで、学生のつまづき、理解不足を減らすようにしている。さらに、毎講義後に確認テストおよび授業アンケートをオンライン学習管理システムを用いて実施し、講義内容が理解できていない場合には、次の回の講義でフィードバックをかける仕組みを構築している。学生にとってわかりやすい講義となるよう、教育改革部会ならびに情報教育センターにおいて教育内容と方法について継続的に検討、改善を図っている。担当教員は常に最新の情報を入手し、さらに今後は生成AIに関する情報も積極的に取り入れることで、本プログラムの内容・水準を維持・向上させるように努めている。</t>
    <rPh sb="0" eb="2">
      <t xml:space="preserve">キョウインハ </t>
    </rPh>
    <rPh sb="13" eb="15">
      <t xml:space="preserve">ナイヨウ </t>
    </rPh>
    <rPh sb="34" eb="36">
      <t xml:space="preserve">ナイヨウヲ </t>
    </rPh>
    <rPh sb="37" eb="39">
      <t xml:space="preserve">コウギノサイ </t>
    </rPh>
    <rPh sb="42" eb="44">
      <t xml:space="preserve">スイジュン </t>
    </rPh>
    <rPh sb="46" eb="48">
      <t xml:space="preserve">コウジョウサセル </t>
    </rPh>
    <rPh sb="114" eb="116">
      <t>カクニン _x0000__x0000__x0002__x0007__x000D__x0002__x000C_"_x0002_</t>
    </rPh>
    <phoneticPr fontId="1"/>
  </si>
  <si>
    <r>
      <t>「データサイエンスI」では、学生の理解に応じ、学生の専門分野や実社会におけるデータサイエンスやAIの利活用、ニュースや報道等に関する内容を絡めて講義を行っている。さらに、学生の専門分野でのデータを実際に解析することで、学んだことがどのようにして将来役立つかを実感することができるよう、講義を行なっている。
なお、履修後のアンケート調査で、「興味が得られたか」、「自ら進んでより深く学びたいと思ったか」といった項目について肯定的な回答はそれぞれ100%、97.8%と高い結果が得られたことから、学ぶことの楽しさ・意義について学生に伝わっていると考えられ</t>
    </r>
    <r>
      <rPr>
        <sz val="12"/>
        <rFont val="ＭＳ Ｐゴシック"/>
        <family val="2"/>
        <charset val="128"/>
        <scheme val="minor"/>
      </rPr>
      <t>た。</t>
    </r>
    <rPh sb="6" eb="8">
      <t xml:space="preserve">カモク </t>
    </rPh>
    <rPh sb="61" eb="62">
      <t xml:space="preserve">リカツヨウ </t>
    </rPh>
    <rPh sb="85" eb="87">
      <t xml:space="preserve">ガクセイ </t>
    </rPh>
    <rPh sb="88" eb="92">
      <t xml:space="preserve">センモンブンヤ </t>
    </rPh>
    <rPh sb="95" eb="96">
      <t xml:space="preserve">カラメナガラ </t>
    </rPh>
    <rPh sb="105" eb="107">
      <t xml:space="preserve">キョウザイ </t>
    </rPh>
    <rPh sb="130" eb="132">
      <t>キョウミ</t>
    </rPh>
    <rPh sb="141" eb="142">
      <t xml:space="preserve">ジツ </t>
    </rPh>
    <rPh sb="146" eb="148">
      <t xml:space="preserve">カイセキ </t>
    </rPh>
    <rPh sb="156" eb="157">
      <t xml:space="preserve">オコナッテオロ </t>
    </rPh>
    <rPh sb="176" eb="178">
      <t xml:space="preserve">ショウライ </t>
    </rPh>
    <rPh sb="196" eb="198">
      <t xml:space="preserve">コウギヲ </t>
    </rPh>
    <rPh sb="199" eb="201">
      <t xml:space="preserve">コウチクシテイル </t>
    </rPh>
    <rPh sb="210" eb="213">
      <t xml:space="preserve">リシュウゴノ </t>
    </rPh>
    <rPh sb="224" eb="226">
      <t xml:space="preserve">キョウミガエラエタカ </t>
    </rPh>
    <rPh sb="227" eb="228">
      <t xml:space="preserve">エラレタカ </t>
    </rPh>
    <rPh sb="235" eb="236">
      <t xml:space="preserve">ミズカラ </t>
    </rPh>
    <rPh sb="237" eb="238">
      <t xml:space="preserve">ススンデ </t>
    </rPh>
    <rPh sb="244" eb="245">
      <t xml:space="preserve">マナビタイ </t>
    </rPh>
    <rPh sb="258" eb="261">
      <t xml:space="preserve">コウテイテキナ </t>
    </rPh>
    <rPh sb="262" eb="264">
      <t xml:space="preserve">カイトウ タカイ ケッカガエラレタ </t>
    </rPh>
    <phoneticPr fontId="1"/>
  </si>
  <si>
    <t>本学では全ての開講科目において履修後に受講学生へ授業評価アンケートを実施している。「データサイエンスI」では、本アンケートにて取り組み状況や授業内容に対する評価とともに、独自に「知識が得られたか」「自分の将来に関係すると感じたか」などの項目を設定し、学生の理解度を測ることとしている。
アンケートの結果、「知識が得られたか」、「自分の将来に関係すると感じたか」、「この授業は自分にとって意義のある授業だった」のそれぞれの質問項目に対し、それぞれ90％以上の肯定の回答があり、学生の内容の理解度は高いものと考えられた。</t>
    <rPh sb="15" eb="18">
      <t xml:space="preserve">リシュウゴニ </t>
    </rPh>
    <rPh sb="32" eb="34">
      <t>キョウイク</t>
    </rPh>
    <rPh sb="34" eb="36">
      <t>カイカク</t>
    </rPh>
    <rPh sb="36" eb="38">
      <t>ブカイ</t>
    </rPh>
    <rPh sb="55" eb="56">
      <t xml:space="preserve">ホン </t>
    </rPh>
    <rPh sb="82" eb="85">
      <t>テイリョウテキ</t>
    </rPh>
    <rPh sb="85" eb="87">
      <t xml:space="preserve">ドクジニ </t>
    </rPh>
    <rPh sb="89" eb="91">
      <t xml:space="preserve">チシキガエラエタカ </t>
    </rPh>
    <rPh sb="92" eb="93">
      <t xml:space="preserve">エラレタ </t>
    </rPh>
    <rPh sb="99" eb="101">
      <t xml:space="preserve">ジブンノショウライ </t>
    </rPh>
    <rPh sb="105" eb="107">
      <t xml:space="preserve">カンケイスル </t>
    </rPh>
    <rPh sb="193" eb="195">
      <t xml:space="preserve">イギ </t>
    </rPh>
    <rPh sb="213" eb="215">
      <t xml:space="preserve">ナイヨウノ </t>
    </rPh>
    <rPh sb="225" eb="227">
      <t xml:space="preserve">イジョウ </t>
    </rPh>
    <phoneticPr fontId="1"/>
  </si>
  <si>
    <r>
      <t>学部・学科等に関係なく希望する学生がすべて受講可能になる様、同じ内容を扱う科目を2つ開講しているが、内容を担保するため、オンデマンド教材を対面講義の映像資料として用いている。また、本学の学生の高校までの履修が多岐にわたることから、学生の理解に応じて、その場でそれらについての解説や学生の専門分野に関する内容を絡めて講義を行うことで理解を促している。さらにその場で演習を行うことで学習内容を振り返ってもらい、学習内容の定着度あげている。</t>
    </r>
    <r>
      <rPr>
        <sz val="12"/>
        <rFont val="ＭＳ Ｐゴシック"/>
        <family val="2"/>
        <charset val="128"/>
      </rPr>
      <t>演習では、学生の専門分野でのデータを用い実際に解析してもらうことで、学生にデータサイエンスの重要性を感じてもらい、学習の動機づけとしている。</t>
    </r>
    <r>
      <rPr>
        <sz val="12"/>
        <rFont val="ＭＳ Ｐゴシック"/>
        <family val="3"/>
        <charset val="128"/>
      </rPr>
      <t>オンデマンド教材は、いつでも何度でも視聴ができるといった利点を活かし、PCを必携化としていることから、学習内容の定着率を上昇させるために、教材を用いた自宅での復習を促している。</t>
    </r>
    <rPh sb="13" eb="15">
      <t>ガッカ</t>
    </rPh>
    <rPh sb="15" eb="16">
      <t>ベツ</t>
    </rPh>
    <rPh sb="30" eb="31">
      <t>ゼン</t>
    </rPh>
    <rPh sb="47" eb="50">
      <t>キョウムカ</t>
    </rPh>
    <rPh sb="65" eb="67">
      <t>キョウシツ</t>
    </rPh>
    <rPh sb="106" eb="107">
      <t>ホン</t>
    </rPh>
    <rPh sb="111" eb="115">
      <t xml:space="preserve">エイゾウシリョウ </t>
    </rPh>
    <rPh sb="140" eb="142">
      <t xml:space="preserve">ガクセイノ </t>
    </rPh>
    <rPh sb="143" eb="147">
      <t xml:space="preserve">センモンブニャ </t>
    </rPh>
    <rPh sb="200" eb="201">
      <t>ドウニュウキバンジシンシチョウコウリョトモハンテンジュギョウオオコウカハッキ</t>
    </rPh>
    <rPh sb="256" eb="259">
      <t xml:space="preserve">ヒッケイカ </t>
    </rPh>
    <phoneticPr fontId="1"/>
  </si>
  <si>
    <r>
      <t>令和5年度時点では、本プログラム修了に必要な科目「データサイエンスI」は1年次開講の選択科目である。そこで、この科目について、履修登録時の新入生オリエンテーションおよび学科別ガイダンスにてプログラム内容を説明し、プログラムの普及に努め</t>
    </r>
    <r>
      <rPr>
        <sz val="12"/>
        <rFont val="ＭＳ Ｐゴシック"/>
        <family val="2"/>
        <charset val="128"/>
      </rPr>
      <t>、履修者数を向上をさせる。</t>
    </r>
    <r>
      <rPr>
        <strike/>
        <sz val="12"/>
        <rFont val="ＭＳ Ｐゴシック"/>
        <family val="3"/>
        <charset val="128"/>
      </rPr>
      <t xml:space="preserve">
</t>
    </r>
    <r>
      <rPr>
        <sz val="12"/>
        <rFont val="ＭＳ Ｐゴシック"/>
        <family val="3"/>
        <charset val="128"/>
      </rPr>
      <t xml:space="preserve">令和8年度までに全学での必修科目化を予定しており、すでに生命医科学部と薬学部では令和6年度入学生から、プログラムの受講を強く推奨し、本申請提出時点でほぼ全員が履修登録している。遅くとも令和8年度以降入学の学生については、履修率100%となる予定である。
</t>
    </r>
    <rPh sb="0" eb="2">
      <t xml:space="preserve">ゲンザイ </t>
    </rPh>
    <rPh sb="16" eb="18">
      <t>☑️</t>
    </rPh>
    <rPh sb="37" eb="41">
      <t xml:space="preserve">ネンジカイコウ </t>
    </rPh>
    <rPh sb="44" eb="47">
      <t>シンニュウセイ</t>
    </rPh>
    <rPh sb="61" eb="63">
      <t>セツメイ</t>
    </rPh>
    <rPh sb="101" eb="103">
      <t>センタク</t>
    </rPh>
    <rPh sb="103" eb="105">
      <t>カモク</t>
    </rPh>
    <rPh sb="118" eb="122">
      <t xml:space="preserve">リシュウシャスウ </t>
    </rPh>
    <rPh sb="123" eb="125">
      <t xml:space="preserve">コウジョウ </t>
    </rPh>
    <rPh sb="134" eb="144">
      <t xml:space="preserve">リシュウシャスウ </t>
    </rPh>
    <rPh sb="147" eb="148">
      <t xml:space="preserve">ヤクガクカ </t>
    </rPh>
    <rPh sb="148" eb="150">
      <t xml:space="preserve">ガクブ </t>
    </rPh>
    <rPh sb="150" eb="153">
      <t xml:space="preserve">ヤクガクカ </t>
    </rPh>
    <rPh sb="155" eb="157">
      <t xml:space="preserve">レイワ </t>
    </rPh>
    <rPh sb="158" eb="160">
      <t>セイメイ</t>
    </rPh>
    <rPh sb="160" eb="164">
      <t>イカガクブ</t>
    </rPh>
    <rPh sb="165" eb="167">
      <t xml:space="preserve">ネンド </t>
    </rPh>
    <rPh sb="167" eb="168">
      <t xml:space="preserve">ニュウガクセイ </t>
    </rPh>
    <rPh sb="175" eb="177">
      <t xml:space="preserve">ジュコウヲ </t>
    </rPh>
    <rPh sb="178" eb="179">
      <t xml:space="preserve">ツヨクスイショウシ </t>
    </rPh>
    <rPh sb="185" eb="187">
      <t xml:space="preserve">ゼンインガ </t>
    </rPh>
    <rPh sb="188" eb="192">
      <t xml:space="preserve">リシュウトウロクシテイル </t>
    </rPh>
    <rPh sb="196" eb="199">
      <t xml:space="preserve">ホンシンセイ </t>
    </rPh>
    <rPh sb="199" eb="201">
      <t xml:space="preserve">テイシュツ </t>
    </rPh>
    <rPh sb="201" eb="203">
      <t xml:space="preserve">ジテン </t>
    </rPh>
    <rPh sb="207" eb="208">
      <t xml:space="preserve">オソクトモ </t>
    </rPh>
    <rPh sb="211" eb="213">
      <t xml:space="preserve">レイワ </t>
    </rPh>
    <rPh sb="214" eb="216">
      <t xml:space="preserve">ネンド </t>
    </rPh>
    <rPh sb="216" eb="218">
      <t xml:space="preserve">イコウ </t>
    </rPh>
    <rPh sb="218" eb="220">
      <t xml:space="preserve">ニュウガク </t>
    </rPh>
    <rPh sb="221" eb="223">
      <t xml:space="preserve">ガクセイ </t>
    </rPh>
    <rPh sb="229" eb="231">
      <t xml:space="preserve">リシュウリツ </t>
    </rPh>
    <rPh sb="257" eb="258">
      <t xml:space="preserve">レイワ </t>
    </rPh>
    <phoneticPr fontId="1"/>
  </si>
  <si>
    <t>履修者数、履修率向上に向けて、新入生オリエンテーションや学科別ガイダンス、さらに大学ホームページに継続的に本プログラムに関する情報を発信している。すでに、生命医科学部および薬学部では、プログラムの受講を強く推奨し、令和6年度ではこれらの学部でほぼ全員が履修登録をおこなっている。本プログラム科目は、現在選択科目として開講しているが、令和8年度までに完全必修化する予定であることから、遅くとも令和8年度以降入学の学生については、履修率100%となる予定である。</t>
    <rPh sb="53" eb="54">
      <t xml:space="preserve">ホンプログラム </t>
    </rPh>
    <rPh sb="86" eb="87">
      <t xml:space="preserve">カモク </t>
    </rPh>
    <rPh sb="89" eb="91">
      <t xml:space="preserve">ゲンザイ </t>
    </rPh>
    <rPh sb="107" eb="109">
      <t xml:space="preserve">レイワ </t>
    </rPh>
    <rPh sb="110" eb="112">
      <t xml:space="preserve">ネンドデハ </t>
    </rPh>
    <rPh sb="127" eb="130">
      <t xml:space="preserve">ザイガクセイノ </t>
    </rPh>
    <rPh sb="151" eb="152">
      <t xml:space="preserve">オソクトモ </t>
    </rPh>
    <rPh sb="156" eb="158">
      <t xml:space="preserve">ネンセイ </t>
    </rPh>
    <rPh sb="159" eb="162">
      <t xml:space="preserve">ヤクガクカ </t>
    </rPh>
    <rPh sb="164" eb="167">
      <t xml:space="preserve">ザイガクセイ ヒッシュウカ </t>
    </rPh>
    <phoneticPr fontId="1"/>
  </si>
  <si>
    <t>教育改革部会/情報教育センター分室</t>
    <rPh sb="0" eb="4">
      <t>ジョウホウキョウイク</t>
    </rPh>
    <rPh sb="8" eb="10">
      <t>ブンシツ</t>
    </rPh>
    <rPh sb="11" eb="16">
      <t xml:space="preserve">キョウイクカイカクブカイ </t>
    </rPh>
    <phoneticPr fontId="1"/>
  </si>
  <si>
    <r>
      <t>自己点検自己評価委員会に組織される「教育改革部会」が中心となり、教学に係わる全般の検討改善に努める。本教育プログラムの実施運営に関しては、情報教育センター分室と担当教員が実施内容の計画検討を行い、教育の改善・進化を行う。
※別添：④プログラムを改善・進化させるための体制　図を参照
【教育改革部会】
本学が定める教育上の基本方針に基づき、学士課程ならびに大学院教育の基本方針および教育目標、教育課程、教育内容、教育方法等を協議し、これらの円滑な実施と充実に努めることを目的として点検評価を行</t>
    </r>
    <r>
      <rPr>
        <sz val="12"/>
        <rFont val="ＭＳ Ｐゴシック"/>
        <family val="2"/>
        <charset val="128"/>
      </rPr>
      <t xml:space="preserve">う部会である。本プログラムでは主に教育内容の評価・検証を担当する。
</t>
    </r>
    <r>
      <rPr>
        <sz val="12"/>
        <color theme="1"/>
        <rFont val="ＭＳ Ｐゴシック"/>
        <family val="3"/>
        <charset val="128"/>
      </rPr>
      <t xml:space="preserve">
【情報教育センター分室】
本プログラムでは、主に教育内容の検討・運用計画を策定し、教育の推進に資する。
</t>
    </r>
    <rPh sb="0" eb="8">
      <t>ジコテンケンジコヒョウカ</t>
    </rPh>
    <rPh sb="8" eb="11">
      <t>イインカイ</t>
    </rPh>
    <rPh sb="12" eb="14">
      <t>ソシキ</t>
    </rPh>
    <rPh sb="18" eb="22">
      <t>キョウイクカイカク</t>
    </rPh>
    <rPh sb="22" eb="24">
      <t>ブカイ</t>
    </rPh>
    <rPh sb="26" eb="28">
      <t>チュウシン</t>
    </rPh>
    <rPh sb="32" eb="34">
      <t>キョウガク</t>
    </rPh>
    <rPh sb="35" eb="36">
      <t>カカ</t>
    </rPh>
    <rPh sb="39" eb="40">
      <t>マエ</t>
    </rPh>
    <rPh sb="40" eb="42">
      <t>ゼンパン</t>
    </rPh>
    <rPh sb="43" eb="45">
      <t>ケントウ</t>
    </rPh>
    <rPh sb="45" eb="47">
      <t>カイゼン</t>
    </rPh>
    <rPh sb="48" eb="49">
      <t>ツト</t>
    </rPh>
    <rPh sb="61" eb="63">
      <t>ジッシ</t>
    </rPh>
    <rPh sb="63" eb="65">
      <t>ウンエイ</t>
    </rPh>
    <rPh sb="66" eb="67">
      <t>カン</t>
    </rPh>
    <rPh sb="71" eb="75">
      <t>ジョウホウキョウイク</t>
    </rPh>
    <rPh sb="79" eb="81">
      <t>ブンシツ</t>
    </rPh>
    <rPh sb="82" eb="86">
      <t>タントウキョウイン</t>
    </rPh>
    <rPh sb="87" eb="91">
      <t>ジッシナイヨウ</t>
    </rPh>
    <rPh sb="92" eb="96">
      <t>ケイカクケントウ</t>
    </rPh>
    <rPh sb="97" eb="98">
      <t>オコナ</t>
    </rPh>
    <rPh sb="100" eb="102">
      <t xml:space="preserve">キョウイクノ </t>
    </rPh>
    <rPh sb="103" eb="105">
      <t xml:space="preserve">カイゼン </t>
    </rPh>
    <rPh sb="106" eb="108">
      <t xml:space="preserve">シンカヲ </t>
    </rPh>
    <rPh sb="109" eb="110">
      <t xml:space="preserve">オコナウ </t>
    </rPh>
    <rPh sb="115" eb="117">
      <t>ベッテン</t>
    </rPh>
    <rPh sb="138" eb="139">
      <t>ズ</t>
    </rPh>
    <rPh sb="144" eb="148">
      <t xml:space="preserve">ジョウホウキョウイクセンター </t>
    </rPh>
    <rPh sb="153" eb="155">
      <t xml:space="preserve">ブンシツ </t>
    </rPh>
    <rPh sb="155" eb="156">
      <t>ホンガク</t>
    </rPh>
    <rPh sb="156" eb="157">
      <t xml:space="preserve">ホンプログラム </t>
    </rPh>
    <rPh sb="163" eb="164">
      <t>ケントウ</t>
    </rPh>
    <rPh sb="165" eb="169">
      <t>ウンヨウケイカク</t>
    </rPh>
    <rPh sb="170" eb="172">
      <t>サクテイ</t>
    </rPh>
    <rPh sb="174" eb="176">
      <t>キョウイク</t>
    </rPh>
    <rPh sb="177" eb="179">
      <t>スイシン</t>
    </rPh>
    <rPh sb="180" eb="181">
      <t>ツト</t>
    </rPh>
    <rPh sb="181" eb="182">
      <t xml:space="preserve">シスル </t>
    </rPh>
    <rPh sb="187" eb="193">
      <t xml:space="preserve">キョウイクカイカクブカイ </t>
    </rPh>
    <rPh sb="249" eb="251">
      <t>ブカイ</t>
    </rPh>
    <rPh sb="263" eb="264">
      <t xml:space="preserve">オモニ </t>
    </rPh>
    <rPh sb="266" eb="268">
      <t xml:space="preserve">ナイヨウ </t>
    </rPh>
    <rPh sb="273" eb="275">
      <t xml:space="preserve">ケンショウ </t>
    </rPh>
    <rPh sb="305" eb="306">
      <t xml:space="preserve">オモニ </t>
    </rPh>
    <rPh sb="307" eb="311">
      <t xml:space="preserve">キョウイクナイヨウ </t>
    </rPh>
    <rPh sb="313" eb="315">
      <t xml:space="preserve">キョウイクノヒョウカジコウ ジッシ </t>
    </rPh>
    <phoneticPr fontId="1"/>
  </si>
  <si>
    <t>【教育改革部会】
部会長（教務部長） 薬学部 教授　大倉正道　及び部会員（以下のとおり）
社会福祉学部：教授 正野知基、教授 稲田弘子
薬学部：教授 黒川昌彦、教授 明石敏
生命医科学部：教授 池脇信直、教授 三苫純也、教授 山本成郎
臨床心理学部：教授 倉内紀子、教授 前田直樹
事務局長 的場嘉男、教務部参事 髙木一、教務課長 紺野智子
【情報教育センター分室】
分室長（副学長） 生命医科学部 教授　池脇信直　及び各科目担当者等（以下のとおり）
社会福祉学部；教授　三宮基裕、准教授　井藤英俊
薬学部：准教授　山内利秋、准教授　内田太郎
臨床心理学部：講師　内藤健一、教授　中村真理子 
事務局長　的場嘉男、教務部参事　髙木一</t>
    <rPh sb="1" eb="6">
      <t xml:space="preserve">キョウイクカイカクブモン </t>
    </rPh>
    <rPh sb="6" eb="7">
      <t xml:space="preserve">カイ </t>
    </rPh>
    <rPh sb="8" eb="9">
      <t>キュウシュウ</t>
    </rPh>
    <rPh sb="9" eb="10">
      <t>マサミチ</t>
    </rPh>
    <rPh sb="11" eb="15">
      <t>キョウムブチョウ</t>
    </rPh>
    <rPh sb="19" eb="21">
      <t>キョウジュ</t>
    </rPh>
    <rPh sb="26" eb="30">
      <t xml:space="preserve">ジョウホウキョウイクセンター </t>
    </rPh>
    <rPh sb="31" eb="32">
      <t>オヨ</t>
    </rPh>
    <rPh sb="37" eb="39">
      <t>イカ</t>
    </rPh>
    <rPh sb="45" eb="51">
      <t>シャカイフクシガクブ</t>
    </rPh>
    <rPh sb="52" eb="54">
      <t>キョウジュ</t>
    </rPh>
    <rPh sb="55" eb="57">
      <t>ショウノ</t>
    </rPh>
    <rPh sb="57" eb="59">
      <t>トモキ</t>
    </rPh>
    <rPh sb="60" eb="62">
      <t>キョウジュ</t>
    </rPh>
    <rPh sb="63" eb="65">
      <t>イナダ</t>
    </rPh>
    <rPh sb="65" eb="67">
      <t>ヒロコ</t>
    </rPh>
    <rPh sb="68" eb="71">
      <t>ヤクガクブ</t>
    </rPh>
    <rPh sb="72" eb="74">
      <t>キョウジュ</t>
    </rPh>
    <rPh sb="75" eb="77">
      <t>クロカワ</t>
    </rPh>
    <rPh sb="77" eb="79">
      <t>マサヒコ</t>
    </rPh>
    <rPh sb="80" eb="82">
      <t>キョウジュ</t>
    </rPh>
    <rPh sb="83" eb="85">
      <t>アカシ</t>
    </rPh>
    <rPh sb="85" eb="86">
      <t>トシ</t>
    </rPh>
    <rPh sb="87" eb="89">
      <t>セイメイ</t>
    </rPh>
    <rPh sb="89" eb="93">
      <t>イカガクブ</t>
    </rPh>
    <rPh sb="94" eb="96">
      <t>キョウジュ</t>
    </rPh>
    <rPh sb="97" eb="99">
      <t>イケワキ</t>
    </rPh>
    <rPh sb="99" eb="101">
      <t>ノブナオ</t>
    </rPh>
    <rPh sb="102" eb="104">
      <t>キョウジュ</t>
    </rPh>
    <rPh sb="105" eb="107">
      <t>ミトマ</t>
    </rPh>
    <rPh sb="110" eb="112">
      <t>キョウジュ</t>
    </rPh>
    <rPh sb="113" eb="115">
      <t>ヤマモト</t>
    </rPh>
    <rPh sb="115" eb="116">
      <t>セイ</t>
    </rPh>
    <rPh sb="116" eb="117">
      <t>ロウ</t>
    </rPh>
    <rPh sb="118" eb="124">
      <t>リンショウシンリガクブ</t>
    </rPh>
    <rPh sb="125" eb="127">
      <t>キョウジュ</t>
    </rPh>
    <rPh sb="128" eb="130">
      <t>クラウチ</t>
    </rPh>
    <rPh sb="130" eb="132">
      <t>ノリコ</t>
    </rPh>
    <rPh sb="133" eb="135">
      <t>キョウジュ</t>
    </rPh>
    <rPh sb="136" eb="138">
      <t>マエダ</t>
    </rPh>
    <rPh sb="138" eb="140">
      <t>ナオキ</t>
    </rPh>
    <rPh sb="141" eb="145">
      <t>ジムキョクチョウ</t>
    </rPh>
    <rPh sb="146" eb="148">
      <t>マトバ</t>
    </rPh>
    <rPh sb="148" eb="150">
      <t>ヨシオ</t>
    </rPh>
    <rPh sb="151" eb="154">
      <t>キョウムブ</t>
    </rPh>
    <rPh sb="154" eb="156">
      <t>サンジ</t>
    </rPh>
    <rPh sb="157" eb="159">
      <t>タカキ</t>
    </rPh>
    <rPh sb="159" eb="160">
      <t>ハジメ</t>
    </rPh>
    <rPh sb="174" eb="176">
      <t xml:space="preserve">ブンシツ </t>
    </rPh>
    <rPh sb="189" eb="192">
      <t xml:space="preserve">フクガクチョウ </t>
    </rPh>
    <rPh sb="209" eb="210">
      <t>オヨ</t>
    </rPh>
    <rPh sb="211" eb="212">
      <t>カク</t>
    </rPh>
    <rPh sb="212" eb="214">
      <t>カモク</t>
    </rPh>
    <rPh sb="214" eb="217">
      <t>タントウシャ</t>
    </rPh>
    <rPh sb="217" eb="218">
      <t>トウ</t>
    </rPh>
    <rPh sb="219" eb="221">
      <t>イカ</t>
    </rPh>
    <rPh sb="256" eb="258">
      <t>タロウ</t>
    </rPh>
    <rPh sb="311" eb="313">
      <t>サンジ</t>
    </rPh>
    <rPh sb="314" eb="316">
      <t>タカキ</t>
    </rPh>
    <phoneticPr fontId="1"/>
  </si>
  <si>
    <t>九州医療科学大学自己点検・自己評価委員会規程/順正学園情報教育センター規程</t>
    <rPh sb="0" eb="4">
      <t>キュウシュウイリョウ</t>
    </rPh>
    <rPh sb="4" eb="8">
      <t>カガクダイガク</t>
    </rPh>
    <rPh sb="23" eb="25">
      <t>ジュンセイ</t>
    </rPh>
    <rPh sb="25" eb="27">
      <t>ガクエン</t>
    </rPh>
    <rPh sb="27" eb="31">
      <t xml:space="preserve">ジョウホウキョウイクセンター </t>
    </rPh>
    <rPh sb="35" eb="37">
      <t xml:space="preserve">キテイ </t>
    </rPh>
    <phoneticPr fontId="1"/>
  </si>
  <si>
    <t>薬学部</t>
    <rPh sb="0" eb="3">
      <t>ヤクガクブ</t>
    </rPh>
    <phoneticPr fontId="1"/>
  </si>
  <si>
    <t>・ELSI（EthIcal, Legal and SocIal Issues）「データサイエンスI」(13回目)
・個人情報保護、EU一般データ保護規則(GDPR)、忘れられる権利、オプトアウト「データサイエンスI」(13回目)
・データ倫理：データのねつ造、改ざん、盗用、プライバシー保護「データサイエンスI」(13回目)
・AI社会原則（公平性、説明責任、透明性、人間中心の判断）「データサイエンスI」(2、14回目)
・データバイアス、アルゴリズムバイアス「データサイエンスI」(13、14回目)
・AIサービスの責任論「データサイエンスI」(2回目)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</si>
</sst>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sz val="9"/>
      <name val="ＭＳ Ｐゴシック"/>
      <family val="3"/>
      <charset val="128"/>
      <scheme val="minor"/>
    </font>
    <font>
      <sz val="14"/>
      <name val="ＭＳ Ｐゴシック"/>
      <family val="3"/>
      <charset val="128"/>
      <scheme val="minor"/>
    </font>
    <font>
      <sz val="8"/>
      <color theme="1"/>
      <name val="ＭＳ Ｐゴシック"/>
      <family val="3"/>
      <charset val="128"/>
      <scheme val="minor"/>
    </font>
    <font>
      <sz val="12"/>
      <color theme="1"/>
      <name val="ＭＳ Ｐゴシック (本文)"/>
      <family val="3"/>
      <charset val="128"/>
    </font>
    <font>
      <sz val="12"/>
      <color theme="1"/>
      <name val="ＭＳ Ｐゴシック"/>
      <family val="3"/>
      <charset val="128"/>
    </font>
    <font>
      <sz val="12"/>
      <name val="ＭＳ Ｐゴシック (本文)"/>
      <family val="3"/>
      <charset val="128"/>
    </font>
    <font>
      <sz val="12"/>
      <name val="ＭＳ Ｐゴシック"/>
      <family val="3"/>
      <charset val="128"/>
    </font>
    <font>
      <sz val="12"/>
      <color rgb="FFFF0000"/>
      <name val="ＭＳ Ｐゴシック"/>
      <family val="3"/>
      <charset val="128"/>
    </font>
    <font>
      <sz val="9"/>
      <color theme="1"/>
      <name val="ＭＳ Ｐゴシック"/>
      <family val="2"/>
      <charset val="128"/>
      <scheme val="minor"/>
    </font>
    <font>
      <sz val="12"/>
      <name val="ＭＳ Ｐゴシック"/>
      <family val="2"/>
      <charset val="128"/>
    </font>
    <font>
      <strike/>
      <sz val="12"/>
      <name val="ＭＳ Ｐゴシック"/>
      <family val="3"/>
      <charset val="128"/>
    </font>
    <font>
      <sz val="12"/>
      <name val="ＭＳ Ｐゴシック"/>
      <family val="2"/>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5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Up="1">
      <left style="thin">
        <color auto="1"/>
      </left>
      <right style="thin">
        <color auto="1"/>
      </right>
      <top style="thin">
        <color auto="1"/>
      </top>
      <bottom style="hair">
        <color auto="1"/>
      </bottom>
      <diagonal style="thin">
        <color auto="1"/>
      </diagonal>
    </border>
    <border diagonalUp="1">
      <left style="thin">
        <color auto="1"/>
      </left>
      <right/>
      <top style="thin">
        <color auto="1"/>
      </top>
      <bottom/>
      <diagonal style="thin">
        <color auto="1"/>
      </diagonal>
    </border>
    <border diagonalUp="1">
      <left style="thin">
        <color auto="1"/>
      </left>
      <right style="dotted">
        <color auto="1"/>
      </right>
      <top style="hair">
        <color auto="1"/>
      </top>
      <bottom style="hair">
        <color auto="1"/>
      </bottom>
      <diagonal style="thin">
        <color auto="1"/>
      </diagonal>
    </border>
    <border diagonalUp="1">
      <left style="thin">
        <color auto="1"/>
      </left>
      <right style="thin">
        <color auto="1"/>
      </right>
      <top style="hair">
        <color auto="1"/>
      </top>
      <bottom style="hair">
        <color auto="1"/>
      </bottom>
      <diagonal style="thin">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0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20" xfId="0" applyNumberFormat="1" applyFont="1" applyBorder="1" applyAlignment="1">
      <alignment vertical="center" shrinkToFit="1"/>
    </xf>
    <xf numFmtId="9" fontId="2" fillId="0" borderId="23"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24" xfId="2" applyFont="1" applyBorder="1" applyAlignment="1">
      <alignment vertical="center" shrinkToFit="1"/>
    </xf>
    <xf numFmtId="38" fontId="2" fillId="0" borderId="22" xfId="2" applyFont="1" applyBorder="1" applyAlignment="1">
      <alignment vertical="center" shrinkToFit="1"/>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3" borderId="0" xfId="0" applyFont="1" applyFill="1">
      <alignment vertical="center"/>
    </xf>
    <xf numFmtId="0" fontId="21" fillId="0" borderId="0" xfId="0" applyFont="1">
      <alignment vertical="center"/>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47" xfId="0" applyFont="1" applyBorder="1" applyAlignment="1">
      <alignment horizontal="left" vertical="center" shrinkToFit="1"/>
    </xf>
    <xf numFmtId="38" fontId="2" fillId="0" borderId="44"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9" fontId="2" fillId="0" borderId="14" xfId="0" applyNumberFormat="1" applyFont="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18" xfId="2" applyFont="1" applyFill="1" applyBorder="1" applyAlignment="1">
      <alignment vertical="center" shrinkToFit="1"/>
    </xf>
    <xf numFmtId="38" fontId="2" fillId="0" borderId="45" xfId="2" applyFont="1" applyFill="1" applyBorder="1" applyAlignment="1">
      <alignment vertical="center" shrinkToFit="1"/>
    </xf>
    <xf numFmtId="9" fontId="2" fillId="0" borderId="47" xfId="0" applyNumberFormat="1" applyFont="1" applyBorder="1" applyAlignment="1">
      <alignment vertical="center" shrinkToFit="1"/>
    </xf>
    <xf numFmtId="9" fontId="2" fillId="0" borderId="1" xfId="0" applyNumberFormat="1" applyFont="1" applyBorder="1" applyAlignment="1">
      <alignment horizontal="center" vertical="center" shrinkToFit="1"/>
    </xf>
    <xf numFmtId="176" fontId="2" fillId="0" borderId="1" xfId="0" applyNumberFormat="1" applyFont="1" applyBorder="1" applyAlignment="1">
      <alignment horizontal="center" vertical="center" shrinkToFit="1"/>
    </xf>
    <xf numFmtId="38" fontId="2" fillId="0" borderId="49" xfId="2" applyFont="1" applyFill="1" applyBorder="1" applyAlignment="1">
      <alignment vertical="center" shrinkToFit="1"/>
    </xf>
    <xf numFmtId="38" fontId="2" fillId="0" borderId="48" xfId="2" applyFont="1" applyFill="1" applyBorder="1" applyAlignment="1">
      <alignment vertical="center" shrinkToFit="1"/>
    </xf>
    <xf numFmtId="38" fontId="2" fillId="0" borderId="50" xfId="2" applyFont="1" applyFill="1" applyBorder="1" applyAlignment="1">
      <alignment vertical="center" shrinkToFit="1"/>
    </xf>
    <xf numFmtId="38" fontId="2" fillId="0" borderId="51" xfId="2" applyFont="1" applyFill="1" applyBorder="1" applyAlignment="1">
      <alignment vertical="center" shrinkToFit="1"/>
    </xf>
    <xf numFmtId="0" fontId="13" fillId="0" borderId="20" xfId="0" applyFont="1" applyBorder="1" applyAlignment="1">
      <alignment horizontal="left" vertical="center" shrinkToFit="1"/>
    </xf>
    <xf numFmtId="38" fontId="13" fillId="0" borderId="20" xfId="2" applyFont="1" applyBorder="1" applyAlignment="1">
      <alignment vertical="center" shrinkToFit="1"/>
    </xf>
    <xf numFmtId="38" fontId="13" fillId="0" borderId="19" xfId="2" applyFont="1" applyBorder="1" applyAlignment="1">
      <alignment vertical="center" shrinkToFit="1"/>
    </xf>
    <xf numFmtId="38" fontId="13" fillId="0" borderId="18" xfId="2" applyFont="1" applyBorder="1" applyAlignment="1">
      <alignment vertical="center" shrinkToFit="1"/>
    </xf>
    <xf numFmtId="38" fontId="13" fillId="0" borderId="45" xfId="2" applyFont="1" applyBorder="1" applyAlignment="1">
      <alignment vertical="center" shrinkToFit="1"/>
    </xf>
    <xf numFmtId="9" fontId="13" fillId="0" borderId="20" xfId="0" applyNumberFormat="1" applyFont="1" applyBorder="1" applyAlignment="1">
      <alignment vertical="center" shrinkToFit="1"/>
    </xf>
    <xf numFmtId="38" fontId="13" fillId="0" borderId="17" xfId="2" applyFont="1" applyBorder="1" applyAlignment="1">
      <alignment vertical="center" shrinkToFit="1"/>
    </xf>
    <xf numFmtId="0" fontId="13" fillId="0" borderId="21" xfId="0" applyFont="1" applyBorder="1" applyAlignment="1">
      <alignment horizontal="left" vertical="center" shrinkToFit="1"/>
    </xf>
    <xf numFmtId="38" fontId="13" fillId="0" borderId="44" xfId="2" applyFont="1" applyBorder="1" applyAlignment="1">
      <alignment vertical="center" shrinkToFit="1"/>
    </xf>
    <xf numFmtId="38" fontId="13" fillId="0" borderId="10" xfId="2" applyFont="1" applyBorder="1" applyAlignment="1">
      <alignment vertical="center" shrinkToFit="1"/>
    </xf>
    <xf numFmtId="38" fontId="13" fillId="0" borderId="5" xfId="2" applyFont="1" applyBorder="1" applyAlignment="1">
      <alignment vertical="center" shrinkToFit="1"/>
    </xf>
    <xf numFmtId="9" fontId="13" fillId="0" borderId="10" xfId="0" applyNumberFormat="1" applyFont="1" applyBorder="1" applyAlignment="1">
      <alignmen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12" fillId="0" borderId="1" xfId="0" applyFont="1" applyBorder="1" applyAlignment="1">
      <alignment horizontal="center" vertical="center"/>
    </xf>
    <xf numFmtId="0" fontId="14" fillId="0" borderId="1" xfId="0" applyFont="1" applyBorder="1" applyAlignment="1">
      <alignment vertical="center" wrapTex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0" xfId="0" applyFont="1" applyAlignment="1">
      <alignment vertical="center" wrapText="1"/>
    </xf>
    <xf numFmtId="0" fontId="2" fillId="0" borderId="28"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horizontal="center" vertical="center" shrinkToFit="1"/>
    </xf>
    <xf numFmtId="0" fontId="3" fillId="0" borderId="39" xfId="0" applyFont="1" applyBorder="1" applyAlignment="1">
      <alignment vertical="center" wrapText="1"/>
    </xf>
    <xf numFmtId="0" fontId="3" fillId="0" borderId="40"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6" xfId="0" applyFont="1" applyBorder="1" applyAlignment="1">
      <alignment vertical="center" wrapText="1"/>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1"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2" fillId="0" borderId="0" xfId="0" applyFont="1" applyAlignment="1">
      <alignment horizontal="left" vertical="center" wrapText="1"/>
    </xf>
    <xf numFmtId="49" fontId="3" fillId="0" borderId="31" xfId="0" applyNumberFormat="1" applyFont="1" applyBorder="1" applyAlignment="1">
      <alignment horizontal="left" vertical="center" wrapText="1"/>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28" xfId="0" applyNumberFormat="1" applyFont="1" applyBorder="1" applyAlignment="1">
      <alignment horizontal="left" vertical="center" wrapText="1"/>
    </xf>
    <xf numFmtId="49" fontId="3" fillId="0" borderId="30" xfId="0" applyNumberFormat="1" applyFont="1" applyBorder="1" applyAlignment="1">
      <alignment horizontal="left" vertical="center"/>
    </xf>
    <xf numFmtId="49" fontId="3" fillId="0" borderId="29"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22" fillId="0" borderId="32" xfId="0" applyNumberFormat="1" applyFont="1" applyBorder="1" applyAlignment="1">
      <alignment horizontal="left" vertical="center"/>
    </xf>
    <xf numFmtId="49" fontId="22" fillId="0" borderId="33"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16" fillId="0" borderId="31" xfId="0" applyNumberFormat="1" applyFont="1" applyBorder="1" applyAlignment="1">
      <alignment horizontal="left" vertical="center" wrapText="1"/>
    </xf>
    <xf numFmtId="49" fontId="16" fillId="0" borderId="32" xfId="0" applyNumberFormat="1" applyFont="1" applyBorder="1" applyAlignment="1">
      <alignment horizontal="left" vertical="center"/>
    </xf>
    <xf numFmtId="49" fontId="16" fillId="0" borderId="33" xfId="0" applyNumberFormat="1" applyFont="1" applyBorder="1" applyAlignment="1">
      <alignment horizontal="left" vertical="center"/>
    </xf>
    <xf numFmtId="49" fontId="22" fillId="0" borderId="30" xfId="0" applyNumberFormat="1" applyFont="1" applyBorder="1" applyAlignment="1">
      <alignment horizontal="left" vertical="center"/>
    </xf>
    <xf numFmtId="49" fontId="22" fillId="0" borderId="29"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19" fillId="0" borderId="2" xfId="0" applyFont="1" applyBorder="1" applyAlignment="1">
      <alignment vertical="center" shrinkToFit="1"/>
    </xf>
    <xf numFmtId="0" fontId="19" fillId="0" borderId="3" xfId="0" applyFont="1" applyBorder="1" applyAlignment="1">
      <alignment vertical="center" shrinkToFit="1"/>
    </xf>
    <xf numFmtId="0" fontId="19" fillId="0" borderId="4" xfId="0" applyFont="1" applyBorder="1" applyAlignment="1">
      <alignment vertical="center" shrinkToFit="1"/>
    </xf>
    <xf numFmtId="0" fontId="18" fillId="0" borderId="7" xfId="0" applyFont="1" applyBorder="1" applyAlignment="1">
      <alignment vertical="top" wrapText="1" shrinkToFit="1"/>
    </xf>
    <xf numFmtId="0" fontId="17" fillId="0" borderId="8" xfId="0" applyFont="1" applyBorder="1" applyAlignment="1">
      <alignment vertical="top" wrapText="1" shrinkToFit="1"/>
    </xf>
    <xf numFmtId="0" fontId="17" fillId="0" borderId="9" xfId="0" applyFont="1" applyBorder="1" applyAlignment="1">
      <alignment vertical="top" shrinkToFit="1"/>
    </xf>
    <xf numFmtId="0" fontId="17" fillId="0" borderId="5" xfId="0" applyFont="1" applyBorder="1" applyAlignment="1">
      <alignment vertical="top" wrapText="1" shrinkToFit="1"/>
    </xf>
    <xf numFmtId="0" fontId="17" fillId="0" borderId="0" xfId="0" applyFont="1" applyAlignment="1">
      <alignment vertical="top" wrapText="1" shrinkToFit="1"/>
    </xf>
    <xf numFmtId="0" fontId="17" fillId="0" borderId="10" xfId="0" applyFont="1" applyBorder="1" applyAlignment="1">
      <alignment vertical="top" shrinkToFit="1"/>
    </xf>
    <xf numFmtId="0" fontId="17" fillId="0" borderId="11" xfId="0" applyFont="1" applyBorder="1" applyAlignment="1">
      <alignment vertical="top" shrinkToFit="1"/>
    </xf>
    <xf numFmtId="0" fontId="17" fillId="0" borderId="6" xfId="0" applyFont="1" applyBorder="1" applyAlignment="1">
      <alignment vertical="top" shrinkToFit="1"/>
    </xf>
    <xf numFmtId="0" fontId="17" fillId="0" borderId="12" xfId="0" applyFont="1" applyBorder="1" applyAlignment="1">
      <alignment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7" fillId="0" borderId="2" xfId="0" applyFont="1" applyBorder="1" applyAlignment="1">
      <alignment horizontal="left" vertical="center"/>
    </xf>
    <xf numFmtId="0" fontId="7" fillId="0" borderId="4" xfId="0" applyFont="1" applyBorder="1" applyAlignment="1">
      <alignment horizontal="left" vertical="center"/>
    </xf>
    <xf numFmtId="0" fontId="2" fillId="0" borderId="0" xfId="0" applyFont="1" applyAlignment="1">
      <alignment horizontal="center" vertical="center"/>
    </xf>
    <xf numFmtId="0" fontId="20" fillId="0" borderId="7" xfId="0" applyFont="1" applyBorder="1" applyAlignment="1">
      <alignment vertical="top" wrapText="1" shrinkToFit="1"/>
    </xf>
    <xf numFmtId="0" fontId="19" fillId="0" borderId="8" xfId="0" applyFont="1" applyBorder="1" applyAlignment="1">
      <alignment vertical="top" wrapText="1" shrinkToFit="1"/>
    </xf>
    <xf numFmtId="0" fontId="19" fillId="0" borderId="9" xfId="0" applyFont="1" applyBorder="1" applyAlignment="1">
      <alignment vertical="top" shrinkToFit="1"/>
    </xf>
    <xf numFmtId="0" fontId="19" fillId="0" borderId="5" xfId="0" applyFont="1" applyBorder="1" applyAlignment="1">
      <alignment vertical="top" shrinkToFit="1"/>
    </xf>
    <xf numFmtId="0" fontId="19" fillId="0" borderId="0" xfId="0" applyFont="1" applyAlignment="1">
      <alignment vertical="top" shrinkToFit="1"/>
    </xf>
    <xf numFmtId="0" fontId="19" fillId="0" borderId="10" xfId="0" applyFont="1" applyBorder="1" applyAlignment="1">
      <alignment vertical="top" shrinkToFit="1"/>
    </xf>
    <xf numFmtId="0" fontId="19" fillId="0" borderId="11" xfId="0" applyFont="1" applyBorder="1" applyAlignment="1">
      <alignment vertical="top" shrinkToFit="1"/>
    </xf>
    <xf numFmtId="0" fontId="19" fillId="0" borderId="6" xfId="0" applyFont="1" applyBorder="1" applyAlignment="1">
      <alignment vertical="top" shrinkToFit="1"/>
    </xf>
    <xf numFmtId="0" fontId="19"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0" fillId="0" borderId="7" xfId="0" applyFont="1" applyBorder="1" applyAlignment="1">
      <alignment vertical="top" wrapText="1"/>
    </xf>
    <xf numFmtId="0" fontId="19" fillId="0" borderId="8" xfId="0" applyFont="1" applyBorder="1" applyAlignment="1">
      <alignment vertical="top" wrapText="1"/>
    </xf>
    <xf numFmtId="0" fontId="19" fillId="0" borderId="9" xfId="0" applyFont="1" applyBorder="1" applyAlignment="1">
      <alignment vertical="top" wrapText="1"/>
    </xf>
    <xf numFmtId="0" fontId="19" fillId="0" borderId="5" xfId="0" applyFont="1" applyBorder="1" applyAlignment="1">
      <alignment vertical="top" wrapText="1"/>
    </xf>
    <xf numFmtId="0" fontId="19" fillId="0" borderId="0" xfId="0" applyFont="1" applyAlignment="1">
      <alignment vertical="top" wrapText="1"/>
    </xf>
    <xf numFmtId="0" fontId="19" fillId="0" borderId="10" xfId="0" applyFont="1" applyBorder="1" applyAlignment="1">
      <alignment vertical="top" wrapText="1"/>
    </xf>
    <xf numFmtId="0" fontId="19" fillId="0" borderId="11" xfId="0" applyFont="1" applyBorder="1" applyAlignment="1">
      <alignment vertical="top" wrapText="1"/>
    </xf>
    <xf numFmtId="0" fontId="19" fillId="0" borderId="6" xfId="0" applyFont="1" applyBorder="1" applyAlignment="1">
      <alignment vertical="top" wrapText="1"/>
    </xf>
    <xf numFmtId="0" fontId="19" fillId="0" borderId="12" xfId="0" applyFont="1" applyBorder="1" applyAlignment="1">
      <alignment vertical="top" wrapText="1"/>
    </xf>
    <xf numFmtId="0" fontId="19" fillId="0" borderId="9" xfId="0" applyFont="1" applyBorder="1" applyAlignment="1">
      <alignment vertical="top"/>
    </xf>
    <xf numFmtId="0" fontId="19" fillId="0" borderId="5" xfId="0" applyFont="1" applyBorder="1" applyAlignment="1">
      <alignment vertical="top"/>
    </xf>
    <xf numFmtId="0" fontId="19" fillId="0" borderId="0" xfId="0" applyFont="1" applyAlignment="1">
      <alignment vertical="top"/>
    </xf>
    <xf numFmtId="0" fontId="19" fillId="0" borderId="10" xfId="0" applyFont="1" applyBorder="1" applyAlignment="1">
      <alignment vertical="top"/>
    </xf>
    <xf numFmtId="0" fontId="19" fillId="0" borderId="11" xfId="0" applyFont="1" applyBorder="1" applyAlignment="1">
      <alignment vertical="top"/>
    </xf>
    <xf numFmtId="0" fontId="19" fillId="0" borderId="6" xfId="0" applyFont="1" applyBorder="1" applyAlignment="1">
      <alignment vertical="top"/>
    </xf>
    <xf numFmtId="0" fontId="19"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0" fillId="0" borderId="7" xfId="0" applyFont="1" applyBorder="1" applyAlignment="1">
      <alignment horizontal="left" vertical="top" wrapText="1"/>
    </xf>
    <xf numFmtId="0" fontId="19" fillId="0" borderId="8" xfId="0" applyFont="1" applyBorder="1" applyAlignment="1">
      <alignment horizontal="left" vertical="top" wrapText="1"/>
    </xf>
    <xf numFmtId="0" fontId="19" fillId="0" borderId="9"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10" xfId="0" applyFont="1" applyBorder="1" applyAlignment="1">
      <alignment horizontal="left" vertical="top" wrapText="1"/>
    </xf>
    <xf numFmtId="0" fontId="19" fillId="0" borderId="11" xfId="0" applyFont="1" applyBorder="1" applyAlignment="1">
      <alignment horizontal="left" vertical="top" wrapText="1"/>
    </xf>
    <xf numFmtId="0" fontId="19" fillId="0" borderId="6" xfId="0" applyFont="1" applyBorder="1" applyAlignment="1">
      <alignment horizontal="left" vertical="top" wrapText="1"/>
    </xf>
    <xf numFmtId="0" fontId="19"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19" fillId="0" borderId="18" xfId="0" applyFont="1" applyBorder="1" applyAlignment="1">
      <alignment vertical="top" wrapText="1" shrinkToFit="1"/>
    </xf>
    <xf numFmtId="0" fontId="19" fillId="0" borderId="19" xfId="0" applyFont="1" applyBorder="1" applyAlignment="1">
      <alignment vertical="top" wrapText="1" shrinkToFit="1"/>
    </xf>
    <xf numFmtId="0" fontId="19"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3" fillId="0" borderId="18" xfId="0" applyFont="1" applyBorder="1" applyAlignment="1">
      <alignment vertical="top" wrapText="1" shrinkToFit="1"/>
    </xf>
    <xf numFmtId="0" fontId="25" fillId="0" borderId="19" xfId="0" applyFont="1" applyBorder="1" applyAlignment="1">
      <alignment vertical="top" wrapText="1" shrinkToFit="1"/>
    </xf>
    <xf numFmtId="0" fontId="25" fillId="0" borderId="17" xfId="0" applyFont="1" applyBorder="1" applyAlignment="1">
      <alignment vertical="top" wrapText="1" shrinkToFit="1"/>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1" xfId="0" applyFont="1" applyBorder="1" applyAlignment="1">
      <alignment vertical="top" wrapText="1" shrinkToFi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13" fillId="0" borderId="32" xfId="0" applyFont="1" applyBorder="1" applyAlignment="1">
      <alignment vertical="top" wrapText="1" shrinkToFit="1"/>
    </xf>
    <xf numFmtId="0" fontId="25" fillId="0" borderId="32" xfId="0" applyFont="1" applyBorder="1" applyAlignment="1">
      <alignment vertical="top" wrapText="1" shrinkToFit="1"/>
    </xf>
    <xf numFmtId="0" fontId="25" fillId="0" borderId="33"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13" fillId="0" borderId="36" xfId="0" applyFont="1" applyBorder="1" applyAlignment="1">
      <alignment vertical="top" wrapText="1" shrinkToFit="1"/>
    </xf>
    <xf numFmtId="0" fontId="25" fillId="0" borderId="36" xfId="0" applyFont="1" applyBorder="1" applyAlignment="1">
      <alignment vertical="top" wrapText="1" shrinkToFit="1"/>
    </xf>
    <xf numFmtId="0" fontId="25" fillId="0" borderId="37"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D98" sqref="D98:U98"/>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399999999999999" customHeight="1">
      <c r="A1" s="52"/>
      <c r="B1" s="52"/>
      <c r="C1" s="52"/>
      <c r="D1" s="52"/>
      <c r="E1" s="52"/>
      <c r="F1" s="52"/>
      <c r="G1" s="52"/>
      <c r="H1" s="52"/>
      <c r="I1" s="52"/>
      <c r="J1" s="52"/>
      <c r="K1" s="52"/>
      <c r="L1" s="52"/>
      <c r="M1" s="52"/>
      <c r="N1" s="52"/>
      <c r="O1" s="52"/>
      <c r="P1" s="52"/>
      <c r="Q1" s="52"/>
      <c r="R1" s="52"/>
      <c r="S1" s="52"/>
      <c r="T1" s="146" t="s">
        <v>12</v>
      </c>
      <c r="U1" s="146"/>
      <c r="V1" s="2" t="s">
        <v>97</v>
      </c>
    </row>
    <row r="2" spans="1:24" ht="44.25" customHeight="1">
      <c r="A2" s="52"/>
      <c r="B2" s="54" t="s">
        <v>96</v>
      </c>
      <c r="C2" s="147" t="s">
        <v>147</v>
      </c>
      <c r="D2" s="148"/>
      <c r="E2" s="148"/>
      <c r="F2" s="148"/>
      <c r="G2" s="148"/>
      <c r="H2" s="148"/>
      <c r="I2" s="148"/>
      <c r="J2" s="149"/>
      <c r="K2" s="53"/>
      <c r="L2" s="55"/>
      <c r="M2" s="55"/>
      <c r="N2" s="55"/>
      <c r="O2" s="55"/>
      <c r="P2" s="55"/>
      <c r="Q2" s="55"/>
      <c r="R2" s="55"/>
      <c r="S2" s="55"/>
      <c r="T2" s="55"/>
      <c r="U2" s="55"/>
    </row>
    <row r="3" spans="1:24" ht="18.75" customHeight="1">
      <c r="A3" s="52"/>
      <c r="B3" s="54" t="s">
        <v>91</v>
      </c>
      <c r="C3" s="150" t="s">
        <v>149</v>
      </c>
      <c r="D3" s="151"/>
      <c r="E3" s="151"/>
      <c r="F3" s="151"/>
      <c r="G3" s="151"/>
      <c r="H3" s="151"/>
      <c r="I3" s="151"/>
      <c r="J3" s="152"/>
      <c r="K3" s="53"/>
      <c r="L3" s="55"/>
      <c r="M3" s="55"/>
      <c r="N3" s="55"/>
      <c r="O3" s="55"/>
      <c r="P3" s="55"/>
      <c r="Q3" s="55"/>
      <c r="R3" s="55"/>
      <c r="S3" s="55"/>
      <c r="T3" s="55"/>
      <c r="U3" s="55"/>
    </row>
    <row r="4" spans="1:24" ht="15" customHeight="1">
      <c r="A4" s="52"/>
      <c r="B4" s="52"/>
      <c r="C4" s="52"/>
      <c r="D4" s="52"/>
      <c r="E4" s="52"/>
      <c r="F4" s="52"/>
      <c r="G4" s="52"/>
      <c r="H4" s="52"/>
      <c r="I4" s="52"/>
      <c r="J4" s="52"/>
      <c r="K4" s="52"/>
      <c r="L4" s="53"/>
      <c r="M4" s="56"/>
      <c r="N4" s="56"/>
      <c r="O4" s="56"/>
      <c r="P4" s="56"/>
      <c r="Q4" s="56"/>
      <c r="R4" s="56"/>
      <c r="S4" s="56"/>
      <c r="T4" s="56"/>
      <c r="U4" s="56"/>
    </row>
    <row r="5" spans="1:24" ht="18" customHeight="1">
      <c r="A5" s="127" t="s">
        <v>38</v>
      </c>
      <c r="B5" s="127"/>
      <c r="C5" s="127"/>
      <c r="D5" s="127"/>
      <c r="E5" s="127"/>
      <c r="F5" s="127"/>
      <c r="G5" s="127"/>
      <c r="H5" s="127"/>
      <c r="I5" s="127"/>
      <c r="J5" s="127"/>
      <c r="K5" s="127"/>
      <c r="L5" s="127"/>
      <c r="M5" s="127"/>
      <c r="N5" s="127"/>
      <c r="O5" s="127"/>
      <c r="P5" s="127"/>
      <c r="Q5" s="127"/>
      <c r="R5" s="127"/>
      <c r="S5" s="127"/>
      <c r="T5" s="127"/>
      <c r="U5" s="127"/>
    </row>
    <row r="6" spans="1:24" ht="15" customHeight="1">
      <c r="A6" s="52"/>
      <c r="B6" s="57"/>
      <c r="C6" s="57"/>
      <c r="D6" s="57"/>
      <c r="E6" s="57"/>
      <c r="F6" s="57"/>
      <c r="G6" s="57"/>
      <c r="H6" s="57"/>
      <c r="I6" s="57"/>
      <c r="J6" s="57"/>
      <c r="K6" s="57"/>
      <c r="L6" s="57"/>
      <c r="M6" s="57"/>
      <c r="N6" s="57"/>
      <c r="O6" s="57"/>
      <c r="P6" s="57"/>
      <c r="Q6" s="57"/>
      <c r="R6" s="57"/>
      <c r="S6" s="57"/>
      <c r="T6" s="57"/>
      <c r="U6" s="57"/>
    </row>
    <row r="7" spans="1:24" ht="15" customHeight="1">
      <c r="A7" s="52" t="s">
        <v>124</v>
      </c>
      <c r="B7" s="57"/>
      <c r="C7" s="57"/>
      <c r="D7" s="57"/>
      <c r="E7" s="57"/>
      <c r="F7" s="51"/>
      <c r="G7" s="51"/>
      <c r="H7" s="51"/>
      <c r="I7" s="51"/>
      <c r="J7" s="51"/>
      <c r="K7" s="51"/>
      <c r="L7" s="168" t="s">
        <v>129</v>
      </c>
      <c r="M7" s="169"/>
      <c r="N7" s="169"/>
      <c r="O7" s="169"/>
      <c r="P7" s="169"/>
      <c r="Q7" s="169"/>
      <c r="R7" s="169"/>
      <c r="S7" s="169"/>
      <c r="T7" s="169"/>
      <c r="U7" s="170"/>
    </row>
    <row r="8" spans="1:24" ht="6" customHeight="1">
      <c r="A8" s="52"/>
      <c r="B8" s="57"/>
      <c r="C8" s="57"/>
      <c r="D8" s="57"/>
      <c r="E8" s="57"/>
      <c r="F8" s="57"/>
      <c r="G8" s="57"/>
      <c r="H8" s="57"/>
      <c r="I8" s="57"/>
      <c r="J8" s="57"/>
      <c r="K8" s="57"/>
      <c r="L8" s="57"/>
      <c r="M8" s="57"/>
      <c r="N8" s="57"/>
      <c r="O8" s="57"/>
      <c r="P8" s="57"/>
      <c r="Q8" s="57"/>
      <c r="R8" s="57"/>
      <c r="S8" s="57"/>
      <c r="T8" s="57"/>
      <c r="U8" s="57"/>
    </row>
    <row r="9" spans="1:24" ht="18" customHeight="1">
      <c r="A9" s="52" t="s">
        <v>125</v>
      </c>
      <c r="B9" s="52"/>
      <c r="C9" s="57"/>
      <c r="D9" s="57"/>
      <c r="E9" s="52"/>
      <c r="F9" s="52"/>
      <c r="G9" s="52"/>
      <c r="H9" s="52"/>
      <c r="I9" s="52"/>
      <c r="J9" s="52"/>
      <c r="K9" s="53"/>
      <c r="L9" s="51"/>
      <c r="M9" s="51"/>
      <c r="N9" s="51"/>
      <c r="O9" s="51"/>
      <c r="P9" s="51"/>
      <c r="Q9" s="51"/>
      <c r="R9" s="51"/>
      <c r="S9" s="51"/>
      <c r="T9" s="51"/>
      <c r="U9" s="51"/>
    </row>
    <row r="10" spans="1:24" ht="6" customHeight="1">
      <c r="A10" s="52"/>
      <c r="B10" s="57"/>
      <c r="C10" s="57"/>
      <c r="D10" s="57"/>
      <c r="E10" s="57"/>
      <c r="F10" s="57"/>
      <c r="G10" s="57"/>
      <c r="H10" s="57"/>
      <c r="I10" s="57"/>
      <c r="J10" s="57"/>
      <c r="K10" s="57"/>
      <c r="L10" s="58"/>
      <c r="M10" s="57"/>
      <c r="N10" s="57"/>
      <c r="O10" s="57"/>
      <c r="P10" s="57"/>
      <c r="Q10" s="57"/>
      <c r="R10" s="57"/>
      <c r="S10" s="57"/>
      <c r="T10" s="57"/>
      <c r="U10" s="57"/>
    </row>
    <row r="11" spans="1:24" ht="18" customHeight="1">
      <c r="A11" s="52"/>
      <c r="B11" s="176"/>
      <c r="C11" s="177"/>
      <c r="D11" s="177"/>
      <c r="E11" s="177"/>
      <c r="F11" s="177"/>
      <c r="G11" s="177"/>
      <c r="H11" s="177"/>
      <c r="I11" s="177"/>
      <c r="J11" s="177"/>
      <c r="K11" s="177"/>
      <c r="L11" s="177"/>
      <c r="M11" s="177"/>
      <c r="N11" s="177"/>
      <c r="O11" s="177"/>
      <c r="P11" s="177"/>
      <c r="Q11" s="177"/>
      <c r="R11" s="177"/>
      <c r="S11" s="177"/>
      <c r="T11" s="177"/>
      <c r="U11" s="178"/>
    </row>
    <row r="12" spans="1:24" ht="18" customHeight="1">
      <c r="A12" s="52"/>
      <c r="B12" s="179"/>
      <c r="C12" s="180"/>
      <c r="D12" s="180"/>
      <c r="E12" s="180"/>
      <c r="F12" s="180"/>
      <c r="G12" s="180"/>
      <c r="H12" s="180"/>
      <c r="I12" s="180"/>
      <c r="J12" s="180"/>
      <c r="K12" s="180"/>
      <c r="L12" s="180"/>
      <c r="M12" s="180"/>
      <c r="N12" s="180"/>
      <c r="O12" s="180"/>
      <c r="P12" s="180"/>
      <c r="Q12" s="180"/>
      <c r="R12" s="180"/>
      <c r="S12" s="180"/>
      <c r="T12" s="180"/>
      <c r="U12" s="181"/>
    </row>
    <row r="13" spans="1:24" ht="6" customHeight="1">
      <c r="A13" s="52"/>
      <c r="B13" s="57"/>
      <c r="C13" s="57"/>
      <c r="D13" s="57"/>
      <c r="E13" s="57"/>
      <c r="F13" s="57"/>
      <c r="G13" s="57"/>
      <c r="H13" s="57"/>
      <c r="I13" s="57"/>
      <c r="J13" s="57"/>
      <c r="K13" s="57"/>
      <c r="L13" s="58"/>
      <c r="M13" s="57"/>
      <c r="N13" s="57"/>
      <c r="O13" s="57"/>
      <c r="P13" s="57"/>
      <c r="Q13" s="57"/>
      <c r="R13" s="57"/>
      <c r="S13" s="57"/>
      <c r="T13" s="57"/>
      <c r="U13" s="57"/>
    </row>
    <row r="14" spans="1:24" ht="18" customHeight="1">
      <c r="A14" s="52" t="s">
        <v>98</v>
      </c>
      <c r="B14" s="57"/>
      <c r="C14" s="57"/>
      <c r="D14" s="57"/>
      <c r="E14" s="53"/>
      <c r="F14" s="53"/>
      <c r="G14" s="53"/>
      <c r="H14" s="53"/>
      <c r="I14" s="53"/>
      <c r="J14" s="53"/>
      <c r="K14" s="53"/>
      <c r="L14" s="59"/>
      <c r="M14" s="59"/>
      <c r="N14" s="59"/>
      <c r="O14" s="59"/>
      <c r="P14" s="59"/>
      <c r="Q14" s="59"/>
      <c r="R14" s="59"/>
      <c r="S14" s="59"/>
      <c r="T14" s="59"/>
      <c r="U14" s="59"/>
    </row>
    <row r="15" spans="1:24" ht="18" customHeight="1">
      <c r="A15" s="52"/>
      <c r="B15" s="128" t="s">
        <v>150</v>
      </c>
      <c r="C15" s="129"/>
      <c r="D15" s="129"/>
      <c r="E15" s="129"/>
      <c r="F15" s="129"/>
      <c r="G15" s="129"/>
      <c r="H15" s="129"/>
      <c r="I15" s="129"/>
      <c r="J15" s="129"/>
      <c r="K15" s="129"/>
      <c r="L15" s="129"/>
      <c r="M15" s="129"/>
      <c r="N15" s="129"/>
      <c r="O15" s="129"/>
      <c r="P15" s="129"/>
      <c r="Q15" s="129"/>
      <c r="R15" s="129"/>
      <c r="S15" s="129"/>
      <c r="T15" s="129"/>
      <c r="U15" s="130"/>
      <c r="X15" s="1" t="s">
        <v>92</v>
      </c>
    </row>
    <row r="16" spans="1:24" ht="18" customHeight="1">
      <c r="A16" s="52"/>
      <c r="B16" s="131"/>
      <c r="C16" s="132"/>
      <c r="D16" s="132"/>
      <c r="E16" s="132"/>
      <c r="F16" s="132"/>
      <c r="G16" s="132"/>
      <c r="H16" s="132"/>
      <c r="I16" s="132"/>
      <c r="J16" s="132"/>
      <c r="K16" s="132"/>
      <c r="L16" s="132"/>
      <c r="M16" s="132"/>
      <c r="N16" s="132"/>
      <c r="O16" s="132"/>
      <c r="P16" s="132"/>
      <c r="Q16" s="132"/>
      <c r="R16" s="132"/>
      <c r="S16" s="132"/>
      <c r="T16" s="132"/>
      <c r="U16" s="133"/>
      <c r="X16" s="1" t="s">
        <v>109</v>
      </c>
    </row>
    <row r="17" spans="1:24" ht="18" customHeight="1">
      <c r="A17" s="52"/>
      <c r="B17" s="131"/>
      <c r="C17" s="132"/>
      <c r="D17" s="132"/>
      <c r="E17" s="132"/>
      <c r="F17" s="132"/>
      <c r="G17" s="132"/>
      <c r="H17" s="132"/>
      <c r="I17" s="132"/>
      <c r="J17" s="132"/>
      <c r="K17" s="132"/>
      <c r="L17" s="132"/>
      <c r="M17" s="132"/>
      <c r="N17" s="132"/>
      <c r="O17" s="132"/>
      <c r="P17" s="132"/>
      <c r="Q17" s="132"/>
      <c r="R17" s="132"/>
      <c r="S17" s="132"/>
      <c r="T17" s="132"/>
      <c r="U17" s="133"/>
      <c r="X17" s="1" t="s">
        <v>110</v>
      </c>
    </row>
    <row r="18" spans="1:24" ht="18" customHeight="1">
      <c r="A18" s="52"/>
      <c r="B18" s="131"/>
      <c r="C18" s="132"/>
      <c r="D18" s="132"/>
      <c r="E18" s="132"/>
      <c r="F18" s="132"/>
      <c r="G18" s="132"/>
      <c r="H18" s="132"/>
      <c r="I18" s="132"/>
      <c r="J18" s="132"/>
      <c r="K18" s="132"/>
      <c r="L18" s="132"/>
      <c r="M18" s="132"/>
      <c r="N18" s="132"/>
      <c r="O18" s="132"/>
      <c r="P18" s="132"/>
      <c r="Q18" s="132"/>
      <c r="R18" s="132"/>
      <c r="S18" s="132"/>
      <c r="T18" s="132"/>
      <c r="U18" s="133"/>
      <c r="X18" s="1" t="s">
        <v>111</v>
      </c>
    </row>
    <row r="19" spans="1:24" ht="18" customHeight="1">
      <c r="A19" s="52"/>
      <c r="B19" s="131"/>
      <c r="C19" s="132"/>
      <c r="D19" s="132"/>
      <c r="E19" s="132"/>
      <c r="F19" s="132"/>
      <c r="G19" s="132"/>
      <c r="H19" s="132"/>
      <c r="I19" s="132"/>
      <c r="J19" s="132"/>
      <c r="K19" s="132"/>
      <c r="L19" s="132"/>
      <c r="M19" s="132"/>
      <c r="N19" s="132"/>
      <c r="O19" s="132"/>
      <c r="P19" s="132"/>
      <c r="Q19" s="132"/>
      <c r="R19" s="132"/>
      <c r="S19" s="132"/>
      <c r="T19" s="132"/>
      <c r="U19" s="133"/>
    </row>
    <row r="20" spans="1:24" ht="18" customHeight="1">
      <c r="A20" s="52"/>
      <c r="B20" s="134"/>
      <c r="C20" s="135"/>
      <c r="D20" s="135"/>
      <c r="E20" s="135"/>
      <c r="F20" s="135"/>
      <c r="G20" s="135"/>
      <c r="H20" s="135"/>
      <c r="I20" s="135"/>
      <c r="J20" s="135"/>
      <c r="K20" s="135"/>
      <c r="L20" s="135"/>
      <c r="M20" s="135"/>
      <c r="N20" s="135"/>
      <c r="O20" s="135"/>
      <c r="P20" s="135"/>
      <c r="Q20" s="135"/>
      <c r="R20" s="135"/>
      <c r="S20" s="135"/>
      <c r="T20" s="135"/>
      <c r="U20" s="136"/>
    </row>
    <row r="21" spans="1:24" ht="7.5" customHeight="1">
      <c r="A21" s="52"/>
      <c r="B21" s="57"/>
      <c r="C21" s="57"/>
      <c r="D21" s="57"/>
      <c r="E21" s="57"/>
      <c r="F21" s="57"/>
      <c r="G21" s="57"/>
      <c r="H21" s="57"/>
      <c r="I21" s="57"/>
      <c r="J21" s="57"/>
      <c r="K21" s="57"/>
      <c r="L21" s="57"/>
      <c r="M21" s="57"/>
      <c r="N21" s="57"/>
      <c r="O21" s="57"/>
      <c r="P21" s="57"/>
      <c r="Q21" s="57"/>
      <c r="R21" s="57"/>
      <c r="S21" s="57"/>
      <c r="T21" s="57"/>
      <c r="U21" s="57"/>
    </row>
    <row r="22" spans="1:24" ht="19.899999999999999" customHeight="1">
      <c r="A22" s="52"/>
      <c r="B22" s="52" t="s">
        <v>126</v>
      </c>
      <c r="C22" s="52"/>
      <c r="D22" s="52"/>
      <c r="E22" s="60">
        <v>1</v>
      </c>
      <c r="F22" s="52" t="s">
        <v>107</v>
      </c>
      <c r="G22" s="52"/>
      <c r="H22" s="61">
        <v>1</v>
      </c>
      <c r="I22" s="57" t="s">
        <v>108</v>
      </c>
      <c r="J22" s="57"/>
      <c r="K22" s="53"/>
      <c r="L22" s="52"/>
      <c r="M22" s="53" t="s">
        <v>104</v>
      </c>
      <c r="N22" s="165" t="s">
        <v>110</v>
      </c>
      <c r="O22" s="166"/>
      <c r="P22" s="166"/>
      <c r="Q22" s="166"/>
      <c r="R22" s="166"/>
      <c r="S22" s="166"/>
      <c r="T22" s="166"/>
      <c r="U22" s="167"/>
    </row>
    <row r="23" spans="1:24" ht="7.5" customHeight="1">
      <c r="A23" s="52"/>
      <c r="B23" s="57"/>
      <c r="C23" s="57"/>
      <c r="D23" s="57"/>
      <c r="E23" s="57"/>
      <c r="F23" s="57"/>
      <c r="G23" s="57"/>
      <c r="H23" s="57"/>
      <c r="I23" s="57"/>
      <c r="J23" s="57"/>
      <c r="K23" s="57"/>
      <c r="L23" s="57"/>
      <c r="M23" s="57"/>
      <c r="N23" s="57"/>
      <c r="O23" s="57"/>
      <c r="P23" s="57"/>
      <c r="Q23" s="57"/>
      <c r="R23" s="57"/>
      <c r="S23" s="57"/>
      <c r="T23" s="57"/>
      <c r="U23" s="57"/>
    </row>
    <row r="24" spans="1:24" ht="18" customHeight="1">
      <c r="A24" s="137" t="s">
        <v>151</v>
      </c>
      <c r="B24" s="137"/>
      <c r="C24" s="137"/>
      <c r="D24" s="137"/>
      <c r="E24" s="137"/>
      <c r="F24" s="137"/>
      <c r="G24" s="137"/>
      <c r="H24" s="137"/>
      <c r="I24" s="137"/>
      <c r="J24" s="137"/>
      <c r="K24" s="137"/>
      <c r="L24" s="137"/>
      <c r="M24" s="137"/>
      <c r="N24" s="137"/>
      <c r="O24" s="137"/>
      <c r="P24" s="137"/>
      <c r="Q24" s="137"/>
      <c r="R24" s="137"/>
      <c r="S24" s="137"/>
      <c r="T24" s="137"/>
      <c r="U24" s="137"/>
    </row>
    <row r="25" spans="1:24" ht="18" customHeight="1">
      <c r="A25" s="137"/>
      <c r="B25" s="137"/>
      <c r="C25" s="137"/>
      <c r="D25" s="137"/>
      <c r="E25" s="137"/>
      <c r="F25" s="137"/>
      <c r="G25" s="137"/>
      <c r="H25" s="137"/>
      <c r="I25" s="137"/>
      <c r="J25" s="137"/>
      <c r="K25" s="137"/>
      <c r="L25" s="137"/>
      <c r="M25" s="137"/>
      <c r="N25" s="137"/>
      <c r="O25" s="137"/>
      <c r="P25" s="137"/>
      <c r="Q25" s="137"/>
      <c r="R25" s="137"/>
      <c r="S25" s="137"/>
      <c r="T25" s="137"/>
      <c r="U25" s="137"/>
    </row>
    <row r="26" spans="1:24" ht="18" customHeight="1">
      <c r="B26" s="103" t="s">
        <v>52</v>
      </c>
      <c r="C26" s="104"/>
      <c r="D26" s="104"/>
      <c r="E26" s="104"/>
      <c r="F26" s="105"/>
      <c r="G26" s="40" t="s">
        <v>75</v>
      </c>
      <c r="H26" s="39" t="s">
        <v>78</v>
      </c>
      <c r="I26" s="14" t="s">
        <v>55</v>
      </c>
      <c r="J26" s="14" t="s">
        <v>58</v>
      </c>
      <c r="K26" s="103" t="s">
        <v>52</v>
      </c>
      <c r="L26" s="104"/>
      <c r="M26" s="104"/>
      <c r="N26" s="104"/>
      <c r="O26" s="104"/>
      <c r="P26" s="104"/>
      <c r="Q26" s="105"/>
      <c r="R26" s="40" t="s">
        <v>75</v>
      </c>
      <c r="S26" s="39" t="s">
        <v>78</v>
      </c>
      <c r="T26" s="14" t="s">
        <v>55</v>
      </c>
      <c r="U26" s="14" t="s">
        <v>58</v>
      </c>
    </row>
    <row r="27" spans="1:24" ht="18" customHeight="1">
      <c r="B27" s="114" t="s">
        <v>152</v>
      </c>
      <c r="C27" s="115"/>
      <c r="D27" s="115"/>
      <c r="E27" s="115"/>
      <c r="F27" s="116"/>
      <c r="G27" s="15">
        <v>1</v>
      </c>
      <c r="H27" s="15" t="s">
        <v>130</v>
      </c>
      <c r="I27" s="15" t="s">
        <v>130</v>
      </c>
      <c r="J27" s="15" t="s">
        <v>130</v>
      </c>
      <c r="K27" s="114"/>
      <c r="L27" s="115"/>
      <c r="M27" s="115"/>
      <c r="N27" s="115"/>
      <c r="O27" s="115"/>
      <c r="P27" s="115"/>
      <c r="Q27" s="116"/>
      <c r="R27" s="15"/>
      <c r="S27" s="15"/>
      <c r="T27" s="15"/>
      <c r="U27" s="15"/>
    </row>
    <row r="28" spans="1:24" ht="18" customHeight="1">
      <c r="B28" s="106"/>
      <c r="C28" s="107"/>
      <c r="D28" s="107"/>
      <c r="E28" s="107"/>
      <c r="F28" s="108"/>
      <c r="G28" s="16"/>
      <c r="H28" s="16"/>
      <c r="I28" s="16"/>
      <c r="J28" s="16"/>
      <c r="K28" s="106"/>
      <c r="L28" s="107"/>
      <c r="M28" s="107"/>
      <c r="N28" s="107"/>
      <c r="O28" s="107"/>
      <c r="P28" s="107"/>
      <c r="Q28" s="108"/>
      <c r="R28" s="16"/>
      <c r="S28" s="16"/>
      <c r="T28" s="16"/>
      <c r="U28" s="16"/>
    </row>
    <row r="29" spans="1:24" ht="18" customHeight="1">
      <c r="B29" s="106"/>
      <c r="C29" s="107"/>
      <c r="D29" s="107"/>
      <c r="E29" s="107"/>
      <c r="F29" s="108"/>
      <c r="G29" s="16"/>
      <c r="H29" s="16"/>
      <c r="I29" s="16"/>
      <c r="J29" s="16"/>
      <c r="K29" s="106"/>
      <c r="L29" s="107"/>
      <c r="M29" s="107"/>
      <c r="N29" s="107"/>
      <c r="O29" s="107"/>
      <c r="P29" s="107"/>
      <c r="Q29" s="108"/>
      <c r="R29" s="16"/>
      <c r="S29" s="16"/>
      <c r="T29" s="16"/>
      <c r="U29" s="16"/>
    </row>
    <row r="30" spans="1:24" ht="18" customHeight="1">
      <c r="B30" s="106"/>
      <c r="C30" s="107"/>
      <c r="D30" s="107"/>
      <c r="E30" s="107"/>
      <c r="F30" s="108"/>
      <c r="G30" s="16"/>
      <c r="H30" s="16"/>
      <c r="I30" s="16"/>
      <c r="J30" s="16"/>
      <c r="K30" s="106"/>
      <c r="L30" s="107"/>
      <c r="M30" s="107"/>
      <c r="N30" s="107"/>
      <c r="O30" s="107"/>
      <c r="P30" s="107"/>
      <c r="Q30" s="108"/>
      <c r="R30" s="16"/>
      <c r="S30" s="16"/>
      <c r="T30" s="16"/>
      <c r="U30" s="16"/>
    </row>
    <row r="31" spans="1:24" ht="18" customHeight="1">
      <c r="B31" s="106"/>
      <c r="C31" s="107"/>
      <c r="D31" s="107"/>
      <c r="E31" s="107"/>
      <c r="F31" s="108"/>
      <c r="G31" s="16"/>
      <c r="H31" s="16"/>
      <c r="I31" s="16"/>
      <c r="J31" s="16"/>
      <c r="K31" s="106"/>
      <c r="L31" s="107"/>
      <c r="M31" s="107"/>
      <c r="N31" s="107"/>
      <c r="O31" s="107"/>
      <c r="P31" s="107"/>
      <c r="Q31" s="108"/>
      <c r="R31" s="16"/>
      <c r="S31" s="16"/>
      <c r="T31" s="16"/>
      <c r="U31" s="16"/>
    </row>
    <row r="32" spans="1:24" ht="18" customHeight="1">
      <c r="A32" s="3"/>
      <c r="B32" s="106"/>
      <c r="C32" s="107"/>
      <c r="D32" s="107"/>
      <c r="E32" s="107"/>
      <c r="F32" s="108"/>
      <c r="G32" s="16"/>
      <c r="H32" s="16"/>
      <c r="I32" s="16"/>
      <c r="J32" s="16"/>
      <c r="K32" s="106"/>
      <c r="L32" s="107"/>
      <c r="M32" s="107"/>
      <c r="N32" s="107"/>
      <c r="O32" s="107"/>
      <c r="P32" s="107"/>
      <c r="Q32" s="108"/>
      <c r="R32" s="16"/>
      <c r="S32" s="16"/>
      <c r="T32" s="16"/>
      <c r="U32" s="16"/>
    </row>
    <row r="33" spans="1:21" ht="18" customHeight="1">
      <c r="A33" s="3"/>
      <c r="B33" s="109"/>
      <c r="C33" s="110"/>
      <c r="D33" s="110"/>
      <c r="E33" s="110"/>
      <c r="F33" s="111"/>
      <c r="G33" s="17"/>
      <c r="H33" s="17"/>
      <c r="I33" s="18"/>
      <c r="J33" s="18"/>
      <c r="K33" s="109"/>
      <c r="L33" s="110"/>
      <c r="M33" s="110"/>
      <c r="N33" s="110"/>
      <c r="O33" s="110"/>
      <c r="P33" s="110"/>
      <c r="Q33" s="111"/>
      <c r="R33" s="17"/>
      <c r="S33" s="17"/>
      <c r="T33" s="18"/>
      <c r="U33" s="18"/>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17" t="s">
        <v>99</v>
      </c>
      <c r="B35" s="117"/>
      <c r="C35" s="117"/>
      <c r="D35" s="117"/>
      <c r="E35" s="117"/>
      <c r="F35" s="117"/>
      <c r="G35" s="117"/>
      <c r="H35" s="117"/>
      <c r="I35" s="117"/>
      <c r="J35" s="117"/>
      <c r="K35" s="117"/>
      <c r="L35" s="117"/>
      <c r="M35" s="117"/>
      <c r="N35" s="117"/>
      <c r="O35" s="117"/>
      <c r="P35" s="117"/>
      <c r="Q35" s="117"/>
      <c r="R35" s="117"/>
      <c r="S35" s="117"/>
      <c r="T35" s="117"/>
      <c r="U35" s="117"/>
    </row>
    <row r="36" spans="1:21" ht="18" customHeight="1">
      <c r="A36" s="117"/>
      <c r="B36" s="117"/>
      <c r="C36" s="117"/>
      <c r="D36" s="117"/>
      <c r="E36" s="117"/>
      <c r="F36" s="117"/>
      <c r="G36" s="117"/>
      <c r="H36" s="117"/>
      <c r="I36" s="117"/>
      <c r="J36" s="117"/>
      <c r="K36" s="117"/>
      <c r="L36" s="117"/>
      <c r="M36" s="117"/>
      <c r="N36" s="117"/>
      <c r="O36" s="117"/>
      <c r="P36" s="117"/>
      <c r="Q36" s="117"/>
      <c r="R36" s="117"/>
      <c r="S36" s="117"/>
      <c r="T36" s="117"/>
      <c r="U36" s="117"/>
    </row>
    <row r="37" spans="1:21" ht="18" customHeight="1">
      <c r="B37" s="103" t="s">
        <v>52</v>
      </c>
      <c r="C37" s="104"/>
      <c r="D37" s="104"/>
      <c r="E37" s="104"/>
      <c r="F37" s="105"/>
      <c r="G37" s="40" t="s">
        <v>75</v>
      </c>
      <c r="H37" s="39" t="s">
        <v>78</v>
      </c>
      <c r="I37" s="14" t="s">
        <v>68</v>
      </c>
      <c r="J37" s="14" t="s">
        <v>69</v>
      </c>
      <c r="K37" s="103" t="s">
        <v>52</v>
      </c>
      <c r="L37" s="104"/>
      <c r="M37" s="104"/>
      <c r="N37" s="104"/>
      <c r="O37" s="104"/>
      <c r="P37" s="104"/>
      <c r="Q37" s="105"/>
      <c r="R37" s="40" t="s">
        <v>75</v>
      </c>
      <c r="S37" s="39" t="s">
        <v>78</v>
      </c>
      <c r="T37" s="14" t="s">
        <v>68</v>
      </c>
      <c r="U37" s="14" t="s">
        <v>69</v>
      </c>
    </row>
    <row r="38" spans="1:21" ht="18" customHeight="1">
      <c r="B38" s="114" t="s">
        <v>152</v>
      </c>
      <c r="C38" s="115"/>
      <c r="D38" s="115"/>
      <c r="E38" s="115"/>
      <c r="F38" s="116"/>
      <c r="G38" s="15">
        <v>1</v>
      </c>
      <c r="H38" s="15" t="s">
        <v>130</v>
      </c>
      <c r="I38" s="15" t="s">
        <v>130</v>
      </c>
      <c r="J38" s="15" t="s">
        <v>130</v>
      </c>
      <c r="K38" s="114"/>
      <c r="L38" s="115"/>
      <c r="M38" s="115"/>
      <c r="N38" s="115"/>
      <c r="O38" s="115"/>
      <c r="P38" s="115"/>
      <c r="Q38" s="116"/>
      <c r="R38" s="15"/>
      <c r="S38" s="15"/>
      <c r="T38" s="15"/>
      <c r="U38" s="15"/>
    </row>
    <row r="39" spans="1:21" ht="18" customHeight="1">
      <c r="B39" s="106"/>
      <c r="C39" s="107"/>
      <c r="D39" s="107"/>
      <c r="E39" s="107"/>
      <c r="F39" s="108"/>
      <c r="G39" s="16"/>
      <c r="H39" s="16"/>
      <c r="I39" s="16"/>
      <c r="J39" s="16"/>
      <c r="K39" s="106"/>
      <c r="L39" s="107"/>
      <c r="M39" s="107"/>
      <c r="N39" s="107"/>
      <c r="O39" s="107"/>
      <c r="P39" s="107"/>
      <c r="Q39" s="108"/>
      <c r="R39" s="16"/>
      <c r="S39" s="16"/>
      <c r="T39" s="16"/>
      <c r="U39" s="16"/>
    </row>
    <row r="40" spans="1:21" ht="18" customHeight="1">
      <c r="B40" s="106"/>
      <c r="C40" s="107"/>
      <c r="D40" s="107"/>
      <c r="E40" s="107"/>
      <c r="F40" s="108"/>
      <c r="G40" s="16"/>
      <c r="H40" s="16"/>
      <c r="I40" s="16"/>
      <c r="J40" s="16"/>
      <c r="K40" s="106"/>
      <c r="L40" s="107"/>
      <c r="M40" s="107"/>
      <c r="N40" s="107"/>
      <c r="O40" s="107"/>
      <c r="P40" s="107"/>
      <c r="Q40" s="108"/>
      <c r="R40" s="16"/>
      <c r="S40" s="16"/>
      <c r="T40" s="16"/>
      <c r="U40" s="16"/>
    </row>
    <row r="41" spans="1:21" ht="18" customHeight="1">
      <c r="B41" s="106"/>
      <c r="C41" s="107"/>
      <c r="D41" s="107"/>
      <c r="E41" s="107"/>
      <c r="F41" s="108"/>
      <c r="G41" s="16"/>
      <c r="H41" s="16"/>
      <c r="I41" s="16"/>
      <c r="J41" s="16"/>
      <c r="K41" s="106"/>
      <c r="L41" s="107"/>
      <c r="M41" s="107"/>
      <c r="N41" s="107"/>
      <c r="O41" s="107"/>
      <c r="P41" s="107"/>
      <c r="Q41" s="108"/>
      <c r="R41" s="16"/>
      <c r="S41" s="16"/>
      <c r="T41" s="16"/>
      <c r="U41" s="16"/>
    </row>
    <row r="42" spans="1:21" ht="18" customHeight="1">
      <c r="B42" s="106"/>
      <c r="C42" s="107"/>
      <c r="D42" s="107"/>
      <c r="E42" s="107"/>
      <c r="F42" s="108"/>
      <c r="G42" s="16"/>
      <c r="H42" s="16"/>
      <c r="I42" s="16"/>
      <c r="J42" s="16"/>
      <c r="K42" s="106"/>
      <c r="L42" s="107"/>
      <c r="M42" s="107"/>
      <c r="N42" s="107"/>
      <c r="O42" s="107"/>
      <c r="P42" s="107"/>
      <c r="Q42" s="108"/>
      <c r="R42" s="16"/>
      <c r="S42" s="16"/>
      <c r="T42" s="16"/>
      <c r="U42" s="16"/>
    </row>
    <row r="43" spans="1:21" ht="18" customHeight="1">
      <c r="B43" s="106"/>
      <c r="C43" s="107"/>
      <c r="D43" s="107"/>
      <c r="E43" s="107"/>
      <c r="F43" s="108"/>
      <c r="G43" s="16"/>
      <c r="H43" s="16"/>
      <c r="I43" s="16"/>
      <c r="J43" s="16"/>
      <c r="K43" s="106"/>
      <c r="L43" s="107"/>
      <c r="M43" s="107"/>
      <c r="N43" s="107"/>
      <c r="O43" s="107"/>
      <c r="P43" s="107"/>
      <c r="Q43" s="108"/>
      <c r="R43" s="16"/>
      <c r="S43" s="16"/>
      <c r="T43" s="16"/>
      <c r="U43" s="16"/>
    </row>
    <row r="44" spans="1:21" ht="18" customHeight="1">
      <c r="B44" s="109"/>
      <c r="C44" s="110"/>
      <c r="D44" s="110"/>
      <c r="E44" s="110"/>
      <c r="F44" s="111"/>
      <c r="G44" s="17"/>
      <c r="H44" s="17"/>
      <c r="I44" s="18"/>
      <c r="J44" s="18"/>
      <c r="K44" s="109"/>
      <c r="L44" s="110"/>
      <c r="M44" s="110"/>
      <c r="N44" s="110"/>
      <c r="O44" s="110"/>
      <c r="P44" s="110"/>
      <c r="Q44" s="111"/>
      <c r="R44" s="17"/>
      <c r="S44" s="17"/>
      <c r="T44" s="18"/>
      <c r="U44" s="18"/>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17" t="s">
        <v>100</v>
      </c>
      <c r="B46" s="117"/>
      <c r="C46" s="117"/>
      <c r="D46" s="117"/>
      <c r="E46" s="117"/>
      <c r="F46" s="117"/>
      <c r="G46" s="117"/>
      <c r="H46" s="117"/>
      <c r="I46" s="117"/>
      <c r="J46" s="117"/>
      <c r="K46" s="117"/>
      <c r="L46" s="117"/>
      <c r="M46" s="117"/>
      <c r="N46" s="117"/>
      <c r="O46" s="117"/>
      <c r="P46" s="117"/>
      <c r="Q46" s="117"/>
      <c r="R46" s="117"/>
      <c r="S46" s="117"/>
      <c r="T46" s="117"/>
      <c r="U46" s="117"/>
    </row>
    <row r="47" spans="1:21" ht="18" customHeight="1">
      <c r="A47" s="117"/>
      <c r="B47" s="117"/>
      <c r="C47" s="117"/>
      <c r="D47" s="117"/>
      <c r="E47" s="117"/>
      <c r="F47" s="117"/>
      <c r="G47" s="117"/>
      <c r="H47" s="117"/>
      <c r="I47" s="117"/>
      <c r="J47" s="117"/>
      <c r="K47" s="117"/>
      <c r="L47" s="117"/>
      <c r="M47" s="117"/>
      <c r="N47" s="117"/>
      <c r="O47" s="117"/>
      <c r="P47" s="117"/>
      <c r="Q47" s="117"/>
      <c r="R47" s="117"/>
      <c r="S47" s="117"/>
      <c r="T47" s="117"/>
      <c r="U47" s="117"/>
    </row>
    <row r="48" spans="1:21" ht="18" customHeight="1">
      <c r="B48" s="103" t="s">
        <v>52</v>
      </c>
      <c r="C48" s="104"/>
      <c r="D48" s="104"/>
      <c r="E48" s="104"/>
      <c r="F48" s="105"/>
      <c r="G48" s="40" t="s">
        <v>75</v>
      </c>
      <c r="H48" s="39" t="s">
        <v>78</v>
      </c>
      <c r="I48" s="14" t="s">
        <v>70</v>
      </c>
      <c r="J48" s="14" t="s">
        <v>71</v>
      </c>
      <c r="K48" s="103" t="s">
        <v>52</v>
      </c>
      <c r="L48" s="104"/>
      <c r="M48" s="104"/>
      <c r="N48" s="104"/>
      <c r="O48" s="104"/>
      <c r="P48" s="104"/>
      <c r="Q48" s="105"/>
      <c r="R48" s="40" t="s">
        <v>75</v>
      </c>
      <c r="S48" s="39" t="s">
        <v>78</v>
      </c>
      <c r="T48" s="14" t="s">
        <v>70</v>
      </c>
      <c r="U48" s="14" t="s">
        <v>71</v>
      </c>
    </row>
    <row r="49" spans="1:21" ht="18" customHeight="1">
      <c r="A49" s="3"/>
      <c r="B49" s="114" t="s">
        <v>152</v>
      </c>
      <c r="C49" s="115"/>
      <c r="D49" s="115"/>
      <c r="E49" s="115"/>
      <c r="F49" s="116"/>
      <c r="G49" s="15">
        <v>1</v>
      </c>
      <c r="H49" s="15" t="s">
        <v>130</v>
      </c>
      <c r="I49" s="15" t="s">
        <v>130</v>
      </c>
      <c r="J49" s="15" t="s">
        <v>130</v>
      </c>
      <c r="K49" s="114"/>
      <c r="L49" s="115"/>
      <c r="M49" s="115"/>
      <c r="N49" s="115"/>
      <c r="O49" s="115"/>
      <c r="P49" s="115"/>
      <c r="Q49" s="116"/>
      <c r="R49" s="15"/>
      <c r="S49" s="15"/>
      <c r="T49" s="15"/>
      <c r="U49" s="15"/>
    </row>
    <row r="50" spans="1:21" ht="18" customHeight="1">
      <c r="A50" s="3"/>
      <c r="B50" s="106"/>
      <c r="C50" s="107"/>
      <c r="D50" s="107"/>
      <c r="E50" s="107"/>
      <c r="F50" s="108"/>
      <c r="G50" s="16"/>
      <c r="H50" s="16"/>
      <c r="I50" s="16"/>
      <c r="J50" s="16"/>
      <c r="K50" s="106"/>
      <c r="L50" s="107"/>
      <c r="M50" s="107"/>
      <c r="N50" s="107"/>
      <c r="O50" s="107"/>
      <c r="P50" s="107"/>
      <c r="Q50" s="108"/>
      <c r="R50" s="16"/>
      <c r="S50" s="16"/>
      <c r="T50" s="16"/>
      <c r="U50" s="16"/>
    </row>
    <row r="51" spans="1:21" ht="18" customHeight="1">
      <c r="A51" s="3"/>
      <c r="B51" s="106"/>
      <c r="C51" s="107"/>
      <c r="D51" s="107"/>
      <c r="E51" s="107"/>
      <c r="F51" s="108"/>
      <c r="G51" s="16"/>
      <c r="H51" s="16"/>
      <c r="I51" s="16"/>
      <c r="J51" s="16"/>
      <c r="K51" s="106"/>
      <c r="L51" s="107"/>
      <c r="M51" s="107"/>
      <c r="N51" s="107"/>
      <c r="O51" s="107"/>
      <c r="P51" s="107"/>
      <c r="Q51" s="108"/>
      <c r="R51" s="16"/>
      <c r="S51" s="16"/>
      <c r="T51" s="16"/>
      <c r="U51" s="16"/>
    </row>
    <row r="52" spans="1:21" ht="18" customHeight="1">
      <c r="A52" s="3"/>
      <c r="B52" s="106"/>
      <c r="C52" s="107"/>
      <c r="D52" s="107"/>
      <c r="E52" s="107"/>
      <c r="F52" s="108"/>
      <c r="G52" s="16"/>
      <c r="H52" s="16"/>
      <c r="I52" s="16"/>
      <c r="J52" s="16"/>
      <c r="K52" s="106"/>
      <c r="L52" s="107"/>
      <c r="M52" s="107"/>
      <c r="N52" s="107"/>
      <c r="O52" s="107"/>
      <c r="P52" s="107"/>
      <c r="Q52" s="108"/>
      <c r="R52" s="16"/>
      <c r="S52" s="16"/>
      <c r="T52" s="16"/>
      <c r="U52" s="16"/>
    </row>
    <row r="53" spans="1:21" ht="18" customHeight="1">
      <c r="A53" s="3"/>
      <c r="B53" s="106"/>
      <c r="C53" s="107"/>
      <c r="D53" s="107"/>
      <c r="E53" s="107"/>
      <c r="F53" s="108"/>
      <c r="G53" s="16"/>
      <c r="H53" s="16"/>
      <c r="I53" s="16"/>
      <c r="J53" s="16"/>
      <c r="K53" s="106"/>
      <c r="L53" s="107"/>
      <c r="M53" s="107"/>
      <c r="N53" s="107"/>
      <c r="O53" s="107"/>
      <c r="P53" s="107"/>
      <c r="Q53" s="108"/>
      <c r="R53" s="16"/>
      <c r="S53" s="16"/>
      <c r="T53" s="16"/>
      <c r="U53" s="16"/>
    </row>
    <row r="54" spans="1:21" ht="18" customHeight="1">
      <c r="A54" s="3"/>
      <c r="B54" s="106"/>
      <c r="C54" s="107"/>
      <c r="D54" s="107"/>
      <c r="E54" s="107"/>
      <c r="F54" s="108"/>
      <c r="G54" s="16"/>
      <c r="H54" s="16"/>
      <c r="I54" s="16"/>
      <c r="J54" s="16"/>
      <c r="K54" s="106"/>
      <c r="L54" s="107"/>
      <c r="M54" s="107"/>
      <c r="N54" s="107"/>
      <c r="O54" s="107"/>
      <c r="P54" s="107"/>
      <c r="Q54" s="108"/>
      <c r="R54" s="16"/>
      <c r="S54" s="16"/>
      <c r="T54" s="16"/>
      <c r="U54" s="16"/>
    </row>
    <row r="55" spans="1:21" ht="18" customHeight="1">
      <c r="A55" s="3"/>
      <c r="B55" s="109"/>
      <c r="C55" s="110"/>
      <c r="D55" s="110"/>
      <c r="E55" s="110"/>
      <c r="F55" s="111"/>
      <c r="G55" s="17"/>
      <c r="H55" s="17"/>
      <c r="I55" s="18"/>
      <c r="J55" s="18"/>
      <c r="K55" s="109"/>
      <c r="L55" s="110"/>
      <c r="M55" s="110"/>
      <c r="N55" s="110"/>
      <c r="O55" s="110"/>
      <c r="P55" s="110"/>
      <c r="Q55" s="111"/>
      <c r="R55" s="17"/>
      <c r="S55" s="17"/>
      <c r="T55" s="18"/>
      <c r="U55" s="18"/>
    </row>
    <row r="56" spans="1:21" ht="7.5" customHeight="1">
      <c r="B56" s="12"/>
      <c r="C56" s="12"/>
      <c r="D56" s="12"/>
      <c r="E56" s="12"/>
      <c r="F56" s="12"/>
      <c r="G56" s="12"/>
      <c r="H56" s="12"/>
      <c r="I56" s="12"/>
      <c r="J56" s="12"/>
      <c r="K56" s="12"/>
      <c r="L56" s="12"/>
      <c r="M56" s="12"/>
      <c r="N56" s="12"/>
      <c r="O56" s="12"/>
      <c r="P56" s="12"/>
      <c r="Q56" s="12"/>
      <c r="R56" s="12"/>
      <c r="S56" s="12"/>
      <c r="T56" s="12"/>
    </row>
    <row r="57" spans="1:21" ht="18" customHeight="1">
      <c r="A57" s="117" t="s">
        <v>153</v>
      </c>
      <c r="B57" s="117"/>
      <c r="C57" s="117"/>
      <c r="D57" s="117"/>
      <c r="E57" s="117"/>
      <c r="F57" s="117"/>
      <c r="G57" s="117"/>
      <c r="H57" s="117"/>
      <c r="I57" s="117"/>
      <c r="J57" s="117"/>
      <c r="K57" s="117"/>
      <c r="L57" s="117"/>
      <c r="M57" s="117"/>
      <c r="N57" s="117"/>
      <c r="O57" s="117"/>
      <c r="P57" s="117"/>
      <c r="Q57" s="117"/>
      <c r="R57" s="117"/>
      <c r="S57" s="117"/>
      <c r="T57" s="117"/>
      <c r="U57" s="117"/>
    </row>
    <row r="58" spans="1:21" ht="18" customHeight="1">
      <c r="A58" s="117"/>
      <c r="B58" s="117"/>
      <c r="C58" s="117"/>
      <c r="D58" s="117"/>
      <c r="E58" s="117"/>
      <c r="F58" s="117"/>
      <c r="G58" s="117"/>
      <c r="H58" s="117"/>
      <c r="I58" s="117"/>
      <c r="J58" s="117"/>
      <c r="K58" s="117"/>
      <c r="L58" s="117"/>
      <c r="M58" s="117"/>
      <c r="N58" s="117"/>
      <c r="O58" s="117"/>
      <c r="P58" s="117"/>
      <c r="Q58" s="117"/>
      <c r="R58" s="117"/>
      <c r="S58" s="117"/>
      <c r="T58" s="117"/>
      <c r="U58" s="117"/>
    </row>
    <row r="59" spans="1:21" ht="18" customHeight="1">
      <c r="B59" s="103" t="s">
        <v>52</v>
      </c>
      <c r="C59" s="104"/>
      <c r="D59" s="104"/>
      <c r="E59" s="104"/>
      <c r="F59" s="105"/>
      <c r="G59" s="40" t="s">
        <v>75</v>
      </c>
      <c r="H59" s="39" t="s">
        <v>78</v>
      </c>
      <c r="I59" s="14" t="s">
        <v>57</v>
      </c>
      <c r="J59" s="14" t="s">
        <v>59</v>
      </c>
      <c r="K59" s="103" t="s">
        <v>52</v>
      </c>
      <c r="L59" s="104"/>
      <c r="M59" s="104"/>
      <c r="N59" s="104"/>
      <c r="O59" s="104"/>
      <c r="P59" s="104"/>
      <c r="Q59" s="105"/>
      <c r="R59" s="40" t="s">
        <v>75</v>
      </c>
      <c r="S59" s="39" t="s">
        <v>78</v>
      </c>
      <c r="T59" s="14" t="s">
        <v>57</v>
      </c>
      <c r="U59" s="14" t="s">
        <v>59</v>
      </c>
    </row>
    <row r="60" spans="1:21" ht="18" customHeight="1">
      <c r="A60" s="3"/>
      <c r="B60" s="114" t="s">
        <v>152</v>
      </c>
      <c r="C60" s="115"/>
      <c r="D60" s="115"/>
      <c r="E60" s="115"/>
      <c r="F60" s="116"/>
      <c r="G60" s="15">
        <v>1</v>
      </c>
      <c r="H60" s="15" t="s">
        <v>130</v>
      </c>
      <c r="I60" s="15" t="s">
        <v>130</v>
      </c>
      <c r="J60" s="15" t="s">
        <v>130</v>
      </c>
      <c r="K60" s="114"/>
      <c r="L60" s="115"/>
      <c r="M60" s="115"/>
      <c r="N60" s="115"/>
      <c r="O60" s="115"/>
      <c r="P60" s="115"/>
      <c r="Q60" s="116"/>
      <c r="R60" s="15"/>
      <c r="S60" s="15"/>
      <c r="T60" s="15"/>
      <c r="U60" s="15"/>
    </row>
    <row r="61" spans="1:21" ht="18" customHeight="1">
      <c r="A61" s="3"/>
      <c r="B61" s="106"/>
      <c r="C61" s="107"/>
      <c r="D61" s="107"/>
      <c r="E61" s="107"/>
      <c r="F61" s="108"/>
      <c r="G61" s="16"/>
      <c r="H61" s="16"/>
      <c r="I61" s="16"/>
      <c r="J61" s="16"/>
      <c r="K61" s="106"/>
      <c r="L61" s="107"/>
      <c r="M61" s="107"/>
      <c r="N61" s="107"/>
      <c r="O61" s="107"/>
      <c r="P61" s="107"/>
      <c r="Q61" s="108"/>
      <c r="R61" s="16"/>
      <c r="S61" s="16"/>
      <c r="T61" s="16"/>
      <c r="U61" s="16"/>
    </row>
    <row r="62" spans="1:21" ht="18" customHeight="1">
      <c r="A62" s="3"/>
      <c r="B62" s="106"/>
      <c r="C62" s="107"/>
      <c r="D62" s="107"/>
      <c r="E62" s="107"/>
      <c r="F62" s="108"/>
      <c r="G62" s="16"/>
      <c r="H62" s="16"/>
      <c r="I62" s="16"/>
      <c r="J62" s="16"/>
      <c r="K62" s="106"/>
      <c r="L62" s="107"/>
      <c r="M62" s="107"/>
      <c r="N62" s="107"/>
      <c r="O62" s="107"/>
      <c r="P62" s="107"/>
      <c r="Q62" s="108"/>
      <c r="R62" s="16"/>
      <c r="S62" s="16"/>
      <c r="T62" s="16"/>
      <c r="U62" s="16"/>
    </row>
    <row r="63" spans="1:21" ht="18" customHeight="1">
      <c r="A63" s="3"/>
      <c r="B63" s="106"/>
      <c r="C63" s="107"/>
      <c r="D63" s="107"/>
      <c r="E63" s="107"/>
      <c r="F63" s="108"/>
      <c r="G63" s="16"/>
      <c r="H63" s="16"/>
      <c r="I63" s="16"/>
      <c r="J63" s="16"/>
      <c r="K63" s="106"/>
      <c r="L63" s="107"/>
      <c r="M63" s="107"/>
      <c r="N63" s="107"/>
      <c r="O63" s="107"/>
      <c r="P63" s="107"/>
      <c r="Q63" s="108"/>
      <c r="R63" s="16"/>
      <c r="S63" s="16"/>
      <c r="T63" s="16"/>
      <c r="U63" s="16"/>
    </row>
    <row r="64" spans="1:21" ht="18" customHeight="1">
      <c r="A64" s="3"/>
      <c r="B64" s="106"/>
      <c r="C64" s="107"/>
      <c r="D64" s="107"/>
      <c r="E64" s="107"/>
      <c r="F64" s="108"/>
      <c r="G64" s="16"/>
      <c r="H64" s="16"/>
      <c r="I64" s="16"/>
      <c r="J64" s="16"/>
      <c r="K64" s="106"/>
      <c r="L64" s="107"/>
      <c r="M64" s="107"/>
      <c r="N64" s="107"/>
      <c r="O64" s="107"/>
      <c r="P64" s="107"/>
      <c r="Q64" s="108"/>
      <c r="R64" s="16"/>
      <c r="S64" s="16"/>
      <c r="T64" s="16"/>
      <c r="U64" s="16"/>
    </row>
    <row r="65" spans="1:21" ht="18" customHeight="1">
      <c r="A65" s="3"/>
      <c r="B65" s="106"/>
      <c r="C65" s="107"/>
      <c r="D65" s="107"/>
      <c r="E65" s="107"/>
      <c r="F65" s="108"/>
      <c r="G65" s="16"/>
      <c r="H65" s="16"/>
      <c r="I65" s="16"/>
      <c r="J65" s="16"/>
      <c r="K65" s="106"/>
      <c r="L65" s="107"/>
      <c r="M65" s="107"/>
      <c r="N65" s="107"/>
      <c r="O65" s="107"/>
      <c r="P65" s="107"/>
      <c r="Q65" s="108"/>
      <c r="R65" s="16"/>
      <c r="S65" s="16"/>
      <c r="T65" s="16"/>
      <c r="U65" s="16"/>
    </row>
    <row r="66" spans="1:21" ht="18" customHeight="1">
      <c r="A66" s="3"/>
      <c r="B66" s="109"/>
      <c r="C66" s="110"/>
      <c r="D66" s="110"/>
      <c r="E66" s="110"/>
      <c r="F66" s="111"/>
      <c r="G66" s="17"/>
      <c r="H66" s="17"/>
      <c r="I66" s="18"/>
      <c r="J66" s="18"/>
      <c r="K66" s="109"/>
      <c r="L66" s="110"/>
      <c r="M66" s="110"/>
      <c r="N66" s="110"/>
      <c r="O66" s="110"/>
      <c r="P66" s="110"/>
      <c r="Q66" s="111"/>
      <c r="R66" s="17"/>
      <c r="S66" s="17"/>
      <c r="T66" s="18"/>
      <c r="U66" s="18"/>
    </row>
    <row r="67" spans="1:21" ht="7.5" customHeight="1">
      <c r="B67" s="12"/>
      <c r="C67" s="12"/>
      <c r="D67" s="12"/>
      <c r="E67" s="12"/>
      <c r="F67" s="12"/>
      <c r="G67" s="12"/>
      <c r="H67" s="12"/>
      <c r="I67" s="12"/>
      <c r="J67" s="12"/>
      <c r="K67" s="12"/>
      <c r="L67" s="12"/>
      <c r="M67" s="12"/>
      <c r="N67" s="12"/>
      <c r="O67" s="12"/>
      <c r="P67" s="12"/>
      <c r="Q67" s="12"/>
      <c r="R67" s="12"/>
      <c r="S67" s="12"/>
      <c r="T67" s="12"/>
    </row>
    <row r="68" spans="1:21" ht="18" customHeight="1">
      <c r="A68" s="117" t="s">
        <v>154</v>
      </c>
      <c r="B68" s="117"/>
      <c r="C68" s="117"/>
      <c r="D68" s="117"/>
      <c r="E68" s="117"/>
      <c r="F68" s="117"/>
      <c r="G68" s="117"/>
      <c r="H68" s="117"/>
      <c r="I68" s="117"/>
      <c r="J68" s="117"/>
      <c r="K68" s="117"/>
      <c r="L68" s="117"/>
      <c r="M68" s="117"/>
      <c r="N68" s="117"/>
      <c r="O68" s="117"/>
      <c r="P68" s="117"/>
      <c r="Q68" s="117"/>
      <c r="R68" s="117"/>
      <c r="S68" s="117"/>
      <c r="T68" s="117"/>
      <c r="U68" s="117"/>
    </row>
    <row r="69" spans="1:21" ht="18" customHeight="1">
      <c r="A69" s="117"/>
      <c r="B69" s="117"/>
      <c r="C69" s="117"/>
      <c r="D69" s="117"/>
      <c r="E69" s="117"/>
      <c r="F69" s="117"/>
      <c r="G69" s="117"/>
      <c r="H69" s="117"/>
      <c r="I69" s="117"/>
      <c r="J69" s="117"/>
      <c r="K69" s="117"/>
      <c r="L69" s="117"/>
      <c r="M69" s="117"/>
      <c r="N69" s="117"/>
      <c r="O69" s="117"/>
      <c r="P69" s="117"/>
      <c r="Q69" s="117"/>
      <c r="R69" s="117"/>
      <c r="S69" s="117"/>
      <c r="T69" s="117"/>
      <c r="U69" s="117"/>
    </row>
    <row r="70" spans="1:21" ht="18" customHeight="1">
      <c r="B70" s="103" t="s">
        <v>52</v>
      </c>
      <c r="C70" s="104"/>
      <c r="D70" s="104"/>
      <c r="E70" s="104"/>
      <c r="F70" s="40" t="s">
        <v>75</v>
      </c>
      <c r="G70" s="39" t="s">
        <v>78</v>
      </c>
      <c r="H70" s="14" t="s">
        <v>90</v>
      </c>
      <c r="I70" s="14" t="s">
        <v>72</v>
      </c>
      <c r="J70" s="14" t="s">
        <v>73</v>
      </c>
      <c r="K70" s="103" t="s">
        <v>52</v>
      </c>
      <c r="L70" s="104"/>
      <c r="M70" s="104"/>
      <c r="N70" s="104"/>
      <c r="O70" s="104"/>
      <c r="P70" s="105"/>
      <c r="Q70" s="40" t="s">
        <v>75</v>
      </c>
      <c r="R70" s="39" t="s">
        <v>78</v>
      </c>
      <c r="S70" s="14" t="s">
        <v>90</v>
      </c>
      <c r="T70" s="14" t="s">
        <v>72</v>
      </c>
      <c r="U70" s="14" t="s">
        <v>73</v>
      </c>
    </row>
    <row r="71" spans="1:21" ht="18" customHeight="1">
      <c r="A71" s="3"/>
      <c r="B71" s="114" t="s">
        <v>152</v>
      </c>
      <c r="C71" s="115"/>
      <c r="D71" s="115"/>
      <c r="E71" s="116"/>
      <c r="F71" s="15">
        <v>1</v>
      </c>
      <c r="G71" s="15" t="s">
        <v>130</v>
      </c>
      <c r="H71" s="15" t="s">
        <v>130</v>
      </c>
      <c r="I71" s="15" t="s">
        <v>130</v>
      </c>
      <c r="J71" s="15" t="s">
        <v>130</v>
      </c>
      <c r="K71" s="114"/>
      <c r="L71" s="115"/>
      <c r="M71" s="115"/>
      <c r="N71" s="115"/>
      <c r="O71" s="115"/>
      <c r="P71" s="116"/>
      <c r="Q71" s="15"/>
      <c r="R71" s="15"/>
      <c r="S71" s="15"/>
      <c r="T71" s="15"/>
      <c r="U71" s="15"/>
    </row>
    <row r="72" spans="1:21" ht="18" customHeight="1">
      <c r="A72" s="3"/>
      <c r="B72" s="106"/>
      <c r="C72" s="107"/>
      <c r="D72" s="107"/>
      <c r="E72" s="108"/>
      <c r="F72" s="16"/>
      <c r="G72" s="16"/>
      <c r="H72" s="16"/>
      <c r="I72" s="16"/>
      <c r="J72" s="16"/>
      <c r="K72" s="106"/>
      <c r="L72" s="107"/>
      <c r="M72" s="107"/>
      <c r="N72" s="107"/>
      <c r="O72" s="107"/>
      <c r="P72" s="108"/>
      <c r="Q72" s="16"/>
      <c r="R72" s="16"/>
      <c r="S72" s="16"/>
      <c r="T72" s="16"/>
      <c r="U72" s="16"/>
    </row>
    <row r="73" spans="1:21" ht="18" customHeight="1">
      <c r="A73" s="3"/>
      <c r="B73" s="106"/>
      <c r="C73" s="107"/>
      <c r="D73" s="107"/>
      <c r="E73" s="107"/>
      <c r="F73" s="16"/>
      <c r="G73" s="16"/>
      <c r="H73" s="16"/>
      <c r="I73" s="16"/>
      <c r="J73" s="16"/>
      <c r="K73" s="106"/>
      <c r="L73" s="107"/>
      <c r="M73" s="107"/>
      <c r="N73" s="107"/>
      <c r="O73" s="107"/>
      <c r="P73" s="108"/>
      <c r="Q73" s="16"/>
      <c r="R73" s="16"/>
      <c r="S73" s="16"/>
      <c r="T73" s="16"/>
      <c r="U73" s="16"/>
    </row>
    <row r="74" spans="1:21" ht="18" customHeight="1">
      <c r="A74" s="3"/>
      <c r="B74" s="106"/>
      <c r="C74" s="107"/>
      <c r="D74" s="107"/>
      <c r="E74" s="107"/>
      <c r="F74" s="16"/>
      <c r="G74" s="16"/>
      <c r="H74" s="16"/>
      <c r="I74" s="16"/>
      <c r="J74" s="16"/>
      <c r="K74" s="106"/>
      <c r="L74" s="107"/>
      <c r="M74" s="107"/>
      <c r="N74" s="107"/>
      <c r="O74" s="107"/>
      <c r="P74" s="108"/>
      <c r="Q74" s="16"/>
      <c r="R74" s="16"/>
      <c r="S74" s="16"/>
      <c r="T74" s="16"/>
      <c r="U74" s="16"/>
    </row>
    <row r="75" spans="1:21" ht="18" customHeight="1">
      <c r="A75" s="3"/>
      <c r="B75" s="106"/>
      <c r="C75" s="107"/>
      <c r="D75" s="107"/>
      <c r="E75" s="107"/>
      <c r="F75" s="16"/>
      <c r="G75" s="16"/>
      <c r="H75" s="16"/>
      <c r="I75" s="16"/>
      <c r="J75" s="16"/>
      <c r="K75" s="106"/>
      <c r="L75" s="107"/>
      <c r="M75" s="107"/>
      <c r="N75" s="107"/>
      <c r="O75" s="107"/>
      <c r="P75" s="108"/>
      <c r="Q75" s="16"/>
      <c r="R75" s="16"/>
      <c r="S75" s="16"/>
      <c r="T75" s="16"/>
      <c r="U75" s="16"/>
    </row>
    <row r="76" spans="1:21" ht="18" customHeight="1">
      <c r="A76" s="3"/>
      <c r="B76" s="106"/>
      <c r="C76" s="107"/>
      <c r="D76" s="107"/>
      <c r="E76" s="107"/>
      <c r="F76" s="16"/>
      <c r="G76" s="16"/>
      <c r="H76" s="16"/>
      <c r="I76" s="16"/>
      <c r="J76" s="16"/>
      <c r="K76" s="106"/>
      <c r="L76" s="107"/>
      <c r="M76" s="107"/>
      <c r="N76" s="107"/>
      <c r="O76" s="107"/>
      <c r="P76" s="108"/>
      <c r="Q76" s="16"/>
      <c r="R76" s="16"/>
      <c r="S76" s="16"/>
      <c r="T76" s="16"/>
      <c r="U76" s="16"/>
    </row>
    <row r="77" spans="1:21" ht="18" customHeight="1">
      <c r="A77" s="3"/>
      <c r="B77" s="109"/>
      <c r="C77" s="110"/>
      <c r="D77" s="110"/>
      <c r="E77" s="110"/>
      <c r="F77" s="17"/>
      <c r="G77" s="17"/>
      <c r="H77" s="18"/>
      <c r="I77" s="18"/>
      <c r="J77" s="18"/>
      <c r="K77" s="109"/>
      <c r="L77" s="110"/>
      <c r="M77" s="110"/>
      <c r="N77" s="110"/>
      <c r="O77" s="110"/>
      <c r="P77" s="111"/>
      <c r="Q77" s="17"/>
      <c r="R77" s="17"/>
      <c r="S77" s="18"/>
      <c r="T77" s="18"/>
      <c r="U77" s="18"/>
    </row>
    <row r="78" spans="1:21" ht="7.5" customHeight="1">
      <c r="B78" s="12"/>
      <c r="C78" s="12"/>
      <c r="D78" s="12"/>
      <c r="E78" s="12"/>
      <c r="F78" s="12"/>
      <c r="G78" s="12"/>
      <c r="H78" s="12"/>
      <c r="I78" s="12"/>
      <c r="J78" s="12"/>
      <c r="K78" s="12"/>
      <c r="L78" s="12"/>
      <c r="M78" s="12"/>
      <c r="N78" s="12"/>
      <c r="O78" s="12"/>
      <c r="P78" s="12"/>
      <c r="Q78" s="12"/>
      <c r="R78" s="12"/>
      <c r="S78" s="12"/>
      <c r="T78" s="12"/>
    </row>
    <row r="79" spans="1:21" ht="18" customHeight="1">
      <c r="A79" s="1" t="s">
        <v>101</v>
      </c>
      <c r="I79" s="3"/>
      <c r="J79" s="3"/>
      <c r="K79" s="3"/>
      <c r="L79" s="3"/>
      <c r="M79" s="3"/>
      <c r="N79" s="3"/>
      <c r="O79" s="3"/>
      <c r="P79" s="3"/>
      <c r="Q79" s="3"/>
      <c r="R79" s="3"/>
      <c r="S79" s="3"/>
      <c r="T79" s="3"/>
      <c r="U79" s="3"/>
    </row>
    <row r="80" spans="1:21" ht="18" customHeight="1">
      <c r="B80" s="103" t="s">
        <v>52</v>
      </c>
      <c r="C80" s="104"/>
      <c r="D80" s="104"/>
      <c r="E80" s="104"/>
      <c r="F80" s="105"/>
      <c r="G80" s="103" t="s">
        <v>76</v>
      </c>
      <c r="H80" s="104"/>
      <c r="I80" s="104"/>
      <c r="J80" s="105"/>
      <c r="K80" s="123" t="s">
        <v>52</v>
      </c>
      <c r="L80" s="124"/>
      <c r="M80" s="124"/>
      <c r="N80" s="124"/>
      <c r="O80" s="124"/>
      <c r="P80" s="124"/>
      <c r="Q80" s="125"/>
      <c r="R80" s="103" t="s">
        <v>76</v>
      </c>
      <c r="S80" s="104"/>
      <c r="T80" s="104"/>
      <c r="U80" s="105"/>
    </row>
    <row r="81" spans="1:22" ht="18" customHeight="1">
      <c r="A81" s="3"/>
      <c r="B81" s="114" t="s">
        <v>152</v>
      </c>
      <c r="C81" s="115"/>
      <c r="D81" s="115"/>
      <c r="E81" s="115"/>
      <c r="F81" s="116"/>
      <c r="G81" s="118" t="s">
        <v>134</v>
      </c>
      <c r="H81" s="119"/>
      <c r="I81" s="119"/>
      <c r="J81" s="120"/>
      <c r="K81" s="114"/>
      <c r="L81" s="115"/>
      <c r="M81" s="115"/>
      <c r="N81" s="115"/>
      <c r="O81" s="115"/>
      <c r="P81" s="115"/>
      <c r="Q81" s="116"/>
      <c r="R81" s="118"/>
      <c r="S81" s="119"/>
      <c r="T81" s="119"/>
      <c r="U81" s="120"/>
    </row>
    <row r="82" spans="1:22" ht="18" customHeight="1">
      <c r="A82" s="3"/>
      <c r="B82" s="106" t="s">
        <v>152</v>
      </c>
      <c r="C82" s="107"/>
      <c r="D82" s="107"/>
      <c r="E82" s="107"/>
      <c r="F82" s="108"/>
      <c r="G82" s="100" t="s">
        <v>133</v>
      </c>
      <c r="H82" s="101"/>
      <c r="I82" s="101"/>
      <c r="J82" s="102"/>
      <c r="K82" s="106"/>
      <c r="L82" s="107"/>
      <c r="M82" s="107"/>
      <c r="N82" s="107"/>
      <c r="O82" s="107"/>
      <c r="P82" s="107"/>
      <c r="Q82" s="108"/>
      <c r="R82" s="100"/>
      <c r="S82" s="101"/>
      <c r="T82" s="101"/>
      <c r="U82" s="102"/>
    </row>
    <row r="83" spans="1:22" ht="18" customHeight="1">
      <c r="A83" s="3"/>
      <c r="B83" s="106"/>
      <c r="C83" s="107"/>
      <c r="D83" s="107"/>
      <c r="E83" s="107"/>
      <c r="F83" s="108"/>
      <c r="G83" s="100"/>
      <c r="H83" s="101"/>
      <c r="I83" s="101"/>
      <c r="J83" s="102"/>
      <c r="K83" s="106"/>
      <c r="L83" s="107"/>
      <c r="M83" s="107"/>
      <c r="N83" s="107"/>
      <c r="O83" s="107"/>
      <c r="P83" s="107"/>
      <c r="Q83" s="108"/>
      <c r="R83" s="100"/>
      <c r="S83" s="101"/>
      <c r="T83" s="101"/>
      <c r="U83" s="102"/>
    </row>
    <row r="84" spans="1:22" ht="18" customHeight="1">
      <c r="A84" s="3"/>
      <c r="B84" s="106"/>
      <c r="C84" s="107"/>
      <c r="D84" s="107"/>
      <c r="E84" s="107"/>
      <c r="F84" s="108"/>
      <c r="G84" s="100"/>
      <c r="H84" s="101"/>
      <c r="I84" s="101"/>
      <c r="J84" s="102"/>
      <c r="K84" s="106"/>
      <c r="L84" s="107"/>
      <c r="M84" s="107"/>
      <c r="N84" s="107"/>
      <c r="O84" s="107"/>
      <c r="P84" s="107"/>
      <c r="Q84" s="108"/>
      <c r="R84" s="100"/>
      <c r="S84" s="101"/>
      <c r="T84" s="101"/>
      <c r="U84" s="102"/>
    </row>
    <row r="85" spans="1:22" ht="18" customHeight="1">
      <c r="A85" s="3"/>
      <c r="B85" s="106"/>
      <c r="C85" s="107"/>
      <c r="D85" s="107"/>
      <c r="E85" s="107"/>
      <c r="F85" s="108"/>
      <c r="G85" s="100"/>
      <c r="H85" s="101"/>
      <c r="I85" s="101"/>
      <c r="J85" s="102"/>
      <c r="K85" s="106"/>
      <c r="L85" s="107"/>
      <c r="M85" s="107"/>
      <c r="N85" s="107"/>
      <c r="O85" s="107"/>
      <c r="P85" s="107"/>
      <c r="Q85" s="108"/>
      <c r="R85" s="100"/>
      <c r="S85" s="101"/>
      <c r="T85" s="101"/>
      <c r="U85" s="102"/>
    </row>
    <row r="86" spans="1:22" ht="18" customHeight="1">
      <c r="A86" s="3"/>
      <c r="B86" s="106"/>
      <c r="C86" s="107"/>
      <c r="D86" s="107"/>
      <c r="E86" s="107"/>
      <c r="F86" s="108"/>
      <c r="G86" s="100"/>
      <c r="H86" s="101"/>
      <c r="I86" s="101"/>
      <c r="J86" s="102"/>
      <c r="K86" s="106"/>
      <c r="L86" s="107"/>
      <c r="M86" s="107"/>
      <c r="N86" s="107"/>
      <c r="O86" s="107"/>
      <c r="P86" s="107"/>
      <c r="Q86" s="108"/>
      <c r="R86" s="100"/>
      <c r="S86" s="101"/>
      <c r="T86" s="101"/>
      <c r="U86" s="102"/>
    </row>
    <row r="87" spans="1:22" ht="18" customHeight="1">
      <c r="A87" s="3"/>
      <c r="B87" s="109"/>
      <c r="C87" s="110"/>
      <c r="D87" s="110"/>
      <c r="E87" s="110"/>
      <c r="F87" s="111"/>
      <c r="G87" s="141"/>
      <c r="H87" s="142"/>
      <c r="I87" s="142"/>
      <c r="J87" s="143"/>
      <c r="K87" s="109"/>
      <c r="L87" s="110"/>
      <c r="M87" s="110"/>
      <c r="N87" s="110"/>
      <c r="O87" s="110"/>
      <c r="P87" s="110"/>
      <c r="Q87" s="111"/>
      <c r="R87" s="141"/>
      <c r="S87" s="142"/>
      <c r="T87" s="142"/>
      <c r="U87" s="143"/>
    </row>
    <row r="88" spans="1:22" ht="18" customHeight="1">
      <c r="A88" s="3"/>
      <c r="B88" s="6"/>
      <c r="C88" s="6"/>
      <c r="D88" s="6"/>
      <c r="E88" s="6"/>
      <c r="F88" s="6"/>
      <c r="G88" s="19"/>
      <c r="H88" s="19"/>
      <c r="I88" s="19"/>
      <c r="J88" s="19"/>
      <c r="K88" s="6"/>
      <c r="L88" s="6"/>
      <c r="M88" s="6"/>
      <c r="N88" s="6"/>
      <c r="O88" s="6"/>
      <c r="P88" s="6"/>
      <c r="Q88" s="6"/>
      <c r="R88" s="19"/>
      <c r="S88" s="19"/>
      <c r="T88" s="19"/>
      <c r="U88" s="19"/>
    </row>
    <row r="89" spans="1:22" ht="18.75" customHeight="1">
      <c r="A89" s="1" t="s">
        <v>102</v>
      </c>
    </row>
    <row r="90" spans="1:22" ht="18.75" customHeight="1">
      <c r="B90" s="144" t="s">
        <v>53</v>
      </c>
      <c r="C90" s="145"/>
      <c r="D90" s="103" t="s">
        <v>54</v>
      </c>
      <c r="E90" s="104"/>
      <c r="F90" s="104"/>
      <c r="G90" s="104"/>
      <c r="H90" s="104"/>
      <c r="I90" s="104"/>
      <c r="J90" s="104"/>
      <c r="K90" s="104"/>
      <c r="L90" s="104"/>
      <c r="M90" s="104"/>
      <c r="N90" s="104"/>
      <c r="O90" s="104"/>
      <c r="P90" s="104"/>
      <c r="Q90" s="104"/>
      <c r="R90" s="104"/>
      <c r="S90" s="104"/>
      <c r="T90" s="104"/>
      <c r="U90" s="105"/>
    </row>
    <row r="91" spans="1:22" ht="97.5" customHeight="1">
      <c r="B91" s="121" t="s">
        <v>155</v>
      </c>
      <c r="C91" s="65" t="s">
        <v>55</v>
      </c>
      <c r="D91" s="157" t="s">
        <v>156</v>
      </c>
      <c r="E91" s="158"/>
      <c r="F91" s="158"/>
      <c r="G91" s="158"/>
      <c r="H91" s="158"/>
      <c r="I91" s="158"/>
      <c r="J91" s="158"/>
      <c r="K91" s="158"/>
      <c r="L91" s="158"/>
      <c r="M91" s="158"/>
      <c r="N91" s="158"/>
      <c r="O91" s="158"/>
      <c r="P91" s="158"/>
      <c r="Q91" s="158"/>
      <c r="R91" s="158"/>
      <c r="S91" s="158"/>
      <c r="T91" s="158"/>
      <c r="U91" s="159"/>
      <c r="V91" s="64"/>
    </row>
    <row r="92" spans="1:22" ht="97.5" customHeight="1">
      <c r="B92" s="126"/>
      <c r="C92" s="66" t="s">
        <v>74</v>
      </c>
      <c r="D92" s="154" t="s">
        <v>157</v>
      </c>
      <c r="E92" s="155"/>
      <c r="F92" s="155"/>
      <c r="G92" s="155"/>
      <c r="H92" s="155"/>
      <c r="I92" s="155"/>
      <c r="J92" s="155"/>
      <c r="K92" s="155"/>
      <c r="L92" s="155"/>
      <c r="M92" s="155"/>
      <c r="N92" s="155"/>
      <c r="O92" s="155"/>
      <c r="P92" s="155"/>
      <c r="Q92" s="155"/>
      <c r="R92" s="155"/>
      <c r="S92" s="155"/>
      <c r="T92" s="155"/>
      <c r="U92" s="156"/>
    </row>
    <row r="93" spans="1:22" ht="97.5" customHeight="1">
      <c r="B93" s="121" t="s">
        <v>60</v>
      </c>
      <c r="C93" s="67" t="s">
        <v>68</v>
      </c>
      <c r="D93" s="157" t="s">
        <v>167</v>
      </c>
      <c r="E93" s="158"/>
      <c r="F93" s="158"/>
      <c r="G93" s="158"/>
      <c r="H93" s="158"/>
      <c r="I93" s="158"/>
      <c r="J93" s="158"/>
      <c r="K93" s="158"/>
      <c r="L93" s="158"/>
      <c r="M93" s="158"/>
      <c r="N93" s="158"/>
      <c r="O93" s="158"/>
      <c r="P93" s="158"/>
      <c r="Q93" s="158"/>
      <c r="R93" s="158"/>
      <c r="S93" s="158"/>
      <c r="T93" s="158"/>
      <c r="U93" s="159"/>
    </row>
    <row r="94" spans="1:22" ht="97.5" customHeight="1">
      <c r="B94" s="122"/>
      <c r="C94" s="68" t="s">
        <v>69</v>
      </c>
      <c r="D94" s="154" t="s">
        <v>158</v>
      </c>
      <c r="E94" s="155"/>
      <c r="F94" s="155"/>
      <c r="G94" s="155"/>
      <c r="H94" s="155"/>
      <c r="I94" s="155"/>
      <c r="J94" s="155"/>
      <c r="K94" s="155"/>
      <c r="L94" s="155"/>
      <c r="M94" s="155"/>
      <c r="N94" s="155"/>
      <c r="O94" s="155"/>
      <c r="P94" s="155"/>
      <c r="Q94" s="155"/>
      <c r="R94" s="155"/>
      <c r="S94" s="155"/>
      <c r="T94" s="155"/>
      <c r="U94" s="156"/>
    </row>
    <row r="95" spans="1:22" ht="97.5" customHeight="1">
      <c r="B95" s="121" t="s">
        <v>61</v>
      </c>
      <c r="C95" s="67" t="s">
        <v>70</v>
      </c>
      <c r="D95" s="157" t="s">
        <v>159</v>
      </c>
      <c r="E95" s="158"/>
      <c r="F95" s="158"/>
      <c r="G95" s="158"/>
      <c r="H95" s="158"/>
      <c r="I95" s="158"/>
      <c r="J95" s="158"/>
      <c r="K95" s="158"/>
      <c r="L95" s="158"/>
      <c r="M95" s="158"/>
      <c r="N95" s="158"/>
      <c r="O95" s="158"/>
      <c r="P95" s="158"/>
      <c r="Q95" s="158"/>
      <c r="R95" s="158"/>
      <c r="S95" s="158"/>
      <c r="T95" s="158"/>
      <c r="U95" s="159"/>
    </row>
    <row r="96" spans="1:22" ht="97.5" customHeight="1">
      <c r="B96" s="122"/>
      <c r="C96" s="69" t="s">
        <v>71</v>
      </c>
      <c r="D96" s="171" t="s">
        <v>160</v>
      </c>
      <c r="E96" s="172"/>
      <c r="F96" s="172"/>
      <c r="G96" s="172"/>
      <c r="H96" s="172"/>
      <c r="I96" s="172"/>
      <c r="J96" s="172"/>
      <c r="K96" s="172"/>
      <c r="L96" s="172"/>
      <c r="M96" s="172"/>
      <c r="N96" s="172"/>
      <c r="O96" s="172"/>
      <c r="P96" s="172"/>
      <c r="Q96" s="172"/>
      <c r="R96" s="172"/>
      <c r="S96" s="172"/>
      <c r="T96" s="172"/>
      <c r="U96" s="173"/>
    </row>
    <row r="97" spans="1:33" ht="97.5" customHeight="1">
      <c r="B97" s="121" t="s">
        <v>161</v>
      </c>
      <c r="C97" s="65" t="s">
        <v>57</v>
      </c>
      <c r="D97" s="157" t="s">
        <v>187</v>
      </c>
      <c r="E97" s="174"/>
      <c r="F97" s="174"/>
      <c r="G97" s="174"/>
      <c r="H97" s="174"/>
      <c r="I97" s="174"/>
      <c r="J97" s="174"/>
      <c r="K97" s="174"/>
      <c r="L97" s="174"/>
      <c r="M97" s="174"/>
      <c r="N97" s="174"/>
      <c r="O97" s="174"/>
      <c r="P97" s="174"/>
      <c r="Q97" s="174"/>
      <c r="R97" s="174"/>
      <c r="S97" s="174"/>
      <c r="T97" s="174"/>
      <c r="U97" s="175"/>
    </row>
    <row r="98" spans="1:33" ht="97.5" customHeight="1">
      <c r="B98" s="122"/>
      <c r="C98" s="68" t="s">
        <v>59</v>
      </c>
      <c r="D98" s="154" t="s">
        <v>162</v>
      </c>
      <c r="E98" s="155"/>
      <c r="F98" s="155"/>
      <c r="G98" s="155"/>
      <c r="H98" s="155"/>
      <c r="I98" s="155"/>
      <c r="J98" s="155"/>
      <c r="K98" s="155"/>
      <c r="L98" s="155"/>
      <c r="M98" s="155"/>
      <c r="N98" s="155"/>
      <c r="O98" s="155"/>
      <c r="P98" s="155"/>
      <c r="Q98" s="155"/>
      <c r="R98" s="155"/>
      <c r="S98" s="155"/>
      <c r="T98" s="155"/>
      <c r="U98" s="156"/>
    </row>
    <row r="99" spans="1:33" ht="121.15" customHeight="1">
      <c r="B99" s="121" t="s">
        <v>163</v>
      </c>
      <c r="C99" s="67" t="s">
        <v>56</v>
      </c>
      <c r="D99" s="157" t="s">
        <v>175</v>
      </c>
      <c r="E99" s="158"/>
      <c r="F99" s="158"/>
      <c r="G99" s="158"/>
      <c r="H99" s="158"/>
      <c r="I99" s="158"/>
      <c r="J99" s="158"/>
      <c r="K99" s="158"/>
      <c r="L99" s="158"/>
      <c r="M99" s="158"/>
      <c r="N99" s="158"/>
      <c r="O99" s="158"/>
      <c r="P99" s="158"/>
      <c r="Q99" s="158"/>
      <c r="R99" s="158"/>
      <c r="S99" s="158"/>
      <c r="T99" s="158"/>
      <c r="U99" s="159"/>
    </row>
    <row r="100" spans="1:33" ht="97.5" customHeight="1">
      <c r="B100" s="126"/>
      <c r="C100" s="70" t="s">
        <v>72</v>
      </c>
      <c r="D100" s="160" t="s">
        <v>164</v>
      </c>
      <c r="E100" s="161"/>
      <c r="F100" s="161"/>
      <c r="G100" s="161"/>
      <c r="H100" s="161"/>
      <c r="I100" s="161"/>
      <c r="J100" s="161"/>
      <c r="K100" s="161"/>
      <c r="L100" s="161"/>
      <c r="M100" s="161"/>
      <c r="N100" s="161"/>
      <c r="O100" s="161"/>
      <c r="P100" s="161"/>
      <c r="Q100" s="161"/>
      <c r="R100" s="161"/>
      <c r="S100" s="161"/>
      <c r="T100" s="161"/>
      <c r="U100" s="162"/>
    </row>
    <row r="101" spans="1:33" ht="97.5" customHeight="1">
      <c r="B101" s="122"/>
      <c r="C101" s="69" t="s">
        <v>73</v>
      </c>
      <c r="D101" s="154" t="s">
        <v>168</v>
      </c>
      <c r="E101" s="163"/>
      <c r="F101" s="163"/>
      <c r="G101" s="163"/>
      <c r="H101" s="163"/>
      <c r="I101" s="163"/>
      <c r="J101" s="163"/>
      <c r="K101" s="163"/>
      <c r="L101" s="163"/>
      <c r="M101" s="163"/>
      <c r="N101" s="163"/>
      <c r="O101" s="163"/>
      <c r="P101" s="163"/>
      <c r="Q101" s="163"/>
      <c r="R101" s="163"/>
      <c r="S101" s="163"/>
      <c r="T101" s="163"/>
      <c r="U101" s="164"/>
    </row>
    <row r="102" spans="1:33" ht="6" customHeight="1"/>
    <row r="103" spans="1:33" ht="18.75" customHeight="1">
      <c r="A103" s="1" t="s">
        <v>103</v>
      </c>
    </row>
    <row r="104" spans="1:33" ht="81.75" customHeight="1">
      <c r="B104" s="138" t="s">
        <v>166</v>
      </c>
      <c r="C104" s="139"/>
      <c r="D104" s="139"/>
      <c r="E104" s="139"/>
      <c r="F104" s="139"/>
      <c r="G104" s="139"/>
      <c r="H104" s="139"/>
      <c r="I104" s="139"/>
      <c r="J104" s="139"/>
      <c r="K104" s="139"/>
      <c r="L104" s="139"/>
      <c r="M104" s="139"/>
      <c r="N104" s="139"/>
      <c r="O104" s="139"/>
      <c r="P104" s="139"/>
      <c r="Q104" s="139"/>
      <c r="R104" s="139"/>
      <c r="S104" s="139"/>
      <c r="T104" s="139"/>
      <c r="U104" s="140"/>
    </row>
    <row r="106" spans="1:33" ht="18.75" customHeight="1">
      <c r="A106" s="51" t="s">
        <v>119</v>
      </c>
      <c r="B106" s="52"/>
      <c r="C106" s="52"/>
      <c r="D106" s="52"/>
      <c r="E106" s="52"/>
      <c r="F106" s="52"/>
      <c r="G106" s="52"/>
      <c r="H106" s="52"/>
      <c r="I106" s="52"/>
      <c r="J106" s="52"/>
      <c r="K106" s="52"/>
      <c r="L106" s="52"/>
      <c r="M106" s="52"/>
      <c r="N106" s="52"/>
      <c r="O106" s="52"/>
      <c r="P106" s="52"/>
      <c r="Q106" s="52"/>
      <c r="R106" s="52"/>
      <c r="S106" s="52"/>
      <c r="T106" s="52"/>
      <c r="U106" s="52"/>
    </row>
    <row r="107" spans="1:33" ht="18.75" customHeight="1">
      <c r="A107" s="51" t="s">
        <v>121</v>
      </c>
      <c r="B107" s="51"/>
      <c r="C107" s="51"/>
      <c r="D107" s="51"/>
      <c r="E107" s="51"/>
      <c r="F107" s="51"/>
      <c r="G107" s="51"/>
      <c r="H107" s="51"/>
      <c r="I107" s="51"/>
      <c r="J107" s="51"/>
      <c r="K107" s="51"/>
      <c r="L107" s="51"/>
      <c r="M107" s="51"/>
      <c r="N107" s="51"/>
      <c r="O107" s="51"/>
      <c r="P107" s="51"/>
      <c r="Q107" s="51"/>
      <c r="R107" s="51"/>
      <c r="S107" s="51"/>
      <c r="T107" s="51"/>
      <c r="U107" s="51"/>
      <c r="V107" s="2"/>
      <c r="W107" s="2"/>
      <c r="X107" s="2"/>
      <c r="Y107" s="2"/>
      <c r="Z107" s="2"/>
      <c r="AA107" s="2"/>
      <c r="AB107" s="2"/>
      <c r="AC107" s="2"/>
      <c r="AD107" s="2"/>
      <c r="AE107" s="2"/>
      <c r="AF107" s="2"/>
      <c r="AG107" s="2"/>
    </row>
    <row r="108" spans="1:33" ht="18.75" customHeight="1">
      <c r="A108" s="51"/>
      <c r="B108" s="153" t="s">
        <v>165</v>
      </c>
      <c r="C108" s="153"/>
      <c r="D108" s="153"/>
      <c r="E108" s="153"/>
      <c r="F108" s="153"/>
      <c r="G108" s="153"/>
      <c r="H108" s="153"/>
      <c r="I108" s="153"/>
      <c r="J108" s="153"/>
      <c r="K108" s="153"/>
      <c r="L108" s="153"/>
      <c r="M108" s="153"/>
      <c r="N108" s="153"/>
      <c r="O108" s="153"/>
      <c r="P108" s="153"/>
      <c r="Q108" s="153"/>
      <c r="R108" s="153"/>
      <c r="S108" s="153"/>
      <c r="T108" s="153"/>
      <c r="U108" s="153"/>
      <c r="V108" s="47"/>
      <c r="W108" s="47"/>
      <c r="X108" s="47"/>
      <c r="Y108" s="47"/>
      <c r="Z108" s="47"/>
      <c r="AA108" s="47"/>
      <c r="AB108" s="47"/>
      <c r="AC108" s="47"/>
      <c r="AD108" s="47"/>
      <c r="AE108" s="47"/>
      <c r="AF108" s="47"/>
      <c r="AG108" s="47"/>
    </row>
    <row r="109" spans="1:33" ht="37.15" customHeight="1">
      <c r="A109" s="51"/>
      <c r="B109" s="153"/>
      <c r="C109" s="153"/>
      <c r="D109" s="153"/>
      <c r="E109" s="153"/>
      <c r="F109" s="153"/>
      <c r="G109" s="153"/>
      <c r="H109" s="153"/>
      <c r="I109" s="153"/>
      <c r="J109" s="153"/>
      <c r="K109" s="153"/>
      <c r="L109" s="153"/>
      <c r="M109" s="153"/>
      <c r="N109" s="153"/>
      <c r="O109" s="153"/>
      <c r="P109" s="153"/>
      <c r="Q109" s="153"/>
      <c r="R109" s="153"/>
      <c r="S109" s="153"/>
      <c r="T109" s="153"/>
      <c r="U109" s="153"/>
      <c r="V109" s="47"/>
      <c r="W109" s="47"/>
      <c r="X109" s="47"/>
      <c r="Y109" s="47"/>
      <c r="Z109" s="47"/>
      <c r="AA109" s="47"/>
      <c r="AB109" s="47"/>
      <c r="AC109" s="47"/>
      <c r="AD109" s="47"/>
      <c r="AE109" s="47"/>
      <c r="AF109" s="47"/>
      <c r="AG109" s="47"/>
    </row>
    <row r="110" spans="1:33" ht="18.75" customHeight="1">
      <c r="A110" s="51"/>
      <c r="B110" s="99" t="s">
        <v>120</v>
      </c>
      <c r="C110" s="99"/>
      <c r="D110" s="99"/>
      <c r="E110" s="99"/>
      <c r="F110" s="99"/>
      <c r="G110" s="99"/>
      <c r="H110" s="99"/>
      <c r="I110" s="99"/>
      <c r="J110" s="99"/>
      <c r="K110" s="99"/>
      <c r="L110" s="99"/>
      <c r="M110" s="99"/>
      <c r="N110" s="99"/>
      <c r="O110" s="99"/>
      <c r="P110" s="99"/>
      <c r="Q110" s="99"/>
      <c r="R110" s="99"/>
      <c r="S110" s="99"/>
      <c r="T110" s="99"/>
      <c r="U110" s="99"/>
      <c r="V110" s="47"/>
      <c r="W110" s="47"/>
      <c r="X110" s="47"/>
      <c r="Y110" s="47"/>
      <c r="Z110" s="47"/>
      <c r="AA110" s="47"/>
      <c r="AB110" s="47"/>
      <c r="AC110" s="47"/>
      <c r="AD110" s="47"/>
      <c r="AE110" s="47"/>
      <c r="AF110" s="47"/>
      <c r="AG110" s="47"/>
    </row>
    <row r="111" spans="1:33" ht="18.75" customHeight="1">
      <c r="A111" s="51"/>
      <c r="B111" s="112" t="s">
        <v>54</v>
      </c>
      <c r="C111" s="112"/>
      <c r="D111" s="112"/>
      <c r="E111" s="112"/>
      <c r="F111" s="112"/>
      <c r="G111" s="112"/>
      <c r="H111" s="112"/>
      <c r="I111" s="112"/>
      <c r="J111" s="112"/>
      <c r="K111" s="112"/>
      <c r="L111" s="112"/>
      <c r="M111" s="112"/>
      <c r="N111" s="112"/>
      <c r="O111" s="112"/>
      <c r="P111" s="112"/>
      <c r="Q111" s="112"/>
      <c r="R111" s="112"/>
      <c r="S111" s="112"/>
      <c r="T111" s="112"/>
      <c r="U111" s="112"/>
      <c r="V111" s="46"/>
      <c r="W111" s="46"/>
      <c r="X111" s="46"/>
      <c r="Y111" s="46"/>
      <c r="Z111" s="46"/>
      <c r="AA111" s="46"/>
      <c r="AB111" s="46"/>
      <c r="AC111" s="46"/>
      <c r="AD111" s="46"/>
      <c r="AE111" s="46"/>
      <c r="AF111" s="46"/>
      <c r="AG111" s="46"/>
    </row>
    <row r="112" spans="1:33" ht="132" customHeight="1">
      <c r="A112" s="51"/>
      <c r="B112" s="113"/>
      <c r="C112" s="113"/>
      <c r="D112" s="113"/>
      <c r="E112" s="113"/>
      <c r="F112" s="113"/>
      <c r="G112" s="113"/>
      <c r="H112" s="113"/>
      <c r="I112" s="113"/>
      <c r="J112" s="113"/>
      <c r="K112" s="113"/>
      <c r="L112" s="113"/>
      <c r="M112" s="113"/>
      <c r="N112" s="113"/>
      <c r="O112" s="113"/>
      <c r="P112" s="113"/>
      <c r="Q112" s="113"/>
      <c r="R112" s="113"/>
      <c r="S112" s="113"/>
      <c r="T112" s="113"/>
      <c r="U112" s="113"/>
      <c r="V112" s="48"/>
      <c r="W112" s="48"/>
      <c r="X112" s="48"/>
      <c r="Y112" s="48"/>
      <c r="Z112" s="48"/>
      <c r="AA112" s="48"/>
      <c r="AB112" s="48"/>
      <c r="AC112" s="48"/>
      <c r="AD112" s="48"/>
      <c r="AE112" s="48"/>
      <c r="AF112" s="48"/>
      <c r="AG112" s="48"/>
    </row>
    <row r="114" ht="18" customHeight="1"/>
  </sheetData>
  <customSheetViews>
    <customSheetView guid="{D8DF89CB-0082-BD4B-ADB1-249544AA75FA}" showPageBreaks="1" zeroValues="0" fitToPage="1" printArea="1" hiddenColumns="1" view="pageBreakPreview" topLeftCell="A69">
      <selection activeCell="AD127" sqref="AD127"/>
      <rowBreaks count="2" manualBreakCount="2">
        <brk id="67" max="20" man="1"/>
        <brk id="96" max="20" man="1"/>
      </rowBreaks>
      <pageMargins left="0.78740157480314965" right="0.78740157480314965" top="0.78740157480314965" bottom="0.19685039370078741" header="0.31496062992125984" footer="0.19685039370078741"/>
      <printOptions horizontalCentered="1"/>
      <pageSetup paperSize="9" scale="63" fitToHeight="0" orientation="portrait" r:id="rId1"/>
      <headerFooter>
        <oddHeader>&amp;C数理・データサイエンス・AI教育プログラム認定制度【リテラシーレベル】令和６年度申請用</oddHeader>
      </headerFooter>
    </customSheetView>
  </customSheetViews>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horizontalDpi="4294967293" r:id="rId2"/>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4"/>
  <sheetViews>
    <sheetView view="pageBreakPreview" zoomScaleNormal="100" zoomScaleSheetLayoutView="100" workbookViewId="0">
      <selection activeCell="P5" sqref="P5"/>
    </sheetView>
  </sheetViews>
  <sheetFormatPr defaultColWidth="9" defaultRowHeight="18.75" customHeight="1"/>
  <cols>
    <col min="1" max="1" width="2.625" style="1" customWidth="1"/>
    <col min="2" max="2" width="20.625" style="1" customWidth="1"/>
    <col min="3" max="18" width="6.125" style="1" customWidth="1"/>
    <col min="19" max="19" width="6.625" style="1" customWidth="1"/>
    <col min="20" max="16384" width="9" style="1"/>
  </cols>
  <sheetData>
    <row r="1" spans="1:21" ht="18" customHeight="1">
      <c r="A1" s="52"/>
      <c r="B1" s="52"/>
      <c r="C1" s="52"/>
      <c r="D1" s="52"/>
      <c r="E1" s="52"/>
      <c r="F1" s="52"/>
      <c r="G1" s="52"/>
      <c r="H1" s="52"/>
      <c r="I1" s="52"/>
      <c r="J1" s="52"/>
      <c r="K1" s="52"/>
      <c r="L1" s="52"/>
      <c r="M1" s="52"/>
      <c r="N1" s="52"/>
      <c r="O1" s="52"/>
      <c r="P1" s="52"/>
      <c r="Q1" s="52"/>
      <c r="R1" s="52"/>
      <c r="S1" s="52" t="s">
        <v>95</v>
      </c>
    </row>
    <row r="2" spans="1:21" ht="18" customHeight="1">
      <c r="A2" s="52"/>
      <c r="B2" s="52"/>
      <c r="C2" s="52"/>
      <c r="D2" s="52"/>
      <c r="E2" s="52"/>
      <c r="F2" s="52"/>
      <c r="G2" s="52"/>
      <c r="H2" s="52"/>
      <c r="I2" s="52"/>
      <c r="J2" s="52"/>
      <c r="K2" s="52"/>
      <c r="L2" s="52"/>
      <c r="M2" s="52"/>
      <c r="N2" s="52"/>
      <c r="O2" s="52"/>
      <c r="P2" s="52"/>
      <c r="Q2" s="183" t="s">
        <v>148</v>
      </c>
      <c r="R2" s="183"/>
      <c r="S2" s="183"/>
    </row>
    <row r="3" spans="1:21" ht="18" customHeight="1">
      <c r="A3" s="127" t="s">
        <v>47</v>
      </c>
      <c r="B3" s="127"/>
      <c r="C3" s="127"/>
      <c r="D3" s="127"/>
      <c r="E3" s="127"/>
      <c r="F3" s="127"/>
      <c r="G3" s="127"/>
      <c r="H3" s="127"/>
      <c r="I3" s="127"/>
      <c r="J3" s="127"/>
      <c r="K3" s="127"/>
      <c r="L3" s="127"/>
      <c r="M3" s="127"/>
      <c r="N3" s="127"/>
      <c r="O3" s="127"/>
      <c r="P3" s="127"/>
      <c r="Q3" s="127"/>
      <c r="R3" s="127"/>
      <c r="S3" s="127"/>
    </row>
    <row r="4" spans="1:21" ht="7.5" customHeight="1">
      <c r="A4" s="57"/>
      <c r="B4" s="57"/>
      <c r="C4" s="57"/>
      <c r="D4" s="57"/>
      <c r="E4" s="57"/>
      <c r="F4" s="57"/>
      <c r="G4" s="57"/>
      <c r="H4" s="57"/>
      <c r="I4" s="57"/>
      <c r="J4" s="57"/>
      <c r="K4" s="57"/>
      <c r="L4" s="57"/>
      <c r="M4" s="57"/>
      <c r="N4" s="57"/>
      <c r="O4" s="57"/>
      <c r="P4" s="57"/>
      <c r="Q4" s="57"/>
      <c r="R4" s="57"/>
      <c r="S4" s="57"/>
    </row>
    <row r="5" spans="1:21" ht="18" customHeight="1">
      <c r="A5" s="52" t="s">
        <v>77</v>
      </c>
      <c r="B5" s="52"/>
      <c r="C5" s="184">
        <v>5</v>
      </c>
      <c r="D5" s="185"/>
      <c r="E5" s="57" t="s">
        <v>51</v>
      </c>
      <c r="F5" s="57"/>
      <c r="G5" s="57"/>
      <c r="H5" s="57"/>
      <c r="I5" s="57"/>
      <c r="J5" s="57"/>
      <c r="K5" s="57"/>
      <c r="L5" s="57"/>
      <c r="M5" s="57"/>
      <c r="N5" s="57"/>
      <c r="O5" s="57"/>
      <c r="P5" s="57"/>
      <c r="Q5" s="57"/>
      <c r="R5" s="55"/>
      <c r="S5" s="55"/>
    </row>
    <row r="6" spans="1:21" ht="7.15" customHeight="1">
      <c r="A6" s="52"/>
      <c r="B6" s="52"/>
      <c r="C6" s="62"/>
      <c r="D6" s="62"/>
      <c r="E6" s="57"/>
      <c r="F6" s="57"/>
      <c r="G6" s="57"/>
      <c r="H6" s="57"/>
      <c r="I6" s="57"/>
      <c r="J6" s="57"/>
      <c r="K6" s="57"/>
      <c r="L6" s="57"/>
      <c r="M6" s="57"/>
      <c r="N6" s="57"/>
      <c r="O6" s="57"/>
      <c r="P6" s="57"/>
      <c r="Q6" s="57"/>
      <c r="R6" s="55"/>
      <c r="S6" s="55"/>
    </row>
    <row r="7" spans="1:21" ht="18" customHeight="1">
      <c r="A7" s="52" t="s">
        <v>112</v>
      </c>
      <c r="B7" s="52"/>
      <c r="C7" s="62"/>
      <c r="D7" s="62"/>
      <c r="E7" s="57" t="s">
        <v>113</v>
      </c>
      <c r="F7" s="60">
        <v>474</v>
      </c>
      <c r="G7" s="58" t="s">
        <v>114</v>
      </c>
      <c r="H7" s="57" t="s">
        <v>115</v>
      </c>
      <c r="I7" s="60">
        <v>565</v>
      </c>
      <c r="J7" s="58" t="s">
        <v>114</v>
      </c>
      <c r="K7" s="53" t="s">
        <v>116</v>
      </c>
      <c r="L7" s="57" t="s">
        <v>117</v>
      </c>
      <c r="M7" s="60">
        <f>F7+I7</f>
        <v>1039</v>
      </c>
      <c r="N7" s="57" t="s">
        <v>1</v>
      </c>
      <c r="O7" s="58" t="s">
        <v>118</v>
      </c>
      <c r="P7" s="57"/>
      <c r="Q7" s="57"/>
      <c r="R7" s="55"/>
      <c r="S7" s="55"/>
    </row>
    <row r="8" spans="1:21" ht="6" customHeight="1">
      <c r="A8" s="57"/>
      <c r="B8" s="57"/>
      <c r="C8" s="57"/>
      <c r="D8" s="57"/>
      <c r="E8" s="57"/>
      <c r="F8" s="57"/>
      <c r="G8" s="57"/>
      <c r="H8" s="57"/>
      <c r="I8" s="57"/>
      <c r="J8" s="57"/>
      <c r="K8" s="57"/>
      <c r="L8" s="57"/>
      <c r="M8" s="57"/>
      <c r="N8" s="57"/>
      <c r="O8" s="57"/>
      <c r="P8" s="57"/>
      <c r="Q8" s="57"/>
      <c r="R8" s="57"/>
      <c r="S8" s="57"/>
    </row>
    <row r="9" spans="1:21" ht="18" customHeight="1">
      <c r="A9" s="52" t="s">
        <v>127</v>
      </c>
      <c r="B9" s="57"/>
      <c r="C9" s="57"/>
      <c r="D9" s="57"/>
      <c r="E9" s="57"/>
      <c r="F9" s="57"/>
      <c r="G9" s="57"/>
      <c r="H9" s="57"/>
      <c r="I9" s="57"/>
      <c r="J9" s="57"/>
      <c r="K9" s="57"/>
      <c r="L9" s="57"/>
      <c r="M9" s="57"/>
      <c r="N9" s="57"/>
      <c r="O9" s="57"/>
      <c r="P9" s="57"/>
      <c r="Q9" s="57"/>
      <c r="R9" s="57"/>
      <c r="S9" s="57"/>
    </row>
    <row r="10" spans="1:21" ht="6" customHeight="1">
      <c r="B10" s="3"/>
      <c r="C10" s="3"/>
      <c r="D10" s="3"/>
      <c r="E10" s="3"/>
      <c r="F10" s="3"/>
      <c r="G10" s="3"/>
      <c r="H10" s="3"/>
      <c r="I10" s="3"/>
      <c r="J10" s="3"/>
      <c r="K10" s="3"/>
      <c r="L10" s="3"/>
      <c r="M10" s="3"/>
      <c r="N10" s="3"/>
      <c r="O10" s="3"/>
      <c r="P10" s="3"/>
      <c r="Q10" s="3"/>
      <c r="R10" s="3"/>
      <c r="S10" s="3"/>
    </row>
    <row r="11" spans="1:21" ht="18" customHeight="1">
      <c r="B11" s="186" t="s">
        <v>44</v>
      </c>
      <c r="C11" s="196" t="s">
        <v>80</v>
      </c>
      <c r="D11" s="188" t="s">
        <v>46</v>
      </c>
      <c r="E11" s="190" t="s">
        <v>39</v>
      </c>
      <c r="F11" s="182" t="s">
        <v>106</v>
      </c>
      <c r="G11" s="182"/>
      <c r="H11" s="182" t="s">
        <v>79</v>
      </c>
      <c r="I11" s="182"/>
      <c r="J11" s="182" t="s">
        <v>48</v>
      </c>
      <c r="K11" s="182"/>
      <c r="L11" s="182" t="s">
        <v>49</v>
      </c>
      <c r="M11" s="182"/>
      <c r="N11" s="182" t="s">
        <v>89</v>
      </c>
      <c r="O11" s="182"/>
      <c r="P11" s="182" t="s">
        <v>50</v>
      </c>
      <c r="Q11" s="182"/>
      <c r="R11" s="192" t="s">
        <v>35</v>
      </c>
      <c r="S11" s="194" t="s">
        <v>32</v>
      </c>
      <c r="U11" s="2"/>
    </row>
    <row r="12" spans="1:21" ht="16.899999999999999" customHeight="1">
      <c r="B12" s="187"/>
      <c r="C12" s="197"/>
      <c r="D12" s="189"/>
      <c r="E12" s="191"/>
      <c r="F12" s="43" t="s">
        <v>88</v>
      </c>
      <c r="G12" s="43" t="s">
        <v>29</v>
      </c>
      <c r="H12" s="43" t="s">
        <v>88</v>
      </c>
      <c r="I12" s="43" t="s">
        <v>29</v>
      </c>
      <c r="J12" s="43" t="s">
        <v>88</v>
      </c>
      <c r="K12" s="43" t="s">
        <v>29</v>
      </c>
      <c r="L12" s="43" t="s">
        <v>88</v>
      </c>
      <c r="M12" s="43" t="s">
        <v>29</v>
      </c>
      <c r="N12" s="43" t="s">
        <v>88</v>
      </c>
      <c r="O12" s="43" t="s">
        <v>29</v>
      </c>
      <c r="P12" s="43" t="s">
        <v>88</v>
      </c>
      <c r="Q12" s="44" t="s">
        <v>29</v>
      </c>
      <c r="R12" s="193"/>
      <c r="S12" s="195"/>
      <c r="U12" s="2"/>
    </row>
    <row r="13" spans="1:21" s="63" customFormat="1" ht="18" customHeight="1">
      <c r="A13" s="6"/>
      <c r="B13" s="71" t="s">
        <v>137</v>
      </c>
      <c r="C13" s="72">
        <v>215</v>
      </c>
      <c r="D13" s="73">
        <v>80</v>
      </c>
      <c r="E13" s="74">
        <v>328</v>
      </c>
      <c r="F13" s="74">
        <v>5</v>
      </c>
      <c r="G13" s="74">
        <v>4</v>
      </c>
      <c r="H13" s="83"/>
      <c r="I13" s="83"/>
      <c r="J13" s="83"/>
      <c r="K13" s="83"/>
      <c r="L13" s="83"/>
      <c r="M13" s="83"/>
      <c r="N13" s="83"/>
      <c r="O13" s="83"/>
      <c r="P13" s="83"/>
      <c r="Q13" s="84"/>
      <c r="R13" s="73">
        <f t="shared" ref="R13:R33" si="0">F13+H13+J13+L13+N13+P13</f>
        <v>5</v>
      </c>
      <c r="S13" s="75">
        <f t="shared" ref="S13:S34" si="1">R13/E13</f>
        <v>1.524390243902439E-2</v>
      </c>
    </row>
    <row r="14" spans="1:21" s="63" customFormat="1" ht="18" hidden="1" customHeight="1">
      <c r="A14" s="6"/>
      <c r="B14" s="10" t="s">
        <v>141</v>
      </c>
      <c r="C14" s="76">
        <v>379</v>
      </c>
      <c r="D14" s="77">
        <v>100</v>
      </c>
      <c r="E14" s="78">
        <v>664</v>
      </c>
      <c r="F14" s="79">
        <v>2</v>
      </c>
      <c r="G14" s="79">
        <v>1</v>
      </c>
      <c r="H14" s="85"/>
      <c r="I14" s="85"/>
      <c r="J14" s="85"/>
      <c r="K14" s="85"/>
      <c r="L14" s="85"/>
      <c r="M14" s="85"/>
      <c r="N14" s="85"/>
      <c r="O14" s="85"/>
      <c r="P14" s="85"/>
      <c r="Q14" s="86"/>
      <c r="R14" s="77">
        <f t="shared" si="0"/>
        <v>2</v>
      </c>
      <c r="S14" s="80">
        <f t="shared" si="1"/>
        <v>3.0120481927710845E-3</v>
      </c>
    </row>
    <row r="15" spans="1:21" s="63" customFormat="1" ht="18" hidden="1" customHeight="1">
      <c r="A15" s="6"/>
      <c r="B15" s="10" t="s">
        <v>142</v>
      </c>
      <c r="C15" s="76">
        <v>96</v>
      </c>
      <c r="D15" s="77">
        <v>40</v>
      </c>
      <c r="E15" s="78">
        <v>160</v>
      </c>
      <c r="F15" s="79">
        <v>14</v>
      </c>
      <c r="G15" s="79">
        <v>12</v>
      </c>
      <c r="H15" s="85"/>
      <c r="I15" s="85"/>
      <c r="J15" s="85"/>
      <c r="K15" s="85"/>
      <c r="L15" s="85"/>
      <c r="M15" s="85"/>
      <c r="N15" s="85"/>
      <c r="O15" s="85"/>
      <c r="P15" s="85"/>
      <c r="Q15" s="86"/>
      <c r="R15" s="77">
        <f t="shared" si="0"/>
        <v>14</v>
      </c>
      <c r="S15" s="7">
        <f t="shared" si="1"/>
        <v>8.7499999999999994E-2</v>
      </c>
    </row>
    <row r="16" spans="1:21" s="63" customFormat="1" ht="18" customHeight="1">
      <c r="A16" s="6"/>
      <c r="B16" s="10" t="s">
        <v>186</v>
      </c>
      <c r="C16" s="76">
        <f>SUM(C14:C15)</f>
        <v>475</v>
      </c>
      <c r="D16" s="76">
        <f>SUM(D14:D15)</f>
        <v>140</v>
      </c>
      <c r="E16" s="76">
        <f>SUM(E14:E15)</f>
        <v>824</v>
      </c>
      <c r="F16" s="76">
        <f>SUM(F14:F15)</f>
        <v>16</v>
      </c>
      <c r="G16" s="76">
        <f>SUM(G14:G15)</f>
        <v>13</v>
      </c>
      <c r="H16" s="85"/>
      <c r="I16" s="85"/>
      <c r="J16" s="85"/>
      <c r="K16" s="85"/>
      <c r="L16" s="85"/>
      <c r="M16" s="85"/>
      <c r="N16" s="85"/>
      <c r="O16" s="85"/>
      <c r="P16" s="85"/>
      <c r="Q16" s="86"/>
      <c r="R16" s="76">
        <f>SUM(R14:R15)</f>
        <v>16</v>
      </c>
      <c r="S16" s="7">
        <f t="shared" si="1"/>
        <v>1.9417475728155338E-2</v>
      </c>
    </row>
    <row r="17" spans="1:19" s="63" customFormat="1" ht="18" customHeight="1">
      <c r="A17" s="6"/>
      <c r="B17" s="10" t="s">
        <v>138</v>
      </c>
      <c r="C17" s="76">
        <v>217</v>
      </c>
      <c r="D17" s="77">
        <v>80</v>
      </c>
      <c r="E17" s="78">
        <v>320</v>
      </c>
      <c r="F17" s="79">
        <v>30</v>
      </c>
      <c r="G17" s="79">
        <v>30</v>
      </c>
      <c r="H17" s="85"/>
      <c r="I17" s="85"/>
      <c r="J17" s="85"/>
      <c r="K17" s="85"/>
      <c r="L17" s="85"/>
      <c r="M17" s="85"/>
      <c r="N17" s="85"/>
      <c r="O17" s="85"/>
      <c r="P17" s="85"/>
      <c r="Q17" s="86"/>
      <c r="R17" s="77">
        <f t="shared" si="0"/>
        <v>30</v>
      </c>
      <c r="S17" s="7">
        <f t="shared" si="1"/>
        <v>9.375E-2</v>
      </c>
    </row>
    <row r="18" spans="1:19" s="63" customFormat="1" ht="18" customHeight="1">
      <c r="A18" s="6"/>
      <c r="B18" s="10" t="s">
        <v>143</v>
      </c>
      <c r="C18" s="76">
        <v>132</v>
      </c>
      <c r="D18" s="77">
        <v>40</v>
      </c>
      <c r="E18" s="78">
        <v>160</v>
      </c>
      <c r="F18" s="79">
        <v>0</v>
      </c>
      <c r="G18" s="79">
        <v>0</v>
      </c>
      <c r="H18" s="85"/>
      <c r="I18" s="85"/>
      <c r="J18" s="85"/>
      <c r="K18" s="85"/>
      <c r="L18" s="85"/>
      <c r="M18" s="85"/>
      <c r="N18" s="85"/>
      <c r="O18" s="85"/>
      <c r="P18" s="85"/>
      <c r="Q18" s="86"/>
      <c r="R18" s="77">
        <f t="shared" si="0"/>
        <v>0</v>
      </c>
      <c r="S18" s="7">
        <f t="shared" si="1"/>
        <v>0</v>
      </c>
    </row>
    <row r="19" spans="1:19" s="52" customFormat="1" ht="18" customHeight="1">
      <c r="A19" s="55"/>
      <c r="B19" s="87"/>
      <c r="C19" s="88"/>
      <c r="D19" s="89"/>
      <c r="E19" s="90"/>
      <c r="F19" s="91"/>
      <c r="G19" s="91"/>
      <c r="H19" s="91"/>
      <c r="I19" s="91"/>
      <c r="J19" s="91"/>
      <c r="K19" s="91"/>
      <c r="L19" s="91"/>
      <c r="M19" s="91"/>
      <c r="N19" s="91"/>
      <c r="O19" s="91"/>
      <c r="P19" s="91"/>
      <c r="Q19" s="88"/>
      <c r="R19" s="89">
        <f t="shared" si="0"/>
        <v>0</v>
      </c>
      <c r="S19" s="92" t="e">
        <f t="shared" si="1"/>
        <v>#DIV/0!</v>
      </c>
    </row>
    <row r="20" spans="1:19" s="52" customFormat="1" ht="18" customHeight="1">
      <c r="A20" s="55"/>
      <c r="B20" s="87"/>
      <c r="C20" s="88"/>
      <c r="D20" s="89"/>
      <c r="E20" s="90"/>
      <c r="F20" s="91"/>
      <c r="G20" s="91"/>
      <c r="H20" s="91"/>
      <c r="I20" s="91"/>
      <c r="J20" s="91"/>
      <c r="K20" s="91"/>
      <c r="L20" s="91"/>
      <c r="M20" s="91"/>
      <c r="N20" s="91"/>
      <c r="O20" s="91"/>
      <c r="P20" s="91"/>
      <c r="Q20" s="88"/>
      <c r="R20" s="89">
        <f t="shared" si="0"/>
        <v>0</v>
      </c>
      <c r="S20" s="92" t="e">
        <f t="shared" si="1"/>
        <v>#DIV/0!</v>
      </c>
    </row>
    <row r="21" spans="1:19" s="52" customFormat="1" ht="18" customHeight="1">
      <c r="A21" s="55"/>
      <c r="B21" s="87"/>
      <c r="C21" s="88"/>
      <c r="D21" s="89"/>
      <c r="E21" s="90"/>
      <c r="F21" s="91"/>
      <c r="G21" s="91"/>
      <c r="H21" s="91"/>
      <c r="I21" s="91"/>
      <c r="J21" s="91"/>
      <c r="K21" s="91"/>
      <c r="L21" s="91"/>
      <c r="M21" s="91"/>
      <c r="N21" s="91"/>
      <c r="O21" s="91"/>
      <c r="P21" s="91"/>
      <c r="Q21" s="88"/>
      <c r="R21" s="89">
        <f t="shared" si="0"/>
        <v>0</v>
      </c>
      <c r="S21" s="92" t="e">
        <f t="shared" si="1"/>
        <v>#DIV/0!</v>
      </c>
    </row>
    <row r="22" spans="1:19" s="52" customFormat="1" ht="18" customHeight="1">
      <c r="A22" s="55"/>
      <c r="B22" s="87"/>
      <c r="C22" s="88"/>
      <c r="D22" s="89"/>
      <c r="E22" s="90"/>
      <c r="F22" s="91"/>
      <c r="G22" s="91"/>
      <c r="H22" s="91"/>
      <c r="I22" s="91"/>
      <c r="J22" s="91"/>
      <c r="K22" s="91"/>
      <c r="L22" s="91"/>
      <c r="M22" s="91"/>
      <c r="N22" s="91"/>
      <c r="O22" s="91"/>
      <c r="P22" s="91"/>
      <c r="Q22" s="88"/>
      <c r="R22" s="89">
        <f t="shared" si="0"/>
        <v>0</v>
      </c>
      <c r="S22" s="92" t="e">
        <f t="shared" si="1"/>
        <v>#DIV/0!</v>
      </c>
    </row>
    <row r="23" spans="1:19" s="52" customFormat="1" ht="18" customHeight="1">
      <c r="A23" s="55"/>
      <c r="B23" s="87"/>
      <c r="C23" s="88"/>
      <c r="D23" s="89"/>
      <c r="E23" s="90"/>
      <c r="F23" s="91"/>
      <c r="G23" s="91"/>
      <c r="H23" s="91"/>
      <c r="I23" s="91"/>
      <c r="J23" s="91"/>
      <c r="K23" s="91"/>
      <c r="L23" s="91"/>
      <c r="M23" s="91"/>
      <c r="N23" s="91"/>
      <c r="O23" s="91"/>
      <c r="P23" s="91"/>
      <c r="Q23" s="88"/>
      <c r="R23" s="89">
        <f t="shared" si="0"/>
        <v>0</v>
      </c>
      <c r="S23" s="92" t="e">
        <f t="shared" si="1"/>
        <v>#DIV/0!</v>
      </c>
    </row>
    <row r="24" spans="1:19" s="52" customFormat="1" ht="18" customHeight="1">
      <c r="A24" s="55"/>
      <c r="B24" s="87"/>
      <c r="C24" s="88"/>
      <c r="D24" s="89"/>
      <c r="E24" s="90"/>
      <c r="F24" s="91"/>
      <c r="G24" s="91"/>
      <c r="H24" s="91"/>
      <c r="I24" s="91"/>
      <c r="J24" s="91"/>
      <c r="K24" s="91"/>
      <c r="L24" s="91"/>
      <c r="M24" s="91"/>
      <c r="N24" s="91"/>
      <c r="O24" s="91"/>
      <c r="P24" s="91"/>
      <c r="Q24" s="88"/>
      <c r="R24" s="89">
        <f t="shared" si="0"/>
        <v>0</v>
      </c>
      <c r="S24" s="92" t="e">
        <f t="shared" si="1"/>
        <v>#DIV/0!</v>
      </c>
    </row>
    <row r="25" spans="1:19" s="52" customFormat="1" ht="18" customHeight="1">
      <c r="A25" s="55"/>
      <c r="B25" s="87"/>
      <c r="C25" s="88"/>
      <c r="D25" s="89"/>
      <c r="E25" s="90"/>
      <c r="F25" s="91"/>
      <c r="G25" s="91"/>
      <c r="H25" s="91"/>
      <c r="I25" s="91"/>
      <c r="J25" s="91"/>
      <c r="K25" s="91"/>
      <c r="L25" s="91"/>
      <c r="M25" s="91"/>
      <c r="N25" s="91"/>
      <c r="O25" s="91"/>
      <c r="P25" s="91"/>
      <c r="Q25" s="88"/>
      <c r="R25" s="89">
        <f t="shared" si="0"/>
        <v>0</v>
      </c>
      <c r="S25" s="92" t="e">
        <f t="shared" si="1"/>
        <v>#DIV/0!</v>
      </c>
    </row>
    <row r="26" spans="1:19" s="52" customFormat="1" ht="18" customHeight="1">
      <c r="A26" s="55"/>
      <c r="B26" s="87"/>
      <c r="C26" s="88"/>
      <c r="D26" s="89"/>
      <c r="E26" s="90"/>
      <c r="F26" s="91"/>
      <c r="G26" s="91"/>
      <c r="H26" s="91"/>
      <c r="I26" s="91"/>
      <c r="J26" s="91"/>
      <c r="K26" s="91"/>
      <c r="L26" s="91"/>
      <c r="M26" s="91"/>
      <c r="N26" s="91"/>
      <c r="O26" s="91"/>
      <c r="P26" s="91"/>
      <c r="Q26" s="88"/>
      <c r="R26" s="89">
        <f t="shared" si="0"/>
        <v>0</v>
      </c>
      <c r="S26" s="92" t="e">
        <f t="shared" si="1"/>
        <v>#DIV/0!</v>
      </c>
    </row>
    <row r="27" spans="1:19" s="52" customFormat="1" ht="18" customHeight="1">
      <c r="A27" s="55"/>
      <c r="B27" s="87"/>
      <c r="C27" s="88"/>
      <c r="D27" s="89"/>
      <c r="E27" s="90"/>
      <c r="F27" s="91"/>
      <c r="G27" s="91"/>
      <c r="H27" s="91"/>
      <c r="I27" s="91"/>
      <c r="J27" s="91"/>
      <c r="K27" s="91"/>
      <c r="L27" s="91"/>
      <c r="M27" s="91"/>
      <c r="N27" s="91"/>
      <c r="O27" s="91"/>
      <c r="P27" s="91"/>
      <c r="Q27" s="88"/>
      <c r="R27" s="89">
        <f t="shared" si="0"/>
        <v>0</v>
      </c>
      <c r="S27" s="92" t="e">
        <f t="shared" si="1"/>
        <v>#DIV/0!</v>
      </c>
    </row>
    <row r="28" spans="1:19" s="52" customFormat="1" ht="18" customHeight="1">
      <c r="A28" s="55"/>
      <c r="B28" s="87"/>
      <c r="C28" s="88"/>
      <c r="D28" s="89"/>
      <c r="E28" s="90"/>
      <c r="F28" s="91"/>
      <c r="G28" s="91"/>
      <c r="H28" s="91"/>
      <c r="I28" s="91"/>
      <c r="J28" s="91"/>
      <c r="K28" s="91"/>
      <c r="L28" s="91"/>
      <c r="M28" s="91"/>
      <c r="N28" s="91"/>
      <c r="O28" s="91"/>
      <c r="P28" s="91"/>
      <c r="Q28" s="88"/>
      <c r="R28" s="89">
        <f t="shared" si="0"/>
        <v>0</v>
      </c>
      <c r="S28" s="92" t="e">
        <f t="shared" si="1"/>
        <v>#DIV/0!</v>
      </c>
    </row>
    <row r="29" spans="1:19" s="52" customFormat="1" ht="18" customHeight="1">
      <c r="A29" s="55"/>
      <c r="B29" s="87"/>
      <c r="C29" s="88"/>
      <c r="D29" s="89"/>
      <c r="E29" s="90"/>
      <c r="F29" s="91"/>
      <c r="G29" s="91"/>
      <c r="H29" s="91"/>
      <c r="I29" s="91"/>
      <c r="J29" s="91"/>
      <c r="K29" s="91"/>
      <c r="L29" s="91"/>
      <c r="M29" s="91"/>
      <c r="N29" s="91"/>
      <c r="O29" s="91"/>
      <c r="P29" s="91"/>
      <c r="Q29" s="88"/>
      <c r="R29" s="89">
        <f t="shared" si="0"/>
        <v>0</v>
      </c>
      <c r="S29" s="92" t="e">
        <f t="shared" si="1"/>
        <v>#DIV/0!</v>
      </c>
    </row>
    <row r="30" spans="1:19" s="52" customFormat="1" ht="18" customHeight="1">
      <c r="A30" s="55"/>
      <c r="B30" s="87"/>
      <c r="C30" s="88"/>
      <c r="D30" s="89"/>
      <c r="E30" s="90"/>
      <c r="F30" s="91"/>
      <c r="G30" s="91"/>
      <c r="H30" s="91"/>
      <c r="I30" s="91"/>
      <c r="J30" s="91"/>
      <c r="K30" s="91"/>
      <c r="L30" s="91"/>
      <c r="M30" s="91"/>
      <c r="N30" s="91"/>
      <c r="O30" s="91"/>
      <c r="P30" s="91"/>
      <c r="Q30" s="88"/>
      <c r="R30" s="89">
        <f t="shared" si="0"/>
        <v>0</v>
      </c>
      <c r="S30" s="92" t="e">
        <f t="shared" si="1"/>
        <v>#DIV/0!</v>
      </c>
    </row>
    <row r="31" spans="1:19" s="52" customFormat="1" ht="18" customHeight="1">
      <c r="A31" s="55"/>
      <c r="B31" s="87"/>
      <c r="C31" s="88"/>
      <c r="D31" s="93"/>
      <c r="E31" s="90"/>
      <c r="F31" s="91"/>
      <c r="G31" s="91"/>
      <c r="H31" s="91"/>
      <c r="I31" s="91"/>
      <c r="J31" s="91"/>
      <c r="K31" s="91"/>
      <c r="L31" s="91"/>
      <c r="M31" s="91"/>
      <c r="N31" s="91"/>
      <c r="O31" s="91"/>
      <c r="P31" s="91"/>
      <c r="Q31" s="88"/>
      <c r="R31" s="93">
        <f t="shared" si="0"/>
        <v>0</v>
      </c>
      <c r="S31" s="92" t="e">
        <f t="shared" si="1"/>
        <v>#DIV/0!</v>
      </c>
    </row>
    <row r="32" spans="1:19" s="52" customFormat="1" ht="18" customHeight="1">
      <c r="A32" s="55"/>
      <c r="B32" s="87"/>
      <c r="C32" s="88"/>
      <c r="D32" s="93"/>
      <c r="E32" s="90"/>
      <c r="F32" s="91"/>
      <c r="G32" s="91"/>
      <c r="H32" s="91"/>
      <c r="I32" s="91"/>
      <c r="J32" s="91"/>
      <c r="K32" s="91"/>
      <c r="L32" s="91"/>
      <c r="M32" s="91"/>
      <c r="N32" s="91"/>
      <c r="O32" s="91"/>
      <c r="P32" s="91"/>
      <c r="Q32" s="88"/>
      <c r="R32" s="93">
        <f t="shared" si="0"/>
        <v>0</v>
      </c>
      <c r="S32" s="92" t="e">
        <f t="shared" si="1"/>
        <v>#DIV/0!</v>
      </c>
    </row>
    <row r="33" spans="1:19" s="52" customFormat="1" ht="18" customHeight="1" thickBot="1">
      <c r="A33" s="55"/>
      <c r="B33" s="94"/>
      <c r="C33" s="95"/>
      <c r="D33" s="96"/>
      <c r="E33" s="97"/>
      <c r="F33" s="97"/>
      <c r="G33" s="97"/>
      <c r="H33" s="97"/>
      <c r="I33" s="97"/>
      <c r="J33" s="97"/>
      <c r="K33" s="97"/>
      <c r="L33" s="97"/>
      <c r="M33" s="97"/>
      <c r="N33" s="97"/>
      <c r="O33" s="97"/>
      <c r="P33" s="97"/>
      <c r="Q33" s="88"/>
      <c r="R33" s="96">
        <f t="shared" si="0"/>
        <v>0</v>
      </c>
      <c r="S33" s="98" t="e">
        <f t="shared" si="1"/>
        <v>#DIV/0!</v>
      </c>
    </row>
    <row r="34" spans="1:19" ht="18" customHeight="1" thickTop="1">
      <c r="B34" s="11" t="s">
        <v>33</v>
      </c>
      <c r="C34" s="41">
        <f>SUM(C13:C33)-C16</f>
        <v>1039</v>
      </c>
      <c r="D34" s="41">
        <f t="shared" ref="D34:G34" si="2">SUM(D13:D33)-D16</f>
        <v>340</v>
      </c>
      <c r="E34" s="41">
        <f t="shared" si="2"/>
        <v>1632</v>
      </c>
      <c r="F34" s="41">
        <f t="shared" si="2"/>
        <v>51</v>
      </c>
      <c r="G34" s="41">
        <f t="shared" si="2"/>
        <v>47</v>
      </c>
      <c r="H34" s="42">
        <f t="shared" ref="H34:Q34" si="3">SUM(H13:H33)</f>
        <v>0</v>
      </c>
      <c r="I34" s="42">
        <f t="shared" si="3"/>
        <v>0</v>
      </c>
      <c r="J34" s="42">
        <f t="shared" si="3"/>
        <v>0</v>
      </c>
      <c r="K34" s="42">
        <f t="shared" si="3"/>
        <v>0</v>
      </c>
      <c r="L34" s="42">
        <f t="shared" si="3"/>
        <v>0</v>
      </c>
      <c r="M34" s="42">
        <f t="shared" si="3"/>
        <v>0</v>
      </c>
      <c r="N34" s="42">
        <f t="shared" si="3"/>
        <v>0</v>
      </c>
      <c r="O34" s="42">
        <f t="shared" si="3"/>
        <v>0</v>
      </c>
      <c r="P34" s="42">
        <f t="shared" si="3"/>
        <v>0</v>
      </c>
      <c r="Q34" s="41">
        <f t="shared" si="3"/>
        <v>0</v>
      </c>
      <c r="R34" s="41">
        <f t="shared" ref="R34" si="4">SUM(R13:R33)-R16</f>
        <v>51</v>
      </c>
      <c r="S34" s="8">
        <f t="shared" si="1"/>
        <v>3.125E-2</v>
      </c>
    </row>
  </sheetData>
  <customSheetViews>
    <customSheetView guid="{D8DF89CB-0082-BD4B-ADB1-249544AA75FA}" showPageBreaks="1" fitToPage="1" printArea="1" view="pageBreakPreview">
      <selection activeCell="E15" sqref="E15"/>
      <pageMargins left="0.78740157480314965" right="0.78740157480314965" top="0.78740157480314965" bottom="0.59055118110236227" header="0.31496062992125984" footer="0.31496062992125984"/>
      <printOptions horizontalCentered="1"/>
      <pageSetup paperSize="9" scale="90" orientation="landscape" r:id="rId1"/>
      <headerFooter>
        <oddHeader>&amp;C数理・データサイエンス・AI教育プログラム認定制度【リテラシーレベル】</oddHeader>
      </headerFooter>
    </customSheetView>
  </customSheetViews>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horizontalDpi="4294967293" r:id="rId2"/>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20" sqref="B20"/>
    </sheetView>
  </sheetViews>
  <sheetFormatPr defaultColWidth="11.375" defaultRowHeight="18.75" customHeight="1"/>
  <cols>
    <col min="1" max="1" width="2.625" style="23" customWidth="1"/>
    <col min="2" max="2" width="16.625" style="1" customWidth="1"/>
    <col min="3" max="3" width="8.62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23" t="s">
        <v>62</v>
      </c>
      <c r="I1" s="21" t="s">
        <v>94</v>
      </c>
    </row>
    <row r="2" spans="1:9" ht="18.75" customHeight="1">
      <c r="G2" s="21" t="s">
        <v>96</v>
      </c>
      <c r="H2" s="103" t="s">
        <v>148</v>
      </c>
      <c r="I2" s="105"/>
    </row>
    <row r="3" spans="1:9" ht="18.75" customHeight="1">
      <c r="G3" s="21"/>
      <c r="H3" s="9"/>
      <c r="I3" s="9"/>
    </row>
    <row r="4" spans="1:9" ht="18.399999999999999" customHeight="1">
      <c r="A4" s="199" t="s">
        <v>36</v>
      </c>
      <c r="B4" s="199"/>
      <c r="C4" s="199"/>
      <c r="D4" s="199"/>
      <c r="E4" s="199"/>
      <c r="F4" s="199"/>
      <c r="G4" s="199"/>
      <c r="H4" s="199"/>
      <c r="I4" s="199"/>
    </row>
    <row r="5" spans="1:9" ht="13.15" customHeight="1">
      <c r="B5" s="3"/>
      <c r="C5" s="3"/>
      <c r="D5" s="3"/>
      <c r="E5" s="3"/>
      <c r="F5" s="3"/>
      <c r="G5" s="3"/>
      <c r="H5" s="3"/>
      <c r="I5" s="3"/>
    </row>
    <row r="6" spans="1:9" ht="18" customHeight="1">
      <c r="A6" s="1" t="s">
        <v>0</v>
      </c>
      <c r="B6" s="9" t="s">
        <v>83</v>
      </c>
      <c r="C6" s="228" t="s">
        <v>84</v>
      </c>
      <c r="D6" s="228"/>
      <c r="E6" s="20">
        <v>90</v>
      </c>
      <c r="F6" s="3" t="s">
        <v>1</v>
      </c>
      <c r="G6" s="3" t="s">
        <v>2</v>
      </c>
      <c r="H6" s="20">
        <v>117</v>
      </c>
      <c r="I6" s="9" t="s">
        <v>1</v>
      </c>
    </row>
    <row r="7" spans="1:9" ht="12" customHeight="1">
      <c r="C7" s="2"/>
      <c r="D7" s="2"/>
      <c r="E7" s="2"/>
      <c r="F7" s="2"/>
      <c r="G7" s="2"/>
      <c r="H7" s="2"/>
      <c r="I7" s="24"/>
    </row>
    <row r="8" spans="1:9" ht="18" customHeight="1">
      <c r="A8" s="1" t="s">
        <v>3</v>
      </c>
      <c r="B8" s="9" t="s">
        <v>85</v>
      </c>
      <c r="E8" s="3"/>
      <c r="F8" s="3"/>
      <c r="G8" s="3"/>
      <c r="H8" s="20">
        <v>7</v>
      </c>
      <c r="I8" s="9" t="s">
        <v>1</v>
      </c>
    </row>
    <row r="9" spans="1:9" ht="9" customHeight="1">
      <c r="B9" s="3"/>
      <c r="C9" s="3"/>
      <c r="D9" s="3"/>
      <c r="E9" s="3"/>
      <c r="F9" s="3"/>
      <c r="G9" s="3"/>
      <c r="H9" s="3"/>
      <c r="I9" s="3"/>
    </row>
    <row r="10" spans="1:9" ht="18" customHeight="1">
      <c r="A10" s="1" t="s">
        <v>4</v>
      </c>
      <c r="B10" s="9" t="s">
        <v>86</v>
      </c>
      <c r="C10" s="3"/>
      <c r="D10" s="3"/>
      <c r="E10" s="3"/>
      <c r="F10" s="3"/>
      <c r="G10" s="3"/>
      <c r="H10" s="3"/>
      <c r="I10" s="3"/>
    </row>
    <row r="11" spans="1:9" ht="18" customHeight="1">
      <c r="B11" s="21" t="s">
        <v>42</v>
      </c>
      <c r="C11" s="221" t="s">
        <v>131</v>
      </c>
      <c r="D11" s="224"/>
      <c r="E11" s="225"/>
      <c r="F11" s="24"/>
      <c r="G11" s="21" t="s">
        <v>10</v>
      </c>
      <c r="H11" s="226" t="s">
        <v>135</v>
      </c>
      <c r="I11" s="227"/>
    </row>
    <row r="12" spans="1:9" ht="10.15" customHeight="1">
      <c r="B12" s="21"/>
      <c r="C12" s="9"/>
      <c r="D12" s="24"/>
      <c r="E12" s="24"/>
      <c r="F12" s="24"/>
      <c r="G12" s="21"/>
      <c r="H12" s="9"/>
      <c r="I12" s="24"/>
    </row>
    <row r="13" spans="1:9" ht="18" customHeight="1">
      <c r="A13" s="1" t="s">
        <v>7</v>
      </c>
      <c r="B13" s="9" t="s">
        <v>81</v>
      </c>
      <c r="C13" s="3"/>
      <c r="D13" s="3"/>
      <c r="E13" s="3"/>
      <c r="F13" s="3"/>
      <c r="G13" s="3"/>
      <c r="H13" s="3"/>
      <c r="I13" s="3"/>
    </row>
    <row r="14" spans="1:9" ht="18" customHeight="1">
      <c r="B14" s="221" t="s">
        <v>182</v>
      </c>
      <c r="C14" s="222"/>
      <c r="D14" s="222"/>
      <c r="E14" s="222"/>
      <c r="F14" s="222"/>
      <c r="G14" s="222"/>
      <c r="H14" s="222"/>
      <c r="I14" s="223"/>
    </row>
    <row r="15" spans="1:9" ht="9" customHeight="1">
      <c r="B15" s="3"/>
      <c r="C15" s="3"/>
      <c r="D15" s="3"/>
      <c r="E15" s="3"/>
      <c r="F15" s="3"/>
      <c r="G15" s="3"/>
      <c r="H15" s="3"/>
      <c r="I15" s="3"/>
    </row>
    <row r="16" spans="1:9" ht="18" customHeight="1">
      <c r="B16" s="21" t="s">
        <v>42</v>
      </c>
      <c r="C16" s="221" t="s">
        <v>144</v>
      </c>
      <c r="D16" s="224"/>
      <c r="E16" s="225"/>
      <c r="F16" s="24"/>
      <c r="G16" s="21" t="s">
        <v>10</v>
      </c>
      <c r="H16" s="226" t="s">
        <v>145</v>
      </c>
      <c r="I16" s="227"/>
    </row>
    <row r="17" spans="1:9" ht="18" customHeight="1">
      <c r="B17" s="3"/>
      <c r="C17" s="3"/>
      <c r="D17" s="3"/>
      <c r="E17" s="3"/>
      <c r="F17" s="3"/>
      <c r="G17" s="3"/>
      <c r="H17" s="3"/>
      <c r="I17" s="3"/>
    </row>
    <row r="18" spans="1:9" ht="18.75" customHeight="1">
      <c r="A18" s="1" t="s">
        <v>5</v>
      </c>
      <c r="B18" s="1" t="s">
        <v>41</v>
      </c>
      <c r="I18" s="3"/>
    </row>
    <row r="19" spans="1:9" ht="18.75" customHeight="1">
      <c r="A19" s="1"/>
      <c r="B19" s="200" t="s">
        <v>185</v>
      </c>
      <c r="C19" s="201"/>
      <c r="D19" s="201"/>
      <c r="E19" s="201"/>
      <c r="F19" s="201"/>
      <c r="G19" s="201"/>
      <c r="H19" s="201"/>
      <c r="I19" s="202"/>
    </row>
    <row r="20" spans="1:9" ht="7.5" customHeight="1">
      <c r="B20" s="3"/>
      <c r="C20" s="3"/>
      <c r="D20" s="3"/>
      <c r="E20" s="3"/>
      <c r="F20" s="3"/>
      <c r="G20" s="3"/>
      <c r="H20" s="3"/>
      <c r="I20" s="3"/>
    </row>
    <row r="21" spans="1:9" ht="18.75" customHeight="1">
      <c r="A21" s="1" t="s">
        <v>8</v>
      </c>
      <c r="B21" s="1" t="s">
        <v>25</v>
      </c>
    </row>
    <row r="22" spans="1:9" ht="18.75" customHeight="1">
      <c r="A22" s="12"/>
      <c r="B22" s="203" t="s">
        <v>183</v>
      </c>
      <c r="C22" s="204"/>
      <c r="D22" s="204"/>
      <c r="E22" s="204"/>
      <c r="F22" s="204"/>
      <c r="G22" s="204"/>
      <c r="H22" s="204"/>
      <c r="I22" s="205"/>
    </row>
    <row r="23" spans="1:9" ht="18.75" customHeight="1">
      <c r="A23" s="12"/>
      <c r="B23" s="206"/>
      <c r="C23" s="207"/>
      <c r="D23" s="207"/>
      <c r="E23" s="207"/>
      <c r="F23" s="207"/>
      <c r="G23" s="207"/>
      <c r="H23" s="207"/>
      <c r="I23" s="208"/>
    </row>
    <row r="24" spans="1:9" ht="18.75" customHeight="1">
      <c r="A24" s="12"/>
      <c r="B24" s="206"/>
      <c r="C24" s="207"/>
      <c r="D24" s="207"/>
      <c r="E24" s="207"/>
      <c r="F24" s="207"/>
      <c r="G24" s="207"/>
      <c r="H24" s="207"/>
      <c r="I24" s="208"/>
    </row>
    <row r="25" spans="1:9" ht="18.75" customHeight="1">
      <c r="A25" s="12"/>
      <c r="B25" s="206"/>
      <c r="C25" s="207"/>
      <c r="D25" s="207"/>
      <c r="E25" s="207"/>
      <c r="F25" s="207"/>
      <c r="G25" s="207"/>
      <c r="H25" s="207"/>
      <c r="I25" s="208"/>
    </row>
    <row r="26" spans="1:9" ht="18.75" customHeight="1">
      <c r="A26" s="12"/>
      <c r="B26" s="206"/>
      <c r="C26" s="207"/>
      <c r="D26" s="207"/>
      <c r="E26" s="207"/>
      <c r="F26" s="207"/>
      <c r="G26" s="207"/>
      <c r="H26" s="207"/>
      <c r="I26" s="208"/>
    </row>
    <row r="27" spans="1:9" ht="18.75" customHeight="1">
      <c r="A27" s="12"/>
      <c r="B27" s="206"/>
      <c r="C27" s="207"/>
      <c r="D27" s="207"/>
      <c r="E27" s="207"/>
      <c r="F27" s="207"/>
      <c r="G27" s="207"/>
      <c r="H27" s="207"/>
      <c r="I27" s="208"/>
    </row>
    <row r="28" spans="1:9" ht="18.75" customHeight="1">
      <c r="A28" s="12"/>
      <c r="B28" s="206"/>
      <c r="C28" s="207"/>
      <c r="D28" s="207"/>
      <c r="E28" s="207"/>
      <c r="F28" s="207"/>
      <c r="G28" s="207"/>
      <c r="H28" s="207"/>
      <c r="I28" s="208"/>
    </row>
    <row r="29" spans="1:9" ht="18.75" customHeight="1">
      <c r="A29" s="12"/>
      <c r="B29" s="206"/>
      <c r="C29" s="207"/>
      <c r="D29" s="207"/>
      <c r="E29" s="207"/>
      <c r="F29" s="207"/>
      <c r="G29" s="207"/>
      <c r="H29" s="207"/>
      <c r="I29" s="208"/>
    </row>
    <row r="30" spans="1:9" ht="18.75" customHeight="1">
      <c r="A30" s="12"/>
      <c r="B30" s="206"/>
      <c r="C30" s="207"/>
      <c r="D30" s="207"/>
      <c r="E30" s="207"/>
      <c r="F30" s="207"/>
      <c r="G30" s="207"/>
      <c r="H30" s="207"/>
      <c r="I30" s="208"/>
    </row>
    <row r="31" spans="1:9" ht="18.75" customHeight="1">
      <c r="A31" s="12"/>
      <c r="B31" s="206"/>
      <c r="C31" s="207"/>
      <c r="D31" s="207"/>
      <c r="E31" s="207"/>
      <c r="F31" s="207"/>
      <c r="G31" s="207"/>
      <c r="H31" s="207"/>
      <c r="I31" s="208"/>
    </row>
    <row r="32" spans="1:9" ht="18.75" customHeight="1">
      <c r="A32" s="12"/>
      <c r="B32" s="209"/>
      <c r="C32" s="210"/>
      <c r="D32" s="210"/>
      <c r="E32" s="210"/>
      <c r="F32" s="210"/>
      <c r="G32" s="210"/>
      <c r="H32" s="210"/>
      <c r="I32" s="211"/>
    </row>
    <row r="33" spans="1:9" ht="7.5" customHeight="1">
      <c r="A33" s="12"/>
      <c r="B33" s="12"/>
      <c r="C33" s="12"/>
      <c r="D33" s="12"/>
      <c r="E33" s="12"/>
      <c r="F33" s="12"/>
      <c r="G33" s="12"/>
      <c r="H33" s="12"/>
      <c r="I33" s="12"/>
    </row>
    <row r="34" spans="1:9" ht="18.75" customHeight="1">
      <c r="A34" s="13" t="s">
        <v>6</v>
      </c>
      <c r="B34" s="13" t="s">
        <v>9</v>
      </c>
      <c r="C34" s="9"/>
      <c r="D34" s="13"/>
      <c r="E34" s="13"/>
      <c r="F34" s="13"/>
      <c r="G34" s="13"/>
      <c r="H34" s="13"/>
      <c r="I34" s="13"/>
    </row>
    <row r="35" spans="1:9" ht="18.75" customHeight="1">
      <c r="A35" s="12"/>
      <c r="B35" s="212" t="s">
        <v>184</v>
      </c>
      <c r="C35" s="213"/>
      <c r="D35" s="213"/>
      <c r="E35" s="213"/>
      <c r="F35" s="213"/>
      <c r="G35" s="213"/>
      <c r="H35" s="213"/>
      <c r="I35" s="214"/>
    </row>
    <row r="36" spans="1:9" ht="18.75" customHeight="1">
      <c r="A36" s="12"/>
      <c r="B36" s="215"/>
      <c r="C36" s="216"/>
      <c r="D36" s="216"/>
      <c r="E36" s="216"/>
      <c r="F36" s="216"/>
      <c r="G36" s="216"/>
      <c r="H36" s="216"/>
      <c r="I36" s="217"/>
    </row>
    <row r="37" spans="1:9" ht="18.75" customHeight="1">
      <c r="A37" s="12"/>
      <c r="B37" s="215"/>
      <c r="C37" s="216"/>
      <c r="D37" s="216"/>
      <c r="E37" s="216"/>
      <c r="F37" s="216"/>
      <c r="G37" s="216"/>
      <c r="H37" s="216"/>
      <c r="I37" s="217"/>
    </row>
    <row r="38" spans="1:9" ht="18.75" customHeight="1">
      <c r="A38" s="12"/>
      <c r="B38" s="215"/>
      <c r="C38" s="216"/>
      <c r="D38" s="216"/>
      <c r="E38" s="216"/>
      <c r="F38" s="216"/>
      <c r="G38" s="216"/>
      <c r="H38" s="216"/>
      <c r="I38" s="217"/>
    </row>
    <row r="39" spans="1:9" ht="18.75" customHeight="1">
      <c r="A39" s="12"/>
      <c r="B39" s="215"/>
      <c r="C39" s="216"/>
      <c r="D39" s="216"/>
      <c r="E39" s="216"/>
      <c r="F39" s="216"/>
      <c r="G39" s="216"/>
      <c r="H39" s="216"/>
      <c r="I39" s="217"/>
    </row>
    <row r="40" spans="1:9" ht="18.75" customHeight="1">
      <c r="A40" s="12"/>
      <c r="B40" s="215"/>
      <c r="C40" s="216"/>
      <c r="D40" s="216"/>
      <c r="E40" s="216"/>
      <c r="F40" s="216"/>
      <c r="G40" s="216"/>
      <c r="H40" s="216"/>
      <c r="I40" s="217"/>
    </row>
    <row r="41" spans="1:9" ht="18.75" customHeight="1">
      <c r="A41" s="12"/>
      <c r="B41" s="215"/>
      <c r="C41" s="216"/>
      <c r="D41" s="216"/>
      <c r="E41" s="216"/>
      <c r="F41" s="216"/>
      <c r="G41" s="216"/>
      <c r="H41" s="216"/>
      <c r="I41" s="217"/>
    </row>
    <row r="42" spans="1:9" ht="18.75" customHeight="1">
      <c r="A42" s="12"/>
      <c r="B42" s="215"/>
      <c r="C42" s="216"/>
      <c r="D42" s="216"/>
      <c r="E42" s="216"/>
      <c r="F42" s="216"/>
      <c r="G42" s="216"/>
      <c r="H42" s="216"/>
      <c r="I42" s="217"/>
    </row>
    <row r="43" spans="1:9" ht="18.75" customHeight="1">
      <c r="A43" s="12"/>
      <c r="B43" s="215"/>
      <c r="C43" s="216"/>
      <c r="D43" s="216"/>
      <c r="E43" s="216"/>
      <c r="F43" s="216"/>
      <c r="G43" s="216"/>
      <c r="H43" s="216"/>
      <c r="I43" s="217"/>
    </row>
    <row r="44" spans="1:9" ht="18.75" customHeight="1">
      <c r="A44" s="12"/>
      <c r="B44" s="215"/>
      <c r="C44" s="216"/>
      <c r="D44" s="216"/>
      <c r="E44" s="216"/>
      <c r="F44" s="216"/>
      <c r="G44" s="216"/>
      <c r="H44" s="216"/>
      <c r="I44" s="217"/>
    </row>
    <row r="45" spans="1:9" ht="18.75" customHeight="1">
      <c r="A45" s="12"/>
      <c r="B45" s="215"/>
      <c r="C45" s="216"/>
      <c r="D45" s="216"/>
      <c r="E45" s="216"/>
      <c r="F45" s="216"/>
      <c r="G45" s="216"/>
      <c r="H45" s="216"/>
      <c r="I45" s="217"/>
    </row>
    <row r="46" spans="1:9" ht="18.75" customHeight="1">
      <c r="A46" s="12"/>
      <c r="B46" s="218"/>
      <c r="C46" s="219"/>
      <c r="D46" s="219"/>
      <c r="E46" s="219"/>
      <c r="F46" s="219"/>
      <c r="G46" s="219"/>
      <c r="H46" s="219"/>
      <c r="I46" s="220"/>
    </row>
    <row r="47" spans="1:9" ht="7.5" customHeight="1">
      <c r="A47" s="4"/>
      <c r="B47" s="4"/>
      <c r="C47" s="4"/>
      <c r="D47" s="4"/>
      <c r="E47" s="4"/>
      <c r="F47" s="4"/>
      <c r="G47" s="4"/>
      <c r="H47" s="4"/>
      <c r="I47" s="4"/>
    </row>
    <row r="48" spans="1:9" ht="18.75" customHeight="1">
      <c r="A48" s="1" t="s">
        <v>31</v>
      </c>
      <c r="B48" s="1" t="s">
        <v>105</v>
      </c>
    </row>
    <row r="49" spans="1:15" s="3" customFormat="1" ht="18.75" customHeight="1">
      <c r="B49" s="25" t="s">
        <v>122</v>
      </c>
      <c r="C49" s="259">
        <f>'様式２ 履修者等数の実績'!S34</f>
        <v>3.125E-2</v>
      </c>
      <c r="D49" s="259"/>
      <c r="E49" s="25" t="s">
        <v>63</v>
      </c>
      <c r="F49" s="259">
        <v>0.08</v>
      </c>
      <c r="G49" s="259"/>
      <c r="H49" s="25" t="s">
        <v>64</v>
      </c>
      <c r="I49" s="81">
        <v>0.16</v>
      </c>
      <c r="J49" s="1"/>
      <c r="M49" s="1"/>
      <c r="N49" s="26"/>
    </row>
    <row r="50" spans="1:15" s="3" customFormat="1" ht="18.75" customHeight="1">
      <c r="B50" s="27" t="s">
        <v>82</v>
      </c>
      <c r="C50" s="242">
        <v>0.27</v>
      </c>
      <c r="D50" s="242"/>
      <c r="E50" s="27" t="s">
        <v>123</v>
      </c>
      <c r="F50" s="242">
        <v>0.38</v>
      </c>
      <c r="G50" s="242"/>
      <c r="H50" s="27" t="s">
        <v>65</v>
      </c>
      <c r="I50" s="82">
        <f>'様式２ 履修者等数の実績'!E34</f>
        <v>1632</v>
      </c>
      <c r="J50" s="1"/>
      <c r="M50" s="1"/>
      <c r="N50" s="26"/>
    </row>
    <row r="51" spans="1:15" ht="18.75" customHeight="1">
      <c r="A51" s="1"/>
      <c r="B51" s="239" t="s">
        <v>66</v>
      </c>
      <c r="C51" s="240"/>
      <c r="D51" s="240"/>
      <c r="E51" s="240"/>
      <c r="F51" s="240"/>
      <c r="G51" s="240"/>
      <c r="H51" s="240"/>
      <c r="I51" s="241"/>
      <c r="N51" s="26"/>
      <c r="O51" s="3"/>
    </row>
    <row r="52" spans="1:15" ht="18.75" customHeight="1">
      <c r="A52" s="1"/>
      <c r="B52" s="260" t="s">
        <v>180</v>
      </c>
      <c r="C52" s="261"/>
      <c r="D52" s="261"/>
      <c r="E52" s="261"/>
      <c r="F52" s="261"/>
      <c r="G52" s="261"/>
      <c r="H52" s="261"/>
      <c r="I52" s="262"/>
      <c r="N52" s="26"/>
      <c r="O52" s="3"/>
    </row>
    <row r="53" spans="1:15" ht="18.75" customHeight="1">
      <c r="A53" s="1"/>
      <c r="B53" s="263"/>
      <c r="C53" s="264"/>
      <c r="D53" s="264"/>
      <c r="E53" s="264"/>
      <c r="F53" s="264"/>
      <c r="G53" s="264"/>
      <c r="H53" s="264"/>
      <c r="I53" s="265"/>
      <c r="N53" s="26"/>
      <c r="O53" s="3"/>
    </row>
    <row r="54" spans="1:15" ht="18.75" customHeight="1">
      <c r="A54" s="1"/>
      <c r="B54" s="263"/>
      <c r="C54" s="264"/>
      <c r="D54" s="264"/>
      <c r="E54" s="264"/>
      <c r="F54" s="264"/>
      <c r="G54" s="264"/>
      <c r="H54" s="264"/>
      <c r="I54" s="265"/>
    </row>
    <row r="55" spans="1:15" ht="18.75" customHeight="1">
      <c r="A55" s="1"/>
      <c r="B55" s="263"/>
      <c r="C55" s="264"/>
      <c r="D55" s="264"/>
      <c r="E55" s="264"/>
      <c r="F55" s="264"/>
      <c r="G55" s="264"/>
      <c r="H55" s="264"/>
      <c r="I55" s="265"/>
    </row>
    <row r="56" spans="1:15" ht="18.75" customHeight="1">
      <c r="A56" s="1"/>
      <c r="B56" s="263"/>
      <c r="C56" s="264"/>
      <c r="D56" s="264"/>
      <c r="E56" s="264"/>
      <c r="F56" s="264"/>
      <c r="G56" s="264"/>
      <c r="H56" s="264"/>
      <c r="I56" s="265"/>
    </row>
    <row r="57" spans="1:15" ht="18.75" customHeight="1">
      <c r="A57" s="1"/>
      <c r="B57" s="263"/>
      <c r="C57" s="264"/>
      <c r="D57" s="264"/>
      <c r="E57" s="264"/>
      <c r="F57" s="264"/>
      <c r="G57" s="264"/>
      <c r="H57" s="264"/>
      <c r="I57" s="265"/>
    </row>
    <row r="58" spans="1:15" ht="18.75" customHeight="1">
      <c r="A58" s="1"/>
      <c r="B58" s="263"/>
      <c r="C58" s="264"/>
      <c r="D58" s="264"/>
      <c r="E58" s="264"/>
      <c r="F58" s="264"/>
      <c r="G58" s="264"/>
      <c r="H58" s="264"/>
      <c r="I58" s="265"/>
    </row>
    <row r="59" spans="1:15" ht="18.75" customHeight="1">
      <c r="A59" s="1"/>
      <c r="B59" s="263"/>
      <c r="C59" s="264"/>
      <c r="D59" s="264"/>
      <c r="E59" s="264"/>
      <c r="F59" s="264"/>
      <c r="G59" s="264"/>
      <c r="H59" s="264"/>
      <c r="I59" s="265"/>
    </row>
    <row r="60" spans="1:15" ht="18.75" customHeight="1">
      <c r="A60" s="1"/>
      <c r="B60" s="263"/>
      <c r="C60" s="264"/>
      <c r="D60" s="264"/>
      <c r="E60" s="264"/>
      <c r="F60" s="264"/>
      <c r="G60" s="264"/>
      <c r="H60" s="264"/>
      <c r="I60" s="265"/>
    </row>
    <row r="61" spans="1:15" ht="18.75" customHeight="1">
      <c r="A61" s="1"/>
      <c r="B61" s="263"/>
      <c r="C61" s="264"/>
      <c r="D61" s="264"/>
      <c r="E61" s="264"/>
      <c r="F61" s="264"/>
      <c r="G61" s="264"/>
      <c r="H61" s="264"/>
      <c r="I61" s="265"/>
    </row>
    <row r="62" spans="1:15" ht="18.75" customHeight="1">
      <c r="A62" s="1"/>
      <c r="B62" s="263"/>
      <c r="C62" s="264"/>
      <c r="D62" s="264"/>
      <c r="E62" s="264"/>
      <c r="F62" s="264"/>
      <c r="G62" s="264"/>
      <c r="H62" s="264"/>
      <c r="I62" s="265"/>
    </row>
    <row r="63" spans="1:15" ht="18.75" customHeight="1">
      <c r="A63" s="1"/>
      <c r="B63" s="266"/>
      <c r="C63" s="267"/>
      <c r="D63" s="267"/>
      <c r="E63" s="267"/>
      <c r="F63" s="267"/>
      <c r="G63" s="267"/>
      <c r="H63" s="267"/>
      <c r="I63" s="268"/>
    </row>
    <row r="64" spans="1:15" ht="7.5" customHeight="1">
      <c r="A64" s="12"/>
      <c r="B64" s="12"/>
      <c r="C64" s="12"/>
      <c r="D64" s="12"/>
      <c r="E64" s="12"/>
      <c r="F64" s="12"/>
      <c r="G64" s="12"/>
      <c r="H64" s="12"/>
      <c r="I64" s="12"/>
    </row>
    <row r="65" spans="1:9" ht="18.75" customHeight="1">
      <c r="A65" s="13" t="s">
        <v>34</v>
      </c>
      <c r="B65" s="1" t="s">
        <v>37</v>
      </c>
      <c r="I65" s="13"/>
    </row>
    <row r="66" spans="1:9" ht="18.75" customHeight="1">
      <c r="A66" s="4"/>
      <c r="B66" s="243" t="s">
        <v>169</v>
      </c>
      <c r="C66" s="244"/>
      <c r="D66" s="244"/>
      <c r="E66" s="244"/>
      <c r="F66" s="244"/>
      <c r="G66" s="244"/>
      <c r="H66" s="244"/>
      <c r="I66" s="245"/>
    </row>
    <row r="67" spans="1:9" ht="18.75" customHeight="1">
      <c r="A67" s="4"/>
      <c r="B67" s="246"/>
      <c r="C67" s="247"/>
      <c r="D67" s="247"/>
      <c r="E67" s="247"/>
      <c r="F67" s="247"/>
      <c r="G67" s="247"/>
      <c r="H67" s="247"/>
      <c r="I67" s="248"/>
    </row>
    <row r="68" spans="1:9" ht="18.75" customHeight="1">
      <c r="A68" s="4"/>
      <c r="B68" s="246"/>
      <c r="C68" s="247"/>
      <c r="D68" s="247"/>
      <c r="E68" s="247"/>
      <c r="F68" s="247"/>
      <c r="G68" s="247"/>
      <c r="H68" s="247"/>
      <c r="I68" s="248"/>
    </row>
    <row r="69" spans="1:9" ht="18.75" customHeight="1">
      <c r="A69" s="4"/>
      <c r="B69" s="246"/>
      <c r="C69" s="247"/>
      <c r="D69" s="247"/>
      <c r="E69" s="247"/>
      <c r="F69" s="247"/>
      <c r="G69" s="247"/>
      <c r="H69" s="247"/>
      <c r="I69" s="248"/>
    </row>
    <row r="70" spans="1:9" ht="18.75" customHeight="1">
      <c r="A70" s="4"/>
      <c r="B70" s="246"/>
      <c r="C70" s="247"/>
      <c r="D70" s="247"/>
      <c r="E70" s="247"/>
      <c r="F70" s="247"/>
      <c r="G70" s="247"/>
      <c r="H70" s="247"/>
      <c r="I70" s="248"/>
    </row>
    <row r="71" spans="1:9" ht="18.75" customHeight="1">
      <c r="A71" s="4"/>
      <c r="B71" s="246"/>
      <c r="C71" s="247"/>
      <c r="D71" s="247"/>
      <c r="E71" s="247"/>
      <c r="F71" s="247"/>
      <c r="G71" s="247"/>
      <c r="H71" s="247"/>
      <c r="I71" s="248"/>
    </row>
    <row r="72" spans="1:9" ht="18.75" customHeight="1">
      <c r="A72" s="4"/>
      <c r="B72" s="246"/>
      <c r="C72" s="247"/>
      <c r="D72" s="247"/>
      <c r="E72" s="247"/>
      <c r="F72" s="247"/>
      <c r="G72" s="247"/>
      <c r="H72" s="247"/>
      <c r="I72" s="248"/>
    </row>
    <row r="73" spans="1:9" ht="18.75" customHeight="1">
      <c r="A73" s="4"/>
      <c r="B73" s="246"/>
      <c r="C73" s="247"/>
      <c r="D73" s="247"/>
      <c r="E73" s="247"/>
      <c r="F73" s="247"/>
      <c r="G73" s="247"/>
      <c r="H73" s="247"/>
      <c r="I73" s="248"/>
    </row>
    <row r="74" spans="1:9" ht="18.75" customHeight="1">
      <c r="A74" s="4"/>
      <c r="B74" s="246"/>
      <c r="C74" s="247"/>
      <c r="D74" s="247"/>
      <c r="E74" s="247"/>
      <c r="F74" s="247"/>
      <c r="G74" s="247"/>
      <c r="H74" s="247"/>
      <c r="I74" s="248"/>
    </row>
    <row r="75" spans="1:9" ht="18.75" customHeight="1">
      <c r="A75" s="4"/>
      <c r="B75" s="246"/>
      <c r="C75" s="247"/>
      <c r="D75" s="247"/>
      <c r="E75" s="247"/>
      <c r="F75" s="247"/>
      <c r="G75" s="247"/>
      <c r="H75" s="247"/>
      <c r="I75" s="248"/>
    </row>
    <row r="76" spans="1:9" ht="18.75" customHeight="1">
      <c r="A76" s="4"/>
      <c r="B76" s="246"/>
      <c r="C76" s="247"/>
      <c r="D76" s="247"/>
      <c r="E76" s="247"/>
      <c r="F76" s="247"/>
      <c r="G76" s="247"/>
      <c r="H76" s="247"/>
      <c r="I76" s="248"/>
    </row>
    <row r="77" spans="1:9" ht="18.75" customHeight="1">
      <c r="A77" s="4"/>
      <c r="B77" s="249"/>
      <c r="C77" s="250"/>
      <c r="D77" s="250"/>
      <c r="E77" s="250"/>
      <c r="F77" s="250"/>
      <c r="G77" s="250"/>
      <c r="H77" s="250"/>
      <c r="I77" s="251"/>
    </row>
    <row r="78" spans="1:9" ht="7.5" customHeight="1">
      <c r="A78" s="4"/>
      <c r="B78" s="4"/>
      <c r="C78" s="4"/>
      <c r="D78" s="4"/>
      <c r="E78" s="4"/>
      <c r="F78" s="4"/>
      <c r="G78" s="4"/>
      <c r="H78" s="4"/>
      <c r="I78" s="4"/>
    </row>
    <row r="79" spans="1:9" ht="18.75" customHeight="1">
      <c r="A79" s="1" t="s">
        <v>11</v>
      </c>
      <c r="B79" s="1" t="s">
        <v>40</v>
      </c>
    </row>
    <row r="80" spans="1:9" ht="18.75" customHeight="1">
      <c r="A80" s="1"/>
      <c r="B80" s="243" t="s">
        <v>139</v>
      </c>
      <c r="C80" s="244"/>
      <c r="D80" s="244"/>
      <c r="E80" s="244"/>
      <c r="F80" s="244"/>
      <c r="G80" s="244"/>
      <c r="H80" s="244"/>
      <c r="I80" s="252"/>
    </row>
    <row r="81" spans="1:9" ht="18.75" customHeight="1">
      <c r="A81" s="1"/>
      <c r="B81" s="253"/>
      <c r="C81" s="254"/>
      <c r="D81" s="254"/>
      <c r="E81" s="254"/>
      <c r="F81" s="254"/>
      <c r="G81" s="254"/>
      <c r="H81" s="254"/>
      <c r="I81" s="255"/>
    </row>
    <row r="82" spans="1:9" ht="18.75" customHeight="1">
      <c r="A82" s="1"/>
      <c r="B82" s="253"/>
      <c r="C82" s="254"/>
      <c r="D82" s="254"/>
      <c r="E82" s="254"/>
      <c r="F82" s="254"/>
      <c r="G82" s="254"/>
      <c r="H82" s="254"/>
      <c r="I82" s="255"/>
    </row>
    <row r="83" spans="1:9" ht="18.75" customHeight="1">
      <c r="A83" s="1"/>
      <c r="B83" s="253"/>
      <c r="C83" s="254"/>
      <c r="D83" s="254"/>
      <c r="E83" s="254"/>
      <c r="F83" s="254"/>
      <c r="G83" s="254"/>
      <c r="H83" s="254"/>
      <c r="I83" s="255"/>
    </row>
    <row r="84" spans="1:9" ht="18.75" customHeight="1">
      <c r="A84" s="1"/>
      <c r="B84" s="253"/>
      <c r="C84" s="254"/>
      <c r="D84" s="254"/>
      <c r="E84" s="254"/>
      <c r="F84" s="254"/>
      <c r="G84" s="254"/>
      <c r="H84" s="254"/>
      <c r="I84" s="255"/>
    </row>
    <row r="85" spans="1:9" ht="18.75" customHeight="1">
      <c r="A85" s="1"/>
      <c r="B85" s="253"/>
      <c r="C85" s="254"/>
      <c r="D85" s="254"/>
      <c r="E85" s="254"/>
      <c r="F85" s="254"/>
      <c r="G85" s="254"/>
      <c r="H85" s="254"/>
      <c r="I85" s="255"/>
    </row>
    <row r="86" spans="1:9" ht="18.75" customHeight="1">
      <c r="A86" s="1"/>
      <c r="B86" s="253"/>
      <c r="C86" s="254"/>
      <c r="D86" s="254"/>
      <c r="E86" s="254"/>
      <c r="F86" s="254"/>
      <c r="G86" s="254"/>
      <c r="H86" s="254"/>
      <c r="I86" s="255"/>
    </row>
    <row r="87" spans="1:9" ht="18.75" customHeight="1">
      <c r="A87" s="1"/>
      <c r="B87" s="253"/>
      <c r="C87" s="254"/>
      <c r="D87" s="254"/>
      <c r="E87" s="254"/>
      <c r="F87" s="254"/>
      <c r="G87" s="254"/>
      <c r="H87" s="254"/>
      <c r="I87" s="255"/>
    </row>
    <row r="88" spans="1:9" ht="18.75" customHeight="1">
      <c r="A88" s="1"/>
      <c r="B88" s="253"/>
      <c r="C88" s="254"/>
      <c r="D88" s="254"/>
      <c r="E88" s="254"/>
      <c r="F88" s="254"/>
      <c r="G88" s="254"/>
      <c r="H88" s="254"/>
      <c r="I88" s="255"/>
    </row>
    <row r="89" spans="1:9" ht="18.75" customHeight="1">
      <c r="A89" s="1"/>
      <c r="B89" s="253"/>
      <c r="C89" s="254"/>
      <c r="D89" s="254"/>
      <c r="E89" s="254"/>
      <c r="F89" s="254"/>
      <c r="G89" s="254"/>
      <c r="H89" s="254"/>
      <c r="I89" s="255"/>
    </row>
    <row r="90" spans="1:9" ht="18.75" customHeight="1">
      <c r="A90" s="4"/>
      <c r="B90" s="253"/>
      <c r="C90" s="254"/>
      <c r="D90" s="254"/>
      <c r="E90" s="254"/>
      <c r="F90" s="254"/>
      <c r="G90" s="254"/>
      <c r="H90" s="254"/>
      <c r="I90" s="255"/>
    </row>
    <row r="91" spans="1:9" ht="18.75" customHeight="1">
      <c r="A91" s="4"/>
      <c r="B91" s="256"/>
      <c r="C91" s="257"/>
      <c r="D91" s="257"/>
      <c r="E91" s="257"/>
      <c r="F91" s="257"/>
      <c r="G91" s="257"/>
      <c r="H91" s="257"/>
      <c r="I91" s="258"/>
    </row>
    <row r="92" spans="1:9" ht="7.5" customHeight="1">
      <c r="A92" s="4"/>
      <c r="B92" s="4"/>
      <c r="C92" s="4"/>
      <c r="D92" s="4"/>
      <c r="E92" s="4"/>
      <c r="F92" s="4"/>
      <c r="G92" s="4"/>
      <c r="H92" s="4"/>
      <c r="I92" s="4"/>
    </row>
    <row r="93" spans="1:9" ht="18.75" customHeight="1">
      <c r="A93" s="1" t="s">
        <v>43</v>
      </c>
      <c r="B93" s="1" t="s">
        <v>13</v>
      </c>
    </row>
    <row r="94" spans="1:9" ht="18.75" customHeight="1">
      <c r="A94" s="1"/>
      <c r="B94" s="229" t="s">
        <v>179</v>
      </c>
      <c r="C94" s="230"/>
      <c r="D94" s="230"/>
      <c r="E94" s="230"/>
      <c r="F94" s="230"/>
      <c r="G94" s="230"/>
      <c r="H94" s="230"/>
      <c r="I94" s="231"/>
    </row>
    <row r="95" spans="1:9" ht="18.75" customHeight="1">
      <c r="A95" s="1"/>
      <c r="B95" s="232"/>
      <c r="C95" s="233"/>
      <c r="D95" s="233"/>
      <c r="E95" s="233"/>
      <c r="F95" s="233"/>
      <c r="G95" s="233"/>
      <c r="H95" s="233"/>
      <c r="I95" s="234"/>
    </row>
    <row r="96" spans="1:9" ht="18.75" customHeight="1">
      <c r="A96" s="1"/>
      <c r="B96" s="232"/>
      <c r="C96" s="233"/>
      <c r="D96" s="233"/>
      <c r="E96" s="233"/>
      <c r="F96" s="233"/>
      <c r="G96" s="233"/>
      <c r="H96" s="233"/>
      <c r="I96" s="234"/>
    </row>
    <row r="97" spans="1:9" ht="18.75" customHeight="1">
      <c r="A97" s="1"/>
      <c r="B97" s="232"/>
      <c r="C97" s="233"/>
      <c r="D97" s="233"/>
      <c r="E97" s="233"/>
      <c r="F97" s="233"/>
      <c r="G97" s="233"/>
      <c r="H97" s="233"/>
      <c r="I97" s="234"/>
    </row>
    <row r="98" spans="1:9" ht="18.75" customHeight="1">
      <c r="A98" s="1"/>
      <c r="B98" s="232"/>
      <c r="C98" s="233"/>
      <c r="D98" s="233"/>
      <c r="E98" s="233"/>
      <c r="F98" s="233"/>
      <c r="G98" s="233"/>
      <c r="H98" s="233"/>
      <c r="I98" s="234"/>
    </row>
    <row r="99" spans="1:9" ht="18.75" customHeight="1">
      <c r="A99" s="1"/>
      <c r="B99" s="232"/>
      <c r="C99" s="233"/>
      <c r="D99" s="233"/>
      <c r="E99" s="233"/>
      <c r="F99" s="233"/>
      <c r="G99" s="233"/>
      <c r="H99" s="233"/>
      <c r="I99" s="234"/>
    </row>
    <row r="100" spans="1:9" ht="18.75" customHeight="1">
      <c r="A100" s="1"/>
      <c r="B100" s="232"/>
      <c r="C100" s="233"/>
      <c r="D100" s="233"/>
      <c r="E100" s="233"/>
      <c r="F100" s="233"/>
      <c r="G100" s="233"/>
      <c r="H100" s="233"/>
      <c r="I100" s="234"/>
    </row>
    <row r="101" spans="1:9" ht="18.75" customHeight="1">
      <c r="A101" s="1"/>
      <c r="B101" s="232"/>
      <c r="C101" s="233"/>
      <c r="D101" s="233"/>
      <c r="E101" s="233"/>
      <c r="F101" s="233"/>
      <c r="G101" s="233"/>
      <c r="H101" s="233"/>
      <c r="I101" s="234"/>
    </row>
    <row r="102" spans="1:9" ht="18.75" customHeight="1">
      <c r="A102" s="1"/>
      <c r="B102" s="232"/>
      <c r="C102" s="233"/>
      <c r="D102" s="233"/>
      <c r="E102" s="233"/>
      <c r="F102" s="233"/>
      <c r="G102" s="233"/>
      <c r="H102" s="233"/>
      <c r="I102" s="234"/>
    </row>
    <row r="103" spans="1:9" ht="18.75" customHeight="1">
      <c r="A103" s="1"/>
      <c r="B103" s="232"/>
      <c r="C103" s="233"/>
      <c r="D103" s="233"/>
      <c r="E103" s="233"/>
      <c r="F103" s="233"/>
      <c r="G103" s="233"/>
      <c r="H103" s="233"/>
      <c r="I103" s="234"/>
    </row>
    <row r="104" spans="1:9" ht="18.75" customHeight="1">
      <c r="A104" s="1"/>
      <c r="B104" s="232"/>
      <c r="C104" s="233"/>
      <c r="D104" s="233"/>
      <c r="E104" s="233"/>
      <c r="F104" s="233"/>
      <c r="G104" s="233"/>
      <c r="H104" s="233"/>
      <c r="I104" s="234"/>
    </row>
    <row r="105" spans="1:9" ht="18.75" customHeight="1">
      <c r="A105" s="4"/>
      <c r="B105" s="235"/>
      <c r="C105" s="236"/>
      <c r="D105" s="236"/>
      <c r="E105" s="236"/>
      <c r="F105" s="236"/>
      <c r="G105" s="236"/>
      <c r="H105" s="236"/>
      <c r="I105" s="237"/>
    </row>
    <row r="106" spans="1:9" ht="7.5" customHeight="1">
      <c r="A106" s="4"/>
      <c r="B106" s="4"/>
      <c r="C106" s="4"/>
      <c r="D106" s="4"/>
      <c r="E106" s="4"/>
      <c r="F106" s="4"/>
      <c r="G106" s="4"/>
      <c r="H106" s="4"/>
      <c r="I106" s="4"/>
    </row>
    <row r="107" spans="1:9" ht="18.75" customHeight="1">
      <c r="A107" s="1" t="s">
        <v>30</v>
      </c>
      <c r="B107" s="238" t="s">
        <v>45</v>
      </c>
      <c r="C107" s="238"/>
      <c r="D107" s="238"/>
      <c r="E107" s="238"/>
      <c r="F107" s="238"/>
      <c r="G107" s="238"/>
      <c r="H107" s="238"/>
      <c r="I107" s="238"/>
    </row>
    <row r="108" spans="1:9" ht="18.75" customHeight="1">
      <c r="A108" s="4"/>
      <c r="B108" s="212" t="s">
        <v>140</v>
      </c>
      <c r="C108" s="213"/>
      <c r="D108" s="213"/>
      <c r="E108" s="213"/>
      <c r="F108" s="213"/>
      <c r="G108" s="213"/>
      <c r="H108" s="213"/>
      <c r="I108" s="214"/>
    </row>
    <row r="109" spans="1:9" ht="18.75" customHeight="1">
      <c r="A109" s="4"/>
      <c r="B109" s="215"/>
      <c r="C109" s="216"/>
      <c r="D109" s="216"/>
      <c r="E109" s="216"/>
      <c r="F109" s="216"/>
      <c r="G109" s="216"/>
      <c r="H109" s="216"/>
      <c r="I109" s="217"/>
    </row>
    <row r="110" spans="1:9" ht="18.75" customHeight="1">
      <c r="A110" s="4"/>
      <c r="B110" s="215"/>
      <c r="C110" s="216"/>
      <c r="D110" s="216"/>
      <c r="E110" s="216"/>
      <c r="F110" s="216"/>
      <c r="G110" s="216"/>
      <c r="H110" s="216"/>
      <c r="I110" s="217"/>
    </row>
    <row r="111" spans="1:9" ht="18.75" customHeight="1">
      <c r="A111" s="4"/>
      <c r="B111" s="215"/>
      <c r="C111" s="216"/>
      <c r="D111" s="216"/>
      <c r="E111" s="216"/>
      <c r="F111" s="216"/>
      <c r="G111" s="216"/>
      <c r="H111" s="216"/>
      <c r="I111" s="217"/>
    </row>
    <row r="112" spans="1:9" ht="18.75" customHeight="1">
      <c r="A112" s="4"/>
      <c r="B112" s="215"/>
      <c r="C112" s="216"/>
      <c r="D112" s="216"/>
      <c r="E112" s="216"/>
      <c r="F112" s="216"/>
      <c r="G112" s="216"/>
      <c r="H112" s="216"/>
      <c r="I112" s="217"/>
    </row>
    <row r="113" spans="1:9" ht="18.75" customHeight="1">
      <c r="A113" s="4"/>
      <c r="B113" s="215"/>
      <c r="C113" s="216"/>
      <c r="D113" s="216"/>
      <c r="E113" s="216"/>
      <c r="F113" s="216"/>
      <c r="G113" s="216"/>
      <c r="H113" s="216"/>
      <c r="I113" s="217"/>
    </row>
    <row r="114" spans="1:9" ht="18.75" customHeight="1">
      <c r="A114" s="4"/>
      <c r="B114" s="215"/>
      <c r="C114" s="216"/>
      <c r="D114" s="216"/>
      <c r="E114" s="216"/>
      <c r="F114" s="216"/>
      <c r="G114" s="216"/>
      <c r="H114" s="216"/>
      <c r="I114" s="217"/>
    </row>
    <row r="115" spans="1:9" ht="18.75" customHeight="1">
      <c r="A115" s="4"/>
      <c r="B115" s="215"/>
      <c r="C115" s="216"/>
      <c r="D115" s="216"/>
      <c r="E115" s="216"/>
      <c r="F115" s="216"/>
      <c r="G115" s="216"/>
      <c r="H115" s="216"/>
      <c r="I115" s="217"/>
    </row>
    <row r="116" spans="1:9" ht="18.75" customHeight="1">
      <c r="A116" s="4"/>
      <c r="B116" s="215"/>
      <c r="C116" s="216"/>
      <c r="D116" s="216"/>
      <c r="E116" s="216"/>
      <c r="F116" s="216"/>
      <c r="G116" s="216"/>
      <c r="H116" s="216"/>
      <c r="I116" s="217"/>
    </row>
    <row r="117" spans="1:9" ht="18.75" customHeight="1">
      <c r="A117" s="4"/>
      <c r="B117" s="215"/>
      <c r="C117" s="216"/>
      <c r="D117" s="216"/>
      <c r="E117" s="216"/>
      <c r="F117" s="216"/>
      <c r="G117" s="216"/>
      <c r="H117" s="216"/>
      <c r="I117" s="217"/>
    </row>
    <row r="118" spans="1:9" ht="18.75" customHeight="1">
      <c r="A118" s="4"/>
      <c r="B118" s="215"/>
      <c r="C118" s="216"/>
      <c r="D118" s="216"/>
      <c r="E118" s="216"/>
      <c r="F118" s="216"/>
      <c r="G118" s="216"/>
      <c r="H118" s="216"/>
      <c r="I118" s="217"/>
    </row>
    <row r="119" spans="1:9" ht="18.75" customHeight="1">
      <c r="A119" s="4"/>
      <c r="B119" s="218"/>
      <c r="C119" s="219"/>
      <c r="D119" s="219"/>
      <c r="E119" s="219"/>
      <c r="F119" s="219"/>
      <c r="G119" s="219"/>
      <c r="H119" s="219"/>
      <c r="I119" s="220"/>
    </row>
    <row r="120" spans="1:9" ht="7.5" customHeight="1">
      <c r="A120" s="4"/>
      <c r="B120" s="28"/>
      <c r="C120" s="28"/>
      <c r="D120" s="28"/>
      <c r="E120" s="28"/>
      <c r="F120" s="28"/>
      <c r="G120" s="28"/>
      <c r="H120" s="28"/>
      <c r="I120" s="28"/>
    </row>
    <row r="121" spans="1:9" ht="18.75" customHeight="1">
      <c r="A121" s="45"/>
      <c r="B121" s="198"/>
      <c r="C121" s="198"/>
      <c r="D121" s="198"/>
      <c r="E121" s="198"/>
      <c r="F121" s="198"/>
      <c r="G121" s="198"/>
      <c r="H121" s="198"/>
      <c r="I121" s="198"/>
    </row>
    <row r="122" spans="1:9" ht="18.75" customHeight="1">
      <c r="A122" s="45"/>
      <c r="B122" s="198"/>
      <c r="C122" s="198"/>
      <c r="D122" s="198"/>
      <c r="E122" s="198"/>
      <c r="F122" s="198"/>
      <c r="G122" s="198"/>
      <c r="H122" s="198"/>
      <c r="I122" s="198"/>
    </row>
    <row r="123" spans="1:9" ht="18.75" customHeight="1">
      <c r="A123" s="4"/>
      <c r="B123" s="49"/>
      <c r="C123" s="49"/>
      <c r="D123" s="49"/>
      <c r="E123" s="49"/>
      <c r="F123" s="49"/>
      <c r="G123" s="49"/>
      <c r="H123" s="49"/>
      <c r="I123" s="50"/>
    </row>
    <row r="124" spans="1:9" ht="18.75" customHeight="1">
      <c r="A124" s="4"/>
      <c r="B124" s="50"/>
      <c r="C124" s="50"/>
      <c r="D124" s="50"/>
      <c r="E124" s="50"/>
      <c r="F124" s="50"/>
      <c r="G124" s="50"/>
      <c r="H124" s="50"/>
      <c r="I124" s="50"/>
    </row>
    <row r="125" spans="1:9" ht="18.75" customHeight="1">
      <c r="A125" s="4"/>
      <c r="B125" s="50"/>
      <c r="C125" s="50"/>
      <c r="D125" s="50"/>
      <c r="E125" s="50"/>
      <c r="F125" s="50"/>
      <c r="G125" s="50"/>
      <c r="H125" s="50"/>
      <c r="I125" s="50"/>
    </row>
    <row r="126" spans="1:9" ht="18.75" customHeight="1">
      <c r="A126" s="4"/>
      <c r="B126" s="50"/>
      <c r="C126" s="50"/>
      <c r="D126" s="50"/>
      <c r="E126" s="50"/>
      <c r="F126" s="50"/>
      <c r="G126" s="50"/>
      <c r="H126" s="50"/>
      <c r="I126" s="50"/>
    </row>
    <row r="127" spans="1:9" ht="18.75" customHeight="1">
      <c r="A127" s="4"/>
      <c r="B127" s="50"/>
      <c r="C127" s="50"/>
      <c r="D127" s="50"/>
      <c r="E127" s="50"/>
      <c r="F127" s="50"/>
      <c r="G127" s="50"/>
      <c r="H127" s="50"/>
      <c r="I127" s="50"/>
    </row>
    <row r="128" spans="1:9" ht="18.75" customHeight="1">
      <c r="A128" s="4"/>
      <c r="B128" s="50"/>
      <c r="C128" s="50"/>
      <c r="D128" s="50"/>
      <c r="E128" s="50"/>
      <c r="F128" s="50"/>
      <c r="G128" s="50"/>
      <c r="H128" s="50"/>
      <c r="I128" s="50"/>
    </row>
    <row r="129" spans="1:9" ht="18.75" customHeight="1">
      <c r="A129" s="4"/>
      <c r="B129" s="50"/>
      <c r="C129" s="50"/>
      <c r="D129" s="50"/>
      <c r="E129" s="50"/>
      <c r="F129" s="50"/>
      <c r="G129" s="50"/>
      <c r="H129" s="50"/>
      <c r="I129" s="50"/>
    </row>
    <row r="130" spans="1:9" ht="18.75" customHeight="1">
      <c r="A130" s="4"/>
      <c r="B130" s="50"/>
      <c r="C130" s="50"/>
      <c r="D130" s="50"/>
      <c r="E130" s="50"/>
      <c r="F130" s="50"/>
      <c r="G130" s="50"/>
      <c r="H130" s="50"/>
      <c r="I130" s="50"/>
    </row>
    <row r="131" spans="1:9" ht="18.75" customHeight="1">
      <c r="A131" s="4"/>
      <c r="B131" s="50"/>
      <c r="C131" s="50"/>
      <c r="D131" s="50"/>
      <c r="E131" s="50"/>
      <c r="F131" s="50"/>
      <c r="G131" s="50"/>
      <c r="H131" s="50"/>
      <c r="I131" s="50"/>
    </row>
    <row r="132" spans="1:9" ht="18.75" customHeight="1">
      <c r="A132" s="4"/>
      <c r="B132" s="50"/>
      <c r="C132" s="50"/>
      <c r="D132" s="50"/>
      <c r="E132" s="50"/>
      <c r="F132" s="50"/>
      <c r="G132" s="50"/>
      <c r="H132" s="50"/>
      <c r="I132" s="50"/>
    </row>
    <row r="133" spans="1:9" ht="14.25">
      <c r="A133" s="4"/>
      <c r="B133" s="50"/>
      <c r="C133" s="50"/>
      <c r="D133" s="50"/>
      <c r="E133" s="50"/>
      <c r="F133" s="50"/>
      <c r="G133" s="50"/>
      <c r="H133" s="50"/>
      <c r="I133" s="50"/>
    </row>
    <row r="134" spans="1:9" ht="7.5" customHeight="1">
      <c r="A134" s="4"/>
      <c r="B134" s="50"/>
      <c r="C134" s="50"/>
      <c r="D134" s="50"/>
      <c r="E134" s="50"/>
      <c r="F134" s="50"/>
      <c r="G134" s="50"/>
      <c r="H134" s="50"/>
      <c r="I134" s="50"/>
    </row>
  </sheetData>
  <customSheetViews>
    <customSheetView guid="{D8DF89CB-0082-BD4B-ADB1-249544AA75FA}" scale="300" showPageBreaks="1" zeroValues="0" fitToPage="1" printArea="1" view="pageBreakPreview">
      <selection activeCell="J110" sqref="J110"/>
      <rowBreaks count="2" manualBreakCount="2">
        <brk id="47" max="8" man="1"/>
        <brk id="92" max="8" man="1"/>
      </rowBreaks>
      <pageMargins left="0.59055118110236227" right="0.59055118110236227" top="0.78740157480314965" bottom="0.39370078740157483" header="0.31496062992125984" footer="0.19685039370078741"/>
      <printOptions horizontalCentered="1"/>
      <pageSetup paperSize="9" scale="95" fitToHeight="0" orientation="portrait" r:id="rId1"/>
      <headerFooter>
        <oddHeader>&amp;C数理・データサイエンス・AI教育プログラム認定制度【リテラシーレベル】</oddHeader>
      </headerFooter>
    </customSheetView>
  </customSheetViews>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2"/>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7560A-9A56-564B-83CE-E9BADC7DB75F}">
  <sheetPr>
    <pageSetUpPr fitToPage="1"/>
  </sheetPr>
  <dimension ref="A1:I30"/>
  <sheetViews>
    <sheetView showZeros="0" view="pageBreakPreview" topLeftCell="A17" zoomScaleNormal="100" zoomScaleSheetLayoutView="100" workbookViewId="0">
      <selection activeCell="E17" sqref="E17:I17"/>
    </sheetView>
  </sheetViews>
  <sheetFormatPr defaultColWidth="11.375" defaultRowHeight="22.5" customHeight="1"/>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c r="A1" s="1" t="s">
        <v>67</v>
      </c>
      <c r="I1" s="21" t="s">
        <v>93</v>
      </c>
    </row>
    <row r="2" spans="1:9" ht="18.75" customHeight="1">
      <c r="H2" s="21" t="s">
        <v>96</v>
      </c>
      <c r="I2" s="20" t="s">
        <v>136</v>
      </c>
    </row>
    <row r="3" spans="1:9" ht="18.75" customHeight="1">
      <c r="A3" s="199" t="s">
        <v>28</v>
      </c>
      <c r="B3" s="199"/>
      <c r="C3" s="199"/>
      <c r="D3" s="199"/>
      <c r="E3" s="199"/>
      <c r="F3" s="199"/>
      <c r="G3" s="199"/>
      <c r="H3" s="199"/>
      <c r="I3" s="199"/>
    </row>
    <row r="4" spans="1:9" ht="18.75" customHeight="1">
      <c r="A4" s="5"/>
      <c r="B4" s="5"/>
      <c r="C4" s="5"/>
      <c r="D4" s="5"/>
      <c r="E4" s="5"/>
      <c r="F4" s="5"/>
      <c r="G4" s="5"/>
      <c r="H4" s="5"/>
      <c r="I4" s="5"/>
    </row>
    <row r="5" spans="1:9" ht="18.75" customHeight="1">
      <c r="A5" s="1" t="s">
        <v>0</v>
      </c>
      <c r="B5" s="9" t="s">
        <v>87</v>
      </c>
      <c r="C5" s="5"/>
      <c r="D5" s="5"/>
      <c r="E5" s="5"/>
      <c r="F5" s="5"/>
      <c r="G5" s="5"/>
      <c r="H5" s="5"/>
      <c r="I5" s="5"/>
    </row>
    <row r="6" spans="1:9" ht="26.25" customHeight="1">
      <c r="A6" s="5"/>
      <c r="B6" s="221" t="s">
        <v>132</v>
      </c>
      <c r="C6" s="279"/>
      <c r="D6" s="279"/>
      <c r="E6" s="279"/>
      <c r="F6" s="279"/>
      <c r="G6" s="279"/>
      <c r="H6" s="280"/>
      <c r="I6" s="3"/>
    </row>
    <row r="7" spans="1:9" ht="9" customHeight="1">
      <c r="A7" s="5"/>
      <c r="B7" s="9"/>
      <c r="C7" s="9"/>
      <c r="D7" s="9"/>
      <c r="E7" s="9"/>
      <c r="F7" s="9"/>
      <c r="G7" s="9"/>
      <c r="H7" s="9"/>
      <c r="I7" s="3"/>
    </row>
    <row r="8" spans="1:9" ht="18.75" customHeight="1">
      <c r="A8" s="5"/>
      <c r="B8" s="3"/>
      <c r="C8" s="3"/>
      <c r="D8" s="21" t="s">
        <v>42</v>
      </c>
      <c r="E8" s="22" t="s">
        <v>146</v>
      </c>
      <c r="F8" s="3"/>
      <c r="G8" s="21" t="s">
        <v>10</v>
      </c>
      <c r="H8" s="22" t="s">
        <v>145</v>
      </c>
      <c r="I8" s="3"/>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103" t="s">
        <v>24</v>
      </c>
      <c r="C11" s="104"/>
      <c r="D11" s="105"/>
      <c r="E11" s="104" t="s">
        <v>26</v>
      </c>
      <c r="F11" s="104"/>
      <c r="G11" s="104"/>
      <c r="H11" s="104"/>
      <c r="I11" s="105"/>
    </row>
    <row r="12" spans="1:9" ht="26.25" customHeight="1">
      <c r="B12" s="29" t="s">
        <v>14</v>
      </c>
      <c r="C12" s="36"/>
      <c r="D12" s="30"/>
      <c r="E12" s="37"/>
      <c r="F12" s="37"/>
      <c r="G12" s="37"/>
      <c r="H12" s="37"/>
      <c r="I12" s="30"/>
    </row>
    <row r="13" spans="1:9" ht="210.75" customHeight="1">
      <c r="B13" s="31"/>
      <c r="C13" s="274" t="s">
        <v>15</v>
      </c>
      <c r="D13" s="275"/>
      <c r="E13" s="276" t="s">
        <v>170</v>
      </c>
      <c r="F13" s="277"/>
      <c r="G13" s="277"/>
      <c r="H13" s="277"/>
      <c r="I13" s="278"/>
    </row>
    <row r="14" spans="1:9" ht="210.75" customHeight="1">
      <c r="B14" s="31"/>
      <c r="C14" s="269" t="s">
        <v>16</v>
      </c>
      <c r="D14" s="270"/>
      <c r="E14" s="271" t="s">
        <v>171</v>
      </c>
      <c r="F14" s="272"/>
      <c r="G14" s="272"/>
      <c r="H14" s="272"/>
      <c r="I14" s="273"/>
    </row>
    <row r="15" spans="1:9" ht="210.75" customHeight="1">
      <c r="B15" s="31"/>
      <c r="C15" s="274" t="s">
        <v>17</v>
      </c>
      <c r="D15" s="275"/>
      <c r="E15" s="271" t="s">
        <v>178</v>
      </c>
      <c r="F15" s="272"/>
      <c r="G15" s="272"/>
      <c r="H15" s="272"/>
      <c r="I15" s="273"/>
    </row>
    <row r="16" spans="1:9" ht="210.75" customHeight="1">
      <c r="B16" s="31"/>
      <c r="C16" s="274" t="s">
        <v>18</v>
      </c>
      <c r="D16" s="275"/>
      <c r="E16" s="281" t="s">
        <v>174</v>
      </c>
      <c r="F16" s="282"/>
      <c r="G16" s="282"/>
      <c r="H16" s="282"/>
      <c r="I16" s="283"/>
    </row>
    <row r="17" spans="2:9" ht="210.75" customHeight="1">
      <c r="B17" s="32"/>
      <c r="C17" s="284" t="s">
        <v>19</v>
      </c>
      <c r="D17" s="285"/>
      <c r="E17" s="286" t="s">
        <v>181</v>
      </c>
      <c r="F17" s="287"/>
      <c r="G17" s="287"/>
      <c r="H17" s="287"/>
      <c r="I17" s="288"/>
    </row>
    <row r="18" spans="2:9" ht="24" customHeight="1">
      <c r="B18" s="29" t="s">
        <v>20</v>
      </c>
      <c r="C18" s="33"/>
      <c r="D18" s="34"/>
      <c r="E18" s="35"/>
      <c r="F18" s="35"/>
      <c r="G18" s="35"/>
      <c r="H18" s="35"/>
      <c r="I18" s="38"/>
    </row>
    <row r="19" spans="2:9" ht="218.25" customHeight="1">
      <c r="B19" s="31"/>
      <c r="C19" s="274" t="s">
        <v>21</v>
      </c>
      <c r="D19" s="275"/>
      <c r="E19" s="282" t="s">
        <v>172</v>
      </c>
      <c r="F19" s="282"/>
      <c r="G19" s="282"/>
      <c r="H19" s="282"/>
      <c r="I19" s="283"/>
    </row>
    <row r="20" spans="2:9" ht="218.25" customHeight="1">
      <c r="B20" s="32"/>
      <c r="C20" s="284" t="s">
        <v>22</v>
      </c>
      <c r="D20" s="285"/>
      <c r="E20" s="294" t="s">
        <v>173</v>
      </c>
      <c r="F20" s="295"/>
      <c r="G20" s="295"/>
      <c r="H20" s="295"/>
      <c r="I20" s="296"/>
    </row>
    <row r="21" spans="2:9" ht="218.25" customHeight="1">
      <c r="B21" s="297" t="s">
        <v>23</v>
      </c>
      <c r="C21" s="298"/>
      <c r="D21" s="299"/>
      <c r="E21" s="300" t="s">
        <v>177</v>
      </c>
      <c r="F21" s="301"/>
      <c r="G21" s="301"/>
      <c r="H21" s="301"/>
      <c r="I21" s="302"/>
    </row>
    <row r="22" spans="2:9" ht="218.25" customHeight="1">
      <c r="B22" s="289" t="s">
        <v>128</v>
      </c>
      <c r="C22" s="290"/>
      <c r="D22" s="291"/>
      <c r="E22" s="292" t="s">
        <v>176</v>
      </c>
      <c r="F22" s="292"/>
      <c r="G22" s="292"/>
      <c r="H22" s="292"/>
      <c r="I22" s="293"/>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2"/>
      <c r="C28" s="12"/>
      <c r="D28" s="12"/>
      <c r="E28" s="12"/>
      <c r="F28" s="12"/>
      <c r="G28" s="12"/>
      <c r="H28" s="12"/>
      <c r="I28" s="12"/>
    </row>
    <row r="29" spans="2:9" ht="22.5" customHeight="1">
      <c r="B29" s="12"/>
      <c r="C29" s="12"/>
      <c r="D29" s="12"/>
      <c r="E29" s="12"/>
      <c r="F29" s="12"/>
      <c r="G29" s="12"/>
      <c r="H29" s="12"/>
      <c r="I29" s="12"/>
    </row>
    <row r="30" spans="2:9" ht="22.5" customHeight="1">
      <c r="B30" s="12"/>
      <c r="C30" s="12"/>
      <c r="D30" s="12"/>
      <c r="E30" s="12"/>
      <c r="F30" s="12"/>
      <c r="G30" s="12"/>
      <c r="H30" s="12"/>
      <c r="I30" s="12"/>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高木一</cp:lastModifiedBy>
  <cp:lastPrinted>2024-06-13T01:30:34Z</cp:lastPrinted>
  <dcterms:created xsi:type="dcterms:W3CDTF">2011-06-14T05:32:50Z</dcterms:created>
  <dcterms:modified xsi:type="dcterms:W3CDTF">2024-06-13T01:51:25Z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