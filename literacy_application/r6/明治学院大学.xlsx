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24226"/>
  <mc:AlternateContent xmlns:mc="http://schemas.openxmlformats.org/markup-compatibility/2006">
    <mc:Choice Requires="x15">
      <x15ac:absPath xmlns:x15ac="http://schemas.microsoft.com/office/spreadsheetml/2010/11/ac" url="J:\Somu\1_総務課\庶務１係\00_文部科学省\02_調査\03_2023年度\20240305_ 【文部科学省：周知】「数理・データサイエンス・ＡＩ教育プログラム認定制度（リテラシーレベル応用基礎レベル）」の公募開始について\4_提出用\再提出\"/>
    </mc:Choice>
  </mc:AlternateContent>
  <xr:revisionPtr revIDLastSave="0" documentId="13_ncr:1_{4E613D0B-3961-472B-9E3C-3940C7118318}" xr6:coauthVersionLast="36" xr6:coauthVersionMax="36" xr10:uidLastSave="{00000000-0000-0000-0000-000000000000}"/>
  <bookViews>
    <workbookView xWindow="0" yWindow="0" windowWidth="21732" windowHeight="1664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5"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<sst xmlns="http://schemas.openxmlformats.org/spreadsheetml/2006/main" count="297" uniqueCount="190">
  <si>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</si>
  <si>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</si>
  <si>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</si>
  <si>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明治学院大学</t>
    <rPh sb="0" eb="2">
      <t>メイジ</t>
    </rPh>
    <rPh sb="2" eb="4">
      <t>ガクイン</t>
    </rPh>
    <rPh sb="4" eb="6">
      <t>ダイガク</t>
    </rPh>
    <phoneticPr fontId="1"/>
  </si>
  <si>
    <t>プログラム名</t>
    <rPh sb="5" eb="6">
      <t>メイ</t>
    </rPh>
    <phoneticPr fontId="1"/>
  </si>
  <si>
    <t>AI・データサイエンス教育プログラム</t>
    <rPh sb="11" eb="13">
      <t>キョウイク</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</si>
  <si>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</si>
  <si>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</si>
  <si>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</si>
  <si>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</si>
  <si>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</si>
  <si>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</si>
  <si>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</si>
  <si>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</si>
  <si>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</si>
  <si>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</si>
  <si>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</si>
  <si>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</si>
  <si>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</si>
  <si>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</si>
  <si>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</si>
  <si>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</si>
  <si>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AI・データサイエンス入門</t>
    <rPh sb="11" eb="13">
      <t>ニュウモン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</si>
  <si>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</si>
  <si>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</si>
  <si>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</si>
  <si>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</si>
  <si>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</si>
  <si>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</si>
  <si>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</si>
  <si>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</si>
  <si>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</si>
  <si>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</si>
  <si>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</si>
  <si>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</si>
  <si>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</si>
  <si>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</si>
  <si>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</si>
  <si>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</si>
  <si>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</si>
  <si>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4‐8データ活用実践（教師あり学習）</t>
  </si>
  <si>
    <t>4‐2アルゴリズム基礎</t>
  </si>
  <si>
    <t>4‐9データ活用実践（教師なし学習）</t>
  </si>
  <si>
    <t>4‐3データ構造とプログラミング基礎</t>
  </si>
  <si>
    <t>4‐4時系列データ解析</t>
  </si>
  <si>
    <t>4‐5テキスト解析</t>
  </si>
  <si>
    <t>4‐6画像解析</t>
  </si>
  <si>
    <t>4‐7データハンドリング</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</si>
  <si>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</si>
  <si>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</si>
  <si>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</si>
  <si>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</si>
  <si>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・ビッグデータ、IoT、AI、生成AI、ロボット「AI・データサイエンス入門」(2,4,6回目)
・データ量の増加、計算機の処理性能の向上、AIの非連続的進化「AI・データサイエンス入門」(1,2,8回目)
・第4次産業革命、Society 5.0、データ駆動型社会「AI・データサイエンス入門」(1,2回目)
・複数技術を組み合わせたAIサービス「AI・データサイエンス入門」(5回目)
・人間の知的活動とAIの関係性「AI・データサイエンス入門」(9,10回目)
・データを起点としたものの見方、人間の知的活動を起点としたものの見方「AI・データサイエンス入門」(1,9回目)</t>
    <phoneticPr fontId="1"/>
  </si>
  <si>
    <t>1-6</t>
    <phoneticPr fontId="1"/>
  </si>
  <si>
    <t>・AI最新技術の活用例（深層生成モデル、強化学習、転移学習、生成AIなど）「AI・データサイエンス入門」(10回目)
・AI等を活用した新しいビジネスモデル(シェアリングエコノミー、商品のレコメンデーションなど)「AI・データサイエンス入門」(4回目)
・基盤モデル、大規模言語モデル、拡散モデル「AI・データサイエンス入門」(6,10回目)</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</si>
  <si>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</si>
  <si>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・調査データ、実験データ、人の行動ログデータ、機械の稼働ログデータなど「AI・データサイエンス入門」(4回目)
・1次データ、2次データ、データのメタ化「AI・データサイエンス入門」(4回目)
・構造化データ、非構造化データ（文章、画像/動画、音声/音楽など）「AI・データサイエンス入門」(6回目)
・データ作成（ビッグデータとアノテーション）「AI・データサイエンス入門」(4回目)
・データのオープン化（オープンデータ）「AI・データサイエンス入門」(4回目)</t>
    <phoneticPr fontId="1"/>
  </si>
  <si>
    <t>・データ・AI活用領域の広がり(生産、消費、文化活動など)「AI・データサイエンス入門」(3,5回目)
・研究開発、調達、製造、物流、販売、マーケティング、サービスなど「AI・データサイエンス入門」(5回目)
・仮説検証、知識発見、原因究明、計画策定、判断支援、活動代替、新規生成など「AI・データサイエンス入門」(8回目)
・対話、コンテンツ生成、翻訳・要約・執筆支援、コーディング支援など生成AIの応用「AI・データサイエンス入門」(6,10回目)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</si>
  <si>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</si>
  <si>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・データ解析：予測、グルーピング、パターン発見、最適化、モデル化とシミュレーション・データ同化など「AI・データサイエンス入門」(6,7回目)
・データ可視化：複合グラフ、2軸グラフ、多次元の可視化、関係性の可視化、地図上の可視化、挙動・軌跡の可視化、リアルタイム可視化など「AI・データサイエンス入門」(8回目)
・非構造化データ処理：言語処理、画像/動画処理、音声/音楽処理など「AI・データサイエンス入門」(6回目)
・特化型AIと汎用AI、今のAIで出来ることと出来ないこと、AIとビッグデータ「AI・データサイエンス入門」(8,10回目)
・認識技術、ルールベース、自動化技術「AI・データサイエンス入門」(8,9回目)</t>
    <phoneticPr fontId="1"/>
  </si>
  <si>
    <t>・データサイエンスのサイクル（課題抽出と定式化、データの取得・管理・加工、探索的データ解析、データ解析と推論、結果の共有・伝達、課題解決に向けた提案）「AI・データサイエンス入門」(9回目)
・教育、芸術、流通、製造、金融、サービス、インフラ、公共、ヘルスケア等におけるデータ・AI利活用事例紹介「AI・データサイエンス入門」(3,4回目)</t>
    <phoneticPr fontId="1"/>
  </si>
  <si>
    <t>（４）活用に当たっての様々な留意事項（ELSI、個人情報、データ倫理、ＡＩ社会原則等）を考慮し、情報セキュリティや情報漏洩等、データを守る上での留意事項への理解をする</t>
    <phoneticPr fontId="1"/>
  </si>
  <si>
    <t>・倫理的・法的・社会的課題（ELSI：Ethical, Legal and Social Issues）「AI・データサイエンス入門」(15回目)
・個人情報保護、EU一般データ保護規則(GDPR)、忘れられる権利、オプトアウト「AI・データサイエンス入門」(15回目)
・データ倫理：データのねつ造、改ざん、盗用、プライバシー保護「AI・データサイエンス入門」(14回目)
・AI社会原則（公平性、説明責任、透明性、人間中心の判断）「AI・データサイエンス入門」(14回目)
・データバイアス、アルゴリズムバイアス「AI・データサイエンス入門」(14回目)
・AIサービスの責任論「AI・データサイエンス入門」(14回目)
・データガバナンス「AI・データサイエンス入門」(14回目)
・データ・AI活用における負の事例紹介「AI・データサイエンス入門」(11,14,15回目)
・生成AIの留意事項（ハルシネーションによる誤情報の生成、偽情報や有害コンテンツの生成・氾濫 など）「AI・データサイエンス入門」(15回目)</t>
    <phoneticPr fontId="1"/>
  </si>
  <si>
    <t>・情報セキュリティの3要素（機密性、完全性、可用性）「AI・データサイエンス入門」(15回目)
・匿名加工情報、暗号化と復号、ユーザ認証と、パスワード、アクセス制御、悪意ある情報搾取「AI・データサイエンス入門」(2回目)
・情報漏洩等によるセキュリティ事故の事例紹介「AI・データサイエンス入門」(15回目)
・サイバーセキュリティ「AI・データサイエンス入門」(2,15回目)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</si>
  <si>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</si>
  <si>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</si>
  <si>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・データの種類（量的変数、質的変数）「AI・データサイエンス入門」(11回目)
・データの分布(ヒストグラム)と代表値（平均値、中央値、最頻値）「AI・データサイエンス入門」(3回目)
・代表値の性質の違い（実社会では平均値＝最頻値でないことが多い）「AI・データサイエンス入門」(3回目)
・データのばらつき（分散、標準偏差、偏差値）、外れ値「AI・データサイエンス入門」(3回目)
・相関と因果（相関係数、擬似相関、交絡）「AI・データサイエンス入門」(3回目)
・観測データに含まれる誤差の扱い「AI・データサイエンス入門」(3回目)
・打ち切りや欠測を含むデータ、層別の必要なデータ「AI・データサイエンス入門」(11回目)
・母集団と標本抽出（国勢調査、アンケート調査、全数調査、単純無作為抽出、層別抽出、多段抽出）「AI・データサイエンス入門」(3,11回目)
・クロス集計表、分割表、相関係数行列、散布図行列「AI・データサイエンス入門」(3,4回目)
・統計情報の正しい理解（誇張表現に惑わされない）「AI・データサイエンス入門」(3,4回目)</t>
    <phoneticPr fontId="1"/>
  </si>
  <si>
    <t>・データ表現（棒グラフ、折線グラフ、散布図、ヒートマップ、箱ひげ図）「AI・データサイエンス入門」(3,8回目)
・データの比較（条件をそろえた比較、処理の前後での比較、A/Bテスト)「AI・データサイエンス入門」(9回目)
・優れた可視化事例の紹介（可視化することによって新たな気づきがあった事例など）「AI・データサイエンス入門」(回目)
・相手に的確かつ正確に情報を伝える技術や考え方（スライド作成，プレゼンテーションなど）「AI・データサイエンス入門」(8回目)</t>
    <phoneticPr fontId="1"/>
  </si>
  <si>
    <t>・データの取得（機械判読可能なデータの作成・表記方法）「AI・データサイエンス入門」(6,13回目)
・データの集計（和、平均）「AI・データサイエンス入門」(13回目)
・データの並び替え、ランキング「AI・データサイエンス入門」(13回目)
・データ解析ツール（スプレッドシート、BIツール）「AI・データサイエンス入門」(13回目)
・表形式のデータ（csv）「AI・データサイエンス入門」(13回目)</t>
    <phoneticPr fontId="1"/>
  </si>
  <si>
    <t>⑪ プログラムの学修成果（学生等が身に付けられる能力等）</t>
    <phoneticPr fontId="1"/>
  </si>
  <si>
    <t>・現代社会におけるデータサイエンスの重要性について説明できる。
・データサイエンスを構成する要素技術の概念を理解し、実用事例について、要素技術単位に分解してデータ処理の流れや特徴を説明し、全体を通して可能なことやその限界・リスクについて説明することができる。
・現代社会の典型的な課題について、内容に応じて手法を選択し、AIを適用して解決するプランを提案することができる。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</si>
  <si>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</si>
  <si>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</si>
  <si>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</si>
  <si>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</si>
  <si>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</si>
  <si>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</si>
  <si>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</si>
  <si>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</si>
  <si>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</si>
  <si>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</si>
  <si>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</si>
  <si>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</si>
  <si>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</si>
  <si>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</si>
  <si>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</si>
  <si>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</si>
  <si>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</si>
  <si>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</si>
  <si>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</si>
  <si>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</si>
  <si>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</si>
  <si>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</si>
  <si>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</si>
  <si>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</si>
  <si>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</si>
  <si>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</si>
  <si>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</si>
  <si>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</si>
  <si>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</si>
  <si>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</si>
  <si>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</si>
  <si>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</si>
  <si>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文学部</t>
    <rPh sb="0" eb="3">
      <t>ブンガクブ</t>
    </rPh>
    <phoneticPr fontId="1"/>
  </si>
  <si>
    <t>経済学部</t>
    <rPh sb="0" eb="2">
      <t>ケイザイ</t>
    </rPh>
    <rPh sb="2" eb="4">
      <t>ガクブ</t>
    </rPh>
    <phoneticPr fontId="1"/>
  </si>
  <si>
    <t>社会学部</t>
    <rPh sb="3" eb="4">
      <t>ブ</t>
    </rPh>
    <phoneticPr fontId="1"/>
  </si>
  <si>
    <t>法学部</t>
    <rPh sb="0" eb="3">
      <t>ホウガクブ</t>
    </rPh>
    <phoneticPr fontId="1"/>
  </si>
  <si>
    <t>国際学部</t>
    <rPh sb="0" eb="2">
      <t>コクサイ</t>
    </rPh>
    <rPh sb="2" eb="4">
      <t>ガクブ</t>
    </rPh>
    <phoneticPr fontId="1"/>
  </si>
  <si>
    <t>心理学部</t>
    <rPh sb="0" eb="3">
      <t>シンリガク</t>
    </rPh>
    <rPh sb="3" eb="4">
      <t>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</si>
  <si>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</si>
  <si>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</si>
  <si>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</si>
  <si>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</si>
  <si>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</si>
  <si>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</si>
  <si>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</si>
  <si>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</si>
  <si>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</si>
  <si>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</si>
  <si>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</si>
  <si>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</si>
  <si>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</si>
  <si>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湯澤　英彦</t>
    <rPh sb="0" eb="2">
      <t>ユザワ</t>
    </rPh>
    <rPh sb="3" eb="5">
      <t>ヒデヒコ</t>
    </rPh>
    <phoneticPr fontId="1"/>
  </si>
  <si>
    <t>（役職名）</t>
    <rPh sb="1" eb="4">
      <t>ヤクショクメイ</t>
    </rPh>
    <phoneticPr fontId="1"/>
  </si>
  <si>
    <t>副学長</t>
    <rPh sb="0" eb="3">
      <t>フクガクチョウ</t>
    </rPh>
    <phoneticPr fontId="1"/>
  </si>
  <si>
    <t>④</t>
    <phoneticPr fontId="1"/>
  </si>
  <si>
    <t>プログラムを改善・進化させるための体制（委員会・組織等）</t>
    <phoneticPr fontId="1"/>
  </si>
  <si>
    <t>AI・データサイエンス教育実施委員会</t>
    <rPh sb="11" eb="13">
      <t>キョウイク</t>
    </rPh>
    <rPh sb="13" eb="15">
      <t>ジッシ</t>
    </rPh>
    <rPh sb="15" eb="18">
      <t>イインカイ</t>
    </rPh>
    <phoneticPr fontId="1"/>
  </si>
  <si>
    <t>⑤</t>
    <phoneticPr fontId="1"/>
  </si>
  <si>
    <t>プログラムを改善・進化させるための体制を定める規則名称</t>
    <phoneticPr fontId="1"/>
  </si>
  <si>
    <t>明治学院大学AI・データサイエンス教育実施委員会規程</t>
    <rPh sb="0" eb="2">
      <t>メイジ</t>
    </rPh>
    <rPh sb="2" eb="4">
      <t>ガクイン</t>
    </rPh>
    <rPh sb="4" eb="6">
      <t>ダイガク</t>
    </rPh>
    <rPh sb="17" eb="19">
      <t>キョウイク</t>
    </rPh>
    <rPh sb="19" eb="21">
      <t>ジッシ</t>
    </rPh>
    <rPh sb="21" eb="24">
      <t>イインカイ</t>
    </rPh>
    <rPh sb="24" eb="26">
      <t>キテイ</t>
    </rPh>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</si>
  <si>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</si>
  <si>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</si>
  <si>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</si>
  <si>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</si>
  <si>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</si>
  <si>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</si>
  <si>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</si>
  <si>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</si>
  <si>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</si>
  <si>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</si>
  <si>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</si>
  <si>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</si>
  <si>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</si>
  <si>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</si>
  <si>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</si>
  <si>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</si>
  <si>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</si>
  <si>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</si>
  <si>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</si>
  <si>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</si>
  <si>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</si>
  <si>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</si>
  <si>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</si>
  <si>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</si>
  <si>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</si>
  <si>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</si>
  <si>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</si>
  <si>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</si>
  <si>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</si>
  <si>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</si>
  <si>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</si>
  <si>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</si>
  <si>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</si>
  <si>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</si>
  <si>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</si>
  <si>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</si>
  <si>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</si>
  <si>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</si>
  <si>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文系のTAに講義動画を視聴してもらい、より分かりやすくなるように動画を修正してから公開している。さらに毎回アンケートを取り、講義資料の改善につなげている。例えば、春学期で難易度が高いと指摘された単元について教材を改善したところ、秋学期のアンケート結果は概ね平準化された。
発展著しいAIの最新動向については、当該分野を専門とする教員が担当することで、継続的にキャッチアップし教材に反映していく。
さらに、年に3回「AI・データサイエンス教育実施委員会」を開催し、履修生の学修状況を検証し、改善につなげるとともに、ＡＩの発展に付随する社会の変化についても、学内の専門教員にコメントを求め、教材に反映していく。</t>
    <phoneticPr fontId="1"/>
  </si>
  <si>
    <t>自然言語処理における生成AIの発展について、Transformerの登場からChatGPTの誕生までを振り返りながら解説し、ChatGPTが知能と言えるかどうか、チューリングテストや中国語の部屋等の議論を紹介しながら考える講義を行った。さらに、講義後に、ChatGPTの学業への利用の可否や、信頼性、結果を鵜呑みにするリスクなどについて、学生にアンケートを行い、今現在、学生がChatGPTをどう捉えているのか明らかにし、問題意識を共有した。
その他に、GANやStable Diffusion等の画像系生成AIについても触れて、何を持って創作というのか、その基準が揺れている現状について、著作権やプライバシー問題も絡めて、議論されている論点を整理した。</t>
    <phoneticPr fontId="1"/>
  </si>
  <si>
    <t>具体的な計画</t>
    <phoneticPr fontId="1"/>
  </si>
  <si>
    <t>授業評価アンケートに履修の動機を尋ねる設問があり、授業評価に回答した学生216名中94名が「友人・先輩のすすめ」と回答しており、43.5%の学生が、春学期履修生の推奨により履修していることが分かる。このことより、本講義の推奨度は高いと推察される。また、授業内で実施したアンケートからも「後輩に勧めたい」といった記述が複数の学生からあり、こちらからも他学生への推奨度が高いことが分かる。</t>
    <rPh sb="126" eb="128">
      <t>ジュギョウ</t>
    </rPh>
    <rPh sb="128" eb="129">
      <t>ナイ</t>
    </rPh>
    <rPh sb="130" eb="132">
      <t>ジッシ</t>
    </rPh>
    <rPh sb="143" eb="145">
      <t>コウハイ</t>
    </rPh>
    <rPh sb="146" eb="147">
      <t>スス</t>
    </rPh>
    <rPh sb="155" eb="157">
      <t>キジュツ</t>
    </rPh>
    <rPh sb="158" eb="160">
      <t>フクスウ</t>
    </rPh>
    <rPh sb="161" eb="163">
      <t>ガクセイ</t>
    </rPh>
    <rPh sb="174" eb="175">
      <t>タ</t>
    </rPh>
    <rPh sb="175" eb="177">
      <t>ガクセイ</t>
    </rPh>
    <rPh sb="179" eb="181">
      <t>スイショウ</t>
    </rPh>
    <rPh sb="181" eb="182">
      <t>ド</t>
    </rPh>
    <rPh sb="183" eb="184">
      <t>タカ</t>
    </rPh>
    <rPh sb="188" eb="189">
      <t>ワ</t>
    </rPh>
    <phoneticPr fontId="1"/>
  </si>
  <si>
    <t>【委員長】
　担当副学長：湯澤　英彦（文学部・教授）
【委員】
　明治学院共通科目教育機構諸領域教育部会長：黒川　貞生（教養教育センター・教授）　
　教務部長：小林　潤一郎（心理学部・教授）
　専門的知見を持った教員：
　　小林　正人（経済学部・教授）
　　大久保　遼（社会学部・准教授）
　　櫻井　成一朗（法学部・教授）
　ＡＩ・データサイエンス教育プログラムの科目担当教員：永田　毅（文学部・特命教授）
　</t>
    <rPh sb="14" eb="15">
      <t>サワ</t>
    </rPh>
    <rPh sb="58" eb="59">
      <t>イ</t>
    </rPh>
    <phoneticPr fontId="1"/>
  </si>
  <si>
    <t>プログラム修了認定　『ベーシック』（4科目8単位を取得）
レベル1　必修科目「AI・データサイエンス入門」
レベル2　必修科目「データ解析・活用入門」、「プログラミング入門」
　　　　　　選択科目「統計学1」、「統計学2」、「AIと人間」
このうち、レベル1　「AI・データサイエンス入門」（2単位）の修得をもってリテラシーレベルを修了したこととする。</t>
    <rPh sb="5" eb="7">
      <t>シュウリョウ</t>
    </rPh>
    <rPh sb="7" eb="9">
      <t>ニンテイ</t>
    </rPh>
    <rPh sb="20" eb="22">
      <t>カモク</t>
    </rPh>
    <rPh sb="23" eb="25">
      <t>タンイ</t>
    </rPh>
    <rPh sb="26" eb="28">
      <t>シュトク</t>
    </rPh>
    <rPh sb="36" eb="38">
      <t>ヒッシュウ</t>
    </rPh>
    <rPh sb="38" eb="40">
      <t>カモク</t>
    </rPh>
    <rPh sb="61" eb="63">
      <t>ヒッシュウ</t>
    </rPh>
    <rPh sb="63" eb="65">
      <t>カモク</t>
    </rPh>
    <rPh sb="96" eb="98">
      <t>センタク</t>
    </rPh>
    <rPh sb="98" eb="100">
      <t>カモク</t>
    </rPh>
    <rPh sb="108" eb="111">
      <t>トウケイガク</t>
    </rPh>
    <rPh sb="150" eb="152">
      <t>タンイ</t>
    </rPh>
    <rPh sb="154" eb="156">
      <t>シュウトク</t>
    </rPh>
    <rPh sb="169" eb="171">
      <t>シュウリョウ</t>
    </rPh>
    <phoneticPr fontId="1"/>
  </si>
  <si>
    <t>明治学院大学</t>
  </si>
  <si>
    <t xml:space="preserve">学生が興味関心を示しやすいテーマ、例えば、恋愛とベイズ推定、スポーツと統計、平均顔はなぜ美男美女なのか、周波数解析と音楽（ボカロ）等を扱うよう心がけている。こうした試みは好評であり、自ら発展的な内容を調査する学生が出てくるなど、学生自身の主体的な学びに直結している様子が見て取れるため、今後もこうした工夫を続けていく。
また、講義内から8件の学生参加型研究プロジェクトが立ち上がり、社会的問題の解決につながるようなものも含まれている。プロジェクトのひとつは、日本顔学会の年次大会で受賞するなど、プロジェクトを通して、学ぶ楽しさ・学ぶことの意義について学生が実感できるような活動につながっている。このような学生の自主的な取り組みを今後もサポートしエンカレッジしていく。
</t>
    <rPh sb="171" eb="173">
      <t>ガクセイ</t>
    </rPh>
    <rPh sb="173" eb="175">
      <t>サンカ</t>
    </rPh>
    <rPh sb="175" eb="176">
      <t>ガタ</t>
    </rPh>
    <rPh sb="191" eb="194">
      <t>シャカイテキ</t>
    </rPh>
    <rPh sb="194" eb="196">
      <t>モンダイ</t>
    </rPh>
    <rPh sb="197" eb="199">
      <t>カイケツ</t>
    </rPh>
    <rPh sb="210" eb="211">
      <t>フク</t>
    </rPh>
    <rPh sb="264" eb="265">
      <t>マナ</t>
    </rPh>
    <phoneticPr fontId="1"/>
  </si>
  <si>
    <t xml:space="preserve">教務部において、プログラムの履修・単位取得状況の抽出が可能であり、教務システムの活用により、受講者毎のプログラム（ベーシック）修了に向けた進捗状況を把握することができる。学生自身も教務システムやmanaba（LMS）のポートフォリオ機能を活用することで、修了要件と自身の進捗度を確認できる。また、学内における修了認定制度においては、学内で初となるオープンバッジでの修了証の発行を計画している。
</t>
    <rPh sb="0" eb="2">
      <t>キョウム</t>
    </rPh>
    <rPh sb="17" eb="19">
      <t>タンイ</t>
    </rPh>
    <rPh sb="24" eb="26">
      <t>チュウシュツ</t>
    </rPh>
    <rPh sb="27" eb="29">
      <t>カノウ</t>
    </rPh>
    <rPh sb="33" eb="35">
      <t>キョウム</t>
    </rPh>
    <rPh sb="63" eb="65">
      <t>シュウリョウ</t>
    </rPh>
    <rPh sb="66" eb="67">
      <t>ム</t>
    </rPh>
    <rPh sb="85" eb="87">
      <t>ガクセイ</t>
    </rPh>
    <rPh sb="87" eb="89">
      <t>ジシン</t>
    </rPh>
    <rPh sb="90" eb="92">
      <t>キョウム</t>
    </rPh>
    <rPh sb="116" eb="118">
      <t>キノウ</t>
    </rPh>
    <rPh sb="119" eb="121">
      <t>カツヨウ</t>
    </rPh>
    <rPh sb="127" eb="129">
      <t>シュウリョウ</t>
    </rPh>
    <rPh sb="129" eb="131">
      <t>ヨウケン</t>
    </rPh>
    <rPh sb="132" eb="134">
      <t>ジシン</t>
    </rPh>
    <rPh sb="135" eb="137">
      <t>シンチョク</t>
    </rPh>
    <rPh sb="137" eb="138">
      <t>ド</t>
    </rPh>
    <rPh sb="139" eb="141">
      <t>カクニン</t>
    </rPh>
    <rPh sb="148" eb="150">
      <t>ガクナイ</t>
    </rPh>
    <rPh sb="154" eb="156">
      <t>シュウリョウ</t>
    </rPh>
    <rPh sb="156" eb="158">
      <t>ニンテイ</t>
    </rPh>
    <rPh sb="158" eb="160">
      <t>セイド</t>
    </rPh>
    <rPh sb="166" eb="168">
      <t>ガクナイ</t>
    </rPh>
    <rPh sb="169" eb="170">
      <t>ハツ</t>
    </rPh>
    <rPh sb="182" eb="184">
      <t>シュウリョウ</t>
    </rPh>
    <rPh sb="184" eb="185">
      <t>ショウ</t>
    </rPh>
    <rPh sb="186" eb="188">
      <t>ハッコウ</t>
    </rPh>
    <rPh sb="189" eb="191">
      <t>ケイカク</t>
    </rPh>
    <phoneticPr fontId="1"/>
  </si>
  <si>
    <t>本科目の担当教員は、民間シンクタンクに勤務しながら科目を担当したため、産業界から見ても有益な講義内容となるよう配慮されており、民間シンクタンクからプログラムの実施に関する計画立案についてのコンサルティングも受けている。さらに、産業界からの視点をプログラム改良に生かすため、企業からの意見を継続的に取り入れる仕組みを構築する。
数理・データサイエンス教育強化拠点コンソーシアムへの所属を検討し、更なる情報収集に努めていく。
また、令和６年度に開設した情報数理学部とも連携し、AI (人工知能)を中心として急速に発展する情報科学の知見を取り入れながら、新しく柔軟なプログラムの構築と継続・発展を目指す。</t>
    <rPh sb="0" eb="1">
      <t>ホン</t>
    </rPh>
    <rPh sb="1" eb="3">
      <t>カモク</t>
    </rPh>
    <rPh sb="25" eb="27">
      <t>カモク</t>
    </rPh>
    <rPh sb="28" eb="30">
      <t>タントウ</t>
    </rPh>
    <rPh sb="63" eb="65">
      <t>ミンカン</t>
    </rPh>
    <rPh sb="79" eb="81">
      <t>ジッシ</t>
    </rPh>
    <rPh sb="82" eb="83">
      <t>カン</t>
    </rPh>
    <rPh sb="85" eb="87">
      <t>ケイカク</t>
    </rPh>
    <rPh sb="87" eb="89">
      <t>リツアン</t>
    </rPh>
    <rPh sb="103" eb="104">
      <t>ウ</t>
    </rPh>
    <rPh sb="113" eb="116">
      <t>サンギョウカイ</t>
    </rPh>
    <rPh sb="119" eb="121">
      <t>シテン</t>
    </rPh>
    <rPh sb="127" eb="129">
      <t>カイリョウ</t>
    </rPh>
    <rPh sb="130" eb="131">
      <t>イ</t>
    </rPh>
    <rPh sb="136" eb="138">
      <t>キギョウ</t>
    </rPh>
    <rPh sb="141" eb="143">
      <t>イケン</t>
    </rPh>
    <rPh sb="144" eb="147">
      <t>ケイゾクテキ</t>
    </rPh>
    <rPh sb="148" eb="149">
      <t>ト</t>
    </rPh>
    <rPh sb="150" eb="151">
      <t>イ</t>
    </rPh>
    <rPh sb="153" eb="155">
      <t>シク</t>
    </rPh>
    <rPh sb="157" eb="159">
      <t>コウチク</t>
    </rPh>
    <phoneticPr fontId="1"/>
  </si>
  <si>
    <t>「AI・データサイエンス入門」において、自然言語処理における生成AIの発展について、Transformerの登場からChatGPTの誕生までを振り返りながら解説し、ChatGPTが知能と言えるかどうか、チューリングテストや中国語の部屋等の議論を紹介しながら考える講義を行った。さらに、講義後に、ChatGPTの学業への利用の可否や、信頼性、結果を鵜呑みにするリスクなどについて、学生にアンケートを行い、今現在、学生がChatGPTをどう捉えているのか明らかにし、問題意識を共有した。
その他に、GANやStable Diffusion等の画像系生成AIについても触れて、何を持って創作というのか、その基準が揺れている現状について、著作権やプライバシー問題も絡めて、議論されている論点を整理した。</t>
    <rPh sb="12" eb="14">
      <t>ニュウモン</t>
    </rPh>
    <phoneticPr fontId="1"/>
  </si>
  <si>
    <t>本学における全学生を対象としたＡＩ・データサイエンス教育の推進に関する重要な事項を審議することを目的として、令和5年度に明治学院大学ＡＩ・データサイエンス教育実施委員会を設置した。申請プログラムにおいては、科目運営全般についての計画立案、および自己点検・評価を踏まえた改善等の推進の役割を当該委員会において担う。</t>
    <rPh sb="122" eb="124">
      <t>ジコ</t>
    </rPh>
    <phoneticPr fontId="1"/>
  </si>
  <si>
    <t>新入生用のガイダンスでの告知や、履修要項や特設ホームページでの広報活動を積極的に展開し、プログラムの認知度向上に努めている。その結果として、プログラム開始初年度の令和５年度には2,400名を超えるの学生が「AI・データサイエンス入門」を履修したため、次年度はより上級レベルの科目の履修に進むよう在学生向けの広報活動にもさらに力を入れていく。</t>
    <rPh sb="93" eb="94">
      <t>メイ</t>
    </rPh>
    <rPh sb="95" eb="96">
      <t>コ</t>
    </rPh>
    <phoneticPr fontId="1"/>
  </si>
  <si>
    <t>全学部生が履修可能な明治学院共通科目として当該科目を配置している。また、オンデマンドで開講しているため、所属学科の時間割に捉われることなく受講が可能となる環境を提供している。また、当該科目では数学に不慣れな学生にも配慮し、極力数式を使わずに授業を進めている。</t>
    <rPh sb="0" eb="1">
      <t>ゼン</t>
    </rPh>
    <rPh sb="1" eb="3">
      <t>ガクブ</t>
    </rPh>
    <rPh sb="3" eb="4">
      <t>セイ</t>
    </rPh>
    <rPh sb="5" eb="7">
      <t>リシュウ</t>
    </rPh>
    <rPh sb="7" eb="9">
      <t>カノウ</t>
    </rPh>
    <rPh sb="10" eb="12">
      <t>メイジ</t>
    </rPh>
    <rPh sb="12" eb="14">
      <t>ガクイン</t>
    </rPh>
    <rPh sb="14" eb="16">
      <t>キョウツウ</t>
    </rPh>
    <rPh sb="16" eb="18">
      <t>カモク</t>
    </rPh>
    <rPh sb="21" eb="23">
      <t>トウガイ</t>
    </rPh>
    <rPh sb="23" eb="25">
      <t>カモク</t>
    </rPh>
    <rPh sb="26" eb="28">
      <t>ハイチ</t>
    </rPh>
    <phoneticPr fontId="1"/>
  </si>
  <si>
    <t>オンデマンドでの開講にあたり、複数のTAを雇用して授業サポートに当てることで、履修人数に制限を設けることなく、授業運営が出来ている。周知方法については、各学部の履修要項にプログラムの紹介を掲載しているほか、プログラムの関連科目群が置かれている「明治学院共通科目」に関わるガイダンス資料やハンドブック等、複数の媒体・機会を用いて学生に対して周知を行っている。</t>
    <phoneticPr fontId="1"/>
  </si>
  <si>
    <t>当該科目は定員を設けず、初年度から多くの学生が履修できる体制を整えた結果、年間2,400名を超える学生が履修した。オンデマンド開講であるため、あらかじめTAを複数人配置し、manaba(LMS)での質問の回答やアンケートの仕分け等を担い、担当教員のサポートを行っている。このことにより、多人数の履修者に対してきめ細やかな指導が実現できている。</t>
    <phoneticPr fontId="1"/>
  </si>
  <si>
    <t>manaba(LMS)での質問に対して、教員やTAが定期的に回答をアップロードし、掲載しておくことで、常時復習が可能な仕組みとなっている。講義後、学生には自由記述形式の質問や感想を含むアンケート回答が課せられるため、学生が積極的に質問をするフローが出来上がっており、毎回100個以上の質問が寄せられている。寄せられた感想・質問については、TAがカテゴリー毎に分類し、TAと担当教員が共同で回答に当たっている。質問と回答を一覧化して授業の翌週に学生に配布するほか、必要に応じて個別のやりとりも行っている。このような取り組みを熱心に続けた結果、「対面の講義よりも教員との距離が近かった」などの感想が寄せられている。また、質問や感想が契機となって、8件の授業内研究プロジェクトが立ち上がるなど、アンケートが学生自身の自主的な学びの触媒となっている。</t>
    <rPh sb="26" eb="29">
      <t>テイキテキ</t>
    </rPh>
    <rPh sb="41" eb="43">
      <t>ケイサイ</t>
    </rPh>
    <rPh sb="51" eb="53">
      <t>ジョウジ</t>
    </rPh>
    <rPh sb="53" eb="55">
      <t>フクシュウ</t>
    </rPh>
    <rPh sb="56" eb="58">
      <t>カノウ</t>
    </rPh>
    <rPh sb="177" eb="178">
      <t>ゴト</t>
    </rPh>
    <phoneticPr fontId="1"/>
  </si>
  <si>
    <t>毎年、ほぼすべての卒業生の進路状況を把握できているため、プログラム修了者の進路追跡および分析が可能である。令和５年度に開始したプログラムのため、修了者の活躍状況や企業等の評価はまだ得られる段階にないが、アンケートによると、ITやAIの業界に興味が出たと回答してくれた学生が散見され、学生の進路選択にも一定の影響を与えていることが推察される。また産業界においても、学生に身に着けてほしい教養として、AI・データサイエンスを上げる企業が増加していくことが予想されるため、キャリアセンターと連携し、企業側のニーズを探りつつ、本講義を適切にアピールできるように、学生の進路選択を支援していく必要がある。</t>
    <rPh sb="18" eb="20">
      <t>ハアク</t>
    </rPh>
    <rPh sb="44" eb="46">
      <t>ブンセキ</t>
    </rPh>
    <rPh sb="47" eb="49">
      <t>カノウ</t>
    </rPh>
    <rPh sb="53" eb="55">
      <t>レイワ</t>
    </rPh>
    <rPh sb="56" eb="58">
      <t>ネンド</t>
    </rPh>
    <rPh sb="59" eb="61">
      <t>カイシ</t>
    </rPh>
    <rPh sb="72" eb="75">
      <t>シュウリョウシャ</t>
    </rPh>
    <rPh sb="76" eb="78">
      <t>カツヤク</t>
    </rPh>
    <rPh sb="78" eb="80">
      <t>ジョウキョウ</t>
    </rPh>
    <rPh sb="81" eb="83">
      <t>キギョウ</t>
    </rPh>
    <rPh sb="83" eb="84">
      <t>トウ</t>
    </rPh>
    <rPh sb="85" eb="87">
      <t>ヒョウカ</t>
    </rPh>
    <rPh sb="90" eb="91">
      <t>エ</t>
    </rPh>
    <rPh sb="94" eb="96">
      <t>ダンカイ</t>
    </rPh>
    <rPh sb="291" eb="293">
      <t>ヒツヨウ</t>
    </rPh>
    <phoneticPr fontId="1"/>
  </si>
  <si>
    <t>令和５年度に開始したプログラムであり、新入生用のガイダンスでの告知や、履修要項や特設ホームページでの広報活動を積極的に展開し、学生の本プログラムの認知度向上に努めている。その結果として、プログラム開始初年度の令和５年度には2,400名を超える学生が本プログラムの入門科目である「AI・データサイエンス入門」を履修し、きめ細やかなサポートにより、途中離脱者も少なかったため、令和６年度以降は学生間で推奨されていくことが期待される。
「AI・データサイエンス入門」については、本学に入学した学生が卒業までに基礎的に身につけている能力とすべく、履修者数増に努める。</t>
    <rPh sb="116" eb="117">
      <t>メイ</t>
    </rPh>
    <rPh sb="118" eb="119">
      <t>コ</t>
    </rPh>
    <rPh sb="208" eb="210">
      <t>キタイ</t>
    </rPh>
    <rPh sb="227" eb="229">
      <t>ニュウモン</t>
    </rPh>
    <rPh sb="236" eb="238">
      <t>ホンガク</t>
    </rPh>
    <rPh sb="239" eb="241">
      <t>ニュウガク</t>
    </rPh>
    <rPh sb="243" eb="245">
      <t>ガクセイ</t>
    </rPh>
    <rPh sb="246" eb="248">
      <t>ソツギョウ</t>
    </rPh>
    <rPh sb="255" eb="256">
      <t>ミ</t>
    </rPh>
    <rPh sb="262" eb="264">
      <t>ノウリョク</t>
    </rPh>
    <rPh sb="269" eb="271">
      <t>リシュウ</t>
    </rPh>
    <rPh sb="271" eb="272">
      <t>シャ</t>
    </rPh>
    <rPh sb="272" eb="273">
      <t>スウ</t>
    </rPh>
    <rPh sb="273" eb="274">
      <t>ゾウ</t>
    </rPh>
    <rPh sb="275" eb="276">
      <t>ツト</t>
    </rPh>
    <phoneticPr fontId="1"/>
  </si>
  <si>
    <t xml:space="preserve">講義後のアンケートおよび5回の小テストから習得状況を教員が直接把握できるため、難易度を適切に調整し、きめ細やかな指導を行った結果、全履修者の約92%が単位を取得しており、リテラシーレベルとしては適切な難易度であったと言える。また、学長室企画課において実施している授業評価のうち「授業全体の評価に関する設問群」の項目を分析することによっても、授業内容の学生の理解度を把握し、教員がその結果を本教育プログラムの評価・改善に活用することができる。
</t>
    <rPh sb="70" eb="71">
      <t>ヤク</t>
    </rPh>
    <rPh sb="108" eb="109">
      <t>イ</t>
    </rPh>
    <rPh sb="115" eb="117">
      <t>ガクチョウ</t>
    </rPh>
    <rPh sb="117" eb="118">
      <t>シツ</t>
    </rPh>
    <rPh sb="118" eb="120">
      <t>キカク</t>
    </rPh>
    <rPh sb="120" eb="121">
      <t>カ</t>
    </rPh>
    <rPh sb="131" eb="133">
      <t>ジュギョウ</t>
    </rPh>
    <rPh sb="133" eb="135">
      <t>ヒョウカ</t>
    </rPh>
    <rPh sb="139" eb="141">
      <t>ジュギョウ</t>
    </rPh>
    <rPh sb="141" eb="143">
      <t>ゼンタイ</t>
    </rPh>
    <rPh sb="144" eb="146">
      <t>ヒョウカ</t>
    </rPh>
    <rPh sb="147" eb="148">
      <t>カン</t>
    </rPh>
    <rPh sb="150" eb="152">
      <t>セツモン</t>
    </rPh>
    <rPh sb="152" eb="153">
      <t>グン</t>
    </rPh>
    <rPh sb="186" eb="188">
      <t>キョウイン</t>
    </rPh>
    <phoneticPr fontId="1"/>
  </si>
  <si>
    <t>本教育プログラム受講者全員に対して毎回manaba(LMS)を通じて、授業内アンケートを実施しており、担当教員が学生の理解度を分析したうえで教材の調整を行っている。その結果「理解できないところを巻き戻して何度も理解できるまで再生できた」という声が多く寄せられ、オンデマンド形式ならではのメリットを生かすことができたと考えられる。
講義アンケートでは、理解度について、「良く理解できた」,「理解できた」,「どちらでもない」,「あまり理解できなかった」,「理解できなかった」の5択から選択させたところ、回答の平均値は「理解できた」に近いものであった。このことから、講義のレベルは適切であったと判断でき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</si>
</sst>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theme="0"/>
      <name val="ＭＳ Ｐゴシック"/>
      <family val="3"/>
      <charset val="128"/>
      <scheme val="minor"/>
    </font>
    <font>
      <sz val="12"/>
      <color theme="0" tint="-0.34998626667073579"/>
      <name val="ＭＳ Ｐゴシック"/>
      <family val="3"/>
      <charset val="128"/>
      <scheme val="minor"/>
    </font>
    <font>
      <sz val="9"/>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dotted">
        <color rgb="FF000000"/>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6" fillId="0" borderId="0" xfId="0" applyFont="1">
      <alignment vertical="center"/>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9" fontId="2" fillId="0" borderId="45" xfId="0" applyNumberFormat="1" applyFont="1" applyBorder="1" applyAlignment="1">
      <alignment vertical="center" shrinkToFit="1"/>
    </xf>
    <xf numFmtId="9" fontId="2" fillId="0" borderId="49" xfId="0" applyNumberFormat="1" applyFont="1" applyBorder="1" applyAlignment="1">
      <alignment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12" fillId="0" borderId="1" xfId="0" applyFont="1" applyBorder="1">
      <alignment vertical="center"/>
    </xf>
    <xf numFmtId="0" fontId="2" fillId="0" borderId="0" xfId="0" applyFont="1" applyAlignment="1">
      <alignment vertical="center" wrapText="1"/>
    </xf>
    <xf numFmtId="0" fontId="17" fillId="0" borderId="0" xfId="0" applyFont="1">
      <alignment vertical="center"/>
    </xf>
    <xf numFmtId="0" fontId="17" fillId="0" borderId="0" xfId="0" applyFont="1" applyAlignment="1">
      <alignment horizontal="left"/>
    </xf>
    <xf numFmtId="0" fontId="17" fillId="0" borderId="0" xfId="0" applyFont="1" applyAlignment="1">
      <alignment vertical="top"/>
    </xf>
    <xf numFmtId="0" fontId="17" fillId="3" borderId="0" xfId="0" applyFont="1" applyFill="1" applyAlignment="1">
      <alignment vertical="top"/>
    </xf>
    <xf numFmtId="0" fontId="13" fillId="0" borderId="0" xfId="0" applyFont="1" applyFill="1">
      <alignment vertical="center"/>
    </xf>
    <xf numFmtId="0" fontId="13" fillId="0" borderId="0" xfId="0" applyFont="1" applyFill="1" applyAlignment="1">
      <alignment horizontal="right" vertical="center"/>
    </xf>
    <xf numFmtId="0" fontId="13" fillId="0" borderId="1" xfId="0" applyFont="1" applyFill="1" applyBorder="1" applyAlignment="1">
      <alignment horizontal="center" vertical="center"/>
    </xf>
    <xf numFmtId="0" fontId="15" fillId="0" borderId="0" xfId="0" applyFont="1" applyFill="1" applyAlignment="1">
      <alignment horizontal="center" vertical="center"/>
    </xf>
    <xf numFmtId="0" fontId="13" fillId="0" borderId="0" xfId="0" applyFont="1" applyFill="1" applyAlignment="1">
      <alignment horizontal="left" vertical="center"/>
    </xf>
    <xf numFmtId="0" fontId="13" fillId="0" borderId="0" xfId="0" applyFont="1" applyFill="1" applyAlignment="1">
      <alignment horizontal="center" vertical="center"/>
    </xf>
    <xf numFmtId="0" fontId="13" fillId="0" borderId="1" xfId="0" applyFont="1" applyFill="1" applyBorder="1" applyAlignment="1">
      <alignment horizontal="left" vertical="center"/>
    </xf>
    <xf numFmtId="0" fontId="18" fillId="0" borderId="0" xfId="0" applyFont="1" applyFill="1" applyAlignment="1">
      <alignment vertical="top" wrapText="1"/>
    </xf>
    <xf numFmtId="0" fontId="13" fillId="0" borderId="5" xfId="0" applyFont="1" applyFill="1" applyBorder="1">
      <alignment vertical="center"/>
    </xf>
    <xf numFmtId="0" fontId="18" fillId="0" borderId="10" xfId="0" applyFont="1" applyFill="1" applyBorder="1" applyAlignment="1">
      <alignment vertical="top" wrapText="1"/>
    </xf>
    <xf numFmtId="0" fontId="18" fillId="0" borderId="5" xfId="0" applyFont="1" applyFill="1" applyBorder="1" applyAlignment="1">
      <alignment vertical="top" wrapText="1"/>
    </xf>
    <xf numFmtId="0" fontId="18" fillId="0" borderId="11" xfId="0" applyFont="1" applyFill="1" applyBorder="1" applyAlignment="1">
      <alignment vertical="top" wrapText="1"/>
    </xf>
    <xf numFmtId="0" fontId="18" fillId="0" borderId="37" xfId="0" applyFont="1" applyFill="1" applyBorder="1" applyAlignment="1">
      <alignment vertical="top" wrapText="1"/>
    </xf>
    <xf numFmtId="0" fontId="18" fillId="0" borderId="38" xfId="0" applyFont="1" applyFill="1" applyBorder="1" applyAlignment="1">
      <alignment vertical="top" wrapText="1"/>
    </xf>
    <xf numFmtId="0" fontId="18" fillId="0" borderId="37" xfId="0" applyFont="1" applyFill="1" applyBorder="1" applyAlignment="1">
      <alignment vertical="top" shrinkToFit="1"/>
    </xf>
    <xf numFmtId="0" fontId="18" fillId="0" borderId="38" xfId="0" applyFont="1" applyFill="1" applyBorder="1" applyAlignment="1">
      <alignment vertical="top" shrinkToFit="1"/>
    </xf>
    <xf numFmtId="0" fontId="13" fillId="0" borderId="0" xfId="0" applyFont="1" applyFill="1" applyAlignment="1">
      <alignment vertical="top" wrapText="1"/>
    </xf>
    <xf numFmtId="0" fontId="13" fillId="0" borderId="1" xfId="0" applyFont="1" applyBorder="1" applyAlignment="1">
      <alignment horizontal="right" vertical="center"/>
    </xf>
    <xf numFmtId="0" fontId="13" fillId="0" borderId="0" xfId="0" applyFont="1" applyFill="1" applyAlignment="1">
      <alignment vertical="center" wrapText="1"/>
    </xf>
    <xf numFmtId="9" fontId="2" fillId="0" borderId="1" xfId="0" applyNumberFormat="1" applyFont="1" applyFill="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2" fillId="0" borderId="0" xfId="0" applyFont="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5" fillId="0" borderId="0" xfId="0" applyFont="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3" fillId="0" borderId="0" xfId="0" applyFont="1" applyAlignment="1">
      <alignment horizontal="righ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13" fillId="0" borderId="7" xfId="0" applyFont="1" applyFill="1" applyBorder="1" applyAlignment="1">
      <alignment vertical="top" wrapText="1"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3" fillId="0" borderId="36" xfId="0" applyFont="1" applyFill="1" applyBorder="1" applyAlignment="1">
      <alignment vertical="center" wrapText="1"/>
    </xf>
    <xf numFmtId="0" fontId="13" fillId="0" borderId="37" xfId="0" applyFont="1" applyFill="1" applyBorder="1" applyAlignment="1">
      <alignment vertical="center" wrapText="1"/>
    </xf>
    <xf numFmtId="0" fontId="13" fillId="0" borderId="38" xfId="0" applyFont="1" applyFill="1" applyBorder="1" applyAlignment="1">
      <alignment vertical="center" wrapText="1"/>
    </xf>
    <xf numFmtId="0" fontId="13" fillId="0" borderId="37" xfId="0" applyFont="1" applyFill="1" applyBorder="1" applyAlignment="1">
      <alignment vertical="top" wrapText="1" shrinkToFit="1"/>
    </xf>
    <xf numFmtId="0" fontId="13" fillId="0" borderId="38" xfId="0" applyFont="1" applyFill="1" applyBorder="1" applyAlignment="1">
      <alignment vertical="top" wrapText="1" shrinkToFit="1"/>
    </xf>
    <xf numFmtId="0" fontId="13" fillId="0" borderId="11" xfId="0" applyFont="1" applyFill="1" applyBorder="1" applyAlignment="1">
      <alignment vertical="center" wrapText="1"/>
    </xf>
    <xf numFmtId="0" fontId="13" fillId="0" borderId="6" xfId="0" applyFont="1" applyFill="1" applyBorder="1" applyAlignment="1">
      <alignment vertical="center" wrapText="1"/>
    </xf>
    <xf numFmtId="0" fontId="13" fillId="0" borderId="12" xfId="0" applyFont="1" applyFill="1" applyBorder="1" applyAlignment="1">
      <alignment vertical="center" wrapText="1"/>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13" fillId="0" borderId="47" xfId="0" applyFont="1" applyFill="1" applyBorder="1" applyAlignment="1">
      <alignment vertical="center" wrapText="1"/>
    </xf>
    <xf numFmtId="0" fontId="13" fillId="0" borderId="34" xfId="0" applyFont="1" applyFill="1" applyBorder="1" applyAlignment="1">
      <alignment vertical="center" wrapText="1"/>
    </xf>
    <xf numFmtId="0" fontId="13" fillId="0" borderId="32" xfId="0" applyFont="1" applyFill="1" applyBorder="1" applyAlignment="1">
      <alignment vertical="top" wrapText="1" shrinkToFit="1"/>
    </xf>
    <xf numFmtId="0" fontId="13" fillId="0" borderId="33" xfId="0" applyFont="1" applyFill="1" applyBorder="1" applyAlignment="1">
      <alignment vertical="top" wrapText="1" shrinkToFit="1"/>
    </xf>
    <xf numFmtId="0" fontId="13" fillId="0" borderId="34" xfId="0" applyFont="1" applyFill="1" applyBorder="1" applyAlignment="1">
      <alignment vertical="top" wrapText="1" shrinkToFit="1"/>
    </xf>
    <xf numFmtId="0" fontId="13" fillId="0" borderId="16" xfId="0" applyFont="1" applyFill="1" applyBorder="1" applyAlignment="1">
      <alignment vertical="center" wrapText="1"/>
    </xf>
    <xf numFmtId="0" fontId="13" fillId="0" borderId="17" xfId="0" applyFont="1" applyFill="1" applyBorder="1" applyAlignment="1">
      <alignment vertical="center" wrapText="1"/>
    </xf>
    <xf numFmtId="0" fontId="13" fillId="0" borderId="19" xfId="0" applyFont="1" applyFill="1" applyBorder="1" applyAlignment="1">
      <alignment vertical="top" wrapText="1" shrinkToFit="1"/>
    </xf>
    <xf numFmtId="0" fontId="13" fillId="0" borderId="17" xfId="0" applyFont="1" applyFill="1" applyBorder="1" applyAlignment="1">
      <alignment vertical="top" wrapText="1" shrinkToFit="1"/>
    </xf>
    <xf numFmtId="0" fontId="13" fillId="0" borderId="16" xfId="0" applyFont="1" applyFill="1" applyBorder="1">
      <alignment vertical="center"/>
    </xf>
    <xf numFmtId="0" fontId="12" fillId="0" borderId="17" xfId="0" applyFont="1" applyFill="1" applyBorder="1">
      <alignment vertical="center"/>
    </xf>
    <xf numFmtId="0" fontId="13" fillId="0" borderId="18" xfId="0" applyFont="1" applyFill="1" applyBorder="1" applyAlignment="1">
      <alignment vertical="top" wrapText="1" shrinkToFit="1"/>
    </xf>
    <xf numFmtId="0" fontId="15" fillId="0" borderId="0" xfId="0" applyFont="1" applyFill="1" applyAlignment="1">
      <alignment horizontal="center" vertical="center"/>
    </xf>
    <xf numFmtId="0" fontId="13" fillId="0" borderId="2" xfId="0" applyFont="1" applyFill="1" applyBorder="1" applyAlignment="1">
      <alignment horizontal="left" vertical="center"/>
    </xf>
    <xf numFmtId="0" fontId="13" fillId="0" borderId="3" xfId="0" applyFont="1" applyFill="1" applyBorder="1" applyAlignment="1">
      <alignment horizontal="left" vertical="center"/>
    </xf>
    <xf numFmtId="0" fontId="13" fillId="0" borderId="4" xfId="0" applyFont="1" applyFill="1" applyBorder="1" applyAlignment="1">
      <alignment horizontal="left"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D101" sqref="D101:U10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38" customWidth="1"/>
    <col min="23" max="23" width="3.6640625" style="138" customWidth="1"/>
    <col min="24" max="24" width="48.6640625" style="138" customWidth="1"/>
    <col min="25" max="30" width="9" style="138"/>
    <col min="31" max="16384" width="9" style="1"/>
  </cols>
  <sheetData>
    <row r="1" spans="1:22" ht="18.600000000000001" customHeight="1" x14ac:dyDescent="0.2">
      <c r="A1" s="54"/>
      <c r="B1" s="54"/>
      <c r="C1" s="54"/>
      <c r="D1" s="54"/>
      <c r="E1" s="54"/>
      <c r="F1" s="54"/>
      <c r="G1" s="54"/>
      <c r="H1" s="54"/>
      <c r="I1" s="54"/>
      <c r="J1" s="54"/>
      <c r="K1" s="54"/>
      <c r="L1" s="54"/>
      <c r="M1" s="54"/>
      <c r="N1" s="54"/>
      <c r="O1" s="54"/>
      <c r="P1" s="54"/>
      <c r="Q1" s="54"/>
      <c r="R1" s="54"/>
      <c r="S1" s="54"/>
      <c r="T1" s="165" t="s">
        <v>0</v>
      </c>
      <c r="U1" s="165"/>
      <c r="V1" s="138" t="s">
        <v>1</v>
      </c>
    </row>
    <row r="2" spans="1:22" ht="18.75" customHeight="1" x14ac:dyDescent="0.2">
      <c r="A2" s="54"/>
      <c r="B2" s="55" t="s">
        <v>2</v>
      </c>
      <c r="C2" s="144" t="s">
        <v>3</v>
      </c>
      <c r="D2" s="145"/>
      <c r="E2" s="145"/>
      <c r="F2" s="145"/>
      <c r="G2" s="145"/>
      <c r="H2" s="145"/>
      <c r="I2" s="145"/>
      <c r="J2" s="146"/>
      <c r="K2" s="56"/>
      <c r="L2" s="57"/>
      <c r="M2" s="57"/>
      <c r="N2" s="57"/>
      <c r="O2" s="57"/>
      <c r="P2" s="57"/>
      <c r="Q2" s="57"/>
      <c r="R2" s="57"/>
      <c r="S2" s="57"/>
      <c r="T2" s="57"/>
      <c r="U2" s="57"/>
    </row>
    <row r="3" spans="1:22" ht="18.75" customHeight="1" x14ac:dyDescent="0.2">
      <c r="A3" s="54"/>
      <c r="B3" s="55" t="s">
        <v>4</v>
      </c>
      <c r="C3" s="144" t="s">
        <v>5</v>
      </c>
      <c r="D3" s="145"/>
      <c r="E3" s="145"/>
      <c r="F3" s="145"/>
      <c r="G3" s="145"/>
      <c r="H3" s="145"/>
      <c r="I3" s="145"/>
      <c r="J3" s="146"/>
      <c r="K3" s="56"/>
      <c r="L3" s="57"/>
      <c r="M3" s="57"/>
      <c r="N3" s="57"/>
      <c r="O3" s="57"/>
      <c r="P3" s="57"/>
      <c r="Q3" s="57"/>
      <c r="R3" s="57"/>
      <c r="S3" s="57"/>
      <c r="T3" s="57"/>
      <c r="U3" s="57"/>
    </row>
    <row r="4" spans="1:22" ht="15" customHeight="1" x14ac:dyDescent="0.2">
      <c r="A4" s="54"/>
      <c r="B4" s="54"/>
      <c r="C4" s="54"/>
      <c r="D4" s="54"/>
      <c r="E4" s="54"/>
      <c r="F4" s="54"/>
      <c r="G4" s="54"/>
      <c r="H4" s="54"/>
      <c r="I4" s="54"/>
      <c r="J4" s="54"/>
      <c r="K4" s="54"/>
      <c r="L4" s="56"/>
      <c r="M4" s="58"/>
      <c r="N4" s="58"/>
      <c r="O4" s="58"/>
      <c r="P4" s="58"/>
      <c r="Q4" s="58"/>
      <c r="R4" s="58"/>
      <c r="S4" s="58"/>
      <c r="T4" s="58"/>
      <c r="U4" s="58"/>
    </row>
    <row r="5" spans="1:22" ht="18" customHeight="1" x14ac:dyDescent="0.2">
      <c r="A5" s="147" t="s">
        <v>6</v>
      </c>
      <c r="B5" s="147"/>
      <c r="C5" s="147"/>
      <c r="D5" s="147"/>
      <c r="E5" s="147"/>
      <c r="F5" s="147"/>
      <c r="G5" s="147"/>
      <c r="H5" s="147"/>
      <c r="I5" s="147"/>
      <c r="J5" s="147"/>
      <c r="K5" s="147"/>
      <c r="L5" s="147"/>
      <c r="M5" s="147"/>
      <c r="N5" s="147"/>
      <c r="O5" s="147"/>
      <c r="P5" s="147"/>
      <c r="Q5" s="147"/>
      <c r="R5" s="147"/>
      <c r="S5" s="147"/>
      <c r="T5" s="147"/>
      <c r="U5" s="147"/>
    </row>
    <row r="6" spans="1:22" ht="15" customHeight="1" x14ac:dyDescent="0.2">
      <c r="A6" s="54"/>
      <c r="B6" s="59"/>
      <c r="C6" s="59"/>
      <c r="D6" s="59"/>
      <c r="E6" s="59"/>
      <c r="F6" s="59"/>
      <c r="G6" s="59"/>
      <c r="H6" s="59"/>
      <c r="I6" s="59"/>
      <c r="J6" s="59"/>
      <c r="K6" s="59"/>
      <c r="L6" s="59"/>
      <c r="M6" s="59"/>
      <c r="N6" s="59"/>
      <c r="O6" s="59"/>
      <c r="P6" s="59"/>
      <c r="Q6" s="59"/>
      <c r="R6" s="59"/>
      <c r="S6" s="59"/>
      <c r="T6" s="59"/>
      <c r="U6" s="59"/>
    </row>
    <row r="7" spans="1:22" ht="15" customHeight="1" x14ac:dyDescent="0.2">
      <c r="A7" s="54" t="s">
        <v>7</v>
      </c>
      <c r="B7" s="59"/>
      <c r="C7" s="59"/>
      <c r="D7" s="59"/>
      <c r="E7" s="59"/>
      <c r="F7" s="53"/>
      <c r="G7" s="53"/>
      <c r="H7" s="53"/>
      <c r="I7" s="53"/>
      <c r="J7" s="53"/>
      <c r="K7" s="53"/>
      <c r="L7" s="158" t="s">
        <v>8</v>
      </c>
      <c r="M7" s="159"/>
      <c r="N7" s="159"/>
      <c r="O7" s="159"/>
      <c r="P7" s="159"/>
      <c r="Q7" s="159"/>
      <c r="R7" s="159"/>
      <c r="S7" s="159"/>
      <c r="T7" s="159"/>
      <c r="U7" s="160"/>
    </row>
    <row r="8" spans="1:22" ht="6" customHeight="1" x14ac:dyDescent="0.2">
      <c r="A8" s="54"/>
      <c r="B8" s="59"/>
      <c r="C8" s="59"/>
      <c r="D8" s="59"/>
      <c r="E8" s="59"/>
      <c r="F8" s="59"/>
      <c r="G8" s="59"/>
      <c r="H8" s="59"/>
      <c r="I8" s="59"/>
      <c r="J8" s="59"/>
      <c r="K8" s="59"/>
      <c r="L8" s="59"/>
      <c r="M8" s="59"/>
      <c r="N8" s="59"/>
      <c r="O8" s="59"/>
      <c r="P8" s="59"/>
      <c r="Q8" s="59"/>
      <c r="R8" s="59"/>
      <c r="S8" s="59"/>
      <c r="T8" s="59"/>
      <c r="U8" s="59"/>
    </row>
    <row r="9" spans="1:22" ht="18" customHeight="1" x14ac:dyDescent="0.2">
      <c r="A9" s="54" t="s">
        <v>9</v>
      </c>
      <c r="B9" s="54"/>
      <c r="C9" s="59"/>
      <c r="D9" s="59"/>
      <c r="E9" s="54"/>
      <c r="F9" s="54"/>
      <c r="G9" s="54"/>
      <c r="H9" s="54"/>
      <c r="I9" s="54"/>
      <c r="J9" s="54"/>
      <c r="K9" s="56"/>
      <c r="L9" s="53"/>
      <c r="M9" s="53"/>
      <c r="N9" s="53"/>
      <c r="O9" s="53"/>
      <c r="P9" s="53"/>
      <c r="Q9" s="53"/>
      <c r="R9" s="53"/>
      <c r="S9" s="53"/>
      <c r="T9" s="53"/>
      <c r="U9" s="53"/>
    </row>
    <row r="10" spans="1:22" ht="6" customHeight="1" x14ac:dyDescent="0.2">
      <c r="A10" s="54"/>
      <c r="B10" s="59"/>
      <c r="C10" s="59"/>
      <c r="D10" s="59"/>
      <c r="E10" s="59"/>
      <c r="F10" s="59"/>
      <c r="G10" s="59"/>
      <c r="H10" s="59"/>
      <c r="I10" s="59"/>
      <c r="J10" s="59"/>
      <c r="K10" s="59"/>
      <c r="L10" s="60"/>
      <c r="M10" s="59"/>
      <c r="N10" s="59"/>
      <c r="O10" s="59"/>
      <c r="P10" s="59"/>
      <c r="Q10" s="59"/>
      <c r="R10" s="59"/>
      <c r="S10" s="59"/>
      <c r="T10" s="59"/>
      <c r="U10" s="59"/>
    </row>
    <row r="11" spans="1:22" ht="18" customHeight="1" x14ac:dyDescent="0.2">
      <c r="A11" s="54"/>
      <c r="B11" s="166"/>
      <c r="C11" s="167"/>
      <c r="D11" s="167"/>
      <c r="E11" s="167"/>
      <c r="F11" s="167"/>
      <c r="G11" s="167"/>
      <c r="H11" s="167"/>
      <c r="I11" s="167"/>
      <c r="J11" s="167"/>
      <c r="K11" s="167"/>
      <c r="L11" s="167"/>
      <c r="M11" s="167"/>
      <c r="N11" s="167"/>
      <c r="O11" s="167"/>
      <c r="P11" s="167"/>
      <c r="Q11" s="167"/>
      <c r="R11" s="167"/>
      <c r="S11" s="167"/>
      <c r="T11" s="167"/>
      <c r="U11" s="168"/>
    </row>
    <row r="12" spans="1:22" ht="18" customHeight="1" x14ac:dyDescent="0.2">
      <c r="A12" s="54"/>
      <c r="B12" s="169"/>
      <c r="C12" s="170"/>
      <c r="D12" s="170"/>
      <c r="E12" s="170"/>
      <c r="F12" s="170"/>
      <c r="G12" s="170"/>
      <c r="H12" s="170"/>
      <c r="I12" s="170"/>
      <c r="J12" s="170"/>
      <c r="K12" s="170"/>
      <c r="L12" s="170"/>
      <c r="M12" s="170"/>
      <c r="N12" s="170"/>
      <c r="O12" s="170"/>
      <c r="P12" s="170"/>
      <c r="Q12" s="170"/>
      <c r="R12" s="170"/>
      <c r="S12" s="170"/>
      <c r="T12" s="170"/>
      <c r="U12" s="171"/>
    </row>
    <row r="13" spans="1:22" ht="6" customHeight="1" x14ac:dyDescent="0.2">
      <c r="A13" s="54"/>
      <c r="B13" s="59"/>
      <c r="C13" s="59"/>
      <c r="D13" s="59"/>
      <c r="E13" s="59"/>
      <c r="F13" s="59"/>
      <c r="G13" s="59"/>
      <c r="H13" s="59"/>
      <c r="I13" s="59"/>
      <c r="J13" s="59"/>
      <c r="K13" s="59"/>
      <c r="L13" s="60"/>
      <c r="M13" s="59"/>
      <c r="N13" s="59"/>
      <c r="O13" s="59"/>
      <c r="P13" s="59"/>
      <c r="Q13" s="59"/>
      <c r="R13" s="59"/>
      <c r="S13" s="59"/>
      <c r="T13" s="59"/>
      <c r="U13" s="59"/>
    </row>
    <row r="14" spans="1:22" ht="18" customHeight="1" x14ac:dyDescent="0.2">
      <c r="A14" s="54" t="s">
        <v>10</v>
      </c>
      <c r="B14" s="59"/>
      <c r="C14" s="59"/>
      <c r="D14" s="59"/>
      <c r="E14" s="56"/>
      <c r="F14" s="56"/>
      <c r="G14" s="56"/>
      <c r="H14" s="56"/>
      <c r="I14" s="56"/>
      <c r="J14" s="56"/>
      <c r="K14" s="56"/>
      <c r="L14" s="61"/>
      <c r="M14" s="61"/>
      <c r="N14" s="61"/>
      <c r="O14" s="61"/>
      <c r="P14" s="61"/>
      <c r="Q14" s="61"/>
      <c r="R14" s="61"/>
      <c r="S14" s="61"/>
      <c r="T14" s="61"/>
      <c r="U14" s="61"/>
    </row>
    <row r="15" spans="1:22" ht="19.5" customHeight="1" x14ac:dyDescent="0.2">
      <c r="A15" s="54"/>
      <c r="B15" s="148" t="s">
        <v>174</v>
      </c>
      <c r="C15" s="149"/>
      <c r="D15" s="149"/>
      <c r="E15" s="149"/>
      <c r="F15" s="149"/>
      <c r="G15" s="149"/>
      <c r="H15" s="149"/>
      <c r="I15" s="149"/>
      <c r="J15" s="149"/>
      <c r="K15" s="149"/>
      <c r="L15" s="149"/>
      <c r="M15" s="149"/>
      <c r="N15" s="149"/>
      <c r="O15" s="149"/>
      <c r="P15" s="149"/>
      <c r="Q15" s="149"/>
      <c r="R15" s="149"/>
      <c r="S15" s="149"/>
      <c r="T15" s="149"/>
      <c r="U15" s="150"/>
    </row>
    <row r="16" spans="1:22" ht="19.5" customHeight="1" x14ac:dyDescent="0.2">
      <c r="A16" s="54"/>
      <c r="B16" s="151"/>
      <c r="C16" s="152"/>
      <c r="D16" s="152"/>
      <c r="E16" s="152"/>
      <c r="F16" s="152"/>
      <c r="G16" s="152"/>
      <c r="H16" s="152"/>
      <c r="I16" s="152"/>
      <c r="J16" s="152"/>
      <c r="K16" s="152"/>
      <c r="L16" s="152"/>
      <c r="M16" s="152"/>
      <c r="N16" s="152"/>
      <c r="O16" s="152"/>
      <c r="P16" s="152"/>
      <c r="Q16" s="152"/>
      <c r="R16" s="152"/>
      <c r="S16" s="152"/>
      <c r="T16" s="152"/>
      <c r="U16" s="153"/>
    </row>
    <row r="17" spans="1:21" ht="19.5" customHeight="1" x14ac:dyDescent="0.2">
      <c r="A17" s="54"/>
      <c r="B17" s="151"/>
      <c r="C17" s="152"/>
      <c r="D17" s="152"/>
      <c r="E17" s="152"/>
      <c r="F17" s="152"/>
      <c r="G17" s="152"/>
      <c r="H17" s="152"/>
      <c r="I17" s="152"/>
      <c r="J17" s="152"/>
      <c r="K17" s="152"/>
      <c r="L17" s="152"/>
      <c r="M17" s="152"/>
      <c r="N17" s="152"/>
      <c r="O17" s="152"/>
      <c r="P17" s="152"/>
      <c r="Q17" s="152"/>
      <c r="R17" s="152"/>
      <c r="S17" s="152"/>
      <c r="T17" s="152"/>
      <c r="U17" s="153"/>
    </row>
    <row r="18" spans="1:21" ht="19.5" customHeight="1" x14ac:dyDescent="0.2">
      <c r="A18" s="54"/>
      <c r="B18" s="151"/>
      <c r="C18" s="152"/>
      <c r="D18" s="152"/>
      <c r="E18" s="152"/>
      <c r="F18" s="152"/>
      <c r="G18" s="152"/>
      <c r="H18" s="152"/>
      <c r="I18" s="152"/>
      <c r="J18" s="152"/>
      <c r="K18" s="152"/>
      <c r="L18" s="152"/>
      <c r="M18" s="152"/>
      <c r="N18" s="152"/>
      <c r="O18" s="152"/>
      <c r="P18" s="152"/>
      <c r="Q18" s="152"/>
      <c r="R18" s="152"/>
      <c r="S18" s="152"/>
      <c r="T18" s="152"/>
      <c r="U18" s="153"/>
    </row>
    <row r="19" spans="1:21" ht="19.2" customHeight="1" x14ac:dyDescent="0.2">
      <c r="A19" s="54"/>
      <c r="B19" s="151"/>
      <c r="C19" s="152"/>
      <c r="D19" s="152"/>
      <c r="E19" s="152"/>
      <c r="F19" s="152"/>
      <c r="G19" s="152"/>
      <c r="H19" s="152"/>
      <c r="I19" s="152"/>
      <c r="J19" s="152"/>
      <c r="K19" s="152"/>
      <c r="L19" s="152"/>
      <c r="M19" s="152"/>
      <c r="N19" s="152"/>
      <c r="O19" s="152"/>
      <c r="P19" s="152"/>
      <c r="Q19" s="152"/>
      <c r="R19" s="152"/>
      <c r="S19" s="152"/>
      <c r="T19" s="152"/>
      <c r="U19" s="153"/>
    </row>
    <row r="20" spans="1:21" ht="13.8" customHeight="1" x14ac:dyDescent="0.2">
      <c r="A20" s="54"/>
      <c r="B20" s="154"/>
      <c r="C20" s="155"/>
      <c r="D20" s="155"/>
      <c r="E20" s="155"/>
      <c r="F20" s="155"/>
      <c r="G20" s="155"/>
      <c r="H20" s="155"/>
      <c r="I20" s="155"/>
      <c r="J20" s="155"/>
      <c r="K20" s="155"/>
      <c r="L20" s="155"/>
      <c r="M20" s="155"/>
      <c r="N20" s="155"/>
      <c r="O20" s="155"/>
      <c r="P20" s="155"/>
      <c r="Q20" s="155"/>
      <c r="R20" s="155"/>
      <c r="S20" s="155"/>
      <c r="T20" s="155"/>
      <c r="U20" s="156"/>
    </row>
    <row r="21" spans="1:21" ht="7.5" customHeight="1" x14ac:dyDescent="0.2">
      <c r="A21" s="54"/>
      <c r="B21" s="59"/>
      <c r="C21" s="59"/>
      <c r="D21" s="59"/>
      <c r="E21" s="59"/>
      <c r="F21" s="59"/>
      <c r="G21" s="59"/>
      <c r="H21" s="59"/>
      <c r="I21" s="59"/>
      <c r="J21" s="59"/>
      <c r="K21" s="59"/>
      <c r="L21" s="59"/>
      <c r="M21" s="59"/>
      <c r="N21" s="59"/>
      <c r="O21" s="59"/>
      <c r="P21" s="59"/>
      <c r="Q21" s="59"/>
      <c r="R21" s="59"/>
      <c r="S21" s="59"/>
      <c r="T21" s="59"/>
      <c r="U21" s="59"/>
    </row>
    <row r="22" spans="1:21" ht="19.95" customHeight="1" x14ac:dyDescent="0.2">
      <c r="A22" s="54"/>
      <c r="B22" s="54" t="s">
        <v>12</v>
      </c>
      <c r="C22" s="54"/>
      <c r="D22" s="54"/>
      <c r="E22" s="62">
        <v>1</v>
      </c>
      <c r="F22" s="54" t="s">
        <v>13</v>
      </c>
      <c r="G22" s="54"/>
      <c r="H22" s="98">
        <v>2</v>
      </c>
      <c r="I22" s="59" t="s">
        <v>14</v>
      </c>
      <c r="J22" s="59"/>
      <c r="K22" s="56"/>
      <c r="L22" s="54"/>
      <c r="M22" s="56" t="s">
        <v>15</v>
      </c>
      <c r="N22" s="172" t="s">
        <v>11</v>
      </c>
      <c r="O22" s="173"/>
      <c r="P22" s="173"/>
      <c r="Q22" s="173"/>
      <c r="R22" s="173"/>
      <c r="S22" s="173"/>
      <c r="T22" s="173"/>
      <c r="U22" s="174"/>
    </row>
    <row r="23" spans="1:21" ht="7.5" customHeight="1" x14ac:dyDescent="0.2">
      <c r="A23" s="54"/>
      <c r="B23" s="59"/>
      <c r="C23" s="59"/>
      <c r="D23" s="59"/>
      <c r="E23" s="59"/>
      <c r="F23" s="59"/>
      <c r="G23" s="59"/>
      <c r="H23" s="59"/>
      <c r="I23" s="59"/>
      <c r="J23" s="59"/>
      <c r="K23" s="59"/>
      <c r="L23" s="59"/>
      <c r="M23" s="59"/>
      <c r="N23" s="59"/>
      <c r="O23" s="59"/>
      <c r="P23" s="59"/>
      <c r="Q23" s="59"/>
      <c r="R23" s="59"/>
      <c r="S23" s="59"/>
      <c r="T23" s="59"/>
      <c r="U23" s="59"/>
    </row>
    <row r="24" spans="1:21" ht="18" customHeight="1" x14ac:dyDescent="0.2">
      <c r="A24" s="157" t="s">
        <v>16</v>
      </c>
      <c r="B24" s="157"/>
      <c r="C24" s="157"/>
      <c r="D24" s="157"/>
      <c r="E24" s="157"/>
      <c r="F24" s="157"/>
      <c r="G24" s="157"/>
      <c r="H24" s="157"/>
      <c r="I24" s="157"/>
      <c r="J24" s="157"/>
      <c r="K24" s="157"/>
      <c r="L24" s="157"/>
      <c r="M24" s="157"/>
      <c r="N24" s="157"/>
      <c r="O24" s="157"/>
      <c r="P24" s="157"/>
      <c r="Q24" s="157"/>
      <c r="R24" s="157"/>
      <c r="S24" s="157"/>
      <c r="T24" s="157"/>
      <c r="U24" s="157"/>
    </row>
    <row r="25" spans="1:21" ht="18" customHeight="1" x14ac:dyDescent="0.2">
      <c r="A25" s="157"/>
      <c r="B25" s="157"/>
      <c r="C25" s="157"/>
      <c r="D25" s="157"/>
      <c r="E25" s="157"/>
      <c r="F25" s="157"/>
      <c r="G25" s="157"/>
      <c r="H25" s="157"/>
      <c r="I25" s="157"/>
      <c r="J25" s="157"/>
      <c r="K25" s="157"/>
      <c r="L25" s="157"/>
      <c r="M25" s="157"/>
      <c r="N25" s="157"/>
      <c r="O25" s="157"/>
      <c r="P25" s="157"/>
      <c r="Q25" s="157"/>
      <c r="R25" s="157"/>
      <c r="S25" s="157"/>
      <c r="T25" s="157"/>
      <c r="U25" s="157"/>
    </row>
    <row r="26" spans="1:21" ht="18" customHeight="1" x14ac:dyDescent="0.2">
      <c r="B26" s="116" t="s">
        <v>17</v>
      </c>
      <c r="C26" s="117"/>
      <c r="D26" s="117"/>
      <c r="E26" s="117"/>
      <c r="F26" s="118"/>
      <c r="G26" s="31" t="s">
        <v>18</v>
      </c>
      <c r="H26" s="30" t="s">
        <v>19</v>
      </c>
      <c r="I26" s="15" t="s">
        <v>20</v>
      </c>
      <c r="J26" s="15" t="s">
        <v>21</v>
      </c>
      <c r="K26" s="116" t="s">
        <v>17</v>
      </c>
      <c r="L26" s="117"/>
      <c r="M26" s="117"/>
      <c r="N26" s="117"/>
      <c r="O26" s="117"/>
      <c r="P26" s="117"/>
      <c r="Q26" s="118"/>
      <c r="R26" s="31" t="s">
        <v>18</v>
      </c>
      <c r="S26" s="30" t="s">
        <v>19</v>
      </c>
      <c r="T26" s="15" t="s">
        <v>20</v>
      </c>
      <c r="U26" s="15" t="s">
        <v>21</v>
      </c>
    </row>
    <row r="27" spans="1:21" ht="18" customHeight="1" x14ac:dyDescent="0.2">
      <c r="B27" s="141" t="s">
        <v>22</v>
      </c>
      <c r="C27" s="142"/>
      <c r="D27" s="142"/>
      <c r="E27" s="142"/>
      <c r="F27" s="143"/>
      <c r="G27" s="16">
        <v>2</v>
      </c>
      <c r="H27" s="16" t="s">
        <v>23</v>
      </c>
      <c r="I27" s="16" t="s">
        <v>23</v>
      </c>
      <c r="J27" s="16" t="s">
        <v>23</v>
      </c>
      <c r="K27" s="141"/>
      <c r="L27" s="142"/>
      <c r="M27" s="142"/>
      <c r="N27" s="142"/>
      <c r="O27" s="142"/>
      <c r="P27" s="142"/>
      <c r="Q27" s="143"/>
      <c r="R27" s="16"/>
      <c r="S27" s="16"/>
      <c r="T27" s="16"/>
      <c r="U27" s="16"/>
    </row>
    <row r="28" spans="1:21" ht="18" customHeight="1" x14ac:dyDescent="0.2">
      <c r="B28" s="109"/>
      <c r="C28" s="110"/>
      <c r="D28" s="110"/>
      <c r="E28" s="110"/>
      <c r="F28" s="111"/>
      <c r="G28" s="17"/>
      <c r="H28" s="17"/>
      <c r="I28" s="17"/>
      <c r="J28" s="17"/>
      <c r="K28" s="109"/>
      <c r="L28" s="110"/>
      <c r="M28" s="110"/>
      <c r="N28" s="110"/>
      <c r="O28" s="110"/>
      <c r="P28" s="110"/>
      <c r="Q28" s="111"/>
      <c r="R28" s="17"/>
      <c r="S28" s="17"/>
      <c r="T28" s="17"/>
      <c r="U28" s="17"/>
    </row>
    <row r="29" spans="1:21" ht="18" hidden="1" customHeight="1" x14ac:dyDescent="0.2">
      <c r="B29" s="109"/>
      <c r="C29" s="110"/>
      <c r="D29" s="110"/>
      <c r="E29" s="110"/>
      <c r="F29" s="111"/>
      <c r="G29" s="17"/>
      <c r="H29" s="17"/>
      <c r="I29" s="17"/>
      <c r="J29" s="17"/>
      <c r="K29" s="109"/>
      <c r="L29" s="110"/>
      <c r="M29" s="110"/>
      <c r="N29" s="110"/>
      <c r="O29" s="110"/>
      <c r="P29" s="110"/>
      <c r="Q29" s="111"/>
      <c r="R29" s="17"/>
      <c r="S29" s="17"/>
      <c r="T29" s="17"/>
      <c r="U29" s="17"/>
    </row>
    <row r="30" spans="1:21" ht="18" hidden="1" customHeight="1" x14ac:dyDescent="0.2">
      <c r="B30" s="109"/>
      <c r="C30" s="110"/>
      <c r="D30" s="110"/>
      <c r="E30" s="110"/>
      <c r="F30" s="111"/>
      <c r="G30" s="17"/>
      <c r="H30" s="17"/>
      <c r="I30" s="17"/>
      <c r="J30" s="17"/>
      <c r="K30" s="109"/>
      <c r="L30" s="110"/>
      <c r="M30" s="110"/>
      <c r="N30" s="110"/>
      <c r="O30" s="110"/>
      <c r="P30" s="110"/>
      <c r="Q30" s="111"/>
      <c r="R30" s="17"/>
      <c r="S30" s="17"/>
      <c r="T30" s="17"/>
      <c r="U30" s="17"/>
    </row>
    <row r="31" spans="1:21" ht="18" hidden="1" customHeight="1" x14ac:dyDescent="0.2">
      <c r="B31" s="109"/>
      <c r="C31" s="110"/>
      <c r="D31" s="110"/>
      <c r="E31" s="110"/>
      <c r="F31" s="111"/>
      <c r="G31" s="17"/>
      <c r="H31" s="17"/>
      <c r="I31" s="17"/>
      <c r="J31" s="17"/>
      <c r="K31" s="109"/>
      <c r="L31" s="110"/>
      <c r="M31" s="110"/>
      <c r="N31" s="110"/>
      <c r="O31" s="110"/>
      <c r="P31" s="110"/>
      <c r="Q31" s="111"/>
      <c r="R31" s="17"/>
      <c r="S31" s="17"/>
      <c r="T31" s="17"/>
      <c r="U31" s="17"/>
    </row>
    <row r="32" spans="1:21" ht="18" customHeight="1" x14ac:dyDescent="0.2">
      <c r="A32" s="3"/>
      <c r="B32" s="109"/>
      <c r="C32" s="110"/>
      <c r="D32" s="110"/>
      <c r="E32" s="110"/>
      <c r="F32" s="111"/>
      <c r="G32" s="17"/>
      <c r="H32" s="17"/>
      <c r="I32" s="17"/>
      <c r="J32" s="17"/>
      <c r="K32" s="109"/>
      <c r="L32" s="110"/>
      <c r="M32" s="110"/>
      <c r="N32" s="110"/>
      <c r="O32" s="110"/>
      <c r="P32" s="110"/>
      <c r="Q32" s="111"/>
      <c r="R32" s="17"/>
      <c r="S32" s="17"/>
      <c r="T32" s="17"/>
      <c r="U32" s="17"/>
    </row>
    <row r="33" spans="1:21" ht="18" customHeight="1" x14ac:dyDescent="0.2">
      <c r="A33" s="3"/>
      <c r="B33" s="113"/>
      <c r="C33" s="114"/>
      <c r="D33" s="114"/>
      <c r="E33" s="114"/>
      <c r="F33" s="115"/>
      <c r="G33" s="18"/>
      <c r="H33" s="18"/>
      <c r="I33" s="19"/>
      <c r="J33" s="19"/>
      <c r="K33" s="113"/>
      <c r="L33" s="114"/>
      <c r="M33" s="114"/>
      <c r="N33" s="114"/>
      <c r="O33" s="114"/>
      <c r="P33" s="114"/>
      <c r="Q33" s="115"/>
      <c r="R33" s="18"/>
      <c r="S33" s="18"/>
      <c r="T33" s="19"/>
      <c r="U33" s="19"/>
    </row>
    <row r="34" spans="1:21" ht="7.5" customHeight="1" x14ac:dyDescent="0.2">
      <c r="A34" s="3"/>
      <c r="B34" s="5"/>
      <c r="C34" s="5"/>
      <c r="D34" s="5"/>
      <c r="E34" s="3"/>
      <c r="F34" s="3"/>
      <c r="G34" s="3"/>
      <c r="H34" s="3"/>
      <c r="I34" s="5"/>
      <c r="J34" s="5"/>
      <c r="K34" s="5"/>
      <c r="L34" s="5"/>
      <c r="M34" s="5"/>
      <c r="N34" s="5"/>
      <c r="O34" s="5"/>
      <c r="P34" s="5"/>
      <c r="Q34" s="5"/>
      <c r="R34" s="5"/>
      <c r="S34" s="5"/>
      <c r="T34" s="5"/>
      <c r="U34" s="3"/>
    </row>
    <row r="35" spans="1:21" ht="18" customHeight="1" x14ac:dyDescent="0.2">
      <c r="A35" s="112" t="s">
        <v>24</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2">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2">
      <c r="B37" s="116" t="s">
        <v>17</v>
      </c>
      <c r="C37" s="117"/>
      <c r="D37" s="117"/>
      <c r="E37" s="117"/>
      <c r="F37" s="118"/>
      <c r="G37" s="31" t="s">
        <v>18</v>
      </c>
      <c r="H37" s="30" t="s">
        <v>19</v>
      </c>
      <c r="I37" s="15" t="s">
        <v>25</v>
      </c>
      <c r="J37" s="15" t="s">
        <v>26</v>
      </c>
      <c r="K37" s="116" t="s">
        <v>17</v>
      </c>
      <c r="L37" s="117"/>
      <c r="M37" s="117"/>
      <c r="N37" s="117"/>
      <c r="O37" s="117"/>
      <c r="P37" s="117"/>
      <c r="Q37" s="118"/>
      <c r="R37" s="31" t="s">
        <v>18</v>
      </c>
      <c r="S37" s="30" t="s">
        <v>19</v>
      </c>
      <c r="T37" s="15" t="s">
        <v>25</v>
      </c>
      <c r="U37" s="15" t="s">
        <v>26</v>
      </c>
    </row>
    <row r="38" spans="1:21" ht="18" customHeight="1" x14ac:dyDescent="0.2">
      <c r="B38" s="141" t="s">
        <v>22</v>
      </c>
      <c r="C38" s="142"/>
      <c r="D38" s="142"/>
      <c r="E38" s="142"/>
      <c r="F38" s="143"/>
      <c r="G38" s="16">
        <v>2</v>
      </c>
      <c r="H38" s="16" t="s">
        <v>23</v>
      </c>
      <c r="I38" s="16" t="s">
        <v>23</v>
      </c>
      <c r="J38" s="16" t="s">
        <v>23</v>
      </c>
      <c r="K38" s="141"/>
      <c r="L38" s="142"/>
      <c r="M38" s="142"/>
      <c r="N38" s="142"/>
      <c r="O38" s="142"/>
      <c r="P38" s="142"/>
      <c r="Q38" s="143"/>
      <c r="R38" s="16"/>
      <c r="S38" s="16"/>
      <c r="T38" s="16"/>
      <c r="U38" s="16"/>
    </row>
    <row r="39" spans="1:21" ht="18" customHeight="1" x14ac:dyDescent="0.2">
      <c r="B39" s="109"/>
      <c r="C39" s="110"/>
      <c r="D39" s="110"/>
      <c r="E39" s="110"/>
      <c r="F39" s="111"/>
      <c r="G39" s="17"/>
      <c r="H39" s="17"/>
      <c r="I39" s="17"/>
      <c r="J39" s="17"/>
      <c r="K39" s="109"/>
      <c r="L39" s="110"/>
      <c r="M39" s="110"/>
      <c r="N39" s="110"/>
      <c r="O39" s="110"/>
      <c r="P39" s="110"/>
      <c r="Q39" s="111"/>
      <c r="R39" s="17"/>
      <c r="S39" s="17"/>
      <c r="T39" s="17"/>
      <c r="U39" s="17"/>
    </row>
    <row r="40" spans="1:21" ht="18" hidden="1" customHeight="1" x14ac:dyDescent="0.2">
      <c r="B40" s="109"/>
      <c r="C40" s="110"/>
      <c r="D40" s="110"/>
      <c r="E40" s="110"/>
      <c r="F40" s="111"/>
      <c r="G40" s="17"/>
      <c r="H40" s="17"/>
      <c r="I40" s="17"/>
      <c r="J40" s="17"/>
      <c r="K40" s="109"/>
      <c r="L40" s="110"/>
      <c r="M40" s="110"/>
      <c r="N40" s="110"/>
      <c r="O40" s="110"/>
      <c r="P40" s="110"/>
      <c r="Q40" s="111"/>
      <c r="R40" s="17"/>
      <c r="S40" s="17"/>
      <c r="T40" s="17"/>
      <c r="U40" s="17"/>
    </row>
    <row r="41" spans="1:21" ht="18" hidden="1" customHeight="1" x14ac:dyDescent="0.2">
      <c r="B41" s="109"/>
      <c r="C41" s="110"/>
      <c r="D41" s="110"/>
      <c r="E41" s="110"/>
      <c r="F41" s="111"/>
      <c r="G41" s="17"/>
      <c r="H41" s="17"/>
      <c r="I41" s="17"/>
      <c r="J41" s="17"/>
      <c r="K41" s="109"/>
      <c r="L41" s="110"/>
      <c r="M41" s="110"/>
      <c r="N41" s="110"/>
      <c r="O41" s="110"/>
      <c r="P41" s="110"/>
      <c r="Q41" s="111"/>
      <c r="R41" s="17"/>
      <c r="S41" s="17"/>
      <c r="T41" s="17"/>
      <c r="U41" s="17"/>
    </row>
    <row r="42" spans="1:21" ht="18" hidden="1" customHeight="1" x14ac:dyDescent="0.2">
      <c r="B42" s="109"/>
      <c r="C42" s="110"/>
      <c r="D42" s="110"/>
      <c r="E42" s="110"/>
      <c r="F42" s="111"/>
      <c r="G42" s="17"/>
      <c r="H42" s="17"/>
      <c r="I42" s="17"/>
      <c r="J42" s="17"/>
      <c r="K42" s="109"/>
      <c r="L42" s="110"/>
      <c r="M42" s="110"/>
      <c r="N42" s="110"/>
      <c r="O42" s="110"/>
      <c r="P42" s="110"/>
      <c r="Q42" s="111"/>
      <c r="R42" s="17"/>
      <c r="S42" s="17"/>
      <c r="T42" s="17"/>
      <c r="U42" s="17"/>
    </row>
    <row r="43" spans="1:21" ht="18" customHeight="1" x14ac:dyDescent="0.2">
      <c r="B43" s="109"/>
      <c r="C43" s="110"/>
      <c r="D43" s="110"/>
      <c r="E43" s="110"/>
      <c r="F43" s="111"/>
      <c r="G43" s="17"/>
      <c r="H43" s="17"/>
      <c r="I43" s="17"/>
      <c r="J43" s="17"/>
      <c r="K43" s="109"/>
      <c r="L43" s="110"/>
      <c r="M43" s="110"/>
      <c r="N43" s="110"/>
      <c r="O43" s="110"/>
      <c r="P43" s="110"/>
      <c r="Q43" s="111"/>
      <c r="R43" s="17"/>
      <c r="S43" s="17"/>
      <c r="T43" s="17"/>
      <c r="U43" s="17"/>
    </row>
    <row r="44" spans="1:21" ht="18" customHeight="1" x14ac:dyDescent="0.2">
      <c r="B44" s="113"/>
      <c r="C44" s="114"/>
      <c r="D44" s="114"/>
      <c r="E44" s="114"/>
      <c r="F44" s="115"/>
      <c r="G44" s="18"/>
      <c r="H44" s="18"/>
      <c r="I44" s="19"/>
      <c r="J44" s="19"/>
      <c r="K44" s="113"/>
      <c r="L44" s="114"/>
      <c r="M44" s="114"/>
      <c r="N44" s="114"/>
      <c r="O44" s="114"/>
      <c r="P44" s="114"/>
      <c r="Q44" s="115"/>
      <c r="R44" s="18"/>
      <c r="S44" s="18"/>
      <c r="T44" s="19"/>
      <c r="U44" s="19"/>
    </row>
    <row r="45" spans="1:21" ht="7.5" customHeight="1" x14ac:dyDescent="0.2">
      <c r="A45" s="3"/>
      <c r="B45" s="5"/>
      <c r="C45" s="5"/>
      <c r="D45" s="5"/>
      <c r="E45" s="3"/>
      <c r="F45" s="3"/>
      <c r="G45" s="3"/>
      <c r="H45" s="3"/>
      <c r="I45" s="5"/>
      <c r="J45" s="5"/>
      <c r="K45" s="5"/>
      <c r="L45" s="5"/>
      <c r="M45" s="5"/>
      <c r="N45" s="5"/>
      <c r="O45" s="5"/>
      <c r="P45" s="5"/>
      <c r="Q45" s="5"/>
      <c r="R45" s="5"/>
      <c r="S45" s="5"/>
      <c r="T45" s="5"/>
      <c r="U45" s="3"/>
    </row>
    <row r="46" spans="1:21" ht="18" customHeight="1" x14ac:dyDescent="0.2">
      <c r="A46" s="112" t="s">
        <v>27</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2">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2">
      <c r="B48" s="116" t="s">
        <v>17</v>
      </c>
      <c r="C48" s="117"/>
      <c r="D48" s="117"/>
      <c r="E48" s="117"/>
      <c r="F48" s="118"/>
      <c r="G48" s="31" t="s">
        <v>18</v>
      </c>
      <c r="H48" s="30" t="s">
        <v>19</v>
      </c>
      <c r="I48" s="15" t="s">
        <v>28</v>
      </c>
      <c r="J48" s="15" t="s">
        <v>29</v>
      </c>
      <c r="K48" s="116" t="s">
        <v>17</v>
      </c>
      <c r="L48" s="117"/>
      <c r="M48" s="117"/>
      <c r="N48" s="117"/>
      <c r="O48" s="117"/>
      <c r="P48" s="117"/>
      <c r="Q48" s="118"/>
      <c r="R48" s="31" t="s">
        <v>18</v>
      </c>
      <c r="S48" s="30" t="s">
        <v>19</v>
      </c>
      <c r="T48" s="15" t="s">
        <v>28</v>
      </c>
      <c r="U48" s="15" t="s">
        <v>29</v>
      </c>
    </row>
    <row r="49" spans="1:21" ht="18" customHeight="1" x14ac:dyDescent="0.2">
      <c r="A49" s="3"/>
      <c r="B49" s="141" t="s">
        <v>22</v>
      </c>
      <c r="C49" s="142"/>
      <c r="D49" s="142"/>
      <c r="E49" s="142"/>
      <c r="F49" s="143"/>
      <c r="G49" s="16">
        <v>2</v>
      </c>
      <c r="H49" s="16" t="s">
        <v>23</v>
      </c>
      <c r="I49" s="16" t="s">
        <v>23</v>
      </c>
      <c r="J49" s="16" t="s">
        <v>23</v>
      </c>
      <c r="K49" s="141"/>
      <c r="L49" s="142"/>
      <c r="M49" s="142"/>
      <c r="N49" s="142"/>
      <c r="O49" s="142"/>
      <c r="P49" s="142"/>
      <c r="Q49" s="143"/>
      <c r="R49" s="16"/>
      <c r="S49" s="16"/>
      <c r="T49" s="16"/>
      <c r="U49" s="16"/>
    </row>
    <row r="50" spans="1:21" ht="18" customHeight="1" x14ac:dyDescent="0.2">
      <c r="A50" s="3"/>
      <c r="B50" s="109"/>
      <c r="C50" s="110"/>
      <c r="D50" s="110"/>
      <c r="E50" s="110"/>
      <c r="F50" s="111"/>
      <c r="G50" s="17"/>
      <c r="H50" s="17"/>
      <c r="I50" s="17"/>
      <c r="J50" s="17"/>
      <c r="K50" s="109"/>
      <c r="L50" s="110"/>
      <c r="M50" s="110"/>
      <c r="N50" s="110"/>
      <c r="O50" s="110"/>
      <c r="P50" s="110"/>
      <c r="Q50" s="111"/>
      <c r="R50" s="17"/>
      <c r="S50" s="17"/>
      <c r="T50" s="17"/>
      <c r="U50" s="17"/>
    </row>
    <row r="51" spans="1:21" ht="18" hidden="1" customHeight="1" x14ac:dyDescent="0.2">
      <c r="A51" s="3"/>
      <c r="B51" s="109"/>
      <c r="C51" s="110"/>
      <c r="D51" s="110"/>
      <c r="E51" s="110"/>
      <c r="F51" s="111"/>
      <c r="G51" s="17"/>
      <c r="H51" s="17"/>
      <c r="I51" s="17"/>
      <c r="J51" s="17"/>
      <c r="K51" s="109"/>
      <c r="L51" s="110"/>
      <c r="M51" s="110"/>
      <c r="N51" s="110"/>
      <c r="O51" s="110"/>
      <c r="P51" s="110"/>
      <c r="Q51" s="111"/>
      <c r="R51" s="17"/>
      <c r="S51" s="17"/>
      <c r="T51" s="17"/>
      <c r="U51" s="17"/>
    </row>
    <row r="52" spans="1:21" ht="18" hidden="1" customHeight="1" x14ac:dyDescent="0.2">
      <c r="A52" s="3"/>
      <c r="B52" s="109"/>
      <c r="C52" s="110"/>
      <c r="D52" s="110"/>
      <c r="E52" s="110"/>
      <c r="F52" s="111"/>
      <c r="G52" s="17"/>
      <c r="H52" s="17"/>
      <c r="I52" s="17"/>
      <c r="J52" s="17"/>
      <c r="K52" s="109"/>
      <c r="L52" s="110"/>
      <c r="M52" s="110"/>
      <c r="N52" s="110"/>
      <c r="O52" s="110"/>
      <c r="P52" s="110"/>
      <c r="Q52" s="111"/>
      <c r="R52" s="17"/>
      <c r="S52" s="17"/>
      <c r="T52" s="17"/>
      <c r="U52" s="17"/>
    </row>
    <row r="53" spans="1:21" ht="18" hidden="1" customHeight="1" x14ac:dyDescent="0.2">
      <c r="A53" s="3"/>
      <c r="B53" s="109"/>
      <c r="C53" s="110"/>
      <c r="D53" s="110"/>
      <c r="E53" s="110"/>
      <c r="F53" s="111"/>
      <c r="G53" s="17"/>
      <c r="H53" s="17"/>
      <c r="I53" s="17"/>
      <c r="J53" s="17"/>
      <c r="K53" s="109"/>
      <c r="L53" s="110"/>
      <c r="M53" s="110"/>
      <c r="N53" s="110"/>
      <c r="O53" s="110"/>
      <c r="P53" s="110"/>
      <c r="Q53" s="111"/>
      <c r="R53" s="17"/>
      <c r="S53" s="17"/>
      <c r="T53" s="17"/>
      <c r="U53" s="17"/>
    </row>
    <row r="54" spans="1:21" ht="18" customHeight="1" x14ac:dyDescent="0.2">
      <c r="A54" s="3"/>
      <c r="B54" s="109"/>
      <c r="C54" s="110"/>
      <c r="D54" s="110"/>
      <c r="E54" s="110"/>
      <c r="F54" s="111"/>
      <c r="G54" s="17"/>
      <c r="H54" s="17"/>
      <c r="I54" s="17"/>
      <c r="J54" s="17"/>
      <c r="K54" s="109"/>
      <c r="L54" s="110"/>
      <c r="M54" s="110"/>
      <c r="N54" s="110"/>
      <c r="O54" s="110"/>
      <c r="P54" s="110"/>
      <c r="Q54" s="111"/>
      <c r="R54" s="17"/>
      <c r="S54" s="17"/>
      <c r="T54" s="17"/>
      <c r="U54" s="17"/>
    </row>
    <row r="55" spans="1:21" ht="18" customHeight="1" x14ac:dyDescent="0.2">
      <c r="A55" s="3"/>
      <c r="B55" s="113"/>
      <c r="C55" s="114"/>
      <c r="D55" s="114"/>
      <c r="E55" s="114"/>
      <c r="F55" s="115"/>
      <c r="G55" s="18"/>
      <c r="H55" s="18"/>
      <c r="I55" s="19"/>
      <c r="J55" s="19"/>
      <c r="K55" s="113"/>
      <c r="L55" s="114"/>
      <c r="M55" s="114"/>
      <c r="N55" s="114"/>
      <c r="O55" s="114"/>
      <c r="P55" s="114"/>
      <c r="Q55" s="115"/>
      <c r="R55" s="18"/>
      <c r="S55" s="18"/>
      <c r="T55" s="19"/>
      <c r="U55" s="19"/>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112" t="s">
        <v>30</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2">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2">
      <c r="B59" s="116" t="s">
        <v>17</v>
      </c>
      <c r="C59" s="117"/>
      <c r="D59" s="117"/>
      <c r="E59" s="117"/>
      <c r="F59" s="118"/>
      <c r="G59" s="31" t="s">
        <v>18</v>
      </c>
      <c r="H59" s="30" t="s">
        <v>19</v>
      </c>
      <c r="I59" s="15" t="s">
        <v>31</v>
      </c>
      <c r="J59" s="15" t="s">
        <v>32</v>
      </c>
      <c r="K59" s="116" t="s">
        <v>17</v>
      </c>
      <c r="L59" s="117"/>
      <c r="M59" s="117"/>
      <c r="N59" s="117"/>
      <c r="O59" s="117"/>
      <c r="P59" s="117"/>
      <c r="Q59" s="118"/>
      <c r="R59" s="31" t="s">
        <v>18</v>
      </c>
      <c r="S59" s="30" t="s">
        <v>19</v>
      </c>
      <c r="T59" s="15" t="s">
        <v>31</v>
      </c>
      <c r="U59" s="15" t="s">
        <v>32</v>
      </c>
    </row>
    <row r="60" spans="1:21" ht="18" customHeight="1" x14ac:dyDescent="0.2">
      <c r="A60" s="3"/>
      <c r="B60" s="141" t="s">
        <v>22</v>
      </c>
      <c r="C60" s="142"/>
      <c r="D60" s="142"/>
      <c r="E60" s="142"/>
      <c r="F60" s="143"/>
      <c r="G60" s="16">
        <v>2</v>
      </c>
      <c r="H60" s="16" t="s">
        <v>23</v>
      </c>
      <c r="I60" s="16" t="s">
        <v>23</v>
      </c>
      <c r="J60" s="16" t="s">
        <v>23</v>
      </c>
      <c r="K60" s="141"/>
      <c r="L60" s="142"/>
      <c r="M60" s="142"/>
      <c r="N60" s="142"/>
      <c r="O60" s="142"/>
      <c r="P60" s="142"/>
      <c r="Q60" s="143"/>
      <c r="R60" s="16"/>
      <c r="S60" s="16"/>
      <c r="T60" s="16"/>
      <c r="U60" s="16"/>
    </row>
    <row r="61" spans="1:21" ht="18" customHeight="1" x14ac:dyDescent="0.2">
      <c r="A61" s="3"/>
      <c r="B61" s="109"/>
      <c r="C61" s="110"/>
      <c r="D61" s="110"/>
      <c r="E61" s="110"/>
      <c r="F61" s="111"/>
      <c r="G61" s="17"/>
      <c r="H61" s="17"/>
      <c r="I61" s="17"/>
      <c r="J61" s="17"/>
      <c r="K61" s="109"/>
      <c r="L61" s="110"/>
      <c r="M61" s="110"/>
      <c r="N61" s="110"/>
      <c r="O61" s="110"/>
      <c r="P61" s="110"/>
      <c r="Q61" s="111"/>
      <c r="R61" s="17"/>
      <c r="S61" s="17"/>
      <c r="T61" s="17"/>
      <c r="U61" s="17"/>
    </row>
    <row r="62" spans="1:21" ht="18" hidden="1" customHeight="1" x14ac:dyDescent="0.2">
      <c r="A62" s="3"/>
      <c r="B62" s="109"/>
      <c r="C62" s="110"/>
      <c r="D62" s="110"/>
      <c r="E62" s="110"/>
      <c r="F62" s="111"/>
      <c r="G62" s="17"/>
      <c r="H62" s="17"/>
      <c r="I62" s="17"/>
      <c r="J62" s="17"/>
      <c r="K62" s="109"/>
      <c r="L62" s="110"/>
      <c r="M62" s="110"/>
      <c r="N62" s="110"/>
      <c r="O62" s="110"/>
      <c r="P62" s="110"/>
      <c r="Q62" s="111"/>
      <c r="R62" s="17"/>
      <c r="S62" s="17"/>
      <c r="T62" s="17"/>
      <c r="U62" s="17"/>
    </row>
    <row r="63" spans="1:21" ht="18" hidden="1" customHeight="1" x14ac:dyDescent="0.2">
      <c r="A63" s="3"/>
      <c r="B63" s="109"/>
      <c r="C63" s="110"/>
      <c r="D63" s="110"/>
      <c r="E63" s="110"/>
      <c r="F63" s="111"/>
      <c r="G63" s="17"/>
      <c r="H63" s="17"/>
      <c r="I63" s="17"/>
      <c r="J63" s="17"/>
      <c r="K63" s="109"/>
      <c r="L63" s="110"/>
      <c r="M63" s="110"/>
      <c r="N63" s="110"/>
      <c r="O63" s="110"/>
      <c r="P63" s="110"/>
      <c r="Q63" s="111"/>
      <c r="R63" s="17"/>
      <c r="S63" s="17"/>
      <c r="T63" s="17"/>
      <c r="U63" s="17"/>
    </row>
    <row r="64" spans="1:21" ht="18" hidden="1" customHeight="1" x14ac:dyDescent="0.2">
      <c r="A64" s="3"/>
      <c r="B64" s="109"/>
      <c r="C64" s="110"/>
      <c r="D64" s="110"/>
      <c r="E64" s="110"/>
      <c r="F64" s="111"/>
      <c r="G64" s="17"/>
      <c r="H64" s="17"/>
      <c r="I64" s="17"/>
      <c r="J64" s="17"/>
      <c r="K64" s="109"/>
      <c r="L64" s="110"/>
      <c r="M64" s="110"/>
      <c r="N64" s="110"/>
      <c r="O64" s="110"/>
      <c r="P64" s="110"/>
      <c r="Q64" s="111"/>
      <c r="R64" s="17"/>
      <c r="S64" s="17"/>
      <c r="T64" s="17"/>
      <c r="U64" s="17"/>
    </row>
    <row r="65" spans="1:21" ht="18" customHeight="1" x14ac:dyDescent="0.2">
      <c r="A65" s="3"/>
      <c r="B65" s="109"/>
      <c r="C65" s="110"/>
      <c r="D65" s="110"/>
      <c r="E65" s="110"/>
      <c r="F65" s="111"/>
      <c r="G65" s="17"/>
      <c r="H65" s="17"/>
      <c r="I65" s="17"/>
      <c r="J65" s="17"/>
      <c r="K65" s="109"/>
      <c r="L65" s="110"/>
      <c r="M65" s="110"/>
      <c r="N65" s="110"/>
      <c r="O65" s="110"/>
      <c r="P65" s="110"/>
      <c r="Q65" s="111"/>
      <c r="R65" s="17"/>
      <c r="S65" s="17"/>
      <c r="T65" s="17"/>
      <c r="U65" s="17"/>
    </row>
    <row r="66" spans="1:21" ht="18" customHeight="1" x14ac:dyDescent="0.2">
      <c r="A66" s="3"/>
      <c r="B66" s="113"/>
      <c r="C66" s="114"/>
      <c r="D66" s="114"/>
      <c r="E66" s="114"/>
      <c r="F66" s="115"/>
      <c r="G66" s="18"/>
      <c r="H66" s="18"/>
      <c r="I66" s="19"/>
      <c r="J66" s="19"/>
      <c r="K66" s="113"/>
      <c r="L66" s="114"/>
      <c r="M66" s="114"/>
      <c r="N66" s="114"/>
      <c r="O66" s="114"/>
      <c r="P66" s="114"/>
      <c r="Q66" s="115"/>
      <c r="R66" s="18"/>
      <c r="S66" s="18"/>
      <c r="T66" s="19"/>
      <c r="U66" s="19"/>
    </row>
    <row r="67" spans="1:21" ht="7.5" customHeight="1" x14ac:dyDescent="0.2">
      <c r="B67" s="13"/>
      <c r="C67" s="13"/>
      <c r="D67" s="13"/>
      <c r="E67" s="13"/>
      <c r="F67" s="13"/>
      <c r="G67" s="13"/>
      <c r="H67" s="13"/>
      <c r="I67" s="13"/>
      <c r="J67" s="13"/>
      <c r="K67" s="13"/>
      <c r="L67" s="13"/>
      <c r="M67" s="13"/>
      <c r="N67" s="13"/>
      <c r="O67" s="13"/>
      <c r="P67" s="13"/>
      <c r="Q67" s="13"/>
      <c r="R67" s="13"/>
      <c r="S67" s="13"/>
      <c r="T67" s="13"/>
    </row>
    <row r="68" spans="1:21" ht="18" customHeight="1" x14ac:dyDescent="0.2">
      <c r="A68" s="112" t="s">
        <v>33</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2">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2">
      <c r="B70" s="116" t="s">
        <v>17</v>
      </c>
      <c r="C70" s="117"/>
      <c r="D70" s="117"/>
      <c r="E70" s="117"/>
      <c r="F70" s="31" t="s">
        <v>18</v>
      </c>
      <c r="G70" s="30" t="s">
        <v>19</v>
      </c>
      <c r="H70" s="15" t="s">
        <v>34</v>
      </c>
      <c r="I70" s="15" t="s">
        <v>35</v>
      </c>
      <c r="J70" s="15" t="s">
        <v>36</v>
      </c>
      <c r="K70" s="116" t="s">
        <v>17</v>
      </c>
      <c r="L70" s="117"/>
      <c r="M70" s="117"/>
      <c r="N70" s="117"/>
      <c r="O70" s="117"/>
      <c r="P70" s="118"/>
      <c r="Q70" s="31" t="s">
        <v>18</v>
      </c>
      <c r="R70" s="30" t="s">
        <v>19</v>
      </c>
      <c r="S70" s="15" t="s">
        <v>34</v>
      </c>
      <c r="T70" s="15" t="s">
        <v>35</v>
      </c>
      <c r="U70" s="15" t="s">
        <v>36</v>
      </c>
    </row>
    <row r="71" spans="1:21" ht="18" customHeight="1" x14ac:dyDescent="0.2">
      <c r="A71" s="3"/>
      <c r="B71" s="141" t="s">
        <v>22</v>
      </c>
      <c r="C71" s="142"/>
      <c r="D71" s="142"/>
      <c r="E71" s="142"/>
      <c r="F71" s="16">
        <v>2</v>
      </c>
      <c r="G71" s="16" t="s">
        <v>23</v>
      </c>
      <c r="H71" s="16" t="s">
        <v>23</v>
      </c>
      <c r="I71" s="16" t="s">
        <v>23</v>
      </c>
      <c r="J71" s="16" t="s">
        <v>23</v>
      </c>
      <c r="K71" s="141"/>
      <c r="L71" s="142"/>
      <c r="M71" s="142"/>
      <c r="N71" s="142"/>
      <c r="O71" s="142"/>
      <c r="P71" s="143"/>
      <c r="Q71" s="16"/>
      <c r="R71" s="16"/>
      <c r="S71" s="16"/>
      <c r="T71" s="16"/>
      <c r="U71" s="16"/>
    </row>
    <row r="72" spans="1:21" ht="18" customHeight="1" x14ac:dyDescent="0.2">
      <c r="A72" s="3"/>
      <c r="B72" s="109"/>
      <c r="C72" s="110"/>
      <c r="D72" s="110"/>
      <c r="E72" s="110"/>
      <c r="F72" s="17"/>
      <c r="G72" s="17"/>
      <c r="H72" s="17"/>
      <c r="I72" s="17"/>
      <c r="J72" s="17"/>
      <c r="K72" s="109"/>
      <c r="L72" s="110"/>
      <c r="M72" s="110"/>
      <c r="N72" s="110"/>
      <c r="O72" s="110"/>
      <c r="P72" s="111"/>
      <c r="Q72" s="17"/>
      <c r="R72" s="17"/>
      <c r="S72" s="17"/>
      <c r="T72" s="17"/>
      <c r="U72" s="17"/>
    </row>
    <row r="73" spans="1:21" ht="18" hidden="1" customHeight="1" x14ac:dyDescent="0.2">
      <c r="A73" s="3"/>
      <c r="B73" s="109"/>
      <c r="C73" s="110"/>
      <c r="D73" s="110"/>
      <c r="E73" s="110"/>
      <c r="F73" s="17"/>
      <c r="G73" s="17"/>
      <c r="H73" s="17"/>
      <c r="I73" s="17"/>
      <c r="J73" s="17"/>
      <c r="K73" s="109"/>
      <c r="L73" s="110"/>
      <c r="M73" s="110"/>
      <c r="N73" s="110"/>
      <c r="O73" s="110"/>
      <c r="P73" s="111"/>
      <c r="Q73" s="17"/>
      <c r="R73" s="17"/>
      <c r="S73" s="17"/>
      <c r="T73" s="17"/>
      <c r="U73" s="17"/>
    </row>
    <row r="74" spans="1:21" ht="18" hidden="1" customHeight="1" x14ac:dyDescent="0.2">
      <c r="A74" s="3"/>
      <c r="B74" s="109"/>
      <c r="C74" s="110"/>
      <c r="D74" s="110"/>
      <c r="E74" s="110"/>
      <c r="F74" s="17"/>
      <c r="G74" s="17"/>
      <c r="H74" s="17"/>
      <c r="I74" s="17"/>
      <c r="J74" s="17"/>
      <c r="K74" s="109"/>
      <c r="L74" s="110"/>
      <c r="M74" s="110"/>
      <c r="N74" s="110"/>
      <c r="O74" s="110"/>
      <c r="P74" s="111"/>
      <c r="Q74" s="17"/>
      <c r="R74" s="17"/>
      <c r="S74" s="17"/>
      <c r="T74" s="17"/>
      <c r="U74" s="17"/>
    </row>
    <row r="75" spans="1:21" ht="18" hidden="1" customHeight="1" x14ac:dyDescent="0.2">
      <c r="A75" s="3"/>
      <c r="B75" s="109"/>
      <c r="C75" s="110"/>
      <c r="D75" s="110"/>
      <c r="E75" s="110"/>
      <c r="F75" s="17"/>
      <c r="G75" s="17"/>
      <c r="H75" s="17"/>
      <c r="I75" s="17"/>
      <c r="J75" s="17"/>
      <c r="K75" s="109"/>
      <c r="L75" s="110"/>
      <c r="M75" s="110"/>
      <c r="N75" s="110"/>
      <c r="O75" s="110"/>
      <c r="P75" s="111"/>
      <c r="Q75" s="17"/>
      <c r="R75" s="17"/>
      <c r="S75" s="17"/>
      <c r="T75" s="17"/>
      <c r="U75" s="17"/>
    </row>
    <row r="76" spans="1:21" ht="18" customHeight="1" x14ac:dyDescent="0.2">
      <c r="A76" s="3"/>
      <c r="B76" s="109"/>
      <c r="C76" s="110"/>
      <c r="D76" s="110"/>
      <c r="E76" s="110"/>
      <c r="F76" s="17"/>
      <c r="G76" s="17"/>
      <c r="H76" s="17"/>
      <c r="I76" s="17"/>
      <c r="J76" s="17"/>
      <c r="K76" s="109"/>
      <c r="L76" s="110"/>
      <c r="M76" s="110"/>
      <c r="N76" s="110"/>
      <c r="O76" s="110"/>
      <c r="P76" s="111"/>
      <c r="Q76" s="17"/>
      <c r="R76" s="17"/>
      <c r="S76" s="17"/>
      <c r="T76" s="17"/>
      <c r="U76" s="17"/>
    </row>
    <row r="77" spans="1:21" ht="18" customHeight="1" x14ac:dyDescent="0.2">
      <c r="A77" s="3"/>
      <c r="B77" s="113"/>
      <c r="C77" s="114"/>
      <c r="D77" s="114"/>
      <c r="E77" s="114"/>
      <c r="F77" s="18"/>
      <c r="G77" s="18"/>
      <c r="H77" s="19"/>
      <c r="I77" s="19"/>
      <c r="J77" s="19"/>
      <c r="K77" s="113"/>
      <c r="L77" s="114"/>
      <c r="M77" s="114"/>
      <c r="N77" s="114"/>
      <c r="O77" s="114"/>
      <c r="P77" s="115"/>
      <c r="Q77" s="18"/>
      <c r="R77" s="18"/>
      <c r="S77" s="19"/>
      <c r="T77" s="19"/>
      <c r="U77" s="19"/>
    </row>
    <row r="78" spans="1:21" ht="7.5" customHeight="1" x14ac:dyDescent="0.2">
      <c r="B78" s="13"/>
      <c r="C78" s="13"/>
      <c r="D78" s="13"/>
      <c r="E78" s="13"/>
      <c r="F78" s="13"/>
      <c r="G78" s="13"/>
      <c r="H78" s="13"/>
      <c r="I78" s="13"/>
      <c r="J78" s="13"/>
      <c r="K78" s="13"/>
      <c r="L78" s="13"/>
      <c r="M78" s="13"/>
      <c r="N78" s="13"/>
      <c r="O78" s="13"/>
      <c r="P78" s="13"/>
      <c r="Q78" s="13"/>
      <c r="R78" s="13"/>
      <c r="S78" s="13"/>
      <c r="T78" s="13"/>
    </row>
    <row r="79" spans="1:21" ht="18" customHeight="1" x14ac:dyDescent="0.2">
      <c r="A79" s="1" t="s">
        <v>37</v>
      </c>
      <c r="I79" s="3"/>
      <c r="J79" s="3"/>
      <c r="K79" s="3"/>
      <c r="L79" s="3"/>
      <c r="M79" s="3"/>
      <c r="N79" s="3"/>
      <c r="O79" s="3"/>
      <c r="P79" s="3"/>
      <c r="Q79" s="3"/>
      <c r="R79" s="3"/>
      <c r="S79" s="3"/>
      <c r="T79" s="3"/>
      <c r="U79" s="3"/>
    </row>
    <row r="80" spans="1:21" ht="18" customHeight="1" x14ac:dyDescent="0.2">
      <c r="B80" s="116" t="s">
        <v>17</v>
      </c>
      <c r="C80" s="117"/>
      <c r="D80" s="117"/>
      <c r="E80" s="117"/>
      <c r="F80" s="118"/>
      <c r="G80" s="116" t="s">
        <v>38</v>
      </c>
      <c r="H80" s="117"/>
      <c r="I80" s="117"/>
      <c r="J80" s="118"/>
      <c r="K80" s="162" t="s">
        <v>17</v>
      </c>
      <c r="L80" s="163"/>
      <c r="M80" s="163"/>
      <c r="N80" s="163"/>
      <c r="O80" s="163"/>
      <c r="P80" s="163"/>
      <c r="Q80" s="164"/>
      <c r="R80" s="116" t="s">
        <v>38</v>
      </c>
      <c r="S80" s="117"/>
      <c r="T80" s="117"/>
      <c r="U80" s="118"/>
    </row>
    <row r="81" spans="1:21" ht="18" customHeight="1" x14ac:dyDescent="0.2">
      <c r="A81" s="3"/>
      <c r="B81" s="141" t="s">
        <v>22</v>
      </c>
      <c r="C81" s="142"/>
      <c r="D81" s="142"/>
      <c r="E81" s="142"/>
      <c r="F81" s="143"/>
      <c r="G81" s="119" t="s">
        <v>39</v>
      </c>
      <c r="H81" s="120"/>
      <c r="I81" s="120"/>
      <c r="J81" s="121"/>
      <c r="K81" s="141" t="s">
        <v>22</v>
      </c>
      <c r="L81" s="142"/>
      <c r="M81" s="142"/>
      <c r="N81" s="142"/>
      <c r="O81" s="142"/>
      <c r="P81" s="142"/>
      <c r="Q81" s="143"/>
      <c r="R81" s="119" t="s">
        <v>40</v>
      </c>
      <c r="S81" s="120"/>
      <c r="T81" s="120"/>
      <c r="U81" s="121"/>
    </row>
    <row r="82" spans="1:21" ht="18" customHeight="1" x14ac:dyDescent="0.2">
      <c r="A82" s="3"/>
      <c r="B82" s="109" t="s">
        <v>22</v>
      </c>
      <c r="C82" s="110"/>
      <c r="D82" s="110"/>
      <c r="E82" s="110"/>
      <c r="F82" s="111"/>
      <c r="G82" s="106" t="s">
        <v>41</v>
      </c>
      <c r="H82" s="107"/>
      <c r="I82" s="107"/>
      <c r="J82" s="108"/>
      <c r="K82" s="109" t="s">
        <v>22</v>
      </c>
      <c r="L82" s="110"/>
      <c r="M82" s="110"/>
      <c r="N82" s="110"/>
      <c r="O82" s="110"/>
      <c r="P82" s="110"/>
      <c r="Q82" s="111"/>
      <c r="R82" s="106" t="s">
        <v>42</v>
      </c>
      <c r="S82" s="107"/>
      <c r="T82" s="107"/>
      <c r="U82" s="108"/>
    </row>
    <row r="83" spans="1:21" ht="18" customHeight="1" x14ac:dyDescent="0.2">
      <c r="A83" s="3"/>
      <c r="B83" s="109" t="s">
        <v>22</v>
      </c>
      <c r="C83" s="110"/>
      <c r="D83" s="110"/>
      <c r="E83" s="110"/>
      <c r="F83" s="111"/>
      <c r="G83" s="106" t="s">
        <v>43</v>
      </c>
      <c r="H83" s="107"/>
      <c r="I83" s="107"/>
      <c r="J83" s="108"/>
      <c r="K83" s="109"/>
      <c r="L83" s="110"/>
      <c r="M83" s="110"/>
      <c r="N83" s="110"/>
      <c r="O83" s="110"/>
      <c r="P83" s="110"/>
      <c r="Q83" s="111"/>
      <c r="R83" s="106"/>
      <c r="S83" s="107"/>
      <c r="T83" s="107"/>
      <c r="U83" s="108"/>
    </row>
    <row r="84" spans="1:21" ht="18" customHeight="1" x14ac:dyDescent="0.2">
      <c r="A84" s="3"/>
      <c r="B84" s="109" t="s">
        <v>22</v>
      </c>
      <c r="C84" s="110"/>
      <c r="D84" s="110"/>
      <c r="E84" s="110"/>
      <c r="F84" s="111"/>
      <c r="G84" s="106" t="s">
        <v>44</v>
      </c>
      <c r="H84" s="107"/>
      <c r="I84" s="107"/>
      <c r="J84" s="108"/>
      <c r="K84" s="109"/>
      <c r="L84" s="110"/>
      <c r="M84" s="110"/>
      <c r="N84" s="110"/>
      <c r="O84" s="110"/>
      <c r="P84" s="110"/>
      <c r="Q84" s="111"/>
      <c r="R84" s="106"/>
      <c r="S84" s="107"/>
      <c r="T84" s="107"/>
      <c r="U84" s="108"/>
    </row>
    <row r="85" spans="1:21" ht="18" customHeight="1" x14ac:dyDescent="0.2">
      <c r="A85" s="3"/>
      <c r="B85" s="109" t="s">
        <v>22</v>
      </c>
      <c r="C85" s="110"/>
      <c r="D85" s="110"/>
      <c r="E85" s="110"/>
      <c r="F85" s="111"/>
      <c r="G85" s="106" t="s">
        <v>45</v>
      </c>
      <c r="H85" s="107"/>
      <c r="I85" s="107"/>
      <c r="J85" s="108"/>
      <c r="K85" s="109"/>
      <c r="L85" s="110"/>
      <c r="M85" s="110"/>
      <c r="N85" s="110"/>
      <c r="O85" s="110"/>
      <c r="P85" s="110"/>
      <c r="Q85" s="111"/>
      <c r="R85" s="106"/>
      <c r="S85" s="107"/>
      <c r="T85" s="107"/>
      <c r="U85" s="108"/>
    </row>
    <row r="86" spans="1:21" ht="18" customHeight="1" x14ac:dyDescent="0.2">
      <c r="A86" s="3"/>
      <c r="B86" s="109" t="s">
        <v>22</v>
      </c>
      <c r="C86" s="110"/>
      <c r="D86" s="110"/>
      <c r="E86" s="110"/>
      <c r="F86" s="111"/>
      <c r="G86" s="106" t="s">
        <v>46</v>
      </c>
      <c r="H86" s="107"/>
      <c r="I86" s="107"/>
      <c r="J86" s="108"/>
      <c r="K86" s="109"/>
      <c r="L86" s="110"/>
      <c r="M86" s="110"/>
      <c r="N86" s="110"/>
      <c r="O86" s="110"/>
      <c r="P86" s="110"/>
      <c r="Q86" s="111"/>
      <c r="R86" s="106"/>
      <c r="S86" s="107"/>
      <c r="T86" s="107"/>
      <c r="U86" s="108"/>
    </row>
    <row r="87" spans="1:21" ht="18" customHeight="1" x14ac:dyDescent="0.2">
      <c r="A87" s="3"/>
      <c r="B87" s="113" t="s">
        <v>22</v>
      </c>
      <c r="C87" s="114"/>
      <c r="D87" s="114"/>
      <c r="E87" s="114"/>
      <c r="F87" s="115"/>
      <c r="G87" s="122" t="s">
        <v>47</v>
      </c>
      <c r="H87" s="123"/>
      <c r="I87" s="123"/>
      <c r="J87" s="124"/>
      <c r="K87" s="113"/>
      <c r="L87" s="114"/>
      <c r="M87" s="114"/>
      <c r="N87" s="114"/>
      <c r="O87" s="114"/>
      <c r="P87" s="114"/>
      <c r="Q87" s="115"/>
      <c r="R87" s="122"/>
      <c r="S87" s="123"/>
      <c r="T87" s="123"/>
      <c r="U87" s="124"/>
    </row>
    <row r="88" spans="1:21" ht="18" customHeight="1" x14ac:dyDescent="0.2">
      <c r="A88" s="3"/>
      <c r="B88" s="5"/>
      <c r="C88" s="5"/>
      <c r="D88" s="5"/>
      <c r="E88" s="5"/>
      <c r="F88" s="5"/>
      <c r="G88" s="20"/>
      <c r="H88" s="20"/>
      <c r="I88" s="20"/>
      <c r="J88" s="20"/>
      <c r="K88" s="5"/>
      <c r="L88" s="5"/>
      <c r="M88" s="5"/>
      <c r="N88" s="5"/>
      <c r="O88" s="5"/>
      <c r="P88" s="5"/>
      <c r="Q88" s="5"/>
      <c r="R88" s="20"/>
      <c r="S88" s="20"/>
      <c r="T88" s="20"/>
      <c r="U88" s="20"/>
    </row>
    <row r="89" spans="1:21" ht="18.75" customHeight="1" x14ac:dyDescent="0.2">
      <c r="A89" s="1" t="s">
        <v>48</v>
      </c>
    </row>
    <row r="90" spans="1:21" ht="18.75" customHeight="1" x14ac:dyDescent="0.2">
      <c r="B90" s="104" t="s">
        <v>49</v>
      </c>
      <c r="C90" s="105"/>
      <c r="D90" s="116" t="s">
        <v>50</v>
      </c>
      <c r="E90" s="117"/>
      <c r="F90" s="117"/>
      <c r="G90" s="117"/>
      <c r="H90" s="117"/>
      <c r="I90" s="117"/>
      <c r="J90" s="117"/>
      <c r="K90" s="117"/>
      <c r="L90" s="117"/>
      <c r="M90" s="117"/>
      <c r="N90" s="117"/>
      <c r="O90" s="117"/>
      <c r="P90" s="117"/>
      <c r="Q90" s="117"/>
      <c r="R90" s="117"/>
      <c r="S90" s="117"/>
      <c r="T90" s="117"/>
      <c r="U90" s="118"/>
    </row>
    <row r="91" spans="1:21" ht="80.400000000000006" customHeight="1" x14ac:dyDescent="0.2">
      <c r="B91" s="101" t="s">
        <v>51</v>
      </c>
      <c r="C91" s="69" t="s">
        <v>20</v>
      </c>
      <c r="D91" s="125" t="s">
        <v>52</v>
      </c>
      <c r="E91" s="126"/>
      <c r="F91" s="126"/>
      <c r="G91" s="126"/>
      <c r="H91" s="126"/>
      <c r="I91" s="126"/>
      <c r="J91" s="126"/>
      <c r="K91" s="126"/>
      <c r="L91" s="126"/>
      <c r="M91" s="126"/>
      <c r="N91" s="126"/>
      <c r="O91" s="126"/>
      <c r="P91" s="126"/>
      <c r="Q91" s="126"/>
      <c r="R91" s="126"/>
      <c r="S91" s="126"/>
      <c r="T91" s="126"/>
      <c r="U91" s="127"/>
    </row>
    <row r="92" spans="1:21" ht="47.4" customHeight="1" x14ac:dyDescent="0.2">
      <c r="B92" s="102"/>
      <c r="C92" s="70" t="s">
        <v>53</v>
      </c>
      <c r="D92" s="128" t="s">
        <v>54</v>
      </c>
      <c r="E92" s="129"/>
      <c r="F92" s="129"/>
      <c r="G92" s="129"/>
      <c r="H92" s="129"/>
      <c r="I92" s="129"/>
      <c r="J92" s="129"/>
      <c r="K92" s="129"/>
      <c r="L92" s="129"/>
      <c r="M92" s="129"/>
      <c r="N92" s="129"/>
      <c r="O92" s="129"/>
      <c r="P92" s="129"/>
      <c r="Q92" s="129"/>
      <c r="R92" s="129"/>
      <c r="S92" s="129"/>
      <c r="T92" s="129"/>
      <c r="U92" s="130"/>
    </row>
    <row r="93" spans="1:21" ht="70.2" customHeight="1" x14ac:dyDescent="0.2">
      <c r="B93" s="101" t="s">
        <v>55</v>
      </c>
      <c r="C93" s="71" t="s">
        <v>25</v>
      </c>
      <c r="D93" s="125" t="s">
        <v>56</v>
      </c>
      <c r="E93" s="126"/>
      <c r="F93" s="126"/>
      <c r="G93" s="126"/>
      <c r="H93" s="126"/>
      <c r="I93" s="126"/>
      <c r="J93" s="126"/>
      <c r="K93" s="126"/>
      <c r="L93" s="126"/>
      <c r="M93" s="126"/>
      <c r="N93" s="126"/>
      <c r="O93" s="126"/>
      <c r="P93" s="126"/>
      <c r="Q93" s="126"/>
      <c r="R93" s="126"/>
      <c r="S93" s="126"/>
      <c r="T93" s="126"/>
      <c r="U93" s="127"/>
    </row>
    <row r="94" spans="1:21" ht="59.4" customHeight="1" x14ac:dyDescent="0.2">
      <c r="B94" s="103"/>
      <c r="C94" s="72" t="s">
        <v>26</v>
      </c>
      <c r="D94" s="128" t="s">
        <v>57</v>
      </c>
      <c r="E94" s="129"/>
      <c r="F94" s="129"/>
      <c r="G94" s="129"/>
      <c r="H94" s="129"/>
      <c r="I94" s="129"/>
      <c r="J94" s="129"/>
      <c r="K94" s="129"/>
      <c r="L94" s="129"/>
      <c r="M94" s="129"/>
      <c r="N94" s="129"/>
      <c r="O94" s="129"/>
      <c r="P94" s="129"/>
      <c r="Q94" s="129"/>
      <c r="R94" s="129"/>
      <c r="S94" s="129"/>
      <c r="T94" s="129"/>
      <c r="U94" s="130"/>
    </row>
    <row r="95" spans="1:21" ht="83.4" customHeight="1" x14ac:dyDescent="0.2">
      <c r="B95" s="101" t="s">
        <v>58</v>
      </c>
      <c r="C95" s="71" t="s">
        <v>28</v>
      </c>
      <c r="D95" s="125" t="s">
        <v>59</v>
      </c>
      <c r="E95" s="126"/>
      <c r="F95" s="126"/>
      <c r="G95" s="126"/>
      <c r="H95" s="126"/>
      <c r="I95" s="126"/>
      <c r="J95" s="126"/>
      <c r="K95" s="126"/>
      <c r="L95" s="126"/>
      <c r="M95" s="126"/>
      <c r="N95" s="126"/>
      <c r="O95" s="126"/>
      <c r="P95" s="126"/>
      <c r="Q95" s="126"/>
      <c r="R95" s="126"/>
      <c r="S95" s="126"/>
      <c r="T95" s="126"/>
      <c r="U95" s="127"/>
    </row>
    <row r="96" spans="1:21" ht="46.2" customHeight="1" x14ac:dyDescent="0.2">
      <c r="B96" s="103"/>
      <c r="C96" s="73" t="s">
        <v>29</v>
      </c>
      <c r="D96" s="128" t="s">
        <v>60</v>
      </c>
      <c r="E96" s="129"/>
      <c r="F96" s="129"/>
      <c r="G96" s="129"/>
      <c r="H96" s="129"/>
      <c r="I96" s="129"/>
      <c r="J96" s="129"/>
      <c r="K96" s="129"/>
      <c r="L96" s="129"/>
      <c r="M96" s="129"/>
      <c r="N96" s="129"/>
      <c r="O96" s="129"/>
      <c r="P96" s="129"/>
      <c r="Q96" s="129"/>
      <c r="R96" s="129"/>
      <c r="S96" s="129"/>
      <c r="T96" s="129"/>
      <c r="U96" s="130"/>
    </row>
    <row r="97" spans="1:33" ht="115.8" customHeight="1" x14ac:dyDescent="0.2">
      <c r="B97" s="101" t="s">
        <v>61</v>
      </c>
      <c r="C97" s="69" t="s">
        <v>31</v>
      </c>
      <c r="D97" s="125" t="s">
        <v>62</v>
      </c>
      <c r="E97" s="126"/>
      <c r="F97" s="126"/>
      <c r="G97" s="126"/>
      <c r="H97" s="126"/>
      <c r="I97" s="126"/>
      <c r="J97" s="126"/>
      <c r="K97" s="126"/>
      <c r="L97" s="126"/>
      <c r="M97" s="126"/>
      <c r="N97" s="126"/>
      <c r="O97" s="126"/>
      <c r="P97" s="126"/>
      <c r="Q97" s="126"/>
      <c r="R97" s="126"/>
      <c r="S97" s="126"/>
      <c r="T97" s="126"/>
      <c r="U97" s="127"/>
    </row>
    <row r="98" spans="1:33" ht="58.8" customHeight="1" x14ac:dyDescent="0.2">
      <c r="B98" s="103"/>
      <c r="C98" s="72" t="s">
        <v>32</v>
      </c>
      <c r="D98" s="128" t="s">
        <v>63</v>
      </c>
      <c r="E98" s="129"/>
      <c r="F98" s="129"/>
      <c r="G98" s="129"/>
      <c r="H98" s="129"/>
      <c r="I98" s="129"/>
      <c r="J98" s="129"/>
      <c r="K98" s="129"/>
      <c r="L98" s="129"/>
      <c r="M98" s="129"/>
      <c r="N98" s="129"/>
      <c r="O98" s="129"/>
      <c r="P98" s="129"/>
      <c r="Q98" s="129"/>
      <c r="R98" s="129"/>
      <c r="S98" s="129"/>
      <c r="T98" s="129"/>
      <c r="U98" s="130"/>
    </row>
    <row r="99" spans="1:33" ht="126" customHeight="1" x14ac:dyDescent="0.2">
      <c r="B99" s="101" t="s">
        <v>64</v>
      </c>
      <c r="C99" s="71" t="s">
        <v>65</v>
      </c>
      <c r="D99" s="125" t="s">
        <v>66</v>
      </c>
      <c r="E99" s="126"/>
      <c r="F99" s="126"/>
      <c r="G99" s="126"/>
      <c r="H99" s="126"/>
      <c r="I99" s="126"/>
      <c r="J99" s="126"/>
      <c r="K99" s="126"/>
      <c r="L99" s="126"/>
      <c r="M99" s="126"/>
      <c r="N99" s="126"/>
      <c r="O99" s="126"/>
      <c r="P99" s="126"/>
      <c r="Q99" s="126"/>
      <c r="R99" s="126"/>
      <c r="S99" s="126"/>
      <c r="T99" s="126"/>
      <c r="U99" s="127"/>
    </row>
    <row r="100" spans="1:33" ht="60.6" customHeight="1" x14ac:dyDescent="0.2">
      <c r="B100" s="102"/>
      <c r="C100" s="74" t="s">
        <v>35</v>
      </c>
      <c r="D100" s="132" t="s">
        <v>67</v>
      </c>
      <c r="E100" s="133"/>
      <c r="F100" s="133"/>
      <c r="G100" s="133"/>
      <c r="H100" s="133"/>
      <c r="I100" s="133"/>
      <c r="J100" s="133"/>
      <c r="K100" s="133"/>
      <c r="L100" s="133"/>
      <c r="M100" s="133"/>
      <c r="N100" s="133"/>
      <c r="O100" s="133"/>
      <c r="P100" s="133"/>
      <c r="Q100" s="133"/>
      <c r="R100" s="133"/>
      <c r="S100" s="133"/>
      <c r="T100" s="133"/>
      <c r="U100" s="134"/>
    </row>
    <row r="101" spans="1:33" ht="70.2" customHeight="1" x14ac:dyDescent="0.2">
      <c r="B101" s="103"/>
      <c r="C101" s="73" t="s">
        <v>36</v>
      </c>
      <c r="D101" s="128" t="s">
        <v>68</v>
      </c>
      <c r="E101" s="129"/>
      <c r="F101" s="129"/>
      <c r="G101" s="129"/>
      <c r="H101" s="129"/>
      <c r="I101" s="129"/>
      <c r="J101" s="129"/>
      <c r="K101" s="129"/>
      <c r="L101" s="129"/>
      <c r="M101" s="129"/>
      <c r="N101" s="129"/>
      <c r="O101" s="129"/>
      <c r="P101" s="129"/>
      <c r="Q101" s="129"/>
      <c r="R101" s="129"/>
      <c r="S101" s="129"/>
      <c r="T101" s="129"/>
      <c r="U101" s="130"/>
    </row>
    <row r="102" spans="1:33" ht="6" customHeight="1" x14ac:dyDescent="0.2"/>
    <row r="103" spans="1:33" ht="18.75" customHeight="1" x14ac:dyDescent="0.2">
      <c r="A103" s="1" t="s">
        <v>69</v>
      </c>
    </row>
    <row r="104" spans="1:33" ht="81.75" customHeight="1" x14ac:dyDescent="0.2">
      <c r="B104" s="135" t="s">
        <v>70</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2">
      <c r="A106" s="53" t="s">
        <v>71</v>
      </c>
      <c r="B106" s="54"/>
      <c r="C106" s="54"/>
      <c r="D106" s="54"/>
      <c r="E106" s="54"/>
      <c r="F106" s="54"/>
      <c r="G106" s="54"/>
      <c r="H106" s="54"/>
      <c r="I106" s="54"/>
      <c r="J106" s="54"/>
      <c r="K106" s="54"/>
      <c r="L106" s="54"/>
      <c r="M106" s="54"/>
      <c r="N106" s="54"/>
      <c r="O106" s="54"/>
      <c r="P106" s="54"/>
      <c r="Q106" s="54"/>
      <c r="R106" s="54"/>
      <c r="S106" s="54"/>
      <c r="T106" s="54"/>
      <c r="U106" s="54"/>
    </row>
    <row r="107" spans="1:33" ht="18.75" customHeight="1" x14ac:dyDescent="0.2">
      <c r="A107" s="53" t="s">
        <v>72</v>
      </c>
      <c r="B107" s="53"/>
      <c r="C107" s="53"/>
      <c r="D107" s="53"/>
      <c r="E107" s="53"/>
      <c r="F107" s="53"/>
      <c r="G107" s="53"/>
      <c r="H107" s="53"/>
      <c r="I107" s="53"/>
      <c r="J107" s="53"/>
      <c r="K107" s="53"/>
      <c r="L107" s="53"/>
      <c r="M107" s="53"/>
      <c r="N107" s="53"/>
      <c r="O107" s="53"/>
      <c r="P107" s="53"/>
      <c r="Q107" s="53"/>
      <c r="R107" s="53"/>
      <c r="S107" s="53"/>
      <c r="T107" s="53"/>
      <c r="U107" s="53"/>
      <c r="AE107" s="2"/>
      <c r="AF107" s="2"/>
      <c r="AG107" s="2"/>
    </row>
    <row r="108" spans="1:33" ht="18.75" customHeight="1" x14ac:dyDescent="0.2">
      <c r="A108" s="53"/>
      <c r="B108" s="131" t="s">
        <v>73</v>
      </c>
      <c r="C108" s="131"/>
      <c r="D108" s="131"/>
      <c r="E108" s="131"/>
      <c r="F108" s="131"/>
      <c r="G108" s="131"/>
      <c r="H108" s="131"/>
      <c r="I108" s="131"/>
      <c r="J108" s="131"/>
      <c r="K108" s="131"/>
      <c r="L108" s="131"/>
      <c r="M108" s="131"/>
      <c r="N108" s="131"/>
      <c r="O108" s="131"/>
      <c r="P108" s="131"/>
      <c r="Q108" s="131"/>
      <c r="R108" s="131"/>
      <c r="S108" s="131"/>
      <c r="T108" s="131"/>
      <c r="U108" s="131"/>
      <c r="AE108" s="49"/>
      <c r="AF108" s="49"/>
      <c r="AG108" s="49"/>
    </row>
    <row r="109" spans="1:33" ht="37.200000000000003" customHeight="1" x14ac:dyDescent="0.2">
      <c r="A109" s="53"/>
      <c r="B109" s="131"/>
      <c r="C109" s="131"/>
      <c r="D109" s="131"/>
      <c r="E109" s="131"/>
      <c r="F109" s="131"/>
      <c r="G109" s="131"/>
      <c r="H109" s="131"/>
      <c r="I109" s="131"/>
      <c r="J109" s="131"/>
      <c r="K109" s="131"/>
      <c r="L109" s="131"/>
      <c r="M109" s="131"/>
      <c r="N109" s="131"/>
      <c r="O109" s="131"/>
      <c r="P109" s="131"/>
      <c r="Q109" s="131"/>
      <c r="R109" s="131"/>
      <c r="S109" s="131"/>
      <c r="T109" s="131"/>
      <c r="U109" s="131"/>
      <c r="AE109" s="49"/>
      <c r="AF109" s="49"/>
      <c r="AG109" s="49"/>
    </row>
    <row r="110" spans="1:33" ht="18.75" customHeight="1" x14ac:dyDescent="0.2">
      <c r="A110" s="53"/>
      <c r="B110" s="161" t="s">
        <v>74</v>
      </c>
      <c r="C110" s="161"/>
      <c r="D110" s="161"/>
      <c r="E110" s="161"/>
      <c r="F110" s="161"/>
      <c r="G110" s="161"/>
      <c r="H110" s="161"/>
      <c r="I110" s="161"/>
      <c r="J110" s="161"/>
      <c r="K110" s="161"/>
      <c r="L110" s="161"/>
      <c r="M110" s="161"/>
      <c r="N110" s="161"/>
      <c r="O110" s="161"/>
      <c r="P110" s="161"/>
      <c r="Q110" s="161"/>
      <c r="R110" s="161"/>
      <c r="S110" s="161"/>
      <c r="T110" s="161"/>
      <c r="U110" s="161"/>
      <c r="AE110" s="49"/>
      <c r="AF110" s="49"/>
      <c r="AG110" s="49"/>
    </row>
    <row r="111" spans="1:33" ht="18.75" customHeight="1" x14ac:dyDescent="0.2">
      <c r="A111" s="53"/>
      <c r="B111" s="139" t="s">
        <v>50</v>
      </c>
      <c r="C111" s="139"/>
      <c r="D111" s="139"/>
      <c r="E111" s="139"/>
      <c r="F111" s="139"/>
      <c r="G111" s="139"/>
      <c r="H111" s="139"/>
      <c r="I111" s="139"/>
      <c r="J111" s="139"/>
      <c r="K111" s="139"/>
      <c r="L111" s="139"/>
      <c r="M111" s="139"/>
      <c r="N111" s="139"/>
      <c r="O111" s="139"/>
      <c r="P111" s="139"/>
      <c r="Q111" s="139"/>
      <c r="R111" s="139"/>
      <c r="S111" s="139"/>
      <c r="T111" s="139"/>
      <c r="U111" s="139"/>
      <c r="AE111" s="48"/>
      <c r="AF111" s="48"/>
      <c r="AG111" s="48"/>
    </row>
    <row r="112" spans="1:33" ht="114.6" customHeight="1" x14ac:dyDescent="0.2">
      <c r="A112" s="53"/>
      <c r="B112" s="140" t="s">
        <v>179</v>
      </c>
      <c r="C112" s="140"/>
      <c r="D112" s="140"/>
      <c r="E112" s="140"/>
      <c r="F112" s="140"/>
      <c r="G112" s="140"/>
      <c r="H112" s="140"/>
      <c r="I112" s="140"/>
      <c r="J112" s="140"/>
      <c r="K112" s="140"/>
      <c r="L112" s="140"/>
      <c r="M112" s="140"/>
      <c r="N112" s="140"/>
      <c r="O112" s="140"/>
      <c r="P112" s="140"/>
      <c r="Q112" s="140"/>
      <c r="R112" s="140"/>
      <c r="S112" s="140"/>
      <c r="T112" s="140"/>
      <c r="U112" s="140"/>
      <c r="AE112" s="50"/>
      <c r="AF112" s="50"/>
      <c r="AG112" s="50"/>
    </row>
    <row r="114" ht="18" customHeight="1" x14ac:dyDescent="0.2"/>
  </sheetData>
  <mergeCells count="149">
    <mergeCell ref="K87:Q87"/>
    <mergeCell ref="K55:Q55"/>
    <mergeCell ref="K71:P71"/>
    <mergeCell ref="K72:P72"/>
    <mergeCell ref="B95:B96"/>
    <mergeCell ref="K54:Q54"/>
    <mergeCell ref="K81:Q81"/>
    <mergeCell ref="R81:U81"/>
    <mergeCell ref="R80:U80"/>
    <mergeCell ref="B81:F81"/>
    <mergeCell ref="B91:B92"/>
    <mergeCell ref="B61:F61"/>
    <mergeCell ref="D101:U101"/>
    <mergeCell ref="N22:U22"/>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K62:Q62"/>
    <mergeCell ref="K63:Q63"/>
    <mergeCell ref="K64:Q64"/>
    <mergeCell ref="K65:Q65"/>
    <mergeCell ref="K66:Q66"/>
    <mergeCell ref="B70:E70"/>
    <mergeCell ref="B60:F60"/>
    <mergeCell ref="K37:Q37"/>
    <mergeCell ref="B62:F62"/>
    <mergeCell ref="B63:F63"/>
    <mergeCell ref="B64:F64"/>
    <mergeCell ref="K48:Q48"/>
    <mergeCell ref="B51:F51"/>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B11:U12"/>
    <mergeCell ref="B110:U110"/>
    <mergeCell ref="R83:U83"/>
    <mergeCell ref="K70:P70"/>
    <mergeCell ref="B65:F65"/>
    <mergeCell ref="B66:F66"/>
    <mergeCell ref="G80:J80"/>
    <mergeCell ref="K80:Q80"/>
    <mergeCell ref="B71:E71"/>
    <mergeCell ref="B72:E72"/>
    <mergeCell ref="B83:F83"/>
    <mergeCell ref="B86:F86"/>
    <mergeCell ref="G86:J86"/>
    <mergeCell ref="K86:Q86"/>
    <mergeCell ref="R86:U86"/>
    <mergeCell ref="B87:F87"/>
    <mergeCell ref="V1:AD104857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C2:J2"/>
    <mergeCell ref="C3:J3"/>
    <mergeCell ref="A5:U5"/>
    <mergeCell ref="B15:U20"/>
    <mergeCell ref="A24:U25"/>
    <mergeCell ref="L7:U7"/>
    <mergeCell ref="B108:U109"/>
    <mergeCell ref="D98:U98"/>
    <mergeCell ref="D99:U99"/>
    <mergeCell ref="D100:U100"/>
    <mergeCell ref="K61:Q61"/>
    <mergeCell ref="B75:E75"/>
    <mergeCell ref="B76:E76"/>
    <mergeCell ref="B77:E77"/>
    <mergeCell ref="K74:P74"/>
    <mergeCell ref="K75:P75"/>
    <mergeCell ref="K76:P76"/>
    <mergeCell ref="B104:U104"/>
    <mergeCell ref="R87:U87"/>
    <mergeCell ref="B82:F82"/>
    <mergeCell ref="G82:J82"/>
    <mergeCell ref="K82:Q82"/>
    <mergeCell ref="R82:U82"/>
    <mergeCell ref="K73:P73"/>
    <mergeCell ref="B84:F84"/>
    <mergeCell ref="G83:J83"/>
    <mergeCell ref="G84:J84"/>
    <mergeCell ref="K83:Q83"/>
    <mergeCell ref="K84:Q84"/>
    <mergeCell ref="B99:B101"/>
    <mergeCell ref="B97:B98"/>
    <mergeCell ref="B90:C90"/>
    <mergeCell ref="B93:B94"/>
    <mergeCell ref="R84:U84"/>
    <mergeCell ref="K53:Q53"/>
    <mergeCell ref="A57:U58"/>
    <mergeCell ref="K77:P77"/>
    <mergeCell ref="A68:U69"/>
    <mergeCell ref="B80:F80"/>
    <mergeCell ref="G81:J81"/>
    <mergeCell ref="G87:J87"/>
    <mergeCell ref="D93:U93"/>
    <mergeCell ref="D94:U94"/>
    <mergeCell ref="D95:U95"/>
    <mergeCell ref="D90:U90"/>
    <mergeCell ref="D91:U91"/>
    <mergeCell ref="D92:U92"/>
    <mergeCell ref="G85:J85"/>
    <mergeCell ref="K85:Q85"/>
    <mergeCell ref="R85:U85"/>
    <mergeCell ref="B85:F85"/>
    <mergeCell ref="D96:U96"/>
    <mergeCell ref="D97:U97"/>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87" max="20" man="1"/>
    <brk id="101"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12"/>
  <sheetViews>
    <sheetView view="pageBreakPreview" topLeftCell="A7" zoomScaleNormal="100" zoomScaleSheetLayoutView="100" workbookViewId="0">
      <selection activeCell="D98" sqref="D98:U98"/>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75</v>
      </c>
    </row>
    <row r="2" spans="1:21" ht="18" customHeight="1" x14ac:dyDescent="0.2">
      <c r="A2" s="54"/>
      <c r="B2" s="54"/>
      <c r="C2" s="54"/>
      <c r="D2" s="54"/>
      <c r="E2" s="54"/>
      <c r="F2" s="54"/>
      <c r="G2" s="54"/>
      <c r="H2" s="54"/>
      <c r="I2" s="54"/>
      <c r="J2" s="54"/>
      <c r="K2" s="54"/>
      <c r="L2" s="54"/>
      <c r="M2" s="54"/>
      <c r="N2" s="54"/>
      <c r="O2" s="54"/>
      <c r="P2" s="54"/>
      <c r="Q2" s="176" t="str">
        <f>'様式１　プログラムを構成する授業科目'!C2</f>
        <v>明治学院大学</v>
      </c>
      <c r="R2" s="176"/>
      <c r="S2" s="176"/>
    </row>
    <row r="3" spans="1:21" ht="18" customHeight="1" x14ac:dyDescent="0.2">
      <c r="A3" s="147" t="s">
        <v>76</v>
      </c>
      <c r="B3" s="147"/>
      <c r="C3" s="147"/>
      <c r="D3" s="147"/>
      <c r="E3" s="147"/>
      <c r="F3" s="147"/>
      <c r="G3" s="147"/>
      <c r="H3" s="147"/>
      <c r="I3" s="147"/>
      <c r="J3" s="147"/>
      <c r="K3" s="147"/>
      <c r="L3" s="147"/>
      <c r="M3" s="147"/>
      <c r="N3" s="147"/>
      <c r="O3" s="147"/>
      <c r="P3" s="147"/>
      <c r="Q3" s="147"/>
      <c r="R3" s="147"/>
      <c r="S3" s="147"/>
    </row>
    <row r="4" spans="1:21" ht="7.5" customHeight="1" x14ac:dyDescent="0.2">
      <c r="A4" s="59"/>
      <c r="B4" s="59"/>
      <c r="C4" s="59"/>
      <c r="D4" s="59"/>
      <c r="E4" s="59"/>
      <c r="F4" s="59"/>
      <c r="G4" s="59"/>
      <c r="H4" s="59"/>
      <c r="I4" s="59"/>
      <c r="J4" s="59"/>
      <c r="K4" s="59"/>
      <c r="L4" s="59"/>
      <c r="M4" s="59"/>
      <c r="N4" s="59"/>
      <c r="O4" s="59"/>
      <c r="P4" s="59"/>
      <c r="Q4" s="59"/>
      <c r="R4" s="59"/>
      <c r="S4" s="59"/>
    </row>
    <row r="5" spans="1:21" ht="18" customHeight="1" x14ac:dyDescent="0.2">
      <c r="A5" s="54" t="s">
        <v>77</v>
      </c>
      <c r="B5" s="54"/>
      <c r="C5" s="177" t="s">
        <v>78</v>
      </c>
      <c r="D5" s="178"/>
      <c r="E5" s="59" t="s">
        <v>79</v>
      </c>
      <c r="F5" s="59"/>
      <c r="G5" s="59"/>
      <c r="H5" s="59"/>
      <c r="I5" s="59"/>
      <c r="J5" s="59"/>
      <c r="K5" s="59"/>
      <c r="L5" s="59"/>
      <c r="M5" s="59"/>
      <c r="N5" s="59"/>
      <c r="O5" s="59"/>
      <c r="P5" s="59"/>
      <c r="Q5" s="59"/>
      <c r="R5" s="57"/>
      <c r="S5" s="57"/>
    </row>
    <row r="6" spans="1:21" ht="7.2" customHeight="1" x14ac:dyDescent="0.2">
      <c r="A6" s="54"/>
      <c r="B6" s="54"/>
      <c r="C6" s="63"/>
      <c r="D6" s="63"/>
      <c r="E6" s="59"/>
      <c r="F6" s="59"/>
      <c r="G6" s="59"/>
      <c r="H6" s="59"/>
      <c r="I6" s="59"/>
      <c r="J6" s="59"/>
      <c r="K6" s="59"/>
      <c r="L6" s="59"/>
      <c r="M6" s="59"/>
      <c r="N6" s="59"/>
      <c r="O6" s="59"/>
      <c r="P6" s="59"/>
      <c r="Q6" s="59"/>
      <c r="R6" s="57"/>
      <c r="S6" s="57"/>
    </row>
    <row r="7" spans="1:21" ht="18" customHeight="1" x14ac:dyDescent="0.2">
      <c r="A7" s="54" t="s">
        <v>80</v>
      </c>
      <c r="B7" s="54"/>
      <c r="C7" s="63"/>
      <c r="D7" s="63"/>
      <c r="E7" s="59" t="s">
        <v>81</v>
      </c>
      <c r="F7" s="62">
        <v>4721</v>
      </c>
      <c r="G7" s="60" t="s">
        <v>82</v>
      </c>
      <c r="H7" s="59" t="s">
        <v>83</v>
      </c>
      <c r="I7" s="62">
        <v>7314</v>
      </c>
      <c r="J7" s="60" t="s">
        <v>82</v>
      </c>
      <c r="K7" s="56" t="s">
        <v>84</v>
      </c>
      <c r="L7" s="59" t="s">
        <v>85</v>
      </c>
      <c r="M7" s="75">
        <f>F7+I7</f>
        <v>12035</v>
      </c>
      <c r="N7" s="59" t="s">
        <v>86</v>
      </c>
      <c r="O7" s="60" t="s">
        <v>87</v>
      </c>
      <c r="P7" s="59"/>
      <c r="Q7" s="59"/>
      <c r="R7" s="57"/>
      <c r="S7" s="57"/>
    </row>
    <row r="8" spans="1:21" ht="6" customHeight="1" x14ac:dyDescent="0.2">
      <c r="A8" s="59"/>
      <c r="B8" s="59"/>
      <c r="C8" s="59"/>
      <c r="D8" s="59"/>
      <c r="E8" s="59"/>
      <c r="F8" s="59"/>
      <c r="G8" s="59"/>
      <c r="H8" s="59"/>
      <c r="I8" s="59"/>
      <c r="J8" s="59"/>
      <c r="K8" s="59"/>
      <c r="L8" s="59"/>
      <c r="M8" s="59"/>
      <c r="N8" s="59"/>
      <c r="O8" s="59"/>
      <c r="P8" s="59"/>
      <c r="Q8" s="59"/>
      <c r="R8" s="59"/>
      <c r="S8" s="59"/>
    </row>
    <row r="9" spans="1:21" ht="18" customHeight="1" x14ac:dyDescent="0.2">
      <c r="A9" s="54" t="s">
        <v>88</v>
      </c>
      <c r="B9" s="59"/>
      <c r="C9" s="59"/>
      <c r="D9" s="59"/>
      <c r="E9" s="59"/>
      <c r="F9" s="59"/>
      <c r="G9" s="59"/>
      <c r="H9" s="59"/>
      <c r="I9" s="59"/>
      <c r="J9" s="59"/>
      <c r="K9" s="59"/>
      <c r="L9" s="59"/>
      <c r="M9" s="59"/>
      <c r="N9" s="59"/>
      <c r="O9" s="59"/>
      <c r="P9" s="59"/>
      <c r="Q9" s="59"/>
      <c r="R9" s="59"/>
      <c r="S9" s="59"/>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9" t="s">
        <v>89</v>
      </c>
      <c r="C11" s="189" t="s">
        <v>90</v>
      </c>
      <c r="D11" s="181" t="s">
        <v>91</v>
      </c>
      <c r="E11" s="183" t="s">
        <v>92</v>
      </c>
      <c r="F11" s="175" t="s">
        <v>93</v>
      </c>
      <c r="G11" s="175"/>
      <c r="H11" s="175" t="s">
        <v>94</v>
      </c>
      <c r="I11" s="175"/>
      <c r="J11" s="175" t="s">
        <v>95</v>
      </c>
      <c r="K11" s="175"/>
      <c r="L11" s="175" t="s">
        <v>96</v>
      </c>
      <c r="M11" s="175"/>
      <c r="N11" s="175" t="s">
        <v>97</v>
      </c>
      <c r="O11" s="175"/>
      <c r="P11" s="175" t="s">
        <v>98</v>
      </c>
      <c r="Q11" s="175"/>
      <c r="R11" s="185" t="s">
        <v>99</v>
      </c>
      <c r="S11" s="187" t="s">
        <v>100</v>
      </c>
      <c r="U11" s="2"/>
    </row>
    <row r="12" spans="1:21" ht="16.95" customHeight="1" x14ac:dyDescent="0.2">
      <c r="B12" s="180"/>
      <c r="C12" s="190"/>
      <c r="D12" s="182"/>
      <c r="E12" s="184"/>
      <c r="F12" s="44" t="s">
        <v>101</v>
      </c>
      <c r="G12" s="44" t="s">
        <v>102</v>
      </c>
      <c r="H12" s="44" t="s">
        <v>101</v>
      </c>
      <c r="I12" s="44" t="s">
        <v>102</v>
      </c>
      <c r="J12" s="44" t="s">
        <v>101</v>
      </c>
      <c r="K12" s="44" t="s">
        <v>102</v>
      </c>
      <c r="L12" s="44" t="s">
        <v>101</v>
      </c>
      <c r="M12" s="44" t="s">
        <v>102</v>
      </c>
      <c r="N12" s="44" t="s">
        <v>101</v>
      </c>
      <c r="O12" s="44" t="s">
        <v>102</v>
      </c>
      <c r="P12" s="44" t="s">
        <v>101</v>
      </c>
      <c r="Q12" s="45" t="s">
        <v>102</v>
      </c>
      <c r="R12" s="186"/>
      <c r="S12" s="188"/>
      <c r="U12" s="2"/>
    </row>
    <row r="13" spans="1:21" ht="18" customHeight="1" x14ac:dyDescent="0.2">
      <c r="A13" s="5"/>
      <c r="B13" s="10" t="s">
        <v>103</v>
      </c>
      <c r="C13" s="35">
        <v>2077</v>
      </c>
      <c r="D13" s="36">
        <v>505</v>
      </c>
      <c r="E13" s="37">
        <v>2020</v>
      </c>
      <c r="F13" s="65">
        <v>311</v>
      </c>
      <c r="G13" s="65">
        <v>268</v>
      </c>
      <c r="H13" s="34"/>
      <c r="I13" s="34"/>
      <c r="J13" s="34"/>
      <c r="K13" s="34"/>
      <c r="L13" s="34"/>
      <c r="M13" s="34"/>
      <c r="N13" s="34"/>
      <c r="O13" s="34"/>
      <c r="P13" s="34"/>
      <c r="Q13" s="46"/>
      <c r="R13" s="33">
        <f t="shared" ref="R13:R32" si="0">F13+H13+J13+L13+N13+P13</f>
        <v>311</v>
      </c>
      <c r="S13" s="67">
        <f t="shared" ref="S13:S33" si="1">R13/E13</f>
        <v>0.15396039603960396</v>
      </c>
    </row>
    <row r="14" spans="1:21" ht="18" customHeight="1" x14ac:dyDescent="0.2">
      <c r="A14" s="5"/>
      <c r="B14" s="10" t="s">
        <v>104</v>
      </c>
      <c r="C14" s="35">
        <v>2793</v>
      </c>
      <c r="D14" s="35">
        <v>690</v>
      </c>
      <c r="E14" s="35">
        <v>2760</v>
      </c>
      <c r="F14" s="66">
        <v>877</v>
      </c>
      <c r="G14" s="66">
        <v>821</v>
      </c>
      <c r="H14" s="38"/>
      <c r="I14" s="38"/>
      <c r="J14" s="38"/>
      <c r="K14" s="38"/>
      <c r="L14" s="38"/>
      <c r="M14" s="38"/>
      <c r="N14" s="38"/>
      <c r="O14" s="38"/>
      <c r="P14" s="38"/>
      <c r="Q14" s="35"/>
      <c r="R14" s="36">
        <f t="shared" si="0"/>
        <v>877</v>
      </c>
      <c r="S14" s="68">
        <f t="shared" si="1"/>
        <v>0.31775362318840578</v>
      </c>
    </row>
    <row r="15" spans="1:21" ht="18" customHeight="1" x14ac:dyDescent="0.2">
      <c r="A15" s="5"/>
      <c r="B15" s="10" t="s">
        <v>105</v>
      </c>
      <c r="C15" s="35">
        <v>2019</v>
      </c>
      <c r="D15" s="36">
        <v>490</v>
      </c>
      <c r="E15" s="37">
        <v>1960</v>
      </c>
      <c r="F15" s="66">
        <v>469</v>
      </c>
      <c r="G15" s="66">
        <v>435</v>
      </c>
      <c r="H15" s="38"/>
      <c r="I15" s="38"/>
      <c r="J15" s="38"/>
      <c r="K15" s="38"/>
      <c r="L15" s="38"/>
      <c r="M15" s="38"/>
      <c r="N15" s="38"/>
      <c r="O15" s="38"/>
      <c r="P15" s="38"/>
      <c r="Q15" s="35"/>
      <c r="R15" s="36">
        <f t="shared" si="0"/>
        <v>469</v>
      </c>
      <c r="S15" s="7">
        <f t="shared" si="1"/>
        <v>0.2392857142857143</v>
      </c>
    </row>
    <row r="16" spans="1:21" ht="18" customHeight="1" x14ac:dyDescent="0.2">
      <c r="A16" s="5"/>
      <c r="B16" s="10" t="s">
        <v>106</v>
      </c>
      <c r="C16" s="35">
        <v>2611</v>
      </c>
      <c r="D16" s="35">
        <v>645</v>
      </c>
      <c r="E16" s="35">
        <v>2580</v>
      </c>
      <c r="F16" s="66">
        <v>433</v>
      </c>
      <c r="G16" s="66">
        <v>406</v>
      </c>
      <c r="H16" s="38"/>
      <c r="I16" s="38"/>
      <c r="J16" s="38"/>
      <c r="K16" s="38"/>
      <c r="L16" s="38"/>
      <c r="M16" s="38"/>
      <c r="N16" s="38"/>
      <c r="O16" s="38"/>
      <c r="P16" s="38"/>
      <c r="Q16" s="35"/>
      <c r="R16" s="36">
        <f t="shared" si="0"/>
        <v>433</v>
      </c>
      <c r="S16" s="7">
        <f t="shared" si="1"/>
        <v>0.16782945736434107</v>
      </c>
    </row>
    <row r="17" spans="1:19" ht="18" customHeight="1" x14ac:dyDescent="0.2">
      <c r="A17" s="5"/>
      <c r="B17" s="10" t="s">
        <v>107</v>
      </c>
      <c r="C17" s="35">
        <v>1238</v>
      </c>
      <c r="D17" s="35">
        <v>300</v>
      </c>
      <c r="E17" s="35">
        <v>1200</v>
      </c>
      <c r="F17" s="66">
        <v>211</v>
      </c>
      <c r="G17" s="66">
        <v>183</v>
      </c>
      <c r="H17" s="38"/>
      <c r="I17" s="38"/>
      <c r="J17" s="38"/>
      <c r="K17" s="38"/>
      <c r="L17" s="38"/>
      <c r="M17" s="38"/>
      <c r="N17" s="38"/>
      <c r="O17" s="38"/>
      <c r="P17" s="38"/>
      <c r="Q17" s="35"/>
      <c r="R17" s="36">
        <f t="shared" si="0"/>
        <v>211</v>
      </c>
      <c r="S17" s="7">
        <f t="shared" si="1"/>
        <v>0.17583333333333334</v>
      </c>
    </row>
    <row r="18" spans="1:19" ht="18" customHeight="1" x14ac:dyDescent="0.2">
      <c r="A18" s="5"/>
      <c r="B18" s="10" t="s">
        <v>108</v>
      </c>
      <c r="C18" s="35">
        <v>1297</v>
      </c>
      <c r="D18" s="35">
        <v>320</v>
      </c>
      <c r="E18" s="35">
        <v>1280</v>
      </c>
      <c r="F18" s="66">
        <v>168</v>
      </c>
      <c r="G18" s="66">
        <v>156</v>
      </c>
      <c r="H18" s="38"/>
      <c r="I18" s="38"/>
      <c r="J18" s="38"/>
      <c r="K18" s="38"/>
      <c r="L18" s="38"/>
      <c r="M18" s="38"/>
      <c r="N18" s="38"/>
      <c r="O18" s="38"/>
      <c r="P18" s="38"/>
      <c r="Q18" s="35"/>
      <c r="R18" s="36">
        <f t="shared" si="0"/>
        <v>168</v>
      </c>
      <c r="S18" s="7">
        <f t="shared" si="1"/>
        <v>0.13125000000000001</v>
      </c>
    </row>
    <row r="19" spans="1:19" ht="18" customHeight="1" x14ac:dyDescent="0.2">
      <c r="A19" s="5"/>
      <c r="B19" s="10"/>
      <c r="C19" s="35"/>
      <c r="D19" s="36"/>
      <c r="E19" s="37"/>
      <c r="F19" s="38"/>
      <c r="G19" s="38"/>
      <c r="H19" s="38"/>
      <c r="I19" s="38"/>
      <c r="J19" s="38"/>
      <c r="K19" s="38"/>
      <c r="L19" s="38"/>
      <c r="M19" s="38"/>
      <c r="N19" s="38"/>
      <c r="O19" s="38"/>
      <c r="P19" s="38"/>
      <c r="Q19" s="35"/>
      <c r="R19" s="36">
        <f t="shared" si="0"/>
        <v>0</v>
      </c>
      <c r="S19" s="7" t="e">
        <f t="shared" si="1"/>
        <v>#DIV/0!</v>
      </c>
    </row>
    <row r="20" spans="1:19" ht="18" customHeight="1" x14ac:dyDescent="0.2">
      <c r="A20" s="5"/>
      <c r="B20" s="10"/>
      <c r="C20" s="35"/>
      <c r="D20" s="36"/>
      <c r="E20" s="37"/>
      <c r="F20" s="38"/>
      <c r="G20" s="38"/>
      <c r="H20" s="38"/>
      <c r="I20" s="38"/>
      <c r="J20" s="38"/>
      <c r="K20" s="38"/>
      <c r="L20" s="38"/>
      <c r="M20" s="38"/>
      <c r="N20" s="38"/>
      <c r="O20" s="38"/>
      <c r="P20" s="38"/>
      <c r="Q20" s="35"/>
      <c r="R20" s="36">
        <f t="shared" si="0"/>
        <v>0</v>
      </c>
      <c r="S20" s="7" t="e">
        <f t="shared" si="1"/>
        <v>#DIV/0!</v>
      </c>
    </row>
    <row r="21" spans="1:19" ht="18" customHeight="1" x14ac:dyDescent="0.2">
      <c r="A21" s="5"/>
      <c r="B21" s="10"/>
      <c r="C21" s="35"/>
      <c r="D21" s="36"/>
      <c r="E21" s="37"/>
      <c r="F21" s="38"/>
      <c r="G21" s="38"/>
      <c r="H21" s="38"/>
      <c r="I21" s="38"/>
      <c r="J21" s="38"/>
      <c r="K21" s="38"/>
      <c r="L21" s="38"/>
      <c r="M21" s="38"/>
      <c r="N21" s="38"/>
      <c r="O21" s="38"/>
      <c r="P21" s="38"/>
      <c r="Q21" s="35"/>
      <c r="R21" s="36">
        <f t="shared" si="0"/>
        <v>0</v>
      </c>
      <c r="S21" s="7" t="e">
        <f t="shared" si="1"/>
        <v>#DIV/0!</v>
      </c>
    </row>
    <row r="22" spans="1:19" ht="18" customHeight="1" x14ac:dyDescent="0.2">
      <c r="A22" s="5"/>
      <c r="B22" s="10"/>
      <c r="C22" s="35"/>
      <c r="D22" s="36"/>
      <c r="E22" s="37"/>
      <c r="F22" s="38"/>
      <c r="G22" s="38"/>
      <c r="H22" s="38"/>
      <c r="I22" s="38"/>
      <c r="J22" s="38"/>
      <c r="K22" s="38"/>
      <c r="L22" s="38"/>
      <c r="M22" s="38"/>
      <c r="N22" s="38"/>
      <c r="O22" s="38"/>
      <c r="P22" s="38"/>
      <c r="Q22" s="35"/>
      <c r="R22" s="36">
        <f t="shared" si="0"/>
        <v>0</v>
      </c>
      <c r="S22" s="7" t="e">
        <f t="shared" si="1"/>
        <v>#DIV/0!</v>
      </c>
    </row>
    <row r="23" spans="1:19" ht="18" customHeight="1" x14ac:dyDescent="0.2">
      <c r="A23" s="5"/>
      <c r="B23" s="10"/>
      <c r="C23" s="35"/>
      <c r="D23" s="36"/>
      <c r="E23" s="37"/>
      <c r="F23" s="38"/>
      <c r="G23" s="38"/>
      <c r="H23" s="38"/>
      <c r="I23" s="38"/>
      <c r="J23" s="38"/>
      <c r="K23" s="38"/>
      <c r="L23" s="38"/>
      <c r="M23" s="38"/>
      <c r="N23" s="38"/>
      <c r="O23" s="38"/>
      <c r="P23" s="38"/>
      <c r="Q23" s="35"/>
      <c r="R23" s="36">
        <f t="shared" si="0"/>
        <v>0</v>
      </c>
      <c r="S23" s="7" t="e">
        <f t="shared" si="1"/>
        <v>#DIV/0!</v>
      </c>
    </row>
    <row r="24" spans="1:19" ht="18" customHeight="1" x14ac:dyDescent="0.2">
      <c r="A24" s="5"/>
      <c r="B24" s="10"/>
      <c r="C24" s="35"/>
      <c r="D24" s="36"/>
      <c r="E24" s="37"/>
      <c r="F24" s="38"/>
      <c r="G24" s="38"/>
      <c r="H24" s="38"/>
      <c r="I24" s="38"/>
      <c r="J24" s="38"/>
      <c r="K24" s="38"/>
      <c r="L24" s="38"/>
      <c r="M24" s="38"/>
      <c r="N24" s="38"/>
      <c r="O24" s="38"/>
      <c r="P24" s="38"/>
      <c r="Q24" s="35"/>
      <c r="R24" s="36">
        <f t="shared" si="0"/>
        <v>0</v>
      </c>
      <c r="S24" s="7" t="e">
        <f t="shared" si="1"/>
        <v>#DIV/0!</v>
      </c>
    </row>
    <row r="25" spans="1:19" ht="18" customHeight="1" x14ac:dyDescent="0.2">
      <c r="A25" s="5"/>
      <c r="B25" s="10"/>
      <c r="C25" s="35"/>
      <c r="D25" s="36"/>
      <c r="E25" s="37"/>
      <c r="F25" s="38"/>
      <c r="G25" s="38"/>
      <c r="H25" s="38"/>
      <c r="I25" s="38"/>
      <c r="J25" s="38"/>
      <c r="K25" s="38"/>
      <c r="L25" s="38"/>
      <c r="M25" s="38"/>
      <c r="N25" s="38"/>
      <c r="O25" s="38"/>
      <c r="P25" s="38"/>
      <c r="Q25" s="35"/>
      <c r="R25" s="36">
        <f t="shared" si="0"/>
        <v>0</v>
      </c>
      <c r="S25" s="7" t="e">
        <f t="shared" si="1"/>
        <v>#DIV/0!</v>
      </c>
    </row>
    <row r="26" spans="1:19" ht="18" customHeight="1" x14ac:dyDescent="0.2">
      <c r="A26" s="5"/>
      <c r="B26" s="10"/>
      <c r="C26" s="35"/>
      <c r="D26" s="36"/>
      <c r="E26" s="37"/>
      <c r="F26" s="38"/>
      <c r="G26" s="38"/>
      <c r="H26" s="38"/>
      <c r="I26" s="38"/>
      <c r="J26" s="38"/>
      <c r="K26" s="38"/>
      <c r="L26" s="38"/>
      <c r="M26" s="38"/>
      <c r="N26" s="38"/>
      <c r="O26" s="38"/>
      <c r="P26" s="38"/>
      <c r="Q26" s="35"/>
      <c r="R26" s="36">
        <f t="shared" si="0"/>
        <v>0</v>
      </c>
      <c r="S26" s="7" t="e">
        <f t="shared" si="1"/>
        <v>#DIV/0!</v>
      </c>
    </row>
    <row r="27" spans="1:19" ht="18" customHeight="1" x14ac:dyDescent="0.2">
      <c r="A27" s="5"/>
      <c r="B27" s="10"/>
      <c r="C27" s="35"/>
      <c r="D27" s="36"/>
      <c r="E27" s="37"/>
      <c r="F27" s="38"/>
      <c r="G27" s="38"/>
      <c r="H27" s="38"/>
      <c r="I27" s="38"/>
      <c r="J27" s="38"/>
      <c r="K27" s="38"/>
      <c r="L27" s="38"/>
      <c r="M27" s="38"/>
      <c r="N27" s="38"/>
      <c r="O27" s="38"/>
      <c r="P27" s="38"/>
      <c r="Q27" s="35"/>
      <c r="R27" s="36">
        <f t="shared" si="0"/>
        <v>0</v>
      </c>
      <c r="S27" s="7" t="e">
        <f t="shared" si="1"/>
        <v>#DIV/0!</v>
      </c>
    </row>
    <row r="28" spans="1:19" ht="18" customHeight="1" x14ac:dyDescent="0.2">
      <c r="A28" s="5"/>
      <c r="B28" s="10"/>
      <c r="C28" s="35"/>
      <c r="D28" s="36"/>
      <c r="E28" s="37"/>
      <c r="F28" s="38"/>
      <c r="G28" s="38"/>
      <c r="H28" s="38"/>
      <c r="I28" s="38"/>
      <c r="J28" s="38"/>
      <c r="K28" s="38"/>
      <c r="L28" s="38"/>
      <c r="M28" s="38"/>
      <c r="N28" s="38"/>
      <c r="O28" s="38"/>
      <c r="P28" s="38"/>
      <c r="Q28" s="35"/>
      <c r="R28" s="36">
        <f t="shared" si="0"/>
        <v>0</v>
      </c>
      <c r="S28" s="7" t="e">
        <f t="shared" si="1"/>
        <v>#DIV/0!</v>
      </c>
    </row>
    <row r="29" spans="1:19" ht="18" customHeight="1" x14ac:dyDescent="0.2">
      <c r="A29" s="5"/>
      <c r="B29" s="10"/>
      <c r="C29" s="35"/>
      <c r="D29" s="36"/>
      <c r="E29" s="37"/>
      <c r="F29" s="38"/>
      <c r="G29" s="38"/>
      <c r="H29" s="38"/>
      <c r="I29" s="38"/>
      <c r="J29" s="38"/>
      <c r="K29" s="38"/>
      <c r="L29" s="38"/>
      <c r="M29" s="38"/>
      <c r="N29" s="38"/>
      <c r="O29" s="38"/>
      <c r="P29" s="38"/>
      <c r="Q29" s="35"/>
      <c r="R29" s="36">
        <f t="shared" si="0"/>
        <v>0</v>
      </c>
      <c r="S29" s="7" t="e">
        <f t="shared" si="1"/>
        <v>#DIV/0!</v>
      </c>
    </row>
    <row r="30" spans="1:19" ht="18" customHeight="1" x14ac:dyDescent="0.2">
      <c r="A30" s="5"/>
      <c r="B30" s="10"/>
      <c r="C30" s="35"/>
      <c r="D30" s="39"/>
      <c r="E30" s="37"/>
      <c r="F30" s="38"/>
      <c r="G30" s="38"/>
      <c r="H30" s="38"/>
      <c r="I30" s="38"/>
      <c r="J30" s="38"/>
      <c r="K30" s="38"/>
      <c r="L30" s="38"/>
      <c r="M30" s="38"/>
      <c r="N30" s="38"/>
      <c r="O30" s="38"/>
      <c r="P30" s="38"/>
      <c r="Q30" s="35"/>
      <c r="R30" s="39">
        <f t="shared" si="0"/>
        <v>0</v>
      </c>
      <c r="S30" s="7" t="e">
        <f t="shared" si="1"/>
        <v>#DIV/0!</v>
      </c>
    </row>
    <row r="31" spans="1:19" ht="18" customHeight="1" x14ac:dyDescent="0.2">
      <c r="A31" s="5"/>
      <c r="B31" s="10"/>
      <c r="C31" s="35"/>
      <c r="D31" s="39"/>
      <c r="E31" s="37"/>
      <c r="F31" s="38"/>
      <c r="G31" s="38"/>
      <c r="H31" s="38"/>
      <c r="I31" s="38"/>
      <c r="J31" s="38"/>
      <c r="K31" s="38"/>
      <c r="L31" s="38"/>
      <c r="M31" s="38"/>
      <c r="N31" s="38"/>
      <c r="O31" s="38"/>
      <c r="P31" s="38"/>
      <c r="Q31" s="35"/>
      <c r="R31" s="39">
        <f t="shared" si="0"/>
        <v>0</v>
      </c>
      <c r="S31" s="7" t="e">
        <f t="shared" si="1"/>
        <v>#DIV/0!</v>
      </c>
    </row>
    <row r="32" spans="1:19" ht="18" customHeight="1" thickBot="1" x14ac:dyDescent="0.25">
      <c r="A32" s="5"/>
      <c r="B32" s="11"/>
      <c r="C32" s="32"/>
      <c r="D32" s="40"/>
      <c r="E32" s="34"/>
      <c r="F32" s="34"/>
      <c r="G32" s="34"/>
      <c r="H32" s="34"/>
      <c r="I32" s="34"/>
      <c r="J32" s="34"/>
      <c r="K32" s="34"/>
      <c r="L32" s="34"/>
      <c r="M32" s="34"/>
      <c r="N32" s="34"/>
      <c r="O32" s="34"/>
      <c r="P32" s="34"/>
      <c r="Q32" s="35"/>
      <c r="R32" s="40">
        <f t="shared" si="0"/>
        <v>0</v>
      </c>
      <c r="S32" s="6" t="e">
        <f t="shared" si="1"/>
        <v>#DIV/0!</v>
      </c>
    </row>
    <row r="33" spans="2:19" ht="18" customHeight="1" thickTop="1" x14ac:dyDescent="0.2">
      <c r="B33" s="12" t="s">
        <v>109</v>
      </c>
      <c r="C33" s="41">
        <f t="shared" ref="C33" si="2">SUM(C13:C32)</f>
        <v>12035</v>
      </c>
      <c r="D33" s="42">
        <f t="shared" ref="D33:R33" si="3">SUM(D13:D32)</f>
        <v>2950</v>
      </c>
      <c r="E33" s="43">
        <f t="shared" si="3"/>
        <v>11800</v>
      </c>
      <c r="F33" s="43">
        <f t="shared" si="3"/>
        <v>2469</v>
      </c>
      <c r="G33" s="43">
        <f t="shared" ref="G33:H33" si="4">SUM(G13:G32)</f>
        <v>2269</v>
      </c>
      <c r="H33" s="43">
        <f t="shared" si="4"/>
        <v>0</v>
      </c>
      <c r="I33" s="43">
        <f t="shared" ref="I33:J33" si="5">SUM(I13:I32)</f>
        <v>0</v>
      </c>
      <c r="J33" s="43">
        <f t="shared" si="5"/>
        <v>0</v>
      </c>
      <c r="K33" s="43">
        <f t="shared" ref="K33:O33" si="6">SUM(K13:K32)</f>
        <v>0</v>
      </c>
      <c r="L33" s="43">
        <f t="shared" si="6"/>
        <v>0</v>
      </c>
      <c r="M33" s="43">
        <f t="shared" si="6"/>
        <v>0</v>
      </c>
      <c r="N33" s="43">
        <f t="shared" si="6"/>
        <v>0</v>
      </c>
      <c r="O33" s="43">
        <f t="shared" si="6"/>
        <v>0</v>
      </c>
      <c r="P33" s="43">
        <f t="shared" ref="P33:Q33" si="7">SUM(P13:P32)</f>
        <v>0</v>
      </c>
      <c r="Q33" s="41">
        <f t="shared" si="7"/>
        <v>0</v>
      </c>
      <c r="R33" s="42">
        <f t="shared" si="3"/>
        <v>2469</v>
      </c>
      <c r="S33" s="8">
        <f t="shared" si="1"/>
        <v>0.20923728813559322</v>
      </c>
    </row>
    <row r="112" spans="2:2" ht="18.75" customHeight="1" x14ac:dyDescent="0.2">
      <c r="B112" s="76" t="s">
        <v>170</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E9" sqref="E9"/>
    </sheetView>
  </sheetViews>
  <sheetFormatPr defaultColWidth="11.33203125" defaultRowHeight="18.75" customHeight="1" x14ac:dyDescent="0.2"/>
  <cols>
    <col min="1" max="1" width="2.77734375" style="23"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3" t="s">
        <v>110</v>
      </c>
      <c r="I1" s="22" t="s">
        <v>111</v>
      </c>
    </row>
    <row r="2" spans="1:9" ht="18.75" customHeight="1" x14ac:dyDescent="0.2">
      <c r="G2" s="22" t="s">
        <v>2</v>
      </c>
      <c r="H2" s="116" t="str">
        <f>'様式１　プログラムを構成する授業科目'!C2</f>
        <v>明治学院大学</v>
      </c>
      <c r="I2" s="118"/>
    </row>
    <row r="3" spans="1:9" ht="18.75" customHeight="1" x14ac:dyDescent="0.2">
      <c r="G3" s="22"/>
      <c r="H3" s="9"/>
      <c r="I3" s="9"/>
    </row>
    <row r="4" spans="1:9" ht="18.600000000000001" customHeight="1" x14ac:dyDescent="0.2">
      <c r="A4" s="192" t="s">
        <v>112</v>
      </c>
      <c r="B4" s="192"/>
      <c r="C4" s="192"/>
      <c r="D4" s="192"/>
      <c r="E4" s="192"/>
      <c r="F4" s="192"/>
      <c r="G4" s="192"/>
      <c r="H4" s="192"/>
      <c r="I4" s="192"/>
    </row>
    <row r="5" spans="1:9" ht="13.2" customHeight="1" x14ac:dyDescent="0.2">
      <c r="B5" s="3"/>
      <c r="C5" s="3"/>
      <c r="D5" s="3"/>
      <c r="E5" s="3"/>
      <c r="F5" s="3"/>
      <c r="G5" s="3"/>
      <c r="H5" s="3"/>
      <c r="I5" s="3"/>
    </row>
    <row r="6" spans="1:9" ht="18" customHeight="1" x14ac:dyDescent="0.2">
      <c r="A6" s="1" t="s">
        <v>113</v>
      </c>
      <c r="B6" s="9" t="s">
        <v>114</v>
      </c>
      <c r="C6" s="221" t="s">
        <v>115</v>
      </c>
      <c r="D6" s="221"/>
      <c r="E6" s="21">
        <v>305</v>
      </c>
      <c r="F6" s="3" t="s">
        <v>86</v>
      </c>
      <c r="G6" s="3" t="s">
        <v>116</v>
      </c>
      <c r="H6" s="21">
        <v>812</v>
      </c>
      <c r="I6" s="9" t="s">
        <v>86</v>
      </c>
    </row>
    <row r="7" spans="1:9" ht="12" customHeight="1" x14ac:dyDescent="0.2">
      <c r="C7" s="2"/>
      <c r="D7" s="2"/>
      <c r="E7" s="2"/>
      <c r="F7" s="2"/>
      <c r="G7" s="2"/>
      <c r="H7" s="2"/>
      <c r="I7" s="24"/>
    </row>
    <row r="8" spans="1:9" ht="18" customHeight="1" x14ac:dyDescent="0.2">
      <c r="A8" s="1" t="s">
        <v>117</v>
      </c>
      <c r="B8" s="9" t="s">
        <v>118</v>
      </c>
      <c r="E8" s="3"/>
      <c r="F8" s="3"/>
      <c r="G8" s="3"/>
      <c r="H8" s="21">
        <v>1</v>
      </c>
      <c r="I8" s="9" t="s">
        <v>86</v>
      </c>
    </row>
    <row r="9" spans="1:9" ht="9" customHeight="1" x14ac:dyDescent="0.2">
      <c r="B9" s="3"/>
      <c r="C9" s="3"/>
      <c r="D9" s="3"/>
      <c r="E9" s="3"/>
      <c r="F9" s="3"/>
      <c r="G9" s="3"/>
      <c r="H9" s="3"/>
      <c r="I9" s="3"/>
    </row>
    <row r="10" spans="1:9" ht="18" customHeight="1" x14ac:dyDescent="0.2">
      <c r="A10" s="1" t="s">
        <v>119</v>
      </c>
      <c r="B10" s="9" t="s">
        <v>120</v>
      </c>
      <c r="C10" s="3"/>
      <c r="D10" s="3"/>
      <c r="E10" s="3"/>
      <c r="F10" s="3"/>
      <c r="G10" s="3"/>
      <c r="H10" s="3"/>
      <c r="I10" s="3"/>
    </row>
    <row r="11" spans="1:9" ht="18" customHeight="1" x14ac:dyDescent="0.2">
      <c r="B11" s="22" t="s">
        <v>121</v>
      </c>
      <c r="C11" s="216" t="s">
        <v>122</v>
      </c>
      <c r="D11" s="219"/>
      <c r="E11" s="220"/>
      <c r="F11" s="24"/>
      <c r="G11" s="22" t="s">
        <v>123</v>
      </c>
      <c r="H11" s="216" t="s">
        <v>124</v>
      </c>
      <c r="I11" s="220"/>
    </row>
    <row r="12" spans="1:9" ht="10.199999999999999" customHeight="1" x14ac:dyDescent="0.2">
      <c r="B12" s="22"/>
      <c r="C12" s="9"/>
      <c r="D12" s="24"/>
      <c r="E12" s="24"/>
      <c r="F12" s="24"/>
      <c r="G12" s="22"/>
      <c r="H12" s="9"/>
      <c r="I12" s="24"/>
    </row>
    <row r="13" spans="1:9" ht="18" customHeight="1" x14ac:dyDescent="0.2">
      <c r="A13" s="1" t="s">
        <v>125</v>
      </c>
      <c r="B13" s="9" t="s">
        <v>126</v>
      </c>
      <c r="C13" s="3"/>
      <c r="D13" s="3"/>
      <c r="E13" s="3"/>
      <c r="F13" s="3"/>
      <c r="G13" s="3"/>
      <c r="H13" s="3"/>
      <c r="I13" s="3"/>
    </row>
    <row r="14" spans="1:9" ht="18" customHeight="1" x14ac:dyDescent="0.2">
      <c r="B14" s="216" t="s">
        <v>127</v>
      </c>
      <c r="C14" s="217"/>
      <c r="D14" s="217"/>
      <c r="E14" s="217"/>
      <c r="F14" s="217"/>
      <c r="G14" s="217"/>
      <c r="H14" s="217"/>
      <c r="I14" s="218"/>
    </row>
    <row r="15" spans="1:9" ht="9" customHeight="1" x14ac:dyDescent="0.2">
      <c r="B15" s="3"/>
      <c r="C15" s="3"/>
      <c r="D15" s="3"/>
      <c r="E15" s="3"/>
      <c r="F15" s="3"/>
      <c r="G15" s="3"/>
      <c r="H15" s="3"/>
      <c r="I15" s="3"/>
    </row>
    <row r="16" spans="1:9" ht="18" customHeight="1" x14ac:dyDescent="0.2">
      <c r="B16" s="22" t="s">
        <v>121</v>
      </c>
      <c r="C16" s="216" t="s">
        <v>122</v>
      </c>
      <c r="D16" s="219"/>
      <c r="E16" s="220"/>
      <c r="F16" s="24"/>
      <c r="G16" s="22" t="s">
        <v>123</v>
      </c>
      <c r="H16" s="216" t="s">
        <v>124</v>
      </c>
      <c r="I16" s="220"/>
    </row>
    <row r="17" spans="1:9" ht="18" customHeight="1" x14ac:dyDescent="0.2">
      <c r="B17" s="3"/>
      <c r="C17" s="3"/>
      <c r="D17" s="3"/>
      <c r="E17" s="3"/>
      <c r="F17" s="3"/>
      <c r="G17" s="3"/>
      <c r="H17" s="3"/>
      <c r="I17" s="3"/>
    </row>
    <row r="18" spans="1:9" ht="18.75" customHeight="1" x14ac:dyDescent="0.2">
      <c r="A18" s="1" t="s">
        <v>128</v>
      </c>
      <c r="B18" s="1" t="s">
        <v>129</v>
      </c>
      <c r="I18" s="3"/>
    </row>
    <row r="19" spans="1:9" ht="18.75" customHeight="1" x14ac:dyDescent="0.2">
      <c r="A19" s="1"/>
      <c r="B19" s="193" t="s">
        <v>130</v>
      </c>
      <c r="C19" s="194"/>
      <c r="D19" s="194"/>
      <c r="E19" s="194"/>
      <c r="F19" s="194"/>
      <c r="G19" s="194"/>
      <c r="H19" s="194"/>
      <c r="I19" s="195"/>
    </row>
    <row r="20" spans="1:9" ht="7.5" customHeight="1" x14ac:dyDescent="0.2">
      <c r="B20" s="3"/>
      <c r="C20" s="3"/>
      <c r="D20" s="3"/>
      <c r="E20" s="3"/>
      <c r="F20" s="3"/>
      <c r="G20" s="3"/>
      <c r="H20" s="3"/>
      <c r="I20" s="3"/>
    </row>
    <row r="21" spans="1:9" ht="18.75" customHeight="1" x14ac:dyDescent="0.2">
      <c r="A21" s="1" t="s">
        <v>131</v>
      </c>
      <c r="B21" s="1" t="s">
        <v>132</v>
      </c>
    </row>
    <row r="22" spans="1:9" ht="18.75" customHeight="1" x14ac:dyDescent="0.2">
      <c r="A22" s="13"/>
      <c r="B22" s="196" t="s">
        <v>180</v>
      </c>
      <c r="C22" s="197"/>
      <c r="D22" s="197"/>
      <c r="E22" s="197"/>
      <c r="F22" s="197"/>
      <c r="G22" s="197"/>
      <c r="H22" s="197"/>
      <c r="I22" s="198"/>
    </row>
    <row r="23" spans="1:9" ht="18.75" customHeight="1" x14ac:dyDescent="0.2">
      <c r="A23" s="13"/>
      <c r="B23" s="199"/>
      <c r="C23" s="200"/>
      <c r="D23" s="200"/>
      <c r="E23" s="200"/>
      <c r="F23" s="200"/>
      <c r="G23" s="200"/>
      <c r="H23" s="200"/>
      <c r="I23" s="201"/>
    </row>
    <row r="24" spans="1:9" ht="18.75" customHeight="1" x14ac:dyDescent="0.2">
      <c r="A24" s="13"/>
      <c r="B24" s="199"/>
      <c r="C24" s="200"/>
      <c r="D24" s="200"/>
      <c r="E24" s="200"/>
      <c r="F24" s="200"/>
      <c r="G24" s="200"/>
      <c r="H24" s="200"/>
      <c r="I24" s="201"/>
    </row>
    <row r="25" spans="1:9" ht="18.75" customHeight="1" x14ac:dyDescent="0.2">
      <c r="A25" s="13"/>
      <c r="B25" s="199"/>
      <c r="C25" s="200"/>
      <c r="D25" s="200"/>
      <c r="E25" s="200"/>
      <c r="F25" s="200"/>
      <c r="G25" s="200"/>
      <c r="H25" s="200"/>
      <c r="I25" s="201"/>
    </row>
    <row r="26" spans="1:9" ht="18.75" customHeight="1" x14ac:dyDescent="0.2">
      <c r="A26" s="13"/>
      <c r="B26" s="199"/>
      <c r="C26" s="200"/>
      <c r="D26" s="200"/>
      <c r="E26" s="200"/>
      <c r="F26" s="200"/>
      <c r="G26" s="200"/>
      <c r="H26" s="200"/>
      <c r="I26" s="201"/>
    </row>
    <row r="27" spans="1:9" ht="18.75" customHeight="1" x14ac:dyDescent="0.2">
      <c r="A27" s="13"/>
      <c r="B27" s="199"/>
      <c r="C27" s="200"/>
      <c r="D27" s="200"/>
      <c r="E27" s="200"/>
      <c r="F27" s="200"/>
      <c r="G27" s="200"/>
      <c r="H27" s="200"/>
      <c r="I27" s="201"/>
    </row>
    <row r="28" spans="1:9" ht="18.75" customHeight="1" x14ac:dyDescent="0.2">
      <c r="A28" s="13"/>
      <c r="B28" s="199"/>
      <c r="C28" s="200"/>
      <c r="D28" s="200"/>
      <c r="E28" s="200"/>
      <c r="F28" s="200"/>
      <c r="G28" s="200"/>
      <c r="H28" s="200"/>
      <c r="I28" s="201"/>
    </row>
    <row r="29" spans="1:9" ht="18.75" customHeight="1" x14ac:dyDescent="0.2">
      <c r="A29" s="13"/>
      <c r="B29" s="199"/>
      <c r="C29" s="200"/>
      <c r="D29" s="200"/>
      <c r="E29" s="200"/>
      <c r="F29" s="200"/>
      <c r="G29" s="200"/>
      <c r="H29" s="200"/>
      <c r="I29" s="201"/>
    </row>
    <row r="30" spans="1:9" ht="18.75" customHeight="1" x14ac:dyDescent="0.2">
      <c r="A30" s="13"/>
      <c r="B30" s="202"/>
      <c r="C30" s="203"/>
      <c r="D30" s="203"/>
      <c r="E30" s="203"/>
      <c r="F30" s="203"/>
      <c r="G30" s="203"/>
      <c r="H30" s="203"/>
      <c r="I30" s="201"/>
    </row>
    <row r="31" spans="1:9" ht="18.75" customHeight="1" x14ac:dyDescent="0.2">
      <c r="A31" s="13"/>
      <c r="B31" s="202"/>
      <c r="C31" s="203"/>
      <c r="D31" s="203"/>
      <c r="E31" s="203"/>
      <c r="F31" s="203"/>
      <c r="G31" s="203"/>
      <c r="H31" s="203"/>
      <c r="I31" s="201"/>
    </row>
    <row r="32" spans="1:9" ht="18.75" customHeight="1" x14ac:dyDescent="0.2">
      <c r="A32" s="13"/>
      <c r="B32" s="204"/>
      <c r="C32" s="205"/>
      <c r="D32" s="205"/>
      <c r="E32" s="205"/>
      <c r="F32" s="205"/>
      <c r="G32" s="205"/>
      <c r="H32" s="205"/>
      <c r="I32" s="206"/>
    </row>
    <row r="33" spans="1:9" ht="7.5" customHeight="1" x14ac:dyDescent="0.2">
      <c r="A33" s="13"/>
      <c r="B33" s="13"/>
      <c r="C33" s="13"/>
      <c r="D33" s="13"/>
      <c r="E33" s="13"/>
      <c r="F33" s="13"/>
      <c r="G33" s="13"/>
      <c r="H33" s="13"/>
      <c r="I33" s="13"/>
    </row>
    <row r="34" spans="1:9" ht="18.75" customHeight="1" x14ac:dyDescent="0.2">
      <c r="A34" s="14" t="s">
        <v>133</v>
      </c>
      <c r="B34" s="14" t="s">
        <v>134</v>
      </c>
      <c r="C34" s="9"/>
      <c r="D34" s="14"/>
      <c r="E34" s="14"/>
      <c r="F34" s="14"/>
      <c r="G34" s="14"/>
      <c r="H34" s="14"/>
      <c r="I34" s="14"/>
    </row>
    <row r="35" spans="1:9" ht="18.75" customHeight="1" x14ac:dyDescent="0.2">
      <c r="A35" s="13"/>
      <c r="B35" s="207" t="s">
        <v>173</v>
      </c>
      <c r="C35" s="208"/>
      <c r="D35" s="208"/>
      <c r="E35" s="208"/>
      <c r="F35" s="208"/>
      <c r="G35" s="208"/>
      <c r="H35" s="208"/>
      <c r="I35" s="209"/>
    </row>
    <row r="36" spans="1:9" ht="18.75" customHeight="1" x14ac:dyDescent="0.2">
      <c r="A36" s="13"/>
      <c r="B36" s="210"/>
      <c r="C36" s="211"/>
      <c r="D36" s="211"/>
      <c r="E36" s="211"/>
      <c r="F36" s="211"/>
      <c r="G36" s="211"/>
      <c r="H36" s="211"/>
      <c r="I36" s="212"/>
    </row>
    <row r="37" spans="1:9" ht="18.75" customHeight="1" x14ac:dyDescent="0.2">
      <c r="A37" s="13"/>
      <c r="B37" s="210"/>
      <c r="C37" s="211"/>
      <c r="D37" s="211"/>
      <c r="E37" s="211"/>
      <c r="F37" s="211"/>
      <c r="G37" s="211"/>
      <c r="H37" s="211"/>
      <c r="I37" s="212"/>
    </row>
    <row r="38" spans="1:9" ht="18.75" customHeight="1" x14ac:dyDescent="0.2">
      <c r="A38" s="13"/>
      <c r="B38" s="210"/>
      <c r="C38" s="211"/>
      <c r="D38" s="211"/>
      <c r="E38" s="211"/>
      <c r="F38" s="211"/>
      <c r="G38" s="211"/>
      <c r="H38" s="211"/>
      <c r="I38" s="212"/>
    </row>
    <row r="39" spans="1:9" ht="18.75" customHeight="1" x14ac:dyDescent="0.2">
      <c r="A39" s="13"/>
      <c r="B39" s="210"/>
      <c r="C39" s="211"/>
      <c r="D39" s="211"/>
      <c r="E39" s="211"/>
      <c r="F39" s="211"/>
      <c r="G39" s="211"/>
      <c r="H39" s="211"/>
      <c r="I39" s="212"/>
    </row>
    <row r="40" spans="1:9" ht="18.75" customHeight="1" x14ac:dyDescent="0.2">
      <c r="A40" s="13"/>
      <c r="B40" s="210"/>
      <c r="C40" s="211"/>
      <c r="D40" s="211"/>
      <c r="E40" s="211"/>
      <c r="F40" s="211"/>
      <c r="G40" s="211"/>
      <c r="H40" s="211"/>
      <c r="I40" s="212"/>
    </row>
    <row r="41" spans="1:9" ht="18.75" customHeight="1" x14ac:dyDescent="0.2">
      <c r="A41" s="13"/>
      <c r="B41" s="210"/>
      <c r="C41" s="211"/>
      <c r="D41" s="211"/>
      <c r="E41" s="211"/>
      <c r="F41" s="211"/>
      <c r="G41" s="211"/>
      <c r="H41" s="211"/>
      <c r="I41" s="212"/>
    </row>
    <row r="42" spans="1:9" ht="18.75" customHeight="1" x14ac:dyDescent="0.2">
      <c r="A42" s="13"/>
      <c r="B42" s="210"/>
      <c r="C42" s="211"/>
      <c r="D42" s="211"/>
      <c r="E42" s="211"/>
      <c r="F42" s="211"/>
      <c r="G42" s="211"/>
      <c r="H42" s="211"/>
      <c r="I42" s="212"/>
    </row>
    <row r="43" spans="1:9" ht="18.75" customHeight="1" x14ac:dyDescent="0.2">
      <c r="A43" s="13"/>
      <c r="B43" s="210"/>
      <c r="C43" s="211"/>
      <c r="D43" s="211"/>
      <c r="E43" s="211"/>
      <c r="F43" s="211"/>
      <c r="G43" s="211"/>
      <c r="H43" s="211"/>
      <c r="I43" s="212"/>
    </row>
    <row r="44" spans="1:9" ht="18.75" customHeight="1" x14ac:dyDescent="0.2">
      <c r="A44" s="13"/>
      <c r="B44" s="210"/>
      <c r="C44" s="211"/>
      <c r="D44" s="211"/>
      <c r="E44" s="211"/>
      <c r="F44" s="211"/>
      <c r="G44" s="211"/>
      <c r="H44" s="211"/>
      <c r="I44" s="212"/>
    </row>
    <row r="45" spans="1:9" ht="18.75" customHeight="1" x14ac:dyDescent="0.2">
      <c r="A45" s="13"/>
      <c r="B45" s="210"/>
      <c r="C45" s="211"/>
      <c r="D45" s="211"/>
      <c r="E45" s="211"/>
      <c r="F45" s="211"/>
      <c r="G45" s="211"/>
      <c r="H45" s="211"/>
      <c r="I45" s="212"/>
    </row>
    <row r="46" spans="1:9" ht="18.75" customHeight="1" x14ac:dyDescent="0.2">
      <c r="A46" s="13"/>
      <c r="B46" s="213"/>
      <c r="C46" s="214"/>
      <c r="D46" s="214"/>
      <c r="E46" s="214"/>
      <c r="F46" s="214"/>
      <c r="G46" s="214"/>
      <c r="H46" s="214"/>
      <c r="I46" s="215"/>
    </row>
    <row r="47" spans="1:9" ht="7.5" customHeight="1" x14ac:dyDescent="0.2">
      <c r="A47" s="4"/>
      <c r="B47" s="4"/>
      <c r="C47" s="4"/>
      <c r="D47" s="4"/>
      <c r="E47" s="4"/>
      <c r="F47" s="4"/>
      <c r="G47" s="4"/>
      <c r="H47" s="4"/>
      <c r="I47" s="4"/>
    </row>
    <row r="48" spans="1:9" ht="18.75" customHeight="1" x14ac:dyDescent="0.2">
      <c r="A48" s="1" t="s">
        <v>135</v>
      </c>
      <c r="B48" s="1" t="s">
        <v>136</v>
      </c>
    </row>
    <row r="49" spans="1:15" s="3" customFormat="1" ht="18.75" customHeight="1" x14ac:dyDescent="0.2">
      <c r="B49" s="25" t="s">
        <v>137</v>
      </c>
      <c r="C49" s="252">
        <f>'様式２ 履修者等数の実績'!S33</f>
        <v>0.20923728813559322</v>
      </c>
      <c r="D49" s="252"/>
      <c r="E49" s="25" t="s">
        <v>138</v>
      </c>
      <c r="F49" s="253">
        <v>0.22</v>
      </c>
      <c r="G49" s="253"/>
      <c r="H49" s="25" t="s">
        <v>139</v>
      </c>
      <c r="I49" s="100">
        <v>0.23</v>
      </c>
      <c r="J49" s="64"/>
      <c r="M49" s="1"/>
      <c r="N49" s="26"/>
    </row>
    <row r="50" spans="1:15" s="3" customFormat="1" ht="18.75" customHeight="1" x14ac:dyDescent="0.2">
      <c r="B50" s="27" t="s">
        <v>140</v>
      </c>
      <c r="C50" s="235">
        <v>0.24</v>
      </c>
      <c r="D50" s="235"/>
      <c r="E50" s="27" t="s">
        <v>141</v>
      </c>
      <c r="F50" s="235">
        <v>0.25</v>
      </c>
      <c r="G50" s="235"/>
      <c r="H50" s="27" t="s">
        <v>142</v>
      </c>
      <c r="I50" s="28">
        <f>'様式２ 履修者等数の実績'!E33</f>
        <v>11800</v>
      </c>
      <c r="J50" s="64"/>
      <c r="M50" s="1"/>
      <c r="N50" s="26"/>
    </row>
    <row r="51" spans="1:15" ht="18.75" customHeight="1" x14ac:dyDescent="0.2">
      <c r="A51" s="1"/>
      <c r="B51" s="232" t="s">
        <v>171</v>
      </c>
      <c r="C51" s="233"/>
      <c r="D51" s="233"/>
      <c r="E51" s="233"/>
      <c r="F51" s="233"/>
      <c r="G51" s="233"/>
      <c r="H51" s="233"/>
      <c r="I51" s="234"/>
      <c r="N51" s="26"/>
      <c r="O51" s="3"/>
    </row>
    <row r="52" spans="1:15" ht="18.75" customHeight="1" x14ac:dyDescent="0.2">
      <c r="A52" s="1"/>
      <c r="B52" s="254" t="s">
        <v>181</v>
      </c>
      <c r="C52" s="255"/>
      <c r="D52" s="255"/>
      <c r="E52" s="255"/>
      <c r="F52" s="255"/>
      <c r="G52" s="255"/>
      <c r="H52" s="255"/>
      <c r="I52" s="256"/>
      <c r="N52" s="26"/>
      <c r="O52" s="3"/>
    </row>
    <row r="53" spans="1:15" ht="18.75" customHeight="1" x14ac:dyDescent="0.2">
      <c r="A53" s="1"/>
      <c r="B53" s="257"/>
      <c r="C53" s="258"/>
      <c r="D53" s="258"/>
      <c r="E53" s="258"/>
      <c r="F53" s="258"/>
      <c r="G53" s="258"/>
      <c r="H53" s="258"/>
      <c r="I53" s="259"/>
      <c r="N53" s="26"/>
      <c r="O53" s="3"/>
    </row>
    <row r="54" spans="1:15" ht="18.75" customHeight="1" x14ac:dyDescent="0.2">
      <c r="A54" s="1"/>
      <c r="B54" s="257"/>
      <c r="C54" s="258"/>
      <c r="D54" s="258"/>
      <c r="E54" s="258"/>
      <c r="F54" s="258"/>
      <c r="G54" s="258"/>
      <c r="H54" s="258"/>
      <c r="I54" s="259"/>
    </row>
    <row r="55" spans="1:15" ht="18.75" customHeight="1" x14ac:dyDescent="0.2">
      <c r="A55" s="1"/>
      <c r="B55" s="257"/>
      <c r="C55" s="258"/>
      <c r="D55" s="258"/>
      <c r="E55" s="258"/>
      <c r="F55" s="258"/>
      <c r="G55" s="258"/>
      <c r="H55" s="258"/>
      <c r="I55" s="259"/>
    </row>
    <row r="56" spans="1:15" ht="18.75" customHeight="1" x14ac:dyDescent="0.2">
      <c r="A56" s="1"/>
      <c r="B56" s="257"/>
      <c r="C56" s="258"/>
      <c r="D56" s="258"/>
      <c r="E56" s="258"/>
      <c r="F56" s="258"/>
      <c r="G56" s="258"/>
      <c r="H56" s="258"/>
      <c r="I56" s="259"/>
    </row>
    <row r="57" spans="1:15" ht="18.75" customHeight="1" x14ac:dyDescent="0.2">
      <c r="A57" s="1"/>
      <c r="B57" s="257"/>
      <c r="C57" s="258"/>
      <c r="D57" s="258"/>
      <c r="E57" s="258"/>
      <c r="F57" s="258"/>
      <c r="G57" s="258"/>
      <c r="H57" s="258"/>
      <c r="I57" s="259"/>
    </row>
    <row r="58" spans="1:15" ht="18.75" customHeight="1" x14ac:dyDescent="0.2">
      <c r="A58" s="1"/>
      <c r="B58" s="257"/>
      <c r="C58" s="258"/>
      <c r="D58" s="258"/>
      <c r="E58" s="258"/>
      <c r="F58" s="258"/>
      <c r="G58" s="258"/>
      <c r="H58" s="258"/>
      <c r="I58" s="259"/>
    </row>
    <row r="59" spans="1:15" ht="18.75" customHeight="1" x14ac:dyDescent="0.2">
      <c r="A59" s="1"/>
      <c r="B59" s="257"/>
      <c r="C59" s="258"/>
      <c r="D59" s="258"/>
      <c r="E59" s="258"/>
      <c r="F59" s="258"/>
      <c r="G59" s="258"/>
      <c r="H59" s="258"/>
      <c r="I59" s="259"/>
    </row>
    <row r="60" spans="1:15" ht="18.75" customHeight="1" x14ac:dyDescent="0.2">
      <c r="A60" s="1"/>
      <c r="B60" s="257"/>
      <c r="C60" s="258"/>
      <c r="D60" s="258"/>
      <c r="E60" s="258"/>
      <c r="F60" s="258"/>
      <c r="G60" s="258"/>
      <c r="H60" s="258"/>
      <c r="I60" s="259"/>
    </row>
    <row r="61" spans="1:15" ht="18.75" customHeight="1" x14ac:dyDescent="0.2">
      <c r="A61" s="1"/>
      <c r="B61" s="257"/>
      <c r="C61" s="258"/>
      <c r="D61" s="258"/>
      <c r="E61" s="258"/>
      <c r="F61" s="258"/>
      <c r="G61" s="258"/>
      <c r="H61" s="258"/>
      <c r="I61" s="259"/>
    </row>
    <row r="62" spans="1:15" ht="18.75" customHeight="1" x14ac:dyDescent="0.2">
      <c r="A62" s="1"/>
      <c r="B62" s="257"/>
      <c r="C62" s="258"/>
      <c r="D62" s="258"/>
      <c r="E62" s="258"/>
      <c r="F62" s="258"/>
      <c r="G62" s="258"/>
      <c r="H62" s="258"/>
      <c r="I62" s="259"/>
    </row>
    <row r="63" spans="1:15" ht="18.75" customHeight="1" x14ac:dyDescent="0.2">
      <c r="A63" s="1"/>
      <c r="B63" s="260"/>
      <c r="C63" s="261"/>
      <c r="D63" s="261"/>
      <c r="E63" s="261"/>
      <c r="F63" s="261"/>
      <c r="G63" s="261"/>
      <c r="H63" s="261"/>
      <c r="I63" s="262"/>
    </row>
    <row r="64" spans="1:15" ht="7.5" customHeight="1" x14ac:dyDescent="0.2">
      <c r="A64" s="13"/>
      <c r="B64" s="13"/>
      <c r="C64" s="13"/>
      <c r="D64" s="13"/>
      <c r="E64" s="13"/>
      <c r="F64" s="13"/>
      <c r="G64" s="13"/>
      <c r="H64" s="13"/>
      <c r="I64" s="13"/>
    </row>
    <row r="65" spans="1:9" ht="18.75" customHeight="1" x14ac:dyDescent="0.2">
      <c r="A65" s="14" t="s">
        <v>143</v>
      </c>
      <c r="B65" s="1" t="s">
        <v>144</v>
      </c>
      <c r="I65" s="14"/>
    </row>
    <row r="66" spans="1:9" ht="18.75" customHeight="1" x14ac:dyDescent="0.2">
      <c r="A66" s="4"/>
      <c r="B66" s="236" t="s">
        <v>182</v>
      </c>
      <c r="C66" s="237"/>
      <c r="D66" s="237"/>
      <c r="E66" s="237"/>
      <c r="F66" s="237"/>
      <c r="G66" s="237"/>
      <c r="H66" s="237"/>
      <c r="I66" s="238"/>
    </row>
    <row r="67" spans="1:9" ht="18.75" customHeight="1" x14ac:dyDescent="0.2">
      <c r="A67" s="4"/>
      <c r="B67" s="239"/>
      <c r="C67" s="240"/>
      <c r="D67" s="240"/>
      <c r="E67" s="240"/>
      <c r="F67" s="240"/>
      <c r="G67" s="240"/>
      <c r="H67" s="240"/>
      <c r="I67" s="241"/>
    </row>
    <row r="68" spans="1:9" ht="18.75" customHeight="1" x14ac:dyDescent="0.2">
      <c r="A68" s="4"/>
      <c r="B68" s="239"/>
      <c r="C68" s="240"/>
      <c r="D68" s="240"/>
      <c r="E68" s="240"/>
      <c r="F68" s="240"/>
      <c r="G68" s="240"/>
      <c r="H68" s="240"/>
      <c r="I68" s="241"/>
    </row>
    <row r="69" spans="1:9" ht="18.75" customHeight="1" x14ac:dyDescent="0.2">
      <c r="A69" s="4"/>
      <c r="B69" s="239"/>
      <c r="C69" s="240"/>
      <c r="D69" s="240"/>
      <c r="E69" s="240"/>
      <c r="F69" s="240"/>
      <c r="G69" s="240"/>
      <c r="H69" s="240"/>
      <c r="I69" s="241"/>
    </row>
    <row r="70" spans="1:9" ht="18.75" customHeight="1" x14ac:dyDescent="0.2">
      <c r="A70" s="4"/>
      <c r="B70" s="239"/>
      <c r="C70" s="240"/>
      <c r="D70" s="240"/>
      <c r="E70" s="240"/>
      <c r="F70" s="240"/>
      <c r="G70" s="240"/>
      <c r="H70" s="240"/>
      <c r="I70" s="241"/>
    </row>
    <row r="71" spans="1:9" ht="18.75" customHeight="1" x14ac:dyDescent="0.2">
      <c r="A71" s="4"/>
      <c r="B71" s="239"/>
      <c r="C71" s="240"/>
      <c r="D71" s="240"/>
      <c r="E71" s="240"/>
      <c r="F71" s="240"/>
      <c r="G71" s="240"/>
      <c r="H71" s="240"/>
      <c r="I71" s="241"/>
    </row>
    <row r="72" spans="1:9" ht="18.75" customHeight="1" x14ac:dyDescent="0.2">
      <c r="A72" s="4"/>
      <c r="B72" s="239"/>
      <c r="C72" s="240"/>
      <c r="D72" s="240"/>
      <c r="E72" s="240"/>
      <c r="F72" s="240"/>
      <c r="G72" s="240"/>
      <c r="H72" s="240"/>
      <c r="I72" s="241"/>
    </row>
    <row r="73" spans="1:9" ht="18.75" customHeight="1" x14ac:dyDescent="0.2">
      <c r="A73" s="4"/>
      <c r="B73" s="239"/>
      <c r="C73" s="240"/>
      <c r="D73" s="240"/>
      <c r="E73" s="240"/>
      <c r="F73" s="240"/>
      <c r="G73" s="240"/>
      <c r="H73" s="240"/>
      <c r="I73" s="241"/>
    </row>
    <row r="74" spans="1:9" ht="18.75" customHeight="1" x14ac:dyDescent="0.2">
      <c r="A74" s="4"/>
      <c r="B74" s="239"/>
      <c r="C74" s="240"/>
      <c r="D74" s="240"/>
      <c r="E74" s="240"/>
      <c r="F74" s="240"/>
      <c r="G74" s="240"/>
      <c r="H74" s="240"/>
      <c r="I74" s="241"/>
    </row>
    <row r="75" spans="1:9" ht="18.75" customHeight="1" x14ac:dyDescent="0.2">
      <c r="A75" s="4"/>
      <c r="B75" s="239"/>
      <c r="C75" s="240"/>
      <c r="D75" s="240"/>
      <c r="E75" s="240"/>
      <c r="F75" s="240"/>
      <c r="G75" s="240"/>
      <c r="H75" s="240"/>
      <c r="I75" s="241"/>
    </row>
    <row r="76" spans="1:9" ht="18.75" customHeight="1" x14ac:dyDescent="0.2">
      <c r="A76" s="4"/>
      <c r="B76" s="239"/>
      <c r="C76" s="240"/>
      <c r="D76" s="240"/>
      <c r="E76" s="240"/>
      <c r="F76" s="240"/>
      <c r="G76" s="240"/>
      <c r="H76" s="240"/>
      <c r="I76" s="241"/>
    </row>
    <row r="77" spans="1:9" ht="18.75" customHeight="1" x14ac:dyDescent="0.2">
      <c r="A77" s="4"/>
      <c r="B77" s="242"/>
      <c r="C77" s="243"/>
      <c r="D77" s="243"/>
      <c r="E77" s="243"/>
      <c r="F77" s="243"/>
      <c r="G77" s="243"/>
      <c r="H77" s="243"/>
      <c r="I77" s="244"/>
    </row>
    <row r="78" spans="1:9" ht="7.5" customHeight="1" x14ac:dyDescent="0.2">
      <c r="A78" s="4"/>
      <c r="B78" s="4"/>
      <c r="C78" s="4"/>
      <c r="D78" s="4"/>
      <c r="E78" s="4"/>
      <c r="F78" s="4"/>
      <c r="G78" s="4"/>
      <c r="H78" s="4"/>
      <c r="I78" s="4"/>
    </row>
    <row r="79" spans="1:9" ht="18.75" customHeight="1" x14ac:dyDescent="0.2">
      <c r="A79" s="1" t="s">
        <v>145</v>
      </c>
      <c r="B79" s="1" t="s">
        <v>146</v>
      </c>
    </row>
    <row r="80" spans="1:9" ht="18.75" customHeight="1" x14ac:dyDescent="0.2">
      <c r="A80" s="1"/>
      <c r="B80" s="236" t="s">
        <v>183</v>
      </c>
      <c r="C80" s="237"/>
      <c r="D80" s="237"/>
      <c r="E80" s="237"/>
      <c r="F80" s="237"/>
      <c r="G80" s="237"/>
      <c r="H80" s="237"/>
      <c r="I80" s="245"/>
    </row>
    <row r="81" spans="1:9" ht="18.75" customHeight="1" x14ac:dyDescent="0.2">
      <c r="A81" s="1"/>
      <c r="B81" s="246"/>
      <c r="C81" s="247"/>
      <c r="D81" s="247"/>
      <c r="E81" s="247"/>
      <c r="F81" s="247"/>
      <c r="G81" s="247"/>
      <c r="H81" s="247"/>
      <c r="I81" s="248"/>
    </row>
    <row r="82" spans="1:9" ht="18.75" customHeight="1" x14ac:dyDescent="0.2">
      <c r="A82" s="1"/>
      <c r="B82" s="246"/>
      <c r="C82" s="247"/>
      <c r="D82" s="247"/>
      <c r="E82" s="247"/>
      <c r="F82" s="247"/>
      <c r="G82" s="247"/>
      <c r="H82" s="247"/>
      <c r="I82" s="248"/>
    </row>
    <row r="83" spans="1:9" ht="18.75" customHeight="1" x14ac:dyDescent="0.2">
      <c r="A83" s="1"/>
      <c r="B83" s="246"/>
      <c r="C83" s="247"/>
      <c r="D83" s="247"/>
      <c r="E83" s="247"/>
      <c r="F83" s="247"/>
      <c r="G83" s="247"/>
      <c r="H83" s="247"/>
      <c r="I83" s="248"/>
    </row>
    <row r="84" spans="1:9" ht="18.75" customHeight="1" x14ac:dyDescent="0.2">
      <c r="A84" s="1"/>
      <c r="B84" s="246"/>
      <c r="C84" s="247"/>
      <c r="D84" s="247"/>
      <c r="E84" s="247"/>
      <c r="F84" s="247"/>
      <c r="G84" s="247"/>
      <c r="H84" s="247"/>
      <c r="I84" s="248"/>
    </row>
    <row r="85" spans="1:9" ht="18.75" customHeight="1" x14ac:dyDescent="0.2">
      <c r="A85" s="1"/>
      <c r="B85" s="246"/>
      <c r="C85" s="247"/>
      <c r="D85" s="247"/>
      <c r="E85" s="247"/>
      <c r="F85" s="247"/>
      <c r="G85" s="247"/>
      <c r="H85" s="247"/>
      <c r="I85" s="248"/>
    </row>
    <row r="86" spans="1:9" ht="18.75" customHeight="1" x14ac:dyDescent="0.2">
      <c r="A86" s="1"/>
      <c r="B86" s="246"/>
      <c r="C86" s="247"/>
      <c r="D86" s="247"/>
      <c r="E86" s="247"/>
      <c r="F86" s="247"/>
      <c r="G86" s="247"/>
      <c r="H86" s="247"/>
      <c r="I86" s="248"/>
    </row>
    <row r="87" spans="1:9" ht="18.75" customHeight="1" x14ac:dyDescent="0.2">
      <c r="A87" s="1"/>
      <c r="B87" s="246"/>
      <c r="C87" s="247"/>
      <c r="D87" s="247"/>
      <c r="E87" s="247"/>
      <c r="F87" s="247"/>
      <c r="G87" s="247"/>
      <c r="H87" s="247"/>
      <c r="I87" s="248"/>
    </row>
    <row r="88" spans="1:9" ht="18.75" customHeight="1" x14ac:dyDescent="0.2">
      <c r="A88" s="1"/>
      <c r="B88" s="246"/>
      <c r="C88" s="247"/>
      <c r="D88" s="247"/>
      <c r="E88" s="247"/>
      <c r="F88" s="247"/>
      <c r="G88" s="247"/>
      <c r="H88" s="247"/>
      <c r="I88" s="248"/>
    </row>
    <row r="89" spans="1:9" ht="18.75" customHeight="1" x14ac:dyDescent="0.2">
      <c r="A89" s="1"/>
      <c r="B89" s="246"/>
      <c r="C89" s="247"/>
      <c r="D89" s="247"/>
      <c r="E89" s="247"/>
      <c r="F89" s="247"/>
      <c r="G89" s="247"/>
      <c r="H89" s="247"/>
      <c r="I89" s="248"/>
    </row>
    <row r="90" spans="1:9" ht="18.75" customHeight="1" x14ac:dyDescent="0.2">
      <c r="A90" s="4"/>
      <c r="B90" s="246"/>
      <c r="C90" s="247"/>
      <c r="D90" s="247"/>
      <c r="E90" s="247"/>
      <c r="F90" s="247"/>
      <c r="G90" s="247"/>
      <c r="H90" s="247"/>
      <c r="I90" s="248"/>
    </row>
    <row r="91" spans="1:9" ht="18.75" customHeight="1" x14ac:dyDescent="0.2">
      <c r="A91" s="4"/>
      <c r="B91" s="249"/>
      <c r="C91" s="250"/>
      <c r="D91" s="250"/>
      <c r="E91" s="250"/>
      <c r="F91" s="250"/>
      <c r="G91" s="250"/>
      <c r="H91" s="250"/>
      <c r="I91" s="251"/>
    </row>
    <row r="92" spans="1:9" ht="7.5" customHeight="1" x14ac:dyDescent="0.2">
      <c r="A92" s="4"/>
      <c r="B92" s="4"/>
      <c r="C92" s="4"/>
      <c r="D92" s="4"/>
      <c r="E92" s="4"/>
      <c r="F92" s="4"/>
      <c r="G92" s="4"/>
      <c r="H92" s="4"/>
      <c r="I92" s="4"/>
    </row>
    <row r="93" spans="1:9" ht="18.75" customHeight="1" x14ac:dyDescent="0.2">
      <c r="A93" s="1" t="s">
        <v>147</v>
      </c>
      <c r="B93" s="1" t="s">
        <v>148</v>
      </c>
    </row>
    <row r="94" spans="1:9" ht="18.75" customHeight="1" x14ac:dyDescent="0.2">
      <c r="A94" s="1"/>
      <c r="B94" s="196" t="s">
        <v>184</v>
      </c>
      <c r="C94" s="197"/>
      <c r="D94" s="197"/>
      <c r="E94" s="197"/>
      <c r="F94" s="197"/>
      <c r="G94" s="197"/>
      <c r="H94" s="197"/>
      <c r="I94" s="198"/>
    </row>
    <row r="95" spans="1:9" ht="18.75" customHeight="1" x14ac:dyDescent="0.2">
      <c r="A95" s="1"/>
      <c r="B95" s="202"/>
      <c r="C95" s="203"/>
      <c r="D95" s="203"/>
      <c r="E95" s="203"/>
      <c r="F95" s="203"/>
      <c r="G95" s="203"/>
      <c r="H95" s="203"/>
      <c r="I95" s="201"/>
    </row>
    <row r="96" spans="1:9" ht="18.75" customHeight="1" x14ac:dyDescent="0.2">
      <c r="A96" s="1"/>
      <c r="B96" s="202"/>
      <c r="C96" s="203"/>
      <c r="D96" s="203"/>
      <c r="E96" s="203"/>
      <c r="F96" s="203"/>
      <c r="G96" s="203"/>
      <c r="H96" s="203"/>
      <c r="I96" s="201"/>
    </row>
    <row r="97" spans="1:11" ht="18.75" customHeight="1" x14ac:dyDescent="0.2">
      <c r="A97" s="1"/>
      <c r="B97" s="202"/>
      <c r="C97" s="203"/>
      <c r="D97" s="203"/>
      <c r="E97" s="203"/>
      <c r="F97" s="203"/>
      <c r="G97" s="203"/>
      <c r="H97" s="203"/>
      <c r="I97" s="201"/>
    </row>
    <row r="98" spans="1:11" ht="18.75" customHeight="1" x14ac:dyDescent="0.2">
      <c r="A98" s="1"/>
      <c r="B98" s="202"/>
      <c r="C98" s="203"/>
      <c r="D98" s="203"/>
      <c r="E98" s="203"/>
      <c r="F98" s="203"/>
      <c r="G98" s="203"/>
      <c r="H98" s="203"/>
      <c r="I98" s="201"/>
    </row>
    <row r="99" spans="1:11" ht="18.75" customHeight="1" x14ac:dyDescent="0.2">
      <c r="A99" s="1"/>
      <c r="B99" s="202"/>
      <c r="C99" s="203"/>
      <c r="D99" s="203"/>
      <c r="E99" s="203"/>
      <c r="F99" s="203"/>
      <c r="G99" s="203"/>
      <c r="H99" s="203"/>
      <c r="I99" s="201"/>
    </row>
    <row r="100" spans="1:11" ht="18.75" customHeight="1" x14ac:dyDescent="0.2">
      <c r="A100" s="1"/>
      <c r="B100" s="202"/>
      <c r="C100" s="203"/>
      <c r="D100" s="203"/>
      <c r="E100" s="203"/>
      <c r="F100" s="203"/>
      <c r="G100" s="203"/>
      <c r="H100" s="203"/>
      <c r="I100" s="201"/>
    </row>
    <row r="101" spans="1:11" ht="18.75" customHeight="1" x14ac:dyDescent="0.2">
      <c r="A101" s="1"/>
      <c r="B101" s="202"/>
      <c r="C101" s="203"/>
      <c r="D101" s="203"/>
      <c r="E101" s="203"/>
      <c r="F101" s="203"/>
      <c r="G101" s="203"/>
      <c r="H101" s="203"/>
      <c r="I101" s="201"/>
    </row>
    <row r="102" spans="1:11" ht="18.75" customHeight="1" x14ac:dyDescent="0.2">
      <c r="A102" s="1"/>
      <c r="B102" s="202"/>
      <c r="C102" s="203"/>
      <c r="D102" s="203"/>
      <c r="E102" s="203"/>
      <c r="F102" s="203"/>
      <c r="G102" s="203"/>
      <c r="H102" s="203"/>
      <c r="I102" s="201"/>
    </row>
    <row r="103" spans="1:11" ht="18.75" customHeight="1" x14ac:dyDescent="0.2">
      <c r="A103" s="1"/>
      <c r="B103" s="202"/>
      <c r="C103" s="203"/>
      <c r="D103" s="203"/>
      <c r="E103" s="203"/>
      <c r="F103" s="203"/>
      <c r="G103" s="203"/>
      <c r="H103" s="203"/>
      <c r="I103" s="201"/>
    </row>
    <row r="104" spans="1:11" ht="18.75" customHeight="1" x14ac:dyDescent="0.2">
      <c r="A104" s="1"/>
      <c r="B104" s="202"/>
      <c r="C104" s="203"/>
      <c r="D104" s="203"/>
      <c r="E104" s="203"/>
      <c r="F104" s="203"/>
      <c r="G104" s="203"/>
      <c r="H104" s="203"/>
      <c r="I104" s="201"/>
    </row>
    <row r="105" spans="1:11" ht="18.75" customHeight="1" x14ac:dyDescent="0.2">
      <c r="A105" s="4"/>
      <c r="B105" s="204"/>
      <c r="C105" s="205"/>
      <c r="D105" s="205"/>
      <c r="E105" s="205"/>
      <c r="F105" s="205"/>
      <c r="G105" s="205"/>
      <c r="H105" s="205"/>
      <c r="I105" s="206"/>
    </row>
    <row r="106" spans="1:11" ht="7.5" customHeight="1" x14ac:dyDescent="0.2">
      <c r="A106" s="4"/>
      <c r="B106" s="4"/>
      <c r="C106" s="4"/>
      <c r="D106" s="4"/>
      <c r="E106" s="4"/>
      <c r="F106" s="4"/>
      <c r="G106" s="4"/>
      <c r="H106" s="4"/>
      <c r="I106" s="4"/>
    </row>
    <row r="107" spans="1:11" ht="18.75" customHeight="1" x14ac:dyDescent="0.2">
      <c r="A107" s="1" t="s">
        <v>149</v>
      </c>
      <c r="B107" s="222" t="s">
        <v>150</v>
      </c>
      <c r="C107" s="222"/>
      <c r="D107" s="222"/>
      <c r="E107" s="222"/>
      <c r="F107" s="222"/>
      <c r="G107" s="222"/>
      <c r="H107" s="222"/>
      <c r="I107" s="222"/>
      <c r="J107" s="64"/>
    </row>
    <row r="108" spans="1:11" ht="18.75" customHeight="1" x14ac:dyDescent="0.2">
      <c r="A108" s="4"/>
      <c r="B108" s="223" t="s">
        <v>185</v>
      </c>
      <c r="C108" s="224"/>
      <c r="D108" s="224"/>
      <c r="E108" s="224"/>
      <c r="F108" s="224"/>
      <c r="G108" s="224"/>
      <c r="H108" s="224"/>
      <c r="I108" s="225"/>
      <c r="J108" s="64"/>
      <c r="K108" s="47"/>
    </row>
    <row r="109" spans="1:11" ht="18.75" customHeight="1" x14ac:dyDescent="0.2">
      <c r="A109" s="4"/>
      <c r="B109" s="226"/>
      <c r="C109" s="227"/>
      <c r="D109" s="227"/>
      <c r="E109" s="227"/>
      <c r="F109" s="227"/>
      <c r="G109" s="227"/>
      <c r="H109" s="227"/>
      <c r="I109" s="228"/>
    </row>
    <row r="110" spans="1:11" ht="18.75" customHeight="1" x14ac:dyDescent="0.2">
      <c r="A110" s="4"/>
      <c r="B110" s="226"/>
      <c r="C110" s="227"/>
      <c r="D110" s="227"/>
      <c r="E110" s="227"/>
      <c r="F110" s="227"/>
      <c r="G110" s="227"/>
      <c r="H110" s="227"/>
      <c r="I110" s="228"/>
    </row>
    <row r="111" spans="1:11" ht="18.75" customHeight="1" x14ac:dyDescent="0.2">
      <c r="A111" s="4"/>
      <c r="B111" s="226"/>
      <c r="C111" s="227"/>
      <c r="D111" s="227"/>
      <c r="E111" s="227"/>
      <c r="F111" s="227"/>
      <c r="G111" s="227"/>
      <c r="H111" s="227"/>
      <c r="I111" s="228"/>
    </row>
    <row r="112" spans="1:11" ht="18.75" customHeight="1" x14ac:dyDescent="0.2">
      <c r="A112" s="4"/>
      <c r="B112" s="226"/>
      <c r="C112" s="227"/>
      <c r="D112" s="227"/>
      <c r="E112" s="227"/>
      <c r="F112" s="227"/>
      <c r="G112" s="227"/>
      <c r="H112" s="227"/>
      <c r="I112" s="228"/>
    </row>
    <row r="113" spans="1:9" ht="18.75" customHeight="1" x14ac:dyDescent="0.2">
      <c r="A113" s="4"/>
      <c r="B113" s="226"/>
      <c r="C113" s="227"/>
      <c r="D113" s="227"/>
      <c r="E113" s="227"/>
      <c r="F113" s="227"/>
      <c r="G113" s="227"/>
      <c r="H113" s="227"/>
      <c r="I113" s="228"/>
    </row>
    <row r="114" spans="1:9" ht="18.75" customHeight="1" x14ac:dyDescent="0.2">
      <c r="A114" s="4"/>
      <c r="B114" s="226"/>
      <c r="C114" s="227"/>
      <c r="D114" s="227"/>
      <c r="E114" s="227"/>
      <c r="F114" s="227"/>
      <c r="G114" s="227"/>
      <c r="H114" s="227"/>
      <c r="I114" s="228"/>
    </row>
    <row r="115" spans="1:9" ht="18.75" customHeight="1" x14ac:dyDescent="0.2">
      <c r="A115" s="4"/>
      <c r="B115" s="226"/>
      <c r="C115" s="227"/>
      <c r="D115" s="227"/>
      <c r="E115" s="227"/>
      <c r="F115" s="227"/>
      <c r="G115" s="227"/>
      <c r="H115" s="227"/>
      <c r="I115" s="228"/>
    </row>
    <row r="116" spans="1:9" ht="18.75" customHeight="1" x14ac:dyDescent="0.2">
      <c r="A116" s="4"/>
      <c r="B116" s="226"/>
      <c r="C116" s="227"/>
      <c r="D116" s="227"/>
      <c r="E116" s="227"/>
      <c r="F116" s="227"/>
      <c r="G116" s="227"/>
      <c r="H116" s="227"/>
      <c r="I116" s="228"/>
    </row>
    <row r="117" spans="1:9" ht="18.75" customHeight="1" x14ac:dyDescent="0.2">
      <c r="A117" s="4"/>
      <c r="B117" s="226"/>
      <c r="C117" s="227"/>
      <c r="D117" s="227"/>
      <c r="E117" s="227"/>
      <c r="F117" s="227"/>
      <c r="G117" s="227"/>
      <c r="H117" s="227"/>
      <c r="I117" s="228"/>
    </row>
    <row r="118" spans="1:9" ht="18.75" customHeight="1" x14ac:dyDescent="0.2">
      <c r="A118" s="4"/>
      <c r="B118" s="226"/>
      <c r="C118" s="227"/>
      <c r="D118" s="227"/>
      <c r="E118" s="227"/>
      <c r="F118" s="227"/>
      <c r="G118" s="227"/>
      <c r="H118" s="227"/>
      <c r="I118" s="228"/>
    </row>
    <row r="119" spans="1:9" ht="18.75" customHeight="1" x14ac:dyDescent="0.2">
      <c r="A119" s="4"/>
      <c r="B119" s="229"/>
      <c r="C119" s="230"/>
      <c r="D119" s="230"/>
      <c r="E119" s="230"/>
      <c r="F119" s="230"/>
      <c r="G119" s="230"/>
      <c r="H119" s="230"/>
      <c r="I119" s="231"/>
    </row>
    <row r="120" spans="1:9" ht="7.5" customHeight="1" x14ac:dyDescent="0.2">
      <c r="A120" s="4"/>
      <c r="B120" s="29"/>
      <c r="C120" s="29"/>
      <c r="D120" s="29"/>
      <c r="E120" s="29"/>
      <c r="F120" s="29"/>
      <c r="G120" s="29"/>
      <c r="H120" s="29"/>
      <c r="I120" s="29"/>
    </row>
    <row r="121" spans="1:9" ht="18.75" customHeight="1" x14ac:dyDescent="0.2">
      <c r="A121" s="47"/>
      <c r="B121" s="191"/>
      <c r="C121" s="191"/>
      <c r="D121" s="191"/>
      <c r="E121" s="191"/>
      <c r="F121" s="191"/>
      <c r="G121" s="191"/>
      <c r="H121" s="191"/>
      <c r="I121" s="191"/>
    </row>
    <row r="122" spans="1:9" ht="18.75" customHeight="1" x14ac:dyDescent="0.2">
      <c r="A122" s="47"/>
      <c r="B122" s="191"/>
      <c r="C122" s="191"/>
      <c r="D122" s="191"/>
      <c r="E122" s="191"/>
      <c r="F122" s="191"/>
      <c r="G122" s="191"/>
      <c r="H122" s="191"/>
      <c r="I122" s="191"/>
    </row>
    <row r="123" spans="1:9" ht="18.75" customHeight="1" x14ac:dyDescent="0.2">
      <c r="A123" s="4"/>
      <c r="B123" s="51"/>
      <c r="C123" s="51"/>
      <c r="D123" s="51"/>
      <c r="E123" s="51"/>
      <c r="F123" s="51"/>
      <c r="G123" s="51"/>
      <c r="H123" s="51"/>
      <c r="I123" s="52"/>
    </row>
    <row r="124" spans="1:9" ht="18.75" customHeight="1" x14ac:dyDescent="0.2">
      <c r="A124" s="4"/>
      <c r="B124" s="52"/>
      <c r="C124" s="52"/>
      <c r="D124" s="52"/>
      <c r="E124" s="52"/>
      <c r="F124" s="52"/>
      <c r="G124" s="52"/>
      <c r="H124" s="52"/>
      <c r="I124" s="52"/>
    </row>
    <row r="125" spans="1:9" ht="18.75" customHeight="1" x14ac:dyDescent="0.2">
      <c r="A125" s="4"/>
      <c r="B125" s="52"/>
      <c r="C125" s="52"/>
      <c r="D125" s="52"/>
      <c r="E125" s="52"/>
      <c r="F125" s="52"/>
      <c r="G125" s="52"/>
      <c r="H125" s="52"/>
      <c r="I125" s="52"/>
    </row>
    <row r="126" spans="1:9" ht="18.75" customHeight="1" x14ac:dyDescent="0.2">
      <c r="A126" s="4"/>
      <c r="B126" s="52"/>
      <c r="C126" s="52"/>
      <c r="D126" s="52"/>
      <c r="E126" s="52"/>
      <c r="F126" s="52"/>
      <c r="G126" s="52"/>
      <c r="H126" s="52"/>
      <c r="I126" s="52"/>
    </row>
    <row r="127" spans="1:9" ht="18.75" customHeight="1" x14ac:dyDescent="0.2">
      <c r="A127" s="4"/>
      <c r="B127" s="52"/>
      <c r="C127" s="52"/>
      <c r="D127" s="52"/>
      <c r="E127" s="52"/>
      <c r="F127" s="52"/>
      <c r="G127" s="52"/>
      <c r="H127" s="52"/>
      <c r="I127" s="52"/>
    </row>
    <row r="128" spans="1:9" ht="18.75" customHeight="1" x14ac:dyDescent="0.2">
      <c r="A128" s="4"/>
      <c r="B128" s="52"/>
      <c r="C128" s="52"/>
      <c r="D128" s="52"/>
      <c r="E128" s="52"/>
      <c r="F128" s="52"/>
      <c r="G128" s="52"/>
      <c r="H128" s="52"/>
      <c r="I128" s="52"/>
    </row>
    <row r="129" spans="1:9" ht="18.75" customHeight="1" x14ac:dyDescent="0.2">
      <c r="A129" s="4"/>
      <c r="B129" s="52"/>
      <c r="C129" s="52"/>
      <c r="D129" s="52"/>
      <c r="E129" s="52"/>
      <c r="F129" s="52"/>
      <c r="G129" s="52"/>
      <c r="H129" s="52"/>
      <c r="I129" s="52"/>
    </row>
    <row r="130" spans="1:9" ht="18.75" customHeight="1" x14ac:dyDescent="0.2">
      <c r="A130" s="4"/>
      <c r="B130" s="52"/>
      <c r="C130" s="52"/>
      <c r="D130" s="52"/>
      <c r="E130" s="52"/>
      <c r="F130" s="52"/>
      <c r="G130" s="52"/>
      <c r="H130" s="52"/>
      <c r="I130" s="52"/>
    </row>
    <row r="131" spans="1:9" ht="18.75" customHeight="1" x14ac:dyDescent="0.2">
      <c r="A131" s="4"/>
      <c r="B131" s="52"/>
      <c r="C131" s="52"/>
      <c r="D131" s="52"/>
      <c r="E131" s="52"/>
      <c r="F131" s="52"/>
      <c r="G131" s="52"/>
      <c r="H131" s="52"/>
      <c r="I131" s="52"/>
    </row>
    <row r="132" spans="1:9" ht="18.75" customHeight="1" x14ac:dyDescent="0.2">
      <c r="A132" s="4"/>
      <c r="B132" s="52"/>
      <c r="C132" s="52"/>
      <c r="D132" s="52"/>
      <c r="E132" s="52"/>
      <c r="F132" s="52"/>
      <c r="G132" s="52"/>
      <c r="H132" s="52"/>
      <c r="I132" s="52"/>
    </row>
    <row r="133" spans="1:9" ht="14.4" x14ac:dyDescent="0.2">
      <c r="A133" s="4"/>
      <c r="B133" s="52"/>
      <c r="C133" s="52"/>
      <c r="D133" s="52"/>
      <c r="E133" s="52"/>
      <c r="F133" s="52"/>
      <c r="G133" s="52"/>
      <c r="H133" s="52"/>
      <c r="I133" s="52"/>
    </row>
    <row r="134" spans="1:9" ht="7.5" customHeight="1" x14ac:dyDescent="0.2">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93D8-6F68-49D8-94D0-E827B4B1F91B}">
  <sheetPr>
    <pageSetUpPr fitToPage="1"/>
  </sheetPr>
  <dimension ref="A1:K112"/>
  <sheetViews>
    <sheetView showZeros="0" view="pageBreakPreview" topLeftCell="A22" zoomScale="80" zoomScaleNormal="100" zoomScaleSheetLayoutView="80" workbookViewId="0">
      <selection activeCell="L4" sqref="L4"/>
    </sheetView>
  </sheetViews>
  <sheetFormatPr defaultColWidth="11.33203125" defaultRowHeight="22.5" customHeight="1" x14ac:dyDescent="0.2"/>
  <cols>
    <col min="1" max="3" width="2.77734375" style="81" customWidth="1"/>
    <col min="4" max="4" width="22.21875" style="81" customWidth="1"/>
    <col min="5" max="5" width="30.77734375" style="81" customWidth="1"/>
    <col min="6" max="7" width="7.77734375" style="81" customWidth="1"/>
    <col min="8" max="9" width="30.77734375" style="81" customWidth="1"/>
    <col min="10" max="10" width="4.109375" style="77" customWidth="1"/>
    <col min="11" max="16384" width="11.33203125" style="1"/>
  </cols>
  <sheetData>
    <row r="1" spans="1:11" ht="18.75" customHeight="1" x14ac:dyDescent="0.2">
      <c r="A1" s="81" t="s">
        <v>151</v>
      </c>
      <c r="I1" s="82" t="s">
        <v>152</v>
      </c>
    </row>
    <row r="2" spans="1:11" ht="18.75" customHeight="1" x14ac:dyDescent="0.2">
      <c r="H2" s="82" t="s">
        <v>2</v>
      </c>
      <c r="I2" s="83" t="s">
        <v>175</v>
      </c>
    </row>
    <row r="3" spans="1:11" ht="18.75" customHeight="1" x14ac:dyDescent="0.2">
      <c r="A3" s="285" t="s">
        <v>153</v>
      </c>
      <c r="B3" s="285"/>
      <c r="C3" s="285"/>
      <c r="D3" s="285"/>
      <c r="E3" s="285"/>
      <c r="F3" s="285"/>
      <c r="G3" s="285"/>
      <c r="H3" s="285"/>
      <c r="I3" s="285"/>
    </row>
    <row r="4" spans="1:11" ht="18.75" customHeight="1" x14ac:dyDescent="0.2">
      <c r="A4" s="84"/>
      <c r="B4" s="84"/>
      <c r="C4" s="84"/>
      <c r="D4" s="84"/>
      <c r="E4" s="84"/>
      <c r="F4" s="84"/>
      <c r="G4" s="84"/>
      <c r="H4" s="84"/>
      <c r="I4" s="84"/>
    </row>
    <row r="5" spans="1:11" ht="18.75" customHeight="1" x14ac:dyDescent="0.2">
      <c r="A5" s="81" t="s">
        <v>113</v>
      </c>
      <c r="B5" s="85" t="s">
        <v>154</v>
      </c>
      <c r="C5" s="84"/>
      <c r="D5" s="84"/>
      <c r="E5" s="84"/>
      <c r="F5" s="84"/>
      <c r="G5" s="84"/>
      <c r="H5" s="84"/>
      <c r="I5" s="84"/>
    </row>
    <row r="6" spans="1:11" ht="26.25" customHeight="1" x14ac:dyDescent="0.2">
      <c r="A6" s="84"/>
      <c r="B6" s="286" t="s">
        <v>127</v>
      </c>
      <c r="C6" s="287"/>
      <c r="D6" s="287"/>
      <c r="E6" s="287"/>
      <c r="F6" s="287"/>
      <c r="G6" s="287"/>
      <c r="H6" s="288"/>
      <c r="I6" s="86"/>
    </row>
    <row r="7" spans="1:11" ht="9" customHeight="1" x14ac:dyDescent="0.2">
      <c r="A7" s="84"/>
      <c r="B7" s="85"/>
      <c r="C7" s="85"/>
      <c r="D7" s="85"/>
      <c r="E7" s="85"/>
      <c r="F7" s="85"/>
      <c r="G7" s="85"/>
      <c r="H7" s="85"/>
      <c r="I7" s="86"/>
    </row>
    <row r="8" spans="1:11" ht="18.75" customHeight="1" x14ac:dyDescent="0.2">
      <c r="A8" s="84"/>
      <c r="B8" s="86"/>
      <c r="C8" s="86"/>
      <c r="D8" s="82" t="s">
        <v>121</v>
      </c>
      <c r="E8" s="87" t="s">
        <v>122</v>
      </c>
      <c r="F8" s="86"/>
      <c r="G8" s="82" t="s">
        <v>123</v>
      </c>
      <c r="H8" s="87" t="s">
        <v>124</v>
      </c>
      <c r="I8" s="86"/>
    </row>
    <row r="9" spans="1:11" ht="7.5" customHeight="1" x14ac:dyDescent="0.2">
      <c r="A9" s="84"/>
      <c r="B9" s="84"/>
      <c r="C9" s="84"/>
      <c r="D9" s="84"/>
      <c r="E9" s="84"/>
      <c r="F9" s="84"/>
      <c r="G9" s="84"/>
      <c r="H9" s="84"/>
      <c r="I9" s="84"/>
    </row>
    <row r="10" spans="1:11" ht="18.75" customHeight="1" x14ac:dyDescent="0.2">
      <c r="A10" s="81" t="s">
        <v>117</v>
      </c>
      <c r="B10" s="81" t="s">
        <v>155</v>
      </c>
      <c r="C10" s="88"/>
      <c r="D10" s="88"/>
      <c r="E10" s="88"/>
      <c r="F10" s="88"/>
      <c r="G10" s="88"/>
      <c r="H10" s="88"/>
      <c r="I10" s="88"/>
    </row>
    <row r="11" spans="1:11" ht="18.75" customHeight="1" x14ac:dyDescent="0.2">
      <c r="B11" s="289" t="s">
        <v>156</v>
      </c>
      <c r="C11" s="290"/>
      <c r="D11" s="291"/>
      <c r="E11" s="290" t="s">
        <v>157</v>
      </c>
      <c r="F11" s="290"/>
      <c r="G11" s="290"/>
      <c r="H11" s="290"/>
      <c r="I11" s="291"/>
    </row>
    <row r="12" spans="1:11" ht="26.25" customHeight="1" x14ac:dyDescent="0.2">
      <c r="B12" s="89" t="s">
        <v>158</v>
      </c>
      <c r="C12" s="88"/>
      <c r="D12" s="90"/>
      <c r="I12" s="90"/>
    </row>
    <row r="13" spans="1:11" ht="210.75" customHeight="1" x14ac:dyDescent="0.2">
      <c r="B13" s="91"/>
      <c r="C13" s="278" t="s">
        <v>159</v>
      </c>
      <c r="D13" s="279"/>
      <c r="E13" s="284" t="s">
        <v>177</v>
      </c>
      <c r="F13" s="280"/>
      <c r="G13" s="280"/>
      <c r="H13" s="280"/>
      <c r="I13" s="281"/>
      <c r="J13" s="78"/>
      <c r="K13" s="47"/>
    </row>
    <row r="14" spans="1:11" ht="210.75" customHeight="1" x14ac:dyDescent="0.2">
      <c r="B14" s="91"/>
      <c r="C14" s="282" t="s">
        <v>160</v>
      </c>
      <c r="D14" s="283"/>
      <c r="E14" s="284" t="s">
        <v>188</v>
      </c>
      <c r="F14" s="280"/>
      <c r="G14" s="280"/>
      <c r="H14" s="280"/>
      <c r="I14" s="281"/>
      <c r="J14" s="79"/>
    </row>
    <row r="15" spans="1:11" ht="210.75" customHeight="1" x14ac:dyDescent="0.2">
      <c r="B15" s="91"/>
      <c r="C15" s="278" t="s">
        <v>161</v>
      </c>
      <c r="D15" s="279"/>
      <c r="E15" s="284" t="s">
        <v>189</v>
      </c>
      <c r="F15" s="280"/>
      <c r="G15" s="280"/>
      <c r="H15" s="280"/>
      <c r="I15" s="281"/>
      <c r="J15" s="79"/>
    </row>
    <row r="16" spans="1:11" ht="210.75" customHeight="1" x14ac:dyDescent="0.2">
      <c r="B16" s="91"/>
      <c r="C16" s="278" t="s">
        <v>162</v>
      </c>
      <c r="D16" s="279"/>
      <c r="E16" s="284" t="s">
        <v>172</v>
      </c>
      <c r="F16" s="280"/>
      <c r="G16" s="280"/>
      <c r="H16" s="280"/>
      <c r="I16" s="281"/>
    </row>
    <row r="17" spans="2:10" ht="210.75" customHeight="1" x14ac:dyDescent="0.2">
      <c r="B17" s="92"/>
      <c r="C17" s="273" t="s">
        <v>163</v>
      </c>
      <c r="D17" s="274"/>
      <c r="E17" s="275" t="s">
        <v>187</v>
      </c>
      <c r="F17" s="276"/>
      <c r="G17" s="276"/>
      <c r="H17" s="276"/>
      <c r="I17" s="277"/>
      <c r="J17" s="80"/>
    </row>
    <row r="18" spans="2:10" ht="24" customHeight="1" x14ac:dyDescent="0.2">
      <c r="B18" s="89" t="s">
        <v>164</v>
      </c>
      <c r="C18" s="93"/>
      <c r="D18" s="94"/>
      <c r="E18" s="95"/>
      <c r="F18" s="95"/>
      <c r="G18" s="95"/>
      <c r="H18" s="95"/>
      <c r="I18" s="96"/>
    </row>
    <row r="19" spans="2:10" ht="218.25" customHeight="1" x14ac:dyDescent="0.2">
      <c r="B19" s="91"/>
      <c r="C19" s="278" t="s">
        <v>165</v>
      </c>
      <c r="D19" s="279"/>
      <c r="E19" s="280" t="s">
        <v>186</v>
      </c>
      <c r="F19" s="280"/>
      <c r="G19" s="280"/>
      <c r="H19" s="280"/>
      <c r="I19" s="281"/>
    </row>
    <row r="20" spans="2:10" ht="218.25" customHeight="1" x14ac:dyDescent="0.2">
      <c r="B20" s="92"/>
      <c r="C20" s="273" t="s">
        <v>166</v>
      </c>
      <c r="D20" s="274"/>
      <c r="E20" s="276" t="s">
        <v>178</v>
      </c>
      <c r="F20" s="276"/>
      <c r="G20" s="276"/>
      <c r="H20" s="276"/>
      <c r="I20" s="277"/>
      <c r="J20" s="80"/>
    </row>
    <row r="21" spans="2:10" ht="218.25" customHeight="1" x14ac:dyDescent="0.2">
      <c r="B21" s="263" t="s">
        <v>167</v>
      </c>
      <c r="C21" s="264"/>
      <c r="D21" s="265"/>
      <c r="E21" s="266" t="s">
        <v>176</v>
      </c>
      <c r="F21" s="266"/>
      <c r="G21" s="266"/>
      <c r="H21" s="266"/>
      <c r="I21" s="267"/>
      <c r="J21" s="79"/>
    </row>
    <row r="22" spans="2:10" ht="218.25" customHeight="1" x14ac:dyDescent="0.2">
      <c r="B22" s="268" t="s">
        <v>168</v>
      </c>
      <c r="C22" s="269"/>
      <c r="D22" s="270"/>
      <c r="E22" s="271" t="s">
        <v>169</v>
      </c>
      <c r="F22" s="271"/>
      <c r="G22" s="271"/>
      <c r="H22" s="271"/>
      <c r="I22" s="272"/>
      <c r="J22" s="79"/>
    </row>
    <row r="23" spans="2:10" ht="22.5" customHeight="1" x14ac:dyDescent="0.2">
      <c r="B23" s="88"/>
      <c r="C23" s="88"/>
      <c r="D23" s="88"/>
      <c r="E23" s="88"/>
      <c r="F23" s="88"/>
      <c r="G23" s="88"/>
      <c r="H23" s="88"/>
      <c r="I23" s="88"/>
    </row>
    <row r="24" spans="2:10" ht="22.5" customHeight="1" x14ac:dyDescent="0.2">
      <c r="B24" s="88"/>
      <c r="C24" s="88"/>
      <c r="D24" s="88"/>
      <c r="E24" s="88"/>
      <c r="F24" s="88"/>
      <c r="G24" s="88"/>
      <c r="H24" s="88"/>
      <c r="I24" s="88"/>
    </row>
    <row r="25" spans="2:10" ht="22.5" customHeight="1" x14ac:dyDescent="0.2">
      <c r="B25" s="88"/>
      <c r="C25" s="88"/>
      <c r="D25" s="88"/>
      <c r="E25" s="88"/>
      <c r="F25" s="88"/>
      <c r="G25" s="88"/>
      <c r="H25" s="88"/>
      <c r="I25" s="88"/>
    </row>
    <row r="26" spans="2:10" ht="22.5" customHeight="1" x14ac:dyDescent="0.2">
      <c r="B26" s="88"/>
      <c r="C26" s="88"/>
      <c r="D26" s="88"/>
      <c r="E26" s="88"/>
      <c r="F26" s="88"/>
      <c r="G26" s="88"/>
      <c r="H26" s="88"/>
      <c r="I26" s="88"/>
    </row>
    <row r="27" spans="2:10" ht="22.5" customHeight="1" x14ac:dyDescent="0.2">
      <c r="B27" s="88"/>
      <c r="C27" s="88"/>
      <c r="D27" s="88"/>
      <c r="E27" s="88"/>
      <c r="F27" s="88"/>
      <c r="G27" s="88"/>
      <c r="H27" s="88"/>
      <c r="I27" s="88"/>
    </row>
    <row r="28" spans="2:10" ht="22.5" customHeight="1" x14ac:dyDescent="0.2">
      <c r="B28" s="97"/>
      <c r="C28" s="97"/>
      <c r="D28" s="97"/>
      <c r="E28" s="97"/>
      <c r="F28" s="97"/>
      <c r="G28" s="97"/>
      <c r="H28" s="97"/>
      <c r="I28" s="97"/>
    </row>
    <row r="29" spans="2:10" ht="22.5" customHeight="1" x14ac:dyDescent="0.2">
      <c r="B29" s="97"/>
      <c r="C29" s="97"/>
      <c r="D29" s="97"/>
      <c r="E29" s="97"/>
      <c r="F29" s="97"/>
      <c r="G29" s="97"/>
      <c r="H29" s="97"/>
      <c r="I29" s="97"/>
    </row>
    <row r="30" spans="2:10" ht="22.5" customHeight="1" x14ac:dyDescent="0.2">
      <c r="B30" s="97"/>
      <c r="C30" s="97"/>
      <c r="D30" s="97"/>
      <c r="E30" s="97"/>
      <c r="F30" s="97"/>
      <c r="G30" s="97"/>
      <c r="H30" s="97"/>
      <c r="I30" s="97"/>
    </row>
    <row r="112" spans="2:2" ht="22.5" customHeight="1" x14ac:dyDescent="0.2">
      <c r="B112" s="99" t="s">
        <v>170</v>
      </c>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横田　亮</cp:lastModifiedBy>
  <cp:revision/>
  <cp:lastPrinted>2024-03-25T06:04:43Z</cp:lastPrinted>
  <dcterms:created xsi:type="dcterms:W3CDTF">2011-06-14T05:32:50Z</dcterms:created>
  <dcterms:modified xsi:type="dcterms:W3CDTF">2024-06-02T23:58:50Z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