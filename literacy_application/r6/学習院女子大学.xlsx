
<file path=[Content_Types].xml><?xml version="1.0" encoding="utf-8"?>
<Types xmlns="http://schemas.openxmlformats.org/package/2006/content-types">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sv-file.gois.jp\総合文書ライブラリ\２女子大学\２５事務統括部\２５９０事務統括部業務\13教務\07資格取得\05_データサイエンス教育プログラム\01_MDASH-Literacy\06_申請（再提出）用\"/>
    </mc:Choice>
  </mc:AlternateContent>
  <bookViews>
    <workbookView xWindow="28680" yWindow="-120" windowWidth="29040" windowHeight="15840" tabRatio="885" activeTab="1"/>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プログラムを構成する授業科目'!$A$1:$U$118</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62913"/>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 i="42" l="1"/>
  <c r="C49" i="41"/>
  <c r="M7" i="40" l="1"/>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D33" i="40"/>
  <c r="S32" i="40"/>
  <c r="S31" i="40"/>
  <c r="S30" i="40"/>
  <c r="S29" i="40"/>
  <c r="S28" i="40"/>
  <c r="S27" i="40"/>
  <c r="S26" i="40"/>
  <c r="S25" i="40"/>
  <c r="S24" i="40"/>
  <c r="S23" i="40"/>
  <c r="S22" i="40"/>
  <c r="S21" i="40"/>
  <c r="S20" i="40"/>
  <c r="S19" i="40"/>
  <c r="S18" i="40"/>
  <c r="S17" i="40"/>
  <c r="S16" i="40"/>
  <c r="S15" i="40"/>
  <c r="S14" i="40"/>
  <c r="R33" i="40" l="1"/>
  <c r="S33" i="40" s="1"/>
</calcChain>
</file>

<file path=xl/sharedStrings.xml><?xml version="1.0" encoding="utf-8"?>
<sst xmlns="http://schemas.openxmlformats.org/spreadsheetml/2006/main" count="400" uniqueCount="207">
  <si>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</si>
  <si>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</si>
  <si>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</si>
  <si>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</si>
  <si>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</si>
  <si>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</si>
  <si>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</si>
  <si>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</si>
  <si>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</si>
  <si>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</si>
  <si>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</si>
  <si>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</si>
  <si>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</si>
  <si>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</si>
  <si>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</si>
  <si>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</si>
  <si>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</si>
  <si>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</si>
  <si>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</si>
  <si>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</si>
  <si>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</si>
  <si>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</si>
  <si>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</si>
  <si>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</si>
  <si>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</si>
  <si>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</si>
  <si>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</si>
  <si>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</si>
  <si>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</si>
  <si>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</si>
  <si>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</si>
  <si>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</si>
  <si>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</si>
  <si>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</si>
  <si>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</si>
  <si>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</si>
  <si>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</si>
  <si>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</si>
  <si>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</si>
  <si>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</si>
  <si>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</si>
  <si>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</si>
  <si>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</si>
  <si>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</si>
  <si>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</si>
  <si>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</si>
  <si>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</si>
  <si>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</si>
  <si>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</si>
  <si>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</si>
  <si>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</si>
  <si>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</si>
  <si>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</si>
  <si>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</si>
  <si>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</si>
  <si>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</si>
  <si>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</si>
  <si>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</si>
  <si>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</si>
  <si>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</si>
  <si>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</si>
  <si>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</si>
  <si>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</si>
  <si>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</si>
  <si>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</si>
  <si>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</si>
  <si>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</si>
  <si>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</si>
  <si>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</si>
  <si>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</si>
  <si>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</si>
  <si>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</si>
  <si>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</si>
  <si>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</si>
  <si>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</si>
  <si>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</si>
  <si>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</si>
  <si>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</si>
  <si>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</si>
  <si>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</si>
  <si>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</si>
  <si>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</si>
  <si>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</si>
  <si>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</si>
  <si>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</si>
  <si>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</si>
  <si>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</si>
  <si>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</si>
  <si>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</si>
  <si>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</si>
  <si>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</si>
  <si>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</si>
  <si>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</si>
  <si>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</si>
  <si>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</si>
  <si>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</si>
  <si>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</si>
  <si>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</si>
  <si>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</si>
  <si>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</si>
  <si>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</si>
  <si>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</si>
  <si>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</si>
  <si>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</si>
  <si>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</si>
  <si>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</si>
  <si>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</si>
  <si>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</si>
  <si>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</si>
  <si>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</si>
  <si>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</si>
  <si>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</si>
  <si>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</si>
  <si>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</si>
  <si>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</si>
  <si>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</si>
  <si>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</si>
  <si>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</si>
  <si>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</si>
  <si>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</si>
  <si>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</si>
  <si>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</si>
  <si>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</si>
  <si>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</si>
  <si>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</si>
  <si>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</si>
  <si>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</si>
  <si>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</si>
  <si>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</si>
  <si>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</si>
  <si>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</si>
  <si>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</si>
  <si>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</si>
  <si>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</si>
  <si>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</si>
  <si>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</si>
  <si>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学習院女子大学</t>
    <rPh sb="0" eb="7">
      <t>ガクシュウインジョシダイガク</t>
    </rPh>
    <phoneticPr fontId="1"/>
  </si>
  <si>
    <t>データサイエンス教育プログラム</t>
    <rPh sb="8" eb="10">
      <t>キョウイク</t>
    </rPh>
    <phoneticPr fontId="1"/>
  </si>
  <si>
    <t>国際文化交流学部</t>
    <rPh sb="0" eb="6">
      <t>コクサイブンカコウリュウ</t>
    </rPh>
    <rPh sb="6" eb="8">
      <t>ガクブ</t>
    </rPh>
    <phoneticPr fontId="1"/>
  </si>
  <si>
    <t>丸山　信人</t>
    <rPh sb="0" eb="2">
      <t>マルヤマ</t>
    </rPh>
    <rPh sb="3" eb="5">
      <t>ノブヒト</t>
    </rPh>
    <phoneticPr fontId="1"/>
  </si>
  <si>
    <t>教授</t>
    <rPh sb="0" eb="2">
      <t>キョウジュ</t>
    </rPh>
    <phoneticPr fontId="1"/>
  </si>
  <si>
    <t>教務委員会</t>
    <rPh sb="0" eb="2">
      <t>キョウム</t>
    </rPh>
    <rPh sb="2" eb="5">
      <t>イインカイ</t>
    </rPh>
    <phoneticPr fontId="1"/>
  </si>
  <si>
    <t>佐藤　琢三</t>
    <rPh sb="0" eb="2">
      <t>サトウ</t>
    </rPh>
    <rPh sb="3" eb="4">
      <t>タク</t>
    </rPh>
    <rPh sb="4" eb="5">
      <t>ミ</t>
    </rPh>
    <phoneticPr fontId="1"/>
  </si>
  <si>
    <t>委員長</t>
    <rPh sb="0" eb="3">
      <t>イインチョウ</t>
    </rPh>
    <phoneticPr fontId="1"/>
  </si>
  <si>
    <t>学習院女子大学教務委員会規程</t>
    <phoneticPr fontId="1"/>
  </si>
  <si>
    <t>委員会は、学習院女子大学（以下「本学」という。）における次の事項を審議する。
一　本学の授業科目全般の管理運営及び計画に関する事項
二　科目担当者の人事に関する事項
三　授業運営のために必要な予算に関する事項
四　その他、委員会が必要と認めた事項</t>
    <phoneticPr fontId="1"/>
  </si>
  <si>
    <t>教務部長、各学科から選出された委員各１名及び教務部長が指名する委員２名をもって組織する。
○教務部長・・・・・・・・・・・・・・・・・・・・・・・佐藤琢三（教授）
○日本文化学科選出・・・・・・・・・・・・・・・橋本彩（准教授）
○国際コミュニケーション学科選出・・・・正本忍（教授）
○英語コミュニケーション学科選出・・・・萓忠義（教授）
○教務部長指名（共通科目）・・・・・・・・・澤田知香子（教授）
○教務部長指名（研究科）・・・・・・・・・・・櫻井大三（教授）</t>
    <phoneticPr fontId="1"/>
  </si>
  <si>
    <t>学部・学科によって、修了要件は相違しない</t>
  </si>
  <si>
    <t>○</t>
  </si>
  <si>
    <t>表計算ツールとデータ分析</t>
    <rPh sb="0" eb="3">
      <t>ヒョウケイサン</t>
    </rPh>
    <rPh sb="10" eb="12">
      <t>ブンセキ</t>
    </rPh>
    <phoneticPr fontId="1"/>
  </si>
  <si>
    <t>デジタルコンテンツ制作</t>
    <rPh sb="9" eb="11">
      <t>セイサク</t>
    </rPh>
    <phoneticPr fontId="1"/>
  </si>
  <si>
    <t>データサイエンス・AI演習</t>
    <rPh sb="11" eb="13">
      <t>エンシュウ</t>
    </rPh>
    <phoneticPr fontId="1"/>
  </si>
  <si>
    <t>基礎統計学</t>
    <rPh sb="0" eb="5">
      <t>キソトウケイガク</t>
    </rPh>
    <phoneticPr fontId="1"/>
  </si>
  <si>
    <t>プログラミング</t>
    <phoneticPr fontId="1"/>
  </si>
  <si>
    <t>社会調査法</t>
    <rPh sb="0" eb="5">
      <t>シャカイチョウサホウ</t>
    </rPh>
    <phoneticPr fontId="1"/>
  </si>
  <si>
    <t>4-1統計および数理基礎</t>
  </si>
  <si>
    <t>4‐8データ活用実践（教師あり学習）</t>
  </si>
  <si>
    <t>4‐2アルゴリズム基礎</t>
  </si>
  <si>
    <t>データサイエンス・AI基礎</t>
    <phoneticPr fontId="1"/>
  </si>
  <si>
    <t>4‐3データ構造とプログラミング基礎</t>
  </si>
  <si>
    <t>4‐9データ活用実践（教師なし学習）</t>
  </si>
  <si>
    <t>4‐4時系列データ解析</t>
  </si>
  <si>
    <t>4‐5テキスト解析</t>
  </si>
  <si>
    <t>4‐6画像解析</t>
  </si>
  <si>
    <t>その他</t>
  </si>
  <si>
    <t>プログラミング</t>
  </si>
  <si>
    <t>4‐7データハンドリング</t>
  </si>
  <si>
    <t>ビッグデータ、IoT、AI、ロボット「情報リテラシー」(第12～14回)、「データサイエンス・AI基礎」(第2回)、「デジタルコンテンツ制作」（第2回）、「データサイエンス・AI演習」(第6回)
データ量の増加、計算機の処理性能の向上、AIの非連続的進化「情報リテラシー」(第12～14回)、「表計算ツールとデータ分析」(第7回)、「データサイエンス・AI基礎」(第2回)、「データサイエンス・AI演習」(第6回)
第4次産業革命、Society 5.0、データ駆動型社会「情報リテラシー」(第12～14回)、「データサイエンス・AI基礎」(第2回)、「データサイエンス・AI演習」(第6回)
複数技術を組み合わせたAIサービス「情報リテラシー」(第12～14回)、「データサイエンス・AI基礎」(第2回)、「データサイエンス・AI演習」(第6回)
人間の知的活動とAIの関係性「情報リテラシー」(第12～14回)、「データサイエンス・AI基礎」(第2回)、「データサイエンス・AI演習」(第6回)
データを起点としたものの見方、人間の知的活動を起点としたものの見方「情報リテラシー」(第12～14回)、「データサイエンス・AI基礎」(第2回)、「データサイエンス・AI演習」(第6回)</t>
    <rPh sb="19" eb="21">
      <t>ジョウホウ</t>
    </rPh>
    <rPh sb="28" eb="29">
      <t>ダイ</t>
    </rPh>
    <rPh sb="34" eb="35">
      <t>カイ</t>
    </rPh>
    <rPh sb="49" eb="51">
      <t>キソ</t>
    </rPh>
    <rPh sb="53" eb="54">
      <t>ダイ</t>
    </rPh>
    <rPh sb="55" eb="56">
      <t>カイ</t>
    </rPh>
    <rPh sb="68" eb="70">
      <t>セイサク</t>
    </rPh>
    <rPh sb="72" eb="73">
      <t>ダイ</t>
    </rPh>
    <rPh sb="74" eb="75">
      <t>カイ</t>
    </rPh>
    <rPh sb="89" eb="91">
      <t>エンシュウ</t>
    </rPh>
    <rPh sb="93" eb="94">
      <t>ダイ</t>
    </rPh>
    <rPh sb="95" eb="96">
      <t>カイ</t>
    </rPh>
    <rPh sb="129" eb="131">
      <t>ジョウホウ</t>
    </rPh>
    <rPh sb="138" eb="139">
      <t>ダイ</t>
    </rPh>
    <rPh sb="144" eb="145">
      <t>カイ</t>
    </rPh>
    <rPh sb="148" eb="151">
      <t>ヒョウケイサン</t>
    </rPh>
    <rPh sb="158" eb="160">
      <t>ブンセキ</t>
    </rPh>
    <rPh sb="162" eb="163">
      <t>ダイ</t>
    </rPh>
    <rPh sb="164" eb="165">
      <t>カイ</t>
    </rPh>
    <rPh sb="179" eb="181">
      <t>キソ</t>
    </rPh>
    <rPh sb="183" eb="184">
      <t>ダイ</t>
    </rPh>
    <rPh sb="185" eb="186">
      <t>カイ</t>
    </rPh>
    <rPh sb="200" eb="202">
      <t>エンシュウ</t>
    </rPh>
    <rPh sb="204" eb="205">
      <t>ダイ</t>
    </rPh>
    <rPh sb="206" eb="207">
      <t>カイ</t>
    </rPh>
    <rPh sb="239" eb="241">
      <t>ジョウホウ</t>
    </rPh>
    <rPh sb="248" eb="249">
      <t>ダイ</t>
    </rPh>
    <rPh sb="254" eb="255">
      <t>カイ</t>
    </rPh>
    <rPh sb="269" eb="271">
      <t>キソ</t>
    </rPh>
    <rPh sb="273" eb="274">
      <t>ダイ</t>
    </rPh>
    <rPh sb="275" eb="276">
      <t>カイ</t>
    </rPh>
    <rPh sb="290" eb="292">
      <t>エンシュウ</t>
    </rPh>
    <rPh sb="294" eb="295">
      <t>ダイ</t>
    </rPh>
    <rPh sb="296" eb="297">
      <t>カイ</t>
    </rPh>
    <rPh sb="319" eb="321">
      <t>ジョウホウ</t>
    </rPh>
    <rPh sb="328" eb="329">
      <t>ダイ</t>
    </rPh>
    <rPh sb="334" eb="335">
      <t>カイ</t>
    </rPh>
    <rPh sb="349" eb="351">
      <t>キソ</t>
    </rPh>
    <rPh sb="353" eb="354">
      <t>ダイ</t>
    </rPh>
    <rPh sb="355" eb="356">
      <t>カイ</t>
    </rPh>
    <rPh sb="370" eb="372">
      <t>エンシュウ</t>
    </rPh>
    <rPh sb="374" eb="375">
      <t>ダイ</t>
    </rPh>
    <rPh sb="376" eb="377">
      <t>カイ</t>
    </rPh>
    <rPh sb="395" eb="397">
      <t>ジョウホウ</t>
    </rPh>
    <rPh sb="404" eb="405">
      <t>ダイ</t>
    </rPh>
    <rPh sb="410" eb="411">
      <t>カイ</t>
    </rPh>
    <rPh sb="425" eb="427">
      <t>キソ</t>
    </rPh>
    <rPh sb="429" eb="430">
      <t>ダイ</t>
    </rPh>
    <rPh sb="431" eb="432">
      <t>カイ</t>
    </rPh>
    <rPh sb="446" eb="448">
      <t>エンシュウ</t>
    </rPh>
    <rPh sb="450" eb="451">
      <t>ダイ</t>
    </rPh>
    <rPh sb="452" eb="453">
      <t>カイ</t>
    </rPh>
    <rPh sb="490" eb="492">
      <t>ジョウホウ</t>
    </rPh>
    <rPh sb="499" eb="500">
      <t>ダイ</t>
    </rPh>
    <rPh sb="505" eb="506">
      <t>カイ</t>
    </rPh>
    <rPh sb="520" eb="522">
      <t>キソ</t>
    </rPh>
    <rPh sb="524" eb="525">
      <t>ダイ</t>
    </rPh>
    <rPh sb="526" eb="527">
      <t>カイ</t>
    </rPh>
    <rPh sb="541" eb="543">
      <t>エンシュウ</t>
    </rPh>
    <rPh sb="545" eb="546">
      <t>ダイ</t>
    </rPh>
    <rPh sb="547" eb="548">
      <t>カイ</t>
    </rPh>
    <phoneticPr fontId="1"/>
  </si>
  <si>
    <r>
      <t>AI等を活用した新しいビジネスモデル(シェアリングエコノミー、商品のレコメンデーションなど)「情報リテラシー」(第12～14回)、「表計算ツールとデータ分析」(第12回)、「データサイエンス・AI基礎」(第7回)、</t>
    </r>
    <r>
      <rPr>
        <sz val="11"/>
        <rFont val="ＭＳ Ｐゴシック"/>
        <family val="3"/>
        <charset val="128"/>
        <scheme val="minor"/>
      </rPr>
      <t>「デジタルコンテンツ制作」(第</t>
    </r>
    <r>
      <rPr>
        <sz val="11"/>
        <color theme="1"/>
        <rFont val="ＭＳ Ｐゴシック"/>
        <family val="3"/>
        <charset val="128"/>
        <scheme val="minor"/>
      </rPr>
      <t>2～3・8回)、「データサイエンス・AI演習」(第6回)
AI最新技術の活用例(深層生成モデル、敵対的生成ネットワーク、強化学習、転移学習など)「情報リテラシー」(第12～14回)、「データサイエンス・AI基礎」(第7回)、</t>
    </r>
    <r>
      <rPr>
        <sz val="11"/>
        <rFont val="ＭＳ Ｐゴシック"/>
        <family val="3"/>
        <charset val="128"/>
        <scheme val="minor"/>
      </rPr>
      <t>「デジタルコンテンツ制作」(第5・10回)、</t>
    </r>
    <r>
      <rPr>
        <sz val="11"/>
        <color theme="1"/>
        <rFont val="ＭＳ Ｐゴシック"/>
        <family val="3"/>
        <charset val="128"/>
        <scheme val="minor"/>
      </rPr>
      <t>「データサイエンス・AI演習」(第6回)</t>
    </r>
    <rPh sb="2" eb="3">
      <t>ナド</t>
    </rPh>
    <rPh sb="4" eb="6">
      <t>カツヨウ</t>
    </rPh>
    <rPh sb="8" eb="9">
      <t>アタラ</t>
    </rPh>
    <rPh sb="31" eb="33">
      <t>ショウヒン</t>
    </rPh>
    <rPh sb="47" eb="49">
      <t>ジョウホウ</t>
    </rPh>
    <rPh sb="56" eb="57">
      <t>ダイ</t>
    </rPh>
    <rPh sb="62" eb="63">
      <t>カイ</t>
    </rPh>
    <rPh sb="98" eb="100">
      <t>キソ</t>
    </rPh>
    <rPh sb="102" eb="103">
      <t>ダイ</t>
    </rPh>
    <rPh sb="104" eb="105">
      <t>カイ</t>
    </rPh>
    <rPh sb="117" eb="119">
      <t>セイサク</t>
    </rPh>
    <rPh sb="121" eb="122">
      <t>ダイ</t>
    </rPh>
    <rPh sb="127" eb="128">
      <t>カイ</t>
    </rPh>
    <rPh sb="142" eb="144">
      <t>エンシュウ</t>
    </rPh>
    <rPh sb="146" eb="147">
      <t>ダイ</t>
    </rPh>
    <rPh sb="148" eb="149">
      <t>カイ</t>
    </rPh>
    <rPh sb="154" eb="158">
      <t>サイシンギジュツ</t>
    </rPh>
    <rPh sb="159" eb="161">
      <t>カツヨウ</t>
    </rPh>
    <rPh sb="161" eb="162">
      <t>レイ</t>
    </rPh>
    <rPh sb="163" eb="165">
      <t>シンソウ</t>
    </rPh>
    <rPh sb="165" eb="167">
      <t>セイセイ</t>
    </rPh>
    <rPh sb="171" eb="176">
      <t>テキタイテキセイセイ</t>
    </rPh>
    <rPh sb="183" eb="187">
      <t>キョウカガクシュウ</t>
    </rPh>
    <rPh sb="188" eb="192">
      <t>テンイガクシュウ</t>
    </rPh>
    <rPh sb="196" eb="198">
      <t>ジョウホウ</t>
    </rPh>
    <rPh sb="205" eb="206">
      <t>ダイ</t>
    </rPh>
    <rPh sb="211" eb="212">
      <t>カイ</t>
    </rPh>
    <rPh sb="226" eb="228">
      <t>キソ</t>
    </rPh>
    <rPh sb="230" eb="231">
      <t>ダイ</t>
    </rPh>
    <rPh sb="232" eb="233">
      <t>カイ</t>
    </rPh>
    <rPh sb="245" eb="247">
      <t>セイサク</t>
    </rPh>
    <rPh sb="249" eb="250">
      <t>ダイ</t>
    </rPh>
    <rPh sb="254" eb="255">
      <t>カイ</t>
    </rPh>
    <rPh sb="269" eb="271">
      <t>エンシュウ</t>
    </rPh>
    <rPh sb="273" eb="274">
      <t>ダイ</t>
    </rPh>
    <rPh sb="275" eb="276">
      <t>カイ</t>
    </rPh>
    <phoneticPr fontId="1"/>
  </si>
  <si>
    <t>調査データ、実験データ、人の行動ログデータ、機械の稼働ログデータなど「情報リテラシー」(第11～14回)、「表計算ツールとデータ分析」(第12回)、「データサイエンス・AI基礎」(第3回)、「基礎統計学」(第4・8回)、「データサイエンス・AI演習」(第2・6・9回)
1次データ、2次データ、データのメタ化「表計算ツールとデータ分析」(第12・13・14回)、「データサイエンス・AI基礎」(第3回)、「基礎統計学」(第8回)
構造化データ、非構造化データ(文章、画像/動画、音声/音楽など)「表計算ツールとデータ分析」(第12回)、「データサイエンス・AI基礎」(第3回)、「デジタルコンテンツ制作」(第2～14回)、「データサイエンス・AI演習」(第2～5・10～14回)
データ作成(ビッグデータとアノテーション)「表計算ツールとデータ分析」(第13・14回)、「データサイエンス・AI基礎」(第3回)
データのオープン化(オープンデータ)「表計算ツールとデータ分析」第12回)、「データサイエンス・AI基礎」(第3回)</t>
    <rPh sb="0" eb="2">
      <t>チョウサ</t>
    </rPh>
    <rPh sb="6" eb="8">
      <t>ジッケン</t>
    </rPh>
    <rPh sb="12" eb="13">
      <t>ヒト</t>
    </rPh>
    <rPh sb="14" eb="16">
      <t>コウドウ</t>
    </rPh>
    <rPh sb="22" eb="24">
      <t>キカイ</t>
    </rPh>
    <rPh sb="25" eb="27">
      <t>カドウ</t>
    </rPh>
    <rPh sb="35" eb="37">
      <t>ジョウホウ</t>
    </rPh>
    <rPh sb="44" eb="45">
      <t>ダイ</t>
    </rPh>
    <rPh sb="50" eb="51">
      <t>カイ</t>
    </rPh>
    <rPh sb="54" eb="57">
      <t>ヒョウケイサン</t>
    </rPh>
    <rPh sb="64" eb="66">
      <t>ブンセキ</t>
    </rPh>
    <rPh sb="68" eb="69">
      <t>ダイ</t>
    </rPh>
    <rPh sb="71" eb="72">
      <t>カイ</t>
    </rPh>
    <rPh sb="86" eb="88">
      <t>キソ</t>
    </rPh>
    <rPh sb="90" eb="91">
      <t>ダイ</t>
    </rPh>
    <rPh sb="92" eb="93">
      <t>カイ</t>
    </rPh>
    <rPh sb="96" eb="101">
      <t>キソトウケイガク</t>
    </rPh>
    <rPh sb="103" eb="104">
      <t>ダイ</t>
    </rPh>
    <rPh sb="107" eb="108">
      <t>カイ</t>
    </rPh>
    <rPh sb="122" eb="124">
      <t>エンシュウ</t>
    </rPh>
    <rPh sb="126" eb="127">
      <t>ダイ</t>
    </rPh>
    <rPh sb="132" eb="133">
      <t>カイ</t>
    </rPh>
    <rPh sb="137" eb="138">
      <t>ジ</t>
    </rPh>
    <rPh sb="143" eb="144">
      <t>ジ</t>
    </rPh>
    <rPh sb="154" eb="155">
      <t>カ</t>
    </rPh>
    <rPh sb="156" eb="159">
      <t>ヒョウケイサン</t>
    </rPh>
    <rPh sb="166" eb="168">
      <t>ブンセキ</t>
    </rPh>
    <rPh sb="170" eb="171">
      <t>ダイ</t>
    </rPh>
    <rPh sb="179" eb="180">
      <t>カイ</t>
    </rPh>
    <rPh sb="194" eb="196">
      <t>キソ</t>
    </rPh>
    <rPh sb="198" eb="199">
      <t>ダイ</t>
    </rPh>
    <rPh sb="200" eb="201">
      <t>カイ</t>
    </rPh>
    <rPh sb="204" eb="209">
      <t>キソトウケイガク</t>
    </rPh>
    <rPh sb="211" eb="212">
      <t>ダイ</t>
    </rPh>
    <rPh sb="213" eb="214">
      <t>カイ</t>
    </rPh>
    <rPh sb="217" eb="220">
      <t>コウゾウカ</t>
    </rPh>
    <rPh sb="224" eb="225">
      <t>ヒ</t>
    </rPh>
    <rPh sb="225" eb="228">
      <t>コウゾウカ</t>
    </rPh>
    <rPh sb="232" eb="234">
      <t>ブンショウ</t>
    </rPh>
    <rPh sb="235" eb="237">
      <t>ガゾウ</t>
    </rPh>
    <rPh sb="238" eb="240">
      <t>ドウガ</t>
    </rPh>
    <rPh sb="241" eb="243">
      <t>オンセイ</t>
    </rPh>
    <rPh sb="244" eb="246">
      <t>オンガク</t>
    </rPh>
    <rPh sb="250" eb="253">
      <t>ヒョウケイサン</t>
    </rPh>
    <rPh sb="260" eb="262">
      <t>ブンセキ</t>
    </rPh>
    <rPh sb="264" eb="265">
      <t>ダイ</t>
    </rPh>
    <rPh sb="267" eb="268">
      <t>カイ</t>
    </rPh>
    <rPh sb="282" eb="284">
      <t>キソ</t>
    </rPh>
    <rPh sb="286" eb="287">
      <t>ダイ</t>
    </rPh>
    <rPh sb="288" eb="289">
      <t>カイ</t>
    </rPh>
    <rPh sb="301" eb="303">
      <t>セイサク</t>
    </rPh>
    <rPh sb="305" eb="306">
      <t>ダイ</t>
    </rPh>
    <rPh sb="310" eb="311">
      <t>カイ</t>
    </rPh>
    <rPh sb="325" eb="327">
      <t>エンシュウ</t>
    </rPh>
    <rPh sb="329" eb="330">
      <t>ダイ</t>
    </rPh>
    <rPh sb="339" eb="340">
      <t>カイ</t>
    </rPh>
    <rPh sb="346" eb="348">
      <t>サクセイ</t>
    </rPh>
    <rPh sb="365" eb="368">
      <t>ヒョウケイサン</t>
    </rPh>
    <rPh sb="375" eb="377">
      <t>ブンセキ</t>
    </rPh>
    <rPh sb="379" eb="380">
      <t>ダイ</t>
    </rPh>
    <rPh sb="385" eb="386">
      <t>カイ</t>
    </rPh>
    <rPh sb="400" eb="402">
      <t>キソ</t>
    </rPh>
    <rPh sb="404" eb="405">
      <t>ダイ</t>
    </rPh>
    <rPh sb="406" eb="407">
      <t>カイ</t>
    </rPh>
    <rPh sb="418" eb="419">
      <t>カ</t>
    </rPh>
    <rPh sb="429" eb="432">
      <t>ヒョウケイサン</t>
    </rPh>
    <rPh sb="439" eb="441">
      <t>ブンセキ</t>
    </rPh>
    <rPh sb="442" eb="443">
      <t>ダイ</t>
    </rPh>
    <rPh sb="445" eb="446">
      <t>カイ</t>
    </rPh>
    <rPh sb="460" eb="462">
      <t>キソ</t>
    </rPh>
    <rPh sb="464" eb="465">
      <t>ダイ</t>
    </rPh>
    <rPh sb="466" eb="467">
      <t>カイ</t>
    </rPh>
    <phoneticPr fontId="1"/>
  </si>
  <si>
    <t>データ・AI活用領域の広がり「データサイエンス・Ai基礎」(第4回)、「デジタルコンテンツ制作」(第2回)
研究開発、調達、製造、物流、販売、マーケティング、サービスなど「表計算ツールとデータ分析」(第12回)、「データサイエンス・AI基礎」(第4回)、「デジタルコンテンツ制作」(第2・3・8回)
仮説検証、知識発見、原因究明、計画策定、判断支援、活動代替、新規生成など「データサイエンス・AI基礎」(第4回)、「デジタルコンテンツ制作」(第1～15回)</t>
    <rPh sb="6" eb="8">
      <t>カツヨウ</t>
    </rPh>
    <rPh sb="8" eb="10">
      <t>リョウイキ</t>
    </rPh>
    <rPh sb="11" eb="12">
      <t>ヒロ</t>
    </rPh>
    <rPh sb="26" eb="28">
      <t>キソ</t>
    </rPh>
    <rPh sb="30" eb="31">
      <t>ダイ</t>
    </rPh>
    <rPh sb="32" eb="33">
      <t>カイ</t>
    </rPh>
    <rPh sb="45" eb="47">
      <t>セイサク</t>
    </rPh>
    <rPh sb="49" eb="50">
      <t>ダイ</t>
    </rPh>
    <rPh sb="51" eb="52">
      <t>カイ</t>
    </rPh>
    <rPh sb="55" eb="59">
      <t>ケンキュウカイハツ</t>
    </rPh>
    <rPh sb="60" eb="62">
      <t>チョウタツ</t>
    </rPh>
    <rPh sb="63" eb="65">
      <t>セイゾウ</t>
    </rPh>
    <rPh sb="66" eb="68">
      <t>ブツリュウ</t>
    </rPh>
    <rPh sb="69" eb="71">
      <t>ハンバイ</t>
    </rPh>
    <rPh sb="119" eb="121">
      <t>キソ</t>
    </rPh>
    <rPh sb="123" eb="124">
      <t>ダイ</t>
    </rPh>
    <rPh sb="125" eb="126">
      <t>カイ</t>
    </rPh>
    <rPh sb="138" eb="140">
      <t>セイサク</t>
    </rPh>
    <rPh sb="142" eb="143">
      <t>ダイ</t>
    </rPh>
    <rPh sb="148" eb="149">
      <t>カイ</t>
    </rPh>
    <rPh sb="152" eb="156">
      <t>カセツケンショウ</t>
    </rPh>
    <rPh sb="157" eb="161">
      <t>チシキハッケン</t>
    </rPh>
    <rPh sb="162" eb="164">
      <t>ゲンイン</t>
    </rPh>
    <rPh sb="164" eb="166">
      <t>キュウメイ</t>
    </rPh>
    <rPh sb="167" eb="171">
      <t>ケイカクサクテイ</t>
    </rPh>
    <rPh sb="172" eb="176">
      <t>ハンダンシエン</t>
    </rPh>
    <rPh sb="219" eb="221">
      <t>セイサク</t>
    </rPh>
    <rPh sb="223" eb="224">
      <t>ダイ</t>
    </rPh>
    <rPh sb="228" eb="229">
      <t>カイ</t>
    </rPh>
    <phoneticPr fontId="1"/>
  </si>
  <si>
    <r>
      <rPr>
        <sz val="11"/>
        <rFont val="ＭＳ Ｐゴシック"/>
        <family val="3"/>
        <charset val="128"/>
        <scheme val="minor"/>
      </rPr>
      <t>データ解析：予測、グルーピング、パターン発見、最適化、シミュレーション・データ同化など「情報リテラシー」(第11・12回)、「表計算ツールとデータ分析」(第9～14回)、「データサイエンス・AI基礎」(第5回)、「データサイエンス・AI演習」(第・・・回)、「基礎統計学」(第1～15回)</t>
    </r>
    <r>
      <rPr>
        <sz val="11"/>
        <color theme="1"/>
        <rFont val="ＭＳ Ｐゴシック"/>
        <family val="3"/>
        <charset val="128"/>
        <scheme val="minor"/>
      </rPr>
      <t xml:space="preserve">
データ可視化：複合グラフ、2軸グラフ、多次元の可視化、関係性の可視化、地図上の可視化、
挙動・軌跡の可視化、リアルタイム可視化など「表計算ツールとデータ分析」(第5回)、「データサイエンス・AI基礎」(第5回)、「データサイエンス・AI演習」(第2～5・10～14回)
非構造化データ処理：言語処理、画像/動画処理、音声/音楽処理など「データサイエンス・AI基礎」(第5回)、「データサイエンス・AI演習」(第2～5・10～14回)
特化型AIと汎用AI、今のAIで出来ることと出来ないこと、AIとビッグデータ「データサイエンス・AI基礎」(第5回)、「データサイエンス・AI演習」(第6回)
認識技術、ルールベース、自動化技術「データサイエンス・AI基礎」(第5回)、「データサイエンス・AI演習」(第10～14回)</t>
    </r>
    <rPh sb="44" eb="46">
      <t>ジョウホウ</t>
    </rPh>
    <rPh sb="53" eb="54">
      <t>ダイ</t>
    </rPh>
    <rPh sb="59" eb="60">
      <t>カイ</t>
    </rPh>
    <rPh sb="63" eb="66">
      <t>ヒョウケイサン</t>
    </rPh>
    <rPh sb="73" eb="75">
      <t>ブンセキ</t>
    </rPh>
    <rPh sb="77" eb="78">
      <t>ダイ</t>
    </rPh>
    <rPh sb="82" eb="83">
      <t>カイ</t>
    </rPh>
    <rPh sb="97" eb="99">
      <t>キソ</t>
    </rPh>
    <rPh sb="101" eb="102">
      <t>ダイ</t>
    </rPh>
    <rPh sb="103" eb="104">
      <t>カイ</t>
    </rPh>
    <rPh sb="118" eb="120">
      <t>エンシュウ</t>
    </rPh>
    <rPh sb="122" eb="123">
      <t>ダイ</t>
    </rPh>
    <rPh sb="126" eb="127">
      <t>カイ</t>
    </rPh>
    <rPh sb="130" eb="135">
      <t>キソトウケイガク</t>
    </rPh>
    <rPh sb="137" eb="138">
      <t>ダイ</t>
    </rPh>
    <rPh sb="142" eb="143">
      <t>カイ</t>
    </rPh>
    <rPh sb="212" eb="215">
      <t>ヒョウケイサン</t>
    </rPh>
    <rPh sb="222" eb="224">
      <t>ブンセキ</t>
    </rPh>
    <rPh sb="226" eb="227">
      <t>ダイ</t>
    </rPh>
    <rPh sb="228" eb="229">
      <t>カイ</t>
    </rPh>
    <rPh sb="243" eb="245">
      <t>キソ</t>
    </rPh>
    <rPh sb="247" eb="248">
      <t>ダイ</t>
    </rPh>
    <rPh sb="249" eb="250">
      <t>カイ</t>
    </rPh>
    <rPh sb="264" eb="266">
      <t>エンシュウ</t>
    </rPh>
    <rPh sb="268" eb="269">
      <t>ダイ</t>
    </rPh>
    <rPh sb="278" eb="279">
      <t>カイ</t>
    </rPh>
    <rPh sb="326" eb="328">
      <t>キソ</t>
    </rPh>
    <rPh sb="330" eb="331">
      <t>ダイ</t>
    </rPh>
    <rPh sb="332" eb="333">
      <t>カイ</t>
    </rPh>
    <rPh sb="347" eb="349">
      <t>エンシュウ</t>
    </rPh>
    <rPh sb="351" eb="352">
      <t>ダイ</t>
    </rPh>
    <rPh sb="361" eb="362">
      <t>カイ</t>
    </rPh>
    <rPh sb="415" eb="417">
      <t>キソ</t>
    </rPh>
    <rPh sb="419" eb="420">
      <t>ダイ</t>
    </rPh>
    <rPh sb="421" eb="422">
      <t>カイ</t>
    </rPh>
    <rPh sb="436" eb="438">
      <t>エンシュウ</t>
    </rPh>
    <rPh sb="440" eb="441">
      <t>ダイ</t>
    </rPh>
    <rPh sb="442" eb="443">
      <t>カイ</t>
    </rPh>
    <rPh sb="475" eb="477">
      <t>キソ</t>
    </rPh>
    <rPh sb="479" eb="480">
      <t>ダイ</t>
    </rPh>
    <rPh sb="481" eb="482">
      <t>カイ</t>
    </rPh>
    <rPh sb="496" eb="498">
      <t>エンシュウ</t>
    </rPh>
    <rPh sb="500" eb="501">
      <t>ダイ</t>
    </rPh>
    <rPh sb="506" eb="507">
      <t>カイ</t>
    </rPh>
    <phoneticPr fontId="1"/>
  </si>
  <si>
    <r>
      <t>データサイエンスのサイクル（課題抽出と定式化、データの取得・管理・加工、探索的データ解析、データ解析と推論、結果の共有・伝達、課題解決に向けた提案）「表計算ツールとデータ分析」(第9～11回)、「データサイエンス・AI基礎」(第6回)、「社会調査法」(第1～15回)</t>
    </r>
    <r>
      <rPr>
        <sz val="11"/>
        <rFont val="ＭＳ Ｐゴシック"/>
        <family val="3"/>
        <charset val="128"/>
        <scheme val="minor"/>
      </rPr>
      <t xml:space="preserve">
流通、製造、金融、サービス、インフラ、公共、ヘルスケア等におけるデータ・AI利活用事例紹介「データサイエンス・AI基礎」(第6回)、「社会調査法」(第2・3回)</t>
    </r>
    <rPh sb="109" eb="111">
      <t>キソ</t>
    </rPh>
    <rPh sb="113" eb="114">
      <t>ダイ</t>
    </rPh>
    <rPh sb="115" eb="116">
      <t>カイ</t>
    </rPh>
    <rPh sb="119" eb="124">
      <t>シャカイチョウサホウ</t>
    </rPh>
    <rPh sb="126" eb="127">
      <t>ダイ</t>
    </rPh>
    <rPh sb="131" eb="132">
      <t>カイ</t>
    </rPh>
    <rPh sb="192" eb="194">
      <t>キソ</t>
    </rPh>
    <rPh sb="196" eb="197">
      <t>ダイ</t>
    </rPh>
    <rPh sb="198" eb="199">
      <t>カイ</t>
    </rPh>
    <rPh sb="202" eb="207">
      <t>シャカイチョウサホウ</t>
    </rPh>
    <rPh sb="209" eb="210">
      <t>ダイ</t>
    </rPh>
    <rPh sb="213" eb="214">
      <t>カイ</t>
    </rPh>
    <phoneticPr fontId="1"/>
  </si>
  <si>
    <t>ELSI（Ethical, Legal and Social Issues）「情報リテラシー」(第12～14回)、「データサイエンス・AI基礎」(第13回)、「データサイエンス・AI演習」(第6回)、「社会調査法」(第2・3回)
個人情報保護、EU一般データ保護規則(GDPR)、忘れられる権利、オプトアウト）「情報リテラシー」(第12～14回)、「データサイエンス・AI基礎」(第13回)、「データサイエンス・AI演習」(第6回)、「社会調査法」(第14回)
データ倫理：データのねつ造、改ざん、盗用、プライバシー保護「情報リテラシー」(第12～14回)、「データサイエンス・AI基礎」(第13回)、「データサイエンス・AI演習」(第6回)、「社会調査法」(第14回)
AI社会原則（公平性、説明責任、透明性、人間中心の判断）「情報リテラシー」(第12～14回)、「データサイエンス・AI基礎」(第13回)、「データサイエンス・AI演習」(第6回)、「社会調査法」(第14回)
データバイアス、アルゴリズムバイアス）「情報リテラシー」(第12～14回)、「データサイエンス・AI基礎」(第13回)、「データサイエンス・AI演習」(第6・15回)、「社会調査法」(第14回)
AIサービスの責任論「情報リテラシー」(第12～14回)、「データサイエンス・AI基礎」(第13回)、「データサイエンス・AI演習」(第6・15回)、「社会調査法」(第14回)
データ・AI活用における負の事例紹介「情報リテラシー」(第12～14回)、「データサイエンス・AI基礎」(第13回)、「データサイエンス・AI演習」(第6・15回)、「社会調査法」(第14回)</t>
    <rPh sb="39" eb="41">
      <t>ジョウホウ</t>
    </rPh>
    <rPh sb="48" eb="49">
      <t>ダイ</t>
    </rPh>
    <rPh sb="54" eb="55">
      <t>カイ</t>
    </rPh>
    <rPh sb="69" eb="71">
      <t>キソ</t>
    </rPh>
    <rPh sb="73" eb="74">
      <t>ダイ</t>
    </rPh>
    <rPh sb="76" eb="77">
      <t>カイ</t>
    </rPh>
    <rPh sb="91" eb="93">
      <t>エンシュウ</t>
    </rPh>
    <rPh sb="95" eb="96">
      <t>ダイ</t>
    </rPh>
    <rPh sb="97" eb="98">
      <t>カイ</t>
    </rPh>
    <rPh sb="101" eb="106">
      <t>シャカイチョウサホウ</t>
    </rPh>
    <rPh sb="108" eb="109">
      <t>ダイ</t>
    </rPh>
    <rPh sb="112" eb="113">
      <t>カイ</t>
    </rPh>
    <phoneticPr fontId="1"/>
  </si>
  <si>
    <t>情報セキュリティ：機密性、完全性、可用性「情報リテラシー」(第13回)、「データサイエンス・AI基礎」(第13,14回)、「データサイエンス・AI演習」(第6・15回)、「社会調査法」(第14回)
匿名加工情報、暗号化、パスワード、悪意ある情報搾取「情報リテラシー」(第13回)、「データサイエンス・AI基礎」(第13,14回)、「データサイエンス・AI演習」(第6・15回)、「社会調査法」(第14回)
情報漏洩等によるセキュリティ事故の事例紹介「情報リテラシー」(第13回)、「データサイエンス・AI基礎」(第13,14回)、「データサイエンス・AI演習」(第6・15回)、「社会調査法」(第14回)</t>
    <rPh sb="0" eb="2">
      <t>ジョウホウ</t>
    </rPh>
    <rPh sb="9" eb="12">
      <t>キミツセイ</t>
    </rPh>
    <rPh sb="13" eb="16">
      <t>カンゼンセイ</t>
    </rPh>
    <rPh sb="17" eb="20">
      <t>カヨウセイ</t>
    </rPh>
    <rPh sb="21" eb="23">
      <t>ジョウホウ</t>
    </rPh>
    <rPh sb="30" eb="31">
      <t>ダイ</t>
    </rPh>
    <rPh sb="33" eb="34">
      <t>カイ</t>
    </rPh>
    <rPh sb="48" eb="50">
      <t>キソ</t>
    </rPh>
    <rPh sb="52" eb="53">
      <t>ダイ</t>
    </rPh>
    <rPh sb="58" eb="59">
      <t>カイ</t>
    </rPh>
    <rPh sb="73" eb="75">
      <t>エンシュウ</t>
    </rPh>
    <rPh sb="77" eb="78">
      <t>ダイ</t>
    </rPh>
    <rPh sb="82" eb="83">
      <t>カイ</t>
    </rPh>
    <rPh sb="86" eb="91">
      <t>シャカイチョウサホウ</t>
    </rPh>
    <rPh sb="93" eb="94">
      <t>ダイ</t>
    </rPh>
    <rPh sb="96" eb="97">
      <t>カイ</t>
    </rPh>
    <rPh sb="100" eb="106">
      <t>トクメイカコウジョウホウ</t>
    </rPh>
    <rPh sb="107" eb="110">
      <t>アンゴウカ</t>
    </rPh>
    <rPh sb="117" eb="119">
      <t>アクイ</t>
    </rPh>
    <rPh sb="121" eb="125">
      <t>ジョウホウサクシュ</t>
    </rPh>
    <rPh sb="126" eb="128">
      <t>ジョウホウ</t>
    </rPh>
    <rPh sb="135" eb="136">
      <t>ダイ</t>
    </rPh>
    <rPh sb="138" eb="139">
      <t>カイ</t>
    </rPh>
    <rPh sb="153" eb="155">
      <t>キソ</t>
    </rPh>
    <rPh sb="157" eb="158">
      <t>ダイ</t>
    </rPh>
    <rPh sb="163" eb="164">
      <t>カイ</t>
    </rPh>
    <rPh sb="178" eb="180">
      <t>エンシュウ</t>
    </rPh>
    <rPh sb="182" eb="183">
      <t>ダイ</t>
    </rPh>
    <rPh sb="187" eb="188">
      <t>カイ</t>
    </rPh>
    <rPh sb="191" eb="196">
      <t>シャカイチョウサホウ</t>
    </rPh>
    <rPh sb="198" eb="199">
      <t>ダイ</t>
    </rPh>
    <rPh sb="201" eb="202">
      <t>カイ</t>
    </rPh>
    <rPh sb="205" eb="209">
      <t>ジョウホウロウエイ</t>
    </rPh>
    <rPh sb="209" eb="210">
      <t>ナド</t>
    </rPh>
    <rPh sb="219" eb="221">
      <t>ジコ</t>
    </rPh>
    <rPh sb="222" eb="226">
      <t>ジレイショウカイ</t>
    </rPh>
    <rPh sb="227" eb="229">
      <t>ジョウホウ</t>
    </rPh>
    <rPh sb="236" eb="237">
      <t>ダイ</t>
    </rPh>
    <rPh sb="239" eb="240">
      <t>カイ</t>
    </rPh>
    <rPh sb="254" eb="256">
      <t>キソ</t>
    </rPh>
    <rPh sb="258" eb="259">
      <t>ダイ</t>
    </rPh>
    <rPh sb="264" eb="265">
      <t>カイ</t>
    </rPh>
    <rPh sb="279" eb="281">
      <t>エンシュウ</t>
    </rPh>
    <rPh sb="283" eb="284">
      <t>ダイ</t>
    </rPh>
    <rPh sb="288" eb="289">
      <t>カイ</t>
    </rPh>
    <rPh sb="292" eb="297">
      <t>シャカイチョウサホウ</t>
    </rPh>
    <rPh sb="299" eb="300">
      <t>ダイ</t>
    </rPh>
    <rPh sb="302" eb="303">
      <t>カイ</t>
    </rPh>
    <phoneticPr fontId="1"/>
  </si>
  <si>
    <t>データの種類(量的変数、質的変数)「データサイエンス・AI基礎」(第8回)、「プログラミング」(第2・11回)、「基礎統計学」(第14回)、「基礎統計学」(第1～4回)
データの分布(ヒストグラム)と代表値(平均値、中央値、最頻値)「表計算ツールとデータ分析」(第8回)、「データサイエンス・AI基礎」(第1～15回)、「基礎統計学」(第6回)
代表値の性質の違い「データサイエンス・AI基礎」(第8回)、「基礎統計学」(第4～7回)
データのばらつき(分散、標準偏差、偏差値)「データサイエンス・AI基礎」(第8回)、「基礎統計学」(第3・6回)
観測データに含まれる誤差の扱い「データサイエンス・AI基礎」(第8回)、「基礎統計学」(第4～7回)
打ち切りや脱落を含むデータ、層別の必要なデータ「データサイエンス・AI基礎」(第8回)、「基礎統計学」(第4～7回)
相関と因果(相関係数、疑似相関、交絡)「表計算ツールとデータ分析」(第9回)、「データサイエンス・AI基礎」(第8回)、「基礎統計学」(第10回)
母集団と標本抽出「表計算ツールとデータ分析」(第7回)、「データサイエンス・AI基礎」(第8回)、「データサインす・AI演習」(第2回)、「基礎統計学」(第8回)、「社会調査法」(第1～14回)
クロス集計表、分割表、相関係数行列、散布図行列「表計算ツールとデータ分析」(第8～10回)、「データサイエンス・AI基礎」(第8回)、「基礎統計学」(第9・10回)
統計情報の正しい理解「データサイエンス・AI基礎」(第8回)、「基礎統計学」(第14回)、「社会調査法」(第1回)</t>
    <rPh sb="82" eb="83">
      <t>カイ</t>
    </rPh>
    <rPh sb="217" eb="218">
      <t>カイ</t>
    </rPh>
    <rPh sb="264" eb="266">
      <t>キソ</t>
    </rPh>
    <rPh sb="266" eb="269">
      <t>トウケイガク</t>
    </rPh>
    <rPh sb="271" eb="272">
      <t>ダイ</t>
    </rPh>
    <rPh sb="275" eb="276">
      <t>カイ</t>
    </rPh>
    <rPh sb="316" eb="318">
      <t>キソ</t>
    </rPh>
    <rPh sb="318" eb="321">
      <t>トウケイガク</t>
    </rPh>
    <rPh sb="323" eb="324">
      <t>ダイ</t>
    </rPh>
    <rPh sb="327" eb="328">
      <t>カイ</t>
    </rPh>
    <rPh sb="376" eb="378">
      <t>キソ</t>
    </rPh>
    <rPh sb="378" eb="381">
      <t>トウケイガク</t>
    </rPh>
    <rPh sb="383" eb="384">
      <t>ダイ</t>
    </rPh>
    <rPh sb="387" eb="388">
      <t>カイ</t>
    </rPh>
    <rPh sb="549" eb="551">
      <t>シャカイ</t>
    </rPh>
    <rPh sb="551" eb="553">
      <t>チョウサ</t>
    </rPh>
    <rPh sb="553" eb="554">
      <t>ホウ</t>
    </rPh>
    <rPh sb="556" eb="557">
      <t>ダイ</t>
    </rPh>
    <rPh sb="561" eb="562">
      <t>カイ</t>
    </rPh>
    <rPh sb="695" eb="697">
      <t>シャカイ</t>
    </rPh>
    <rPh sb="697" eb="699">
      <t>チョウサ</t>
    </rPh>
    <rPh sb="699" eb="700">
      <t>ホウ</t>
    </rPh>
    <rPh sb="702" eb="703">
      <t>ダイ</t>
    </rPh>
    <rPh sb="704" eb="705">
      <t>カイ</t>
    </rPh>
    <phoneticPr fontId="1"/>
  </si>
  <si>
    <t>データ表現（棒グラフ、折れ線グラフ、散布図、ヒートマップ）「表計算ツールとデータ分析」(第5回)、「データサイエンス・AI基礎」(第9回)、「データサイエンス・AI演習」（第5～12回）、「基礎統計学」(第5～14回)、「社会調査法」(第10～12回)
データの図表表現(チャート化)「表計算ツールとデータ分析」(第5回)、「データサイエンス・AI基礎」(第9回)、「基礎統計学」(第5～14回)、「社会調査法」(第13回)
データの比較「表計算ツールとデータ分析」(第13・14回)、「データサイエンス・AI基礎」(第9回)、「データサイエンス・AI演習」（第5～12回）、「プログラミング」（第10～14回）、「基礎統計学」(第1～15回)、「社会調査法」(第13回)
不適切なグラフ表現「表計算ツールとデータ分析」(第13・14回)、「データサイエンス・AI基礎」(第9回)、「基礎統計学」(第13回)
優れた可視化事例の紹介「表計算ツールとデータ分析」(第13・14回)、「データサイエンス・AI基礎」(第9回)、「基礎統計学」(第13回)</t>
    <rPh sb="3" eb="5">
      <t>ヒョウゲン</t>
    </rPh>
    <rPh sb="6" eb="7">
      <t>ボウ</t>
    </rPh>
    <rPh sb="11" eb="12">
      <t>オ</t>
    </rPh>
    <rPh sb="13" eb="14">
      <t>セン</t>
    </rPh>
    <rPh sb="18" eb="21">
      <t>サンプズ</t>
    </rPh>
    <rPh sb="30" eb="33">
      <t>ヒョウケイサン</t>
    </rPh>
    <rPh sb="40" eb="42">
      <t>ブンセキ</t>
    </rPh>
    <rPh sb="44" eb="45">
      <t>ダイ</t>
    </rPh>
    <rPh sb="46" eb="47">
      <t>カイ</t>
    </rPh>
    <rPh sb="61" eb="63">
      <t>キソ</t>
    </rPh>
    <rPh sb="65" eb="66">
      <t>ダイ</t>
    </rPh>
    <rPh sb="67" eb="68">
      <t>カイ</t>
    </rPh>
    <rPh sb="82" eb="84">
      <t>エンシュウ</t>
    </rPh>
    <rPh sb="86" eb="87">
      <t>ダイ</t>
    </rPh>
    <rPh sb="91" eb="92">
      <t>カイ</t>
    </rPh>
    <rPh sb="95" eb="100">
      <t>キソトウケイガク</t>
    </rPh>
    <rPh sb="102" eb="103">
      <t>ダイ</t>
    </rPh>
    <rPh sb="107" eb="108">
      <t>カイ</t>
    </rPh>
    <rPh sb="111" eb="116">
      <t>シャカイチョウサホウ</t>
    </rPh>
    <rPh sb="118" eb="119">
      <t>ダイ</t>
    </rPh>
    <rPh sb="124" eb="125">
      <t>カイ</t>
    </rPh>
    <rPh sb="132" eb="136">
      <t>ズヒョウヒョウゲン</t>
    </rPh>
    <rPh sb="141" eb="142">
      <t>カ</t>
    </rPh>
    <rPh sb="144" eb="147">
      <t>ヒョウケイサン</t>
    </rPh>
    <rPh sb="154" eb="156">
      <t>ブンセキ</t>
    </rPh>
    <rPh sb="158" eb="159">
      <t>ダイ</t>
    </rPh>
    <rPh sb="160" eb="161">
      <t>カイ</t>
    </rPh>
    <rPh sb="175" eb="177">
      <t>キソ</t>
    </rPh>
    <rPh sb="179" eb="180">
      <t>ダイ</t>
    </rPh>
    <rPh sb="181" eb="182">
      <t>カイ</t>
    </rPh>
    <rPh sb="185" eb="190">
      <t>キソトウケイガク</t>
    </rPh>
    <rPh sb="192" eb="193">
      <t>ダイ</t>
    </rPh>
    <rPh sb="197" eb="198">
      <t>カイ</t>
    </rPh>
    <rPh sb="201" eb="206">
      <t>シャカイチョウサホウ</t>
    </rPh>
    <rPh sb="208" eb="209">
      <t>ダイ</t>
    </rPh>
    <rPh sb="211" eb="212">
      <t>カイ</t>
    </rPh>
    <rPh sb="219" eb="221">
      <t>ヒカク</t>
    </rPh>
    <rPh sb="257" eb="259">
      <t>キソ</t>
    </rPh>
    <rPh sb="261" eb="262">
      <t>ダイ</t>
    </rPh>
    <rPh sb="263" eb="264">
      <t>カイ</t>
    </rPh>
    <rPh sb="300" eb="301">
      <t>ダイ</t>
    </rPh>
    <rPh sb="306" eb="307">
      <t>カイ</t>
    </rPh>
    <rPh sb="310" eb="315">
      <t>キソトウケイガク</t>
    </rPh>
    <rPh sb="317" eb="318">
      <t>ダイ</t>
    </rPh>
    <rPh sb="322" eb="323">
      <t>カイ</t>
    </rPh>
    <rPh sb="326" eb="331">
      <t>シャカイチョウサホウ</t>
    </rPh>
    <rPh sb="333" eb="334">
      <t>ダイ</t>
    </rPh>
    <rPh sb="336" eb="337">
      <t>カイ</t>
    </rPh>
    <rPh sb="340" eb="343">
      <t>フテキセツ</t>
    </rPh>
    <rPh sb="347" eb="349">
      <t>ヒョウゲン</t>
    </rPh>
    <rPh sb="385" eb="387">
      <t>キソ</t>
    </rPh>
    <rPh sb="389" eb="390">
      <t>ダイ</t>
    </rPh>
    <rPh sb="391" eb="392">
      <t>カイ</t>
    </rPh>
    <rPh sb="395" eb="400">
      <t>キソトウケイガク</t>
    </rPh>
    <rPh sb="402" eb="403">
      <t>ダイ</t>
    </rPh>
    <rPh sb="405" eb="406">
      <t>カイ</t>
    </rPh>
    <rPh sb="409" eb="410">
      <t>スグ</t>
    </rPh>
    <rPh sb="412" eb="414">
      <t>カシ</t>
    </rPh>
    <rPh sb="414" eb="415">
      <t>カ</t>
    </rPh>
    <rPh sb="415" eb="417">
      <t>ジレイ</t>
    </rPh>
    <rPh sb="418" eb="420">
      <t>ショウカイ</t>
    </rPh>
    <rPh sb="456" eb="458">
      <t>キソ</t>
    </rPh>
    <rPh sb="460" eb="461">
      <t>ダイ</t>
    </rPh>
    <rPh sb="462" eb="463">
      <t>カイ</t>
    </rPh>
    <rPh sb="466" eb="471">
      <t>キソトウケイガク</t>
    </rPh>
    <rPh sb="473" eb="474">
      <t>ダイ</t>
    </rPh>
    <rPh sb="476" eb="477">
      <t>カイ</t>
    </rPh>
    <phoneticPr fontId="1"/>
  </si>
  <si>
    <t>データの集計（和、平均）「表計算ツールとデータ分析」(第2回)、「データサイエンス・AI基礎」(第10回)、「データサイエンス・AI演習」（第2～5回）、「基礎統計学」(第6・8回)、「社会調査法」(第10回)
データの並び替え、ランキング「表計算ツールとデータ分析」(第6回)、「データサイエンス・AI基礎」(第10回)、「データサイエンス・AI演習」（第2～5回）、「基礎統計学」(第4～12回)
データ解析ツール（スプレッドシート）「表計算ツールとデータ分析」（第1～11回）、「データサイエンス・AI基礎」(第10回)、「プログラミング」（第10～14回）、「基礎統計学」(第10～12回)
表形式のデータ(csv)「表計算ツールとデータ分析」(第1～11回)、「データサイエンス・AI基礎」(第10回)、「基礎統計学」(第10～12回)</t>
    <rPh sb="4" eb="6">
      <t>シュウケイ</t>
    </rPh>
    <rPh sb="7" eb="8">
      <t>ワ</t>
    </rPh>
    <rPh sb="9" eb="11">
      <t>ヘイキン</t>
    </rPh>
    <rPh sb="13" eb="16">
      <t>ヒョウケイサン</t>
    </rPh>
    <rPh sb="23" eb="25">
      <t>ブンセキ</t>
    </rPh>
    <rPh sb="27" eb="28">
      <t>ダイ</t>
    </rPh>
    <rPh sb="29" eb="30">
      <t>カイ</t>
    </rPh>
    <rPh sb="44" eb="46">
      <t>キソ</t>
    </rPh>
    <rPh sb="48" eb="49">
      <t>ダイ</t>
    </rPh>
    <rPh sb="51" eb="52">
      <t>カイ</t>
    </rPh>
    <rPh sb="78" eb="83">
      <t>キソトウケイガク</t>
    </rPh>
    <rPh sb="85" eb="86">
      <t>ダイ</t>
    </rPh>
    <rPh sb="89" eb="90">
      <t>カイ</t>
    </rPh>
    <rPh sb="93" eb="98">
      <t>シャカイチョウサホウ</t>
    </rPh>
    <rPh sb="100" eb="101">
      <t>ダイ</t>
    </rPh>
    <rPh sb="103" eb="104">
      <t>カイ</t>
    </rPh>
    <rPh sb="111" eb="112">
      <t>ナラ</t>
    </rPh>
    <rPh sb="113" eb="114">
      <t>カ</t>
    </rPh>
    <rPh sb="122" eb="125">
      <t>ヒョウケイサン</t>
    </rPh>
    <rPh sb="132" eb="134">
      <t>ブンセキ</t>
    </rPh>
    <rPh sb="136" eb="137">
      <t>ダイ</t>
    </rPh>
    <rPh sb="138" eb="139">
      <t>カイ</t>
    </rPh>
    <rPh sb="153" eb="155">
      <t>キソ</t>
    </rPh>
    <rPh sb="157" eb="158">
      <t>ダイ</t>
    </rPh>
    <rPh sb="160" eb="161">
      <t>カイ</t>
    </rPh>
    <rPh sb="187" eb="192">
      <t>キソトウケイガク</t>
    </rPh>
    <rPh sb="194" eb="195">
      <t>ダイ</t>
    </rPh>
    <rPh sb="199" eb="200">
      <t>カイ</t>
    </rPh>
    <rPh sb="206" eb="208">
      <t>カイセキ</t>
    </rPh>
    <rPh sb="222" eb="225">
      <t>ヒョウケイサン</t>
    </rPh>
    <rPh sb="232" eb="234">
      <t>ブンセキ</t>
    </rPh>
    <rPh sb="236" eb="237">
      <t>ダイ</t>
    </rPh>
    <rPh sb="241" eb="242">
      <t>カイ</t>
    </rPh>
    <rPh sb="256" eb="258">
      <t>キソ</t>
    </rPh>
    <rPh sb="260" eb="261">
      <t>ダイ</t>
    </rPh>
    <rPh sb="263" eb="264">
      <t>カイ</t>
    </rPh>
    <rPh sb="276" eb="277">
      <t>ダイ</t>
    </rPh>
    <rPh sb="282" eb="283">
      <t>カイ</t>
    </rPh>
    <rPh sb="286" eb="291">
      <t>キソトウケイガク</t>
    </rPh>
    <rPh sb="293" eb="294">
      <t>ダイ</t>
    </rPh>
    <rPh sb="299" eb="300">
      <t>カイ</t>
    </rPh>
    <rPh sb="303" eb="306">
      <t>ヒョウケイシキ</t>
    </rPh>
    <rPh sb="316" eb="319">
      <t>ヒョウケイサン</t>
    </rPh>
    <rPh sb="326" eb="328">
      <t>ブンセキ</t>
    </rPh>
    <rPh sb="330" eb="331">
      <t>ダイ</t>
    </rPh>
    <rPh sb="335" eb="336">
      <t>カイ</t>
    </rPh>
    <rPh sb="350" eb="352">
      <t>キソ</t>
    </rPh>
    <rPh sb="354" eb="355">
      <t>ダイ</t>
    </rPh>
    <rPh sb="357" eb="358">
      <t>カイ</t>
    </rPh>
    <rPh sb="361" eb="366">
      <t>キソトウケイガク</t>
    </rPh>
    <rPh sb="368" eb="369">
      <t>ダイ</t>
    </rPh>
    <rPh sb="374" eb="375">
      <t>カイ</t>
    </rPh>
    <phoneticPr fontId="1"/>
  </si>
  <si>
    <t>下記データサイエンス教育プログラム科目から、必修科目の3科目6単位、選択必修科目の中から3科目6単位以上、合計6科目12単位以上を取得すること。
必修科目：情報リテラシー(または情報処理I※)、表計算ツールとデータ分析(または情報処理II※)、データサイエンス・ＡＩ基礎
選択必修科目：プログラミング(または情報処理IV※)、デジタルコンテンツ制作(または情報処理III※)、データサイエンス・AI演習、基礎統計学、社会調査法
※データサイエンス教育プログラムは、令和5年度から開始しているが、令和4年度以前の入学者にも※の科目名については読み替えて履修を認定する。</t>
    <phoneticPr fontId="1"/>
  </si>
  <si>
    <t>情報リテラシー</t>
    <rPh sb="0" eb="2">
      <t>ジョウホウ</t>
    </rPh>
    <phoneticPr fontId="1"/>
  </si>
  <si>
    <t>表計算ツールとデータ分析</t>
    <rPh sb="0" eb="3">
      <t>ヒョウケイサン</t>
    </rPh>
    <rPh sb="10" eb="12">
      <t>ブンセキ</t>
    </rPh>
    <phoneticPr fontId="1"/>
  </si>
  <si>
    <t>データサイエンス・ＡＩ基礎</t>
    <rPh sb="11" eb="13">
      <t>キソ</t>
    </rPh>
    <phoneticPr fontId="1"/>
  </si>
  <si>
    <t>デジタルコンテンツ制作</t>
    <rPh sb="9" eb="11">
      <t>セイサク</t>
    </rPh>
    <phoneticPr fontId="1"/>
  </si>
  <si>
    <t>データサイエンス・ＡＩ演習</t>
    <rPh sb="11" eb="13">
      <t>エンシュウ</t>
    </rPh>
    <phoneticPr fontId="1"/>
  </si>
  <si>
    <t>基礎統計学</t>
    <rPh sb="0" eb="5">
      <t>キソトウケイガク</t>
    </rPh>
    <phoneticPr fontId="1"/>
  </si>
  <si>
    <t>社会調査法</t>
    <rPh sb="0" eb="2">
      <t>シャカイ</t>
    </rPh>
    <rPh sb="2" eb="4">
      <t>チョウサ</t>
    </rPh>
    <rPh sb="4" eb="5">
      <t>ホウ</t>
    </rPh>
    <phoneticPr fontId="1"/>
  </si>
  <si>
    <t>プログラミング</t>
    <phoneticPr fontId="1"/>
  </si>
  <si>
    <t>社会調査法</t>
    <rPh sb="0" eb="4">
      <t>シャカイチョウサ</t>
    </rPh>
    <rPh sb="4" eb="5">
      <t>ホウ</t>
    </rPh>
    <phoneticPr fontId="1"/>
  </si>
  <si>
    <t>データサイエンスを学ぶことの楽しさを知り、理解を深め、使いこなすことのできる力を育成する。情報学や統計学をもとに、その融合領域における学びで、実践を交えながらデータを読み解き、分析する手法を学び、様々な分野においてデータ活用とAIの利活用の視点をもてるようになることを目標とする。</t>
    <phoneticPr fontId="1"/>
  </si>
  <si>
    <t>令和５年度より、本校の全学生が参加可能なプログラムとして、「データサイエンス教育プログラム」制度を導入し、修了条件を満たした学生に対して「データサイエンス教育プログラム修了証」を発行することにより、データサイエンス教育プログラムへの参加の動機付けを行うとともに、全学生に対するプログラムの周知のための「履修ガイダンス」を実施する。
また、特別授業として、全学生が参加可能な形式の産学連携による「プログラミングワークショップ」や「AIワークショップ」を実施し、本プログラムへの周知と関心を上げる取り組みを行う。</t>
    <phoneticPr fontId="1"/>
  </si>
  <si>
    <t>「データサイエンス教育プログラム」は、本校の全学生に対して提供している「情報技術科目群」と連動したプログラムとして位置づけられている。また、多様化するキャリアデザインに適合するように、必修科目と選択科目との組み合わせによって開講している。
また、パソコン等を利活用した少人数教育を実現するために、同一の内容の授業科目を複数開講し、希望する学生には全員が履修できる体制と整えている。具体的には、必修科目である「情報リテラシー」と「表計算ツールとデータ分析」は、１０の授業を同一内容で開講している。
また、選択科目としては、「データサイエンス・AI演習」「プログラミング」「基礎統計学」「社会調査法」等の５科目から３科目を選択することができるようにしている。</t>
    <phoneticPr fontId="1"/>
  </si>
  <si>
    <t>履修登録ガイダンスにおいては、専門のガイダンスとして、オンデマンド動画形式で、「データサイエンス教育プログラム」の主旨と意義及びその授業内容を、全学生が閲覧できるように大学内公式サイトで展開している。
また、全学生に配布する「学生便覧」に、「データサイエンス教育プログラム」の新設のお知らせページを特集し、同時に、情報サポートセンターのコーナーに、本プログラムのパンフレットとポスターを作成・設置し、周知を図っている。
さらに、さらに「新入生ガイダンス」の履修動画で説明するとともに、模擬授業として、「データサイエンス・AIの未来」の授業を開講し、本プログラムを体験する機会を提供している。</t>
    <rPh sb="228" eb="230">
      <t>リシュウ</t>
    </rPh>
    <rPh sb="230" eb="232">
      <t>ドウガ</t>
    </rPh>
    <phoneticPr fontId="1"/>
  </si>
  <si>
    <t>「データサイエンス教育プログラム」の授業の第１回で、本プログラムのオリエンテーションを実施している。特に、「データサイエンス・AI基礎」の授業においては、履修希望の学生及び履修登録をした学生に対して、授業外でのオフィスアワーを設けて、質問に応じる取り組みをしている。
また、情報サポートセンターには、学生からの質問やお問い合わせにお答えできるよう、情報科目司書が常設されており、本プログラムの履修・修得のサポートを実施している。</t>
    <phoneticPr fontId="1"/>
  </si>
  <si>
    <t>「データサイエンス教育プログラム」の専任教員が、授業時間外のオフィスアワー及びメール窓口を設けて、随時、学習指導・質問を受け付けている。また、本プログラムは、すべて、大学内のLMSを利用しており、そこからも、質問を受け付けて、確認・回答ができる体制で取り組んでいる。同時に、常設されている情報サポートセンターでも、随時、情報科目司書が、質問を受け付けることができる体制を整えている。</t>
    <phoneticPr fontId="1"/>
  </si>
  <si>
    <t>担当教員が異なっても授業水準が維持できるよう、主要科目においては、教材とツールの標準化を進める。特に、生成AIを利活用して演習などは、今後、さらなる進化が考えられるため、基礎的知識については標準化を図り、同時に、応用的スキルについては、ハンズオン教材を体系的にライブラリー化して、学生が柔軟に選択し利活用できる環境も整備していく。</t>
    <phoneticPr fontId="1"/>
  </si>
  <si>
    <t>データサイエンス・AIが身近なところですでに活用されている事例の調査から、データサイエンス・AIを学ぶことに楽しさを知るきっかけをつくりだし、AIによる新しいビジネスモデルの創出をはじめとする社会に新たに価値を考えるために、データ分析に基づく「アイデア・企画」のつくり方を盛り込んだ授業を検討し、データサイエンス・AIを学ぶことの意義をより深めていくよう計画をしている。</t>
    <phoneticPr fontId="1"/>
  </si>
  <si>
    <t>特別授業として、令和５年度には、IP企業とのコラボレーションにより「プログラミングワークショップ」を実施した。その企業からは、データサイエンス・AIの基礎的知識を学ぶこととともに、そのデータ分析から、新しい価値をつくる人材を育ててほしいとの要望もあった。これに応じるために、本学では、本プログラム以外でも特色ある授業（例：有識故実や香道等の日本伝統文化、キャリアデザインのためのフィールドワーク調査を行うインデペンデントスタディ、韓国の学生とのグループによる調査分析等）等と、今後連動して、データサイエンス・ＡＩのスキルを活用し、社会に新しい価値を考えることを、授業内容に盛り込んだ特別授業の実施等を検討していく。</t>
    <rPh sb="235" eb="236">
      <t>トウ</t>
    </rPh>
    <rPh sb="238" eb="240">
      <t>コンゴ</t>
    </rPh>
    <phoneticPr fontId="1"/>
  </si>
  <si>
    <t>本プログラムは、令和５年度からの実施のため、修了生の企業等での活躍状況はまだ調査できていない。ただし、本プログラムを修了した４年生の進路は、「大手ICT企業」「法律事務所」「大学院」「中学校教員」等に進学している。</t>
    <rPh sb="71" eb="73">
      <t>オオテ</t>
    </rPh>
    <rPh sb="76" eb="78">
      <t>キギョウ</t>
    </rPh>
    <rPh sb="80" eb="82">
      <t>ホウリツ</t>
    </rPh>
    <rPh sb="82" eb="85">
      <t>ジムショ</t>
    </rPh>
    <rPh sb="87" eb="90">
      <t>ダイガクイン</t>
    </rPh>
    <phoneticPr fontId="1"/>
  </si>
  <si>
    <t>本プログラムへの履修への周知はもちろんであるが、「データサイエンス・ＡＩが、今後の学生生活だけなく、将来の社会での活動において、いかに重要な学びであるか」を、学生に理解していただくようなメッセージを、大学公式サイトで、継続的に伝えるように取り組んでいる。また、履修ガイダンス時のオンデマンド映像や、ポスター、パンフレット等での周知も継続的に行っている。また、データサイエンス教育プログラムの紹介ガイダンス映像の１年生の閲覧率は１００％を実現している。</t>
    <rPh sb="187" eb="189">
      <t>キョウイク</t>
    </rPh>
    <phoneticPr fontId="1"/>
  </si>
  <si>
    <t>令和５年度に、本プログラムのために新設した科目の履修者への授業アンケートの結果を分析すると、良好な後輩等への推奨効果が得られている。特に、「データサイエンス・AI演習」の授業においては、学生から「この講義を受けていく中で、４年生としての集大成を意識するようになり、これからのデータサイエンスとAIの時代に向けて、データサイエンス・AIと教育の重要性が拡大し、より広い視野で知見を、社会人になっても主体的に学んでいくことを意識するようになりました。ＡＩが進化していく中で、学び続けるだけでなく、その活用法を考え、その教育についても発信できる存在になりたいと考えます。また、後輩にも、この履修を薦めたいと思っています」などといった感想があげられました。さらに、教職に就く４年生からは、自分の生徒たちにも教えていきたいと前向きな意見も挙げられている。</t>
    <phoneticPr fontId="1"/>
  </si>
  <si>
    <t>令和５年度に、本プログラムのために新設した科目の履修者への授業アンケートの結果を分析すると、良好な学修効果が得られている。特に、「データサイエンス・AI基礎」の授業においては、学生から「データサイエンスを学ぶことで、調査の目的に応じた観点でデータを観察することや、データの全体を俯瞰し、傾向を把握し、データの分類と分析を行い、次の施策を考えることが重要であり、創造力を用いて有用にデータを活用するよう実践していこうと考えるようになりました」などといった感想があげられ、前向きなデータサイエンス・AIの必要性の理解が得られている。</t>
    <phoneticPr fontId="1"/>
  </si>
  <si>
    <t>令和５年度に、データサイエンス教育プログラムの学生履修者への授業アンケートの結果を分析すると、必須科目の平均満足度が８１．３％、選択科目の平均満足度が８１．１％、全科目の平均満足度が８１．２％となっている。特に、このデータサイエンス教育プログラムのために新設した必須科目の「データサイエンス・ＡＩ基礎」の授業の満足度が、８５．６％。選択科目の「デジタルコンテンツ制作」の満足度が８７．１％と高い満足度をあげている。
また、同アンケートの結果によると、「この科目分野をさらに深く学びたくなりましたか？」という設問に対して、全科目の平均で、８７．２％となっており、さらにデータサイエンス・ＡＩを学びたいという意欲をもっている。「この授業で新しい知識やものの考え方を得ることができましたか？」という設問に対しては、全科目の平均で、９５．４％で、新しい知識を得ることができたという学修成果があげられている。</t>
    <rPh sb="253" eb="255">
      <t>セツモン</t>
    </rPh>
    <rPh sb="256" eb="257">
      <t>タイ</t>
    </rPh>
    <rPh sb="260" eb="263">
      <t>ゼンカモク</t>
    </rPh>
    <rPh sb="264" eb="266">
      <t>ヘイキン</t>
    </rPh>
    <rPh sb="295" eb="296">
      <t>マナ</t>
    </rPh>
    <rPh sb="302" eb="304">
      <t>イヨク</t>
    </rPh>
    <phoneticPr fontId="1"/>
  </si>
  <si>
    <t>「データサイエンス教育プログラム」は、令和５年度から全学生に対して開始しているが、令和５年度の実績で履修率３８．６％を達成している（大学全体の収容定員の学生が、データサイエンス教育プログラムの授業を１科目以上履修している）。
また、選択必修科目において、前年までに実施していた同様の科目の履修人数と比較して、最大で２１８.１％の増加をしている。
本プログラムは、卒業までに修了条件を満たした学生に対して、修了証を発行する仕組みとなっているため、必修及び選択科目を１科目でも履修している学生数を「履修者数」とみなすと、順調に履修を進めている状況と判断できる。また、令和４年度以前に入学した学生に対しては、本プログラムの内６科目について、前年までの同様のシラバス内容の授業履修の読み替えを承認しているため、令和５年度の修了要件を満たした学生数は、１１名である。</t>
    <rPh sb="66" eb="68">
      <t>ダイガク</t>
    </rPh>
    <rPh sb="68" eb="70">
      <t>ゼンタイ</t>
    </rPh>
    <rPh sb="71" eb="73">
      <t>シュウヨウ</t>
    </rPh>
    <rPh sb="73" eb="75">
      <t>テイイン</t>
    </rPh>
    <rPh sb="76" eb="78">
      <t>ガクセイ</t>
    </rPh>
    <rPh sb="88" eb="90">
      <t>キョウイク</t>
    </rPh>
    <rPh sb="96" eb="98">
      <t>ジュギョウ</t>
    </rPh>
    <rPh sb="100" eb="102">
      <t>カモク</t>
    </rPh>
    <rPh sb="102" eb="104">
      <t>イジョウ</t>
    </rPh>
    <rPh sb="104" eb="106">
      <t>リシュウ</t>
    </rPh>
    <rPh sb="118" eb="120">
      <t>ヒッシュウ</t>
    </rPh>
    <rPh sb="359" eb="361">
      <t>ヨウケン</t>
    </rPh>
    <rPh sb="362" eb="363">
      <t>ミ</t>
    </rPh>
    <rPh sb="366" eb="368">
      <t>ガクセイ</t>
    </rPh>
    <phoneticPr fontId="1"/>
  </si>
  <si>
    <t>教務委員会</t>
    <phoneticPr fontId="1"/>
  </si>
  <si>
    <t>佐藤琢三</t>
    <phoneticPr fontId="1"/>
  </si>
  <si>
    <t>委員長</t>
    <phoneticPr fontId="1"/>
  </si>
  <si>
    <t>令和５</t>
    <rPh sb="0" eb="2">
      <t>レイワ</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</si>
</sst>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
  </numFmts>
  <fonts count="17"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s>
  <fills count="3">
    <fill>
      <patternFill patternType="none"/>
    </fill>
    <fill>
      <patternFill patternType="gray125"/>
    </fill>
    <fill>
      <patternFill patternType="solid">
        <fgColor theme="0" tint="-4.9989318521683403E-2"/>
        <bgColor indexed="64"/>
      </patternFill>
    </fill>
  </fills>
  <borders count="50">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thin">
        <color auto="1"/>
      </left>
      <right style="thin">
        <color auto="1"/>
      </right>
      <top/>
      <bottom style="hair">
        <color auto="1"/>
      </bottom>
      <diagonal/>
    </border>
    <border>
      <left style="thin">
        <color auto="1"/>
      </left>
      <right/>
      <top style="hair">
        <color auto="1"/>
      </top>
      <bottom/>
      <diagonal/>
    </border>
    <border>
      <left/>
      <right/>
      <top style="hair">
        <color auto="1"/>
      </top>
      <bottom/>
      <diagonal/>
    </border>
    <border>
      <left/>
      <right style="thin">
        <color auto="1"/>
      </right>
      <top style="hair">
        <color auto="1"/>
      </top>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8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19" xfId="0" applyNumberFormat="1" applyFont="1" applyBorder="1" applyAlignment="1">
      <alignment vertical="center" shrinkToFit="1"/>
    </xf>
    <xf numFmtId="9" fontId="2" fillId="0" borderId="23" xfId="0" applyNumberFormat="1" applyFont="1" applyBorder="1" applyAlignment="1">
      <alignment vertical="center" shrinkToFit="1"/>
    </xf>
    <xf numFmtId="0" fontId="2" fillId="0" borderId="0" xfId="0" applyFont="1" applyAlignment="1">
      <alignment horizontal="left" vertical="center"/>
    </xf>
    <xf numFmtId="0" fontId="2" fillId="0" borderId="19" xfId="0" applyFont="1" applyBorder="1" applyAlignment="1">
      <alignment horizontal="left" vertical="center" shrinkToFit="1"/>
    </xf>
    <xf numFmtId="0" fontId="2" fillId="0" borderId="20" xfId="0" applyFont="1" applyBorder="1" applyAlignment="1">
      <alignment horizontal="left" vertical="center" shrinkToFit="1"/>
    </xf>
    <xf numFmtId="0" fontId="2" fillId="0" borderId="24"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6"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4" xfId="0" applyFont="1" applyBorder="1" applyAlignment="1">
      <alignment horizontal="center" vertical="center" shrinkToFit="1"/>
    </xf>
    <xf numFmtId="0" fontId="2" fillId="0" borderId="0" xfId="0" applyFont="1" applyAlignment="1">
      <alignment horizontal="center" vertical="center" shrinkToFit="1"/>
    </xf>
    <xf numFmtId="49" fontId="3" fillId="0" borderId="42" xfId="0" applyNumberFormat="1" applyFont="1" applyBorder="1" applyAlignment="1">
      <alignment horizontal="center" vertical="center"/>
    </xf>
    <xf numFmtId="49" fontId="3" fillId="0" borderId="43" xfId="0" applyNumberFormat="1" applyFont="1" applyBorder="1" applyAlignment="1">
      <alignment horizontal="center" vertical="center"/>
    </xf>
    <xf numFmtId="49" fontId="3" fillId="0" borderId="38" xfId="0" applyNumberFormat="1" applyFont="1" applyBorder="1" applyAlignment="1">
      <alignment horizontal="center" vertical="center"/>
    </xf>
    <xf numFmtId="49" fontId="3" fillId="0" borderId="25" xfId="0" applyNumberFormat="1" applyFont="1" applyBorder="1" applyAlignment="1">
      <alignment horizontal="center" vertical="center"/>
    </xf>
    <xf numFmtId="49" fontId="3" fillId="0" borderId="41" xfId="0" applyNumberFormat="1" applyFont="1" applyBorder="1" applyAlignment="1">
      <alignment horizontal="center" vertical="center"/>
    </xf>
    <xf numFmtId="49" fontId="3" fillId="0" borderId="27"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0" xfId="0" applyFont="1" applyFill="1" applyAlignment="1">
      <alignment vertical="top" wrapText="1"/>
    </xf>
    <xf numFmtId="0" fontId="2" fillId="2" borderId="0" xfId="0" applyFont="1" applyFill="1">
      <alignment vertical="center"/>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4"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17" xfId="2" applyFont="1" applyBorder="1" applyAlignment="1">
      <alignment vertical="center" shrinkToFit="1"/>
    </xf>
    <xf numFmtId="38" fontId="2" fillId="0" borderId="45" xfId="2" applyFont="1" applyBorder="1" applyAlignment="1">
      <alignment vertical="center" shrinkToFit="1"/>
    </xf>
    <xf numFmtId="38" fontId="2" fillId="0" borderId="16" xfId="2" applyFont="1" applyBorder="1" applyAlignment="1">
      <alignment vertical="center" shrinkToFit="1"/>
    </xf>
    <xf numFmtId="38" fontId="2" fillId="0" borderId="10" xfId="2" applyFont="1" applyBorder="1" applyAlignment="1">
      <alignment vertical="center" shrinkToFit="1"/>
    </xf>
    <xf numFmtId="38" fontId="2" fillId="0" borderId="24" xfId="2" applyFont="1" applyBorder="1" applyAlignment="1">
      <alignment vertical="center" shrinkToFit="1"/>
    </xf>
    <xf numFmtId="38" fontId="2" fillId="0" borderId="22" xfId="2" applyFont="1" applyBorder="1" applyAlignment="1">
      <alignment vertical="center" shrinkToFit="1"/>
    </xf>
    <xf numFmtId="38" fontId="2" fillId="0" borderId="21" xfId="2" applyFont="1" applyBorder="1" applyAlignment="1">
      <alignment vertical="center" shrinkToFit="1"/>
    </xf>
    <xf numFmtId="0" fontId="8" fillId="0" borderId="31" xfId="0" applyFont="1" applyBorder="1" applyAlignment="1">
      <alignment horizontal="center" vertical="center"/>
    </xf>
    <xf numFmtId="0" fontId="8" fillId="0" borderId="34" xfId="0" applyFont="1" applyBorder="1" applyAlignment="1">
      <alignment horizontal="center" vertical="center"/>
    </xf>
    <xf numFmtId="0" fontId="2" fillId="0" borderId="46" xfId="0" applyFont="1" applyBorder="1" applyAlignment="1">
      <alignment horizontal="left" vertical="center" shrinkToFit="1"/>
    </xf>
    <xf numFmtId="38" fontId="2" fillId="0" borderId="46"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shrinkToFit="1"/>
    </xf>
    <xf numFmtId="0" fontId="12" fillId="0" borderId="0" xfId="0" applyFont="1" applyFill="1">
      <alignment vertical="center"/>
    </xf>
    <xf numFmtId="0" fontId="13" fillId="0" borderId="0" xfId="0" applyFont="1" applyFill="1">
      <alignment vertical="center"/>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0" xfId="0" applyFont="1" applyAlignment="1">
      <alignment horizontal="center" vertical="center" shrinkToFit="1"/>
    </xf>
    <xf numFmtId="0" fontId="2" fillId="0" borderId="0" xfId="0" applyFont="1" applyAlignment="1">
      <alignment vertical="center" wrapText="1"/>
    </xf>
    <xf numFmtId="0" fontId="13" fillId="0" borderId="0" xfId="0" applyFont="1" applyAlignment="1">
      <alignment horizontal="right" vertical="center"/>
    </xf>
    <xf numFmtId="0" fontId="13" fillId="0" borderId="1" xfId="0" applyFont="1" applyBorder="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horizontal="center" vertical="center"/>
    </xf>
    <xf numFmtId="0" fontId="2" fillId="0" borderId="0" xfId="0" applyFont="1">
      <alignment vertical="center"/>
    </xf>
    <xf numFmtId="0" fontId="3" fillId="2" borderId="1" xfId="0" applyFont="1" applyFill="1" applyBorder="1" applyAlignment="1">
      <alignment vertical="top" wrapText="1"/>
    </xf>
    <xf numFmtId="0" fontId="3" fillId="2" borderId="10" xfId="0" applyFont="1" applyFill="1" applyBorder="1" applyAlignment="1">
      <alignment vertical="top" shrinkToFit="1"/>
    </xf>
    <xf numFmtId="0" fontId="3" fillId="2" borderId="0" xfId="0" applyFont="1" applyFill="1" applyAlignment="1">
      <alignment vertical="top" shrinkToFit="1"/>
    </xf>
    <xf numFmtId="0" fontId="2" fillId="0" borderId="1" xfId="0" applyFont="1" applyFill="1" applyBorder="1" applyAlignment="1">
      <alignment horizontal="center" vertical="center"/>
    </xf>
    <xf numFmtId="0" fontId="2" fillId="0" borderId="0" xfId="0" applyFont="1" applyAlignment="1">
      <alignment vertical="center" wrapText="1"/>
    </xf>
    <xf numFmtId="0" fontId="2" fillId="0" borderId="31"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17" xfId="0" applyFont="1" applyBorder="1" applyAlignment="1">
      <alignment horizontal="center" vertical="center" shrinkToFit="1"/>
    </xf>
    <xf numFmtId="0" fontId="2" fillId="0" borderId="18" xfId="0" applyFont="1" applyBorder="1" applyAlignment="1">
      <alignment horizontal="center" vertical="center" shrinkToFit="1"/>
    </xf>
    <xf numFmtId="0" fontId="2" fillId="0" borderId="16" xfId="0" applyFont="1" applyBorder="1" applyAlignment="1">
      <alignment horizontal="center" vertical="center" shrinkToFit="1"/>
    </xf>
    <xf numFmtId="0" fontId="2" fillId="0" borderId="17" xfId="0" applyFont="1" applyBorder="1" applyAlignment="1">
      <alignment horizontal="left" vertical="center" shrinkToFit="1"/>
    </xf>
    <xf numFmtId="0" fontId="2" fillId="0" borderId="18" xfId="0" applyFont="1" applyBorder="1" applyAlignment="1">
      <alignment horizontal="left" vertical="center" shrinkToFit="1"/>
    </xf>
    <xf numFmtId="0" fontId="2" fillId="0" borderId="16" xfId="0" applyFont="1" applyBorder="1" applyAlignment="1">
      <alignment horizontal="left"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28" xfId="0" applyFont="1" applyBorder="1" applyAlignment="1">
      <alignment vertical="center" shrinkToFit="1"/>
    </xf>
    <xf numFmtId="0" fontId="2" fillId="0" borderId="30" xfId="0" applyFont="1" applyBorder="1" applyAlignment="1">
      <alignment vertical="center" shrinkToFit="1"/>
    </xf>
    <xf numFmtId="0" fontId="2" fillId="0" borderId="29" xfId="0" applyFont="1" applyBorder="1" applyAlignment="1">
      <alignment vertical="center" shrinkToFit="1"/>
    </xf>
    <xf numFmtId="0" fontId="2" fillId="0" borderId="17" xfId="0" applyFont="1" applyBorder="1" applyAlignment="1">
      <alignment vertical="center" shrinkToFit="1"/>
    </xf>
    <xf numFmtId="0" fontId="2" fillId="0" borderId="18" xfId="0" applyFont="1" applyBorder="1" applyAlignment="1">
      <alignment vertical="center" shrinkToFit="1"/>
    </xf>
    <xf numFmtId="0" fontId="2" fillId="0" borderId="16" xfId="0" applyFont="1" applyBorder="1" applyAlignment="1">
      <alignment vertical="center" shrinkToFit="1"/>
    </xf>
    <xf numFmtId="0" fontId="12" fillId="0" borderId="0" xfId="0" applyFont="1" applyFill="1" applyAlignment="1">
      <alignment horizontal="left" vertical="center" wrapText="1"/>
    </xf>
    <xf numFmtId="0" fontId="12" fillId="0" borderId="31" xfId="0" applyFont="1" applyBorder="1" applyAlignment="1">
      <alignment horizontal="left" vertical="center" wrapText="1" shrinkToFit="1"/>
    </xf>
    <xf numFmtId="0" fontId="12" fillId="0" borderId="32" xfId="0" applyFont="1" applyBorder="1" applyAlignment="1">
      <alignment horizontal="left" vertical="center" wrapText="1" shrinkToFit="1"/>
    </xf>
    <xf numFmtId="0" fontId="12" fillId="0" borderId="33" xfId="0" applyFont="1" applyBorder="1" applyAlignment="1">
      <alignment horizontal="left" vertical="center" wrapText="1" shrinkToFit="1"/>
    </xf>
    <xf numFmtId="0" fontId="12" fillId="0" borderId="28" xfId="0" applyFont="1" applyBorder="1" applyAlignment="1">
      <alignment vertical="center" wrapText="1" shrinkToFit="1"/>
    </xf>
    <xf numFmtId="0" fontId="12" fillId="0" borderId="30" xfId="0" applyFont="1" applyBorder="1" applyAlignment="1">
      <alignment vertical="center" wrapText="1" shrinkToFit="1"/>
    </xf>
    <xf numFmtId="0" fontId="12" fillId="0" borderId="29" xfId="0" applyFont="1" applyBorder="1" applyAlignment="1">
      <alignment vertical="center" wrapText="1" shrinkToFit="1"/>
    </xf>
    <xf numFmtId="0" fontId="12" fillId="0" borderId="17" xfId="0" applyFont="1" applyBorder="1" applyAlignment="1">
      <alignment vertical="center" wrapText="1" shrinkToFit="1"/>
    </xf>
    <xf numFmtId="0" fontId="12" fillId="0" borderId="18" xfId="0" applyFont="1" applyBorder="1" applyAlignment="1">
      <alignment vertical="center" wrapText="1" shrinkToFit="1"/>
    </xf>
    <xf numFmtId="0" fontId="12" fillId="0" borderId="16" xfId="0" applyFont="1" applyBorder="1" applyAlignment="1">
      <alignment vertical="center" wrapText="1" shrinkToFit="1"/>
    </xf>
    <xf numFmtId="0" fontId="12" fillId="0" borderId="31" xfId="0" applyFont="1" applyBorder="1" applyAlignment="1">
      <alignment vertical="center" wrapText="1" shrinkToFit="1"/>
    </xf>
    <xf numFmtId="0" fontId="12" fillId="0" borderId="32" xfId="0" applyFont="1" applyBorder="1" applyAlignment="1">
      <alignment vertical="center" wrapText="1" shrinkToFit="1"/>
    </xf>
    <xf numFmtId="0" fontId="12" fillId="0" borderId="33" xfId="0" applyFont="1" applyBorder="1" applyAlignment="1">
      <alignment vertical="center" wrapText="1" shrinkToFit="1"/>
    </xf>
    <xf numFmtId="0" fontId="12" fillId="0" borderId="28" xfId="0" applyFont="1" applyBorder="1" applyAlignment="1">
      <alignment horizontal="left" vertical="center" wrapText="1" shrinkToFit="1"/>
    </xf>
    <xf numFmtId="0" fontId="12" fillId="0" borderId="30" xfId="0" applyFont="1" applyBorder="1" applyAlignment="1">
      <alignment horizontal="left" vertical="center" wrapText="1" shrinkToFit="1"/>
    </xf>
    <xf numFmtId="0" fontId="12" fillId="0" borderId="29" xfId="0" applyFont="1" applyBorder="1" applyAlignment="1">
      <alignment horizontal="left" vertical="center" wrapText="1" shrinkToFit="1"/>
    </xf>
    <xf numFmtId="0" fontId="3" fillId="0" borderId="39" xfId="0" applyFont="1" applyBorder="1" applyAlignment="1">
      <alignment vertical="center" wrapText="1"/>
    </xf>
    <xf numFmtId="0" fontId="3" fillId="0" borderId="40" xfId="0" applyFont="1" applyBorder="1" applyAlignment="1">
      <alignment vertical="center" wrapText="1"/>
    </xf>
    <xf numFmtId="0" fontId="5" fillId="0" borderId="28" xfId="0" applyFont="1" applyBorder="1" applyAlignment="1">
      <alignment horizontal="left" vertical="center" wrapText="1" shrinkToFit="1"/>
    </xf>
    <xf numFmtId="0" fontId="5" fillId="0" borderId="30" xfId="0" applyFont="1" applyBorder="1" applyAlignment="1">
      <alignment horizontal="left" vertical="center" wrapText="1" shrinkToFit="1"/>
    </xf>
    <xf numFmtId="0" fontId="5" fillId="0" borderId="29" xfId="0" applyFont="1" applyBorder="1" applyAlignment="1">
      <alignment horizontal="left" vertical="center" wrapText="1" shrinkToFit="1"/>
    </xf>
    <xf numFmtId="0" fontId="5" fillId="0" borderId="31" xfId="0" applyFont="1" applyBorder="1" applyAlignment="1">
      <alignment horizontal="left" vertical="center" wrapText="1" shrinkToFit="1"/>
    </xf>
    <xf numFmtId="0" fontId="5" fillId="0" borderId="32" xfId="0" applyFont="1" applyBorder="1" applyAlignment="1">
      <alignment horizontal="left" vertical="center" wrapText="1" shrinkToFit="1"/>
    </xf>
    <xf numFmtId="0" fontId="5" fillId="0" borderId="33" xfId="0" applyFont="1" applyBorder="1" applyAlignment="1">
      <alignment horizontal="left" vertical="center" wrapText="1" shrinkToFit="1"/>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47" xfId="0" applyFont="1" applyBorder="1" applyAlignment="1">
      <alignment horizontal="left" vertical="center" shrinkToFit="1"/>
    </xf>
    <xf numFmtId="0" fontId="2" fillId="0" borderId="48" xfId="0" applyFont="1" applyBorder="1" applyAlignment="1">
      <alignment horizontal="left" vertical="center" shrinkToFit="1"/>
    </xf>
    <xf numFmtId="0" fontId="2" fillId="0" borderId="49" xfId="0" applyFont="1" applyBorder="1" applyAlignment="1">
      <alignment horizontal="left" vertical="center" shrinkToFit="1"/>
    </xf>
    <xf numFmtId="0" fontId="2" fillId="0" borderId="47" xfId="0" applyFont="1" applyBorder="1" applyAlignment="1">
      <alignment horizontal="center" vertical="center" shrinkToFit="1"/>
    </xf>
    <xf numFmtId="0" fontId="2" fillId="0" borderId="48" xfId="0" applyFont="1" applyBorder="1" applyAlignment="1">
      <alignment horizontal="center" vertical="center" shrinkToFit="1"/>
    </xf>
    <xf numFmtId="0" fontId="2" fillId="0" borderId="49" xfId="0" applyFont="1" applyBorder="1" applyAlignment="1">
      <alignment horizontal="center" vertical="center" shrinkToFit="1"/>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2" fillId="0" borderId="31" xfId="0" applyFont="1" applyBorder="1" applyAlignment="1">
      <alignment horizontal="center" vertical="center"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11" xfId="0" applyFont="1" applyBorder="1" applyAlignment="1">
      <alignment vertical="center" shrinkToFit="1"/>
    </xf>
    <xf numFmtId="0" fontId="2" fillId="0" borderId="6" xfId="0" applyFont="1" applyBorder="1" applyAlignment="1">
      <alignment vertical="center" shrinkToFit="1"/>
    </xf>
    <xf numFmtId="0" fontId="2" fillId="0" borderId="12" xfId="0" applyFont="1" applyBorder="1" applyAlignment="1">
      <alignment vertical="center"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6"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28" xfId="0" applyFont="1" applyBorder="1" applyAlignment="1">
      <alignment horizontal="center" vertical="center" shrinkToFit="1"/>
    </xf>
    <xf numFmtId="0" fontId="2" fillId="0" borderId="30" xfId="0" applyFont="1" applyBorder="1" applyAlignment="1">
      <alignment horizontal="center" vertical="center" shrinkToFit="1"/>
    </xf>
    <xf numFmtId="0" fontId="2" fillId="0" borderId="29" xfId="0" applyFont="1" applyBorder="1" applyAlignment="1">
      <alignment horizontal="center" vertical="center" shrinkToFit="1"/>
    </xf>
    <xf numFmtId="0" fontId="12" fillId="0" borderId="6" xfId="0" applyFont="1" applyFill="1" applyBorder="1" applyAlignment="1">
      <alignment horizontal="lef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Border="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5" xfId="0" applyFont="1" applyBorder="1" applyAlignment="1">
      <alignment horizontal="left" vertical="center" shrinkToFit="1"/>
    </xf>
    <xf numFmtId="0" fontId="2" fillId="0" borderId="36" xfId="0" applyFont="1" applyBorder="1" applyAlignment="1">
      <alignment horizontal="left" vertical="center" shrinkToFit="1"/>
    </xf>
    <xf numFmtId="0" fontId="2" fillId="0" borderId="37" xfId="0" applyFont="1" applyBorder="1" applyAlignment="1">
      <alignment horizontal="left" vertical="center" shrinkToFit="1"/>
    </xf>
    <xf numFmtId="0" fontId="2" fillId="0" borderId="11" xfId="0" applyFont="1" applyBorder="1" applyAlignment="1">
      <alignment horizontal="left" vertical="center" shrinkToFit="1"/>
    </xf>
    <xf numFmtId="0" fontId="2" fillId="0" borderId="6" xfId="0" applyFont="1" applyBorder="1" applyAlignment="1">
      <alignment horizontal="left" vertical="center" shrinkToFit="1"/>
    </xf>
    <xf numFmtId="0" fontId="2" fillId="0" borderId="12" xfId="0" applyFont="1" applyBorder="1" applyAlignment="1">
      <alignment horizontal="left" vertical="center" shrinkToFit="1"/>
    </xf>
    <xf numFmtId="0" fontId="12" fillId="0" borderId="2" xfId="0" applyFont="1" applyFill="1" applyBorder="1" applyAlignment="1">
      <alignment horizontal="center" vertical="center"/>
    </xf>
    <xf numFmtId="0" fontId="12" fillId="0" borderId="3" xfId="0" applyFont="1" applyFill="1" applyBorder="1" applyAlignment="1">
      <alignment horizontal="center" vertical="center"/>
    </xf>
    <xf numFmtId="0" fontId="12" fillId="0" borderId="4" xfId="0" applyFont="1" applyFill="1" applyBorder="1" applyAlignment="1">
      <alignment horizontal="center" vertical="center"/>
    </xf>
    <xf numFmtId="0" fontId="15" fillId="0" borderId="2" xfId="0" applyFont="1" applyFill="1" applyBorder="1" applyAlignment="1">
      <alignment vertical="center" wrapText="1"/>
    </xf>
    <xf numFmtId="0" fontId="15" fillId="0" borderId="3" xfId="0" applyFont="1" applyFill="1" applyBorder="1" applyAlignment="1">
      <alignment vertical="center" wrapText="1"/>
    </xf>
    <xf numFmtId="0" fontId="15" fillId="0" borderId="4" xfId="0" applyFont="1" applyFill="1" applyBorder="1" applyAlignment="1">
      <alignment vertical="center" wrapText="1"/>
    </xf>
    <xf numFmtId="0" fontId="2" fillId="0" borderId="28" xfId="0" applyFont="1" applyBorder="1" applyAlignment="1">
      <alignment horizontal="left" vertical="center" shrinkToFit="1"/>
    </xf>
    <xf numFmtId="0" fontId="2" fillId="0" borderId="30" xfId="0" applyFont="1" applyBorder="1" applyAlignment="1">
      <alignment horizontal="left" vertical="center" shrinkToFit="1"/>
    </xf>
    <xf numFmtId="0" fontId="2" fillId="0" borderId="29" xfId="0" applyFont="1" applyBorder="1" applyAlignment="1">
      <alignment horizontal="left" vertical="center" shrinkToFi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9" fontId="2" fillId="0" borderId="2" xfId="0" applyNumberFormat="1" applyFont="1" applyBorder="1" applyAlignment="1">
      <alignment horizontal="center" vertical="center" shrinkToFit="1"/>
    </xf>
    <xf numFmtId="9" fontId="2" fillId="0" borderId="4"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2" xfId="0" applyNumberFormat="1" applyFont="1" applyBorder="1" applyAlignment="1">
      <alignment horizontal="center" vertical="center" wrapText="1" shrinkToFit="1"/>
    </xf>
    <xf numFmtId="9" fontId="2" fillId="0" borderId="4"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0" fontId="13" fillId="0" borderId="1" xfId="0" applyFont="1" applyBorder="1" applyAlignment="1">
      <alignment vertical="center" wrapText="1"/>
    </xf>
    <xf numFmtId="0" fontId="2" fillId="0" borderId="1" xfId="0" applyFont="1" applyBorder="1" applyAlignment="1">
      <alignment vertical="top" wrapText="1" shrinkToFit="1"/>
    </xf>
    <xf numFmtId="0" fontId="2" fillId="0" borderId="1" xfId="0" applyFont="1" applyBorder="1" applyAlignment="1">
      <alignment vertical="center" wrapText="1"/>
    </xf>
    <xf numFmtId="0" fontId="2" fillId="0" borderId="1" xfId="0" applyFont="1" applyBorder="1">
      <alignment vertical="center"/>
    </xf>
    <xf numFmtId="0" fontId="5" fillId="0" borderId="1" xfId="0" applyFont="1" applyBorder="1">
      <alignment vertical="center"/>
    </xf>
    <xf numFmtId="0" fontId="2" fillId="0" borderId="3" xfId="0" applyFont="1" applyBorder="1" applyAlignment="1">
      <alignment horizontal="left" vertical="center"/>
    </xf>
    <xf numFmtId="0" fontId="2" fillId="0" borderId="4" xfId="0" applyFont="1" applyBorder="1" applyAlignment="1">
      <alignment horizontal="left" vertical="center"/>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G118"/>
  <sheetViews>
    <sheetView showZeros="0" view="pageBreakPreview" zoomScale="70" zoomScaleNormal="100" zoomScaleSheetLayoutView="70" workbookViewId="0">
      <selection activeCell="K27" sqref="K27:Q27"/>
    </sheetView>
  </sheetViews>
  <sheetFormatPr defaultColWidth="9" defaultRowHeight="18" customHeight="1" x14ac:dyDescent="0.15"/>
  <cols>
    <col min="1" max="1" width="2.5" style="90" customWidth="1"/>
    <col min="2" max="2" width="16.5" style="90" customWidth="1"/>
    <col min="3" max="21" width="5.625" style="90" customWidth="1"/>
    <col min="22" max="22" width="9" style="90"/>
    <col min="23" max="23" width="3.625" style="90" customWidth="1"/>
    <col min="24" max="24" width="48.625" style="90" hidden="1" customWidth="1"/>
    <col min="25" max="16384" width="9" style="90"/>
  </cols>
  <sheetData>
    <row r="1" spans="1:24" ht="18" customHeight="1" x14ac:dyDescent="0.15">
      <c r="A1" s="70"/>
      <c r="B1" s="70"/>
      <c r="C1" s="70"/>
      <c r="D1" s="70"/>
      <c r="E1" s="70"/>
      <c r="F1" s="70"/>
      <c r="G1" s="70"/>
      <c r="H1" s="70"/>
      <c r="I1" s="70"/>
      <c r="J1" s="70"/>
      <c r="K1" s="70"/>
      <c r="L1" s="70"/>
      <c r="M1" s="70"/>
      <c r="N1" s="70"/>
      <c r="O1" s="70"/>
      <c r="P1" s="70"/>
      <c r="Q1" s="70"/>
      <c r="R1" s="70"/>
      <c r="S1" s="70"/>
      <c r="T1" s="156" t="s">
        <v>12</v>
      </c>
      <c r="U1" s="156"/>
      <c r="V1" s="2" t="s">
        <v>100</v>
      </c>
    </row>
    <row r="2" spans="1:24" ht="18" customHeight="1" x14ac:dyDescent="0.15">
      <c r="A2" s="70"/>
      <c r="B2" s="83" t="s">
        <v>99</v>
      </c>
      <c r="C2" s="157" t="s">
        <v>136</v>
      </c>
      <c r="D2" s="158"/>
      <c r="E2" s="158"/>
      <c r="F2" s="158"/>
      <c r="G2" s="158"/>
      <c r="H2" s="158"/>
      <c r="I2" s="158"/>
      <c r="J2" s="159"/>
      <c r="K2" s="82"/>
      <c r="L2" s="72"/>
      <c r="M2" s="72"/>
      <c r="N2" s="72"/>
      <c r="O2" s="72"/>
      <c r="P2" s="72"/>
      <c r="Q2" s="72"/>
      <c r="R2" s="72"/>
      <c r="S2" s="72"/>
      <c r="T2" s="72"/>
      <c r="U2" s="72"/>
    </row>
    <row r="3" spans="1:24" ht="18" customHeight="1" x14ac:dyDescent="0.15">
      <c r="A3" s="70"/>
      <c r="B3" s="83" t="s">
        <v>94</v>
      </c>
      <c r="C3" s="157" t="s">
        <v>137</v>
      </c>
      <c r="D3" s="158"/>
      <c r="E3" s="158"/>
      <c r="F3" s="158"/>
      <c r="G3" s="158"/>
      <c r="H3" s="158"/>
      <c r="I3" s="158"/>
      <c r="J3" s="159"/>
      <c r="K3" s="82"/>
      <c r="L3" s="72"/>
      <c r="M3" s="72"/>
      <c r="N3" s="72"/>
      <c r="O3" s="72"/>
      <c r="P3" s="72"/>
      <c r="Q3" s="72"/>
      <c r="R3" s="72"/>
      <c r="S3" s="72"/>
      <c r="T3" s="72"/>
      <c r="U3" s="72"/>
    </row>
    <row r="4" spans="1:24" ht="18" customHeight="1" x14ac:dyDescent="0.15">
      <c r="A4" s="70"/>
      <c r="B4" s="70"/>
      <c r="C4" s="70"/>
      <c r="D4" s="70"/>
      <c r="E4" s="70"/>
      <c r="F4" s="70"/>
      <c r="G4" s="70"/>
      <c r="H4" s="70"/>
      <c r="I4" s="70"/>
      <c r="J4" s="70"/>
      <c r="K4" s="70"/>
      <c r="L4" s="82"/>
      <c r="M4" s="73"/>
      <c r="N4" s="73"/>
      <c r="O4" s="73"/>
      <c r="P4" s="73"/>
      <c r="Q4" s="73"/>
      <c r="R4" s="73"/>
      <c r="S4" s="73"/>
      <c r="T4" s="73"/>
      <c r="U4" s="73"/>
    </row>
    <row r="5" spans="1:24" ht="18" customHeight="1" x14ac:dyDescent="0.15">
      <c r="A5" s="176" t="s">
        <v>38</v>
      </c>
      <c r="B5" s="176"/>
      <c r="C5" s="176"/>
      <c r="D5" s="176"/>
      <c r="E5" s="176"/>
      <c r="F5" s="176"/>
      <c r="G5" s="176"/>
      <c r="H5" s="176"/>
      <c r="I5" s="176"/>
      <c r="J5" s="176"/>
      <c r="K5" s="176"/>
      <c r="L5" s="176"/>
      <c r="M5" s="176"/>
      <c r="N5" s="176"/>
      <c r="O5" s="176"/>
      <c r="P5" s="176"/>
      <c r="Q5" s="176"/>
      <c r="R5" s="176"/>
      <c r="S5" s="176"/>
      <c r="T5" s="176"/>
      <c r="U5" s="176"/>
    </row>
    <row r="6" spans="1:24" ht="18" customHeight="1" x14ac:dyDescent="0.15">
      <c r="A6" s="70"/>
      <c r="B6" s="74"/>
      <c r="C6" s="74"/>
      <c r="D6" s="74"/>
      <c r="E6" s="74"/>
      <c r="F6" s="74"/>
      <c r="G6" s="74"/>
      <c r="H6" s="74"/>
      <c r="I6" s="74"/>
      <c r="J6" s="74"/>
      <c r="K6" s="74"/>
      <c r="L6" s="74"/>
      <c r="M6" s="74"/>
      <c r="N6" s="74"/>
      <c r="O6" s="74"/>
      <c r="P6" s="74"/>
      <c r="Q6" s="74"/>
      <c r="R6" s="74"/>
      <c r="S6" s="74"/>
      <c r="T6" s="74"/>
      <c r="U6" s="74"/>
    </row>
    <row r="7" spans="1:24" ht="18" customHeight="1" x14ac:dyDescent="0.15">
      <c r="A7" s="70" t="s">
        <v>131</v>
      </c>
      <c r="B7" s="74"/>
      <c r="C7" s="74"/>
      <c r="D7" s="74"/>
      <c r="E7" s="74"/>
      <c r="F7" s="75"/>
      <c r="G7" s="75"/>
      <c r="H7" s="75"/>
      <c r="I7" s="75"/>
      <c r="J7" s="75"/>
      <c r="K7" s="75"/>
      <c r="L7" s="153" t="s">
        <v>147</v>
      </c>
      <c r="M7" s="154"/>
      <c r="N7" s="154"/>
      <c r="O7" s="154"/>
      <c r="P7" s="154"/>
      <c r="Q7" s="154"/>
      <c r="R7" s="154"/>
      <c r="S7" s="154"/>
      <c r="T7" s="154"/>
      <c r="U7" s="155"/>
    </row>
    <row r="8" spans="1:24" ht="18" customHeight="1" x14ac:dyDescent="0.15">
      <c r="A8" s="70"/>
      <c r="B8" s="74"/>
      <c r="C8" s="74"/>
      <c r="D8" s="74"/>
      <c r="E8" s="74"/>
      <c r="F8" s="74"/>
      <c r="G8" s="74"/>
      <c r="H8" s="74"/>
      <c r="I8" s="74"/>
      <c r="J8" s="74"/>
      <c r="K8" s="74"/>
      <c r="L8" s="74"/>
      <c r="M8" s="74"/>
      <c r="N8" s="74"/>
      <c r="O8" s="74"/>
      <c r="P8" s="74"/>
      <c r="Q8" s="74"/>
      <c r="R8" s="74"/>
      <c r="S8" s="74"/>
      <c r="T8" s="74"/>
      <c r="U8" s="74"/>
    </row>
    <row r="9" spans="1:24" ht="18" customHeight="1" x14ac:dyDescent="0.15">
      <c r="A9" s="70" t="s">
        <v>132</v>
      </c>
      <c r="B9" s="70"/>
      <c r="C9" s="74"/>
      <c r="D9" s="74"/>
      <c r="E9" s="70"/>
      <c r="F9" s="70"/>
      <c r="G9" s="70"/>
      <c r="H9" s="70"/>
      <c r="I9" s="70"/>
      <c r="J9" s="70"/>
      <c r="K9" s="82"/>
      <c r="L9" s="75"/>
      <c r="M9" s="75"/>
      <c r="N9" s="75"/>
      <c r="O9" s="75"/>
      <c r="P9" s="75"/>
      <c r="Q9" s="75"/>
      <c r="R9" s="75"/>
      <c r="S9" s="75"/>
      <c r="T9" s="75"/>
      <c r="U9" s="75"/>
    </row>
    <row r="10" spans="1:24" ht="18" customHeight="1" x14ac:dyDescent="0.15">
      <c r="A10" s="70"/>
      <c r="B10" s="74"/>
      <c r="C10" s="74"/>
      <c r="D10" s="74"/>
      <c r="E10" s="74"/>
      <c r="F10" s="74"/>
      <c r="G10" s="74"/>
      <c r="H10" s="74"/>
      <c r="I10" s="74"/>
      <c r="J10" s="74"/>
      <c r="K10" s="74"/>
      <c r="L10" s="76"/>
      <c r="M10" s="74"/>
      <c r="N10" s="74"/>
      <c r="O10" s="74"/>
      <c r="P10" s="74"/>
      <c r="Q10" s="74"/>
      <c r="R10" s="74"/>
      <c r="S10" s="74"/>
      <c r="T10" s="74"/>
      <c r="U10" s="74"/>
    </row>
    <row r="11" spans="1:24" ht="18" customHeight="1" x14ac:dyDescent="0.15">
      <c r="A11" s="70"/>
      <c r="B11" s="138"/>
      <c r="C11" s="139"/>
      <c r="D11" s="139"/>
      <c r="E11" s="139"/>
      <c r="F11" s="139"/>
      <c r="G11" s="139"/>
      <c r="H11" s="139"/>
      <c r="I11" s="139"/>
      <c r="J11" s="139"/>
      <c r="K11" s="139"/>
      <c r="L11" s="139"/>
      <c r="M11" s="139"/>
      <c r="N11" s="139"/>
      <c r="O11" s="139"/>
      <c r="P11" s="139"/>
      <c r="Q11" s="139"/>
      <c r="R11" s="139"/>
      <c r="S11" s="139"/>
      <c r="T11" s="139"/>
      <c r="U11" s="140"/>
    </row>
    <row r="12" spans="1:24" ht="18" customHeight="1" x14ac:dyDescent="0.15">
      <c r="A12" s="70"/>
      <c r="B12" s="141"/>
      <c r="C12" s="142"/>
      <c r="D12" s="142"/>
      <c r="E12" s="142"/>
      <c r="F12" s="142"/>
      <c r="G12" s="142"/>
      <c r="H12" s="142"/>
      <c r="I12" s="142"/>
      <c r="J12" s="142"/>
      <c r="K12" s="142"/>
      <c r="L12" s="142"/>
      <c r="M12" s="142"/>
      <c r="N12" s="142"/>
      <c r="O12" s="142"/>
      <c r="P12" s="142"/>
      <c r="Q12" s="142"/>
      <c r="R12" s="142"/>
      <c r="S12" s="142"/>
      <c r="T12" s="142"/>
      <c r="U12" s="143"/>
    </row>
    <row r="13" spans="1:24" ht="18" customHeight="1" x14ac:dyDescent="0.15">
      <c r="A13" s="70"/>
      <c r="B13" s="74"/>
      <c r="C13" s="74"/>
      <c r="D13" s="74"/>
      <c r="E13" s="74"/>
      <c r="F13" s="74"/>
      <c r="G13" s="74"/>
      <c r="H13" s="74"/>
      <c r="I13" s="74"/>
      <c r="J13" s="74"/>
      <c r="K13" s="74"/>
      <c r="L13" s="76"/>
      <c r="M13" s="74"/>
      <c r="N13" s="74"/>
      <c r="O13" s="74"/>
      <c r="P13" s="74"/>
      <c r="Q13" s="74"/>
      <c r="R13" s="74"/>
      <c r="S13" s="74"/>
      <c r="T13" s="74"/>
      <c r="U13" s="74"/>
    </row>
    <row r="14" spans="1:24" ht="18" customHeight="1" x14ac:dyDescent="0.15">
      <c r="A14" s="70" t="s">
        <v>101</v>
      </c>
      <c r="B14" s="74"/>
      <c r="C14" s="74"/>
      <c r="D14" s="74"/>
      <c r="E14" s="82"/>
      <c r="F14" s="82"/>
      <c r="G14" s="82"/>
      <c r="H14" s="82"/>
      <c r="I14" s="82"/>
      <c r="J14" s="82"/>
      <c r="K14" s="82"/>
      <c r="L14" s="77"/>
      <c r="M14" s="77"/>
      <c r="N14" s="77"/>
      <c r="O14" s="77"/>
      <c r="P14" s="77"/>
      <c r="Q14" s="77"/>
      <c r="R14" s="77"/>
      <c r="S14" s="77"/>
      <c r="T14" s="77"/>
      <c r="U14" s="77"/>
    </row>
    <row r="15" spans="1:24" ht="18" customHeight="1" x14ac:dyDescent="0.15">
      <c r="A15" s="70"/>
      <c r="B15" s="177" t="s">
        <v>178</v>
      </c>
      <c r="C15" s="178"/>
      <c r="D15" s="178"/>
      <c r="E15" s="178"/>
      <c r="F15" s="178"/>
      <c r="G15" s="178"/>
      <c r="H15" s="178"/>
      <c r="I15" s="178"/>
      <c r="J15" s="178"/>
      <c r="K15" s="178"/>
      <c r="L15" s="178"/>
      <c r="M15" s="178"/>
      <c r="N15" s="178"/>
      <c r="O15" s="178"/>
      <c r="P15" s="178"/>
      <c r="Q15" s="178"/>
      <c r="R15" s="178"/>
      <c r="S15" s="178"/>
      <c r="T15" s="178"/>
      <c r="U15" s="179"/>
      <c r="X15" s="90" t="s">
        <v>95</v>
      </c>
    </row>
    <row r="16" spans="1:24" ht="18" customHeight="1" x14ac:dyDescent="0.15">
      <c r="A16" s="70"/>
      <c r="B16" s="180"/>
      <c r="C16" s="181"/>
      <c r="D16" s="181"/>
      <c r="E16" s="181"/>
      <c r="F16" s="181"/>
      <c r="G16" s="181"/>
      <c r="H16" s="181"/>
      <c r="I16" s="181"/>
      <c r="J16" s="181"/>
      <c r="K16" s="181"/>
      <c r="L16" s="181"/>
      <c r="M16" s="181"/>
      <c r="N16" s="181"/>
      <c r="O16" s="181"/>
      <c r="P16" s="181"/>
      <c r="Q16" s="181"/>
      <c r="R16" s="181"/>
      <c r="S16" s="181"/>
      <c r="T16" s="181"/>
      <c r="U16" s="182"/>
      <c r="X16" s="90" t="s">
        <v>115</v>
      </c>
    </row>
    <row r="17" spans="1:24" ht="18" customHeight="1" x14ac:dyDescent="0.15">
      <c r="A17" s="70"/>
      <c r="B17" s="180"/>
      <c r="C17" s="181"/>
      <c r="D17" s="181"/>
      <c r="E17" s="181"/>
      <c r="F17" s="181"/>
      <c r="G17" s="181"/>
      <c r="H17" s="181"/>
      <c r="I17" s="181"/>
      <c r="J17" s="181"/>
      <c r="K17" s="181"/>
      <c r="L17" s="181"/>
      <c r="M17" s="181"/>
      <c r="N17" s="181"/>
      <c r="O17" s="181"/>
      <c r="P17" s="181"/>
      <c r="Q17" s="181"/>
      <c r="R17" s="181"/>
      <c r="S17" s="181"/>
      <c r="T17" s="181"/>
      <c r="U17" s="182"/>
      <c r="X17" s="90" t="s">
        <v>116</v>
      </c>
    </row>
    <row r="18" spans="1:24" ht="18" customHeight="1" x14ac:dyDescent="0.15">
      <c r="A18" s="70"/>
      <c r="B18" s="180"/>
      <c r="C18" s="181"/>
      <c r="D18" s="181"/>
      <c r="E18" s="181"/>
      <c r="F18" s="181"/>
      <c r="G18" s="181"/>
      <c r="H18" s="181"/>
      <c r="I18" s="181"/>
      <c r="J18" s="181"/>
      <c r="K18" s="181"/>
      <c r="L18" s="181"/>
      <c r="M18" s="181"/>
      <c r="N18" s="181"/>
      <c r="O18" s="181"/>
      <c r="P18" s="181"/>
      <c r="Q18" s="181"/>
      <c r="R18" s="181"/>
      <c r="S18" s="181"/>
      <c r="T18" s="181"/>
      <c r="U18" s="182"/>
      <c r="X18" s="90" t="s">
        <v>117</v>
      </c>
    </row>
    <row r="19" spans="1:24" ht="18" customHeight="1" x14ac:dyDescent="0.15">
      <c r="A19" s="70"/>
      <c r="B19" s="180"/>
      <c r="C19" s="181"/>
      <c r="D19" s="181"/>
      <c r="E19" s="181"/>
      <c r="F19" s="181"/>
      <c r="G19" s="181"/>
      <c r="H19" s="181"/>
      <c r="I19" s="181"/>
      <c r="J19" s="181"/>
      <c r="K19" s="181"/>
      <c r="L19" s="181"/>
      <c r="M19" s="181"/>
      <c r="N19" s="181"/>
      <c r="O19" s="181"/>
      <c r="P19" s="181"/>
      <c r="Q19" s="181"/>
      <c r="R19" s="181"/>
      <c r="S19" s="181"/>
      <c r="T19" s="181"/>
      <c r="U19" s="182"/>
    </row>
    <row r="20" spans="1:24" ht="18" customHeight="1" x14ac:dyDescent="0.15">
      <c r="A20" s="70"/>
      <c r="B20" s="183"/>
      <c r="C20" s="184"/>
      <c r="D20" s="184"/>
      <c r="E20" s="184"/>
      <c r="F20" s="184"/>
      <c r="G20" s="184"/>
      <c r="H20" s="184"/>
      <c r="I20" s="184"/>
      <c r="J20" s="184"/>
      <c r="K20" s="184"/>
      <c r="L20" s="184"/>
      <c r="M20" s="184"/>
      <c r="N20" s="184"/>
      <c r="O20" s="184"/>
      <c r="P20" s="184"/>
      <c r="Q20" s="184"/>
      <c r="R20" s="184"/>
      <c r="S20" s="184"/>
      <c r="T20" s="184"/>
      <c r="U20" s="185"/>
    </row>
    <row r="21" spans="1:24" ht="18" customHeight="1" x14ac:dyDescent="0.15">
      <c r="A21" s="70"/>
      <c r="B21" s="74"/>
      <c r="C21" s="74"/>
      <c r="D21" s="74"/>
      <c r="E21" s="74"/>
      <c r="F21" s="74"/>
      <c r="G21" s="74"/>
      <c r="H21" s="74"/>
      <c r="I21" s="74"/>
      <c r="J21" s="74"/>
      <c r="K21" s="74"/>
      <c r="L21" s="74"/>
      <c r="M21" s="74"/>
      <c r="N21" s="74"/>
      <c r="O21" s="74"/>
      <c r="P21" s="74"/>
      <c r="Q21" s="74"/>
      <c r="R21" s="74"/>
      <c r="S21" s="74"/>
      <c r="T21" s="74"/>
      <c r="U21" s="74"/>
    </row>
    <row r="22" spans="1:24" ht="18" customHeight="1" x14ac:dyDescent="0.15">
      <c r="A22" s="70"/>
      <c r="B22" s="70" t="s">
        <v>133</v>
      </c>
      <c r="C22" s="70"/>
      <c r="D22" s="70"/>
      <c r="E22" s="78">
        <v>6</v>
      </c>
      <c r="F22" s="70" t="s">
        <v>113</v>
      </c>
      <c r="G22" s="70"/>
      <c r="H22" s="79">
        <v>12</v>
      </c>
      <c r="I22" s="74" t="s">
        <v>114</v>
      </c>
      <c r="J22" s="74"/>
      <c r="K22" s="82"/>
      <c r="L22" s="70"/>
      <c r="M22" s="82" t="s">
        <v>110</v>
      </c>
      <c r="N22" s="150" t="s">
        <v>117</v>
      </c>
      <c r="O22" s="151"/>
      <c r="P22" s="151"/>
      <c r="Q22" s="151"/>
      <c r="R22" s="151"/>
      <c r="S22" s="151"/>
      <c r="T22" s="151"/>
      <c r="U22" s="152"/>
    </row>
    <row r="23" spans="1:24" ht="18" customHeight="1" x14ac:dyDescent="0.15">
      <c r="A23" s="70"/>
      <c r="B23" s="74"/>
      <c r="C23" s="74"/>
      <c r="D23" s="74"/>
      <c r="E23" s="74"/>
      <c r="F23" s="74"/>
      <c r="G23" s="74"/>
      <c r="H23" s="74"/>
      <c r="I23" s="74"/>
      <c r="J23" s="74"/>
      <c r="K23" s="74"/>
      <c r="L23" s="74"/>
      <c r="M23" s="74"/>
      <c r="N23" s="74"/>
      <c r="O23" s="74"/>
      <c r="P23" s="74"/>
      <c r="Q23" s="74"/>
      <c r="R23" s="74"/>
      <c r="S23" s="74"/>
      <c r="T23" s="74"/>
      <c r="U23" s="74"/>
    </row>
    <row r="24" spans="1:24" ht="18" customHeight="1" x14ac:dyDescent="0.15">
      <c r="A24" s="186" t="s">
        <v>102</v>
      </c>
      <c r="B24" s="186"/>
      <c r="C24" s="186"/>
      <c r="D24" s="186"/>
      <c r="E24" s="186"/>
      <c r="F24" s="186"/>
      <c r="G24" s="186"/>
      <c r="H24" s="186"/>
      <c r="I24" s="186"/>
      <c r="J24" s="186"/>
      <c r="K24" s="186"/>
      <c r="L24" s="186"/>
      <c r="M24" s="186"/>
      <c r="N24" s="186"/>
      <c r="O24" s="186"/>
      <c r="P24" s="186"/>
      <c r="Q24" s="186"/>
      <c r="R24" s="186"/>
      <c r="S24" s="186"/>
      <c r="T24" s="186"/>
      <c r="U24" s="186"/>
    </row>
    <row r="25" spans="1:24" ht="18" customHeight="1" x14ac:dyDescent="0.15">
      <c r="A25" s="186"/>
      <c r="B25" s="186"/>
      <c r="C25" s="186"/>
      <c r="D25" s="186"/>
      <c r="E25" s="186"/>
      <c r="F25" s="186"/>
      <c r="G25" s="186"/>
      <c r="H25" s="186"/>
      <c r="I25" s="186"/>
      <c r="J25" s="186"/>
      <c r="K25" s="186"/>
      <c r="L25" s="186"/>
      <c r="M25" s="186"/>
      <c r="N25" s="186"/>
      <c r="O25" s="186"/>
      <c r="P25" s="186"/>
      <c r="Q25" s="186"/>
      <c r="R25" s="186"/>
      <c r="S25" s="186"/>
      <c r="T25" s="186"/>
      <c r="U25" s="186"/>
    </row>
    <row r="26" spans="1:24" ht="18" customHeight="1" x14ac:dyDescent="0.15">
      <c r="B26" s="105" t="s">
        <v>52</v>
      </c>
      <c r="C26" s="106"/>
      <c r="D26" s="106"/>
      <c r="E26" s="106"/>
      <c r="F26" s="107"/>
      <c r="G26" s="45" t="s">
        <v>78</v>
      </c>
      <c r="H26" s="44" t="s">
        <v>81</v>
      </c>
      <c r="I26" s="16" t="s">
        <v>55</v>
      </c>
      <c r="J26" s="16" t="s">
        <v>58</v>
      </c>
      <c r="K26" s="105" t="s">
        <v>52</v>
      </c>
      <c r="L26" s="106"/>
      <c r="M26" s="106"/>
      <c r="N26" s="106"/>
      <c r="O26" s="106"/>
      <c r="P26" s="106"/>
      <c r="Q26" s="107"/>
      <c r="R26" s="45" t="s">
        <v>78</v>
      </c>
      <c r="S26" s="44" t="s">
        <v>81</v>
      </c>
      <c r="T26" s="16" t="s">
        <v>55</v>
      </c>
      <c r="U26" s="16" t="s">
        <v>58</v>
      </c>
    </row>
    <row r="27" spans="1:24" ht="18" customHeight="1" x14ac:dyDescent="0.15">
      <c r="B27" s="108" t="s">
        <v>179</v>
      </c>
      <c r="C27" s="109"/>
      <c r="D27" s="109"/>
      <c r="E27" s="109"/>
      <c r="F27" s="110"/>
      <c r="G27" s="17">
        <v>2</v>
      </c>
      <c r="H27" s="17" t="s">
        <v>148</v>
      </c>
      <c r="I27" s="17" t="s">
        <v>148</v>
      </c>
      <c r="J27" s="17" t="s">
        <v>148</v>
      </c>
      <c r="K27" s="108"/>
      <c r="L27" s="109"/>
      <c r="M27" s="109"/>
      <c r="N27" s="109"/>
      <c r="O27" s="109"/>
      <c r="P27" s="109"/>
      <c r="Q27" s="110"/>
      <c r="R27" s="17"/>
      <c r="S27" s="17"/>
      <c r="T27" s="17"/>
      <c r="U27" s="17"/>
    </row>
    <row r="28" spans="1:24" ht="18" customHeight="1" x14ac:dyDescent="0.15">
      <c r="B28" s="111" t="s">
        <v>180</v>
      </c>
      <c r="C28" s="112"/>
      <c r="D28" s="112"/>
      <c r="E28" s="112"/>
      <c r="F28" s="113"/>
      <c r="G28" s="18">
        <v>2</v>
      </c>
      <c r="H28" s="18" t="s">
        <v>148</v>
      </c>
      <c r="I28" s="18" t="s">
        <v>148</v>
      </c>
      <c r="J28" s="18" t="s">
        <v>148</v>
      </c>
      <c r="K28" s="111"/>
      <c r="L28" s="112"/>
      <c r="M28" s="112"/>
      <c r="N28" s="112"/>
      <c r="O28" s="112"/>
      <c r="P28" s="112"/>
      <c r="Q28" s="113"/>
      <c r="R28" s="18"/>
      <c r="S28" s="18"/>
      <c r="T28" s="18"/>
      <c r="U28" s="18"/>
    </row>
    <row r="29" spans="1:24" ht="18" customHeight="1" x14ac:dyDescent="0.15">
      <c r="B29" s="111" t="s">
        <v>181</v>
      </c>
      <c r="C29" s="112"/>
      <c r="D29" s="112"/>
      <c r="E29" s="112"/>
      <c r="F29" s="113"/>
      <c r="G29" s="18">
        <v>2</v>
      </c>
      <c r="H29" s="18" t="s">
        <v>148</v>
      </c>
      <c r="I29" s="18" t="s">
        <v>148</v>
      </c>
      <c r="J29" s="18" t="s">
        <v>148</v>
      </c>
      <c r="K29" s="111"/>
      <c r="L29" s="112"/>
      <c r="M29" s="112"/>
      <c r="N29" s="112"/>
      <c r="O29" s="112"/>
      <c r="P29" s="112"/>
      <c r="Q29" s="113"/>
      <c r="R29" s="18"/>
      <c r="S29" s="18"/>
      <c r="T29" s="18"/>
      <c r="U29" s="18"/>
    </row>
    <row r="30" spans="1:24" ht="18" customHeight="1" x14ac:dyDescent="0.15">
      <c r="B30" s="111" t="s">
        <v>182</v>
      </c>
      <c r="C30" s="112"/>
      <c r="D30" s="112"/>
      <c r="E30" s="112"/>
      <c r="F30" s="113"/>
      <c r="G30" s="18">
        <v>2</v>
      </c>
      <c r="H30" s="18"/>
      <c r="I30" s="18" t="s">
        <v>148</v>
      </c>
      <c r="J30" s="18" t="s">
        <v>148</v>
      </c>
      <c r="K30" s="111"/>
      <c r="L30" s="112"/>
      <c r="M30" s="112"/>
      <c r="N30" s="112"/>
      <c r="O30" s="112"/>
      <c r="P30" s="112"/>
      <c r="Q30" s="113"/>
      <c r="R30" s="18"/>
      <c r="S30" s="18"/>
      <c r="T30" s="18"/>
      <c r="U30" s="18"/>
    </row>
    <row r="31" spans="1:24" ht="18" customHeight="1" x14ac:dyDescent="0.15">
      <c r="B31" s="111" t="s">
        <v>183</v>
      </c>
      <c r="C31" s="112"/>
      <c r="D31" s="112"/>
      <c r="E31" s="112"/>
      <c r="F31" s="113"/>
      <c r="G31" s="18">
        <v>2</v>
      </c>
      <c r="H31" s="18"/>
      <c r="I31" s="18" t="s">
        <v>148</v>
      </c>
      <c r="J31" s="18" t="s">
        <v>148</v>
      </c>
      <c r="K31" s="111"/>
      <c r="L31" s="112"/>
      <c r="M31" s="112"/>
      <c r="N31" s="112"/>
      <c r="O31" s="112"/>
      <c r="P31" s="112"/>
      <c r="Q31" s="113"/>
      <c r="R31" s="18"/>
      <c r="S31" s="18"/>
      <c r="T31" s="18"/>
      <c r="U31" s="18"/>
    </row>
    <row r="32" spans="1:24" ht="18" customHeight="1" x14ac:dyDescent="0.15">
      <c r="A32" s="89"/>
      <c r="B32" s="111"/>
      <c r="C32" s="112"/>
      <c r="D32" s="112"/>
      <c r="E32" s="112"/>
      <c r="F32" s="113"/>
      <c r="G32" s="18"/>
      <c r="H32" s="18"/>
      <c r="I32" s="18"/>
      <c r="J32" s="18"/>
      <c r="K32" s="111"/>
      <c r="L32" s="112"/>
      <c r="M32" s="112"/>
      <c r="N32" s="112"/>
      <c r="O32" s="112"/>
      <c r="P32" s="112"/>
      <c r="Q32" s="113"/>
      <c r="R32" s="18"/>
      <c r="S32" s="18"/>
      <c r="T32" s="18"/>
      <c r="U32" s="18"/>
    </row>
    <row r="33" spans="1:21" ht="18" customHeight="1" x14ac:dyDescent="0.15">
      <c r="A33" s="89"/>
      <c r="B33" s="96"/>
      <c r="C33" s="97"/>
      <c r="D33" s="97"/>
      <c r="E33" s="97"/>
      <c r="F33" s="98"/>
      <c r="G33" s="19"/>
      <c r="H33" s="19"/>
      <c r="I33" s="20"/>
      <c r="J33" s="20"/>
      <c r="K33" s="96"/>
      <c r="L33" s="97"/>
      <c r="M33" s="97"/>
      <c r="N33" s="97"/>
      <c r="O33" s="97"/>
      <c r="P33" s="97"/>
      <c r="Q33" s="98"/>
      <c r="R33" s="19"/>
      <c r="S33" s="19"/>
      <c r="T33" s="20"/>
      <c r="U33" s="20"/>
    </row>
    <row r="34" spans="1:21" ht="18" customHeight="1" x14ac:dyDescent="0.15">
      <c r="A34" s="89"/>
      <c r="B34" s="5"/>
      <c r="C34" s="5"/>
      <c r="D34" s="5"/>
      <c r="E34" s="89"/>
      <c r="F34" s="89"/>
      <c r="G34" s="89"/>
      <c r="H34" s="89"/>
      <c r="I34" s="5"/>
      <c r="J34" s="5"/>
      <c r="K34" s="5"/>
      <c r="L34" s="5"/>
      <c r="M34" s="5"/>
      <c r="N34" s="5"/>
      <c r="O34" s="5"/>
      <c r="P34" s="5"/>
      <c r="Q34" s="5"/>
      <c r="R34" s="5"/>
      <c r="S34" s="5"/>
      <c r="T34" s="5"/>
      <c r="U34" s="89"/>
    </row>
    <row r="35" spans="1:21" ht="18" customHeight="1" x14ac:dyDescent="0.15">
      <c r="A35" s="95" t="s">
        <v>103</v>
      </c>
      <c r="B35" s="95"/>
      <c r="C35" s="95"/>
      <c r="D35" s="95"/>
      <c r="E35" s="95"/>
      <c r="F35" s="95"/>
      <c r="G35" s="95"/>
      <c r="H35" s="95"/>
      <c r="I35" s="95"/>
      <c r="J35" s="95"/>
      <c r="K35" s="95"/>
      <c r="L35" s="95"/>
      <c r="M35" s="95"/>
      <c r="N35" s="95"/>
      <c r="O35" s="95"/>
      <c r="P35" s="95"/>
      <c r="Q35" s="95"/>
      <c r="R35" s="95"/>
      <c r="S35" s="95"/>
      <c r="T35" s="95"/>
      <c r="U35" s="95"/>
    </row>
    <row r="36" spans="1:21" ht="18" customHeight="1" x14ac:dyDescent="0.15">
      <c r="A36" s="95"/>
      <c r="B36" s="95"/>
      <c r="C36" s="95"/>
      <c r="D36" s="95"/>
      <c r="E36" s="95"/>
      <c r="F36" s="95"/>
      <c r="G36" s="95"/>
      <c r="H36" s="95"/>
      <c r="I36" s="95"/>
      <c r="J36" s="95"/>
      <c r="K36" s="95"/>
      <c r="L36" s="95"/>
      <c r="M36" s="95"/>
      <c r="N36" s="95"/>
      <c r="O36" s="95"/>
      <c r="P36" s="95"/>
      <c r="Q36" s="95"/>
      <c r="R36" s="95"/>
      <c r="S36" s="95"/>
      <c r="T36" s="95"/>
      <c r="U36" s="95"/>
    </row>
    <row r="37" spans="1:21" ht="18" customHeight="1" x14ac:dyDescent="0.15">
      <c r="B37" s="105" t="s">
        <v>52</v>
      </c>
      <c r="C37" s="106"/>
      <c r="D37" s="106"/>
      <c r="E37" s="106"/>
      <c r="F37" s="107"/>
      <c r="G37" s="45" t="s">
        <v>78</v>
      </c>
      <c r="H37" s="44" t="s">
        <v>81</v>
      </c>
      <c r="I37" s="16" t="s">
        <v>69</v>
      </c>
      <c r="J37" s="16" t="s">
        <v>70</v>
      </c>
      <c r="K37" s="105" t="s">
        <v>52</v>
      </c>
      <c r="L37" s="106"/>
      <c r="M37" s="106"/>
      <c r="N37" s="106"/>
      <c r="O37" s="106"/>
      <c r="P37" s="106"/>
      <c r="Q37" s="107"/>
      <c r="R37" s="45" t="s">
        <v>78</v>
      </c>
      <c r="S37" s="44" t="s">
        <v>81</v>
      </c>
      <c r="T37" s="16" t="s">
        <v>69</v>
      </c>
      <c r="U37" s="16" t="s">
        <v>70</v>
      </c>
    </row>
    <row r="38" spans="1:21" ht="18" customHeight="1" x14ac:dyDescent="0.15">
      <c r="B38" s="108" t="s">
        <v>179</v>
      </c>
      <c r="C38" s="109"/>
      <c r="D38" s="109"/>
      <c r="E38" s="109"/>
      <c r="F38" s="110"/>
      <c r="G38" s="17">
        <v>2</v>
      </c>
      <c r="H38" s="17" t="s">
        <v>148</v>
      </c>
      <c r="I38" s="17" t="s">
        <v>148</v>
      </c>
      <c r="J38" s="17" t="s">
        <v>148</v>
      </c>
      <c r="K38" s="108"/>
      <c r="L38" s="109"/>
      <c r="M38" s="109"/>
      <c r="N38" s="109"/>
      <c r="O38" s="109"/>
      <c r="P38" s="109"/>
      <c r="Q38" s="110"/>
      <c r="R38" s="17"/>
      <c r="S38" s="17"/>
      <c r="T38" s="17"/>
      <c r="U38" s="17"/>
    </row>
    <row r="39" spans="1:21" ht="18" customHeight="1" x14ac:dyDescent="0.15">
      <c r="B39" s="111" t="s">
        <v>180</v>
      </c>
      <c r="C39" s="112"/>
      <c r="D39" s="112"/>
      <c r="E39" s="112"/>
      <c r="F39" s="113"/>
      <c r="G39" s="18">
        <v>2</v>
      </c>
      <c r="H39" s="18" t="s">
        <v>148</v>
      </c>
      <c r="I39" s="18" t="s">
        <v>148</v>
      </c>
      <c r="J39" s="18" t="s">
        <v>148</v>
      </c>
      <c r="K39" s="111"/>
      <c r="L39" s="112"/>
      <c r="M39" s="112"/>
      <c r="N39" s="112"/>
      <c r="O39" s="112"/>
      <c r="P39" s="112"/>
      <c r="Q39" s="113"/>
      <c r="R39" s="18"/>
      <c r="S39" s="18"/>
      <c r="T39" s="18"/>
      <c r="U39" s="18"/>
    </row>
    <row r="40" spans="1:21" ht="18" customHeight="1" x14ac:dyDescent="0.15">
      <c r="B40" s="111" t="s">
        <v>181</v>
      </c>
      <c r="C40" s="112"/>
      <c r="D40" s="112"/>
      <c r="E40" s="112"/>
      <c r="F40" s="113"/>
      <c r="G40" s="18">
        <v>2</v>
      </c>
      <c r="H40" s="18" t="s">
        <v>148</v>
      </c>
      <c r="I40" s="18" t="s">
        <v>148</v>
      </c>
      <c r="J40" s="18" t="s">
        <v>148</v>
      </c>
      <c r="K40" s="111"/>
      <c r="L40" s="112"/>
      <c r="M40" s="112"/>
      <c r="N40" s="112"/>
      <c r="O40" s="112"/>
      <c r="P40" s="112"/>
      <c r="Q40" s="113"/>
      <c r="R40" s="18"/>
      <c r="S40" s="18"/>
      <c r="T40" s="18"/>
      <c r="U40" s="18"/>
    </row>
    <row r="41" spans="1:21" ht="18" customHeight="1" x14ac:dyDescent="0.15">
      <c r="B41" s="111" t="s">
        <v>182</v>
      </c>
      <c r="C41" s="112"/>
      <c r="D41" s="112"/>
      <c r="E41" s="112"/>
      <c r="F41" s="113"/>
      <c r="G41" s="18">
        <v>2</v>
      </c>
      <c r="H41" s="18"/>
      <c r="I41" s="18" t="s">
        <v>148</v>
      </c>
      <c r="J41" s="18" t="s">
        <v>148</v>
      </c>
      <c r="K41" s="111"/>
      <c r="L41" s="112"/>
      <c r="M41" s="112"/>
      <c r="N41" s="112"/>
      <c r="O41" s="112"/>
      <c r="P41" s="112"/>
      <c r="Q41" s="113"/>
      <c r="R41" s="18"/>
      <c r="S41" s="18"/>
      <c r="T41" s="18"/>
      <c r="U41" s="18"/>
    </row>
    <row r="42" spans="1:21" ht="18" customHeight="1" x14ac:dyDescent="0.15">
      <c r="B42" s="111" t="s">
        <v>184</v>
      </c>
      <c r="C42" s="112"/>
      <c r="D42" s="112"/>
      <c r="E42" s="112"/>
      <c r="F42" s="113"/>
      <c r="G42" s="18">
        <v>2</v>
      </c>
      <c r="H42" s="18"/>
      <c r="I42" s="18" t="s">
        <v>148</v>
      </c>
      <c r="J42" s="18" t="s">
        <v>148</v>
      </c>
      <c r="K42" s="111"/>
      <c r="L42" s="112"/>
      <c r="M42" s="112"/>
      <c r="N42" s="112"/>
      <c r="O42" s="112"/>
      <c r="P42" s="112"/>
      <c r="Q42" s="113"/>
      <c r="R42" s="18"/>
      <c r="S42" s="18"/>
      <c r="T42" s="18"/>
      <c r="U42" s="18"/>
    </row>
    <row r="43" spans="1:21" ht="18" customHeight="1" x14ac:dyDescent="0.15">
      <c r="B43" s="111" t="s">
        <v>183</v>
      </c>
      <c r="C43" s="112"/>
      <c r="D43" s="112"/>
      <c r="E43" s="112"/>
      <c r="F43" s="113"/>
      <c r="G43" s="18">
        <v>2</v>
      </c>
      <c r="H43" s="18"/>
      <c r="I43" s="18" t="s">
        <v>148</v>
      </c>
      <c r="J43" s="18" t="s">
        <v>148</v>
      </c>
      <c r="K43" s="111"/>
      <c r="L43" s="112"/>
      <c r="M43" s="112"/>
      <c r="N43" s="112"/>
      <c r="O43" s="112"/>
      <c r="P43" s="112"/>
      <c r="Q43" s="113"/>
      <c r="R43" s="18"/>
      <c r="S43" s="18"/>
      <c r="T43" s="18"/>
      <c r="U43" s="18"/>
    </row>
    <row r="44" spans="1:21" ht="18" customHeight="1" x14ac:dyDescent="0.15">
      <c r="B44" s="96"/>
      <c r="C44" s="97"/>
      <c r="D44" s="97"/>
      <c r="E44" s="97"/>
      <c r="F44" s="98"/>
      <c r="G44" s="19"/>
      <c r="H44" s="19"/>
      <c r="I44" s="20"/>
      <c r="J44" s="20"/>
      <c r="K44" s="96"/>
      <c r="L44" s="97"/>
      <c r="M44" s="97"/>
      <c r="N44" s="97"/>
      <c r="O44" s="97"/>
      <c r="P44" s="97"/>
      <c r="Q44" s="98"/>
      <c r="R44" s="19"/>
      <c r="S44" s="19"/>
      <c r="T44" s="20"/>
      <c r="U44" s="20"/>
    </row>
    <row r="45" spans="1:21" ht="18" customHeight="1" x14ac:dyDescent="0.15">
      <c r="A45" s="89"/>
      <c r="B45" s="5"/>
      <c r="C45" s="5"/>
      <c r="D45" s="5"/>
      <c r="E45" s="89"/>
      <c r="F45" s="89"/>
      <c r="G45" s="89"/>
      <c r="H45" s="89"/>
      <c r="I45" s="5"/>
      <c r="J45" s="5"/>
      <c r="K45" s="5"/>
      <c r="L45" s="5"/>
      <c r="M45" s="5"/>
      <c r="N45" s="5"/>
      <c r="O45" s="5"/>
      <c r="P45" s="5"/>
      <c r="Q45" s="5"/>
      <c r="R45" s="5"/>
      <c r="S45" s="5"/>
      <c r="T45" s="5"/>
      <c r="U45" s="89"/>
    </row>
    <row r="46" spans="1:21" ht="18" customHeight="1" x14ac:dyDescent="0.15">
      <c r="A46" s="95" t="s">
        <v>104</v>
      </c>
      <c r="B46" s="95"/>
      <c r="C46" s="95"/>
      <c r="D46" s="95"/>
      <c r="E46" s="95"/>
      <c r="F46" s="95"/>
      <c r="G46" s="95"/>
      <c r="H46" s="95"/>
      <c r="I46" s="95"/>
      <c r="J46" s="95"/>
      <c r="K46" s="95"/>
      <c r="L46" s="95"/>
      <c r="M46" s="95"/>
      <c r="N46" s="95"/>
      <c r="O46" s="95"/>
      <c r="P46" s="95"/>
      <c r="Q46" s="95"/>
      <c r="R46" s="95"/>
      <c r="S46" s="95"/>
      <c r="T46" s="95"/>
      <c r="U46" s="95"/>
    </row>
    <row r="47" spans="1:21" ht="18" customHeight="1" x14ac:dyDescent="0.15">
      <c r="A47" s="95"/>
      <c r="B47" s="95"/>
      <c r="C47" s="95"/>
      <c r="D47" s="95"/>
      <c r="E47" s="95"/>
      <c r="F47" s="95"/>
      <c r="G47" s="95"/>
      <c r="H47" s="95"/>
      <c r="I47" s="95"/>
      <c r="J47" s="95"/>
      <c r="K47" s="95"/>
      <c r="L47" s="95"/>
      <c r="M47" s="95"/>
      <c r="N47" s="95"/>
      <c r="O47" s="95"/>
      <c r="P47" s="95"/>
      <c r="Q47" s="95"/>
      <c r="R47" s="95"/>
      <c r="S47" s="95"/>
      <c r="T47" s="95"/>
      <c r="U47" s="95"/>
    </row>
    <row r="48" spans="1:21" ht="18" customHeight="1" x14ac:dyDescent="0.15">
      <c r="B48" s="105" t="s">
        <v>52</v>
      </c>
      <c r="C48" s="106"/>
      <c r="D48" s="106"/>
      <c r="E48" s="106"/>
      <c r="F48" s="107"/>
      <c r="G48" s="45" t="s">
        <v>78</v>
      </c>
      <c r="H48" s="44" t="s">
        <v>81</v>
      </c>
      <c r="I48" s="16" t="s">
        <v>71</v>
      </c>
      <c r="J48" s="16" t="s">
        <v>72</v>
      </c>
      <c r="K48" s="105" t="s">
        <v>52</v>
      </c>
      <c r="L48" s="106"/>
      <c r="M48" s="106"/>
      <c r="N48" s="106"/>
      <c r="O48" s="106"/>
      <c r="P48" s="106"/>
      <c r="Q48" s="107"/>
      <c r="R48" s="45" t="s">
        <v>78</v>
      </c>
      <c r="S48" s="44" t="s">
        <v>81</v>
      </c>
      <c r="T48" s="16" t="s">
        <v>71</v>
      </c>
      <c r="U48" s="16" t="s">
        <v>72</v>
      </c>
    </row>
    <row r="49" spans="1:21" ht="18" customHeight="1" x14ac:dyDescent="0.15">
      <c r="A49" s="89"/>
      <c r="B49" s="108" t="s">
        <v>179</v>
      </c>
      <c r="C49" s="109"/>
      <c r="D49" s="109"/>
      <c r="E49" s="109"/>
      <c r="F49" s="110"/>
      <c r="G49" s="18">
        <v>2</v>
      </c>
      <c r="H49" s="17" t="s">
        <v>148</v>
      </c>
      <c r="I49" s="17" t="s">
        <v>148</v>
      </c>
      <c r="J49" s="17" t="s">
        <v>148</v>
      </c>
      <c r="K49" s="108"/>
      <c r="L49" s="109"/>
      <c r="M49" s="109"/>
      <c r="N49" s="109"/>
      <c r="O49" s="109"/>
      <c r="P49" s="109"/>
      <c r="Q49" s="110"/>
      <c r="R49" s="17"/>
      <c r="S49" s="17"/>
      <c r="T49" s="17"/>
      <c r="U49" s="17"/>
    </row>
    <row r="50" spans="1:21" ht="18" customHeight="1" x14ac:dyDescent="0.15">
      <c r="A50" s="89"/>
      <c r="B50" s="111" t="s">
        <v>180</v>
      </c>
      <c r="C50" s="112"/>
      <c r="D50" s="112"/>
      <c r="E50" s="112"/>
      <c r="F50" s="113"/>
      <c r="G50" s="18">
        <v>2</v>
      </c>
      <c r="H50" s="18" t="s">
        <v>148</v>
      </c>
      <c r="I50" s="18" t="s">
        <v>148</v>
      </c>
      <c r="J50" s="18" t="s">
        <v>148</v>
      </c>
      <c r="K50" s="111"/>
      <c r="L50" s="112"/>
      <c r="M50" s="112"/>
      <c r="N50" s="112"/>
      <c r="O50" s="112"/>
      <c r="P50" s="112"/>
      <c r="Q50" s="113"/>
      <c r="R50" s="18"/>
      <c r="S50" s="18"/>
      <c r="T50" s="18"/>
      <c r="U50" s="18"/>
    </row>
    <row r="51" spans="1:21" ht="18" customHeight="1" x14ac:dyDescent="0.15">
      <c r="A51" s="89"/>
      <c r="B51" s="111" t="s">
        <v>181</v>
      </c>
      <c r="C51" s="112"/>
      <c r="D51" s="112"/>
      <c r="E51" s="112"/>
      <c r="F51" s="113"/>
      <c r="G51" s="18">
        <v>2</v>
      </c>
      <c r="H51" s="18" t="s">
        <v>148</v>
      </c>
      <c r="I51" s="18" t="s">
        <v>148</v>
      </c>
      <c r="J51" s="18" t="s">
        <v>148</v>
      </c>
      <c r="K51" s="111"/>
      <c r="L51" s="112"/>
      <c r="M51" s="112"/>
      <c r="N51" s="112"/>
      <c r="O51" s="112"/>
      <c r="P51" s="112"/>
      <c r="Q51" s="113"/>
      <c r="R51" s="18"/>
      <c r="S51" s="18"/>
      <c r="T51" s="18"/>
      <c r="U51" s="18"/>
    </row>
    <row r="52" spans="1:21" ht="18" customHeight="1" x14ac:dyDescent="0.15">
      <c r="A52" s="89"/>
      <c r="B52" s="111" t="s">
        <v>183</v>
      </c>
      <c r="C52" s="112"/>
      <c r="D52" s="112"/>
      <c r="E52" s="112"/>
      <c r="F52" s="113"/>
      <c r="G52" s="18">
        <v>2</v>
      </c>
      <c r="H52" s="18"/>
      <c r="I52" s="18" t="s">
        <v>148</v>
      </c>
      <c r="J52" s="18" t="s">
        <v>148</v>
      </c>
      <c r="K52" s="111"/>
      <c r="L52" s="112"/>
      <c r="M52" s="112"/>
      <c r="N52" s="112"/>
      <c r="O52" s="112"/>
      <c r="P52" s="112"/>
      <c r="Q52" s="113"/>
      <c r="R52" s="18"/>
      <c r="S52" s="18"/>
      <c r="T52" s="18"/>
      <c r="U52" s="18"/>
    </row>
    <row r="53" spans="1:21" ht="18" customHeight="1" x14ac:dyDescent="0.15">
      <c r="A53" s="89"/>
      <c r="B53" s="111" t="s">
        <v>185</v>
      </c>
      <c r="C53" s="112"/>
      <c r="D53" s="112"/>
      <c r="E53" s="112"/>
      <c r="F53" s="113"/>
      <c r="G53" s="18">
        <v>2</v>
      </c>
      <c r="H53" s="18"/>
      <c r="I53" s="18" t="s">
        <v>148</v>
      </c>
      <c r="J53" s="18" t="s">
        <v>148</v>
      </c>
      <c r="K53" s="111"/>
      <c r="L53" s="112"/>
      <c r="M53" s="112"/>
      <c r="N53" s="112"/>
      <c r="O53" s="112"/>
      <c r="P53" s="112"/>
      <c r="Q53" s="113"/>
      <c r="R53" s="18"/>
      <c r="S53" s="18"/>
      <c r="T53" s="18"/>
      <c r="U53" s="18"/>
    </row>
    <row r="54" spans="1:21" ht="18" customHeight="1" x14ac:dyDescent="0.15">
      <c r="A54" s="89"/>
      <c r="B54" s="111"/>
      <c r="C54" s="112"/>
      <c r="D54" s="112"/>
      <c r="E54" s="112"/>
      <c r="F54" s="113"/>
      <c r="G54" s="18"/>
      <c r="H54" s="18"/>
      <c r="I54" s="18"/>
      <c r="J54" s="18"/>
      <c r="K54" s="111"/>
      <c r="L54" s="112"/>
      <c r="M54" s="112"/>
      <c r="N54" s="112"/>
      <c r="O54" s="112"/>
      <c r="P54" s="112"/>
      <c r="Q54" s="113"/>
      <c r="R54" s="18"/>
      <c r="S54" s="18"/>
      <c r="T54" s="18"/>
      <c r="U54" s="18"/>
    </row>
    <row r="55" spans="1:21" ht="18" customHeight="1" x14ac:dyDescent="0.15">
      <c r="A55" s="89"/>
      <c r="B55" s="96"/>
      <c r="C55" s="97"/>
      <c r="D55" s="97"/>
      <c r="E55" s="97"/>
      <c r="F55" s="98"/>
      <c r="G55" s="19"/>
      <c r="H55" s="19"/>
      <c r="I55" s="20"/>
      <c r="J55" s="20"/>
      <c r="K55" s="96"/>
      <c r="L55" s="97"/>
      <c r="M55" s="97"/>
      <c r="N55" s="97"/>
      <c r="O55" s="97"/>
      <c r="P55" s="97"/>
      <c r="Q55" s="98"/>
      <c r="R55" s="19"/>
      <c r="S55" s="19"/>
      <c r="T55" s="20"/>
      <c r="U55" s="20"/>
    </row>
    <row r="56" spans="1:21" ht="18" customHeight="1" x14ac:dyDescent="0.15">
      <c r="B56" s="85"/>
      <c r="C56" s="85"/>
      <c r="D56" s="85"/>
      <c r="E56" s="85"/>
      <c r="F56" s="85"/>
      <c r="G56" s="85"/>
      <c r="H56" s="85"/>
      <c r="I56" s="85"/>
      <c r="J56" s="85"/>
      <c r="K56" s="85"/>
      <c r="L56" s="85"/>
      <c r="M56" s="85"/>
      <c r="N56" s="85"/>
      <c r="O56" s="85"/>
      <c r="P56" s="85"/>
      <c r="Q56" s="85"/>
      <c r="R56" s="85"/>
      <c r="S56" s="85"/>
      <c r="T56" s="85"/>
    </row>
    <row r="57" spans="1:21" ht="18" customHeight="1" x14ac:dyDescent="0.15">
      <c r="A57" s="95" t="s">
        <v>105</v>
      </c>
      <c r="B57" s="95"/>
      <c r="C57" s="95"/>
      <c r="D57" s="95"/>
      <c r="E57" s="95"/>
      <c r="F57" s="95"/>
      <c r="G57" s="95"/>
      <c r="H57" s="95"/>
      <c r="I57" s="95"/>
      <c r="J57" s="95"/>
      <c r="K57" s="95"/>
      <c r="L57" s="95"/>
      <c r="M57" s="95"/>
      <c r="N57" s="95"/>
      <c r="O57" s="95"/>
      <c r="P57" s="95"/>
      <c r="Q57" s="95"/>
      <c r="R57" s="95"/>
      <c r="S57" s="95"/>
      <c r="T57" s="95"/>
      <c r="U57" s="95"/>
    </row>
    <row r="58" spans="1:21" ht="18" customHeight="1" x14ac:dyDescent="0.15">
      <c r="A58" s="95"/>
      <c r="B58" s="95"/>
      <c r="C58" s="95"/>
      <c r="D58" s="95"/>
      <c r="E58" s="95"/>
      <c r="F58" s="95"/>
      <c r="G58" s="95"/>
      <c r="H58" s="95"/>
      <c r="I58" s="95"/>
      <c r="J58" s="95"/>
      <c r="K58" s="95"/>
      <c r="L58" s="95"/>
      <c r="M58" s="95"/>
      <c r="N58" s="95"/>
      <c r="O58" s="95"/>
      <c r="P58" s="95"/>
      <c r="Q58" s="95"/>
      <c r="R58" s="95"/>
      <c r="S58" s="95"/>
      <c r="T58" s="95"/>
      <c r="U58" s="95"/>
    </row>
    <row r="59" spans="1:21" ht="18" customHeight="1" x14ac:dyDescent="0.15">
      <c r="B59" s="105" t="s">
        <v>52</v>
      </c>
      <c r="C59" s="106"/>
      <c r="D59" s="106"/>
      <c r="E59" s="106"/>
      <c r="F59" s="107"/>
      <c r="G59" s="45" t="s">
        <v>78</v>
      </c>
      <c r="H59" s="44" t="s">
        <v>81</v>
      </c>
      <c r="I59" s="16" t="s">
        <v>57</v>
      </c>
      <c r="J59" s="16" t="s">
        <v>59</v>
      </c>
      <c r="K59" s="105" t="s">
        <v>52</v>
      </c>
      <c r="L59" s="106"/>
      <c r="M59" s="106"/>
      <c r="N59" s="106"/>
      <c r="O59" s="106"/>
      <c r="P59" s="106"/>
      <c r="Q59" s="107"/>
      <c r="R59" s="45" t="s">
        <v>78</v>
      </c>
      <c r="S59" s="44" t="s">
        <v>81</v>
      </c>
      <c r="T59" s="16" t="s">
        <v>57</v>
      </c>
      <c r="U59" s="16" t="s">
        <v>59</v>
      </c>
    </row>
    <row r="60" spans="1:21" ht="18" customHeight="1" x14ac:dyDescent="0.15">
      <c r="A60" s="89"/>
      <c r="B60" s="108" t="s">
        <v>179</v>
      </c>
      <c r="C60" s="109"/>
      <c r="D60" s="109"/>
      <c r="E60" s="109"/>
      <c r="F60" s="110"/>
      <c r="G60" s="17">
        <v>2</v>
      </c>
      <c r="H60" s="17" t="s">
        <v>148</v>
      </c>
      <c r="I60" s="17" t="s">
        <v>148</v>
      </c>
      <c r="J60" s="17" t="s">
        <v>148</v>
      </c>
      <c r="K60" s="108"/>
      <c r="L60" s="109"/>
      <c r="M60" s="109"/>
      <c r="N60" s="109"/>
      <c r="O60" s="109"/>
      <c r="P60" s="109"/>
      <c r="Q60" s="110"/>
      <c r="R60" s="17"/>
      <c r="S60" s="17"/>
      <c r="T60" s="17"/>
      <c r="U60" s="17"/>
    </row>
    <row r="61" spans="1:21" ht="18" customHeight="1" x14ac:dyDescent="0.15">
      <c r="A61" s="89"/>
      <c r="B61" s="111" t="s">
        <v>180</v>
      </c>
      <c r="C61" s="112"/>
      <c r="D61" s="112"/>
      <c r="E61" s="112"/>
      <c r="F61" s="113"/>
      <c r="G61" s="18">
        <v>2</v>
      </c>
      <c r="H61" s="18" t="s">
        <v>148</v>
      </c>
      <c r="I61" s="18" t="s">
        <v>148</v>
      </c>
      <c r="J61" s="18" t="s">
        <v>148</v>
      </c>
      <c r="K61" s="111"/>
      <c r="L61" s="112"/>
      <c r="M61" s="112"/>
      <c r="N61" s="112"/>
      <c r="O61" s="112"/>
      <c r="P61" s="112"/>
      <c r="Q61" s="113"/>
      <c r="R61" s="18"/>
      <c r="S61" s="18"/>
      <c r="T61" s="18"/>
      <c r="U61" s="18"/>
    </row>
    <row r="62" spans="1:21" ht="18" customHeight="1" x14ac:dyDescent="0.15">
      <c r="A62" s="89"/>
      <c r="B62" s="111" t="s">
        <v>181</v>
      </c>
      <c r="C62" s="112"/>
      <c r="D62" s="112"/>
      <c r="E62" s="112"/>
      <c r="F62" s="113"/>
      <c r="G62" s="18">
        <v>2</v>
      </c>
      <c r="H62" s="18" t="s">
        <v>148</v>
      </c>
      <c r="I62" s="18" t="s">
        <v>148</v>
      </c>
      <c r="J62" s="18" t="s">
        <v>148</v>
      </c>
      <c r="K62" s="111"/>
      <c r="L62" s="112"/>
      <c r="M62" s="112"/>
      <c r="N62" s="112"/>
      <c r="O62" s="112"/>
      <c r="P62" s="112"/>
      <c r="Q62" s="113"/>
      <c r="R62" s="18"/>
      <c r="S62" s="18"/>
      <c r="T62" s="18"/>
      <c r="U62" s="18"/>
    </row>
    <row r="63" spans="1:21" ht="18" customHeight="1" x14ac:dyDescent="0.15">
      <c r="A63" s="89"/>
      <c r="B63" s="111" t="s">
        <v>183</v>
      </c>
      <c r="C63" s="112"/>
      <c r="D63" s="112"/>
      <c r="E63" s="112"/>
      <c r="F63" s="113"/>
      <c r="G63" s="18">
        <v>2</v>
      </c>
      <c r="H63" s="18"/>
      <c r="I63" s="18" t="s">
        <v>148</v>
      </c>
      <c r="J63" s="18" t="s">
        <v>148</v>
      </c>
      <c r="K63" s="111"/>
      <c r="L63" s="112"/>
      <c r="M63" s="112"/>
      <c r="N63" s="112"/>
      <c r="O63" s="112"/>
      <c r="P63" s="112"/>
      <c r="Q63" s="113"/>
      <c r="R63" s="18"/>
      <c r="S63" s="18"/>
      <c r="T63" s="18"/>
      <c r="U63" s="18"/>
    </row>
    <row r="64" spans="1:21" ht="18" customHeight="1" x14ac:dyDescent="0.15">
      <c r="A64" s="89"/>
      <c r="B64" s="111" t="s">
        <v>185</v>
      </c>
      <c r="C64" s="112"/>
      <c r="D64" s="112"/>
      <c r="E64" s="112"/>
      <c r="F64" s="113"/>
      <c r="G64" s="18">
        <v>2</v>
      </c>
      <c r="H64" s="18"/>
      <c r="I64" s="18" t="s">
        <v>148</v>
      </c>
      <c r="J64" s="18" t="s">
        <v>148</v>
      </c>
      <c r="K64" s="111"/>
      <c r="L64" s="112"/>
      <c r="M64" s="112"/>
      <c r="N64" s="112"/>
      <c r="O64" s="112"/>
      <c r="P64" s="112"/>
      <c r="Q64" s="113"/>
      <c r="R64" s="18"/>
      <c r="S64" s="18"/>
      <c r="T64" s="18"/>
      <c r="U64" s="18"/>
    </row>
    <row r="65" spans="1:21" ht="18" customHeight="1" x14ac:dyDescent="0.15">
      <c r="A65" s="89"/>
      <c r="B65" s="111"/>
      <c r="C65" s="112"/>
      <c r="D65" s="112"/>
      <c r="E65" s="112"/>
      <c r="F65" s="113"/>
      <c r="G65" s="18"/>
      <c r="H65" s="18"/>
      <c r="I65" s="18"/>
      <c r="J65" s="18"/>
      <c r="K65" s="111"/>
      <c r="L65" s="112"/>
      <c r="M65" s="112"/>
      <c r="N65" s="112"/>
      <c r="O65" s="112"/>
      <c r="P65" s="112"/>
      <c r="Q65" s="113"/>
      <c r="R65" s="18"/>
      <c r="S65" s="18"/>
      <c r="T65" s="18"/>
      <c r="U65" s="18"/>
    </row>
    <row r="66" spans="1:21" ht="18" customHeight="1" x14ac:dyDescent="0.15">
      <c r="A66" s="89"/>
      <c r="B66" s="96"/>
      <c r="C66" s="97"/>
      <c r="D66" s="97"/>
      <c r="E66" s="97"/>
      <c r="F66" s="98"/>
      <c r="G66" s="19"/>
      <c r="H66" s="19"/>
      <c r="I66" s="20"/>
      <c r="J66" s="20"/>
      <c r="K66" s="96"/>
      <c r="L66" s="97"/>
      <c r="M66" s="97"/>
      <c r="N66" s="97"/>
      <c r="O66" s="97"/>
      <c r="P66" s="97"/>
      <c r="Q66" s="98"/>
      <c r="R66" s="19"/>
      <c r="S66" s="19"/>
      <c r="T66" s="20"/>
      <c r="U66" s="20"/>
    </row>
    <row r="67" spans="1:21" ht="18" customHeight="1" x14ac:dyDescent="0.15">
      <c r="B67" s="85"/>
      <c r="C67" s="85"/>
      <c r="D67" s="85"/>
      <c r="E67" s="85"/>
      <c r="F67" s="85"/>
      <c r="G67" s="85"/>
      <c r="H67" s="85"/>
      <c r="I67" s="85"/>
      <c r="J67" s="85"/>
      <c r="K67" s="85"/>
      <c r="L67" s="85"/>
      <c r="M67" s="85"/>
      <c r="N67" s="85"/>
      <c r="O67" s="85"/>
      <c r="P67" s="85"/>
      <c r="Q67" s="85"/>
      <c r="R67" s="85"/>
      <c r="S67" s="85"/>
      <c r="T67" s="85"/>
    </row>
    <row r="68" spans="1:21" ht="18" customHeight="1" x14ac:dyDescent="0.15">
      <c r="A68" s="95" t="s">
        <v>106</v>
      </c>
      <c r="B68" s="95"/>
      <c r="C68" s="95"/>
      <c r="D68" s="95"/>
      <c r="E68" s="95"/>
      <c r="F68" s="95"/>
      <c r="G68" s="95"/>
      <c r="H68" s="95"/>
      <c r="I68" s="95"/>
      <c r="J68" s="95"/>
      <c r="K68" s="95"/>
      <c r="L68" s="95"/>
      <c r="M68" s="95"/>
      <c r="N68" s="95"/>
      <c r="O68" s="95"/>
      <c r="P68" s="95"/>
      <c r="Q68" s="95"/>
      <c r="R68" s="95"/>
      <c r="S68" s="95"/>
      <c r="T68" s="95"/>
      <c r="U68" s="95"/>
    </row>
    <row r="69" spans="1:21" ht="18" customHeight="1" x14ac:dyDescent="0.15">
      <c r="A69" s="95"/>
      <c r="B69" s="95"/>
      <c r="C69" s="95"/>
      <c r="D69" s="95"/>
      <c r="E69" s="95"/>
      <c r="F69" s="95"/>
      <c r="G69" s="95"/>
      <c r="H69" s="95"/>
      <c r="I69" s="95"/>
      <c r="J69" s="95"/>
      <c r="K69" s="95"/>
      <c r="L69" s="95"/>
      <c r="M69" s="95"/>
      <c r="N69" s="95"/>
      <c r="O69" s="95"/>
      <c r="P69" s="95"/>
      <c r="Q69" s="95"/>
      <c r="R69" s="95"/>
      <c r="S69" s="95"/>
      <c r="T69" s="95"/>
      <c r="U69" s="95"/>
    </row>
    <row r="70" spans="1:21" ht="18" customHeight="1" x14ac:dyDescent="0.15">
      <c r="B70" s="105" t="s">
        <v>52</v>
      </c>
      <c r="C70" s="106"/>
      <c r="D70" s="106"/>
      <c r="E70" s="107"/>
      <c r="F70" s="45" t="s">
        <v>78</v>
      </c>
      <c r="G70" s="44" t="s">
        <v>81</v>
      </c>
      <c r="H70" s="16" t="s">
        <v>93</v>
      </c>
      <c r="I70" s="16" t="s">
        <v>73</v>
      </c>
      <c r="J70" s="16" t="s">
        <v>74</v>
      </c>
      <c r="K70" s="105" t="s">
        <v>52</v>
      </c>
      <c r="L70" s="106"/>
      <c r="M70" s="106"/>
      <c r="N70" s="106"/>
      <c r="O70" s="106"/>
      <c r="P70" s="107"/>
      <c r="Q70" s="45" t="s">
        <v>78</v>
      </c>
      <c r="R70" s="44" t="s">
        <v>81</v>
      </c>
      <c r="S70" s="16" t="s">
        <v>93</v>
      </c>
      <c r="T70" s="16" t="s">
        <v>73</v>
      </c>
      <c r="U70" s="16" t="s">
        <v>74</v>
      </c>
    </row>
    <row r="71" spans="1:21" ht="18" customHeight="1" x14ac:dyDescent="0.15">
      <c r="A71" s="89"/>
      <c r="B71" s="108" t="s">
        <v>180</v>
      </c>
      <c r="C71" s="109"/>
      <c r="D71" s="109"/>
      <c r="E71" s="110"/>
      <c r="F71" s="17">
        <v>2</v>
      </c>
      <c r="G71" s="17" t="s">
        <v>148</v>
      </c>
      <c r="H71" s="17" t="s">
        <v>148</v>
      </c>
      <c r="I71" s="17" t="s">
        <v>148</v>
      </c>
      <c r="J71" s="17" t="s">
        <v>148</v>
      </c>
      <c r="K71" s="108"/>
      <c r="L71" s="109"/>
      <c r="M71" s="109"/>
      <c r="N71" s="109"/>
      <c r="O71" s="109"/>
      <c r="P71" s="110"/>
      <c r="Q71" s="17"/>
      <c r="R71" s="17"/>
      <c r="S71" s="17"/>
      <c r="T71" s="17"/>
      <c r="U71" s="17"/>
    </row>
    <row r="72" spans="1:21" ht="18" customHeight="1" x14ac:dyDescent="0.15">
      <c r="A72" s="89"/>
      <c r="B72" s="111" t="s">
        <v>181</v>
      </c>
      <c r="C72" s="112"/>
      <c r="D72" s="112"/>
      <c r="E72" s="113"/>
      <c r="F72" s="18">
        <v>2</v>
      </c>
      <c r="G72" s="18" t="s">
        <v>148</v>
      </c>
      <c r="H72" s="18" t="s">
        <v>148</v>
      </c>
      <c r="I72" s="18" t="s">
        <v>148</v>
      </c>
      <c r="J72" s="18" t="s">
        <v>148</v>
      </c>
      <c r="K72" s="111"/>
      <c r="L72" s="112"/>
      <c r="M72" s="112"/>
      <c r="N72" s="112"/>
      <c r="O72" s="112"/>
      <c r="P72" s="113"/>
      <c r="Q72" s="18"/>
      <c r="R72" s="18"/>
      <c r="S72" s="18"/>
      <c r="T72" s="18"/>
      <c r="U72" s="18"/>
    </row>
    <row r="73" spans="1:21" ht="18" customHeight="1" x14ac:dyDescent="0.15">
      <c r="A73" s="89"/>
      <c r="B73" s="111" t="s">
        <v>186</v>
      </c>
      <c r="C73" s="112"/>
      <c r="D73" s="112"/>
      <c r="E73" s="113"/>
      <c r="F73" s="18">
        <v>2</v>
      </c>
      <c r="G73" s="18"/>
      <c r="H73" s="18" t="s">
        <v>148</v>
      </c>
      <c r="I73" s="18" t="s">
        <v>148</v>
      </c>
      <c r="J73" s="18" t="s">
        <v>148</v>
      </c>
      <c r="K73" s="111"/>
      <c r="L73" s="112"/>
      <c r="M73" s="112"/>
      <c r="N73" s="112"/>
      <c r="O73" s="112"/>
      <c r="P73" s="113"/>
      <c r="Q73" s="18"/>
      <c r="R73" s="18"/>
      <c r="S73" s="18"/>
      <c r="T73" s="18"/>
      <c r="U73" s="18"/>
    </row>
    <row r="74" spans="1:21" ht="18" customHeight="1" x14ac:dyDescent="0.15">
      <c r="A74" s="89"/>
      <c r="B74" s="111" t="s">
        <v>183</v>
      </c>
      <c r="C74" s="112"/>
      <c r="D74" s="112"/>
      <c r="E74" s="113"/>
      <c r="F74" s="18">
        <v>2</v>
      </c>
      <c r="G74" s="18"/>
      <c r="H74" s="18" t="s">
        <v>148</v>
      </c>
      <c r="I74" s="18" t="s">
        <v>148</v>
      </c>
      <c r="J74" s="18" t="s">
        <v>148</v>
      </c>
      <c r="K74" s="111"/>
      <c r="L74" s="112"/>
      <c r="M74" s="112"/>
      <c r="N74" s="112"/>
      <c r="O74" s="112"/>
      <c r="P74" s="113"/>
      <c r="Q74" s="18"/>
      <c r="R74" s="18"/>
      <c r="S74" s="18"/>
      <c r="T74" s="18"/>
      <c r="U74" s="18"/>
    </row>
    <row r="75" spans="1:21" ht="18" customHeight="1" x14ac:dyDescent="0.15">
      <c r="A75" s="89"/>
      <c r="B75" s="111" t="s">
        <v>184</v>
      </c>
      <c r="C75" s="112"/>
      <c r="D75" s="112"/>
      <c r="E75" s="113"/>
      <c r="F75" s="18">
        <v>2</v>
      </c>
      <c r="G75" s="18"/>
      <c r="H75" s="18" t="s">
        <v>148</v>
      </c>
      <c r="I75" s="18" t="s">
        <v>148</v>
      </c>
      <c r="J75" s="18" t="s">
        <v>148</v>
      </c>
      <c r="K75" s="111"/>
      <c r="L75" s="112"/>
      <c r="M75" s="112"/>
      <c r="N75" s="112"/>
      <c r="O75" s="112"/>
      <c r="P75" s="113"/>
      <c r="Q75" s="18"/>
      <c r="R75" s="18"/>
      <c r="S75" s="18"/>
      <c r="T75" s="18"/>
      <c r="U75" s="18"/>
    </row>
    <row r="76" spans="1:21" ht="18" customHeight="1" x14ac:dyDescent="0.15">
      <c r="A76" s="89"/>
      <c r="B76" s="111" t="s">
        <v>187</v>
      </c>
      <c r="C76" s="112"/>
      <c r="D76" s="112"/>
      <c r="E76" s="113"/>
      <c r="F76" s="18">
        <v>2</v>
      </c>
      <c r="G76" s="18"/>
      <c r="H76" s="18" t="s">
        <v>148</v>
      </c>
      <c r="I76" s="18" t="s">
        <v>148</v>
      </c>
      <c r="J76" s="18" t="s">
        <v>148</v>
      </c>
      <c r="K76" s="111"/>
      <c r="L76" s="112"/>
      <c r="M76" s="112"/>
      <c r="N76" s="112"/>
      <c r="O76" s="112"/>
      <c r="P76" s="113"/>
      <c r="Q76" s="18"/>
      <c r="R76" s="18"/>
      <c r="S76" s="18"/>
      <c r="T76" s="18"/>
      <c r="U76" s="18"/>
    </row>
    <row r="77" spans="1:21" ht="18" customHeight="1" x14ac:dyDescent="0.15">
      <c r="A77" s="89"/>
      <c r="B77" s="96"/>
      <c r="C77" s="97"/>
      <c r="D77" s="97"/>
      <c r="E77" s="98"/>
      <c r="F77" s="19"/>
      <c r="G77" s="19"/>
      <c r="H77" s="20"/>
      <c r="I77" s="20"/>
      <c r="J77" s="20"/>
      <c r="K77" s="96"/>
      <c r="L77" s="97"/>
      <c r="M77" s="97"/>
      <c r="N77" s="97"/>
      <c r="O77" s="97"/>
      <c r="P77" s="98"/>
      <c r="Q77" s="19"/>
      <c r="R77" s="19"/>
      <c r="S77" s="20"/>
      <c r="T77" s="20"/>
      <c r="U77" s="20"/>
    </row>
    <row r="78" spans="1:21" ht="18" customHeight="1" x14ac:dyDescent="0.15">
      <c r="B78" s="85"/>
      <c r="C78" s="85"/>
      <c r="D78" s="85"/>
      <c r="E78" s="85"/>
      <c r="F78" s="85"/>
      <c r="G78" s="85"/>
      <c r="H78" s="85"/>
      <c r="I78" s="85"/>
      <c r="J78" s="85"/>
      <c r="K78" s="85"/>
      <c r="L78" s="85"/>
      <c r="M78" s="85"/>
      <c r="N78" s="85"/>
      <c r="O78" s="85"/>
      <c r="P78" s="85"/>
      <c r="Q78" s="85"/>
      <c r="R78" s="85"/>
      <c r="S78" s="85"/>
      <c r="T78" s="85"/>
    </row>
    <row r="79" spans="1:21" ht="18" customHeight="1" x14ac:dyDescent="0.15">
      <c r="A79" s="90" t="s">
        <v>107</v>
      </c>
      <c r="I79" s="89"/>
      <c r="J79" s="89"/>
      <c r="K79" s="89"/>
      <c r="L79" s="89"/>
      <c r="M79" s="89"/>
      <c r="N79" s="89"/>
      <c r="O79" s="89"/>
      <c r="P79" s="89"/>
      <c r="Q79" s="89"/>
      <c r="R79" s="89"/>
      <c r="S79" s="89"/>
      <c r="T79" s="89"/>
      <c r="U79" s="89"/>
    </row>
    <row r="80" spans="1:21" ht="18" customHeight="1" x14ac:dyDescent="0.15">
      <c r="B80" s="105" t="s">
        <v>52</v>
      </c>
      <c r="C80" s="106"/>
      <c r="D80" s="106"/>
      <c r="E80" s="106"/>
      <c r="F80" s="107"/>
      <c r="G80" s="105" t="s">
        <v>79</v>
      </c>
      <c r="H80" s="106"/>
      <c r="I80" s="106"/>
      <c r="J80" s="107"/>
      <c r="K80" s="105" t="s">
        <v>52</v>
      </c>
      <c r="L80" s="106"/>
      <c r="M80" s="106"/>
      <c r="N80" s="106"/>
      <c r="O80" s="106"/>
      <c r="P80" s="106"/>
      <c r="Q80" s="107"/>
      <c r="R80" s="105" t="s">
        <v>79</v>
      </c>
      <c r="S80" s="106"/>
      <c r="T80" s="106"/>
      <c r="U80" s="107"/>
    </row>
    <row r="81" spans="1:21" ht="18" customHeight="1" x14ac:dyDescent="0.15">
      <c r="A81" s="89"/>
      <c r="B81" s="202" t="s">
        <v>153</v>
      </c>
      <c r="C81" s="203"/>
      <c r="D81" s="203"/>
      <c r="E81" s="203"/>
      <c r="F81" s="204"/>
      <c r="G81" s="172" t="s">
        <v>155</v>
      </c>
      <c r="H81" s="173"/>
      <c r="I81" s="173"/>
      <c r="J81" s="174"/>
      <c r="K81" s="172" t="s">
        <v>149</v>
      </c>
      <c r="L81" s="173"/>
      <c r="M81" s="173"/>
      <c r="N81" s="173"/>
      <c r="O81" s="173"/>
      <c r="P81" s="173"/>
      <c r="Q81" s="174"/>
      <c r="R81" s="172" t="s">
        <v>156</v>
      </c>
      <c r="S81" s="173"/>
      <c r="T81" s="173"/>
      <c r="U81" s="174"/>
    </row>
    <row r="82" spans="1:21" ht="18" customHeight="1" x14ac:dyDescent="0.15">
      <c r="A82" s="89"/>
      <c r="B82" s="102" t="s">
        <v>151</v>
      </c>
      <c r="C82" s="103"/>
      <c r="D82" s="103"/>
      <c r="E82" s="103"/>
      <c r="F82" s="104"/>
      <c r="G82" s="99" t="s">
        <v>155</v>
      </c>
      <c r="H82" s="100"/>
      <c r="I82" s="100"/>
      <c r="J82" s="101"/>
      <c r="K82" s="99" t="s">
        <v>154</v>
      </c>
      <c r="L82" s="100"/>
      <c r="M82" s="100"/>
      <c r="N82" s="100"/>
      <c r="O82" s="100"/>
      <c r="P82" s="100"/>
      <c r="Q82" s="101"/>
      <c r="R82" s="99" t="s">
        <v>156</v>
      </c>
      <c r="S82" s="100"/>
      <c r="T82" s="100"/>
      <c r="U82" s="101"/>
    </row>
    <row r="83" spans="1:21" ht="18" customHeight="1" x14ac:dyDescent="0.15">
      <c r="A83" s="89"/>
      <c r="B83" s="102" t="s">
        <v>153</v>
      </c>
      <c r="C83" s="103"/>
      <c r="D83" s="103"/>
      <c r="E83" s="103"/>
      <c r="F83" s="104"/>
      <c r="G83" s="99" t="s">
        <v>157</v>
      </c>
      <c r="H83" s="100"/>
      <c r="I83" s="100"/>
      <c r="J83" s="101"/>
      <c r="K83" s="99" t="s">
        <v>152</v>
      </c>
      <c r="L83" s="100"/>
      <c r="M83" s="100"/>
      <c r="N83" s="100"/>
      <c r="O83" s="100"/>
      <c r="P83" s="100"/>
      <c r="Q83" s="101"/>
      <c r="R83" s="99" t="s">
        <v>156</v>
      </c>
      <c r="S83" s="100"/>
      <c r="T83" s="100"/>
      <c r="U83" s="101"/>
    </row>
    <row r="84" spans="1:21" ht="18" customHeight="1" x14ac:dyDescent="0.15">
      <c r="A84" s="89"/>
      <c r="B84" s="102" t="s">
        <v>154</v>
      </c>
      <c r="C84" s="103"/>
      <c r="D84" s="103"/>
      <c r="E84" s="103"/>
      <c r="F84" s="104"/>
      <c r="G84" s="99" t="s">
        <v>157</v>
      </c>
      <c r="H84" s="100"/>
      <c r="I84" s="100"/>
      <c r="J84" s="101"/>
      <c r="K84" s="99" t="s">
        <v>158</v>
      </c>
      <c r="L84" s="100"/>
      <c r="M84" s="100"/>
      <c r="N84" s="100"/>
      <c r="O84" s="100"/>
      <c r="P84" s="100"/>
      <c r="Q84" s="101"/>
      <c r="R84" s="99" t="s">
        <v>156</v>
      </c>
      <c r="S84" s="100"/>
      <c r="T84" s="100"/>
      <c r="U84" s="101"/>
    </row>
    <row r="85" spans="1:21" ht="18" customHeight="1" x14ac:dyDescent="0.15">
      <c r="A85" s="89"/>
      <c r="B85" s="102" t="s">
        <v>153</v>
      </c>
      <c r="C85" s="103"/>
      <c r="D85" s="103"/>
      <c r="E85" s="103"/>
      <c r="F85" s="104"/>
      <c r="G85" s="99" t="s">
        <v>159</v>
      </c>
      <c r="H85" s="100"/>
      <c r="I85" s="100"/>
      <c r="J85" s="101"/>
      <c r="K85" s="99" t="s">
        <v>151</v>
      </c>
      <c r="L85" s="100"/>
      <c r="M85" s="100"/>
      <c r="N85" s="100"/>
      <c r="O85" s="100"/>
      <c r="P85" s="100"/>
      <c r="Q85" s="101"/>
      <c r="R85" s="99" t="s">
        <v>156</v>
      </c>
      <c r="S85" s="100"/>
      <c r="T85" s="100"/>
      <c r="U85" s="101"/>
    </row>
    <row r="86" spans="1:21" ht="18" customHeight="1" x14ac:dyDescent="0.15">
      <c r="A86" s="89"/>
      <c r="B86" s="102" t="s">
        <v>152</v>
      </c>
      <c r="C86" s="103"/>
      <c r="D86" s="103"/>
      <c r="E86" s="103"/>
      <c r="F86" s="104"/>
      <c r="G86" s="99" t="s">
        <v>159</v>
      </c>
      <c r="H86" s="100"/>
      <c r="I86" s="100"/>
      <c r="J86" s="101"/>
      <c r="K86" s="99" t="s">
        <v>154</v>
      </c>
      <c r="L86" s="100"/>
      <c r="M86" s="100"/>
      <c r="N86" s="100"/>
      <c r="O86" s="100"/>
      <c r="P86" s="100"/>
      <c r="Q86" s="101"/>
      <c r="R86" s="99" t="s">
        <v>160</v>
      </c>
      <c r="S86" s="100"/>
      <c r="T86" s="100"/>
      <c r="U86" s="101"/>
    </row>
    <row r="87" spans="1:21" ht="18" customHeight="1" x14ac:dyDescent="0.15">
      <c r="A87" s="89"/>
      <c r="B87" s="102" t="s">
        <v>154</v>
      </c>
      <c r="C87" s="103"/>
      <c r="D87" s="103"/>
      <c r="E87" s="103"/>
      <c r="F87" s="104"/>
      <c r="G87" s="99" t="s">
        <v>159</v>
      </c>
      <c r="H87" s="100"/>
      <c r="I87" s="100"/>
      <c r="J87" s="101"/>
      <c r="K87" s="99" t="s">
        <v>152</v>
      </c>
      <c r="L87" s="100"/>
      <c r="M87" s="100"/>
      <c r="N87" s="100"/>
      <c r="O87" s="100"/>
      <c r="P87" s="100"/>
      <c r="Q87" s="101"/>
      <c r="R87" s="99" t="s">
        <v>160</v>
      </c>
      <c r="S87" s="100"/>
      <c r="T87" s="100"/>
      <c r="U87" s="101"/>
    </row>
    <row r="88" spans="1:21" ht="18" customHeight="1" x14ac:dyDescent="0.15">
      <c r="A88" s="89"/>
      <c r="B88" s="144" t="s">
        <v>149</v>
      </c>
      <c r="C88" s="145"/>
      <c r="D88" s="145"/>
      <c r="E88" s="145"/>
      <c r="F88" s="146"/>
      <c r="G88" s="147" t="s">
        <v>161</v>
      </c>
      <c r="H88" s="148"/>
      <c r="I88" s="148"/>
      <c r="J88" s="149"/>
      <c r="K88" s="99" t="s">
        <v>158</v>
      </c>
      <c r="L88" s="100"/>
      <c r="M88" s="100"/>
      <c r="N88" s="100"/>
      <c r="O88" s="100"/>
      <c r="P88" s="100"/>
      <c r="Q88" s="101"/>
      <c r="R88" s="99" t="s">
        <v>160</v>
      </c>
      <c r="S88" s="100"/>
      <c r="T88" s="100"/>
      <c r="U88" s="101"/>
    </row>
    <row r="89" spans="1:21" ht="18" customHeight="1" x14ac:dyDescent="0.15">
      <c r="A89" s="89"/>
      <c r="B89" s="190" t="s">
        <v>151</v>
      </c>
      <c r="C89" s="191"/>
      <c r="D89" s="191"/>
      <c r="E89" s="191"/>
      <c r="F89" s="192"/>
      <c r="G89" s="99" t="s">
        <v>162</v>
      </c>
      <c r="H89" s="100"/>
      <c r="I89" s="100"/>
      <c r="J89" s="101"/>
      <c r="K89" s="99" t="s">
        <v>151</v>
      </c>
      <c r="L89" s="100"/>
      <c r="M89" s="100"/>
      <c r="N89" s="100"/>
      <c r="O89" s="100"/>
      <c r="P89" s="100"/>
      <c r="Q89" s="101"/>
      <c r="R89" s="99" t="s">
        <v>160</v>
      </c>
      <c r="S89" s="100"/>
      <c r="T89" s="100"/>
      <c r="U89" s="101"/>
    </row>
    <row r="90" spans="1:21" ht="18" customHeight="1" x14ac:dyDescent="0.15">
      <c r="A90" s="89"/>
      <c r="B90" s="102" t="s">
        <v>151</v>
      </c>
      <c r="C90" s="103"/>
      <c r="D90" s="103"/>
      <c r="E90" s="103"/>
      <c r="F90" s="104"/>
      <c r="G90" s="99" t="s">
        <v>163</v>
      </c>
      <c r="H90" s="100"/>
      <c r="I90" s="100"/>
      <c r="J90" s="101"/>
      <c r="K90" s="99" t="s">
        <v>150</v>
      </c>
      <c r="L90" s="100"/>
      <c r="M90" s="100"/>
      <c r="N90" s="100"/>
      <c r="O90" s="100"/>
      <c r="P90" s="100"/>
      <c r="Q90" s="101"/>
      <c r="R90" s="99" t="s">
        <v>164</v>
      </c>
      <c r="S90" s="100"/>
      <c r="T90" s="100"/>
      <c r="U90" s="101"/>
    </row>
    <row r="91" spans="1:21" ht="18" customHeight="1" x14ac:dyDescent="0.15">
      <c r="A91" s="89"/>
      <c r="B91" s="144" t="s">
        <v>165</v>
      </c>
      <c r="C91" s="145"/>
      <c r="D91" s="145"/>
      <c r="E91" s="145"/>
      <c r="F91" s="146"/>
      <c r="G91" s="147" t="s">
        <v>166</v>
      </c>
      <c r="H91" s="148"/>
      <c r="I91" s="148"/>
      <c r="J91" s="149"/>
      <c r="K91" s="99" t="s">
        <v>154</v>
      </c>
      <c r="L91" s="100"/>
      <c r="M91" s="100"/>
      <c r="N91" s="100"/>
      <c r="O91" s="100"/>
      <c r="P91" s="100"/>
      <c r="Q91" s="101"/>
      <c r="R91" s="99" t="s">
        <v>164</v>
      </c>
      <c r="S91" s="100"/>
      <c r="T91" s="100"/>
      <c r="U91" s="101"/>
    </row>
    <row r="92" spans="1:21" ht="18" customHeight="1" x14ac:dyDescent="0.15">
      <c r="A92" s="89"/>
      <c r="B92" s="193" t="s">
        <v>151</v>
      </c>
      <c r="C92" s="194"/>
      <c r="D92" s="194"/>
      <c r="E92" s="194"/>
      <c r="F92" s="195"/>
      <c r="G92" s="160" t="s">
        <v>166</v>
      </c>
      <c r="H92" s="161"/>
      <c r="I92" s="161"/>
      <c r="J92" s="162"/>
      <c r="K92" s="96"/>
      <c r="L92" s="97"/>
      <c r="M92" s="97"/>
      <c r="N92" s="97"/>
      <c r="O92" s="97"/>
      <c r="P92" s="97"/>
      <c r="Q92" s="98"/>
      <c r="R92" s="160"/>
      <c r="S92" s="161"/>
      <c r="T92" s="161"/>
      <c r="U92" s="162"/>
    </row>
    <row r="93" spans="1:21" ht="18" hidden="1" customHeight="1" x14ac:dyDescent="0.15">
      <c r="A93" s="89"/>
      <c r="B93" s="163"/>
      <c r="C93" s="164"/>
      <c r="D93" s="164"/>
      <c r="E93" s="164"/>
      <c r="F93" s="165"/>
      <c r="G93" s="166"/>
      <c r="H93" s="167"/>
      <c r="I93" s="167"/>
      <c r="J93" s="168"/>
      <c r="K93" s="163"/>
      <c r="L93" s="164"/>
      <c r="M93" s="164"/>
      <c r="N93" s="164"/>
      <c r="O93" s="164"/>
      <c r="P93" s="164"/>
      <c r="Q93" s="165"/>
      <c r="R93" s="166"/>
      <c r="S93" s="167"/>
      <c r="T93" s="167"/>
      <c r="U93" s="168"/>
    </row>
    <row r="94" spans="1:21" ht="18" customHeight="1" x14ac:dyDescent="0.15">
      <c r="A94" s="89"/>
      <c r="B94" s="5"/>
      <c r="C94" s="5"/>
      <c r="D94" s="5"/>
      <c r="E94" s="5"/>
      <c r="F94" s="5"/>
      <c r="G94" s="21"/>
      <c r="H94" s="21"/>
      <c r="I94" s="21"/>
      <c r="J94" s="21"/>
      <c r="K94" s="5"/>
      <c r="L94" s="5"/>
      <c r="M94" s="5"/>
      <c r="N94" s="5"/>
      <c r="O94" s="5"/>
      <c r="P94" s="5"/>
      <c r="Q94" s="5"/>
      <c r="R94" s="21"/>
      <c r="S94" s="21"/>
      <c r="T94" s="21"/>
      <c r="U94" s="21"/>
    </row>
    <row r="95" spans="1:21" ht="18" customHeight="1" x14ac:dyDescent="0.15">
      <c r="A95" s="90" t="s">
        <v>108</v>
      </c>
    </row>
    <row r="96" spans="1:21" ht="18" customHeight="1" x14ac:dyDescent="0.15">
      <c r="B96" s="170" t="s">
        <v>53</v>
      </c>
      <c r="C96" s="171"/>
      <c r="D96" s="105" t="s">
        <v>54</v>
      </c>
      <c r="E96" s="106"/>
      <c r="F96" s="106"/>
      <c r="G96" s="106"/>
      <c r="H96" s="106"/>
      <c r="I96" s="106"/>
      <c r="J96" s="106"/>
      <c r="K96" s="106"/>
      <c r="L96" s="106"/>
      <c r="M96" s="106"/>
      <c r="N96" s="106"/>
      <c r="O96" s="106"/>
      <c r="P96" s="106"/>
      <c r="Q96" s="106"/>
      <c r="R96" s="106"/>
      <c r="S96" s="106"/>
      <c r="T96" s="106"/>
      <c r="U96" s="107"/>
    </row>
    <row r="97" spans="1:21" ht="249" customHeight="1" x14ac:dyDescent="0.15">
      <c r="B97" s="130" t="s">
        <v>60</v>
      </c>
      <c r="C97" s="22" t="s">
        <v>55</v>
      </c>
      <c r="D97" s="132" t="s">
        <v>167</v>
      </c>
      <c r="E97" s="133"/>
      <c r="F97" s="133"/>
      <c r="G97" s="133"/>
      <c r="H97" s="133"/>
      <c r="I97" s="133"/>
      <c r="J97" s="133"/>
      <c r="K97" s="133"/>
      <c r="L97" s="133"/>
      <c r="M97" s="133"/>
      <c r="N97" s="133"/>
      <c r="O97" s="133"/>
      <c r="P97" s="133"/>
      <c r="Q97" s="133"/>
      <c r="R97" s="133"/>
      <c r="S97" s="133"/>
      <c r="T97" s="133"/>
      <c r="U97" s="134"/>
    </row>
    <row r="98" spans="1:21" ht="99.75" customHeight="1" x14ac:dyDescent="0.15">
      <c r="B98" s="131"/>
      <c r="C98" s="23" t="s">
        <v>75</v>
      </c>
      <c r="D98" s="135" t="s">
        <v>168</v>
      </c>
      <c r="E98" s="136"/>
      <c r="F98" s="136"/>
      <c r="G98" s="136"/>
      <c r="H98" s="136"/>
      <c r="I98" s="136"/>
      <c r="J98" s="136"/>
      <c r="K98" s="136"/>
      <c r="L98" s="136"/>
      <c r="M98" s="136"/>
      <c r="N98" s="136"/>
      <c r="O98" s="136"/>
      <c r="P98" s="136"/>
      <c r="Q98" s="136"/>
      <c r="R98" s="136"/>
      <c r="S98" s="136"/>
      <c r="T98" s="136"/>
      <c r="U98" s="137"/>
    </row>
    <row r="99" spans="1:21" ht="192.75" customHeight="1" x14ac:dyDescent="0.15">
      <c r="B99" s="130" t="s">
        <v>61</v>
      </c>
      <c r="C99" s="24" t="s">
        <v>69</v>
      </c>
      <c r="D99" s="127" t="s">
        <v>169</v>
      </c>
      <c r="E99" s="128"/>
      <c r="F99" s="128"/>
      <c r="G99" s="128"/>
      <c r="H99" s="128"/>
      <c r="I99" s="128"/>
      <c r="J99" s="128"/>
      <c r="K99" s="128"/>
      <c r="L99" s="128"/>
      <c r="M99" s="128"/>
      <c r="N99" s="128"/>
      <c r="O99" s="128"/>
      <c r="P99" s="128"/>
      <c r="Q99" s="128"/>
      <c r="R99" s="128"/>
      <c r="S99" s="128"/>
      <c r="T99" s="128"/>
      <c r="U99" s="129"/>
    </row>
    <row r="100" spans="1:21" ht="156" customHeight="1" x14ac:dyDescent="0.15">
      <c r="B100" s="131"/>
      <c r="C100" s="25" t="s">
        <v>70</v>
      </c>
      <c r="D100" s="135" t="s">
        <v>170</v>
      </c>
      <c r="E100" s="136"/>
      <c r="F100" s="136"/>
      <c r="G100" s="136"/>
      <c r="H100" s="136"/>
      <c r="I100" s="136"/>
      <c r="J100" s="136"/>
      <c r="K100" s="136"/>
      <c r="L100" s="136"/>
      <c r="M100" s="136"/>
      <c r="N100" s="136"/>
      <c r="O100" s="136"/>
      <c r="P100" s="136"/>
      <c r="Q100" s="136"/>
      <c r="R100" s="136"/>
      <c r="S100" s="136"/>
      <c r="T100" s="136"/>
      <c r="U100" s="137"/>
    </row>
    <row r="101" spans="1:21" ht="220.5" customHeight="1" x14ac:dyDescent="0.15">
      <c r="B101" s="130" t="s">
        <v>62</v>
      </c>
      <c r="C101" s="24" t="s">
        <v>71</v>
      </c>
      <c r="D101" s="132" t="s">
        <v>171</v>
      </c>
      <c r="E101" s="133"/>
      <c r="F101" s="133"/>
      <c r="G101" s="133"/>
      <c r="H101" s="133"/>
      <c r="I101" s="133"/>
      <c r="J101" s="133"/>
      <c r="K101" s="133"/>
      <c r="L101" s="133"/>
      <c r="M101" s="133"/>
      <c r="N101" s="133"/>
      <c r="O101" s="133"/>
      <c r="P101" s="133"/>
      <c r="Q101" s="133"/>
      <c r="R101" s="133"/>
      <c r="S101" s="133"/>
      <c r="T101" s="133"/>
      <c r="U101" s="134"/>
    </row>
    <row r="102" spans="1:21" ht="136.5" customHeight="1" x14ac:dyDescent="0.15">
      <c r="B102" s="131"/>
      <c r="C102" s="26" t="s">
        <v>72</v>
      </c>
      <c r="D102" s="135" t="s">
        <v>172</v>
      </c>
      <c r="E102" s="136"/>
      <c r="F102" s="136"/>
      <c r="G102" s="136"/>
      <c r="H102" s="136"/>
      <c r="I102" s="136"/>
      <c r="J102" s="136"/>
      <c r="K102" s="136"/>
      <c r="L102" s="136"/>
      <c r="M102" s="136"/>
      <c r="N102" s="136"/>
      <c r="O102" s="136"/>
      <c r="P102" s="136"/>
      <c r="Q102" s="136"/>
      <c r="R102" s="136"/>
      <c r="S102" s="136"/>
      <c r="T102" s="136"/>
      <c r="U102" s="137"/>
    </row>
    <row r="103" spans="1:21" ht="321" customHeight="1" x14ac:dyDescent="0.15">
      <c r="B103" s="130" t="s">
        <v>76</v>
      </c>
      <c r="C103" s="22" t="s">
        <v>57</v>
      </c>
      <c r="D103" s="127" t="s">
        <v>173</v>
      </c>
      <c r="E103" s="128"/>
      <c r="F103" s="128"/>
      <c r="G103" s="128"/>
      <c r="H103" s="128"/>
      <c r="I103" s="128"/>
      <c r="J103" s="128"/>
      <c r="K103" s="128"/>
      <c r="L103" s="128"/>
      <c r="M103" s="128"/>
      <c r="N103" s="128"/>
      <c r="O103" s="128"/>
      <c r="P103" s="128"/>
      <c r="Q103" s="128"/>
      <c r="R103" s="128"/>
      <c r="S103" s="128"/>
      <c r="T103" s="128"/>
      <c r="U103" s="129"/>
    </row>
    <row r="104" spans="1:21" ht="175.5" customHeight="1" x14ac:dyDescent="0.15">
      <c r="B104" s="131"/>
      <c r="C104" s="25" t="s">
        <v>59</v>
      </c>
      <c r="D104" s="115" t="s">
        <v>174</v>
      </c>
      <c r="E104" s="116"/>
      <c r="F104" s="116"/>
      <c r="G104" s="116"/>
      <c r="H104" s="116"/>
      <c r="I104" s="116"/>
      <c r="J104" s="116"/>
      <c r="K104" s="116"/>
      <c r="L104" s="116"/>
      <c r="M104" s="116"/>
      <c r="N104" s="116"/>
      <c r="O104" s="116"/>
      <c r="P104" s="116"/>
      <c r="Q104" s="116"/>
      <c r="R104" s="116"/>
      <c r="S104" s="116"/>
      <c r="T104" s="116"/>
      <c r="U104" s="117"/>
    </row>
    <row r="105" spans="1:21" ht="380.25" customHeight="1" x14ac:dyDescent="0.15">
      <c r="B105" s="130" t="s">
        <v>77</v>
      </c>
      <c r="C105" s="24" t="s">
        <v>56</v>
      </c>
      <c r="D105" s="118" t="s">
        <v>175</v>
      </c>
      <c r="E105" s="119"/>
      <c r="F105" s="119"/>
      <c r="G105" s="119"/>
      <c r="H105" s="119"/>
      <c r="I105" s="119"/>
      <c r="J105" s="119"/>
      <c r="K105" s="119"/>
      <c r="L105" s="119"/>
      <c r="M105" s="119"/>
      <c r="N105" s="119"/>
      <c r="O105" s="119"/>
      <c r="P105" s="119"/>
      <c r="Q105" s="119"/>
      <c r="R105" s="119"/>
      <c r="S105" s="119"/>
      <c r="T105" s="119"/>
      <c r="U105" s="120"/>
    </row>
    <row r="106" spans="1:21" ht="213" customHeight="1" x14ac:dyDescent="0.15">
      <c r="B106" s="169"/>
      <c r="C106" s="27" t="s">
        <v>73</v>
      </c>
      <c r="D106" s="121" t="s">
        <v>176</v>
      </c>
      <c r="E106" s="122"/>
      <c r="F106" s="122"/>
      <c r="G106" s="122"/>
      <c r="H106" s="122"/>
      <c r="I106" s="122"/>
      <c r="J106" s="122"/>
      <c r="K106" s="122"/>
      <c r="L106" s="122"/>
      <c r="M106" s="122"/>
      <c r="N106" s="122"/>
      <c r="O106" s="122"/>
      <c r="P106" s="122"/>
      <c r="Q106" s="122"/>
      <c r="R106" s="122"/>
      <c r="S106" s="122"/>
      <c r="T106" s="122"/>
      <c r="U106" s="123"/>
    </row>
    <row r="107" spans="1:21" ht="182.25" customHeight="1" x14ac:dyDescent="0.15">
      <c r="B107" s="131"/>
      <c r="C107" s="26" t="s">
        <v>74</v>
      </c>
      <c r="D107" s="124" t="s">
        <v>177</v>
      </c>
      <c r="E107" s="125"/>
      <c r="F107" s="125"/>
      <c r="G107" s="125"/>
      <c r="H107" s="125"/>
      <c r="I107" s="125"/>
      <c r="J107" s="125"/>
      <c r="K107" s="125"/>
      <c r="L107" s="125"/>
      <c r="M107" s="125"/>
      <c r="N107" s="125"/>
      <c r="O107" s="125"/>
      <c r="P107" s="125"/>
      <c r="Q107" s="125"/>
      <c r="R107" s="125"/>
      <c r="S107" s="125"/>
      <c r="T107" s="125"/>
      <c r="U107" s="126"/>
    </row>
    <row r="109" spans="1:21" ht="18" customHeight="1" x14ac:dyDescent="0.15">
      <c r="A109" s="90" t="s">
        <v>109</v>
      </c>
    </row>
    <row r="110" spans="1:21" ht="78.75" customHeight="1" x14ac:dyDescent="0.15">
      <c r="B110" s="187" t="s">
        <v>188</v>
      </c>
      <c r="C110" s="188"/>
      <c r="D110" s="188"/>
      <c r="E110" s="188"/>
      <c r="F110" s="188"/>
      <c r="G110" s="188"/>
      <c r="H110" s="188"/>
      <c r="I110" s="188"/>
      <c r="J110" s="188"/>
      <c r="K110" s="188"/>
      <c r="L110" s="188"/>
      <c r="M110" s="188"/>
      <c r="N110" s="188"/>
      <c r="O110" s="188"/>
      <c r="P110" s="188"/>
      <c r="Q110" s="188"/>
      <c r="R110" s="188"/>
      <c r="S110" s="188"/>
      <c r="T110" s="188"/>
      <c r="U110" s="189"/>
    </row>
    <row r="112" spans="1:21" ht="18" customHeight="1" x14ac:dyDescent="0.15">
      <c r="A112" s="68" t="s">
        <v>125</v>
      </c>
      <c r="B112" s="69"/>
      <c r="C112" s="69"/>
      <c r="D112" s="69"/>
      <c r="E112" s="69"/>
      <c r="F112" s="69"/>
      <c r="G112" s="69"/>
      <c r="H112" s="69"/>
      <c r="I112" s="69"/>
      <c r="J112" s="69"/>
      <c r="K112" s="69"/>
      <c r="L112" s="69"/>
      <c r="M112" s="69"/>
      <c r="N112" s="69"/>
      <c r="O112" s="69"/>
      <c r="P112" s="69"/>
      <c r="Q112" s="69"/>
      <c r="R112" s="69"/>
      <c r="S112" s="69"/>
      <c r="T112" s="69"/>
      <c r="U112" s="69"/>
    </row>
    <row r="113" spans="1:33" ht="18" customHeight="1" x14ac:dyDescent="0.15">
      <c r="A113" s="68" t="s">
        <v>127</v>
      </c>
      <c r="B113" s="68"/>
      <c r="C113" s="68"/>
      <c r="D113" s="68"/>
      <c r="E113" s="68"/>
      <c r="F113" s="68"/>
      <c r="G113" s="68"/>
      <c r="H113" s="68"/>
      <c r="I113" s="68"/>
      <c r="J113" s="68"/>
      <c r="K113" s="68"/>
      <c r="L113" s="68"/>
      <c r="M113" s="68"/>
      <c r="N113" s="68"/>
      <c r="O113" s="68"/>
      <c r="P113" s="68"/>
      <c r="Q113" s="68"/>
      <c r="R113" s="68"/>
      <c r="S113" s="68"/>
      <c r="T113" s="68"/>
      <c r="U113" s="68"/>
      <c r="V113" s="2"/>
      <c r="W113" s="2"/>
      <c r="X113" s="2"/>
      <c r="Y113" s="2"/>
      <c r="Z113" s="2"/>
      <c r="AA113" s="2"/>
      <c r="AB113" s="2"/>
      <c r="AC113" s="2"/>
      <c r="AD113" s="2"/>
      <c r="AE113" s="2"/>
      <c r="AF113" s="2"/>
      <c r="AG113" s="2"/>
    </row>
    <row r="114" spans="1:33" ht="30" customHeight="1" x14ac:dyDescent="0.15">
      <c r="A114" s="68"/>
      <c r="B114" s="114" t="s">
        <v>130</v>
      </c>
      <c r="C114" s="114"/>
      <c r="D114" s="114"/>
      <c r="E114" s="114"/>
      <c r="F114" s="114"/>
      <c r="G114" s="114"/>
      <c r="H114" s="114"/>
      <c r="I114" s="114"/>
      <c r="J114" s="114"/>
      <c r="K114" s="114"/>
      <c r="L114" s="114"/>
      <c r="M114" s="114"/>
      <c r="N114" s="114"/>
      <c r="O114" s="114"/>
      <c r="P114" s="114"/>
      <c r="Q114" s="114"/>
      <c r="R114" s="114"/>
      <c r="S114" s="114"/>
      <c r="T114" s="114"/>
      <c r="U114" s="114"/>
      <c r="V114" s="65"/>
      <c r="W114" s="65"/>
      <c r="X114" s="65"/>
      <c r="Y114" s="65"/>
      <c r="Z114" s="65"/>
      <c r="AA114" s="65"/>
      <c r="AB114" s="65"/>
      <c r="AC114" s="65"/>
      <c r="AD114" s="65"/>
      <c r="AE114" s="65"/>
      <c r="AF114" s="65"/>
      <c r="AG114" s="65"/>
    </row>
    <row r="115" spans="1:33" ht="30" customHeight="1" x14ac:dyDescent="0.15">
      <c r="A115" s="68"/>
      <c r="B115" s="114"/>
      <c r="C115" s="114"/>
      <c r="D115" s="114"/>
      <c r="E115" s="114"/>
      <c r="F115" s="114"/>
      <c r="G115" s="114"/>
      <c r="H115" s="114"/>
      <c r="I115" s="114"/>
      <c r="J115" s="114"/>
      <c r="K115" s="114"/>
      <c r="L115" s="114"/>
      <c r="M115" s="114"/>
      <c r="N115" s="114"/>
      <c r="O115" s="114"/>
      <c r="P115" s="114"/>
      <c r="Q115" s="114"/>
      <c r="R115" s="114"/>
      <c r="S115" s="114"/>
      <c r="T115" s="114"/>
      <c r="U115" s="114"/>
      <c r="V115" s="65"/>
      <c r="W115" s="65"/>
      <c r="X115" s="65"/>
      <c r="Y115" s="65"/>
      <c r="Z115" s="65"/>
      <c r="AA115" s="65"/>
      <c r="AB115" s="65"/>
      <c r="AC115" s="65"/>
      <c r="AD115" s="65"/>
      <c r="AE115" s="65"/>
      <c r="AF115" s="65"/>
      <c r="AG115" s="65"/>
    </row>
    <row r="116" spans="1:33" ht="18" customHeight="1" x14ac:dyDescent="0.15">
      <c r="A116" s="68"/>
      <c r="B116" s="175" t="s">
        <v>126</v>
      </c>
      <c r="C116" s="175"/>
      <c r="D116" s="175"/>
      <c r="E116" s="175"/>
      <c r="F116" s="175"/>
      <c r="G116" s="175"/>
      <c r="H116" s="175"/>
      <c r="I116" s="175"/>
      <c r="J116" s="175"/>
      <c r="K116" s="175"/>
      <c r="L116" s="175"/>
      <c r="M116" s="175"/>
      <c r="N116" s="175"/>
      <c r="O116" s="175"/>
      <c r="P116" s="175"/>
      <c r="Q116" s="175"/>
      <c r="R116" s="175"/>
      <c r="S116" s="175"/>
      <c r="T116" s="175"/>
      <c r="U116" s="175"/>
      <c r="V116" s="65"/>
      <c r="W116" s="65"/>
      <c r="X116" s="65"/>
      <c r="Y116" s="65"/>
      <c r="Z116" s="65"/>
      <c r="AA116" s="65"/>
      <c r="AB116" s="65"/>
      <c r="AC116" s="65"/>
      <c r="AD116" s="65"/>
      <c r="AE116" s="65"/>
      <c r="AF116" s="65"/>
      <c r="AG116" s="65"/>
    </row>
    <row r="117" spans="1:33" ht="18" customHeight="1" x14ac:dyDescent="0.15">
      <c r="A117" s="68"/>
      <c r="B117" s="196" t="s">
        <v>54</v>
      </c>
      <c r="C117" s="197"/>
      <c r="D117" s="197"/>
      <c r="E117" s="197"/>
      <c r="F117" s="197"/>
      <c r="G117" s="197"/>
      <c r="H117" s="197"/>
      <c r="I117" s="197"/>
      <c r="J117" s="197"/>
      <c r="K117" s="197"/>
      <c r="L117" s="197"/>
      <c r="M117" s="197"/>
      <c r="N117" s="197"/>
      <c r="O117" s="197"/>
      <c r="P117" s="197"/>
      <c r="Q117" s="197"/>
      <c r="R117" s="197"/>
      <c r="S117" s="197"/>
      <c r="T117" s="197"/>
      <c r="U117" s="198"/>
      <c r="V117" s="64"/>
      <c r="W117" s="64"/>
      <c r="X117" s="64"/>
      <c r="Y117" s="64"/>
      <c r="Z117" s="64"/>
      <c r="AA117" s="64"/>
      <c r="AB117" s="64"/>
      <c r="AC117" s="64"/>
      <c r="AD117" s="64"/>
      <c r="AE117" s="64"/>
      <c r="AF117" s="64"/>
      <c r="AG117" s="64"/>
    </row>
    <row r="118" spans="1:33" ht="18" customHeight="1" x14ac:dyDescent="0.15">
      <c r="A118" s="68"/>
      <c r="B118" s="199"/>
      <c r="C118" s="200"/>
      <c r="D118" s="200"/>
      <c r="E118" s="200"/>
      <c r="F118" s="200"/>
      <c r="G118" s="200"/>
      <c r="H118" s="200"/>
      <c r="I118" s="200"/>
      <c r="J118" s="200"/>
      <c r="K118" s="200"/>
      <c r="L118" s="200"/>
      <c r="M118" s="200"/>
      <c r="N118" s="200"/>
      <c r="O118" s="200"/>
      <c r="P118" s="200"/>
      <c r="Q118" s="200"/>
      <c r="R118" s="200"/>
      <c r="S118" s="200"/>
      <c r="T118" s="200"/>
      <c r="U118" s="201"/>
      <c r="V118" s="66"/>
      <c r="W118" s="66"/>
      <c r="X118" s="66"/>
      <c r="Y118" s="66"/>
      <c r="Z118" s="66"/>
      <c r="AA118" s="66"/>
      <c r="AB118" s="66"/>
      <c r="AC118" s="66"/>
      <c r="AD118" s="66"/>
      <c r="AE118" s="66"/>
      <c r="AF118" s="66"/>
      <c r="AG118" s="66"/>
    </row>
  </sheetData>
  <mergeCells count="172">
    <mergeCell ref="B117:U117"/>
    <mergeCell ref="B118:U118"/>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 ref="A68:U69"/>
    <mergeCell ref="K81:Q81"/>
    <mergeCell ref="R81:U81"/>
    <mergeCell ref="R80:U80"/>
    <mergeCell ref="B81:F81"/>
    <mergeCell ref="A46:U47"/>
    <mergeCell ref="K41:Q41"/>
    <mergeCell ref="B48:F48"/>
    <mergeCell ref="B49:F49"/>
    <mergeCell ref="K61:Q61"/>
    <mergeCell ref="B80:F80"/>
    <mergeCell ref="G81:J81"/>
    <mergeCell ref="B116:U116"/>
    <mergeCell ref="R89:U89"/>
    <mergeCell ref="K70:P70"/>
    <mergeCell ref="B65:F65"/>
    <mergeCell ref="B66:F66"/>
    <mergeCell ref="K93:Q93"/>
    <mergeCell ref="B110:U110"/>
    <mergeCell ref="R93:U93"/>
    <mergeCell ref="B82:F82"/>
    <mergeCell ref="G82:J82"/>
    <mergeCell ref="K82:Q82"/>
    <mergeCell ref="R82:U82"/>
    <mergeCell ref="B91:F91"/>
    <mergeCell ref="G91:J91"/>
    <mergeCell ref="K91:Q91"/>
    <mergeCell ref="R91:U91"/>
    <mergeCell ref="B89:F8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L7:U7"/>
    <mergeCell ref="D96:U96"/>
    <mergeCell ref="D97:U97"/>
    <mergeCell ref="D98:U98"/>
    <mergeCell ref="D99:U99"/>
    <mergeCell ref="D100:U100"/>
    <mergeCell ref="G85:J85"/>
    <mergeCell ref="K85:Q85"/>
    <mergeCell ref="R85:U85"/>
    <mergeCell ref="B86:F86"/>
    <mergeCell ref="G86:J86"/>
    <mergeCell ref="K86:Q86"/>
    <mergeCell ref="R86:U86"/>
    <mergeCell ref="B87:F87"/>
    <mergeCell ref="G87:J87"/>
    <mergeCell ref="K87:Q87"/>
    <mergeCell ref="R87:U87"/>
    <mergeCell ref="B53:F53"/>
    <mergeCell ref="B83:F83"/>
    <mergeCell ref="G83:J83"/>
    <mergeCell ref="K83:Q83"/>
    <mergeCell ref="G92:J92"/>
    <mergeCell ref="K92:Q92"/>
    <mergeCell ref="R92:U92"/>
    <mergeCell ref="B88:F88"/>
    <mergeCell ref="G88:J88"/>
    <mergeCell ref="K88:Q88"/>
    <mergeCell ref="R88:U88"/>
    <mergeCell ref="G89:J89"/>
    <mergeCell ref="K89:Q89"/>
    <mergeCell ref="B85:F85"/>
    <mergeCell ref="B50:F50"/>
    <mergeCell ref="K55:Q55"/>
    <mergeCell ref="B59:F59"/>
    <mergeCell ref="B52:F52"/>
    <mergeCell ref="B54:F54"/>
    <mergeCell ref="B55:F55"/>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N22:U22"/>
    <mergeCell ref="A35:U36"/>
    <mergeCell ref="B37:F37"/>
    <mergeCell ref="B38:F38"/>
    <mergeCell ref="B39:F39"/>
    <mergeCell ref="K38:Q38"/>
    <mergeCell ref="K42:Q42"/>
    <mergeCell ref="K43:Q43"/>
    <mergeCell ref="K44:Q44"/>
    <mergeCell ref="B114:U115"/>
    <mergeCell ref="D104:U104"/>
    <mergeCell ref="D105:U105"/>
    <mergeCell ref="D106:U106"/>
    <mergeCell ref="D107:U107"/>
    <mergeCell ref="D103:U103"/>
    <mergeCell ref="B99:B100"/>
    <mergeCell ref="R90:U90"/>
    <mergeCell ref="B101:B102"/>
    <mergeCell ref="B97:B98"/>
    <mergeCell ref="B90:F90"/>
    <mergeCell ref="G90:J90"/>
    <mergeCell ref="K90:Q90"/>
    <mergeCell ref="D101:U101"/>
    <mergeCell ref="D102:U102"/>
    <mergeCell ref="B93:F93"/>
    <mergeCell ref="G93:J93"/>
    <mergeCell ref="B105:B107"/>
    <mergeCell ref="B103:B104"/>
    <mergeCell ref="B96:C96"/>
    <mergeCell ref="B92:F92"/>
    <mergeCell ref="A57:U58"/>
    <mergeCell ref="K77:P77"/>
    <mergeCell ref="R83:U83"/>
    <mergeCell ref="B84:F84"/>
    <mergeCell ref="G84:J84"/>
    <mergeCell ref="K84:Q84"/>
    <mergeCell ref="R84:U84"/>
    <mergeCell ref="G80:J80"/>
    <mergeCell ref="K80:Q80"/>
    <mergeCell ref="B71:E71"/>
    <mergeCell ref="B72:E72"/>
    <mergeCell ref="K71:P71"/>
    <mergeCell ref="K72:P72"/>
    <mergeCell ref="K73:P73"/>
    <mergeCell ref="B75:E75"/>
    <mergeCell ref="B76:E76"/>
    <mergeCell ref="B77:E77"/>
    <mergeCell ref="K74:P74"/>
    <mergeCell ref="K75:P75"/>
    <mergeCell ref="K76:P76"/>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27:J33 S38:U44 H38:J44 S49:U55 H49:J55 S60:U66 H60:J66 G71:J77">
      <formula1>"○"</formula1>
    </dataValidation>
    <dataValidation type="list" allowBlank="1" showInputMessage="1" showErrorMessage="1" sqref="U34 U45 E34:H34 E45:H45">
      <formula1>"全学開講,一部開講"</formula1>
    </dataValidation>
    <dataValidation type="list" allowBlank="1" showInputMessage="1" showErrorMessage="1" sqref="L14 L7:U7">
      <formula1>"学部・学科によって、修了要件は相違する,学部・学科によって、修了要件は相違しない"</formula1>
    </dataValidation>
    <dataValidation type="list" allowBlank="1" showInputMessage="1" showErrorMessage="1" sqref="S92:U94 H85:J87 R82:R94 G81:G91 G92:J94 H81:J82 R81:U81 S84:U86">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formula1>$X$16:$X$18</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&amp;C数理・データサイエンス・AI教育プログラム認定制度【リテラシーレベル】令和６年度申請用</oddHeader>
  </headerFooter>
  <rowBreaks count="2" manualBreakCount="2">
    <brk id="67" max="20" man="1"/>
    <brk id="102"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U33"/>
  <sheetViews>
    <sheetView tabSelected="1" view="pageBreakPreview" zoomScale="85" zoomScaleNormal="100" zoomScaleSheetLayoutView="85" workbookViewId="0">
      <selection activeCell="C6" sqref="C6"/>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0"/>
      <c r="B1" s="70"/>
      <c r="C1" s="70"/>
      <c r="D1" s="70"/>
      <c r="E1" s="70"/>
      <c r="F1" s="70"/>
      <c r="G1" s="70"/>
      <c r="H1" s="70"/>
      <c r="I1" s="70"/>
      <c r="J1" s="70"/>
      <c r="K1" s="70"/>
      <c r="L1" s="70"/>
      <c r="M1" s="70"/>
      <c r="N1" s="70"/>
      <c r="O1" s="70"/>
      <c r="P1" s="70"/>
      <c r="Q1" s="70"/>
      <c r="R1" s="70"/>
      <c r="S1" s="70" t="s">
        <v>98</v>
      </c>
    </row>
    <row r="2" spans="1:21" ht="18" customHeight="1" x14ac:dyDescent="0.15">
      <c r="A2" s="70"/>
      <c r="B2" s="70"/>
      <c r="C2" s="70"/>
      <c r="D2" s="70"/>
      <c r="E2" s="70"/>
      <c r="F2" s="70"/>
      <c r="G2" s="70"/>
      <c r="H2" s="70"/>
      <c r="I2" s="70"/>
      <c r="J2" s="70"/>
      <c r="K2" s="70"/>
      <c r="L2" s="70"/>
      <c r="M2" s="70"/>
      <c r="N2" s="70"/>
      <c r="O2" s="70"/>
      <c r="P2" s="70"/>
      <c r="Q2" s="206" t="str">
        <f>'様式１　プログラムを構成する授業科目'!C2</f>
        <v>学習院女子大学</v>
      </c>
      <c r="R2" s="206"/>
      <c r="S2" s="206"/>
    </row>
    <row r="3" spans="1:21" ht="18" customHeight="1" x14ac:dyDescent="0.15">
      <c r="A3" s="176" t="s">
        <v>47</v>
      </c>
      <c r="B3" s="176"/>
      <c r="C3" s="176"/>
      <c r="D3" s="176"/>
      <c r="E3" s="176"/>
      <c r="F3" s="176"/>
      <c r="G3" s="176"/>
      <c r="H3" s="176"/>
      <c r="I3" s="176"/>
      <c r="J3" s="176"/>
      <c r="K3" s="176"/>
      <c r="L3" s="176"/>
      <c r="M3" s="176"/>
      <c r="N3" s="176"/>
      <c r="O3" s="176"/>
      <c r="P3" s="176"/>
      <c r="Q3" s="176"/>
      <c r="R3" s="176"/>
      <c r="S3" s="176"/>
    </row>
    <row r="4" spans="1:21" ht="7.5" customHeight="1" x14ac:dyDescent="0.15">
      <c r="A4" s="74"/>
      <c r="B4" s="74"/>
      <c r="C4" s="74"/>
      <c r="D4" s="74"/>
      <c r="E4" s="74"/>
      <c r="F4" s="74"/>
      <c r="G4" s="74"/>
      <c r="H4" s="74"/>
      <c r="I4" s="74"/>
      <c r="J4" s="74"/>
      <c r="K4" s="74"/>
      <c r="L4" s="74"/>
      <c r="M4" s="74"/>
      <c r="N4" s="74"/>
      <c r="O4" s="74"/>
      <c r="P4" s="74"/>
      <c r="Q4" s="74"/>
      <c r="R4" s="74"/>
      <c r="S4" s="74"/>
    </row>
    <row r="5" spans="1:21" ht="18" customHeight="1" x14ac:dyDescent="0.15">
      <c r="A5" s="70" t="s">
        <v>80</v>
      </c>
      <c r="B5" s="70"/>
      <c r="C5" s="207" t="s">
        <v>206</v>
      </c>
      <c r="D5" s="208"/>
      <c r="E5" s="74" t="s">
        <v>51</v>
      </c>
      <c r="F5" s="74"/>
      <c r="G5" s="74"/>
      <c r="H5" s="74"/>
      <c r="I5" s="74"/>
      <c r="J5" s="74"/>
      <c r="K5" s="74"/>
      <c r="L5" s="74"/>
      <c r="M5" s="74"/>
      <c r="N5" s="74"/>
      <c r="O5" s="74"/>
      <c r="P5" s="74"/>
      <c r="Q5" s="74"/>
      <c r="R5" s="72"/>
      <c r="S5" s="72"/>
    </row>
    <row r="6" spans="1:21" ht="7.15" customHeight="1" x14ac:dyDescent="0.15">
      <c r="A6" s="70"/>
      <c r="B6" s="70"/>
      <c r="C6" s="80"/>
      <c r="D6" s="80"/>
      <c r="E6" s="74"/>
      <c r="F6" s="74"/>
      <c r="G6" s="74"/>
      <c r="H6" s="74"/>
      <c r="I6" s="74"/>
      <c r="J6" s="74"/>
      <c r="K6" s="74"/>
      <c r="L6" s="74"/>
      <c r="M6" s="74"/>
      <c r="N6" s="74"/>
      <c r="O6" s="74"/>
      <c r="P6" s="74"/>
      <c r="Q6" s="74"/>
      <c r="R6" s="72"/>
      <c r="S6" s="72"/>
    </row>
    <row r="7" spans="1:21" ht="18" customHeight="1" x14ac:dyDescent="0.15">
      <c r="A7" s="70" t="s">
        <v>118</v>
      </c>
      <c r="B7" s="70"/>
      <c r="C7" s="80"/>
      <c r="D7" s="80"/>
      <c r="E7" s="74" t="s">
        <v>119</v>
      </c>
      <c r="F7" s="78">
        <v>0</v>
      </c>
      <c r="G7" s="76" t="s">
        <v>120</v>
      </c>
      <c r="H7" s="74" t="s">
        <v>121</v>
      </c>
      <c r="I7" s="78">
        <v>1588</v>
      </c>
      <c r="J7" s="76" t="s">
        <v>120</v>
      </c>
      <c r="K7" s="71" t="s">
        <v>122</v>
      </c>
      <c r="L7" s="74" t="s">
        <v>123</v>
      </c>
      <c r="M7" s="78">
        <f>F7+I7</f>
        <v>1588</v>
      </c>
      <c r="N7" s="74" t="s">
        <v>1</v>
      </c>
      <c r="O7" s="76" t="s">
        <v>124</v>
      </c>
      <c r="P7" s="74"/>
      <c r="Q7" s="74"/>
      <c r="R7" s="72"/>
      <c r="S7" s="72"/>
    </row>
    <row r="8" spans="1:21" ht="6" customHeight="1" x14ac:dyDescent="0.15">
      <c r="A8" s="74"/>
      <c r="B8" s="74"/>
      <c r="C8" s="74"/>
      <c r="D8" s="74"/>
      <c r="E8" s="74"/>
      <c r="F8" s="74"/>
      <c r="G8" s="74"/>
      <c r="H8" s="74"/>
      <c r="I8" s="74"/>
      <c r="J8" s="74"/>
      <c r="K8" s="74"/>
      <c r="L8" s="74"/>
      <c r="M8" s="74"/>
      <c r="N8" s="74"/>
      <c r="O8" s="74"/>
      <c r="P8" s="74"/>
      <c r="Q8" s="74"/>
      <c r="R8" s="74"/>
      <c r="S8" s="74"/>
    </row>
    <row r="9" spans="1:21" ht="18" customHeight="1" x14ac:dyDescent="0.15">
      <c r="A9" s="70" t="s">
        <v>134</v>
      </c>
      <c r="B9" s="74"/>
      <c r="C9" s="74"/>
      <c r="D9" s="74"/>
      <c r="E9" s="74"/>
      <c r="F9" s="74"/>
      <c r="G9" s="74"/>
      <c r="H9" s="74"/>
      <c r="I9" s="74"/>
      <c r="J9" s="74"/>
      <c r="K9" s="74"/>
      <c r="L9" s="74"/>
      <c r="M9" s="74"/>
      <c r="N9" s="74"/>
      <c r="O9" s="74"/>
      <c r="P9" s="74"/>
      <c r="Q9" s="74"/>
      <c r="R9" s="74"/>
      <c r="S9" s="74"/>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209" t="s">
        <v>44</v>
      </c>
      <c r="C11" s="219" t="s">
        <v>83</v>
      </c>
      <c r="D11" s="211" t="s">
        <v>46</v>
      </c>
      <c r="E11" s="213" t="s">
        <v>39</v>
      </c>
      <c r="F11" s="205" t="s">
        <v>112</v>
      </c>
      <c r="G11" s="205"/>
      <c r="H11" s="205" t="s">
        <v>82</v>
      </c>
      <c r="I11" s="205"/>
      <c r="J11" s="205" t="s">
        <v>48</v>
      </c>
      <c r="K11" s="205"/>
      <c r="L11" s="205" t="s">
        <v>49</v>
      </c>
      <c r="M11" s="205"/>
      <c r="N11" s="205" t="s">
        <v>92</v>
      </c>
      <c r="O11" s="205"/>
      <c r="P11" s="205" t="s">
        <v>50</v>
      </c>
      <c r="Q11" s="205"/>
      <c r="R11" s="215" t="s">
        <v>35</v>
      </c>
      <c r="S11" s="217" t="s">
        <v>32</v>
      </c>
      <c r="U11" s="2"/>
    </row>
    <row r="12" spans="1:21" ht="16.899999999999999" customHeight="1" x14ac:dyDescent="0.15">
      <c r="B12" s="210"/>
      <c r="C12" s="220"/>
      <c r="D12" s="212"/>
      <c r="E12" s="214"/>
      <c r="F12" s="58" t="s">
        <v>91</v>
      </c>
      <c r="G12" s="58" t="s">
        <v>29</v>
      </c>
      <c r="H12" s="58" t="s">
        <v>91</v>
      </c>
      <c r="I12" s="58" t="s">
        <v>29</v>
      </c>
      <c r="J12" s="58" t="s">
        <v>91</v>
      </c>
      <c r="K12" s="58" t="s">
        <v>29</v>
      </c>
      <c r="L12" s="58" t="s">
        <v>91</v>
      </c>
      <c r="M12" s="58" t="s">
        <v>29</v>
      </c>
      <c r="N12" s="58" t="s">
        <v>91</v>
      </c>
      <c r="O12" s="58" t="s">
        <v>29</v>
      </c>
      <c r="P12" s="58" t="s">
        <v>91</v>
      </c>
      <c r="Q12" s="59" t="s">
        <v>29</v>
      </c>
      <c r="R12" s="216"/>
      <c r="S12" s="218"/>
      <c r="U12" s="2"/>
    </row>
    <row r="13" spans="1:21" ht="18" customHeight="1" x14ac:dyDescent="0.15">
      <c r="A13" s="5"/>
      <c r="B13" s="60" t="s">
        <v>138</v>
      </c>
      <c r="C13" s="46">
        <v>1588</v>
      </c>
      <c r="D13" s="47">
        <v>385</v>
      </c>
      <c r="E13" s="48">
        <v>1440</v>
      </c>
      <c r="F13" s="48">
        <v>556</v>
      </c>
      <c r="G13" s="48">
        <v>11</v>
      </c>
      <c r="H13" s="48"/>
      <c r="I13" s="48"/>
      <c r="J13" s="48"/>
      <c r="K13" s="48"/>
      <c r="L13" s="48"/>
      <c r="M13" s="48"/>
      <c r="N13" s="48"/>
      <c r="O13" s="48"/>
      <c r="P13" s="48"/>
      <c r="Q13" s="61"/>
      <c r="R13" s="47">
        <f t="shared" ref="R13:R32" si="0">F13+H13+J13+L13+N13+P13</f>
        <v>556</v>
      </c>
      <c r="S13" s="62">
        <f t="shared" ref="S13:S33" si="1">R13/E13</f>
        <v>0.38611111111111113</v>
      </c>
    </row>
    <row r="14" spans="1:21" ht="18" customHeight="1" x14ac:dyDescent="0.15">
      <c r="A14" s="5"/>
      <c r="B14" s="10"/>
      <c r="C14" s="49"/>
      <c r="D14" s="50"/>
      <c r="E14" s="51"/>
      <c r="F14" s="52"/>
      <c r="G14" s="52"/>
      <c r="H14" s="52"/>
      <c r="I14" s="52"/>
      <c r="J14" s="52"/>
      <c r="K14" s="52"/>
      <c r="L14" s="52"/>
      <c r="M14" s="52"/>
      <c r="N14" s="52"/>
      <c r="O14" s="52"/>
      <c r="P14" s="52"/>
      <c r="Q14" s="49"/>
      <c r="R14" s="50">
        <f t="shared" si="0"/>
        <v>0</v>
      </c>
      <c r="S14" s="15" t="e">
        <f t="shared" si="1"/>
        <v>#DIV/0!</v>
      </c>
    </row>
    <row r="15" spans="1:21" ht="18" customHeight="1" x14ac:dyDescent="0.15">
      <c r="A15" s="5"/>
      <c r="B15" s="10"/>
      <c r="C15" s="49"/>
      <c r="D15" s="50"/>
      <c r="E15" s="51"/>
      <c r="F15" s="52"/>
      <c r="G15" s="52"/>
      <c r="H15" s="52"/>
      <c r="I15" s="52"/>
      <c r="J15" s="52"/>
      <c r="K15" s="52"/>
      <c r="L15" s="52"/>
      <c r="M15" s="52"/>
      <c r="N15" s="52"/>
      <c r="O15" s="52"/>
      <c r="P15" s="52"/>
      <c r="Q15" s="49"/>
      <c r="R15" s="50">
        <f t="shared" si="0"/>
        <v>0</v>
      </c>
      <c r="S15" s="7" t="e">
        <f t="shared" si="1"/>
        <v>#DIV/0!</v>
      </c>
    </row>
    <row r="16" spans="1:21" ht="18" customHeight="1" x14ac:dyDescent="0.15">
      <c r="A16" s="5"/>
      <c r="B16" s="10"/>
      <c r="C16" s="49"/>
      <c r="D16" s="50"/>
      <c r="E16" s="51"/>
      <c r="F16" s="52"/>
      <c r="G16" s="52"/>
      <c r="H16" s="52"/>
      <c r="I16" s="52"/>
      <c r="J16" s="52"/>
      <c r="K16" s="52"/>
      <c r="L16" s="52"/>
      <c r="M16" s="52"/>
      <c r="N16" s="52"/>
      <c r="O16" s="52"/>
      <c r="P16" s="52"/>
      <c r="Q16" s="49"/>
      <c r="R16" s="50">
        <f t="shared" si="0"/>
        <v>0</v>
      </c>
      <c r="S16" s="7" t="e">
        <f t="shared" si="1"/>
        <v>#DIV/0!</v>
      </c>
    </row>
    <row r="17" spans="1:19" ht="18" customHeight="1" x14ac:dyDescent="0.15">
      <c r="A17" s="5"/>
      <c r="B17" s="10"/>
      <c r="C17" s="49"/>
      <c r="D17" s="50"/>
      <c r="E17" s="51"/>
      <c r="F17" s="52"/>
      <c r="G17" s="52"/>
      <c r="H17" s="52"/>
      <c r="I17" s="52"/>
      <c r="J17" s="52"/>
      <c r="K17" s="52"/>
      <c r="L17" s="52"/>
      <c r="M17" s="52"/>
      <c r="N17" s="52"/>
      <c r="O17" s="52"/>
      <c r="P17" s="52"/>
      <c r="Q17" s="49"/>
      <c r="R17" s="50">
        <f t="shared" si="0"/>
        <v>0</v>
      </c>
      <c r="S17" s="7" t="e">
        <f t="shared" si="1"/>
        <v>#DIV/0!</v>
      </c>
    </row>
    <row r="18" spans="1:19" ht="18" customHeight="1" x14ac:dyDescent="0.15">
      <c r="A18" s="5"/>
      <c r="B18" s="10"/>
      <c r="C18" s="49"/>
      <c r="D18" s="50"/>
      <c r="E18" s="51"/>
      <c r="F18" s="52"/>
      <c r="G18" s="52"/>
      <c r="H18" s="52"/>
      <c r="I18" s="52"/>
      <c r="J18" s="52"/>
      <c r="K18" s="52"/>
      <c r="L18" s="52"/>
      <c r="M18" s="52"/>
      <c r="N18" s="52"/>
      <c r="O18" s="52"/>
      <c r="P18" s="52"/>
      <c r="Q18" s="49"/>
      <c r="R18" s="50">
        <f t="shared" si="0"/>
        <v>0</v>
      </c>
      <c r="S18" s="7" t="e">
        <f t="shared" si="1"/>
        <v>#DIV/0!</v>
      </c>
    </row>
    <row r="19" spans="1:19" ht="18" customHeight="1" x14ac:dyDescent="0.15">
      <c r="A19" s="5"/>
      <c r="B19" s="10"/>
      <c r="C19" s="49"/>
      <c r="D19" s="50"/>
      <c r="E19" s="51"/>
      <c r="F19" s="52"/>
      <c r="G19" s="52"/>
      <c r="H19" s="52"/>
      <c r="I19" s="52"/>
      <c r="J19" s="52"/>
      <c r="K19" s="52"/>
      <c r="L19" s="52"/>
      <c r="M19" s="52"/>
      <c r="N19" s="52"/>
      <c r="O19" s="52"/>
      <c r="P19" s="52"/>
      <c r="Q19" s="49"/>
      <c r="R19" s="50">
        <f t="shared" si="0"/>
        <v>0</v>
      </c>
      <c r="S19" s="7" t="e">
        <f t="shared" si="1"/>
        <v>#DIV/0!</v>
      </c>
    </row>
    <row r="20" spans="1:19" ht="18" customHeight="1" x14ac:dyDescent="0.15">
      <c r="A20" s="5"/>
      <c r="B20" s="10"/>
      <c r="C20" s="49"/>
      <c r="D20" s="50"/>
      <c r="E20" s="51"/>
      <c r="F20" s="52"/>
      <c r="G20" s="52"/>
      <c r="H20" s="52"/>
      <c r="I20" s="52"/>
      <c r="J20" s="52"/>
      <c r="K20" s="52"/>
      <c r="L20" s="52"/>
      <c r="M20" s="52"/>
      <c r="N20" s="52"/>
      <c r="O20" s="52"/>
      <c r="P20" s="52"/>
      <c r="Q20" s="49"/>
      <c r="R20" s="50">
        <f t="shared" si="0"/>
        <v>0</v>
      </c>
      <c r="S20" s="7" t="e">
        <f t="shared" si="1"/>
        <v>#DIV/0!</v>
      </c>
    </row>
    <row r="21" spans="1:19" ht="18" customHeight="1" x14ac:dyDescent="0.15">
      <c r="A21" s="5"/>
      <c r="B21" s="10"/>
      <c r="C21" s="49"/>
      <c r="D21" s="50"/>
      <c r="E21" s="51"/>
      <c r="F21" s="52"/>
      <c r="G21" s="52"/>
      <c r="H21" s="52"/>
      <c r="I21" s="52"/>
      <c r="J21" s="52"/>
      <c r="K21" s="52"/>
      <c r="L21" s="52"/>
      <c r="M21" s="52"/>
      <c r="N21" s="52"/>
      <c r="O21" s="52"/>
      <c r="P21" s="52"/>
      <c r="Q21" s="49"/>
      <c r="R21" s="50">
        <f t="shared" si="0"/>
        <v>0</v>
      </c>
      <c r="S21" s="7" t="e">
        <f t="shared" si="1"/>
        <v>#DIV/0!</v>
      </c>
    </row>
    <row r="22" spans="1:19" ht="18" customHeight="1" x14ac:dyDescent="0.15">
      <c r="A22" s="5"/>
      <c r="B22" s="10"/>
      <c r="C22" s="49"/>
      <c r="D22" s="50"/>
      <c r="E22" s="51"/>
      <c r="F22" s="52"/>
      <c r="G22" s="52"/>
      <c r="H22" s="52"/>
      <c r="I22" s="52"/>
      <c r="J22" s="52"/>
      <c r="K22" s="52"/>
      <c r="L22" s="52"/>
      <c r="M22" s="52"/>
      <c r="N22" s="52"/>
      <c r="O22" s="52"/>
      <c r="P22" s="52"/>
      <c r="Q22" s="49"/>
      <c r="R22" s="50">
        <f t="shared" si="0"/>
        <v>0</v>
      </c>
      <c r="S22" s="7" t="e">
        <f t="shared" si="1"/>
        <v>#DIV/0!</v>
      </c>
    </row>
    <row r="23" spans="1:19" ht="18" customHeight="1" x14ac:dyDescent="0.15">
      <c r="A23" s="5"/>
      <c r="B23" s="10"/>
      <c r="C23" s="49"/>
      <c r="D23" s="50"/>
      <c r="E23" s="51"/>
      <c r="F23" s="52"/>
      <c r="G23" s="52"/>
      <c r="H23" s="52"/>
      <c r="I23" s="52"/>
      <c r="J23" s="52"/>
      <c r="K23" s="52"/>
      <c r="L23" s="52"/>
      <c r="M23" s="52"/>
      <c r="N23" s="52"/>
      <c r="O23" s="52"/>
      <c r="P23" s="52"/>
      <c r="Q23" s="49"/>
      <c r="R23" s="50">
        <f t="shared" si="0"/>
        <v>0</v>
      </c>
      <c r="S23" s="7" t="e">
        <f t="shared" si="1"/>
        <v>#DIV/0!</v>
      </c>
    </row>
    <row r="24" spans="1:19" ht="18" customHeight="1" x14ac:dyDescent="0.15">
      <c r="A24" s="5"/>
      <c r="B24" s="10"/>
      <c r="C24" s="49"/>
      <c r="D24" s="50"/>
      <c r="E24" s="51"/>
      <c r="F24" s="52"/>
      <c r="G24" s="52"/>
      <c r="H24" s="52"/>
      <c r="I24" s="52"/>
      <c r="J24" s="52"/>
      <c r="K24" s="52"/>
      <c r="L24" s="52"/>
      <c r="M24" s="52"/>
      <c r="N24" s="52"/>
      <c r="O24" s="52"/>
      <c r="P24" s="52"/>
      <c r="Q24" s="49"/>
      <c r="R24" s="50">
        <f t="shared" si="0"/>
        <v>0</v>
      </c>
      <c r="S24" s="7" t="e">
        <f t="shared" si="1"/>
        <v>#DIV/0!</v>
      </c>
    </row>
    <row r="25" spans="1:19" ht="18" customHeight="1" x14ac:dyDescent="0.15">
      <c r="A25" s="5"/>
      <c r="B25" s="10"/>
      <c r="C25" s="49"/>
      <c r="D25" s="50"/>
      <c r="E25" s="51"/>
      <c r="F25" s="52"/>
      <c r="G25" s="52"/>
      <c r="H25" s="52"/>
      <c r="I25" s="52"/>
      <c r="J25" s="52"/>
      <c r="K25" s="52"/>
      <c r="L25" s="52"/>
      <c r="M25" s="52"/>
      <c r="N25" s="52"/>
      <c r="O25" s="52"/>
      <c r="P25" s="52"/>
      <c r="Q25" s="49"/>
      <c r="R25" s="50">
        <f t="shared" si="0"/>
        <v>0</v>
      </c>
      <c r="S25" s="7" t="e">
        <f t="shared" si="1"/>
        <v>#DIV/0!</v>
      </c>
    </row>
    <row r="26" spans="1:19" ht="18" customHeight="1" x14ac:dyDescent="0.15">
      <c r="A26" s="5"/>
      <c r="B26" s="10"/>
      <c r="C26" s="49"/>
      <c r="D26" s="50"/>
      <c r="E26" s="51"/>
      <c r="F26" s="52"/>
      <c r="G26" s="52"/>
      <c r="H26" s="52"/>
      <c r="I26" s="52"/>
      <c r="J26" s="52"/>
      <c r="K26" s="52"/>
      <c r="L26" s="52"/>
      <c r="M26" s="52"/>
      <c r="N26" s="52"/>
      <c r="O26" s="52"/>
      <c r="P26" s="52"/>
      <c r="Q26" s="49"/>
      <c r="R26" s="50">
        <f t="shared" si="0"/>
        <v>0</v>
      </c>
      <c r="S26" s="7" t="e">
        <f t="shared" si="1"/>
        <v>#DIV/0!</v>
      </c>
    </row>
    <row r="27" spans="1:19" ht="18" customHeight="1" x14ac:dyDescent="0.15">
      <c r="A27" s="5"/>
      <c r="B27" s="10"/>
      <c r="C27" s="49"/>
      <c r="D27" s="50"/>
      <c r="E27" s="51"/>
      <c r="F27" s="52"/>
      <c r="G27" s="52"/>
      <c r="H27" s="52"/>
      <c r="I27" s="52"/>
      <c r="J27" s="52"/>
      <c r="K27" s="52"/>
      <c r="L27" s="52"/>
      <c r="M27" s="52"/>
      <c r="N27" s="52"/>
      <c r="O27" s="52"/>
      <c r="P27" s="52"/>
      <c r="Q27" s="49"/>
      <c r="R27" s="50">
        <f t="shared" si="0"/>
        <v>0</v>
      </c>
      <c r="S27" s="7" t="e">
        <f t="shared" si="1"/>
        <v>#DIV/0!</v>
      </c>
    </row>
    <row r="28" spans="1:19" ht="18" customHeight="1" x14ac:dyDescent="0.15">
      <c r="A28" s="5"/>
      <c r="B28" s="10"/>
      <c r="C28" s="49"/>
      <c r="D28" s="50"/>
      <c r="E28" s="51"/>
      <c r="F28" s="52"/>
      <c r="G28" s="52"/>
      <c r="H28" s="52"/>
      <c r="I28" s="52"/>
      <c r="J28" s="52"/>
      <c r="K28" s="52"/>
      <c r="L28" s="52"/>
      <c r="M28" s="52"/>
      <c r="N28" s="52"/>
      <c r="O28" s="52"/>
      <c r="P28" s="52"/>
      <c r="Q28" s="49"/>
      <c r="R28" s="50">
        <f t="shared" si="0"/>
        <v>0</v>
      </c>
      <c r="S28" s="7" t="e">
        <f t="shared" si="1"/>
        <v>#DIV/0!</v>
      </c>
    </row>
    <row r="29" spans="1:19" ht="18" customHeight="1" x14ac:dyDescent="0.15">
      <c r="A29" s="5"/>
      <c r="B29" s="10"/>
      <c r="C29" s="49"/>
      <c r="D29" s="50"/>
      <c r="E29" s="51"/>
      <c r="F29" s="52"/>
      <c r="G29" s="52"/>
      <c r="H29" s="52"/>
      <c r="I29" s="52"/>
      <c r="J29" s="52"/>
      <c r="K29" s="52"/>
      <c r="L29" s="52"/>
      <c r="M29" s="52"/>
      <c r="N29" s="52"/>
      <c r="O29" s="52"/>
      <c r="P29" s="52"/>
      <c r="Q29" s="49"/>
      <c r="R29" s="50">
        <f t="shared" si="0"/>
        <v>0</v>
      </c>
      <c r="S29" s="7" t="e">
        <f t="shared" si="1"/>
        <v>#DIV/0!</v>
      </c>
    </row>
    <row r="30" spans="1:19" ht="18" customHeight="1" x14ac:dyDescent="0.15">
      <c r="A30" s="5"/>
      <c r="B30" s="10"/>
      <c r="C30" s="49"/>
      <c r="D30" s="53"/>
      <c r="E30" s="51"/>
      <c r="F30" s="52"/>
      <c r="G30" s="52"/>
      <c r="H30" s="52"/>
      <c r="I30" s="52"/>
      <c r="J30" s="52"/>
      <c r="K30" s="52"/>
      <c r="L30" s="52"/>
      <c r="M30" s="52"/>
      <c r="N30" s="52"/>
      <c r="O30" s="52"/>
      <c r="P30" s="52"/>
      <c r="Q30" s="49"/>
      <c r="R30" s="53">
        <f t="shared" si="0"/>
        <v>0</v>
      </c>
      <c r="S30" s="7" t="e">
        <f t="shared" si="1"/>
        <v>#DIV/0!</v>
      </c>
    </row>
    <row r="31" spans="1:19" ht="18" customHeight="1" x14ac:dyDescent="0.15">
      <c r="A31" s="5"/>
      <c r="B31" s="10"/>
      <c r="C31" s="49"/>
      <c r="D31" s="53"/>
      <c r="E31" s="51"/>
      <c r="F31" s="52"/>
      <c r="G31" s="52"/>
      <c r="H31" s="52"/>
      <c r="I31" s="52"/>
      <c r="J31" s="52"/>
      <c r="K31" s="52"/>
      <c r="L31" s="52"/>
      <c r="M31" s="52"/>
      <c r="N31" s="52"/>
      <c r="O31" s="52"/>
      <c r="P31" s="52"/>
      <c r="Q31" s="49"/>
      <c r="R31" s="53">
        <f t="shared" si="0"/>
        <v>0</v>
      </c>
      <c r="S31" s="7" t="e">
        <f t="shared" si="1"/>
        <v>#DIV/0!</v>
      </c>
    </row>
    <row r="32" spans="1:19" ht="18" customHeight="1" thickBot="1" x14ac:dyDescent="0.2">
      <c r="A32" s="5"/>
      <c r="B32" s="11"/>
      <c r="C32" s="46"/>
      <c r="D32" s="54"/>
      <c r="E32" s="48"/>
      <c r="F32" s="48"/>
      <c r="G32" s="48"/>
      <c r="H32" s="48"/>
      <c r="I32" s="48"/>
      <c r="J32" s="48"/>
      <c r="K32" s="48"/>
      <c r="L32" s="48"/>
      <c r="M32" s="48"/>
      <c r="N32" s="48"/>
      <c r="O32" s="48"/>
      <c r="P32" s="48"/>
      <c r="Q32" s="49"/>
      <c r="R32" s="54">
        <f t="shared" si="0"/>
        <v>0</v>
      </c>
      <c r="S32" s="6" t="e">
        <f t="shared" si="1"/>
        <v>#DIV/0!</v>
      </c>
    </row>
    <row r="33" spans="2:19" ht="18" customHeight="1" thickTop="1" x14ac:dyDescent="0.15">
      <c r="B33" s="12" t="s">
        <v>33</v>
      </c>
      <c r="C33" s="55">
        <f t="shared" ref="C33" si="2">SUM(C13:C32)</f>
        <v>1588</v>
      </c>
      <c r="D33" s="56">
        <f t="shared" ref="D33:R33" si="3">SUM(D13:D32)</f>
        <v>385</v>
      </c>
      <c r="E33" s="57">
        <f t="shared" si="3"/>
        <v>1440</v>
      </c>
      <c r="F33" s="57">
        <f t="shared" si="3"/>
        <v>556</v>
      </c>
      <c r="G33" s="57">
        <f t="shared" ref="G33:H33" si="4">SUM(G13:G32)</f>
        <v>11</v>
      </c>
      <c r="H33" s="57">
        <f t="shared" si="4"/>
        <v>0</v>
      </c>
      <c r="I33" s="57">
        <f t="shared" ref="I33:J33" si="5">SUM(I13:I32)</f>
        <v>0</v>
      </c>
      <c r="J33" s="57">
        <f t="shared" si="5"/>
        <v>0</v>
      </c>
      <c r="K33" s="57">
        <f t="shared" ref="K33:O33" si="6">SUM(K13:K32)</f>
        <v>0</v>
      </c>
      <c r="L33" s="57">
        <f t="shared" si="6"/>
        <v>0</v>
      </c>
      <c r="M33" s="57">
        <f t="shared" si="6"/>
        <v>0</v>
      </c>
      <c r="N33" s="57">
        <f t="shared" si="6"/>
        <v>0</v>
      </c>
      <c r="O33" s="57">
        <f t="shared" si="6"/>
        <v>0</v>
      </c>
      <c r="P33" s="57">
        <f t="shared" ref="P33:Q33" si="7">SUM(P13:P32)</f>
        <v>0</v>
      </c>
      <c r="Q33" s="55">
        <f t="shared" si="7"/>
        <v>0</v>
      </c>
      <c r="R33" s="56">
        <f t="shared" si="3"/>
        <v>556</v>
      </c>
      <c r="S33" s="8">
        <f t="shared" si="1"/>
        <v>0.38611111111111113</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O134"/>
  <sheetViews>
    <sheetView showZeros="0" view="pageBreakPreview" zoomScaleNormal="100" zoomScaleSheetLayoutView="100" workbookViewId="0">
      <selection activeCell="E34" sqref="E34"/>
    </sheetView>
  </sheetViews>
  <sheetFormatPr defaultColWidth="11.375" defaultRowHeight="18.75" customHeight="1" x14ac:dyDescent="0.15"/>
  <cols>
    <col min="1" max="1" width="2.75" style="31"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1" t="s">
        <v>63</v>
      </c>
      <c r="I1" s="29" t="s">
        <v>97</v>
      </c>
    </row>
    <row r="2" spans="1:9" ht="18.75" customHeight="1" x14ac:dyDescent="0.15">
      <c r="G2" s="29" t="s">
        <v>99</v>
      </c>
      <c r="H2" s="105" t="str">
        <f>'様式１　プログラムを構成する授業科目'!C2</f>
        <v>学習院女子大学</v>
      </c>
      <c r="I2" s="107"/>
    </row>
    <row r="3" spans="1:9" ht="18.75" customHeight="1" x14ac:dyDescent="0.15">
      <c r="G3" s="29"/>
      <c r="H3" s="9"/>
      <c r="I3" s="9"/>
    </row>
    <row r="4" spans="1:9" ht="18.600000000000001" customHeight="1" x14ac:dyDescent="0.15">
      <c r="A4" s="251" t="s">
        <v>36</v>
      </c>
      <c r="B4" s="251"/>
      <c r="C4" s="251"/>
      <c r="D4" s="251"/>
      <c r="E4" s="251"/>
      <c r="F4" s="251"/>
      <c r="G4" s="251"/>
      <c r="H4" s="251"/>
      <c r="I4" s="251"/>
    </row>
    <row r="5" spans="1:9" ht="13.15" customHeight="1" x14ac:dyDescent="0.15">
      <c r="B5" s="3"/>
      <c r="C5" s="3"/>
      <c r="D5" s="3"/>
      <c r="E5" s="3"/>
      <c r="F5" s="3"/>
      <c r="G5" s="3"/>
      <c r="H5" s="3"/>
      <c r="I5" s="3"/>
    </row>
    <row r="6" spans="1:9" ht="18" customHeight="1" x14ac:dyDescent="0.15">
      <c r="A6" s="1" t="s">
        <v>0</v>
      </c>
      <c r="B6" s="9" t="s">
        <v>86</v>
      </c>
      <c r="C6" s="271" t="s">
        <v>87</v>
      </c>
      <c r="D6" s="271"/>
      <c r="E6" s="94">
        <v>44</v>
      </c>
      <c r="F6" s="3" t="s">
        <v>1</v>
      </c>
      <c r="G6" s="3" t="s">
        <v>2</v>
      </c>
      <c r="H6" s="94">
        <v>147</v>
      </c>
      <c r="I6" s="9" t="s">
        <v>1</v>
      </c>
    </row>
    <row r="7" spans="1:9" ht="12" customHeight="1" x14ac:dyDescent="0.15">
      <c r="C7" s="2"/>
      <c r="D7" s="2"/>
      <c r="E7" s="2"/>
      <c r="F7" s="2"/>
      <c r="G7" s="2"/>
      <c r="H7" s="2"/>
      <c r="I7" s="32"/>
    </row>
    <row r="8" spans="1:9" ht="18" customHeight="1" x14ac:dyDescent="0.15">
      <c r="A8" s="1" t="s">
        <v>3</v>
      </c>
      <c r="B8" s="9" t="s">
        <v>88</v>
      </c>
      <c r="E8" s="3"/>
      <c r="F8" s="3"/>
      <c r="G8" s="3"/>
      <c r="H8" s="28">
        <v>7</v>
      </c>
      <c r="I8" s="9" t="s">
        <v>1</v>
      </c>
    </row>
    <row r="9" spans="1:9" ht="9" customHeight="1" x14ac:dyDescent="0.15">
      <c r="B9" s="3"/>
      <c r="C9" s="3"/>
      <c r="D9" s="3"/>
      <c r="E9" s="3"/>
      <c r="F9" s="3"/>
      <c r="G9" s="3"/>
      <c r="H9" s="3"/>
      <c r="I9" s="3"/>
    </row>
    <row r="10" spans="1:9" ht="18" customHeight="1" x14ac:dyDescent="0.15">
      <c r="A10" s="1" t="s">
        <v>4</v>
      </c>
      <c r="B10" s="9" t="s">
        <v>89</v>
      </c>
      <c r="C10" s="3"/>
      <c r="D10" s="3"/>
      <c r="E10" s="3"/>
      <c r="F10" s="3"/>
      <c r="G10" s="3"/>
      <c r="H10" s="3"/>
      <c r="I10" s="3"/>
    </row>
    <row r="11" spans="1:9" ht="18" customHeight="1" x14ac:dyDescent="0.15">
      <c r="B11" s="29" t="s">
        <v>42</v>
      </c>
      <c r="C11" s="266" t="s">
        <v>139</v>
      </c>
      <c r="D11" s="269"/>
      <c r="E11" s="270"/>
      <c r="F11" s="32"/>
      <c r="G11" s="29" t="s">
        <v>10</v>
      </c>
      <c r="H11" s="266" t="s">
        <v>140</v>
      </c>
      <c r="I11" s="270"/>
    </row>
    <row r="12" spans="1:9" ht="10.15" customHeight="1" x14ac:dyDescent="0.15">
      <c r="B12" s="29"/>
      <c r="C12" s="9"/>
      <c r="D12" s="32"/>
      <c r="E12" s="32"/>
      <c r="F12" s="32"/>
      <c r="G12" s="29"/>
      <c r="H12" s="9"/>
      <c r="I12" s="32"/>
    </row>
    <row r="13" spans="1:9" ht="18" customHeight="1" x14ac:dyDescent="0.15">
      <c r="A13" s="1" t="s">
        <v>7</v>
      </c>
      <c r="B13" s="9" t="s">
        <v>84</v>
      </c>
      <c r="C13" s="3"/>
      <c r="D13" s="3"/>
      <c r="E13" s="3"/>
      <c r="F13" s="3"/>
      <c r="G13" s="3"/>
      <c r="H13" s="3"/>
      <c r="I13" s="3"/>
    </row>
    <row r="14" spans="1:9" ht="18" customHeight="1" x14ac:dyDescent="0.15">
      <c r="B14" s="266" t="s">
        <v>141</v>
      </c>
      <c r="C14" s="267"/>
      <c r="D14" s="267"/>
      <c r="E14" s="267"/>
      <c r="F14" s="267"/>
      <c r="G14" s="267"/>
      <c r="H14" s="267"/>
      <c r="I14" s="268"/>
    </row>
    <row r="15" spans="1:9" ht="9" customHeight="1" x14ac:dyDescent="0.15">
      <c r="B15" s="3"/>
      <c r="C15" s="3"/>
      <c r="D15" s="3"/>
      <c r="E15" s="3"/>
      <c r="F15" s="3"/>
      <c r="G15" s="3"/>
      <c r="H15" s="3"/>
      <c r="I15" s="3"/>
    </row>
    <row r="16" spans="1:9" ht="18" customHeight="1" x14ac:dyDescent="0.15">
      <c r="B16" s="29" t="s">
        <v>42</v>
      </c>
      <c r="C16" s="266" t="s">
        <v>142</v>
      </c>
      <c r="D16" s="269"/>
      <c r="E16" s="270"/>
      <c r="F16" s="32"/>
      <c r="G16" s="29" t="s">
        <v>10</v>
      </c>
      <c r="H16" s="266" t="s">
        <v>143</v>
      </c>
      <c r="I16" s="270"/>
    </row>
    <row r="17" spans="1:9" ht="18" customHeight="1" x14ac:dyDescent="0.15">
      <c r="B17" s="3"/>
      <c r="C17" s="3"/>
      <c r="D17" s="3"/>
      <c r="E17" s="3"/>
      <c r="F17" s="3"/>
      <c r="G17" s="3"/>
      <c r="H17" s="3"/>
      <c r="I17" s="3"/>
    </row>
    <row r="18" spans="1:9" ht="18.75" customHeight="1" x14ac:dyDescent="0.15">
      <c r="A18" s="1" t="s">
        <v>5</v>
      </c>
      <c r="B18" s="1" t="s">
        <v>41</v>
      </c>
      <c r="I18" s="3"/>
    </row>
    <row r="19" spans="1:9" ht="18.75" customHeight="1" x14ac:dyDescent="0.15">
      <c r="A19" s="1"/>
      <c r="B19" s="252" t="s">
        <v>144</v>
      </c>
      <c r="C19" s="253"/>
      <c r="D19" s="253"/>
      <c r="E19" s="253"/>
      <c r="F19" s="253"/>
      <c r="G19" s="253"/>
      <c r="H19" s="253"/>
      <c r="I19" s="254"/>
    </row>
    <row r="20" spans="1:9" ht="7.5" customHeight="1" x14ac:dyDescent="0.15">
      <c r="B20" s="3"/>
      <c r="C20" s="3"/>
      <c r="D20" s="3"/>
      <c r="E20" s="3"/>
      <c r="F20" s="3"/>
      <c r="G20" s="3"/>
      <c r="H20" s="3"/>
      <c r="I20" s="3"/>
    </row>
    <row r="21" spans="1:9" ht="18.75" customHeight="1" x14ac:dyDescent="0.15">
      <c r="A21" s="1" t="s">
        <v>8</v>
      </c>
      <c r="B21" s="1" t="s">
        <v>25</v>
      </c>
    </row>
    <row r="22" spans="1:9" ht="18.75" customHeight="1" x14ac:dyDescent="0.15">
      <c r="A22" s="13"/>
      <c r="B22" s="255" t="s">
        <v>145</v>
      </c>
      <c r="C22" s="256"/>
      <c r="D22" s="256"/>
      <c r="E22" s="256"/>
      <c r="F22" s="256"/>
      <c r="G22" s="256"/>
      <c r="H22" s="256"/>
      <c r="I22" s="257"/>
    </row>
    <row r="23" spans="1:9" ht="18.75" customHeight="1" x14ac:dyDescent="0.15">
      <c r="A23" s="13"/>
      <c r="B23" s="258"/>
      <c r="C23" s="259"/>
      <c r="D23" s="259"/>
      <c r="E23" s="259"/>
      <c r="F23" s="259"/>
      <c r="G23" s="259"/>
      <c r="H23" s="259"/>
      <c r="I23" s="260"/>
    </row>
    <row r="24" spans="1:9" ht="18.75" customHeight="1" x14ac:dyDescent="0.15">
      <c r="A24" s="13"/>
      <c r="B24" s="258"/>
      <c r="C24" s="259"/>
      <c r="D24" s="259"/>
      <c r="E24" s="259"/>
      <c r="F24" s="259"/>
      <c r="G24" s="259"/>
      <c r="H24" s="259"/>
      <c r="I24" s="260"/>
    </row>
    <row r="25" spans="1:9" ht="18.75" customHeight="1" x14ac:dyDescent="0.15">
      <c r="A25" s="13"/>
      <c r="B25" s="258"/>
      <c r="C25" s="259"/>
      <c r="D25" s="259"/>
      <c r="E25" s="259"/>
      <c r="F25" s="259"/>
      <c r="G25" s="259"/>
      <c r="H25" s="259"/>
      <c r="I25" s="260"/>
    </row>
    <row r="26" spans="1:9" ht="18.75" customHeight="1" x14ac:dyDescent="0.15">
      <c r="A26" s="13"/>
      <c r="B26" s="258"/>
      <c r="C26" s="259"/>
      <c r="D26" s="259"/>
      <c r="E26" s="259"/>
      <c r="F26" s="259"/>
      <c r="G26" s="259"/>
      <c r="H26" s="259"/>
      <c r="I26" s="260"/>
    </row>
    <row r="27" spans="1:9" ht="18.75" customHeight="1" x14ac:dyDescent="0.15">
      <c r="A27" s="13"/>
      <c r="B27" s="258"/>
      <c r="C27" s="259"/>
      <c r="D27" s="259"/>
      <c r="E27" s="259"/>
      <c r="F27" s="259"/>
      <c r="G27" s="259"/>
      <c r="H27" s="259"/>
      <c r="I27" s="260"/>
    </row>
    <row r="28" spans="1:9" ht="18.75" customHeight="1" x14ac:dyDescent="0.15">
      <c r="A28" s="13"/>
      <c r="B28" s="258"/>
      <c r="C28" s="259"/>
      <c r="D28" s="259"/>
      <c r="E28" s="259"/>
      <c r="F28" s="259"/>
      <c r="G28" s="259"/>
      <c r="H28" s="259"/>
      <c r="I28" s="260"/>
    </row>
    <row r="29" spans="1:9" ht="18.75" customHeight="1" x14ac:dyDescent="0.15">
      <c r="A29" s="13"/>
      <c r="B29" s="258"/>
      <c r="C29" s="259"/>
      <c r="D29" s="259"/>
      <c r="E29" s="259"/>
      <c r="F29" s="259"/>
      <c r="G29" s="259"/>
      <c r="H29" s="259"/>
      <c r="I29" s="260"/>
    </row>
    <row r="30" spans="1:9" ht="18.75" customHeight="1" x14ac:dyDescent="0.15">
      <c r="A30" s="13"/>
      <c r="B30" s="261"/>
      <c r="C30" s="262"/>
      <c r="D30" s="262"/>
      <c r="E30" s="262"/>
      <c r="F30" s="262"/>
      <c r="G30" s="262"/>
      <c r="H30" s="262"/>
      <c r="I30" s="260"/>
    </row>
    <row r="31" spans="1:9" ht="18.75" customHeight="1" x14ac:dyDescent="0.15">
      <c r="A31" s="13"/>
      <c r="B31" s="261"/>
      <c r="C31" s="262"/>
      <c r="D31" s="262"/>
      <c r="E31" s="262"/>
      <c r="F31" s="262"/>
      <c r="G31" s="262"/>
      <c r="H31" s="262"/>
      <c r="I31" s="260"/>
    </row>
    <row r="32" spans="1:9" ht="18.75" customHeight="1" x14ac:dyDescent="0.15">
      <c r="A32" s="13"/>
      <c r="B32" s="263"/>
      <c r="C32" s="264"/>
      <c r="D32" s="264"/>
      <c r="E32" s="264"/>
      <c r="F32" s="264"/>
      <c r="G32" s="264"/>
      <c r="H32" s="264"/>
      <c r="I32" s="265"/>
    </row>
    <row r="33" spans="1:9" ht="7.5" customHeight="1" x14ac:dyDescent="0.15">
      <c r="A33" s="13"/>
      <c r="B33" s="13"/>
      <c r="C33" s="13"/>
      <c r="D33" s="13"/>
      <c r="E33" s="13"/>
      <c r="F33" s="13"/>
      <c r="G33" s="13"/>
      <c r="H33" s="13"/>
      <c r="I33" s="13"/>
    </row>
    <row r="34" spans="1:9" ht="18.75" customHeight="1" x14ac:dyDescent="0.15">
      <c r="A34" s="14" t="s">
        <v>6</v>
      </c>
      <c r="B34" s="14" t="s">
        <v>9</v>
      </c>
      <c r="C34" s="9"/>
      <c r="D34" s="14"/>
      <c r="E34" s="14"/>
      <c r="F34" s="14"/>
      <c r="G34" s="14"/>
      <c r="H34" s="14"/>
      <c r="I34" s="14"/>
    </row>
    <row r="35" spans="1:9" ht="18.75" customHeight="1" x14ac:dyDescent="0.15">
      <c r="A35" s="13"/>
      <c r="B35" s="255" t="s">
        <v>146</v>
      </c>
      <c r="C35" s="256"/>
      <c r="D35" s="256"/>
      <c r="E35" s="256"/>
      <c r="F35" s="256"/>
      <c r="G35" s="256"/>
      <c r="H35" s="256"/>
      <c r="I35" s="257"/>
    </row>
    <row r="36" spans="1:9" ht="18.75" customHeight="1" x14ac:dyDescent="0.15">
      <c r="A36" s="13"/>
      <c r="B36" s="261"/>
      <c r="C36" s="262"/>
      <c r="D36" s="262"/>
      <c r="E36" s="262"/>
      <c r="F36" s="262"/>
      <c r="G36" s="262"/>
      <c r="H36" s="262"/>
      <c r="I36" s="260"/>
    </row>
    <row r="37" spans="1:9" ht="18.75" customHeight="1" x14ac:dyDescent="0.15">
      <c r="A37" s="13"/>
      <c r="B37" s="261"/>
      <c r="C37" s="262"/>
      <c r="D37" s="262"/>
      <c r="E37" s="262"/>
      <c r="F37" s="262"/>
      <c r="G37" s="262"/>
      <c r="H37" s="262"/>
      <c r="I37" s="260"/>
    </row>
    <row r="38" spans="1:9" ht="18.75" customHeight="1" x14ac:dyDescent="0.15">
      <c r="A38" s="13"/>
      <c r="B38" s="261"/>
      <c r="C38" s="262"/>
      <c r="D38" s="262"/>
      <c r="E38" s="262"/>
      <c r="F38" s="262"/>
      <c r="G38" s="262"/>
      <c r="H38" s="262"/>
      <c r="I38" s="260"/>
    </row>
    <row r="39" spans="1:9" ht="18.75" customHeight="1" x14ac:dyDescent="0.15">
      <c r="A39" s="13"/>
      <c r="B39" s="261"/>
      <c r="C39" s="262"/>
      <c r="D39" s="262"/>
      <c r="E39" s="262"/>
      <c r="F39" s="262"/>
      <c r="G39" s="262"/>
      <c r="H39" s="262"/>
      <c r="I39" s="260"/>
    </row>
    <row r="40" spans="1:9" ht="18.75" customHeight="1" x14ac:dyDescent="0.15">
      <c r="A40" s="13"/>
      <c r="B40" s="261"/>
      <c r="C40" s="262"/>
      <c r="D40" s="262"/>
      <c r="E40" s="262"/>
      <c r="F40" s="262"/>
      <c r="G40" s="262"/>
      <c r="H40" s="262"/>
      <c r="I40" s="260"/>
    </row>
    <row r="41" spans="1:9" ht="18.75" customHeight="1" x14ac:dyDescent="0.15">
      <c r="A41" s="13"/>
      <c r="B41" s="261"/>
      <c r="C41" s="262"/>
      <c r="D41" s="262"/>
      <c r="E41" s="262"/>
      <c r="F41" s="262"/>
      <c r="G41" s="262"/>
      <c r="H41" s="262"/>
      <c r="I41" s="260"/>
    </row>
    <row r="42" spans="1:9" ht="18.75" customHeight="1" x14ac:dyDescent="0.15">
      <c r="A42" s="13"/>
      <c r="B42" s="261"/>
      <c r="C42" s="262"/>
      <c r="D42" s="262"/>
      <c r="E42" s="262"/>
      <c r="F42" s="262"/>
      <c r="G42" s="262"/>
      <c r="H42" s="262"/>
      <c r="I42" s="260"/>
    </row>
    <row r="43" spans="1:9" ht="18.75" customHeight="1" x14ac:dyDescent="0.15">
      <c r="A43" s="13"/>
      <c r="B43" s="261"/>
      <c r="C43" s="262"/>
      <c r="D43" s="262"/>
      <c r="E43" s="262"/>
      <c r="F43" s="262"/>
      <c r="G43" s="262"/>
      <c r="H43" s="262"/>
      <c r="I43" s="260"/>
    </row>
    <row r="44" spans="1:9" ht="18.75" customHeight="1" x14ac:dyDescent="0.15">
      <c r="A44" s="13"/>
      <c r="B44" s="261"/>
      <c r="C44" s="262"/>
      <c r="D44" s="262"/>
      <c r="E44" s="262"/>
      <c r="F44" s="262"/>
      <c r="G44" s="262"/>
      <c r="H44" s="262"/>
      <c r="I44" s="260"/>
    </row>
    <row r="45" spans="1:9" ht="18.75" customHeight="1" x14ac:dyDescent="0.15">
      <c r="A45" s="13"/>
      <c r="B45" s="261"/>
      <c r="C45" s="262"/>
      <c r="D45" s="262"/>
      <c r="E45" s="262"/>
      <c r="F45" s="262"/>
      <c r="G45" s="262"/>
      <c r="H45" s="262"/>
      <c r="I45" s="260"/>
    </row>
    <row r="46" spans="1:9" ht="18.75" customHeight="1" x14ac:dyDescent="0.15">
      <c r="A46" s="13"/>
      <c r="B46" s="263"/>
      <c r="C46" s="264"/>
      <c r="D46" s="264"/>
      <c r="E46" s="264"/>
      <c r="F46" s="264"/>
      <c r="G46" s="264"/>
      <c r="H46" s="264"/>
      <c r="I46" s="265"/>
    </row>
    <row r="47" spans="1:9" ht="7.5" customHeight="1" x14ac:dyDescent="0.15">
      <c r="A47" s="4"/>
      <c r="B47" s="4"/>
      <c r="C47" s="4"/>
      <c r="D47" s="4"/>
      <c r="E47" s="4"/>
      <c r="F47" s="4"/>
      <c r="G47" s="4"/>
      <c r="H47" s="4"/>
      <c r="I47" s="4"/>
    </row>
    <row r="48" spans="1:9" ht="18.75" customHeight="1" x14ac:dyDescent="0.15">
      <c r="A48" s="1" t="s">
        <v>31</v>
      </c>
      <c r="B48" s="90" t="s">
        <v>111</v>
      </c>
      <c r="C48" s="90"/>
      <c r="D48" s="90"/>
      <c r="E48" s="90"/>
      <c r="F48" s="90"/>
      <c r="G48" s="90"/>
      <c r="H48" s="90"/>
      <c r="I48" s="90"/>
    </row>
    <row r="49" spans="1:15" s="3" customFormat="1" ht="18.75" customHeight="1" x14ac:dyDescent="0.15">
      <c r="B49" s="33" t="s">
        <v>128</v>
      </c>
      <c r="C49" s="239">
        <f>'様式２ 履修者等数の実績'!S33</f>
        <v>0.38611111111111113</v>
      </c>
      <c r="D49" s="240"/>
      <c r="E49" s="33" t="s">
        <v>64</v>
      </c>
      <c r="F49" s="239">
        <v>0.6</v>
      </c>
      <c r="G49" s="240"/>
      <c r="H49" s="33" t="s">
        <v>65</v>
      </c>
      <c r="I49" s="84">
        <v>0.8</v>
      </c>
      <c r="J49" s="1"/>
      <c r="M49" s="1"/>
      <c r="N49" s="34"/>
    </row>
    <row r="50" spans="1:15" s="3" customFormat="1" ht="18.75" customHeight="1" x14ac:dyDescent="0.15">
      <c r="B50" s="35" t="s">
        <v>85</v>
      </c>
      <c r="C50" s="221">
        <v>1</v>
      </c>
      <c r="D50" s="222"/>
      <c r="E50" s="35" t="s">
        <v>129</v>
      </c>
      <c r="F50" s="221">
        <v>1</v>
      </c>
      <c r="G50" s="222"/>
      <c r="H50" s="35" t="s">
        <v>66</v>
      </c>
      <c r="I50" s="36">
        <v>1440</v>
      </c>
      <c r="J50" s="1"/>
      <c r="M50" s="1"/>
      <c r="N50" s="34"/>
    </row>
    <row r="51" spans="1:15" ht="18.75" customHeight="1" x14ac:dyDescent="0.15">
      <c r="A51" s="1"/>
      <c r="B51" s="273" t="s">
        <v>67</v>
      </c>
      <c r="C51" s="274"/>
      <c r="D51" s="274"/>
      <c r="E51" s="274"/>
      <c r="F51" s="274"/>
      <c r="G51" s="274"/>
      <c r="H51" s="274"/>
      <c r="I51" s="275"/>
      <c r="N51" s="34"/>
      <c r="O51" s="3"/>
    </row>
    <row r="52" spans="1:15" ht="18.75" customHeight="1" x14ac:dyDescent="0.15">
      <c r="A52" s="1"/>
      <c r="B52" s="241" t="s">
        <v>189</v>
      </c>
      <c r="C52" s="242"/>
      <c r="D52" s="242"/>
      <c r="E52" s="242"/>
      <c r="F52" s="242"/>
      <c r="G52" s="242"/>
      <c r="H52" s="242"/>
      <c r="I52" s="243"/>
      <c r="N52" s="34"/>
      <c r="O52" s="3"/>
    </row>
    <row r="53" spans="1:15" ht="18.75" customHeight="1" x14ac:dyDescent="0.15">
      <c r="A53" s="1"/>
      <c r="B53" s="244"/>
      <c r="C53" s="245"/>
      <c r="D53" s="245"/>
      <c r="E53" s="245"/>
      <c r="F53" s="245"/>
      <c r="G53" s="245"/>
      <c r="H53" s="245"/>
      <c r="I53" s="246"/>
      <c r="N53" s="34"/>
      <c r="O53" s="3"/>
    </row>
    <row r="54" spans="1:15" ht="18.75" customHeight="1" x14ac:dyDescent="0.15">
      <c r="A54" s="1"/>
      <c r="B54" s="244"/>
      <c r="C54" s="245"/>
      <c r="D54" s="245"/>
      <c r="E54" s="245"/>
      <c r="F54" s="245"/>
      <c r="G54" s="245"/>
      <c r="H54" s="245"/>
      <c r="I54" s="246"/>
    </row>
    <row r="55" spans="1:15" ht="18.75" customHeight="1" x14ac:dyDescent="0.15">
      <c r="A55" s="1"/>
      <c r="B55" s="244"/>
      <c r="C55" s="245"/>
      <c r="D55" s="245"/>
      <c r="E55" s="245"/>
      <c r="F55" s="245"/>
      <c r="G55" s="245"/>
      <c r="H55" s="245"/>
      <c r="I55" s="246"/>
    </row>
    <row r="56" spans="1:15" ht="18.75" customHeight="1" x14ac:dyDescent="0.15">
      <c r="A56" s="1"/>
      <c r="B56" s="244"/>
      <c r="C56" s="245"/>
      <c r="D56" s="245"/>
      <c r="E56" s="245"/>
      <c r="F56" s="245"/>
      <c r="G56" s="245"/>
      <c r="H56" s="245"/>
      <c r="I56" s="246"/>
    </row>
    <row r="57" spans="1:15" ht="18.75" customHeight="1" x14ac:dyDescent="0.15">
      <c r="A57" s="1"/>
      <c r="B57" s="244"/>
      <c r="C57" s="245"/>
      <c r="D57" s="245"/>
      <c r="E57" s="245"/>
      <c r="F57" s="245"/>
      <c r="G57" s="245"/>
      <c r="H57" s="245"/>
      <c r="I57" s="246"/>
    </row>
    <row r="58" spans="1:15" ht="18.75" customHeight="1" x14ac:dyDescent="0.15">
      <c r="A58" s="1"/>
      <c r="B58" s="244"/>
      <c r="C58" s="245"/>
      <c r="D58" s="245"/>
      <c r="E58" s="245"/>
      <c r="F58" s="245"/>
      <c r="G58" s="245"/>
      <c r="H58" s="245"/>
      <c r="I58" s="246"/>
    </row>
    <row r="59" spans="1:15" ht="18.75" customHeight="1" x14ac:dyDescent="0.15">
      <c r="A59" s="1"/>
      <c r="B59" s="244"/>
      <c r="C59" s="245"/>
      <c r="D59" s="245"/>
      <c r="E59" s="245"/>
      <c r="F59" s="245"/>
      <c r="G59" s="245"/>
      <c r="H59" s="245"/>
      <c r="I59" s="246"/>
    </row>
    <row r="60" spans="1:15" ht="18.75" customHeight="1" x14ac:dyDescent="0.15">
      <c r="A60" s="1"/>
      <c r="B60" s="244"/>
      <c r="C60" s="245"/>
      <c r="D60" s="245"/>
      <c r="E60" s="245"/>
      <c r="F60" s="245"/>
      <c r="G60" s="245"/>
      <c r="H60" s="245"/>
      <c r="I60" s="246"/>
    </row>
    <row r="61" spans="1:15" ht="18.75" customHeight="1" x14ac:dyDescent="0.15">
      <c r="A61" s="1"/>
      <c r="B61" s="244"/>
      <c r="C61" s="245"/>
      <c r="D61" s="245"/>
      <c r="E61" s="245"/>
      <c r="F61" s="245"/>
      <c r="G61" s="245"/>
      <c r="H61" s="245"/>
      <c r="I61" s="246"/>
    </row>
    <row r="62" spans="1:15" ht="18.75" customHeight="1" x14ac:dyDescent="0.15">
      <c r="A62" s="1"/>
      <c r="B62" s="244"/>
      <c r="C62" s="245"/>
      <c r="D62" s="245"/>
      <c r="E62" s="245"/>
      <c r="F62" s="245"/>
      <c r="G62" s="245"/>
      <c r="H62" s="245"/>
      <c r="I62" s="246"/>
    </row>
    <row r="63" spans="1:15" ht="18.75" customHeight="1" x14ac:dyDescent="0.15">
      <c r="A63" s="1"/>
      <c r="B63" s="247"/>
      <c r="C63" s="248"/>
      <c r="D63" s="248"/>
      <c r="E63" s="248"/>
      <c r="F63" s="248"/>
      <c r="G63" s="248"/>
      <c r="H63" s="248"/>
      <c r="I63" s="249"/>
    </row>
    <row r="64" spans="1:15" ht="7.5" customHeight="1" x14ac:dyDescent="0.15">
      <c r="A64" s="13"/>
      <c r="B64" s="85"/>
      <c r="C64" s="85"/>
      <c r="D64" s="85"/>
      <c r="E64" s="85"/>
      <c r="F64" s="85"/>
      <c r="G64" s="85"/>
      <c r="H64" s="85"/>
      <c r="I64" s="85"/>
    </row>
    <row r="65" spans="1:9" ht="18.75" customHeight="1" x14ac:dyDescent="0.15">
      <c r="A65" s="14" t="s">
        <v>34</v>
      </c>
      <c r="B65" s="90" t="s">
        <v>37</v>
      </c>
      <c r="C65" s="90"/>
      <c r="D65" s="90"/>
      <c r="E65" s="90"/>
      <c r="F65" s="90"/>
      <c r="G65" s="90"/>
      <c r="H65" s="90"/>
      <c r="I65" s="81"/>
    </row>
    <row r="66" spans="1:9" ht="18.75" customHeight="1" x14ac:dyDescent="0.15">
      <c r="A66" s="4"/>
      <c r="B66" s="223" t="s">
        <v>190</v>
      </c>
      <c r="C66" s="224"/>
      <c r="D66" s="224"/>
      <c r="E66" s="224"/>
      <c r="F66" s="224"/>
      <c r="G66" s="224"/>
      <c r="H66" s="224"/>
      <c r="I66" s="225"/>
    </row>
    <row r="67" spans="1:9" ht="18.75" customHeight="1" x14ac:dyDescent="0.15">
      <c r="A67" s="4"/>
      <c r="B67" s="226"/>
      <c r="C67" s="227"/>
      <c r="D67" s="227"/>
      <c r="E67" s="227"/>
      <c r="F67" s="227"/>
      <c r="G67" s="227"/>
      <c r="H67" s="227"/>
      <c r="I67" s="228"/>
    </row>
    <row r="68" spans="1:9" ht="18.75" customHeight="1" x14ac:dyDescent="0.15">
      <c r="A68" s="4"/>
      <c r="B68" s="226"/>
      <c r="C68" s="227"/>
      <c r="D68" s="227"/>
      <c r="E68" s="227"/>
      <c r="F68" s="227"/>
      <c r="G68" s="227"/>
      <c r="H68" s="227"/>
      <c r="I68" s="228"/>
    </row>
    <row r="69" spans="1:9" ht="18.75" customHeight="1" x14ac:dyDescent="0.15">
      <c r="A69" s="4"/>
      <c r="B69" s="226"/>
      <c r="C69" s="227"/>
      <c r="D69" s="227"/>
      <c r="E69" s="227"/>
      <c r="F69" s="227"/>
      <c r="G69" s="227"/>
      <c r="H69" s="227"/>
      <c r="I69" s="228"/>
    </row>
    <row r="70" spans="1:9" ht="18.75" customHeight="1" x14ac:dyDescent="0.15">
      <c r="A70" s="4"/>
      <c r="B70" s="226"/>
      <c r="C70" s="227"/>
      <c r="D70" s="227"/>
      <c r="E70" s="227"/>
      <c r="F70" s="227"/>
      <c r="G70" s="227"/>
      <c r="H70" s="227"/>
      <c r="I70" s="228"/>
    </row>
    <row r="71" spans="1:9" ht="18.75" customHeight="1" x14ac:dyDescent="0.15">
      <c r="A71" s="4"/>
      <c r="B71" s="226"/>
      <c r="C71" s="227"/>
      <c r="D71" s="227"/>
      <c r="E71" s="227"/>
      <c r="F71" s="227"/>
      <c r="G71" s="227"/>
      <c r="H71" s="227"/>
      <c r="I71" s="228"/>
    </row>
    <row r="72" spans="1:9" ht="18.75" customHeight="1" x14ac:dyDescent="0.15">
      <c r="A72" s="4"/>
      <c r="B72" s="226"/>
      <c r="C72" s="227"/>
      <c r="D72" s="227"/>
      <c r="E72" s="227"/>
      <c r="F72" s="227"/>
      <c r="G72" s="227"/>
      <c r="H72" s="227"/>
      <c r="I72" s="228"/>
    </row>
    <row r="73" spans="1:9" ht="18.75" customHeight="1" x14ac:dyDescent="0.15">
      <c r="A73" s="4"/>
      <c r="B73" s="226"/>
      <c r="C73" s="227"/>
      <c r="D73" s="227"/>
      <c r="E73" s="227"/>
      <c r="F73" s="227"/>
      <c r="G73" s="227"/>
      <c r="H73" s="227"/>
      <c r="I73" s="228"/>
    </row>
    <row r="74" spans="1:9" ht="18.75" customHeight="1" x14ac:dyDescent="0.15">
      <c r="A74" s="4"/>
      <c r="B74" s="226"/>
      <c r="C74" s="227"/>
      <c r="D74" s="227"/>
      <c r="E74" s="227"/>
      <c r="F74" s="227"/>
      <c r="G74" s="227"/>
      <c r="H74" s="227"/>
      <c r="I74" s="228"/>
    </row>
    <row r="75" spans="1:9" ht="18.75" customHeight="1" x14ac:dyDescent="0.15">
      <c r="A75" s="4"/>
      <c r="B75" s="226"/>
      <c r="C75" s="227"/>
      <c r="D75" s="227"/>
      <c r="E75" s="227"/>
      <c r="F75" s="227"/>
      <c r="G75" s="227"/>
      <c r="H75" s="227"/>
      <c r="I75" s="228"/>
    </row>
    <row r="76" spans="1:9" ht="18.75" customHeight="1" x14ac:dyDescent="0.15">
      <c r="A76" s="4"/>
      <c r="B76" s="226"/>
      <c r="C76" s="227"/>
      <c r="D76" s="227"/>
      <c r="E76" s="227"/>
      <c r="F76" s="227"/>
      <c r="G76" s="227"/>
      <c r="H76" s="227"/>
      <c r="I76" s="228"/>
    </row>
    <row r="77" spans="1:9" ht="18.75" customHeight="1" x14ac:dyDescent="0.15">
      <c r="A77" s="4"/>
      <c r="B77" s="229"/>
      <c r="C77" s="230"/>
      <c r="D77" s="230"/>
      <c r="E77" s="230"/>
      <c r="F77" s="230"/>
      <c r="G77" s="230"/>
      <c r="H77" s="230"/>
      <c r="I77" s="231"/>
    </row>
    <row r="78" spans="1:9" ht="7.5" customHeight="1" x14ac:dyDescent="0.15">
      <c r="A78" s="4"/>
      <c r="B78" s="4"/>
      <c r="C78" s="4"/>
      <c r="D78" s="4"/>
      <c r="E78" s="4"/>
      <c r="F78" s="4"/>
      <c r="G78" s="4"/>
      <c r="H78" s="4"/>
      <c r="I78" s="4"/>
    </row>
    <row r="79" spans="1:9" ht="18.75" customHeight="1" x14ac:dyDescent="0.15">
      <c r="A79" s="1" t="s">
        <v>11</v>
      </c>
      <c r="B79" s="90" t="s">
        <v>40</v>
      </c>
      <c r="C79" s="90"/>
      <c r="D79" s="90"/>
      <c r="E79" s="90"/>
      <c r="F79" s="90"/>
      <c r="G79" s="90"/>
      <c r="H79" s="90"/>
      <c r="I79" s="90"/>
    </row>
    <row r="80" spans="1:9" ht="18.75" customHeight="1" x14ac:dyDescent="0.15">
      <c r="A80" s="1"/>
      <c r="B80" s="223" t="s">
        <v>191</v>
      </c>
      <c r="C80" s="224"/>
      <c r="D80" s="224"/>
      <c r="E80" s="224"/>
      <c r="F80" s="224"/>
      <c r="G80" s="224"/>
      <c r="H80" s="224"/>
      <c r="I80" s="232"/>
    </row>
    <row r="81" spans="1:9" ht="18.75" customHeight="1" x14ac:dyDescent="0.15">
      <c r="A81" s="1"/>
      <c r="B81" s="233"/>
      <c r="C81" s="234"/>
      <c r="D81" s="234"/>
      <c r="E81" s="234"/>
      <c r="F81" s="234"/>
      <c r="G81" s="234"/>
      <c r="H81" s="234"/>
      <c r="I81" s="235"/>
    </row>
    <row r="82" spans="1:9" ht="18.75" customHeight="1" x14ac:dyDescent="0.15">
      <c r="A82" s="1"/>
      <c r="B82" s="233"/>
      <c r="C82" s="234"/>
      <c r="D82" s="234"/>
      <c r="E82" s="234"/>
      <c r="F82" s="234"/>
      <c r="G82" s="234"/>
      <c r="H82" s="234"/>
      <c r="I82" s="235"/>
    </row>
    <row r="83" spans="1:9" ht="18.75" customHeight="1" x14ac:dyDescent="0.15">
      <c r="A83" s="1"/>
      <c r="B83" s="233"/>
      <c r="C83" s="234"/>
      <c r="D83" s="234"/>
      <c r="E83" s="234"/>
      <c r="F83" s="234"/>
      <c r="G83" s="234"/>
      <c r="H83" s="234"/>
      <c r="I83" s="235"/>
    </row>
    <row r="84" spans="1:9" ht="18.75" customHeight="1" x14ac:dyDescent="0.15">
      <c r="A84" s="1"/>
      <c r="B84" s="233"/>
      <c r="C84" s="234"/>
      <c r="D84" s="234"/>
      <c r="E84" s="234"/>
      <c r="F84" s="234"/>
      <c r="G84" s="234"/>
      <c r="H84" s="234"/>
      <c r="I84" s="235"/>
    </row>
    <row r="85" spans="1:9" ht="18.75" customHeight="1" x14ac:dyDescent="0.15">
      <c r="A85" s="1"/>
      <c r="B85" s="233"/>
      <c r="C85" s="234"/>
      <c r="D85" s="234"/>
      <c r="E85" s="234"/>
      <c r="F85" s="234"/>
      <c r="G85" s="234"/>
      <c r="H85" s="234"/>
      <c r="I85" s="235"/>
    </row>
    <row r="86" spans="1:9" ht="18.75" customHeight="1" x14ac:dyDescent="0.15">
      <c r="A86" s="1"/>
      <c r="B86" s="233"/>
      <c r="C86" s="234"/>
      <c r="D86" s="234"/>
      <c r="E86" s="234"/>
      <c r="F86" s="234"/>
      <c r="G86" s="234"/>
      <c r="H86" s="234"/>
      <c r="I86" s="235"/>
    </row>
    <row r="87" spans="1:9" ht="18.75" customHeight="1" x14ac:dyDescent="0.15">
      <c r="A87" s="1"/>
      <c r="B87" s="233"/>
      <c r="C87" s="234"/>
      <c r="D87" s="234"/>
      <c r="E87" s="234"/>
      <c r="F87" s="234"/>
      <c r="G87" s="234"/>
      <c r="H87" s="234"/>
      <c r="I87" s="235"/>
    </row>
    <row r="88" spans="1:9" ht="18.75" customHeight="1" x14ac:dyDescent="0.15">
      <c r="A88" s="1"/>
      <c r="B88" s="233"/>
      <c r="C88" s="234"/>
      <c r="D88" s="234"/>
      <c r="E88" s="234"/>
      <c r="F88" s="234"/>
      <c r="G88" s="234"/>
      <c r="H88" s="234"/>
      <c r="I88" s="235"/>
    </row>
    <row r="89" spans="1:9" ht="18.75" customHeight="1" x14ac:dyDescent="0.15">
      <c r="A89" s="1"/>
      <c r="B89" s="233"/>
      <c r="C89" s="234"/>
      <c r="D89" s="234"/>
      <c r="E89" s="234"/>
      <c r="F89" s="234"/>
      <c r="G89" s="234"/>
      <c r="H89" s="234"/>
      <c r="I89" s="235"/>
    </row>
    <row r="90" spans="1:9" ht="18.75" customHeight="1" x14ac:dyDescent="0.15">
      <c r="A90" s="4"/>
      <c r="B90" s="233"/>
      <c r="C90" s="234"/>
      <c r="D90" s="234"/>
      <c r="E90" s="234"/>
      <c r="F90" s="234"/>
      <c r="G90" s="234"/>
      <c r="H90" s="234"/>
      <c r="I90" s="235"/>
    </row>
    <row r="91" spans="1:9" ht="18.75" customHeight="1" x14ac:dyDescent="0.15">
      <c r="A91" s="4"/>
      <c r="B91" s="236"/>
      <c r="C91" s="237"/>
      <c r="D91" s="237"/>
      <c r="E91" s="237"/>
      <c r="F91" s="237"/>
      <c r="G91" s="237"/>
      <c r="H91" s="237"/>
      <c r="I91" s="238"/>
    </row>
    <row r="92" spans="1:9" ht="7.5" customHeight="1" x14ac:dyDescent="0.15">
      <c r="A92" s="4"/>
      <c r="B92" s="4"/>
      <c r="C92" s="4"/>
      <c r="D92" s="4"/>
      <c r="E92" s="4"/>
      <c r="F92" s="4"/>
      <c r="G92" s="4"/>
      <c r="H92" s="4"/>
      <c r="I92" s="4"/>
    </row>
    <row r="93" spans="1:9" ht="18.75" customHeight="1" x14ac:dyDescent="0.15">
      <c r="A93" s="1" t="s">
        <v>43</v>
      </c>
      <c r="B93" s="90" t="s">
        <v>13</v>
      </c>
      <c r="C93" s="90"/>
      <c r="D93" s="90"/>
      <c r="E93" s="90"/>
      <c r="F93" s="90"/>
      <c r="G93" s="90"/>
      <c r="H93" s="90"/>
      <c r="I93" s="90"/>
    </row>
    <row r="94" spans="1:9" ht="18.75" customHeight="1" x14ac:dyDescent="0.15">
      <c r="A94" s="1"/>
      <c r="B94" s="255" t="s">
        <v>192</v>
      </c>
      <c r="C94" s="256"/>
      <c r="D94" s="256"/>
      <c r="E94" s="256"/>
      <c r="F94" s="256"/>
      <c r="G94" s="256"/>
      <c r="H94" s="256"/>
      <c r="I94" s="257"/>
    </row>
    <row r="95" spans="1:9" ht="18.75" customHeight="1" x14ac:dyDescent="0.15">
      <c r="A95" s="1"/>
      <c r="B95" s="261"/>
      <c r="C95" s="262"/>
      <c r="D95" s="262"/>
      <c r="E95" s="262"/>
      <c r="F95" s="262"/>
      <c r="G95" s="262"/>
      <c r="H95" s="262"/>
      <c r="I95" s="260"/>
    </row>
    <row r="96" spans="1:9" ht="18.75" customHeight="1" x14ac:dyDescent="0.15">
      <c r="A96" s="1"/>
      <c r="B96" s="261"/>
      <c r="C96" s="262"/>
      <c r="D96" s="262"/>
      <c r="E96" s="262"/>
      <c r="F96" s="262"/>
      <c r="G96" s="262"/>
      <c r="H96" s="262"/>
      <c r="I96" s="260"/>
    </row>
    <row r="97" spans="1:9" ht="18.75" customHeight="1" x14ac:dyDescent="0.15">
      <c r="A97" s="1"/>
      <c r="B97" s="261"/>
      <c r="C97" s="262"/>
      <c r="D97" s="262"/>
      <c r="E97" s="262"/>
      <c r="F97" s="262"/>
      <c r="G97" s="262"/>
      <c r="H97" s="262"/>
      <c r="I97" s="260"/>
    </row>
    <row r="98" spans="1:9" ht="18.75" customHeight="1" x14ac:dyDescent="0.15">
      <c r="A98" s="1"/>
      <c r="B98" s="261"/>
      <c r="C98" s="262"/>
      <c r="D98" s="262"/>
      <c r="E98" s="262"/>
      <c r="F98" s="262"/>
      <c r="G98" s="262"/>
      <c r="H98" s="262"/>
      <c r="I98" s="260"/>
    </row>
    <row r="99" spans="1:9" ht="18.75" customHeight="1" x14ac:dyDescent="0.15">
      <c r="A99" s="1"/>
      <c r="B99" s="261"/>
      <c r="C99" s="262"/>
      <c r="D99" s="262"/>
      <c r="E99" s="262"/>
      <c r="F99" s="262"/>
      <c r="G99" s="262"/>
      <c r="H99" s="262"/>
      <c r="I99" s="260"/>
    </row>
    <row r="100" spans="1:9" ht="18.75" customHeight="1" x14ac:dyDescent="0.15">
      <c r="A100" s="1"/>
      <c r="B100" s="261"/>
      <c r="C100" s="262"/>
      <c r="D100" s="262"/>
      <c r="E100" s="262"/>
      <c r="F100" s="262"/>
      <c r="G100" s="262"/>
      <c r="H100" s="262"/>
      <c r="I100" s="260"/>
    </row>
    <row r="101" spans="1:9" ht="18.75" customHeight="1" x14ac:dyDescent="0.15">
      <c r="A101" s="1"/>
      <c r="B101" s="261"/>
      <c r="C101" s="262"/>
      <c r="D101" s="262"/>
      <c r="E101" s="262"/>
      <c r="F101" s="262"/>
      <c r="G101" s="262"/>
      <c r="H101" s="262"/>
      <c r="I101" s="260"/>
    </row>
    <row r="102" spans="1:9" ht="18.75" customHeight="1" x14ac:dyDescent="0.15">
      <c r="A102" s="1"/>
      <c r="B102" s="261"/>
      <c r="C102" s="262"/>
      <c r="D102" s="262"/>
      <c r="E102" s="262"/>
      <c r="F102" s="262"/>
      <c r="G102" s="262"/>
      <c r="H102" s="262"/>
      <c r="I102" s="260"/>
    </row>
    <row r="103" spans="1:9" ht="18.75" customHeight="1" x14ac:dyDescent="0.15">
      <c r="A103" s="1"/>
      <c r="B103" s="261"/>
      <c r="C103" s="262"/>
      <c r="D103" s="262"/>
      <c r="E103" s="262"/>
      <c r="F103" s="262"/>
      <c r="G103" s="262"/>
      <c r="H103" s="262"/>
      <c r="I103" s="260"/>
    </row>
    <row r="104" spans="1:9" ht="18.75" customHeight="1" x14ac:dyDescent="0.15">
      <c r="A104" s="1"/>
      <c r="B104" s="261"/>
      <c r="C104" s="262"/>
      <c r="D104" s="262"/>
      <c r="E104" s="262"/>
      <c r="F104" s="262"/>
      <c r="G104" s="262"/>
      <c r="H104" s="262"/>
      <c r="I104" s="260"/>
    </row>
    <row r="105" spans="1:9" ht="18.75" customHeight="1" x14ac:dyDescent="0.15">
      <c r="A105" s="4"/>
      <c r="B105" s="263"/>
      <c r="C105" s="264"/>
      <c r="D105" s="264"/>
      <c r="E105" s="264"/>
      <c r="F105" s="264"/>
      <c r="G105" s="264"/>
      <c r="H105" s="264"/>
      <c r="I105" s="265"/>
    </row>
    <row r="106" spans="1:9" ht="7.5" customHeight="1" x14ac:dyDescent="0.15">
      <c r="A106" s="4"/>
      <c r="B106" s="4"/>
      <c r="C106" s="4"/>
      <c r="D106" s="4"/>
      <c r="E106" s="4"/>
      <c r="F106" s="4"/>
      <c r="G106" s="4"/>
      <c r="H106" s="4"/>
      <c r="I106" s="4"/>
    </row>
    <row r="107" spans="1:9" ht="18.75" customHeight="1" x14ac:dyDescent="0.15">
      <c r="A107" s="1" t="s">
        <v>30</v>
      </c>
      <c r="B107" s="272" t="s">
        <v>45</v>
      </c>
      <c r="C107" s="272"/>
      <c r="D107" s="272"/>
      <c r="E107" s="272"/>
      <c r="F107" s="272"/>
      <c r="G107" s="272"/>
      <c r="H107" s="272"/>
      <c r="I107" s="272"/>
    </row>
    <row r="108" spans="1:9" ht="18.75" customHeight="1" x14ac:dyDescent="0.15">
      <c r="A108" s="4"/>
      <c r="B108" s="255" t="s">
        <v>193</v>
      </c>
      <c r="C108" s="256"/>
      <c r="D108" s="256"/>
      <c r="E108" s="256"/>
      <c r="F108" s="256"/>
      <c r="G108" s="256"/>
      <c r="H108" s="256"/>
      <c r="I108" s="257"/>
    </row>
    <row r="109" spans="1:9" ht="18.75" customHeight="1" x14ac:dyDescent="0.15">
      <c r="A109" s="4"/>
      <c r="B109" s="261"/>
      <c r="C109" s="262"/>
      <c r="D109" s="262"/>
      <c r="E109" s="262"/>
      <c r="F109" s="262"/>
      <c r="G109" s="262"/>
      <c r="H109" s="262"/>
      <c r="I109" s="260"/>
    </row>
    <row r="110" spans="1:9" ht="18.75" customHeight="1" x14ac:dyDescent="0.15">
      <c r="A110" s="4"/>
      <c r="B110" s="261"/>
      <c r="C110" s="262"/>
      <c r="D110" s="262"/>
      <c r="E110" s="262"/>
      <c r="F110" s="262"/>
      <c r="G110" s="262"/>
      <c r="H110" s="262"/>
      <c r="I110" s="260"/>
    </row>
    <row r="111" spans="1:9" ht="18.75" customHeight="1" x14ac:dyDescent="0.15">
      <c r="A111" s="4"/>
      <c r="B111" s="261"/>
      <c r="C111" s="262"/>
      <c r="D111" s="262"/>
      <c r="E111" s="262"/>
      <c r="F111" s="262"/>
      <c r="G111" s="262"/>
      <c r="H111" s="262"/>
      <c r="I111" s="260"/>
    </row>
    <row r="112" spans="1:9" ht="18.75" customHeight="1" x14ac:dyDescent="0.15">
      <c r="A112" s="4"/>
      <c r="B112" s="261"/>
      <c r="C112" s="262"/>
      <c r="D112" s="262"/>
      <c r="E112" s="262"/>
      <c r="F112" s="262"/>
      <c r="G112" s="262"/>
      <c r="H112" s="262"/>
      <c r="I112" s="260"/>
    </row>
    <row r="113" spans="1:9" ht="18.75" customHeight="1" x14ac:dyDescent="0.15">
      <c r="A113" s="4"/>
      <c r="B113" s="261"/>
      <c r="C113" s="262"/>
      <c r="D113" s="262"/>
      <c r="E113" s="262"/>
      <c r="F113" s="262"/>
      <c r="G113" s="262"/>
      <c r="H113" s="262"/>
      <c r="I113" s="260"/>
    </row>
    <row r="114" spans="1:9" ht="18.75" customHeight="1" x14ac:dyDescent="0.15">
      <c r="A114" s="4"/>
      <c r="B114" s="261"/>
      <c r="C114" s="262"/>
      <c r="D114" s="262"/>
      <c r="E114" s="262"/>
      <c r="F114" s="262"/>
      <c r="G114" s="262"/>
      <c r="H114" s="262"/>
      <c r="I114" s="260"/>
    </row>
    <row r="115" spans="1:9" ht="18.75" customHeight="1" x14ac:dyDescent="0.15">
      <c r="A115" s="4"/>
      <c r="B115" s="261"/>
      <c r="C115" s="262"/>
      <c r="D115" s="262"/>
      <c r="E115" s="262"/>
      <c r="F115" s="262"/>
      <c r="G115" s="262"/>
      <c r="H115" s="262"/>
      <c r="I115" s="260"/>
    </row>
    <row r="116" spans="1:9" ht="18.75" customHeight="1" x14ac:dyDescent="0.15">
      <c r="A116" s="4"/>
      <c r="B116" s="261"/>
      <c r="C116" s="262"/>
      <c r="D116" s="262"/>
      <c r="E116" s="262"/>
      <c r="F116" s="262"/>
      <c r="G116" s="262"/>
      <c r="H116" s="262"/>
      <c r="I116" s="260"/>
    </row>
    <row r="117" spans="1:9" ht="18.75" customHeight="1" x14ac:dyDescent="0.15">
      <c r="A117" s="4"/>
      <c r="B117" s="261"/>
      <c r="C117" s="262"/>
      <c r="D117" s="262"/>
      <c r="E117" s="262"/>
      <c r="F117" s="262"/>
      <c r="G117" s="262"/>
      <c r="H117" s="262"/>
      <c r="I117" s="260"/>
    </row>
    <row r="118" spans="1:9" ht="18.75" customHeight="1" x14ac:dyDescent="0.15">
      <c r="A118" s="4"/>
      <c r="B118" s="261"/>
      <c r="C118" s="262"/>
      <c r="D118" s="262"/>
      <c r="E118" s="262"/>
      <c r="F118" s="262"/>
      <c r="G118" s="262"/>
      <c r="H118" s="262"/>
      <c r="I118" s="260"/>
    </row>
    <row r="119" spans="1:9" ht="18.75" customHeight="1" x14ac:dyDescent="0.15">
      <c r="A119" s="4"/>
      <c r="B119" s="263"/>
      <c r="C119" s="264"/>
      <c r="D119" s="264"/>
      <c r="E119" s="264"/>
      <c r="F119" s="264"/>
      <c r="G119" s="264"/>
      <c r="H119" s="264"/>
      <c r="I119" s="265"/>
    </row>
    <row r="120" spans="1:9" ht="7.5" customHeight="1" x14ac:dyDescent="0.15">
      <c r="A120" s="4"/>
      <c r="B120" s="37"/>
      <c r="C120" s="37"/>
      <c r="D120" s="37"/>
      <c r="E120" s="37"/>
      <c r="F120" s="37"/>
      <c r="G120" s="37"/>
      <c r="H120" s="37"/>
      <c r="I120" s="37"/>
    </row>
    <row r="121" spans="1:9" ht="18.75" customHeight="1" x14ac:dyDescent="0.15">
      <c r="A121" s="63"/>
      <c r="B121" s="250"/>
      <c r="C121" s="250"/>
      <c r="D121" s="250"/>
      <c r="E121" s="250"/>
      <c r="F121" s="250"/>
      <c r="G121" s="250"/>
      <c r="H121" s="250"/>
      <c r="I121" s="250"/>
    </row>
    <row r="122" spans="1:9" ht="18.75" customHeight="1" x14ac:dyDescent="0.15">
      <c r="A122" s="63"/>
      <c r="B122" s="250"/>
      <c r="C122" s="250"/>
      <c r="D122" s="250"/>
      <c r="E122" s="250"/>
      <c r="F122" s="250"/>
      <c r="G122" s="250"/>
      <c r="H122" s="250"/>
      <c r="I122" s="250"/>
    </row>
    <row r="123" spans="1:9" ht="18.75" customHeight="1" x14ac:dyDescent="0.15">
      <c r="A123" s="4"/>
      <c r="B123" s="87"/>
      <c r="C123" s="87"/>
      <c r="D123" s="87"/>
      <c r="E123" s="87"/>
      <c r="F123" s="87"/>
      <c r="G123" s="87"/>
      <c r="H123" s="87"/>
      <c r="I123" s="88"/>
    </row>
    <row r="124" spans="1:9" ht="18.75" customHeight="1" x14ac:dyDescent="0.15">
      <c r="A124" s="4"/>
      <c r="B124" s="88"/>
      <c r="C124" s="88"/>
      <c r="D124" s="88"/>
      <c r="E124" s="88"/>
      <c r="F124" s="88"/>
      <c r="G124" s="88"/>
      <c r="H124" s="88"/>
      <c r="I124" s="88"/>
    </row>
    <row r="125" spans="1:9" ht="18.75" customHeight="1" x14ac:dyDescent="0.15">
      <c r="A125" s="4"/>
      <c r="B125" s="88"/>
      <c r="C125" s="88"/>
      <c r="D125" s="88"/>
      <c r="E125" s="88"/>
      <c r="F125" s="88"/>
      <c r="G125" s="88"/>
      <c r="H125" s="88"/>
      <c r="I125" s="88"/>
    </row>
    <row r="126" spans="1:9" ht="18.75" customHeight="1" x14ac:dyDescent="0.15">
      <c r="A126" s="4"/>
      <c r="B126" s="88"/>
      <c r="C126" s="88"/>
      <c r="D126" s="88"/>
      <c r="E126" s="88"/>
      <c r="F126" s="88"/>
      <c r="G126" s="88"/>
      <c r="H126" s="88"/>
      <c r="I126" s="88"/>
    </row>
    <row r="127" spans="1:9" ht="18.75" customHeight="1" x14ac:dyDescent="0.15">
      <c r="A127" s="4"/>
      <c r="B127" s="88"/>
      <c r="C127" s="88"/>
      <c r="D127" s="88"/>
      <c r="E127" s="88"/>
      <c r="F127" s="88"/>
      <c r="G127" s="88"/>
      <c r="H127" s="88"/>
      <c r="I127" s="88"/>
    </row>
    <row r="128" spans="1:9" ht="18.75" customHeight="1" x14ac:dyDescent="0.15">
      <c r="A128" s="4"/>
      <c r="B128" s="88"/>
      <c r="C128" s="88"/>
      <c r="D128" s="88"/>
      <c r="E128" s="88"/>
      <c r="F128" s="88"/>
      <c r="G128" s="88"/>
      <c r="H128" s="88"/>
      <c r="I128" s="88"/>
    </row>
    <row r="129" spans="1:9" ht="18.75" customHeight="1" x14ac:dyDescent="0.15">
      <c r="A129" s="4"/>
      <c r="B129" s="88"/>
      <c r="C129" s="88"/>
      <c r="D129" s="88"/>
      <c r="E129" s="88"/>
      <c r="F129" s="88"/>
      <c r="G129" s="88"/>
      <c r="H129" s="88"/>
      <c r="I129" s="88"/>
    </row>
    <row r="130" spans="1:9" ht="18.75" customHeight="1" x14ac:dyDescent="0.15">
      <c r="A130" s="4"/>
      <c r="B130" s="88"/>
      <c r="C130" s="88"/>
      <c r="D130" s="88"/>
      <c r="E130" s="88"/>
      <c r="F130" s="88"/>
      <c r="G130" s="88"/>
      <c r="H130" s="88"/>
      <c r="I130" s="88"/>
    </row>
    <row r="131" spans="1:9" ht="18.75" customHeight="1" x14ac:dyDescent="0.15">
      <c r="A131" s="4"/>
      <c r="B131" s="67"/>
      <c r="C131" s="67"/>
      <c r="D131" s="67"/>
      <c r="E131" s="67"/>
      <c r="F131" s="67"/>
      <c r="G131" s="67"/>
      <c r="H131" s="67"/>
      <c r="I131" s="67"/>
    </row>
    <row r="132" spans="1:9" ht="18.75" customHeight="1" x14ac:dyDescent="0.15">
      <c r="A132" s="4"/>
      <c r="B132" s="67"/>
      <c r="C132" s="67"/>
      <c r="D132" s="67"/>
      <c r="E132" s="67"/>
      <c r="F132" s="67"/>
      <c r="G132" s="67"/>
      <c r="H132" s="67"/>
      <c r="I132" s="67"/>
    </row>
    <row r="133" spans="1:9" ht="14.25" x14ac:dyDescent="0.15">
      <c r="A133" s="4"/>
      <c r="B133" s="67"/>
      <c r="C133" s="67"/>
      <c r="D133" s="67"/>
      <c r="E133" s="67"/>
      <c r="F133" s="67"/>
      <c r="G133" s="67"/>
      <c r="H133" s="67"/>
      <c r="I133" s="67"/>
    </row>
    <row r="134" spans="1:9" ht="7.5" customHeight="1" x14ac:dyDescent="0.15">
      <c r="A134" s="4"/>
      <c r="B134" s="67"/>
      <c r="C134" s="67"/>
      <c r="D134" s="67"/>
      <c r="E134" s="67"/>
      <c r="F134" s="67"/>
      <c r="G134" s="67"/>
      <c r="H134" s="67"/>
      <c r="I134" s="67"/>
    </row>
  </sheetData>
  <mergeCells count="2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 ref="F50:G50"/>
    <mergeCell ref="B66:I77"/>
    <mergeCell ref="B80:I91"/>
    <mergeCell ref="C49:D49"/>
    <mergeCell ref="C50:D50"/>
    <mergeCell ref="F49:G49"/>
    <mergeCell ref="B52:I63"/>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I30"/>
  <sheetViews>
    <sheetView showZeros="0" view="pageBreakPreview" zoomScale="90" zoomScaleNormal="100" zoomScaleSheetLayoutView="90" workbookViewId="0">
      <selection activeCell="B6" sqref="B6:H6"/>
    </sheetView>
  </sheetViews>
  <sheetFormatPr defaultColWidth="11.375" defaultRowHeight="22.5" customHeight="1" x14ac:dyDescent="0.15"/>
  <cols>
    <col min="1" max="3" width="2.75" style="90" customWidth="1"/>
    <col min="4" max="4" width="22.25" style="90" customWidth="1"/>
    <col min="5" max="5" width="30.75" style="90" customWidth="1"/>
    <col min="6" max="7" width="7.75" style="90" customWidth="1"/>
    <col min="8" max="9" width="30.75" style="90" customWidth="1"/>
    <col min="10" max="10" width="4.125" style="90" customWidth="1"/>
    <col min="11" max="16384" width="11.375" style="90"/>
  </cols>
  <sheetData>
    <row r="1" spans="1:9" ht="18.75" customHeight="1" x14ac:dyDescent="0.15">
      <c r="A1" s="90" t="s">
        <v>68</v>
      </c>
      <c r="I1" s="29" t="s">
        <v>96</v>
      </c>
    </row>
    <row r="2" spans="1:9" ht="18.75" customHeight="1" x14ac:dyDescent="0.15">
      <c r="H2" s="29" t="s">
        <v>99</v>
      </c>
      <c r="I2" s="28" t="str">
        <f>'様式１　プログラムを構成する授業科目'!C2</f>
        <v>学習院女子大学</v>
      </c>
    </row>
    <row r="3" spans="1:9" ht="18.75" customHeight="1" x14ac:dyDescent="0.15">
      <c r="A3" s="251" t="s">
        <v>28</v>
      </c>
      <c r="B3" s="251"/>
      <c r="C3" s="251"/>
      <c r="D3" s="251"/>
      <c r="E3" s="251"/>
      <c r="F3" s="251"/>
      <c r="G3" s="251"/>
      <c r="H3" s="251"/>
      <c r="I3" s="251"/>
    </row>
    <row r="4" spans="1:9" ht="18.75" customHeight="1" x14ac:dyDescent="0.15">
      <c r="A4" s="86"/>
      <c r="B4" s="86"/>
      <c r="C4" s="86"/>
      <c r="D4" s="86"/>
      <c r="E4" s="86"/>
      <c r="F4" s="86"/>
      <c r="G4" s="86"/>
      <c r="H4" s="86"/>
      <c r="I4" s="86"/>
    </row>
    <row r="5" spans="1:9" ht="18.75" customHeight="1" x14ac:dyDescent="0.15">
      <c r="A5" s="90" t="s">
        <v>0</v>
      </c>
      <c r="B5" s="9" t="s">
        <v>90</v>
      </c>
      <c r="C5" s="86"/>
      <c r="D5" s="86"/>
      <c r="E5" s="86"/>
      <c r="F5" s="86"/>
      <c r="G5" s="86"/>
      <c r="H5" s="86"/>
      <c r="I5" s="86"/>
    </row>
    <row r="6" spans="1:9" ht="26.25" customHeight="1" x14ac:dyDescent="0.15">
      <c r="A6" s="86"/>
      <c r="B6" s="266" t="s">
        <v>203</v>
      </c>
      <c r="C6" s="281"/>
      <c r="D6" s="281"/>
      <c r="E6" s="281"/>
      <c r="F6" s="281"/>
      <c r="G6" s="281"/>
      <c r="H6" s="282"/>
      <c r="I6" s="89"/>
    </row>
    <row r="7" spans="1:9" ht="9" customHeight="1" x14ac:dyDescent="0.15">
      <c r="A7" s="86"/>
      <c r="B7" s="9"/>
      <c r="C7" s="9"/>
      <c r="D7" s="9"/>
      <c r="E7" s="9"/>
      <c r="F7" s="9"/>
      <c r="G7" s="9"/>
      <c r="H7" s="9"/>
      <c r="I7" s="89"/>
    </row>
    <row r="8" spans="1:9" ht="18.75" customHeight="1" x14ac:dyDescent="0.15">
      <c r="A8" s="86"/>
      <c r="B8" s="89"/>
      <c r="C8" s="89"/>
      <c r="D8" s="29" t="s">
        <v>42</v>
      </c>
      <c r="E8" s="30" t="s">
        <v>204</v>
      </c>
      <c r="F8" s="89"/>
      <c r="G8" s="29" t="s">
        <v>10</v>
      </c>
      <c r="H8" s="30" t="s">
        <v>205</v>
      </c>
      <c r="I8" s="89"/>
    </row>
    <row r="9" spans="1:9" ht="7.5" customHeight="1" x14ac:dyDescent="0.15">
      <c r="A9" s="86"/>
      <c r="B9" s="86"/>
      <c r="C9" s="86"/>
      <c r="D9" s="86"/>
      <c r="E9" s="86"/>
      <c r="F9" s="86"/>
      <c r="G9" s="86"/>
      <c r="H9" s="86"/>
      <c r="I9" s="86"/>
    </row>
    <row r="10" spans="1:9" ht="18.75" customHeight="1" x14ac:dyDescent="0.15">
      <c r="A10" s="90" t="s">
        <v>3</v>
      </c>
      <c r="B10" s="90" t="s">
        <v>27</v>
      </c>
      <c r="C10" s="4"/>
      <c r="D10" s="4"/>
      <c r="E10" s="4"/>
      <c r="F10" s="4"/>
      <c r="G10" s="4"/>
      <c r="H10" s="4"/>
      <c r="I10" s="4"/>
    </row>
    <row r="11" spans="1:9" ht="18.75" customHeight="1" x14ac:dyDescent="0.15">
      <c r="B11" s="105" t="s">
        <v>24</v>
      </c>
      <c r="C11" s="106"/>
      <c r="D11" s="107"/>
      <c r="E11" s="106" t="s">
        <v>26</v>
      </c>
      <c r="F11" s="106"/>
      <c r="G11" s="106"/>
      <c r="H11" s="106"/>
      <c r="I11" s="107"/>
    </row>
    <row r="12" spans="1:9" ht="26.25" customHeight="1" x14ac:dyDescent="0.15">
      <c r="B12" s="38" t="s">
        <v>14</v>
      </c>
      <c r="C12" s="42"/>
      <c r="D12" s="39"/>
      <c r="E12" s="43"/>
      <c r="F12" s="43"/>
      <c r="G12" s="43"/>
      <c r="H12" s="43"/>
      <c r="I12" s="39"/>
    </row>
    <row r="13" spans="1:9" ht="210.75" customHeight="1" x14ac:dyDescent="0.15">
      <c r="B13" s="40"/>
      <c r="C13" s="278" t="s">
        <v>15</v>
      </c>
      <c r="D13" s="278"/>
      <c r="E13" s="277" t="s">
        <v>202</v>
      </c>
      <c r="F13" s="277"/>
      <c r="G13" s="277"/>
      <c r="H13" s="277"/>
      <c r="I13" s="277"/>
    </row>
    <row r="14" spans="1:9" ht="210.75" customHeight="1" x14ac:dyDescent="0.15">
      <c r="B14" s="40"/>
      <c r="C14" s="279" t="s">
        <v>16</v>
      </c>
      <c r="D14" s="280"/>
      <c r="E14" s="277" t="s">
        <v>201</v>
      </c>
      <c r="F14" s="277"/>
      <c r="G14" s="277"/>
      <c r="H14" s="277"/>
      <c r="I14" s="277"/>
    </row>
    <row r="15" spans="1:9" ht="210.75" customHeight="1" x14ac:dyDescent="0.15">
      <c r="B15" s="40"/>
      <c r="C15" s="278" t="s">
        <v>17</v>
      </c>
      <c r="D15" s="278"/>
      <c r="E15" s="277" t="s">
        <v>200</v>
      </c>
      <c r="F15" s="277"/>
      <c r="G15" s="277"/>
      <c r="H15" s="277"/>
      <c r="I15" s="277"/>
    </row>
    <row r="16" spans="1:9" ht="210.75" customHeight="1" x14ac:dyDescent="0.15">
      <c r="B16" s="40"/>
      <c r="C16" s="278" t="s">
        <v>18</v>
      </c>
      <c r="D16" s="278"/>
      <c r="E16" s="277" t="s">
        <v>199</v>
      </c>
      <c r="F16" s="277"/>
      <c r="G16" s="277"/>
      <c r="H16" s="277"/>
      <c r="I16" s="277"/>
    </row>
    <row r="17" spans="2:9" ht="210.75" customHeight="1" x14ac:dyDescent="0.15">
      <c r="B17" s="41"/>
      <c r="C17" s="278" t="s">
        <v>19</v>
      </c>
      <c r="D17" s="278"/>
      <c r="E17" s="277" t="s">
        <v>198</v>
      </c>
      <c r="F17" s="277"/>
      <c r="G17" s="277"/>
      <c r="H17" s="277"/>
      <c r="I17" s="277"/>
    </row>
    <row r="18" spans="2:9" ht="24" customHeight="1" x14ac:dyDescent="0.15">
      <c r="B18" s="38" t="s">
        <v>20</v>
      </c>
      <c r="C18" s="42"/>
      <c r="D18" s="39"/>
      <c r="E18" s="93"/>
      <c r="F18" s="93"/>
      <c r="G18" s="93"/>
      <c r="H18" s="93"/>
      <c r="I18" s="92"/>
    </row>
    <row r="19" spans="2:9" ht="218.25" customHeight="1" x14ac:dyDescent="0.15">
      <c r="B19" s="91"/>
      <c r="C19" s="278" t="s">
        <v>21</v>
      </c>
      <c r="D19" s="278"/>
      <c r="E19" s="277" t="s">
        <v>197</v>
      </c>
      <c r="F19" s="277"/>
      <c r="G19" s="277"/>
      <c r="H19" s="277"/>
      <c r="I19" s="277"/>
    </row>
    <row r="20" spans="2:9" ht="218.25" customHeight="1" x14ac:dyDescent="0.15">
      <c r="B20" s="91"/>
      <c r="C20" s="278" t="s">
        <v>22</v>
      </c>
      <c r="D20" s="278"/>
      <c r="E20" s="277" t="s">
        <v>196</v>
      </c>
      <c r="F20" s="277"/>
      <c r="G20" s="277"/>
      <c r="H20" s="277"/>
      <c r="I20" s="277"/>
    </row>
    <row r="21" spans="2:9" ht="218.25" customHeight="1" x14ac:dyDescent="0.15">
      <c r="B21" s="278" t="s">
        <v>23</v>
      </c>
      <c r="C21" s="278"/>
      <c r="D21" s="278"/>
      <c r="E21" s="277" t="s">
        <v>195</v>
      </c>
      <c r="F21" s="277"/>
      <c r="G21" s="277"/>
      <c r="H21" s="277"/>
      <c r="I21" s="277"/>
    </row>
    <row r="22" spans="2:9" ht="218.25" customHeight="1" x14ac:dyDescent="0.15">
      <c r="B22" s="276" t="s">
        <v>135</v>
      </c>
      <c r="C22" s="276"/>
      <c r="D22" s="276"/>
      <c r="E22" s="277" t="s">
        <v>194</v>
      </c>
      <c r="F22" s="277"/>
      <c r="G22" s="277"/>
      <c r="H22" s="277"/>
      <c r="I22" s="277"/>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85"/>
      <c r="C28" s="85"/>
      <c r="D28" s="85"/>
      <c r="E28" s="85"/>
      <c r="F28" s="85"/>
      <c r="G28" s="85"/>
      <c r="H28" s="85"/>
      <c r="I28" s="85"/>
    </row>
    <row r="29" spans="2:9" ht="22.5" customHeight="1" x14ac:dyDescent="0.15">
      <c r="B29" s="85"/>
      <c r="C29" s="85"/>
      <c r="D29" s="85"/>
      <c r="E29" s="85"/>
      <c r="F29" s="85"/>
      <c r="G29" s="85"/>
      <c r="H29" s="85"/>
      <c r="I29" s="85"/>
    </row>
    <row r="30" spans="2:9" ht="22.5" customHeight="1" x14ac:dyDescent="0.15">
      <c r="B30" s="85"/>
      <c r="C30" s="85"/>
      <c r="D30" s="85"/>
      <c r="E30" s="85"/>
      <c r="F30" s="85"/>
      <c r="G30" s="85"/>
      <c r="H30" s="85"/>
      <c r="I30" s="85"/>
    </row>
  </sheetData>
  <mergeCells count="22">
    <mergeCell ref="C14:D14"/>
    <mergeCell ref="E14:I14"/>
    <mergeCell ref="A3:I3"/>
    <mergeCell ref="B11:D11"/>
    <mergeCell ref="E11:I11"/>
    <mergeCell ref="C13:D13"/>
    <mergeCell ref="E13:I13"/>
    <mergeCell ref="B6:H6"/>
    <mergeCell ref="C15:D15"/>
    <mergeCell ref="E15:I15"/>
    <mergeCell ref="C16:D16"/>
    <mergeCell ref="E16:I16"/>
    <mergeCell ref="C17:D17"/>
    <mergeCell ref="E17:I17"/>
    <mergeCell ref="B22:D22"/>
    <mergeCell ref="E22:I22"/>
    <mergeCell ref="C19:D19"/>
    <mergeCell ref="E19:I19"/>
    <mergeCell ref="C20:D20"/>
    <mergeCell ref="E20:I20"/>
    <mergeCell ref="B21:D21"/>
    <mergeCell ref="E21:I21"/>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20200217</cp:lastModifiedBy>
  <cp:lastPrinted>2024-02-19T08:20:00Z</cp:lastPrinted>
  <dcterms:created xsi:type="dcterms:W3CDTF">2011-06-14T05:32:50Z</dcterms:created>
  <dcterms:modified xsi:type="dcterms:W3CDTF">2024-06-11T07:59:41Z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