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172.18.100.12\kyougaku\データサイエンス入門関連\02_数理・データサイエンス・ＡＩ教育プログラム認定制度\"/>
    </mc:Choice>
  </mc:AlternateContent>
  <xr:revisionPtr revIDLastSave="0" documentId="8_{DDB179E0-56BA-43C1-A3C5-AC6F8FD5B961}" xr6:coauthVersionLast="47" xr6:coauthVersionMax="47" xr10:uidLastSave="{00000000-0000-0000-0000-000000000000}"/>
  <bookViews>
    <workbookView xWindow="-28095" yWindow="870" windowWidth="20175" windowHeight="14175"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M7" i="40"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<sst xmlns="http://schemas.openxmlformats.org/spreadsheetml/2006/main" count="275" uniqueCount="181">
  <si>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</si>
  <si>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</si>
  <si>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</si>
  <si>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</si>
  <si>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</si>
  <si>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</si>
  <si>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</si>
  <si>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</si>
  <si>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</si>
  <si>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</si>
  <si>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</si>
  <si>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</si>
  <si>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</si>
  <si>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</si>
  <si>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</si>
  <si>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</si>
  <si>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</si>
  <si>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</si>
  <si>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</si>
  <si>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</si>
  <si>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</si>
  <si>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</si>
  <si>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</si>
  <si>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</si>
  <si>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</si>
  <si>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</si>
  <si>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</si>
  <si>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</si>
  <si>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</si>
  <si>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</si>
  <si>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</si>
  <si>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</si>
  <si>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</si>
  <si>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</si>
  <si>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</si>
  <si>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</si>
  <si>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</si>
  <si>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</si>
  <si>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</si>
  <si>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</si>
  <si>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</si>
  <si>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</si>
  <si>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</si>
  <si>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</si>
  <si>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</si>
  <si>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</si>
  <si>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</si>
  <si>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</si>
  <si>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</si>
  <si>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</si>
  <si>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</si>
  <si>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</si>
  <si>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</si>
  <si>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</si>
  <si>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</si>
  <si>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</si>
  <si>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</si>
  <si>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</si>
  <si>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</si>
  <si>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</si>
  <si>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</si>
  <si>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</si>
  <si>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</si>
  <si>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</si>
  <si>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</si>
  <si>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</si>
  <si>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</si>
  <si>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</si>
  <si>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</si>
  <si>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</si>
  <si>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</si>
  <si>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</si>
  <si>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</si>
  <si>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</si>
  <si>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</si>
  <si>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</si>
  <si>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</si>
  <si>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</si>
  <si>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</si>
  <si>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</si>
  <si>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</si>
  <si>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</si>
  <si>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</si>
  <si>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</si>
  <si>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</si>
  <si>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</si>
  <si>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</si>
  <si>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</si>
  <si>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</si>
  <si>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</si>
  <si>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</si>
  <si>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</si>
  <si>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</si>
  <si>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</si>
  <si>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</si>
  <si>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</si>
  <si>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</si>
  <si>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</si>
  <si>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</si>
  <si>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</si>
  <si>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</si>
  <si>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</si>
  <si>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</si>
  <si>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</si>
  <si>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</si>
  <si>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</si>
  <si>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</si>
  <si>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</si>
  <si>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</si>
  <si>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</si>
  <si>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</si>
  <si>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</si>
  <si>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</si>
  <si>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</si>
  <si>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</si>
  <si>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</si>
  <si>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</si>
  <si>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</si>
  <si>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</si>
  <si>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</si>
  <si>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</si>
  <si>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</si>
  <si>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</si>
  <si>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</si>
  <si>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</si>
  <si>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</si>
  <si>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</si>
  <si>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</si>
  <si>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</si>
  <si>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</si>
  <si>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</si>
  <si>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</si>
  <si>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</si>
  <si>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</si>
  <si>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</si>
  <si>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</si>
  <si>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全学教務委員会</t>
    <phoneticPr fontId="1"/>
  </si>
  <si>
    <t>飯田幸裕</t>
    <rPh sb="0" eb="2">
      <t>イイダ</t>
    </rPh>
    <rPh sb="2" eb="4">
      <t>ユキヒロ</t>
    </rPh>
    <phoneticPr fontId="1"/>
  </si>
  <si>
    <t>全学教務委員長</t>
    <rPh sb="0" eb="2">
      <t>ゼンガク</t>
    </rPh>
    <rPh sb="2" eb="4">
      <t>キョウム</t>
    </rPh>
    <rPh sb="4" eb="7">
      <t>イインチョウ</t>
    </rPh>
    <phoneticPr fontId="1"/>
  </si>
  <si>
    <t>本プログラムを構成する「データサイエンス入門」は全学部2年次の必修科目となっており、2年次に進級した時点で自動的に履修登録される。このため、2年次生の履修率は100％となる（進級保留者・休学者は除く）。令和5年度においては、履修者758名、修了者663名（合格率87.4パーセント）であった。成績分布としては、S（90～100点）67.9％、A（80～89点）14.1％、B（70～79点）3.8％、C（60～69点）1.6％、不合格は12.5％であった。合格率・成績分布から、当該プログラムを学ぶことで期待される能力を多くの学生が身につけたことと考えられる。</t>
    <rPh sb="0" eb="1">
      <t>ホン</t>
    </rPh>
    <rPh sb="7" eb="9">
      <t>コウセイ</t>
    </rPh>
    <rPh sb="20" eb="22">
      <t>ニュウモン</t>
    </rPh>
    <rPh sb="24" eb="27">
      <t>ゼンガクブ</t>
    </rPh>
    <rPh sb="71" eb="72">
      <t>ネン</t>
    </rPh>
    <rPh sb="101" eb="103">
      <t>レイワ</t>
    </rPh>
    <rPh sb="104" eb="106">
      <t>ネンド</t>
    </rPh>
    <rPh sb="112" eb="115">
      <t>リシュウシャ</t>
    </rPh>
    <rPh sb="118" eb="119">
      <t>メイ</t>
    </rPh>
    <rPh sb="120" eb="123">
      <t>シュウリョウシャ</t>
    </rPh>
    <rPh sb="126" eb="127">
      <t>メイ</t>
    </rPh>
    <rPh sb="128" eb="131">
      <t>ゴウカクリツ</t>
    </rPh>
    <rPh sb="146" eb="150">
      <t>セイセキブンプ</t>
    </rPh>
    <rPh sb="163" eb="164">
      <t>テン</t>
    </rPh>
    <rPh sb="178" eb="179">
      <t>テン</t>
    </rPh>
    <rPh sb="193" eb="194">
      <t>テン</t>
    </rPh>
    <rPh sb="207" eb="208">
      <t>テン</t>
    </rPh>
    <rPh sb="228" eb="231">
      <t>ゴウカクリツ</t>
    </rPh>
    <rPh sb="232" eb="236">
      <t>セイセキブンプ</t>
    </rPh>
    <phoneticPr fontId="1"/>
  </si>
  <si>
    <t>全学部における必修科目であるため、後輩等他の学生への推奨度に関してのアンケート等は行っていない。</t>
    <rPh sb="0" eb="3">
      <t>ゼンガクブ</t>
    </rPh>
    <rPh sb="7" eb="11">
      <t>ヒッシュウカモク</t>
    </rPh>
    <rPh sb="17" eb="19">
      <t>コウハイ</t>
    </rPh>
    <rPh sb="19" eb="20">
      <t>トウ</t>
    </rPh>
    <rPh sb="20" eb="21">
      <t>タ</t>
    </rPh>
    <rPh sb="22" eb="24">
      <t>ガクセイ</t>
    </rPh>
    <rPh sb="26" eb="28">
      <t>スイショウ</t>
    </rPh>
    <rPh sb="28" eb="29">
      <t>ド</t>
    </rPh>
    <rPh sb="30" eb="31">
      <t>カン</t>
    </rPh>
    <rPh sb="39" eb="40">
      <t>ナド</t>
    </rPh>
    <rPh sb="41" eb="42">
      <t>オコナ</t>
    </rPh>
    <phoneticPr fontId="1"/>
  </si>
  <si>
    <t>本プログラムを構成する「データサイエンス入門」は動画教材として株式会社ベネッセコーポレーションのeラーニングコンテンツを利用している。同社のeラーニングコンテンツは香川大学・ベネッセコーポレーション・株式会社キカガクによる共同開発であり、学問の特性を踏まえた鮮度を担保する旨が謳われていることから、最新のデータサイエンスの情報を踏まえた産業界の視点が反映されていると考えている。</t>
    <rPh sb="0" eb="1">
      <t>ホン</t>
    </rPh>
    <rPh sb="7" eb="9">
      <t>コウセイ</t>
    </rPh>
    <rPh sb="20" eb="22">
      <t>ニュウモン</t>
    </rPh>
    <rPh sb="24" eb="28">
      <t>ドウガキョウザイ</t>
    </rPh>
    <rPh sb="31" eb="35">
      <t>カブシキガイシャ</t>
    </rPh>
    <rPh sb="60" eb="62">
      <t>リヨウ</t>
    </rPh>
    <rPh sb="67" eb="69">
      <t>ドウシャ</t>
    </rPh>
    <rPh sb="82" eb="86">
      <t>カガワダイガク</t>
    </rPh>
    <rPh sb="100" eb="104">
      <t>カブシキガイシャ</t>
    </rPh>
    <rPh sb="111" eb="115">
      <t>キョウドウカイハツ</t>
    </rPh>
    <rPh sb="119" eb="121">
      <t>ガクモン</t>
    </rPh>
    <rPh sb="149" eb="151">
      <t>サイシン</t>
    </rPh>
    <rPh sb="161" eb="163">
      <t>ジョウホウ</t>
    </rPh>
    <rPh sb="164" eb="165">
      <t>フ</t>
    </rPh>
    <rPh sb="168" eb="171">
      <t>サンギョウカイ</t>
    </rPh>
    <rPh sb="172" eb="174">
      <t>シテン</t>
    </rPh>
    <rPh sb="175" eb="177">
      <t>ハンエイ</t>
    </rPh>
    <rPh sb="183" eb="184">
      <t>カンガ</t>
    </rPh>
    <phoneticPr fontId="1"/>
  </si>
  <si>
    <t>シラバスを通じて有用性やニーズの啓蒙を行い、数理・データサイエンス・AIを大学段階で学ぶことの意義を理解させている。また、社会での変化や活用されている身近な事例を講義に取り込むことで、数理・データサイエンス・AIを学ぶ楽しさを享受させることができるよう担当教員間で検討し、授業内容に反映している。</t>
    <rPh sb="5" eb="6">
      <t>ツウ</t>
    </rPh>
    <rPh sb="8" eb="11">
      <t>ユウヨウセイ</t>
    </rPh>
    <rPh sb="16" eb="18">
      <t>ケイモウ</t>
    </rPh>
    <rPh sb="19" eb="20">
      <t>オコナ</t>
    </rPh>
    <rPh sb="22" eb="24">
      <t>スウリ</t>
    </rPh>
    <rPh sb="37" eb="41">
      <t>ダイガクダンカイ</t>
    </rPh>
    <rPh sb="42" eb="43">
      <t>マナ</t>
    </rPh>
    <rPh sb="47" eb="49">
      <t>イギ</t>
    </rPh>
    <rPh sb="50" eb="52">
      <t>リカイ</t>
    </rPh>
    <rPh sb="61" eb="63">
      <t>シャカイ</t>
    </rPh>
    <rPh sb="65" eb="67">
      <t>ヘンカ</t>
    </rPh>
    <rPh sb="68" eb="70">
      <t>カツヨウ</t>
    </rPh>
    <rPh sb="75" eb="77">
      <t>ミヂカ</t>
    </rPh>
    <rPh sb="78" eb="80">
      <t>ジレイ</t>
    </rPh>
    <rPh sb="81" eb="83">
      <t>コウギ</t>
    </rPh>
    <rPh sb="84" eb="85">
      <t>ト</t>
    </rPh>
    <rPh sb="86" eb="87">
      <t>コ</t>
    </rPh>
    <rPh sb="107" eb="108">
      <t>マナ</t>
    </rPh>
    <rPh sb="109" eb="110">
      <t>タノ</t>
    </rPh>
    <rPh sb="113" eb="115">
      <t>キョウジュ</t>
    </rPh>
    <phoneticPr fontId="1"/>
  </si>
  <si>
    <t>二松学舎大学</t>
    <phoneticPr fontId="1"/>
  </si>
  <si>
    <t>二松学舎大学データサイエンス・AI入門プログラム</t>
    <phoneticPr fontId="1"/>
  </si>
  <si>
    <t>学部・学科によって、修了要件は相違しない</t>
  </si>
  <si>
    <t>全学部必修科目「データサイエンス入門」（２単位）の単位修得</t>
    <phoneticPr fontId="1"/>
  </si>
  <si>
    <t>○</t>
  </si>
  <si>
    <t>データサイエンス入門</t>
    <phoneticPr fontId="1"/>
  </si>
  <si>
    <t>第2回「社会で起きている変化」
現在、社会で起きている変化（日本企業の競争力は今どうなっているか、企業を取り巻く市場環境はどのように変わっているか、デジタル技術の進展は何をもたらしているのか）を理解したうえで、世界でどのようなデジタル社会像が提言されているかを踏まえ、これから目指すべき未来のデジタル社会像について解説する。</t>
    <phoneticPr fontId="1"/>
  </si>
  <si>
    <t>第8回「データ・AI活用の最新動向」
データ・AIの活用次第で、たくさんの新しいビジネスが生まれ始めていることや、データ・AIに関連した新技術によって、今までできなかったことが可能になりつつあることを解説する。新しいビジネスの創出は、小規模なスタートアップ企業においてよく見られるが、その理由がデジタル技術の発展の影響であることを理解してもらう。</t>
    <phoneticPr fontId="1"/>
  </si>
  <si>
    <t>第５回「データ・AI活用のための技術」
データ認識技術の概要とAI技術の概要について解説する。あわせてAIの課題や、AIにとっての難問が存在すること、AIの発展が社会にもたらす可能性について解説する。</t>
    <phoneticPr fontId="1"/>
  </si>
  <si>
    <t>第15回「データを守る上での留意事項まとめ」
情報セキュリティの定義について、情報漏えいを起こす要因について解説する。また、情報セキュリティの脅威に関する事例と代表的なセキュリティ技術について解説する。</t>
    <phoneticPr fontId="1"/>
  </si>
  <si>
    <t>第12回「データを扱う」
データ分析の一連のプロセス（売上予測・顧客層分析・顧客満足度・顧客不満）を、演習を通じて理解する。</t>
    <phoneticPr fontId="1"/>
  </si>
  <si>
    <t>・AIやデータサイエンスが社会でどのように活用されているかを理解できる。
・データ分析の基本的な方法が理解できる。
・情報倫理に基づいた適切なデータ利用ができる。</t>
    <phoneticPr fontId="1"/>
  </si>
  <si>
    <t>文学部</t>
    <rPh sb="0" eb="3">
      <t>ブンガクブ</t>
    </rPh>
    <phoneticPr fontId="1"/>
  </si>
  <si>
    <t>国際政治経済学部</t>
    <rPh sb="0" eb="8">
      <t>コクサイセイジケイザイガクブ</t>
    </rPh>
    <phoneticPr fontId="1"/>
  </si>
  <si>
    <t>須藤　和敬</t>
    <phoneticPr fontId="1"/>
  </si>
  <si>
    <t>国際政治経済学部　教授</t>
    <phoneticPr fontId="1"/>
  </si>
  <si>
    <t>全学教務委員会</t>
    <rPh sb="0" eb="2">
      <t>ゼンガク</t>
    </rPh>
    <rPh sb="2" eb="7">
      <t>キョウムイインカイ</t>
    </rPh>
    <phoneticPr fontId="1"/>
  </si>
  <si>
    <t>飯田　幸裕</t>
    <rPh sb="0" eb="2">
      <t>イイダ</t>
    </rPh>
    <rPh sb="3" eb="5">
      <t>ユキヒロ</t>
    </rPh>
    <phoneticPr fontId="1"/>
  </si>
  <si>
    <t>二松学舎大学の管理運営に関する規程</t>
    <phoneticPr fontId="1"/>
  </si>
  <si>
    <t>本学の全学教務委員会は、教育研究に関する全学的な事項を審議する委員会と位置づけられている。当該委員会において、全学共通の必修科目である「データサイエンス入門」の内容検討や検証を実施する。</t>
    <rPh sb="0" eb="2">
      <t>ホンガク</t>
    </rPh>
    <rPh sb="3" eb="5">
      <t>ゼンガク</t>
    </rPh>
    <rPh sb="5" eb="7">
      <t>キョウム</t>
    </rPh>
    <rPh sb="7" eb="10">
      <t>イインカイ</t>
    </rPh>
    <rPh sb="31" eb="34">
      <t>イインカイ</t>
    </rPh>
    <rPh sb="35" eb="37">
      <t>イチ</t>
    </rPh>
    <rPh sb="45" eb="47">
      <t>トウガイ</t>
    </rPh>
    <rPh sb="47" eb="50">
      <t>イインカイ</t>
    </rPh>
    <rPh sb="55" eb="57">
      <t>ゼンガク</t>
    </rPh>
    <rPh sb="57" eb="59">
      <t>キョウツウ</t>
    </rPh>
    <rPh sb="60" eb="62">
      <t>ヒッシュウ</t>
    </rPh>
    <rPh sb="62" eb="64">
      <t>カモク</t>
    </rPh>
    <rPh sb="76" eb="78">
      <t>ニュウモン</t>
    </rPh>
    <rPh sb="80" eb="82">
      <t>ナイヨウ</t>
    </rPh>
    <rPh sb="82" eb="84">
      <t>ケントウ</t>
    </rPh>
    <rPh sb="85" eb="87">
      <t>ケンショウ</t>
    </rPh>
    <rPh sb="88" eb="90">
      <t>ジッシ</t>
    </rPh>
    <phoneticPr fontId="1"/>
  </si>
  <si>
    <t>飯田　幸裕　国際政治経済学部・教授（全学教務委員長）
中川　桂　文学部・教授
迫田　幸栄　文学部・准教授
和久　希　文学部・専任講師
金子　智香　国際政治経済学部・教授
須藤　和敬　国際政治経済学部・教授（学務局長）
飛田　正太郎　教学事務部長</t>
    <rPh sb="27" eb="29">
      <t>ナカガワ</t>
    </rPh>
    <rPh sb="30" eb="31">
      <t>カツラ</t>
    </rPh>
    <rPh sb="32" eb="35">
      <t>ブンガクブ</t>
    </rPh>
    <rPh sb="36" eb="38">
      <t>キョウジュ</t>
    </rPh>
    <rPh sb="39" eb="41">
      <t>サコダ</t>
    </rPh>
    <rPh sb="42" eb="43">
      <t>サチ</t>
    </rPh>
    <rPh sb="43" eb="44">
      <t>エイ</t>
    </rPh>
    <rPh sb="45" eb="48">
      <t>ブンガクブ</t>
    </rPh>
    <rPh sb="49" eb="50">
      <t>ジュン</t>
    </rPh>
    <rPh sb="50" eb="52">
      <t>キョウジュ</t>
    </rPh>
    <rPh sb="53" eb="55">
      <t>ワク</t>
    </rPh>
    <rPh sb="56" eb="57">
      <t>ノゾミ</t>
    </rPh>
    <rPh sb="58" eb="61">
      <t>ブンガクブ</t>
    </rPh>
    <rPh sb="62" eb="64">
      <t>センニン</t>
    </rPh>
    <rPh sb="64" eb="66">
      <t>コウシ</t>
    </rPh>
    <rPh sb="67" eb="69">
      <t>カネコ</t>
    </rPh>
    <rPh sb="109" eb="111">
      <t>ヒダ</t>
    </rPh>
    <rPh sb="112" eb="115">
      <t>ショウタロウ</t>
    </rPh>
    <rPh sb="116" eb="122">
      <t>キョウガクジムブチョウ</t>
    </rPh>
    <phoneticPr fontId="1"/>
  </si>
  <si>
    <t>第11回「データを説明する」
・データを説明するための手法である、グラフについて理解する（様々なグラフの特徴・目的）
・実際にグラフ作成演習を行い、データを比較、グラフの適切な表現について理解する。
・優れた「データ可視化」事例について学ぶ</t>
    <phoneticPr fontId="1"/>
  </si>
  <si>
    <t>本プログラムの授業においては、各回で小テストまたは課題を実施している。これにより各回の学生の理解度の把握を行った。また、記述形式を含む定期試験を課すことにより、授業内容全体に対する理解度が向上したと考えられる。</t>
    <rPh sb="0" eb="1">
      <t>ホン</t>
    </rPh>
    <rPh sb="7" eb="9">
      <t>ジュギョウ</t>
    </rPh>
    <rPh sb="18" eb="19">
      <t>ショウ</t>
    </rPh>
    <rPh sb="25" eb="27">
      <t>カダイ</t>
    </rPh>
    <rPh sb="28" eb="30">
      <t>ジッシ</t>
    </rPh>
    <rPh sb="40" eb="42">
      <t>カクカイ</t>
    </rPh>
    <rPh sb="43" eb="45">
      <t>ガクセイ</t>
    </rPh>
    <rPh sb="46" eb="49">
      <t>リカイド</t>
    </rPh>
    <rPh sb="50" eb="52">
      <t>ハアク</t>
    </rPh>
    <rPh sb="53" eb="54">
      <t>オコナ</t>
    </rPh>
    <rPh sb="61" eb="62">
      <t>フク</t>
    </rPh>
    <rPh sb="63" eb="65">
      <t>テイキ</t>
    </rPh>
    <rPh sb="65" eb="67">
      <t>シケン</t>
    </rPh>
    <rPh sb="68" eb="69">
      <t>カ</t>
    </rPh>
    <rPh sb="76" eb="78">
      <t>ジュギョウ</t>
    </rPh>
    <rPh sb="78" eb="80">
      <t>ナイヨウ</t>
    </rPh>
    <rPh sb="80" eb="82">
      <t>ゼンタイ</t>
    </rPh>
    <rPh sb="83" eb="84">
      <t>タイ</t>
    </rPh>
    <rPh sb="86" eb="89">
      <t>リカイド</t>
    </rPh>
    <rPh sb="90" eb="92">
      <t>コウジョウ</t>
    </rPh>
    <rPh sb="95" eb="96">
      <t>カンガ</t>
    </rPh>
    <phoneticPr fontId="1"/>
  </si>
  <si>
    <t>成績分布状況の分析によると、履修学生のうち87.5％が単位を修得しており、さらに全体の82％が高得点のS（90～100点）もしくはA（80～89点）評価で単位を修得していることから、全体として理解度は高かったと受け止めている。</t>
    <rPh sb="0" eb="6">
      <t>セイセキブンプジョウキョウ</t>
    </rPh>
    <rPh sb="7" eb="9">
      <t>ブンセキ</t>
    </rPh>
    <rPh sb="14" eb="18">
      <t>リシュウガクセイ</t>
    </rPh>
    <rPh sb="27" eb="29">
      <t>タンイ</t>
    </rPh>
    <rPh sb="30" eb="32">
      <t>シュウトク</t>
    </rPh>
    <rPh sb="40" eb="42">
      <t>ゼンタイ</t>
    </rPh>
    <rPh sb="47" eb="50">
      <t>コウトクテン</t>
    </rPh>
    <rPh sb="74" eb="76">
      <t>ヒョウカ</t>
    </rPh>
    <rPh sb="77" eb="79">
      <t>タンイ</t>
    </rPh>
    <rPh sb="80" eb="82">
      <t>シュウトク</t>
    </rPh>
    <rPh sb="91" eb="93">
      <t>ゼンタイ</t>
    </rPh>
    <rPh sb="96" eb="99">
      <t>リカイド</t>
    </rPh>
    <rPh sb="100" eb="101">
      <t>タカ</t>
    </rPh>
    <rPh sb="105" eb="106">
      <t>ウ</t>
    </rPh>
    <rPh sb="107" eb="108">
      <t>ト</t>
    </rPh>
    <phoneticPr fontId="1"/>
  </si>
  <si>
    <t>全学部における必修科目であるため、履修者数・履修率向上に向けた取り組みは特に行っていない。</t>
    <rPh sb="0" eb="3">
      <t>ゼンガクブ</t>
    </rPh>
    <rPh sb="7" eb="9">
      <t>ヒッシュウ</t>
    </rPh>
    <rPh sb="9" eb="11">
      <t>カモク</t>
    </rPh>
    <rPh sb="17" eb="21">
      <t>リシュウシャスウ</t>
    </rPh>
    <rPh sb="22" eb="25">
      <t>リシュウリツ</t>
    </rPh>
    <rPh sb="25" eb="27">
      <t>コウジョウ</t>
    </rPh>
    <rPh sb="28" eb="29">
      <t>ム</t>
    </rPh>
    <rPh sb="31" eb="32">
      <t>ト</t>
    </rPh>
    <rPh sb="33" eb="34">
      <t>ク</t>
    </rPh>
    <rPh sb="36" eb="37">
      <t>トク</t>
    </rPh>
    <rPh sb="38" eb="39">
      <t>オコナ</t>
    </rPh>
    <phoneticPr fontId="1"/>
  </si>
  <si>
    <t>本プログラムを構成する「データサイエンス入門」は令和5年度から開講であるため、履修した学生はまだ卒業していない。本学では卒業時に進路調査を行っており、その調査を活用し修了者の進路等について評価を行う予定である。</t>
    <rPh sb="56" eb="58">
      <t>ホンガク</t>
    </rPh>
    <rPh sb="60" eb="62">
      <t>ソツギョウ</t>
    </rPh>
    <rPh sb="62" eb="63">
      <t>ジ</t>
    </rPh>
    <rPh sb="64" eb="68">
      <t>シンロチョウサ</t>
    </rPh>
    <rPh sb="69" eb="70">
      <t>オコナ</t>
    </rPh>
    <rPh sb="77" eb="79">
      <t>チョウサ</t>
    </rPh>
    <rPh sb="80" eb="82">
      <t>カツヨウ</t>
    </rPh>
    <rPh sb="83" eb="86">
      <t>シュウリョウシャ</t>
    </rPh>
    <rPh sb="87" eb="90">
      <t>シンロトウ</t>
    </rPh>
    <rPh sb="94" eb="96">
      <t>ヒョウカ</t>
    </rPh>
    <rPh sb="97" eb="98">
      <t>オコナ</t>
    </rPh>
    <rPh sb="99" eb="101">
      <t>ヨテイ</t>
    </rPh>
    <phoneticPr fontId="1"/>
  </si>
  <si>
    <t>動画教材を利用することで内容と水準の安定に努めている。それに加え、複数の教員が授業を担当して定期的な演習を実施することで理解や課題に対する細かなフィードバックを行い、より分かりやすい授業を展開している。その他、全学教務委員会にて、成績分布や学生へのフィードバック結果を参照しつつ継続的な授業改善を実施している。また、全学教務委員会において定期的に自己点検・評価を行い、検証と改善を図ることとしている。</t>
    <rPh sb="0" eb="4">
      <t>ドウガキョウザイ</t>
    </rPh>
    <rPh sb="5" eb="7">
      <t>リヨウ</t>
    </rPh>
    <rPh sb="12" eb="14">
      <t>ナイヨウ</t>
    </rPh>
    <rPh sb="15" eb="17">
      <t>スイジュン</t>
    </rPh>
    <rPh sb="18" eb="20">
      <t>アンテイ</t>
    </rPh>
    <rPh sb="21" eb="22">
      <t>ツト</t>
    </rPh>
    <rPh sb="30" eb="31">
      <t>クワ</t>
    </rPh>
    <rPh sb="33" eb="35">
      <t>フクスウ</t>
    </rPh>
    <rPh sb="36" eb="38">
      <t>キョウイン</t>
    </rPh>
    <rPh sb="39" eb="41">
      <t>ジュギョウ</t>
    </rPh>
    <rPh sb="42" eb="44">
      <t>タントウ</t>
    </rPh>
    <rPh sb="46" eb="49">
      <t>テイキテキ</t>
    </rPh>
    <rPh sb="50" eb="52">
      <t>エンシュウ</t>
    </rPh>
    <rPh sb="53" eb="55">
      <t>ジッシ</t>
    </rPh>
    <rPh sb="60" eb="62">
      <t>リカイ</t>
    </rPh>
    <rPh sb="63" eb="65">
      <t>カダイ</t>
    </rPh>
    <rPh sb="66" eb="67">
      <t>タイ</t>
    </rPh>
    <rPh sb="69" eb="70">
      <t>コマ</t>
    </rPh>
    <rPh sb="80" eb="81">
      <t>オコナ</t>
    </rPh>
    <rPh sb="85" eb="86">
      <t>ワ</t>
    </rPh>
    <rPh sb="91" eb="93">
      <t>ジュギョウ</t>
    </rPh>
    <rPh sb="94" eb="96">
      <t>テンカイ</t>
    </rPh>
    <rPh sb="103" eb="104">
      <t>タ</t>
    </rPh>
    <rPh sb="105" eb="107">
      <t>ゼンガク</t>
    </rPh>
    <rPh sb="107" eb="109">
      <t>キョウム</t>
    </rPh>
    <rPh sb="109" eb="112">
      <t>イインカイ</t>
    </rPh>
    <rPh sb="115" eb="119">
      <t>セイセキブンプ</t>
    </rPh>
    <rPh sb="139" eb="142">
      <t>ケイゾクテキ</t>
    </rPh>
    <rPh sb="143" eb="147">
      <t>ジュギョウカイゼン</t>
    </rPh>
    <rPh sb="148" eb="150">
      <t>ジッシ</t>
    </rPh>
    <rPh sb="158" eb="165">
      <t>ゼンガクキョウムイインカイ</t>
    </rPh>
    <rPh sb="169" eb="172">
      <t>テイキテキ</t>
    </rPh>
    <rPh sb="173" eb="177">
      <t>ジコテンケン</t>
    </rPh>
    <rPh sb="178" eb="180">
      <t>ヒョウカ</t>
    </rPh>
    <rPh sb="181" eb="182">
      <t>オコナ</t>
    </rPh>
    <rPh sb="184" eb="186">
      <t>ケンショウ</t>
    </rPh>
    <rPh sb="187" eb="189">
      <t>カイゼン</t>
    </rPh>
    <rPh sb="190" eb="191">
      <t>ハカ</t>
    </rPh>
    <phoneticPr fontId="1"/>
  </si>
  <si>
    <t>第4回「データ・AIの活動領域」
AIの定義について理解する。AIの歴史（特に３回のブームがあったこと）を概観する。AIが様々な産業分野において実際にどのように使われているかを理解する。AIの能力が人間の能力に近づいてきていることを理解する。</t>
    <phoneticPr fontId="1"/>
  </si>
  <si>
    <t>第7回「データ・AI利活用の現場」
実社会の様々な業界（製造業・小売業・サービス業・公共インフラ業）において、データ・AIがどのように利活用されているかを解説する。また、データ・AIの利活用によって生まれている新しいビジネス領域（シェアリングエコノミー、D2C,スマートシティ等）について解説する。</t>
    <phoneticPr fontId="1"/>
  </si>
  <si>
    <t>第3回「社会で活用されているデータ」
社会で活用されているデータにはどのようなものがあるか説明したうえで、データがどのように分類されるか解説する。また、オープンデータとは何かを解説する。</t>
    <phoneticPr fontId="1"/>
  </si>
  <si>
    <t>第13回「データ・AIを扱う上での留意事項（１）－情報倫理－」
データ・AIを扱う上で、留意しなければいけないポイントについて解説する。「ELSI」（倫理的・法的・社会的課題）とは何か、それが必要とされてきた背景を含め理解してもらう。「データに関する不正行為」とは何か、なぜそれをやってはいけないかを解説する。「個人情報の保護」とは何か、関連する昨今の動向を含め解説する。
第14回「データ・AIを扱う上での留意事項（２）－バイアス－」データ分析を含むリサーチにおけるバイアスについて解説する。AIを活用するときに発生するデータバイアス、アルゴリズムバイアスについても解説する。AIを正しく活用していくための原則について理解してもらう。</t>
    <phoneticPr fontId="1"/>
  </si>
  <si>
    <t>第9回「データを読む（１）－データの代表値－」
データを読み解くための、基本的な知識を解説し、演習作業によって身に着けてもらう。データにどのような種類があるかを理解する。「データの代表値」「データのばらつき」について理解する。分析前に行う「データのチェック」について理解する。
第10回「データを読む（２）－相場と因果－」
ふたつのデータ間の関係である「相関と因果」について理解する。「母集団と抽出」について理解する。統計情報の正しい理解を阻害する要因について理解する。</t>
    <phoneticPr fontId="1"/>
  </si>
  <si>
    <t xml:space="preserve">本プログラムを構成する「データサイエンス入門」は令和4年度以降の全入学生の２年次配当の必修科目として開講している。開講初年度となる令和5年度は、該当の2年次生全員（休学者を除く）が受講した。令和6年度以降も同様に２年次進級者全員に履修を義務付ける。各年度の履修者数の想定は次の通り。（最終的に１年次生を除いた2～4年次生全員が履修者となるため、全学生に対する履修率は8割程度となる）
令和5年度758名（27％）
令和6年度1,500名（55％）
令和7年度以降2,250名（77％）
なお、必修科目のため履修率の向上に向けた計画は設定していない。
</t>
    <rPh sb="0" eb="1">
      <t>ホン</t>
    </rPh>
    <rPh sb="7" eb="9">
      <t>コウセイ</t>
    </rPh>
    <rPh sb="20" eb="22">
      <t>ニュウモン</t>
    </rPh>
    <rPh sb="24" eb="26">
      <t>レイワ</t>
    </rPh>
    <rPh sb="27" eb="29">
      <t>ネンド</t>
    </rPh>
    <rPh sb="29" eb="31">
      <t>イコウ</t>
    </rPh>
    <rPh sb="32" eb="33">
      <t>ゼン</t>
    </rPh>
    <rPh sb="33" eb="36">
      <t>ニュウガクセイ</t>
    </rPh>
    <rPh sb="38" eb="40">
      <t>ネンジ</t>
    </rPh>
    <rPh sb="40" eb="42">
      <t>ハイトウ</t>
    </rPh>
    <rPh sb="43" eb="47">
      <t>ヒッシュウカモク</t>
    </rPh>
    <rPh sb="50" eb="52">
      <t>カイコウ</t>
    </rPh>
    <rPh sb="65" eb="67">
      <t>レイワ</t>
    </rPh>
    <rPh sb="72" eb="74">
      <t>ガイトウ</t>
    </rPh>
    <rPh sb="90" eb="92">
      <t>ジュコウ</t>
    </rPh>
    <rPh sb="95" eb="97">
      <t>レイワ</t>
    </rPh>
    <rPh sb="98" eb="102">
      <t>ネンドイコウ</t>
    </rPh>
    <rPh sb="103" eb="105">
      <t>ドウヨウ</t>
    </rPh>
    <rPh sb="107" eb="109">
      <t>ネンジ</t>
    </rPh>
    <rPh sb="109" eb="112">
      <t>シンキュウシャ</t>
    </rPh>
    <rPh sb="112" eb="114">
      <t>ゼンイン</t>
    </rPh>
    <rPh sb="115" eb="117">
      <t>リシュウ</t>
    </rPh>
    <rPh sb="118" eb="121">
      <t>ギムヅ</t>
    </rPh>
    <rPh sb="124" eb="127">
      <t>カクネンド</t>
    </rPh>
    <rPh sb="128" eb="132">
      <t>リシュウシャスウ</t>
    </rPh>
    <rPh sb="133" eb="135">
      <t>ソウテイ</t>
    </rPh>
    <rPh sb="136" eb="137">
      <t>ツギ</t>
    </rPh>
    <rPh sb="138" eb="139">
      <t>トオ</t>
    </rPh>
    <rPh sb="142" eb="145">
      <t>サイシュウテキ</t>
    </rPh>
    <rPh sb="172" eb="175">
      <t>ゼンガクセイ</t>
    </rPh>
    <rPh sb="176" eb="177">
      <t>タイ</t>
    </rPh>
    <rPh sb="179" eb="182">
      <t>リシュウリツ</t>
    </rPh>
    <rPh sb="184" eb="185">
      <t>ワリ</t>
    </rPh>
    <rPh sb="185" eb="187">
      <t>テイド</t>
    </rPh>
    <rPh sb="192" eb="194">
      <t>レイワ</t>
    </rPh>
    <rPh sb="195" eb="197">
      <t>ネンド</t>
    </rPh>
    <rPh sb="200" eb="201">
      <t>メイ</t>
    </rPh>
    <rPh sb="207" eb="209">
      <t>レイワ</t>
    </rPh>
    <rPh sb="210" eb="212">
      <t>ネンド</t>
    </rPh>
    <rPh sb="217" eb="218">
      <t>メイ</t>
    </rPh>
    <rPh sb="224" eb="226">
      <t>レイワ</t>
    </rPh>
    <rPh sb="227" eb="229">
      <t>ネンド</t>
    </rPh>
    <rPh sb="229" eb="231">
      <t>イコウ</t>
    </rPh>
    <rPh sb="236" eb="237">
      <t>メイ</t>
    </rPh>
    <rPh sb="246" eb="250">
      <t>ヒッシュウカモク</t>
    </rPh>
    <rPh sb="253" eb="256">
      <t>リシュウリツ</t>
    </rPh>
    <rPh sb="257" eb="259">
      <t>コウジョウ</t>
    </rPh>
    <rPh sb="260" eb="261">
      <t>ム</t>
    </rPh>
    <rPh sb="263" eb="265">
      <t>ケイカク</t>
    </rPh>
    <rPh sb="266" eb="268">
      <t>セッテイ</t>
    </rPh>
    <phoneticPr fontId="1"/>
  </si>
  <si>
    <t>⑧に記載の通り、本プログラムを構成する「データサイエンス入門」は、2年次における全学部共通の必修科目であり、1年次入学者の全学生が履修する体制となっている。</t>
    <rPh sb="2" eb="4">
      <t>キサイ</t>
    </rPh>
    <rPh sb="5" eb="6">
      <t>トオ</t>
    </rPh>
    <rPh sb="8" eb="9">
      <t>ホン</t>
    </rPh>
    <rPh sb="15" eb="17">
      <t>コウセイ</t>
    </rPh>
    <rPh sb="28" eb="30">
      <t>ニュウモン</t>
    </rPh>
    <rPh sb="34" eb="36">
      <t>ネンジ</t>
    </rPh>
    <rPh sb="40" eb="43">
      <t>ゼンガクブ</t>
    </rPh>
    <rPh sb="43" eb="45">
      <t>キョウツウ</t>
    </rPh>
    <rPh sb="46" eb="50">
      <t>ヒッシュウカモク</t>
    </rPh>
    <rPh sb="55" eb="60">
      <t>ネンジニュウガクシャ</t>
    </rPh>
    <rPh sb="61" eb="64">
      <t>ゼンガクセイ</t>
    </rPh>
    <rPh sb="65" eb="67">
      <t>リシュウ</t>
    </rPh>
    <rPh sb="69" eb="71">
      <t>タイセイ</t>
    </rPh>
    <phoneticPr fontId="1"/>
  </si>
  <si>
    <t>⑧に記載の通り、本プログラムを構成する「データサイエンス入門」は全学部共通の必修科目のため、1年次入学者の全学生が卒業までに100％履修することとなっている。このことについては、本学公式webサイトおよび各学部の『履修要項』にて周知している。</t>
    <rPh sb="2" eb="4">
      <t>キサイ</t>
    </rPh>
    <rPh sb="5" eb="6">
      <t>トオ</t>
    </rPh>
    <rPh sb="8" eb="9">
      <t>ホン</t>
    </rPh>
    <rPh sb="15" eb="17">
      <t>コウセイ</t>
    </rPh>
    <rPh sb="28" eb="30">
      <t>ニュウモン</t>
    </rPh>
    <rPh sb="32" eb="34">
      <t>ゼンガク</t>
    </rPh>
    <rPh sb="34" eb="35">
      <t>ブ</t>
    </rPh>
    <rPh sb="35" eb="37">
      <t>キョウツウ</t>
    </rPh>
    <rPh sb="38" eb="42">
      <t>ヒッシュウカモク</t>
    </rPh>
    <rPh sb="47" eb="52">
      <t>ネンジニュウガクシャ</t>
    </rPh>
    <rPh sb="53" eb="56">
      <t>ゼンガクセイ</t>
    </rPh>
    <rPh sb="57" eb="59">
      <t>ソツギョウ</t>
    </rPh>
    <rPh sb="66" eb="68">
      <t>リシュウ</t>
    </rPh>
    <rPh sb="89" eb="91">
      <t>ホンガク</t>
    </rPh>
    <rPh sb="91" eb="93">
      <t>コウシキ</t>
    </rPh>
    <rPh sb="102" eb="105">
      <t>カクガクブ</t>
    </rPh>
    <rPh sb="107" eb="109">
      <t>リシュウ</t>
    </rPh>
    <rPh sb="109" eb="111">
      <t>ヨウコウ</t>
    </rPh>
    <rPh sb="114" eb="116">
      <t>シュウチ</t>
    </rPh>
    <phoneticPr fontId="1"/>
  </si>
  <si>
    <t>プログラムを構成する「データサイエンス入門」はオンデマンド形式で開講している。動画教材は繰り返し視聴が可能なため、理解できるまで復習が可能となっている。また2名の専任教員が運営を担当しており、LMSでの受講管理や質問への対応・サポートを行っている。</t>
    <rPh sb="6" eb="8">
      <t>コウセイ</t>
    </rPh>
    <rPh sb="19" eb="21">
      <t>ニュウモン</t>
    </rPh>
    <rPh sb="29" eb="31">
      <t>ケイシキ</t>
    </rPh>
    <rPh sb="32" eb="34">
      <t>カイコウ</t>
    </rPh>
    <rPh sb="39" eb="41">
      <t>ドウガ</t>
    </rPh>
    <rPh sb="41" eb="43">
      <t>キョウザイ</t>
    </rPh>
    <rPh sb="44" eb="45">
      <t>ク</t>
    </rPh>
    <rPh sb="46" eb="47">
      <t>カエ</t>
    </rPh>
    <rPh sb="48" eb="50">
      <t>シチョウ</t>
    </rPh>
    <rPh sb="51" eb="53">
      <t>カノウ</t>
    </rPh>
    <rPh sb="57" eb="59">
      <t>リカイ</t>
    </rPh>
    <rPh sb="64" eb="66">
      <t>フクシュウ</t>
    </rPh>
    <rPh sb="67" eb="69">
      <t>カノウ</t>
    </rPh>
    <rPh sb="79" eb="80">
      <t>メイ</t>
    </rPh>
    <rPh sb="81" eb="85">
      <t>センニンキョウイン</t>
    </rPh>
    <rPh sb="86" eb="88">
      <t>ウンエイ</t>
    </rPh>
    <rPh sb="89" eb="91">
      <t>タントウ</t>
    </rPh>
    <rPh sb="101" eb="105">
      <t>ジュコウカンリ</t>
    </rPh>
    <rPh sb="106" eb="108">
      <t>シツモン</t>
    </rPh>
    <rPh sb="110" eb="112">
      <t>タイオウ</t>
    </rPh>
    <rPh sb="118" eb="119">
      <t>オコナ</t>
    </rPh>
    <phoneticPr fontId="1"/>
  </si>
  <si>
    <t>「データサイエンス入門」はオンデマンド科目であるため、任意の場所・時間に受講可能である一方、受講時間は定めていない。このため質問への対応については、担当教員2名がLMS上の意見交換用の掲示板で対応する体制をとっている。また、指定するオフィスアワーの時間帯に対面での質問対応も行っている。</t>
    <rPh sb="9" eb="11">
      <t>ニュウモン</t>
    </rPh>
    <rPh sb="19" eb="21">
      <t>カモク</t>
    </rPh>
    <rPh sb="27" eb="29">
      <t>ニンイ</t>
    </rPh>
    <rPh sb="30" eb="32">
      <t>バショ</t>
    </rPh>
    <rPh sb="33" eb="35">
      <t>ジカン</t>
    </rPh>
    <rPh sb="36" eb="38">
      <t>ジュコウ</t>
    </rPh>
    <rPh sb="38" eb="40">
      <t>カノウ</t>
    </rPh>
    <rPh sb="43" eb="45">
      <t>イッポウ</t>
    </rPh>
    <rPh sb="46" eb="50">
      <t>ジュコウジカン</t>
    </rPh>
    <rPh sb="51" eb="52">
      <t>サダ</t>
    </rPh>
    <rPh sb="62" eb="64">
      <t>シツモン</t>
    </rPh>
    <rPh sb="66" eb="68">
      <t>タイオウ</t>
    </rPh>
    <rPh sb="74" eb="78">
      <t>タントウキョウイン</t>
    </rPh>
    <rPh sb="79" eb="80">
      <t>メイ</t>
    </rPh>
    <rPh sb="84" eb="85">
      <t>ジョウ</t>
    </rPh>
    <rPh sb="86" eb="91">
      <t>イケンコウカンヨウ</t>
    </rPh>
    <rPh sb="92" eb="95">
      <t>ケイジバン</t>
    </rPh>
    <rPh sb="96" eb="98">
      <t>タイオウ</t>
    </rPh>
    <rPh sb="100" eb="102">
      <t>タイセイ</t>
    </rPh>
    <rPh sb="112" eb="114">
      <t>シテイ</t>
    </rPh>
    <phoneticPr fontId="1"/>
  </si>
  <si>
    <t>令和5</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</si>
</sst>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9" fontId="2" fillId="0" borderId="1" xfId="0" applyNumberFormat="1" applyFont="1" applyBorder="1" applyAlignment="1">
      <alignment horizontal="center" vertical="center" shrinkToFit="1"/>
    </xf>
    <xf numFmtId="0" fontId="2" fillId="0" borderId="14" xfId="0" applyFont="1" applyBorder="1" applyAlignment="1">
      <alignment horizontal="left" vertical="center" shrinkToFit="1"/>
    </xf>
    <xf numFmtId="0" fontId="2" fillId="0" borderId="1" xfId="0" applyFont="1" applyFill="1" applyBorder="1" applyAlignment="1">
      <alignment horizontal="center" vertical="center"/>
    </xf>
    <xf numFmtId="38" fontId="2" fillId="0" borderId="25" xfId="2" applyFont="1" applyFill="1" applyBorder="1" applyAlignment="1">
      <alignment vertical="center" shrinkToFit="1"/>
    </xf>
    <xf numFmtId="0" fontId="13" fillId="0" borderId="1" xfId="0" applyFont="1" applyFill="1" applyBorder="1">
      <alignment vertical="center"/>
    </xf>
    <xf numFmtId="38" fontId="2" fillId="0" borderId="15" xfId="2" applyFont="1" applyBorder="1" applyAlignment="1">
      <alignment vertical="center" shrinkToFit="1"/>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view="pageBreakPreview" zoomScaleNormal="100" zoomScaleSheetLayoutView="100" workbookViewId="0">
      <selection activeCell="B1" sqref="B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28" t="s">
        <v>12</v>
      </c>
      <c r="U1" s="128"/>
      <c r="V1" s="2" t="s">
        <v>100</v>
      </c>
    </row>
    <row r="2" spans="1:24" ht="18.75" customHeight="1" x14ac:dyDescent="0.15">
      <c r="A2" s="75"/>
      <c r="B2" s="76" t="s">
        <v>99</v>
      </c>
      <c r="C2" s="129" t="s">
        <v>143</v>
      </c>
      <c r="D2" s="130"/>
      <c r="E2" s="130"/>
      <c r="F2" s="130"/>
      <c r="G2" s="130"/>
      <c r="H2" s="130"/>
      <c r="I2" s="130"/>
      <c r="J2" s="131"/>
      <c r="K2" s="77"/>
      <c r="L2" s="78"/>
      <c r="M2" s="78"/>
      <c r="N2" s="78"/>
      <c r="O2" s="78"/>
      <c r="P2" s="78"/>
      <c r="Q2" s="78"/>
      <c r="R2" s="78"/>
      <c r="S2" s="78"/>
      <c r="T2" s="78"/>
      <c r="U2" s="78"/>
    </row>
    <row r="3" spans="1:24" ht="18.75" customHeight="1" x14ac:dyDescent="0.15">
      <c r="A3" s="75"/>
      <c r="B3" s="76" t="s">
        <v>94</v>
      </c>
      <c r="C3" s="129" t="s">
        <v>144</v>
      </c>
      <c r="D3" s="130"/>
      <c r="E3" s="130"/>
      <c r="F3" s="130"/>
      <c r="G3" s="130"/>
      <c r="H3" s="130"/>
      <c r="I3" s="130"/>
      <c r="J3" s="131"/>
      <c r="K3" s="77"/>
      <c r="L3" s="78"/>
      <c r="M3" s="78"/>
      <c r="N3" s="78"/>
      <c r="O3" s="78"/>
      <c r="P3" s="78"/>
      <c r="Q3" s="78"/>
      <c r="R3" s="78"/>
      <c r="S3" s="78"/>
      <c r="T3" s="78"/>
      <c r="U3" s="78"/>
    </row>
    <row r="4" spans="1:24" ht="15" customHeight="1" x14ac:dyDescent="0.15">
      <c r="A4" s="75"/>
      <c r="B4" s="75"/>
      <c r="C4" s="75"/>
      <c r="D4" s="75"/>
      <c r="E4" s="75"/>
      <c r="F4" s="75"/>
      <c r="G4" s="75"/>
      <c r="H4" s="75"/>
      <c r="I4" s="75"/>
      <c r="J4" s="75"/>
      <c r="K4" s="75"/>
      <c r="L4" s="77"/>
      <c r="M4" s="79"/>
      <c r="N4" s="79"/>
      <c r="O4" s="79"/>
      <c r="P4" s="79"/>
      <c r="Q4" s="79"/>
      <c r="R4" s="79"/>
      <c r="S4" s="79"/>
      <c r="T4" s="79"/>
      <c r="U4" s="79"/>
    </row>
    <row r="5" spans="1:24" ht="18" customHeight="1" x14ac:dyDescent="0.15">
      <c r="A5" s="132" t="s">
        <v>38</v>
      </c>
      <c r="B5" s="132"/>
      <c r="C5" s="132"/>
      <c r="D5" s="132"/>
      <c r="E5" s="132"/>
      <c r="F5" s="132"/>
      <c r="G5" s="132"/>
      <c r="H5" s="132"/>
      <c r="I5" s="132"/>
      <c r="J5" s="132"/>
      <c r="K5" s="132"/>
      <c r="L5" s="132"/>
      <c r="M5" s="132"/>
      <c r="N5" s="132"/>
      <c r="O5" s="132"/>
      <c r="P5" s="132"/>
      <c r="Q5" s="132"/>
      <c r="R5" s="132"/>
      <c r="S5" s="132"/>
      <c r="T5" s="132"/>
      <c r="U5" s="132"/>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131</v>
      </c>
      <c r="B7" s="80"/>
      <c r="C7" s="80"/>
      <c r="D7" s="80"/>
      <c r="E7" s="80"/>
      <c r="F7" s="81"/>
      <c r="G7" s="81"/>
      <c r="H7" s="81"/>
      <c r="I7" s="81"/>
      <c r="J7" s="81"/>
      <c r="K7" s="81"/>
      <c r="L7" s="106" t="s">
        <v>145</v>
      </c>
      <c r="M7" s="107"/>
      <c r="N7" s="107"/>
      <c r="O7" s="107"/>
      <c r="P7" s="107"/>
      <c r="Q7" s="107"/>
      <c r="R7" s="107"/>
      <c r="S7" s="107"/>
      <c r="T7" s="107"/>
      <c r="U7" s="108"/>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132</v>
      </c>
      <c r="B9" s="75"/>
      <c r="C9" s="80"/>
      <c r="D9" s="80"/>
      <c r="E9" s="75"/>
      <c r="F9" s="75"/>
      <c r="G9" s="75"/>
      <c r="H9" s="75"/>
      <c r="I9" s="75"/>
      <c r="J9" s="75"/>
      <c r="K9" s="77"/>
      <c r="L9" s="81"/>
      <c r="M9" s="81"/>
      <c r="N9" s="81"/>
      <c r="O9" s="81"/>
      <c r="P9" s="81"/>
      <c r="Q9" s="81"/>
      <c r="R9" s="81"/>
      <c r="S9" s="81"/>
      <c r="T9" s="81"/>
      <c r="U9" s="81"/>
    </row>
    <row r="10" spans="1:24" ht="6" customHeight="1" x14ac:dyDescent="0.15">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15">
      <c r="A11" s="75"/>
      <c r="B11" s="112"/>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75"/>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15">
      <c r="A14" s="75" t="s">
        <v>101</v>
      </c>
      <c r="B14" s="80"/>
      <c r="C14" s="80"/>
      <c r="D14" s="80"/>
      <c r="E14" s="77"/>
      <c r="F14" s="77"/>
      <c r="G14" s="77"/>
      <c r="H14" s="77"/>
      <c r="I14" s="77"/>
      <c r="J14" s="77"/>
      <c r="K14" s="77"/>
      <c r="L14" s="83"/>
      <c r="M14" s="83"/>
      <c r="N14" s="83"/>
      <c r="O14" s="83"/>
      <c r="P14" s="83"/>
      <c r="Q14" s="83"/>
      <c r="R14" s="83"/>
      <c r="S14" s="83"/>
      <c r="T14" s="83"/>
      <c r="U14" s="83"/>
    </row>
    <row r="15" spans="1:24" ht="18" customHeight="1" x14ac:dyDescent="0.15">
      <c r="A15" s="75"/>
      <c r="B15" s="133" t="s">
        <v>146</v>
      </c>
      <c r="C15" s="134"/>
      <c r="D15" s="134"/>
      <c r="E15" s="134"/>
      <c r="F15" s="134"/>
      <c r="G15" s="134"/>
      <c r="H15" s="134"/>
      <c r="I15" s="134"/>
      <c r="J15" s="134"/>
      <c r="K15" s="134"/>
      <c r="L15" s="134"/>
      <c r="M15" s="134"/>
      <c r="N15" s="134"/>
      <c r="O15" s="134"/>
      <c r="P15" s="134"/>
      <c r="Q15" s="134"/>
      <c r="R15" s="134"/>
      <c r="S15" s="134"/>
      <c r="T15" s="134"/>
      <c r="U15" s="135"/>
      <c r="X15" s="1" t="s">
        <v>95</v>
      </c>
    </row>
    <row r="16" spans="1:24" ht="18" customHeight="1" x14ac:dyDescent="0.15">
      <c r="A16" s="75"/>
      <c r="B16" s="136"/>
      <c r="C16" s="137"/>
      <c r="D16" s="137"/>
      <c r="E16" s="137"/>
      <c r="F16" s="137"/>
      <c r="G16" s="137"/>
      <c r="H16" s="137"/>
      <c r="I16" s="137"/>
      <c r="J16" s="137"/>
      <c r="K16" s="137"/>
      <c r="L16" s="137"/>
      <c r="M16" s="137"/>
      <c r="N16" s="137"/>
      <c r="O16" s="137"/>
      <c r="P16" s="137"/>
      <c r="Q16" s="137"/>
      <c r="R16" s="137"/>
      <c r="S16" s="137"/>
      <c r="T16" s="137"/>
      <c r="U16" s="138"/>
      <c r="X16" s="1" t="s">
        <v>115</v>
      </c>
    </row>
    <row r="17" spans="1:24" ht="18" customHeight="1" x14ac:dyDescent="0.15">
      <c r="A17" s="75"/>
      <c r="B17" s="136"/>
      <c r="C17" s="137"/>
      <c r="D17" s="137"/>
      <c r="E17" s="137"/>
      <c r="F17" s="137"/>
      <c r="G17" s="137"/>
      <c r="H17" s="137"/>
      <c r="I17" s="137"/>
      <c r="J17" s="137"/>
      <c r="K17" s="137"/>
      <c r="L17" s="137"/>
      <c r="M17" s="137"/>
      <c r="N17" s="137"/>
      <c r="O17" s="137"/>
      <c r="P17" s="137"/>
      <c r="Q17" s="137"/>
      <c r="R17" s="137"/>
      <c r="S17" s="137"/>
      <c r="T17" s="137"/>
      <c r="U17" s="138"/>
      <c r="X17" s="1" t="s">
        <v>116</v>
      </c>
    </row>
    <row r="18" spans="1:24" ht="18" customHeight="1" x14ac:dyDescent="0.15">
      <c r="A18" s="75"/>
      <c r="B18" s="136"/>
      <c r="C18" s="137"/>
      <c r="D18" s="137"/>
      <c r="E18" s="137"/>
      <c r="F18" s="137"/>
      <c r="G18" s="137"/>
      <c r="H18" s="137"/>
      <c r="I18" s="137"/>
      <c r="J18" s="137"/>
      <c r="K18" s="137"/>
      <c r="L18" s="137"/>
      <c r="M18" s="137"/>
      <c r="N18" s="137"/>
      <c r="O18" s="137"/>
      <c r="P18" s="137"/>
      <c r="Q18" s="137"/>
      <c r="R18" s="137"/>
      <c r="S18" s="137"/>
      <c r="T18" s="137"/>
      <c r="U18" s="138"/>
      <c r="X18" s="1" t="s">
        <v>117</v>
      </c>
    </row>
    <row r="19" spans="1:24" ht="18" customHeight="1" x14ac:dyDescent="0.15">
      <c r="A19" s="75"/>
      <c r="B19" s="136"/>
      <c r="C19" s="137"/>
      <c r="D19" s="137"/>
      <c r="E19" s="137"/>
      <c r="F19" s="137"/>
      <c r="G19" s="137"/>
      <c r="H19" s="137"/>
      <c r="I19" s="137"/>
      <c r="J19" s="137"/>
      <c r="K19" s="137"/>
      <c r="L19" s="137"/>
      <c r="M19" s="137"/>
      <c r="N19" s="137"/>
      <c r="O19" s="137"/>
      <c r="P19" s="137"/>
      <c r="Q19" s="137"/>
      <c r="R19" s="137"/>
      <c r="S19" s="137"/>
      <c r="T19" s="137"/>
      <c r="U19" s="138"/>
    </row>
    <row r="20" spans="1:24" ht="18" customHeight="1" x14ac:dyDescent="0.15">
      <c r="A20" s="75"/>
      <c r="B20" s="139"/>
      <c r="C20" s="140"/>
      <c r="D20" s="140"/>
      <c r="E20" s="140"/>
      <c r="F20" s="140"/>
      <c r="G20" s="140"/>
      <c r="H20" s="140"/>
      <c r="I20" s="140"/>
      <c r="J20" s="140"/>
      <c r="K20" s="140"/>
      <c r="L20" s="140"/>
      <c r="M20" s="140"/>
      <c r="N20" s="140"/>
      <c r="O20" s="140"/>
      <c r="P20" s="140"/>
      <c r="Q20" s="140"/>
      <c r="R20" s="140"/>
      <c r="S20" s="140"/>
      <c r="T20" s="140"/>
      <c r="U20" s="141"/>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19.899999999999999" customHeight="1" x14ac:dyDescent="0.15">
      <c r="A22" s="75"/>
      <c r="B22" s="75" t="s">
        <v>133</v>
      </c>
      <c r="C22" s="75"/>
      <c r="D22" s="75"/>
      <c r="E22" s="84">
        <v>1</v>
      </c>
      <c r="F22" s="75" t="s">
        <v>113</v>
      </c>
      <c r="G22" s="75"/>
      <c r="H22" s="85">
        <v>2</v>
      </c>
      <c r="I22" s="80" t="s">
        <v>114</v>
      </c>
      <c r="J22" s="80"/>
      <c r="K22" s="77"/>
      <c r="L22" s="75"/>
      <c r="M22" s="77" t="s">
        <v>110</v>
      </c>
      <c r="N22" s="103" t="s">
        <v>115</v>
      </c>
      <c r="O22" s="104"/>
      <c r="P22" s="104"/>
      <c r="Q22" s="104"/>
      <c r="R22" s="104"/>
      <c r="S22" s="104"/>
      <c r="T22" s="104"/>
      <c r="U22" s="105"/>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42" t="s">
        <v>102</v>
      </c>
      <c r="B24" s="142"/>
      <c r="C24" s="142"/>
      <c r="D24" s="142"/>
      <c r="E24" s="142"/>
      <c r="F24" s="142"/>
      <c r="G24" s="142"/>
      <c r="H24" s="142"/>
      <c r="I24" s="142"/>
      <c r="J24" s="142"/>
      <c r="K24" s="142"/>
      <c r="L24" s="142"/>
      <c r="M24" s="142"/>
      <c r="N24" s="142"/>
      <c r="O24" s="142"/>
      <c r="P24" s="142"/>
      <c r="Q24" s="142"/>
      <c r="R24" s="142"/>
      <c r="S24" s="142"/>
      <c r="T24" s="142"/>
      <c r="U24" s="142"/>
    </row>
    <row r="25" spans="1:24" ht="18" customHeight="1" x14ac:dyDescent="0.15">
      <c r="A25" s="142"/>
      <c r="B25" s="142"/>
      <c r="C25" s="142"/>
      <c r="D25" s="142"/>
      <c r="E25" s="142"/>
      <c r="F25" s="142"/>
      <c r="G25" s="142"/>
      <c r="H25" s="142"/>
      <c r="I25" s="142"/>
      <c r="J25" s="142"/>
      <c r="K25" s="142"/>
      <c r="L25" s="142"/>
      <c r="M25" s="142"/>
      <c r="N25" s="142"/>
      <c r="O25" s="142"/>
      <c r="P25" s="142"/>
      <c r="Q25" s="142"/>
      <c r="R25" s="142"/>
      <c r="S25" s="142"/>
      <c r="T25" s="142"/>
      <c r="U25" s="142"/>
    </row>
    <row r="26" spans="1:24" ht="18" customHeight="1" x14ac:dyDescent="0.15">
      <c r="B26" s="109" t="s">
        <v>52</v>
      </c>
      <c r="C26" s="110"/>
      <c r="D26" s="110"/>
      <c r="E26" s="110"/>
      <c r="F26" s="111"/>
      <c r="G26" s="50" t="s">
        <v>78</v>
      </c>
      <c r="H26" s="49" t="s">
        <v>81</v>
      </c>
      <c r="I26" s="17" t="s">
        <v>55</v>
      </c>
      <c r="J26" s="17" t="s">
        <v>58</v>
      </c>
      <c r="K26" s="109" t="s">
        <v>52</v>
      </c>
      <c r="L26" s="110"/>
      <c r="M26" s="110"/>
      <c r="N26" s="110"/>
      <c r="O26" s="110"/>
      <c r="P26" s="110"/>
      <c r="Q26" s="111"/>
      <c r="R26" s="50" t="s">
        <v>78</v>
      </c>
      <c r="S26" s="49" t="s">
        <v>81</v>
      </c>
      <c r="T26" s="17" t="s">
        <v>55</v>
      </c>
      <c r="U26" s="17" t="s">
        <v>58</v>
      </c>
    </row>
    <row r="27" spans="1:24" ht="18" customHeight="1" x14ac:dyDescent="0.15">
      <c r="B27" s="124" t="s">
        <v>148</v>
      </c>
      <c r="C27" s="125"/>
      <c r="D27" s="125"/>
      <c r="E27" s="125"/>
      <c r="F27" s="126"/>
      <c r="G27" s="18">
        <v>2</v>
      </c>
      <c r="H27" s="18" t="s">
        <v>147</v>
      </c>
      <c r="I27" s="18" t="s">
        <v>147</v>
      </c>
      <c r="J27" s="18" t="s">
        <v>147</v>
      </c>
      <c r="K27" s="124"/>
      <c r="L27" s="125"/>
      <c r="M27" s="125"/>
      <c r="N27" s="125"/>
      <c r="O27" s="125"/>
      <c r="P27" s="125"/>
      <c r="Q27" s="126"/>
      <c r="R27" s="18"/>
      <c r="S27" s="18"/>
      <c r="T27" s="18"/>
      <c r="U27" s="18"/>
    </row>
    <row r="28" spans="1:24" ht="18" customHeight="1" x14ac:dyDescent="0.15">
      <c r="B28" s="118"/>
      <c r="C28" s="119"/>
      <c r="D28" s="119"/>
      <c r="E28" s="119"/>
      <c r="F28" s="120"/>
      <c r="G28" s="19"/>
      <c r="H28" s="19"/>
      <c r="I28" s="19"/>
      <c r="J28" s="19"/>
      <c r="K28" s="118"/>
      <c r="L28" s="119"/>
      <c r="M28" s="119"/>
      <c r="N28" s="119"/>
      <c r="O28" s="119"/>
      <c r="P28" s="119"/>
      <c r="Q28" s="120"/>
      <c r="R28" s="19"/>
      <c r="S28" s="19"/>
      <c r="T28" s="19"/>
      <c r="U28" s="19"/>
    </row>
    <row r="29" spans="1:24" ht="18" customHeight="1" x14ac:dyDescent="0.15">
      <c r="B29" s="118"/>
      <c r="C29" s="119"/>
      <c r="D29" s="119"/>
      <c r="E29" s="119"/>
      <c r="F29" s="120"/>
      <c r="G29" s="19"/>
      <c r="H29" s="19"/>
      <c r="I29" s="19"/>
      <c r="J29" s="19"/>
      <c r="K29" s="118"/>
      <c r="L29" s="119"/>
      <c r="M29" s="119"/>
      <c r="N29" s="119"/>
      <c r="O29" s="119"/>
      <c r="P29" s="119"/>
      <c r="Q29" s="120"/>
      <c r="R29" s="19"/>
      <c r="S29" s="19"/>
      <c r="T29" s="19"/>
      <c r="U29" s="19"/>
    </row>
    <row r="30" spans="1:24" ht="18" customHeight="1" x14ac:dyDescent="0.15">
      <c r="B30" s="118"/>
      <c r="C30" s="119"/>
      <c r="D30" s="119"/>
      <c r="E30" s="119"/>
      <c r="F30" s="120"/>
      <c r="G30" s="19"/>
      <c r="H30" s="19"/>
      <c r="I30" s="19"/>
      <c r="J30" s="19"/>
      <c r="K30" s="118"/>
      <c r="L30" s="119"/>
      <c r="M30" s="119"/>
      <c r="N30" s="119"/>
      <c r="O30" s="119"/>
      <c r="P30" s="119"/>
      <c r="Q30" s="120"/>
      <c r="R30" s="19"/>
      <c r="S30" s="19"/>
      <c r="T30" s="19"/>
      <c r="U30" s="19"/>
    </row>
    <row r="31" spans="1:24" ht="18" customHeight="1" x14ac:dyDescent="0.15">
      <c r="B31" s="118"/>
      <c r="C31" s="119"/>
      <c r="D31" s="119"/>
      <c r="E31" s="119"/>
      <c r="F31" s="120"/>
      <c r="G31" s="19"/>
      <c r="H31" s="19"/>
      <c r="I31" s="19"/>
      <c r="J31" s="19"/>
      <c r="K31" s="118"/>
      <c r="L31" s="119"/>
      <c r="M31" s="119"/>
      <c r="N31" s="119"/>
      <c r="O31" s="119"/>
      <c r="P31" s="119"/>
      <c r="Q31" s="120"/>
      <c r="R31" s="19"/>
      <c r="S31" s="19"/>
      <c r="T31" s="19"/>
      <c r="U31" s="19"/>
    </row>
    <row r="32" spans="1:24" ht="18" customHeight="1" x14ac:dyDescent="0.15">
      <c r="A32" s="3"/>
      <c r="B32" s="118"/>
      <c r="C32" s="119"/>
      <c r="D32" s="119"/>
      <c r="E32" s="119"/>
      <c r="F32" s="120"/>
      <c r="G32" s="19"/>
      <c r="H32" s="19"/>
      <c r="I32" s="19"/>
      <c r="J32" s="19"/>
      <c r="K32" s="118"/>
      <c r="L32" s="119"/>
      <c r="M32" s="119"/>
      <c r="N32" s="119"/>
      <c r="O32" s="119"/>
      <c r="P32" s="119"/>
      <c r="Q32" s="120"/>
      <c r="R32" s="19"/>
      <c r="S32" s="19"/>
      <c r="T32" s="19"/>
      <c r="U32" s="19"/>
    </row>
    <row r="33" spans="1:21" ht="18" customHeight="1" x14ac:dyDescent="0.15">
      <c r="A33" s="3"/>
      <c r="B33" s="121"/>
      <c r="C33" s="122"/>
      <c r="D33" s="122"/>
      <c r="E33" s="122"/>
      <c r="F33" s="123"/>
      <c r="G33" s="20"/>
      <c r="H33" s="20"/>
      <c r="I33" s="21"/>
      <c r="J33" s="21"/>
      <c r="K33" s="121"/>
      <c r="L33" s="122"/>
      <c r="M33" s="122"/>
      <c r="N33" s="122"/>
      <c r="O33" s="122"/>
      <c r="P33" s="122"/>
      <c r="Q33" s="123"/>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103</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9" t="s">
        <v>52</v>
      </c>
      <c r="C37" s="110"/>
      <c r="D37" s="110"/>
      <c r="E37" s="110"/>
      <c r="F37" s="111"/>
      <c r="G37" s="50" t="s">
        <v>78</v>
      </c>
      <c r="H37" s="49" t="s">
        <v>81</v>
      </c>
      <c r="I37" s="17" t="s">
        <v>69</v>
      </c>
      <c r="J37" s="17" t="s">
        <v>70</v>
      </c>
      <c r="K37" s="109" t="s">
        <v>52</v>
      </c>
      <c r="L37" s="110"/>
      <c r="M37" s="110"/>
      <c r="N37" s="110"/>
      <c r="O37" s="110"/>
      <c r="P37" s="110"/>
      <c r="Q37" s="111"/>
      <c r="R37" s="50" t="s">
        <v>78</v>
      </c>
      <c r="S37" s="49" t="s">
        <v>81</v>
      </c>
      <c r="T37" s="17" t="s">
        <v>69</v>
      </c>
      <c r="U37" s="17" t="s">
        <v>70</v>
      </c>
    </row>
    <row r="38" spans="1:21" ht="18" customHeight="1" x14ac:dyDescent="0.15">
      <c r="B38" s="124" t="s">
        <v>148</v>
      </c>
      <c r="C38" s="125"/>
      <c r="D38" s="125"/>
      <c r="E38" s="125"/>
      <c r="F38" s="126"/>
      <c r="G38" s="18">
        <v>2</v>
      </c>
      <c r="H38" s="18" t="s">
        <v>147</v>
      </c>
      <c r="I38" s="18" t="s">
        <v>147</v>
      </c>
      <c r="J38" s="18" t="s">
        <v>147</v>
      </c>
      <c r="K38" s="124"/>
      <c r="L38" s="125"/>
      <c r="M38" s="125"/>
      <c r="N38" s="125"/>
      <c r="O38" s="125"/>
      <c r="P38" s="125"/>
      <c r="Q38" s="126"/>
      <c r="R38" s="18"/>
      <c r="S38" s="18"/>
      <c r="T38" s="18"/>
      <c r="U38" s="18"/>
    </row>
    <row r="39" spans="1:21" ht="18" customHeight="1" x14ac:dyDescent="0.15">
      <c r="B39" s="118"/>
      <c r="C39" s="119"/>
      <c r="D39" s="119"/>
      <c r="E39" s="119"/>
      <c r="F39" s="120"/>
      <c r="G39" s="19"/>
      <c r="H39" s="19"/>
      <c r="I39" s="19"/>
      <c r="J39" s="19"/>
      <c r="K39" s="118"/>
      <c r="L39" s="119"/>
      <c r="M39" s="119"/>
      <c r="N39" s="119"/>
      <c r="O39" s="119"/>
      <c r="P39" s="119"/>
      <c r="Q39" s="120"/>
      <c r="R39" s="19"/>
      <c r="S39" s="19"/>
      <c r="T39" s="19"/>
      <c r="U39" s="19"/>
    </row>
    <row r="40" spans="1:21" ht="18" customHeight="1" x14ac:dyDescent="0.15">
      <c r="B40" s="118"/>
      <c r="C40" s="119"/>
      <c r="D40" s="119"/>
      <c r="E40" s="119"/>
      <c r="F40" s="120"/>
      <c r="G40" s="19"/>
      <c r="H40" s="19"/>
      <c r="I40" s="19"/>
      <c r="J40" s="19"/>
      <c r="K40" s="118"/>
      <c r="L40" s="119"/>
      <c r="M40" s="119"/>
      <c r="N40" s="119"/>
      <c r="O40" s="119"/>
      <c r="P40" s="119"/>
      <c r="Q40" s="120"/>
      <c r="R40" s="19"/>
      <c r="S40" s="19"/>
      <c r="T40" s="19"/>
      <c r="U40" s="19"/>
    </row>
    <row r="41" spans="1:21" ht="18" customHeight="1" x14ac:dyDescent="0.15">
      <c r="B41" s="118"/>
      <c r="C41" s="119"/>
      <c r="D41" s="119"/>
      <c r="E41" s="119"/>
      <c r="F41" s="120"/>
      <c r="G41" s="19"/>
      <c r="H41" s="19"/>
      <c r="I41" s="19"/>
      <c r="J41" s="19"/>
      <c r="K41" s="118"/>
      <c r="L41" s="119"/>
      <c r="M41" s="119"/>
      <c r="N41" s="119"/>
      <c r="O41" s="119"/>
      <c r="P41" s="119"/>
      <c r="Q41" s="120"/>
      <c r="R41" s="19"/>
      <c r="S41" s="19"/>
      <c r="T41" s="19"/>
      <c r="U41" s="19"/>
    </row>
    <row r="42" spans="1:21" ht="18" customHeight="1" x14ac:dyDescent="0.15">
      <c r="B42" s="118"/>
      <c r="C42" s="119"/>
      <c r="D42" s="119"/>
      <c r="E42" s="119"/>
      <c r="F42" s="120"/>
      <c r="G42" s="19"/>
      <c r="H42" s="19"/>
      <c r="I42" s="19"/>
      <c r="J42" s="19"/>
      <c r="K42" s="118"/>
      <c r="L42" s="119"/>
      <c r="M42" s="119"/>
      <c r="N42" s="119"/>
      <c r="O42" s="119"/>
      <c r="P42" s="119"/>
      <c r="Q42" s="120"/>
      <c r="R42" s="19"/>
      <c r="S42" s="19"/>
      <c r="T42" s="19"/>
      <c r="U42" s="19"/>
    </row>
    <row r="43" spans="1:21" ht="18" customHeight="1" x14ac:dyDescent="0.15">
      <c r="B43" s="118"/>
      <c r="C43" s="119"/>
      <c r="D43" s="119"/>
      <c r="E43" s="119"/>
      <c r="F43" s="120"/>
      <c r="G43" s="19"/>
      <c r="H43" s="19"/>
      <c r="I43" s="19"/>
      <c r="J43" s="19"/>
      <c r="K43" s="118"/>
      <c r="L43" s="119"/>
      <c r="M43" s="119"/>
      <c r="N43" s="119"/>
      <c r="O43" s="119"/>
      <c r="P43" s="119"/>
      <c r="Q43" s="120"/>
      <c r="R43" s="19"/>
      <c r="S43" s="19"/>
      <c r="T43" s="19"/>
      <c r="U43" s="19"/>
    </row>
    <row r="44" spans="1:21" ht="18" customHeight="1" x14ac:dyDescent="0.15">
      <c r="B44" s="121"/>
      <c r="C44" s="122"/>
      <c r="D44" s="122"/>
      <c r="E44" s="122"/>
      <c r="F44" s="123"/>
      <c r="G44" s="20"/>
      <c r="H44" s="20"/>
      <c r="I44" s="21"/>
      <c r="J44" s="21"/>
      <c r="K44" s="121"/>
      <c r="L44" s="122"/>
      <c r="M44" s="122"/>
      <c r="N44" s="122"/>
      <c r="O44" s="122"/>
      <c r="P44" s="122"/>
      <c r="Q44" s="123"/>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104</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9" t="s">
        <v>52</v>
      </c>
      <c r="C48" s="110"/>
      <c r="D48" s="110"/>
      <c r="E48" s="110"/>
      <c r="F48" s="111"/>
      <c r="G48" s="50" t="s">
        <v>78</v>
      </c>
      <c r="H48" s="49" t="s">
        <v>81</v>
      </c>
      <c r="I48" s="17" t="s">
        <v>71</v>
      </c>
      <c r="J48" s="17" t="s">
        <v>72</v>
      </c>
      <c r="K48" s="109" t="s">
        <v>52</v>
      </c>
      <c r="L48" s="110"/>
      <c r="M48" s="110"/>
      <c r="N48" s="110"/>
      <c r="O48" s="110"/>
      <c r="P48" s="110"/>
      <c r="Q48" s="111"/>
      <c r="R48" s="50" t="s">
        <v>78</v>
      </c>
      <c r="S48" s="49" t="s">
        <v>81</v>
      </c>
      <c r="T48" s="17" t="s">
        <v>71</v>
      </c>
      <c r="U48" s="17" t="s">
        <v>72</v>
      </c>
    </row>
    <row r="49" spans="1:21" ht="18" customHeight="1" x14ac:dyDescent="0.15">
      <c r="A49" s="3"/>
      <c r="B49" s="124" t="s">
        <v>148</v>
      </c>
      <c r="C49" s="125"/>
      <c r="D49" s="125"/>
      <c r="E49" s="125"/>
      <c r="F49" s="126"/>
      <c r="G49" s="18">
        <v>2</v>
      </c>
      <c r="H49" s="18" t="s">
        <v>147</v>
      </c>
      <c r="I49" s="18" t="s">
        <v>147</v>
      </c>
      <c r="J49" s="18" t="s">
        <v>147</v>
      </c>
      <c r="K49" s="124"/>
      <c r="L49" s="125"/>
      <c r="M49" s="125"/>
      <c r="N49" s="125"/>
      <c r="O49" s="125"/>
      <c r="P49" s="125"/>
      <c r="Q49" s="126"/>
      <c r="R49" s="18"/>
      <c r="S49" s="18"/>
      <c r="T49" s="18"/>
      <c r="U49" s="18"/>
    </row>
    <row r="50" spans="1:21" ht="18" customHeight="1" x14ac:dyDescent="0.15">
      <c r="A50" s="3"/>
      <c r="B50" s="118"/>
      <c r="C50" s="119"/>
      <c r="D50" s="119"/>
      <c r="E50" s="119"/>
      <c r="F50" s="120"/>
      <c r="G50" s="19"/>
      <c r="H50" s="19"/>
      <c r="I50" s="19"/>
      <c r="J50" s="19"/>
      <c r="K50" s="118"/>
      <c r="L50" s="119"/>
      <c r="M50" s="119"/>
      <c r="N50" s="119"/>
      <c r="O50" s="119"/>
      <c r="P50" s="119"/>
      <c r="Q50" s="120"/>
      <c r="R50" s="19"/>
      <c r="S50" s="19"/>
      <c r="T50" s="19"/>
      <c r="U50" s="19"/>
    </row>
    <row r="51" spans="1:21" ht="18" customHeight="1" x14ac:dyDescent="0.15">
      <c r="A51" s="3"/>
      <c r="B51" s="118"/>
      <c r="C51" s="119"/>
      <c r="D51" s="119"/>
      <c r="E51" s="119"/>
      <c r="F51" s="120"/>
      <c r="G51" s="19"/>
      <c r="H51" s="19"/>
      <c r="I51" s="19"/>
      <c r="J51" s="19"/>
      <c r="K51" s="118"/>
      <c r="L51" s="119"/>
      <c r="M51" s="119"/>
      <c r="N51" s="119"/>
      <c r="O51" s="119"/>
      <c r="P51" s="119"/>
      <c r="Q51" s="120"/>
      <c r="R51" s="19"/>
      <c r="S51" s="19"/>
      <c r="T51" s="19"/>
      <c r="U51" s="19"/>
    </row>
    <row r="52" spans="1:21" ht="18" customHeight="1" x14ac:dyDescent="0.15">
      <c r="A52" s="3"/>
      <c r="B52" s="118"/>
      <c r="C52" s="119"/>
      <c r="D52" s="119"/>
      <c r="E52" s="119"/>
      <c r="F52" s="120"/>
      <c r="G52" s="19"/>
      <c r="H52" s="19"/>
      <c r="I52" s="19"/>
      <c r="J52" s="19"/>
      <c r="K52" s="118"/>
      <c r="L52" s="119"/>
      <c r="M52" s="119"/>
      <c r="N52" s="119"/>
      <c r="O52" s="119"/>
      <c r="P52" s="119"/>
      <c r="Q52" s="120"/>
      <c r="R52" s="19"/>
      <c r="S52" s="19"/>
      <c r="T52" s="19"/>
      <c r="U52" s="19"/>
    </row>
    <row r="53" spans="1:21" ht="18" customHeight="1" x14ac:dyDescent="0.15">
      <c r="A53" s="3"/>
      <c r="B53" s="118"/>
      <c r="C53" s="119"/>
      <c r="D53" s="119"/>
      <c r="E53" s="119"/>
      <c r="F53" s="120"/>
      <c r="G53" s="19"/>
      <c r="H53" s="19"/>
      <c r="I53" s="19"/>
      <c r="J53" s="19"/>
      <c r="K53" s="118"/>
      <c r="L53" s="119"/>
      <c r="M53" s="119"/>
      <c r="N53" s="119"/>
      <c r="O53" s="119"/>
      <c r="P53" s="119"/>
      <c r="Q53" s="120"/>
      <c r="R53" s="19"/>
      <c r="S53" s="19"/>
      <c r="T53" s="19"/>
      <c r="U53" s="19"/>
    </row>
    <row r="54" spans="1:21" ht="18" customHeight="1" x14ac:dyDescent="0.15">
      <c r="A54" s="3"/>
      <c r="B54" s="118"/>
      <c r="C54" s="119"/>
      <c r="D54" s="119"/>
      <c r="E54" s="119"/>
      <c r="F54" s="120"/>
      <c r="G54" s="19"/>
      <c r="H54" s="19"/>
      <c r="I54" s="19"/>
      <c r="J54" s="19"/>
      <c r="K54" s="118"/>
      <c r="L54" s="119"/>
      <c r="M54" s="119"/>
      <c r="N54" s="119"/>
      <c r="O54" s="119"/>
      <c r="P54" s="119"/>
      <c r="Q54" s="120"/>
      <c r="R54" s="19"/>
      <c r="S54" s="19"/>
      <c r="T54" s="19"/>
      <c r="U54" s="19"/>
    </row>
    <row r="55" spans="1:21" ht="18" customHeight="1" x14ac:dyDescent="0.15">
      <c r="A55" s="3"/>
      <c r="B55" s="121"/>
      <c r="C55" s="122"/>
      <c r="D55" s="122"/>
      <c r="E55" s="122"/>
      <c r="F55" s="123"/>
      <c r="G55" s="20"/>
      <c r="H55" s="20"/>
      <c r="I55" s="21"/>
      <c r="J55" s="21"/>
      <c r="K55" s="121"/>
      <c r="L55" s="122"/>
      <c r="M55" s="122"/>
      <c r="N55" s="122"/>
      <c r="O55" s="122"/>
      <c r="P55" s="122"/>
      <c r="Q55" s="123"/>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105</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9" t="s">
        <v>52</v>
      </c>
      <c r="C59" s="110"/>
      <c r="D59" s="110"/>
      <c r="E59" s="110"/>
      <c r="F59" s="111"/>
      <c r="G59" s="50" t="s">
        <v>78</v>
      </c>
      <c r="H59" s="49" t="s">
        <v>81</v>
      </c>
      <c r="I59" s="17" t="s">
        <v>57</v>
      </c>
      <c r="J59" s="17" t="s">
        <v>59</v>
      </c>
      <c r="K59" s="109" t="s">
        <v>52</v>
      </c>
      <c r="L59" s="110"/>
      <c r="M59" s="110"/>
      <c r="N59" s="110"/>
      <c r="O59" s="110"/>
      <c r="P59" s="110"/>
      <c r="Q59" s="111"/>
      <c r="R59" s="50" t="s">
        <v>78</v>
      </c>
      <c r="S59" s="49" t="s">
        <v>81</v>
      </c>
      <c r="T59" s="17" t="s">
        <v>57</v>
      </c>
      <c r="U59" s="17" t="s">
        <v>59</v>
      </c>
    </row>
    <row r="60" spans="1:21" ht="18" customHeight="1" x14ac:dyDescent="0.15">
      <c r="A60" s="3"/>
      <c r="B60" s="124" t="s">
        <v>148</v>
      </c>
      <c r="C60" s="125"/>
      <c r="D60" s="125"/>
      <c r="E60" s="125"/>
      <c r="F60" s="126"/>
      <c r="G60" s="18">
        <v>2</v>
      </c>
      <c r="H60" s="18" t="s">
        <v>147</v>
      </c>
      <c r="I60" s="18" t="s">
        <v>147</v>
      </c>
      <c r="J60" s="18" t="s">
        <v>147</v>
      </c>
      <c r="K60" s="124"/>
      <c r="L60" s="125"/>
      <c r="M60" s="125"/>
      <c r="N60" s="125"/>
      <c r="O60" s="125"/>
      <c r="P60" s="125"/>
      <c r="Q60" s="126"/>
      <c r="R60" s="18"/>
      <c r="S60" s="18"/>
      <c r="T60" s="18"/>
      <c r="U60" s="18"/>
    </row>
    <row r="61" spans="1:21" ht="18" customHeight="1" x14ac:dyDescent="0.15">
      <c r="A61" s="3"/>
      <c r="B61" s="118"/>
      <c r="C61" s="119"/>
      <c r="D61" s="119"/>
      <c r="E61" s="119"/>
      <c r="F61" s="120"/>
      <c r="G61" s="19"/>
      <c r="H61" s="19"/>
      <c r="I61" s="19"/>
      <c r="J61" s="19"/>
      <c r="K61" s="118"/>
      <c r="L61" s="119"/>
      <c r="M61" s="119"/>
      <c r="N61" s="119"/>
      <c r="O61" s="119"/>
      <c r="P61" s="119"/>
      <c r="Q61" s="120"/>
      <c r="R61" s="19"/>
      <c r="S61" s="19"/>
      <c r="T61" s="19"/>
      <c r="U61" s="19"/>
    </row>
    <row r="62" spans="1:21" ht="18" customHeight="1" x14ac:dyDescent="0.15">
      <c r="A62" s="3"/>
      <c r="B62" s="118"/>
      <c r="C62" s="119"/>
      <c r="D62" s="119"/>
      <c r="E62" s="119"/>
      <c r="F62" s="120"/>
      <c r="G62" s="19"/>
      <c r="H62" s="19"/>
      <c r="I62" s="19"/>
      <c r="J62" s="19"/>
      <c r="K62" s="118"/>
      <c r="L62" s="119"/>
      <c r="M62" s="119"/>
      <c r="N62" s="119"/>
      <c r="O62" s="119"/>
      <c r="P62" s="119"/>
      <c r="Q62" s="120"/>
      <c r="R62" s="19"/>
      <c r="S62" s="19"/>
      <c r="T62" s="19"/>
      <c r="U62" s="19"/>
    </row>
    <row r="63" spans="1:21" ht="18" customHeight="1" x14ac:dyDescent="0.15">
      <c r="A63" s="3"/>
      <c r="B63" s="118"/>
      <c r="C63" s="119"/>
      <c r="D63" s="119"/>
      <c r="E63" s="119"/>
      <c r="F63" s="120"/>
      <c r="G63" s="19"/>
      <c r="H63" s="19"/>
      <c r="I63" s="19"/>
      <c r="J63" s="19"/>
      <c r="K63" s="118"/>
      <c r="L63" s="119"/>
      <c r="M63" s="119"/>
      <c r="N63" s="119"/>
      <c r="O63" s="119"/>
      <c r="P63" s="119"/>
      <c r="Q63" s="120"/>
      <c r="R63" s="19"/>
      <c r="S63" s="19"/>
      <c r="T63" s="19"/>
      <c r="U63" s="19"/>
    </row>
    <row r="64" spans="1:21" ht="18" customHeight="1" x14ac:dyDescent="0.15">
      <c r="A64" s="3"/>
      <c r="B64" s="118"/>
      <c r="C64" s="119"/>
      <c r="D64" s="119"/>
      <c r="E64" s="119"/>
      <c r="F64" s="120"/>
      <c r="G64" s="19"/>
      <c r="H64" s="19"/>
      <c r="I64" s="19"/>
      <c r="J64" s="19"/>
      <c r="K64" s="118"/>
      <c r="L64" s="119"/>
      <c r="M64" s="119"/>
      <c r="N64" s="119"/>
      <c r="O64" s="119"/>
      <c r="P64" s="119"/>
      <c r="Q64" s="120"/>
      <c r="R64" s="19"/>
      <c r="S64" s="19"/>
      <c r="T64" s="19"/>
      <c r="U64" s="19"/>
    </row>
    <row r="65" spans="1:21" ht="18" customHeight="1" x14ac:dyDescent="0.15">
      <c r="A65" s="3"/>
      <c r="B65" s="118"/>
      <c r="C65" s="119"/>
      <c r="D65" s="119"/>
      <c r="E65" s="119"/>
      <c r="F65" s="120"/>
      <c r="G65" s="19"/>
      <c r="H65" s="19"/>
      <c r="I65" s="19"/>
      <c r="J65" s="19"/>
      <c r="K65" s="118"/>
      <c r="L65" s="119"/>
      <c r="M65" s="119"/>
      <c r="N65" s="119"/>
      <c r="O65" s="119"/>
      <c r="P65" s="119"/>
      <c r="Q65" s="120"/>
      <c r="R65" s="19"/>
      <c r="S65" s="19"/>
      <c r="T65" s="19"/>
      <c r="U65" s="19"/>
    </row>
    <row r="66" spans="1:21" ht="18" customHeight="1" x14ac:dyDescent="0.15">
      <c r="A66" s="3"/>
      <c r="B66" s="121"/>
      <c r="C66" s="122"/>
      <c r="D66" s="122"/>
      <c r="E66" s="122"/>
      <c r="F66" s="123"/>
      <c r="G66" s="20"/>
      <c r="H66" s="20"/>
      <c r="I66" s="21"/>
      <c r="J66" s="21"/>
      <c r="K66" s="121"/>
      <c r="L66" s="122"/>
      <c r="M66" s="122"/>
      <c r="N66" s="122"/>
      <c r="O66" s="122"/>
      <c r="P66" s="122"/>
      <c r="Q66" s="123"/>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7" t="s">
        <v>106</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15">
      <c r="B70" s="109" t="s">
        <v>52</v>
      </c>
      <c r="C70" s="110"/>
      <c r="D70" s="110"/>
      <c r="E70" s="110"/>
      <c r="F70" s="50" t="s">
        <v>78</v>
      </c>
      <c r="G70" s="49" t="s">
        <v>81</v>
      </c>
      <c r="H70" s="17" t="s">
        <v>93</v>
      </c>
      <c r="I70" s="17" t="s">
        <v>73</v>
      </c>
      <c r="J70" s="17" t="s">
        <v>74</v>
      </c>
      <c r="K70" s="109" t="s">
        <v>52</v>
      </c>
      <c r="L70" s="110"/>
      <c r="M70" s="110"/>
      <c r="N70" s="110"/>
      <c r="O70" s="110"/>
      <c r="P70" s="111"/>
      <c r="Q70" s="50" t="s">
        <v>78</v>
      </c>
      <c r="R70" s="49" t="s">
        <v>81</v>
      </c>
      <c r="S70" s="17" t="s">
        <v>93</v>
      </c>
      <c r="T70" s="17" t="s">
        <v>73</v>
      </c>
      <c r="U70" s="17" t="s">
        <v>74</v>
      </c>
    </row>
    <row r="71" spans="1:21" ht="18" customHeight="1" x14ac:dyDescent="0.15">
      <c r="A71" s="3"/>
      <c r="B71" s="124" t="s">
        <v>148</v>
      </c>
      <c r="C71" s="125"/>
      <c r="D71" s="125"/>
      <c r="E71" s="125"/>
      <c r="F71" s="18">
        <v>2</v>
      </c>
      <c r="G71" s="18" t="s">
        <v>147</v>
      </c>
      <c r="H71" s="18" t="s">
        <v>147</v>
      </c>
      <c r="I71" s="18" t="s">
        <v>147</v>
      </c>
      <c r="J71" s="18" t="s">
        <v>147</v>
      </c>
      <c r="K71" s="124"/>
      <c r="L71" s="125"/>
      <c r="M71" s="125"/>
      <c r="N71" s="125"/>
      <c r="O71" s="125"/>
      <c r="P71" s="126"/>
      <c r="Q71" s="18"/>
      <c r="R71" s="18"/>
      <c r="S71" s="18"/>
      <c r="T71" s="18"/>
      <c r="U71" s="18"/>
    </row>
    <row r="72" spans="1:21" ht="18" customHeight="1" x14ac:dyDescent="0.15">
      <c r="A72" s="3"/>
      <c r="B72" s="118"/>
      <c r="C72" s="119"/>
      <c r="D72" s="119"/>
      <c r="E72" s="119"/>
      <c r="F72" s="19"/>
      <c r="G72" s="19"/>
      <c r="H72" s="19"/>
      <c r="I72" s="19"/>
      <c r="J72" s="19"/>
      <c r="K72" s="118"/>
      <c r="L72" s="119"/>
      <c r="M72" s="119"/>
      <c r="N72" s="119"/>
      <c r="O72" s="119"/>
      <c r="P72" s="120"/>
      <c r="Q72" s="19"/>
      <c r="R72" s="19"/>
      <c r="S72" s="19"/>
      <c r="T72" s="19"/>
      <c r="U72" s="19"/>
    </row>
    <row r="73" spans="1:21" ht="18" customHeight="1" x14ac:dyDescent="0.15">
      <c r="A73" s="3"/>
      <c r="B73" s="118"/>
      <c r="C73" s="119"/>
      <c r="D73" s="119"/>
      <c r="E73" s="119"/>
      <c r="F73" s="19"/>
      <c r="G73" s="19"/>
      <c r="H73" s="19"/>
      <c r="I73" s="19"/>
      <c r="J73" s="19"/>
      <c r="K73" s="118"/>
      <c r="L73" s="119"/>
      <c r="M73" s="119"/>
      <c r="N73" s="119"/>
      <c r="O73" s="119"/>
      <c r="P73" s="120"/>
      <c r="Q73" s="19"/>
      <c r="R73" s="19"/>
      <c r="S73" s="19"/>
      <c r="T73" s="19"/>
      <c r="U73" s="19"/>
    </row>
    <row r="74" spans="1:21" ht="18" customHeight="1" x14ac:dyDescent="0.15">
      <c r="A74" s="3"/>
      <c r="B74" s="118"/>
      <c r="C74" s="119"/>
      <c r="D74" s="119"/>
      <c r="E74" s="119"/>
      <c r="F74" s="19"/>
      <c r="G74" s="19"/>
      <c r="H74" s="19"/>
      <c r="I74" s="19"/>
      <c r="J74" s="19"/>
      <c r="K74" s="118"/>
      <c r="L74" s="119"/>
      <c r="M74" s="119"/>
      <c r="N74" s="119"/>
      <c r="O74" s="119"/>
      <c r="P74" s="120"/>
      <c r="Q74" s="19"/>
      <c r="R74" s="19"/>
      <c r="S74" s="19"/>
      <c r="T74" s="19"/>
      <c r="U74" s="19"/>
    </row>
    <row r="75" spans="1:21" ht="18" customHeight="1" x14ac:dyDescent="0.15">
      <c r="A75" s="3"/>
      <c r="B75" s="118"/>
      <c r="C75" s="119"/>
      <c r="D75" s="119"/>
      <c r="E75" s="119"/>
      <c r="F75" s="19"/>
      <c r="G75" s="19"/>
      <c r="H75" s="19"/>
      <c r="I75" s="19"/>
      <c r="J75" s="19"/>
      <c r="K75" s="118"/>
      <c r="L75" s="119"/>
      <c r="M75" s="119"/>
      <c r="N75" s="119"/>
      <c r="O75" s="119"/>
      <c r="P75" s="120"/>
      <c r="Q75" s="19"/>
      <c r="R75" s="19"/>
      <c r="S75" s="19"/>
      <c r="T75" s="19"/>
      <c r="U75" s="19"/>
    </row>
    <row r="76" spans="1:21" ht="18" customHeight="1" x14ac:dyDescent="0.15">
      <c r="A76" s="3"/>
      <c r="B76" s="118"/>
      <c r="C76" s="119"/>
      <c r="D76" s="119"/>
      <c r="E76" s="119"/>
      <c r="F76" s="19"/>
      <c r="G76" s="19"/>
      <c r="H76" s="19"/>
      <c r="I76" s="19"/>
      <c r="J76" s="19"/>
      <c r="K76" s="118"/>
      <c r="L76" s="119"/>
      <c r="M76" s="119"/>
      <c r="N76" s="119"/>
      <c r="O76" s="119"/>
      <c r="P76" s="120"/>
      <c r="Q76" s="19"/>
      <c r="R76" s="19"/>
      <c r="S76" s="19"/>
      <c r="T76" s="19"/>
      <c r="U76" s="19"/>
    </row>
    <row r="77" spans="1:21" ht="18" customHeight="1" x14ac:dyDescent="0.15">
      <c r="A77" s="3"/>
      <c r="B77" s="121"/>
      <c r="C77" s="122"/>
      <c r="D77" s="122"/>
      <c r="E77" s="122"/>
      <c r="F77" s="20"/>
      <c r="G77" s="20"/>
      <c r="H77" s="21"/>
      <c r="I77" s="21"/>
      <c r="J77" s="21"/>
      <c r="K77" s="121"/>
      <c r="L77" s="122"/>
      <c r="M77" s="122"/>
      <c r="N77" s="122"/>
      <c r="O77" s="122"/>
      <c r="P77" s="123"/>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09" t="s">
        <v>52</v>
      </c>
      <c r="C80" s="110"/>
      <c r="D80" s="110"/>
      <c r="E80" s="110"/>
      <c r="F80" s="111"/>
      <c r="G80" s="109" t="s">
        <v>79</v>
      </c>
      <c r="H80" s="110"/>
      <c r="I80" s="110"/>
      <c r="J80" s="111"/>
      <c r="K80" s="157" t="s">
        <v>52</v>
      </c>
      <c r="L80" s="158"/>
      <c r="M80" s="158"/>
      <c r="N80" s="158"/>
      <c r="O80" s="158"/>
      <c r="P80" s="158"/>
      <c r="Q80" s="159"/>
      <c r="R80" s="109" t="s">
        <v>79</v>
      </c>
      <c r="S80" s="110"/>
      <c r="T80" s="110"/>
      <c r="U80" s="111"/>
    </row>
    <row r="81" spans="1:21" ht="18" customHeight="1" x14ac:dyDescent="0.15">
      <c r="A81" s="3"/>
      <c r="B81" s="124"/>
      <c r="C81" s="125"/>
      <c r="D81" s="125"/>
      <c r="E81" s="125"/>
      <c r="F81" s="126"/>
      <c r="G81" s="160"/>
      <c r="H81" s="161"/>
      <c r="I81" s="161"/>
      <c r="J81" s="162"/>
      <c r="K81" s="124"/>
      <c r="L81" s="125"/>
      <c r="M81" s="125"/>
      <c r="N81" s="125"/>
      <c r="O81" s="125"/>
      <c r="P81" s="125"/>
      <c r="Q81" s="126"/>
      <c r="R81" s="160"/>
      <c r="S81" s="161"/>
      <c r="T81" s="161"/>
      <c r="U81" s="162"/>
    </row>
    <row r="82" spans="1:21" ht="18" customHeight="1" x14ac:dyDescent="0.15">
      <c r="A82" s="3"/>
      <c r="B82" s="118"/>
      <c r="C82" s="119"/>
      <c r="D82" s="119"/>
      <c r="E82" s="119"/>
      <c r="F82" s="120"/>
      <c r="G82" s="149"/>
      <c r="H82" s="150"/>
      <c r="I82" s="150"/>
      <c r="J82" s="151"/>
      <c r="K82" s="118"/>
      <c r="L82" s="119"/>
      <c r="M82" s="119"/>
      <c r="N82" s="119"/>
      <c r="O82" s="119"/>
      <c r="P82" s="119"/>
      <c r="Q82" s="120"/>
      <c r="R82" s="149"/>
      <c r="S82" s="150"/>
      <c r="T82" s="150"/>
      <c r="U82" s="151"/>
    </row>
    <row r="83" spans="1:21" ht="18" customHeight="1" x14ac:dyDescent="0.15">
      <c r="A83" s="3"/>
      <c r="B83" s="118"/>
      <c r="C83" s="119"/>
      <c r="D83" s="119"/>
      <c r="E83" s="119"/>
      <c r="F83" s="120"/>
      <c r="G83" s="149"/>
      <c r="H83" s="150"/>
      <c r="I83" s="150"/>
      <c r="J83" s="151"/>
      <c r="K83" s="118"/>
      <c r="L83" s="119"/>
      <c r="M83" s="119"/>
      <c r="N83" s="119"/>
      <c r="O83" s="119"/>
      <c r="P83" s="119"/>
      <c r="Q83" s="120"/>
      <c r="R83" s="149"/>
      <c r="S83" s="150"/>
      <c r="T83" s="150"/>
      <c r="U83" s="151"/>
    </row>
    <row r="84" spans="1:21" ht="18" customHeight="1" x14ac:dyDescent="0.15">
      <c r="A84" s="3"/>
      <c r="B84" s="118"/>
      <c r="C84" s="119"/>
      <c r="D84" s="119"/>
      <c r="E84" s="119"/>
      <c r="F84" s="120"/>
      <c r="G84" s="149"/>
      <c r="H84" s="150"/>
      <c r="I84" s="150"/>
      <c r="J84" s="151"/>
      <c r="K84" s="118"/>
      <c r="L84" s="119"/>
      <c r="M84" s="119"/>
      <c r="N84" s="119"/>
      <c r="O84" s="119"/>
      <c r="P84" s="119"/>
      <c r="Q84" s="120"/>
      <c r="R84" s="149"/>
      <c r="S84" s="150"/>
      <c r="T84" s="150"/>
      <c r="U84" s="151"/>
    </row>
    <row r="85" spans="1:21" ht="18" customHeight="1" x14ac:dyDescent="0.15">
      <c r="A85" s="3"/>
      <c r="B85" s="118"/>
      <c r="C85" s="119"/>
      <c r="D85" s="119"/>
      <c r="E85" s="119"/>
      <c r="F85" s="120"/>
      <c r="G85" s="149"/>
      <c r="H85" s="150"/>
      <c r="I85" s="150"/>
      <c r="J85" s="151"/>
      <c r="K85" s="118"/>
      <c r="L85" s="119"/>
      <c r="M85" s="119"/>
      <c r="N85" s="119"/>
      <c r="O85" s="119"/>
      <c r="P85" s="119"/>
      <c r="Q85" s="120"/>
      <c r="R85" s="149"/>
      <c r="S85" s="150"/>
      <c r="T85" s="150"/>
      <c r="U85" s="151"/>
    </row>
    <row r="86" spans="1:21" ht="18" customHeight="1" x14ac:dyDescent="0.15">
      <c r="A86" s="3"/>
      <c r="B86" s="118"/>
      <c r="C86" s="119"/>
      <c r="D86" s="119"/>
      <c r="E86" s="119"/>
      <c r="F86" s="120"/>
      <c r="G86" s="149"/>
      <c r="H86" s="150"/>
      <c r="I86" s="150"/>
      <c r="J86" s="151"/>
      <c r="K86" s="118"/>
      <c r="L86" s="119"/>
      <c r="M86" s="119"/>
      <c r="N86" s="119"/>
      <c r="O86" s="119"/>
      <c r="P86" s="119"/>
      <c r="Q86" s="120"/>
      <c r="R86" s="149"/>
      <c r="S86" s="150"/>
      <c r="T86" s="150"/>
      <c r="U86" s="151"/>
    </row>
    <row r="87" spans="1:21" ht="18" customHeight="1" x14ac:dyDescent="0.15">
      <c r="A87" s="3"/>
      <c r="B87" s="121"/>
      <c r="C87" s="122"/>
      <c r="D87" s="122"/>
      <c r="E87" s="122"/>
      <c r="F87" s="123"/>
      <c r="G87" s="146"/>
      <c r="H87" s="147"/>
      <c r="I87" s="147"/>
      <c r="J87" s="148"/>
      <c r="K87" s="121"/>
      <c r="L87" s="122"/>
      <c r="M87" s="122"/>
      <c r="N87" s="122"/>
      <c r="O87" s="122"/>
      <c r="P87" s="122"/>
      <c r="Q87" s="123"/>
      <c r="R87" s="146"/>
      <c r="S87" s="147"/>
      <c r="T87" s="147"/>
      <c r="U87" s="148"/>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55" t="s">
        <v>53</v>
      </c>
      <c r="C90" s="156"/>
      <c r="D90" s="109" t="s">
        <v>54</v>
      </c>
      <c r="E90" s="110"/>
      <c r="F90" s="110"/>
      <c r="G90" s="110"/>
      <c r="H90" s="110"/>
      <c r="I90" s="110"/>
      <c r="J90" s="110"/>
      <c r="K90" s="110"/>
      <c r="L90" s="110"/>
      <c r="M90" s="110"/>
      <c r="N90" s="110"/>
      <c r="O90" s="110"/>
      <c r="P90" s="110"/>
      <c r="Q90" s="110"/>
      <c r="R90" s="110"/>
      <c r="S90" s="110"/>
      <c r="T90" s="110"/>
      <c r="U90" s="111"/>
    </row>
    <row r="91" spans="1:21" ht="97.5" customHeight="1" x14ac:dyDescent="0.15">
      <c r="B91" s="152" t="s">
        <v>60</v>
      </c>
      <c r="C91" s="23" t="s">
        <v>55</v>
      </c>
      <c r="D91" s="97" t="s">
        <v>149</v>
      </c>
      <c r="E91" s="98"/>
      <c r="F91" s="98"/>
      <c r="G91" s="98"/>
      <c r="H91" s="98"/>
      <c r="I91" s="98"/>
      <c r="J91" s="98"/>
      <c r="K91" s="98"/>
      <c r="L91" s="98"/>
      <c r="M91" s="98"/>
      <c r="N91" s="98"/>
      <c r="O91" s="98"/>
      <c r="P91" s="98"/>
      <c r="Q91" s="98"/>
      <c r="R91" s="98"/>
      <c r="S91" s="98"/>
      <c r="T91" s="98"/>
      <c r="U91" s="99"/>
    </row>
    <row r="92" spans="1:21" ht="97.5" customHeight="1" x14ac:dyDescent="0.15">
      <c r="B92" s="153"/>
      <c r="C92" s="24" t="s">
        <v>75</v>
      </c>
      <c r="D92" s="94" t="s">
        <v>150</v>
      </c>
      <c r="E92" s="95"/>
      <c r="F92" s="95"/>
      <c r="G92" s="95"/>
      <c r="H92" s="95"/>
      <c r="I92" s="95"/>
      <c r="J92" s="95"/>
      <c r="K92" s="95"/>
      <c r="L92" s="95"/>
      <c r="M92" s="95"/>
      <c r="N92" s="95"/>
      <c r="O92" s="95"/>
      <c r="P92" s="95"/>
      <c r="Q92" s="95"/>
      <c r="R92" s="95"/>
      <c r="S92" s="95"/>
      <c r="T92" s="95"/>
      <c r="U92" s="96"/>
    </row>
    <row r="93" spans="1:21" ht="97.5" customHeight="1" x14ac:dyDescent="0.15">
      <c r="B93" s="152" t="s">
        <v>61</v>
      </c>
      <c r="C93" s="25" t="s">
        <v>69</v>
      </c>
      <c r="D93" s="97" t="s">
        <v>172</v>
      </c>
      <c r="E93" s="98"/>
      <c r="F93" s="98"/>
      <c r="G93" s="98"/>
      <c r="H93" s="98"/>
      <c r="I93" s="98"/>
      <c r="J93" s="98"/>
      <c r="K93" s="98"/>
      <c r="L93" s="98"/>
      <c r="M93" s="98"/>
      <c r="N93" s="98"/>
      <c r="O93" s="98"/>
      <c r="P93" s="98"/>
      <c r="Q93" s="98"/>
      <c r="R93" s="98"/>
      <c r="S93" s="98"/>
      <c r="T93" s="98"/>
      <c r="U93" s="99"/>
    </row>
    <row r="94" spans="1:21" ht="97.5" customHeight="1" x14ac:dyDescent="0.15">
      <c r="B94" s="154"/>
      <c r="C94" s="26" t="s">
        <v>70</v>
      </c>
      <c r="D94" s="94" t="s">
        <v>170</v>
      </c>
      <c r="E94" s="95"/>
      <c r="F94" s="95"/>
      <c r="G94" s="95"/>
      <c r="H94" s="95"/>
      <c r="I94" s="95"/>
      <c r="J94" s="95"/>
      <c r="K94" s="95"/>
      <c r="L94" s="95"/>
      <c r="M94" s="95"/>
      <c r="N94" s="95"/>
      <c r="O94" s="95"/>
      <c r="P94" s="95"/>
      <c r="Q94" s="95"/>
      <c r="R94" s="95"/>
      <c r="S94" s="95"/>
      <c r="T94" s="95"/>
      <c r="U94" s="96"/>
    </row>
    <row r="95" spans="1:21" ht="97.5" customHeight="1" x14ac:dyDescent="0.15">
      <c r="B95" s="152" t="s">
        <v>62</v>
      </c>
      <c r="C95" s="25" t="s">
        <v>71</v>
      </c>
      <c r="D95" s="97" t="s">
        <v>151</v>
      </c>
      <c r="E95" s="98"/>
      <c r="F95" s="98"/>
      <c r="G95" s="98"/>
      <c r="H95" s="98"/>
      <c r="I95" s="98"/>
      <c r="J95" s="98"/>
      <c r="K95" s="98"/>
      <c r="L95" s="98"/>
      <c r="M95" s="98"/>
      <c r="N95" s="98"/>
      <c r="O95" s="98"/>
      <c r="P95" s="98"/>
      <c r="Q95" s="98"/>
      <c r="R95" s="98"/>
      <c r="S95" s="98"/>
      <c r="T95" s="98"/>
      <c r="U95" s="99"/>
    </row>
    <row r="96" spans="1:21" ht="97.5" customHeight="1" x14ac:dyDescent="0.15">
      <c r="B96" s="154"/>
      <c r="C96" s="27" t="s">
        <v>72</v>
      </c>
      <c r="D96" s="94" t="s">
        <v>171</v>
      </c>
      <c r="E96" s="95"/>
      <c r="F96" s="95"/>
      <c r="G96" s="95"/>
      <c r="H96" s="95"/>
      <c r="I96" s="95"/>
      <c r="J96" s="95"/>
      <c r="K96" s="95"/>
      <c r="L96" s="95"/>
      <c r="M96" s="95"/>
      <c r="N96" s="95"/>
      <c r="O96" s="95"/>
      <c r="P96" s="95"/>
      <c r="Q96" s="95"/>
      <c r="R96" s="95"/>
      <c r="S96" s="95"/>
      <c r="T96" s="95"/>
      <c r="U96" s="96"/>
    </row>
    <row r="97" spans="1:33" ht="97.5" customHeight="1" x14ac:dyDescent="0.15">
      <c r="B97" s="152" t="s">
        <v>76</v>
      </c>
      <c r="C97" s="23" t="s">
        <v>57</v>
      </c>
      <c r="D97" s="97" t="s">
        <v>173</v>
      </c>
      <c r="E97" s="98"/>
      <c r="F97" s="98"/>
      <c r="G97" s="98"/>
      <c r="H97" s="98"/>
      <c r="I97" s="98"/>
      <c r="J97" s="98"/>
      <c r="K97" s="98"/>
      <c r="L97" s="98"/>
      <c r="M97" s="98"/>
      <c r="N97" s="98"/>
      <c r="O97" s="98"/>
      <c r="P97" s="98"/>
      <c r="Q97" s="98"/>
      <c r="R97" s="98"/>
      <c r="S97" s="98"/>
      <c r="T97" s="98"/>
      <c r="U97" s="99"/>
    </row>
    <row r="98" spans="1:33" ht="97.5" customHeight="1" x14ac:dyDescent="0.15">
      <c r="B98" s="154"/>
      <c r="C98" s="26" t="s">
        <v>59</v>
      </c>
      <c r="D98" s="94" t="s">
        <v>152</v>
      </c>
      <c r="E98" s="95"/>
      <c r="F98" s="95"/>
      <c r="G98" s="95"/>
      <c r="H98" s="95"/>
      <c r="I98" s="95"/>
      <c r="J98" s="95"/>
      <c r="K98" s="95"/>
      <c r="L98" s="95"/>
      <c r="M98" s="95"/>
      <c r="N98" s="95"/>
      <c r="O98" s="95"/>
      <c r="P98" s="95"/>
      <c r="Q98" s="95"/>
      <c r="R98" s="95"/>
      <c r="S98" s="95"/>
      <c r="T98" s="95"/>
      <c r="U98" s="96"/>
    </row>
    <row r="99" spans="1:33" ht="97.5" customHeight="1" x14ac:dyDescent="0.15">
      <c r="B99" s="152" t="s">
        <v>77</v>
      </c>
      <c r="C99" s="25" t="s">
        <v>56</v>
      </c>
      <c r="D99" s="97" t="s">
        <v>174</v>
      </c>
      <c r="E99" s="98"/>
      <c r="F99" s="98"/>
      <c r="G99" s="98"/>
      <c r="H99" s="98"/>
      <c r="I99" s="98"/>
      <c r="J99" s="98"/>
      <c r="K99" s="98"/>
      <c r="L99" s="98"/>
      <c r="M99" s="98"/>
      <c r="N99" s="98"/>
      <c r="O99" s="98"/>
      <c r="P99" s="98"/>
      <c r="Q99" s="98"/>
      <c r="R99" s="98"/>
      <c r="S99" s="98"/>
      <c r="T99" s="98"/>
      <c r="U99" s="99"/>
    </row>
    <row r="100" spans="1:33" ht="97.5" customHeight="1" x14ac:dyDescent="0.15">
      <c r="B100" s="153"/>
      <c r="C100" s="28" t="s">
        <v>73</v>
      </c>
      <c r="D100" s="100" t="s">
        <v>164</v>
      </c>
      <c r="E100" s="101"/>
      <c r="F100" s="101"/>
      <c r="G100" s="101"/>
      <c r="H100" s="101"/>
      <c r="I100" s="101"/>
      <c r="J100" s="101"/>
      <c r="K100" s="101"/>
      <c r="L100" s="101"/>
      <c r="M100" s="101"/>
      <c r="N100" s="101"/>
      <c r="O100" s="101"/>
      <c r="P100" s="101"/>
      <c r="Q100" s="101"/>
      <c r="R100" s="101"/>
      <c r="S100" s="101"/>
      <c r="T100" s="101"/>
      <c r="U100" s="102"/>
    </row>
    <row r="101" spans="1:33" ht="97.5" customHeight="1" x14ac:dyDescent="0.15">
      <c r="B101" s="154"/>
      <c r="C101" s="27" t="s">
        <v>74</v>
      </c>
      <c r="D101" s="94" t="s">
        <v>153</v>
      </c>
      <c r="E101" s="95"/>
      <c r="F101" s="95"/>
      <c r="G101" s="95"/>
      <c r="H101" s="95"/>
      <c r="I101" s="95"/>
      <c r="J101" s="95"/>
      <c r="K101" s="95"/>
      <c r="L101" s="95"/>
      <c r="M101" s="95"/>
      <c r="N101" s="95"/>
      <c r="O101" s="95"/>
      <c r="P101" s="95"/>
      <c r="Q101" s="95"/>
      <c r="R101" s="95"/>
      <c r="S101" s="95"/>
      <c r="T101" s="95"/>
      <c r="U101" s="96"/>
    </row>
    <row r="102" spans="1:33" ht="6" customHeight="1" x14ac:dyDescent="0.15"/>
    <row r="103" spans="1:33" ht="18.75" customHeight="1" x14ac:dyDescent="0.15">
      <c r="A103" s="1" t="s">
        <v>109</v>
      </c>
    </row>
    <row r="104" spans="1:33" ht="81.75" customHeight="1" x14ac:dyDescent="0.15">
      <c r="B104" s="143" t="s">
        <v>154</v>
      </c>
      <c r="C104" s="144"/>
      <c r="D104" s="144"/>
      <c r="E104" s="144"/>
      <c r="F104" s="144"/>
      <c r="G104" s="144"/>
      <c r="H104" s="144"/>
      <c r="I104" s="144"/>
      <c r="J104" s="144"/>
      <c r="K104" s="144"/>
      <c r="L104" s="144"/>
      <c r="M104" s="144"/>
      <c r="N104" s="144"/>
      <c r="O104" s="144"/>
      <c r="P104" s="144"/>
      <c r="Q104" s="144"/>
      <c r="R104" s="144"/>
      <c r="S104" s="144"/>
      <c r="T104" s="144"/>
      <c r="U104" s="145"/>
    </row>
    <row r="106" spans="1:33" ht="18.75" customHeight="1" x14ac:dyDescent="0.15">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93" t="s">
        <v>130</v>
      </c>
      <c r="C108" s="93"/>
      <c r="D108" s="93"/>
      <c r="E108" s="93"/>
      <c r="F108" s="93"/>
      <c r="G108" s="93"/>
      <c r="H108" s="93"/>
      <c r="I108" s="93"/>
      <c r="J108" s="93"/>
      <c r="K108" s="93"/>
      <c r="L108" s="93"/>
      <c r="M108" s="93"/>
      <c r="N108" s="93"/>
      <c r="O108" s="93"/>
      <c r="P108" s="93"/>
      <c r="Q108" s="93"/>
      <c r="R108" s="93"/>
      <c r="S108" s="93"/>
      <c r="T108" s="93"/>
      <c r="U108" s="93"/>
      <c r="V108" s="69"/>
      <c r="W108" s="69"/>
      <c r="X108" s="69"/>
      <c r="Y108" s="69"/>
      <c r="Z108" s="69"/>
      <c r="AA108" s="69"/>
      <c r="AB108" s="69"/>
      <c r="AC108" s="69"/>
      <c r="AD108" s="69"/>
      <c r="AE108" s="69"/>
      <c r="AF108" s="69"/>
      <c r="AG108" s="69"/>
    </row>
    <row r="109" spans="1:33" ht="37.15" customHeight="1" x14ac:dyDescent="0.15">
      <c r="A109" s="73"/>
      <c r="B109" s="93"/>
      <c r="C109" s="93"/>
      <c r="D109" s="93"/>
      <c r="E109" s="93"/>
      <c r="F109" s="93"/>
      <c r="G109" s="93"/>
      <c r="H109" s="93"/>
      <c r="I109" s="93"/>
      <c r="J109" s="93"/>
      <c r="K109" s="93"/>
      <c r="L109" s="93"/>
      <c r="M109" s="93"/>
      <c r="N109" s="93"/>
      <c r="O109" s="93"/>
      <c r="P109" s="93"/>
      <c r="Q109" s="93"/>
      <c r="R109" s="93"/>
      <c r="S109" s="93"/>
      <c r="T109" s="93"/>
      <c r="U109" s="93"/>
      <c r="V109" s="69"/>
      <c r="W109" s="69"/>
      <c r="X109" s="69"/>
      <c r="Y109" s="69"/>
      <c r="Z109" s="69"/>
      <c r="AA109" s="69"/>
      <c r="AB109" s="69"/>
      <c r="AC109" s="69"/>
      <c r="AD109" s="69"/>
      <c r="AE109" s="69"/>
      <c r="AF109" s="69"/>
      <c r="AG109" s="69"/>
    </row>
    <row r="110" spans="1:33" ht="18.75" customHeight="1" x14ac:dyDescent="0.15">
      <c r="A110" s="73"/>
      <c r="B110" s="163" t="s">
        <v>126</v>
      </c>
      <c r="C110" s="163"/>
      <c r="D110" s="163"/>
      <c r="E110" s="163"/>
      <c r="F110" s="163"/>
      <c r="G110" s="163"/>
      <c r="H110" s="163"/>
      <c r="I110" s="163"/>
      <c r="J110" s="163"/>
      <c r="K110" s="163"/>
      <c r="L110" s="163"/>
      <c r="M110" s="163"/>
      <c r="N110" s="163"/>
      <c r="O110" s="163"/>
      <c r="P110" s="163"/>
      <c r="Q110" s="163"/>
      <c r="R110" s="163"/>
      <c r="S110" s="163"/>
      <c r="T110" s="163"/>
      <c r="U110" s="163"/>
      <c r="V110" s="69"/>
      <c r="W110" s="69"/>
      <c r="X110" s="69"/>
      <c r="Y110" s="69"/>
      <c r="Z110" s="69"/>
      <c r="AA110" s="69"/>
      <c r="AB110" s="69"/>
      <c r="AC110" s="69"/>
      <c r="AD110" s="69"/>
      <c r="AE110" s="69"/>
      <c r="AF110" s="69"/>
      <c r="AG110" s="69"/>
    </row>
    <row r="111" spans="1:33" ht="18.75" customHeight="1" x14ac:dyDescent="0.15">
      <c r="A111" s="73"/>
      <c r="B111" s="164" t="s">
        <v>54</v>
      </c>
      <c r="C111" s="164"/>
      <c r="D111" s="164"/>
      <c r="E111" s="164"/>
      <c r="F111" s="164"/>
      <c r="G111" s="164"/>
      <c r="H111" s="164"/>
      <c r="I111" s="164"/>
      <c r="J111" s="164"/>
      <c r="K111" s="164"/>
      <c r="L111" s="164"/>
      <c r="M111" s="164"/>
      <c r="N111" s="164"/>
      <c r="O111" s="164"/>
      <c r="P111" s="164"/>
      <c r="Q111" s="164"/>
      <c r="R111" s="164"/>
      <c r="S111" s="164"/>
      <c r="T111" s="164"/>
      <c r="U111" s="164"/>
      <c r="V111" s="68"/>
      <c r="W111" s="68"/>
      <c r="X111" s="68"/>
      <c r="Y111" s="68"/>
      <c r="Z111" s="68"/>
      <c r="AA111" s="68"/>
      <c r="AB111" s="68"/>
      <c r="AC111" s="68"/>
      <c r="AD111" s="68"/>
      <c r="AE111" s="68"/>
      <c r="AF111" s="68"/>
      <c r="AG111" s="68"/>
    </row>
    <row r="112" spans="1:33" ht="132" customHeight="1" x14ac:dyDescent="0.15">
      <c r="A112" s="73"/>
      <c r="B112" s="165"/>
      <c r="C112" s="165"/>
      <c r="D112" s="165"/>
      <c r="E112" s="165"/>
      <c r="F112" s="165"/>
      <c r="G112" s="165"/>
      <c r="H112" s="165"/>
      <c r="I112" s="165"/>
      <c r="J112" s="165"/>
      <c r="K112" s="165"/>
      <c r="L112" s="165"/>
      <c r="M112" s="165"/>
      <c r="N112" s="165"/>
      <c r="O112" s="165"/>
      <c r="P112" s="165"/>
      <c r="Q112" s="165"/>
      <c r="R112" s="165"/>
      <c r="S112" s="165"/>
      <c r="T112" s="165"/>
      <c r="U112" s="165"/>
      <c r="V112" s="70"/>
      <c r="W112" s="70"/>
      <c r="X112" s="70"/>
      <c r="Y112" s="70"/>
      <c r="Z112" s="70"/>
      <c r="AA112" s="70"/>
      <c r="AB112" s="70"/>
      <c r="AC112" s="70"/>
      <c r="AD112" s="70"/>
      <c r="AE112" s="70"/>
      <c r="AF112" s="70"/>
      <c r="AG112" s="70"/>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tabSelected="1" view="pageBreakPreview" zoomScaleNormal="100" zoomScaleSheetLayoutView="100" workbookViewId="0">
      <selection activeCell="C6" sqref="C6"/>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98</v>
      </c>
    </row>
    <row r="2" spans="1:21" ht="18" customHeight="1" x14ac:dyDescent="0.15">
      <c r="A2" s="75"/>
      <c r="B2" s="75"/>
      <c r="C2" s="75"/>
      <c r="D2" s="75"/>
      <c r="E2" s="75"/>
      <c r="F2" s="75"/>
      <c r="G2" s="75"/>
      <c r="H2" s="75"/>
      <c r="I2" s="75"/>
      <c r="J2" s="75"/>
      <c r="K2" s="75"/>
      <c r="L2" s="75"/>
      <c r="M2" s="75"/>
      <c r="N2" s="75"/>
      <c r="O2" s="75"/>
      <c r="P2" s="75"/>
      <c r="Q2" s="167" t="str">
        <f>'様式１　プログラムを構成する授業科目'!C2</f>
        <v>二松学舎大学</v>
      </c>
      <c r="R2" s="167"/>
      <c r="S2" s="167"/>
    </row>
    <row r="3" spans="1:21" ht="18" customHeight="1" x14ac:dyDescent="0.15">
      <c r="A3" s="132" t="s">
        <v>47</v>
      </c>
      <c r="B3" s="132"/>
      <c r="C3" s="132"/>
      <c r="D3" s="132"/>
      <c r="E3" s="132"/>
      <c r="F3" s="132"/>
      <c r="G3" s="132"/>
      <c r="H3" s="132"/>
      <c r="I3" s="132"/>
      <c r="J3" s="132"/>
      <c r="K3" s="132"/>
      <c r="L3" s="132"/>
      <c r="M3" s="132"/>
      <c r="N3" s="132"/>
      <c r="O3" s="132"/>
      <c r="P3" s="132"/>
      <c r="Q3" s="132"/>
      <c r="R3" s="132"/>
      <c r="S3" s="132"/>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80</v>
      </c>
      <c r="B5" s="75"/>
      <c r="C5" s="168" t="s">
        <v>180</v>
      </c>
      <c r="D5" s="169"/>
      <c r="E5" s="80" t="s">
        <v>51</v>
      </c>
      <c r="F5" s="80"/>
      <c r="G5" s="80"/>
      <c r="H5" s="80"/>
      <c r="I5" s="80"/>
      <c r="J5" s="80"/>
      <c r="K5" s="80"/>
      <c r="L5" s="80"/>
      <c r="M5" s="80"/>
      <c r="N5" s="80"/>
      <c r="O5" s="80"/>
      <c r="P5" s="80"/>
      <c r="Q5" s="80"/>
      <c r="R5" s="78"/>
      <c r="S5" s="78"/>
    </row>
    <row r="6" spans="1:21" ht="7.15" customHeight="1" x14ac:dyDescent="0.15">
      <c r="A6" s="75"/>
      <c r="B6" s="75"/>
      <c r="C6" s="86"/>
      <c r="D6" s="86"/>
      <c r="E6" s="80"/>
      <c r="F6" s="80"/>
      <c r="G6" s="80"/>
      <c r="H6" s="80"/>
      <c r="I6" s="80"/>
      <c r="J6" s="80"/>
      <c r="K6" s="80"/>
      <c r="L6" s="80"/>
      <c r="M6" s="80"/>
      <c r="N6" s="80"/>
      <c r="O6" s="80"/>
      <c r="P6" s="80"/>
      <c r="Q6" s="80"/>
      <c r="R6" s="78"/>
      <c r="S6" s="78"/>
    </row>
    <row r="7" spans="1:21" ht="18" customHeight="1" x14ac:dyDescent="0.15">
      <c r="A7" s="75" t="s">
        <v>118</v>
      </c>
      <c r="B7" s="75"/>
      <c r="C7" s="86"/>
      <c r="D7" s="86"/>
      <c r="E7" s="80" t="s">
        <v>119</v>
      </c>
      <c r="F7" s="84">
        <v>1599</v>
      </c>
      <c r="G7" s="82" t="s">
        <v>120</v>
      </c>
      <c r="H7" s="80" t="s">
        <v>121</v>
      </c>
      <c r="I7" s="84">
        <v>1464</v>
      </c>
      <c r="J7" s="82" t="s">
        <v>120</v>
      </c>
      <c r="K7" s="77" t="s">
        <v>122</v>
      </c>
      <c r="L7" s="80" t="s">
        <v>123</v>
      </c>
      <c r="M7" s="91">
        <f>F7+I7</f>
        <v>3063</v>
      </c>
      <c r="N7" s="80" t="s">
        <v>1</v>
      </c>
      <c r="O7" s="82" t="s">
        <v>124</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134</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0" t="s">
        <v>44</v>
      </c>
      <c r="C11" s="180" t="s">
        <v>83</v>
      </c>
      <c r="D11" s="172" t="s">
        <v>46</v>
      </c>
      <c r="E11" s="174" t="s">
        <v>39</v>
      </c>
      <c r="F11" s="166" t="s">
        <v>112</v>
      </c>
      <c r="G11" s="166"/>
      <c r="H11" s="166" t="s">
        <v>82</v>
      </c>
      <c r="I11" s="166"/>
      <c r="J11" s="166" t="s">
        <v>48</v>
      </c>
      <c r="K11" s="166"/>
      <c r="L11" s="166" t="s">
        <v>49</v>
      </c>
      <c r="M11" s="166"/>
      <c r="N11" s="166" t="s">
        <v>92</v>
      </c>
      <c r="O11" s="166"/>
      <c r="P11" s="166" t="s">
        <v>50</v>
      </c>
      <c r="Q11" s="166"/>
      <c r="R11" s="176" t="s">
        <v>35</v>
      </c>
      <c r="S11" s="178" t="s">
        <v>32</v>
      </c>
      <c r="U11" s="2"/>
    </row>
    <row r="12" spans="1:21" ht="16.899999999999999" customHeight="1" x14ac:dyDescent="0.15">
      <c r="B12" s="171"/>
      <c r="C12" s="181"/>
      <c r="D12" s="173"/>
      <c r="E12" s="175"/>
      <c r="F12" s="63" t="s">
        <v>91</v>
      </c>
      <c r="G12" s="63" t="s">
        <v>29</v>
      </c>
      <c r="H12" s="63" t="s">
        <v>91</v>
      </c>
      <c r="I12" s="63" t="s">
        <v>29</v>
      </c>
      <c r="J12" s="63" t="s">
        <v>91</v>
      </c>
      <c r="K12" s="63" t="s">
        <v>29</v>
      </c>
      <c r="L12" s="63" t="s">
        <v>91</v>
      </c>
      <c r="M12" s="63" t="s">
        <v>29</v>
      </c>
      <c r="N12" s="63" t="s">
        <v>91</v>
      </c>
      <c r="O12" s="63" t="s">
        <v>29</v>
      </c>
      <c r="P12" s="63" t="s">
        <v>91</v>
      </c>
      <c r="Q12" s="64" t="s">
        <v>29</v>
      </c>
      <c r="R12" s="177"/>
      <c r="S12" s="179"/>
      <c r="U12" s="2"/>
    </row>
    <row r="13" spans="1:21" ht="18" customHeight="1" x14ac:dyDescent="0.15">
      <c r="A13" s="6"/>
      <c r="B13" s="88" t="s">
        <v>155</v>
      </c>
      <c r="C13" s="51">
        <v>2034</v>
      </c>
      <c r="D13" s="52">
        <v>440</v>
      </c>
      <c r="E13" s="53">
        <v>1820</v>
      </c>
      <c r="F13" s="53">
        <v>507</v>
      </c>
      <c r="G13" s="92">
        <v>448</v>
      </c>
      <c r="H13" s="59"/>
      <c r="I13" s="53"/>
      <c r="J13" s="53"/>
      <c r="K13" s="53"/>
      <c r="L13" s="53"/>
      <c r="M13" s="53"/>
      <c r="N13" s="53"/>
      <c r="O13" s="53"/>
      <c r="P13" s="53"/>
      <c r="Q13" s="65"/>
      <c r="R13" s="52">
        <f t="shared" ref="R13:R32" si="0">F13+H13+J13+L13+N13+P13</f>
        <v>507</v>
      </c>
      <c r="S13" s="66">
        <f t="shared" ref="S13:S33" si="1">R13/E13</f>
        <v>0.27857142857142858</v>
      </c>
    </row>
    <row r="14" spans="1:21" ht="18" customHeight="1" x14ac:dyDescent="0.15">
      <c r="A14" s="6"/>
      <c r="B14" s="11" t="s">
        <v>156</v>
      </c>
      <c r="C14" s="54">
        <v>1029</v>
      </c>
      <c r="D14" s="55">
        <v>240</v>
      </c>
      <c r="E14" s="56">
        <v>960</v>
      </c>
      <c r="F14" s="56">
        <v>251</v>
      </c>
      <c r="G14" s="54">
        <v>215</v>
      </c>
      <c r="H14" s="58"/>
      <c r="I14" s="57"/>
      <c r="J14" s="57"/>
      <c r="K14" s="57"/>
      <c r="L14" s="57"/>
      <c r="M14" s="57"/>
      <c r="N14" s="57"/>
      <c r="O14" s="57"/>
      <c r="P14" s="57"/>
      <c r="Q14" s="54"/>
      <c r="R14" s="55">
        <f t="shared" si="0"/>
        <v>251</v>
      </c>
      <c r="S14" s="16">
        <f t="shared" si="1"/>
        <v>0.26145833333333335</v>
      </c>
    </row>
    <row r="15" spans="1:21" ht="18" customHeight="1" x14ac:dyDescent="0.15">
      <c r="A15" s="6"/>
      <c r="B15" s="11"/>
      <c r="C15" s="54"/>
      <c r="D15" s="55"/>
      <c r="E15" s="56"/>
      <c r="F15" s="57"/>
      <c r="G15" s="57"/>
      <c r="H15" s="57"/>
      <c r="I15" s="57"/>
      <c r="J15" s="57"/>
      <c r="K15" s="57"/>
      <c r="L15" s="57"/>
      <c r="M15" s="57"/>
      <c r="N15" s="57"/>
      <c r="O15" s="57"/>
      <c r="P15" s="57"/>
      <c r="Q15" s="54"/>
      <c r="R15" s="55">
        <f t="shared" si="0"/>
        <v>0</v>
      </c>
      <c r="S15" s="8" t="e">
        <f t="shared" si="1"/>
        <v>#DIV/0!</v>
      </c>
    </row>
    <row r="16" spans="1:21" ht="18" customHeight="1" x14ac:dyDescent="0.15">
      <c r="A16" s="6"/>
      <c r="B16" s="11"/>
      <c r="C16" s="54"/>
      <c r="D16" s="55"/>
      <c r="E16" s="56"/>
      <c r="F16" s="57"/>
      <c r="G16" s="57"/>
      <c r="H16" s="57"/>
      <c r="I16" s="57"/>
      <c r="J16" s="57"/>
      <c r="K16" s="57"/>
      <c r="L16" s="57"/>
      <c r="M16" s="57"/>
      <c r="N16" s="57"/>
      <c r="O16" s="57"/>
      <c r="P16" s="57"/>
      <c r="Q16" s="54"/>
      <c r="R16" s="55">
        <f t="shared" si="0"/>
        <v>0</v>
      </c>
      <c r="S16" s="8" t="e">
        <f t="shared" si="1"/>
        <v>#DIV/0!</v>
      </c>
    </row>
    <row r="17" spans="1:19" ht="18" customHeight="1" x14ac:dyDescent="0.15">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15">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15">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15">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15">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15">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15">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15">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15">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15">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15">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15">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15">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15">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15">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15">
      <c r="B33" s="13" t="s">
        <v>33</v>
      </c>
      <c r="C33" s="90">
        <f t="shared" ref="C33" si="2">SUM(C13:C32)</f>
        <v>3063</v>
      </c>
      <c r="D33" s="61">
        <f t="shared" ref="D33:R33" si="3">SUM(D13:D32)</f>
        <v>680</v>
      </c>
      <c r="E33" s="62">
        <f t="shared" si="3"/>
        <v>2780</v>
      </c>
      <c r="F33" s="62">
        <f t="shared" si="3"/>
        <v>758</v>
      </c>
      <c r="G33" s="62">
        <f t="shared" ref="G33:H33" si="4">SUM(G13:G32)</f>
        <v>663</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758</v>
      </c>
      <c r="S33" s="9">
        <f t="shared" si="1"/>
        <v>0.27266187050359714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election activeCell="J3" sqref="J3"/>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109" t="str">
        <f>'様式１　プログラムを構成する授業科目'!C2</f>
        <v>二松学舎大学</v>
      </c>
      <c r="I2" s="111"/>
    </row>
    <row r="3" spans="1:9" ht="18.75" customHeight="1" x14ac:dyDescent="0.15">
      <c r="G3" s="30"/>
      <c r="H3" s="10"/>
      <c r="I3" s="10"/>
    </row>
    <row r="4" spans="1:9" ht="18.600000000000001" customHeight="1" x14ac:dyDescent="0.15">
      <c r="A4" s="210" t="s">
        <v>36</v>
      </c>
      <c r="B4" s="210"/>
      <c r="C4" s="210"/>
      <c r="D4" s="210"/>
      <c r="E4" s="210"/>
      <c r="F4" s="210"/>
      <c r="G4" s="210"/>
      <c r="H4" s="210"/>
      <c r="I4" s="210"/>
    </row>
    <row r="5" spans="1:9" ht="13.15" customHeight="1" x14ac:dyDescent="0.15">
      <c r="B5" s="3"/>
      <c r="C5" s="3"/>
      <c r="D5" s="3"/>
      <c r="E5" s="3"/>
      <c r="F5" s="3"/>
      <c r="G5" s="3"/>
      <c r="H5" s="3"/>
      <c r="I5" s="3"/>
    </row>
    <row r="6" spans="1:9" ht="18" customHeight="1" x14ac:dyDescent="0.15">
      <c r="A6" s="1" t="s">
        <v>0</v>
      </c>
      <c r="B6" s="10" t="s">
        <v>86</v>
      </c>
      <c r="C6" s="230" t="s">
        <v>87</v>
      </c>
      <c r="D6" s="230"/>
      <c r="E6" s="89">
        <v>74</v>
      </c>
      <c r="F6" s="3" t="s">
        <v>1</v>
      </c>
      <c r="G6" s="3" t="s">
        <v>2</v>
      </c>
      <c r="H6" s="89">
        <v>198</v>
      </c>
      <c r="I6" s="10" t="s">
        <v>1</v>
      </c>
    </row>
    <row r="7" spans="1:9" ht="12" customHeight="1" x14ac:dyDescent="0.15">
      <c r="C7" s="2"/>
      <c r="D7" s="2"/>
      <c r="E7" s="2"/>
      <c r="F7" s="2"/>
      <c r="G7" s="2"/>
      <c r="H7" s="2"/>
      <c r="I7" s="33"/>
    </row>
    <row r="8" spans="1:9" ht="18" customHeight="1" x14ac:dyDescent="0.15">
      <c r="A8" s="1" t="s">
        <v>3</v>
      </c>
      <c r="B8" s="10" t="s">
        <v>88</v>
      </c>
      <c r="E8" s="3"/>
      <c r="F8" s="3"/>
      <c r="G8" s="3"/>
      <c r="H8" s="29">
        <v>2</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225" t="s">
        <v>157</v>
      </c>
      <c r="D11" s="228"/>
      <c r="E11" s="229"/>
      <c r="F11" s="33"/>
      <c r="G11" s="30" t="s">
        <v>10</v>
      </c>
      <c r="H11" s="225" t="s">
        <v>158</v>
      </c>
      <c r="I11" s="229"/>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225" t="s">
        <v>159</v>
      </c>
      <c r="C14" s="226"/>
      <c r="D14" s="226"/>
      <c r="E14" s="226"/>
      <c r="F14" s="226"/>
      <c r="G14" s="226"/>
      <c r="H14" s="226"/>
      <c r="I14" s="227"/>
    </row>
    <row r="15" spans="1:9" ht="9" customHeight="1" x14ac:dyDescent="0.15">
      <c r="B15" s="3"/>
      <c r="C15" s="3"/>
      <c r="D15" s="3"/>
      <c r="E15" s="3"/>
      <c r="F15" s="3"/>
      <c r="G15" s="3"/>
      <c r="H15" s="3"/>
      <c r="I15" s="3"/>
    </row>
    <row r="16" spans="1:9" ht="18" customHeight="1" x14ac:dyDescent="0.15">
      <c r="B16" s="30" t="s">
        <v>42</v>
      </c>
      <c r="C16" s="225" t="s">
        <v>160</v>
      </c>
      <c r="D16" s="228"/>
      <c r="E16" s="229"/>
      <c r="F16" s="33"/>
      <c r="G16" s="30" t="s">
        <v>10</v>
      </c>
      <c r="H16" s="225" t="s">
        <v>138</v>
      </c>
      <c r="I16" s="22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1" t="s">
        <v>161</v>
      </c>
      <c r="C19" s="212"/>
      <c r="D19" s="212"/>
      <c r="E19" s="212"/>
      <c r="F19" s="212"/>
      <c r="G19" s="212"/>
      <c r="H19" s="212"/>
      <c r="I19" s="21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4" t="s">
        <v>162</v>
      </c>
      <c r="C22" s="215"/>
      <c r="D22" s="215"/>
      <c r="E22" s="215"/>
      <c r="F22" s="215"/>
      <c r="G22" s="215"/>
      <c r="H22" s="215"/>
      <c r="I22" s="216"/>
    </row>
    <row r="23" spans="1:9" ht="18.75" customHeight="1" x14ac:dyDescent="0.15">
      <c r="A23" s="14"/>
      <c r="B23" s="217"/>
      <c r="C23" s="218"/>
      <c r="D23" s="218"/>
      <c r="E23" s="218"/>
      <c r="F23" s="218"/>
      <c r="G23" s="218"/>
      <c r="H23" s="218"/>
      <c r="I23" s="219"/>
    </row>
    <row r="24" spans="1:9" ht="18.75" customHeight="1" x14ac:dyDescent="0.15">
      <c r="A24" s="14"/>
      <c r="B24" s="217"/>
      <c r="C24" s="218"/>
      <c r="D24" s="218"/>
      <c r="E24" s="218"/>
      <c r="F24" s="218"/>
      <c r="G24" s="218"/>
      <c r="H24" s="218"/>
      <c r="I24" s="219"/>
    </row>
    <row r="25" spans="1:9" ht="18.75" customHeight="1" x14ac:dyDescent="0.15">
      <c r="A25" s="14"/>
      <c r="B25" s="217"/>
      <c r="C25" s="218"/>
      <c r="D25" s="218"/>
      <c r="E25" s="218"/>
      <c r="F25" s="218"/>
      <c r="G25" s="218"/>
      <c r="H25" s="218"/>
      <c r="I25" s="219"/>
    </row>
    <row r="26" spans="1:9" ht="18.75" customHeight="1" x14ac:dyDescent="0.15">
      <c r="A26" s="14"/>
      <c r="B26" s="217"/>
      <c r="C26" s="218"/>
      <c r="D26" s="218"/>
      <c r="E26" s="218"/>
      <c r="F26" s="218"/>
      <c r="G26" s="218"/>
      <c r="H26" s="218"/>
      <c r="I26" s="219"/>
    </row>
    <row r="27" spans="1:9" ht="18.75" customHeight="1" x14ac:dyDescent="0.15">
      <c r="A27" s="14"/>
      <c r="B27" s="217"/>
      <c r="C27" s="218"/>
      <c r="D27" s="218"/>
      <c r="E27" s="218"/>
      <c r="F27" s="218"/>
      <c r="G27" s="218"/>
      <c r="H27" s="218"/>
      <c r="I27" s="219"/>
    </row>
    <row r="28" spans="1:9" ht="18.75" customHeight="1" x14ac:dyDescent="0.15">
      <c r="A28" s="14"/>
      <c r="B28" s="217"/>
      <c r="C28" s="218"/>
      <c r="D28" s="218"/>
      <c r="E28" s="218"/>
      <c r="F28" s="218"/>
      <c r="G28" s="218"/>
      <c r="H28" s="218"/>
      <c r="I28" s="219"/>
    </row>
    <row r="29" spans="1:9" ht="18.75" customHeight="1" x14ac:dyDescent="0.15">
      <c r="A29" s="14"/>
      <c r="B29" s="217"/>
      <c r="C29" s="218"/>
      <c r="D29" s="218"/>
      <c r="E29" s="218"/>
      <c r="F29" s="218"/>
      <c r="G29" s="218"/>
      <c r="H29" s="218"/>
      <c r="I29" s="219"/>
    </row>
    <row r="30" spans="1:9" ht="18.75" customHeight="1" x14ac:dyDescent="0.15">
      <c r="A30" s="14"/>
      <c r="B30" s="220"/>
      <c r="C30" s="221"/>
      <c r="D30" s="221"/>
      <c r="E30" s="221"/>
      <c r="F30" s="221"/>
      <c r="G30" s="221"/>
      <c r="H30" s="221"/>
      <c r="I30" s="219"/>
    </row>
    <row r="31" spans="1:9" ht="18.75" customHeight="1" x14ac:dyDescent="0.15">
      <c r="A31" s="14"/>
      <c r="B31" s="220"/>
      <c r="C31" s="221"/>
      <c r="D31" s="221"/>
      <c r="E31" s="221"/>
      <c r="F31" s="221"/>
      <c r="G31" s="221"/>
      <c r="H31" s="221"/>
      <c r="I31" s="219"/>
    </row>
    <row r="32" spans="1:9" ht="18.75" customHeight="1" x14ac:dyDescent="0.15">
      <c r="A32" s="14"/>
      <c r="B32" s="222"/>
      <c r="C32" s="223"/>
      <c r="D32" s="223"/>
      <c r="E32" s="223"/>
      <c r="F32" s="223"/>
      <c r="G32" s="223"/>
      <c r="H32" s="223"/>
      <c r="I32" s="224"/>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4" t="s">
        <v>163</v>
      </c>
      <c r="C35" s="215"/>
      <c r="D35" s="215"/>
      <c r="E35" s="215"/>
      <c r="F35" s="215"/>
      <c r="G35" s="215"/>
      <c r="H35" s="215"/>
      <c r="I35" s="216"/>
    </row>
    <row r="36" spans="1:9" ht="18.75" customHeight="1" x14ac:dyDescent="0.15">
      <c r="A36" s="14"/>
      <c r="B36" s="220"/>
      <c r="C36" s="221"/>
      <c r="D36" s="221"/>
      <c r="E36" s="221"/>
      <c r="F36" s="221"/>
      <c r="G36" s="221"/>
      <c r="H36" s="221"/>
      <c r="I36" s="219"/>
    </row>
    <row r="37" spans="1:9" ht="18.75" customHeight="1" x14ac:dyDescent="0.15">
      <c r="A37" s="14"/>
      <c r="B37" s="220"/>
      <c r="C37" s="221"/>
      <c r="D37" s="221"/>
      <c r="E37" s="221"/>
      <c r="F37" s="221"/>
      <c r="G37" s="221"/>
      <c r="H37" s="221"/>
      <c r="I37" s="219"/>
    </row>
    <row r="38" spans="1:9" ht="18.75" customHeight="1" x14ac:dyDescent="0.15">
      <c r="A38" s="14"/>
      <c r="B38" s="220"/>
      <c r="C38" s="221"/>
      <c r="D38" s="221"/>
      <c r="E38" s="221"/>
      <c r="F38" s="221"/>
      <c r="G38" s="221"/>
      <c r="H38" s="221"/>
      <c r="I38" s="219"/>
    </row>
    <row r="39" spans="1:9" ht="18.75" customHeight="1" x14ac:dyDescent="0.15">
      <c r="A39" s="14"/>
      <c r="B39" s="220"/>
      <c r="C39" s="221"/>
      <c r="D39" s="221"/>
      <c r="E39" s="221"/>
      <c r="F39" s="221"/>
      <c r="G39" s="221"/>
      <c r="H39" s="221"/>
      <c r="I39" s="219"/>
    </row>
    <row r="40" spans="1:9" ht="18.75" customHeight="1" x14ac:dyDescent="0.15">
      <c r="A40" s="14"/>
      <c r="B40" s="220"/>
      <c r="C40" s="221"/>
      <c r="D40" s="221"/>
      <c r="E40" s="221"/>
      <c r="F40" s="221"/>
      <c r="G40" s="221"/>
      <c r="H40" s="221"/>
      <c r="I40" s="219"/>
    </row>
    <row r="41" spans="1:9" ht="18.75" customHeight="1" x14ac:dyDescent="0.15">
      <c r="A41" s="14"/>
      <c r="B41" s="220"/>
      <c r="C41" s="221"/>
      <c r="D41" s="221"/>
      <c r="E41" s="221"/>
      <c r="F41" s="221"/>
      <c r="G41" s="221"/>
      <c r="H41" s="221"/>
      <c r="I41" s="219"/>
    </row>
    <row r="42" spans="1:9" ht="18.75" customHeight="1" x14ac:dyDescent="0.15">
      <c r="A42" s="14"/>
      <c r="B42" s="220"/>
      <c r="C42" s="221"/>
      <c r="D42" s="221"/>
      <c r="E42" s="221"/>
      <c r="F42" s="221"/>
      <c r="G42" s="221"/>
      <c r="H42" s="221"/>
      <c r="I42" s="219"/>
    </row>
    <row r="43" spans="1:9" ht="18.75" customHeight="1" x14ac:dyDescent="0.15">
      <c r="A43" s="14"/>
      <c r="B43" s="220"/>
      <c r="C43" s="221"/>
      <c r="D43" s="221"/>
      <c r="E43" s="221"/>
      <c r="F43" s="221"/>
      <c r="G43" s="221"/>
      <c r="H43" s="221"/>
      <c r="I43" s="219"/>
    </row>
    <row r="44" spans="1:9" ht="18.75" customHeight="1" x14ac:dyDescent="0.15">
      <c r="A44" s="14"/>
      <c r="B44" s="220"/>
      <c r="C44" s="221"/>
      <c r="D44" s="221"/>
      <c r="E44" s="221"/>
      <c r="F44" s="221"/>
      <c r="G44" s="221"/>
      <c r="H44" s="221"/>
      <c r="I44" s="219"/>
    </row>
    <row r="45" spans="1:9" ht="18.75" customHeight="1" x14ac:dyDescent="0.15">
      <c r="A45" s="14"/>
      <c r="B45" s="220"/>
      <c r="C45" s="221"/>
      <c r="D45" s="221"/>
      <c r="E45" s="221"/>
      <c r="F45" s="221"/>
      <c r="G45" s="221"/>
      <c r="H45" s="221"/>
      <c r="I45" s="219"/>
    </row>
    <row r="46" spans="1:9" ht="18.75" customHeight="1" x14ac:dyDescent="0.15">
      <c r="A46" s="14"/>
      <c r="B46" s="222"/>
      <c r="C46" s="223"/>
      <c r="D46" s="223"/>
      <c r="E46" s="223"/>
      <c r="F46" s="223"/>
      <c r="G46" s="223"/>
      <c r="H46" s="223"/>
      <c r="I46" s="224"/>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199">
        <f>'様式２ 履修者等数の実績'!S33</f>
        <v>0.27266187050359714</v>
      </c>
      <c r="D49" s="199"/>
      <c r="E49" s="34" t="s">
        <v>64</v>
      </c>
      <c r="F49" s="199">
        <v>0.55000000000000004</v>
      </c>
      <c r="G49" s="199"/>
      <c r="H49" s="34" t="s">
        <v>65</v>
      </c>
      <c r="I49" s="87">
        <v>0.77</v>
      </c>
      <c r="J49" s="1"/>
      <c r="M49" s="1"/>
      <c r="N49" s="35"/>
    </row>
    <row r="50" spans="1:15" s="3" customFormat="1" ht="18.75" customHeight="1" x14ac:dyDescent="0.15">
      <c r="B50" s="36" t="s">
        <v>85</v>
      </c>
      <c r="C50" s="182">
        <v>0.77</v>
      </c>
      <c r="D50" s="182"/>
      <c r="E50" s="36" t="s">
        <v>129</v>
      </c>
      <c r="F50" s="182">
        <v>0.77</v>
      </c>
      <c r="G50" s="182"/>
      <c r="H50" s="36" t="s">
        <v>66</v>
      </c>
      <c r="I50" s="37">
        <f>'様式２ 履修者等数の実績'!E33</f>
        <v>2780</v>
      </c>
      <c r="J50" s="1"/>
      <c r="M50" s="1"/>
      <c r="N50" s="35"/>
    </row>
    <row r="51" spans="1:15" ht="18.75" customHeight="1" x14ac:dyDescent="0.15">
      <c r="A51" s="1"/>
      <c r="B51" s="232" t="s">
        <v>67</v>
      </c>
      <c r="C51" s="233"/>
      <c r="D51" s="233"/>
      <c r="E51" s="233"/>
      <c r="F51" s="233"/>
      <c r="G51" s="233"/>
      <c r="H51" s="233"/>
      <c r="I51" s="234"/>
      <c r="N51" s="35"/>
      <c r="O51" s="3"/>
    </row>
    <row r="52" spans="1:15" ht="18.75" customHeight="1" x14ac:dyDescent="0.15">
      <c r="A52" s="1"/>
      <c r="B52" s="200" t="s">
        <v>175</v>
      </c>
      <c r="C52" s="201"/>
      <c r="D52" s="201"/>
      <c r="E52" s="201"/>
      <c r="F52" s="201"/>
      <c r="G52" s="201"/>
      <c r="H52" s="201"/>
      <c r="I52" s="202"/>
      <c r="N52" s="35"/>
      <c r="O52" s="3"/>
    </row>
    <row r="53" spans="1:15" ht="18.75" customHeight="1" x14ac:dyDescent="0.15">
      <c r="A53" s="1"/>
      <c r="B53" s="203"/>
      <c r="C53" s="204"/>
      <c r="D53" s="204"/>
      <c r="E53" s="204"/>
      <c r="F53" s="204"/>
      <c r="G53" s="204"/>
      <c r="H53" s="204"/>
      <c r="I53" s="205"/>
      <c r="N53" s="35"/>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3" t="s">
        <v>176</v>
      </c>
      <c r="C66" s="184"/>
      <c r="D66" s="184"/>
      <c r="E66" s="184"/>
      <c r="F66" s="184"/>
      <c r="G66" s="184"/>
      <c r="H66" s="184"/>
      <c r="I66" s="185"/>
    </row>
    <row r="67" spans="1:9" ht="18.75" customHeight="1" x14ac:dyDescent="0.15">
      <c r="A67" s="4"/>
      <c r="B67" s="186"/>
      <c r="C67" s="187"/>
      <c r="D67" s="187"/>
      <c r="E67" s="187"/>
      <c r="F67" s="187"/>
      <c r="G67" s="187"/>
      <c r="H67" s="187"/>
      <c r="I67" s="188"/>
    </row>
    <row r="68" spans="1:9" ht="18.75" customHeight="1" x14ac:dyDescent="0.15">
      <c r="A68" s="4"/>
      <c r="B68" s="186"/>
      <c r="C68" s="187"/>
      <c r="D68" s="187"/>
      <c r="E68" s="187"/>
      <c r="F68" s="187"/>
      <c r="G68" s="187"/>
      <c r="H68" s="187"/>
      <c r="I68" s="188"/>
    </row>
    <row r="69" spans="1:9" ht="18.75" customHeight="1" x14ac:dyDescent="0.15">
      <c r="A69" s="4"/>
      <c r="B69" s="186"/>
      <c r="C69" s="187"/>
      <c r="D69" s="187"/>
      <c r="E69" s="187"/>
      <c r="F69" s="187"/>
      <c r="G69" s="187"/>
      <c r="H69" s="187"/>
      <c r="I69" s="188"/>
    </row>
    <row r="70" spans="1:9" ht="18.75" customHeight="1" x14ac:dyDescent="0.15">
      <c r="A70" s="4"/>
      <c r="B70" s="186"/>
      <c r="C70" s="187"/>
      <c r="D70" s="187"/>
      <c r="E70" s="187"/>
      <c r="F70" s="187"/>
      <c r="G70" s="187"/>
      <c r="H70" s="187"/>
      <c r="I70" s="188"/>
    </row>
    <row r="71" spans="1:9" ht="18.75" customHeight="1" x14ac:dyDescent="0.15">
      <c r="A71" s="4"/>
      <c r="B71" s="186"/>
      <c r="C71" s="187"/>
      <c r="D71" s="187"/>
      <c r="E71" s="187"/>
      <c r="F71" s="187"/>
      <c r="G71" s="187"/>
      <c r="H71" s="187"/>
      <c r="I71" s="188"/>
    </row>
    <row r="72" spans="1:9" ht="18.75" customHeight="1" x14ac:dyDescent="0.15">
      <c r="A72" s="4"/>
      <c r="B72" s="186"/>
      <c r="C72" s="187"/>
      <c r="D72" s="187"/>
      <c r="E72" s="187"/>
      <c r="F72" s="187"/>
      <c r="G72" s="187"/>
      <c r="H72" s="187"/>
      <c r="I72" s="188"/>
    </row>
    <row r="73" spans="1:9" ht="18.75" customHeight="1" x14ac:dyDescent="0.15">
      <c r="A73" s="4"/>
      <c r="B73" s="186"/>
      <c r="C73" s="187"/>
      <c r="D73" s="187"/>
      <c r="E73" s="187"/>
      <c r="F73" s="187"/>
      <c r="G73" s="187"/>
      <c r="H73" s="187"/>
      <c r="I73" s="188"/>
    </row>
    <row r="74" spans="1:9" ht="18.75" customHeight="1" x14ac:dyDescent="0.15">
      <c r="A74" s="4"/>
      <c r="B74" s="186"/>
      <c r="C74" s="187"/>
      <c r="D74" s="187"/>
      <c r="E74" s="187"/>
      <c r="F74" s="187"/>
      <c r="G74" s="187"/>
      <c r="H74" s="187"/>
      <c r="I74" s="188"/>
    </row>
    <row r="75" spans="1:9" ht="18.75" customHeight="1" x14ac:dyDescent="0.15">
      <c r="A75" s="4"/>
      <c r="B75" s="186"/>
      <c r="C75" s="187"/>
      <c r="D75" s="187"/>
      <c r="E75" s="187"/>
      <c r="F75" s="187"/>
      <c r="G75" s="187"/>
      <c r="H75" s="187"/>
      <c r="I75" s="188"/>
    </row>
    <row r="76" spans="1:9" ht="18.75" customHeight="1" x14ac:dyDescent="0.15">
      <c r="A76" s="4"/>
      <c r="B76" s="186"/>
      <c r="C76" s="187"/>
      <c r="D76" s="187"/>
      <c r="E76" s="187"/>
      <c r="F76" s="187"/>
      <c r="G76" s="187"/>
      <c r="H76" s="187"/>
      <c r="I76" s="188"/>
    </row>
    <row r="77" spans="1:9" ht="18.75" customHeight="1" x14ac:dyDescent="0.15">
      <c r="A77" s="4"/>
      <c r="B77" s="189"/>
      <c r="C77" s="190"/>
      <c r="D77" s="190"/>
      <c r="E77" s="190"/>
      <c r="F77" s="190"/>
      <c r="G77" s="190"/>
      <c r="H77" s="190"/>
      <c r="I77" s="191"/>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3" t="s">
        <v>177</v>
      </c>
      <c r="C80" s="184"/>
      <c r="D80" s="184"/>
      <c r="E80" s="184"/>
      <c r="F80" s="184"/>
      <c r="G80" s="184"/>
      <c r="H80" s="184"/>
      <c r="I80" s="192"/>
    </row>
    <row r="81" spans="1:9" ht="18.75" customHeight="1" x14ac:dyDescent="0.15">
      <c r="A81" s="1"/>
      <c r="B81" s="193"/>
      <c r="C81" s="194"/>
      <c r="D81" s="194"/>
      <c r="E81" s="194"/>
      <c r="F81" s="194"/>
      <c r="G81" s="194"/>
      <c r="H81" s="194"/>
      <c r="I81" s="195"/>
    </row>
    <row r="82" spans="1:9" ht="18.75" customHeight="1" x14ac:dyDescent="0.15">
      <c r="A82" s="1"/>
      <c r="B82" s="193"/>
      <c r="C82" s="194"/>
      <c r="D82" s="194"/>
      <c r="E82" s="194"/>
      <c r="F82" s="194"/>
      <c r="G82" s="194"/>
      <c r="H82" s="194"/>
      <c r="I82" s="195"/>
    </row>
    <row r="83" spans="1:9" ht="18.75" customHeight="1" x14ac:dyDescent="0.15">
      <c r="A83" s="1"/>
      <c r="B83" s="193"/>
      <c r="C83" s="194"/>
      <c r="D83" s="194"/>
      <c r="E83" s="194"/>
      <c r="F83" s="194"/>
      <c r="G83" s="194"/>
      <c r="H83" s="194"/>
      <c r="I83" s="195"/>
    </row>
    <row r="84" spans="1:9" ht="18.75" customHeight="1" x14ac:dyDescent="0.15">
      <c r="A84" s="1"/>
      <c r="B84" s="193"/>
      <c r="C84" s="194"/>
      <c r="D84" s="194"/>
      <c r="E84" s="194"/>
      <c r="F84" s="194"/>
      <c r="G84" s="194"/>
      <c r="H84" s="194"/>
      <c r="I84" s="195"/>
    </row>
    <row r="85" spans="1:9" ht="18.75" customHeight="1" x14ac:dyDescent="0.15">
      <c r="A85" s="1"/>
      <c r="B85" s="193"/>
      <c r="C85" s="194"/>
      <c r="D85" s="194"/>
      <c r="E85" s="194"/>
      <c r="F85" s="194"/>
      <c r="G85" s="194"/>
      <c r="H85" s="194"/>
      <c r="I85" s="195"/>
    </row>
    <row r="86" spans="1:9" ht="18.75" customHeight="1" x14ac:dyDescent="0.15">
      <c r="A86" s="1"/>
      <c r="B86" s="193"/>
      <c r="C86" s="194"/>
      <c r="D86" s="194"/>
      <c r="E86" s="194"/>
      <c r="F86" s="194"/>
      <c r="G86" s="194"/>
      <c r="H86" s="194"/>
      <c r="I86" s="195"/>
    </row>
    <row r="87" spans="1:9" ht="18.75" customHeight="1" x14ac:dyDescent="0.15">
      <c r="A87" s="1"/>
      <c r="B87" s="193"/>
      <c r="C87" s="194"/>
      <c r="D87" s="194"/>
      <c r="E87" s="194"/>
      <c r="F87" s="194"/>
      <c r="G87" s="194"/>
      <c r="H87" s="194"/>
      <c r="I87" s="195"/>
    </row>
    <row r="88" spans="1:9" ht="18.75" customHeight="1" x14ac:dyDescent="0.15">
      <c r="A88" s="1"/>
      <c r="B88" s="193"/>
      <c r="C88" s="194"/>
      <c r="D88" s="194"/>
      <c r="E88" s="194"/>
      <c r="F88" s="194"/>
      <c r="G88" s="194"/>
      <c r="H88" s="194"/>
      <c r="I88" s="195"/>
    </row>
    <row r="89" spans="1:9" ht="18.75" customHeight="1" x14ac:dyDescent="0.15">
      <c r="A89" s="1"/>
      <c r="B89" s="193"/>
      <c r="C89" s="194"/>
      <c r="D89" s="194"/>
      <c r="E89" s="194"/>
      <c r="F89" s="194"/>
      <c r="G89" s="194"/>
      <c r="H89" s="194"/>
      <c r="I89" s="195"/>
    </row>
    <row r="90" spans="1:9" ht="18.75" customHeight="1" x14ac:dyDescent="0.15">
      <c r="A90" s="4"/>
      <c r="B90" s="193"/>
      <c r="C90" s="194"/>
      <c r="D90" s="194"/>
      <c r="E90" s="194"/>
      <c r="F90" s="194"/>
      <c r="G90" s="194"/>
      <c r="H90" s="194"/>
      <c r="I90" s="195"/>
    </row>
    <row r="91" spans="1:9" ht="18.75" customHeight="1" x14ac:dyDescent="0.15">
      <c r="A91" s="4"/>
      <c r="B91" s="196"/>
      <c r="C91" s="197"/>
      <c r="D91" s="197"/>
      <c r="E91" s="197"/>
      <c r="F91" s="197"/>
      <c r="G91" s="197"/>
      <c r="H91" s="197"/>
      <c r="I91" s="198"/>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14" t="s">
        <v>178</v>
      </c>
      <c r="C94" s="215"/>
      <c r="D94" s="215"/>
      <c r="E94" s="215"/>
      <c r="F94" s="215"/>
      <c r="G94" s="215"/>
      <c r="H94" s="215"/>
      <c r="I94" s="216"/>
    </row>
    <row r="95" spans="1:9" ht="18.75" customHeight="1" x14ac:dyDescent="0.15">
      <c r="A95" s="1"/>
      <c r="B95" s="220"/>
      <c r="C95" s="221"/>
      <c r="D95" s="221"/>
      <c r="E95" s="221"/>
      <c r="F95" s="221"/>
      <c r="G95" s="221"/>
      <c r="H95" s="221"/>
      <c r="I95" s="219"/>
    </row>
    <row r="96" spans="1:9" ht="18.75" customHeight="1" x14ac:dyDescent="0.15">
      <c r="A96" s="1"/>
      <c r="B96" s="220"/>
      <c r="C96" s="221"/>
      <c r="D96" s="221"/>
      <c r="E96" s="221"/>
      <c r="F96" s="221"/>
      <c r="G96" s="221"/>
      <c r="H96" s="221"/>
      <c r="I96" s="219"/>
    </row>
    <row r="97" spans="1:9" ht="18.75" customHeight="1" x14ac:dyDescent="0.15">
      <c r="A97" s="1"/>
      <c r="B97" s="220"/>
      <c r="C97" s="221"/>
      <c r="D97" s="221"/>
      <c r="E97" s="221"/>
      <c r="F97" s="221"/>
      <c r="G97" s="221"/>
      <c r="H97" s="221"/>
      <c r="I97" s="219"/>
    </row>
    <row r="98" spans="1:9" ht="18.75" customHeight="1" x14ac:dyDescent="0.15">
      <c r="A98" s="1"/>
      <c r="B98" s="220"/>
      <c r="C98" s="221"/>
      <c r="D98" s="221"/>
      <c r="E98" s="221"/>
      <c r="F98" s="221"/>
      <c r="G98" s="221"/>
      <c r="H98" s="221"/>
      <c r="I98" s="219"/>
    </row>
    <row r="99" spans="1:9" ht="18.75" customHeight="1" x14ac:dyDescent="0.15">
      <c r="A99" s="1"/>
      <c r="B99" s="220"/>
      <c r="C99" s="221"/>
      <c r="D99" s="221"/>
      <c r="E99" s="221"/>
      <c r="F99" s="221"/>
      <c r="G99" s="221"/>
      <c r="H99" s="221"/>
      <c r="I99" s="219"/>
    </row>
    <row r="100" spans="1:9" ht="18.75" customHeight="1" x14ac:dyDescent="0.15">
      <c r="A100" s="1"/>
      <c r="B100" s="220"/>
      <c r="C100" s="221"/>
      <c r="D100" s="221"/>
      <c r="E100" s="221"/>
      <c r="F100" s="221"/>
      <c r="G100" s="221"/>
      <c r="H100" s="221"/>
      <c r="I100" s="219"/>
    </row>
    <row r="101" spans="1:9" ht="18.75" customHeight="1" x14ac:dyDescent="0.15">
      <c r="A101" s="1"/>
      <c r="B101" s="220"/>
      <c r="C101" s="221"/>
      <c r="D101" s="221"/>
      <c r="E101" s="221"/>
      <c r="F101" s="221"/>
      <c r="G101" s="221"/>
      <c r="H101" s="221"/>
      <c r="I101" s="219"/>
    </row>
    <row r="102" spans="1:9" ht="18.75" customHeight="1" x14ac:dyDescent="0.15">
      <c r="A102" s="1"/>
      <c r="B102" s="220"/>
      <c r="C102" s="221"/>
      <c r="D102" s="221"/>
      <c r="E102" s="221"/>
      <c r="F102" s="221"/>
      <c r="G102" s="221"/>
      <c r="H102" s="221"/>
      <c r="I102" s="219"/>
    </row>
    <row r="103" spans="1:9" ht="18.75" customHeight="1" x14ac:dyDescent="0.15">
      <c r="A103" s="1"/>
      <c r="B103" s="220"/>
      <c r="C103" s="221"/>
      <c r="D103" s="221"/>
      <c r="E103" s="221"/>
      <c r="F103" s="221"/>
      <c r="G103" s="221"/>
      <c r="H103" s="221"/>
      <c r="I103" s="219"/>
    </row>
    <row r="104" spans="1:9" ht="18.75" customHeight="1" x14ac:dyDescent="0.15">
      <c r="A104" s="1"/>
      <c r="B104" s="220"/>
      <c r="C104" s="221"/>
      <c r="D104" s="221"/>
      <c r="E104" s="221"/>
      <c r="F104" s="221"/>
      <c r="G104" s="221"/>
      <c r="H104" s="221"/>
      <c r="I104" s="219"/>
    </row>
    <row r="105" spans="1:9" ht="18.75" customHeight="1" x14ac:dyDescent="0.15">
      <c r="A105" s="4"/>
      <c r="B105" s="222"/>
      <c r="C105" s="223"/>
      <c r="D105" s="223"/>
      <c r="E105" s="223"/>
      <c r="F105" s="223"/>
      <c r="G105" s="223"/>
      <c r="H105" s="223"/>
      <c r="I105" s="224"/>
    </row>
    <row r="106" spans="1:9" ht="7.5" customHeight="1" x14ac:dyDescent="0.15">
      <c r="A106" s="4"/>
      <c r="B106" s="4"/>
      <c r="C106" s="4"/>
      <c r="D106" s="4"/>
      <c r="E106" s="4"/>
      <c r="F106" s="4"/>
      <c r="G106" s="4"/>
      <c r="H106" s="4"/>
      <c r="I106" s="4"/>
    </row>
    <row r="107" spans="1:9" ht="18.75" customHeight="1" x14ac:dyDescent="0.15">
      <c r="A107" s="1" t="s">
        <v>30</v>
      </c>
      <c r="B107" s="231" t="s">
        <v>45</v>
      </c>
      <c r="C107" s="231"/>
      <c r="D107" s="231"/>
      <c r="E107" s="231"/>
      <c r="F107" s="231"/>
      <c r="G107" s="231"/>
      <c r="H107" s="231"/>
      <c r="I107" s="231"/>
    </row>
    <row r="108" spans="1:9" ht="18.75" customHeight="1" x14ac:dyDescent="0.15">
      <c r="A108" s="4"/>
      <c r="B108" s="214" t="s">
        <v>179</v>
      </c>
      <c r="C108" s="215"/>
      <c r="D108" s="215"/>
      <c r="E108" s="215"/>
      <c r="F108" s="215"/>
      <c r="G108" s="215"/>
      <c r="H108" s="215"/>
      <c r="I108" s="216"/>
    </row>
    <row r="109" spans="1:9" ht="18.75" customHeight="1" x14ac:dyDescent="0.15">
      <c r="A109" s="4"/>
      <c r="B109" s="220"/>
      <c r="C109" s="221"/>
      <c r="D109" s="221"/>
      <c r="E109" s="221"/>
      <c r="F109" s="221"/>
      <c r="G109" s="221"/>
      <c r="H109" s="221"/>
      <c r="I109" s="219"/>
    </row>
    <row r="110" spans="1:9" ht="18.75" customHeight="1" x14ac:dyDescent="0.15">
      <c r="A110" s="4"/>
      <c r="B110" s="220"/>
      <c r="C110" s="221"/>
      <c r="D110" s="221"/>
      <c r="E110" s="221"/>
      <c r="F110" s="221"/>
      <c r="G110" s="221"/>
      <c r="H110" s="221"/>
      <c r="I110" s="219"/>
    </row>
    <row r="111" spans="1:9" ht="18.75" customHeight="1" x14ac:dyDescent="0.15">
      <c r="A111" s="4"/>
      <c r="B111" s="220"/>
      <c r="C111" s="221"/>
      <c r="D111" s="221"/>
      <c r="E111" s="221"/>
      <c r="F111" s="221"/>
      <c r="G111" s="221"/>
      <c r="H111" s="221"/>
      <c r="I111" s="219"/>
    </row>
    <row r="112" spans="1:9" ht="18.75" customHeight="1" x14ac:dyDescent="0.15">
      <c r="A112" s="4"/>
      <c r="B112" s="220"/>
      <c r="C112" s="221"/>
      <c r="D112" s="221"/>
      <c r="E112" s="221"/>
      <c r="F112" s="221"/>
      <c r="G112" s="221"/>
      <c r="H112" s="221"/>
      <c r="I112" s="219"/>
    </row>
    <row r="113" spans="1:9" ht="18.75" customHeight="1" x14ac:dyDescent="0.15">
      <c r="A113" s="4"/>
      <c r="B113" s="220"/>
      <c r="C113" s="221"/>
      <c r="D113" s="221"/>
      <c r="E113" s="221"/>
      <c r="F113" s="221"/>
      <c r="G113" s="221"/>
      <c r="H113" s="221"/>
      <c r="I113" s="219"/>
    </row>
    <row r="114" spans="1:9" ht="18.75" customHeight="1" x14ac:dyDescent="0.15">
      <c r="A114" s="4"/>
      <c r="B114" s="220"/>
      <c r="C114" s="221"/>
      <c r="D114" s="221"/>
      <c r="E114" s="221"/>
      <c r="F114" s="221"/>
      <c r="G114" s="221"/>
      <c r="H114" s="221"/>
      <c r="I114" s="219"/>
    </row>
    <row r="115" spans="1:9" ht="18.75" customHeight="1" x14ac:dyDescent="0.15">
      <c r="A115" s="4"/>
      <c r="B115" s="220"/>
      <c r="C115" s="221"/>
      <c r="D115" s="221"/>
      <c r="E115" s="221"/>
      <c r="F115" s="221"/>
      <c r="G115" s="221"/>
      <c r="H115" s="221"/>
      <c r="I115" s="219"/>
    </row>
    <row r="116" spans="1:9" ht="18.75" customHeight="1" x14ac:dyDescent="0.15">
      <c r="A116" s="4"/>
      <c r="B116" s="220"/>
      <c r="C116" s="221"/>
      <c r="D116" s="221"/>
      <c r="E116" s="221"/>
      <c r="F116" s="221"/>
      <c r="G116" s="221"/>
      <c r="H116" s="221"/>
      <c r="I116" s="219"/>
    </row>
    <row r="117" spans="1:9" ht="18.75" customHeight="1" x14ac:dyDescent="0.15">
      <c r="A117" s="4"/>
      <c r="B117" s="220"/>
      <c r="C117" s="221"/>
      <c r="D117" s="221"/>
      <c r="E117" s="221"/>
      <c r="F117" s="221"/>
      <c r="G117" s="221"/>
      <c r="H117" s="221"/>
      <c r="I117" s="219"/>
    </row>
    <row r="118" spans="1:9" ht="18.75" customHeight="1" x14ac:dyDescent="0.15">
      <c r="A118" s="4"/>
      <c r="B118" s="220"/>
      <c r="C118" s="221"/>
      <c r="D118" s="221"/>
      <c r="E118" s="221"/>
      <c r="F118" s="221"/>
      <c r="G118" s="221"/>
      <c r="H118" s="221"/>
      <c r="I118" s="219"/>
    </row>
    <row r="119" spans="1:9" ht="18.75" customHeight="1" x14ac:dyDescent="0.15">
      <c r="A119" s="4"/>
      <c r="B119" s="222"/>
      <c r="C119" s="223"/>
      <c r="D119" s="223"/>
      <c r="E119" s="223"/>
      <c r="F119" s="223"/>
      <c r="G119" s="223"/>
      <c r="H119" s="223"/>
      <c r="I119" s="224"/>
    </row>
    <row r="120" spans="1:9" ht="7.5" customHeight="1" x14ac:dyDescent="0.15">
      <c r="A120" s="4"/>
      <c r="B120" s="38"/>
      <c r="C120" s="38"/>
      <c r="D120" s="38"/>
      <c r="E120" s="38"/>
      <c r="F120" s="38"/>
      <c r="G120" s="38"/>
      <c r="H120" s="38"/>
      <c r="I120" s="38"/>
    </row>
    <row r="121" spans="1:9" ht="18.75" customHeight="1" x14ac:dyDescent="0.15">
      <c r="A121" s="67"/>
      <c r="B121" s="209"/>
      <c r="C121" s="209"/>
      <c r="D121" s="209"/>
      <c r="E121" s="209"/>
      <c r="F121" s="209"/>
      <c r="G121" s="209"/>
      <c r="H121" s="209"/>
      <c r="I121" s="209"/>
    </row>
    <row r="122" spans="1:9" ht="18.75" customHeight="1" x14ac:dyDescent="0.15">
      <c r="A122" s="67"/>
      <c r="B122" s="209"/>
      <c r="C122" s="209"/>
      <c r="D122" s="209"/>
      <c r="E122" s="209"/>
      <c r="F122" s="209"/>
      <c r="G122" s="209"/>
      <c r="H122" s="209"/>
      <c r="I122" s="209"/>
    </row>
    <row r="123" spans="1:9" ht="18.75" customHeight="1" x14ac:dyDescent="0.15">
      <c r="A123" s="4"/>
      <c r="B123" s="71"/>
      <c r="C123" s="71"/>
      <c r="D123" s="71"/>
      <c r="E123" s="71"/>
      <c r="F123" s="71"/>
      <c r="G123" s="71"/>
      <c r="H123" s="71"/>
      <c r="I123" s="72"/>
    </row>
    <row r="124" spans="1:9" ht="18.75" customHeight="1" x14ac:dyDescent="0.15">
      <c r="A124" s="4"/>
      <c r="B124" s="72"/>
      <c r="C124" s="72"/>
      <c r="D124" s="72"/>
      <c r="E124" s="72"/>
      <c r="F124" s="72"/>
      <c r="G124" s="72"/>
      <c r="H124" s="72"/>
      <c r="I124" s="72"/>
    </row>
    <row r="125" spans="1:9" ht="18.75" customHeight="1" x14ac:dyDescent="0.15">
      <c r="A125" s="4"/>
      <c r="B125" s="72"/>
      <c r="C125" s="72"/>
      <c r="D125" s="72"/>
      <c r="E125" s="72"/>
      <c r="F125" s="72"/>
      <c r="G125" s="72"/>
      <c r="H125" s="72"/>
      <c r="I125" s="72"/>
    </row>
    <row r="126" spans="1:9" ht="18.75" customHeight="1" x14ac:dyDescent="0.15">
      <c r="A126" s="4"/>
      <c r="B126" s="72"/>
      <c r="C126" s="72"/>
      <c r="D126" s="72"/>
      <c r="E126" s="72"/>
      <c r="F126" s="72"/>
      <c r="G126" s="72"/>
      <c r="H126" s="72"/>
      <c r="I126" s="72"/>
    </row>
    <row r="127" spans="1:9" ht="18.75" customHeight="1" x14ac:dyDescent="0.15">
      <c r="A127" s="4"/>
      <c r="B127" s="72"/>
      <c r="C127" s="72"/>
      <c r="D127" s="72"/>
      <c r="E127" s="72"/>
      <c r="F127" s="72"/>
      <c r="G127" s="72"/>
      <c r="H127" s="72"/>
      <c r="I127" s="72"/>
    </row>
    <row r="128" spans="1:9" ht="18.75" customHeight="1" x14ac:dyDescent="0.15">
      <c r="A128" s="4"/>
      <c r="B128" s="72"/>
      <c r="C128" s="72"/>
      <c r="D128" s="72"/>
      <c r="E128" s="72"/>
      <c r="F128" s="72"/>
      <c r="G128" s="72"/>
      <c r="H128" s="72"/>
      <c r="I128" s="72"/>
    </row>
    <row r="129" spans="1:9" ht="18.75" customHeight="1" x14ac:dyDescent="0.15">
      <c r="A129" s="4"/>
      <c r="B129" s="72"/>
      <c r="C129" s="72"/>
      <c r="D129" s="72"/>
      <c r="E129" s="72"/>
      <c r="F129" s="72"/>
      <c r="G129" s="72"/>
      <c r="H129" s="72"/>
      <c r="I129" s="72"/>
    </row>
    <row r="130" spans="1:9" ht="18.75" customHeight="1" x14ac:dyDescent="0.15">
      <c r="A130" s="4"/>
      <c r="B130" s="72"/>
      <c r="C130" s="72"/>
      <c r="D130" s="72"/>
      <c r="E130" s="72"/>
      <c r="F130" s="72"/>
      <c r="G130" s="72"/>
      <c r="H130" s="72"/>
      <c r="I130" s="72"/>
    </row>
    <row r="131" spans="1:9" ht="18.75" customHeight="1" x14ac:dyDescent="0.15">
      <c r="A131" s="4"/>
      <c r="B131" s="72"/>
      <c r="C131" s="72"/>
      <c r="D131" s="72"/>
      <c r="E131" s="72"/>
      <c r="F131" s="72"/>
      <c r="G131" s="72"/>
      <c r="H131" s="72"/>
      <c r="I131" s="72"/>
    </row>
    <row r="132" spans="1:9" ht="18.75" customHeight="1" x14ac:dyDescent="0.15">
      <c r="A132" s="4"/>
      <c r="B132" s="72"/>
      <c r="C132" s="72"/>
      <c r="D132" s="72"/>
      <c r="E132" s="72"/>
      <c r="F132" s="72"/>
      <c r="G132" s="72"/>
      <c r="H132" s="72"/>
      <c r="I132" s="72"/>
    </row>
    <row r="133" spans="1:9" ht="14.25" x14ac:dyDescent="0.15">
      <c r="A133" s="4"/>
      <c r="B133" s="72"/>
      <c r="C133" s="72"/>
      <c r="D133" s="72"/>
      <c r="E133" s="72"/>
      <c r="F133" s="72"/>
      <c r="G133" s="72"/>
      <c r="H133" s="72"/>
      <c r="I133" s="72"/>
    </row>
    <row r="134" spans="1:9" ht="7.5" customHeight="1" x14ac:dyDescent="0.15">
      <c r="A134" s="4"/>
      <c r="B134" s="72"/>
      <c r="C134" s="72"/>
      <c r="D134" s="72"/>
      <c r="E134" s="72"/>
      <c r="F134" s="72"/>
      <c r="G134" s="72"/>
      <c r="H134" s="72"/>
      <c r="I134" s="7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topLeftCell="A10" zoomScaleNormal="100" zoomScaleSheetLayoutView="100" workbookViewId="0">
      <selection activeCell="K22" sqref="K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二松学舎大学</v>
      </c>
    </row>
    <row r="3" spans="1:9" ht="18.75" customHeight="1" x14ac:dyDescent="0.15">
      <c r="A3" s="210" t="s">
        <v>28</v>
      </c>
      <c r="B3" s="210"/>
      <c r="C3" s="210"/>
      <c r="D3" s="210"/>
      <c r="E3" s="210"/>
      <c r="F3" s="210"/>
      <c r="G3" s="210"/>
      <c r="H3" s="210"/>
      <c r="I3" s="210"/>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25" t="s">
        <v>136</v>
      </c>
      <c r="C6" s="257"/>
      <c r="D6" s="257"/>
      <c r="E6" s="257"/>
      <c r="F6" s="257"/>
      <c r="G6" s="257"/>
      <c r="H6" s="258"/>
      <c r="I6" s="3"/>
    </row>
    <row r="7" spans="1:9" ht="9" customHeight="1" x14ac:dyDescent="0.15">
      <c r="A7" s="5"/>
      <c r="B7" s="10"/>
      <c r="C7" s="10"/>
      <c r="D7" s="10"/>
      <c r="E7" s="10"/>
      <c r="F7" s="10"/>
      <c r="G7" s="10"/>
      <c r="H7" s="10"/>
      <c r="I7" s="3"/>
    </row>
    <row r="8" spans="1:9" ht="18.75" customHeight="1" x14ac:dyDescent="0.15">
      <c r="A8" s="5"/>
      <c r="B8" s="3"/>
      <c r="C8" s="3"/>
      <c r="D8" s="30" t="s">
        <v>42</v>
      </c>
      <c r="E8" s="31" t="s">
        <v>137</v>
      </c>
      <c r="F8" s="3"/>
      <c r="G8" s="30" t="s">
        <v>10</v>
      </c>
      <c r="H8" s="31" t="s">
        <v>138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9" t="s">
        <v>24</v>
      </c>
      <c r="C11" s="110"/>
      <c r="D11" s="111"/>
      <c r="E11" s="110" t="s">
        <v>26</v>
      </c>
      <c r="F11" s="110"/>
      <c r="G11" s="110"/>
      <c r="H11" s="110"/>
      <c r="I11" s="111"/>
    </row>
    <row r="12" spans="1:9" ht="26.25" customHeight="1" x14ac:dyDescent="0.15">
      <c r="B12" s="39" t="s">
        <v>14</v>
      </c>
      <c r="C12" s="46"/>
      <c r="D12" s="40"/>
      <c r="E12" s="47"/>
      <c r="F12" s="47"/>
      <c r="G12" s="47"/>
      <c r="H12" s="47"/>
      <c r="I12" s="40"/>
    </row>
    <row r="13" spans="1:9" ht="210.75" customHeight="1" x14ac:dyDescent="0.15">
      <c r="B13" s="41"/>
      <c r="C13" s="240" t="s">
        <v>15</v>
      </c>
      <c r="D13" s="241"/>
      <c r="E13" s="253" t="s">
        <v>139</v>
      </c>
      <c r="F13" s="242"/>
      <c r="G13" s="242"/>
      <c r="H13" s="242"/>
      <c r="I13" s="243"/>
    </row>
    <row r="14" spans="1:9" ht="210.75" customHeight="1" x14ac:dyDescent="0.15">
      <c r="B14" s="41"/>
      <c r="C14" s="255" t="s">
        <v>16</v>
      </c>
      <c r="D14" s="256"/>
      <c r="E14" s="253" t="s">
        <v>165</v>
      </c>
      <c r="F14" s="242"/>
      <c r="G14" s="242"/>
      <c r="H14" s="242"/>
      <c r="I14" s="243"/>
    </row>
    <row r="15" spans="1:9" ht="210.75" customHeight="1" x14ac:dyDescent="0.15">
      <c r="B15" s="41"/>
      <c r="C15" s="240" t="s">
        <v>17</v>
      </c>
      <c r="D15" s="241"/>
      <c r="E15" s="253" t="s">
        <v>166</v>
      </c>
      <c r="F15" s="242"/>
      <c r="G15" s="242"/>
      <c r="H15" s="242"/>
      <c r="I15" s="243"/>
    </row>
    <row r="16" spans="1:9" ht="210.75" customHeight="1" x14ac:dyDescent="0.15">
      <c r="B16" s="41"/>
      <c r="C16" s="240" t="s">
        <v>18</v>
      </c>
      <c r="D16" s="241"/>
      <c r="E16" s="253" t="s">
        <v>140</v>
      </c>
      <c r="F16" s="242"/>
      <c r="G16" s="242"/>
      <c r="H16" s="242"/>
      <c r="I16" s="243"/>
    </row>
    <row r="17" spans="2:9" ht="210.75" customHeight="1" x14ac:dyDescent="0.15">
      <c r="B17" s="42"/>
      <c r="C17" s="244" t="s">
        <v>19</v>
      </c>
      <c r="D17" s="245"/>
      <c r="E17" s="254" t="s">
        <v>167</v>
      </c>
      <c r="F17" s="246"/>
      <c r="G17" s="246"/>
      <c r="H17" s="246"/>
      <c r="I17" s="247"/>
    </row>
    <row r="18" spans="2:9" ht="24" customHeight="1" x14ac:dyDescent="0.15">
      <c r="B18" s="39" t="s">
        <v>20</v>
      </c>
      <c r="C18" s="43"/>
      <c r="D18" s="44"/>
      <c r="E18" s="45"/>
      <c r="F18" s="45"/>
      <c r="G18" s="45"/>
      <c r="H18" s="45"/>
      <c r="I18" s="48"/>
    </row>
    <row r="19" spans="2:9" ht="218.25" customHeight="1" x14ac:dyDescent="0.15">
      <c r="B19" s="41"/>
      <c r="C19" s="240" t="s">
        <v>21</v>
      </c>
      <c r="D19" s="241"/>
      <c r="E19" s="242" t="s">
        <v>168</v>
      </c>
      <c r="F19" s="242"/>
      <c r="G19" s="242"/>
      <c r="H19" s="242"/>
      <c r="I19" s="243"/>
    </row>
    <row r="20" spans="2:9" ht="218.25" customHeight="1" x14ac:dyDescent="0.15">
      <c r="B20" s="42"/>
      <c r="C20" s="244" t="s">
        <v>22</v>
      </c>
      <c r="D20" s="245"/>
      <c r="E20" s="246" t="s">
        <v>141</v>
      </c>
      <c r="F20" s="246"/>
      <c r="G20" s="246"/>
      <c r="H20" s="246"/>
      <c r="I20" s="247"/>
    </row>
    <row r="21" spans="2:9" ht="218.25" customHeight="1" x14ac:dyDescent="0.15">
      <c r="B21" s="248" t="s">
        <v>23</v>
      </c>
      <c r="C21" s="249"/>
      <c r="D21" s="250"/>
      <c r="E21" s="251" t="s">
        <v>142</v>
      </c>
      <c r="F21" s="251"/>
      <c r="G21" s="251"/>
      <c r="H21" s="251"/>
      <c r="I21" s="252"/>
    </row>
    <row r="22" spans="2:9" ht="218.25" customHeight="1" x14ac:dyDescent="0.15">
      <c r="B22" s="235" t="s">
        <v>135</v>
      </c>
      <c r="C22" s="236"/>
      <c r="D22" s="237"/>
      <c r="E22" s="238" t="s">
        <v>169</v>
      </c>
      <c r="F22" s="238"/>
      <c r="G22" s="238"/>
      <c r="H22" s="238"/>
      <c r="I22" s="23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二松學舍大学</cp:lastModifiedBy>
  <cp:lastPrinted>2024-04-09T03:50:16Z</cp:lastPrinted>
  <dcterms:created xsi:type="dcterms:W3CDTF">2011-06-14T05:32:50Z</dcterms:created>
  <dcterms:modified xsi:type="dcterms:W3CDTF">2024-05-27T06:27:22Z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